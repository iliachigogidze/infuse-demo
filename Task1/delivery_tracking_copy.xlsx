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_Stats" sheetId="1" r:id="rId5"/>
    <sheet state="visible" name="Campaign Stats" sheetId="2" r:id="rId6"/>
    <sheet state="visible" name="Montly Stats" sheetId="3" r:id="rId7"/>
    <sheet state="visible" name="Copy of Montly Stats" sheetId="4" r:id="rId8"/>
    <sheet state="visible" name="Delivery Tracking" sheetId="5" r:id="rId9"/>
    <sheet state="visible" name="Campaign Tracking" sheetId="6" r:id="rId10"/>
    <sheet state="visible" name="Vendor Directory" sheetId="7" r:id="rId11"/>
    <sheet state="visible" name="Vendors performance" sheetId="8" r:id="rId12"/>
    <sheet state="visible" name="Error log" sheetId="9" r:id="rId13"/>
    <sheet state="visible" name="HeadersRenamingPlan" sheetId="10" r:id="rId14"/>
    <sheet state="visible" name="Notes" sheetId="11" r:id="rId15"/>
    <sheet state="hidden" name="DailyDelivery" sheetId="12" r:id="rId16"/>
    <sheet state="hidden" name="Backend_Days" sheetId="13" r:id="rId17"/>
    <sheet state="hidden" name="Backend_Months" sheetId="14" r:id="rId18"/>
  </sheets>
  <definedNames>
    <definedName hidden="1" localSheetId="5" name="_xlnm._FilterDatabase">'Campaign Tracking'!$A$1:$Z$10</definedName>
    <definedName hidden="1" localSheetId="0" name="Z_78195E3A_2A5C_41E1_AF5C_12CB7F371569_.wvu.FilterData">All_Stats!$A$1:$P$14350</definedName>
    <definedName hidden="1" localSheetId="5" name="Z_78195E3A_2A5C_41E1_AF5C_12CB7F371569_.wvu.FilterData">'Campaign Tracking'!$A$1:$Z$10</definedName>
    <definedName hidden="1" localSheetId="0" name="Z_95368292_D41D_478D_9DE7_3EFC31DF7B84_.wvu.FilterData">All_Stats!$A$1:$P$14350</definedName>
    <definedName hidden="1" localSheetId="5" name="Z_95368292_D41D_478D_9DE7_3EFC31DF7B84_.wvu.FilterData">'Campaign Tracking'!$A$1:$Z$368</definedName>
    <definedName hidden="1" localSheetId="5" name="Z_29036699_C3DC_471A_A438_8D141F8E1DC0_.wvu.FilterData">'Campaign Tracking'!$A$1:$Z$368</definedName>
    <definedName hidden="1" localSheetId="0" name="Z_7199247D_2222_4C60_9DCF_E6AE00B2772D_.wvu.FilterData">All_Stats!$A$1:$P$14350</definedName>
    <definedName hidden="1" localSheetId="5" name="Z_7199247D_2222_4C60_9DCF_E6AE00B2772D_.wvu.FilterData">'Campaign Tracking'!$A$1:$Z$368</definedName>
    <definedName hidden="1" localSheetId="5" name="Z_A210BB35_E563_4F65_81D7_37C2E1B06BC1_.wvu.FilterData">'Campaign Tracking'!$A$1:$Z$368</definedName>
    <definedName hidden="1" localSheetId="0" name="Z_88134AB7_0272_4201_97F1_16E4AED3A742_.wvu.FilterData">All_Stats!$A$1:$P$14350</definedName>
    <definedName hidden="1" localSheetId="5" name="Z_88134AB7_0272_4201_97F1_16E4AED3A742_.wvu.FilterData">'Campaign Tracking'!$A$1:$Z$368</definedName>
    <definedName hidden="1" localSheetId="0" name="Z_39CBC46B_8E9A_4120_8855_5F3E56B1B501_.wvu.FilterData">All_Stats!$A$1:$P$14350</definedName>
    <definedName hidden="1" localSheetId="5" name="Z_39CBC46B_8E9A_4120_8855_5F3E56B1B501_.wvu.FilterData">'Campaign Tracking'!$A$1:$Z$10</definedName>
    <definedName hidden="1" localSheetId="0" name="Z_0A952D5C_FA46_4F3A_A637_01576F3869D6_.wvu.FilterData">All_Stats!$A$1:$P$14350</definedName>
    <definedName hidden="1" localSheetId="5" name="Z_0A952D5C_FA46_4F3A_A637_01576F3869D6_.wvu.FilterData">'Campaign Tracking'!$A$1:$Z$368</definedName>
    <definedName hidden="1" localSheetId="0" name="Z_2F959F2F_72EB_4DA6_AB1C_F617A64A2D8D_.wvu.FilterData">All_Stats!$A$1:$P$14350</definedName>
    <definedName hidden="1" localSheetId="4" name="Z_2F959F2F_72EB_4DA6_AB1C_F617A64A2D8D_.wvu.FilterData">'Delivery Tracking'!$A$1:$AH$129</definedName>
    <definedName hidden="1" localSheetId="5" name="Z_2F959F2F_72EB_4DA6_AB1C_F617A64A2D8D_.wvu.FilterData">'Campaign Tracking'!$A$1:$Z$368</definedName>
    <definedName hidden="1" localSheetId="9" name="Z_2F959F2F_72EB_4DA6_AB1C_F617A64A2D8D_.wvu.FilterData">HeadersRenamingPlan!$A$1:$Z$5</definedName>
    <definedName hidden="1" localSheetId="0" name="Z_56FC3389_EFBB_46D2_A484_2EBBA3934557_.wvu.FilterData">All_Stats!$A$1:$P$14350</definedName>
    <definedName hidden="1" localSheetId="5" name="Z_92CB849E_9E26_4127_B869_65FAD240A74D_.wvu.FilterData">'Campaign Tracking'!$A$1:$Z$10</definedName>
    <definedName hidden="1" localSheetId="9" name="Z_92CB849E_9E26_4127_B869_65FAD240A74D_.wvu.FilterData">HeadersRenamingPlan!$A$1:$Z$5</definedName>
    <definedName hidden="1" localSheetId="5" name="Z_011CCBF5_D684_4375_B0FA_10A09D14FC1C_.wvu.FilterData">'Campaign Tracking'!$A$1:$Z$368</definedName>
    <definedName hidden="1" localSheetId="9" name="Z_011CCBF5_D684_4375_B0FA_10A09D14FC1C_.wvu.FilterData">HeadersRenamingPlan!$A$1:$Z$5</definedName>
    <definedName hidden="1" localSheetId="0" name="Z_7A4E6CEF_8919_4493_8B2E_E407505070FA_.wvu.FilterData">All_Stats!$A$1:$P$14350</definedName>
    <definedName hidden="1" localSheetId="5" name="Z_7A4E6CEF_8919_4493_8B2E_E407505070FA_.wvu.FilterData">'Campaign Tracking'!$A$1:$Z$10</definedName>
  </definedNames>
  <calcPr/>
  <customWorkbookViews>
    <customWorkbookView activeSheetId="0" maximized="1" windowHeight="0" windowWidth="0" guid="{29036699-C3DC-471A-A438-8D141F8E1DC0}" name="MS"/>
    <customWorkbookView activeSheetId="0" maximized="1" windowHeight="0" windowWidth="0" guid="{92CB849E-9E26-4127-B869-65FAD240A74D}" name="Reea"/>
    <customWorkbookView activeSheetId="0" maximized="1" windowHeight="0" windowWidth="0" guid="{7199247D-2222-4C60-9DCF-E6AE00B2772D}" name="Filter 8"/>
    <customWorkbookView activeSheetId="0" maximized="1" windowHeight="0" windowWidth="0" guid="{56FC3389-EFBB-46D2-A484-2EBBA3934557}" name="Filter 9"/>
    <customWorkbookView activeSheetId="0" maximized="1" windowHeight="0" windowWidth="0" guid="{39CBC46B-8E9A-4120-8855-5F3E56B1B501}" name="Filter 6"/>
    <customWorkbookView activeSheetId="0" maximized="1" windowHeight="0" windowWidth="0" guid="{78195E3A-2A5C-41E1-AF5C-12CB7F371569}" name="Filter 7"/>
    <customWorkbookView activeSheetId="0" maximized="1" windowHeight="0" windowWidth="0" guid="{A210BB35-E563-4F65-81D7-37C2E1B06BC1}" name="Stacy"/>
    <customWorkbookView activeSheetId="0" maximized="1" windowHeight="0" windowWidth="0" guid="{88134AB7-0272-4201-97F1-16E4AED3A742}" name="Filter 4"/>
    <customWorkbookView activeSheetId="0" maximized="1" windowHeight="0" windowWidth="0" guid="{7A4E6CEF-8919-4493-8B2E-E407505070FA}" name="Filter 5"/>
    <customWorkbookView activeSheetId="0" maximized="1" windowHeight="0" windowWidth="0" guid="{011CCBF5-D684-4375-B0FA-10A09D14FC1C}" name="Yuliia"/>
    <customWorkbookView activeSheetId="0" maximized="1" windowHeight="0" windowWidth="0" guid="{0A952D5C-FA46-4F3A-A637-01576F3869D6}" name="Filter 2"/>
    <customWorkbookView activeSheetId="0" maximized="1" windowHeight="0" windowWidth="0" guid="{95368292-D41D-478D-9DE7-3EFC31DF7B84}" name="Filter 3"/>
    <customWorkbookView activeSheetId="0" maximized="1" windowHeight="0" windowWidth="0" guid="{2F959F2F-72EB-4DA6-AB1C-F617A64A2D8D}"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1">
      <text>
        <t xml:space="preserve">it's not as SUM of unique per vendor, it's just a total of unique campaigns during that month</t>
      </text>
    </comment>
    <comment authorId="0" ref="E203">
      <text>
        <t xml:space="preserve">+ 26 returned</t>
      </text>
    </comment>
    <comment authorId="0" ref="E204">
      <text>
        <t xml:space="preserve">+ 2 returned</t>
      </text>
    </comment>
    <comment authorId="0" ref="E205">
      <text>
        <t xml:space="preserve">+ 28 returned</t>
      </text>
    </comment>
    <comment authorId="0" ref="E209">
      <text>
        <t xml:space="preserve">+ 4 returned</t>
      </text>
    </comment>
    <comment authorId="0" ref="E220">
      <text>
        <t xml:space="preserve">+2 returned</t>
      </text>
    </comment>
    <comment authorId="0" ref="E225">
      <text>
        <t xml:space="preserve">+ 1 returned</t>
      </text>
    </comment>
    <comment authorId="0" ref="E228">
      <text>
        <t xml:space="preserve">+ 7 returned</t>
      </text>
    </comment>
    <comment authorId="0" ref="E251">
      <text>
        <t xml:space="preserve">+1 returned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=iferror(
if(K4="","",
DATEDIF(K4,Today(),"D")/DATEDIF(K4,O4,"D")),O4)
backup</t>
      </text>
    </comment>
    <comment authorId="0" ref="U1">
      <text>
        <t xml:space="preserve">WHERE B !=1 AND B !=7</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3">
      <text>
        <t xml:space="preserve">+30 LD needed</t>
      </text>
    </comment>
    <comment authorId="0" ref="B51">
      <text>
        <t xml:space="preserve">ZUNESIS</t>
      </text>
    </comment>
    <comment authorId="0" ref="B52">
      <text>
        <t xml:space="preserve">PDS</t>
      </text>
    </comment>
    <comment authorId="0" ref="D64">
      <text>
        <t xml:space="preserve">AMAP by 29 EOD</t>
      </text>
    </comment>
    <comment authorId="0" ref="D73">
      <text>
        <t xml:space="preserve">10.26.2021 - 60
11.19.2021 - 60</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
      <text>
        <t xml:space="preserve">AVG for 6 months</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client - ttil lvl</t>
      </text>
    </comment>
  </commentList>
</comments>
</file>

<file path=xl/sharedStrings.xml><?xml version="1.0" encoding="utf-8"?>
<sst xmlns="http://schemas.openxmlformats.org/spreadsheetml/2006/main" count="32965" uniqueCount="1508">
  <si>
    <t>CID</t>
  </si>
  <si>
    <t>Month</t>
  </si>
  <si>
    <t>Status</t>
  </si>
  <si>
    <t>DPO ID</t>
  </si>
  <si>
    <t>Category</t>
  </si>
  <si>
    <t>Goal</t>
  </si>
  <si>
    <t>Delivered</t>
  </si>
  <si>
    <t>Accepted</t>
  </si>
  <si>
    <t>Rejected</t>
  </si>
  <si>
    <t>Returned</t>
  </si>
  <si>
    <t>Pending</t>
  </si>
  <si>
    <t>Pending QA</t>
  </si>
  <si>
    <t>Left</t>
  </si>
  <si>
    <t>Unallocated</t>
  </si>
  <si>
    <t>Left to generate</t>
  </si>
  <si>
    <t>Campaign Type</t>
  </si>
  <si>
    <t>DC58772</t>
  </si>
  <si>
    <t>Overall</t>
  </si>
  <si>
    <t>Live</t>
  </si>
  <si>
    <t>T1</t>
  </si>
  <si>
    <t>AG</t>
  </si>
  <si>
    <t>Appointment Setting</t>
  </si>
  <si>
    <t>DC30001</t>
  </si>
  <si>
    <t>Total</t>
  </si>
  <si>
    <t>DC30002</t>
  </si>
  <si>
    <t>DC30003</t>
  </si>
  <si>
    <t>DC30004</t>
  </si>
  <si>
    <t>US</t>
  </si>
  <si>
    <t>DC30005</t>
  </si>
  <si>
    <t>DC30006</t>
  </si>
  <si>
    <t>V4</t>
  </si>
  <si>
    <t>ANZ</t>
  </si>
  <si>
    <t>DC30007</t>
  </si>
  <si>
    <t>V38</t>
  </si>
  <si>
    <t>DC30008</t>
  </si>
  <si>
    <t>DC30009</t>
  </si>
  <si>
    <t>DC30010</t>
  </si>
  <si>
    <t>DC30011</t>
  </si>
  <si>
    <t>DC30012</t>
  </si>
  <si>
    <t>DC30013</t>
  </si>
  <si>
    <t>DC30014</t>
  </si>
  <si>
    <t>DC30015</t>
  </si>
  <si>
    <t>DC30016</t>
  </si>
  <si>
    <t>DC30017</t>
  </si>
  <si>
    <t>DC30018</t>
  </si>
  <si>
    <t>DC30019</t>
  </si>
  <si>
    <t>Southeast Asia</t>
  </si>
  <si>
    <t>DC30020</t>
  </si>
  <si>
    <t>DC30021</t>
  </si>
  <si>
    <t>DC30022</t>
  </si>
  <si>
    <t>APAC</t>
  </si>
  <si>
    <t>DC30023</t>
  </si>
  <si>
    <t>DC30024</t>
  </si>
  <si>
    <t>DC30025</t>
  </si>
  <si>
    <t>DC30026</t>
  </si>
  <si>
    <t>DC30027</t>
  </si>
  <si>
    <t>DC30028</t>
  </si>
  <si>
    <t>Closed</t>
  </si>
  <si>
    <t xml:space="preserve">ASEAN </t>
  </si>
  <si>
    <t>DC30029</t>
  </si>
  <si>
    <t>DC30030</t>
  </si>
  <si>
    <t>DC30031</t>
  </si>
  <si>
    <t>DC30032</t>
  </si>
  <si>
    <t>DC30033</t>
  </si>
  <si>
    <t>DC30034</t>
  </si>
  <si>
    <t>DC30035</t>
  </si>
  <si>
    <t>DC30036</t>
  </si>
  <si>
    <t>MQL</t>
  </si>
  <si>
    <t>DC30037</t>
  </si>
  <si>
    <t>T2</t>
  </si>
  <si>
    <t>DC30038</t>
  </si>
  <si>
    <t>DC30039</t>
  </si>
  <si>
    <t>DC30040</t>
  </si>
  <si>
    <t>DC30041</t>
  </si>
  <si>
    <t>DC30042</t>
  </si>
  <si>
    <t>DC30043</t>
  </si>
  <si>
    <t>DC30044</t>
  </si>
  <si>
    <t>DC30045</t>
  </si>
  <si>
    <t>DC30046</t>
  </si>
  <si>
    <t>V36</t>
  </si>
  <si>
    <t>Survey</t>
  </si>
  <si>
    <t>DC30047</t>
  </si>
  <si>
    <t>DC30048</t>
  </si>
  <si>
    <t>DC30049</t>
  </si>
  <si>
    <t>DC30050</t>
  </si>
  <si>
    <t>DC30051</t>
  </si>
  <si>
    <t>DC30052</t>
  </si>
  <si>
    <t>DC30053</t>
  </si>
  <si>
    <t>DC30054</t>
  </si>
  <si>
    <t>DC30055</t>
  </si>
  <si>
    <t>DC30056</t>
  </si>
  <si>
    <t>V20</t>
  </si>
  <si>
    <t>Custom Questions</t>
  </si>
  <si>
    <t>DC30057</t>
  </si>
  <si>
    <t>DC30058</t>
  </si>
  <si>
    <t>DC30059</t>
  </si>
  <si>
    <t>EU</t>
  </si>
  <si>
    <t>DC30060</t>
  </si>
  <si>
    <t>DC30061</t>
  </si>
  <si>
    <t>DC30062</t>
  </si>
  <si>
    <t>DC30063</t>
  </si>
  <si>
    <t>DC30064</t>
  </si>
  <si>
    <t>DC30065</t>
  </si>
  <si>
    <t>DC30066</t>
  </si>
  <si>
    <t>DC30067</t>
  </si>
  <si>
    <t>DC30068</t>
  </si>
  <si>
    <t>DC30069</t>
  </si>
  <si>
    <t>DC30070</t>
  </si>
  <si>
    <t>DC30071</t>
  </si>
  <si>
    <t>V39</t>
  </si>
  <si>
    <t>Hong Kong</t>
  </si>
  <si>
    <t>CALL Back</t>
  </si>
  <si>
    <t>DC30072</t>
  </si>
  <si>
    <t>Paused</t>
  </si>
  <si>
    <t>Australia</t>
  </si>
  <si>
    <t>DC30073</t>
  </si>
  <si>
    <t>Singapore</t>
  </si>
  <si>
    <t>DC30074</t>
  </si>
  <si>
    <t>Indonesia</t>
  </si>
  <si>
    <t>DC30075</t>
  </si>
  <si>
    <t>Malaysia</t>
  </si>
  <si>
    <t>DC30076</t>
  </si>
  <si>
    <t>Philippines</t>
  </si>
  <si>
    <t>Thailand</t>
  </si>
  <si>
    <t>DC30077</t>
  </si>
  <si>
    <t>India</t>
  </si>
  <si>
    <t>DC30078</t>
  </si>
  <si>
    <t>V2</t>
  </si>
  <si>
    <t>DC30079</t>
  </si>
  <si>
    <t>DC30080</t>
  </si>
  <si>
    <t>DC30081</t>
  </si>
  <si>
    <t>DC30082</t>
  </si>
  <si>
    <t>DC30083</t>
  </si>
  <si>
    <t>DC30084</t>
  </si>
  <si>
    <t>DC30085</t>
  </si>
  <si>
    <t>Pre</t>
  </si>
  <si>
    <t>DC30086</t>
  </si>
  <si>
    <t>DC30087</t>
  </si>
  <si>
    <t>DC30088</t>
  </si>
  <si>
    <t>DC30089</t>
  </si>
  <si>
    <t>DC30090</t>
  </si>
  <si>
    <t>DC30091</t>
  </si>
  <si>
    <t>DC30092</t>
  </si>
  <si>
    <t>DC30093</t>
  </si>
  <si>
    <t>DC30094</t>
  </si>
  <si>
    <t>DC30095</t>
  </si>
  <si>
    <t>BANT</t>
  </si>
  <si>
    <t>IN</t>
  </si>
  <si>
    <t>Cancelled</t>
  </si>
  <si>
    <t>AU</t>
  </si>
  <si>
    <t>SG</t>
  </si>
  <si>
    <t>LATAM</t>
  </si>
  <si>
    <t>Primary</t>
  </si>
  <si>
    <t>Soft BANT</t>
  </si>
  <si>
    <t>Secondary</t>
  </si>
  <si>
    <t>EMEA</t>
  </si>
  <si>
    <t>USA</t>
  </si>
  <si>
    <t>V3</t>
  </si>
  <si>
    <t>Malaysia &amp; Singapore</t>
  </si>
  <si>
    <t>v20</t>
  </si>
  <si>
    <t>Product Lifecycle</t>
  </si>
  <si>
    <t>How to achieve</t>
  </si>
  <si>
    <t>ALL</t>
  </si>
  <si>
    <t>DACH</t>
  </si>
  <si>
    <t>V5</t>
  </si>
  <si>
    <t>CA</t>
  </si>
  <si>
    <t>Email Marketing</t>
  </si>
  <si>
    <t>v5</t>
  </si>
  <si>
    <t>Canada</t>
  </si>
  <si>
    <t>UK</t>
  </si>
  <si>
    <t>All</t>
  </si>
  <si>
    <t>UKI</t>
  </si>
  <si>
    <t>V6</t>
  </si>
  <si>
    <t>US,CA</t>
  </si>
  <si>
    <t>ES</t>
  </si>
  <si>
    <t>n/a</t>
  </si>
  <si>
    <t>NL</t>
  </si>
  <si>
    <t>DE</t>
  </si>
  <si>
    <t>Israel</t>
  </si>
  <si>
    <t>Spain</t>
  </si>
  <si>
    <t>FR</t>
  </si>
  <si>
    <t>Portugal</t>
  </si>
  <si>
    <t>SKor</t>
  </si>
  <si>
    <t>MY</t>
  </si>
  <si>
    <t>Webinar</t>
  </si>
  <si>
    <t>Latin America</t>
  </si>
  <si>
    <t>UAE, Saudi Arabia, Qatar</t>
  </si>
  <si>
    <t>Thailand + Malaysia + Australia</t>
  </si>
  <si>
    <t>Sweden</t>
  </si>
  <si>
    <t>Denmark</t>
  </si>
  <si>
    <t>Norway</t>
  </si>
  <si>
    <t>Finland</t>
  </si>
  <si>
    <t>Netherlands</t>
  </si>
  <si>
    <t>Belgium</t>
  </si>
  <si>
    <t>SK</t>
  </si>
  <si>
    <t>WP</t>
  </si>
  <si>
    <t>NAC</t>
  </si>
  <si>
    <t>Germany</t>
  </si>
  <si>
    <t>all</t>
  </si>
  <si>
    <t>Financial Services Accounts</t>
  </si>
  <si>
    <t>Insurance Accounts</t>
  </si>
  <si>
    <t>BeNeLux</t>
  </si>
  <si>
    <t>Italy</t>
  </si>
  <si>
    <t>DU58906</t>
  </si>
  <si>
    <t>DF58975-4</t>
  </si>
  <si>
    <t>DF58976-2</t>
  </si>
  <si>
    <t>DF58975-3</t>
  </si>
  <si>
    <t>DU57931</t>
  </si>
  <si>
    <t>France</t>
  </si>
  <si>
    <t>Benelux</t>
  </si>
  <si>
    <t>DF58976-1</t>
  </si>
  <si>
    <t>DU58379</t>
  </si>
  <si>
    <t>PL/NL</t>
  </si>
  <si>
    <t>DC58282</t>
  </si>
  <si>
    <t>DU58836</t>
  </si>
  <si>
    <t>DU58246</t>
  </si>
  <si>
    <t>XA58863</t>
  </si>
  <si>
    <t>DU58815</t>
  </si>
  <si>
    <t>DU58826</t>
  </si>
  <si>
    <t>DU58810</t>
  </si>
  <si>
    <t>DF55236-2</t>
  </si>
  <si>
    <t>DF55236-3</t>
  </si>
  <si>
    <t>PS04435_EM</t>
  </si>
  <si>
    <t>PS04434_EM</t>
  </si>
  <si>
    <t>DU55432</t>
  </si>
  <si>
    <t>DA58707</t>
  </si>
  <si>
    <t>XA58421</t>
  </si>
  <si>
    <t>DU58171</t>
  </si>
  <si>
    <t>XU58450</t>
  </si>
  <si>
    <t>XU58450-1 UK &amp; Germany</t>
  </si>
  <si>
    <t>XU58450-2 North America &amp; Canada</t>
  </si>
  <si>
    <t>V40</t>
  </si>
  <si>
    <t>DC56568-3</t>
  </si>
  <si>
    <t>DC56980</t>
  </si>
  <si>
    <t>DC56980-1</t>
  </si>
  <si>
    <t>DC56980-2</t>
  </si>
  <si>
    <t>DC56980-3</t>
  </si>
  <si>
    <t>DU58938_2</t>
  </si>
  <si>
    <t>SA59137</t>
  </si>
  <si>
    <t>DU59138</t>
  </si>
  <si>
    <t>DU58938_1</t>
  </si>
  <si>
    <t>DU58938_4</t>
  </si>
  <si>
    <t>DU58938-3_EM</t>
  </si>
  <si>
    <t>DU58938-4</t>
  </si>
  <si>
    <t>DU58938_3</t>
  </si>
  <si>
    <t>DA58481</t>
  </si>
  <si>
    <t>SA57677</t>
  </si>
  <si>
    <t>XA58987</t>
  </si>
  <si>
    <t>SG/ID</t>
  </si>
  <si>
    <t>DC58854-3</t>
  </si>
  <si>
    <t>US/CA</t>
  </si>
  <si>
    <t>DC58854-4</t>
  </si>
  <si>
    <t>DC58854-1</t>
  </si>
  <si>
    <t>DC58854-2</t>
  </si>
  <si>
    <t>XU58342</t>
  </si>
  <si>
    <t>DF58548</t>
  </si>
  <si>
    <t>XR58225</t>
  </si>
  <si>
    <t>DA58365</t>
  </si>
  <si>
    <t>DF58381</t>
  </si>
  <si>
    <t>DU58644</t>
  </si>
  <si>
    <t>Ital</t>
  </si>
  <si>
    <t>CC58098</t>
  </si>
  <si>
    <t>Fed Civil/DoD</t>
  </si>
  <si>
    <t>State and Local Gov</t>
  </si>
  <si>
    <t>SEA</t>
  </si>
  <si>
    <t>HK</t>
  </si>
  <si>
    <t>XU58468-1 - UK &amp; Germany</t>
  </si>
  <si>
    <t>XU58468-2 North America &amp; Canada</t>
  </si>
  <si>
    <t>XA58536-1 - India - Palo Alto</t>
  </si>
  <si>
    <t>XA58536-2 - India – Redis</t>
  </si>
  <si>
    <t>XA58536-3 - India – Elastic</t>
  </si>
  <si>
    <t>XA58536-4 - APAC - Palo Alto</t>
  </si>
  <si>
    <t>XA58536-5 - APAC – Redis</t>
  </si>
  <si>
    <t>XA58536-6 - APAC – Elastic</t>
  </si>
  <si>
    <t xml:space="preserve">EMEA </t>
  </si>
  <si>
    <t>New England</t>
  </si>
  <si>
    <t>Los Angeles county, Orange County, San Diego county</t>
  </si>
  <si>
    <t>New York</t>
  </si>
  <si>
    <t>MD/VA</t>
  </si>
  <si>
    <t>NC/SC</t>
  </si>
  <si>
    <t>IL/WI/MI/OH</t>
  </si>
  <si>
    <t>WA/CA/NV</t>
  </si>
  <si>
    <t>WA/KS</t>
  </si>
  <si>
    <t>UAE</t>
  </si>
  <si>
    <t>South Africa</t>
  </si>
  <si>
    <t>Brazil</t>
  </si>
  <si>
    <t>Singapore, Indonesia, Malaysia</t>
  </si>
  <si>
    <t>CH</t>
  </si>
  <si>
    <t>TAL-ABMXLS</t>
  </si>
  <si>
    <t>ZI priority list</t>
  </si>
  <si>
    <t>Mid Market Enterprise</t>
  </si>
  <si>
    <t>Large Enterprise</t>
  </si>
  <si>
    <t>ML</t>
  </si>
  <si>
    <t>SQL</t>
  </si>
  <si>
    <t>DU58248-1 - France</t>
  </si>
  <si>
    <t xml:space="preserve">DU58248-2 - Germany </t>
  </si>
  <si>
    <t>DU58248-3 - BeNeLux</t>
  </si>
  <si>
    <t xml:space="preserve">DU58248-4 - Scandinavia (Denmark, Norway, and Sweden) </t>
  </si>
  <si>
    <t>DU58248-6  - UKI</t>
  </si>
  <si>
    <t>DU58248-7  - South Africa</t>
  </si>
  <si>
    <t xml:space="preserve">DU58248-8 - Poland </t>
  </si>
  <si>
    <t>DU58248-9 - Turkey</t>
  </si>
  <si>
    <t>DU58248-10  - Morocco</t>
  </si>
  <si>
    <t>DU58248-11 - Egypt</t>
  </si>
  <si>
    <t xml:space="preserve">DU58248-12  - Italy </t>
  </si>
  <si>
    <t xml:space="preserve">DU58248-13- Spain </t>
  </si>
  <si>
    <t xml:space="preserve">DU58248-14 -  Kazakhstan </t>
  </si>
  <si>
    <t>DU58248-15- Baltics (Estonia, Latvia, and Lithuania)</t>
  </si>
  <si>
    <t xml:space="preserve">DU58248-16 - UAE </t>
  </si>
  <si>
    <t xml:space="preserve">DU58248-17 - Saudi Arabia </t>
  </si>
  <si>
    <t>DU58248-18 - Nigeria, Namibia, Tanzania, Zambia, Angola-</t>
  </si>
  <si>
    <t>XA58429-1 - MM Tab 1</t>
  </si>
  <si>
    <t>XA58429-2 - GM Tab 2</t>
  </si>
  <si>
    <t>V35</t>
  </si>
  <si>
    <t>Poland</t>
  </si>
  <si>
    <t>Turkey</t>
  </si>
  <si>
    <t>Nordics</t>
  </si>
  <si>
    <t>Manufacturing</t>
  </si>
  <si>
    <t>Biotech/Pharma</t>
  </si>
  <si>
    <t>FinServ</t>
  </si>
  <si>
    <t>Philippines, Indonesia, Thailand, Malaysia, Singapore</t>
  </si>
  <si>
    <t>China, South Korea, Japan</t>
  </si>
  <si>
    <t>Manager</t>
  </si>
  <si>
    <t>VP &amp; C Suite</t>
  </si>
  <si>
    <t>Director</t>
  </si>
  <si>
    <t>C-Suite</t>
  </si>
  <si>
    <t>Individual Contributor</t>
  </si>
  <si>
    <t>VP &amp; C-Suite</t>
  </si>
  <si>
    <t>Consumer Goods</t>
  </si>
  <si>
    <t>Telecom</t>
  </si>
  <si>
    <t>Mexico</t>
  </si>
  <si>
    <t>Auckland</t>
  </si>
  <si>
    <t>LIVE EVENT</t>
  </si>
  <si>
    <t>Melbourne</t>
  </si>
  <si>
    <t>Bangkok</t>
  </si>
  <si>
    <t>Sydney</t>
  </si>
  <si>
    <t xml:space="preserve">Singapore </t>
  </si>
  <si>
    <t>Jakarta</t>
  </si>
  <si>
    <t>Arabian</t>
  </si>
  <si>
    <t>Hong Kong + Macau</t>
  </si>
  <si>
    <t>India + Bangladesh</t>
  </si>
  <si>
    <t>New Zealand</t>
  </si>
  <si>
    <t>Vietnam</t>
  </si>
  <si>
    <t>NYC</t>
  </si>
  <si>
    <t>PS1093-4</t>
  </si>
  <si>
    <t>PS1093-5</t>
  </si>
  <si>
    <t>US&amp;CA</t>
  </si>
  <si>
    <t>US (CGS NAC)</t>
  </si>
  <si>
    <t>US (VP NAC)</t>
  </si>
  <si>
    <t>UK (CGS NAC)</t>
  </si>
  <si>
    <t>UK (VP NAC)</t>
  </si>
  <si>
    <t>VP &amp; C-lvl</t>
  </si>
  <si>
    <t>Engineer, Architect</t>
  </si>
  <si>
    <t>USA &amp; Canada</t>
  </si>
  <si>
    <t>Europe</t>
  </si>
  <si>
    <t>Call Back - 4 CQs</t>
  </si>
  <si>
    <t>3 CQs</t>
  </si>
  <si>
    <t>DU55924-1: France</t>
  </si>
  <si>
    <t>DU55924-5: Greece</t>
  </si>
  <si>
    <t>DU55924-8: Poland</t>
  </si>
  <si>
    <t>DU55924-10: Morocco</t>
  </si>
  <si>
    <t>DU55924-13: Spain</t>
  </si>
  <si>
    <t>DU55924-14: Kazakhstan</t>
  </si>
  <si>
    <t>DU55924-15: Baltics</t>
  </si>
  <si>
    <t>DU55924-17: Saudi Arabia</t>
  </si>
  <si>
    <t>DU55924-19: Nigeria, Namibia, Tanzania, Zambia, Angola</t>
  </si>
  <si>
    <t>DU55924-18: Gulf</t>
  </si>
  <si>
    <t>DU55924-16: UAE</t>
  </si>
  <si>
    <t>DU55924-2: DACH</t>
  </si>
  <si>
    <t>DU55924-3: Benelux</t>
  </si>
  <si>
    <t>DU55924-4: Scandinavia</t>
  </si>
  <si>
    <t>DU55924-6: UKI</t>
  </si>
  <si>
    <t>DU55924-7: South Africa</t>
  </si>
  <si>
    <t>DU55924-9: Turkey</t>
  </si>
  <si>
    <t>DU55924-11: Egypt</t>
  </si>
  <si>
    <t>DU55924-12: Italy</t>
  </si>
  <si>
    <t>US&amp;EU</t>
  </si>
  <si>
    <t>Ca</t>
  </si>
  <si>
    <t>XU53919 - 1</t>
  </si>
  <si>
    <t>XU53919 - 2</t>
  </si>
  <si>
    <t>XU53919 - 3</t>
  </si>
  <si>
    <t>XU53919 - 4</t>
  </si>
  <si>
    <t>XU53919 - 5</t>
  </si>
  <si>
    <t>XU53919 - 6</t>
  </si>
  <si>
    <t>XU53919 - 7</t>
  </si>
  <si>
    <t>Fr</t>
  </si>
  <si>
    <t>SW</t>
  </si>
  <si>
    <t>FSI</t>
  </si>
  <si>
    <t>Retail</t>
  </si>
  <si>
    <t>Healthcare</t>
  </si>
  <si>
    <t>SK - Digital Ship</t>
  </si>
  <si>
    <t>SK - DSLM Change</t>
  </si>
  <si>
    <t>SK - Marine PLM</t>
  </si>
  <si>
    <t>NZ</t>
  </si>
  <si>
    <t>In</t>
  </si>
  <si>
    <t>Healthcare_Switzerland</t>
  </si>
  <si>
    <t>Automotive_Germany</t>
  </si>
  <si>
    <t>Healthcare_Germany</t>
  </si>
  <si>
    <t>Banking_Germany</t>
  </si>
  <si>
    <t>Manufacturing_Germany</t>
  </si>
  <si>
    <t>Retail_Germany</t>
  </si>
  <si>
    <t>Public Transport_Germany</t>
  </si>
  <si>
    <t>Finance_Switzerland</t>
  </si>
  <si>
    <t>Central America</t>
  </si>
  <si>
    <t>Middle East</t>
  </si>
  <si>
    <t>Israel &amp; UAE</t>
  </si>
  <si>
    <t>Austria</t>
  </si>
  <si>
    <t>v2</t>
  </si>
  <si>
    <t>MEA</t>
  </si>
  <si>
    <t>SKorea</t>
  </si>
  <si>
    <t>SA58349-1 - US</t>
  </si>
  <si>
    <t>SA58349-2 - EMEA</t>
  </si>
  <si>
    <t>SA58349-3 - APAC</t>
  </si>
  <si>
    <t>Japan</t>
  </si>
  <si>
    <t>DF58061-1</t>
  </si>
  <si>
    <t>DF58061-2</t>
  </si>
  <si>
    <t>DF58061-3</t>
  </si>
  <si>
    <t>V24</t>
  </si>
  <si>
    <t>NE</t>
  </si>
  <si>
    <t>MX</t>
  </si>
  <si>
    <t>HK - Microsoft XDR</t>
  </si>
  <si>
    <t>TW - Microsoft XDR</t>
  </si>
  <si>
    <t>HK - Crowdstrike</t>
  </si>
  <si>
    <t>TW - Crowdstrike</t>
  </si>
  <si>
    <t>HK - SentinelOne</t>
  </si>
  <si>
    <t>TW - SentinelOne</t>
  </si>
  <si>
    <t>HK - Cybereason</t>
  </si>
  <si>
    <t>TW - Cybereason</t>
  </si>
  <si>
    <t>TW - VMware Carbon Black</t>
  </si>
  <si>
    <t>HK - VMware Carbon Black</t>
  </si>
  <si>
    <t>Japan - Microsoft XDR</t>
  </si>
  <si>
    <t>Japan - Crowdstrike</t>
  </si>
  <si>
    <t>Japan - SentinelOne</t>
  </si>
  <si>
    <t>Japan - Cybereason</t>
  </si>
  <si>
    <t>Japan - VMware Carbon Black</t>
  </si>
  <si>
    <t>ANZ - Microsoft XDR</t>
  </si>
  <si>
    <t>ID, SG, MY - Microsoft XDR</t>
  </si>
  <si>
    <t>India - Microsoft XDR</t>
  </si>
  <si>
    <t>ANZ - Crowdstrike</t>
  </si>
  <si>
    <t>ID, SG, MY - Crowdstrike</t>
  </si>
  <si>
    <t>India - Crowdstrike</t>
  </si>
  <si>
    <t>ANZ - SentinelOne</t>
  </si>
  <si>
    <t>ID, SG, MY - SentinelOne</t>
  </si>
  <si>
    <t>India - SentinelOne</t>
  </si>
  <si>
    <t>ANZ - Cybereason</t>
  </si>
  <si>
    <t>ID, SG, MY - Cybereason</t>
  </si>
  <si>
    <t>India - Cybereason</t>
  </si>
  <si>
    <t>ID, SG, MY - VMware Carbon Black</t>
  </si>
  <si>
    <t>India - VMware Carbon Black</t>
  </si>
  <si>
    <t>United Kingdom</t>
  </si>
  <si>
    <t>Ireland</t>
  </si>
  <si>
    <t>FL</t>
  </si>
  <si>
    <t>V15</t>
  </si>
  <si>
    <t>DF57689-2</t>
  </si>
  <si>
    <t>DF57689-4</t>
  </si>
  <si>
    <t>DF57689-5</t>
  </si>
  <si>
    <t>Allocation 1</t>
  </si>
  <si>
    <t>Allocation 2</t>
  </si>
  <si>
    <t>It</t>
  </si>
  <si>
    <t>BR</t>
  </si>
  <si>
    <t>XR57532-1</t>
  </si>
  <si>
    <t>XR57532-2</t>
  </si>
  <si>
    <t>XR57532-3</t>
  </si>
  <si>
    <t>Sg</t>
  </si>
  <si>
    <t>UK, NL, DE</t>
  </si>
  <si>
    <t>AU, NZ, SG</t>
  </si>
  <si>
    <t>ID</t>
  </si>
  <si>
    <t>JAPAC</t>
  </si>
  <si>
    <t>IT</t>
  </si>
  <si>
    <t>Current Volume Status</t>
  </si>
  <si>
    <t>N - LIVE</t>
  </si>
  <si>
    <t>N - Paused</t>
  </si>
  <si>
    <t>Goal - LIVE</t>
  </si>
  <si>
    <t>Accepted - LIVE</t>
  </si>
  <si>
    <t>Returns</t>
  </si>
  <si>
    <t>Pending - LIVE</t>
  </si>
  <si>
    <t>Pending - Paused</t>
  </si>
  <si>
    <t>Custom questions</t>
  </si>
  <si>
    <t>Monthly Progress - EM &amp; DPO</t>
  </si>
  <si>
    <t>Rejection Rate</t>
  </si>
  <si>
    <t>N Campaigns</t>
  </si>
  <si>
    <t>N Vendors</t>
  </si>
  <si>
    <t>Monthly Progress - DPO</t>
  </si>
  <si>
    <t>Monthly Progress - EM</t>
  </si>
  <si>
    <t>Email marketing</t>
  </si>
  <si>
    <t>Vendor ID</t>
  </si>
  <si>
    <t>Vendor Name</t>
  </si>
  <si>
    <t>N Unique CIDS</t>
  </si>
  <si>
    <t>Coleda</t>
  </si>
  <si>
    <t>APAC TEAM</t>
  </si>
  <si>
    <t>Data Science IRC</t>
  </si>
  <si>
    <t>Phillipines Team</t>
  </si>
  <si>
    <t>EvolveBPM</t>
  </si>
  <si>
    <t>Total N Unique Cids</t>
  </si>
  <si>
    <t>V1</t>
  </si>
  <si>
    <t>V9</t>
  </si>
  <si>
    <t>V10</t>
  </si>
  <si>
    <t>V11</t>
  </si>
  <si>
    <t>V13</t>
  </si>
  <si>
    <t>V17</t>
  </si>
  <si>
    <t>V19</t>
  </si>
  <si>
    <t>V22</t>
  </si>
  <si>
    <t>V23</t>
  </si>
  <si>
    <t>V27</t>
  </si>
  <si>
    <t>NOT Email marketing</t>
  </si>
  <si>
    <t>V26</t>
  </si>
  <si>
    <t>V28</t>
  </si>
  <si>
    <t>V29</t>
  </si>
  <si>
    <t>V30</t>
  </si>
  <si>
    <t>V31</t>
  </si>
  <si>
    <t>V33</t>
  </si>
  <si>
    <t>V34</t>
  </si>
  <si>
    <t>Bython Media</t>
  </si>
  <si>
    <t xml:space="preserve">Excelsior Research </t>
  </si>
  <si>
    <t>VLMS Global</t>
  </si>
  <si>
    <t>Nov returns</t>
  </si>
  <si>
    <t xml:space="preserve"> IN47681</t>
  </si>
  <si>
    <t xml:space="preserve">DC13994 </t>
  </si>
  <si>
    <t>DC47315</t>
  </si>
  <si>
    <t xml:space="preserve">DU47900 </t>
  </si>
  <si>
    <t>XR47287</t>
  </si>
  <si>
    <t>DC47757</t>
  </si>
  <si>
    <t>DU14576</t>
  </si>
  <si>
    <t xml:space="preserve">XU47704
</t>
  </si>
  <si>
    <t>Manlitics</t>
  </si>
  <si>
    <t>Direct B2B Media</t>
  </si>
  <si>
    <t>V37</t>
  </si>
  <si>
    <t>Intent Amplify</t>
  </si>
  <si>
    <t>Excelsior Research</t>
  </si>
  <si>
    <t>returns</t>
  </si>
  <si>
    <t>sum</t>
  </si>
  <si>
    <t>Arcaidea</t>
  </si>
  <si>
    <t>Techno5Media</t>
  </si>
  <si>
    <t>Sharp BPO</t>
  </si>
  <si>
    <t>Resolute B2B</t>
  </si>
  <si>
    <t>VRSM Lead Magnet</t>
  </si>
  <si>
    <t>AdvertMarketers</t>
  </si>
  <si>
    <t>Brandvids</t>
  </si>
  <si>
    <t>Vereigen Media</t>
  </si>
  <si>
    <t>Charlotte Technologies</t>
  </si>
  <si>
    <t>VSynergize</t>
  </si>
  <si>
    <t>Direct B2B Media Enterprises</t>
  </si>
  <si>
    <t>V7</t>
  </si>
  <si>
    <t>Markable Solutions</t>
  </si>
  <si>
    <t>RETURNS</t>
  </si>
  <si>
    <t>returns missing</t>
  </si>
  <si>
    <t>Sales Lead Solution</t>
  </si>
  <si>
    <t>CQ</t>
  </si>
  <si>
    <t>SL - Delivery Chain</t>
  </si>
  <si>
    <t>Vendor name</t>
  </si>
  <si>
    <t>Time Passed</t>
  </si>
  <si>
    <t>% leads accepted</t>
  </si>
  <si>
    <t>% leads rejected</t>
  </si>
  <si>
    <t>% leads delivered</t>
  </si>
  <si>
    <t>Allocation (Goal)</t>
  </si>
  <si>
    <t>Start date</t>
  </si>
  <si>
    <t>Total delivered</t>
  </si>
  <si>
    <t>Total Accepted</t>
  </si>
  <si>
    <t>LEFT</t>
  </si>
  <si>
    <t>Deadline</t>
  </si>
  <si>
    <t>Phone script approval</t>
  </si>
  <si>
    <t>Campaign Status</t>
  </si>
  <si>
    <t>Comments</t>
  </si>
  <si>
    <t>INFUSEmedia</t>
  </si>
  <si>
    <t>APAC team</t>
  </si>
  <si>
    <t>APPOINTMENT SETTING</t>
  </si>
  <si>
    <t>Campaign 1</t>
  </si>
  <si>
    <t>Campaign 2</t>
  </si>
  <si>
    <t>DA58926</t>
  </si>
  <si>
    <t>Campaign 3</t>
  </si>
  <si>
    <t>DA58369_AG</t>
  </si>
  <si>
    <t>Campaign 4</t>
  </si>
  <si>
    <t>DA56971_AG</t>
  </si>
  <si>
    <t>N/A</t>
  </si>
  <si>
    <t>Campaign 5</t>
  </si>
  <si>
    <t>DC59852</t>
  </si>
  <si>
    <t>Campaign 6</t>
  </si>
  <si>
    <t>DA59765</t>
  </si>
  <si>
    <t>Campaign 7</t>
  </si>
  <si>
    <t>DU59745</t>
  </si>
  <si>
    <t>DPO PLATFORM</t>
  </si>
  <si>
    <t>Campaign 8</t>
  </si>
  <si>
    <t>DC59555</t>
  </si>
  <si>
    <t>DC59572</t>
  </si>
  <si>
    <t>XU59410</t>
  </si>
  <si>
    <t>Campaign 9</t>
  </si>
  <si>
    <t>XU59178</t>
  </si>
  <si>
    <t>Campaign 10</t>
  </si>
  <si>
    <t xml:space="preserve">DA59236 </t>
  </si>
  <si>
    <t>DC59347</t>
  </si>
  <si>
    <t>DA59590</t>
  </si>
  <si>
    <t>XU59646</t>
  </si>
  <si>
    <t>Client</t>
  </si>
  <si>
    <t>Cid</t>
  </si>
  <si>
    <t>Master ID</t>
  </si>
  <si>
    <t>DPO Goal</t>
  </si>
  <si>
    <t>Start Date</t>
  </si>
  <si>
    <t>Comment</t>
  </si>
  <si>
    <t xml:space="preserve">% Time passed </t>
  </si>
  <si>
    <t>% Accepted</t>
  </si>
  <si>
    <t>% Rejected</t>
  </si>
  <si>
    <t>% Delivered</t>
  </si>
  <si>
    <t>Pacing</t>
  </si>
  <si>
    <t>Assigned</t>
  </si>
  <si>
    <t># vendors</t>
  </si>
  <si>
    <t>Assigned date</t>
  </si>
  <si>
    <t>Responsible CC</t>
  </si>
  <si>
    <t>Responsible LD</t>
  </si>
  <si>
    <t>Pre treshold&gt;</t>
  </si>
  <si>
    <t>Client 1</t>
  </si>
  <si>
    <t>1KaslyGrfE4S1Y6aynBUg0w-_BO-XAkxNmxXbd_BBqT8</t>
  </si>
  <si>
    <t>YES</t>
  </si>
  <si>
    <t>Name Surname</t>
  </si>
  <si>
    <t>Client 2</t>
  </si>
  <si>
    <t>no req</t>
  </si>
  <si>
    <t>DPO PLATFORM - statuses upd 3/4</t>
  </si>
  <si>
    <t>Client 3</t>
  </si>
  <si>
    <r>
      <rPr>
        <rFont val="Arial"/>
        <color theme="1"/>
      </rPr>
      <t>T1, V2, ddl 3/15,</t>
    </r>
    <r>
      <rPr>
        <rFont val="Arial"/>
        <b/>
        <color theme="1"/>
      </rPr>
      <t xml:space="preserve"> </t>
    </r>
    <r>
      <rPr>
        <rFont val="Arial"/>
        <color theme="1"/>
      </rPr>
      <t>cq instead of</t>
    </r>
    <r>
      <rPr>
        <rFont val="Arial"/>
        <b/>
        <color theme="1"/>
      </rPr>
      <t xml:space="preserve"> </t>
    </r>
    <r>
      <rPr>
        <rFont val="Arial"/>
        <color theme="1"/>
      </rPr>
      <t>NAC-2/27, feedback 2/29, slow CC</t>
    </r>
  </si>
  <si>
    <t>T1, V4, nac doesn't match geo DDL 3/15</t>
  </si>
  <si>
    <t>Client 4</t>
  </si>
  <si>
    <r>
      <rPr>
        <rFont val="Arial"/>
        <color theme="1"/>
      </rPr>
      <t>T1, small nac+Dir;</t>
    </r>
    <r>
      <rPr>
        <rFont val="Arial"/>
        <b/>
        <color theme="1"/>
      </rPr>
      <t xml:space="preserve"> contacts sent 3/6, awaiting NAC</t>
    </r>
  </si>
  <si>
    <t>MS15758</t>
  </si>
  <si>
    <t>V36, live in M, cc upd</t>
  </si>
  <si>
    <t xml:space="preserve">LTI </t>
  </si>
  <si>
    <t>Moveworks</t>
  </si>
  <si>
    <t>LC6128</t>
  </si>
  <si>
    <t>Insight</t>
  </si>
  <si>
    <t>XR47367_1</t>
  </si>
  <si>
    <t>T-Systems</t>
  </si>
  <si>
    <t>XU48172</t>
  </si>
  <si>
    <t>MaestroQA</t>
  </si>
  <si>
    <t>DC48057</t>
  </si>
  <si>
    <t>Data issue - Client?</t>
  </si>
  <si>
    <t>Airwallex</t>
  </si>
  <si>
    <t>DC47841</t>
  </si>
  <si>
    <t>Cybervista in HQL FinService</t>
  </si>
  <si>
    <t>DC14023</t>
  </si>
  <si>
    <t>IT Central Station</t>
  </si>
  <si>
    <t>ITCS2678</t>
  </si>
  <si>
    <t>VMware</t>
  </si>
  <si>
    <t>XU48086</t>
  </si>
  <si>
    <t>XR47367_2</t>
  </si>
  <si>
    <t>TCC</t>
  </si>
  <si>
    <t>XR47309a</t>
  </si>
  <si>
    <t>ITCS2106</t>
  </si>
  <si>
    <t>ITCS1777</t>
  </si>
  <si>
    <t>ABM exhausted</t>
  </si>
  <si>
    <t>Applause</t>
  </si>
  <si>
    <t>DC13994</t>
  </si>
  <si>
    <t>Canceled</t>
  </si>
  <si>
    <t>Ivanti</t>
  </si>
  <si>
    <t>XU48190</t>
  </si>
  <si>
    <t>HPE</t>
  </si>
  <si>
    <t>DU48184</t>
  </si>
  <si>
    <t>ITCS2013</t>
  </si>
  <si>
    <t>ITCS2640</t>
  </si>
  <si>
    <t>ITCS2074</t>
  </si>
  <si>
    <t>ITCS1776</t>
  </si>
  <si>
    <t>ITCS2704</t>
  </si>
  <si>
    <t>Commvault</t>
  </si>
  <si>
    <t>KC47874</t>
  </si>
  <si>
    <t>XU47704</t>
  </si>
  <si>
    <t>VentureBeat</t>
  </si>
  <si>
    <t>VB48139</t>
  </si>
  <si>
    <t>Dell — MediaCom</t>
  </si>
  <si>
    <t>IN47972</t>
  </si>
  <si>
    <t>20 LD by EOD</t>
  </si>
  <si>
    <t>Church Mutual</t>
  </si>
  <si>
    <t>DC47956</t>
  </si>
  <si>
    <t>LIMITED DATA, update from CC</t>
  </si>
  <si>
    <t>IN47970</t>
  </si>
  <si>
    <t>30 more, 12/7 eod</t>
  </si>
  <si>
    <t>Lacework</t>
  </si>
  <si>
    <t>DC47806</t>
  </si>
  <si>
    <t>3 Survey question, Director + level, size</t>
  </si>
  <si>
    <t>ADP</t>
  </si>
  <si>
    <t>XU47772</t>
  </si>
  <si>
    <t>tight reqs, req-ed new NAC</t>
  </si>
  <si>
    <t>ServiceNow</t>
  </si>
  <si>
    <t>IN47769</t>
  </si>
  <si>
    <t>Can't generated more leads</t>
  </si>
  <si>
    <t>Veeam</t>
  </si>
  <si>
    <t>DU47900</t>
  </si>
  <si>
    <t>Certify</t>
  </si>
  <si>
    <t>DC47346</t>
  </si>
  <si>
    <t>IN47973</t>
  </si>
  <si>
    <t>additional allocation on 12/1</t>
  </si>
  <si>
    <t>Xerox</t>
  </si>
  <si>
    <t>XU47783</t>
  </si>
  <si>
    <t>rejection rate by industry</t>
  </si>
  <si>
    <t>Veritas</t>
  </si>
  <si>
    <t>XU47644</t>
  </si>
  <si>
    <t>waiting for new TALs (Fin+Telco)</t>
  </si>
  <si>
    <t>Metodo — Atos - Unify</t>
  </si>
  <si>
    <t>XU48031</t>
  </si>
  <si>
    <t>Manet — Atos Unify</t>
  </si>
  <si>
    <t>XU47527</t>
  </si>
  <si>
    <t>replace return</t>
  </si>
  <si>
    <t>Ultimo</t>
  </si>
  <si>
    <t>XU47078</t>
  </si>
  <si>
    <t>Insight : Dell - HCL- Fairtrade - Cascade</t>
  </si>
  <si>
    <t>XR47367</t>
  </si>
  <si>
    <t>FGDC</t>
  </si>
  <si>
    <t>Ascend</t>
  </si>
  <si>
    <t>KC48098</t>
  </si>
  <si>
    <t>XR47309d</t>
  </si>
  <si>
    <t>XR47309c</t>
  </si>
  <si>
    <t>HCL</t>
  </si>
  <si>
    <t>DC47297</t>
  </si>
  <si>
    <t>XR47309e</t>
  </si>
  <si>
    <t xml:space="preserve">EXTRA LEADS </t>
  </si>
  <si>
    <t>XR47309b</t>
  </si>
  <si>
    <t xml:space="preserve">DDL EXT </t>
  </si>
  <si>
    <t>Nacelle</t>
  </si>
  <si>
    <t>Dataminr</t>
  </si>
  <si>
    <t>DU47748</t>
  </si>
  <si>
    <t>VMWare — Xentegra</t>
  </si>
  <si>
    <t>XU48025</t>
  </si>
  <si>
    <t>CompuCom</t>
  </si>
  <si>
    <t>DC47191</t>
  </si>
  <si>
    <t>PARTIAL</t>
  </si>
  <si>
    <t>Uniphore</t>
  </si>
  <si>
    <t>DU47489</t>
  </si>
  <si>
    <t>Digital Shadows</t>
  </si>
  <si>
    <t>BR47870</t>
  </si>
  <si>
    <t>Benchling</t>
  </si>
  <si>
    <t>DC47319</t>
  </si>
  <si>
    <t>waiting for new asset</t>
  </si>
  <si>
    <t>Nuance</t>
  </si>
  <si>
    <t>KC47907</t>
  </si>
  <si>
    <t>AM47515</t>
  </si>
  <si>
    <t>FAIR TRADE/ reqs were updated - 100 leads</t>
  </si>
  <si>
    <t>Singatel</t>
  </si>
  <si>
    <t>XU47388</t>
  </si>
  <si>
    <r>
      <rPr>
        <rFont val="Arial"/>
        <color theme="1"/>
      </rPr>
      <t xml:space="preserve">11/16 - </t>
    </r>
    <r>
      <rPr>
        <rFont val="Arial"/>
        <b/>
        <color rgb="FFFF0000"/>
      </rPr>
      <t>new ABM didn't help</t>
    </r>
    <r>
      <rPr>
        <rFont val="Arial"/>
        <color theme="1"/>
      </rPr>
      <t>, 10/12/21 - can go outside of ABM//not helping, CC will close on her own but we are still trying</t>
    </r>
  </si>
  <si>
    <t>ForgeRock</t>
  </si>
  <si>
    <t>KU47861</t>
  </si>
  <si>
    <t>ON24</t>
  </si>
  <si>
    <t>XU47729</t>
  </si>
  <si>
    <t>Oracle</t>
  </si>
  <si>
    <t>LC5928</t>
  </si>
  <si>
    <t>lack of leads will be closed internally</t>
  </si>
  <si>
    <t>Cetera</t>
  </si>
  <si>
    <t>DC47712</t>
  </si>
  <si>
    <t>DC47715</t>
  </si>
  <si>
    <t>Copperleaf</t>
  </si>
  <si>
    <t>DU47595</t>
  </si>
  <si>
    <t>CC will close on her own</t>
  </si>
  <si>
    <t>DU47657</t>
  </si>
  <si>
    <t>IN47748</t>
  </si>
  <si>
    <t>Frost &amp; Sullivan</t>
  </si>
  <si>
    <t>FS47881</t>
  </si>
  <si>
    <t>Toucan Toco</t>
  </si>
  <si>
    <t>DC13880</t>
  </si>
  <si>
    <t>ToucanToco</t>
  </si>
  <si>
    <t>DC14004</t>
  </si>
  <si>
    <t>Sophos</t>
  </si>
  <si>
    <t>DC14039</t>
  </si>
  <si>
    <t>Netcetera</t>
  </si>
  <si>
    <t>XU47547</t>
  </si>
  <si>
    <t>3 replacements FGDC</t>
  </si>
  <si>
    <t>ByteSource</t>
  </si>
  <si>
    <t>XU47647</t>
  </si>
  <si>
    <t>Dell</t>
  </si>
  <si>
    <t>XU47266</t>
  </si>
  <si>
    <t>NO DATA, CLIENT REFUSED TO EXTEND THE EMPL SIZE REQUIREMENTS</t>
  </si>
  <si>
    <t>AVEVA</t>
  </si>
  <si>
    <t>DU14573</t>
  </si>
  <si>
    <t>50 leads per month</t>
  </si>
  <si>
    <t>AWS</t>
  </si>
  <si>
    <t>VB47673</t>
  </si>
  <si>
    <t>Microsoft</t>
  </si>
  <si>
    <t>IN47681</t>
  </si>
  <si>
    <t>Global Shop Solutions</t>
  </si>
  <si>
    <t>DC14319</t>
  </si>
  <si>
    <t xml:space="preserve">Hitachi </t>
  </si>
  <si>
    <t>DU47513</t>
  </si>
  <si>
    <t>SS&amp;C</t>
  </si>
  <si>
    <t>XR47467</t>
  </si>
  <si>
    <t>NIIT</t>
  </si>
  <si>
    <t>DC47261</t>
  </si>
  <si>
    <t>NO</t>
  </si>
  <si>
    <t>XU47730</t>
  </si>
  <si>
    <t>Dashlane</t>
  </si>
  <si>
    <t>XU47481</t>
  </si>
  <si>
    <t>Ping Identity</t>
  </si>
  <si>
    <t>XU47635</t>
  </si>
  <si>
    <t>Aruba</t>
  </si>
  <si>
    <t>XU47512</t>
  </si>
  <si>
    <t>the same ABM for old Aruba campaign, exhausted</t>
  </si>
  <si>
    <t>Unit4</t>
  </si>
  <si>
    <t>KP47409</t>
  </si>
  <si>
    <t>Internal back up, to deliver as many as we can</t>
  </si>
  <si>
    <t>Splunk</t>
  </si>
  <si>
    <t>XR47472i</t>
  </si>
  <si>
    <t>XR47023_1</t>
  </si>
  <si>
    <t>recordings quality?</t>
  </si>
  <si>
    <t>Adlib</t>
  </si>
  <si>
    <t>DC47531</t>
  </si>
  <si>
    <t xml:space="preserve">ForAllSecure </t>
  </si>
  <si>
    <t>DC14281</t>
  </si>
  <si>
    <t>Speridian Technologies</t>
  </si>
  <si>
    <t>DC47163</t>
  </si>
  <si>
    <t>Predikly</t>
  </si>
  <si>
    <t>XU47501</t>
  </si>
  <si>
    <t>Must receive the leads by EOD</t>
  </si>
  <si>
    <t>HP</t>
  </si>
  <si>
    <t>XU47199</t>
  </si>
  <si>
    <t>IN47121</t>
  </si>
  <si>
    <t>50 LD requested on 10/12</t>
  </si>
  <si>
    <t>Rimini Street</t>
  </si>
  <si>
    <t>DC47087</t>
  </si>
  <si>
    <t>tight ABM, requested to expand the criteria</t>
  </si>
  <si>
    <t>XR47025</t>
  </si>
  <si>
    <t>2 replacements</t>
  </si>
  <si>
    <t>Turbonomic</t>
  </si>
  <si>
    <t>DU47267</t>
  </si>
  <si>
    <t>9/17 additional 200 lead goal</t>
  </si>
  <si>
    <t>KPMG</t>
  </si>
  <si>
    <t>XU47062</t>
  </si>
  <si>
    <t>Challenging CQ about sale of business</t>
  </si>
  <si>
    <t>DC13983</t>
  </si>
  <si>
    <t>2nd touch on our side</t>
  </si>
  <si>
    <t>Verint</t>
  </si>
  <si>
    <t>DC47505</t>
  </si>
  <si>
    <t>DC14341</t>
  </si>
  <si>
    <t>Challenging. ABM 25 companies, 1 lead per company</t>
  </si>
  <si>
    <t xml:space="preserve">Thales </t>
  </si>
  <si>
    <t>DU47276</t>
  </si>
  <si>
    <t>IN47117</t>
  </si>
  <si>
    <t>Productsup</t>
  </si>
  <si>
    <t>DU47386</t>
  </si>
  <si>
    <t>2 touch</t>
  </si>
  <si>
    <t>XR47023</t>
  </si>
  <si>
    <t>Graphcore</t>
  </si>
  <si>
    <t>DC47121</t>
  </si>
  <si>
    <t>FS47123</t>
  </si>
  <si>
    <t>DC47456</t>
  </si>
  <si>
    <t>9/27 Lead Goal was incresed//Rejection rate!</t>
  </si>
  <si>
    <t>Qumu</t>
  </si>
  <si>
    <t>DC47090</t>
  </si>
  <si>
    <t>ITCS1827</t>
  </si>
  <si>
    <t>Dell_MediaCom</t>
  </si>
  <si>
    <t>IN47120</t>
  </si>
  <si>
    <t>ABM is exhausted. It will be closed on INFUSEmedia side</t>
  </si>
  <si>
    <t>Yotascale</t>
  </si>
  <si>
    <t>DC47411</t>
  </si>
  <si>
    <t>Hivery</t>
  </si>
  <si>
    <t>DU13571</t>
  </si>
  <si>
    <t>Onfindo</t>
  </si>
  <si>
    <t>DU13782</t>
  </si>
  <si>
    <t>IN47119</t>
  </si>
  <si>
    <t>9/29 additional lead goal was added and deadline was cut</t>
  </si>
  <si>
    <t>DC14700_1</t>
  </si>
  <si>
    <t>XU14536_UKI</t>
  </si>
  <si>
    <t>Noesis - Outsystems</t>
  </si>
  <si>
    <t>XU47351</t>
  </si>
  <si>
    <t>Syand</t>
  </si>
  <si>
    <t>KC13854</t>
  </si>
  <si>
    <t>Problematic, very tight GEO requirements</t>
  </si>
  <si>
    <t>DC47311</t>
  </si>
  <si>
    <t>XU47109</t>
  </si>
  <si>
    <t>Citrix</t>
  </si>
  <si>
    <t>KC14538</t>
  </si>
  <si>
    <t>DC47264</t>
  </si>
  <si>
    <t>PatSnap</t>
  </si>
  <si>
    <t>DU14532</t>
  </si>
  <si>
    <t>Smart Communications</t>
  </si>
  <si>
    <t>DC14442</t>
  </si>
  <si>
    <t>The client has changed title requirements, as a result high rejection rate</t>
  </si>
  <si>
    <t>XU47183</t>
  </si>
  <si>
    <t>Cloudfare</t>
  </si>
  <si>
    <t>XR47190</t>
  </si>
  <si>
    <t>Internal Back Up, Assigned to Arcaidea</t>
  </si>
  <si>
    <t>Panorays</t>
  </si>
  <si>
    <t>DU47350</t>
  </si>
  <si>
    <t>PTC</t>
  </si>
  <si>
    <t>DU47210</t>
  </si>
  <si>
    <t>CyberArk</t>
  </si>
  <si>
    <t>XU47174</t>
  </si>
  <si>
    <t>MS14606</t>
  </si>
  <si>
    <t>MS14630</t>
  </si>
  <si>
    <t>MS14623</t>
  </si>
  <si>
    <t>might need more leads</t>
  </si>
  <si>
    <t>MS14600</t>
  </si>
  <si>
    <t>MS14619</t>
  </si>
  <si>
    <t>RingCentral</t>
  </si>
  <si>
    <t>XR12440</t>
  </si>
  <si>
    <t>Whisbi</t>
  </si>
  <si>
    <t>DU47178</t>
  </si>
  <si>
    <t>DU47113</t>
  </si>
  <si>
    <t>XU14536_1</t>
  </si>
  <si>
    <t>RedHat</t>
  </si>
  <si>
    <t>XR47039</t>
  </si>
  <si>
    <t>DC14700</t>
  </si>
  <si>
    <t>rejection rate is very high</t>
  </si>
  <si>
    <t>NVIDIA</t>
  </si>
  <si>
    <t>XU46976</t>
  </si>
  <si>
    <t>Problematic, tight requirements, no data</t>
  </si>
  <si>
    <t>XU47173</t>
  </si>
  <si>
    <t>47284_</t>
  </si>
  <si>
    <t>XR47285</t>
  </si>
  <si>
    <t>XR47286</t>
  </si>
  <si>
    <t>XR47279</t>
  </si>
  <si>
    <t>XU47007</t>
  </si>
  <si>
    <t>will be closed on our own</t>
  </si>
  <si>
    <t>KC14548</t>
  </si>
  <si>
    <t>Tekorder</t>
  </si>
  <si>
    <t>KC46978</t>
  </si>
  <si>
    <t>GEO - tight requirements, United States: Miami Dade County only</t>
  </si>
  <si>
    <t>47241_</t>
  </si>
  <si>
    <t>Infinity — Dell</t>
  </si>
  <si>
    <t>XU46995</t>
  </si>
  <si>
    <t>XU46970</t>
  </si>
  <si>
    <t>Assigned to one more vendor - TM</t>
  </si>
  <si>
    <t>KC14549</t>
  </si>
  <si>
    <t>Juniper</t>
  </si>
  <si>
    <t>XU13532_new</t>
  </si>
  <si>
    <t>will continue in September</t>
  </si>
  <si>
    <t>XU46966</t>
  </si>
  <si>
    <t>XR47160</t>
  </si>
  <si>
    <t>Dell - Atea</t>
  </si>
  <si>
    <t>XU46969</t>
  </si>
  <si>
    <t>XU46958</t>
  </si>
  <si>
    <t>Intersoft — Dell</t>
  </si>
  <si>
    <t>XU47089</t>
  </si>
  <si>
    <t>Costa Rica</t>
  </si>
  <si>
    <t>XR47159</t>
  </si>
  <si>
    <t>XR47157</t>
  </si>
  <si>
    <t>KC14554</t>
  </si>
  <si>
    <t>Sferanet — Dell Powerflex</t>
  </si>
  <si>
    <t>XU47037</t>
  </si>
  <si>
    <t>CompuCom Dell - Fair Trade</t>
  </si>
  <si>
    <t>DC14232</t>
  </si>
  <si>
    <t>Assigned for email marketing - survey campaign</t>
  </si>
  <si>
    <t>Dell - Syncon</t>
  </si>
  <si>
    <t>XU47054</t>
  </si>
  <si>
    <t>DU47073</t>
  </si>
  <si>
    <t>2-touch campaign, wasn't mentioned in the request</t>
  </si>
  <si>
    <t>XR47125</t>
  </si>
  <si>
    <t>Mitsumi Distribution</t>
  </si>
  <si>
    <t>XU47092</t>
  </si>
  <si>
    <t>Nigeria</t>
  </si>
  <si>
    <t>Equinix</t>
  </si>
  <si>
    <t>XU14220</t>
  </si>
  <si>
    <t>XR47126</t>
  </si>
  <si>
    <t>Ingram</t>
  </si>
  <si>
    <t>XU47119</t>
  </si>
  <si>
    <t>LC5753</t>
  </si>
  <si>
    <t>Anritsu</t>
  </si>
  <si>
    <t>XR14447</t>
  </si>
  <si>
    <t>XR47079</t>
  </si>
  <si>
    <t>XR47077</t>
  </si>
  <si>
    <t>XU13532</t>
  </si>
  <si>
    <t>XU13532_old</t>
  </si>
  <si>
    <t>XR47075</t>
  </si>
  <si>
    <t>Decreased lead goal</t>
  </si>
  <si>
    <t>XU14312</t>
  </si>
  <si>
    <t>Problematic, tight criteria, EXTENDED TITLES JOB LEVEL</t>
  </si>
  <si>
    <t>Proact</t>
  </si>
  <si>
    <t>XU14332</t>
  </si>
  <si>
    <t>Assigned to Brandvids!!! Problematic. No required titles in ABM</t>
  </si>
  <si>
    <t>Dell Flex Up</t>
  </si>
  <si>
    <t>XU14569</t>
  </si>
  <si>
    <t>XU14458</t>
  </si>
  <si>
    <t>No data left</t>
  </si>
  <si>
    <t>Cognizant</t>
  </si>
  <si>
    <t>KU14430</t>
  </si>
  <si>
    <t>Ricoh</t>
  </si>
  <si>
    <t>XU14568</t>
  </si>
  <si>
    <t>Keysight Technologies</t>
  </si>
  <si>
    <t>DU14555</t>
  </si>
  <si>
    <t>tight requirements</t>
  </si>
  <si>
    <t>Out Systems</t>
  </si>
  <si>
    <t>DC14497</t>
  </si>
  <si>
    <t>Computacenter</t>
  </si>
  <si>
    <t>XU14428</t>
  </si>
  <si>
    <t>Hitachi Vantara</t>
  </si>
  <si>
    <t>XU14452</t>
  </si>
  <si>
    <t>IN46476</t>
  </si>
  <si>
    <t>Circular — Dell</t>
  </si>
  <si>
    <t>XU14435</t>
  </si>
  <si>
    <t>Inteum — Equinix - Spain</t>
  </si>
  <si>
    <t>XU14534</t>
  </si>
  <si>
    <t>Dell — Arrowhead</t>
  </si>
  <si>
    <t>XU14556</t>
  </si>
  <si>
    <t>FINNISH</t>
  </si>
  <si>
    <t>XR14577</t>
  </si>
  <si>
    <t>Assigned Sharp BPO, 2 more deliveries today</t>
  </si>
  <si>
    <t>XR14578</t>
  </si>
  <si>
    <t>One more delivery today</t>
  </si>
  <si>
    <t>XR14719</t>
  </si>
  <si>
    <t>XR14410</t>
  </si>
  <si>
    <t>XR14723</t>
  </si>
  <si>
    <t>Malwarebytes</t>
  </si>
  <si>
    <t>DC14705</t>
  </si>
  <si>
    <t>Delivery by EOD</t>
  </si>
  <si>
    <t>Exclaimer</t>
  </si>
  <si>
    <t>DU46933</t>
  </si>
  <si>
    <t xml:space="preserve">Security Risk </t>
  </si>
  <si>
    <t>XU14061</t>
  </si>
  <si>
    <t>will try and close it on our own</t>
  </si>
  <si>
    <t xml:space="preserve">SambaNova </t>
  </si>
  <si>
    <t>DC14350</t>
  </si>
  <si>
    <t>VMWare</t>
  </si>
  <si>
    <t>XU14543</t>
  </si>
  <si>
    <t>ABM ISSUES - 98% of companies are not from Canada</t>
  </si>
  <si>
    <t>DU13782_old</t>
  </si>
  <si>
    <t>Cetera Financial Group</t>
  </si>
  <si>
    <t>DC14029</t>
  </si>
  <si>
    <t>DC14343</t>
  </si>
  <si>
    <t>THE VENDOR DOESN'T RECEIVE THIS CAMPAIGN</t>
  </si>
  <si>
    <t>IN46420</t>
  </si>
  <si>
    <t>XU14504</t>
  </si>
  <si>
    <t>Baune</t>
  </si>
  <si>
    <t>XU14389</t>
  </si>
  <si>
    <t>DU14359</t>
  </si>
  <si>
    <t>A lot of companies in supp, requested job level expansion</t>
  </si>
  <si>
    <t>Revenera</t>
  </si>
  <si>
    <t>DC14401</t>
  </si>
  <si>
    <t>XR14683</t>
  </si>
  <si>
    <t>DC14706</t>
  </si>
  <si>
    <t>Zebra Prescriptive Analytics</t>
  </si>
  <si>
    <t>XR14716</t>
  </si>
  <si>
    <t>DC14324</t>
  </si>
  <si>
    <t xml:space="preserve">Equinix </t>
  </si>
  <si>
    <t>DC14235</t>
  </si>
  <si>
    <t>IN46484</t>
  </si>
  <si>
    <t>DC14236</t>
  </si>
  <si>
    <t>XR14717</t>
  </si>
  <si>
    <t>XR14718</t>
  </si>
  <si>
    <t>IN46514</t>
  </si>
  <si>
    <t>SkillSurvey</t>
  </si>
  <si>
    <t>DC14073</t>
  </si>
  <si>
    <t>Gravy</t>
  </si>
  <si>
    <t>DC13410</t>
  </si>
  <si>
    <t>HybrIT Services</t>
  </si>
  <si>
    <t>KC13537</t>
  </si>
  <si>
    <t>Wallix</t>
  </si>
  <si>
    <t>AB30694</t>
  </si>
  <si>
    <t>Replacement 2 leads</t>
  </si>
  <si>
    <t>XR14510</t>
  </si>
  <si>
    <t>XR14512</t>
  </si>
  <si>
    <t>XR14511</t>
  </si>
  <si>
    <t>RingPlan</t>
  </si>
  <si>
    <t>DC13860</t>
  </si>
  <si>
    <t>Innovyze</t>
  </si>
  <si>
    <t>DC13853</t>
  </si>
  <si>
    <t>DXC</t>
  </si>
  <si>
    <t>KC14463</t>
  </si>
  <si>
    <t>Auth0</t>
  </si>
  <si>
    <t>DC13152</t>
  </si>
  <si>
    <t>IN46423</t>
  </si>
  <si>
    <t xml:space="preserve">Dialpad </t>
  </si>
  <si>
    <t>DC13805</t>
  </si>
  <si>
    <t xml:space="preserve"> AWS</t>
  </si>
  <si>
    <t>XR14487</t>
  </si>
  <si>
    <t>XU14267</t>
  </si>
  <si>
    <t>DC14071</t>
  </si>
  <si>
    <t>DC14279</t>
  </si>
  <si>
    <t>Updated about job level expansion</t>
  </si>
  <si>
    <t>Microserve</t>
  </si>
  <si>
    <t>KC14219</t>
  </si>
  <si>
    <t>DC14342</t>
  </si>
  <si>
    <t>Assigned to one more vendor</t>
  </si>
  <si>
    <t>Visolit</t>
  </si>
  <si>
    <t>XU14367</t>
  </si>
  <si>
    <t>LogMeIn</t>
  </si>
  <si>
    <t>DC14412</t>
  </si>
  <si>
    <t>DC14411</t>
  </si>
  <si>
    <t>1 lead Left - Call back</t>
  </si>
  <si>
    <t>COMMVAULT</t>
  </si>
  <si>
    <t>IN46721</t>
  </si>
  <si>
    <t>DC14239</t>
  </si>
  <si>
    <t>Central Data Storage</t>
  </si>
  <si>
    <t>XU13381</t>
  </si>
  <si>
    <t>DU14233</t>
  </si>
  <si>
    <t>AppsFlyer</t>
  </si>
  <si>
    <t>XR14369</t>
  </si>
  <si>
    <t>CyberArk 2 touch</t>
  </si>
  <si>
    <t>XU14453</t>
  </si>
  <si>
    <t>DU14221</t>
  </si>
  <si>
    <t>Virtual Office Solutions</t>
  </si>
  <si>
    <t>KC13852</t>
  </si>
  <si>
    <t>Pagero</t>
  </si>
  <si>
    <t>DU14229</t>
  </si>
  <si>
    <t>XR14457</t>
  </si>
  <si>
    <t>XR14456</t>
  </si>
  <si>
    <t>DC14123</t>
  </si>
  <si>
    <t>DC14070</t>
  </si>
  <si>
    <t>7 leads to close</t>
  </si>
  <si>
    <t>Sitecore</t>
  </si>
  <si>
    <t>XU14170</t>
  </si>
  <si>
    <t>Quest</t>
  </si>
  <si>
    <t>KP14204</t>
  </si>
  <si>
    <t>3-touch campaign</t>
  </si>
  <si>
    <t>Scoutbee</t>
  </si>
  <si>
    <t>XU14135</t>
  </si>
  <si>
    <t>Assigned to Arcaidea</t>
  </si>
  <si>
    <t>Big Green IT</t>
  </si>
  <si>
    <t>KC13445</t>
  </si>
  <si>
    <t>New Media Services</t>
  </si>
  <si>
    <t>KC14103</t>
  </si>
  <si>
    <t>Total Cloud IT</t>
  </si>
  <si>
    <t>KC13831</t>
  </si>
  <si>
    <t>IT Partner</t>
  </si>
  <si>
    <t>KC13832</t>
  </si>
  <si>
    <t>KC13832_AS</t>
  </si>
  <si>
    <t>TDI Services</t>
  </si>
  <si>
    <t>KC14090</t>
  </si>
  <si>
    <t>NE Systems</t>
  </si>
  <si>
    <t>KC13514</t>
  </si>
  <si>
    <t>True IT</t>
  </si>
  <si>
    <t>KC13414</t>
  </si>
  <si>
    <t>SouthTech</t>
  </si>
  <si>
    <t>KC13825</t>
  </si>
  <si>
    <t>GreenPages</t>
  </si>
  <si>
    <t>KC14024</t>
  </si>
  <si>
    <t>Entrust</t>
  </si>
  <si>
    <t>XU14136</t>
  </si>
  <si>
    <t>probably closed?</t>
  </si>
  <si>
    <t>Chrome River</t>
  </si>
  <si>
    <t>DC13999</t>
  </si>
  <si>
    <t>Even pacing - weekly goal</t>
  </si>
  <si>
    <t>MariaDB</t>
  </si>
  <si>
    <t>DC14340</t>
  </si>
  <si>
    <t>DC14339</t>
  </si>
  <si>
    <t>XR14372</t>
  </si>
  <si>
    <t>will be closed from our side</t>
  </si>
  <si>
    <t>DC13626</t>
  </si>
  <si>
    <t>Global Shop Solutons</t>
  </si>
  <si>
    <t>DC13642</t>
  </si>
  <si>
    <t>XU14119</t>
  </si>
  <si>
    <t>goal was reduced, 1 more lead to go</t>
  </si>
  <si>
    <t>XU14169</t>
  </si>
  <si>
    <t>Gigamon</t>
  </si>
  <si>
    <t>XR13963</t>
  </si>
  <si>
    <t>Closing on INFUSEmedia side</t>
  </si>
  <si>
    <t>Seczetta</t>
  </si>
  <si>
    <t>DC14258</t>
  </si>
  <si>
    <t>Omnicharge</t>
  </si>
  <si>
    <t>DC13838</t>
  </si>
  <si>
    <t>Synivate</t>
  </si>
  <si>
    <t>KC13516</t>
  </si>
  <si>
    <t>Vinille</t>
  </si>
  <si>
    <t>DU13765</t>
  </si>
  <si>
    <t>KC14089</t>
  </si>
  <si>
    <t>KC14250</t>
  </si>
  <si>
    <t>SpliceNet</t>
  </si>
  <si>
    <t>KC13413</t>
  </si>
  <si>
    <t>Henson Group</t>
  </si>
  <si>
    <t>KC13840_AS</t>
  </si>
  <si>
    <t>KC13413_AS</t>
  </si>
  <si>
    <t>KC13852_AS</t>
  </si>
  <si>
    <t>Hootsuite</t>
  </si>
  <si>
    <t>KC14183</t>
  </si>
  <si>
    <t>XR13975</t>
  </si>
  <si>
    <t>XU14171</t>
  </si>
  <si>
    <t>Submer</t>
  </si>
  <si>
    <t>XU14246</t>
  </si>
  <si>
    <t>goal was decreased, generating from our side</t>
  </si>
  <si>
    <t>3SI Security Systems</t>
  </si>
  <si>
    <t>XM14057</t>
  </si>
  <si>
    <t>Denodo</t>
  </si>
  <si>
    <t>DU13298</t>
  </si>
  <si>
    <t>DC13804</t>
  </si>
  <si>
    <t>Requested deadline extension</t>
  </si>
  <si>
    <t>KP13493</t>
  </si>
  <si>
    <t>DC14014</t>
  </si>
  <si>
    <t>Behavox</t>
  </si>
  <si>
    <t>DC13511</t>
  </si>
  <si>
    <t>Boxxe</t>
  </si>
  <si>
    <t>XU13976</t>
  </si>
  <si>
    <t>DC13744</t>
  </si>
  <si>
    <t>Cybervista</t>
  </si>
  <si>
    <t>DC14022</t>
  </si>
  <si>
    <t>DC13745</t>
  </si>
  <si>
    <t>DC14007</t>
  </si>
  <si>
    <t>MPO</t>
  </si>
  <si>
    <t>DC13585</t>
  </si>
  <si>
    <t>Oracle Netsuite</t>
  </si>
  <si>
    <t>XU13768</t>
  </si>
  <si>
    <t>DC14006</t>
  </si>
  <si>
    <t>XU13767</t>
  </si>
  <si>
    <t>Techvera</t>
  </si>
  <si>
    <t>KC13458</t>
  </si>
  <si>
    <t>Xpertech</t>
  </si>
  <si>
    <t>KC13488</t>
  </si>
  <si>
    <t>CTN Solutions</t>
  </si>
  <si>
    <t>KC13495</t>
  </si>
  <si>
    <t>KC13840</t>
  </si>
  <si>
    <t>High Availability</t>
  </si>
  <si>
    <t>KC13841</t>
  </si>
  <si>
    <t>Adrytech</t>
  </si>
  <si>
    <t>KC13833</t>
  </si>
  <si>
    <t>KC13995</t>
  </si>
  <si>
    <t>Lighthouse Technologies</t>
  </si>
  <si>
    <t>KC13842</t>
  </si>
  <si>
    <t>Peters &amp; Associates</t>
  </si>
  <si>
    <t>KC13508</t>
  </si>
  <si>
    <t>Artemys</t>
  </si>
  <si>
    <t>KC13687</t>
  </si>
  <si>
    <t>Stasmayer</t>
  </si>
  <si>
    <t>KC13513</t>
  </si>
  <si>
    <t>Visual Edge IT</t>
  </si>
  <si>
    <t>KC13439</t>
  </si>
  <si>
    <t>Adobe Marketo</t>
  </si>
  <si>
    <t>KC13784</t>
  </si>
  <si>
    <t>Hudson Technology</t>
  </si>
  <si>
    <t>KC13450</t>
  </si>
  <si>
    <t>New CMI</t>
  </si>
  <si>
    <t>KC13565</t>
  </si>
  <si>
    <t>DC13586</t>
  </si>
  <si>
    <t>DC13715</t>
  </si>
  <si>
    <t>Nurturing program</t>
  </si>
  <si>
    <t xml:space="preserve">SS&amp;C </t>
  </si>
  <si>
    <t>XR14131</t>
  </si>
  <si>
    <t>DC14013</t>
  </si>
  <si>
    <t>XU13869</t>
  </si>
  <si>
    <t>XR14143</t>
  </si>
  <si>
    <t>LC5442</t>
  </si>
  <si>
    <t>Industrial Software Solutions</t>
  </si>
  <si>
    <t>LC5348</t>
  </si>
  <si>
    <t>Unitrends</t>
  </si>
  <si>
    <t>DU13595</t>
  </si>
  <si>
    <t>IN46095</t>
  </si>
  <si>
    <t>TCS</t>
  </si>
  <si>
    <t>KC13884</t>
  </si>
  <si>
    <t>NICEinContact</t>
  </si>
  <si>
    <t>KC13809</t>
  </si>
  <si>
    <t>Flintfox</t>
  </si>
  <si>
    <t>KC13810</t>
  </si>
  <si>
    <t>NetSuite</t>
  </si>
  <si>
    <t>XU13773</t>
  </si>
  <si>
    <t>XU13771</t>
  </si>
  <si>
    <t>XU13859</t>
  </si>
  <si>
    <t>Cisilion</t>
  </si>
  <si>
    <t>KC13732</t>
  </si>
  <si>
    <t>Capgemini</t>
  </si>
  <si>
    <t>XU13730</t>
  </si>
  <si>
    <t>XU13680</t>
  </si>
  <si>
    <t>Blackline</t>
  </si>
  <si>
    <t>LC5120d</t>
  </si>
  <si>
    <t>Colibra</t>
  </si>
  <si>
    <t>AB30519</t>
  </si>
  <si>
    <t>XR13992</t>
  </si>
  <si>
    <t>KP13791</t>
  </si>
  <si>
    <t>AppDynamics</t>
  </si>
  <si>
    <t>DU13882</t>
  </si>
  <si>
    <t>SaasPlaza</t>
  </si>
  <si>
    <t>KC13803</t>
  </si>
  <si>
    <t>MSFT Secure Work from Anywhere</t>
  </si>
  <si>
    <t>KC13598</t>
  </si>
  <si>
    <t xml:space="preserve">Port P </t>
  </si>
  <si>
    <t>KC13674</t>
  </si>
  <si>
    <t>Red8</t>
  </si>
  <si>
    <t>KC13622</t>
  </si>
  <si>
    <t>KC13599</t>
  </si>
  <si>
    <t>YouGov</t>
  </si>
  <si>
    <t>DC13973</t>
  </si>
  <si>
    <t>Adobe</t>
  </si>
  <si>
    <t>KC13733</t>
  </si>
  <si>
    <t>XR14176</t>
  </si>
  <si>
    <t xml:space="preserve">AWS </t>
  </si>
  <si>
    <t>XR14165</t>
  </si>
  <si>
    <t>XR14147</t>
  </si>
  <si>
    <t>XR13898</t>
  </si>
  <si>
    <t>XR13886</t>
  </si>
  <si>
    <t>KC13854_AS</t>
  </si>
  <si>
    <t>ONLY MINNESOTA</t>
  </si>
  <si>
    <t>Dell — Accelerations</t>
  </si>
  <si>
    <t>XU14416</t>
  </si>
  <si>
    <t>Incorrect requirements were provided by CC</t>
  </si>
  <si>
    <t>SecurityRisk - BANT</t>
  </si>
  <si>
    <t>XU14062</t>
  </si>
  <si>
    <t>Account</t>
  </si>
  <si>
    <t>Contact emails</t>
  </si>
  <si>
    <t>Language Capabilities</t>
  </si>
  <si>
    <t>Regions</t>
  </si>
  <si>
    <t>Types of Campaigns</t>
  </si>
  <si>
    <t>Location</t>
  </si>
  <si>
    <t>INFUSE VENDORS</t>
  </si>
  <si>
    <t>ACTIVE</t>
  </si>
  <si>
    <t>Vendor 1 Name</t>
  </si>
  <si>
    <t>Vendor 2 Name</t>
  </si>
  <si>
    <t>English</t>
  </si>
  <si>
    <t>Can deliver genuine leads + cut</t>
  </si>
  <si>
    <t>NON-ACTIVE</t>
  </si>
  <si>
    <t>Vendor 3 Name</t>
  </si>
  <si>
    <t>Only real calls, slow pacing</t>
  </si>
  <si>
    <t>Vendor 4 Name</t>
  </si>
  <si>
    <t>English, French</t>
  </si>
  <si>
    <t>Vendor's Name</t>
  </si>
  <si>
    <t>Productivity block</t>
  </si>
  <si>
    <t>QA block</t>
  </si>
  <si>
    <t>Campaign types</t>
  </si>
  <si>
    <t>Delivery speed</t>
  </si>
  <si>
    <t>Feedback providing</t>
  </si>
  <si>
    <t>Leads quality</t>
  </si>
  <si>
    <t>Rejection rate</t>
  </si>
  <si>
    <t>Additional feedback</t>
  </si>
  <si>
    <t>General recordings quality</t>
  </si>
  <si>
    <t>Phone numbers quality</t>
  </si>
  <si>
    <t>Voice match</t>
  </si>
  <si>
    <t>Vendor 1</t>
  </si>
  <si>
    <t>- Mostly easy campaigns - MQL, SQL, Webinar
- Soft BANT and Survey - can be a problem sometimes, due to the required combanation of quality and CQ amount (if we can allow "low" quality - also go pretty smoothly)</t>
  </si>
  <si>
    <t>If the campaign is easy, can close it very quickly</t>
  </si>
  <si>
    <t>- Depends on the issue - sometimes they will try to handle it on their own and we must push them to provide feedback, but sometimes they will provide it immediately after the campaign assigning, especially if the problem they faced is significant;
- Feedbacks a usually pretty concise so we should ask for a detailed ones</t>
  </si>
  <si>
    <t>Pretty high, however they have n/a NAC/SUP and n/a Title rejects on all campaigns</t>
  </si>
  <si>
    <t>Extremely picky with every reject, especially with "n/a PV" reason, so it's better to double-check all such leads before sending statuses</t>
  </si>
  <si>
    <t>cut recordings; BUT can provide good recs on demand</t>
  </si>
  <si>
    <t>mostly good numbers</t>
  </si>
  <si>
    <t>same voices</t>
  </si>
  <si>
    <t>Vendor 2</t>
  </si>
  <si>
    <t>- MQL, SQL, soft Bant, Webinar
- Can run BANT and Callback (should remind them that quality is important)
- Can also run Appointment setting, but usually ignores some requirements (such as appointment date) and provides not really interested leads; also, can barely reschedule a meeting</t>
  </si>
  <si>
    <t>If the campaign is easy, can deliver pretty quickly</t>
  </si>
  <si>
    <t>Does not provide feedback on time - can even bungle campaign (and keep silence until deadline)</t>
  </si>
  <si>
    <t>Usually, a lot of Bounced emails; can ignore company limit; often provides leads that do not meet the REQs; can miss campaign updates</t>
  </si>
  <si>
    <t>We should push them on a regular basis and provide feedback on leads quality</t>
  </si>
  <si>
    <t>mostly real calls; sometimes cut recordings and voice mismatch</t>
  </si>
  <si>
    <t>70% good numbers</t>
  </si>
  <si>
    <t>mostly same voices, but sometimes could be different</t>
  </si>
  <si>
    <t>Script runtime date (UA)</t>
  </si>
  <si>
    <t>Collect Master Deliveries: executed</t>
  </si>
  <si>
    <t>Collect Master Stats: executed</t>
  </si>
  <si>
    <t xml:space="preserve">SheetId: "1QVqtBGMXU3hzHxtGxP4uTYPiwK97jUQzwC4O81wrP4U" TypeError: row[cols[2]].getTime is not a function; </t>
  </si>
  <si>
    <t xml:space="preserve">SheetId: "1vhmml7ZUcnpNSYLFgwewiN6jsLvzmU-A9-5P9l_dVbI" Exception: Document 1vhmml7ZUcnpNSYLFgwewiN6jsLvzmU-A9-5P9l_dVbI is missing (perhaps it was deleted, or you don't have read access?); </t>
  </si>
  <si>
    <t xml:space="preserve">SheetId: "1ZDMZ5GvQZZaBo5rSCefYiuFfBgks7t_4MtqK9Fqhs8A" TypeError: row[cols[2]].getTime is not a function; </t>
  </si>
  <si>
    <t xml:space="preserve">SheetId: "1HPk6ArSood84Rez50lkCxdVquk5688Yi1jDUh_Myn6A" Exception: Service Spreadsheets timed out while accessing document with id 1HPk6ArSood84Rez50lkCxdVquk5688Yi1jDUh_Myn6A.; </t>
  </si>
  <si>
    <t xml:space="preserve">SheetId: "1ULavHTttXRji61-R02ivcQDeJn4k132uGKsHeuDHatw" TypeError: row[cols[2]].getTime is not a function; </t>
  </si>
  <si>
    <t xml:space="preserve">SheetId: "1Y9qPp94HPbzr6yZQc2djRAcysFS8g93A2WY3EWuW9CE/" Exception: Unexpected error while getting the method or property openById on object SpreadsheetApp.; </t>
  </si>
  <si>
    <t xml:space="preserve">SheetId: "1bIv4hItbFfl0HQLRBLZCQZKt2_kJPDgzIIDUG0cMJhU" TypeError: row[cols[2]].getTime is not a function; SheetId: "1Y9qPp94HPbzr6yZQc2djRAcysFS8g93A2WY3EWuW9CE/" Exception: Unexpected error while getting the method or property openById on object SpreadsheetApp.; </t>
  </si>
  <si>
    <t xml:space="preserve">SheetId: "1jbYPrLyKcAzFNHYgLWjVVv-bFU9_xr6lFH-d2b7gD1g" TypeError: row[cols[2]].getTime is not a function; SheetId: "1Y9qPp94HPbzr6yZQc2djRAcysFS8g93A2WY3EWuW9CE/" Exception: Unexpected error while getting the method or property openById on object SpreadsheetApp.; </t>
  </si>
  <si>
    <t xml:space="preserve">SheetId: "1-SzyuWOrQv4hKlYBERTHx8mM2pQk5DRaadiKlPEM8-g" Exception: Too many simultaneous invocations: Spreadsheets; </t>
  </si>
  <si>
    <t xml:space="preserve">SheetId: "1zHbvkv5pGn46Q6j2LNr13Gp8XJdvjOp0NqY8Kq0HaaY" Exception: Too many simultaneous invocations: Spreadsheets; </t>
  </si>
  <si>
    <t xml:space="preserve">SheetId: "15J4AwbyWzu3EbqKF0BVER6a8CQKgvyxuGHBXBVDMhKs" Exception: Service Spreadsheets timed out while accessing document with id 15J4AwbyWzu3EbqKF0BVER6a8CQKgvyxuGHBXBVDMhKs.; </t>
  </si>
  <si>
    <t xml:space="preserve">SheetId: "1D7HRD-F6d7YiAGMjGYAMtC1ljsdO8NkVAAe87RHHFJg" Exception: Too many simultaneous invocations: Spreadsheets; </t>
  </si>
  <si>
    <t xml:space="preserve">SheetId: "1_Q1Wi7Syl1vy1ZU9hI7vnMvD9aQa62F69ILshEhN4I0" Exception: Service Spreadsheets timed out while accessing document with id 1_Q1Wi7Syl1vy1ZU9hI7vnMvD9aQa62F69ILshEhN4I0.; </t>
  </si>
  <si>
    <t xml:space="preserve">SheetId: "17ijSDoruKzu3Z9JreJ7Yxrt4bI44e0GHfQIy95EVgvo" Exception: Service Spreadsheets timed out while accessing document with id 17ijSDoruKzu3Z9JreJ7Yxrt4bI44e0GHfQIy95EVgvo.; </t>
  </si>
  <si>
    <t xml:space="preserve">SheetId: "18g6Lno--Mn3SIlIpD5_RIzGrAKbPm2PD7xZYXY6srck" TypeError: row[cols[2]].getTime is not a function; </t>
  </si>
  <si>
    <t xml:space="preserve">SheetId: "1N7Jk5nXutJlM3wD4udM1bdQ3qaMDy5cKHAYSq-TWeF8" TypeError: row[cols[2]].getTime is not a function; </t>
  </si>
  <si>
    <t xml:space="preserve">SheetId: "1hMTnKybonxOHncWTRCR0rG68dQXiGdgp5nnuvl4-Kbo" Exception: Too many simultaneous invocations: Spreadsheets; </t>
  </si>
  <si>
    <t xml:space="preserve">SheetId: "1ooRf9_LfpOB58Yt9ggc2P2nF4AWF6abauNMJ0l6XQB4/" Exception: Unexpected error while getting the method or property openById on object SpreadsheetApp.; </t>
  </si>
  <si>
    <t xml:space="preserve">SheetId: "1EoWR-rBey3f4Wv8e2Qkm_O9zYSAc3UPaTRXGiArAD5o" Exception: Service Spreadsheets timed out while accessing document with id 1EoWR-rBey3f4Wv8e2Qkm_O9zYSAc3UPaTRXGiArAD5o.; </t>
  </si>
  <si>
    <t xml:space="preserve">SheetId: "1UDsOqVrSUUZnbgIqM-TuNovcJXEQR6y4iz2sNtd6FFU" Exception: You do not have permission to access the requested document.; </t>
  </si>
  <si>
    <t xml:space="preserve">SheetId: "115yXj5JZkJRrmygPapu3rwvxvQVwDcQxYMpCgTyOUK8" Exception: You do not have permission to access the requested document.; SheetId: "1f-bBX1tabRKPUd3UixDYD_LBeTCfm4fKMCZgZoegIXs" Exception: You do not have permission to access the requested document.; SheetId: "1aef7YUsReurtox1oodafQGw7Z74ZnTpflbN0raSOx5s" Exception: You do not have permission to access the requested document.; SheetId: "1qmpGg9TEDDGoqsF1BKTsBdGu9Vmrpr3i4f7Agl8SKOQ" Exception: You do not have permission to access the requested document.; SheetId: "1z2sYCQ-onJ1yJPrsVuq8i1OnKl0mo-1BmCvd6_mLzQw" Exception: You do not have permission to access the requested document.; SheetId: "1H8Rm_FggiunhnCb17GvMufsG8rKujAQ0-PtiCEXHsFs" Exception: You do not have permission to access the requested document.; SheetId: "1pHFf1OxoEG42boI8kVnoDt2dMCJhsNXzOZJMG99h704" Exception: You do not have permission to access the requested document.; </t>
  </si>
  <si>
    <t xml:space="preserve">SheetId: "1AyIQ5cuZTqoXeHBVOoRgACPvvOzRYsKf82OWwfCwZVo" Exception: You do not have permission to access the requested document.; SheetId: "115yXj5JZkJRrmygPapu3rwvxvQVwDcQxYMpCgTyOUK8" Exception: You do not have permission to access the requested document.; SheetId: "1f-bBX1tabRKPUd3UixDYD_LBeTCfm4fKMCZgZoegIXs" Exception: You do not have permission to access the requested document.; SheetId: "1aef7YUsReurtox1oodafQGw7Z74ZnTpflbN0raSOx5s" Exception: You do not have permission to access the requested document.; SheetId: "1qmpGg9TEDDGoqsF1BKTsBdGu9Vmrpr3i4f7Agl8SKOQ" Exception: You do not have permission to access the requested document.; SheetId: "1z2sYCQ-onJ1yJPrsVuq8i1OnKl0mo-1BmCvd6_mLzQw" Exception: You do not have permission to access the requested document.; SheetId: "1H8Rm_FggiunhnCb17GvMufsG8rKujAQ0-PtiCEXHsFs" Exception: You do not have permission to access the requested document.; SheetId: "1pHFf1OxoEG42boI8kVnoDt2dMCJhsNXzOZJMG99h704" Exception: You do not have permission to access the requested document.; </t>
  </si>
  <si>
    <t xml:space="preserve">SheetId: "1zoBLRgqUx9rOmDcGBlhaJ4JsQanzCCQCT77sKQu0sCg" Exception: You do not have permission to access the requested document.; SheetId: "1AJ1XfwMKb6S7o68ow7nW_kKu91FAn5fXJJabBDyjSZk" Exception: You do not have permission to access the requested document.; SheetId: "1AyIQ5cuZTqoXeHBVOoRgACPvvOzRYsKf82OWwfCwZVo" Exception: You do not have permission to access the requested document.; SheetId: "1wPTKIUfRXrswONC-TRCc27vUre2Gcm9zH3VhWgj97k0" Exception: You do not have permission to access the requested document.; SheetId: "115yXj5JZkJRrmygPapu3rwvxvQVwDcQxYMpCgTyOUK8" Exception: You do not have permission to access the requested document.; SheetId: "1f-bBX1tabRKPUd3UixDYD_LBeTCfm4fKMCZgZoegIXs" Exception: You do not have permission to access the requested document.; SheetId: "1aef7YUsReurtox1oodafQGw7Z74ZnTpflbN0raSOx5s" Exception: You do not have permission to access the requested document.; SheetId: "1qmpGg9TEDDGoqsF1BKTsBdGu9Vmrpr3i4f7Agl8SKOQ" Exception: You do not have permission to access the requested document.; SheetId: "1z2sYCQ-onJ1yJPrsVuq8i1OnKl0mo-1BmCvd6_mLzQw" Exception: You do not have permission to access the requested document.; SheetId: "1H8Rm_FggiunhnCb17GvMufsG8rKujAQ0-PtiCEXHsFs" Exception: You do not have permission to access the requested document.; SheetId: "1pHFf1OxoEG42boI8kVnoDt2dMCJhsNXzOZJMG99h704" Exception: You do not have permission to access the requested document.; </t>
  </si>
  <si>
    <t xml:space="preserve">SheetId: "1zoBLRgqUx9rOmDcGBlhaJ4JsQanzCCQCT77sKQu0sCg" Exception: You do not have permission to access the requested document.; SheetId: "1AJ1XfwMKb6S7o68ow7nW_kKu91FAn5fXJJabBDyjSZk" Exception: You do not have permission to access the requested document.; SheetId: "1AyIQ5cuZTqoXeHBVOoRgACPvvOzRYsKf82OWwfCwZVo" Exception: You do not have permission to access the requested document.; SheetId: "13W1z0Zi28XEJLXnS9bbvmHuHX9JcotZDG6PNAr8deb0" Exception: You do not have permission to access the requested document.; SheetId: "1wPTKIUfRXrswONC-TRCc27vUre2Gcm9zH3VhWgj97k0" Exception: You do not have permission to access the requested document.; SheetId: "115yXj5JZkJRrmygPapu3rwvxvQVwDcQxYMpCgTyOUK8" Exception: You do not have permission to access the requested document.; SheetId: "1f-bBX1tabRKPUd3UixDYD_LBeTCfm4fKMCZgZoegIXs" Exception: You do not have permission to access the requested document.; SheetId: "1aef7YUsReurtox1oodafQGw7Z74ZnTpflbN0raSOx5s" Exception: You do not have permission to access the requested document.; SheetId: "1qmpGg9TEDDGoqsF1BKTsBdGu9Vmrpr3i4f7Agl8SKOQ" Exception: You do not have permission to access the requested document.; SheetId: "1z2sYCQ-onJ1yJPrsVuq8i1OnKl0mo-1BmCvd6_mLzQw" Exception: You do not have permission to access the requested document.; SheetId: "1H8Rm_FggiunhnCb17GvMufsG8rKujAQ0-PtiCEXHsFs" Exception: You do not have permission to access the requested document.; SheetId: "1pHFf1OxoEG42boI8kVnoDt2dMCJhsNXzOZJMG99h704" Exception: You do not have permission to access the requested document.; </t>
  </si>
  <si>
    <t xml:space="preserve">SheetId: "1zoBLRgqUx9rOmDcGBlhaJ4JsQanzCCQCT77sKQu0sCg" Exception: You do not have permission to access the requested document.; SheetId: "1AJ1XfwMKb6S7o68ow7nW_kKu91FAn5fXJJabBDyjSZk" Exception: You do not have permission to access the requested document.; SheetId: "1Csyx_z7eZB-nrYAD0cRE_C7tYFO-ZcZ4X8z5VbHSZng" Exception: You do not have permission to access the requested document.; SheetId: "1AyIQ5cuZTqoXeHBVOoRgACPvvOzRYsKf82OWwfCwZVo" Exception: You do not have permission to access the requested document.; SheetId: "13W1z0Zi28XEJLXnS9bbvmHuHX9JcotZDG6PNAr8deb0" Exception: You do not have permission to access the requested document.; SheetId: "1wPTKIUfRXrswONC-TRCc27vUre2Gcm9zH3VhWgj97k0" Exception: You do not have permission to access the requested document.; SheetId: "115yXj5JZkJRrmygPapu3rwvxvQVwDcQxYMpCgTyOUK8" Exception: You do not have permission to access the requested document.; SheetId: "1f-bBX1tabRKPUd3UixDYD_LBeTCfm4fKMCZgZoegIXs" Exception: You do not have permission to access the requested document.; SheetId: "1aef7YUsReurtox1oodafQGw7Z74ZnTpflbN0raSOx5s" Exception: You do not have permission to access the requested document.; SheetId: "1qmpGg9TEDDGoqsF1BKTsBdGu9Vmrpr3i4f7Agl8SKOQ" Exception: You do not have permission to access the requested document.; SheetId: "1z2sYCQ-onJ1yJPrsVuq8i1OnKl0mo-1BmCvd6_mLzQw" Exception: You do not have permission to access the requested document.; SheetId: "1H8Rm_FggiunhnCb17GvMufsG8rKujAQ0-PtiCEXHsFs" Exception: You do not have permission to access the requested document.; SheetId: "1pHFf1OxoEG42boI8kVnoDt2dMCJhsNXzOZJMG99h704" Exception: You do not have permission to access the requested document.; </t>
  </si>
  <si>
    <t xml:space="preserve">SheetId: "1zoBLRgqUx9rOmDcGBlhaJ4JsQanzCCQCT77sKQu0sCg" Exception: You do not have permission to access the requested document.; SheetId: "1AJ1XfwMKb6S7o68ow7nW_kKu91FAn5fXJJabBDyjSZk" Exception: You do not have permission to access the requested document.; SheetId: "1Csyx_z7eZB-nrYAD0cRE_C7tYFO-ZcZ4X8z5VbHSZng" Exception: You do not have permission to access the requested document.; SheetId: "1RUcxiwCApNUFHEUTSU9W_cN-7GaMIzmkUUvnL9zsYuY" Exception: You do not have permission to access the requested document.; SheetId: "1AyIQ5cuZTqoXeHBVOoRgACPvvOzRYsKf82OWwfCwZVo" Exception: You do not have permission to access the requested document.; SheetId: "13W1z0Zi28XEJLXnS9bbvmHuHX9JcotZDG6PNAr8deb0" Exception: You do not have permission to access the requested document.; SheetId: "1wPTKIUfRXrswONC-TRCc27vUre2Gcm9zH3VhWgj97k0" Exception: You do not have permission to access the requested document.; SheetId: "10fyLBMFF-Ll-39GmgBleodwY9UP1Z720Rc7S83ZNa24" Exception: You do not have permission to access the requested document.; SheetId: "19Nz4ORR7S2zC_ZpwICSgfXhsN865jy1XiKN7vf2xRgc" Exception: You do not have permission to access the requested document.; SheetId: "115yXj5JZkJRrmygPapu3rwvxvQVwDcQxYMpCgTyOUK8" Exception: You do not have permission to access the requested document.; SheetId: "1f-bBX1tabRKPUd3UixDYD_LBeTCfm4fKMCZgZoegIXs" Exception: You do not have permission to access the requested document.; SheetId: "1aef7YUsReurtox1oodafQGw7Z74ZnTpflbN0raSOx5s" Exception: You do not have permission to access the requested document.; SheetId: "1qmpGg9TEDDGoqsF1BKTsBdGu9Vmrpr3i4f7Agl8SKOQ" Exception: You do not have permission to access the requested document.; SheetId: "1z2sYCQ-onJ1yJPrsVuq8i1OnKl0mo-1BmCvd6_mLzQw" Exception: You do not have permission to access the requested document.; SheetId: "1H8Rm_FggiunhnCb17GvMufsG8rKujAQ0-PtiCEXHsFs" Exception: You do not have permission to access the requested document.; SheetId: "1pHFf1OxoEG42boI8kVnoDt2dMCJhsNXzOZJMG99h704" Exception: You do not have permission to access the requested document.; </t>
  </si>
  <si>
    <t xml:space="preserve">SheetId: "1EqxyUF6OBDNIx8tqqC-5Qw9EhuGDLI3wrwI584-fpz0" Exception: You do not have permission to access the requested document.; SheetId: "1zoBLRgqUx9rOmDcGBlhaJ4JsQanzCCQCT77sKQu0sCg" Exception: You do not have permission to access the requested document.; SheetId: "1AJ1XfwMKb6S7o68ow7nW_kKu91FAn5fXJJabBDyjSZk" Exception: You do not have permission to access the requested document.; SheetId: "1CGzFA8PbYbxBK7eXj-bdn7IfhSijJFrmkqjH6bmQCvg" Exception: You do not have permission to access the requested document.; SheetId: "1Csyx_z7eZB-nrYAD0cRE_C7tYFO-ZcZ4X8z5VbHSZng" Exception: You do not have permission to access the requested document.; SheetId: "1RUcxiwCApNUFHEUTSU9W_cN-7GaMIzmkUUvnL9zsYuY" Exception: You do not have permission to access the requested document.; SheetId: "1AyIQ5cuZTqoXeHBVOoRgACPvvOzRYsKf82OWwfCwZVo" Exception: You do not have permission to access the requested document.; SheetId: "13W1z0Zi28XEJLXnS9bbvmHuHX9JcotZDG6PNAr8deb0" Exception: You do not have permission to access the requested document.; SheetId: "1wPTKIUfRXrswONC-TRCc27vUre2Gcm9zH3VhWgj97k0" Exception: You do not have permission to access the requested document.; SheetId: "10fyLBMFF-Ll-39GmgBleodwY9UP1Z720Rc7S83ZNa24" Exception: You do not have permission to access the requested document.; SheetId: "19Nz4ORR7S2zC_ZpwICSgfXhsN865jy1XiKN7vf2xRgc" Exception: You do not have permission to access the requested document.; SheetId: "115yXj5JZkJRrmygPapu3rwvxvQVwDcQxYMpCgTyOUK8" Exception: You do not have permission to access the requested document.; SheetId: "1f-bBX1tabRKPUd3UixDYD_LBeTCfm4fKMCZgZoegIXs" Exception: You do not have permission to access the requested document.; SheetId: "1aef7YUsReurtox1oodafQGw7Z74ZnTpflbN0raSOx5s" Exception: You do not have permission to access the requested document.; SheetId: "1qmpGg9TEDDGoqsF1BKTsBdGu9Vmrpr3i4f7Agl8SKOQ" Exception: You do not have permission to access the requested document.; SheetId: "1z2sYCQ-onJ1yJPrsVuq8i1OnKl0mo-1BmCvd6_mLzQw" Exception: You do not have permission to access the requested document.; SheetId: "1H8Rm_FggiunhnCb17GvMufsG8rKujAQ0-PtiCEXHsFs" Exception: You do not have permission to access the requested document.; SheetId: "1pHFf1OxoEG42boI8kVnoDt2dMCJhsNXzOZJMG99h704" Exception: You do not have permission to access the requested document.; </t>
  </si>
  <si>
    <t xml:space="preserve">SheetId: "1EqxyUF6OBDNIx8tqqC-5Qw9EhuGDLI3wrwI584-fpz0" Exception: You do not have permission to access the requested document.; SheetId: "16XQhOsmwvKaQZCU3GZzz-4MeM1WL9sGbO6rgcSTGO54" Exception: You do not have permission to access the requested document.; SheetId: "1zoBLRgqUx9rOmDcGBlhaJ4JsQanzCCQCT77sKQu0sCg" Exception: You do not have permission to access the requested document.; SheetId: "1AJ1XfwMKb6S7o68ow7nW_kKu91FAn5fXJJabBDyjSZk" Exception: You do not have permission to access the requested document.; SheetId: "1CGzFA8PbYbxBK7eXj-bdn7IfhSijJFrmkqjH6bmQCvg" Exception: You do not have permission to access the requested document.; SheetId: "1Csyx_z7eZB-nrYAD0cRE_C7tYFO-ZcZ4X8z5VbHSZng" Exception: You do not have permission to access the requested document.; SheetId: "1DQmgSarkdhmQ36rrU7O-UlpSDk6jBAA9Ujt71fU-vzk" Exception: You do not have permission to access the requested document.; SheetId: "1RUcxiwCApNUFHEUTSU9W_cN-7GaMIzmkUUvnL9zsYuY" Exception: You do not have permission to access the requested document.; SheetId: "1AyIQ5cuZTqoXeHBVOoRgACPvvOzRYsKf82OWwfCwZVo" Exception: You do not have permission to access the requested document.; SheetId: "13W1z0Zi28XEJLXnS9bbvmHuHX9JcotZDG6PNAr8deb0" Exception: You do not have permission to access the requested document.; SheetId: "1wPTKIUfRXrswONC-TRCc27vUre2Gcm9zH3VhWgj97k0" Exception: You do not have permission to access the requested document.; SheetId: "10fyLBMFF-Ll-39GmgBleodwY9UP1Z720Rc7S83ZNa24" Exception: You do not have permission to access the requested document.; SheetId: "19Nz4ORR7S2zC_ZpwICSgfXhsN865jy1XiKN7vf2xRgc" Exception: You do not have permission to access the requested document.; SheetId: "115yXj5JZkJRrmygPapu3rwvxvQVwDcQxYMpCgTyOUK8" Exception: You do not have permission to access the requested document.; SheetId: "1f-bBX1tabRKPUd3UixDYD_LBeTCfm4fKMCZgZoegIXs" Exception: You do not have permission to access the requested document.; SheetId: "1aef7YUsReurtox1oodafQGw7Z74ZnTpflbN0raSOx5s" Exception: You do not have permission to access the requested document.; SheetId: "1qmpGg9TEDDGoqsF1BKTsBdGu9Vmrpr3i4f7Agl8SKOQ" Exception: You do not have permission to access the requested document.; SheetId: "1z2sYCQ-onJ1yJPrsVuq8i1OnKl0mo-1BmCvd6_mLzQw" Exception: You do not have permission to access the requested document.; SheetId: "1H8Rm_FggiunhnCb17GvMufsG8rKujAQ0-PtiCEXHsFs" Exception: You do not have permission to access the requested document.; SheetId: "1pHFf1OxoEG42boI8kVnoDt2dMCJhsNXzOZJMG99h704" Exception: You do not have permission to access the requested document.; </t>
  </si>
  <si>
    <t xml:space="preserve">SheetId: "1EqxyUF6OBDNIx8tqqC-5Qw9EhuGDLI3wrwI584-fpz0" Exception: You do not have permission to access the requested document.; SheetId: "16XQhOsmwvKaQZCU3GZzz-4MeM1WL9sGbO6rgcSTGO54" Exception: You do not have permission to access the requested document.; SheetId: "1zoBLRgqUx9rOmDcGBlhaJ4JsQanzCCQCT77sKQu0sCg" Exception: You do not have permission to access the requested document.; SheetId: "1AJ1XfwMKb6S7o68ow7nW_kKu91FAn5fXJJabBDyjSZk" Exception: You do not have permission to access the requested document.; SheetId: "1sJdiQJuTABatoH7BKtjdHaOG3LfvzhaySLTOGOw7JDQ" Exception: You do not have permission to access the requested document.; SheetId: "1CGzFA8PbYbxBK7eXj-bdn7IfhSijJFrmkqjH6bmQCvg" Exception: You do not have permission to access the requested document.; SheetId: "1Csyx_z7eZB-nrYAD0cRE_C7tYFO-ZcZ4X8z5VbHSZng" Exception: You do not have permission to access the requested document.; SheetId: "1DQmgSarkdhmQ36rrU7O-UlpSDk6jBAA9Ujt71fU-vzk" Exception: You do not have permission to access the requested document.; SheetId: "1RUcxiwCApNUFHEUTSU9W_cN-7GaMIzmkUUvnL9zsYuY" Exception: You do not have permission to access the requested document.; SheetId: "1AyIQ5cuZTqoXeHBVOoRgACPvvOzRYsKf82OWwfCwZVo" Exception: You do not have permission to access the requested document.; SheetId: "13W1z0Zi28XEJLXnS9bbvmHuHX9JcotZDG6PNAr8deb0" Exception: You do not have permission to access the requested document.; SheetId: "1wPTKIUfRXrswONC-TRCc27vUre2Gcm9zH3VhWgj97k0" Exception: You do not have permission to access the requested document.; SheetId: "10fyLBMFF-Ll-39GmgBleodwY9UP1Z720Rc7S83ZNa24" Exception: You do not have permission to access the requested document.; SheetId: "1G_0DcG8h45qOqhHNR32u5MfoYysjDc_pEmrRYwChiJ4" Exception: You do not have permission to access the requested document.; SheetId: "19Nz4ORR7S2zC_ZpwICSgfXhsN865jy1XiKN7vf2xRgc" Exception: You do not have permission to access the requested document.; SheetId: "115yXj5JZkJRrmygPapu3rwvxvQVwDcQxYMpCgTyOUK8" Exception: You do not have permission to access the requested document.; SheetId: "1f-bBX1tabRKPUd3UixDYD_LBeTCfm4fKMCZgZoegIXs" Exception: You do not have permission to access the requested document.; SheetId: "1aef7YUsReurtox1oodafQGw7Z74ZnTpflbN0raSOx5s" Exception: You do not have permission to access the requested document.; SheetId: "1qmpGg9TEDDGoqsF1BKTsBdGu9Vmrpr3i4f7Agl8SKOQ" Exception: You do not have permission to access the requested document.; SheetId: "1z2sYCQ-onJ1yJPrsVuq8i1OnKl0mo-1BmCvd6_mLzQw" Exception: You do not have permission to access the requested document.; SheetId: "1H8Rm_FggiunhnCb17GvMufsG8rKujAQ0-PtiCEXHsFs" Exception: You do not have permission to access the requested document.; SheetId: "1pHFf1OxoEG42boI8kVnoDt2dMCJhsNXzOZJMG99h704" Exception: You do not have permission to access the requested document.; </t>
  </si>
  <si>
    <t xml:space="preserve">SheetId: "1EqxyUF6OBDNIx8tqqC-5Qw9EhuGDLI3wrwI584-fpz0" Exception: You do not have permission to access the requested document.; SheetId: "16XQhOsmwvKaQZCU3GZzz-4MeM1WL9sGbO6rgcSTGO54" Exception: You do not have permission to access the requested document.; SheetId: "1zoBLRgqUx9rOmDcGBlhaJ4JsQanzCCQCT77sKQu0sCg" Exception: You do not have permission to access the requested document.; SheetId: "1AJ1XfwMKb6S7o68ow7nW_kKu91FAn5fXJJabBDyjSZk" Exception: You do not have permission to access the requested document.; SheetId: "1sJdiQJuTABatoH7BKtjdHaOG3LfvzhaySLTOGOw7JDQ" Exception: You do not have permission to access the requested document.; SheetId: "18hNODCadvTfo4DEqIQDGzqMDZtsSUB5XwNVAPxz8stY" Exception: You do not have permission to access the requested document.; SheetId: "1CGzFA8PbYbxBK7eXj-bdn7IfhSijJFrmkqjH6bmQCvg" Exception: You do not have permission to access the requested document.; SheetId: "1Csyx_z7eZB-nrYAD0cRE_C7tYFO-ZcZ4X8z5VbHSZng" Exception: You do not have permission to access the requested document.; SheetId: "1DQmgSarkdhmQ36rrU7O-UlpSDk6jBAA9Ujt71fU-vzk" Exception: You do not have permission to access the requested document.; SheetId: "1RUcxiwCApNUFHEUTSU9W_cN-7GaMIzmkUUvnL9zsYuY" Exception: You do not have permission to access the requested document.; SheetId: "1AyIQ5cuZTqoXeHBVOoRgACPvvOzRYsKf82OWwfCwZVo" Exception: You do not have permission to access the requested document.; SheetId: "13W1z0Zi28XEJLXnS9bbvmHuHX9JcotZDG6PNAr8deb0" Exception: You do not have permission to access the requested document.; SheetId: "1wPTKIUfRXrswONC-TRCc27vUre2Gcm9zH3VhWgj97k0" Exception: You do not have permission to access the requested document.; SheetId: "10fyLBMFF-Ll-39GmgBleodwY9UP1Z720Rc7S83ZNa24" Exception: You do not have permission to access the requested document.; SheetId: "1G_0DcG8h45qOqhHNR32u5MfoYysjDc_pEmrRYwChiJ4" Exception: You do not have permission to access the requested document.; SheetId: "19Nz4ORR7S2zC_ZpwICSgfXhsN865jy1XiKN7vf2xRgc" Exception: You do not have permission to access the requested document.; SheetId: "1jJPkQt55DZ_x9OeazDjxRB2KrHGlRFD-H0aS57MjDgk" Exception: You do not have permission to access the requested document.; SheetId: "115yXj5JZkJRrmygPapu3rwvxvQVwDcQxYMpCgTyOUK8" Exception: You do not have permission to access the requested document.; SheetId: "1f-bBX1tabRKPUd3UixDYD_LBeTCfm4fKMCZgZoegIXs" Exception: You do not have permission to access the requested document.; SheetId: "1aef7YUsReurtox1oodafQGw7Z74ZnTpflbN0raSOx5s" Exception: You do not have permission to access the requested document.; SheetId: "1qmpGg9TEDDGoqsF1BKTsBdGu9Vmrpr3i4f7Agl8SKOQ" Exception: You do not have permission to access the requested document.; SheetId: "1z2sYCQ-onJ1yJPrsVuq8i1OnKl0mo-1BmCvd6_mLzQw" Exception: You do not have permission to access the requested document.; SheetId: "1H8Rm_FggiunhnCb17GvMufsG8rKujAQ0-PtiCEXHsFs" Exception: You do not have permission to access the requested document.; SheetId: "1pHFf1OxoEG42boI8kVnoDt2dMCJhsNXzOZJMG99h704" Exception: You do not have permission to access the requested document.; </t>
  </si>
  <si>
    <t xml:space="preserve">SheetId: "1EqxyUF6OBDNIx8tqqC-5Qw9EhuGDLI3wrwI584-fpz0" Exception: You do not have permission to access the requested document.; SheetId: "16XQhOsmwvKaQZCU3GZzz-4MeM1WL9sGbO6rgcSTGO54" Exception: You do not have permission to access the requested document.; SheetId: "1zoBLRgqUx9rOmDcGBlhaJ4JsQanzCCQCT77sKQu0sCg" Exception: You do not have permission to access the requested document.; SheetId: "1AJ1XfwMKb6S7o68ow7nW_kKu91FAn5fXJJabBDyjSZk" Exception: You do not have permission to access the requested document.; SheetId: "1sJdiQJuTABatoH7BKtjdHaOG3LfvzhaySLTOGOw7JDQ" Exception: You do not have permission to access the requested document.; SheetId: "1DfTP099pCYCF3U-e0kCF7AWZmB99b6K0iEmek0Egpi8" Exception: You do not have permission to access the requested document.; SheetId: "1ealEjc2s88zgV9V-rH0mDa_92G9rjenT9XpX2nHuQ-g" Exception: You do not have permission to access the requested document.; SheetId: "1_r8bt4qDLQt6_kZ5assx2yqBwnMWgmqZsId9cM0FD2w" Exception: You do not have permission to access the requested document.; SheetId: "1PWZ_G6xnVOrLmt0ACmCp4dJtEGbOXJU7QTK9qtvL_qI" Exception: You do not have permission to access the requested document.; SheetId: "1-mTuFSOuylcYpuGp5x3iNB5Hg9J-niS-T--7hEujMR0" Exception: You do not have permission to access the requested document.; SheetId: "1rj758oTEW9EfyfpmeaKBdadxYO5zoP6IkZM9sPvOcNo" Exception: You do not have permission to access the requested document.; SheetId: "18hNODCadvTfo4DEqIQDGzqMDZtsSUB5XwNVAPxz8stY" Exception: You do not have permission to access the requested document.; SheetId: "1CGzFA8PbYbxBK7eXj-bdn7IfhSijJFrmkqjH6bmQCvg" Exception: You do not have permission to access the requested document.; SheetId: "1Csyx_z7eZB-nrYAD0cRE_C7tYFO-ZcZ4X8z5VbHSZng" Exception: You do not have permission to access the requested document.; SheetId: "1DQmgSarkdhmQ36rrU7O-UlpSDk6jBAA9Ujt71fU-vzk" Exception: You do not have permission to access the requested document.; SheetId: "1RUcxiwCApNUFHEUTSU9W_cN-7GaMIzmkUUvnL9zsYuY" Exception: You do not have permission to access the requested document.; SheetId: "1AyIQ5cuZTqoXeHBVOoRgACPvvOzRYsKf82OWwfCwZVo" Exception: You do not have permission to access the requested document.; SheetId: "13W1z0Zi28XEJLXnS9bbvmHuHX9JcotZDG6PNAr8deb0" Exception: You do not have permission to access the requested document.; SheetId: "1wPTKIUfRXrswONC-TRCc27vUre2Gcm9zH3VhWgj97k0" Exception: You do not have permission to access the requested document.; SheetId: "10fyLBMFF-Ll-39GmgBleodwY9UP1Z720Rc7S83ZNa24" Exception: You do not have permission to access the requested document.; SheetId: "1G_0DcG8h45qOqhHNR32u5MfoYysjDc_pEmrRYwChiJ4" Exception: You do not have permission to access the requested document.; SheetId: "19Nz4ORR7S2zC_ZpwICSgfXhsN865jy1XiKN7vf2xRgc" Exception: You do not have permission to access the requested document.; SheetId: "1jJPkQt55DZ_x9OeazDjxRB2KrHGlRFD-H0aS57MjDgk" Exception: You do not have permission to access the requested document.; SheetId: "115yXj5JZkJRrmygPapu3rwvxvQVwDcQxYMpCgTyOUK8" Exception: You do not have permission to access the requested document.; SheetId: "1f-bBX1tabRKPUd3UixDYD_LBeTCfm4fKMCZgZoegIXs" Exception: You do not have permission to access the requested document.; SheetId: "1aef7YUsReurtox1oodafQGw7Z74ZnTpflbN0raSOx5s" Exception: You do not have permission to access the requested document.; SheetId: "1qmpGg9TEDDGoqsF1BKTsBdGu9Vmrpr3i4f7Agl8SKOQ" Exception: You do not have permission to access the requested document.; SheetId: "1z2sYCQ-onJ1yJPrsVuq8i1OnKl0mo-1BmCvd6_mLzQw" Exception: You do not have permission to access the requested document.; SheetId: "1H8Rm_FggiunhnCb17GvMufsG8rKujAQ0-PtiCEXHsFs" Exception: You do not have permission to access the requested document.; SheetId: "1pHFf1OxoEG42boI8kVnoDt2dMCJhsNXzOZJMG99h704" Exception: You do not have permission to access the requested document.; </t>
  </si>
  <si>
    <t xml:space="preserve">SheetId: "16XQhOsmwvKaQZCU3GZzz-4MeM1WL9sGbO6rgcSTGO54" Exception: You do not have permission to access the requested document.; SheetId: "1zoBLRgqUx9rOmDcGBlhaJ4JsQanzCCQCT77sKQu0sCg" Exception: You do not have permission to access the requested document.; SheetId: "1AJ1XfwMKb6S7o68ow7nW_kKu91FAn5fXJJabBDyjSZk" Exception: You do not have permission to access the requested document.; SheetId: "1sJdiQJuTABatoH7BKtjdHaOG3LfvzhaySLTOGOw7JDQ" Exception: You do not have permission to access the requested document.; SheetId: "1DfTP099pCYCF3U-e0kCF7AWZmB99b6K0iEmek0Egpi8" Exception: You do not have permission to access the requested document.; SheetId: "1ealEjc2s88zgV9V-rH0mDa_92G9rjenT9XpX2nHuQ-g" Exception: You do not have permission to access the requested document.; SheetId: "1_r8bt4qDLQt6_kZ5assx2yqBwnMWgmqZsId9cM0FD2w" Exception: You do not have permission to access the requested document.; SheetId: "1PWZ_G6xnVOrLmt0ACmCp4dJtEGbOXJU7QTK9qtvL_qI" Exception: You do not have permission to access the requested document.; SheetId: "1-mTuFSOuylcYpuGp5x3iNB5Hg9J-niS-T--7hEujMR0" Exception: You do not have permission to access the requested document.; SheetId: "1rj758oTEW9EfyfpmeaKBdadxYO5zoP6IkZM9sPvOcNo" Exception: You do not have permission to access the requested document.; SheetId: "18hNODCadvTfo4DEqIQDGzqMDZtsSUB5XwNVAPxz8stY" Exception: You do not have permission to access the requested document.; SheetId: "1CGzFA8PbYbxBK7eXj-bdn7IfhSijJFrmkqjH6bmQCvg" Exception: You do not have permission to access the requested document.; SheetId: "1Csyx_z7eZB-nrYAD0cRE_C7tYFO-ZcZ4X8z5VbHSZng" Exception: You do not have permission to access the requested document.; SheetId: "1DQmgSarkdhmQ36rrU7O-UlpSDk6jBAA9Ujt71fU-vzk" Exception: You do not have permission to access the requested document.; SheetId: "1RUcxiwCApNUFHEUTSU9W_cN-7GaMIzmkUUvnL9zsYuY" Exception: You do not have permission to access the requested document.; SheetId: "1AyIQ5cuZTqoXeHBVOoRgACPvvOzRYsKf82OWwfCwZVo" Exception: You do not have permission to access the requested document.; SheetId: "13W1z0Zi28XEJLXnS9bbvmHuHX9JcotZDG6PNAr8deb0" Exception: You do not have permission to access the requested document.; SheetId: "1wPTKIUfRXrswONC-TRCc27vUre2Gcm9zH3VhWgj97k0" Exception: You do not have permission to access the requested document.; SheetId: "10fyLBMFF-Ll-39GmgBleodwY9UP1Z720Rc7S83ZNa24" Exception: You do not have permission to access the requested document.; SheetId: "1G_0DcG8h45qOqhHNR32u5MfoYysjDc_pEmrRYwChiJ4" Exception: You do not have permission to access the requested document.; SheetId: "19Nz4ORR7S2zC_ZpwICSgfXhsN865jy1XiKN7vf2xRgc" Exception: You do not have permission to access the requested document.; SheetId: "1jJPkQt55DZ_x9OeazDjxRB2KrHGlRFD-H0aS57MjDgk" Exception: You do not have permission to access the requested document.; SheetId: "115yXj5JZkJRrmygPapu3rwvxvQVwDcQxYMpCgTyOUK8" Exception: You do not have permission to access the requested document.; SheetId: "1f-bBX1tabRKPUd3UixDYD_LBeTCfm4fKMCZgZoegIXs" Exception: You do not have permission to access the requested document.; SheetId: "1aef7YUsReurtox1oodafQGw7Z74ZnTpflbN0raSOx5s" Exception: You do not have permission to access the requested document.; SheetId: "1qmpGg9TEDDGoqsF1BKTsBdGu9Vmrpr3i4f7Agl8SKOQ" Exception: You do not have permission to access the requested document.; SheetId: "1z2sYCQ-onJ1yJPrsVuq8i1OnKl0mo-1BmCvd6_mLzQw" Exception: You do not have permission to access the requested document.; SheetId: "1H8Rm_FggiunhnCb17GvMufsG8rKujAQ0-PtiCEXHsFs" Exception: You do not have permission to access the requested document.; SheetId: "1pHFf1OxoEG42boI8kVnoDt2dMCJhsNXzOZJMG99h704" Exception: You do not have permission to access the requested document.; </t>
  </si>
  <si>
    <t xml:space="preserve">SheetId: "16XQhOsmwvKaQZCU3GZzz-4MeM1WL9sGbO6rgcSTGO54" Exception: You do not have permission to access the requested document.; SheetId: "1zoBLRgqUx9rOmDcGBlhaJ4JsQanzCCQCT77sKQu0sCg" Exception: You do not have permission to access the requested document.; SheetId: "1AJ1XfwMKb6S7o68ow7nW_kKu91FAn5fXJJabBDyjSZk" Exception: You do not have permission to access the requested document.; SheetId: "1sJdiQJuTABatoH7BKtjdHaOG3LfvzhaySLTOGOw7JDQ" Exception: You do not have permission to access the requested document.; SheetId: "1DfTP099pCYCF3U-e0kCF7AWZmB99b6K0iEmek0Egpi8" Exception: You do not have permission to access the requested document.; SheetId: "1ealEjc2s88zgV9V-rH0mDa_92G9rjenT9XpX2nHuQ-g" Exception: You do not have permission to access the requested document.; SheetId: "1_r8bt4qDLQt6_kZ5assx2yqBwnMWgmqZsId9cM0FD2w" Exception: You do not have permission to access the requested document.; SheetId: "1PWZ_G6xnVOrLmt0ACmCp4dJtEGbOXJU7QTK9qtvL_qI" Exception: You do not have permission to access the requested document.; SheetId: "1-mTuFSOuylcYpuGp5x3iNB5Hg9J-niS-T--7hEujMR0" Exception: You do not have permission to access the requested document.; SheetId: "1rj758oTEW9EfyfpmeaKBdadxYO5zoP6IkZM9sPvOcNo" Exception: You do not have permission to access the requested document.; SheetId: "18hNODCadvTfo4DEqIQDGzqMDZtsSUB5XwNVAPxz8stY" Exception: You do not have permission to access the requested document.; SheetId: "1HzzgJTGAUUYdofTLl5jzFZQP_ZfA-3N_akFoVYy3KhQ" Exception: You do not have permission to access the requested document.; SheetId: "1CGzFA8PbYbxBK7eXj-bdn7IfhSijJFrmkqjH6bmQCvg" Exception: You do not have permission to access the requested document.; SheetId: "1eKM95deBuZGnaMVKcjcvvC7zqTiojbvSJ7hzAw5Ut0c" Exception: You do not have permission to access the requested document.; SheetId: "1Csyx_z7eZB-nrYAD0cRE_C7tYFO-ZcZ4X8z5VbHSZng" Exception: You do not have permission to access the requested document.; SheetId: "1DQmgSarkdhmQ36rrU7O-UlpSDk6jBAA9Ujt71fU-vzk" Exception: You do not have permission to access the requested document.; SheetId: "1RUcxiwCApNUFHEUTSU9W_cN-7GaMIzmkUUvnL9zsYuY" Exception: You do not have permission to access the requested document.; SheetId: "1AyIQ5cuZTqoXeHBVOoRgACPvvOzRYsKf82OWwfCwZVo" Exception: You do not have permission to access the requested document.; SheetId: "13W1z0Zi28XEJLXnS9bbvmHuHX9JcotZDG6PNAr8deb0" Exception: You do not have permission to access the requested document.; SheetId: "1wPTKIUfRXrswONC-TRCc27vUre2Gcm9zH3VhWgj97k0" Exception: You do not have permission to access the requested document.; SheetId: "10fyLBMFF-Ll-39GmgBleodwY9UP1Z720Rc7S83ZNa24" Exception: You do not have permission to access the requested document.; SheetId: "1G_0DcG8h45qOqhHNR32u5MfoYysjDc_pEmrRYwChiJ4" Exception: You do not have permission to access the requested document.; SheetId: "19Nz4ORR7S2zC_ZpwICSgfXhsN865jy1XiKN7vf2xRgc" Exception: You do not have permission to access the requested document.; SheetId: "1jJPkQt55DZ_x9OeazDjxRB2KrHGlRFD-H0aS57MjDgk" Exception: You do not have permission to access the requested document.; SheetId: "115yXj5JZkJRrmygPapu3rwvxvQVwDcQxYMpCgTyOUK8" Exception: You do not have permission to access the requested document.; SheetId: "1f-bBX1tabRKPUd3UixDYD_LBeTCfm4fKMCZgZoegIXs" Exception: You do not have permission to access the requested document.; SheetId: "1aef7YUsReurtox1oodafQGw7Z74ZnTpflbN0raSOx5s" Exception: You do not have permission to access the requested document.; SheetId: "1qmpGg9TEDDGoqsF1BKTsBdGu9Vmrpr3i4f7Agl8SKOQ" Exception: You do not have permission to access the requested document.; SheetId: "1z2sYCQ-onJ1yJPrsVuq8i1OnKl0mo-1BmCvd6_mLzQw" Exception: You do not have permission to access the requested document.; SheetId: "1H8Rm_FggiunhnCb17GvMufsG8rKujAQ0-PtiCEXHsFs" Exception: You do not have permission to access the requested document.; SheetId: "1pHFf1OxoEG42boI8kVnoDt2dMCJhsNXzOZJMG99h704" Exception: You do not have permission to access the requested document.; </t>
  </si>
  <si>
    <t xml:space="preserve">SheetId: "1FDxwTBWkT19SZNsiiDhgncoWzxpDlr17ip0cGs4bSCo" Exception: You do not have permission to access the requested document.; SheetId: "16XQhOsmwvKaQZCU3GZzz-4MeM1WL9sGbO6rgcSTGO54" Exception: You do not have permission to access the requested document.; SheetId: "1zoBLRgqUx9rOmDcGBlhaJ4JsQanzCCQCT77sKQu0sCg" Exception: You do not have permission to access the requested document.; SheetId: "1AJ1XfwMKb6S7o68ow7nW_kKu91FAn5fXJJabBDyjSZk" Exception: You do not have permission to access the requested document.; SheetId: "1sJdiQJuTABatoH7BKtjdHaOG3LfvzhaySLTOGOw7JDQ" Exception: You do not have permission to access the requested document.; SheetId: "1DfTP099pCYCF3U-e0kCF7AWZmB99b6K0iEmek0Egpi8" Exception: You do not have permission to access the requested document.; SheetId: "1ealEjc2s88zgV9V-rH0mDa_92G9rjenT9XpX2nHuQ-g" Exception: You do not have permission to access the requested document.; SheetId: "1_r8bt4qDLQt6_kZ5assx2yqBwnMWgmqZsId9cM0FD2w" Exception: You do not have permission to access the requested document.; SheetId: "1PWZ_G6xnVOrLmt0ACmCp4dJtEGbOXJU7QTK9qtvL_qI" Exception: You do not have permission to access the requested document.; SheetId: "1-mTuFSOuylcYpuGp5x3iNB5Hg9J-niS-T--7hEujMR0" Exception: You do not have permission to access the requested document.; SheetId: "1rj758oTEW9EfyfpmeaKBdadxYO5zoP6IkZM9sPvOcNo" Exception: You do not have permission to access the requested document.; SheetId: "18hNODCadvTfo4DEqIQDGzqMDZtsSUB5XwNVAPxz8stY" Exception: You do not have permission to access the requested document.; SheetId: "1HzzgJTGAUUYdofTLl5jzFZQP_ZfA-3N_akFoVYy3KhQ" Exception: You do not have permission to access the requested document.; SheetId: "1CGzFA8PbYbxBK7eXj-bdn7IfhSijJFrmkqjH6bmQCvg" Exception: You do not have permission to access the requested document.; SheetId: "1eKM95deBuZGnaMVKcjcvvC7zqTiojbvSJ7hzAw5Ut0c" Exception: You do not have permission to access the requested document.; SheetId: "1Csyx_z7eZB-nrYAD0cRE_C7tYFO-ZcZ4X8z5VbHSZng" Exception: You do not have permission to access the requested document.; SheetId: "1DQmgSarkdhmQ36rrU7O-UlpSDk6jBAA9Ujt71fU-vzk" Exception: You do not have permission to access the requested document.; SheetId: "1RUcxiwCApNUFHEUTSU9W_cN-7GaMIzmkUUvnL9zsYuY" Exception: You do not have permission to access the requested document.; SheetId: "1AyIQ5cuZTqoXeHBVOoRgACPvvOzRYsKf82OWwfCwZVo" Exception: You do not have permission to access the requested document.; SheetId: "13W1z0Zi28XEJLXnS9bbvmHuHX9JcotZDG6PNAr8deb0" Exception: You do not have permission to access the requested document.; SheetId: "1wPTKIUfRXrswONC-TRCc27vUre2Gcm9zH3VhWgj97k0" Exception: You do not have permission to access the requested document.; SheetId: "10fyLBMFF-Ll-39GmgBleodwY9UP1Z720Rc7S83ZNa24" Exception: You do not have permission to access the requested document.; SheetId: "1G_0DcG8h45qOqhHNR32u5MfoYysjDc_pEmrRYwChiJ4" Exception: You do not have permission to access the requested document.; SheetId: "19Nz4ORR7S2zC_ZpwICSgfXhsN865jy1XiKN7vf2xRgc" Exception: You do not have permission to access the requested document.; SheetId: "1jJPkQt55DZ_x9OeazDjxRB2KrHGlRFD-H0aS57MjDgk" Exception: You do not have permission to access the requested document.; SheetId: "115yXj5JZkJRrmygPapu3rwvxvQVwDcQxYMpCgTyOUK8" Exception: You do not have permission to access the requested document.; SheetId: "1f-bBX1tabRKPUd3UixDYD_LBeTCfm4fKMCZgZoegIXs" Exception: You do not have permission to access the requested document.; SheetId: "1aef7YUsReurtox1oodafQGw7Z74ZnTpflbN0raSOx5s" Exception: You do not have permission to access the requested document.; SheetId: "1qmpGg9TEDDGoqsF1BKTsBdGu9Vmrpr3i4f7Agl8SKOQ" Exception: You do not have permission to access the requested document.; SheetId: "1z2sYCQ-onJ1yJPrsVuq8i1OnKl0mo-1BmCvd6_mLzQw" Exception: You do not have permission to access the requested document.; SheetId: "1H8Rm_FggiunhnCb17GvMufsG8rKujAQ0-PtiCEXHsFs" Exception: You do not have permission to access the requested document.; SheetId: "1pHFf1OxoEG42boI8kVnoDt2dMCJhsNXzOZJMG99h704" Exception: You do not have permission to access the requested document.; </t>
  </si>
  <si>
    <t xml:space="preserve">SheetId: "1qDc89v01TKPluEH0Ofv_MLVoLm9DRK_Uc2-N0KHivWQ" Exception: You do not have permission to access the requested document.; SheetId: "133n2yxo3cBwev3Zo6o73X8zpARRAn7k-1A5m7WLcbSo" Exception: You do not have permission to access the requested document.; SheetId: "1FDxwTBWkT19SZNsiiDhgncoWzxpDlr17ip0cGs4bSCo" Exception: You do not have permission to access the requested document.; SheetId: "16XQhOsmwvKaQZCU3GZzz-4MeM1WL9sGbO6rgcSTGO54" Exception: You do not have permission to access the requested document.; SheetId: "1zoBLRgqUx9rOmDcGBlhaJ4JsQanzCCQCT77sKQu0sCg" Exception: You do not have permission to access the requested document.; SheetId: "1AJ1XfwMKb6S7o68ow7nW_kKu91FAn5fXJJabBDyjSZk" Exception: You do not have permission to access the requested document.; SheetId: "1sJdiQJuTABatoH7BKtjdHaOG3LfvzhaySLTOGOw7JDQ" Exception: You do not have permission to access the requested document.; SheetId: "1DfTP099pCYCF3U-e0kCF7AWZmB99b6K0iEmek0Egpi8" Exception: You do not have permission to access the requested document.; SheetId: "1ealEjc2s88zgV9V-rH0mDa_92G9rjenT9XpX2nHuQ-g" Exception: You do not have permission to access the requested document.; SheetId: "1_r8bt4qDLQt6_kZ5assx2yqBwnMWgmqZsId9cM0FD2w" Exception: You do not have permission to access the requested document.; SheetId: "1PWZ_G6xnVOrLmt0ACmCp4dJtEGbOXJU7QTK9qtvL_qI" Exception: You do not have permission to access the requested document.; SheetId: "1-mTuFSOuylcYpuGp5x3iNB5Hg9J-niS-T--7hEujMR0" Exception: You do not have permission to access the requested document.; SheetId: "1rj758oTEW9EfyfpmeaKBdadxYO5zoP6IkZM9sPvOcNo" Exception: You do not have permission to access the requested document.; SheetId: "18hNODCadvTfo4DEqIQDGzqMDZtsSUB5XwNVAPxz8stY" Exception: You do not have permission to access the requested document.; SheetId: "1HzzgJTGAUUYdofTLl5jzFZQP_ZfA-3N_akFoVYy3KhQ" Exception: You do not have permission to access the requested document.; SheetId: "1CGzFA8PbYbxBK7eXj-bdn7IfhSijJFrmkqjH6bmQCvg" Exception: You do not have permission to access the requested document.; SheetId: "1eKM95deBuZGnaMVKcjcvvC7zqTiojbvSJ7hzAw5Ut0c" Exception: You do not have permission to access the requested document.; SheetId: "1Csyx_z7eZB-nrYAD0cRE_C7tYFO-ZcZ4X8z5VbHSZng" Exception: You do not have permission to access the requested document.; SheetId: "1DQmgSarkdhmQ36rrU7O-UlpSDk6jBAA9Ujt71fU-vzk" Exception: You do not have permission to access the requested document.; SheetId: "1RUcxiwCApNUFHEUTSU9W_cN-7GaMIzmkUUvnL9zsYuY" Exception: You do not have permission to access the requested document.; SheetId: "1AyIQ5cuZTqoXeHBVOoRgACPvvOzRYsKf82OWwfCwZVo" Exception: You do not have permission to access the requested document.; SheetId: "13W1z0Zi28XEJLXnS9bbvmHuHX9JcotZDG6PNAr8deb0" Exception: You do not have permission to access the requested document.; SheetId: "1wPTKIUfRXrswONC-TRCc27vUre2Gcm9zH3VhWgj97k0" Exception: You do not have permission to access the requested document.; SheetId: "10fyLBMFF-Ll-39GmgBleodwY9UP1Z720Rc7S83ZNa24" Exception: You do not have permission to access the requested document.; SheetId: "1G_0DcG8h45qOqhHNR32u5MfoYysjDc_pEmrRYwChiJ4" Exception: You do not have permission to access the requested document.; SheetId: "1UDsOqVrSUUZnbgIqM-TuNovcJXEQR6y4iz2sNtd6FFU" Exception: You do not have permission to access the requested document.; SheetId: "19Nz4ORR7S2zC_ZpwICSgfXhsN865jy1XiKN7vf2xRgc" Exception: You do not have permission to access the requested document.; SheetId: "1jJPkQt55DZ_x9OeazDjxRB2KrHGlRFD-H0aS57MjDgk" Exception: You do not have permission to access the requested document.; SheetId: "115yXj5JZkJRrmygPapu3rwvxvQVwDcQxYMpCgTyOUK8" Exception: You do not have permission to access the requested document.; SheetId: "1f-bBX1tabRKPUd3UixDYD_LBeTCfm4fKMCZgZoegIXs" Exception: You do not have permission to access the requested document.; SheetId: "1aef7YUsReurtox1oodafQGw7Z74ZnTpflbN0raSOx5s" Exception: You do not have permission to access the requested document.; SheetId: "1qmpGg9TEDDGoqsF1BKTsBdGu9Vmrpr3i4f7Agl8SKOQ" Exception: You do not have permission to access the requested document.; SheetId: "1z2sYCQ-onJ1yJPrsVuq8i1OnKl0mo-1BmCvd6_mLzQw" Exception: You do not have permission to access the requested document.; SheetId: "1H8Rm_FggiunhnCb17GvMufsG8rKujAQ0-PtiCEXHsFs" Exception: You do not have permission to access the requested document.; SheetId: "1pHFf1OxoEG42boI8kVnoDt2dMCJhsNXzOZJMG99h704" Exception: You do not have permission to access the requested document.; </t>
  </si>
  <si>
    <t xml:space="preserve">SheetId: "1qDc89v01TKPluEH0Ofv_MLVoLm9DRK_Uc2-N0KHivWQ" Exception: You do not have permission to access the requested document.; SheetId: "133n2yxo3cBwev3Zo6o73X8zpARRAn7k-1A5m7WLcbSo" Exception: You do not have permission to access the requested document.; SheetId: "1fsGxZiiihyPbtTFDcLK-3dw5pYcyP65s9BeIMYNtke8" Exception: You do not have permission to access the requested document.; SheetId: "1Jc1MNemWqMgOhlEEZ14RvCB850NyZvs6NWdKfILkPLs" Exception: You do not have permission to access the requested document.; SheetId: "1FDxwTBWkT19SZNsiiDhgncoWzxpDlr17ip0cGs4bSCo" Exception: You do not have permission to access the requested document.; SheetId: "16XQhOsmwvKaQZCU3GZzz-4MeM1WL9sGbO6rgcSTGO54" Exception: You do not have permission to access the requested document.; SheetId: "1zoBLRgqUx9rOmDcGBlhaJ4JsQanzCCQCT77sKQu0sCg" Exception: You do not have permission to access the requested document.; SheetId: "1AJ1XfwMKb6S7o68ow7nW_kKu91FAn5fXJJabBDyjSZk" Exception: You do not have permission to access the requested document.; SheetId: "1sJdiQJuTABatoH7BKtjdHaOG3LfvzhaySLTOGOw7JDQ" Exception: You do not have permission to access the requested document.; SheetId: "1DfTP099pCYCF3U-e0kCF7AWZmB99b6K0iEmek0Egpi8" Exception: You do not have permission to access the requested document.; SheetId: "1ealEjc2s88zgV9V-rH0mDa_92G9rjenT9XpX2nHuQ-g" Exception: You do not have permission to access the requested document.; SheetId: "1_r8bt4qDLQt6_kZ5assx2yqBwnMWgmqZsId9cM0FD2w" Exception: You do not have permission to access the requested document.; SheetId: "1PWZ_G6xnVOrLmt0ACmCp4dJtEGbOXJU7QTK9qtvL_qI" Exception: You do not have permission to access the requested document.; SheetId: "1-mTuFSOuylcYpuGp5x3iNB5Hg9J-niS-T--7hEujMR0" Exception: You do not have permission to access the requested document.; SheetId: "1rj758oTEW9EfyfpmeaKBdadxYO5zoP6IkZM9sPvOcNo" Exception: You do not have permission to access the requested document.; SheetId: "18hNODCadvTfo4DEqIQDGzqMDZtsSUB5XwNVAPxz8stY" Exception: You do not have permission to access the requested document.; SheetId: "1HzzgJTGAUUYdofTLl5jzFZQP_ZfA-3N_akFoVYy3KhQ" Exception: You do not have permission to access the requested document.; SheetId: "1CGzFA8PbYbxBK7eXj-bdn7IfhSijJFrmkqjH6bmQCvg" Exception: You do not have permission to access the requested document.; SheetId: "1eKM95deBuZGnaMVKcjcvvC7zqTiojbvSJ7hzAw5Ut0c" Exception: You do not have permission to access the requested document.; SheetId: "1Csyx_z7eZB-nrYAD0cRE_C7tYFO-ZcZ4X8z5VbHSZng" Exception: You do not have permission to access the requested document.; SheetId: "1DQmgSarkdhmQ36rrU7O-UlpSDk6jBAA9Ujt71fU-vzk" Exception: You do not have permission to access the requested document.; SheetId: "1RUcxiwCApNUFHEUTSU9W_cN-7GaMIzmkUUvnL9zsYuY" Exception: You do not have permission to access the requested document.; SheetId: "1AyIQ5cuZTqoXeHBVOoRgACPvvOzRYsKf82OWwfCwZVo" Exception: You do not have permission to access the requested document.; SheetId: "13W1z0Zi28XEJLXnS9bbvmHuHX9JcotZDG6PNAr8deb0" Exception: You do not have permission to access the requested document.; SheetId: "1wPTKIUfRXrswONC-TRCc27vUre2Gcm9zH3VhWgj97k0" Exception: You do not have permission to access the requested document.; SheetId: "10fyLBMFF-Ll-39GmgBleodwY9UP1Z720Rc7S83ZNa24" Exception: You do not have permission to access the requested document.; SheetId: "1G_0DcG8h45qOqhHNR32u5MfoYysjDc_pEmrRYwChiJ4" Exception: You do not have permission to access the requested document.; SheetId: "1UDsOqVrSUUZnbgIqM-TuNovcJXEQR6y4iz2sNtd6FFU" Exception: You do not have permission to access the requested document.; SheetId: "19Nz4ORR7S2zC_ZpwICSgfXhsN865jy1XiKN7vf2xRgc" Exception: You do not have permission to access the requested document.; SheetId: "1jJPkQt55DZ_x9OeazDjxRB2KrHGlRFD-H0aS57MjDgk" Exception: You do not have permission to access the requested document.; SheetId: "115yXj5JZkJRrmygPapu3rwvxvQVwDcQxYMpCgTyOUK8" Exception: You do not have permission to access the requested document.; SheetId: "1f-bBX1tabRKPUd3UixDYD_LBeTCfm4fKMCZgZoegIXs" Exception: You do not have permission to access the requested document.; SheetId: "1aef7YUsReurtox1oodafQGw7Z74ZnTpflbN0raSOx5s" Exception: You do not have permission to access the requested document.; SheetId: "1qmpGg9TEDDGoqsF1BKTsBdGu9Vmrpr3i4f7Agl8SKOQ" Exception: You do not have permission to access the requested document.; SheetId: "1z2sYCQ-onJ1yJPrsVuq8i1OnKl0mo-1BmCvd6_mLzQw" Exception: You do not have permission to access the requested document.; SheetId: "1H8Rm_FggiunhnCb17GvMufsG8rKujAQ0-PtiCEXHsFs" Exception: You do not have permission to access the requested document.; SheetId: "1pHFf1OxoEG42boI8kVnoDt2dMCJhsNXzOZJMG99h704" Exception: You do not have permission to access the requested document.; </t>
  </si>
  <si>
    <t xml:space="preserve">SheetId: "1C_lVBqrfacsLvgsinktCFoxhribHrU-duHI3S2JQyjQ" Exception: You do not have permission to access the requested document.; SheetId: "1qDc89v01TKPluEH0Ofv_MLVoLm9DRK_Uc2-N0KHivWQ" Exception: You do not have permission to access the requested document.; SheetId: "133n2yxo3cBwev3Zo6o73X8zpARRAn7k-1A5m7WLcbSo" Exception: You do not have permission to access the requested document.; SheetId: "1fsGxZiiihyPbtTFDcLK-3dw5pYcyP65s9BeIMYNtke8" Exception: You do not have permission to access the requested document.; SheetId: "1Jc1MNemWqMgOhlEEZ14RvCB850NyZvs6NWdKfILkPLs" Exception: You do not have permission to access the requested document.; SheetId: "1FDxwTBWkT19SZNsiiDhgncoWzxpDlr17ip0cGs4bSCo" Exception: You do not have permission to access the requested document.; SheetId: "16XQhOsmwvKaQZCU3GZzz-4MeM1WL9sGbO6rgcSTGO54" Exception: You do not have permission to access the requested document.; SheetId: "1zoBLRgqUx9rOmDcGBlhaJ4JsQanzCCQCT77sKQu0sCg" Exception: You do not have permission to access the requested document.; SheetId: "1AJ1XfwMKb6S7o68ow7nW_kKu91FAn5fXJJabBDyjSZk" Exception: You do not have permission to access the requested document.; SheetId: "1sJdiQJuTABatoH7BKtjdHaOG3LfvzhaySLTOGOw7JDQ" Exception: You do not have permission to access the requested document.; SheetId: "1DfTP099pCYCF3U-e0kCF7AWZmB99b6K0iEmek0Egpi8" Exception: You do not have permission to access the requested document.; SheetId: "1ealEjc2s88zgV9V-rH0mDa_92G9rjenT9XpX2nHuQ-g" Exception: You do not have permission to access the requested document.; SheetId: "1_r8bt4qDLQt6_kZ5assx2yqBwnMWgmqZsId9cM0FD2w" Exception: You do not have permission to access the requested document.; SheetId: "1PWZ_G6xnVOrLmt0ACmCp4dJtEGbOXJU7QTK9qtvL_qI" Exception: You do not have permission to access the requested document.; SheetId: "1-mTuFSOuylcYpuGp5x3iNB5Hg9J-niS-T--7hEujMR0" Exception: You do not have permission to access the requested document.; SheetId: "1rj758oTEW9EfyfpmeaKBdadxYO5zoP6IkZM9sPvOcNo" Exception: You do not have permission to access the requested document.; SheetId: "18hNODCadvTfo4DEqIQDGzqMDZtsSUB5XwNVAPxz8stY" Exception: You do not have permission to access the requested document.; SheetId: "1HzzgJTGAUUYdofTLl5jzFZQP_ZfA-3N_akFoVYy3KhQ" Exception: You do not have permission to access the requested document.; SheetId: "1CGzFA8PbYbxBK7eXj-bdn7IfhSijJFrmkqjH6bmQCvg" Exception: You do not have permission to access the requested document.; SheetId: "1eKM95deBuZGnaMVKcjcvvC7zqTiojbvSJ7hzAw5Ut0c" Exception: You do not have permission to access the requested document.; SheetId: "1Csyx_z7eZB-nrYAD0cRE_C7tYFO-ZcZ4X8z5VbHSZng" Exception: You do not have permission to access the requested document.; SheetId: "1DQmgSarkdhmQ36rrU7O-UlpSDk6jBAA9Ujt71fU-vzk" Exception: You do not have permission to access the requested document.; SheetId: "1RUcxiwCApNUFHEUTSU9W_cN-7GaMIzmkUUvnL9zsYuY" Exception: You do not have permission to access the requested document.; SheetId: "1AyIQ5cuZTqoXeHBVOoRgACPvvOzRYsKf82OWwfCwZVo" Exception: You do not have permission to access the requested document.; SheetId: "13W1z0Zi28XEJLXnS9bbvmHuHX9JcotZDG6PNAr8deb0" Exception: You do not have permission to access the requested document.; SheetId: "1wPTKIUfRXrswONC-TRCc27vUre2Gcm9zH3VhWgj97k0" Exception: You do not have permission to access the requested document.; SheetId: "10fyLBMFF-Ll-39GmgBleodwY9UP1Z720Rc7S83ZNa24" Exception: You do not have permission to access the requested document.; SheetId: "1G_0DcG8h45qOqhHNR32u5MfoYysjDc_pEmrRYwChiJ4" Exception: You do not have permission to access the requested document.; SheetId: "1UDsOqVrSUUZnbgIqM-TuNovcJXEQR6y4iz2sNtd6FFU" Exception: You do not have permission to access the requested document.; SheetId: "19Nz4ORR7S2zC_ZpwICSgfXhsN865jy1XiKN7vf2xRgc" Exception: You do not have permission to access the requested document.; SheetId: "1jJPkQt55DZ_x9OeazDjxRB2KrHGlRFD-H0aS57MjDgk" Exception: You do not have permission to access the requested document.; SheetId: "115yXj5JZkJRrmygPapu3rwvxvQVwDcQxYMpCgTyOUK8" Exception: You do not have permission to access the requested document.; SheetId: "1f-bBX1tabRKPUd3UixDYD_LBeTCfm4fKMCZgZoegIXs" Exception: You do not have permission to access the requested document.; SheetId: "1aef7YUsReurtox1oodafQGw7Z74ZnTpflbN0raSOx5s" Exception: You do not have permission to access the requested document.; SheetId: "1qmpGg9TEDDGoqsF1BKTsBdGu9Vmrpr3i4f7Agl8SKOQ" Exception: You do not have permission to access the requested document.; SheetId: "1z2sYCQ-onJ1yJPrsVuq8i1OnKl0mo-1BmCvd6_mLzQw" Exception: You do not have permission to access the requested document.; SheetId: "1H8Rm_FggiunhnCb17GvMufsG8rKujAQ0-PtiCEXHsFs" Exception: You do not have permission to access the requested document.; SheetId: "1pHFf1OxoEG42boI8kVnoDt2dMCJhsNXzOZJMG99h704" Exception: You do not have permission to access the requested document.; </t>
  </si>
  <si>
    <t xml:space="preserve">SheetId: "1C_lVBqrfacsLvgsinktCFoxhribHrU-duHI3S2JQyjQ" Exception: You do not have permission to access the requested document.; SheetId: "1qDc89v01TKPluEH0Ofv_MLVoLm9DRK_Uc2-N0KHivWQ" Exception: You do not have permission to access the requested document.; SheetId: "133n2yxo3cBwev3Zo6o73X8zpARRAn7k-1A5m7WLcbSo" Exception: You do not have permission to access the requested document.; SheetId: "1fsGxZiiihyPbtTFDcLK-3dw5pYcyP65s9BeIMYNtke8" Exception: You do not have permission to access the requested document.; SheetId: "1Jc1MNemWqMgOhlEEZ14RvCB850NyZvs6NWdKfILkPLs" Exception: You do not have permission to access the requested document.; SheetId: "1FDxwTBWkT19SZNsiiDhgncoWzxpDlr17ip0cGs4bSCo" Exception: You do not have permission to access the requested document.; SheetId: "16XQhOsmwvKaQZCU3GZzz-4MeM1WL9sGbO6rgcSTGO54" Exception: You do not have permission to access the requested document.; SheetId: "1zoBLRgqUx9rOmDcGBlhaJ4JsQanzCCQCT77sKQu0sCg" Exception: You do not have permission to access the requested document.; SheetId: "1AJ1XfwMKb6S7o68ow7nW_kKu91FAn5fXJJabBDyjSZk" Exception: You do not have permission to access the requested document.; SheetId: "1sJdiQJuTABatoH7BKtjdHaOG3LfvzhaySLTOGOw7JDQ" Exception: You do not have permission to access the requested document.; SheetId: "1PWZ_G6xnVOrLmt0ACmCp4dJtEGbOXJU7QTK9qtvL_qI" Exception: You do not have permission to access the requested document.; SheetId: "1-mTuFSOuylcYpuGp5x3iNB5Hg9J-niS-T--7hEujMR0" Exception: You do not have permission to access the requested document.; SheetId: "1rj758oTEW9EfyfpmeaKBdadxYO5zoP6IkZM9sPvOcNo" Exception: You do not have permission to access the requested document.; SheetId: "18hNODCadvTfo4DEqIQDGzqMDZtsSUB5XwNVAPxz8stY" Exception: You do not have permission to access the requested document.; SheetId: "1HzzgJTGAUUYdofTLl5jzFZQP_ZfA-3N_akFoVYy3KhQ" Exception: You do not have permission to access the requested document.; SheetId: "1CGzFA8PbYbxBK7eXj-bdn7IfhSijJFrmkqjH6bmQCvg" Exception: You do not have permission to access the requested document.; SheetId: "1eKM95deBuZGnaMVKcjcvvC7zqTiojbvSJ7hzAw5Ut0c" Exception: You do not have permission to access the requested document.; SheetId: "1Csyx_z7eZB-nrYAD0cRE_C7tYFO-ZcZ4X8z5VbHSZng" Exception: You do not have permission to access the requested document.; SheetId: "1DQmgSarkdhmQ36rrU7O-UlpSDk6jBAA9Ujt71fU-vzk" Exception: You do not have permission to access the requested document.; SheetId: "1RUcxiwCApNUFHEUTSU9W_cN-7GaMIzmkUUvnL9zsYuY" Exception: You do not have permission to access the requested document.; SheetId: "1AyIQ5cuZTqoXeHBVOoRgACPvvOzRYsKf82OWwfCwZVo" Exception: You do not have permission to access the requested document.; SheetId: "13W1z0Zi28XEJLXnS9bbvmHuHX9JcotZDG6PNAr8deb0" Exception: You do not have permission to access the requested document.; SheetId: "1wPTKIUfRXrswONC-TRCc27vUre2Gcm9zH3VhWgj97k0" Exception: You do not have permission to access the requested document.; SheetId: "10fyLBMFF-Ll-39GmgBleodwY9UP1Z720Rc7S83ZNa24" Exception: You do not have permission to access the requested document.; SheetId: "1G_0DcG8h45qOqhHNR32u5MfoYysjDc_pEmrRYwChiJ4" Exception: You do not have permission to access the requested document.; SheetId: "1UDsOqVrSUUZnbgIqM-TuNovcJXEQR6y4iz2sNtd6FFU" Exception: You do not have permission to access the requested document.; SheetId: "19Nz4ORR7S2zC_ZpwICSgfXhsN865jy1XiKN7vf2xRgc" Exception: You do not have permission to access the requested document.; SheetId: "1jJPkQt55DZ_x9OeazDjxRB2KrHGlRFD-H0aS57MjDgk" Exception: You do not have permission to access the requested document.; SheetId: "115yXj5JZkJRrmygPapu3rwvxvQVwDcQxYMpCgTyOUK8" Exception: You do not have permission to access the requested document.; SheetId: "1f-bBX1tabRKPUd3UixDYD_LBeTCfm4fKMCZgZoegIXs" Exception: You do not have permission to access the requested document.; SheetId: "1aef7YUsReurtox1oodafQGw7Z74ZnTpflbN0raSOx5s" Exception: You do not have permission to access the requested document.; SheetId: "1qmpGg9TEDDGoqsF1BKTsBdGu9Vmrpr3i4f7Agl8SKOQ" Exception: You do not have permission to access the requested document.; SheetId: "1z2sYCQ-onJ1yJPrsVuq8i1OnKl0mo-1BmCvd6_mLzQw" Exception: You do not have permission to access the requested document.; SheetId: "1H8Rm_FggiunhnCb17GvMufsG8rKujAQ0-PtiCEXHsFs" Exception: You do not have permission to access the requested document.; SheetId: "1pHFf1OxoEG42boI8kVnoDt2dMCJhsNXzOZJMG99h704" Exception: You do not have permission to access the requested document.; </t>
  </si>
  <si>
    <t xml:space="preserve">SheetId: "1C_lVBqrfacsLvgsinktCFoxhribHrU-duHI3S2JQyjQ" Exception: You do not have permission to access the requested document.; SheetId: "1qDc89v01TKPluEH0Ofv_MLVoLm9DRK_Uc2-N0KHivWQ" Exception: You do not have permission to access the requested document.; SheetId: "133n2yxo3cBwev3Zo6o73X8zpARRAn7k-1A5m7WLcbSo" Exception: You do not have permission to access the requested document.; SheetId: "1fsGxZiiihyPbtTFDcLK-3dw5pYcyP65s9BeIMYNtke8" Exception: You do not have permission to access the requested document.; SheetId: "1Jc1MNemWqMgOhlEEZ14RvCB850NyZvs6NWdKfILkPLs" Exception: You do not have permission to access the requested document.; SheetId: "1bx8oIJB3XszKUZJ8xHCEnqPkaAxi_W7XXilFBW-k04s" Exception: You do not have permission to access the requested document.; SheetId: "1FDxwTBWkT19SZNsiiDhgncoWzxpDlr17ip0cGs4bSCo" Exception: You do not have permission to access the requested document.; SheetId: "16XQhOsmwvKaQZCU3GZzz-4MeM1WL9sGbO6rgcSTGO54" Exception: You do not have permission to access the requested document.; SheetId: "1zoBLRgqUx9rOmDcGBlhaJ4JsQanzCCQCT77sKQu0sCg" Exception: You do not have permission to access the requested document.; SheetId: "1AJ1XfwMKb6S7o68ow7nW_kKu91FAn5fXJJabBDyjSZk" Exception: You do not have permission to access the requested document.; SheetId: "1sJdiQJuTABatoH7BKtjdHaOG3LfvzhaySLTOGOw7JDQ" Exception: You do not have permission to access the requested document.; SheetId: "1PWZ_G6xnVOrLmt0ACmCp4dJtEGbOXJU7QTK9qtvL_qI" Exception: You do not have permission to access the requested document.; SheetId: "1-mTuFSOuylcYpuGp5x3iNB5Hg9J-niS-T--7hEujMR0" Exception: You do not have permission to access the requested document.; SheetId: "1rj758oTEW9EfyfpmeaKBdadxYO5zoP6IkZM9sPvOcNo" Exception: You do not have permission to access the requested document.; SheetId: "18hNODCadvTfo4DEqIQDGzqMDZtsSUB5XwNVAPxz8stY" Exception: You do not have permission to access the requested document.; SheetId: "1HzzgJTGAUUYdofTLl5jzFZQP_ZfA-3N_akFoVYy3KhQ" Exception: You do not have permission to access the requested document.; SheetId: "1CGzFA8PbYbxBK7eXj-bdn7IfhSijJFrmkqjH6bmQCvg" Exception: You do not have permission to access the requested document.; SheetId: "1eKM95deBuZGnaMVKcjcvvC7zqTiojbvSJ7hzAw5Ut0c" Exception: You do not have permission to access the requested document.; SheetId: "1Csyx_z7eZB-nrYAD0cRE_C7tYFO-ZcZ4X8z5VbHSZng" Exception: You do not have permission to access the requested document.; SheetId: "1DQmgSarkdhmQ36rrU7O-UlpSDk6jBAA9Ujt71fU-vzk" Exception: You do not have permission to access the requested document.; SheetId: "1RUcxiwCApNUFHEUTSU9W_cN-7GaMIzmkUUvnL9zsYuY" Exception: You do not have permission to access the requested document.; SheetId: "1AyIQ5cuZTqoXeHBVOoRgACPvvOzRYsKf82OWwfCwZVo" Exception: You do not have permission to access the requested document.; SheetId: "13W1z0Zi28XEJLXnS9bbvmHuHX9JcotZDG6PNAr8deb0" Exception: You do not have permission to access the requested document.; SheetId: "1wPTKIUfRXrswONC-TRCc27vUre2Gcm9zH3VhWgj97k0" Exception: You do not have permission to access the requested document.; SheetId: "10fyLBMFF-Ll-39GmgBleodwY9UP1Z720Rc7S83ZNa24" Exception: You do not have permission to access the requested document.; SheetId: "1G_0DcG8h45qOqhHNR32u5MfoYysjDc_pEmrRYwChiJ4" Exception: You do not have permission to access the requested document.; SheetId: "1UDsOqVrSUUZnbgIqM-TuNovcJXEQR6y4iz2sNtd6FFU" Exception: You do not have permission to access the requested document.; SheetId: "19Nz4ORR7S2zC_ZpwICSgfXhsN865jy1XiKN7vf2xRgc" Exception: You do not have permission to access the requested document.; SheetId: "1jJPkQt55DZ_x9OeazDjxRB2KrHGlRFD-H0aS57MjDgk" Exception: You do not have permission to access the requested document.; SheetId: "115yXj5JZkJRrmygPapu3rwvxvQVwDcQxYMpCgTyOUK8" Exception: You do not have permission to access the requested document.; SheetId: "1f-bBX1tabRKPUd3UixDYD_LBeTCfm4fKMCZgZoegIXs" Exception: You do not have permission to access the requested document.; SheetId: "1aef7YUsReurtox1oodafQGw7Z74ZnTpflbN0raSOx5s" Exception: You do not have permission to access the requested document.; SheetId: "1qmpGg9TEDDGoqsF1BKTsBdGu9Vmrpr3i4f7Agl8SKOQ" Exception: You do not have permission to access the requested document.; SheetId: "1z2sYCQ-onJ1yJPrsVuq8i1OnKl0mo-1BmCvd6_mLzQw" Exception: You do not have permission to access the requested document.; SheetId: "1H8Rm_FggiunhnCb17GvMufsG8rKujAQ0-PtiCEXHsFs" Exception: You do not have permission to access the requested document.; SheetId: "1pHFf1OxoEG42boI8kVnoDt2dMCJhsNXzOZJMG99h704" Exception: You do not have permission to access the requested document.; </t>
  </si>
  <si>
    <t xml:space="preserve">SheetId: "1C_lVBqrfacsLvgsinktCFoxhribHrU-duHI3S2JQyjQ" Exception: You do not have permission to access the requested document.; SheetId: "1qDc89v01TKPluEH0Ofv_MLVoLm9DRK_Uc2-N0KHivWQ" Exception: You do not have permission to access the requested document.; SheetId: "133n2yxo3cBwev3Zo6o73X8zpARRAn7k-1A5m7WLcbSo" Exception: You do not have permission to access the requested document.; SheetId: "1fsGxZiiihyPbtTFDcLK-3dw5pYcyP65s9BeIMYNtke8" Exception: You do not have permission to access the requested document.; SheetId: "1Jc1MNemWqMgOhlEEZ14RvCB850NyZvs6NWdKfILkPLs" Exception: You do not have permission to access the requested document.; SheetId: "1bx8oIJB3XszKUZJ8xHCEnqPkaAxi_W7XXilFBW-k04s" Exception: You do not have permission to access the requested document.; SheetId: "1FDxwTBWkT19SZNsiiDhgncoWzxpDlr17ip0cGs4bSCo" Exception: You do not have permission to access the requested document.; SheetId: "16XQhOsmwvKaQZCU3GZzz-4MeM1WL9sGbO6rgcSTGO54" Exception: You do not have permission to access the requested document.; SheetId: "1zoBLRgqUx9rOmDcGBlhaJ4JsQanzCCQCT77sKQu0sCg" Exception: You do not have permission to access the requested document.; SheetId: "1AJ1XfwMKb6S7o68ow7nW_kKu91FAn5fXJJabBDyjSZk" Exception: You do not have permission to access the requested document.; SheetId: "1sJdiQJuTABatoH7BKtjdHaOG3LfvzhaySLTOGOw7JDQ" Exception: You do not have permission to access the requested document.; SheetId: "1DfTP099pCYCF3U-e0kCF7AWZmB99b6K0iEmek0Egpi8" Exception: You do not have permission to access the requested document.; SheetId: "1ealEjc2s88zgV9V-rH0mDa_92G9rjenT9XpX2nHuQ-g" Exception: You do not have permission to access the requested document.; SheetId: "1_r8bt4qDLQt6_kZ5assx2yqBwnMWgmqZsId9cM0FD2w" Exception: You do not have permission to access the requested document.; SheetId: "1PWZ_G6xnVOrLmt0ACmCp4dJtEGbOXJU7QTK9qtvL_qI" Exception: You do not have permission to access the requested document.; SheetId: "1-mTuFSOuylcYpuGp5x3iNB5Hg9J-niS-T--7hEujMR0" Exception: You do not have permission to access the requested document.; SheetId: "1rj758oTEW9EfyfpmeaKBdadxYO5zoP6IkZM9sPvOcNo" Exception: You do not have permission to access the requested document.; SheetId: "18hNODCadvTfo4DEqIQDGzqMDZtsSUB5XwNVAPxz8stY" Exception: You do not have permission to access the requested document.; SheetId: "1HzzgJTGAUUYdofTLl5jzFZQP_ZfA-3N_akFoVYy3KhQ" Exception: You do not have permission to access the requested document.; SheetId: "1CGzFA8PbYbxBK7eXj-bdn7IfhSijJFrmkqjH6bmQCvg" Exception: You do not have permission to access the requested document.; SheetId: "1eKM95deBuZGnaMVKcjcvvC7zqTiojbvSJ7hzAw5Ut0c" Exception: You do not have permission to access the requested document.; SheetId: "1Csyx_z7eZB-nrYAD0cRE_C7tYFO-ZcZ4X8z5VbHSZng" Exception: You do not have permission to access the requested document.; SheetId: "1DQmgSarkdhmQ36rrU7O-UlpSDk6jBAA9Ujt71fU-vzk" Exception: You do not have permission to access the requested document.; SheetId: "1RUcxiwCApNUFHEUTSU9W_cN-7GaMIzmkUUvnL9zsYuY" Exception: You do not have permission to access the requested document.; SheetId: "1AyIQ5cuZTqoXeHBVOoRgACPvvOzRYsKf82OWwfCwZVo" Exception: You do not have permission to access the requested document.; SheetId: "13W1z0Zi28XEJLXnS9bbvmHuHX9JcotZDG6PNAr8deb0" Exception: You do not have permission to access the requested document.; SheetId: "1wPTKIUfRXrswONC-TRCc27vUre2Gcm9zH3VhWgj97k0" Exception: You do not have permission to access the requested document.; SheetId: "10fyLBMFF-Ll-39GmgBleodwY9UP1Z720Rc7S83ZNa24" Exception: You do not have permission to access the requested document.; SheetId: "1G_0DcG8h45qOqhHNR32u5MfoYysjDc_pEmrRYwChiJ4" Exception: You do not have permission to access the requested document.; SheetId: "1UDsOqVrSUUZnbgIqM-TuNovcJXEQR6y4iz2sNtd6FFU" Exception: You do not have permission to access the requested document.; SheetId: "19Nz4ORR7S2zC_ZpwICSgfXhsN865jy1XiKN7vf2xRgc" Exception: You do not have permission to access the requested document.; SheetId: "1jJPkQt55DZ_x9OeazDjxRB2KrHGlRFD-H0aS57MjDgk" Exception: You do not have permission to access the requested document.; SheetId: "115yXj5JZkJRrmygPapu3rwvxvQVwDcQxYMpCgTyOUK8" Exception: You do not have permission to access the requested document.; SheetId: "1f-bBX1tabRKPUd3UixDYD_LBeTCfm4fKMCZgZoegIXs" Exception: You do not have permission to access the requested document.; SheetId: "1aef7YUsReurtox1oodafQGw7Z74ZnTpflbN0raSOx5s" Exception: You do not have permission to access the requested document.; SheetId: "1qmpGg9TEDDGoqsF1BKTsBdGu9Vmrpr3i4f7Agl8SKOQ" Exception: You do not have permission to access the requested document.; SheetId: "1z2sYCQ-onJ1yJPrsVuq8i1OnKl0mo-1BmCvd6_mLzQw" Exception: You do not have permission to access the requested document.; SheetId: "1H8Rm_FggiunhnCb17GvMufsG8rKujAQ0-PtiCEXHsFs" Exception: You do not have permission to access the requested document.; SheetId: "1pHFf1OxoEG42boI8kVnoDt2dMCJhsNXzOZJMG99h704" Exception: You do not have permission to access the requested document.; </t>
  </si>
  <si>
    <t xml:space="preserve">SheetId: "1C_lVBqrfacsLvgsinktCFoxhribHrU-duHI3S2JQyjQ" Exception: You do not have permission to access the requested document.; SheetId: "1qDc89v01TKPluEH0Ofv_MLVoLm9DRK_Uc2-N0KHivWQ" Exception: You do not have permission to access the requested document.; SheetId: "1BYBDWSYKGUtPPotW5KoiISidXW1ZO64HMCXE11IVyqY" Exception: You do not have permission to access the requested document.; SheetId: "133n2yxo3cBwev3Zo6o73X8zpARRAn7k-1A5m7WLcbSo" Exception: You do not have permission to access the requested document.; SheetId: "1fsGxZiiihyPbtTFDcLK-3dw5pYcyP65s9BeIMYNtke8" Exception: You do not have permission to access the requested document.; SheetId: "1Jc1MNemWqMgOhlEEZ14RvCB850NyZvs6NWdKfILkPLs" Exception: You do not have permission to access the requested document.; SheetId: "1KPhc4dXQcKyN3IKMAlOttCjBL2FDpl2GLmSK361KmRQ" Exception: You do not have permission to access the requested document.; SheetId: "1bx8oIJB3XszKUZJ8xHCEnqPkaAxi_W7XXilFBW-k04s" Exception: You do not have permission to access the requested document.; SheetId: "1FDxwTBWkT19SZNsiiDhgncoWzxpDlr17ip0cGs4bSCo" Exception: You do not have permission to access the requested document.; SheetId: "16XQhOsmwvKaQZCU3GZzz-4MeM1WL9sGbO6rgcSTGO54" Exception: You do not have permission to access the requested document.; SheetId: "1zoBLRgqUx9rOmDcGBlhaJ4JsQanzCCQCT77sKQu0sCg" Exception: You do not have permission to access the requested document.; SheetId: "1AJ1XfwMKb6S7o68ow7nW_kKu91FAn5fXJJabBDyjSZk" Exception: You do not have permission to access the requested document.; SheetId: "1sJdiQJuTABatoH7BKtjdHaOG3LfvzhaySLTOGOw7JDQ" Exception: You do not have permission to access the requested document.; SheetId: "1DfTP099pCYCF3U-e0kCF7AWZmB99b6K0iEmek0Egpi8" Exception: You do not have permission to access the requested document.; SheetId: "1ealEjc2s88zgV9V-rH0mDa_92G9rjenT9XpX2nHuQ-g" Exception: You do not have permission to access the requested document.; SheetId: "1_r8bt4qDLQt6_kZ5assx2yqBwnMWgmqZsId9cM0FD2w" Exception: You do not have permission to access the requested document.; SheetId: "1PWZ_G6xnVOrLmt0ACmCp4dJtEGbOXJU7QTK9qtvL_qI" Exception: You do not have permission to access the requested document.; SheetId: "1-mTuFSOuylcYpuGp5x3iNB5Hg9J-niS-T--7hEujMR0" Exception: You do not have permission to access the requested document.; SheetId: "1rj758oTEW9EfyfpmeaKBdadxYO5zoP6IkZM9sPvOcNo" Exception: You do not have permission to access the requested document.; SheetId: "18hNODCadvTfo4DEqIQDGzqMDZtsSUB5XwNVAPxz8stY" Exception: You do not have permission to access the requested document.; SheetId: "1HzzgJTGAUUYdofTLl5jzFZQP_ZfA-3N_akFoVYy3KhQ" Exception: You do not have permission to access the requested document.; SheetId: "1CGzFA8PbYbxBK7eXj-bdn7IfhSijJFrmkqjH6bmQCvg" Exception: You do not have permission to access the requested document.; SheetId: "1eKM95deBuZGnaMVKcjcvvC7zqTiojbvSJ7hzAw5Ut0c" Exception: You do not have permission to access the requested document.; SheetId: "1Csyx_z7eZB-nrYAD0cRE_C7tYFO-ZcZ4X8z5VbHSZng" Exception: You do not have permission to access the requested document.; SheetId: "1DQmgSarkdhmQ36rrU7O-UlpSDk6jBAA9Ujt71fU-vzk" Exception: You do not have permission to access the requested document.; SheetId: "1RUcxiwCApNUFHEUTSU9W_cN-7GaMIzmkUUvnL9zsYuY" Exception: You do not have permission to access the requested document.; SheetId: "1AyIQ5cuZTqoXeHBVOoRgACPvvOzRYsKf82OWwfCwZVo" Exception: You do not have permission to access the requested document.; SheetId: "13W1z0Zi28XEJLXnS9bbvmHuHX9JcotZDG6PNAr8deb0" Exception: You do not have permission to access the requested document.; SheetId: "1wPTKIUfRXrswONC-TRCc27vUre2Gcm9zH3VhWgj97k0" Exception: You do not have permission to access the requested document.; SheetId: "10fyLBMFF-Ll-39GmgBleodwY9UP1Z720Rc7S83ZNa24" Exception: You do not have permission to access the requested document.; SheetId: "1G_0DcG8h45qOqhHNR32u5MfoYysjDc_pEmrRYwChiJ4" Exception: You do not have permission to access the requested document.; SheetId: "1UDsOqVrSUUZnbgIqM-TuNovcJXEQR6y4iz2sNtd6FFU" Exception: You do not have permission to access the requested document.; SheetId: "19Nz4ORR7S2zC_ZpwICSgfXhsN865jy1XiKN7vf2xRgc" Exception: You do not have permission to access the requested document.; SheetId: "1jJPkQt55DZ_x9OeazDjxRB2KrHGlRFD-H0aS57MjDgk" Exception: You do not have permission to access the requested document.; SheetId: "115yXj5JZkJRrmygPapu3rwvxvQVwDcQxYMpCgTyOUK8" Exception: You do not have permission to access the requested document.; SheetId: "1f-bBX1tabRKPUd3UixDYD_LBeTCfm4fKMCZgZoegIXs" Exception: You do not have permission to access the requested document.; SheetId: "1aef7YUsReurtox1oodafQGw7Z74ZnTpflbN0raSOx5s" Exception: You do not have permission to access the requested document.; SheetId: "1qmpGg9TEDDGoqsF1BKTsBdGu9Vmrpr3i4f7Agl8SKOQ" Exception: You do not have permission to access the requested document.; SheetId: "1z2sYCQ-onJ1yJPrsVuq8i1OnKl0mo-1BmCvd6_mLzQw" Exception: You do not have permission to access the requested document.; SheetId: "1H8Rm_FggiunhnCb17GvMufsG8rKujAQ0-PtiCEXHsFs" Exception: You do not have permission to access the requested document.; SheetId: "1pHFf1OxoEG42boI8kVnoDt2dMCJhsNXzOZJMG99h704" Exception: You do not have permission to access the requested document.; </t>
  </si>
  <si>
    <t xml:space="preserve">SheetId: "1C_lVBqrfacsLvgsinktCFoxhribHrU-duHI3S2JQyjQ" Exception: You do not have permission to access the requested document.; SheetId: "1W-Ux3TCVsl8Hvx819dk9o76pFfxxHGKaL3lUlgGsPVI" Exception: You do not have permission to access the requested document.; SheetId: "1qDc89v01TKPluEH0Ofv_MLVoLm9DRK_Uc2-N0KHivWQ" Exception: You do not have permission to access the requested document.; SheetId: "1BYBDWSYKGUtPPotW5KoiISidXW1ZO64HMCXE11IVyqY" Exception: You do not have permission to access the requested document.; SheetId: "133n2yxo3cBwev3Zo6o73X8zpARRAn7k-1A5m7WLcbSo" Exception: You do not have permission to access the requested document.; SheetId: "1fsGxZiiihyPbtTFDcLK-3dw5pYcyP65s9BeIMYNtke8" Exception: You do not have permission to access the requested document.; SheetId: "1Jc1MNemWqMgOhlEEZ14RvCB850NyZvs6NWdKfILkPLs" Exception: You do not have permission to access the requested document.; SheetId: "1KPhc4dXQcKyN3IKMAlOttCjBL2FDpl2GLmSK361KmRQ" Exception: You do not have permission to access the requested document.; SheetId: "1bx8oIJB3XszKUZJ8xHCEnqPkaAxi_W7XXilFBW-k04s" Exception: You do not have permission to access the requested document.; SheetId: "1FDxwTBWkT19SZNsiiDhgncoWzxpDlr17ip0cGs4bSCo" Exception: You do not have permission to access the requested document.; SheetId: "16XQhOsmwvKaQZCU3GZzz-4MeM1WL9sGbO6rgcSTGO54" Exception: You do not have permission to access the requested document.; SheetId: "1zoBLRgqUx9rOmDcGBlhaJ4JsQanzCCQCT77sKQu0sCg" Exception: You do not have permission to access the requested document.; SheetId: "1AJ1XfwMKb6S7o68ow7nW_kKu91FAn5fXJJabBDyjSZk" Exception: You do not have permission to access the requested document.; SheetId: "1sJdiQJuTABatoH7BKtjdHaOG3LfvzhaySLTOGOw7JDQ" Exception: You do not have permission to access the requested document.; SheetId: "1DfTP099pCYCF3U-e0kCF7AWZmB99b6K0iEmek0Egpi8" Exception: You do not have permission to access the requested document.; SheetId: "1ealEjc2s88zgV9V-rH0mDa_92G9rjenT9XpX2nHuQ-g" Exception: You do not have permission to access the requested document.; SheetId: "1_r8bt4qDLQt6_kZ5assx2yqBwnMWgmqZsId9cM0FD2w" Exception: You do not have permission to access the requested document.; SheetId: "1PWZ_G6xnVOrLmt0ACmCp4dJtEGbOXJU7QTK9qtvL_qI" Exception: You do not have permission to access the requested document.; SheetId: "1-mTuFSOuylcYpuGp5x3iNB5Hg9J-niS-T--7hEujMR0" Exception: You do not have permission to access the requested document.; SheetId: "1rj758oTEW9EfyfpmeaKBdadxYO5zoP6IkZM9sPvOcNo" Exception: You do not have permission to access the requested document.; SheetId: "18hNODCadvTfo4DEqIQDGzqMDZtsSUB5XwNVAPxz8stY" Exception: You do not have permission to access the requested document.; SheetId: "1HzzgJTGAUUYdofTLl5jzFZQP_ZfA-3N_akFoVYy3KhQ" Exception: You do not have permission to access the requested document.; SheetId: "1CGzFA8PbYbxBK7eXj-bdn7IfhSijJFrmkqjH6bmQCvg" Exception: You do not have permission to access the requested document.; SheetId: "1eKM95deBuZGnaMVKcjcvvC7zqTiojbvSJ7hzAw5Ut0c" Exception: You do not have permission to access the requested document.; SheetId: "1Csyx_z7eZB-nrYAD0cRE_C7tYFO-ZcZ4X8z5VbHSZng" Exception: You do not have permission to access the requested document.; SheetId: "1DQmgSarkdhmQ36rrU7O-UlpSDk6jBAA9Ujt71fU-vzk" Exception: You do not have permission to access the requested document.; SheetId: "1RUcxiwCApNUFHEUTSU9W_cN-7GaMIzmkUUvnL9zsYuY" Exception: You do not have permission to access the requested document.; SheetId: "13W1z0Zi28XEJLXnS9bbvmHuHX9JcotZDG6PNAr8deb0" Exception: You do not have permission to access the requested document.; SheetId: "1wPTKIUfRXrswONC-TRCc27vUre2Gcm9zH3VhWgj97k0" Exception: You do not have permission to access the requested document.; SheetId: "1Y6Ak0WKpF2tqYoWTj27MefJtfQ992XsjSK234OeFaXc" Exception: You do not have permission to access the requested document.; SheetId: "10fyLBMFF-Ll-39GmgBleodwY9UP1Z720Rc7S83ZNa24" Exception: You do not have permission to access the requested document.; SheetId: "1G_0DcG8h45qOqhHNR32u5MfoYysjDc_pEmrRYwChiJ4" Exception: You do not have permission to access the requested document.; SheetId: "1UDsOqVrSUUZnbgIqM-TuNovcJXEQR6y4iz2sNtd6FFU" Exception: You do not have permission to access the requested document.; SheetId: "19Nz4ORR7S2zC_ZpwICSgfXhsN865jy1XiKN7vf2xRgc" Exception: You do not have permission to access the requested document.; SheetId: "1jJPkQt55DZ_x9OeazDjxRB2KrHGlRFD-H0aS57MjDgk" Exception: You do not have permission to access the requested document.; SheetId: "115yXj5JZkJRrmygPapu3rwvxvQVwDcQxYMpCgTyOUK8" Exception: You do not have permission to access the requested document.; SheetId: "1f-bBX1tabRKPUd3UixDYD_LBeTCfm4fKMCZgZoegIXs" Exception: You do not have permission to access the requested document.; SheetId: "1aef7YUsReurtox1oodafQGw7Z74ZnTpflbN0raSOx5s" Exception: You do not have permission to access the requested document.; SheetId: "1qmpGg9TEDDGoqsF1BKTsBdGu9Vmrpr3i4f7Agl8SKOQ" Exception: You do not have permission to access the requested document.; SheetId: "1z2sYCQ-onJ1yJPrsVuq8i1OnKl0mo-1BmCvd6_mLzQw" Exception: You do not have permission to access the requested document.; SheetId: "1H8Rm_FggiunhnCb17GvMufsG8rKujAQ0-PtiCEXHsFs" Exception: You do not have permission to access the requested document.; SheetId: "1pHFf1OxoEG42boI8kVnoDt2dMCJhsNXzOZJMG99h704" Exception: You do not have permission to access the requested document.; </t>
  </si>
  <si>
    <t xml:space="preserve">SheetId: "1C_lVBqrfacsLvgsinktCFoxhribHrU-duHI3S2JQyjQ" Exception: You do not have permission to access the requested document.; SheetId: "1W-Ux3TCVsl8Hvx819dk9o76pFfxxHGKaL3lUlgGsPVI" Exception: You do not have permission to access the requested document.; SheetId: "1qDc89v01TKPluEH0Ofv_MLVoLm9DRK_Uc2-N0KHivWQ" Exception: You do not have permission to access the requested document.; SheetId: "1BYBDWSYKGUtPPotW5KoiISidXW1ZO64HMCXE11IVyqY" Exception: You do not have permission to access the requested document.; SheetId: "133n2yxo3cBwev3Zo6o73X8zpARRAn7k-1A5m7WLcbSo" Exception: You do not have permission to access the requested document.; SheetId: "1fsGxZiiihyPbtTFDcLK-3dw5pYcyP65s9BeIMYNtke8" Exception: You do not have permission to access the requested document.; SheetId: "1yrm8IA2H46RiZtp6HyyHhpUPQ17Z54AXFRF6e_91KZI" Exception: You do not have permission to access the requested document.; SheetId: "1Jc1MNemWqMgOhlEEZ14RvCB850NyZvs6NWdKfILkPLs" Exception: You do not have permission to access the requested document.; SheetId: "1KPhc4dXQcKyN3IKMAlOttCjBL2FDpl2GLmSK361KmRQ" Exception: You do not have permission to access the requested document.; SheetId: "1bx8oIJB3XszKUZJ8xHCEnqPkaAxi_W7XXilFBW-k04s" Exception: You do not have permission to access the requested document.; SheetId: "1FDxwTBWkT19SZNsiiDhgncoWzxpDlr17ip0cGs4bSCo" Exception: You do not have permission to access the requested document.; SheetId: "16XQhOsmwvKaQZCU3GZzz-4MeM1WL9sGbO6rgcSTGO54" Exception: You do not have permission to access the requested document.; SheetId: "1zoBLRgqUx9rOmDcGBlhaJ4JsQanzCCQCT77sKQu0sCg" Exception: You do not have permission to access the requested document.; SheetId: "1AJ1XfwMKb6S7o68ow7nW_kKu91FAn5fXJJabBDyjSZk" Exception: You do not have permission to access the requested document.; SheetId: "1sJdiQJuTABatoH7BKtjdHaOG3LfvzhaySLTOGOw7JDQ" Exception: You do not have permission to access the requested document.; SheetId: "1DfTP099pCYCF3U-e0kCF7AWZmB99b6K0iEmek0Egpi8" Exception: You do not have permission to access the requested document.; SheetId: "1ealEjc2s88zgV9V-rH0mDa_92G9rjenT9XpX2nHuQ-g" Exception: You do not have permission to access the requested document.; SheetId: "1_r8bt4qDLQt6_kZ5assx2yqBwnMWgmqZsId9cM0FD2w" Exception: You do not have permission to access the requested document.; SheetId: "1PWZ_G6xnVOrLmt0ACmCp4dJtEGbOXJU7QTK9qtvL_qI" Exception: You do not have permission to access the requested document.; SheetId: "1-mTuFSOuylcYpuGp5x3iNB5Hg9J-niS-T--7hEujMR0" Exception: You do not have permission to access the requested document.; SheetId: "1rj758oTEW9EfyfpmeaKBdadxYO5zoP6IkZM9sPvOcNo" Exception: You do not have permission to access the requested document.; SheetId: "18hNODCadvTfo4DEqIQDGzqMDZtsSUB5XwNVAPxz8stY" Exception: You do not have permission to access the requested document.; SheetId: "1HzzgJTGAUUYdofTLl5jzFZQP_ZfA-3N_akFoVYy3KhQ" Exception: You do not have permission to access the requested document.; SheetId: "1CGzFA8PbYbxBK7eXj-bdn7IfhSijJFrmkqjH6bmQCvg" Exception: You do not have permission to access the requested document.; SheetId: "1eKM95deBuZGnaMVKcjcvvC7zqTiojbvSJ7hzAw5Ut0c" Exception: You do not have permission to access the requested document.; SheetId: "1Csyx_z7eZB-nrYAD0cRE_C7tYFO-ZcZ4X8z5VbHSZng" Exception: You do not have permission to access the requested document.; SheetId: "1DQmgSarkdhmQ36rrU7O-UlpSDk6jBAA9Ujt71fU-vzk" Exception: You do not have permission to access the requested document.; SheetId: "1RUcxiwCApNUFHEUTSU9W_cN-7GaMIzmkUUvnL9zsYuY" Exception: You do not have permission to access the requested document.; SheetId: "13W1z0Zi28XEJLXnS9bbvmHuHX9JcotZDG6PNAr8deb0" Exception: You do not have permission to access the requested document.; SheetId: "1wPTKIUfRXrswONC-TRCc27vUre2Gcm9zH3VhWgj97k0" Exception: You do not have permission to access the requested document.; SheetId: "1Y6Ak0WKpF2tqYoWTj27MefJtfQ992XsjSK234OeFaXc" Exception: You do not have permission to access the requested document.; SheetId: "10fyLBMFF-Ll-39GmgBleodwY9UP1Z720Rc7S83ZNa24" Exception: You do not have permission to access the requested document.; SheetId: "1G_0DcG8h45qOqhHNR32u5MfoYysjDc_pEmrRYwChiJ4" Exception: You do not have permission to access the requested document.; SheetId: "1UDsOqVrSUUZnbgIqM-TuNovcJXEQR6y4iz2sNtd6FFU" Exception: You do not have permission to access the requested document.; SheetId: "19Nz4ORR7S2zC_ZpwICSgfXhsN865jy1XiKN7vf2xRgc" Exception: You do not have permission to access the requested document.; SheetId: "1jJPkQt55DZ_x9OeazDjxRB2KrHGlRFD-H0aS57MjDgk" Exception: You do not have permission to access the requested document.; SheetId: "115yXj5JZkJRrmygPapu3rwvxvQVwDcQxYMpCgTyOUK8" Exception: You do not have permission to access the requested document.; SheetId: "1f-bBX1tabRKPUd3UixDYD_LBeTCfm4fKMCZgZoegIXs" Exception: You do not have permission to access the requested document.; SheetId: "1aef7YUsReurtox1oodafQGw7Z74ZnTpflbN0raSOx5s" Exception: You do not have permission to access the requested document.; SheetId: "1qmpGg9TEDDGoqsF1BKTsBdGu9Vmrpr3i4f7Agl8SKOQ" Exception: You do not have permission to access the requested document.; SheetId: "1z2sYCQ-onJ1yJPrsVuq8i1OnKl0mo-1BmCvd6_mLzQw" Exception: You do not have permission to access the requested document.; SheetId: "1H8Rm_FggiunhnCb17GvMufsG8rKujAQ0-PtiCEXHsFs" Exception: You do not have permission to access the requested document.; SheetId: "1pHFf1OxoEG42boI8kVnoDt2dMCJhsNXzOZJMG99h704" Exception: You do not have permission to access the requested document.; </t>
  </si>
  <si>
    <t xml:space="preserve">SheetId: "1EqxyUF6OBDNIx8tqqC-5Qw9EhuGDLI3wrwI584-fpz0" Exception: You do not have permission to access the requested document.; SheetId: "1C_lVBqrfacsLvgsinktCFoxhribHrU-duHI3S2JQyjQ" Exception: You do not have permission to access the requested document.; SheetId: "1W-Ux3TCVsl8Hvx819dk9o76pFfxxHGKaL3lUlgGsPVI" Exception: You do not have permission to access the requested document.; SheetId: "1qDc89v01TKPluEH0Ofv_MLVoLm9DRK_Uc2-N0KHivWQ" Exception: You do not have permission to access the requested document.; SheetId: "1BYBDWSYKGUtPPotW5KoiISidXW1ZO64HMCXE11IVyqY" Exception: You do not have permission to access the requested document.; SheetId: "133n2yxo3cBwev3Zo6o73X8zpARRAn7k-1A5m7WLcbSo" Exception: You do not have permission to access the requested document.; SheetId: "1fsGxZiiihyPbtTFDcLK-3dw5pYcyP65s9BeIMYNtke8" Exception: You do not have permission to access the requested document.; SheetId: "1yrm8IA2H46RiZtp6HyyHhpUPQ17Z54AXFRF6e_91KZI" Exception: You do not have permission to access the requested document.; SheetId: "1Jc1MNemWqMgOhlEEZ14RvCB850NyZvs6NWdKfILkPLs" Exception: You do not have permission to access the requested document.; SheetId: "1KPhc4dXQcKyN3IKMAlOttCjBL2FDpl2GLmSK361KmRQ" Exception: You do not have permission to access the requested document.; SheetId: "1bx8oIJB3XszKUZJ8xHCEnqPkaAxi_W7XXilFBW-k04s" Exception: You do not have permission to access the requested document.; SheetId: "1FDxwTBWkT19SZNsiiDhgncoWzxpDlr17ip0cGs4bSCo" Exception: You do not have permission to access the requested document.; SheetId: "1t80MWOfCQauU8ZXBskGWPAVTtA_TwPRH6D0T-eS15Uo" Exception: You do not have permission to access the requested document.; SheetId: "16XQhOsmwvKaQZCU3GZzz-4MeM1WL9sGbO6rgcSTGO54" Exception: You do not have permission to access the requested document.; SheetId: "1zoBLRgqUx9rOmDcGBlhaJ4JsQanzCCQCT77sKQu0sCg" Exception: You do not have permission to access the requested document.; SheetId: "1AJ1XfwMKb6S7o68ow7nW_kKu91FAn5fXJJabBDyjSZk" Exception: You do not have permission to access the requested document.; SheetId: "1sJdiQJuTABatoH7BKtjdHaOG3LfvzhaySLTOGOw7JDQ" Exception: You do not have permission to access the requested document.; SheetId: "1DfTP099pCYCF3U-e0kCF7AWZmB99b6K0iEmek0Egpi8" Exception: You do not have permission to access the requested document.; SheetId: "1ealEjc2s88zgV9V-rH0mDa_92G9rjenT9XpX2nHuQ-g" Exception: You do not have permission to access the requested document.; SheetId: "1_r8bt4qDLQt6_kZ5assx2yqBwnMWgmqZsId9cM0FD2w" Exception: You do not have permission to access the requested document.; SheetId: "1PWZ_G6xnVOrLmt0ACmCp4dJtEGbOXJU7QTK9qtvL_qI" Exception: You do not have permission to access the requested document.; SheetId: "1-mTuFSOuylcYpuGp5x3iNB5Hg9J-niS-T--7hEujMR0" Exception: You do not have permission to access the requested document.; SheetId: "1rj758oTEW9EfyfpmeaKBdadxYO5zoP6IkZM9sPvOcNo" Exception: You do not have permission to access the requested document.; SheetId: "18hNODCadvTfo4DEqIQDGzqMDZtsSUB5XwNVAPxz8stY" Exception: You do not have permission to access the requested document.; SheetId: "1HzzgJTGAUUYdofTLl5jzFZQP_ZfA-3N_akFoVYy3KhQ" Exception: You do not have permission to access the requested document.; SheetId: "1CGzFA8PbYbxBK7eXj-bdn7IfhSijJFrmkqjH6bmQCvg" Exception: You do not have permission to access the requested document.; SheetId: "1eKM95deBuZGnaMVKcjcvvC7zqTiojbvSJ7hzAw5Ut0c" Exception: You do not have permission to access the requested document.; SheetId: "1Csyx_z7eZB-nrYAD0cRE_C7tYFO-ZcZ4X8z5VbHSZng" Exception: You do not have permission to access the requested document.; SheetId: "1DQmgSarkdhmQ36rrU7O-UlpSDk6jBAA9Ujt71fU-vzk" Exception: You do not have permission to access the requested document.; SheetId: "1RUcxiwCApNUFHEUTSU9W_cN-7GaMIzmkUUvnL9zsYuY" Exception: You do not have permission to access the requested document.; SheetId: "13W1z0Zi28XEJLXnS9bbvmHuHX9JcotZDG6PNAr8deb0" Exception: You do not have permission to access the requested document.; SheetId: "1wPTKIUfRXrswONC-TRCc27vUre2Gcm9zH3VhWgj97k0" Exception: You do not have permission to access the requested document.; SheetId: "1Y6Ak0WKpF2tqYoWTj27MefJtfQ992XsjSK234OeFaXc" Exception: You do not have permission to access the requested document.; SheetId: "10fyLBMFF-Ll-39GmgBleodwY9UP1Z720Rc7S83ZNa24" Exception: You do not have permission to access the requested document.; SheetId: "1G_0DcG8h45qOqhHNR32u5MfoYysjDc_pEmrRYwChiJ4" Exception: You do not have permission to access the requested document.; SheetId: "1UDsOqVrSUUZnbgIqM-TuNovcJXEQR6y4iz2sNtd6FFU" Exception: You do not have permission to access the requested document.; SheetId: "19Nz4ORR7S2zC_ZpwICSgfXhsN865jy1XiKN7vf2xRgc" Exception: You do not have permission to access the requested document.; SheetId: "1jJPkQt55DZ_x9OeazDjxRB2KrHGlRFD-H0aS57MjDgk" Exception: You do not have permission to access the requested document.; SheetId: "115yXj5JZkJRrmygPapu3rwvxvQVwDcQxYMpCgTyOUK8" Exception: You do not have permission to access the requested document.; SheetId: "1f-bBX1tabRKPUd3UixDYD_LBeTCfm4fKMCZgZoegIXs" Exception: You do not have permission to access the requested document.; SheetId: "1aef7YUsReurtox1oodafQGw7Z74ZnTpflbN0raSOx5s" Exception: You do not have permission to access the requested document.; SheetId: "1qmpGg9TEDDGoqsF1BKTsBdGu9Vmrpr3i4f7Agl8SKOQ" Exception: You do not have permission to access the requested document.; SheetId: "1z2sYCQ-onJ1yJPrsVuq8i1OnKl0mo-1BmCvd6_mLzQw" Exception: You do not have permission to access the requested document.; SheetId: "1H8Rm_FggiunhnCb17GvMufsG8rKujAQ0-PtiCEXHsFs" Exception: You do not have permission to access the requested document.; SheetId: "1pHFf1OxoEG42boI8kVnoDt2dMCJhsNXzOZJMG99h704" Exception: You do not have permission to access the requested document.; </t>
  </si>
  <si>
    <t xml:space="preserve">SheetId: "1cbxdfYr8gDU1Ta8KFUjXS8iCyWhqwQOlxyzZ37SH2-o" Exception: You do not have permission to access the requested document.; SheetId: "1EqxyUF6OBDNIx8tqqC-5Qw9EhuGDLI3wrwI584-fpz0" Exception: You do not have permission to access the requested document.; SheetId: "1C_lVBqrfacsLvgsinktCFoxhribHrU-duHI3S2JQyjQ" Exception: You do not have permission to access the requested document.; SheetId: "1W-Ux3TCVsl8Hvx819dk9o76pFfxxHGKaL3lUlgGsPVI" Exception: You do not have permission to access the requested document.; SheetId: "1qDc89v01TKPluEH0Ofv_MLVoLm9DRK_Uc2-N0KHivWQ" Exception: You do not have permission to access the requested document.; SheetId: "1BYBDWSYKGUtPPotW5KoiISidXW1ZO64HMCXE11IVyqY" Exception: You do not have permission to access the requested document.; SheetId: "133n2yxo3cBwev3Zo6o73X8zpARRAn7k-1A5m7WLcbSo" Exception: You do not have permission to access the requested document.; SheetId: "1fsGxZiiihyPbtTFDcLK-3dw5pYcyP65s9BeIMYNtke8" Exception: You do not have permission to access the requested document.; SheetId: "1yrm8IA2H46RiZtp6HyyHhpUPQ17Z54AXFRF6e_91KZI" Exception: You do not have permission to access the requested document.; SheetId: "1Jc1MNemWqMgOhlEEZ14RvCB850NyZvs6NWdKfILkPLs" Exception: You do not have permission to access the requested document.; SheetId: "1KPhc4dXQcKyN3IKMAlOttCjBL2FDpl2GLmSK361KmRQ" Exception: You do not have permission to access the requested document.; SheetId: "1bx8oIJB3XszKUZJ8xHCEnqPkaAxi_W7XXilFBW-k04s" Exception: You do not have permission to access the requested document.; SheetId: "1FDxwTBWkT19SZNsiiDhgncoWzxpDlr17ip0cGs4bSCo" Exception: You do not have permission to access the requested document.; SheetId: "1t80MWOfCQauU8ZXBskGWPAVTtA_TwPRH6D0T-eS15Uo" Exception: You do not have permission to access the requested document.; SheetId: "16XQhOsmwvKaQZCU3GZzz-4MeM1WL9sGbO6rgcSTGO54" Exception: You do not have permission to access the requested document.; SheetId: "1zoBLRgqUx9rOmDcGBlhaJ4JsQanzCCQCT77sKQu0sCg" Exception: You do not have permission to access the requested document.; SheetId: "1AJ1XfwMKb6S7o68ow7nW_kKu91FAn5fXJJabBDyjSZk" Exception: You do not have permission to access the requested document.; SheetId: "1sJdiQJuTABatoH7BKtjdHaOG3LfvzhaySLTOGOw7JDQ" Exception: You do not have permission to access the requested document.; SheetId: "1DfTP099pCYCF3U-e0kCF7AWZmB99b6K0iEmek0Egpi8" Exception: You do not have permission to access the requested document.; SheetId: "1ealEjc2s88zgV9V-rH0mDa_92G9rjenT9XpX2nHuQ-g" Exception: You do not have permission to access the requested document.; SheetId: "1_r8bt4qDLQt6_kZ5assx2yqBwnMWgmqZsId9cM0FD2w" Exception: You do not have permission to access the requested document.; SheetId: "1PWZ_G6xnVOrLmt0ACmCp4dJtEGbOXJU7QTK9qtvL_qI" Exception: You do not have permission to access the requested document.; SheetId: "1-mTuFSOuylcYpuGp5x3iNB5Hg9J-niS-T--7hEujMR0" Exception: You do not have permission to access the requested document.; SheetId: "1rj758oTEW9EfyfpmeaKBdadxYO5zoP6IkZM9sPvOcNo" Exception: You do not have permission to access the requested document.; SheetId: "18hNODCadvTfo4DEqIQDGzqMDZtsSUB5XwNVAPxz8stY" Exception: You do not have permission to access the requested document.; SheetId: "1HzzgJTGAUUYdofTLl5jzFZQP_ZfA-3N_akFoVYy3KhQ" Exception: You do not have permission to access the requested document.; SheetId: "1CGzFA8PbYbxBK7eXj-bdn7IfhSijJFrmkqjH6bmQCvg" Exception: You do not have permission to access the requested document.; SheetId: "1eKM95deBuZGnaMVKcjcvvC7zqTiojbvSJ7hzAw5Ut0c" Exception: You do not have permission to access the requested document.; SheetId: "1Csyx_z7eZB-nrYAD0cRE_C7tYFO-ZcZ4X8z5VbHSZng" Exception: You do not have permission to access the requested document.; SheetId: "1DQmgSarkdhmQ36rrU7O-UlpSDk6jBAA9Ujt71fU-vzk" Exception: You do not have permission to access the requested document.; SheetId: "1RUcxiwCApNUFHEUTSU9W_cN-7GaMIzmkUUvnL9zsYuY" Exception: You do not have permission to access the requested document.; SheetId: "13W1z0Zi28XEJLXnS9bbvmHuHX9JcotZDG6PNAr8deb0" Exception: You do not have permission to access the requested document.; SheetId: "1wPTKIUfRXrswONC-TRCc27vUre2Gcm9zH3VhWgj97k0" Exception: You do not have permission to access the requested document.; SheetId: "1Y6Ak0WKpF2tqYoWTj27MefJtfQ992XsjSK234OeFaXc" Exception: You do not have permission to access the requested document.; SheetId: "10fyLBMFF-Ll-39GmgBleodwY9UP1Z720Rc7S83ZNa24" Exception: You do not have permission to access the requested document.; SheetId: "1G_0DcG8h45qOqhHNR32u5MfoYysjDc_pEmrRYwChiJ4" Exception: You do not have permission to access the requested document.; SheetId: "1UDsOqVrSUUZnbgIqM-TuNovcJXEQR6y4iz2sNtd6FFU" Exception: You do not have permission to access the requested document.; SheetId: "19Nz4ORR7S2zC_ZpwICSgfXhsN865jy1XiKN7vf2xRgc" Exception: You do not have permission to access the requested document.; SheetId: "1jJPkQt55DZ_x9OeazDjxRB2KrHGlRFD-H0aS57MjDgk" Exception: You do not have permission to access the requested document.; SheetId: "115yXj5JZkJRrmygPapu3rwvxvQVwDcQxYMpCgTyOUK8" Exception: You do not have permission to access the requested document.; SheetId: "1f-bBX1tabRKPUd3UixDYD_LBeTCfm4fKMCZgZoegIXs" Exception: You do not have permission to access the requested document.; SheetId: "1aef7YUsReurtox1oodafQGw7Z74ZnTpflbN0raSOx5s" Exception: You do not have permission to access the requested document.; SheetId: "1qmpGg9TEDDGoqsF1BKTsBdGu9Vmrpr3i4f7Agl8SKOQ" Exception: You do not have permission to access the requested document.; SheetId: "1z2sYCQ-onJ1yJPrsVuq8i1OnKl0mo-1BmCvd6_mLzQw" Exception: You do not have permission to access the requested document.; SheetId: "1H8Rm_FggiunhnCb17GvMufsG8rKujAQ0-PtiCEXHsFs" Exception: You do not have permission to access the requested document.; SheetId: "1pHFf1OxoEG42boI8kVnoDt2dMCJhsNXzOZJMG99h704" Exception: You do not have permission to access the requested document.; </t>
  </si>
  <si>
    <t xml:space="preserve">SheetId: "1cbxdfYr8gDU1Ta8KFUjXS8iCyWhqwQOlxyzZ37SH2-o" Exception: You do not have permission to access the requested document.; SheetId: "1w1yobDJOvz56YrSKEwrvEF7MxhAqrTMOI9hkyMirG-I" Exception: You do not have permission to access the requested document.; SheetId: "1BK3u_U6fT7UMWi_fNKoC5yMRG1AOY2D3EiBa74PkYZ0" Exception: You do not have permission to access the requested document.; SheetId: "1EqxyUF6OBDNIx8tqqC-5Qw9EhuGDLI3wrwI584-fpz0" Exception: You do not have permission to access the requested document.; SheetId: "1bPY6kyCFNJ0WvsmP1oaKZPxEi7vQJLeMyK0WvLqjuhQ" Exception: You do not have permission to access the requested document.; SheetId: "1AJkaXN5x_WMw9ot43feNFbw7iOk5W8F1XrdObNrFdoo" Exception: You do not have permission to access the requested document.; SheetId: "1TflvMbVlGCTqhLDIDDLRtI9O4mhGcKnkwBztbfV0Vdw" Exception: You do not have permission to access the requested document.; SheetId: "1C_lVBqrfacsLvgsinktCFoxhribHrU-duHI3S2JQyjQ" Exception: You do not have permission to access the requested document.; SheetId: "1W-Ux3TCVsl8Hvx819dk9o76pFfxxHGKaL3lUlgGsPVI" Exception: You do not have permission to access the requested document.; SheetId: "1qDc89v01TKPluEH0Ofv_MLVoLm9DRK_Uc2-N0KHivWQ" Exception: You do not have permission to access the requested document.; SheetId: "1BYBDWSYKGUtPPotW5KoiISidXW1ZO64HMCXE11IVyqY" Exception: You do not have permission to access the requested document.; SheetId: "133n2yxo3cBwev3Zo6o73X8zpARRAn7k-1A5m7WLcbSo" Exception: You do not have permission to access the requested document.; SheetId: "1fsGxZiiihyPbtTFDcLK-3dw5pYcyP65s9BeIMYNtke8" Exception: You do not have permission to access the requested document.; SheetId: "1yrm8IA2H46RiZtp6HyyHhpUPQ17Z54AXFRF6e_91KZI" Exception: You do not have permission to access the requested document.; SheetId: "1Jc1MNemWqMgOhlEEZ14RvCB850NyZvs6NWdKfILkPLs" Exception: You do not have permission to access the requested document.; SheetId: "1KPhc4dXQcKyN3IKMAlOttCjBL2FDpl2GLmSK361KmRQ" Exception: You do not have permission to access the requested document.; SheetId: "1w88yBcA-ifzxKp573zkEKk2MHfISDRv6Mp47H3CUSuo" Exception: You do not have permission to access the requested document.; SheetId: "1bx8oIJB3XszKUZJ8xHCEnqPkaAxi_W7XXilFBW-k04s" Exception: You do not have permission to access the requested document.; SheetId: "1FDxwTBWkT19SZNsiiDhgncoWzxpDlr17ip0cGs4bSCo" Exception: You do not have permission to access the requested document.; SheetId: "1t80MWOfCQauU8ZXBskGWPAVTtA_TwPRH6D0T-eS15Uo" Exception: You do not have permission to access the requested document.; SheetId: "16XQhOsmwvKaQZCU3GZzz-4MeM1WL9sGbO6rgcSTGO54" Exception: You do not have permission to access the requested document.; SheetId: "1zoBLRgqUx9rOmDcGBlhaJ4JsQanzCCQCT77sKQu0sCg" Exception: You do not have permission to access the requested document.; SheetId: "1AJ1XfwMKb6S7o68ow7nW_kKu91FAn5fXJJabBDyjSZk" Exception: You do not have permission to access the requested document.; SheetId: "1sJdiQJuTABatoH7BKtjdHaOG3LfvzhaySLTOGOw7JDQ" Exception: You do not have permission to access the requested document.; SheetId: "1DfTP099pCYCF3U-e0kCF7AWZmB99b6K0iEmek0Egpi8" Exception: You do not have permission to access the requested document.; SheetId: "1ealEjc2s88zgV9V-rH0mDa_92G9rjenT9XpX2nHuQ-g" Exception: You do not have permission to access the requested document.; SheetId: "1_r8bt4qDLQt6_kZ5assx2yqBwnMWgmqZsId9cM0FD2w" Exception: You do not have permission to access the requested document.; SheetId: "1PWZ_G6xnVOrLmt0ACmCp4dJtEGbOXJU7QTK9qtvL_qI" Exception: You do not have permission to access the requested document.; SheetId: "1-mTuFSOuylcYpuGp5x3iNB5Hg9J-niS-T--7hEujMR0" Exception: You do not have permission to access the requested document.; SheetId: "1rj758oTEW9EfyfpmeaKBdadxYO5zoP6IkZM9sPvOcNo" Exception: You do not have permission to access the requested document.; SheetId: "18hNODCadvTfo4DEqIQDGzqMDZtsSUB5XwNVAPxz8stY" Exception: You do not have permission to access the requested document.; SheetId: "1HzzgJTGAUUYdofTLl5jzFZQP_ZfA-3N_akFoVYy3KhQ" Exception: You do not have permission to access the requested document.; SheetId: "1CGzFA8PbYbxBK7eXj-bdn7IfhSijJFrmkqjH6bmQCvg" Exception: You do not have permission to access the requested document.; SheetId: "1eKM95deBuZGnaMVKcjcvvC7zqTiojbvSJ7hzAw5Ut0c" Exception: You do not have permission to access the requested document.; SheetId: "1Csyx_z7eZB-nrYAD0cRE_C7tYFO-ZcZ4X8z5VbHSZng" Exception: You do not have permission to access the requested document.; SheetId: "1DQmgSarkdhmQ36rrU7O-UlpSDk6jBAA9Ujt71fU-vzk" Exception: You do not have permission to access the requested document.; SheetId: "1RUcxiwCApNUFHEUTSU9W_cN-7GaMIzmkUUvnL9zsYuY" Exception: You do not have permission to access the requested document.; SheetId: "13W1z0Zi28XEJLXnS9bbvmHuHX9JcotZDG6PNAr8deb0" Exception: You do not have permission to access the requested document.; SheetId: "1wPTKIUfRXrswONC-TRCc27vUre2Gcm9zH3VhWgj97k0" Exception: You do not have permission to access the requested document.; SheetId: "1Y6Ak0WKpF2tqYoWTj27MefJtfQ992XsjSK234OeFaXc" Exception: You do not have permission to access the requested document.; SheetId: "10fyLBMFF-Ll-39GmgBleodwY9UP1Z720Rc7S83ZNa24" Exception: You do not have permission to access the requested document.; SheetId: "1G_0DcG8h45qOqhHNR32u5MfoYysjDc_pEmrRYwChiJ4" Exception: You do not have permission to access the requested document.; SheetId: "1UDsOqVrSUUZnbgIqM-TuNovcJXEQR6y4iz2sNtd6FFU" Exception: You do not have permission to access the requested document.; SheetId: "19Nz4ORR7S2zC_ZpwICSgfXhsN865jy1XiKN7vf2xRgc" Exception: You do not have permission to access the requested document.; SheetId: "1jJPkQt55DZ_x9OeazDjxRB2KrHGlRFD-H0aS57MjDgk" Exception: You do not have permission to access the requested document.; SheetId: "115yXj5JZkJRrmygPapu3rwvxvQVwDcQxYMpCgTyOUK8" Exception: You do not have permission to access the requested document.; SheetId: "1f-bBX1tabRKPUd3UixDYD_LBeTCfm4fKMCZgZoegIXs" Exception: You do not have permission to access the requested document.; SheetId: "1aef7YUsReurtox1oodafQGw7Z74ZnTpflbN0raSOx5s" Exception: You do not have permission to access the requested document.; SheetId: "1qmpGg9TEDDGoqsF1BKTsBdGu9Vmrpr3i4f7Agl8SKOQ" Exception: You do not have permission to access the requested document.; SheetId: "1z2sYCQ-onJ1yJPrsVuq8i1OnKl0mo-1BmCvd6_mLzQw" Exception: You do not have permission to access the requested document.; SheetId: "1H8Rm_FggiunhnCb17GvMufsG8rKujAQ0-PtiCEXHsFs" Exception: You do not have permission to access the requested document.; SheetId: "1pHFf1OxoEG42boI8kVnoDt2dMCJhsNXzOZJMG99h704" Exception: You do not have permission to access the requested document.; </t>
  </si>
  <si>
    <t xml:space="preserve">SheetId: "1cbxdfYr8gDU1Ta8KFUjXS8iCyWhqwQOlxyzZ37SH2-o" Exception: You do not have permission to access the requested document.; SheetId: "1w1yobDJOvz56YrSKEwrvEF7MxhAqrTMOI9hkyMirG-I" Exception: You do not have permission to access the requested document.; SheetId: "1BK3u_U6fT7UMWi_fNKoC5yMRG1AOY2D3EiBa74PkYZ0" Exception: You do not have permission to access the requested document.; SheetId: "1EqxyUF6OBDNIx8tqqC-5Qw9EhuGDLI3wrwI584-fpz0" Exception: You do not have permission to access the requested document.; SheetId: "1bPY6kyCFNJ0WvsmP1oaKZPxEi7vQJLeMyK0WvLqjuhQ" Exception: You do not have permission to access the requested document.; SheetId: "1PUyQBjXonkRel0mZBRN91gG1ABo0rbN6ky0IqWN7zbY" Exception: You do not have permission to access the requested document.; SheetId: "1AJkaXN5x_WMw9ot43feNFbw7iOk5W8F1XrdObNrFdoo" Exception: You do not have permission to access the requested document.; SheetId: "1TflvMbVlGCTqhLDIDDLRtI9O4mhGcKnkwBztbfV0Vdw" Exception: You do not have permission to access the requested document.; SheetId: "1C_lVBqrfacsLvgsinktCFoxhribHrU-duHI3S2JQyjQ" Exception: You do not have permission to access the requested document.; SheetId: "1W-Ux3TCVsl8Hvx819dk9o76pFfxxHGKaL3lUlgGsPVI" Exception: You do not have permission to access the requested document.; SheetId: "1qDc89v01TKPluEH0Ofv_MLVoLm9DRK_Uc2-N0KHivWQ" Exception: You do not have permission to access the requested document.; SheetId: "1BYBDWSYKGUtPPotW5KoiISidXW1ZO64HMCXE11IVyqY" Exception: You do not have permission to access the requested document.; SheetId: "133n2yxo3cBwev3Zo6o73X8zpARRAn7k-1A5m7WLcbSo" Exception: You do not have permission to access the requested document.; SheetId: "1fsGxZiiihyPbtTFDcLK-3dw5pYcyP65s9BeIMYNtke8" Exception: You do not have permission to access the requested document.; SheetId: "1yrm8IA2H46RiZtp6HyyHhpUPQ17Z54AXFRF6e_91KZI" Exception: You do not have permission to access the requested document.; SheetId: "1Jc1MNemWqMgOhlEEZ14RvCB850NyZvs6NWdKfILkPLs" Exception: You do not have permission to access the requested document.; SheetId: "1KPhc4dXQcKyN3IKMAlOttCjBL2FDpl2GLmSK361KmRQ" Exception: You do not have permission to access the requested document.; SheetId: "1w88yBcA-ifzxKp573zkEKk2MHfISDRv6Mp47H3CUSuo" Exception: You do not have permission to access the requested document.; SheetId: "1bx8oIJB3XszKUZJ8xHCEnqPkaAxi_W7XXilFBW-k04s" Exception: You do not have permission to access the requested document.; SheetId: "1FDxwTBWkT19SZNsiiDhgncoWzxpDlr17ip0cGs4bSCo" Exception: You do not have permission to access the requested document.; SheetId: "1t80MWOfCQauU8ZXBskGWPAVTtA_TwPRH6D0T-eS15Uo" Exception: You do not have permission to access the requested document.; SheetId: "16XQhOsmwvKaQZCU3GZzz-4MeM1WL9sGbO6rgcSTGO54" Exception: You do not have permission to access the requested document.; SheetId: "1zoBLRgqUx9rOmDcGBlhaJ4JsQanzCCQCT77sKQu0sCg" Exception: You do not have permission to access the requested document.; SheetId: "1AJ1XfwMKb6S7o68ow7nW_kKu91FAn5fXJJabBDyjSZk" Exception: You do not have permission to access the requested document.; SheetId: "1sJdiQJuTABatoH7BKtjdHaOG3LfvzhaySLTOGOw7JDQ" Exception: You do not have permission to access the requested document.; SheetId: "1DfTP099pCYCF3U-e0kCF7AWZmB99b6K0iEmek0Egpi8" Exception: You do not have permission to access the requested document.; SheetId: "1ealEjc2s88zgV9V-rH0mDa_92G9rjenT9XpX2nHuQ-g" Exception: You do not have permission to access the requested document.; SheetId: "1_r8bt4qDLQt6_kZ5assx2yqBwnMWgmqZsId9cM0FD2w" Exception: You do not have permission to access the requested document.; SheetId: "1PWZ_G6xnVOrLmt0ACmCp4dJtEGbOXJU7QTK9qtvL_qI" Exception: You do not have permission to access the requested document.; SheetId: "1-mTuFSOuylcYpuGp5x3iNB5Hg9J-niS-T--7hEujMR0" Exception: You do not have permission to access the requested document.; SheetId: "1rj758oTEW9EfyfpmeaKBdadxYO5zoP6IkZM9sPvOcNo" Exception: You do not have permission to access the requested document.; SheetId: "18hNODCadvTfo4DEqIQDGzqMDZtsSUB5XwNVAPxz8stY" Exception: You do not have permission to access the requested document.; SheetId: "1HzzgJTGAUUYdofTLl5jzFZQP_ZfA-3N_akFoVYy3KhQ" Exception: You do not have permission to access the requested document.; SheetId: "1CGzFA8PbYbxBK7eXj-bdn7IfhSijJFrmkqjH6bmQCvg" Exception: You do not have permission to access the requested document.; SheetId: "1eKM95deBuZGnaMVKcjcvvC7zqTiojbvSJ7hzAw5Ut0c" Exception: You do not have permission to access the requested document.; SheetId: "1Csyx_z7eZB-nrYAD0cRE_C7tYFO-ZcZ4X8z5VbHSZng" Exception: You do not have permission to access the requested document.; SheetId: "1DQmgSarkdhmQ36rrU7O-UlpSDk6jBAA9Ujt71fU-vzk" Exception: You do not have permission to access the requested document.; SheetId: "1RUcxiwCApNUFHEUTSU9W_cN-7GaMIzmkUUvnL9zsYuY" Exception: You do not have permission to access the requested document.; SheetId: "13W1z0Zi28XEJLXnS9bbvmHuHX9JcotZDG6PNAr8deb0" Exception: You do not have permission to access the requested document.; SheetId: "1wPTKIUfRXrswONC-TRCc27vUre2Gcm9zH3VhWgj97k0" Exception: You do not have permission to access the requested document.; SheetId: "1Y6Ak0WKpF2tqYoWTj27MefJtfQ992XsjSK234OeFaXc" Exception: You do not have permission to access the requested document.; SheetId: "10fyLBMFF-Ll-39GmgBleodwY9UP1Z720Rc7S83ZNa24" Exception: You do not have permission to access the requested document.; SheetId: "1G_0DcG8h45qOqhHNR32u5MfoYysjDc_pEmrRYwChiJ4" Exception: You do not have permission to access the requested document.; SheetId: "1UDsOqVrSUUZnbgIqM-TuNovcJXEQR6y4iz2sNtd6FFU" Exception: You do not have permission to access the requested document.; SheetId: "19Nz4ORR7S2zC_ZpwICSgfXhsN865jy1XiKN7vf2xRgc" Exception: You do not have permission to access the requested document.; SheetId: "1jJPkQt55DZ_x9OeazDjxRB2KrHGlRFD-H0aS57MjDgk" Exception: You do not have permission to access the requested document.; SheetId: "115yXj5JZkJRrmygPapu3rwvxvQVwDcQxYMpCgTyOUK8" Exception: You do not have permission to access the requested document.; SheetId: "1f-bBX1tabRKPUd3UixDYD_LBeTCfm4fKMCZgZoegIXs" Exception: You do not have permission to access the requested document.; SheetId: "1aef7YUsReurtox1oodafQGw7Z74ZnTpflbN0raSOx5s" Exception: You do not have permission to access the requested document.; SheetId: "1qmpGg9TEDDGoqsF1BKTsBdGu9Vmrpr3i4f7Agl8SKOQ" Exception: You do not have permission to access the requested document.; SheetId: "1z2sYCQ-onJ1yJPrsVuq8i1OnKl0mo-1BmCvd6_mLzQw" Exception: You do not have permission to access the requested document.; SheetId: "1H8Rm_FggiunhnCb17GvMufsG8rKujAQ0-PtiCEXHsFs" Exception: You do not have permission to access the requested document.; SheetId: "1pHFf1OxoEG42boI8kVnoDt2dMCJhsNXzOZJMG99h704" Exception: You do not have permission to access the requested document.; </t>
  </si>
  <si>
    <t xml:space="preserve">SheetId: "1cbxdfYr8gDU1Ta8KFUjXS8iCyWhqwQOlxyzZ37SH2-o" Exception: You do not have permission to access the requested document.; SheetId: "1w1yobDJOvz56YrSKEwrvEF7MxhAqrTMOI9hkyMirG-I" Exception: You do not have permission to access the requested document.; SheetId: "1BK3u_U6fT7UMWi_fNKoC5yMRG1AOY2D3EiBa74PkYZ0" Exception: You do not have permission to access the requested document.; SheetId: "1EqxyUF6OBDNIx8tqqC-5Qw9EhuGDLI3wrwI584-fpz0" Exception: You do not have permission to access the requested document.; SheetId: "1bPY6kyCFNJ0WvsmP1oaKZPxEi7vQJLeMyK0WvLqjuhQ" Exception: You do not have permission to access the requested document.; SheetId: "1veW9elDz7_mG0yKXVquE-2nNTLRzF1R8sgPUOLKKhvQ" Exception: You do not have permission to access the requested document.; SheetId: "1PUyQBjXonkRel0mZBRN91gG1ABo0rbN6ky0IqWN7zbY" Exception: You do not have permission to access the requested document.; SheetId: "1AJkaXN5x_WMw9ot43feNFbw7iOk5W8F1XrdObNrFdoo" Exception: You do not have permission to access the requested document.; SheetId: "1TflvMbVlGCTqhLDIDDLRtI9O4mhGcKnkwBztbfV0Vdw" Exception: You do not have permission to access the requested document.; SheetId: "1C_lVBqrfacsLvgsinktCFoxhribHrU-duHI3S2JQyjQ" Exception: You do not have permission to access the requested document.; SheetId: "1W-Ux3TCVsl8Hvx819dk9o76pFfxxHGKaL3lUlgGsPVI" Exception: You do not have permission to access the requested document.; SheetId: "1qDc89v01TKPluEH0Ofv_MLVoLm9DRK_Uc2-N0KHivWQ" Exception: You do not have permission to access the requested document.; SheetId: "1BYBDWSYKGUtPPotW5KoiISidXW1ZO64HMCXE11IVyqY" Exception: You do not have permission to access the requested document.; SheetId: "133n2yxo3cBwev3Zo6o73X8zpARRAn7k-1A5m7WLcbSo" Exception: You do not have permission to access the requested document.; SheetId: "1fsGxZiiihyPbtTFDcLK-3dw5pYcyP65s9BeIMYNtke8" Exception: You do not have permission to access the requested document.; SheetId: "1yrm8IA2H46RiZtp6HyyHhpUPQ17Z54AXFRF6e_91KZI" Exception: You do not have permission to access the requested document.; SheetId: "1Jc1MNemWqMgOhlEEZ14RvCB850NyZvs6NWdKfILkPLs" Exception: You do not have permission to access the requested document.; SheetId: "1KPhc4dXQcKyN3IKMAlOttCjBL2FDpl2GLmSK361KmRQ" Exception: You do not have permission to access the requested document.; SheetId: "1w88yBcA-ifzxKp573zkEKk2MHfISDRv6Mp47H3CUSuo" Exception: You do not have permission to access the requested document.; SheetId: "1bx8oIJB3XszKUZJ8xHCEnqPkaAxi_W7XXilFBW-k04s" Exception: You do not have permission to access the requested document.; SheetId: "1FDxwTBWkT19SZNsiiDhgncoWzxpDlr17ip0cGs4bSCo" Exception: You do not have permission to access the requested document.; SheetId: "1t80MWOfCQauU8ZXBskGWPAVTtA_TwPRH6D0T-eS15Uo" Exception: You do not have permission to access the requested document.; SheetId: "16XQhOsmwvKaQZCU3GZzz-4MeM1WL9sGbO6rgcSTGO54" Exception: You do not have permission to access the requested document.; SheetId: "1zoBLRgqUx9rOmDcGBlhaJ4JsQanzCCQCT77sKQu0sCg" Exception: You do not have permission to access the requested document.; SheetId: "1AJ1XfwMKb6S7o68ow7nW_kKu91FAn5fXJJabBDyjSZk" Exception: You do not have permission to access the requested document.; SheetId: "1sJdiQJuTABatoH7BKtjdHaOG3LfvzhaySLTOGOw7JDQ" Exception: You do not have permission to access the requested document.; SheetId: "1DfTP099pCYCF3U-e0kCF7AWZmB99b6K0iEmek0Egpi8" Exception: You do not have permission to access the requested document.; SheetId: "1ealEjc2s88zgV9V-rH0mDa_92G9rjenT9XpX2nHuQ-g" Exception: You do not have permission to access the requested document.; SheetId: "1_r8bt4qDLQt6_kZ5assx2yqBwnMWgmqZsId9cM0FD2w" Exception: You do not have permission to access the requested document.; SheetId: "1PWZ_G6xnVOrLmt0ACmCp4dJtEGbOXJU7QTK9qtvL_qI" Exception: You do not have permission to access the requested document.; SheetId: "1-mTuFSOuylcYpuGp5x3iNB5Hg9J-niS-T--7hEujMR0" Exception: You do not have permission to access the requested document.; SheetId: "1rj758oTEW9EfyfpmeaKBdadxYO5zoP6IkZM9sPvOcNo" Exception: You do not have permission to access the requested document.; SheetId: "18hNODCadvTfo4DEqIQDGzqMDZtsSUB5XwNVAPxz8stY" Exception: You do not have permission to access the requested document.; SheetId: "1HzzgJTGAUUYdofTLl5jzFZQP_ZfA-3N_akFoVYy3KhQ" Exception: You do not have permission to access the requested document.; SheetId: "1CGzFA8PbYbxBK7eXj-bdn7IfhSijJFrmkqjH6bmQCvg" Exception: You do not have permission to access the requested document.; SheetId: "1eKM95deBuZGnaMVKcjcvvC7zqTiojbvSJ7hzAw5Ut0c" Exception: You do not have permission to access the requested document.; SheetId: "1Csyx_z7eZB-nrYAD0cRE_C7tYFO-ZcZ4X8z5VbHSZng" Exception: You do not have permission to access the requested document.; SheetId: "1DQmgSarkdhmQ36rrU7O-UlpSDk6jBAA9Ujt71fU-vzk" Exception: You do not have permission to access the requested document.; SheetId: "1RUcxiwCApNUFHEUTSU9W_cN-7GaMIzmkUUvnL9zsYuY" Exception: You do not have permission to access the requested document.; SheetId: "13W1z0Zi28XEJLXnS9bbvmHuHX9JcotZDG6PNAr8deb0" Exception: You do not have permission to access the requested document.; SheetId: "1wPTKIUfRXrswONC-TRCc27vUre2Gcm9zH3VhWgj97k0" Exception: You do not have permission to access the requested document.; SheetId: "1Y6Ak0WKpF2tqYoWTj27MefJtfQ992XsjSK234OeFaXc" Exception: You do not have permission to access the requested document.; SheetId: "10fyLBMFF-Ll-39GmgBleodwY9UP1Z720Rc7S83ZNa24" Exception: You do not have permission to access the requested document.; SheetId: "1G_0DcG8h45qOqhHNR32u5MfoYysjDc_pEmrRYwChiJ4" Exception: You do not have permission to access the requested document.; SheetId: "1UDsOqVrSUUZnbgIqM-TuNovcJXEQR6y4iz2sNtd6FFU" Exception: You do not have permission to access the requested document.; SheetId: "19Nz4ORR7S2zC_ZpwICSgfXhsN865jy1XiKN7vf2xRgc" Exception: You do not have permission to access the requested document.; SheetId: "1jJPkQt55DZ_x9OeazDjxRB2KrHGlRFD-H0aS57MjDgk" Exception: You do not have permission to access the requested document.; SheetId: "115yXj5JZkJRrmygPapu3rwvxvQVwDcQxYMpCgTyOUK8" Exception: You do not have permission to access the requested document.; SheetId: "1f-bBX1tabRKPUd3UixDYD_LBeTCfm4fKMCZgZoegIXs" Exception: You do not have permission to access the requested document.; SheetId: "1aef7YUsReurtox1oodafQGw7Z74ZnTpflbN0raSOx5s" Exception: You do not have permission to access the requested document.; SheetId: "1qmpGg9TEDDGoqsF1BKTsBdGu9Vmrpr3i4f7Agl8SKOQ" Exception: You do not have permission to access the requested document.; SheetId: "1z2sYCQ-onJ1yJPrsVuq8i1OnKl0mo-1BmCvd6_mLzQw" Exception: You do not have permission to access the requested document.; SheetId: "1H8Rm_FggiunhnCb17GvMufsG8rKujAQ0-PtiCEXHsFs" Exception: You do not have permission to access the requested document.; SheetId: "1pHFf1OxoEG42boI8kVnoDt2dMCJhsNXzOZJMG99h704" Exception: You do not have permission to access the requested document.; </t>
  </si>
  <si>
    <t xml:space="preserve">SheetId: "1cbxdfYr8gDU1Ta8KFUjXS8iCyWhqwQOlxyzZ37SH2-o" Exception: You do not have permission to access the requested document.; SheetId: "1w1yobDJOvz56YrSKEwrvEF7MxhAqrTMOI9hkyMirG-I" Exception: You do not have permission to access the requested document.; SheetId: "1BK3u_U6fT7UMWi_fNKoC5yMRG1AOY2D3EiBa74PkYZ0" Exception: You do not have permission to access the requested document.; SheetId: "1EqxyUF6OBDNIx8tqqC-5Qw9EhuGDLI3wrwI584-fpz0" Exception: You do not have permission to access the requested document.; SheetId: "1bPY6kyCFNJ0WvsmP1oaKZPxEi7vQJLeMyK0WvLqjuhQ" Exception: You do not have permission to access the requested document.; SheetId: "1veW9elDz7_mG0yKXVquE-2nNTLRzF1R8sgPUOLKKhvQ" Exception: You do not have permission to access the requested document.; SheetId: "1PUyQBjXonkRel0mZBRN91gG1ABo0rbN6ky0IqWN7zbY" Exception: You do not have permission to access the requested document.; SheetId: "1AJkaXN5x_WMw9ot43feNFbw7iOk5W8F1XrdObNrFdoo" Exception: You do not have permission to access the requested document.; SheetId: "1TflvMbVlGCTqhLDIDDLRtI9O4mhGcKnkwBztbfV0Vdw" Exception: You do not have permission to access the requested document.; SheetId: "1C_lVBqrfacsLvgsinktCFoxhribHrU-duHI3S2JQyjQ" Exception: You do not have permission to access the requested document.; SheetId: "1W-Ux3TCVsl8Hvx819dk9o76pFfxxHGKaL3lUlgGsPVI" Exception: You do not have permission to access the requested document.; SheetId: "1qDc89v01TKPluEH0Ofv_MLVoLm9DRK_Uc2-N0KHivWQ" Exception: You do not have permission to access the requested document.; SheetId: "1BYBDWSYKGUtPPotW5KoiISidXW1ZO64HMCXE11IVyqY" Exception: You do not have permission to access the requested document.; SheetId: "133n2yxo3cBwev3Zo6o73X8zpARRAn7k-1A5m7WLcbSo" Exception: You do not have permission to access the requested document.; SheetId: "1fsGxZiiihyPbtTFDcLK-3dw5pYcyP65s9BeIMYNtke8" Exception: You do not have permission to access the requested document.; SheetId: "1yrm8IA2H46RiZtp6HyyHhpUPQ17Z54AXFRF6e_91KZI" Exception: You do not have permission to access the requested document.; SheetId: "1Jc1MNemWqMgOhlEEZ14RvCB850NyZvs6NWdKfILkPLs" Exception: You do not have permission to access the requested document.; SheetId: "1KPhc4dXQcKyN3IKMAlOttCjBL2FDpl2GLmSK361KmRQ" Exception: You do not have permission to access the requested document.; SheetId: "1w88yBcA-ifzxKp573zkEKk2MHfISDRv6Mp47H3CUSuo" Exception: You do not have permission to access the requested document.; SheetId: "1bx8oIJB3XszKUZJ8xHCEnqPkaAxi_W7XXilFBW-k04s" Exception: You do not have permission to access the requested document.; SheetId: "1FDxwTBWkT19SZNsiiDhgncoWzxpDlr17ip0cGs4bSCo" Exception: You do not have permission to access the requested document.; SheetId: "1t80MWOfCQauU8ZXBskGWPAVTtA_TwPRH6D0T-eS15Uo" Exception: You do not have permission to access the requested document.; SheetId: "16XQhOsmwvKaQZCU3GZzz-4MeM1WL9sGbO6rgcSTGO54" Exception: You do not have permission to access the requested document.; SheetId: "1zoBLRgqUx9rOmDcGBlhaJ4JsQanzCCQCT77sKQu0sCg" Exception: You do not have permission to access the requested document.; SheetId: "1AJ1XfwMKb6S7o68ow7nW_kKu91FAn5fXJJabBDyjSZk" Exception: You do not have permission to access the requested document.; SheetId: "1sJdiQJuTABatoH7BKtjdHaOG3LfvzhaySLTOGOw7JDQ" Exception: You do not have permission to access the requested document.; SheetId: "1DfTP099pCYCF3U-e0kCF7AWZmB99b6K0iEmek0Egpi8" Exception: You do not have permission to access the requested document.; SheetId: "1ealEjc2s88zgV9V-rH0mDa_92G9rjenT9XpX2nHuQ-g" Exception: You do not have permission to access the requested document.; SheetId: "1_r8bt4qDLQt6_kZ5assx2yqBwnMWgmqZsId9cM0FD2w" Exception: You do not have permission to access the requested document.; SheetId: "1PWZ_G6xnVOrLmt0ACmCp4dJtEGbOXJU7QTK9qtvL_qI" Exception: You do not have permission to access the requested document.; SheetId: "1-mTuFSOuylcYpuGp5x3iNB5Hg9J-niS-T--7hEujMR0" Exception: You do not have permission to access the requested document.; SheetId: "1rj758oTEW9EfyfpmeaKBdadxYO5zoP6IkZM9sPvOcNo" Exception: You do not have permission to access the requested document.; SheetId: "18hNODCadvTfo4DEqIQDGzqMDZtsSUB5XwNVAPxz8stY" Exception: You do not have permission to access the requested document.; SheetId: "1HzzgJTGAUUYdofTLl5jzFZQP_ZfA-3N_akFoVYy3KhQ" Exception: You do not have permission to access the requested document.; SheetId: "1CGzFA8PbYbxBK7eXj-bdn7IfhSijJFrmkqjH6bmQCvg" Exception: You do not have permission to access the requested document.; SheetId: "1eKM95deBuZGnaMVKcjcvvC7zqTiojbvSJ7hzAw5Ut0c" Exception: You do not have permission to access the requested document.; SheetId: "1Csyx_z7eZB-nrYAD0cRE_C7tYFO-ZcZ4X8z5VbHSZng" Exception: You do not have permission to access the requested document.; SheetId: "1DQmgSarkdhmQ36rrU7O-UlpSDk6jBAA9Ujt71fU-vzk" Exception: You do not have permission to access the requested document.; SheetId: "1RUcxiwCApNUFHEUTSU9W_cN-7GaMIzmkUUvnL9zsYuY" Exception: You do not have permission to access the requested document.; SheetId: "13W1z0Zi28XEJLXnS9bbvmHuHX9JcotZDG6PNAr8deb0" Exception: You do not have permission to access the requested document.; SheetId: "1wPTKIUfRXrswONC-TRCc27vUre2Gcm9zH3VhWgj97k0" Exception: You do not have permission to access the requested document.; SheetId: "1Y6Ak0WKpF2tqYoWTj27MefJtfQ992XsjSK234OeFaXc" Exception: You do not have permission to access the requested document.; SheetId: "10fyLBMFF-Ll-39GmgBleodwY9UP1Z720Rc7S83ZNa24" Exception: You do not have permission to access the requested document.; SheetId: "1G_0DcG8h45qOqhHNR32u5MfoYysjDc_pEmrRYwChiJ4" Exception: You do not have permission to access the requested document.; SheetId: "1UDsOqVrSUUZnbgIqM-TuNovcJXEQR6y4iz2sNtd6FFU" Exception: You do not have permission to access the requested document.; SheetId: "19Nz4ORR7S2zC_ZpwICSgfXhsN865jy1XiKN7vf2xRgc" Exception: You do not have permission to access the requested document.; SheetId: "1jJPkQt55DZ_x9OeazDjxRB2KrHGlRFD-H0aS57MjDgk" Exception: You do not have permission to access the requested document.; SheetId: "115yXj5JZkJRrmygPapu3rwvxvQVwDcQxYMpCgTyOUK8" Exception: You do not have permission to access the requested document.; SheetId: "1f-bBX1tabRKPUd3UixDYD_LBeTCfm4fKMCZgZoegIXs" Exception: You do not have permission to access the requested document.; SheetId: "1UQtoczHqWI2So18LYAXIlFwxg0dj_A4fekwl2UVXFiY" Exception: You do not have permission to access the requested document.; SheetId: "1aef7YUsReurtox1oodafQGw7Z74ZnTpflbN0raSOx5s" Exception: You do not have permission to access the requested document.; SheetId: "1qmpGg9TEDDGoqsF1BKTsBdGu9Vmrpr3i4f7Agl8SKOQ" Exception: You do not have permission to access the requested document.; SheetId: "1z2sYCQ-onJ1yJPrsVuq8i1OnKl0mo-1BmCvd6_mLzQw" Exception: You do not have permission to access the requested document.; SheetId: "1H8Rm_FggiunhnCb17GvMufsG8rKujAQ0-PtiCEXHsFs" Exception: You do not have permission to access the requested document.; SheetId: "1pHFf1OxoEG42boI8kVnoDt2dMCJhsNXzOZJMG99h704" Exception: You do not have permission to access the requested document.; </t>
  </si>
  <si>
    <t xml:space="preserve">SheetId: "1cbxdfYr8gDU1Ta8KFUjXS8iCyWhqwQOlxyzZ37SH2-o" Exception: You do not have permission to access the requested document.; SheetId: "1GgRyHYbJy1XqVJSdCpGkwqvRNdw4fhWrUApAp9kjcK0" Exception: You do not have permission to access the requested document.; SheetId: "1w1yobDJOvz56YrSKEwrvEF7MxhAqrTMOI9hkyMirG-I" Exception: You do not have permission to access the requested document.; SheetId: "1BK3u_U6fT7UMWi_fNKoC5yMRG1AOY2D3EiBa74PkYZ0" Exception: You do not have permission to access the requested document.; SheetId: "1EqxyUF6OBDNIx8tqqC-5Qw9EhuGDLI3wrwI584-fpz0" Exception: You do not have permission to access the requested document.; SheetId: "1bPY6kyCFNJ0WvsmP1oaKZPxEi7vQJLeMyK0WvLqjuhQ" Exception: You do not have permission to access the requested document.; SheetId: "1veW9elDz7_mG0yKXVquE-2nNTLRzF1R8sgPUOLKKhvQ" Exception: You do not have permission to access the requested document.; SheetId: "1PUyQBjXonkRel0mZBRN91gG1ABo0rbN6ky0IqWN7zbY" Exception: You do not have permission to access the requested document.; SheetId: "1AJkaXN5x_WMw9ot43feNFbw7iOk5W8F1XrdObNrFdoo" Exception: You do not have permission to access the requested document.; SheetId: "1TflvMbVlGCTqhLDIDDLRtI9O4mhGcKnkwBztbfV0Vdw" Exception: You do not have permission to access the requested document.; SheetId: "1C_lVBqrfacsLvgsinktCFoxhribHrU-duHI3S2JQyjQ" Exception: You do not have permission to access the requested document.; SheetId: "1W-Ux3TCVsl8Hvx819dk9o76pFfxxHGKaL3lUlgGsPVI" Exception: You do not have permission to access the requested document.; SheetId: "1qDc89v01TKPluEH0Ofv_MLVoLm9DRK_Uc2-N0KHivWQ" Exception: You do not have permission to access the requested document.; SheetId: "1BYBDWSYKGUtPPotW5KoiISidXW1ZO64HMCXE11IVyqY" Exception: You do not have permission to access the requested document.; SheetId: "133n2yxo3cBwev3Zo6o73X8zpARRAn7k-1A5m7WLcbSo" Exception: You do not have permission to access the requested document.; SheetId: "1fsGxZiiihyPbtTFDcLK-3dw5pYcyP65s9BeIMYNtke8" Exception: You do not have permission to access the requested document.; SheetId: "1yrm8IA2H46RiZtp6HyyHhpUPQ17Z54AXFRF6e_91KZI" Exception: You do not have permission to access the requested document.; SheetId: "1Jc1MNemWqMgOhlEEZ14RvCB850NyZvs6NWdKfILkPLs" Exception: You do not have permission to access the requested document.; SheetId: "1KPhc4dXQcKyN3IKMAlOttCjBL2FDpl2GLmSK361KmRQ" Exception: You do not have permission to access the requested document.; SheetId: "1w88yBcA-ifzxKp573zkEKk2MHfISDRv6Mp47H3CUSuo" Exception: You do not have permission to access the requested document.; SheetId: "1bx8oIJB3XszKUZJ8xHCEnqPkaAxi_W7XXilFBW-k04s" Exception: You do not have permission to access the requested document.; SheetId: "1FDxwTBWkT19SZNsiiDhgncoWzxpDlr17ip0cGs4bSCo" Exception: You do not have permission to access the requested document.; SheetId: "1t80MWOfCQauU8ZXBskGWPAVTtA_TwPRH6D0T-eS15Uo" Exception: You do not have permission to access the requested document.; SheetId: "16XQhOsmwvKaQZCU3GZzz-4MeM1WL9sGbO6rgcSTGO54" Exception: You do not have permission to access the requested document.; SheetId: "1zoBLRgqUx9rOmDcGBlhaJ4JsQanzCCQCT77sKQu0sCg" Exception: You do not have permission to access the requested document.; SheetId: "1AJ1XfwMKb6S7o68ow7nW_kKu91FAn5fXJJabBDyjSZk" Exception: You do not have permission to access the requested document.; SheetId: "1sJdiQJuTABatoH7BKtjdHaOG3LfvzhaySLTOGOw7JDQ" Exception: You do not have permission to access the requested document.; SheetId: "1DfTP099pCYCF3U-e0kCF7AWZmB99b6K0iEmek0Egpi8" Exception: You do not have permission to access the requested document.; SheetId: "1ealEjc2s88zgV9V-rH0mDa_92G9rjenT9XpX2nHuQ-g" Exception: You do not have permission to access the requested document.; SheetId: "1_r8bt4qDLQt6_kZ5assx2yqBwnMWgmqZsId9cM0FD2w" Exception: You do not have permission to access the requested document.; SheetId: "1PWZ_G6xnVOrLmt0ACmCp4dJtEGbOXJU7QTK9qtvL_qI" Exception: You do not have permission to access the requested document.; SheetId: "1-mTuFSOuylcYpuGp5x3iNB5Hg9J-niS-T--7hEujMR0" Exception: You do not have permission to access the requested document.; SheetId: "1rj758oTEW9EfyfpmeaKBdadxYO5zoP6IkZM9sPvOcNo" Exception: You do not have permission to access the requested document.; SheetId: "18hNODCadvTfo4DEqIQDGzqMDZtsSUB5XwNVAPxz8stY" Exception: You do not have permission to access the requested document.; SheetId: "1HzzgJTGAUUYdofTLl5jzFZQP_ZfA-3N_akFoVYy3KhQ" Exception: You do not have permission to access the requested document.; SheetId: "1CGzFA8PbYbxBK7eXj-bdn7IfhSijJFrmkqjH6bmQCvg" Exception: You do not have permission to access the requested document.; SheetId: "1eKM95deBuZGnaMVKcjcvvC7zqTiojbvSJ7hzAw5Ut0c" Exception: You do not have permission to access the requested document.; SheetId: "1Csyx_z7eZB-nrYAD0cRE_C7tYFO-ZcZ4X8z5VbHSZng" Exception: You do not have permission to access the requested document.; SheetId: "1DQmgSarkdhmQ36rrU7O-UlpSDk6jBAA9Ujt71fU-vzk" Exception: You do not have permission to access the requested document.; SheetId: "1RUcxiwCApNUFHEUTSU9W_cN-7GaMIzmkUUvnL9zsYuY" Exception: You do not have permission to access the requested document.; SheetId: "13W1z0Zi28XEJLXnS9bbvmHuHX9JcotZDG6PNAr8deb0" Exception: You do not have permission to access the requested document.; SheetId: "1wPTKIUfRXrswONC-TRCc27vUre2Gcm9zH3VhWgj97k0" Exception: You do not have permission to access the requested document.; SheetId: "1Y6Ak0WKpF2tqYoWTj27MefJtfQ992XsjSK234OeFaXc" Exception: You do not have permission to access the requested document.; SheetId: "10fyLBMFF-Ll-39GmgBleodwY9UP1Z720Rc7S83ZNa24" Exception: You do not have permission to access the requested document.; SheetId: "1G_0DcG8h45qOqhHNR32u5MfoYysjDc_pEmrRYwChiJ4" Exception: You do not have permission to access the requested document.; SheetId: "1UDsOqVrSUUZnbgIqM-TuNovcJXEQR6y4iz2sNtd6FFU" Exception: You do not have permission to access the requested document.; SheetId: "19Nz4ORR7S2zC_ZpwICSgfXhsN865jy1XiKN7vf2xRgc" Exception: You do not have permission to access the requested document.; SheetId: "1jJPkQt55DZ_x9OeazDjxRB2KrHGlRFD-H0aS57MjDgk" Exception: You do not have permission to access the requested document.; SheetId: "115yXj5JZkJRrmygPapu3rwvxvQVwDcQxYMpCgTyOUK8" Exception: You do not have permission to access the requested document.; SheetId: "1f-bBX1tabRKPUd3UixDYD_LBeTCfm4fKMCZgZoegIXs" Exception: You do not have permission to access the requested document.; SheetId: "1UQtoczHqWI2So18LYAXIlFwxg0dj_A4fekwl2UVXFiY" Exception: You do not have permission to access the requested document.; SheetId: "1aef7YUsReurtox1oodafQGw7Z74ZnTpflbN0raSOx5s" Exception: You do not have permission to access the requested document.; SheetId: "1qmpGg9TEDDGoqsF1BKTsBdGu9Vmrpr3i4f7Agl8SKOQ" Exception: You do not have permission to access the requested document.; SheetId: "1z2sYCQ-onJ1yJPrsVuq8i1OnKl0mo-1BmCvd6_mLzQw" Exception: You do not have permission to access the requested document.; SheetId: "1H8Rm_FggiunhnCb17GvMufsG8rKujAQ0-PtiCEXHsFs" Exception: You do not have permission to access the requested document.; SheetId: "1pHFf1OxoEG42boI8kVnoDt2dMCJhsNXzOZJMG99h704" Exception: You do not have permission to access the requested document.; </t>
  </si>
  <si>
    <t xml:space="preserve">SheetId: "1cbxdfYr8gDU1Ta8KFUjXS8iCyWhqwQOlxyzZ37SH2-o" Exception: You do not have permission to access the requested document.; SheetId: "1BK3u_U6fT7UMWi_fNKoC5yMRG1AOY2D3EiBa74PkYZ0" Exception: You do not have permission to access the requested document.; SheetId: "1GgRyHYbJy1XqVJSdCpGkwqvRNdw4fhWrUApAp9kjcK0" Exception: You do not have permission to access the requested document.; SheetId: "1w1yobDJOvz56YrSKEwrvEF7MxhAqrTMOI9hkyMirG-I" Exception: You do not have permission to access the requested document.; SheetId: "1EqxyUF6OBDNIx8tqqC-5Qw9EhuGDLI3wrwI584-fpz0" Exception: You do not have permission to access the requested document.; SheetId: "1bPY6kyCFNJ0WvsmP1oaKZPxEi7vQJLeMyK0WvLqjuhQ" Exception: You do not have permission to access the requested document.; SheetId: "1veW9elDz7_mG0yKXVquE-2nNTLRzF1R8sgPUOLKKhvQ" Exception: You do not have permission to access the requested document.; SheetId: "1PUyQBjXonkRel0mZBRN91gG1ABo0rbN6ky0IqWN7zbY" Exception: You do not have permission to access the requested document.; SheetId: "1AJkaXN5x_WMw9ot43feNFbw7iOk5W8F1XrdObNrFdoo" Exception: You do not have permission to access the requested document.; SheetId: "1TflvMbVlGCTqhLDIDDLRtI9O4mhGcKnkwBztbfV0Vdw" Exception: You do not have permission to access the requested document.; SheetId: "1C_lVBqrfacsLvgsinktCFoxhribHrU-duHI3S2JQyjQ" Exception: You do not have permission to access the requested document.; SheetId: "1W-Ux3TCVsl8Hvx819dk9o76pFfxxHGKaL3lUlgGsPVI" Exception: You do not have permission to access the requested document.; SheetId: "1qDc89v01TKPluEH0Ofv_MLVoLm9DRK_Uc2-N0KHivWQ" Exception: You do not have permission to access the requested document.; SheetId: "1BYBDWSYKGUtPPotW5KoiISidXW1ZO64HMCXE11IVyqY" Exception: You do not have permission to access the requested document.; SheetId: "133n2yxo3cBwev3Zo6o73X8zpARRAn7k-1A5m7WLcbSo" Exception: You do not have permission to access the requested document.; SheetId: "1fsGxZiiihyPbtTFDcLK-3dw5pYcyP65s9BeIMYNtke8" Exception: You do not have permission to access the requested document.; SheetId: "1yrm8IA2H46RiZtp6HyyHhpUPQ17Z54AXFRF6e_91KZI" Exception: You do not have permission to access the requested document.; SheetId: "1Jc1MNemWqMgOhlEEZ14RvCB850NyZvs6NWdKfILkPLs" Exception: You do not have permission to access the requested document.; SheetId: "1KPhc4dXQcKyN3IKMAlOttCjBL2FDpl2GLmSK361KmRQ" Exception: You do not have permission to access the requested document.; SheetId: "1w88yBcA-ifzxKp573zkEKk2MHfISDRv6Mp47H3CUSuo" Exception: You do not have permission to access the requested document.; SheetId: "1bx8oIJB3XszKUZJ8xHCEnqPkaAxi_W7XXilFBW-k04s" Exception: You do not have permission to access the requested document.; SheetId: "1FDxwTBWkT19SZNsiiDhgncoWzxpDlr17ip0cGs4bSCo" Exception: You do not have permission to access the requested document.; SheetId: "1t80MWOfCQauU8ZXBskGWPAVTtA_TwPRH6D0T-eS15Uo" Exception: You do not have permission to access the requested document.; SheetId: "16XQhOsmwvKaQZCU3GZzz-4MeM1WL9sGbO6rgcSTGO54" Exception: You do not have permission to access the requested document.; SheetId: "1zoBLRgqUx9rOmDcGBlhaJ4JsQanzCCQCT77sKQu0sCg" Exception: You do not have permission to access the requested document.; SheetId: "1AJ1XfwMKb6S7o68ow7nW_kKu91FAn5fXJJabBDyjSZk" Exception: You do not have permission to access the requested document.; SheetId: "1sJdiQJuTABatoH7BKtjdHaOG3LfvzhaySLTOGOw7JDQ" Exception: You do not have permission to access the requested document.; SheetId: "1DfTP099pCYCF3U-e0kCF7AWZmB99b6K0iEmek0Egpi8" Exception: You do not have permission to access the requested document.; SheetId: "1ealEjc2s88zgV9V-rH0mDa_92G9rjenT9XpX2nHuQ-g" Exception: You do not have permission to access the requested document.; SheetId: "1_r8bt4qDLQt6_kZ5assx2yqBwnMWgmqZsId9cM0FD2w" Exception: You do not have permission to access the requested document.; SheetId: "1PWZ_G6xnVOrLmt0ACmCp4dJtEGbOXJU7QTK9qtvL_qI" Exception: You do not have permission to access the requested document.; SheetId: "1-mTuFSOuylcYpuGp5x3iNB5Hg9J-niS-T--7hEujMR0" Exception: You do not have permission to access the requested document.; SheetId: "1rj758oTEW9EfyfpmeaKBdadxYO5zoP6IkZM9sPvOcNo" Exception: You do not have permission to access the requested document.; SheetId: "18hNODCadvTfo4DEqIQDGzqMDZtsSUB5XwNVAPxz8stY" Exception: You do not have permission to access the requested document.; SheetId: "1HzzgJTGAUUYdofTLl5jzFZQP_ZfA-3N_akFoVYy3KhQ" Exception: You do not have permission to access the requested document.; SheetId: "1CGzFA8PbYbxBK7eXj-bdn7IfhSijJFrmkqjH6bmQCvg" Exception: You do not have permission to access the requested document.; SheetId: "1eKM95deBuZGnaMVKcjcvvC7zqTiojbvSJ7hzAw5Ut0c" Exception: You do not have permission to access the requested document.; SheetId: "1Csyx_z7eZB-nrYAD0cRE_C7tYFO-ZcZ4X8z5VbHSZng" Exception: You do not have permission to access the requested document.; SheetId: "1DQmgSarkdhmQ36rrU7O-UlpSDk6jBAA9Ujt71fU-vzk" Exception: You do not have permission to access the requested document.; SheetId: "1RUcxiwCApNUFHEUTSU9W_cN-7GaMIzmkUUvnL9zsYuY" Exception: You do not have permission to access the requested document.; SheetId: "13W1z0Zi28XEJLXnS9bbvmHuHX9JcotZDG6PNAr8deb0" Exception: You do not have permission to access the requested document.; SheetId: "1wPTKIUfRXrswONC-TRCc27vUre2Gcm9zH3VhWgj97k0" Exception: You do not have permission to access the requested document.; SheetId: "1Y6Ak0WKpF2tqYoWTj27MefJtfQ992XsjSK234OeFaXc" Exception: You do not have permission to access the requested document.; SheetId: "10fyLBMFF-Ll-39GmgBleodwY9UP1Z720Rc7S83ZNa24" Exception: You do not have permission to access the requested document.; SheetId: "1G_0DcG8h45qOqhHNR32u5MfoYysjDc_pEmrRYwChiJ4" Exception: You do not have permission to access the requested document.; SheetId: "1UDsOqVrSUUZnbgIqM-TuNovcJXEQR6y4iz2sNtd6FFU" Exception: You do not have permission to access the requested document.; SheetId: "19Nz4ORR7S2zC_ZpwICSgfXhsN865jy1XiKN7vf2xRgc" Exception: You do not have permission to access the requested document.; SheetId: "1jJPkQt55DZ_x9OeazDjxRB2KrHGlRFD-H0aS57MjDgk" Exception: You do not have permission to access the requested document.; SheetId: "115yXj5JZkJRrmygPapu3rwvxvQVwDcQxYMpCgTyOUK8" Exception: You do not have permission to access the requested document.; SheetId: "1f-bBX1tabRKPUd3UixDYD_LBeTCfm4fKMCZgZoegIXs" Exception: You do not have permission to access the requested document.; SheetId: "1UQtoczHqWI2So18LYAXIlFwxg0dj_A4fekwl2UVXFiY" Exception: You do not have permission to access the requested document.; SheetId: "1aef7YUsReurtox1oodafQGw7Z74ZnTpflbN0raSOx5s" Exception: You do not have permission to access the requested document.; SheetId: "1qmpGg9TEDDGoqsF1BKTsBdGu9Vmrpr3i4f7Agl8SKOQ" Exception: You do not have permission to access the requested document.; SheetId: "1z2sYCQ-onJ1yJPrsVuq8i1OnKl0mo-1BmCvd6_mLzQw" Exception: You do not have permission to access the requested document.; SheetId: "1H8Rm_FggiunhnCb17GvMufsG8rKujAQ0-PtiCEXHsFs" Exception: You do not have permission to access the requested document.; SheetId: "1pHFf1OxoEG42boI8kVnoDt2dMCJhsNXzOZJMG99h704" Exception: You do not have permission to access the requested document.; </t>
  </si>
  <si>
    <t xml:space="preserve">SheetId: "1cbxdfYr8gDU1Ta8KFUjXS8iCyWhqwQOlxyzZ37SH2-o" Exception: You do not have permission to access the requested document.; SheetId: "1482GiNRdiDsSnn6pdazXY-ADzqCtNn0TLrTQkwA_qJI" Exception: You do not have permission to access the requested document.; SheetId: "1BK3u_U6fT7UMWi_fNKoC5yMRG1AOY2D3EiBa74PkYZ0" Exception: You do not have permission to access the requested document.; SheetId: "1GgRyHYbJy1XqVJSdCpGkwqvRNdw4fhWrUApAp9kjcK0" Exception: You do not have permission to access the requested document.; SheetId: "1w1yobDJOvz56YrSKEwrvEF7MxhAqrTMOI9hkyMirG-I" Exception: You do not have permission to access the requested document.; SheetId: "1EqxyUF6OBDNIx8tqqC-5Qw9EhuGDLI3wrwI584-fpz0" Exception: You do not have permission to access the requested document.; SheetId: "1bPY6kyCFNJ0WvsmP1oaKZPxEi7vQJLeMyK0WvLqjuhQ" Exception: You do not have permission to access the requested document.; SheetId: "1veW9elDz7_mG0yKXVquE-2nNTLRzF1R8sgPUOLKKhvQ" Exception: You do not have permission to access the requested document.; SheetId: "1PUyQBjXonkRel0mZBRN91gG1ABo0rbN6ky0IqWN7zbY" Exception: You do not have permission to access the requested document.; SheetId: "1AJkaXN5x_WMw9ot43feNFbw7iOk5W8F1XrdObNrFdoo" Exception: You do not have permission to access the requested document.; SheetId: "1TflvMbVlGCTqhLDIDDLRtI9O4mhGcKnkwBztbfV0Vdw" Exception: You do not have permission to access the requested document.; SheetId: "1C_lVBqrfacsLvgsinktCFoxhribHrU-duHI3S2JQyjQ" Exception: You do not have permission to access the requested document.; SheetId: "1W-Ux3TCVsl8Hvx819dk9o76pFfxxHGKaL3lUlgGsPVI" Exception: You do not have permission to access the requested document.; SheetId: "1qDc89v01TKPluEH0Ofv_MLVoLm9DRK_Uc2-N0KHivWQ" Exception: You do not have permission to access the requested document.; SheetId: "1BYBDWSYKGUtPPotW5KoiISidXW1ZO64HMCXE11IVyqY" Exception: You do not have permission to access the requested document.; SheetId: "133n2yxo3cBwev3Zo6o73X8zpARRAn7k-1A5m7WLcbSo" Exception: You do not have permission to access the requested document.; SheetId: "1fsGxZiiihyPbtTFDcLK-3dw5pYcyP65s9BeIMYNtke8" Exception: You do not have permission to access the requested document.; SheetId: "1yrm8IA2H46RiZtp6HyyHhpUPQ17Z54AXFRF6e_91KZI" Exception: You do not have permission to access the requested document.; SheetId: "1Jc1MNemWqMgOhlEEZ14RvCB850NyZvs6NWdKfILkPLs" Exception: You do not have permission to access the requested document.; SheetId: "1KPhc4dXQcKyN3IKMAlOttCjBL2FDpl2GLmSK361KmRQ" Exception: You do not have permission to access the requested document.; SheetId: "1w88yBcA-ifzxKp573zkEKk2MHfISDRv6Mp47H3CUSuo" Exception: You do not have permission to access the requested document.; SheetId: "1bx8oIJB3XszKUZJ8xHCEnqPkaAxi_W7XXilFBW-k04s" Exception: You do not have permission to access the requested document.; SheetId: "1FDxwTBWkT19SZNsiiDhgncoWzxpDlr17ip0cGs4bSCo" Exception: You do not have permission to access the requested document.; SheetId: "1t80MWOfCQauU8ZXBskGWPAVTtA_TwPRH6D0T-eS15Uo" Exception: You do not have permission to access the requested document.; SheetId: "16XQhOsmwvKaQZCU3GZzz-4MeM1WL9sGbO6rgcSTGO54" Exception: You do not have permission to access the requested document.; SheetId: "1zoBLRgqUx9rOmDcGBlhaJ4JsQanzCCQCT77sKQu0sCg" Exception: You do not have permission to access the requested document.; SheetId: "1AJ1XfwMKb6S7o68ow7nW_kKu91FAn5fXJJabBDyjSZk" Exception: You do not have permission to access the requested document.; SheetId: "1sJdiQJuTABatoH7BKtjdHaOG3LfvzhaySLTOGOw7JDQ" Exception: You do not have permission to access the requested document.; SheetId: "1DfTP099pCYCF3U-e0kCF7AWZmB99b6K0iEmek0Egpi8" Exception: You do not have permission to access the requested document.; SheetId: "1ealEjc2s88zgV9V-rH0mDa_92G9rjenT9XpX2nHuQ-g" Exception: You do not have permission to access the requested document.; SheetId: "1_r8bt4qDLQt6_kZ5assx2yqBwnMWgmqZsId9cM0FD2w" Exception: You do not have permission to access the requested document.; SheetId: "1PWZ_G6xnVOrLmt0ACmCp4dJtEGbOXJU7QTK9qtvL_qI" Exception: You do not have permission to access the requested document.; SheetId: "1-mTuFSOuylcYpuGp5x3iNB5Hg9J-niS-T--7hEujMR0" Exception: You do not have permission to access the requested document.; SheetId: "1rj758oTEW9EfyfpmeaKBdadxYO5zoP6IkZM9sPvOcNo" Exception: You do not have permission to access the requested document.; SheetId: "18hNODCadvTfo4DEqIQDGzqMDZtsSUB5XwNVAPxz8stY" Exception: You do not have permission to access the requested document.; SheetId: "1HzzgJTGAUUYdofTLl5jzFZQP_ZfA-3N_akFoVYy3KhQ" Exception: You do not have permission to access the requested document.; SheetId: "1CGzFA8PbYbxBK7eXj-bdn7IfhSijJFrmkqjH6bmQCvg" Exception: You do not have permission to access the requested document.; SheetId: "1eKM95deBuZGnaMVKcjcvvC7zqTiojbvSJ7hzAw5Ut0c" Exception: You do not have permission to access the requested document.; SheetId: "1Csyx_z7eZB-nrYAD0cRE_C7tYFO-ZcZ4X8z5VbHSZng" Exception: You do not have permission to access the requested document.; SheetId: "1DQmgSarkdhmQ36rrU7O-UlpSDk6jBAA9Ujt71fU-vzk" Exception: You do not have permission to access the requested document.; SheetId: "1RUcxiwCApNUFHEUTSU9W_cN-7GaMIzmkUUvnL9zsYuY" Exception: You do not have permission to access the requested document.; SheetId: "13W1z0Zi28XEJLXnS9bbvmHuHX9JcotZDG6PNAr8deb0" Exception: You do not have permission to access the requested document.; SheetId: "1wPTKIUfRXrswONC-TRCc27vUre2Gcm9zH3VhWgj97k0" Exception: You do not have permission to access the requested document.; SheetId: "1Y6Ak0WKpF2tqYoWTj27MefJtfQ992XsjSK234OeFaXc" Exception: You do not have permission to access the requested document.; SheetId: "10fyLBMFF-Ll-39GmgBleodwY9UP1Z720Rc7S83ZNa24" Exception: You do not have permission to access the requested document.; SheetId: "1G_0DcG8h45qOqhHNR32u5MfoYysjDc_pEmrRYwChiJ4" Exception: You do not have permission to access the requested document.; SheetId: "1UDsOqVrSUUZnbgIqM-TuNovcJXEQR6y4iz2sNtd6FFU" Exception: You do not have permission to access the requested document.; SheetId: "19Nz4ORR7S2zC_ZpwICSgfXhsN865jy1XiKN7vf2xRgc" Exception: You do not have permission to access the requested document.; SheetId: "1jJPkQt55DZ_x9OeazDjxRB2KrHGlRFD-H0aS57MjDgk" Exception: You do not have permission to access the requested document.; SheetId: "115yXj5JZkJRrmygPapu3rwvxvQVwDcQxYMpCgTyOUK8" Exception: You do not have permission to access the requested document.; SheetId: "1f-bBX1tabRKPUd3UixDYD_LBeTCfm4fKMCZgZoegIXs" Exception: You do not have permission to access the requested document.; SheetId: "1UQtoczHqWI2So18LYAXIlFwxg0dj_A4fekwl2UVXFiY" Exception: You do not have permission to access the requested document.; SheetId: "1aef7YUsReurtox1oodafQGw7Z74ZnTpflbN0raSOx5s" Exception: You do not have permission to access the requested document.; SheetId: "1qmpGg9TEDDGoqsF1BKTsBdGu9Vmrpr3i4f7Agl8SKOQ" Exception: You do not have permission to access the requested document.; SheetId: "1z2sYCQ-onJ1yJPrsVuq8i1OnKl0mo-1BmCvd6_mLzQw" Exception: You do not have permission to access the requested document.; SheetId: "1H8Rm_FggiunhnCb17GvMufsG8rKujAQ0-PtiCEXHsFs" Exception: You do not have permission to access the requested document.; SheetId: "1pHFf1OxoEG42boI8kVnoDt2dMCJhsNXzOZJMG99h704" Exception: You do not have permission to access the requested document.; </t>
  </si>
  <si>
    <t xml:space="preserve">SheetId: "1cbxdfYr8gDU1Ta8KFUjXS8iCyWhqwQOlxyzZ37SH2-o" Exception: You do not have permission to access the requested document.; SheetId: "1482GiNRdiDsSnn6pdazXY-ADzqCtNn0TLrTQkwA_qJI" Exception: You do not have permission to access the requested document.; SheetId: "1BK3u_U6fT7UMWi_fNKoC5yMRG1AOY2D3EiBa74PkYZ0" Exception: You do not have permission to access the requested document.; SheetId: "1GgRyHYbJy1XqVJSdCpGkwqvRNdw4fhWrUApAp9kjcK0" Exception: You do not have permission to access the requested document.; SheetId: "1w1yobDJOvz56YrSKEwrvEF7MxhAqrTMOI9hkyMirG-I" Exception: You do not have permission to access the requested document.; SheetId: "1EqxyUF6OBDNIx8tqqC-5Qw9EhuGDLI3wrwI584-fpz0" Exception: You do not have permission to access the requested document.; SheetId: "1bPY6kyCFNJ0WvsmP1oaKZPxEi7vQJLeMyK0WvLqjuhQ" Exception: You do not have permission to access the requested document.; SheetId: "1veW9elDz7_mG0yKXVquE-2nNTLRzF1R8sgPUOLKKhvQ" Exception: You do not have permission to access the requested document.; SheetId: "1PUyQBjXonkRel0mZBRN91gG1ABo0rbN6ky0IqWN7zbY" Exception: You do not have permission to access the requested document.; SheetId: "1iwzcY2WEZkojN5fPxYGwTqfz-LNI16Bi6A_5o8-Q9ck" Exception: You do not have permission to access the requested document.; SheetId: "1T1XoFlrZJk37rd4WyJe3UKu2cl_sMppIONP2Xfo-Plg" Exception: You do not have permission to access the requested document.; SheetId: "1AJkaXN5x_WMw9ot43feNFbw7iOk5W8F1XrdObNrFdoo" Exception: You do not have permission to access the requested document.; SheetId: "1TflvMbVlGCTqhLDIDDLRtI9O4mhGcKnkwBztbfV0Vdw" Exception: You do not have permission to access the requested document.; SheetId: "1C_lVBqrfacsLvgsinktCFoxhribHrU-duHI3S2JQyjQ" Exception: You do not have permission to access the requested document.; SheetId: "1W-Ux3TCVsl8Hvx819dk9o76pFfxxHGKaL3lUlgGsPVI" Exception: You do not have permission to access the requested document.; SheetId: "1qDc89v01TKPluEH0Ofv_MLVoLm9DRK_Uc2-N0KHivWQ" Exception: You do not have permission to access the requested document.; SheetId: "1BYBDWSYKGUtPPotW5KoiISidXW1ZO64HMCXE11IVyqY" Exception: You do not have permission to access the requested document.; SheetId: "133n2yxo3cBwev3Zo6o73X8zpARRAn7k-1A5m7WLcbSo" Exception: You do not have permission to access the requested document.; SheetId: "1fsGxZiiihyPbtTFDcLK-3dw5pYcyP65s9BeIMYNtke8" Exception: You do not have permission to access the requested document.; SheetId: "1yrm8IA2H46RiZtp6HyyHhpUPQ17Z54AXFRF6e_91KZI" Exception: You do not have permission to access the requested document.; SheetId: "1Jc1MNemWqMgOhlEEZ14RvCB850NyZvs6NWdKfILkPLs" Exception: You do not have permission to access the requested document.; SheetId: "1KPhc4dXQcKyN3IKMAlOttCjBL2FDpl2GLmSK361KmRQ" Exception: You do not have permission to access the requested document.; SheetId: "1CNqm15dCPf774GEwNbn4m2Vhp6ljvUCFjUyGCqnmRZ8" Exception: You do not have permission to access the requested document.; SheetId: "1w88yBcA-ifzxKp573zkEKk2MHfISDRv6Mp47H3CUSuo" Exception: You do not have permission to access the requested document.; SheetId: "1bx8oIJB3XszKUZJ8xHCEnqPkaAxi_W7XXilFBW-k04s" Exception: You do not have permission to access the requested document.; SheetId: "1FDxwTBWkT19SZNsiiDhgncoWzxpDlr17ip0cGs4bSCo" Exception: You do not have permission to access the requested document.; SheetId: "1t80MWOfCQauU8ZXBskGWPAVTtA_TwPRH6D0T-eS15Uo" Exception: You do not have permission to access the requested document.; SheetId: "16XQhOsmwvKaQZCU3GZzz-4MeM1WL9sGbO6rgcSTGO54" Exception: You do not have permission to access the requested document.; SheetId: "1zoBLRgqUx9rOmDcGBlhaJ4JsQanzCCQCT77sKQu0sCg" Exception: You do not have permission to access the requested document.; SheetId: "1AJ1XfwMKb6S7o68ow7nW_kKu91FAn5fXJJabBDyjSZk" Exception: You do not have permission to access the requested document.; SheetId: "1sJdiQJuTABatoH7BKtjdHaOG3LfvzhaySLTOGOw7JDQ" Exception: You do not have permission to access the requested document.; SheetId: "1DfTP099pCYCF3U-e0kCF7AWZmB99b6K0iEmek0Egpi8" Exception: You do not have permission to access the requested document.; SheetId: "1ealEjc2s88zgV9V-rH0mDa_92G9rjenT9XpX2nHuQ-g" Exception: You do not have permission to access the requested document.; SheetId: "1_r8bt4qDLQt6_kZ5assx2yqBwnMWgmqZsId9cM0FD2w" Exception: You do not have permission to access the requested document.; SheetId: "1PWZ_G6xnVOrLmt0ACmCp4dJtEGbOXJU7QTK9qtvL_qI" Exception: You do not have permission to access the requested document.; SheetId: "1jj6TbxtTyxk_bO_fa2iQn2IVJUCFTe6bpQEQQILkp9g" Exception: You do not have permission to access the requested document.; SheetId: "1-mTuFSOuylcYpuGp5x3iNB5Hg9J-niS-T--7hEujMR0" Exception: You do not have permission to access the requested document.; SheetId: "1rj758oTEW9EfyfpmeaKBdadxYO5zoP6IkZM9sPvOcNo" Exception: You do not have permission to access the requested document.; SheetId: "18hNODCadvTfo4DEqIQDGzqMDZtsSUB5XwNVAPxz8stY" Exception: You do not have permission to access the requested document.; SheetId: "1HzzgJTGAUUYdofTLl5jzFZQP_ZfA-3N_akFoVYy3KhQ" Exception: You do not have permission to access the requested document.; SheetId: "1CGzFA8PbYbxBK7eXj-bdn7IfhSijJFrmkqjH6bmQCvg" Exception: You do not have permission to access the requested document.; SheetId: "1eKM95deBuZGnaMVKcjcvvC7zqTiojbvSJ7hzAw5Ut0c" Exception: You do not have permission to access the requested document.; SheetId: "1Csyx_z7eZB-nrYAD0cRE_C7tYFO-ZcZ4X8z5VbHSZng" Exception: You do not have permission to access the requested document.; SheetId: "1DQmgSarkdhmQ36rrU7O-UlpSDk6jBAA9Ujt71fU-vzk" Exception: You do not have permission to access the requested document.; SheetId: "1RUcxiwCApNUFHEUTSU9W_cN-7GaMIzmkUUvnL9zsYuY" Exception: You do not have permission to access the requested document.; SheetId: "13W1z0Zi28XEJLXnS9bbvmHuHX9JcotZDG6PNAr8deb0" Exception: You do not have permission to access the requested document.; SheetId: "1wPTKIUfRXrswONC-TRCc27vUre2Gcm9zH3VhWgj97k0" Exception: You do not have permission to access the requested document.; SheetId: "1Y6Ak0WKpF2tqYoWTj27MefJtfQ992XsjSK234OeFaXc" Exception: You do not have permission to access the requested document.; SheetId: "10fyLBMFF-Ll-39GmgBleodwY9UP1Z720Rc7S83ZNa24" Exception: You do not have permission to access the requested document.; SheetId: "1G_0DcG8h45qOqhHNR32u5MfoYysjDc_pEmrRYwChiJ4" Exception: You do not have permission to access the requested document.; SheetId: "1UDsOqVrSUUZnbgIqM-TuNovcJXEQR6y4iz2sNtd6FFU" Exception: You do not have permission to access the requested document.; SheetId: "19Nz4ORR7S2zC_ZpwICSgfXhsN865jy1XiKN7vf2xRgc" Exception: You do not have permission to access the requested document.; SheetId: "1jJPkQt55DZ_x9OeazDjxRB2KrHGlRFD-H0aS57MjDgk" Exception: You do not have permission to access the requested document.; SheetId: "115yXj5JZkJRrmygPapu3rwvxvQVwDcQxYMpCgTyOUK8" Exception: You do not have permission to access the requested document.; SheetId: "1f-bBX1tabRKPUd3UixDYD_LBeTCfm4fKMCZgZoegIXs" Exception: You do not have permission to access the requested document.; SheetId: "1UQtoczHqWI2So18LYAXIlFwxg0dj_A4fekwl2UVXFiY" Exception: You do not have permission to access the requested document.; SheetId: "1aef7YUsReurtox1oodafQGw7Z74ZnTpflbN0raSOx5s" Exception: You do not have permission to access the requested document.; SheetId: "1qmpGg9TEDDGoqsF1BKTsBdGu9Vmrpr3i4f7Agl8SKOQ" Exception: You do not have permission to access the requested document.; SheetId: "1z2sYCQ-onJ1yJPrsVuq8i1OnKl0mo-1BmCvd6_mLzQw" Exception: You do not have permission to access the requested document.; SheetId: "1H8Rm_FggiunhnCb17GvMufsG8rKujAQ0-PtiCEXHsFs" Exception: You do not have permission to access the requested document.; SheetId: "1pHFf1OxoEG42boI8kVnoDt2dMCJhsNXzOZJMG99h704" Exception: You do not have permission to access the requested document.; </t>
  </si>
  <si>
    <t xml:space="preserve">SheetId: "14SxCYJ1HPiMwpPUpGjc_Dih-XMBaBapwfqCxWbl_NQ" Exception: Unexpected error while getting the method or property openById on object SpreadsheetApp.; </t>
  </si>
  <si>
    <t xml:space="preserve">SheetId: "14SxCYJ1HPiMwpPUpGjc_Dih-XMBaBapwfqCxWbl_NQ" Exception: Unexpected error while getting the method or property openById on object SpreadsheetApp.; SheetId: "1cbxdfYr8gDU1Ta8KFUjXS8iCyWhqwQOlxyzZ37SH2-o" Exception: You do not have permission to access the requested document.; SheetId: "1482GiNRdiDsSnn6pdazXY-ADzqCtNn0TLrTQkwA_qJI" Exception: You do not have permission to access the requested document.; SheetId: "1BK3u_U6fT7UMWi_fNKoC5yMRG1AOY2D3EiBa74PkYZ0" Exception: You do not have permission to access the requested document.; SheetId: "1GgRyHYbJy1XqVJSdCpGkwqvRNdw4fhWrUApAp9kjcK0" Exception: You do not have permission to access the requested document.; SheetId: "1w1yobDJOvz56YrSKEwrvEF7MxhAqrTMOI9hkyMirG-I" Exception: You do not have permission to access the requested document.; SheetId: "1EqxyUF6OBDNIx8tqqC-5Qw9EhuGDLI3wrwI584-fpz0" Exception: You do not have permission to access the requested document.; SheetId: "1bPY6kyCFNJ0WvsmP1oaKZPxEi7vQJLeMyK0WvLqjuhQ" Exception: You do not have permission to access the requested document.; SheetId: "1veW9elDz7_mG0yKXVquE-2nNTLRzF1R8sgPUOLKKhvQ" Exception: You do not have permission to access the requested document.; SheetId: "1PUyQBjXonkRel0mZBRN91gG1ABo0rbN6ky0IqWN7zbY" Exception: You do not have permission to access the requested document.; SheetId: "1iwzcY2WEZkojN5fPxYGwTqfz-LNI16Bi6A_5o8-Q9ck" Exception: You do not have permission to access the requested document.; SheetId: "1T1XoFlrZJk37rd4WyJe3UKu2cl_sMppIONP2Xfo-Plg" Exception: You do not have permission to access the requested document.; SheetId: "1AJkaXN5x_WMw9ot43feNFbw7iOk5W8F1XrdObNrFdoo" Exception: You do not have permission to access the requested document.; SheetId: "1TflvMbVlGCTqhLDIDDLRtI9O4mhGcKnkwBztbfV0Vdw" Exception: You do not have permission to access the requested document.; SheetId: "1C_lVBqrfacsLvgsinktCFoxhribHrU-duHI3S2JQyjQ" Exception: You do not have permission to access the requested document.; SheetId: "1W-Ux3TCVsl8Hvx819dk9o76pFfxxHGKaL3lUlgGsPVI" Exception: You do not have permission to access the requested document.; SheetId: "1qDc89v01TKPluEH0Ofv_MLVoLm9DRK_Uc2-N0KHivWQ" Exception: You do not have permission to access the requested document.; SheetId: "1BYBDWSYKGUtPPotW5KoiISidXW1ZO64HMCXE11IVyqY" Exception: You do not have permission to access the requested document.; SheetId: "133n2yxo3cBwev3Zo6o73X8zpARRAn7k-1A5m7WLcbSo" Exception: You do not have permission to access the requested document.; SheetId: "1fsGxZiiihyPbtTFDcLK-3dw5pYcyP65s9BeIMYNtke8" Exception: You do not have permission to access the requested document.; SheetId: "1yrm8IA2H46RiZtp6HyyHhpUPQ17Z54AXFRF6e_91KZI" Exception: You do not have permission to access the requested document.; SheetId: "1Jc1MNemWqMgOhlEEZ14RvCB850NyZvs6NWdKfILkPLs" Exception: You do not have permission to access the requested document.; SheetId: "1KPhc4dXQcKyN3IKMAlOttCjBL2FDpl2GLmSK361KmRQ" Exception: You do not have permission to access the requested document.; SheetId: "1CNqm15dCPf774GEwNbn4m2Vhp6ljvUCFjUyGCqnmRZ8" Exception: You do not have permission to access the requested document.; SheetId: "1w88yBcA-ifzxKp573zkEKk2MHfISDRv6Mp47H3CUSuo" Exception: You do not have permission to access the requested document.; SheetId: "1bx8oIJB3XszKUZJ8xHCEnqPkaAxi_W7XXilFBW-k04s" Exception: You do not have permission to access the requested document.; SheetId: "1FDxwTBWkT19SZNsiiDhgncoWzxpDlr17ip0cGs4bSCo" Exception: You do not have permission to access the requested document.; SheetId: "1t80MWOfCQauU8ZXBskGWPAVTtA_TwPRH6D0T-eS15Uo" Exception: You do not have permission to access the requested document.; SheetId: "16XQhOsmwvKaQZCU3GZzz-4MeM1WL9sGbO6rgcSTGO54" Exception: You do not have permission to access the requested document.; SheetId: "1zoBLRgqUx9rOmDcGBlhaJ4JsQanzCCQCT77sKQu0sCg" Exception: You do not have permission to access the requested document.; SheetId: "1AJ1XfwMKb6S7o68ow7nW_kKu91FAn5fXJJabBDyjSZk" Exception: You do not have permission to access the requested document.; SheetId: "1sJdiQJuTABatoH7BKtjdHaOG3LfvzhaySLTOGOw7JDQ" Exception: You do not have permission to access the requested document.; SheetId: "1DfTP099pCYCF3U-e0kCF7AWZmB99b6K0iEmek0Egpi8" Exception: You do not have permission to access the requested document.; SheetId: "1ealEjc2s88zgV9V-rH0mDa_92G9rjenT9XpX2nHuQ-g" Exception: You do not have permission to access the requested document.; SheetId: "1_r8bt4qDLQt6_kZ5assx2yqBwnMWgmqZsId9cM0FD2w" Exception: You do not have permission to access the requested document.; SheetId: "1PWZ_G6xnVOrLmt0ACmCp4dJtEGbOXJU7QTK9qtvL_qI" Exception: You do not have permission to access the requested document.; SheetId: "1jj6TbxtTyxk_bO_fa2iQn2IVJUCFTe6bpQEQQILkp9g" Exception: You do not have permission to access the requested document.; SheetId: "1-mTuFSOuylcYpuGp5x3iNB5Hg9J-niS-T--7hEujMR0" Exception: You do not have permission to access the requested document.; SheetId: "1rj758oTEW9EfyfpmeaKBdadxYO5zoP6IkZM9sPvOcNo" Exception: You do not have permission to access the requested document.; SheetId: "18hNODCadvTfo4DEqIQDGzqMDZtsSUB5XwNVAPxz8stY" Exception: You do not have permission to access the requested document.; SheetId: "1HzzgJTGAUUYdofTLl5jzFZQP_ZfA-3N_akFoVYy3KhQ" Exception: You do not have permission to access the requested document.; SheetId: "1CGzFA8PbYbxBK7eXj-bdn7IfhSijJFrmkqjH6bmQCvg" Exception: You do not have permission to access the requested document.; SheetId: "1eKM95deBuZGnaMVKcjcvvC7zqTiojbvSJ7hzAw5Ut0c" Exception: You do not have permission to access the requested document.; SheetId: "1Csyx_z7eZB-nrYAD0cRE_C7tYFO-ZcZ4X8z5VbHSZng" Exception: You do not have permission to access the requested document.; SheetId: "1DQmgSarkdhmQ36rrU7O-UlpSDk6jBAA9Ujt71fU-vzk" Exception: You do not have permission to access the requested document.; SheetId: "1RUcxiwCApNUFHEUTSU9W_cN-7GaMIzmkUUvnL9zsYuY" Exception: You do not have permission to access the requested document.; SheetId: "13W1z0Zi28XEJLXnS9bbvmHuHX9JcotZDG6PNAr8deb0" Exception: You do not have permission to access the requested document.; SheetId: "1wPTKIUfRXrswONC-TRCc27vUre2Gcm9zH3VhWgj97k0" Exception: You do not have permission to access the requested document.; SheetId: "1Y6Ak0WKpF2tqYoWTj27MefJtfQ992XsjSK234OeFaXc" Exception: You do not have permission to access the requested document.; SheetId: "10fyLBMFF-Ll-39GmgBleodwY9UP1Z720Rc7S83ZNa24" Exception: You do not have permission to access the requested document.; SheetId: "1G_0DcG8h45qOqhHNR32u5MfoYysjDc_pEmrRYwChiJ4" Exception: You do not have permission to access the requested document.; SheetId: "1UDsOqVrSUUZnbgIqM-TuNovcJXEQR6y4iz2sNtd6FFU" Exception: You do not have permission to access the requested document.; SheetId: "19Nz4ORR7S2zC_ZpwICSgfXhsN865jy1XiKN7vf2xRgc" Exception: You do not have permission to access the requested document.; SheetId: "1jJPkQt55DZ_x9OeazDjxRB2KrHGlRFD-H0aS57MjDgk" Exception: You do not have permission to access the requested document.; SheetId: "115yXj5JZkJRrmygPapu3rwvxvQVwDcQxYMpCgTyOUK8" Exception: You do not have permission to access the requested document.; SheetId: "1f-bBX1tabRKPUd3UixDYD_LBeTCfm4fKMCZgZoegIXs" Exception: You do not have permission to access the requested document.; SheetId: "1UQtoczHqWI2So18LYAXIlFwxg0dj_A4fekwl2UVXFiY" Exception: You do not have permission to access the requested document.; SheetId: "1aef7YUsReurtox1oodafQGw7Z74ZnTpflbN0raSOx5s" Exception: You do not have permission to access the requested document.; SheetId: "1qmpGg9TEDDGoqsF1BKTsBdGu9Vmrpr3i4f7Agl8SKOQ" Exception: You do not have permission to access the requested document.; SheetId: "1z2sYCQ-onJ1yJPrsVuq8i1OnKl0mo-1BmCvd6_mLzQw" Exception: You do not have permission to access the requested document.; SheetId: "1H8Rm_FggiunhnCb17GvMufsG8rKujAQ0-PtiCEXHsFs" Exception: You do not have permission to access the requested document.; SheetId: "1pHFf1OxoEG42boI8kVnoDt2dMCJhsNXzOZJMG99h704" Exception: You do not have permission to access the requested document.; </t>
  </si>
  <si>
    <t xml:space="preserve">SheetId: "14SxCYJ1HPiMwpPUpGjc_Dih-XMBaBapwfqCxWbl_NQ" Exception: Unexpected error while getting the method or property openById on object SpreadsheetApp.; SheetId: "1cbxdfYr8gDU1Ta8KFUjXS8iCyWhqwQOlxyzZ37SH2-o" Exception: You do not have permission to access the requested document.; SheetId: "1482GiNRdiDsSnn6pdazXY-ADzqCtNn0TLrTQkwA_qJI" Exception: You do not have permission to access the requested document.; SheetId: "1BK3u_U6fT7UMWi_fNKoC5yMRG1AOY2D3EiBa74PkYZ0" Exception: You do not have permission to access the requested document.; SheetId: "1GgRyHYbJy1XqVJSdCpGkwqvRNdw4fhWrUApAp9kjcK0" Exception: You do not have permission to access the requested document.; SheetId: "1w1yobDJOvz56YrSKEwrvEF7MxhAqrTMOI9hkyMirG-I" Exception: You do not have permission to access the requested document.; SheetId: "1EqxyUF6OBDNIx8tqqC-5Qw9EhuGDLI3wrwI584-fpz0" Exception: You do not have permission to access the requested document.; SheetId: "1bPY6kyCFNJ0WvsmP1oaKZPxEi7vQJLeMyK0WvLqjuhQ" Exception: You do not have permission to access the requested document.; SheetId: "1veW9elDz7_mG0yKXVquE-2nNTLRzF1R8sgPUOLKKhvQ" Exception: You do not have permission to access the requested document.; SheetId: "1iwzcY2WEZkojN5fPxYGwTqfz-LNI16Bi6A_5o8-Q9ck" Exception: You do not have permission to access the requested document.; SheetId: "1T1XoFlrZJk37rd4WyJe3UKu2cl_sMppIONP2Xfo-Plg" Exception: You do not have permission to access the requested document.; SheetId: "1AJkaXN5x_WMw9ot43feNFbw7iOk5W8F1XrdObNrFdoo" Exception: You do not have permission to access the requested document.; SheetId: "1TflvMbVlGCTqhLDIDDLRtI9O4mhGcKnkwBztbfV0Vdw" Exception: You do not have permission to access the requested document.; SheetId: "1C_lVBqrfacsLvgsinktCFoxhribHrU-duHI3S2JQyjQ" Exception: You do not have permission to access the requested document.; SheetId: "1W-Ux3TCVsl8Hvx819dk9o76pFfxxHGKaL3lUlgGsPVI" Exception: You do not have permission to access the requested document.; SheetId: "1qDc89v01TKPluEH0Ofv_MLVoLm9DRK_Uc2-N0KHivWQ" Exception: You do not have permission to access the requested document.; SheetId: "1BYBDWSYKGUtPPotW5KoiISidXW1ZO64HMCXE11IVyqY" Exception: You do not have permission to access the requested document.; SheetId: "133n2yxo3cBwev3Zo6o73X8zpARRAn7k-1A5m7WLcbSo" Exception: You do not have permission to access the requested document.; SheetId: "1fsGxZiiihyPbtTFDcLK-3dw5pYcyP65s9BeIMYNtke8" Exception: You do not have permission to access the requested document.; SheetId: "1yrm8IA2H46RiZtp6HyyHhpUPQ17Z54AXFRF6e_91KZI" Exception: You do not have permission to access the requested document.; SheetId: "1Jc1MNemWqMgOhlEEZ14RvCB850NyZvs6NWdKfILkPLs" Exception: You do not have permission to access the requested document.; SheetId: "1KPhc4dXQcKyN3IKMAlOttCjBL2FDpl2GLmSK361KmRQ" Exception: You do not have permission to access the requested document.; SheetId: "1HbMgpFbdI5uMBON6-leByy4xS0usGViAo1WoLhV5Dt4" Exception: You do not have permission to access the requested document.; SheetId: "1CNqm15dCPf774GEwNbn4m2Vhp6ljvUCFjUyGCqnmRZ8" Exception: You do not have permission to access the requested document.; SheetId: "1w88yBcA-ifzxKp573zkEKk2MHfISDRv6Mp47H3CUSuo" Exception: You do not have permission to access the requested document.; SheetId: "1bx8oIJB3XszKUZJ8xHCEnqPkaAxi_W7XXilFBW-k04s" Exception: You do not have permission to access the requested document.; SheetId: "1FDxwTBWkT19SZNsiiDhgncoWzxpDlr17ip0cGs4bSCo" Exception: You do not have permission to access the requested document.; SheetId: "1pHun7fmGxd1O2R8etVfNACS0bNHfyPzThnub92_HGOg" Exception: You do not have permission to access the requested document.; SheetId: "1t80MWOfCQauU8ZXBskGWPAVTtA_TwPRH6D0T-eS15Uo" Exception: You do not have permission to access the requested document.; SheetId: "16XQhOsmwvKaQZCU3GZzz-4MeM1WL9sGbO6rgcSTGO54" Exception: You do not have permission to access the requested document.; SheetId: "1zoBLRgqUx9rOmDcGBlhaJ4JsQanzCCQCT77sKQu0sCg" Exception: You do not have permission to access the requested document.; SheetId: "1AJ1XfwMKb6S7o68ow7nW_kKu91FAn5fXJJabBDyjSZk" Exception: You do not have permission to access the requested document.; SheetId: "1sJdiQJuTABatoH7BKtjdHaOG3LfvzhaySLTOGOw7JDQ" Exception: You do not have permission to access the requested document.; SheetId: "1DfTP099pCYCF3U-e0kCF7AWZmB99b6K0iEmek0Egpi8" Exception: You do not have permission to access the requested document.; SheetId: "1ealEjc2s88zgV9V-rH0mDa_92G9rjenT9XpX2nHuQ-g" Exception: You do not have permission to access the requested document.; SheetId: "1_r8bt4qDLQt6_kZ5assx2yqBwnMWgmqZsId9cM0FD2w" Exception: You do not have permission to access the requested document.; SheetId: "1PWZ_G6xnVOrLmt0ACmCp4dJtEGbOXJU7QTK9qtvL_qI" Exception: You do not have permission to access the requested document.; SheetId: "1jj6TbxtTyxk_bO_fa2iQn2IVJUCFTe6bpQEQQILkp9g" Exception: You do not have permission to access the requested document.; SheetId: "1-mTuFSOuylcYpuGp5x3iNB5Hg9J-niS-T--7hEujMR0" Exception: You do not have permission to access the requested document.; SheetId: "1rj758oTEW9EfyfpmeaKBdadxYO5zoP6IkZM9sPvOcNo" Exception: You do not have permission to access the requested document.; SheetId: "18hNODCadvTfo4DEqIQDGzqMDZtsSUB5XwNVAPxz8stY" Exception: You do not have permission to access the requested document.; SheetId: "1HzzgJTGAUUYdofTLl5jzFZQP_ZfA-3N_akFoVYy3KhQ" Exception: You do not have permission to access the requested document.; SheetId: "1CGzFA8PbYbxBK7eXj-bdn7IfhSijJFrmkqjH6bmQCvg" Exception: You do not have permission to access the requested document.; SheetId: "1eKM95deBuZGnaMVKcjcvvC7zqTiojbvSJ7hzAw5Ut0c" Exception: You do not have permission to access the requested document.; SheetId: "1Csyx_z7eZB-nrYAD0cRE_C7tYFO-ZcZ4X8z5VbHSZng" Exception: You do not have permission to access the requested document.; SheetId: "1DQmgSarkdhmQ36rrU7O-UlpSDk6jBAA9Ujt71fU-vzk" Exception: You do not have permission to access the requested document.; SheetId: "1RUcxiwCApNUFHEUTSU9W_cN-7GaMIzmkUUvnL9zsYuY" Exception: You do not have permission to access the requested document.; SheetId: "13W1z0Zi28XEJLXnS9bbvmHuHX9JcotZDG6PNAr8deb0" Exception: You do not have permission to access the requested document.; SheetId: "1wPTKIUfRXrswONC-TRCc27vUre2Gcm9zH3VhWgj97k0" Exception: You do not have permission to access the requested document.; SheetId: "1Y6Ak0WKpF2tqYoWTj27MefJtfQ992XsjSK234OeFaXc" Exception: You do not have permission to access the requested document.; SheetId: "10fyLBMFF-Ll-39GmgBleodwY9UP1Z720Rc7S83ZNa24" Exception: You do not have permission to access the requested document.; SheetId: "1G_0DcG8h45qOqhHNR32u5MfoYysjDc_pEmrRYwChiJ4" Exception: You do not have permission to access the requested document.; SheetId: "1UDsOqVrSUUZnbgIqM-TuNovcJXEQR6y4iz2sNtd6FFU" Exception: You do not have permission to access the requested document.; SheetId: "19Nz4ORR7S2zC_ZpwICSgfXhsN865jy1XiKN7vf2xRgc" Exception: You do not have permission to access the requested document.; SheetId: "1jJPkQt55DZ_x9OeazDjxRB2KrHGlRFD-H0aS57MjDgk" Exception: You do not have permission to access the requested document.; SheetId: "115yXj5JZkJRrmygPapu3rwvxvQVwDcQxYMpCgTyOUK8" Exception: You do not have permission to access the requested document.; SheetId: "1f-bBX1tabRKPUd3UixDYD_LBeTCfm4fKMCZgZoegIXs" Exception: You do not have permission to access the requested document.; SheetId: "1UQtoczHqWI2So18LYAXIlFwxg0dj_A4fekwl2UVXFiY" Exception: You do not have permission to access the requested document.; SheetId: "1aef7YUsReurtox1oodafQGw7Z74ZnTpflbN0raSOx5s" Exception: You do not have permission to access the requested document.; SheetId: "1qmpGg9TEDDGoqsF1BKTsBdGu9Vmrpr3i4f7Agl8SKOQ" Exception: You do not have permission to access the requested document.; SheetId: "1z2sYCQ-onJ1yJPrsVuq8i1OnKl0mo-1BmCvd6_mLzQw" Exception: You do not have permission to access the requested document.; SheetId: "1H8Rm_FggiunhnCb17GvMufsG8rKujAQ0-PtiCEXHsFs" Exception: You do not have permission to access the requested document.; SheetId: "1pHFf1OxoEG42boI8kVnoDt2dMCJhsNXzOZJMG99h704" Exception: You do not have permission to access the requested document.; </t>
  </si>
  <si>
    <t xml:space="preserve">SheetId: "14SxCYJ1HPiMwpPUpGjc_Dih-XMBaBapwfqCxWbl_NQ" Exception: Unexpected error while getting the method or property openById on object SpreadsheetApp.; SheetId: "1cbxdfYr8gDU1Ta8KFUjXS8iCyWhqwQOlxyzZ37SH2-o" Exception: You do not have permission to access the requested document.; SheetId: "1HUaRIKVwI9J2wNIGHuQEKrb6Y-XRRpJqSIhEViI_spM" Exception: You do not have permission to access the requested document.; SheetId: "11HIsY_WxszLQHwUUuKqOPVAdnSt5iuJ6482jDGRW9rM" Exception: You do not have permission to access the requested document.; SheetId: "1482GiNRdiDsSnn6pdazXY-ADzqCtNn0TLrTQkwA_qJI" Exception: You do not have permission to access the requested document.; SheetId: "1sGKMuId-vo0qBM46ic2BiEK9hOJ8fcqGH7PnGoSZcyM" Exception: You do not have permission to access the requested document.; SheetId: "1Aqcy7QKEDPWms6A9BcXULgfk17Zw7pFkVz6CmZ-dbr8" Exception: You do not have permission to access the requested document.; SheetId: "1BK3u_U6fT7UMWi_fNKoC5yMRG1AOY2D3EiBa74PkYZ0" Exception: You do not have permission to access the requested document.; SheetId: "1GgRyHYbJy1XqVJSdCpGkwqvRNdw4fhWrUApAp9kjcK0" Exception: You do not have permission to access the requested document.; SheetId: "1w1yobDJOvz56YrSKEwrvEF7MxhAqrTMOI9hkyMirG-I" Exception: You do not have permission to access the requested document.; SheetId: "1EqxyUF6OBDNIx8tqqC-5Qw9EhuGDLI3wrwI584-fpz0" Exception: You do not have permission to access the requested document.; SheetId: "1bPY6kyCFNJ0WvsmP1oaKZPxEi7vQJLeMyK0WvLqjuhQ" Exception: You do not have permission to access the requested document.; SheetId: "1veW9elDz7_mG0yKXVquE-2nNTLRzF1R8sgPUOLKKhvQ" Exception: You do not have permission to access the requested document.; SheetId: "1iwzcY2WEZkojN5fPxYGwTqfz-LNI16Bi6A_5o8-Q9ck" Exception: You do not have permission to access the requested document.; SheetId: "1T1XoFlrZJk37rd4WyJe3UKu2cl_sMppIONP2Xfo-Plg" Exception: You do not have permission to access the requested document.; SheetId: "1AJkaXN5x_WMw9ot43feNFbw7iOk5W8F1XrdObNrFdoo" Exception: You do not have permission to access the requested document.; SheetId: "1TflvMbVlGCTqhLDIDDLRtI9O4mhGcKnkwBztbfV0Vdw" Exception: You do not have permission to access the requested document.; SheetId: "1RxU6S6L06mGha_CBPP8QbdHGgUvuFOvFvWShqW2DRSc" Exception: You do not have permission to access the requested document.; SheetId: "1C_lVBqrfacsLvgsinktCFoxhribHrU-duHI3S2JQyjQ" Exception: You do not have permission to access the requested document.; SheetId: "1W-Ux3TCVsl8Hvx819dk9o76pFfxxHGKaL3lUlgGsPVI" Exception: You do not have permission to access the requested document.; SheetId: "1Kx33Y_9cH3sT5JvJaM4YhLdXTHmIYhrKMJRDh2E-QAc" Exception: You do not have permission to access the requested document.; SheetId: "14Ge9CWOAimRHNqAr78FF9nNGm3ZeADkAbRDD8vu88Bc" Exception: You do not have permission to access the requested document.; SheetId: "1qDc89v01TKPluEH0Ofv_MLVoLm9DRK_Uc2-N0KHivWQ" Exception: You do not have permission to access the requested document.; SheetId: "1BYBDWSYKGUtPPotW5KoiISidXW1ZO64HMCXE11IVyqY" Exception: You do not have permission to access the requested document.; SheetId: "133n2yxo3cBwev3Zo6o73X8zpARRAn7k-1A5m7WLcbSo" Exception: You do not have permission to access the requested document.; SheetId: "1fsGxZiiihyPbtTFDcLK-3dw5pYcyP65s9BeIMYNtke8" Exception: You do not have permission to access the requested document.; SheetId: "1yrm8IA2H46RiZtp6HyyHhpUPQ17Z54AXFRF6e_91KZI" Exception: You do not have permission to access the requested document.; SheetId: "1Jc1MNemWqMgOhlEEZ14RvCB850NyZvs6NWdKfILkPLs" Exception: You do not have permission to access the requested document.; SheetId: "1KPhc4dXQcKyN3IKMAlOttCjBL2FDpl2GLmSK361KmRQ" Exception: You do not have permission to access the requested document.; SheetId: "1HbMgpFbdI5uMBON6-leByy4xS0usGViAo1WoLhV5Dt4" Exception: You do not have permission to access the requested document.; SheetId: "1CNqm15dCPf774GEwNbn4m2Vhp6ljvUCFjUyGCqnmRZ8" Exception: You do not have permission to access the requested document.; SheetId: "1w88yBcA-ifzxKp573zkEKk2MHfISDRv6Mp47H3CUSuo" Exception: You do not have permission to access the requested document.; SheetId: "1bx8oIJB3XszKUZJ8xHCEnqPkaAxi_W7XXilFBW-k04s" Exception: You do not have permission to access the requested document.; SheetId: "1FDxwTBWkT19SZNsiiDhgncoWzxpDlr17ip0cGs4bSCo" Exception: You do not have permission to access the requested document.; SheetId: "1pHun7fmGxd1O2R8etVfNACS0bNHfyPzThnub92_HGOg" Exception: You do not have permission to access the requested document.; SheetId: "1GDj96XNeOyQ1PrqoMkIxyKMouQV9mZEnGRZVryJD48c" Exception: You do not have permission to access the requested document.; SheetId: "1t80MWOfCQauU8ZXBskGWPAVTtA_TwPRH6D0T-eS15Uo" Exception: You do not have permission to access the requested document.; SheetId: "16XQhOsmwvKaQZCU3GZzz-4MeM1WL9sGbO6rgcSTGO54" Exception: You do not have permission to access the requested document.; SheetId: "1zoBLRgqUx9rOmDcGBlhaJ4JsQanzCCQCT77sKQu0sCg" Exception: You do not have permission to access the requested document.; SheetId: "1AJ1XfwMKb6S7o68ow7nW_kKu91FAn5fXJJabBDyjSZk" Exception: You do not have permission to access the requested document.; SheetId: "1sJdiQJuTABatoH7BKtjdHaOG3LfvzhaySLTOGOw7JDQ" Exception: You do not have permission to access the requested document.; SheetId: "1DfTP099pCYCF3U-e0kCF7AWZmB99b6K0iEmek0Egpi8" Exception: You do not have permission to access the requested document.; SheetId: "1ealEjc2s88zgV9V-rH0mDa_92G9rjenT9XpX2nHuQ-g" Exception: You do not have permission to access the requested document.; SheetId: "1_r8bt4qDLQt6_kZ5assx2yqBwnMWgmqZsId9cM0FD2w" Exception: You do not have permission to access the requested document.; SheetId: "1PWZ_G6xnVOrLmt0ACmCp4dJtEGbOXJU7QTK9qtvL_qI" Exception: You do not have permission to access the requested document.; SheetId: "1jj6TbxtTyxk_bO_fa2iQn2IVJUCFTe6bpQEQQILkp9g" Exception: You do not have permission to access the requested document.; SheetId: "1-mTuFSOuylcYpuGp5x3iNB5Hg9J-niS-T--7hEujMR0" Exception: You do not have permission to access the requested document.; SheetId: "1rj758oTEW9EfyfpmeaKBdadxYO5zoP6IkZM9sPvOcNo" Exception: You do not have permission to access the requested document.; SheetId: "18hNODCadvTfo4DEqIQDGzqMDZtsSUB5XwNVAPxz8stY" Exception: You do not have permission to access the requested document.; SheetId: "1CGzFA8PbYbxBK7eXj-bdn7IfhSijJFrmkqjH6bmQCvg" Exception: You do not have permission to access the requested document.; SheetId: "1VbKCxF_qiu4RgD-IIpW1vJO3uP1OkTsHSZH_4F1nAx4" Exception: You do not have permission to access the requested document.; SheetId: "1Csyx_z7eZB-nrYAD0cRE_C7tYFO-ZcZ4X8z5VbHSZng" Exception: You do not have permission to access the requested document.; SheetId: "1DQmgSarkdhmQ36rrU7O-UlpSDk6jBAA9Ujt71fU-vzk" Exception: You do not have permission to access the requested document.; SheetId: "1RUcxiwCApNUFHEUTSU9W_cN-7GaMIzmkUUvnL9zsYuY" Exception: You do not have permission to access the requested document.; SheetId: "13W1z0Zi28XEJLXnS9bbvmHuHX9JcotZDG6PNAr8deb0" Exception: You do not have permission to access the requested document.; SheetId: "1wPTKIUfRXrswONC-TRCc27vUre2Gcm9zH3VhWgj97k0" Exception: You do not have permission to access the requested document.; SheetId: "1Y6Ak0WKpF2tqYoWTj27MefJtfQ992XsjSK234OeFaXc" Exception: You do not have permission to access the requested document.; SheetId: "10fyLBMFF-Ll-39GmgBleodwY9UP1Z720Rc7S83ZNa24" Exception: You do not have permission to access the requested document.; SheetId: "1G_0DcG8h45qOqhHNR32u5MfoYysjDc_pEmrRYwChiJ4" Exception: You do not have permission to access the requested document.; SheetId: "1UDsOqVrSUUZnbgIqM-TuNovcJXEQR6y4iz2sNtd6FFU" Exception: You do not have permission to access the requested document.; SheetId: "19Nz4ORR7S2zC_ZpwICSgfXhsN865jy1XiKN7vf2xRgc" Exception: You do not have permission to access the requested document.; SheetId: "1jJPkQt55DZ_x9OeazDjxRB2KrHGlRFD-H0aS57MjDgk" Exception: You do not have permission to access the requested document.; SheetId: "115yXj5JZkJRrmygPapu3rwvxvQVwDcQxYMpCgTyOUK8" Exception: You do not have permission to access the requested document.; SheetId: "1f-bBX1tabRKPUd3UixDYD_LBeTCfm4fKMCZgZoegIXs" Exception: You do not have permission to access the requested document.; SheetId: "1UQtoczHqWI2So18LYAXIlFwxg0dj_A4fekwl2UVXFiY" Exception: You do not have permission to access the requested document.; SheetId: "1aef7YUsReurtox1oodafQGw7Z74ZnTpflbN0raSOx5s" Exception: You do not have permission to access the requested document.; SheetId: "1qmpGg9TEDDGoqsF1BKTsBdGu9Vmrpr3i4f7Agl8SKOQ" Exception: You do not have permission to access the requested document.; SheetId: "1z2sYCQ-onJ1yJPrsVuq8i1OnKl0mo-1BmCvd6_mLzQw" Exception: You do not have permission to access the requested document.; SheetId: "1H8Rm_FggiunhnCb17GvMufsG8rKujAQ0-PtiCEXHsFs" Exception: You do not have permission to access the requested document.; SheetId: "1pHFf1OxoEG42boI8kVnoDt2dMCJhsNXzOZJMG99h704" Exception: You do not have permission to access the requested document.; </t>
  </si>
  <si>
    <t xml:space="preserve">SheetId: "14SxCYJ1HPiMwpPUpGjc_Dih-XMBaBapwfqCxWbl_NQ" Exception: Unexpected error while getting the method or property openById on object SpreadsheetApp.; SheetId: "1cbxdfYr8gDU1Ta8KFUjXS8iCyWhqwQOlxyzZ37SH2-o" Exception: You do not have permission to access the requested document.; SheetId: "1HUaRIKVwI9J2wNIGHuQEKrb6Y-XRRpJqSIhEViI_spM" Exception: You do not have permission to access the requested document.; SheetId: "11HIsY_WxszLQHwUUuKqOPVAdnSt5iuJ6482jDGRW9rM" Exception: You do not have permission to access the requested document.; SheetId: "1482GiNRdiDsSnn6pdazXY-ADzqCtNn0TLrTQkwA_qJI" Exception: You do not have permission to access the requested document.; SheetId: "1sGKMuId-vo0qBM46ic2BiEK9hOJ8fcqGH7PnGoSZcyM" Exception: You do not have permission to access the requested document.; SheetId: "1Aqcy7QKEDPWms6A9BcXULgfk17Zw7pFkVz6CmZ-dbr8" Exception: You do not have permission to access the requested document.; SheetId: "1BK3u_U6fT7UMWi_fNKoC5yMRG1AOY2D3EiBa74PkYZ0" Exception: You do not have permission to access the requested document.; SheetId: "1GgRyHYbJy1XqVJSdCpGkwqvRNdw4fhWrUApAp9kjcK0" Exception: You do not have permission to access the requested document.; SheetId: "1w1yobDJOvz56YrSKEwrvEF7MxhAqrTMOI9hkyMirG-I" Exception: You do not have permission to access the requested document.; SheetId: "1EqxyUF6OBDNIx8tqqC-5Qw9EhuGDLI3wrwI584-fpz0" Exception: You do not have permission to access the requested document.; SheetId: "1bPY6kyCFNJ0WvsmP1oaKZPxEi7vQJLeMyK0WvLqjuhQ" Exception: You do not have permission to access the requested document.; SheetId: "1veW9elDz7_mG0yKXVquE-2nNTLRzF1R8sgPUOLKKhvQ" Exception: You do not have permission to access the requested document.; SheetId: "1iwzcY2WEZkojN5fPxYGwTqfz-LNI16Bi6A_5o8-Q9ck" Exception: You do not have permission to access the requested document.; SheetId: "1T1XoFlrZJk37rd4WyJe3UKu2cl_sMppIONP2Xfo-Plg" Exception: You do not have permission to access the requested document.; SheetId: "1AJkaXN5x_WMw9ot43feNFbw7iOk5W8F1XrdObNrFdoo" Exception: You do not have permission to access the requested document.; SheetId: "1TflvMbVlGCTqhLDIDDLRtI9O4mhGcKnkwBztbfV0Vdw" Exception: You do not have permission to access the requested document.; SheetId: "1C_lVBqrfacsLvgsinktCFoxhribHrU-duHI3S2JQyjQ" Exception: You do not have permission to access the requested document.; SheetId: "1W-Ux3TCVsl8Hvx819dk9o76pFfxxHGKaL3lUlgGsPVI" Exception: You do not have permission to access the requested document.; SheetId: "1Kx33Y_9cH3sT5JvJaM4YhLdXTHmIYhrKMJRDh2E-QAc" Exception: You do not have permission to access the requested document.; SheetId: "14Ge9CWOAimRHNqAr78FF9nNGm3ZeADkAbRDD8vu88Bc" Exception: You do not have permission to access the requested document.; SheetId: "1qDc89v01TKPluEH0Ofv_MLVoLm9DRK_Uc2-N0KHivWQ" Exception: You do not have permission to access the requested document.; SheetId: "1BYBDWSYKGUtPPotW5KoiISidXW1ZO64HMCXE11IVyqY" Exception: You do not have permission to access the requested document.; SheetId: "133n2yxo3cBwev3Zo6o73X8zpARRAn7k-1A5m7WLcbSo" Exception: You do not have permission to access the requested document.; SheetId: "1fsGxZiiihyPbtTFDcLK-3dw5pYcyP65s9BeIMYNtke8" Exception: You do not have permission to access the requested document.; SheetId: "1yrm8IA2H46RiZtp6HyyHhpUPQ17Z54AXFRF6e_91KZI" Exception: You do not have permission to access the requested document.; SheetId: "1Jc1MNemWqMgOhlEEZ14RvCB850NyZvs6NWdKfILkPLs" Exception: You do not have permission to access the requested document.; SheetId: "1KPhc4dXQcKyN3IKMAlOttCjBL2FDpl2GLmSK361KmRQ" Exception: You do not have permission to access the requested document.; SheetId: "1HbMgpFbdI5uMBON6-leByy4xS0usGViAo1WoLhV5Dt4" Exception: You do not have permission to access the requested document.; SheetId: "1CNqm15dCPf774GEwNbn4m2Vhp6ljvUCFjUyGCqnmRZ8" Exception: You do not have permission to access the requested document.; SheetId: "1w88yBcA-ifzxKp573zkEKk2MHfISDRv6Mp47H3CUSuo" Exception: You do not have permission to access the requested document.; SheetId: "1bx8oIJB3XszKUZJ8xHCEnqPkaAxi_W7XXilFBW-k04s" Exception: You do not have permission to access the requested document.; SheetId: "1FDxwTBWkT19SZNsiiDhgncoWzxpDlr17ip0cGs4bSCo" Exception: You do not have permission to access the requested document.; SheetId: "1pHun7fmGxd1O2R8etVfNACS0bNHfyPzThnub92_HGOg" Exception: You do not have permission to access the requested document.; SheetId: "1GDj96XNeOyQ1PrqoMkIxyKMouQV9mZEnGRZVryJD48c" Exception: You do not have permission to access the requested document.; SheetId: "1t80MWOfCQauU8ZXBskGWPAVTtA_TwPRH6D0T-eS15Uo" Exception: You do not have permission to access the requested document.; SheetId: "16XQhOsmwvKaQZCU3GZzz-4MeM1WL9sGbO6rgcSTGO54" Exception: You do not have permission to access the requested document.; SheetId: "1zoBLRgqUx9rOmDcGBlhaJ4JsQanzCCQCT77sKQu0sCg" Exception: You do not have permission to access the requested document.; SheetId: "1AJ1XfwMKb6S7o68ow7nW_kKu91FAn5fXJJabBDyjSZk" Exception: You do not have permission to access the requested document.; SheetId: "1sJdiQJuTABatoH7BKtjdHaOG3LfvzhaySLTOGOw7JDQ" Exception: You do not have permission to access the requested document.; SheetId: "1DfTP099pCYCF3U-e0kCF7AWZmB99b6K0iEmek0Egpi8" Exception: You do not have permission to access the requested document.; SheetId: "1ealEjc2s88zgV9V-rH0mDa_92G9rjenT9XpX2nHuQ-g" Exception: You do not have permission to access the requested document.; SheetId: "1_r8bt4qDLQt6_kZ5assx2yqBwnMWgmqZsId9cM0FD2w" Exception: You do not have permission to access the requested document.; SheetId: "1PWZ_G6xnVOrLmt0ACmCp4dJtEGbOXJU7QTK9qtvL_qI" Exception: You do not have permission to access the requested document.; SheetId: "1jj6TbxtTyxk_bO_fa2iQn2IVJUCFTe6bpQEQQILkp9g" Exception: You do not have permission to access the requested document.; SheetId: "1-mTuFSOuylcYpuGp5x3iNB5Hg9J-niS-T--7hEujMR0" Exception: You do not have permission to access the requested document.; SheetId: "1rj758oTEW9EfyfpmeaKBdadxYO5zoP6IkZM9sPvOcNo" Exception: You do not have permission to access the requested document.; SheetId: "18hNODCadvTfo4DEqIQDGzqMDZtsSUB5XwNVAPxz8stY" Exception: You do not have permission to access the requested document.; SheetId: "1CGzFA8PbYbxBK7eXj-bdn7IfhSijJFrmkqjH6bmQCvg" Exception: You do not have permission to access the requested document.; SheetId: "1VbKCxF_qiu4RgD-IIpW1vJO3uP1OkTsHSZH_4F1nAx4" Exception: You do not have permission to access the requested document.; SheetId: "1Csyx_z7eZB-nrYAD0cRE_C7tYFO-ZcZ4X8z5VbHSZng" Exception: You do not have permission to access the requested document.; SheetId: "1DQmgSarkdhmQ36rrU7O-UlpSDk6jBAA9Ujt71fU-vzk" Exception: You do not have permission to access the requested document.; SheetId: "1RUcxiwCApNUFHEUTSU9W_cN-7GaMIzmkUUvnL9zsYuY" Exception: You do not have permission to access the requested document.; SheetId: "13W1z0Zi28XEJLXnS9bbvmHuHX9JcotZDG6PNAr8deb0" Exception: You do not have permission to access the requested document.; SheetId: "1wPTKIUfRXrswONC-TRCc27vUre2Gcm9zH3VhWgj97k0" Exception: You do not have permission to access the requested document.; SheetId: "1Y6Ak0WKpF2tqYoWTj27MefJtfQ992XsjSK234OeFaXc" Exception: You do not have permission to access the requested document.; SheetId: "10fyLBMFF-Ll-39GmgBleodwY9UP1Z720Rc7S83ZNa24" Exception: You do not have permission to access the requested document.; SheetId: "1G_0DcG8h45qOqhHNR32u5MfoYysjDc_pEmrRYwChiJ4" Exception: You do not have permission to access the requested document.; SheetId: "1UDsOqVrSUUZnbgIqM-TuNovcJXEQR6y4iz2sNtd6FFU" Exception: You do not have permission to access the requested document.; SheetId: "19Nz4ORR7S2zC_ZpwICSgfXhsN865jy1XiKN7vf2xRgc" Exception: You do not have permission to access the requested document.; SheetId: "1jJPkQt55DZ_x9OeazDjxRB2KrHGlRFD-H0aS57MjDgk" Exception: You do not have permission to access the requested document.; SheetId: "115yXj5JZkJRrmygPapu3rwvxvQVwDcQxYMpCgTyOUK8" Exception: You do not have permission to access the requested document.; SheetId: "1f-bBX1tabRKPUd3UixDYD_LBeTCfm4fKMCZgZoegIXs" Exception: You do not have permission to access the requested document.; SheetId: "1UQtoczHqWI2So18LYAXIlFwxg0dj_A4fekwl2UVXFiY" Exception: You do not have permission to access the requested document.; SheetId: "1aef7YUsReurtox1oodafQGw7Z74ZnTpflbN0raSOx5s" Exception: You do not have permission to access the requested document.; SheetId: "1qmpGg9TEDDGoqsF1BKTsBdGu9Vmrpr3i4f7Agl8SKOQ" Exception: You do not have permission to access the requested document.; SheetId: "1z2sYCQ-onJ1yJPrsVuq8i1OnKl0mo-1BmCvd6_mLzQw" Exception: You do not have permission to access the requested document.; SheetId: "1H8Rm_FggiunhnCb17GvMufsG8rKujAQ0-PtiCEXHsFs" Exception: You do not have permission to access the requested document.; SheetId: "1pHFf1OxoEG42boI8kVnoDt2dMCJhsNXzOZJMG99h704" Exception: You do not have permission to access the requested document.; </t>
  </si>
  <si>
    <t xml:space="preserve">SheetId: "14SxCYJ1HPiMwpPUpGjc_Dih-XMBaBapwfqCxWbl_NQ" Exception: Unexpected error while getting the method or property openById on object SpreadsheetApp.; SheetId: "1cbxdfYr8gDU1Ta8KFUjXS8iCyWhqwQOlxyzZ37SH2-o" Exception: You do not have permission to access the requested document.; SheetId: "1HUaRIKVwI9J2wNIGHuQEKrb6Y-XRRpJqSIhEViI_spM" Exception: You do not have permission to access the requested document.; SheetId: "1f-b6kmv5inSE_E62CWY_ZamTMbcWJ3iymuj85xunjHw" Exception: You do not have permission to access the requested document.; SheetId: "11HIsY_WxszLQHwUUuKqOPVAdnSt5iuJ6482jDGRW9rM" Exception: You do not have permission to access the requested document.; SheetId: "1482GiNRdiDsSnn6pdazXY-ADzqCtNn0TLrTQkwA_qJI" Exception: You do not have permission to access the requested document.; SheetId: "1sGKMuId-vo0qBM46ic2BiEK9hOJ8fcqGH7PnGoSZcyM" Exception: You do not have permission to access the requested document.; SheetId: "1Aqcy7QKEDPWms6A9BcXULgfk17Zw7pFkVz6CmZ-dbr8" Exception: You do not have permission to access the requested document.; SheetId: "1BK3u_U6fT7UMWi_fNKoC5yMRG1AOY2D3EiBa74PkYZ0" Exception: You do not have permission to access the requested document.; SheetId: "1GgRyHYbJy1XqVJSdCpGkwqvRNdw4fhWrUApAp9kjcK0" Exception: You do not have permission to access the requested document.; SheetId: "1w1yobDJOvz56YrSKEwrvEF7MxhAqrTMOI9hkyMirG-I" Exception: You do not have permission to access the requested document.; SheetId: "1EqxyUF6OBDNIx8tqqC-5Qw9EhuGDLI3wrwI584-fpz0" Exception: You do not have permission to access the requested document.; SheetId: "1bPY6kyCFNJ0WvsmP1oaKZPxEi7vQJLeMyK0WvLqjuhQ" Exception: You do not have permission to access the requested document.; SheetId: "1veW9elDz7_mG0yKXVquE-2nNTLRzF1R8sgPUOLKKhvQ" Exception: You do not have permission to access the requested document.; SheetId: "1iwzcY2WEZkojN5fPxYGwTqfz-LNI16Bi6A_5o8-Q9ck" Exception: You do not have permission to access the requested document.; SheetId: "1T1XoFlrZJk37rd4WyJe3UKu2cl_sMppIONP2Xfo-Plg" Exception: You do not have permission to access the requested document.; SheetId: "1AJkaXN5x_WMw9ot43feNFbw7iOk5W8F1XrdObNrFdoo" Exception: You do not have permission to access the requested document.; SheetId: "1TflvMbVlGCTqhLDIDDLRtI9O4mhGcKnkwBztbfV0Vdw" Exception: You do not have permission to access the requested document.; SheetId: "1C_lVBqrfacsLvgsinktCFoxhribHrU-duHI3S2JQyjQ" Exception: You do not have permission to access the requested document.; SheetId: "1W-Ux3TCVsl8Hvx819dk9o76pFfxxHGKaL3lUlgGsPVI" Exception: You do not have permission to access the requested document.; SheetId: "1Kx33Y_9cH3sT5JvJaM4YhLdXTHmIYhrKMJRDh2E-QAc" Exception: You do not have permission to access the requested document.; SheetId: "14Ge9CWOAimRHNqAr78FF9nNGm3ZeADkAbRDD8vu88Bc" Exception: You do not have permission to access the requested document.; SheetId: "1qDc89v01TKPluEH0Ofv_MLVoLm9DRK_Uc2-N0KHivWQ" Exception: You do not have permission to access the requested document.; SheetId: "1BYBDWSYKGUtPPotW5KoiISidXW1ZO64HMCXE11IVyqY" Exception: You do not have permission to access the requested document.; SheetId: "133n2yxo3cBwev3Zo6o73X8zpARRAn7k-1A5m7WLcbSo" Exception: You do not have permission to access the requested document.; SheetId: "1fsGxZiiihyPbtTFDcLK-3dw5pYcyP65s9BeIMYNtke8" Exception: You do not have permission to access the requested document.; SheetId: "1yrm8IA2H46RiZtp6HyyHhpUPQ17Z54AXFRF6e_91KZI" Exception: You do not have permission to access the requested document.; SheetId: "1Jc1MNemWqMgOhlEEZ14RvCB850NyZvs6NWdKfILkPLs" Exception: You do not have permission to access the requested document.; SheetId: "1KPhc4dXQcKyN3IKMAlOttCjBL2FDpl2GLmSK361KmRQ" Exception: You do not have permission to access the requested document.; SheetId: "1HbMgpFbdI5uMBON6-leByy4xS0usGViAo1WoLhV5Dt4" Exception: You do not have permission to access the requested document.; SheetId: "1CNqm15dCPf774GEwNbn4m2Vhp6ljvUCFjUyGCqnmRZ8" Exception: You do not have permission to access the requested document.; SheetId: "1w88yBcA-ifzxKp573zkEKk2MHfISDRv6Mp47H3CUSuo" Exception: You do not have permission to access the requested document.; SheetId: "1bx8oIJB3XszKUZJ8xHCEnqPkaAxi_W7XXilFBW-k04s" Exception: You do not have permission to access the requested document.; SheetId: "1FDxwTBWkT19SZNsiiDhgncoWzxpDlr17ip0cGs4bSCo" Exception: You do not have permission to access the requested document.; SheetId: "1pHun7fmGxd1O2R8etVfNACS0bNHfyPzThnub92_HGOg" Exception: You do not have permission to access the requested document.; SheetId: "1GDj96XNeOyQ1PrqoMkIxyKMouQV9mZEnGRZVryJD48c" Exception: You do not have permission to access the requested document.; SheetId: "1t80MWOfCQauU8ZXBskGWPAVTtA_TwPRH6D0T-eS15Uo" Exception: You do not have permission to access the requested document.; SheetId: "16XQhOsmwvKaQZCU3GZzz-4MeM1WL9sGbO6rgcSTGO54" Exception: You do not have permission to access the requested document.; SheetId: "1zoBLRgqUx9rOmDcGBlhaJ4JsQanzCCQCT77sKQu0sCg" Exception: You do not have permission to access the requested document.; SheetId: "1AJ1XfwMKb6S7o68ow7nW_kKu91FAn5fXJJabBDyjSZk" Exception: You do not have permission to access the requested document.; SheetId: "1sJdiQJuTABatoH7BKtjdHaOG3LfvzhaySLTOGOw7JDQ" Exception: You do not have permission to access the requested document.; SheetId: "1DfTP099pCYCF3U-e0kCF7AWZmB99b6K0iEmek0Egpi8" Exception: You do not have permission to access the requested document.; SheetId: "1ealEjc2s88zgV9V-rH0mDa_92G9rjenT9XpX2nHuQ-g" Exception: You do not have permission to access the requested document.; SheetId: "1_r8bt4qDLQt6_kZ5assx2yqBwnMWgmqZsId9cM0FD2w" Exception: You do not have permission to access the requested document.; SheetId: "1PWZ_G6xnVOrLmt0ACmCp4dJtEGbOXJU7QTK9qtvL_qI" Exception: You do not have permission to access the requested document.; SheetId: "1Lzb9mupM8gWsOCSF1VAIOzASHmrBnQYHqh3ThPQCvAA" Exception: You do not have permission to access the requested document.; SheetId: "1jj6TbxtTyxk_bO_fa2iQn2IVJUCFTe6bpQEQQILkp9g" Exception: You do not have permission to access the requested document.; SheetId: "1-mTuFSOuylcYpuGp5x3iNB5Hg9J-niS-T--7hEujMR0" Exception: You do not have permission to access the requested document.; SheetId: "1rj758oTEW9EfyfpmeaKBdadxYO5zoP6IkZM9sPvOcNo" Exception: You do not have permission to access the requested document.; SheetId: "18hNODCadvTfo4DEqIQDGzqMDZtsSUB5XwNVAPxz8stY" Exception: You do not have permission to access the requested document.; SheetId: "1CGzFA8PbYbxBK7eXj-bdn7IfhSijJFrmkqjH6bmQCvg" Exception: You do not have permission to access the requested document.; SheetId: "1VbKCxF_qiu4RgD-IIpW1vJO3uP1OkTsHSZH_4F1nAx4" Exception: You do not have permission to access the requested document.; SheetId: "1Csyx_z7eZB-nrYAD0cRE_C7tYFO-ZcZ4X8z5VbHSZng" Exception: You do not have permission to access the requested document.; SheetId: "1DQmgSarkdhmQ36rrU7O-UlpSDk6jBAA9Ujt71fU-vzk" Exception: You do not have permission to access the requested document.; SheetId: "1RUcxiwCApNUFHEUTSU9W_cN-7GaMIzmkUUvnL9zsYuY" Exception: You do not have permission to access the requested document.; SheetId: "13W1z0Zi28XEJLXnS9bbvmHuHX9JcotZDG6PNAr8deb0" Exception: You do not have permission to access the requested document.; SheetId: "1wPTKIUfRXrswONC-TRCc27vUre2Gcm9zH3VhWgj97k0" Exception: You do not have permission to access the requested document.; SheetId: "1Y6Ak0WKpF2tqYoWTj27MefJtfQ992XsjSK234OeFaXc" Exception: You do not have permission to access the requested document.; SheetId: "10fyLBMFF-Ll-39GmgBleodwY9UP1Z720Rc7S83ZNa24" Exception: You do not have permission to access the requested document.; SheetId: "1G_0DcG8h45qOqhHNR32u5MfoYysjDc_pEmrRYwChiJ4" Exception: You do not have permission to access the requested document.; SheetId: "1UDsOqVrSUUZnbgIqM-TuNovcJXEQR6y4iz2sNtd6FFU" Exception: You do not have permission to access the requested document.; SheetId: "19Nz4ORR7S2zC_ZpwICSgfXhsN865jy1XiKN7vf2xRgc" Exception: You do not have permission to access the requested document.; SheetId: "1jJPkQt55DZ_x9OeazDjxRB2KrHGlRFD-H0aS57MjDgk" Exception: You do not have permission to access the requested document.; SheetId: "115yXj5JZkJRrmygPapu3rwvxvQVwDcQxYMpCgTyOUK8" Exception: You do not have permission to access the requested document.; SheetId: "1f-bBX1tabRKPUd3UixDYD_LBeTCfm4fKMCZgZoegIXs" Exception: You do not have permission to access the requested document.; SheetId: "1UQtoczHqWI2So18LYAXIlFwxg0dj_A4fekwl2UVXFiY" Exception: You do not have permission to access the requested document.; SheetId: "1aef7YUsReurtox1oodafQGw7Z74ZnTpflbN0raSOx5s" Exception: You do not have permission to access the requested document.; SheetId: "1qmpGg9TEDDGoqsF1BKTsBdGu9Vmrpr3i4f7Agl8SKOQ" Exception: You do not have permission to access the requested document.; SheetId: "1z2sYCQ-onJ1yJPrsVuq8i1OnKl0mo-1BmCvd6_mLzQw" Exception: You do not have permission to access the requested document.; SheetId: "1H8Rm_FggiunhnCb17GvMufsG8rKujAQ0-PtiCEXHsFs" Exception: You do not have permission to access the requested document.; SheetId: "1pHFf1OxoEG42boI8kVnoDt2dMCJhsNXzOZJMG99h704" Exception: You do not have permission to access the requested document.; </t>
  </si>
  <si>
    <t xml:space="preserve">SheetId: "14SxCYJ1HPiMwpPUpGjc_Dih-XMBaBapwfqCxWbl_NQ" Exception: Unexpected error while getting the method or property openById on object SpreadsheetApp.; SheetId: "1BhmfkcVpIB-oEZVo3sUJYSpw6zb5P_4hUFlGI5OW4uw" Exception: You do not have permission to access the requested document.; SheetId: "1cbxdfYr8gDU1Ta8KFUjXS8iCyWhqwQOlxyzZ37SH2-o" Exception: You do not have permission to access the requested document.; SheetId: "1HUaRIKVwI9J2wNIGHuQEKrb6Y-XRRpJqSIhEViI_spM" Exception: You do not have permission to access the requested document.; SheetId: "1f-b6kmv5inSE_E62CWY_ZamTMbcWJ3iymuj85xunjHw" Exception: You do not have permission to access the requested document.; SheetId: "11HIsY_WxszLQHwUUuKqOPVAdnSt5iuJ6482jDGRW9rM" Exception: You do not have permission to access the requested document.; SheetId: "1482GiNRdiDsSnn6pdazXY-ADzqCtNn0TLrTQkwA_qJI" Exception: You do not have permission to access the requested document.; SheetId: "1sGKMuId-vo0qBM46ic2BiEK9hOJ8fcqGH7PnGoSZcyM" Exception: You do not have permission to access the requested document.; SheetId: "1Aqcy7QKEDPWms6A9BcXULgfk17Zw7pFkVz6CmZ-dbr8" Exception: You do not have permission to access the requested document.; SheetId: "1BK3u_U6fT7UMWi_fNKoC5yMRG1AOY2D3EiBa74PkYZ0" Exception: You do not have permission to access the requested document.; SheetId: "1GgRyHYbJy1XqVJSdCpGkwqvRNdw4fhWrUApAp9kjcK0" Exception: You do not have permission to access the requested document.; SheetId: "1w1yobDJOvz56YrSKEwrvEF7MxhAqrTMOI9hkyMirG-I" Exception: You do not have permission to access the requested document.; SheetId: "1EqxyUF6OBDNIx8tqqC-5Qw9EhuGDLI3wrwI584-fpz0" Exception: You do not have permission to access the requested document.; SheetId: "1bPY6kyCFNJ0WvsmP1oaKZPxEi7vQJLeMyK0WvLqjuhQ" Exception: You do not have permission to access the requested document.; SheetId: "1veW9elDz7_mG0yKXVquE-2nNTLRzF1R8sgPUOLKKhvQ" Exception: You do not have permission to access the requested document.; SheetId: "1iwzcY2WEZkojN5fPxYGwTqfz-LNI16Bi6A_5o8-Q9ck" Exception: You do not have permission to access the requested document.; SheetId: "1T1XoFlrZJk37rd4WyJe3UKu2cl_sMppIONP2Xfo-Plg" Exception: You do not have permission to access the requested document.; SheetId: "1AJkaXN5x_WMw9ot43feNFbw7iOk5W8F1XrdObNrFdoo" Exception: You do not have permission to access the requested document.; SheetId: "1TflvMbVlGCTqhLDIDDLRtI9O4mhGcKnkwBztbfV0Vdw" Exception: You do not have permission to access the requested document.; SheetId: "1C_lVBqrfacsLvgsinktCFoxhribHrU-duHI3S2JQyjQ" Exception: You do not have permission to access the requested document.; SheetId: "1W-Ux3TCVsl8Hvx819dk9o76pFfxxHGKaL3lUlgGsPVI" Exception: You do not have permission to access the requested document.; SheetId: "1Kx33Y_9cH3sT5JvJaM4YhLdXTHmIYhrKMJRDh2E-QAc" Exception: You do not have permission to access the requested document.; SheetId: "14Ge9CWOAimRHNqAr78FF9nNGm3ZeADkAbRDD8vu88Bc" Exception: You do not have permission to access the requested document.; SheetId: "1qDc89v01TKPluEH0Ofv_MLVoLm9DRK_Uc2-N0KHivWQ" Exception: You do not have permission to access the requested document.; SheetId: "1BYBDWSYKGUtPPotW5KoiISidXW1ZO64HMCXE11IVyqY" Exception: You do not have permission to access the requested document.; SheetId: "133n2yxo3cBwev3Zo6o73X8zpARRAn7k-1A5m7WLcbSo" Exception: You do not have permission to access the requested document.; SheetId: "1fsGxZiiihyPbtTFDcLK-3dw5pYcyP65s9BeIMYNtke8" Exception: You do not have permission to access the requested document.; SheetId: "1yrm8IA2H46RiZtp6HyyHhpUPQ17Z54AXFRF6e_91KZI" Exception: You do not have permission to access the requested document.; SheetId: "1Jc1MNemWqMgOhlEEZ14RvCB850NyZvs6NWdKfILkPLs" Exception: You do not have permission to access the requested document.; SheetId: "1KPhc4dXQcKyN3IKMAlOttCjBL2FDpl2GLmSK361KmRQ" Exception: You do not have permission to access the requested document.; SheetId: "1HbMgpFbdI5uMBON6-leByy4xS0usGViAo1WoLhV5Dt4" Exception: You do not have permission to access the requested document.; SheetId: "1CNqm15dCPf774GEwNbn4m2Vhp6ljvUCFjUyGCqnmRZ8" Exception: You do not have permission to access the requested document.; SheetId: "1w88yBcA-ifzxKp573zkEKk2MHfISDRv6Mp47H3CUSuo" Exception: You do not have permission to access the requested document.; SheetId: "1bx8oIJB3XszKUZJ8xHCEnqPkaAxi_W7XXilFBW-k04s" Exception: You do not have permission to access the requested document.; SheetId: "1FDxwTBWkT19SZNsiiDhgncoWzxpDlr17ip0cGs4bSCo" Exception: You do not have permission to access the requested document.; SheetId: "1pHun7fmGxd1O2R8etVfNACS0bNHfyPzThnub92_HGOg" Exception: You do not have permission to access the requested document.; SheetId: "1GDj96XNeOyQ1PrqoMkIxyKMouQV9mZEnGRZVryJD48c" Exception: You do not have permission to access the requested document.; SheetId: "1t80MWOfCQauU8ZXBskGWPAVTtA_TwPRH6D0T-eS15Uo" Exception: You do not have permission to access the requested document.; SheetId: "16XQhOsmwvKaQZCU3GZzz-4MeM1WL9sGbO6rgcSTGO54" Exception: You do not have permission to access the requested document.; SheetId: "1zoBLRgqUx9rOmDcGBlhaJ4JsQanzCCQCT77sKQu0sCg" Exception: You do not have permission to access the requested document.; SheetId: "1AJ1XfwMKb6S7o68ow7nW_kKu91FAn5fXJJabBDyjSZk" Exception: You do not have permission to access the requested document.; SheetId: "1sJdiQJuTABatoH7BKtjdHaOG3LfvzhaySLTOGOw7JDQ" Exception: You do not have permission to access the requested document.; SheetId: "1DfTP099pCYCF3U-e0kCF7AWZmB99b6K0iEmek0Egpi8" Exception: You do not have permission to access the requested document.; SheetId: "1ealEjc2s88zgV9V-rH0mDa_92G9rjenT9XpX2nHuQ-g" Exception: You do not have permission to access the requested document.; SheetId: "1_r8bt4qDLQt6_kZ5assx2yqBwnMWgmqZsId9cM0FD2w" Exception: You do not have permission to access the requested document.; SheetId: "1PWZ_G6xnVOrLmt0ACmCp4dJtEGbOXJU7QTK9qtvL_qI" Exception: You do not have permission to access the requested document.; SheetId: "1Lzb9mupM8gWsOCSF1VAIOzASHmrBnQYHqh3ThPQCvAA" Exception: You do not have permission to access the requested document.; SheetId: "1jj6TbxtTyxk_bO_fa2iQn2IVJUCFTe6bpQEQQILkp9g" Exception: You do not have permission to access the requested document.; SheetId: "1-mTuFSOuylcYpuGp5x3iNB5Hg9J-niS-T--7hEujMR0" Exception: You do not have permission to access the requested document.; SheetId: "1rj758oTEW9EfyfpmeaKBdadxYO5zoP6IkZM9sPvOcNo" Exception: You do not have permission to access the requested document.; SheetId: "18hNODCadvTfo4DEqIQDGzqMDZtsSUB5XwNVAPxz8stY" Exception: You do not have permission to access the requested document.; SheetId: "1CGzFA8PbYbxBK7eXj-bdn7IfhSijJFrmkqjH6bmQCvg" Exception: You do not have permission to access the requested document.; SheetId: "1VbKCxF_qiu4RgD-IIpW1vJO3uP1OkTsHSZH_4F1nAx4" Exception: You do not have permission to access the requested document.; SheetId: "1Csyx_z7eZB-nrYAD0cRE_C7tYFO-ZcZ4X8z5VbHSZng" Exception: You do not have permission to access the requested document.; SheetId: "1DQmgSarkdhmQ36rrU7O-UlpSDk6jBAA9Ujt71fU-vzk" Exception: You do not have permission to access the requested document.; SheetId: "1RUcxiwCApNUFHEUTSU9W_cN-7GaMIzmkUUvnL9zsYuY" Exception: You do not have permission to access the requested document.; SheetId: "13W1z0Zi28XEJLXnS9bbvmHuHX9JcotZDG6PNAr8deb0" Exception: You do not have permission to access the requested document.; SheetId: "1wPTKIUfRXrswONC-TRCc27vUre2Gcm9zH3VhWgj97k0" Exception: You do not have permission to access the requested document.; SheetId: "1Y6Ak0WKpF2tqYoWTj27MefJtfQ992XsjSK234OeFaXc" Exception: You do not have permission to access the requested document.; SheetId: "10fyLBMFF-Ll-39GmgBleodwY9UP1Z720Rc7S83ZNa24" Exception: You do not have permission to access the requested document.; SheetId: "1G_0DcG8h45qOqhHNR32u5MfoYysjDc_pEmrRYwChiJ4" Exception: You do not have permission to access the requested document.; SheetId: "1UDsOqVrSUUZnbgIqM-TuNovcJXEQR6y4iz2sNtd6FFU" Exception: You do not have permission to access the requested document.; SheetId: "19Nz4ORR7S2zC_ZpwICSgfXhsN865jy1XiKN7vf2xRgc" Exception: You do not have permission to access the requested document.; SheetId: "1jJPkQt55DZ_x9OeazDjxRB2KrHGlRFD-H0aS57MjDgk" Exception: You do not have permission to access the requested document.; SheetId: "115yXj5JZkJRrmygPapu3rwvxvQVwDcQxYMpCgTyOUK8" Exception: You do not have permission to access the requested document.; SheetId: "1f-bBX1tabRKPUd3UixDYD_LBeTCfm4fKMCZgZoegIXs" Exception: You do not have permission to access the requested document.; SheetId: "1UQtoczHqWI2So18LYAXIlFwxg0dj_A4fekwl2UVXFiY" Exception: You do not have permission to access the requested document.; SheetId: "1aef7YUsReurtox1oodafQGw7Z74ZnTpflbN0raSOx5s" Exception: You do not have permission to access the requested document.; SheetId: "1qmpGg9TEDDGoqsF1BKTsBdGu9Vmrpr3i4f7Agl8SKOQ" Exception: You do not have permission to access the requested document.; SheetId: "1z2sYCQ-onJ1yJPrsVuq8i1OnKl0mo-1BmCvd6_mLzQw" Exception: You do not have permission to access the requested document.; SheetId: "1H8Rm_FggiunhnCb17GvMufsG8rKujAQ0-PtiCEXHsFs" Exception: You do not have permission to access the requested document.; SheetId: "1pHFf1OxoEG42boI8kVnoDt2dMCJhsNXzOZJMG99h704" Exception: You do not have permission to access the requested document.; </t>
  </si>
  <si>
    <t xml:space="preserve">SheetId: "14SxCYJ1HPiMwpPUpGjc_Dih-XMBaBapwfqCxWbl_NQ" Exception: Unexpected error while getting the method or property openById on object SpreadsheetApp.; SheetId: "1BhmfkcVpIB-oEZVo3sUJYSpw6zb5P_4hUFlGI5OW4uw" Exception: You do not have permission to access the requested document.; SheetId: "1cbxdfYr8gDU1Ta8KFUjXS8iCyWhqwQOlxyzZ37SH2-o" Exception: You do not have permission to access the requested document.; SheetId: "1HUaRIKVwI9J2wNIGHuQEKrb6Y-XRRpJqSIhEViI_spM" Exception: You do not have permission to access the requested document.; SheetId: "1f-b6kmv5inSE_E62CWY_ZamTMbcWJ3iymuj85xunjHw" Exception: You do not have permission to access the requested document.; SheetId: "11HIsY_WxszLQHwUUuKqOPVAdnSt5iuJ6482jDGRW9rM" Exception: You do not have permission to access the requested document.; SheetId: "1482GiNRdiDsSnn6pdazXY-ADzqCtNn0TLrTQkwA_qJI" Exception: You do not have permission to access the requested document.; SheetId: "1sGKMuId-vo0qBM46ic2BiEK9hOJ8fcqGH7PnGoSZcyM" Exception: You do not have permission to access the requested document.; SheetId: "1Aqcy7QKEDPWms6A9BcXULgfk17Zw7pFkVz6CmZ-dbr8" Exception: You do not have permission to access the requested document.; SheetId: "1BK3u_U6fT7UMWi_fNKoC5yMRG1AOY2D3EiBa74PkYZ0" Exception: You do not have permission to access the requested document.; SheetId: "1pnzoap-gAlkPfTsyV_1xfRc890oSVGQ6O0Jz92RtkX0" Exception: You do not have permission to access the requested document.; SheetId: "1GgRyHYbJy1XqVJSdCpGkwqvRNdw4fhWrUApAp9kjcK0" Exception: You do not have permission to access the requested document.; SheetId: "1w1yobDJOvz56YrSKEwrvEF7MxhAqrTMOI9hkyMirG-I" Exception: You do not have permission to access the requested document.; SheetId: "1EqxyUF6OBDNIx8tqqC-5Qw9EhuGDLI3wrwI584-fpz0" Exception: You do not have permission to access the requested document.; SheetId: "1bPY6kyCFNJ0WvsmP1oaKZPxEi7vQJLeMyK0WvLqjuhQ" Exception: You do not have permission to access the requested document.; SheetId: "1veW9elDz7_mG0yKXVquE-2nNTLRzF1R8sgPUOLKKhvQ" Exception: You do not have permission to access the requested document.; SheetId: "1iwzcY2WEZkojN5fPxYGwTqfz-LNI16Bi6A_5o8-Q9ck" Exception: You do not have permission to access the requested document.; SheetId: "1T1XoFlrZJk37rd4WyJe3UKu2cl_sMppIONP2Xfo-Plg" Exception: You do not have permission to access the requested document.; SheetId: "1AJkaXN5x_WMw9ot43feNFbw7iOk5W8F1XrdObNrFdoo" Exception: You do not have permission to access the requested document.; SheetId: "1zuNmvgggd8_VF_tcLpmyTsDLZ3MgrqK5IC9ggOr-2o4" Exception: You do not have permission to access the requested document.; SheetId: "1TflvMbVlGCTqhLDIDDLRtI9O4mhGcKnkwBztbfV0Vdw" Exception: You do not have permission to access the requested document.; SheetId: "1C_lVBqrfacsLvgsinktCFoxhribHrU-duHI3S2JQyjQ" Exception: You do not have permission to access the requested document.; SheetId: "1W-Ux3TCVsl8Hvx819dk9o76pFfxxHGKaL3lUlgGsPVI" Exception: You do not have permission to access the requested document.; SheetId: "1Kx33Y_9cH3sT5JvJaM4YhLdXTHmIYhrKMJRDh2E-QAc" Exception: You do not have permission to access the requested document.; SheetId: "14Ge9CWOAimRHNqAr78FF9nNGm3ZeADkAbRDD8vu88Bc" Exception: You do not have permission to access the requested document.; SheetId: "1qDc89v01TKPluEH0Ofv_MLVoLm9DRK_Uc2-N0KHivWQ" Exception: You do not have permission to access the requested document.; SheetId: "1BYBDWSYKGUtPPotW5KoiISidXW1ZO64HMCXE11IVyqY" Exception: You do not have permission to access the requested document.; SheetId: "133n2yxo3cBwev3Zo6o73X8zpARRAn7k-1A5m7WLcbSo" Exception: You do not have permission to access the requested document.; SheetId: "1fsGxZiiihyPbtTFDcLK-3dw5pYcyP65s9BeIMYNtke8" Exception: You do not have permission to access the requested document.; SheetId: "1yrm8IA2H46RiZtp6HyyHhpUPQ17Z54AXFRF6e_91KZI" Exception: You do not have permission to access the requested document.; SheetId: "1Jc1MNemWqMgOhlEEZ14RvCB850NyZvs6NWdKfILkPLs" Exception: You do not have permission to access the requested document.; SheetId: "1KPhc4dXQcKyN3IKMAlOttCjBL2FDpl2GLmSK361KmRQ" Exception: You do not have permission to access the requested document.; SheetId: "1HbMgpFbdI5uMBON6-leByy4xS0usGViAo1WoLhV5Dt4" Exception: You do not have permission to access the requested document.; SheetId: "1CNqm15dCPf774GEwNbn4m2Vhp6ljvUCFjUyGCqnmRZ8" Exception: You do not have permission to access the requested document.; SheetId: "1w88yBcA-ifzxKp573zkEKk2MHfISDRv6Mp47H3CUSuo" Exception: You do not have permission to access the requested document.; SheetId: "1bx8oIJB3XszKUZJ8xHCEnqPkaAxi_W7XXilFBW-k04s" Exception: You do not have permission to access the requested document.; SheetId: "1FDxwTBWkT19SZNsiiDhgncoWzxpDlr17ip0cGs4bSCo" Exception: You do not have permission to access the requested document.; SheetId: "1pHun7fmGxd1O2R8etVfNACS0bNHfyPzThnub92_HGOg" Exception: You do not have permission to access the requested document.; SheetId: "1GDj96XNeOyQ1PrqoMkIxyKMouQV9mZEnGRZVryJD48c" Exception: You do not have permission to access the requested document.; SheetId: "1t80MWOfCQauU8ZXBskGWPAVTtA_TwPRH6D0T-eS15Uo" Exception: You do not have permission to access the requested document.; SheetId: "16XQhOsmwvKaQZCU3GZzz-4MeM1WL9sGbO6rgcSTGO54" Exception: You do not have permission to access the requested document.; SheetId: "1zoBLRgqUx9rOmDcGBlhaJ4JsQanzCCQCT77sKQu0sCg" Exception: You do not have permission to access the requested document.; SheetId: "1AJ1XfwMKb6S7o68ow7nW_kKu91FAn5fXJJabBDyjSZk" Exception: You do not have permission to access the requested document.; SheetId: "1sJdiQJuTABatoH7BKtjdHaOG3LfvzhaySLTOGOw7JDQ" Exception: You do not have permission to access the requested document.; SheetId: "1DfTP099pCYCF3U-e0kCF7AWZmB99b6K0iEmek0Egpi8" Exception: You do not have permission to access the requested document.; SheetId: "1ealEjc2s88zgV9V-rH0mDa_92G9rjenT9XpX2nHuQ-g" Exception: You do not have permission to access the requested document.; SheetId: "1_r8bt4qDLQt6_kZ5assx2yqBwnMWgmqZsId9cM0FD2w" Exception: You do not have permission to access the requested document.; SheetId: "1PWZ_G6xnVOrLmt0ACmCp4dJtEGbOXJU7QTK9qtvL_qI" Exception: You do not have permission to access the requested document.; SheetId: "1Lzb9mupM8gWsOCSF1VAIOzASHmrBnQYHqh3ThPQCvAA" Exception: You do not have permission to access the requested document.; SheetId: "1jj6TbxtTyxk_bO_fa2iQn2IVJUCFTe6bpQEQQILkp9g" Exception: You do not have permission to access the requested document.; SheetId: "1-mTuFSOuylcYpuGp5x3iNB5Hg9J-niS-T--7hEujMR0" Exception: You do not have permission to access the requested document.; SheetId: "1rj758oTEW9EfyfpmeaKBdadxYO5zoP6IkZM9sPvOcNo" Exception: You do not have permission to access the requested document.; SheetId: "18hNODCadvTfo4DEqIQDGzqMDZtsSUB5XwNVAPxz8stY" Exception: You do not have permission to access the requested document.; SheetId: "1u_2bnVazUXoH5EUygA6o6XkAQWLrWFYvaun9Qj-4bl8" Exception: You do not have permission to access the requested document.; SheetId: "1CGzFA8PbYbxBK7eXj-bdn7IfhSijJFrmkqjH6bmQCvg" Exception: You do not have permission to access the requested document.; SheetId: "1VbKCxF_qiu4RgD-IIpW1vJO3uP1OkTsHSZH_4F1nAx4" Exception: You do not have permission to access the requested document.; SheetId: "1Csyx_z7eZB-nrYAD0cRE_C7tYFO-ZcZ4X8z5VbHSZng" Exception: You do not have permission to access the requested document.; SheetId: "1DQmgSarkdhmQ36rrU7O-UlpSDk6jBAA9Ujt71fU-vzk" Exception: You do not have permission to access the requested document.; SheetId: "1RUcxiwCApNUFHEUTSU9W_cN-7GaMIzmkUUvnL9zsYuY" Exception: You do not have permission to access the requested document.; SheetId: "13W1z0Zi28XEJLXnS9bbvmHuHX9JcotZDG6PNAr8deb0" Exception: You do not have permission to access the requested document.; SheetId: "1wPTKIUfRXrswONC-TRCc27vUre2Gcm9zH3VhWgj97k0" Exception: You do not have permission to access the requested document.; SheetId: "1Y6Ak0WKpF2tqYoWTj27MefJtfQ992XsjSK234OeFaXc" Exception: You do not have permission to access the requested document.; SheetId: "10fyLBMFF-Ll-39GmgBleodwY9UP1Z720Rc7S83ZNa24" Exception: You do not have permission to access the requested document.; SheetId: "1G_0DcG8h45qOqhHNR32u5MfoYysjDc_pEmrRYwChiJ4" Exception: You do not have permission to access the requested document.; SheetId: "1UDsOqVrSUUZnbgIqM-TuNovcJXEQR6y4iz2sNtd6FFU" Exception: You do not have permission to access the requested document.; SheetId: "19Nz4ORR7S2zC_ZpwICSgfXhsN865jy1XiKN7vf2xRgc" Exception: You do not have permission to access the requested document.; SheetId: "1jJPkQt55DZ_x9OeazDjxRB2KrHGlRFD-H0aS57MjDgk" Exception: You do not have permission to access the requested document.; SheetId: "115yXj5JZkJRrmygPapu3rwvxvQVwDcQxYMpCgTyOUK8" Exception: You do not have permission to access the requested document.; SheetId: "1f-bBX1tabRKPUd3UixDYD_LBeTCfm4fKMCZgZoegIXs" Exception: You do not have permission to access the requested document.; SheetId: "1UQtoczHqWI2So18LYAXIlFwxg0dj_A4fekwl2UVXFiY" Exception: You do not have permission to access the requested document.; SheetId: "1aef7YUsReurtox1oodafQGw7Z74ZnTpflbN0raSOx5s" Exception: You do not have permission to access the requested document.; SheetId: "1qmpGg9TEDDGoqsF1BKTsBdGu9Vmrpr3i4f7Agl8SKOQ" Exception: You do not have permission to access the requested document.; SheetId: "1z2sYCQ-onJ1yJPrsVuq8i1OnKl0mo-1BmCvd6_mLzQw" Exception: You do not have permission to access the requested document.; SheetId: "1H8Rm_FggiunhnCb17GvMufsG8rKujAQ0-PtiCEXHsFs" Exception: You do not have permission to access the requested document.; SheetId: "1pHFf1OxoEG42boI8kVnoDt2dMCJhsNXzOZJMG99h704" Exception: You do not have permission to access the requested document.; </t>
  </si>
  <si>
    <t xml:space="preserve">SheetId: "14SxCYJ1HPiMwpPUpGjc_Dih-XMBaBapwfqCxWbl_NQ" Exception: Unexpected error while getting the method or property openById on object SpreadsheetApp.; SheetId: "1BhmfkcVpIB-oEZVo3sUJYSpw6zb5P_4hUFlGI5OW4uw" Exception: You do not have permission to access the requested document.; SheetId: "1cbxdfYr8gDU1Ta8KFUjXS8iCyWhqwQOlxyzZ37SH2-o" Exception: You do not have permission to access the requested document.; SheetId: "1HUaRIKVwI9J2wNIGHuQEKrb6Y-XRRpJqSIhEViI_spM" Exception: You do not have permission to access the requested document.; SheetId: "1f-b6kmv5inSE_E62CWY_ZamTMbcWJ3iymuj85xunjHw" Exception: You do not have permission to access the requested document.; SheetId: "11HIsY_WxszLQHwUUuKqOPVAdnSt5iuJ6482jDGRW9rM" Exception: You do not have permission to access the requested document.; SheetId: "1482GiNRdiDsSnn6pdazXY-ADzqCtNn0TLrTQkwA_qJI" Exception: You do not have permission to access the requested document.; SheetId: "1sGKMuId-vo0qBM46ic2BiEK9hOJ8fcqGH7PnGoSZcyM" Exception: You do not have permission to access the requested document.; SheetId: "1Aqcy7QKEDPWms6A9BcXULgfk17Zw7pFkVz6CmZ-dbr8" Exception: You do not have permission to access the requested document.; SheetId: "1BK3u_U6fT7UMWi_fNKoC5yMRG1AOY2D3EiBa74PkYZ0" Exception: You do not have permission to access the requested document.; SheetId: "1pnzoap-gAlkPfTsyV_1xfRc890oSVGQ6O0Jz92RtkX0" Exception: You do not have permission to access the requested document.; SheetId: "1GgRyHYbJy1XqVJSdCpGkwqvRNdw4fhWrUApAp9kjcK0" Exception: You do not have permission to access the requested document.; SheetId: "1w1yobDJOvz56YrSKEwrvEF7MxhAqrTMOI9hkyMirG-I" Exception: You do not have permission to access the requested document.; SheetId: "1EqxyUF6OBDNIx8tqqC-5Qw9EhuGDLI3wrwI584-fpz0" Exception: You do not have permission to access the requested document.; SheetId: "1bPY6kyCFNJ0WvsmP1oaKZPxEi7vQJLeMyK0WvLqjuhQ" Exception: You do not have permission to access the requested document.; SheetId: "1veW9elDz7_mG0yKXVquE-2nNTLRzF1R8sgPUOLKKhvQ" Exception: You do not have permission to access the requested document.; SheetId: "1iwzcY2WEZkojN5fPxYGwTqfz-LNI16Bi6A_5o8-Q9ck" Exception: You do not have permission to access the requested document.; SheetId: "1T1XoFlrZJk37rd4WyJe3UKu2cl_sMppIONP2Xfo-Plg" Exception: You do not have permission to access the requested document.; SheetId: "1AJkaXN5x_WMw9ot43feNFbw7iOk5W8F1XrdObNrFdoo" Exception: You do not have permission to access the requested document.; SheetId: "1zuNmvgggd8_VF_tcLpmyTsDLZ3MgrqK5IC9ggOr-2o4" Exception: You do not have permission to access the requested document.; SheetId: "1TflvMbVlGCTqhLDIDDLRtI9O4mhGcKnkwBztbfV0Vdw" Exception: You do not have permission to access the requested document.; SheetId: "1C_lVBqrfacsLvgsinktCFoxhribHrU-duHI3S2JQyjQ" Exception: You do not have permission to access the requested document.; SheetId: "1W-Ux3TCVsl8Hvx819dk9o76pFfxxHGKaL3lUlgGsPVI" Exception: You do not have permission to access the requested document.; SheetId: "1Kx33Y_9cH3sT5JvJaM4YhLdXTHmIYhrKMJRDh2E-QAc" Exception: You do not have permission to access the requested document.; SheetId: "14Ge9CWOAimRHNqAr78FF9nNGm3ZeADkAbRDD8vu88Bc" Exception: You do not have permission to access the requested document.; SheetId: "1qDc89v01TKPluEH0Ofv_MLVoLm9DRK_Uc2-N0KHivWQ" Exception: You do not have permission to access the requested document.; SheetId: "1BYBDWSYKGUtPPotW5KoiISidXW1ZO64HMCXE11IVyqY" Exception: You do not have permission to access the requested document.; SheetId: "133n2yxo3cBwev3Zo6o73X8zpARRAn7k-1A5m7WLcbSo" Exception: You do not have permission to access the requested document.; SheetId: "1fsGxZiiihyPbtTFDcLK-3dw5pYcyP65s9BeIMYNtke8" Exception: You do not have permission to access the requested document.; SheetId: "1yrm8IA2H46RiZtp6HyyHhpUPQ17Z54AXFRF6e_91KZI" Exception: You do not have permission to access the requested document.; SheetId: "1Jc1MNemWqMgOhlEEZ14RvCB850NyZvs6NWdKfILkPLs" Exception: You do not have permission to access the requested document.; SheetId: "1KPhc4dXQcKyN3IKMAlOttCjBL2FDpl2GLmSK361KmRQ" Exception: You do not have permission to access the requested document.; SheetId: "1HbMgpFbdI5uMBON6-leByy4xS0usGViAo1WoLhV5Dt4" Exception: You do not have permission to access the requested document.; SheetId: "1CNqm15dCPf774GEwNbn4m2Vhp6ljvUCFjUyGCqnmRZ8" Exception: You do not have permission to access the requested document.; SheetId: "1w88yBcA-ifzxKp573zkEKk2MHfISDRv6Mp47H3CUSuo" Exception: You do not have permission to access the requested document.; SheetId: "1bx8oIJB3XszKUZJ8xHCEnqPkaAxi_W7XXilFBW-k04s" Exception: You do not have permission to access the requested document.; SheetId: "1FDxwTBWkT19SZNsiiDhgncoWzxpDlr17ip0cGs4bSCo" Exception: You do not have permission to access the requested document.; SheetId: "1pHun7fmGxd1O2R8etVfNACS0bNHfyPzThnub92_HGOg" Exception: You do not have permission to access the requested document.; SheetId: "1GDj96XNeOyQ1PrqoMkIxyKMouQV9mZEnGRZVryJD48c" Exception: You do not have permission to access the requested document.; SheetId: "1t80MWOfCQauU8ZXBskGWPAVTtA_TwPRH6D0T-eS15Uo" Exception: You do not have permission to access the requested document.; SheetId: "16XQhOsmwvKaQZCU3GZzz-4MeM1WL9sGbO6rgcSTGO54" Exception: You do not have permission to access the requested document.; SheetId: "1AinGYUJ2UOuFQ1Qlm2AbzF3rhoVsMBILjhMhr-h2UuI" Exception: You do not have permission to access the requested document.; SheetId: "1zoBLRgqUx9rOmDcGBlhaJ4JsQanzCCQCT77sKQu0sCg" Exception: You do not have permission to access the requested document.; SheetId: "1AJ1XfwMKb6S7o68ow7nW_kKu91FAn5fXJJabBDyjSZk" Exception: You do not have permission to access the requested document.; SheetId: "1sJdiQJuTABatoH7BKtjdHaOG3LfvzhaySLTOGOw7JDQ" Exception: You do not have permission to access the requested document.; SheetId: "1DfTP099pCYCF3U-e0kCF7AWZmB99b6K0iEmek0Egpi8" Exception: You do not have permission to access the requested document.; SheetId: "1ealEjc2s88zgV9V-rH0mDa_92G9rjenT9XpX2nHuQ-g" Exception: You do not have permission to access the requested document.; SheetId: "1_r8bt4qDLQt6_kZ5assx2yqBwnMWgmqZsId9cM0FD2w" Exception: You do not have permission to access the requested document.; SheetId: "1PWZ_G6xnVOrLmt0ACmCp4dJtEGbOXJU7QTK9qtvL_qI" Exception: You do not have permission to access the requested document.; SheetId: "1Lzb9mupM8gWsOCSF1VAIOzASHmrBnQYHqh3ThPQCvAA" Exception: You do not have permission to access the requested document.; SheetId: "1jj6TbxtTyxk_bO_fa2iQn2IVJUCFTe6bpQEQQILkp9g" Exception: You do not have permission to access the requested document.; SheetId: "1-mTuFSOuylcYpuGp5x3iNB5Hg9J-niS-T--7hEujMR0" Exception: You do not have permission to access the requested document.; SheetId: "1rj758oTEW9EfyfpmeaKBdadxYO5zoP6IkZM9sPvOcNo" Exception: You do not have permission to access the requested document.; SheetId: "18hNODCadvTfo4DEqIQDGzqMDZtsSUB5XwNVAPxz8stY" Exception: You do not have permission to access the requested document.; SheetId: "1u_2bnVazUXoH5EUygA6o6XkAQWLrWFYvaun9Qj-4bl8" Exception: You do not have permission to access the requested document.; SheetId: "1CGzFA8PbYbxBK7eXj-bdn7IfhSijJFrmkqjH6bmQCvg" Exception: You do not have permission to access the requested document.; SheetId: "1VbKCxF_qiu4RgD-IIpW1vJO3uP1OkTsHSZH_4F1nAx4" Exception: You do not have permission to access the requested document.; SheetId: "1Csyx_z7eZB-nrYAD0cRE_C7tYFO-ZcZ4X8z5VbHSZng" Exception: You do not have permission to access the requested document.; SheetId: "1DQmgSarkdhmQ36rrU7O-UlpSDk6jBAA9Ujt71fU-vzk" Exception: You do not have permission to access the requested document.; SheetId: "1RUcxiwCApNUFHEUTSU9W_cN-7GaMIzmkUUvnL9zsYuY" Exception: You do not have permission to access the requested document.; SheetId: "13W1z0Zi28XEJLXnS9bbvmHuHX9JcotZDG6PNAr8deb0" Exception: You do not have permission to access the requested document.; SheetId: "1wPTKIUfRXrswONC-TRCc27vUre2Gcm9zH3VhWgj97k0" Exception: You do not have permission to access the requested document.; SheetId: "1Y6Ak0WKpF2tqYoWTj27MefJtfQ992XsjSK234OeFaXc" Exception: You do not have permission to access the requested document.; SheetId: "10fyLBMFF-Ll-39GmgBleodwY9UP1Z720Rc7S83ZNa24" Exception: You do not have permission to access the requested document.; SheetId: "1G_0DcG8h45qOqhHNR32u5MfoYysjDc_pEmrRYwChiJ4" Exception: You do not have permission to access the requested document.; SheetId: "1UDsOqVrSUUZnbgIqM-TuNovcJXEQR6y4iz2sNtd6FFU" Exception: You do not have permission to access the requested document.; SheetId: "19Nz4ORR7S2zC_ZpwICSgfXhsN865jy1XiKN7vf2xRgc" Exception: You do not have permission to access the requested document.; SheetId: "1jJPkQt55DZ_x9OeazDjxRB2KrHGlRFD-H0aS57MjDgk" Exception: You do not have permission to access the requested document.; SheetId: "115yXj5JZkJRrmygPapu3rwvxvQVwDcQxYMpCgTyOUK8" Exception: You do not have permission to access the requested document.; SheetId: "1f-bBX1tabRKPUd3UixDYD_LBeTCfm4fKMCZgZoegIXs" Exception: You do not have permission to access the requested document.; SheetId: "1UQtoczHqWI2So18LYAXIlFwxg0dj_A4fekwl2UVXFiY" Exception: You do not have permission to access the requested document.; SheetId: "1aef7YUsReurtox1oodafQGw7Z74ZnTpflbN0raSOx5s" Exception: You do not have permission to access the requested document.; SheetId: "1qmpGg9TEDDGoqsF1BKTsBdGu9Vmrpr3i4f7Agl8SKOQ" Exception: You do not have permission to access the requested document.; SheetId: "1z2sYCQ-onJ1yJPrsVuq8i1OnKl0mo-1BmCvd6_mLzQw" Exception: You do not have permission to access the requested document.; SheetId: "1H8Rm_FggiunhnCb17GvMufsG8rKujAQ0-PtiCEXHsFs" Exception: You do not have permission to access the requested document.; SheetId: "1pHFf1OxoEG42boI8kVnoDt2dMCJhsNXzOZJMG99h704" Exception: You do not have permission to access the requested document.; </t>
  </si>
  <si>
    <t xml:space="preserve">SheetId: "14SxCYJ1HPiMwpPUpGjc_Dih-XMBaBapwfqCxWbl_NQ" Exception: Unexpected error while getting the method or property openById on object SpreadsheetApp.; SheetId: "1BhmfkcVpIB-oEZVo3sUJYSpw6zb5P_4hUFlGI5OW4uw" Exception: You do not have permission to access the requested document.; SheetId: "1cbxdfYr8gDU1Ta8KFUjXS8iCyWhqwQOlxyzZ37SH2-o" Exception: You do not have permission to access the requested document.; SheetId: "1HUaRIKVwI9J2wNIGHuQEKrb6Y-XRRpJqSIhEViI_spM" Exception: You do not have permission to access the requested document.; SheetId: "11HIsY_WxszLQHwUUuKqOPVAdnSt5iuJ6482jDGRW9rM" Exception: You do not have permission to access the requested document.; SheetId: "1482GiNRdiDsSnn6pdazXY-ADzqCtNn0TLrTQkwA_qJI" Exception: You do not have permission to access the requested document.; SheetId: "1sGKMuId-vo0qBM46ic2BiEK9hOJ8fcqGH7PnGoSZcyM" Exception: You do not have permission to access the requested document.; SheetId: "1uOO0NBJJE1Gw_uwGMo4UQ5NuNnVW-1QaOQvm3I8U-Uk" Exception: You do not have permission to access the requested document.; SheetId: "1Aqcy7QKEDPWms6A9BcXULgfk17Zw7pFkVz6CmZ-dbr8" Exception: You do not have permission to access the requested document.; SheetId: "1BK3u_U6fT7UMWi_fNKoC5yMRG1AOY2D3EiBa74PkYZ0" Exception: You do not have permission to access the requested document.; SheetId: "1pnzoap-gAlkPfTsyV_1xfRc890oSVGQ6O0Jz92RtkX0" Exception: You do not have permission to access the requested document.; SheetId: "1GgRyHYbJy1XqVJSdCpGkwqvRNdw4fhWrUApAp9kjcK0" Exception: You do not have permission to access the requested document.; SheetId: "1w1yobDJOvz56YrSKEwrvEF7MxhAqrTMOI9hkyMirG-I" Exception: You do not have permission to access the requested document.; SheetId: "1EqxyUF6OBDNIx8tqqC-5Qw9EhuGDLI3wrwI584-fpz0" Exception: You do not have permission to access the requested document.; SheetId: "1bPY6kyCFNJ0WvsmP1oaKZPxEi7vQJLeMyK0WvLqjuhQ" Exception: You do not have permission to access the requested document.; SheetId: "1veW9elDz7_mG0yKXVquE-2nNTLRzF1R8sgPUOLKKhvQ" Exception: You do not have permission to access the requested document.; SheetId: "1iwzcY2WEZkojN5fPxYGwTqfz-LNI16Bi6A_5o8-Q9ck" Exception: You do not have permission to access the requested document.; SheetId: "1T1XoFlrZJk37rd4WyJe3UKu2cl_sMppIONP2Xfo-Plg" Exception: You do not have permission to access the requested document.; SheetId: "1AJkaXN5x_WMw9ot43feNFbw7iOk5W8F1XrdObNrFdoo" Exception: You do not have permission to access the requested document.; SheetId: "1zuNmvgggd8_VF_tcLpmyTsDLZ3MgrqK5IC9ggOr-2o4" Exception: You do not have permission to access the requested document.; SheetId: "1TflvMbVlGCTqhLDIDDLRtI9O4mhGcKnkwBztbfV0Vdw" Exception: You do not have permission to access the requested document.; SheetId: "1C_lVBqrfacsLvgsinktCFoxhribHrU-duHI3S2JQyjQ" Exception: You do not have permission to access the requested document.; SheetId: "1W-Ux3TCVsl8Hvx819dk9o76pFfxxHGKaL3lUlgGsPVI" Exception: You do not have permission to access the requested document.; SheetId: "1Kx33Y_9cH3sT5JvJaM4YhLdXTHmIYhrKMJRDh2E-QAc" Exception: You do not have permission to access the requested document.; SheetId: "14Ge9CWOAimRHNqAr78FF9nNGm3ZeADkAbRDD8vu88Bc" Exception: You do not have permission to access the requested document.; SheetId: "1qDc89v01TKPluEH0Ofv_MLVoLm9DRK_Uc2-N0KHivWQ" Exception: You do not have permission to access the requested document.; SheetId: "1BYBDWSYKGUtPPotW5KoiISidXW1ZO64HMCXE11IVyqY" Exception: You do not have permission to access the requested document.; SheetId: "133n2yxo3cBwev3Zo6o73X8zpARRAn7k-1A5m7WLcbSo" Exception: You do not have permission to access the requested document.; SheetId: "1fsGxZiiihyPbtTFDcLK-3dw5pYcyP65s9BeIMYNtke8" Exception: You do not have permission to access the requested document.; SheetId: "1yrm8IA2H46RiZtp6HyyHhpUPQ17Z54AXFRF6e_91KZI" Exception: You do not have permission to access the requested document.; SheetId: "1Jc1MNemWqMgOhlEEZ14RvCB850NyZvs6NWdKfILkPLs" Exception: You do not have permission to access the requested document.; SheetId: "1KPhc4dXQcKyN3IKMAlOttCjBL2FDpl2GLmSK361KmRQ" Exception: You do not have permission to access the requested document.; SheetId: "1HbMgpFbdI5uMBON6-leByy4xS0usGViAo1WoLhV5Dt4" Exception: You do not have permission to access the requested document.; SheetId: "1CNqm15dCPf774GEwNbn4m2Vhp6ljvUCFjUyGCqnmRZ8" Exception: You do not have permission to access the requested document.; SheetId: "1w88yBcA-ifzxKp573zkEKk2MHfISDRv6Mp47H3CUSuo" Exception: You do not have permission to access the requested document.; SheetId: "1bx8oIJB3XszKUZJ8xHCEnqPkaAxi_W7XXilFBW-k04s" Exception: You do not have permission to access the requested document.; SheetId: "1FDxwTBWkT19SZNsiiDhgncoWzxpDlr17ip0cGs4bSCo" Exception: You do not have permission to access the requested document.; SheetId: "1pHun7fmGxd1O2R8etVfNACS0bNHfyPzThnub92_HGOg" Exception: You do not have permission to access the requested document.; SheetId: "1GDj96XNeOyQ1PrqoMkIxyKMouQV9mZEnGRZVryJD48c" Exception: You do not have permission to access the requested document.; SheetId: "1t80MWOfCQauU8ZXBskGWPAVTtA_TwPRH6D0T-eS15Uo" Exception: You do not have permission to access the requested document.; SheetId: "16XQhOsmwvKaQZCU3GZzz-4MeM1WL9sGbO6rgcSTGO54" Exception: You do not have permission to access the requested document.; SheetId: "1AinGYUJ2UOuFQ1Qlm2AbzF3rhoVsMBILjhMhr-h2UuI" Exception: You do not have permission to access the requested document.; SheetId: "1zoBLRgqUx9rOmDcGBlhaJ4JsQanzCCQCT77sKQu0sCg" Exception: You do not have permission to access the requested document.; SheetId: "1AJ1XfwMKb6S7o68ow7nW_kKu91FAn5fXJJabBDyjSZk" Exception: You do not have permission to access the requested document.; SheetId: "1sJdiQJuTABatoH7BKtjdHaOG3LfvzhaySLTOGOw7JDQ" Exception: You do not have permission to access the requested document.; SheetId: "1DfTP099pCYCF3U-e0kCF7AWZmB99b6K0iEmek0Egpi8" Exception: You do not have permission to access the requested document.; SheetId: "1ealEjc2s88zgV9V-rH0mDa_92G9rjenT9XpX2nHuQ-g" Exception: You do not have permission to access the requested document.; SheetId: "1_r8bt4qDLQt6_kZ5assx2yqBwnMWgmqZsId9cM0FD2w" Exception: You do not have permission to access the requested document.; SheetId: "1PWZ_G6xnVOrLmt0ACmCp4dJtEGbOXJU7QTK9qtvL_qI" Exception: You do not have permission to access the requested document.; SheetId: "1Lzb9mupM8gWsOCSF1VAIOzASHmrBnQYHqh3ThPQCvAA" Exception: You do not have permission to access the requested document.; SheetId: "1jj6TbxtTyxk_bO_fa2iQn2IVJUCFTe6bpQEQQILkp9g" Exception: You do not have permission to access the requested document.; SheetId: "1-mTuFSOuylcYpuGp5x3iNB5Hg9J-niS-T--7hEujMR0" Exception: You do not have permission to access the requested document.; SheetId: "1rj758oTEW9EfyfpmeaKBdadxYO5zoP6IkZM9sPvOcNo" Exception: You do not have permission to access the requested document.; SheetId: "18hNODCadvTfo4DEqIQDGzqMDZtsSUB5XwNVAPxz8stY" Exception: You do not have permission to access the requested document.; SheetId: "1u_2bnVazUXoH5EUygA6o6XkAQWLrWFYvaun9Qj-4bl8" Exception: You do not have permission to access the requested document.; SheetId: "1CGzFA8PbYbxBK7eXj-bdn7IfhSijJFrmkqjH6bmQCvg" Exception: You do not have permission to access the requested document.; SheetId: "1VbKCxF_qiu4RgD-IIpW1vJO3uP1OkTsHSZH_4F1nAx4" Exception: You do not have permission to access the requested document.; SheetId: "1Csyx_z7eZB-nrYAD0cRE_C7tYFO-ZcZ4X8z5VbHSZng" Exception: You do not have permission to access the requested document.; SheetId: "1DQmgSarkdhmQ36rrU7O-UlpSDk6jBAA9Ujt71fU-vzk" Exception: You do not have permission to access the requested document.; SheetId: "1RUcxiwCApNUFHEUTSU9W_cN-7GaMIzmkUUvnL9zsYuY" Exception: You do not have permission to access the requested document.; SheetId: "13W1z0Zi28XEJLXnS9bbvmHuHX9JcotZDG6PNAr8deb0" Exception: You do not have permission to access the requested document.; SheetId: "1wPTKIUfRXrswONC-TRCc27vUre2Gcm9zH3VhWgj97k0" Exception: You do not have permission to access the requested document.; SheetId: "1Y6Ak0WKpF2tqYoWTj27MefJtfQ992XsjSK234OeFaXc" Exception: You do not have permission to access the requested document.; SheetId: "10fyLBMFF-Ll-39GmgBleodwY9UP1Z720Rc7S83ZNa24" Exception: You do not have permission to access the requested document.; SheetId: "1G_0DcG8h45qOqhHNR32u5MfoYysjDc_pEmrRYwChiJ4" Exception: You do not have permission to access the requested document.; SheetId: "1UDsOqVrSUUZnbgIqM-TuNovcJXEQR6y4iz2sNtd6FFU" Exception: You do not have permission to access the requested document.; SheetId: "19Nz4ORR7S2zC_ZpwICSgfXhsN865jy1XiKN7vf2xRgc" Exception: You do not have permission to access the requested document.; SheetId: "1jJPkQt55DZ_x9OeazDjxRB2KrHGlRFD-H0aS57MjDgk" Exception: You do not have permission to access the requested document.; SheetId: "115yXj5JZkJRrmygPapu3rwvxvQVwDcQxYMpCgTyOUK8" Exception: You do not have permission to access the requested document.; SheetId: "1f-bBX1tabRKPUd3UixDYD_LBeTCfm4fKMCZgZoegIXs" Exception: You do not have permission to access the requested document.; SheetId: "1UQtoczHqWI2So18LYAXIlFwxg0dj_A4fekwl2UVXFiY" Exception: You do not have permission to access the requested document.; SheetId: "1aef7YUsReurtox1oodafQGw7Z74ZnTpflbN0raSOx5s" Exception: You do not have permission to access the requested document.; SheetId: "1qmpGg9TEDDGoqsF1BKTsBdGu9Vmrpr3i4f7Agl8SKOQ" Exception: You do not have permission to access the requested document.; SheetId: "1z2sYCQ-onJ1yJPrsVuq8i1OnKl0mo-1BmCvd6_mLzQw" Exception: You do not have permission to access the requested document.; SheetId: "1H8Rm_FggiunhnCb17GvMufsG8rKujAQ0-PtiCEXHsFs" Exception: You do not have permission to access the requested document.; SheetId: "1pHFf1OxoEG42boI8kVnoDt2dMCJhsNXzOZJMG99h704" Exception: You do not have permission to access the requested document.; </t>
  </si>
  <si>
    <t xml:space="preserve">SheetId: "14SxCYJ1HPiMwpPUpGjc_Dih-XMBaBapwfqCxWbl_NQ" Exception: Unexpected error while getting the method or property openById on object SpreadsheetApp.; SheetId: "1BhmfkcVpIB-oEZVo3sUJYSpw6zb5P_4hUFlGI5OW4uw" Exception: You do not have permission to access the requested document.; SheetId: "1No8nbaA9F2gZNkXDe0FV0W4FZPz3dLY1C3uogMSChiw" Exception: You do not have permission to access the requested document.; SheetId: "1cbxdfYr8gDU1Ta8KFUjXS8iCyWhqwQOlxyzZ37SH2-o" Exception: You do not have permission to access the requested document.; SheetId: "1HUaRIKVwI9J2wNIGHuQEKrb6Y-XRRpJqSIhEViI_spM" Exception: You do not have permission to access the requested document.; SheetId: "11HIsY_WxszLQHwUUuKqOPVAdnSt5iuJ6482jDGRW9rM" Exception: You do not have permission to access the requested document.; SheetId: "1482GiNRdiDsSnn6pdazXY-ADzqCtNn0TLrTQkwA_qJI" Exception: You do not have permission to access the requested document.; SheetId: "1sGKMuId-vo0qBM46ic2BiEK9hOJ8fcqGH7PnGoSZcyM" Exception: You do not have permission to access the requested document.; SheetId: "1uOO0NBJJE1Gw_uwGMo4UQ5NuNnVW-1QaOQvm3I8U-Uk" Exception: You do not have permission to access the requested document.; SheetId: "1Aqcy7QKEDPWms6A9BcXULgfk17Zw7pFkVz6CmZ-dbr8" Exception: You do not have permission to access the requested document.; SheetId: "1BK3u_U6fT7UMWi_fNKoC5yMRG1AOY2D3EiBa74PkYZ0" Exception: You do not have permission to access the requested document.; SheetId: "1pnzoap-gAlkPfTsyV_1xfRc890oSVGQ6O0Jz92RtkX0" Exception: You do not have permission to access the requested document.; SheetId: "1GgRyHYbJy1XqVJSdCpGkwqvRNdw4fhWrUApAp9kjcK0" Exception: You do not have permission to access the requested document.; SheetId: "1w1yobDJOvz56YrSKEwrvEF7MxhAqrTMOI9hkyMirG-I" Exception: You do not have permission to access the requested document.; SheetId: "1EqxyUF6OBDNIx8tqqC-5Qw9EhuGDLI3wrwI584-fpz0" Exception: You do not have permission to access the requested document.; SheetId: "1bPY6kyCFNJ0WvsmP1oaKZPxEi7vQJLeMyK0WvLqjuhQ" Exception: You do not have permission to access the requested document.; SheetId: "1veW9elDz7_mG0yKXVquE-2nNTLRzF1R8sgPUOLKKhvQ" Exception: You do not have permission to access the requested document.; SheetId: "1iwzcY2WEZkojN5fPxYGwTqfz-LNI16Bi6A_5o8-Q9ck" Exception: You do not have permission to access the requested document.; SheetId: "1T1XoFlrZJk37rd4WyJe3UKu2cl_sMppIONP2Xfo-Plg" Exception: You do not have permission to access the requested document.; SheetId: "1AJkaXN5x_WMw9ot43feNFbw7iOk5W8F1XrdObNrFdoo" Exception: You do not have permission to access the requested document.; SheetId: "1zuNmvgggd8_VF_tcLpmyTsDLZ3MgrqK5IC9ggOr-2o4" Exception: You do not have permission to access the requested document.; SheetId: "1TflvMbVlGCTqhLDIDDLRtI9O4mhGcKnkwBztbfV0Vdw" Exception: You do not have permission to access the requested document.; SheetId: "1C_lVBqrfacsLvgsinktCFoxhribHrU-duHI3S2JQyjQ" Exception: You do not have permission to access the requested document.; SheetId: "1W-Ux3TCVsl8Hvx819dk9o76pFfxxHGKaL3lUlgGsPVI" Exception: You do not have permission to access the requested document.; SheetId: "1Kx33Y_9cH3sT5JvJaM4YhLdXTHmIYhrKMJRDh2E-QAc" Exception: You do not have permission to access the requested document.; SheetId: "14Ge9CWOAimRHNqAr78FF9nNGm3ZeADkAbRDD8vu88Bc" Exception: You do not have permission to access the requested document.; SheetId: "1qDc89v01TKPluEH0Ofv_MLVoLm9DRK_Uc2-N0KHivWQ" Exception: You do not have permission to access the requested document.; SheetId: "1BYBDWSYKGUtPPotW5KoiISidXW1ZO64HMCXE11IVyqY" Exception: You do not have permission to access the requested document.; SheetId: "133n2yxo3cBwev3Zo6o73X8zpARRAn7k-1A5m7WLcbSo" Exception: You do not have permission to access the requested document.; SheetId: "1fsGxZiiihyPbtTFDcLK-3dw5pYcyP65s9BeIMYNtke8" Exception: You do not have permission to access the requested document.; SheetId: "1yrm8IA2H46RiZtp6HyyHhpUPQ17Z54AXFRF6e_91KZI" Exception: You do not have permission to access the requested document.; SheetId: "1Jc1MNemWqMgOhlEEZ14RvCB850NyZvs6NWdKfILkPLs" Exception: You do not have permission to access the requested document.; SheetId: "1KPhc4dXQcKyN3IKMAlOttCjBL2FDpl2GLmSK361KmRQ" Exception: You do not have permission to access the requested document.; SheetId: "1HbMgpFbdI5uMBON6-leByy4xS0usGViAo1WoLhV5Dt4" Exception: You do not have permission to access the requested document.; SheetId: "1CNqm15dCPf774GEwNbn4m2Vhp6ljvUCFjUyGCqnmRZ8" Exception: You do not have permission to access the requested document.; SheetId: "1w88yBcA-ifzxKp573zkEKk2MHfISDRv6Mp47H3CUSuo" Exception: You do not have permission to access the requested document.; SheetId: "1bx8oIJB3XszKUZJ8xHCEnqPkaAxi_W7XXilFBW-k04s" Exception: You do not have permission to access the requested document.; SheetId: "1FDxwTBWkT19SZNsiiDhgncoWzxpDlr17ip0cGs4bSCo" Exception: You do not have permission to access the requested document.; SheetId: "1pHun7fmGxd1O2R8etVfNACS0bNHfyPzThnub92_HGOg" Exception: You do not have permission to access the requested document.; SheetId: "1GDj96XNeOyQ1PrqoMkIxyKMouQV9mZEnGRZVryJD48c" Exception: You do not have permission to access the requested document.; SheetId: "1t80MWOfCQauU8ZXBskGWPAVTtA_TwPRH6D0T-eS15Uo" Exception: You do not have permission to access the requested document.; SheetId: "16XQhOsmwvKaQZCU3GZzz-4MeM1WL9sGbO6rgcSTGO54" Exception: You do not have permission to access the requested document.; SheetId: "1AinGYUJ2UOuFQ1Qlm2AbzF3rhoVsMBILjhMhr-h2UuI" Exception: You do not have permission to access the requested document.; SheetId: "1zoBLRgqUx9rOmDcGBlhaJ4JsQanzCCQCT77sKQu0sCg" Exception: You do not have permission to access the requested document.; SheetId: "1AJ1XfwMKb6S7o68ow7nW_kKu91FAn5fXJJabBDyjSZk" Exception: You do not have permission to access the requested document.; SheetId: "1sJdiQJuTABatoH7BKtjdHaOG3LfvzhaySLTOGOw7JDQ" Exception: You do not have permission to access the requested document.; SheetId: "1DfTP099pCYCF3U-e0kCF7AWZmB99b6K0iEmek0Egpi8" Exception: You do not have permission to access the requested document.; SheetId: "1ealEjc2s88zgV9V-rH0mDa_92G9rjenT9XpX2nHuQ-g" Exception: You do not have permission to access the requested document.; SheetId: "1_r8bt4qDLQt6_kZ5assx2yqBwnMWgmqZsId9cM0FD2w" Exception: You do not have permission to access the requested document.; SheetId: "1PWZ_G6xnVOrLmt0ACmCp4dJtEGbOXJU7QTK9qtvL_qI" Exception: You do not have permission to access the requested document.; SheetId: "1Lzb9mupM8gWsOCSF1VAIOzASHmrBnQYHqh3ThPQCvAA" Exception: You do not have permission to access the requested document.; SheetId: "1jj6TbxtTyxk_bO_fa2iQn2IVJUCFTe6bpQEQQILkp9g" Exception: You do not have permission to access the requested document.; SheetId: "1-mTuFSOuylcYpuGp5x3iNB5Hg9J-niS-T--7hEujMR0" Exception: You do not have permission to access the requested document.; SheetId: "1rj758oTEW9EfyfpmeaKBdadxYO5zoP6IkZM9sPvOcNo" Exception: You do not have permission to access the requested document.; SheetId: "18hNODCadvTfo4DEqIQDGzqMDZtsSUB5XwNVAPxz8stY" Exception: You do not have permission to access the requested document.; SheetId: "1u_2bnVazUXoH5EUygA6o6XkAQWLrWFYvaun9Qj-4bl8" Exception: You do not have permission to access the requested document.; SheetId: "1CGzFA8PbYbxBK7eXj-bdn7IfhSijJFrmkqjH6bmQCvg" Exception: You do not have permission to access the requested document.; SheetId: "1VbKCxF_qiu4RgD-IIpW1vJO3uP1OkTsHSZH_4F1nAx4" Exception: You do not have permission to access the requested document.; SheetId: "1Csyx_z7eZB-nrYAD0cRE_C7tYFO-ZcZ4X8z5VbHSZng" Exception: You do not have permission to access the requested document.; SheetId: "1DQmgSarkdhmQ36rrU7O-UlpSDk6jBAA9Ujt71fU-vzk" Exception: You do not have permission to access the requested document.; SheetId: "1RUcxiwCApNUFHEUTSU9W_cN-7GaMIzmkUUvnL9zsYuY" Exception: You do not have permission to access the requested document.; SheetId: "13W1z0Zi28XEJLXnS9bbvmHuHX9JcotZDG6PNAr8deb0" Exception: You do not have permission to access the requested document.; SheetId: "1wPTKIUfRXrswONC-TRCc27vUre2Gcm9zH3VhWgj97k0" Exception: You do not have permission to access the requested document.; SheetId: "1Y6Ak0WKpF2tqYoWTj27MefJtfQ992XsjSK234OeFaXc" Exception: You do not have permission to access the requested document.; SheetId: "10fyLBMFF-Ll-39GmgBleodwY9UP1Z720Rc7S83ZNa24" Exception: You do not have permission to access the requested document.; SheetId: "1G_0DcG8h45qOqhHNR32u5MfoYysjDc_pEmrRYwChiJ4" Exception: You do not have permission to access the requested document.; SheetId: "1UDsOqVrSUUZnbgIqM-TuNovcJXEQR6y4iz2sNtd6FFU" Exception: You do not have permission to access the requested document.; SheetId: "19Nz4ORR7S2zC_ZpwICSgfXhsN865jy1XiKN7vf2xRgc" Exception: You do not have permission to access the requested document.; SheetId: "1jJPkQt55DZ_x9OeazDjxRB2KrHGlRFD-H0aS57MjDgk" Exception: You do not have permission to access the requested document.; SheetId: "115yXj5JZkJRrmygPapu3rwvxvQVwDcQxYMpCgTyOUK8" Exception: You do not have permission to access the requested document.; SheetId: "1f-bBX1tabRKPUd3UixDYD_LBeTCfm4fKMCZgZoegIXs" Exception: You do not have permission to access the requested document.; SheetId: "1UQtoczHqWI2So18LYAXIlFwxg0dj_A4fekwl2UVXFiY" Exception: You do not have permission to access the requested document.; SheetId: "1aef7YUsReurtox1oodafQGw7Z74ZnTpflbN0raSOx5s" Exception: You do not have permission to access the requested document.; SheetId: "1qmpGg9TEDDGoqsF1BKTsBdGu9Vmrpr3i4f7Agl8SKOQ" Exception: You do not have permission to access the requested document.; SheetId: "1z2sYCQ-onJ1yJPrsVuq8i1OnKl0mo-1BmCvd6_mLzQw" Exception: You do not have permission to access the requested document.; SheetId: "1H8Rm_FggiunhnCb17GvMufsG8rKujAQ0-PtiCEXHsFs" Exception: You do not have permission to access the requested document.; SheetId: "1pHFf1OxoEG42boI8kVnoDt2dMCJhsNXzOZJMG99h704" Exception: You do not have permission to access the requested document.; </t>
  </si>
  <si>
    <t xml:space="preserve">SheetId: "14SxCYJ1HPiMwpPUpGjc_Dih-XMBaBapwfqCxWbl_NQ" Exception: Unexpected error while getting the method or property openById on object SpreadsheetApp.; SheetId: "1BhmfkcVpIB-oEZVo3sUJYSpw6zb5P_4hUFlGI5OW4uw" Exception: You do not have permission to access the requested document.; SheetId: "1No8nbaA9F2gZNkXDe0FV0W4FZPz3dLY1C3uogMSChiw" Exception: You do not have permission to access the requested document.; SheetId: "1cbxdfYr8gDU1Ta8KFUjXS8iCyWhqwQOlxyzZ37SH2-o" Exception: You do not have permission to access the requested document.; SheetId: "1QxqnXcjM-tGqFeOix6QFyWZyElJxAq1C7lxFYiOsKeA" Exception: You do not have permission to access the requested document.; SheetId: "1HUaRIKVwI9J2wNIGHuQEKrb6Y-XRRpJqSIhEViI_spM" Exception: You do not have permission to access the requested document.; SheetId: "11HIsY_WxszLQHwUUuKqOPVAdnSt5iuJ6482jDGRW9rM" Exception: You do not have permission to access the requested document.; SheetId: "1482GiNRdiDsSnn6pdazXY-ADzqCtNn0TLrTQkwA_qJI" Exception: You do not have permission to access the requested document.; SheetId: "1sGKMuId-vo0qBM46ic2BiEK9hOJ8fcqGH7PnGoSZcyM" Exception: You do not have permission to access the requested document.; SheetId: "1uOO0NBJJE1Gw_uwGMo4UQ5NuNnVW-1QaOQvm3I8U-Uk" Exception: You do not have permission to access the requested document.; SheetId: "1Aqcy7QKEDPWms6A9BcXULgfk17Zw7pFkVz6CmZ-dbr8" Exception: You do not have permission to access the requested document.; SheetId: "1BK3u_U6fT7UMWi_fNKoC5yMRG1AOY2D3EiBa74PkYZ0" Exception: You do not have permission to access the requested document.; SheetId: "1pnzoap-gAlkPfTsyV_1xfRc890oSVGQ6O0Jz92RtkX0" Exception: You do not have permission to access the requested document.; SheetId: "1GgRyHYbJy1XqVJSdCpGkwqvRNdw4fhWrUApAp9kjcK0" Exception: You do not have permission to access the requested document.; SheetId: "1w1yobDJOvz56YrSKEwrvEF7MxhAqrTMOI9hkyMirG-I" Exception: You do not have permission to access the requested document.; SheetId: "1EqxyUF6OBDNIx8tqqC-5Qw9EhuGDLI3wrwI584-fpz0" Exception: You do not have permission to access the requested document.; SheetId: "1bPY6kyCFNJ0WvsmP1oaKZPxEi7vQJLeMyK0WvLqjuhQ" Exception: You do not have permission to access the requested document.; SheetId: "1veW9elDz7_mG0yKXVquE-2nNTLRzF1R8sgPUOLKKhvQ" Exception: You do not have permission to access the requested document.; SheetId: "1iwzcY2WEZkojN5fPxYGwTqfz-LNI16Bi6A_5o8-Q9ck" Exception: You do not have permission to access the requested document.; SheetId: "1T1XoFlrZJk37rd4WyJe3UKu2cl_sMppIONP2Xfo-Plg" Exception: You do not have permission to access the requested document.; SheetId: "1AJkaXN5x_WMw9ot43feNFbw7iOk5W8F1XrdObNrFdoo" Exception: You do not have permission to access the requested document.; SheetId: "1zuNmvgggd8_VF_tcLpmyTsDLZ3MgrqK5IC9ggOr-2o4" Exception: You do not have permission to access the requested document.; SheetId: "1TflvMbVlGCTqhLDIDDLRtI9O4mhGcKnkwBztbfV0Vdw" Exception: You do not have permission to access the requested document.; SheetId: "1C_lVBqrfacsLvgsinktCFoxhribHrU-duHI3S2JQyjQ" Exception: You do not have permission to access the requested document.; SheetId: "1W-Ux3TCVsl8Hvx819dk9o76pFfxxHGKaL3lUlgGsPVI" Exception: You do not have permission to access the requested document.; SheetId: "1swXeMQ5eC3ckqC9WHsM0LuRhsZ3REdxKWeROgnikMyk" Exception: You do not have permission to access the requested document.; SheetId: "1Kx33Y_9cH3sT5JvJaM4YhLdXTHmIYhrKMJRDh2E-QAc" Exception: You do not have permission to access the requested document.; SheetId: "14Ge9CWOAimRHNqAr78FF9nNGm3ZeADkAbRDD8vu88Bc" Exception: You do not have permission to access the requested document.; SheetId: "1qDc89v01TKPluEH0Ofv_MLVoLm9DRK_Uc2-N0KHivWQ" Exception: You do not have permission to access the requested document.; SheetId: "1BYBDWSYKGUtPPotW5KoiISidXW1ZO64HMCXE11IVyqY" Exception: You do not have permission to access the requested document.; SheetId: "133n2yxo3cBwev3Zo6o73X8zpARRAn7k-1A5m7WLcbSo" Exception: You do not have permission to access the requested document.; SheetId: "1fsGxZiiihyPbtTFDcLK-3dw5pYcyP65s9BeIMYNtke8" Exception: You do not have permission to access the requested document.; SheetId: "1yrm8IA2H46RiZtp6HyyHhpUPQ17Z54AXFRF6e_91KZI" Exception: You do not have permission to access the requested document.; SheetId: "1Jc1MNemWqMgOhlEEZ14RvCB850NyZvs6NWdKfILkPLs" Exception: You do not have permission to access the requested document.; SheetId: "1KPhc4dXQcKyN3IKMAlOttCjBL2FDpl2GLmSK361KmRQ" Exception: You do not have permission to access the requested document.; SheetId: "1HbMgpFbdI5uMBON6-leByy4xS0usGViAo1WoLhV5Dt4" Exception: You do not have permission to access the requested document.; SheetId: "1CNqm15dCPf774GEwNbn4m2Vhp6ljvUCFjUyGCqnmRZ8" Exception: You do not have permission to access the requested document.; SheetId: "1w88yBcA-ifzxKp573zkEKk2MHfISDRv6Mp47H3CUSuo" Exception: You do not have permission to access the requested document.; SheetId: "1bx8oIJB3XszKUZJ8xHCEnqPkaAxi_W7XXilFBW-k04s" Exception: You do not have permission to access the requested document.; SheetId: "1FDxwTBWkT19SZNsiiDhgncoWzxpDlr17ip0cGs4bSCo" Exception: You do not have permission to access the requested document.; SheetId: "1pHun7fmGxd1O2R8etVfNACS0bNHfyPzThnub92_HGOg" Exception: You do not have permission to access the requested document.; SheetId: "1GDj96XNeOyQ1PrqoMkIxyKMouQV9mZEnGRZVryJD48c" Exception: You do not have permission to access the requested document.; SheetId: "1t80MWOfCQauU8ZXBskGWPAVTtA_TwPRH6D0T-eS15Uo" Exception: You do not have permission to access the requested document.; SheetId: "16XQhOsmwvKaQZCU3GZzz-4MeM1WL9sGbO6rgcSTGO54" Exception: You do not have permission to access the requested document.; SheetId: "1AinGYUJ2UOuFQ1Qlm2AbzF3rhoVsMBILjhMhr-h2UuI" Exception: You do not have permission to access the requested document.; SheetId: "1zoBLRgqUx9rOmDcGBlhaJ4JsQanzCCQCT77sKQu0sCg" Exception: You do not have permission to access the requested document.; SheetId: "1AJ1XfwMKb6S7o68ow7nW_kKu91FAn5fXJJabBDyjSZk" Exception: You do not have permission to access the requested document.; SheetId: "1sJdiQJuTABatoH7BKtjdHaOG3LfvzhaySLTOGOw7JDQ" Exception: You do not have permission to access the requested document.; SheetId: "1DfTP099pCYCF3U-e0kCF7AWZmB99b6K0iEmek0Egpi8" Exception: You do not have permission to access the requested document.; SheetId: "1ealEjc2s88zgV9V-rH0mDa_92G9rjenT9XpX2nHuQ-g" Exception: You do not have permission to access the requested document.; SheetId: "1_r8bt4qDLQt6_kZ5assx2yqBwnMWgmqZsId9cM0FD2w" Exception: You do not have permission to access the requested document.; SheetId: "1PWZ_G6xnVOrLmt0ACmCp4dJtEGbOXJU7QTK9qtvL_qI" Exception: You do not have permission to access the requested document.; SheetId: "1Lzb9mupM8gWsOCSF1VAIOzASHmrBnQYHqh3ThPQCvAA" Exception: You do not have permission to access the requested document.; SheetId: "1jj6TbxtTyxk_bO_fa2iQn2IVJUCFTe6bpQEQQILkp9g" Exception: You do not have permission to access the requested document.; SheetId: "1-mTuFSOuylcYpuGp5x3iNB5Hg9J-niS-T--7hEujMR0" Exception: You do not have permission to access the requested document.; SheetId: "1rj758oTEW9EfyfpmeaKBdadxYO5zoP6IkZM9sPvOcNo" Exception: You do not have permission to access the requested document.; SheetId: "18hNODCadvTfo4DEqIQDGzqMDZtsSUB5XwNVAPxz8stY" Exception: You do not have permission to access the requested document.; SheetId: "1u_2bnVazUXoH5EUygA6o6XkAQWLrWFYvaun9Qj-4bl8" Exception: You do not have permission to access the requested document.; SheetId: "1CGzFA8PbYbxBK7eXj-bdn7IfhSijJFrmkqjH6bmQCvg" Exception: You do not have permission to access the requested document.; SheetId: "1VbKCxF_qiu4RgD-IIpW1vJO3uP1OkTsHSZH_4F1nAx4" Exception: You do not have permission to access the requested document.; SheetId: "1Csyx_z7eZB-nrYAD0cRE_C7tYFO-ZcZ4X8z5VbHSZng" Exception: You do not have permission to access the requested document.; SheetId: "1DQmgSarkdhmQ36rrU7O-UlpSDk6jBAA9Ujt71fU-vzk" Exception: You do not have permission to access the requested document.; SheetId: "1RUcxiwCApNUFHEUTSU9W_cN-7GaMIzmkUUvnL9zsYuY" Exception: You do not have permission to access the requested document.; SheetId: "13W1z0Zi28XEJLXnS9bbvmHuHX9JcotZDG6PNAr8deb0" Exception: You do not have permission to access the requested document.; SheetId: "1wPTKIUfRXrswONC-TRCc27vUre2Gcm9zH3VhWgj97k0" Exception: You do not have permission to access the requested document.; SheetId: "1Y6Ak0WKpF2tqYoWTj27MefJtfQ992XsjSK234OeFaXc" Exception: You do not have permission to access the requested document.; SheetId: "10fyLBMFF-Ll-39GmgBleodwY9UP1Z720Rc7S83ZNa24" Exception: You do not have permission to access the requested document.; SheetId: "1G_0DcG8h45qOqhHNR32u5MfoYysjDc_pEmrRYwChiJ4" Exception: You do not have permission to access the requested document.; SheetId: "1UDsOqVrSUUZnbgIqM-TuNovcJXEQR6y4iz2sNtd6FFU" Exception: You do not have permission to access the requested document.; SheetId: "19Nz4ORR7S2zC_ZpwICSgfXhsN865jy1XiKN7vf2xRgc" Exception: You do not have permission to access the requested document.; SheetId: "1jJPkQt55DZ_x9OeazDjxRB2KrHGlRFD-H0aS57MjDgk" Exception: You do not have permission to access the requested document.; SheetId: "115yXj5JZkJRrmygPapu3rwvxvQVwDcQxYMpCgTyOUK8" Exception: You do not have permission to access the requested document.; SheetId: "1f-bBX1tabRKPUd3UixDYD_LBeTCfm4fKMCZgZoegIXs" Exception: You do not have permission to access the requested document.; SheetId: "1UQtoczHqWI2So18LYAXIlFwxg0dj_A4fekwl2UVXFiY" Exception: You do not have permission to access the requested document.; SheetId: "1aef7YUsReurtox1oodafQGw7Z74ZnTpflbN0raSOx5s" Exception: You do not have permission to access the requested document.; SheetId: "1qmpGg9TEDDGoqsF1BKTsBdGu9Vmrpr3i4f7Agl8SKOQ" Exception: You do not have permission to access the requested document.; SheetId: "1z2sYCQ-onJ1yJPrsVuq8i1OnKl0mo-1BmCvd6_mLzQw" Exception: You do not have permission to access the requested document.; SheetId: "1H8Rm_FggiunhnCb17GvMufsG8rKujAQ0-PtiCEXHsFs" Exception: You do not have permission to access the requested document.; SheetId: "1pHFf1OxoEG42boI8kVnoDt2dMCJhsNXzOZJMG99h704" Exception: You do not have permission to access the requested document.; </t>
  </si>
  <si>
    <t xml:space="preserve">SheetId: "not added" Exception: Unexpected error while getting the method or property openById on object SpreadsheetApp.; SheetId: "14SxCYJ1HPiMwpPUpGjc_Dih-XMBaBapwfqCxWbl_NQ" Exception: Unexpected error while getting the method or property openById on object SpreadsheetApp.; </t>
  </si>
  <si>
    <t xml:space="preserve">SheetId: "not added" Exception: Unexpected error while getting the method or property openById on object SpreadsheetApp.; SheetId: "14SxCYJ1HPiMwpPUpGjc_Dih-XMBaBapwfqCxWbl_NQ" Exception: Unexpected error while getting the method or property openById on object SpreadsheetApp.; SheetId: "1BhmfkcVpIB-oEZVo3sUJYSpw6zb5P_4hUFlGI5OW4uw" Exception: You do not have permission to access the requested document.; SheetId: "1No8nbaA9F2gZNkXDe0FV0W4FZPz3dLY1C3uogMSChiw" Exception: You do not have permission to access the requested document.; SheetId: "1cbxdfYr8gDU1Ta8KFUjXS8iCyWhqwQOlxyzZ37SH2-o" Exception: You do not have permission to access the requested document.; SheetId: "1QxqnXcjM-tGqFeOix6QFyWZyElJxAq1C7lxFYiOsKeA" Exception: You do not have permission to access the requested document.; SheetId: "1HUaRIKVwI9J2wNIGHuQEKrb6Y-XRRpJqSIhEViI_spM" Exception: You do not have permission to access the requested document.; SheetId: "11HIsY_WxszLQHwUUuKqOPVAdnSt5iuJ6482jDGRW9rM" Exception: You do not have permission to access the requested document.; SheetId: "1482GiNRdiDsSnn6pdazXY-ADzqCtNn0TLrTQkwA_qJI" Exception: You do not have permission to access the requested document.; SheetId: "1sGKMuId-vo0qBM46ic2BiEK9hOJ8fcqGH7PnGoSZcyM" Exception: You do not have permission to access the requested document.; SheetId: "1uOO0NBJJE1Gw_uwGMo4UQ5NuNnVW-1QaOQvm3I8U-Uk" Exception: You do not have permission to access the requested document.; SheetId: "1Aqcy7QKEDPWms6A9BcXULgfk17Zw7pFkVz6CmZ-dbr8" Exception: You do not have permission to access the requested document.; SheetId: "1BK3u_U6fT7UMWi_fNKoC5yMRG1AOY2D3EiBa74PkYZ0" Exception: You do not have permission to access the requested document.; SheetId: "1pnzoap-gAlkPfTsyV_1xfRc890oSVGQ6O0Jz92RtkX0" Exception: You do not have permission to access the requested document.; SheetId: "1GgRyHYbJy1XqVJSdCpGkwqvRNdw4fhWrUApAp9kjcK0" Exception: You do not have permission to access the requested document.; SheetId: "1w1yobDJOvz56YrSKEwrvEF7MxhAqrTMOI9hkyMirG-I" Exception: You do not have permission to access the requested document.; SheetId: "1EqxyUF6OBDNIx8tqqC-5Qw9EhuGDLI3wrwI584-fpz0" Exception: You do not have permission to access the requested document.; SheetId: "1bPY6kyCFNJ0WvsmP1oaKZPxEi7vQJLeMyK0WvLqjuhQ" Exception: You do not have permission to access the requested document.; SheetId: "1veW9elDz7_mG0yKXVquE-2nNTLRzF1R8sgPUOLKKhvQ" Exception: You do not have permission to access the requested document.; SheetId: "1iwzcY2WEZkojN5fPxYGwTqfz-LNI16Bi6A_5o8-Q9ck" Exception: You do not have permission to access the requested document.; SheetId: "1T1XoFlrZJk37rd4WyJe3UKu2cl_sMppIONP2Xfo-Plg" Exception: You do not have permission to access the requested document.; SheetId: "1AJkaXN5x_WMw9ot43feNFbw7iOk5W8F1XrdObNrFdoo" Exception: You do not have permission to access the requested document.; SheetId: "1zuNmvgggd8_VF_tcLpmyTsDLZ3MgrqK5IC9ggOr-2o4" Exception: You do not have permission to access the requested document.; SheetId: "1TflvMbVlGCTqhLDIDDLRtI9O4mhGcKnkwBztbfV0Vdw" Exception: You do not have permission to access the requested document.; SheetId: "1C_lVBqrfacsLvgsinktCFoxhribHrU-duHI3S2JQyjQ" Exception: You do not have permission to access the requested document.; SheetId: "1W-Ux3TCVsl8Hvx819dk9o76pFfxxHGKaL3lUlgGsPVI" Exception: You do not have permission to access the requested document.; SheetId: "1swXeMQ5eC3ckqC9WHsM0LuRhsZ3REdxKWeROgnikMyk" Exception: You do not have permission to access the requested document.; SheetId: "1Kx33Y_9cH3sT5JvJaM4YhLdXTHmIYhrKMJRDh2E-QAc" Exception: You do not have permission to access the requested document.; SheetId: "14Ge9CWOAimRHNqAr78FF9nNGm3ZeADkAbRDD8vu88Bc" Exception: You do not have permission to access the requested document.; SheetId: "1qDc89v01TKPluEH0Ofv_MLVoLm9DRK_Uc2-N0KHivWQ" Exception: You do not have permission to access the requested document.; SheetId: "1BYBDWSYKGUtPPotW5KoiISidXW1ZO64HMCXE11IVyqY" Exception: You do not have permission to access the requested document.; SheetId: "133n2yxo3cBwev3Zo6o73X8zpARRAn7k-1A5m7WLcbSo" Exception: You do not have permission to access the requested document.; SheetId: "1fsGxZiiihyPbtTFDcLK-3dw5pYcyP65s9BeIMYNtke8" Exception: You do not have permission to access the requested document.; SheetId: "1yrm8IA2H46RiZtp6HyyHhpUPQ17Z54AXFRF6e_91KZI" Exception: You do not have permission to access the requested document.; SheetId: "1Jc1MNemWqMgOhlEEZ14RvCB850NyZvs6NWdKfILkPLs" Exception: You do not have permission to access the requested document.; SheetId: "1KPhc4dXQcKyN3IKMAlOttCjBL2FDpl2GLmSK361KmRQ" Exception: You do not have permission to access the requested document.; SheetId: "1HbMgpFbdI5uMBON6-leByy4xS0usGViAo1WoLhV5Dt4" Exception: You do not have permission to access the requested document.; SheetId: "1CNqm15dCPf774GEwNbn4m2Vhp6ljvUCFjUyGCqnmRZ8" Exception: You do not have permission to access the requested document.; SheetId: "1w88yBcA-ifzxKp573zkEKk2MHfISDRv6Mp47H3CUSuo" Exception: You do not have permission to access the requested document.; SheetId: "1bx8oIJB3XszKUZJ8xHCEnqPkaAxi_W7XXilFBW-k04s" Exception: You do not have permission to access the requested document.; SheetId: "1FDxwTBWkT19SZNsiiDhgncoWzxpDlr17ip0cGs4bSCo" Exception: You do not have permission to access the requested document.; SheetId: "1pHun7fmGxd1O2R8etVfNACS0bNHfyPzThnub92_HGOg" Exception: You do not have permission to access the requested document.; SheetId: "1GDj96XNeOyQ1PrqoMkIxyKMouQV9mZEnGRZVryJD48c" Exception: You do not have permission to access the requested document.; SheetId: "1t80MWOfCQauU8ZXBskGWPAVTtA_TwPRH6D0T-eS15Uo" Exception: You do not have permission to access the requested document.; SheetId: "16XQhOsmwvKaQZCU3GZzz-4MeM1WL9sGbO6rgcSTGO54" Exception: You do not have permission to access the requested document.; SheetId: "1AinGYUJ2UOuFQ1Qlm2AbzF3rhoVsMBILjhMhr-h2UuI" Exception: You do not have permission to access the requested document.; SheetId: "1zoBLRgqUx9rOmDcGBlhaJ4JsQanzCCQCT77sKQu0sCg" Exception: You do not have permission to access the requested document.; SheetId: "1AJ1XfwMKb6S7o68ow7nW_kKu91FAn5fXJJabBDyjSZk" Exception: You do not have permission to access the requested document.; SheetId: "1sJdiQJuTABatoH7BKtjdHaOG3LfvzhaySLTOGOw7JDQ" Exception: You do not have permission to access the requested document.; SheetId: "1DfTP099pCYCF3U-e0kCF7AWZmB99b6K0iEmek0Egpi8" Exception: You do not have permission to access the requested document.; SheetId: "1ealEjc2s88zgV9V-rH0mDa_92G9rjenT9XpX2nHuQ-g" Exception: You do not have permission to access the requested document.; SheetId: "1_r8bt4qDLQt6_kZ5assx2yqBwnMWgmqZsId9cM0FD2w" Exception: You do not have permission to access the requested document.; SheetId: "1PWZ_G6xnVOrLmt0ACmCp4dJtEGbOXJU7QTK9qtvL_qI" Exception: You do not have permission to access the requested document.; SheetId: "1Lzb9mupM8gWsOCSF1VAIOzASHmrBnQYHqh3ThPQCvAA" Exception: You do not have permission to access the requested document.; SheetId: "1jj6TbxtTyxk_bO_fa2iQn2IVJUCFTe6bpQEQQILkp9g" Exception: You do not have permission to access the requested document.; SheetId: "1-mTuFSOuylcYpuGp5x3iNB5Hg9J-niS-T--7hEujMR0" Exception: You do not have permission to access the requested document.; SheetId: "1rj758oTEW9EfyfpmeaKBdadxYO5zoP6IkZM9sPvOcNo" Exception: You do not have permission to access the requested document.; SheetId: "18hNODCadvTfo4DEqIQDGzqMDZtsSUB5XwNVAPxz8stY" Exception: You do not have permission to access the requested document.; SheetId: "1u_2bnVazUXoH5EUygA6o6XkAQWLrWFYvaun9Qj-4bl8" Exception: You do not have permission to access the requested document.; SheetId: "1CGzFA8PbYbxBK7eXj-bdn7IfhSijJFrmkqjH6bmQCvg" Exception: You do not have permission to access the requested document.; SheetId: "1VbKCxF_qiu4RgD-IIpW1vJO3uP1OkTsHSZH_4F1nAx4" Exception: You do not have permission to access the requested document.; SheetId: "1Csyx_z7eZB-nrYAD0cRE_C7tYFO-ZcZ4X8z5VbHSZng" Exception: You do not have permission to access the requested document.; SheetId: "1DQmgSarkdhmQ36rrU7O-UlpSDk6jBAA9Ujt71fU-vzk" Exception: You do not have permission to access the requested document.; SheetId: "1RUcxiwCApNUFHEUTSU9W_cN-7GaMIzmkUUvnL9zsYuY" Exception: You do not have permission to access the requested document.; SheetId: "13W1z0Zi28XEJLXnS9bbvmHuHX9JcotZDG6PNAr8deb0" Exception: You do not have permission to access the requested document.; SheetId: "1wPTKIUfRXrswONC-TRCc27vUre2Gcm9zH3VhWgj97k0" Exception: You do not have permission to access the requested document.; SheetId: "1Y6Ak0WKpF2tqYoWTj27MefJtfQ992XsjSK234OeFaXc" Exception: You do not have permission to access the requested document.; SheetId: "10fyLBMFF-Ll-39GmgBleodwY9UP1Z720Rc7S83ZNa24" Exception: You do not have permission to access the requested document.; SheetId: "1G_0DcG8h45qOqhHNR32u5MfoYysjDc_pEmrRYwChiJ4" Exception: You do not have permission to access the requested document.; SheetId: "1UDsOqVrSUUZnbgIqM-TuNovcJXEQR6y4iz2sNtd6FFU" Exception: You do not have permission to access the requested document.; SheetId: "19Nz4ORR7S2zC_ZpwICSgfXhsN865jy1XiKN7vf2xRgc" Exception: You do not have permission to access the requested document.; SheetId: "1jJPkQt55DZ_x9OeazDjxRB2KrHGlRFD-H0aS57MjDgk" Exception: You do not have permission to access the requested document.; SheetId: "115yXj5JZkJRrmygPapu3rwvxvQVwDcQxYMpCgTyOUK8" Exception: You do not have permission to access the requested document.; SheetId: "1f-bBX1tabRKPUd3UixDYD_LBeTCfm4fKMCZgZoegIXs" Exception: You do not have permission to access the requested document.; SheetId: "1UQtoczHqWI2So18LYAXIlFwxg0dj_A4fekwl2UVXFiY" Exception: You do not have permission to access the requested document.; SheetId: "1aef7YUsReurtox1oodafQGw7Z74ZnTpflbN0raSOx5s" Exception: You do not have permission to access the requested document.; SheetId: "1qmpGg9TEDDGoqsF1BKTsBdGu9Vmrpr3i4f7Agl8SKOQ" Exception: You do not have permission to access the requested document.; SheetId: "1z2sYCQ-onJ1yJPrsVuq8i1OnKl0mo-1BmCvd6_mLzQw" Exception: You do not have permission to access the requested document.; SheetId: "1H8Rm_FggiunhnCb17GvMufsG8rKujAQ0-PtiCEXHsFs" Exception: You do not have permission to access the requested document.; SheetId: "1pHFf1OxoEG42boI8kVnoDt2dMCJhsNXzOZJMG99h704" Exception: You do not have permission to access the requested document.; </t>
  </si>
  <si>
    <t xml:space="preserve">SheetId: "14SxCYJ1HPiMwpPUpGjc_Dih-XMBaBapwfqCxWbl_NQ" Exception: Unexpected error while getting the method or property openById on object SpreadsheetApp.; SheetId: "1BhmfkcVpIB-oEZVo3sUJYSpw6zb5P_4hUFlGI5OW4uw" Exception: You do not have permission to access the requested document.; SheetId: "1No8nbaA9F2gZNkXDe0FV0W4FZPz3dLY1C3uogMSChiw" Exception: You do not have permission to access the requested document.; SheetId: "1cbxdfYr8gDU1Ta8KFUjXS8iCyWhqwQOlxyzZ37SH2-o" Exception: You do not have permission to access the requested document.; SheetId: "1U4RvrqX5XS4NPBHfaeLPJIEWtrxPzHiMnQZqHLx0lCI" Exception: You do not have permission to access the requested document.; SheetId: "1QxqnXcjM-tGqFeOix6QFyWZyElJxAq1C7lxFYiOsKeA" Exception: You do not have permission to access the requested document.; SheetId: "1HUaRIKVwI9J2wNIGHuQEKrb6Y-XRRpJqSIhEViI_spM" Exception: You do not have permission to access the requested document.; SheetId: "11HIsY_WxszLQHwUUuKqOPVAdnSt5iuJ6482jDGRW9rM" Exception: You do not have permission to access the requested document.; SheetId: "1482GiNRdiDsSnn6pdazXY-ADzqCtNn0TLrTQkwA_qJI" Exception: You do not have permission to access the requested document.; SheetId: "1sGKMuId-vo0qBM46ic2BiEK9hOJ8fcqGH7PnGoSZcyM" Exception: You do not have permission to access the requested document.; SheetId: "1uOO0NBJJE1Gw_uwGMo4UQ5NuNnVW-1QaOQvm3I8U-Uk" Exception: You do not have permission to access the requested document.; SheetId: "1Aqcy7QKEDPWms6A9BcXULgfk17Zw7pFkVz6CmZ-dbr8" Exception: You do not have permission to access the requested document.; SheetId: "1BK3u_U6fT7UMWi_fNKoC5yMRG1AOY2D3EiBa74PkYZ0" Exception: You do not have permission to access the requested document.; SheetId: "1pnzoap-gAlkPfTsyV_1xfRc890oSVGQ6O0Jz92RtkX0" Exception: You do not have permission to access the requested document.; SheetId: "1GgRyHYbJy1XqVJSdCpGkwqvRNdw4fhWrUApAp9kjcK0" Exception: You do not have permission to access the requested document.; SheetId: "1w1yobDJOvz56YrSKEwrvEF7MxhAqrTMOI9hkyMirG-I" Exception: You do not have permission to access the requested document.; SheetId: "1EqxyUF6OBDNIx8tqqC-5Qw9EhuGDLI3wrwI584-fpz0" Exception: You do not have permission to access the requested document.; SheetId: "1bPY6kyCFNJ0WvsmP1oaKZPxEi7vQJLeMyK0WvLqjuhQ" Exception: You do not have permission to access the requested document.; SheetId: "1veW9elDz7_mG0yKXVquE-2nNTLRzF1R8sgPUOLKKhvQ" Exception: You do not have permission to access the requested document.; SheetId: "1iwzcY2WEZkojN5fPxYGwTqfz-LNI16Bi6A_5o8-Q9ck" Exception: You do not have permission to access the requested document.; SheetId: "1T1XoFlrZJk37rd4WyJe3UKu2cl_sMppIONP2Xfo-Plg" Exception: You do not have permission to access the requested document.; SheetId: "1AJkaXN5x_WMw9ot43feNFbw7iOk5W8F1XrdObNrFdoo" Exception: You do not have permission to access the requested document.; SheetId: "1zuNmvgggd8_VF_tcLpmyTsDLZ3MgrqK5IC9ggOr-2o4" Exception: You do not have permission to access the requested document.; SheetId: "1TflvMbVlGCTqhLDIDDLRtI9O4mhGcKnkwBztbfV0Vdw" Exception: You do not have permission to access the requested document.; SheetId: "1C_lVBqrfacsLvgsinktCFoxhribHrU-duHI3S2JQyjQ" Exception: You do not have permission to access the requested document.; SheetId: "1W-Ux3TCVsl8Hvx819dk9o76pFfxxHGKaL3lUlgGsPVI" Exception: You do not have permission to access the requested document.; SheetId: "1swXeMQ5eC3ckqC9WHsM0LuRhsZ3REdxKWeROgnikMyk" Exception: You do not have permission to access the requested document.; SheetId: "12DNcXrm6FEFXjhF9EKRC5e4hRCXVJVS2jfaXMP2bPlE" Exception: You do not have permission to access the requested document.; SheetId: "1Kx33Y_9cH3sT5JvJaM4YhLdXTHmIYhrKMJRDh2E-QAc" Exception: You do not have permission to access the requested document.; SheetId: "14Ge9CWOAimRHNqAr78FF9nNGm3ZeADkAbRDD8vu88Bc" Exception: You do not have permission to access the requested document.; SheetId: "1qDc89v01TKPluEH0Ofv_MLVoLm9DRK_Uc2-N0KHivWQ" Exception: You do not have permission to access the requested document.; SheetId: "1BYBDWSYKGUtPPotW5KoiISidXW1ZO64HMCXE11IVyqY" Exception: You do not have permission to access the requested document.; SheetId: "133n2yxo3cBwev3Zo6o73X8zpARRAn7k-1A5m7WLcbSo" Exception: You do not have permission to access the requested document.; SheetId: "1fsGxZiiihyPbtTFDcLK-3dw5pYcyP65s9BeIMYNtke8" Exception: You do not have permission to access the requested document.; SheetId: "1407tFS54JDJDRBeRN5bvBKV9JUDMgcqXvKeu7_8wtMo" Exception: You do not have permission to access the requested document.; SheetId: "1yrm8IA2H46RiZtp6HyyHhpUPQ17Z54AXFRF6e_91KZI" Exception: You do not have permission to access the requested document.; SheetId: "1Jc1MNemWqMgOhlEEZ14RvCB850NyZvs6NWdKfILkPLs" Exception: You do not have permission to access the requested document.; SheetId: "1KPhc4dXQcKyN3IKMAlOttCjBL2FDpl2GLmSK361KmRQ" Exception: You do not have permission to access the requested document.; SheetId: "1HbMgpFbdI5uMBON6-leByy4xS0usGViAo1WoLhV5Dt4" Exception: You do not have permission to access the requested document.; SheetId: "1CNqm15dCPf774GEwNbn4m2Vhp6ljvUCFjUyGCqnmRZ8" Exception: You do not have permission to access the requested document.; SheetId: "1w88yBcA-ifzxKp573zkEKk2MHfISDRv6Mp47H3CUSuo" Exception: You do not have permission to access the requested document.; SheetId: "1bx8oIJB3XszKUZJ8xHCEnqPkaAxi_W7XXilFBW-k04s" Exception: You do not have permission to access the requested document.; SheetId: "1FDxwTBWkT19SZNsiiDhgncoWzxpDlr17ip0cGs4bSCo" Exception: You do not have permission to access the requested document.; SheetId: "1pHun7fmGxd1O2R8etVfNACS0bNHfyPzThnub92_HGOg" Exception: You do not have permission to access the requested document.; SheetId: "1GDj96XNeOyQ1PrqoMkIxyKMouQV9mZEnGRZVryJD48c" Exception: You do not have permission to access the requested document.; SheetId: "1t80MWOfCQauU8ZXBskGWPAVTtA_TwPRH6D0T-eS15Uo" Exception: You do not have permission to access the requested document.; SheetId: "16XQhOsmwvKaQZCU3GZzz-4MeM1WL9sGbO6rgcSTGO54" Exception: You do not have permission to access the requested document.; SheetId: "1AinGYUJ2UOuFQ1Qlm2AbzF3rhoVsMBILjhMhr-h2UuI" Exception: You do not have permission to access the requested document.; SheetId: "1zoBLRgqUx9rOmDcGBlhaJ4JsQanzCCQCT77sKQu0sCg" Exception: You do not have permission to access the requested document.; SheetId: "1AJ1XfwMKb6S7o68ow7nW_kKu91FAn5fXJJabBDyjSZk" Exception: You do not have permission to access the requested document.; SheetId: "1sJdiQJuTABatoH7BKtjdHaOG3LfvzhaySLTOGOw7JDQ" Exception: You do not have permission to access the requested document.; SheetId: "1DfTP099pCYCF3U-e0kCF7AWZmB99b6K0iEmek0Egpi8" Exception: You do not have permission to access the requested document.; SheetId: "1ealEjc2s88zgV9V-rH0mDa_92G9rjenT9XpX2nHuQ-g" Exception: You do not have permission to access the requested document.; SheetId: "1_r8bt4qDLQt6_kZ5assx2yqBwnMWgmqZsId9cM0FD2w" Exception: You do not have permission to access the requested document.; SheetId: "1PWZ_G6xnVOrLmt0ACmCp4dJtEGbOXJU7QTK9qtvL_qI" Exception: You do not have permission to access the requested document.; SheetId: "1Lzb9mupM8gWsOCSF1VAIOzASHmrBnQYHqh3ThPQCvAA" Exception: You do not have permission to access the requested document.; SheetId: "1jj6TbxtTyxk_bO_fa2iQn2IVJUCFTe6bpQEQQILkp9g" Exception: You do not have permission to access the requested document.; SheetId: "1-mTuFSOuylcYpuGp5x3iNB5Hg9J-niS-T--7hEujMR0" Exception: You do not have permission to access the requested document.; SheetId: "1rj758oTEW9EfyfpmeaKBdadxYO5zoP6IkZM9sPvOcNo" Exception: You do not have permission to access the requested document.; SheetId: "18hNODCadvTfo4DEqIQDGzqMDZtsSUB5XwNVAPxz8stY" Exception: You do not have permission to access the requested document.; SheetId: "1u_2bnVazUXoH5EUygA6o6XkAQWLrWFYvaun9Qj-4bl8" Exception: You do not have permission to access the requested document.; SheetId: "1CGzFA8PbYbxBK7eXj-bdn7IfhSijJFrmkqjH6bmQCvg" Exception: You do not have permission to access the requested document.; SheetId: "1VbKCxF_qiu4RgD-IIpW1vJO3uP1OkTsHSZH_4F1nAx4" Exception: You do not have permission to access the requested document.; SheetId: "1Csyx_z7eZB-nrYAD0cRE_C7tYFO-ZcZ4X8z5VbHSZng" Exception: You do not have permission to access the requested document.; SheetId: "1DQmgSarkdhmQ36rrU7O-UlpSDk6jBAA9Ujt71fU-vzk" Exception: You do not have permission to access the requested document.; SheetId: "1RUcxiwCApNUFHEUTSU9W_cN-7GaMIzmkUUvnL9zsYuY" Exception: You do not have permission to access the requested document.; SheetId: "13W1z0Zi28XEJLXnS9bbvmHuHX9JcotZDG6PNAr8deb0" Exception: You do not have permission to access the requested document.; SheetId: "1wPTKIUfRXrswONC-TRCc27vUre2Gcm9zH3VhWgj97k0" Exception: You do not have permission to access the requested document.; SheetId: "1Y6Ak0WKpF2tqYoWTj27MefJtfQ992XsjSK234OeFaXc" Exception: You do not have permission to access the requested document.; SheetId: "10fyLBMFF-Ll-39GmgBleodwY9UP1Z720Rc7S83ZNa24" Exception: You do not have permission to access the requested document.; SheetId: "1G_0DcG8h45qOqhHNR32u5MfoYysjDc_pEmrRYwChiJ4" Exception: You do not have permission to access the requested document.; SheetId: "1UDsOqVrSUUZnbgIqM-TuNovcJXEQR6y4iz2sNtd6FFU" Exception: You do not have permission to access the requested document.; SheetId: "19Nz4ORR7S2zC_ZpwICSgfXhsN865jy1XiKN7vf2xRgc" Exception: You do not have permission to access the requested document.; SheetId: "1jJPkQt55DZ_x9OeazDjxRB2KrHGlRFD-H0aS57MjDgk" Exception: You do not have permission to access the requested document.; SheetId: "115yXj5JZkJRrmygPapu3rwvxvQVwDcQxYMpCgTyOUK8" Exception: You do not have permission to access the requested document.; SheetId: "1f-bBX1tabRKPUd3UixDYD_LBeTCfm4fKMCZgZoegIXs" Exception: You do not have permission to access the requested document.; SheetId: "1UQtoczHqWI2So18LYAXIlFwxg0dj_A4fekwl2UVXFiY" Exception: You do not have permission to access the requested document.; SheetId: "1aef7YUsReurtox1oodafQGw7Z74ZnTpflbN0raSOx5s" Exception: You do not have permission to access the requested document.; SheetId: "1qmpGg9TEDDGoqsF1BKTsBdGu9Vmrpr3i4f7Agl8SKOQ" Exception: You do not have permission to access the requested document.; SheetId: "1z2sYCQ-onJ1yJPrsVuq8i1OnKl0mo-1BmCvd6_mLzQw" Exception: You do not have permission to access the requested document.; SheetId: "1H8Rm_FggiunhnCb17GvMufsG8rKujAQ0-PtiCEXHsFs" Exception: You do not have permission to access the requested document.; SheetId: "1pHFf1OxoEG42boI8kVnoDt2dMCJhsNXzOZJMG99h704" Exception: You do not have permission to access the requested document.; </t>
  </si>
  <si>
    <t xml:space="preserve">SheetId: "1BhmfkcVpIB-oEZVo3sUJYSpw6zb5P_4hUFlGI5OW4uw" Exception: You do not have permission to access the requested document.; SheetId: "1No8nbaA9F2gZNkXDe0FV0W4FZPz3dLY1C3uogMSChiw" Exception: You do not have permission to access the requested document.; SheetId: "1cbxdfYr8gDU1Ta8KFUjXS8iCyWhqwQOlxyzZ37SH2-o" Exception: You do not have permission to access the requested document.; SheetId: "1U4RvrqX5XS4NPBHfaeLPJIEWtrxPzHiMnQZqHLx0lCI" Exception: You do not have permission to access the requested document.; SheetId: "1QxqnXcjM-tGqFeOix6QFyWZyElJxAq1C7lxFYiOsKeA" Exception: You do not have permission to access the requested document.; SheetId: "1HUaRIKVwI9J2wNIGHuQEKrb6Y-XRRpJqSIhEViI_spM" Exception: You do not have permission to access the requested document.; SheetId: "11HIsY_WxszLQHwUUuKqOPVAdnSt5iuJ6482jDGRW9rM" Exception: You do not have permission to access the requested document.; SheetId: "1482GiNRdiDsSnn6pdazXY-ADzqCtNn0TLrTQkwA_qJI" Exception: You do not have permission to access the requested document.; SheetId: "1sGKMuId-vo0qBM46ic2BiEK9hOJ8fcqGH7PnGoSZcyM" Exception: You do not have permission to access the requested document.; SheetId: "1uOO0NBJJE1Gw_uwGMo4UQ5NuNnVW-1QaOQvm3I8U-Uk" Exception: You do not have permission to access the requested document.; SheetId: "1Aqcy7QKEDPWms6A9BcXULgfk17Zw7pFkVz6CmZ-dbr8" Exception: You do not have permission to access the requested document.; SheetId: "1BK3u_U6fT7UMWi_fNKoC5yMRG1AOY2D3EiBa74PkYZ0" Exception: You do not have permission to access the requested document.; SheetId: "1pnzoap-gAlkPfTsyV_1xfRc890oSVGQ6O0Jz92RtkX0" Exception: You do not have permission to access the requested document.; SheetId: "1GgRyHYbJy1XqVJSdCpGkwqvRNdw4fhWrUApAp9kjcK0" Exception: You do not have permission to access the requested document.; SheetId: "1w1yobDJOvz56YrSKEwrvEF7MxhAqrTMOI9hkyMirG-I" Exception: You do not have permission to access the requested document.; SheetId: "1EqxyUF6OBDNIx8tqqC-5Qw9EhuGDLI3wrwI584-fpz0" Exception: You do not have permission to access the requested document.; SheetId: "1bPY6kyCFNJ0WvsmP1oaKZPxEi7vQJLeMyK0WvLqjuhQ" Exception: You do not have permission to access the requested document.; SheetId: "1veW9elDz7_mG0yKXVquE-2nNTLRzF1R8sgPUOLKKhvQ" Exception: You do not have permission to access the requested document.; SheetId: "1iwzcY2WEZkojN5fPxYGwTqfz-LNI16Bi6A_5o8-Q9ck" Exception: You do not have permission to access the requested document.; SheetId: "1T1XoFlrZJk37rd4WyJe3UKu2cl_sMppIONP2Xfo-Plg" Exception: You do not have permission to access the requested document.; SheetId: "1AJkaXN5x_WMw9ot43feNFbw7iOk5W8F1XrdObNrFdoo" Exception: You do not have permission to access the requested document.; SheetId: "1zuNmvgggd8_VF_tcLpmyTsDLZ3MgrqK5IC9ggOr-2o4" Exception: You do not have permission to access the requested document.; SheetId: "1TflvMbVlGCTqhLDIDDLRtI9O4mhGcKnkwBztbfV0Vdw" Exception: You do not have permission to access the requested document.; SheetId: "1C_lVBqrfacsLvgsinktCFoxhribHrU-duHI3S2JQyjQ" Exception: You do not have permission to access the requested document.; SheetId: "1W-Ux3TCVsl8Hvx819dk9o76pFfxxHGKaL3lUlgGsPVI" Exception: You do not have permission to access the requested document.; SheetId: "1swXeMQ5eC3ckqC9WHsM0LuRhsZ3REdxKWeROgnikMyk" Exception: You do not have permission to access the requested document.; SheetId: "12DNcXrm6FEFXjhF9EKRC5e4hRCXVJVS2jfaXMP2bPlE" Exception: You do not have permission to access the requested document.; SheetId: "1Kx33Y_9cH3sT5JvJaM4YhLdXTHmIYhrKMJRDh2E-QAc" Exception: You do not have permission to access the requested document.; SheetId: "14Ge9CWOAimRHNqAr78FF9nNGm3ZeADkAbRDD8vu88Bc" Exception: You do not have permission to access the requested document.; SheetId: "1qDc89v01TKPluEH0Ofv_MLVoLm9DRK_Uc2-N0KHivWQ" Exception: You do not have permission to access the requested document.; SheetId: "1BYBDWSYKGUtPPotW5KoiISidXW1ZO64HMCXE11IVyqY" Exception: You do not have permission to access the requested document.; SheetId: "133n2yxo3cBwev3Zo6o73X8zpARRAn7k-1A5m7WLcbSo" Exception: You do not have permission to access the requested document.; SheetId: "1fsGxZiiihyPbtTFDcLK-3dw5pYcyP65s9BeIMYNtke8" Exception: You do not have permission to access the requested document.; SheetId: "1407tFS54JDJDRBeRN5bvBKV9JUDMgcqXvKeu7_8wtMo" Exception: You do not have permission to access the requested document.; SheetId: "1yrm8IA2H46RiZtp6HyyHhpUPQ17Z54AXFRF6e_91KZI" Exception: You do not have permission to access the requested document.; SheetId: "1Jc1MNemWqMgOhlEEZ14RvCB850NyZvs6NWdKfILkPLs" Exception: You do not have permission to access the requested document.; SheetId: "1KPhc4dXQcKyN3IKMAlOttCjBL2FDpl2GLmSK361KmRQ" Exception: You do not have permission to access the requested document.; SheetId: "1HbMgpFbdI5uMBON6-leByy4xS0usGViAo1WoLhV5Dt4" Exception: You do not have permission to access the requested document.; SheetId: "1CNqm15dCPf774GEwNbn4m2Vhp6ljvUCFjUyGCqnmRZ8" Exception: You do not have permission to access the requested document.; SheetId: "1w88yBcA-ifzxKp573zkEKk2MHfISDRv6Mp47H3CUSuo" Exception: You do not have permission to access the requested document.; SheetId: "1bx8oIJB3XszKUZJ8xHCEnqPkaAxi_W7XXilFBW-k04s" Exception: You do not have permission to access the requested document.; SheetId: "1FDxwTBWkT19SZNsiiDhgncoWzxpDlr17ip0cGs4bSCo" Exception: You do not have permission to access the requested document.; SheetId: "1pHun7fmGxd1O2R8etVfNACS0bNHfyPzThnub92_HGOg" Exception: You do not have permission to access the requested document.; SheetId: "1GDj96XNeOyQ1PrqoMkIxyKMouQV9mZEnGRZVryJD48c" Exception: You do not have permission to access the requested document.; SheetId: "1t80MWOfCQauU8ZXBskGWPAVTtA_TwPRH6D0T-eS15Uo" Exception: You do not have permission to access the requested document.; SheetId: "16XQhOsmwvKaQZCU3GZzz-4MeM1WL9sGbO6rgcSTGO54" Exception: You do not have permission to access the requested document.; SheetId: "1AinGYUJ2UOuFQ1Qlm2AbzF3rhoVsMBILjhMhr-h2UuI" Exception: You do not have permission to access the requested document.; SheetId: "1zoBLRgqUx9rOmDcGBlhaJ4JsQanzCCQCT77sKQu0sCg" Exception: You do not have permission to access the requested document.; SheetId: "1AJ1XfwMKb6S7o68ow7nW_kKu91FAn5fXJJabBDyjSZk" Exception: You do not have permission to access the requested document.; SheetId: "1sJdiQJuTABatoH7BKtjdHaOG3LfvzhaySLTOGOw7JDQ" Exception: You do not have permission to access the requested document.; SheetId: "1DfTP099pCYCF3U-e0kCF7AWZmB99b6K0iEmek0Egpi8" Exception: You do not have permission to access the requested document.; SheetId: "1ealEjc2s88zgV9V-rH0mDa_92G9rjenT9XpX2nHuQ-g" Exception: You do not have permission to access the requested document.; SheetId: "1_r8bt4qDLQt6_kZ5assx2yqBwnMWgmqZsId9cM0FD2w" Exception: You do not have permission to access the requested document.; SheetId: "1PWZ_G6xnVOrLmt0ACmCp4dJtEGbOXJU7QTK9qtvL_qI" Exception: You do not have permission to access the requested document.; SheetId: "1Lzb9mupM8gWsOCSF1VAIOzASHmrBnQYHqh3ThPQCvAA" Exception: You do not have permission to access the requested document.; SheetId: "1jj6TbxtTyxk_bO_fa2iQn2IVJUCFTe6bpQEQQILkp9g" Exception: You do not have permission to access the requested document.; SheetId: "1-mTuFSOuylcYpuGp5x3iNB5Hg9J-niS-T--7hEujMR0" Exception: You do not have permission to access the requested document.; SheetId: "1rj758oTEW9EfyfpmeaKBdadxYO5zoP6IkZM9sPvOcNo" Exception: You do not have permission to access the requested document.; SheetId: "18hNODCadvTfo4DEqIQDGzqMDZtsSUB5XwNVAPxz8stY" Exception: You do not have permission to access the requested document.; SheetId: "1u_2bnVazUXoH5EUygA6o6XkAQWLrWFYvaun9Qj-4bl8" Exception: You do not have permission to access the requested document.; SheetId: "1CGzFA8PbYbxBK7eXj-bdn7IfhSijJFrmkqjH6bmQCvg" Exception: You do not have permission to access the requested document.; SheetId: "1VbKCxF_qiu4RgD-IIpW1vJO3uP1OkTsHSZH_4F1nAx4" Exception: You do not have permission to access the requested document.; SheetId: "1Csyx_z7eZB-nrYAD0cRE_C7tYFO-ZcZ4X8z5VbHSZng" Exception: You do not have permission to access the requested document.; SheetId: "1DQmgSarkdhmQ36rrU7O-UlpSDk6jBAA9Ujt71fU-vzk" Exception: You do not have permission to access the requested document.; SheetId: "1RUcxiwCApNUFHEUTSU9W_cN-7GaMIzmkUUvnL9zsYuY" Exception: You do not have permission to access the requested document.; SheetId: "13W1z0Zi28XEJLXnS9bbvmHuHX9JcotZDG6PNAr8deb0" Exception: You do not have permission to access the requested document.; SheetId: "1wPTKIUfRXrswONC-TRCc27vUre2Gcm9zH3VhWgj97k0" Exception: You do not have permission to access the requested document.; SheetId: "1Y6Ak0WKpF2tqYoWTj27MefJtfQ992XsjSK234OeFaXc" Exception: You do not have permission to access the requested document.; SheetId: "10fyLBMFF-Ll-39GmgBleodwY9UP1Z720Rc7S83ZNa24" Exception: You do not have permission to access the requested document.; SheetId: "1G_0DcG8h45qOqhHNR32u5MfoYysjDc_pEmrRYwChiJ4" Exception: You do not have permission to access the requested document.; SheetId: "1UDsOqVrSUUZnbgIqM-TuNovcJXEQR6y4iz2sNtd6FFU" Exception: You do not have permission to access the requested document.; SheetId: "19Nz4ORR7S2zC_ZpwICSgfXhsN865jy1XiKN7vf2xRgc" Exception: You do not have permission to access the requested document.; SheetId: "1jJPkQt55DZ_x9OeazDjxRB2KrHGlRFD-H0aS57MjDgk" Exception: You do not have permission to access the requested document.; SheetId: "115yXj5JZkJRrmygPapu3rwvxvQVwDcQxYMpCgTyOUK8" Exception: You do not have permission to access the requested document.; SheetId: "1f-bBX1tabRKPUd3UixDYD_LBeTCfm4fKMCZgZoegIXs" Exception: You do not have permission to access the requested document.; SheetId: "1UQtoczHqWI2So18LYAXIlFwxg0dj_A4fekwl2UVXFiY" Exception: You do not have permission to access the requested document.; SheetId: "1aef7YUsReurtox1oodafQGw7Z74ZnTpflbN0raSOx5s" Exception: You do not have permission to access the requested document.; SheetId: "1qmpGg9TEDDGoqsF1BKTsBdGu9Vmrpr3i4f7Agl8SKOQ" Exception: You do not have permission to access the requested document.; SheetId: "1z2sYCQ-onJ1yJPrsVuq8i1OnKl0mo-1BmCvd6_mLzQw" Exception: You do not have permission to access the requested document.; SheetId: "1H8Rm_FggiunhnCb17GvMufsG8rKujAQ0-PtiCEXHsFs" Exception: You do not have permission to access the requested document.; SheetId: "1pHFf1OxoEG42boI8kVnoDt2dMCJhsNXzOZJMG99h704" Exception: You do not have permission to access the requested document.; </t>
  </si>
  <si>
    <t xml:space="preserve">SheetId: "1BhmfkcVpIB-oEZVo3sUJYSpw6zb5P_4hUFlGI5OW4uw" Exception: You do not have permission to access the requested document.; SheetId: "1No8nbaA9F2gZNkXDe0FV0W4FZPz3dLY1C3uogMSChiw" Exception: You do not have permission to access the requested document.; SheetId: "1cbxdfYr8gDU1Ta8KFUjXS8iCyWhqwQOlxyzZ37SH2-o" Exception: You do not have permission to access the requested document.; SheetId: "1U4RvrqX5XS4NPBHfaeLPJIEWtrxPzHiMnQZqHLx0lCI" Exception: You do not have permission to access the requested document.; SheetId: "1QxqnXcjM-tGqFeOix6QFyWZyElJxAq1C7lxFYiOsKeA" Exception: You do not have permission to access the requested document.; SheetId: "1HUaRIKVwI9J2wNIGHuQEKrb6Y-XRRpJqSIhEViI_spM" Exception: You do not have permission to access the requested document.; SheetId: "11HIsY_WxszLQHwUUuKqOPVAdnSt5iuJ6482jDGRW9rM" Exception: You do not have permission to access the requested document.; SheetId: "1sGKMuId-vo0qBM46ic2BiEK9hOJ8fcqGH7PnGoSZcyM" Exception: You do not have permission to access the requested document.; SheetId: "1uOO0NBJJE1Gw_uwGMo4UQ5NuNnVW-1QaOQvm3I8U-Uk" Exception: You do not have permission to access the requested document.; SheetId: "1Aqcy7QKEDPWms6A9BcXULgfk17Zw7pFkVz6CmZ-dbr8" Exception: You do not have permission to access the requested document.; SheetId: "1BK3u_U6fT7UMWi_fNKoC5yMRG1AOY2D3EiBa74PkYZ0" Exception: You do not have permission to access the requested document.; SheetId: "1pnzoap-gAlkPfTsyV_1xfRc890oSVGQ6O0Jz92RtkX0" Exception: You do not have permission to access the requested document.; SheetId: "1GgRyHYbJy1XqVJSdCpGkwqvRNdw4fhWrUApAp9kjcK0" Exception: You do not have permission to access the requested document.; SheetId: "1w1yobDJOvz56YrSKEwrvEF7MxhAqrTMOI9hkyMirG-I" Exception: You do not have permission to access the requested document.; SheetId: "1EqxyUF6OBDNIx8tqqC-5Qw9EhuGDLI3wrwI584-fpz0" Exception: You do not have permission to access the requested document.; SheetId: "1bPY6kyCFNJ0WvsmP1oaKZPxEi7vQJLeMyK0WvLqjuhQ" Exception: You do not have permission to access the requested document.; SheetId: "1veW9elDz7_mG0yKXVquE-2nNTLRzF1R8sgPUOLKKhvQ" Exception: You do not have permission to access the requested document.; SheetId: "1iwzcY2WEZkojN5fPxYGwTqfz-LNI16Bi6A_5o8-Q9ck" Exception: You do not have permission to access the requested document.; SheetId: "1T1XoFlrZJk37rd4WyJe3UKu2cl_sMppIONP2Xfo-Plg" Exception: You do not have permission to access the requested document.; SheetId: "1AJkaXN5x_WMw9ot43feNFbw7iOk5W8F1XrdObNrFdoo" Exception: You do not have permission to access the requested document.; SheetId: "1zuNmvgggd8_VF_tcLpmyTsDLZ3MgrqK5IC9ggOr-2o4" Exception: You do not have permission to access the requested document.; SheetId: "1TflvMbVlGCTqhLDIDDLRtI9O4mhGcKnkwBztbfV0Vdw" Exception: You do not have permission to access the requested document.; SheetId: "1C_lVBqrfacsLvgsinktCFoxhribHrU-duHI3S2JQyjQ" Exception: You do not have permission to access the requested document.; SheetId: "1W-Ux3TCVsl8Hvx819dk9o76pFfxxHGKaL3lUlgGsPVI" Exception: You do not have permission to access the requested document.; SheetId: "1swXeMQ5eC3ckqC9WHsM0LuRhsZ3REdxKWeROgnikMyk" Exception: You do not have permission to access the requested document.; SheetId: "12DNcXrm6FEFXjhF9EKRC5e4hRCXVJVS2jfaXMP2bPlE" Exception: You do not have permission to access the requested document.; SheetId: "1Kx33Y_9cH3sT5JvJaM4YhLdXTHmIYhrKMJRDh2E-QAc" Exception: You do not have permission to access the requested document.; SheetId: "14Ge9CWOAimRHNqAr78FF9nNGm3ZeADkAbRDD8vu88Bc" Exception: You do not have permission to access the requested document.; SheetId: "1qDc89v01TKPluEH0Ofv_MLVoLm9DRK_Uc2-N0KHivWQ" Exception: You do not have permission to access the requested document.; SheetId: "1BYBDWSYKGUtPPotW5KoiISidXW1ZO64HMCXE11IVyqY" Exception: You do not have permission to access the requested document.; SheetId: "133n2yxo3cBwev3Zo6o73X8zpARRAn7k-1A5m7WLcbSo" Exception: You do not have permission to access the requested document.; SheetId: "1fsGxZiiihyPbtTFDcLK-3dw5pYcyP65s9BeIMYNtke8" Exception: You do not have permission to access the requested document.; SheetId: "1407tFS54JDJDRBeRN5bvBKV9JUDMgcqXvKeu7_8wtMo" Exception: You do not have permission to access the requested document.; SheetId: "1yrm8IA2H46RiZtp6HyyHhpUPQ17Z54AXFRF6e_91KZI" Exception: You do not have permission to access the requested document.; SheetId: "1Jc1MNemWqMgOhlEEZ14RvCB850NyZvs6NWdKfILkPLs" Exception: You do not have permission to access the requested document.; SheetId: "1KPhc4dXQcKyN3IKMAlOttCjBL2FDpl2GLmSK361KmRQ" Exception: You do not have permission to access the requested document.; SheetId: "1HbMgpFbdI5uMBON6-leByy4xS0usGViAo1WoLhV5Dt4" Exception: You do not have permission to access the requested document.; SheetId: "1CNqm15dCPf774GEwNbn4m2Vhp6ljvUCFjUyGCqnmRZ8" Exception: You do not have permission to access the requested document.; SheetId: "1w88yBcA-ifzxKp573zkEKk2MHfISDRv6Mp47H3CUSuo" Exception: You do not have permission to access the requested document.; SheetId: "1bx8oIJB3XszKUZJ8xHCEnqPkaAxi_W7XXilFBW-k04s" Exception: You do not have permission to access the requested document.; SheetId: "1FDxwTBWkT19SZNsiiDhgncoWzxpDlr17ip0cGs4bSCo" Exception: You do not have permission to access the requested document.; SheetId: "1pHun7fmGxd1O2R8etVfNACS0bNHfyPzThnub92_HGOg" Exception: You do not have permission to access the requested document.; SheetId: "1GDj96XNeOyQ1PrqoMkIxyKMouQV9mZEnGRZVryJD48c" Exception: You do not have permission to access the requested document.; SheetId: "1t80MWOfCQauU8ZXBskGWPAVTtA_TwPRH6D0T-eS15Uo" Exception: You do not have permission to access the requested document.; SheetId: "16XQhOsmwvKaQZCU3GZzz-4MeM1WL9sGbO6rgcSTGO54" Exception: You do not have permission to access the requested document.; SheetId: "1AinGYUJ2UOuFQ1Qlm2AbzF3rhoVsMBILjhMhr-h2UuI" Exception: You do not have permission to access the requested document.; SheetId: "1zoBLRgqUx9rOmDcGBlhaJ4JsQanzCCQCT77sKQu0sCg" Exception: You do not have permission to access the requested document.; SheetId: "1AJ1XfwMKb6S7o68ow7nW_kKu91FAn5fXJJabBDyjSZk" Exception: You do not have permission to access the requested document.; SheetId: "1sJdiQJuTABatoH7BKtjdHaOG3LfvzhaySLTOGOw7JDQ" Exception: You do not have permission to access the requested document.; SheetId: "1DfTP099pCYCF3U-e0kCF7AWZmB99b6K0iEmek0Egpi8" Exception: You do not have permission to access the requested document.; SheetId: "1ealEjc2s88zgV9V-rH0mDa_92G9rjenT9XpX2nHuQ-g" Exception: You do not have permission to access the requested document.; SheetId: "1_r8bt4qDLQt6_kZ5assx2yqBwnMWgmqZsId9cM0FD2w" Exception: You do not have permission to access the requested document.; SheetId: "1PWZ_G6xnVOrLmt0ACmCp4dJtEGbOXJU7QTK9qtvL_qI" Exception: You do not have permission to access the requested document.; SheetId: "1Lzb9mupM8gWsOCSF1VAIOzASHmrBnQYHqh3ThPQCvAA" Exception: You do not have permission to access the requested document.; SheetId: "1jj6TbxtTyxk_bO_fa2iQn2IVJUCFTe6bpQEQQILkp9g" Exception: You do not have permission to access the requested document.; SheetId: "1-mTuFSOuylcYpuGp5x3iNB5Hg9J-niS-T--7hEujMR0" Exception: You do not have permission to access the requested document.; SheetId: "1rj758oTEW9EfyfpmeaKBdadxYO5zoP6IkZM9sPvOcNo" Exception: You do not have permission to access the requested document.; SheetId: "18hNODCadvTfo4DEqIQDGzqMDZtsSUB5XwNVAPxz8stY" Exception: You do not have permission to access the requested document.; SheetId: "1u_2bnVazUXoH5EUygA6o6XkAQWLrWFYvaun9Qj-4bl8" Exception: You do not have permission to access the requested document.; SheetId: "1CGzFA8PbYbxBK7eXj-bdn7IfhSijJFrmkqjH6bmQCvg" Exception: You do not have permission to access the requested document.; SheetId: "1VbKCxF_qiu4RgD-IIpW1vJO3uP1OkTsHSZH_4F1nAx4" Exception: You do not have permission to access the requested document.; SheetId: "1Csyx_z7eZB-nrYAD0cRE_C7tYFO-ZcZ4X8z5VbHSZng" Exception: You do not have permission to access the requested document.; SheetId: "1DQmgSarkdhmQ36rrU7O-UlpSDk6jBAA9Ujt71fU-vzk" Exception: You do not have permission to access the requested document.; SheetId: "1RUcxiwCApNUFHEUTSU9W_cN-7GaMIzmkUUvnL9zsYuY" Exception: You do not have permission to access the requested document.; SheetId: "13W1z0Zi28XEJLXnS9bbvmHuHX9JcotZDG6PNAr8deb0" Exception: You do not have permission to access the requested document.; SheetId: "1wPTKIUfRXrswONC-TRCc27vUre2Gcm9zH3VhWgj97k0" Exception: You do not have permission to access the requested document.; SheetId: "1Y6Ak0WKpF2tqYoWTj27MefJtfQ992XsjSK234OeFaXc" Exception: You do not have permission to access the requested document.; SheetId: "10fyLBMFF-Ll-39GmgBleodwY9UP1Z720Rc7S83ZNa24" Exception: You do not have permission to access the requested document.; SheetId: "1G_0DcG8h45qOqhHNR32u5MfoYysjDc_pEmrRYwChiJ4" Exception: You do not have permission to access the requested document.; SheetId: "1UDsOqVrSUUZnbgIqM-TuNovcJXEQR6y4iz2sNtd6FFU" Exception: You do not have permission to access the requested document.; SheetId: "19Nz4ORR7S2zC_ZpwICSgfXhsN865jy1XiKN7vf2xRgc" Exception: You do not have permission to access the requested document.; SheetId: "1jJPkQt55DZ_x9OeazDjxRB2KrHGlRFD-H0aS57MjDgk" Exception: You do not have permission to access the requested document.; SheetId: "115yXj5JZkJRrmygPapu3rwvxvQVwDcQxYMpCgTyOUK8" Exception: You do not have permission to access the requested document.; SheetId: "1f-bBX1tabRKPUd3UixDYD_LBeTCfm4fKMCZgZoegIXs" Exception: You do not have permission to access the requested document.; SheetId: "1UQtoczHqWI2So18LYAXIlFwxg0dj_A4fekwl2UVXFiY" Exception: You do not have permission to access the requested document.; SheetId: "1aef7YUsReurtox1oodafQGw7Z74ZnTpflbN0raSOx5s" Exception: You do not have permission to access the requested document.; SheetId: "1qmpGg9TEDDGoqsF1BKTsBdGu9Vmrpr3i4f7Agl8SKOQ" Exception: You do not have permission to access the requested document.; SheetId: "1z2sYCQ-onJ1yJPrsVuq8i1OnKl0mo-1BmCvd6_mLzQw" Exception: You do not have permission to access the requested document.; SheetId: "1H8Rm_FggiunhnCb17GvMufsG8rKujAQ0-PtiCEXHsFs" Exception: You do not have permission to access the requested document.; SheetId: "1pHFf1OxoEG42boI8kVnoDt2dMCJhsNXzOZJMG99h704" Exception: You do not have permission to access the requested document.; SheetId: "1482GiNRdiDsSnn6pdazXY-ADzqCtNn0TLrTQkwA_qJI" Exception: You do not have permission to access the requested document.; </t>
  </si>
  <si>
    <t xml:space="preserve">SheetId: "1BhmfkcVpIB-oEZVo3sUJYSpw6zb5P_4hUFlGI5OW4uw" Exception: You do not have permission to access the requested document.; SheetId: "1No8nbaA9F2gZNkXDe0FV0W4FZPz3dLY1C3uogMSChiw" Exception: You do not have permission to access the requested document.; SheetId: "1cbxdfYr8gDU1Ta8KFUjXS8iCyWhqwQOlxyzZ37SH2-o" Exception: You do not have permission to access the requested document.; SheetId: "1U4RvrqX5XS4NPBHfaeLPJIEWtrxPzHiMnQZqHLx0lCI" Exception: You do not have permission to access the requested document.; SheetId: "1QxqnXcjM-tGqFeOix6QFyWZyElJxAq1C7lxFYiOsKeA" Exception: You do not have permission to access the requested document.; SheetId: "1SUtdv8HJ_uTXG3C6Tpxv8CJR-pt9mJoiSH0qH8Hwn24" Exception: You do not have permission to access the requested document.; SheetId: "1AqUqOCPVDFcUN9E2rw1eiBlrJdT55aKf--Nrcf0GF_8" Exception: You do not have permission to access the requested document.; SheetId: "1HUaRIKVwI9J2wNIGHuQEKrb6Y-XRRpJqSIhEViI_spM" Exception: You do not have permission to access the requested document.; SheetId: "11HIsY_WxszLQHwUUuKqOPVAdnSt5iuJ6482jDGRW9rM" Exception: You do not have permission to access the requested document.; SheetId: "1482GiNRdiDsSnn6pdazXY-ADzqCtNn0TLrTQkwA_qJI" Exception: You do not have permission to access the requested document.; SheetId: "1sGKMuId-vo0qBM46ic2BiEK9hOJ8fcqGH7PnGoSZcyM" Exception: You do not have permission to access the requested document.; SheetId: "1uOO0NBJJE1Gw_uwGMo4UQ5NuNnVW-1QaOQvm3I8U-Uk" Exception: You do not have permission to access the requested document.; SheetId: "1Aqcy7QKEDPWms6A9BcXULgfk17Zw7pFkVz6CmZ-dbr8" Exception: You do not have permission to access the requested document.; SheetId: "1BK3u_U6fT7UMWi_fNKoC5yMRG1AOY2D3EiBa74PkYZ0" Exception: You do not have permission to access the requested document.; SheetId: "1pnzoap-gAlkPfTsyV_1xfRc890oSVGQ6O0Jz92RtkX0" Exception: You do not have permission to access the requested document.; SheetId: "1GgRyHYbJy1XqVJSdCpGkwqvRNdw4fhWrUApAp9kjcK0" Exception: You do not have permission to access the requested document.; SheetId: "1w1yobDJOvz56YrSKEwrvEF7MxhAqrTMOI9hkyMirG-I" Exception: You do not have permission to access the requested document.; SheetId: "1EqxyUF6OBDNIx8tqqC-5Qw9EhuGDLI3wrwI584-fpz0" Exception: You do not have permission to access the requested document.; SheetId: "1bPY6kyCFNJ0WvsmP1oaKZPxEi7vQJLeMyK0WvLqjuhQ" Exception: You do not have permission to access the requested document.; SheetId: "1veW9elDz7_mG0yKXVquE-2nNTLRzF1R8sgPUOLKKhvQ" Exception: You do not have permission to access the requested document.; SheetId: "1iwzcY2WEZkojN5fPxYGwTqfz-LNI16Bi6A_5o8-Q9ck" Exception: You do not have permission to access the requested document.; SheetId: "1T1XoFlrZJk37rd4WyJe3UKu2cl_sMppIONP2Xfo-Plg" Exception: You do not have permission to access the requested document.; SheetId: "1AJkaXN5x_WMw9ot43feNFbw7iOk5W8F1XrdObNrFdoo" Exception: You do not have permission to access the requested document.; SheetId: "1zuNmvgggd8_VF_tcLpmyTsDLZ3MgrqK5IC9ggOr-2o4" Exception: You do not have permission to access the requested document.; SheetId: "1TflvMbVlGCTqhLDIDDLRtI9O4mhGcKnkwBztbfV0Vdw" Exception: You do not have permission to access the requested document.; SheetId: "1C_lVBqrfacsLvgsinktCFoxhribHrU-duHI3S2JQyjQ" Exception: You do not have permission to access the requested document.; SheetId: "1W-Ux3TCVsl8Hvx819dk9o76pFfxxHGKaL3lUlgGsPVI" Exception: You do not have permission to access the requested document.; SheetId: "16Z7Bk6Wuc7hqJzcCN4bMWZUyLnu1IWfaau2J-zwIEnA" Exception: You do not have permission to access the requested document.; SheetId: "1swXeMQ5eC3ckqC9WHsM0LuRhsZ3REdxKWeROgnikMyk" Exception: You do not have permission to access the requested document.; SheetId: "12DNcXrm6FEFXjhF9EKRC5e4hRCXVJVS2jfaXMP2bPlE" Exception: You do not have permission to access the requested document.; SheetId: "1Kx33Y_9cH3sT5JvJaM4YhLdXTHmIYhrKMJRDh2E-QAc" Exception: You do not have permission to access the requested document.; SheetId: "14Ge9CWOAimRHNqAr78FF9nNGm3ZeADkAbRDD8vu88Bc" Exception: You do not have permission to access the requested document.; SheetId: "1qDc89v01TKPluEH0Ofv_MLVoLm9DRK_Uc2-N0KHivWQ" Exception: You do not have permission to access the requested document.; SheetId: "1BYBDWSYKGUtPPotW5KoiISidXW1ZO64HMCXE11IVyqY" Exception: You do not have permission to access the requested document.; SheetId: "133n2yxo3cBwev3Zo6o73X8zpARRAn7k-1A5m7WLcbSo" Exception: You do not have permission to access the requested document.; SheetId: "1fsGxZiiihyPbtTFDcLK-3dw5pYcyP65s9BeIMYNtke8" Exception: You do not have permission to access the requested document.; SheetId: "1407tFS54JDJDRBeRN5bvBKV9JUDMgcqXvKeu7_8wtMo" Exception: You do not have permission to access the requested document.; SheetId: "1yrm8IA2H46RiZtp6HyyHhpUPQ17Z54AXFRF6e_91KZI" Exception: You do not have permission to access the requested document.; SheetId: "1Jc1MNemWqMgOhlEEZ14RvCB850NyZvs6NWdKfILkPLs" Exception: You do not have permission to access the requested document.; SheetId: "1KPhc4dXQcKyN3IKMAlOttCjBL2FDpl2GLmSK361KmRQ" Exception: You do not have permission to access the requested document.; SheetId: "1HbMgpFbdI5uMBON6-leByy4xS0usGViAo1WoLhV5Dt4" Exception: You do not have permission to access the requested document.; SheetId: "1CNqm15dCPf774GEwNbn4m2Vhp6ljvUCFjUyGCqnmRZ8" Exception: You do not have permission to access the requested document.; SheetId: "1w88yBcA-ifzxKp573zkEKk2MHfISDRv6Mp47H3CUSuo" Exception: You do not have permission to access the requested document.; SheetId: "1bx8oIJB3XszKUZJ8xHCEnqPkaAxi_W7XXilFBW-k04s" Exception: You do not have permission to access the requested document.; SheetId: "1FDxwTBWkT19SZNsiiDhgncoWzxpDlr17ip0cGs4bSCo" Exception: You do not have permission to access the requested document.; SheetId: "1pHun7fmGxd1O2R8etVfNACS0bNHfyPzThnub92_HGOg" Exception: You do not have permission to access the requested document.; SheetId: "1GDj96XNeOyQ1PrqoMkIxyKMouQV9mZEnGRZVryJD48c" Exception: You do not have permission to access the requested document.; SheetId: "1t80MWOfCQauU8ZXBskGWPAVTtA_TwPRH6D0T-eS15Uo" Exception: You do not have permission to access the requested document.; SheetId: "16XQhOsmwvKaQZCU3GZzz-4MeM1WL9sGbO6rgcSTGO54" Exception: You do not have permission to access the requested document.; SheetId: "1AinGYUJ2UOuFQ1Qlm2AbzF3rhoVsMBILjhMhr-h2UuI" Exception: You do not have permission to access the requested document.; SheetId: "1zoBLRgqUx9rOmDcGBlhaJ4JsQanzCCQCT77sKQu0sCg" Exception: You do not have permission to access the requested document.; SheetId: "1AJ1XfwMKb6S7o68ow7nW_kKu91FAn5fXJJabBDyjSZk" Exception: You do not have permission to access the requested document.; SheetId: "1sJdiQJuTABatoH7BKtjdHaOG3LfvzhaySLTOGOw7JDQ" Exception: You do not have permission to access the requested document.; SheetId: "1DfTP099pCYCF3U-e0kCF7AWZmB99b6K0iEmek0Egpi8" Exception: You do not have permission to access the requested document.; SheetId: "1ealEjc2s88zgV9V-rH0mDa_92G9rjenT9XpX2nHuQ-g" Exception: You do not have permission to access the requested document.; SheetId: "1_r8bt4qDLQt6_kZ5assx2yqBwnMWgmqZsId9cM0FD2w" Exception: You do not have permission to access the requested document.; SheetId: "1PWZ_G6xnVOrLmt0ACmCp4dJtEGbOXJU7QTK9qtvL_qI" Exception: You do not have permission to access the requested document.; SheetId: "1Lzb9mupM8gWsOCSF1VAIOzASHmrBnQYHqh3ThPQCvAA" Exception: You do not have permission to access the requested document.; SheetId: "1jj6TbxtTyxk_bO_fa2iQn2IVJUCFTe6bpQEQQILkp9g" Exception: You do not have permission to access the requested document.; SheetId: "1-mTuFSOuylcYpuGp5x3iNB5Hg9J-niS-T--7hEujMR0" Exception: You do not have permission to access the requested document.; SheetId: "1rj758oTEW9EfyfpmeaKBdadxYO5zoP6IkZM9sPvOcNo" Exception: You do not have permission to access the requested document.; SheetId: "18hNODCadvTfo4DEqIQDGzqMDZtsSUB5XwNVAPxz8stY" Exception: You do not have permission to access the requested document.; SheetId: "1u_2bnVazUXoH5EUygA6o6XkAQWLrWFYvaun9Qj-4bl8" Exception: You do not have permission to access the requested document.; SheetId: "1CGzFA8PbYbxBK7eXj-bdn7IfhSijJFrmkqjH6bmQCvg" Exception: You do not have permission to access the requested document.; SheetId: "1VbKCxF_qiu4RgD-IIpW1vJO3uP1OkTsHSZH_4F1nAx4" Exception: You do not have permission to access the requested document.; SheetId: "1Csyx_z7eZB-nrYAD0cRE_C7tYFO-ZcZ4X8z5VbHSZng" Exception: You do not have permission to access the requested document.; SheetId: "1DQmgSarkdhmQ36rrU7O-UlpSDk6jBAA9Ujt71fU-vzk" Exception: You do not have permission to access the requested document.; SheetId: "1RUcxiwCApNUFHEUTSU9W_cN-7GaMIzmkUUvnL9zsYuY" Exception: You do not have permission to access the requested document.; SheetId: "13W1z0Zi28XEJLXnS9bbvmHuHX9JcotZDG6PNAr8deb0" Exception: You do not have permission to access the requested document.; SheetId: "1wPTKIUfRXrswONC-TRCc27vUre2Gcm9zH3VhWgj97k0" Exception: You do not have permission to access the requested document.; SheetId: "1Y6Ak0WKpF2tqYoWTj27MefJtfQ992XsjSK234OeFaXc" Exception: You do not have permission to access the requested document.; SheetId: "10fyLBMFF-Ll-39GmgBleodwY9UP1Z720Rc7S83ZNa24" Exception: You do not have permission to access the requested document.; SheetId: "1G_0DcG8h45qOqhHNR32u5MfoYysjDc_pEmrRYwChiJ4" Exception: You do not have permission to access the requested document.; SheetId: "1UDsOqVrSUUZnbgIqM-TuNovcJXEQR6y4iz2sNtd6FFU" Exception: You do not have permission to access the requested document.; SheetId: "19Nz4ORR7S2zC_ZpwICSgfXhsN865jy1XiKN7vf2xRgc" Exception: You do not have permission to access the requested document.; SheetId: "1jJPkQt55DZ_x9OeazDjxRB2KrHGlRFD-H0aS57MjDgk" Exception: You do not have permission to access the requested document.; SheetId: "115yXj5JZkJRrmygPapu3rwvxvQVwDcQxYMpCgTyOUK8" Exception: You do not have permission to access the requested document.; SheetId: "1f-bBX1tabRKPUd3UixDYD_LBeTCfm4fKMCZgZoegIXs" Exception: You do not have permission to access the requested document.; SheetId: "1UQtoczHqWI2So18LYAXIlFwxg0dj_A4fekwl2UVXFiY" Exception: You do not have permission to access the requested document.; SheetId: "1aef7YUsReurtox1oodafQGw7Z74ZnTpflbN0raSOx5s" Exception: You do not have permission to access the requested document.; SheetId: "1qmpGg9TEDDGoqsF1BKTsBdGu9Vmrpr3i4f7Agl8SKOQ" Exception: You do not have permission to access the requested document.; SheetId: "1z2sYCQ-onJ1yJPrsVuq8i1OnKl0mo-1BmCvd6_mLzQw" Exception: You do not have permission to access the requested document.; SheetId: "1H8Rm_FggiunhnCb17GvMufsG8rKujAQ0-PtiCEXHsFs" Exception: You do not have permission to access the requested document.; SheetId: "1pHFf1OxoEG42boI8kVnoDt2dMCJhsNXzOZJMG99h704" Exception: You do not have permission to access the requested document.; </t>
  </si>
  <si>
    <t xml:space="preserve">SheetId: "1BhmfkcVpIB-oEZVo3sUJYSpw6zb5P_4hUFlGI5OW4uw" Exception: You do not have permission to access the requested document.; SheetId: "1No8nbaA9F2gZNkXDe0FV0W4FZPz3dLY1C3uogMSChiw" Exception: You do not have permission to access the requested document.; SheetId: "1cbxdfYr8gDU1Ta8KFUjXS8iCyWhqwQOlxyzZ37SH2-o" Exception: You do not have permission to access the requested document.; SheetId: "11DQYk2iU9j4IdG5cikEAdHy673bbmgpvjhK-yTydOsw" Exception: You do not have permission to access the requested document.; SheetId: "1U4RvrqX5XS4NPBHfaeLPJIEWtrxPzHiMnQZqHLx0lCI" Exception: You do not have permission to access the requested document.; SheetId: "1QxqnXcjM-tGqFeOix6QFyWZyElJxAq1C7lxFYiOsKeA" Exception: You do not have permission to access the requested document.; SheetId: "1SUtdv8HJ_uTXG3C6Tpxv8CJR-pt9mJoiSH0qH8Hwn24" Exception: You do not have permission to access the requested document.; SheetId: "1AqUqOCPVDFcUN9E2rw1eiBlrJdT55aKf--Nrcf0GF_8" Exception: You do not have permission to access the requested document.; SheetId: "1HUaRIKVwI9J2wNIGHuQEKrb6Y-XRRpJqSIhEViI_spM" Exception: You do not have permission to access the requested document.; SheetId: "11HIsY_WxszLQHwUUuKqOPVAdnSt5iuJ6482jDGRW9rM" Exception: You do not have permission to access the requested document.; SheetId: "1482GiNRdiDsSnn6pdazXY-ADzqCtNn0TLrTQkwA_qJI" Exception: You do not have permission to access the requested document.; SheetId: "1sGKMuId-vo0qBM46ic2BiEK9hOJ8fcqGH7PnGoSZcyM" Exception: You do not have permission to access the requested document.; SheetId: "1uOO0NBJJE1Gw_uwGMo4UQ5NuNnVW-1QaOQvm3I8U-Uk" Exception: You do not have permission to access the requested document.; SheetId: "1Aqcy7QKEDPWms6A9BcXULgfk17Zw7pFkVz6CmZ-dbr8" Exception: You do not have permission to access the requested document.; SheetId: "1BK3u_U6fT7UMWi_fNKoC5yMRG1AOY2D3EiBa74PkYZ0" Exception: You do not have permission to access the requested document.; SheetId: "1pnzoap-gAlkPfTsyV_1xfRc890oSVGQ6O0Jz92RtkX0" Exception: You do not have permission to access the requested document.; SheetId: "1GgRyHYbJy1XqVJSdCpGkwqvRNdw4fhWrUApAp9kjcK0" Exception: You do not have permission to access the requested document.; SheetId: "1w1yobDJOvz56YrSKEwrvEF7MxhAqrTMOI9hkyMirG-I" Exception: You do not have permission to access the requested document.; SheetId: "1EqxyUF6OBDNIx8tqqC-5Qw9EhuGDLI3wrwI584-fpz0" Exception: You do not have permission to access the requested document.; SheetId: "1bPY6kyCFNJ0WvsmP1oaKZPxEi7vQJLeMyK0WvLqjuhQ" Exception: You do not have permission to access the requested document.; SheetId: "1veW9elDz7_mG0yKXVquE-2nNTLRzF1R8sgPUOLKKhvQ" Exception: You do not have permission to access the requested document.; SheetId: "1iwzcY2WEZkojN5fPxYGwTqfz-LNI16Bi6A_5o8-Q9ck" Exception: You do not have permission to access the requested document.; SheetId: "1T1XoFlrZJk37rd4WyJe3UKu2cl_sMppIONP2Xfo-Plg" Exception: You do not have permission to access the requested document.; SheetId: "1zakRY91baHpBIDAk7dc9yMvsSauENRqNvJBYYebjpCo" Exception: You do not have permission to access the requested document.; SheetId: "1AJkaXN5x_WMw9ot43feNFbw7iOk5W8F1XrdObNrFdoo" Exception: You do not have permission to access the requested document.; SheetId: "1zuNmvgggd8_VF_tcLpmyTsDLZ3MgrqK5IC9ggOr-2o4" Exception: You do not have permission to access the requested document.; SheetId: "1TflvMbVlGCTqhLDIDDLRtI9O4mhGcKnkwBztbfV0Vdw" Exception: You do not have permission to access the requested document.; SheetId: "1C_lVBqrfacsLvgsinktCFoxhribHrU-duHI3S2JQyjQ" Exception: You do not have permission to access the requested document.; SheetId: "1W-Ux3TCVsl8Hvx819dk9o76pFfxxHGKaL3lUlgGsPVI" Exception: You do not have permission to access the requested document.; SheetId: "16Z7Bk6Wuc7hqJzcCN4bMWZUyLnu1IWfaau2J-zwIEnA" Exception: You do not have permission to access the requested document.; SheetId: "1swXeMQ5eC3ckqC9WHsM0LuRhsZ3REdxKWeROgnikMyk" Exception: You do not have permission to access the requested document.; SheetId: "12DNcXrm6FEFXjhF9EKRC5e4hRCXVJVS2jfaXMP2bPlE" Exception: You do not have permission to access the requested document.; SheetId: "1Kx33Y_9cH3sT5JvJaM4YhLdXTHmIYhrKMJRDh2E-QAc" Exception: You do not have permission to access the requested document.; SheetId: "14Ge9CWOAimRHNqAr78FF9nNGm3ZeADkAbRDD8vu88Bc" Exception: You do not have permission to access the requested document.; SheetId: "1qDc89v01TKPluEH0Ofv_MLVoLm9DRK_Uc2-N0KHivWQ" Exception: You do not have permission to access the requested document.; SheetId: "1BYBDWSYKGUtPPotW5KoiISidXW1ZO64HMCXE11IVyqY" Exception: You do not have permission to access the requested document.; SheetId: "133n2yxo3cBwev3Zo6o73X8zpARRAn7k-1A5m7WLcbSo" Exception: You do not have permission to access the requested document.; SheetId: "1fsGxZiiihyPbtTFDcLK-3dw5pYcyP65s9BeIMYNtke8" Exception: You do not have permission to access the requested document.; SheetId: "1407tFS54JDJDRBeRN5bvBKV9JUDMgcqXvKeu7_8wtMo" Exception: You do not have permission to access the requested document.; SheetId: "1yrm8IA2H46RiZtp6HyyHhpUPQ17Z54AXFRF6e_91KZI" Exception: You do not have permission to access the requested document.; SheetId: "1SeGF75qdftZLCHsfnmg1UsVfp5qld8t36TmtPe7Jeew" Exception: You do not have permission to access the requested document.; SheetId: "1Jc1MNemWqMgOhlEEZ14RvCB850NyZvs6NWdKfILkPLs" Exception: You do not have permission to access the requested document.; SheetId: "10RfpBAjl_7Vg8tPZ0iZg1iBo1bRrwfDfKigy9wwZMUk" Exception: You do not have permission to access the requested document.; SheetId: "1KPhc4dXQcKyN3IKMAlOttCjBL2FDpl2GLmSK361KmRQ" Exception: You do not have permission to access the requested document.; SheetId: "1HbMgpFbdI5uMBON6-leByy4xS0usGViAo1WoLhV5Dt4" Exception: You do not have permission to access the requested document.; SheetId: "1CNqm15dCPf774GEwNbn4m2Vhp6ljvUCFjUyGCqnmRZ8" Exception: You do not have permission to access the requested document.; SheetId: "1w88yBcA-ifzxKp573zkEKk2MHfISDRv6Mp47H3CUSuo" Exception: You do not have permission to access the requested document.; SheetId: "1bx8oIJB3XszKUZJ8xHCEnqPkaAxi_W7XXilFBW-k04s" Exception: You do not have permission to access the requested document.; SheetId: "1FDxwTBWkT19SZNsiiDhgncoWzxpDlr17ip0cGs4bSCo" Exception: You do not have permission to access the requested document.; SheetId: "1pHun7fmGxd1O2R8etVfNACS0bNHfyPzThnub92_HGOg" Exception: You do not have permission to access the requested document.; SheetId: "1GDj96XNeOyQ1PrqoMkIxyKMouQV9mZEnGRZVryJD48c" Exception: You do not have permission to access the requested document.; SheetId: "1t80MWOfCQauU8ZXBskGWPAVTtA_TwPRH6D0T-eS15Uo" Exception: You do not have permission to access the requested document.; SheetId: "16XQhOsmwvKaQZCU3GZzz-4MeM1WL9sGbO6rgcSTGO54" Exception: You do not have permission to access the requested document.; SheetId: "1AinGYUJ2UOuFQ1Qlm2AbzF3rhoVsMBILjhMhr-h2UuI" Exception: You do not have permission to access the requested document.; SheetId: "1zoBLRgqUx9rOmDcGBlhaJ4JsQanzCCQCT77sKQu0sCg" Exception: You do not have permission to access the requested document.; SheetId: "1AJ1XfwMKb6S7o68ow7nW_kKu91FAn5fXJJabBDyjSZk" Exception: You do not have permission to access the requested document.; SheetId: "1sJdiQJuTABatoH7BKtjdHaOG3LfvzhaySLTOGOw7JDQ" Exception: You do not have permission to access the requested document.; SheetId: "1DfTP099pCYCF3U-e0kCF7AWZmB99b6K0iEmek0Egpi8" Exception: You do not have permission to access the requested document.; SheetId: "1ealEjc2s88zgV9V-rH0mDa_92G9rjenT9XpX2nHuQ-g" Exception: You do not have permission to access the requested document.; SheetId: "1_r8bt4qDLQt6_kZ5assx2yqBwnMWgmqZsId9cM0FD2w" Exception: You do not have permission to access the requested document.; SheetId: "1PWZ_G6xnVOrLmt0ACmCp4dJtEGbOXJU7QTK9qtvL_qI" Exception: You do not have permission to access the requested document.; SheetId: "1Lzb9mupM8gWsOCSF1VAIOzASHmrBnQYHqh3ThPQCvAA" Exception: You do not have permission to access the requested document.; SheetId: "1jj6TbxtTyxk_bO_fa2iQn2IVJUCFTe6bpQEQQILkp9g" Exception: You do not have permission to access the requested document.; SheetId: "1-mTuFSOuylcYpuGp5x3iNB5Hg9J-niS-T--7hEujMR0" Exception: You do not have permission to access the requested document.; SheetId: "1rj758oTEW9EfyfpmeaKBdadxYO5zoP6IkZM9sPvOcNo" Exception: You do not have permission to access the requested document.; SheetId: "18hNODCadvTfo4DEqIQDGzqMDZtsSUB5XwNVAPxz8stY" Exception: You do not have permission to access the requested document.; SheetId: "1u_2bnVazUXoH5EUygA6o6XkAQWLrWFYvaun9Qj-4bl8" Exception: You do not have permission to access the requested document.; SheetId: "1CGzFA8PbYbxBK7eXj-bdn7IfhSijJFrmkqjH6bmQCvg" Exception: You do not have permission to access the requested document.; SheetId: "1VbKCxF_qiu4RgD-IIpW1vJO3uP1OkTsHSZH_4F1nAx4" Exception: You do not have permission to access the requested document.; SheetId: "1Csyx_z7eZB-nrYAD0cRE_C7tYFO-ZcZ4X8z5VbHSZng" Exception: You do not have permission to access the requested document.; SheetId: "1DQmgSarkdhmQ36rrU7O-UlpSDk6jBAA9Ujt71fU-vzk" Exception: You do not have permission to access the requested document.; SheetId: "1RUcxiwCApNUFHEUTSU9W_cN-7GaMIzmkUUvnL9zsYuY" Exception: You do not have permission to access the requested document.; SheetId: "13W1z0Zi28XEJLXnS9bbvmHuHX9JcotZDG6PNAr8deb0" Exception: You do not have permission to access the requested document.; SheetId: "1wPTKIUfRXrswONC-TRCc27vUre2Gcm9zH3VhWgj97k0" Exception: You do not have permission to access the requested document.; SheetId: "1Y6Ak0WKpF2tqYoWTj27MefJtfQ992XsjSK234OeFaXc" Exception: You do not have permission to access the requested document.; SheetId: "10fyLBMFF-Ll-39GmgBleodwY9UP1Z720Rc7S83ZNa24" Exception: You do not have permission to access the requested document.; SheetId: "1G_0DcG8h45qOqhHNR32u5MfoYysjDc_pEmrRYwChiJ4" Exception: You do not have permission to access the requested document.; SheetId: "1UDsOqVrSUUZnbgIqM-TuNovcJXEQR6y4iz2sNtd6FFU" Exception: You do not have permission to access the requested document.; SheetId: "19Nz4ORR7S2zC_ZpwICSgfXhsN865jy1XiKN7vf2xRgc" Exception: You do not have permission to access the requested document.; SheetId: "1jJPkQt55DZ_x9OeazDjxRB2KrHGlRFD-H0aS57MjDgk" Exception: You do not have permission to access the requested document.; SheetId: "115yXj5JZkJRrmygPapu3rwvxvQVwDcQxYMpCgTyOUK8" Exception: You do not have permission to access the requested document.; SheetId: "1f-bBX1tabRKPUd3UixDYD_LBeTCfm4fKMCZgZoegIXs" Exception: You do not have permission to access the requested document.; SheetId: "1UQtoczHqWI2So18LYAXIlFwxg0dj_A4fekwl2UVXFiY" Exception: You do not have permission to access the requested document.; SheetId: "1aef7YUsReurtox1oodafQGw7Z74ZnTpflbN0raSOx5s" Exception: You do not have permission to access the requested document.; SheetId: "1qmpGg9TEDDGoqsF1BKTsBdGu9Vmrpr3i4f7Agl8SKOQ" Exception: You do not have permission to access the requested document.; SheetId: "1z2sYCQ-onJ1yJPrsVuq8i1OnKl0mo-1BmCvd6_mLzQw" Exception: You do not have permission to access the requested document.; SheetId: "1H8Rm_FggiunhnCb17GvMufsG8rKujAQ0-PtiCEXHsFs" Exception: You do not have permission to access the requested document.; SheetId: "1pHFf1OxoEG42boI8kVnoDt2dMCJhsNXzOZJMG99h704" Exception: You do not have permission to access the requested document.; </t>
  </si>
  <si>
    <t xml:space="preserve">SheetId: "1cbxdfYr8gDU1Ta8KFUjXS8iCyWhqwQOlxyzZ37SH2-o" Exception: You do not have permission to access the requested document.; SheetId: "1BhmfkcVpIB-oEZVo3sUJYSpw6zb5P_4hUFlGI5OW4uw" Exception: You do not have permission to access the requested document.; SheetId: "1No8nbaA9F2gZNkXDe0FV0W4FZPz3dLY1C3uogMSChiw" Exception: You do not have permission to access the requested document.; SheetId: "11DQYk2iU9j4IdG5cikEAdHy673bbmgpvjhK-yTydOsw" Exception: You do not have permission to access the requested document.; SheetId: "1U4RvrqX5XS4NPBHfaeLPJIEWtrxPzHiMnQZqHLx0lCI" Exception: You do not have permission to access the requested document.; SheetId: "1QxqnXcjM-tGqFeOix6QFyWZyElJxAq1C7lxFYiOsKeA" Exception: You do not have permission to access the requested document.; SheetId: "1SUtdv8HJ_uTXG3C6Tpxv8CJR-pt9mJoiSH0qH8Hwn24" Exception: You do not have permission to access the requested document.; SheetId: "1AqUqOCPVDFcUN9E2rw1eiBlrJdT55aKf--Nrcf0GF_8" Exception: You do not have permission to access the requested document.; SheetId: "1HUaRIKVwI9J2wNIGHuQEKrb6Y-XRRpJqSIhEViI_spM" Exception: You do not have permission to access the requested document.; SheetId: "11HIsY_WxszLQHwUUuKqOPVAdnSt5iuJ6482jDGRW9rM" Exception: You do not have permission to access the requested document.; SheetId: "1482GiNRdiDsSnn6pdazXY-ADzqCtNn0TLrTQkwA_qJI" Exception: You do not have permission to access the requested document.; SheetId: "1sGKMuId-vo0qBM46ic2BiEK9hOJ8fcqGH7PnGoSZcyM" Exception: You do not have permission to access the requested document.; SheetId: "1uOO0NBJJE1Gw_uwGMo4UQ5NuNnVW-1QaOQvm3I8U-Uk" Exception: You do not have permission to access the requested document.; SheetId: "1Aqcy7QKEDPWms6A9BcXULgfk17Zw7pFkVz6CmZ-dbr8" Exception: You do not have permission to access the requested document.; SheetId: "1BK3u_U6fT7UMWi_fNKoC5yMRG1AOY2D3EiBa74PkYZ0" Exception: You do not have permission to access the requested document.; SheetId: "1pnzoap-gAlkPfTsyV_1xfRc890oSVGQ6O0Jz92RtkX0" Exception: You do not have permission to access the requested document.; SheetId: "1GgRyHYbJy1XqVJSdCpGkwqvRNdw4fhWrUApAp9kjcK0" Exception: You do not have permission to access the requested document.; SheetId: "1w1yobDJOvz56YrSKEwrvEF7MxhAqrTMOI9hkyMirG-I" Exception: You do not have permission to access the requested document.; SheetId: "1EqxyUF6OBDNIx8tqqC-5Qw9EhuGDLI3wrwI584-fpz0" Exception: You do not have permission to access the requested document.; SheetId: "1bPY6kyCFNJ0WvsmP1oaKZPxEi7vQJLeMyK0WvLqjuhQ" Exception: You do not have permission to access the requested document.; SheetId: "1veW9elDz7_mG0yKXVquE-2nNTLRzF1R8sgPUOLKKhvQ" Exception: You do not have permission to access the requested document.; SheetId: "1iwzcY2WEZkojN5fPxYGwTqfz-LNI16Bi6A_5o8-Q9ck" Exception: You do not have permission to access the requested document.; SheetId: "1T1XoFlrZJk37rd4WyJe3UKu2cl_sMppIONP2Xfo-Plg" Exception: You do not have permission to access the requested document.; SheetId: "1zakRY91baHpBIDAk7dc9yMvsSauENRqNvJBYYebjpCo" Exception: You do not have permission to access the requested document.; SheetId: "1AJkaXN5x_WMw9ot43feNFbw7iOk5W8F1XrdObNrFdoo" Exception: You do not have permission to access the requested document.; SheetId: "1zuNmvgggd8_VF_tcLpmyTsDLZ3MgrqK5IC9ggOr-2o4" Exception: You do not have permission to access the requested document.; SheetId: "1TflvMbVlGCTqhLDIDDLRtI9O4mhGcKnkwBztbfV0Vdw" Exception: You do not have permission to access the requested document.; SheetId: "1C_lVBqrfacsLvgsinktCFoxhribHrU-duHI3S2JQyjQ" Exception: You do not have permission to access the requested document.; SheetId: "1W-Ux3TCVsl8Hvx819dk9o76pFfxxHGKaL3lUlgGsPVI" Exception: You do not have permission to access the requested document.; SheetId: "16Z7Bk6Wuc7hqJzcCN4bMWZUyLnu1IWfaau2J-zwIEnA" Exception: You do not have permission to access the requested document.; SheetId: "1swXeMQ5eC3ckqC9WHsM0LuRhsZ3REdxKWeROgnikMyk" Exception: You do not have permission to access the requested document.; SheetId: "12DNcXrm6FEFXjhF9EKRC5e4hRCXVJVS2jfaXMP2bPlE" Exception: You do not have permission to access the requested document.; SheetId: "1Kx33Y_9cH3sT5JvJaM4YhLdXTHmIYhrKMJRDh2E-QAc" Exception: You do not have permission to access the requested document.; SheetId: "14Ge9CWOAimRHNqAr78FF9nNGm3ZeADkAbRDD8vu88Bc" Exception: You do not have permission to access the requested document.; SheetId: "1qDc89v01TKPluEH0Ofv_MLVoLm9DRK_Uc2-N0KHivWQ" Exception: You do not have permission to access the requested document.; SheetId: "1BYBDWSYKGUtPPotW5KoiISidXW1ZO64HMCXE11IVyqY" Exception: You do not have permission to access the requested document.; SheetId: "133n2yxo3cBwev3Zo6o73X8zpARRAn7k-1A5m7WLcbSo" Exception: You do not have permission to access the requested document.; SheetId: "1fsGxZiiihyPbtTFDcLK-3dw5pYcyP65s9BeIMYNtke8" Exception: You do not have permission to access the requested document.; SheetId: "1407tFS54JDJDRBeRN5bvBKV9JUDMgcqXvKeu7_8wtMo" Exception: You do not have permission to access the requested document.; SheetId: "1yrm8IA2H46RiZtp6HyyHhpUPQ17Z54AXFRF6e_91KZI" Exception: You do not have permission to access the requested document.; SheetId: "1SeGF75qdftZLCHsfnmg1UsVfp5qld8t36TmtPe7Jeew" Exception: You do not have permission to access the requested document.; SheetId: "1Jc1MNemWqMgOhlEEZ14RvCB850NyZvs6NWdKfILkPLs" Exception: You do not have permission to access the requested document.; SheetId: "10RfpBAjl_7Vg8tPZ0iZg1iBo1bRrwfDfKigy9wwZMUk" Exception: You do not have permission to access the requested document.; SheetId: "1KPhc4dXQcKyN3IKMAlOttCjBL2FDpl2GLmSK361KmRQ" Exception: You do not have permission to access the requested document.; SheetId: "1HbMgpFbdI5uMBON6-leByy4xS0usGViAo1WoLhV5Dt4" Exception: You do not have permission to access the requested document.; SheetId: "1CNqm15dCPf774GEwNbn4m2Vhp6ljvUCFjUyGCqnmRZ8" Exception: You do not have permission to access the requested document.; SheetId: "1w88yBcA-ifzxKp573zkEKk2MHfISDRv6Mp47H3CUSuo" Exception: You do not have permission to access the requested document.; SheetId: "1bx8oIJB3XszKUZJ8xHCEnqPkaAxi_W7XXilFBW-k04s" Exception: You do not have permission to access the requested document.; SheetId: "1FDxwTBWkT19SZNsiiDhgncoWzxpDlr17ip0cGs4bSCo" Exception: You do not have permission to access the requested document.; SheetId: "1pHun7fmGxd1O2R8etVfNACS0bNHfyPzThnub92_HGOg" Exception: You do not have permission to access the requested document.; SheetId: "1GDj96XNeOyQ1PrqoMkIxyKMouQV9mZEnGRZVryJD48c" Exception: You do not have permission to access the requested document.; SheetId: "1t80MWOfCQauU8ZXBskGWPAVTtA_TwPRH6D0T-eS15Uo" Exception: You do not have permission to access the requested document.; SheetId: "16XQhOsmwvKaQZCU3GZzz-4MeM1WL9sGbO6rgcSTGO54" Exception: You do not have permission to access the requested document.; SheetId: "1AinGYUJ2UOuFQ1Qlm2AbzF3rhoVsMBILjhMhr-h2UuI" Exception: You do not have permission to access the requested document.; SheetId: "1zoBLRgqUx9rOmDcGBlhaJ4JsQanzCCQCT77sKQu0sCg" Exception: You do not have permission to access the requested document.; SheetId: "1AJ1XfwMKb6S7o68ow7nW_kKu91FAn5fXJJabBDyjSZk" Exception: You do not have permission to access the requested document.; SheetId: "1sJdiQJuTABatoH7BKtjdHaOG3LfvzhaySLTOGOw7JDQ" Exception: You do not have permission to access the requested document.; SheetId: "1DfTP099pCYCF3U-e0kCF7AWZmB99b6K0iEmek0Egpi8" Exception: You do not have permission to access the requested document.; SheetId: "1ealEjc2s88zgV9V-rH0mDa_92G9rjenT9XpX2nHuQ-g" Exception: You do not have permission to access the requested document.; SheetId: "1_r8bt4qDLQt6_kZ5assx2yqBwnMWgmqZsId9cM0FD2w" Exception: You do not have permission to access the requested document.; SheetId: "1PWZ_G6xnVOrLmt0ACmCp4dJtEGbOXJU7QTK9qtvL_qI" Exception: You do not have permission to access the requested document.; SheetId: "1Lzb9mupM8gWsOCSF1VAIOzASHmrBnQYHqh3ThPQCvAA" Exception: You do not have permission to access the requested document.; SheetId: "1jj6TbxtTyxk_bO_fa2iQn2IVJUCFTe6bpQEQQILkp9g" Exception: You do not have permission to access the requested document.; SheetId: "1-mTuFSOuylcYpuGp5x3iNB5Hg9J-niS-T--7hEujMR0" Exception: You do not have permission to access the requested document.; SheetId: "1rj758oTEW9EfyfpmeaKBdadxYO5zoP6IkZM9sPvOcNo" Exception: You do not have permission to access the requested document.; SheetId: "18hNODCadvTfo4DEqIQDGzqMDZtsSUB5XwNVAPxz8stY" Exception: You do not have permission to access the requested document.; SheetId: "1u_2bnVazUXoH5EUygA6o6XkAQWLrWFYvaun9Qj-4bl8" Exception: You do not have permission to access the requested document.; SheetId: "1CGzFA8PbYbxBK7eXj-bdn7IfhSijJFrmkqjH6bmQCvg" Exception: You do not have permission to access the requested document.; SheetId: "1VbKCxF_qiu4RgD-IIpW1vJO3uP1OkTsHSZH_4F1nAx4" Exception: You do not have permission to access the requested document.; SheetId: "1Csyx_z7eZB-nrYAD0cRE_C7tYFO-ZcZ4X8z5VbHSZng" Exception: You do not have permission to access the requested document.; SheetId: "1DQmgSarkdhmQ36rrU7O-UlpSDk6jBAA9Ujt71fU-vzk" Exception: You do not have permission to access the requested document.; SheetId: "1RUcxiwCApNUFHEUTSU9W_cN-7GaMIzmkUUvnL9zsYuY" Exception: You do not have permission to access the requested document.; SheetId: "13W1z0Zi28XEJLXnS9bbvmHuHX9JcotZDG6PNAr8deb0" Exception: You do not have permission to access the requested document.; SheetId: "1wPTKIUfRXrswONC-TRCc27vUre2Gcm9zH3VhWgj97k0" Exception: You do not have permission to access the requested document.; SheetId: "1Y6Ak0WKpF2tqYoWTj27MefJtfQ992XsjSK234OeFaXc" Exception: You do not have permission to access the requested document.; SheetId: "10fyLBMFF-Ll-39GmgBleodwY9UP1Z720Rc7S83ZNa24" Exception: You do not have permission to access the requested document.; SheetId: "1G_0DcG8h45qOqhHNR32u5MfoYysjDc_pEmrRYwChiJ4" Exception: You do not have permission to access the requested document.; SheetId: "1UDsOqVrSUUZnbgIqM-TuNovcJXEQR6y4iz2sNtd6FFU" Exception: You do not have permission to access the requested document.; SheetId: "19Nz4ORR7S2zC_ZpwICSgfXhsN865jy1XiKN7vf2xRgc" Exception: You do not have permission to access the requested document.; SheetId: "1jJPkQt55DZ_x9OeazDjxRB2KrHGlRFD-H0aS57MjDgk" Exception: You do not have permission to access the requested document.; SheetId: "115yXj5JZkJRrmygPapu3rwvxvQVwDcQxYMpCgTyOUK8" Exception: You do not have permission to access the requested document.; SheetId: "1f-bBX1tabRKPUd3UixDYD_LBeTCfm4fKMCZgZoegIXs" Exception: You do not have permission to access the requested document.; SheetId: "1UQtoczHqWI2So18LYAXIlFwxg0dj_A4fekwl2UVXFiY" Exception: You do not have permission to access the requested document.; SheetId: "1aef7YUsReurtox1oodafQGw7Z74ZnTpflbN0raSOx5s" Exception: You do not have permission to access the requested document.; SheetId: "1qmpGg9TEDDGoqsF1BKTsBdGu9Vmrpr3i4f7Agl8SKOQ" Exception: You do not have permission to access the requested document.; SheetId: "1z2sYCQ-onJ1yJPrsVuq8i1OnKl0mo-1BmCvd6_mLzQw" Exception: You do not have permission to access the requested document.; SheetId: "1H8Rm_FggiunhnCb17GvMufsG8rKujAQ0-PtiCEXHsFs" Exception: You do not have permission to access the requested document.; SheetId: "1pHFf1OxoEG42boI8kVnoDt2dMCJhsNXzOZJMG99h704" Exception: You do not have permission to access the requested document.; </t>
  </si>
  <si>
    <t xml:space="preserve">SheetId: "11DQYk2iU9j4IdG5cikEAdHy673bbmgpvjhK-yTydOsw" Exception: You do not have permission to access the requested document.; SheetId: "1SUtdv8HJ_uTXG3C6Tpxv8CJR-pt9mJoiSH0qH8Hwn24" Exception: You do not have permission to access the requested document.; SheetId: "1AqUqOCPVDFcUN9E2rw1eiBlrJdT55aKf--Nrcf0GF_8" Exception: You do not have permission to access the requested document.; SheetId: "1zakRY91baHpBIDAk7dc9yMvsSauENRqNvJBYYebjpCo" Exception: You do not have permission to access the requested document.; SheetId: "16Z7Bk6Wuc7hqJzcCN4bMWZUyLnu1IWfaau2J-zwIEnA" Exception: You do not have permission to access the requested document.; SheetId: "1SeGF75qdftZLCHsfnmg1UsVfp5qld8t36TmtPe7Jeew" Exception: You do not have permission to access the requested document.; SheetId: "10RfpBAjl_7Vg8tPZ0iZg1iBo1bRrwfDfKigy9wwZMUk" Exception: You do not have permission to access the requested document.; </t>
  </si>
  <si>
    <t xml:space="preserve">SheetId: "11DQYk2iU9j4IdG5cikEAdHy673bbmgpvjhK-yTydOsw" Exception: You do not have permission to access the requested document.; SheetId: "1SUtdv8HJ_uTXG3C6Tpxv8CJR-pt9mJoiSH0qH8Hwn24" Exception: You do not have permission to access the requested document.; SheetId: "1AqUqOCPVDFcUN9E2rw1eiBlrJdT55aKf--Nrcf0GF_8" Exception: You do not have permission to access the requested document.; </t>
  </si>
  <si>
    <t xml:space="preserve">SheetId: "1EoHAbZfU0ykEsFygEROPNa0AVjY9Z3qMUaYnWIOj6YA" Exception: You do not have permission to access the requested document.; SheetId: "1cMEWr1f_OV0e0DWomABqPAqLh52O2_6smojWXhbdwEM" Exception: You do not have permission to access the requested document.; </t>
  </si>
  <si>
    <t xml:space="preserve">SheetId: "1YeJQlclb54mIs6JTIiF5WeIANO4j9Qe1WOG_XlKIlL4" Exception: You do not have permission to access the requested document.; </t>
  </si>
  <si>
    <t xml:space="preserve">SheetId: "1kONXCy3H7LMd2Hii4i9DvKO0s-CbtRT6k5EM8jr1S4w" Exception: You do not have permission to access the requested document.; </t>
  </si>
  <si>
    <t xml:space="preserve">SheetId: "14Ugcy6qQsIoz1uZ_1ipqNBGp3HbFa2V3odll_iysK3Y" Exception: You do not have permission to access the requested document.; SheetId: "1BcJz5gRwJfoTvnpgrRrpDLlQs0guXGBydh6xKvNF9EU" Exception: You do not have permission to access the requested document.; </t>
  </si>
  <si>
    <t xml:space="preserve">SheetId: "1x88TQ97VZmJctWgiuRPwHn_tuo2TLl7kllFP2p9Q8Uc" Exception: You do not have permission to access the requested document.; SheetId: "1f-b6kmv5inSE_E62CWY_ZamTMbcWJ3iymuj85xunjHw" Exception: You do not have permission to access the requested document.; </t>
  </si>
  <si>
    <t xml:space="preserve">SheetId: "1_xMz9g_m10kZSLMXD_RAUdvNYp3gD1FloUyL03sFh4E" Exception: You do not have permission to access the requested document.; SheetId: "1A20A_VMVDHZyDT5N91Z7B2JtAuV5AMdKLbnx_5LjNbM" Exception: You do not have permission to access the requested document.; SheetId: "1_80Ahco3QGxA5jvd_QabFokFV-uTK8qD9mR7Eg6naD8" Exception: You do not have permission to access the requested document.; SheetId: "1OMd7aSG9teBJ9X48UlxE30xQM7pvSMHhUDQDro3QpMU" Exception: You do not have permission to access the requested document.; </t>
  </si>
  <si>
    <t xml:space="preserve">SheetId: "1hUbmqgUs9Wy9j8lqBuWGpuPmrFuCIu8KiWO4_Dasj4w" Exception: You do not have permission to access the requested document.; SheetId: "1nOX7Y67rDc_dSNn2cAAuY2PquaS5zotQfMMXo2sCYDk" Exception: You do not have permission to access the requested document.; </t>
  </si>
  <si>
    <t xml:space="preserve">SheetId: "1YqfDaV7WhWWmnd9uoWtOiloi8ZayM-rBUXUzRCfyn20" Exception: You do not have permission to access the requested document.; </t>
  </si>
  <si>
    <t xml:space="preserve">SheetId: "1HzzgJTGAUUYdofTLl5jzFZQP_ZfA-3N_akFoVYy3KhQ" Exception: You do not have permission to access the requested document.; SheetId: "1eKM95deBuZGnaMVKcjcvvC7zqTiojbvSJ7hzAw5Ut0c" Exception: You do not have permission to access the requested document.; SheetId: "1WRHvtdGbw02rqt8M3XDNOPOgd4cEQDQygrg1C19GUUk" Exception: You do not have permission to access the requested document.; SheetId: "1AyIQ5cuZTqoXeHBVOoRgACPvvOzRYsKf82OWwfCwZVo" Exception: You do not have permission to access the requested document.; SheetId: "1kQXxIBQU108y9p7-sfpcNxow3NcR_EnVtQqiihAyCPc" Exception: You do not have permission to access the requested document.; SheetId: "1ML8AgnGjJ5Asctnhjl5adWhhLeSfnyXx1S9P3H2a4R4" Exception: You do not have permission to access the requested document.; </t>
  </si>
  <si>
    <t xml:space="preserve">SheetId: "1LgtRMiAc-cCBciJ-vLeYzpFsmndkyZ7Xs81wAfnQbxE" Exception: You do not have permission to access the requested document.; </t>
  </si>
  <si>
    <t xml:space="preserve">SheetId: "1A7V0tBvTASALEeHTt9yhkf8suMxCFdA2TsxSWf6Ki0w" Exception: You do not have permission to access the requested document.; SheetId: "1yOjN6igITj_hY7a25OE2sDvaGhp2JxunpPp6haPYcPo" Exception: You do not have permission to access the requested document.; </t>
  </si>
  <si>
    <t xml:space="preserve">SheetId: "1FhGgOmoBfaef3zACSu6wRMl2Uwqzm9YJbEGc05dbX_g" Exception: You do not have permission to access the requested document.; SheetId: "19DMzGQR3tVCK78YWmhSFepHyZf2DPRidq3_-F-uDnK4" Exception: You do not have permission to access the requested document.; SheetId: "10nVJMOLQQHcUzKWHuERbwF7Fedzz2gG6CA-BcPwiZ8U" Exception: You do not have permission to access the requested document.; </t>
  </si>
  <si>
    <t xml:space="preserve">SheetId: "1wVFiQ5SaG1Pmkmp-uKGCxupVlaaFBJrjYA8B97kcmw4" Exception: You do not have permission to access the requested document.; SheetId: "1T3WQwRz9dvroDtXw7w6JB7wLh0ZurF8cbKgT_29uyZA" Exception: You do not have permission to access the requested document.; </t>
  </si>
  <si>
    <t xml:space="preserve">SheetId: "1dMWwCwfunowqz74FB8kdie5cc77xTHsOqylYA95MHzE" Exception: You do not have permission to access the requested document.; </t>
  </si>
  <si>
    <t xml:space="preserve">SheetId: "1hUQiqzxa1X_SdiJzVdxVZKMabn5O3jA4NMkGUJytDgM" Exception: You do not have permission to access the requested document.; SheetId: "1dyQwUhMRQ98AXIKgP-vUIii5sRAmhcsoQb_J_CmZR-8" Exception: You do not have permission to access the requested document.; </t>
  </si>
  <si>
    <t xml:space="preserve">SheetId: "1Aqcy7QKEDPWms6A9BcXULgfk17Zw7pFkVz6CmZ-dbr8" Exception: You do not have permission to access the requested document.; SheetId: "1uZdmkkBG-HqRQHpsFVzByGIPEgMW9Ldnw_HvYPPBCzM" Exception: You do not have permission to access the requested document.; </t>
  </si>
  <si>
    <t xml:space="preserve">SheetId: "1rmLiwyDrn0KbdJ4oGT2ORbQ73BcGGu0df6VQn-bE7mo" TypeError: row[cols[2]].getTime is not a function; </t>
  </si>
  <si>
    <t xml:space="preserve">SheetId: "1SVPKITYzT98wgzBkpI-MfVbLup8UqF9Ibn2NLfpt7Qo" Exception: You do not have permission to access the requested document.; SheetId: "1r2qSObFRsWYZY0p4TpT0YDo8QCbrHwHLDBnSz2UdVjI" Exception: You do not have permission to access the requested document.; SheetId: "1zCqQI2OzvZOVOsiLwNsajPQ9AzbWJefnBMs5DgxoEIc" Exception: You do not have permission to access the requested document.; SheetId: "160i_5Lxy59IuIKMSibtwIhr9FbRt6Cd1JzVvhxj9wJ4" Exception: You do not have permission to access the requested document.; SheetId: "1PzZOD0XRLwMbI7NyIhxxdMKPqOEW9zLLGD5QzL3kAJ8" Exception: You do not have permission to access the requested document.; SheetId: "18d763EWcrBGjIrYPX5b2Y12A95k9aZXpTs-SDvWrS8U" Exception: You do not have permission to access the requested document.; SheetId: "1T25nZuJCXxBUc74QH6RehdzHCXjA2bvTyVfCGHjLTg0" Exception: You do not have permission to access the requested document.; </t>
  </si>
  <si>
    <t xml:space="preserve">SheetId: "1_G0JfMwnb7mYBTZclpR8WYBp8OFBci4MEBIGX6UoXtY" Exception: You do not have permission to access the requested document.; SheetId: "1OUL7c2udxO87LPfvXroD2QJitVZPkzmEs7BiI5rI2Z8" Exception: You do not have permission to access the requested document.; SheetId: "1aYIk27CKp63hq0CEVFzOgfk-b1rPcCncwhBe3oP6rrU" Exception: You do not have permission to access the requested document.; SheetId: "1p_IaRyyW1c4MC2lZawqRS8wkhpqU9zZKZUqOCJpfCK8" Exception: You do not have permission to access the requested document.; SheetId: "1GGhh-kQKhNiCIuY75PA7HifwgM36yEtRUzvwwiySFDU" Exception: You do not have permission to access the requested document.; SheetId: "1-X7gLHNy2ZfRHfk5ld8BhzXtNGGGjyrAhKCFe8JjJgs" Exception: You do not have permission to access the requested document.; SheetId: "1z5XxL_qi3qk8ENZO-ZFA-QB3smzMW8Z0WMEbP3XmeI4" Exception: You do not have permission to access the requested document.; SheetId: "1cfs-waZ8JrekSr0W2i13mSPy_HFZAfYIx8O4TTgulog" Exception: You do not have permission to access the requested document.; </t>
  </si>
  <si>
    <t xml:space="preserve">SheetId: "1l84AdUhFT0kO9XZlXtJ4qF5yXAOAkReUJ5vfHyH-LeE" Exception: You do not have permission to access the requested document.; </t>
  </si>
  <si>
    <t>Roma test1</t>
  </si>
  <si>
    <t>1SWWl12p6oA0cbNn5Lz8iQZu17EIVOr5eyyZpVb6qoyo</t>
  </si>
  <si>
    <t>Roma test2</t>
  </si>
  <si>
    <t>1d012A278ulLbTDclnm3VwkK5fJuVPPFPDCvxEYsS5Lo</t>
  </si>
  <si>
    <t>Roma test3</t>
  </si>
  <si>
    <t>asd</t>
  </si>
  <si>
    <t>При создании новой кампании</t>
  </si>
  <si>
    <t>1)</t>
  </si>
  <si>
    <t>Сделать копию из темплейта мастер файла</t>
  </si>
  <si>
    <t>2)</t>
  </si>
  <si>
    <t>Проверить Settings в мастер файле</t>
  </si>
  <si>
    <t>3)</t>
  </si>
  <si>
    <t>Проверить чтобы в Settings CID был указан правильно (без ничего лишнего т.е. не Toucan Toco - DC13279 а просто DC13279, если в мастере используется Toucan Toco - DC13279 то и в Delivery tracking тоже должен будет использоваться такой CID)</t>
  </si>
  <si>
    <t>4)</t>
  </si>
  <si>
    <t>Заполнить вкладку Stats в мастере
- в темплейте можно оставить готовые формулы и потом просто заполнить данные для них, начинать лучше с общих данных для категории (зелёные строчки) а потом уже для каждого вендора (белые) - цвета можно заменить или убрать, как удобно</t>
  </si>
  <si>
    <t>5)</t>
  </si>
  <si>
    <t>Заполнить колонки у которых жёлтые хедеры в Delivery tracking файле (Delivery Tracking вкладка, при этом проверить чтобы в строке были формулы, для того чтобы увидеть где стоят формулы можно нажать ctrl + ` или ctrl + ё и также переключиться обратно)</t>
  </si>
  <si>
    <t>6)</t>
  </si>
  <si>
    <t>Вставить ID мастер файла в settings вкладку в файле Delivery Tracking</t>
  </si>
  <si>
    <t>Важные моменты</t>
  </si>
  <si>
    <t>В Delivery tracking подсчёт доставленных по дням лидов не считается автоматически</t>
  </si>
  <si>
    <t>Fixed</t>
  </si>
  <si>
    <t>При срабатывании скрипта копируются строчки из Мастер файлов из вкладки Stats только если у них заполнены Month, DPO ID, Category</t>
  </si>
  <si>
    <t>От правильности заполнения даты в Report submission date в мастер файле зависит будут ли учитываться лиды</t>
  </si>
  <si>
    <t>Если category колонка в мастер файлах будет заполняться нами на самом мастере - то pending не будет правильно считаться (ни в мастере ни в деливери) до того момента как на них не выставят категорию, поскольку когда лиды автоматически переносятся в мастер из вендорского файла то у них она будет не заполнена и формулы соответственно не смогут посчитать сколько pending</t>
  </si>
  <si>
    <t>Вкладки</t>
  </si>
  <si>
    <t>Delivery Tracking - основная вкладка с общими данными по кампаниям и вендорам</t>
  </si>
  <si>
    <t>AcceptedLeadsVendors - для того чтобы можно было сравнить какое кол-во лидов вендоры посчитали принятыми и какое кол-во получилось у нас</t>
  </si>
  <si>
    <t>Vendor names - для указания соответствий DPO ID vs реальное имя вендора (подтягивается формулой в delivery tracking)</t>
  </si>
  <si>
    <t>All_Stats заполняется скриптом, используется для подсчёта данных</t>
  </si>
  <si>
    <t>Settings - пока что для указания айди мастер файлов активных кампаний с которых мы хотим вытаскивать данные</t>
  </si>
  <si>
    <t>Error log - для того что бы видеть когда последний раз запускался скрипт и были ли замечены ошибки</t>
  </si>
  <si>
    <t>CID (AUTO ADDED)</t>
  </si>
  <si>
    <t>Report submission date</t>
  </si>
  <si>
    <t>DC58240</t>
  </si>
  <si>
    <t>EQ57676</t>
  </si>
  <si>
    <t>XU59409</t>
  </si>
  <si>
    <t>XU59576</t>
  </si>
  <si>
    <t>DA58314</t>
  </si>
  <si>
    <t>XA58917</t>
  </si>
  <si>
    <t>XA59143</t>
  </si>
  <si>
    <t>XU56849</t>
  </si>
  <si>
    <t>DA58990</t>
  </si>
  <si>
    <t>DA58065</t>
  </si>
  <si>
    <t>SA58748</t>
  </si>
  <si>
    <t>SA58771</t>
  </si>
  <si>
    <t>DA59070</t>
  </si>
  <si>
    <t>DA58369</t>
  </si>
  <si>
    <t>DF58548-2</t>
  </si>
  <si>
    <t>DA59340</t>
  </si>
  <si>
    <t>MS15733</t>
  </si>
  <si>
    <t>MS15647</t>
  </si>
  <si>
    <t>DC59550</t>
  </si>
  <si>
    <t>MS15674</t>
  </si>
  <si>
    <t>LC8142b</t>
  </si>
  <si>
    <t>DC59633</t>
  </si>
  <si>
    <t>XR58674</t>
  </si>
  <si>
    <t>XR58669</t>
  </si>
  <si>
    <t>XR58675</t>
  </si>
  <si>
    <t>XR58666</t>
  </si>
  <si>
    <t>XU58298-2</t>
  </si>
  <si>
    <t>XU58298-4</t>
  </si>
  <si>
    <t>XU58298-6</t>
  </si>
  <si>
    <t>XU58298-7</t>
  </si>
  <si>
    <t>Jul'19</t>
  </si>
  <si>
    <t>Aug'19</t>
  </si>
  <si>
    <t>Sep'19</t>
  </si>
  <si>
    <t>Oct'19</t>
  </si>
  <si>
    <t>Nov'19</t>
  </si>
  <si>
    <t>Dec'19</t>
  </si>
  <si>
    <t>Jan'20</t>
  </si>
  <si>
    <t>Feb'20</t>
  </si>
  <si>
    <t>Mar'20</t>
  </si>
  <si>
    <t>Apr'20</t>
  </si>
  <si>
    <t>May'20</t>
  </si>
  <si>
    <t>Jun'20</t>
  </si>
  <si>
    <t>Jul'20</t>
  </si>
  <si>
    <t>Aug'20</t>
  </si>
  <si>
    <t>Sep'20</t>
  </si>
  <si>
    <t>Oct'20</t>
  </si>
  <si>
    <t>Nov'20</t>
  </si>
  <si>
    <t>Dec'20</t>
  </si>
  <si>
    <t>Jan'21</t>
  </si>
  <si>
    <t>Feb'21</t>
  </si>
  <si>
    <t>Mar'21</t>
  </si>
  <si>
    <t>Apr'21</t>
  </si>
  <si>
    <t>May'21</t>
  </si>
  <si>
    <t>Jun'21</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</si>
</sst>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mmm yyyy"/>
    <numFmt numFmtId="165" formatCode="M/d/yyyy"/>
    <numFmt numFmtId="166" formatCode="m/d/yy"/>
    <numFmt numFmtId="167" formatCode="0.0%"/>
    <numFmt numFmtId="168" formatCode="m/d/yyyy"/>
    <numFmt numFmtId="169" formatCode="mm/dd/yy"/>
    <numFmt numFmtId="170" formatCode="mm/dd/yyyy"/>
    <numFmt numFmtId="171" formatCode="M/d/yyyy H:mm:ss"/>
  </numFmts>
  <fonts count="37">
    <font>
      <sz val="10.0"/>
      <color rgb="FF000000"/>
      <name val="Arial"/>
      <scheme val="minor"/>
    </font>
    <font>
      <color theme="1"/>
      <name val="Arial"/>
      <scheme val="minor"/>
    </font>
    <font>
      <color theme="1"/>
      <name val="Arial"/>
    </font>
    <font>
      <b/>
      <color theme="1"/>
      <name val="Arial"/>
      <scheme val="minor"/>
    </font>
    <font>
      <b/>
      <sz val="12.0"/>
      <color theme="1"/>
      <name val="Arial"/>
      <scheme val="minor"/>
    </font>
    <font/>
    <font>
      <color rgb="FF000000"/>
      <name val="Arial"/>
    </font>
    <font>
      <b/>
      <sz val="10.0"/>
      <color theme="1"/>
      <name val="Arial"/>
    </font>
    <font>
      <sz val="10.0"/>
      <color theme="1"/>
      <name val="Arial"/>
    </font>
    <font>
      <b/>
      <color theme="1"/>
      <name val="Arial"/>
    </font>
    <font>
      <b/>
      <sz val="14.0"/>
      <color theme="1"/>
      <name val="Arial"/>
      <scheme val="minor"/>
    </font>
    <font>
      <b/>
      <sz val="12.0"/>
      <color theme="1"/>
      <name val="Arial"/>
    </font>
    <font>
      <b/>
      <sz val="10.0"/>
      <color theme="1"/>
      <name val="Arial"/>
      <scheme val="minor"/>
    </font>
    <font>
      <color rgb="FF000000"/>
      <name val="Roboto"/>
    </font>
    <font>
      <b/>
      <color rgb="FF000000"/>
      <name val="Arial"/>
    </font>
    <font>
      <b/>
      <color rgb="FFFF0000"/>
      <name val="Arial"/>
      <scheme val="minor"/>
    </font>
    <font>
      <color rgb="FF000000"/>
      <name val="Arial"/>
      <scheme val="minor"/>
    </font>
    <font>
      <b/>
      <sz val="10.0"/>
      <color rgb="FF000000"/>
      <name val="Arial"/>
    </font>
    <font>
      <b/>
      <sz val="10.0"/>
      <color rgb="FF000000"/>
      <name val="Arial"/>
      <scheme val="minor"/>
    </font>
    <font>
      <b/>
      <sz val="12.0"/>
      <color rgb="FF000000"/>
      <name val="Calibri"/>
    </font>
    <font>
      <sz val="10.0"/>
      <color rgb="FF000000"/>
      <name val="Arial"/>
    </font>
    <font>
      <b/>
      <color rgb="FF0000FF"/>
      <name val="Arial"/>
      <scheme val="minor"/>
    </font>
    <font>
      <b/>
      <sz val="10.0"/>
      <color rgb="FF0000FF"/>
      <name val="Arial"/>
      <scheme val="minor"/>
    </font>
    <font>
      <sz val="10.0"/>
      <color theme="1"/>
      <name val="Arial"/>
      <scheme val="minor"/>
    </font>
    <font>
      <b/>
      <sz val="10.0"/>
      <color rgb="FF0000FF"/>
      <name val="Arial"/>
    </font>
    <font>
      <b/>
      <sz val="10.0"/>
      <color rgb="FF202124"/>
      <name val="Arial"/>
    </font>
    <font>
      <b/>
      <color rgb="FF202124"/>
      <name val="Arial"/>
    </font>
    <font>
      <color rgb="FF222222"/>
      <name val="Arial"/>
      <scheme val="minor"/>
    </font>
    <font>
      <b/>
      <sz val="10.0"/>
      <color rgb="FF202124"/>
      <name val="Arial"/>
      <scheme val="minor"/>
    </font>
    <font>
      <b/>
      <color rgb="FF0000FF"/>
      <name val="Arial"/>
    </font>
    <font>
      <b/>
      <color rgb="FFFF0000"/>
      <name val="Arial"/>
    </font>
    <font>
      <b/>
      <color rgb="FF000000"/>
      <name val="Arial"/>
      <scheme val="minor"/>
    </font>
    <font>
      <b/>
      <color rgb="FF000000"/>
      <name val="Roboto"/>
    </font>
    <font>
      <u/>
      <color rgb="FF1155CC"/>
      <name val="Arial"/>
      <scheme val="minor"/>
    </font>
    <font>
      <u/>
      <color rgb="FF1155CC"/>
      <name val="Arial"/>
    </font>
    <font>
      <sz val="10.0"/>
      <color rgb="FF202124"/>
      <name val="Arial"/>
    </font>
    <font>
      <sz val="10.0"/>
      <color rgb="FF202124"/>
      <name val="Arial"/>
      <scheme val="minor"/>
    </font>
  </fonts>
  <fills count="32">
    <fill>
      <patternFill patternType="none"/>
    </fill>
    <fill>
      <patternFill patternType="lightGray"/>
    </fill>
    <fill>
      <patternFill patternType="solid">
        <fgColor rgb="FFFFFFFF"/>
        <bgColor rgb="FFFFFFFF"/>
      </patternFill>
    </fill>
    <fill>
      <patternFill patternType="solid">
        <fgColor rgb="FFFCE5CD"/>
        <bgColor rgb="FFFCE5CD"/>
      </patternFill>
    </fill>
    <fill>
      <patternFill patternType="solid">
        <fgColor rgb="FFFFFF00"/>
        <bgColor rgb="FFFFFF00"/>
      </patternFill>
    </fill>
    <fill>
      <patternFill patternType="solid">
        <fgColor rgb="FFFF9900"/>
        <bgColor rgb="FFFF9900"/>
      </patternFill>
    </fill>
    <fill>
      <patternFill patternType="solid">
        <fgColor rgb="FFF4CCCC"/>
        <bgColor rgb="FFF4CCCC"/>
      </patternFill>
    </fill>
    <fill>
      <patternFill patternType="solid">
        <fgColor rgb="FFB7E1CD"/>
        <bgColor rgb="FFB7E1CD"/>
      </patternFill>
    </fill>
    <fill>
      <patternFill patternType="solid">
        <fgColor rgb="FFFFE599"/>
        <bgColor rgb="FFFFE599"/>
      </patternFill>
    </fill>
    <fill>
      <patternFill patternType="solid">
        <fgColor rgb="FFEFEFEF"/>
        <bgColor rgb="FFEFEFEF"/>
      </patternFill>
    </fill>
    <fill>
      <patternFill patternType="solid">
        <fgColor rgb="FFC9DAF8"/>
        <bgColor rgb="FFC9DAF8"/>
      </patternFill>
    </fill>
    <fill>
      <patternFill patternType="solid">
        <fgColor rgb="FFFFF2CC"/>
        <bgColor rgb="FFFFF2CC"/>
      </patternFill>
    </fill>
    <fill>
      <patternFill patternType="solid">
        <fgColor rgb="FFB6D7A8"/>
        <bgColor rgb="FFB6D7A8"/>
      </patternFill>
    </fill>
    <fill>
      <patternFill patternType="solid">
        <fgColor rgb="FFD9EAD3"/>
        <bgColor rgb="FFD9EAD3"/>
      </patternFill>
    </fill>
    <fill>
      <patternFill patternType="solid">
        <fgColor rgb="FFEAD1DC"/>
        <bgColor rgb="FFEAD1DC"/>
      </patternFill>
    </fill>
    <fill>
      <patternFill patternType="solid">
        <fgColor rgb="FFCCCCCC"/>
        <bgColor rgb="FFCCCCCC"/>
      </patternFill>
    </fill>
    <fill>
      <patternFill patternType="solid">
        <fgColor theme="0"/>
        <bgColor theme="0"/>
      </patternFill>
    </fill>
    <fill>
      <patternFill patternType="solid">
        <fgColor rgb="FFB7B7B7"/>
        <bgColor rgb="FFB7B7B7"/>
      </patternFill>
    </fill>
    <fill>
      <patternFill patternType="solid">
        <fgColor rgb="FFA4C2F4"/>
        <bgColor rgb="FFA4C2F4"/>
      </patternFill>
    </fill>
    <fill>
      <patternFill patternType="solid">
        <fgColor rgb="FF6D9EEB"/>
        <bgColor rgb="FF6D9EEB"/>
      </patternFill>
    </fill>
    <fill>
      <patternFill patternType="solid">
        <fgColor rgb="FFD9D2E9"/>
        <bgColor rgb="FFD9D2E9"/>
      </patternFill>
    </fill>
    <fill>
      <patternFill patternType="solid">
        <fgColor rgb="FFFF0000"/>
        <bgColor rgb="FFFF0000"/>
      </patternFill>
    </fill>
    <fill>
      <patternFill patternType="solid">
        <fgColor rgb="FF00FF00"/>
        <bgColor rgb="FF00FF00"/>
      </patternFill>
    </fill>
    <fill>
      <patternFill patternType="solid">
        <fgColor rgb="FF3C78D8"/>
        <bgColor rgb="FF3C78D8"/>
      </patternFill>
    </fill>
    <fill>
      <patternFill patternType="solid">
        <fgColor rgb="FFD9D9D9"/>
        <bgColor rgb="FFD9D9D9"/>
      </patternFill>
    </fill>
    <fill>
      <patternFill patternType="solid">
        <fgColor rgb="FF6FA8DC"/>
        <bgColor rgb="FF6FA8DC"/>
      </patternFill>
    </fill>
    <fill>
      <patternFill patternType="solid">
        <fgColor rgb="FF00FFFF"/>
        <bgColor rgb="FF00FFFF"/>
      </patternFill>
    </fill>
    <fill>
      <patternFill patternType="solid">
        <fgColor rgb="FFEA9999"/>
        <bgColor rgb="FFEA9999"/>
      </patternFill>
    </fill>
    <fill>
      <patternFill patternType="solid">
        <fgColor rgb="FFFCE8B2"/>
        <bgColor rgb="FFFCE8B2"/>
      </patternFill>
    </fill>
    <fill>
      <patternFill patternType="solid">
        <fgColor rgb="FF94EB9F"/>
        <bgColor rgb="FF94EB9F"/>
      </patternFill>
    </fill>
    <fill>
      <patternFill patternType="solid">
        <fgColor rgb="FFA4A5F9"/>
        <bgColor rgb="FFA4A5F9"/>
      </patternFill>
    </fill>
    <fill>
      <patternFill patternType="solid">
        <fgColor rgb="FFF9CB9C"/>
        <bgColor rgb="FFF9CB9C"/>
      </patternFill>
    </fill>
  </fills>
  <borders count="4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ck">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thin">
        <color rgb="FF000000"/>
      </right>
      <top style="thin">
        <color rgb="FF000000"/>
      </top>
    </border>
    <border>
      <left style="thin">
        <color rgb="FF000000"/>
      </left>
      <right style="thin">
        <color rgb="FF000000"/>
      </right>
      <top style="thick">
        <color rgb="FF000000"/>
      </top>
      <bottom style="thin">
        <color rgb="FF000000"/>
      </bottom>
    </border>
    <border>
      <right style="thin">
        <color rgb="FF000000"/>
      </right>
      <top style="thick">
        <color rgb="FF000000"/>
      </top>
      <bottom style="thin">
        <color rgb="FF000000"/>
      </bottom>
    </border>
    <border>
      <right style="thin">
        <color rgb="FF000000"/>
      </right>
      <bottom style="thin">
        <color rgb="FF000000"/>
      </bottom>
    </border>
    <border>
      <left style="thin">
        <color rgb="FF000000"/>
      </left>
      <right style="thin">
        <color rgb="FF000000"/>
      </right>
      <bottom style="thick">
        <color rgb="FF000000"/>
      </bottom>
    </border>
    <border>
      <right style="thin">
        <color rgb="FF000000"/>
      </right>
      <bottom style="thick">
        <color rgb="FF000000"/>
      </bottom>
    </border>
    <border>
      <left style="thin">
        <color rgb="FF000000"/>
      </left>
      <right style="thin">
        <color rgb="FF000000"/>
      </right>
    </border>
    <border>
      <right style="thin">
        <color rgb="FF000000"/>
      </right>
    </border>
    <border>
      <left style="thin">
        <color rgb="FF000000"/>
      </left>
      <top style="thin">
        <color rgb="FF000000"/>
      </top>
    </border>
    <border>
      <left style="thin">
        <color rgb="FF000000"/>
      </left>
      <right style="thin">
        <color rgb="FF000000"/>
      </right>
      <top style="medium">
        <color rgb="FF000000"/>
      </top>
      <bottom style="thin">
        <color rgb="FF000000"/>
      </bottom>
    </border>
    <border>
      <left style="thin">
        <color rgb="FF000000"/>
      </left>
      <bottom style="thin">
        <color rgb="FF000000"/>
      </bottom>
    </border>
    <border>
      <left style="thin">
        <color rgb="FF000000"/>
      </left>
      <top style="medium">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thick">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thick">
        <color rgb="FF000000"/>
      </right>
      <top style="medium">
        <color rgb="FF000000"/>
      </top>
      <bottom style="medium">
        <color rgb="FF000000"/>
      </bottom>
    </border>
    <border>
      <left style="medium">
        <color rgb="FF000000"/>
      </left>
    </border>
    <border>
      <right style="thick">
        <color rgb="FF000000"/>
      </right>
    </border>
    <border>
      <top style="medium">
        <color rgb="FF000000"/>
      </top>
      <bottom style="thin">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right style="medium">
        <color rgb="FF000000"/>
      </right>
    </border>
    <border>
      <right style="medium">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thick">
        <color rgb="FF000000"/>
      </right>
      <top style="thin">
        <color rgb="FF000000"/>
      </top>
      <bottom style="thick">
        <color rgb="FF000000"/>
      </bottom>
    </border>
    <border>
      <right style="thin">
        <color rgb="FF000000"/>
      </right>
      <top style="thin">
        <color rgb="FF000000"/>
      </top>
      <bottom style="thick">
        <color rgb="FF000000"/>
      </bottom>
    </border>
    <border>
      <left style="thin">
        <color rgb="FF000000"/>
      </left>
      <top style="thin">
        <color rgb="FF000000"/>
      </top>
      <bottom style="thick">
        <color rgb="FF000000"/>
      </bottom>
    </border>
    <border>
      <top style="thin">
        <color rgb="FF000000"/>
      </top>
    </border>
    <border>
      <right style="thick">
        <color rgb="FF000000"/>
      </right>
      <top style="thin">
        <color rgb="FF000000"/>
      </top>
    </border>
    <border>
      <left style="thin">
        <color rgb="FF000000"/>
      </left>
      <top style="thick">
        <color rgb="FF000000"/>
      </top>
      <bottom style="thin">
        <color rgb="FF000000"/>
      </bottom>
    </border>
    <border>
      <top style="thick">
        <color rgb="FF000000"/>
      </top>
      <bottom style="thin">
        <color rgb="FF000000"/>
      </bottom>
    </border>
    <border>
      <top style="thick">
        <color rgb="FF000000"/>
      </top>
    </border>
    <border>
      <bottom style="thick">
        <color rgb="FF000000"/>
      </bottom>
    </border>
    <border>
      <right style="thick">
        <color rgb="FF000000"/>
      </right>
      <bottom style="thick">
        <color rgb="FF000000"/>
      </bottom>
    </border>
    <border>
      <left style="thick">
        <color rgb="FF000000"/>
      </left>
    </border>
    <border>
      <top style="thin">
        <color rgb="FF000000"/>
      </top>
      <bottom style="thick">
        <color rgb="FF000000"/>
      </bottom>
    </border>
    <border>
      <left style="thin">
        <color rgb="FF000000"/>
      </left>
    </border>
  </borders>
  <cellStyleXfs count="1">
    <xf borderId="0" fillId="0" fontId="0" numFmtId="0" applyAlignment="1" applyFont="1"/>
  </cellStyleXfs>
  <cellXfs count="547">
    <xf borderId="0" fillId="0" fontId="0" numFmtId="0" xfId="0" applyAlignment="1" applyFont="1">
      <alignment readingOrder="0" shrinkToFit="0" vertical="bottom" wrapText="0"/>
    </xf>
    <xf borderId="0" fillId="0" fontId="1" numFmtId="49" xfId="0" applyAlignment="1" applyFont="1" applyNumberFormat="1">
      <alignment readingOrder="0"/>
    </xf>
    <xf borderId="0" fillId="0" fontId="1" numFmtId="0" xfId="0" applyAlignment="1" applyFont="1">
      <alignment readingOrder="0"/>
    </xf>
    <xf borderId="0" fillId="0" fontId="2" numFmtId="49" xfId="0" applyAlignment="1" applyFont="1" applyNumberFormat="1">
      <alignment vertical="bottom"/>
    </xf>
    <xf borderId="0" fillId="0" fontId="1" numFmtId="14" xfId="0" applyAlignment="1" applyFont="1" applyNumberFormat="1">
      <alignment readingOrder="0"/>
    </xf>
    <xf borderId="0" fillId="2" fontId="1" numFmtId="0" xfId="0" applyAlignment="1" applyFill="1" applyFont="1">
      <alignment readingOrder="0"/>
    </xf>
    <xf borderId="0" fillId="3" fontId="1" numFmtId="14" xfId="0" applyAlignment="1" applyFill="1" applyFont="1" applyNumberFormat="1">
      <alignment readingOrder="0"/>
    </xf>
    <xf borderId="0" fillId="3" fontId="1" numFmtId="0" xfId="0" applyAlignment="1" applyFont="1">
      <alignment readingOrder="0"/>
    </xf>
    <xf borderId="0" fillId="0" fontId="1" numFmtId="0" xfId="0" applyAlignment="1" applyFont="1">
      <alignment readingOrder="0"/>
    </xf>
    <xf borderId="0" fillId="4" fontId="1" numFmtId="0" xfId="0" applyAlignment="1" applyFill="1" applyFont="1">
      <alignment readingOrder="0"/>
    </xf>
    <xf borderId="0" fillId="5" fontId="1" numFmtId="0" xfId="0" applyAlignment="1" applyFill="1" applyFont="1">
      <alignment readingOrder="0"/>
    </xf>
    <xf borderId="0" fillId="6" fontId="1" numFmtId="0" xfId="0" applyAlignment="1" applyFill="1" applyFont="1">
      <alignment readingOrder="0"/>
    </xf>
    <xf borderId="0" fillId="2" fontId="1" numFmtId="14" xfId="0" applyAlignment="1" applyFont="1" applyNumberFormat="1">
      <alignment readingOrder="0"/>
    </xf>
    <xf borderId="0" fillId="7" fontId="1" numFmtId="49" xfId="0" applyAlignment="1" applyFill="1" applyFont="1" applyNumberFormat="1">
      <alignment readingOrder="0"/>
    </xf>
    <xf borderId="0" fillId="2" fontId="1" numFmtId="49" xfId="0" applyAlignment="1" applyFont="1" applyNumberFormat="1">
      <alignment readingOrder="0"/>
    </xf>
    <xf borderId="0" fillId="0" fontId="3" numFmtId="0" xfId="0" applyAlignment="1" applyFont="1">
      <alignment readingOrder="0"/>
    </xf>
    <xf borderId="0" fillId="3" fontId="1" numFmtId="49" xfId="0" applyAlignment="1" applyFont="1" applyNumberFormat="1">
      <alignment readingOrder="0"/>
    </xf>
    <xf borderId="0" fillId="5" fontId="1" numFmtId="14" xfId="0" applyAlignment="1" applyFont="1" applyNumberFormat="1">
      <alignment readingOrder="0"/>
    </xf>
    <xf borderId="0" fillId="8" fontId="4" numFmtId="0" xfId="0" applyAlignment="1" applyFill="1" applyFont="1">
      <alignment horizontal="center" readingOrder="0"/>
    </xf>
    <xf borderId="1" fillId="9" fontId="3" numFmtId="0" xfId="0" applyAlignment="1" applyBorder="1" applyFill="1" applyFont="1">
      <alignment horizontal="center" readingOrder="0"/>
    </xf>
    <xf borderId="1" fillId="9" fontId="3" numFmtId="0" xfId="0" applyAlignment="1" applyBorder="1" applyFont="1">
      <alignment readingOrder="0"/>
    </xf>
    <xf borderId="1" fillId="0" fontId="1" numFmtId="0" xfId="0" applyAlignment="1" applyBorder="1" applyFont="1">
      <alignment readingOrder="0"/>
    </xf>
    <xf borderId="1" fillId="0" fontId="1" numFmtId="0" xfId="0" applyAlignment="1" applyBorder="1" applyFont="1">
      <alignment horizontal="center"/>
    </xf>
    <xf borderId="1" fillId="2" fontId="1" numFmtId="0" xfId="0" applyAlignment="1" applyBorder="1" applyFont="1">
      <alignment horizontal="center"/>
    </xf>
    <xf borderId="2" fillId="0" fontId="1" numFmtId="0" xfId="0" applyAlignment="1" applyBorder="1" applyFont="1">
      <alignment readingOrder="0"/>
    </xf>
    <xf borderId="2" fillId="0" fontId="1" numFmtId="0" xfId="0" applyAlignment="1" applyBorder="1" applyFont="1">
      <alignment horizontal="center"/>
    </xf>
    <xf borderId="2" fillId="2" fontId="1" numFmtId="0" xfId="0" applyAlignment="1" applyBorder="1" applyFont="1">
      <alignment horizontal="center"/>
    </xf>
    <xf borderId="3" fillId="9" fontId="3" numFmtId="0" xfId="0" applyAlignment="1" applyBorder="1" applyFont="1">
      <alignment readingOrder="0"/>
    </xf>
    <xf borderId="3" fillId="9" fontId="3" numFmtId="0" xfId="0" applyAlignment="1" applyBorder="1" applyFont="1">
      <alignment horizontal="center"/>
    </xf>
    <xf borderId="3" fillId="9" fontId="1" numFmtId="0" xfId="0" applyAlignment="1" applyBorder="1" applyFont="1">
      <alignment horizontal="center"/>
    </xf>
    <xf borderId="0" fillId="2" fontId="1" numFmtId="0" xfId="0" applyFont="1"/>
    <xf borderId="4" fillId="10" fontId="4" numFmtId="0" xfId="0" applyAlignment="1" applyBorder="1" applyFill="1" applyFont="1">
      <alignment horizontal="center" readingOrder="0"/>
    </xf>
    <xf borderId="5" fillId="0" fontId="5" numFmtId="0" xfId="0" applyBorder="1" applyFont="1"/>
    <xf borderId="6" fillId="0" fontId="5" numFmtId="0" xfId="0" applyBorder="1" applyFont="1"/>
    <xf borderId="7" fillId="9" fontId="3" numFmtId="0" xfId="0" applyAlignment="1" applyBorder="1" applyFont="1">
      <alignment horizontal="center" readingOrder="0"/>
    </xf>
    <xf borderId="3" fillId="11" fontId="3" numFmtId="164" xfId="0" applyAlignment="1" applyBorder="1" applyFill="1" applyFont="1" applyNumberFormat="1">
      <alignment horizontal="center" readingOrder="0"/>
    </xf>
    <xf borderId="3" fillId="0" fontId="1" numFmtId="0" xfId="0" applyAlignment="1" applyBorder="1" applyFont="1">
      <alignment horizontal="center" readingOrder="0"/>
    </xf>
    <xf borderId="3" fillId="0" fontId="1" numFmtId="10" xfId="0" applyAlignment="1" applyBorder="1" applyFont="1" applyNumberFormat="1">
      <alignment horizontal="center"/>
    </xf>
    <xf borderId="3" fillId="0" fontId="1" numFmtId="0" xfId="0" applyAlignment="1" applyBorder="1" applyFont="1">
      <alignment horizontal="center" readingOrder="0"/>
    </xf>
    <xf borderId="3" fillId="2" fontId="1" numFmtId="0" xfId="0" applyAlignment="1" applyBorder="1" applyFont="1">
      <alignment horizontal="center" readingOrder="0"/>
    </xf>
    <xf borderId="1" fillId="11" fontId="3" numFmtId="164" xfId="0" applyAlignment="1" applyBorder="1" applyFont="1" applyNumberFormat="1">
      <alignment horizontal="center" readingOrder="0"/>
    </xf>
    <xf borderId="1" fillId="0" fontId="1" numFmtId="0" xfId="0" applyAlignment="1" applyBorder="1" applyFont="1">
      <alignment horizontal="center" readingOrder="0"/>
    </xf>
    <xf borderId="1" fillId="0" fontId="1" numFmtId="10" xfId="0" applyAlignment="1" applyBorder="1" applyFont="1" applyNumberFormat="1">
      <alignment horizontal="center"/>
    </xf>
    <xf borderId="1" fillId="0" fontId="1" numFmtId="0" xfId="0" applyAlignment="1" applyBorder="1" applyFont="1">
      <alignment horizontal="center" readingOrder="0"/>
    </xf>
    <xf borderId="1" fillId="2" fontId="1" numFmtId="0" xfId="0" applyAlignment="1" applyBorder="1" applyFont="1">
      <alignment horizontal="center" readingOrder="0"/>
    </xf>
    <xf borderId="1" fillId="0" fontId="1" numFmtId="1" xfId="0" applyAlignment="1" applyBorder="1" applyFont="1" applyNumberFormat="1">
      <alignment horizontal="center" readingOrder="0"/>
    </xf>
    <xf borderId="8" fillId="11" fontId="3" numFmtId="164" xfId="0" applyAlignment="1" applyBorder="1" applyFont="1" applyNumberFormat="1">
      <alignment horizontal="center" readingOrder="0"/>
    </xf>
    <xf borderId="8" fillId="0" fontId="1" numFmtId="0" xfId="0" applyAlignment="1" applyBorder="1" applyFont="1">
      <alignment horizontal="center" readingOrder="0"/>
    </xf>
    <xf borderId="8" fillId="0" fontId="1" numFmtId="10" xfId="0" applyAlignment="1" applyBorder="1" applyFont="1" applyNumberFormat="1">
      <alignment horizontal="center"/>
    </xf>
    <xf borderId="8" fillId="0" fontId="1" numFmtId="0" xfId="0" applyAlignment="1" applyBorder="1" applyFont="1">
      <alignment horizontal="center" readingOrder="0"/>
    </xf>
    <xf borderId="9" fillId="9" fontId="3" numFmtId="164" xfId="0" applyAlignment="1" applyBorder="1" applyFont="1" applyNumberFormat="1">
      <alignment horizontal="center" readingOrder="0"/>
    </xf>
    <xf borderId="9" fillId="0" fontId="6" numFmtId="0" xfId="0" applyAlignment="1" applyBorder="1" applyFont="1">
      <alignment horizontal="center" readingOrder="0" vertical="bottom"/>
    </xf>
    <xf borderId="10" fillId="0" fontId="6" numFmtId="0" xfId="0" applyAlignment="1" applyBorder="1" applyFont="1">
      <alignment horizontal="center" readingOrder="0" vertical="bottom"/>
    </xf>
    <xf borderId="9" fillId="0" fontId="1" numFmtId="10" xfId="0" applyAlignment="1" applyBorder="1" applyFont="1" applyNumberFormat="1">
      <alignment horizontal="center"/>
    </xf>
    <xf borderId="9" fillId="0" fontId="6" numFmtId="1" xfId="0" applyAlignment="1" applyBorder="1" applyFont="1" applyNumberFormat="1">
      <alignment horizontal="center" readingOrder="0" vertical="bottom"/>
    </xf>
    <xf borderId="10" fillId="0" fontId="1" numFmtId="0" xfId="0" applyAlignment="1" applyBorder="1" applyFont="1">
      <alignment horizontal="center" readingOrder="0"/>
    </xf>
    <xf borderId="9" fillId="0" fontId="1" numFmtId="0" xfId="0" applyAlignment="1" applyBorder="1" applyFont="1">
      <alignment horizontal="center" readingOrder="0"/>
    </xf>
    <xf borderId="1" fillId="9" fontId="3" numFmtId="164" xfId="0" applyAlignment="1" applyBorder="1" applyFont="1" applyNumberFormat="1">
      <alignment horizontal="center" readingOrder="0"/>
    </xf>
    <xf borderId="3" fillId="0" fontId="6" numFmtId="0" xfId="0" applyAlignment="1" applyBorder="1" applyFont="1">
      <alignment horizontal="center" readingOrder="0" vertical="bottom"/>
    </xf>
    <xf borderId="11" fillId="0" fontId="6" numFmtId="0" xfId="0" applyAlignment="1" applyBorder="1" applyFont="1">
      <alignment horizontal="center" readingOrder="0" vertical="bottom"/>
    </xf>
    <xf borderId="3" fillId="0" fontId="6" numFmtId="1" xfId="0" applyAlignment="1" applyBorder="1" applyFont="1" applyNumberFormat="1">
      <alignment horizontal="center" readingOrder="0" vertical="bottom"/>
    </xf>
    <xf borderId="11" fillId="0" fontId="1" numFmtId="0" xfId="0" applyAlignment="1" applyBorder="1" applyFont="1">
      <alignment horizontal="center" readingOrder="0"/>
    </xf>
    <xf borderId="3" fillId="2" fontId="6" numFmtId="0" xfId="0" applyAlignment="1" applyBorder="1" applyFont="1">
      <alignment horizontal="center" readingOrder="0" vertical="bottom"/>
    </xf>
    <xf borderId="11" fillId="2" fontId="1" numFmtId="0" xfId="0" applyAlignment="1" applyBorder="1" applyFont="1">
      <alignment horizontal="center" readingOrder="0"/>
    </xf>
    <xf borderId="1" fillId="9" fontId="7" numFmtId="164" xfId="0" applyAlignment="1" applyBorder="1" applyFont="1" applyNumberFormat="1">
      <alignment horizontal="center" readingOrder="0"/>
    </xf>
    <xf borderId="11" fillId="2" fontId="8" numFmtId="0" xfId="0" applyAlignment="1" applyBorder="1" applyFont="1">
      <alignment horizontal="center" readingOrder="0"/>
    </xf>
    <xf borderId="1" fillId="2" fontId="8" numFmtId="0" xfId="0" applyAlignment="1" applyBorder="1" applyFont="1">
      <alignment horizontal="center" readingOrder="0"/>
    </xf>
    <xf borderId="1" fillId="0" fontId="8" numFmtId="0" xfId="0" applyAlignment="1" applyBorder="1" applyFont="1">
      <alignment horizontal="center" readingOrder="0"/>
    </xf>
    <xf borderId="11" fillId="2" fontId="6" numFmtId="0" xfId="0" applyAlignment="1" applyBorder="1" applyFont="1">
      <alignment horizontal="center" readingOrder="0" vertical="bottom"/>
    </xf>
    <xf borderId="2" fillId="9" fontId="3" numFmtId="164" xfId="0" applyAlignment="1" applyBorder="1" applyFont="1" applyNumberFormat="1">
      <alignment horizontal="center" readingOrder="0"/>
    </xf>
    <xf borderId="12" fillId="0" fontId="6" numFmtId="0" xfId="0" applyAlignment="1" applyBorder="1" applyFont="1">
      <alignment horizontal="center" readingOrder="0" vertical="bottom"/>
    </xf>
    <xf borderId="13" fillId="0" fontId="6" numFmtId="0" xfId="0" applyAlignment="1" applyBorder="1" applyFont="1">
      <alignment horizontal="center" readingOrder="0" vertical="bottom"/>
    </xf>
    <xf borderId="2" fillId="0" fontId="1" numFmtId="10" xfId="0" applyAlignment="1" applyBorder="1" applyFont="1" applyNumberFormat="1">
      <alignment horizontal="center"/>
    </xf>
    <xf borderId="12" fillId="2" fontId="6" numFmtId="0" xfId="0" applyAlignment="1" applyBorder="1" applyFont="1">
      <alignment horizontal="center" readingOrder="0" vertical="bottom"/>
    </xf>
    <xf borderId="13" fillId="2" fontId="6" numFmtId="0" xfId="0" applyAlignment="1" applyBorder="1" applyFont="1">
      <alignment horizontal="center" readingOrder="0" vertical="bottom"/>
    </xf>
    <xf borderId="13" fillId="0" fontId="1" numFmtId="0" xfId="0" applyAlignment="1" applyBorder="1" applyFont="1">
      <alignment horizontal="center" readingOrder="0"/>
    </xf>
    <xf borderId="2" fillId="0" fontId="1" numFmtId="0" xfId="0" applyAlignment="1" applyBorder="1" applyFont="1">
      <alignment horizontal="center" readingOrder="0"/>
    </xf>
    <xf borderId="3" fillId="10" fontId="3" numFmtId="164" xfId="0" applyAlignment="1" applyBorder="1" applyFont="1" applyNumberFormat="1">
      <alignment horizontal="center" readingOrder="0"/>
    </xf>
    <xf borderId="14" fillId="0" fontId="1" numFmtId="0" xfId="0" applyAlignment="1" applyBorder="1" applyFont="1">
      <alignment horizontal="center" readingOrder="0"/>
    </xf>
    <xf borderId="14" fillId="0" fontId="1" numFmtId="9" xfId="0" applyAlignment="1" applyBorder="1" applyFont="1" applyNumberFormat="1">
      <alignment horizontal="center"/>
    </xf>
    <xf borderId="15" fillId="0" fontId="6" numFmtId="0" xfId="0" applyAlignment="1" applyBorder="1" applyFont="1">
      <alignment horizontal="center" readingOrder="0" vertical="bottom"/>
    </xf>
    <xf borderId="15" fillId="0" fontId="1" numFmtId="0" xfId="0" applyAlignment="1" applyBorder="1" applyFont="1">
      <alignment horizontal="center" readingOrder="0"/>
    </xf>
    <xf borderId="16" fillId="10" fontId="3" numFmtId="164" xfId="0" applyAlignment="1" applyBorder="1" applyFont="1" applyNumberFormat="1">
      <alignment horizontal="center" readingOrder="0"/>
    </xf>
    <xf borderId="8" fillId="0" fontId="1" numFmtId="9" xfId="0" applyAlignment="1" applyBorder="1" applyFont="1" applyNumberFormat="1">
      <alignment horizontal="center"/>
    </xf>
    <xf borderId="1" fillId="10" fontId="3" numFmtId="164" xfId="0" applyAlignment="1" applyBorder="1" applyFont="1" applyNumberFormat="1">
      <alignment horizontal="center" readingOrder="0"/>
    </xf>
    <xf borderId="8" fillId="2" fontId="1" numFmtId="9" xfId="0" applyAlignment="1" applyBorder="1" applyFont="1" applyNumberFormat="1">
      <alignment horizontal="center"/>
    </xf>
    <xf borderId="8" fillId="2" fontId="1" numFmtId="0" xfId="0" applyAlignment="1" applyBorder="1" applyFont="1">
      <alignment horizontal="center" readingOrder="0"/>
    </xf>
    <xf borderId="1" fillId="2" fontId="1" numFmtId="9" xfId="0" applyAlignment="1" applyBorder="1" applyFont="1" applyNumberFormat="1">
      <alignment horizontal="center"/>
    </xf>
    <xf borderId="1" fillId="0" fontId="1" numFmtId="0" xfId="0" applyAlignment="1" applyBorder="1" applyFont="1">
      <alignment horizontal="center"/>
    </xf>
    <xf borderId="8" fillId="10" fontId="3" numFmtId="164" xfId="0" applyAlignment="1" applyBorder="1" applyFont="1" applyNumberFormat="1">
      <alignment horizontal="center" readingOrder="0"/>
    </xf>
    <xf borderId="17" fillId="12" fontId="3" numFmtId="164" xfId="0" applyAlignment="1" applyBorder="1" applyFill="1" applyFont="1" applyNumberFormat="1">
      <alignment horizontal="center" readingOrder="0"/>
    </xf>
    <xf borderId="17" fillId="0" fontId="1" numFmtId="0" xfId="0" applyAlignment="1" applyBorder="1" applyFont="1">
      <alignment horizontal="center" readingOrder="0"/>
    </xf>
    <xf borderId="17" fillId="2" fontId="1" numFmtId="9" xfId="0" applyAlignment="1" applyBorder="1" applyFont="1" applyNumberFormat="1">
      <alignment horizontal="center"/>
    </xf>
    <xf borderId="1" fillId="12" fontId="3" numFmtId="164" xfId="0" applyAlignment="1" applyBorder="1" applyFont="1" applyNumberFormat="1">
      <alignment horizontal="center" readingOrder="0"/>
    </xf>
    <xf borderId="1" fillId="6" fontId="1" numFmtId="0" xfId="0" applyAlignment="1" applyBorder="1" applyFont="1">
      <alignment horizontal="center" readingOrder="0"/>
    </xf>
    <xf borderId="1" fillId="0" fontId="1" numFmtId="0" xfId="0" applyBorder="1" applyFont="1"/>
    <xf borderId="4" fillId="11" fontId="4" numFmtId="0" xfId="0" applyAlignment="1" applyBorder="1" applyFont="1">
      <alignment horizontal="center" readingOrder="0"/>
    </xf>
    <xf borderId="4" fillId="13" fontId="4" numFmtId="0" xfId="0" applyAlignment="1" applyBorder="1" applyFill="1" applyFont="1">
      <alignment horizontal="center" readingOrder="0"/>
    </xf>
    <xf borderId="2" fillId="9" fontId="3" numFmtId="0" xfId="0" applyAlignment="1" applyBorder="1" applyFont="1">
      <alignment horizontal="center" readingOrder="0"/>
    </xf>
    <xf borderId="14" fillId="6" fontId="1" numFmtId="9" xfId="0" applyAlignment="1" applyBorder="1" applyFont="1" applyNumberFormat="1">
      <alignment horizontal="center"/>
    </xf>
    <xf borderId="18" fillId="13" fontId="3" numFmtId="164" xfId="0" applyAlignment="1" applyBorder="1" applyFont="1" applyNumberFormat="1">
      <alignment horizontal="center" readingOrder="0"/>
    </xf>
    <xf borderId="3" fillId="6" fontId="1" numFmtId="9" xfId="0" applyAlignment="1" applyBorder="1" applyFont="1" applyNumberFormat="1">
      <alignment horizontal="center"/>
    </xf>
    <xf borderId="4" fillId="0" fontId="1" numFmtId="0" xfId="0" applyAlignment="1" applyBorder="1" applyFont="1">
      <alignment horizontal="center" readingOrder="0"/>
    </xf>
    <xf borderId="1" fillId="6" fontId="1" numFmtId="9" xfId="0" applyAlignment="1" applyBorder="1" applyFont="1" applyNumberFormat="1">
      <alignment horizontal="center"/>
    </xf>
    <xf borderId="6" fillId="0" fontId="1" numFmtId="0" xfId="0" applyAlignment="1" applyBorder="1" applyFont="1">
      <alignment horizontal="center" readingOrder="0"/>
    </xf>
    <xf borderId="4" fillId="13" fontId="3" numFmtId="164" xfId="0" applyAlignment="1" applyBorder="1" applyFont="1" applyNumberFormat="1">
      <alignment horizontal="center" readingOrder="0"/>
    </xf>
    <xf borderId="8" fillId="6" fontId="1" numFmtId="9" xfId="0" applyAlignment="1" applyBorder="1" applyFont="1" applyNumberFormat="1">
      <alignment horizontal="center"/>
    </xf>
    <xf borderId="16" fillId="13" fontId="3" numFmtId="164" xfId="0" applyAlignment="1" applyBorder="1" applyFont="1" applyNumberFormat="1">
      <alignment horizontal="center" readingOrder="0"/>
    </xf>
    <xf borderId="17" fillId="14" fontId="3" numFmtId="164" xfId="0" applyAlignment="1" applyBorder="1" applyFill="1" applyFont="1" applyNumberFormat="1">
      <alignment horizontal="center" readingOrder="0"/>
    </xf>
    <xf borderId="17" fillId="6" fontId="1" numFmtId="9" xfId="0" applyAlignment="1" applyBorder="1" applyFont="1" applyNumberFormat="1">
      <alignment horizontal="center"/>
    </xf>
    <xf borderId="19" fillId="11" fontId="3" numFmtId="164" xfId="0" applyAlignment="1" applyBorder="1" applyFont="1" applyNumberFormat="1">
      <alignment horizontal="center" readingOrder="0"/>
    </xf>
    <xf borderId="1" fillId="14" fontId="3" numFmtId="164" xfId="0" applyAlignment="1" applyBorder="1" applyFont="1" applyNumberFormat="1">
      <alignment horizontal="center" readingOrder="0"/>
    </xf>
    <xf borderId="4" fillId="11" fontId="3" numFmtId="164" xfId="0" applyAlignment="1" applyBorder="1" applyFont="1" applyNumberFormat="1">
      <alignment horizontal="center" readingOrder="0"/>
    </xf>
    <xf borderId="0" fillId="0" fontId="1" numFmtId="0" xfId="0" applyAlignment="1" applyFont="1">
      <alignment horizontal="center"/>
    </xf>
    <xf borderId="0" fillId="2" fontId="2" numFmtId="0" xfId="0" applyAlignment="1" applyFont="1">
      <alignment horizontal="center" vertical="bottom"/>
    </xf>
    <xf borderId="0" fillId="2" fontId="9" numFmtId="0" xfId="0" applyAlignment="1" applyFont="1">
      <alignment horizontal="center" readingOrder="0" vertical="bottom"/>
    </xf>
    <xf borderId="0" fillId="2" fontId="9" numFmtId="0" xfId="0" applyAlignment="1" applyFont="1">
      <alignment horizontal="center" vertical="bottom"/>
    </xf>
    <xf borderId="0" fillId="2" fontId="9" numFmtId="10" xfId="0" applyAlignment="1" applyFont="1" applyNumberFormat="1">
      <alignment horizontal="center" vertical="bottom"/>
    </xf>
    <xf borderId="20" fillId="15" fontId="10" numFmtId="0" xfId="0" applyAlignment="1" applyBorder="1" applyFill="1" applyFont="1">
      <alignment horizontal="center" readingOrder="0"/>
    </xf>
    <xf borderId="21" fillId="0" fontId="5" numFmtId="0" xfId="0" applyBorder="1" applyFont="1"/>
    <xf borderId="22" fillId="0" fontId="5" numFmtId="0" xfId="0" applyBorder="1" applyFont="1"/>
    <xf borderId="1" fillId="4" fontId="2" numFmtId="0" xfId="0" applyAlignment="1" applyBorder="1" applyFont="1">
      <alignment horizontal="center" vertical="bottom"/>
    </xf>
    <xf borderId="4" fillId="4" fontId="2" numFmtId="0" xfId="0" applyAlignment="1" applyBorder="1" applyFont="1">
      <alignment horizontal="center" readingOrder="0" vertical="bottom"/>
    </xf>
    <xf borderId="23" fillId="15" fontId="9" numFmtId="0" xfId="0" applyAlignment="1" applyBorder="1" applyFont="1">
      <alignment horizontal="center" readingOrder="0" vertical="bottom"/>
    </xf>
    <xf borderId="24" fillId="15" fontId="9" numFmtId="0" xfId="0" applyAlignment="1" applyBorder="1" applyFont="1">
      <alignment horizontal="center" readingOrder="0" vertical="bottom"/>
    </xf>
    <xf borderId="24" fillId="15" fontId="3" numFmtId="0" xfId="0" applyAlignment="1" applyBorder="1" applyFont="1">
      <alignment horizontal="center" readingOrder="0"/>
    </xf>
    <xf borderId="24" fillId="15" fontId="9" numFmtId="0" xfId="0" applyAlignment="1" applyBorder="1" applyFont="1">
      <alignment horizontal="center" vertical="bottom"/>
    </xf>
    <xf borderId="25" fillId="15" fontId="3" numFmtId="0" xfId="0" applyAlignment="1" applyBorder="1" applyFont="1">
      <alignment horizontal="center" readingOrder="0"/>
    </xf>
    <xf borderId="0" fillId="0" fontId="2" numFmtId="164" xfId="0" applyAlignment="1" applyFont="1" applyNumberFormat="1">
      <alignment horizontal="center" readingOrder="0" vertical="bottom"/>
    </xf>
    <xf borderId="0" fillId="0" fontId="2" numFmtId="0" xfId="0" applyAlignment="1" applyFont="1">
      <alignment horizontal="center" readingOrder="0" vertical="bottom"/>
    </xf>
    <xf borderId="26" fillId="2" fontId="6" numFmtId="0" xfId="0" applyAlignment="1" applyBorder="1" applyFont="1">
      <alignment horizontal="center" readingOrder="0"/>
    </xf>
    <xf borderId="0" fillId="0" fontId="2" numFmtId="0" xfId="0" applyAlignment="1" applyFont="1">
      <alignment horizontal="center" vertical="bottom"/>
    </xf>
    <xf borderId="0" fillId="0" fontId="2" numFmtId="10" xfId="0" applyAlignment="1" applyFont="1" applyNumberFormat="1">
      <alignment horizontal="center" vertical="bottom"/>
    </xf>
    <xf borderId="27" fillId="0" fontId="1" numFmtId="0" xfId="0" applyAlignment="1" applyBorder="1" applyFont="1">
      <alignment horizontal="center"/>
    </xf>
    <xf borderId="26" fillId="0" fontId="2" numFmtId="0" xfId="0" applyAlignment="1" applyBorder="1" applyFont="1">
      <alignment horizontal="center" vertical="bottom"/>
    </xf>
    <xf borderId="0" fillId="15" fontId="2" numFmtId="0" xfId="0" applyAlignment="1" applyFont="1">
      <alignment horizontal="center" vertical="bottom"/>
    </xf>
    <xf borderId="20" fillId="15" fontId="9" numFmtId="0" xfId="0" applyAlignment="1" applyBorder="1" applyFont="1">
      <alignment horizontal="center" readingOrder="0" vertical="bottom"/>
    </xf>
    <xf borderId="21" fillId="15" fontId="9" numFmtId="0" xfId="0" applyAlignment="1" applyBorder="1" applyFont="1">
      <alignment horizontal="center" vertical="bottom"/>
    </xf>
    <xf borderId="21" fillId="15" fontId="9" numFmtId="10" xfId="0" applyAlignment="1" applyBorder="1" applyFont="1" applyNumberFormat="1">
      <alignment horizontal="center" vertical="bottom"/>
    </xf>
    <xf borderId="22" fillId="15" fontId="9" numFmtId="0" xfId="0" applyAlignment="1" applyBorder="1" applyFont="1">
      <alignment horizontal="center" vertical="bottom"/>
    </xf>
    <xf borderId="0" fillId="0" fontId="2" numFmtId="0" xfId="0" applyAlignment="1" applyFont="1">
      <alignment vertical="bottom"/>
    </xf>
    <xf borderId="26" fillId="12" fontId="2" numFmtId="0" xfId="0" applyAlignment="1" applyBorder="1" applyFont="1">
      <alignment horizontal="center" readingOrder="0" vertical="bottom"/>
    </xf>
    <xf borderId="26" fillId="0" fontId="2" numFmtId="0" xfId="0" applyAlignment="1" applyBorder="1" applyFont="1">
      <alignment horizontal="center" readingOrder="0" vertical="bottom"/>
    </xf>
    <xf borderId="28" fillId="10" fontId="11" numFmtId="0" xfId="0" applyAlignment="1" applyBorder="1" applyFont="1">
      <alignment horizontal="center" readingOrder="0" vertical="bottom"/>
    </xf>
    <xf borderId="28" fillId="0" fontId="5" numFmtId="0" xfId="0" applyBorder="1" applyFont="1"/>
    <xf borderId="0" fillId="9" fontId="3" numFmtId="0" xfId="0" applyAlignment="1" applyFont="1">
      <alignment horizontal="center" readingOrder="0"/>
    </xf>
    <xf borderId="29" fillId="15" fontId="9" numFmtId="0" xfId="0" applyAlignment="1" applyBorder="1" applyFont="1">
      <alignment horizontal="center" readingOrder="0" vertical="bottom"/>
    </xf>
    <xf borderId="30" fillId="15" fontId="9" numFmtId="0" xfId="0" applyAlignment="1" applyBorder="1" applyFont="1">
      <alignment horizontal="center" readingOrder="0" vertical="bottom"/>
    </xf>
    <xf borderId="30" fillId="15" fontId="3" numFmtId="0" xfId="0" applyAlignment="1" applyBorder="1" applyFont="1">
      <alignment horizontal="center" readingOrder="0"/>
    </xf>
    <xf borderId="30" fillId="15" fontId="9" numFmtId="0" xfId="0" applyAlignment="1" applyBorder="1" applyFont="1">
      <alignment horizontal="center" vertical="bottom"/>
    </xf>
    <xf borderId="31" fillId="15" fontId="3" numFmtId="0" xfId="0" applyAlignment="1" applyBorder="1" applyFont="1">
      <alignment horizontal="center" readingOrder="0"/>
    </xf>
    <xf borderId="6" fillId="9" fontId="3" numFmtId="0" xfId="0" applyAlignment="1" applyBorder="1" applyFont="1">
      <alignment horizontal="center" readingOrder="0"/>
    </xf>
    <xf borderId="32" fillId="0" fontId="1" numFmtId="0" xfId="0" applyAlignment="1" applyBorder="1" applyFont="1">
      <alignment horizontal="center"/>
    </xf>
    <xf borderId="26" fillId="11" fontId="2" numFmtId="0" xfId="0" applyAlignment="1" applyBorder="1" applyFont="1">
      <alignment horizontal="center" vertical="bottom"/>
    </xf>
    <xf borderId="0" fillId="11" fontId="2" numFmtId="0" xfId="0" applyAlignment="1" applyFont="1">
      <alignment horizontal="center" vertical="bottom"/>
    </xf>
    <xf borderId="0" fillId="11" fontId="1" numFmtId="0" xfId="0" applyAlignment="1" applyFont="1">
      <alignment horizontal="center"/>
    </xf>
    <xf borderId="0" fillId="11" fontId="2" numFmtId="10" xfId="0" applyAlignment="1" applyFont="1" applyNumberFormat="1">
      <alignment horizontal="center" vertical="bottom"/>
    </xf>
    <xf borderId="32" fillId="11" fontId="1" numFmtId="0" xfId="0" applyAlignment="1" applyBorder="1" applyFont="1">
      <alignment horizontal="center"/>
    </xf>
    <xf borderId="33" fillId="15" fontId="3" numFmtId="0" xfId="0" applyAlignment="1" applyBorder="1" applyFont="1">
      <alignment horizontal="center"/>
    </xf>
    <xf borderId="33" fillId="0" fontId="5" numFmtId="0" xfId="0" applyBorder="1" applyFont="1"/>
    <xf borderId="34" fillId="15" fontId="3" numFmtId="0" xfId="0" applyAlignment="1" applyBorder="1" applyFont="1">
      <alignment horizontal="center" readingOrder="0"/>
    </xf>
    <xf borderId="0" fillId="5" fontId="2" numFmtId="0" xfId="0" applyAlignment="1" applyFont="1">
      <alignment horizontal="center" readingOrder="0" vertical="bottom"/>
    </xf>
    <xf borderId="0" fillId="0" fontId="1" numFmtId="0" xfId="0" applyAlignment="1" applyFont="1">
      <alignment horizontal="center" readingOrder="0"/>
    </xf>
    <xf borderId="26" fillId="2" fontId="2" numFmtId="0" xfId="0" applyAlignment="1" applyBorder="1" applyFont="1">
      <alignment horizontal="center" vertical="bottom"/>
    </xf>
    <xf borderId="0" fillId="0" fontId="1" numFmtId="0" xfId="0" applyFont="1"/>
    <xf borderId="0" fillId="4" fontId="2" numFmtId="0" xfId="0" applyAlignment="1" applyFont="1">
      <alignment horizontal="center" vertical="bottom"/>
    </xf>
    <xf borderId="26" fillId="16" fontId="2" numFmtId="0" xfId="0" applyAlignment="1" applyBorder="1" applyFill="1" applyFont="1">
      <alignment horizontal="center" vertical="bottom"/>
    </xf>
    <xf borderId="26" fillId="16" fontId="2" numFmtId="0" xfId="0" applyAlignment="1" applyBorder="1" applyFont="1">
      <alignment horizontal="center" readingOrder="0" vertical="bottom"/>
    </xf>
    <xf borderId="0" fillId="4" fontId="2" numFmtId="0" xfId="0" applyAlignment="1" applyFont="1">
      <alignment vertical="bottom"/>
    </xf>
    <xf borderId="0" fillId="4" fontId="1" numFmtId="0" xfId="0" applyFont="1"/>
    <xf borderId="26" fillId="7" fontId="2" numFmtId="0" xfId="0" applyAlignment="1" applyBorder="1" applyFont="1">
      <alignment horizontal="center" vertical="bottom"/>
    </xf>
    <xf borderId="0" fillId="2" fontId="1" numFmtId="0" xfId="0" applyAlignment="1" applyFont="1">
      <alignment horizontal="center"/>
    </xf>
    <xf borderId="0" fillId="2" fontId="2" numFmtId="10" xfId="0" applyAlignment="1" applyFont="1" applyNumberFormat="1">
      <alignment horizontal="center" vertical="bottom"/>
    </xf>
    <xf borderId="32" fillId="2" fontId="1" numFmtId="0" xfId="0" applyAlignment="1" applyBorder="1" applyFont="1">
      <alignment horizontal="center"/>
    </xf>
    <xf borderId="26" fillId="7" fontId="2" numFmtId="0" xfId="0" applyAlignment="1" applyBorder="1" applyFont="1">
      <alignment horizontal="center" readingOrder="0" vertical="bottom"/>
    </xf>
    <xf borderId="0" fillId="2" fontId="12" numFmtId="0" xfId="0" applyAlignment="1" applyFont="1">
      <alignment horizontal="center" readingOrder="0"/>
    </xf>
    <xf borderId="0" fillId="0" fontId="9" numFmtId="0" xfId="0" applyAlignment="1" applyFont="1">
      <alignment horizontal="center" readingOrder="0" vertical="bottom"/>
    </xf>
    <xf borderId="0" fillId="0" fontId="3" numFmtId="0" xfId="0" applyAlignment="1" applyFont="1">
      <alignment horizontal="center" readingOrder="0"/>
    </xf>
    <xf borderId="0" fillId="17" fontId="2" numFmtId="0" xfId="0" applyAlignment="1" applyFill="1" applyFont="1">
      <alignment horizontal="center" vertical="bottom"/>
    </xf>
    <xf borderId="26" fillId="0" fontId="9" numFmtId="0" xfId="0" applyAlignment="1" applyBorder="1" applyFont="1">
      <alignment horizontal="center" readingOrder="0" vertical="bottom"/>
    </xf>
    <xf borderId="35" fillId="15" fontId="9" numFmtId="0" xfId="0" applyAlignment="1" applyBorder="1" applyFont="1">
      <alignment horizontal="center" vertical="bottom"/>
    </xf>
    <xf borderId="21" fillId="18" fontId="11" numFmtId="0" xfId="0" applyAlignment="1" applyBorder="1" applyFill="1" applyFont="1">
      <alignment horizontal="center" readingOrder="0" vertical="bottom"/>
    </xf>
    <xf borderId="26" fillId="7" fontId="13" numFmtId="0" xfId="0" applyAlignment="1" applyBorder="1" applyFont="1">
      <alignment horizontal="center" readingOrder="0"/>
    </xf>
    <xf borderId="26" fillId="7" fontId="6" numFmtId="0" xfId="0" applyAlignment="1" applyBorder="1" applyFont="1">
      <alignment horizontal="center" readingOrder="0"/>
    </xf>
    <xf borderId="0" fillId="0" fontId="1" numFmtId="0" xfId="0" applyAlignment="1" applyFont="1">
      <alignment horizontal="left" readingOrder="0"/>
    </xf>
    <xf borderId="0" fillId="0" fontId="1" numFmtId="0" xfId="0" applyAlignment="1" applyFont="1">
      <alignment horizontal="left"/>
    </xf>
    <xf borderId="26" fillId="0" fontId="6" numFmtId="0" xfId="0" applyAlignment="1" applyBorder="1" applyFont="1">
      <alignment horizontal="center" readingOrder="0"/>
    </xf>
    <xf borderId="0" fillId="0" fontId="1" numFmtId="0" xfId="0" applyAlignment="1" applyFont="1">
      <alignment horizontal="right" readingOrder="0"/>
    </xf>
    <xf borderId="0" fillId="0" fontId="1" numFmtId="0" xfId="0" applyAlignment="1" applyFont="1">
      <alignment horizontal="right"/>
    </xf>
    <xf borderId="0" fillId="0" fontId="1" numFmtId="0" xfId="0" applyAlignment="1" applyFont="1">
      <alignment horizontal="center" readingOrder="0"/>
    </xf>
    <xf borderId="0" fillId="0" fontId="2" numFmtId="0" xfId="0" applyAlignment="1" applyFont="1">
      <alignment horizontal="center" readingOrder="0" vertical="bottom"/>
    </xf>
    <xf borderId="26" fillId="0" fontId="2" numFmtId="0" xfId="0" applyAlignment="1" applyBorder="1" applyFont="1">
      <alignment horizontal="center" readingOrder="0" vertical="bottom"/>
    </xf>
    <xf borderId="21" fillId="19" fontId="11" numFmtId="0" xfId="0" applyAlignment="1" applyBorder="1" applyFill="1" applyFont="1">
      <alignment horizontal="center" readingOrder="0" vertical="bottom"/>
    </xf>
    <xf borderId="0" fillId="2" fontId="1" numFmtId="0" xfId="0" applyAlignment="1" applyFont="1">
      <alignment horizontal="center" readingOrder="0"/>
    </xf>
    <xf borderId="0" fillId="20" fontId="2" numFmtId="0" xfId="0" applyAlignment="1" applyFill="1" applyFont="1">
      <alignment horizontal="center" vertical="bottom"/>
    </xf>
    <xf borderId="0" fillId="20" fontId="2" numFmtId="0" xfId="0" applyAlignment="1" applyFont="1">
      <alignment horizontal="center" readingOrder="0" vertical="bottom"/>
    </xf>
    <xf borderId="0" fillId="21" fontId="2" numFmtId="0" xfId="0" applyAlignment="1" applyFill="1" applyFont="1">
      <alignment horizontal="center" vertical="bottom"/>
    </xf>
    <xf borderId="0" fillId="22" fontId="2" numFmtId="0" xfId="0" applyAlignment="1" applyFill="1" applyFont="1">
      <alignment horizontal="center" vertical="bottom"/>
    </xf>
    <xf borderId="0" fillId="21" fontId="1" numFmtId="0" xfId="0" applyFont="1"/>
    <xf borderId="0" fillId="6" fontId="1" numFmtId="0" xfId="0" applyFont="1"/>
    <xf borderId="21" fillId="23" fontId="11" numFmtId="0" xfId="0" applyAlignment="1" applyBorder="1" applyFill="1" applyFont="1">
      <alignment horizontal="center" readingOrder="0" vertical="bottom"/>
    </xf>
    <xf borderId="8" fillId="4" fontId="7" numFmtId="0" xfId="0" applyAlignment="1" applyBorder="1" applyFont="1">
      <alignment horizontal="center" readingOrder="0" shrinkToFit="0" vertical="center" wrapText="1"/>
    </xf>
    <xf borderId="8" fillId="4" fontId="7" numFmtId="0" xfId="0" applyAlignment="1" applyBorder="1" applyFont="1">
      <alignment horizontal="center" shrinkToFit="0" vertical="center" wrapText="1"/>
    </xf>
    <xf borderId="8" fillId="2" fontId="7" numFmtId="0" xfId="0" applyAlignment="1" applyBorder="1" applyFont="1">
      <alignment horizontal="center" shrinkToFit="0" vertical="center" wrapText="1"/>
    </xf>
    <xf borderId="2" fillId="2" fontId="7" numFmtId="10" xfId="0" applyAlignment="1" applyBorder="1" applyFont="1" applyNumberFormat="1">
      <alignment horizontal="center" shrinkToFit="0" vertical="center" wrapText="1"/>
    </xf>
    <xf borderId="2" fillId="2" fontId="7" numFmtId="0" xfId="0" applyAlignment="1" applyBorder="1" applyFont="1">
      <alignment horizontal="center" shrinkToFit="0" vertical="center" wrapText="1"/>
    </xf>
    <xf borderId="2" fillId="4" fontId="7" numFmtId="165" xfId="0" applyAlignment="1" applyBorder="1" applyFont="1" applyNumberFormat="1">
      <alignment horizontal="center" shrinkToFit="0" vertical="center" wrapText="1"/>
    </xf>
    <xf borderId="36" fillId="4" fontId="7" numFmtId="165" xfId="0" applyAlignment="1" applyBorder="1" applyFont="1" applyNumberFormat="1">
      <alignment horizontal="center" shrinkToFit="0" vertical="center" wrapText="1"/>
    </xf>
    <xf borderId="37" fillId="4" fontId="7" numFmtId="165" xfId="0" applyAlignment="1" applyBorder="1" applyFont="1" applyNumberFormat="1">
      <alignment horizontal="center" shrinkToFit="0" vertical="center" wrapText="1"/>
    </xf>
    <xf borderId="2" fillId="4" fontId="7" numFmtId="0" xfId="0" applyAlignment="1" applyBorder="1" applyFont="1">
      <alignment horizontal="center" shrinkToFit="0" vertical="center" wrapText="1"/>
    </xf>
    <xf borderId="36" fillId="2" fontId="7" numFmtId="0" xfId="0" applyAlignment="1" applyBorder="1" applyFont="1">
      <alignment horizontal="center" shrinkToFit="0" vertical="center" wrapText="1"/>
    </xf>
    <xf borderId="37" fillId="0" fontId="7" numFmtId="165" xfId="0" applyAlignment="1" applyBorder="1" applyFont="1" applyNumberFormat="1">
      <alignment horizontal="center" shrinkToFit="0" vertical="center" wrapText="1"/>
    </xf>
    <xf borderId="2" fillId="2" fontId="7" numFmtId="165" xfId="0" applyAlignment="1" applyBorder="1" applyFont="1" applyNumberFormat="1">
      <alignment horizontal="center" shrinkToFit="0" vertical="center" wrapText="1"/>
    </xf>
    <xf borderId="38" fillId="2" fontId="7" numFmtId="165" xfId="0" applyAlignment="1" applyBorder="1" applyFont="1" applyNumberFormat="1">
      <alignment horizontal="center" shrinkToFit="0" vertical="center" wrapText="1"/>
    </xf>
    <xf borderId="37" fillId="2" fontId="7" numFmtId="165" xfId="0" applyAlignment="1" applyBorder="1" applyFont="1" applyNumberFormat="1">
      <alignment horizontal="center" shrinkToFit="0" vertical="center" wrapText="1"/>
    </xf>
    <xf borderId="2" fillId="0" fontId="7" numFmtId="165" xfId="0" applyAlignment="1" applyBorder="1" applyFont="1" applyNumberFormat="1">
      <alignment horizontal="center" shrinkToFit="0" vertical="center" wrapText="1"/>
    </xf>
    <xf borderId="2" fillId="4" fontId="7" numFmtId="14" xfId="0" applyAlignment="1" applyBorder="1" applyFont="1" applyNumberFormat="1">
      <alignment horizontal="center" readingOrder="0" shrinkToFit="0" vertical="center" wrapText="1"/>
    </xf>
    <xf borderId="4" fillId="18" fontId="11" numFmtId="0" xfId="0" applyAlignment="1" applyBorder="1" applyFont="1">
      <alignment horizontal="center" readingOrder="0" vertical="center"/>
    </xf>
    <xf borderId="0" fillId="18" fontId="2" numFmtId="10" xfId="0" applyAlignment="1" applyFont="1" applyNumberFormat="1">
      <alignment horizontal="center" vertical="center"/>
    </xf>
    <xf borderId="0" fillId="18" fontId="2" numFmtId="10" xfId="0" applyAlignment="1" applyFont="1" applyNumberFormat="1">
      <alignment vertical="center"/>
    </xf>
    <xf borderId="0" fillId="18" fontId="2" numFmtId="0" xfId="0" applyAlignment="1" applyFont="1">
      <alignment horizontal="center" vertical="center"/>
    </xf>
    <xf borderId="27" fillId="18" fontId="2" numFmtId="14" xfId="0" applyAlignment="1" applyBorder="1" applyFont="1" applyNumberFormat="1">
      <alignment horizontal="center" readingOrder="0" vertical="center"/>
    </xf>
    <xf borderId="0" fillId="18" fontId="8" numFmtId="14" xfId="0" applyAlignment="1" applyFont="1" applyNumberFormat="1">
      <alignment horizontal="left" vertical="center"/>
    </xf>
    <xf borderId="0" fillId="18" fontId="2" numFmtId="0" xfId="0" applyAlignment="1" applyFont="1">
      <alignment horizontal="right" vertical="center"/>
    </xf>
    <xf borderId="0" fillId="18" fontId="2" numFmtId="0" xfId="0" applyAlignment="1" applyFont="1">
      <alignment horizontal="left" vertical="center"/>
    </xf>
    <xf borderId="27" fillId="18" fontId="2" numFmtId="0" xfId="0" applyAlignment="1" applyBorder="1" applyFont="1">
      <alignment horizontal="center" vertical="center"/>
    </xf>
    <xf borderId="39" fillId="24" fontId="14" numFmtId="3" xfId="0" applyAlignment="1" applyBorder="1" applyFill="1" applyFont="1" applyNumberFormat="1">
      <alignment horizontal="center" readingOrder="0" vertical="center"/>
    </xf>
    <xf borderId="39" fillId="0" fontId="5" numFmtId="0" xfId="0" applyBorder="1" applyFont="1"/>
    <xf borderId="39" fillId="24" fontId="2" numFmtId="10" xfId="0" applyAlignment="1" applyBorder="1" applyFont="1" applyNumberFormat="1">
      <alignment horizontal="center" vertical="center"/>
    </xf>
    <xf borderId="39" fillId="24" fontId="2" numFmtId="10" xfId="0" applyAlignment="1" applyBorder="1" applyFont="1" applyNumberFormat="1">
      <alignment vertical="center"/>
    </xf>
    <xf borderId="39" fillId="24" fontId="9" numFmtId="49" xfId="0" applyAlignment="1" applyBorder="1" applyFont="1" applyNumberFormat="1">
      <alignment horizontal="center" vertical="center"/>
    </xf>
    <xf borderId="40" fillId="24" fontId="2" numFmtId="10" xfId="0" applyAlignment="1" applyBorder="1" applyFont="1" applyNumberFormat="1">
      <alignment horizontal="center" vertical="center"/>
    </xf>
    <xf borderId="40" fillId="24" fontId="2" numFmtId="10" xfId="0" applyAlignment="1" applyBorder="1" applyFont="1" applyNumberFormat="1">
      <alignment vertical="center"/>
    </xf>
    <xf borderId="39" fillId="24" fontId="2" numFmtId="0" xfId="0" applyAlignment="1" applyBorder="1" applyFont="1">
      <alignment horizontal="center" vertical="center"/>
    </xf>
    <xf borderId="41" fillId="9" fontId="15" numFmtId="0" xfId="0" applyAlignment="1" applyBorder="1" applyFont="1">
      <alignment horizontal="center" readingOrder="0"/>
    </xf>
    <xf borderId="42" fillId="0" fontId="5" numFmtId="0" xfId="0" applyBorder="1" applyFont="1"/>
    <xf borderId="10" fillId="0" fontId="5" numFmtId="0" xfId="0" applyBorder="1" applyFont="1"/>
    <xf borderId="43" fillId="0" fontId="2" numFmtId="0" xfId="0" applyAlignment="1" applyBorder="1" applyFont="1">
      <alignment horizontal="center" vertical="center"/>
    </xf>
    <xf borderId="0" fillId="0" fontId="2" numFmtId="3" xfId="0" applyAlignment="1" applyFont="1" applyNumberFormat="1">
      <alignment horizontal="center" readingOrder="0" vertical="center"/>
    </xf>
    <xf borderId="0" fillId="0" fontId="2" numFmtId="0" xfId="0" applyAlignment="1" applyFont="1">
      <alignment readingOrder="0" vertical="center"/>
    </xf>
    <xf borderId="0" fillId="2" fontId="2" numFmtId="0" xfId="0" applyAlignment="1" applyFont="1">
      <alignment horizontal="left" vertical="center"/>
    </xf>
    <xf borderId="0" fillId="2" fontId="2" numFmtId="0" xfId="0" applyAlignment="1" applyFont="1">
      <alignment horizontal="center" readingOrder="0" vertical="center"/>
    </xf>
    <xf borderId="0" fillId="0" fontId="2" numFmtId="10" xfId="0" applyAlignment="1" applyFont="1" applyNumberFormat="1">
      <alignment horizontal="center" vertical="center"/>
    </xf>
    <xf borderId="0" fillId="0" fontId="2" numFmtId="10" xfId="0" applyAlignment="1" applyFont="1" applyNumberFormat="1">
      <alignment vertical="center"/>
    </xf>
    <xf borderId="0" fillId="3" fontId="2" numFmtId="0" xfId="0" applyAlignment="1" applyFont="1">
      <alignment horizontal="center" vertical="center"/>
    </xf>
    <xf borderId="0" fillId="0" fontId="1" numFmtId="166" xfId="0" applyAlignment="1" applyFont="1" applyNumberFormat="1">
      <alignment horizontal="center" readingOrder="0"/>
    </xf>
    <xf borderId="0" fillId="0" fontId="2" numFmtId="0" xfId="0" applyAlignment="1" applyFont="1">
      <alignment horizontal="center" vertical="center"/>
    </xf>
    <xf borderId="27" fillId="4" fontId="2" numFmtId="14" xfId="0" applyAlignment="1" applyBorder="1" applyFont="1" applyNumberFormat="1">
      <alignment horizontal="center" readingOrder="0" vertical="center"/>
    </xf>
    <xf borderId="0" fillId="4" fontId="8" numFmtId="14" xfId="0" applyAlignment="1" applyFont="1" applyNumberFormat="1">
      <alignment horizontal="left" vertical="center"/>
    </xf>
    <xf borderId="0" fillId="0" fontId="9" numFmtId="0" xfId="0" applyAlignment="1" applyFont="1">
      <alignment horizontal="center" readingOrder="0" vertical="center"/>
    </xf>
    <xf borderId="0" fillId="0" fontId="2" numFmtId="0" xfId="0" applyAlignment="1" applyFont="1">
      <alignment horizontal="left" vertical="center"/>
    </xf>
    <xf borderId="27" fillId="0" fontId="2" numFmtId="0" xfId="0" applyAlignment="1" applyBorder="1" applyFont="1">
      <alignment horizontal="center" vertical="center"/>
    </xf>
    <xf borderId="0" fillId="0" fontId="2" numFmtId="14" xfId="0" applyAlignment="1" applyFont="1" applyNumberFormat="1">
      <alignment horizontal="center" readingOrder="0" vertical="center"/>
    </xf>
    <xf borderId="27" fillId="0" fontId="2" numFmtId="14" xfId="0" applyAlignment="1" applyBorder="1" applyFont="1" applyNumberFormat="1">
      <alignment horizontal="center" readingOrder="0" vertical="center"/>
    </xf>
    <xf borderId="0" fillId="12" fontId="8" numFmtId="0" xfId="0" applyAlignment="1" applyFont="1">
      <alignment horizontal="left" readingOrder="0" vertical="center"/>
    </xf>
    <xf borderId="0" fillId="2" fontId="16" numFmtId="0" xfId="0" applyAlignment="1" applyFont="1">
      <alignment horizontal="center" readingOrder="0"/>
    </xf>
    <xf borderId="44" fillId="0" fontId="2" numFmtId="3" xfId="0" applyAlignment="1" applyBorder="1" applyFont="1" applyNumberFormat="1">
      <alignment horizontal="center" readingOrder="0" vertical="center"/>
    </xf>
    <xf borderId="44" fillId="2" fontId="2" numFmtId="0" xfId="0" applyAlignment="1" applyBorder="1" applyFont="1">
      <alignment horizontal="left" vertical="center"/>
    </xf>
    <xf borderId="44" fillId="2" fontId="2" numFmtId="0" xfId="0" applyAlignment="1" applyBorder="1" applyFont="1">
      <alignment horizontal="center" readingOrder="0" vertical="center"/>
    </xf>
    <xf borderId="44" fillId="0" fontId="2" numFmtId="10" xfId="0" applyAlignment="1" applyBorder="1" applyFont="1" applyNumberFormat="1">
      <alignment horizontal="center" vertical="center"/>
    </xf>
    <xf borderId="44" fillId="0" fontId="2" numFmtId="10" xfId="0" applyAlignment="1" applyBorder="1" applyFont="1" applyNumberFormat="1">
      <alignment vertical="center"/>
    </xf>
    <xf borderId="44" fillId="3" fontId="2" numFmtId="0" xfId="0" applyAlignment="1" applyBorder="1" applyFont="1">
      <alignment horizontal="center" vertical="center"/>
    </xf>
    <xf borderId="44" fillId="0" fontId="2" numFmtId="14" xfId="0" applyAlignment="1" applyBorder="1" applyFont="1" applyNumberFormat="1">
      <alignment horizontal="center" readingOrder="0" vertical="center"/>
    </xf>
    <xf borderId="44" fillId="0" fontId="2" numFmtId="0" xfId="0" applyAlignment="1" applyBorder="1" applyFont="1">
      <alignment horizontal="center" vertical="center"/>
    </xf>
    <xf borderId="45" fillId="0" fontId="2" numFmtId="14" xfId="0" applyAlignment="1" applyBorder="1" applyFont="1" applyNumberFormat="1">
      <alignment horizontal="center" readingOrder="0" vertical="center"/>
    </xf>
    <xf borderId="44" fillId="12" fontId="8" numFmtId="0" xfId="0" applyAlignment="1" applyBorder="1" applyFont="1">
      <alignment horizontal="left" readingOrder="0" vertical="center"/>
    </xf>
    <xf borderId="44" fillId="0" fontId="9" numFmtId="0" xfId="0" applyAlignment="1" applyBorder="1" applyFont="1">
      <alignment horizontal="center" readingOrder="0" vertical="center"/>
    </xf>
    <xf borderId="44" fillId="0" fontId="2" numFmtId="0" xfId="0" applyAlignment="1" applyBorder="1" applyFont="1">
      <alignment horizontal="left" vertical="center"/>
    </xf>
    <xf borderId="45" fillId="0" fontId="2" numFmtId="0" xfId="0" applyAlignment="1" applyBorder="1" applyFont="1">
      <alignment horizontal="center" vertical="center"/>
    </xf>
    <xf borderId="4" fillId="15" fontId="15" numFmtId="0" xfId="0" applyAlignment="1" applyBorder="1" applyFont="1">
      <alignment horizontal="center" readingOrder="0"/>
    </xf>
    <xf borderId="46" fillId="13" fontId="8" numFmtId="14" xfId="0" applyAlignment="1" applyBorder="1" applyFont="1" applyNumberFormat="1">
      <alignment horizontal="left" vertical="center"/>
    </xf>
    <xf borderId="0" fillId="13" fontId="8" numFmtId="14" xfId="0" applyAlignment="1" applyFont="1" applyNumberFormat="1">
      <alignment horizontal="left" vertical="center"/>
    </xf>
    <xf borderId="0" fillId="0" fontId="2" numFmtId="3" xfId="0" applyAlignment="1" applyFont="1" applyNumberFormat="1">
      <alignment horizontal="center" vertical="center"/>
    </xf>
    <xf borderId="0" fillId="0" fontId="2" numFmtId="0" xfId="0" applyAlignment="1" applyFont="1">
      <alignment vertical="center"/>
    </xf>
    <xf borderId="0" fillId="2" fontId="2" numFmtId="0" xfId="0" applyAlignment="1" applyFont="1">
      <alignment horizontal="center" vertical="center"/>
    </xf>
    <xf borderId="0" fillId="0" fontId="2" numFmtId="14" xfId="0" applyAlignment="1" applyFont="1" applyNumberFormat="1">
      <alignment horizontal="center" vertical="center"/>
    </xf>
    <xf borderId="27" fillId="0" fontId="2" numFmtId="14" xfId="0" applyAlignment="1" applyBorder="1" applyFont="1" applyNumberFormat="1">
      <alignment horizontal="center" vertical="center"/>
    </xf>
    <xf borderId="0" fillId="0" fontId="8" numFmtId="14" xfId="0" applyAlignment="1" applyFont="1" applyNumberFormat="1">
      <alignment horizontal="left" vertical="center"/>
    </xf>
    <xf borderId="0" fillId="0" fontId="9" numFmtId="0" xfId="0" applyAlignment="1" applyFont="1">
      <alignment horizontal="center" vertical="center"/>
    </xf>
    <xf borderId="47" fillId="4" fontId="3" numFmtId="0" xfId="0" applyAlignment="1" applyBorder="1" applyFont="1">
      <alignment horizontal="center" readingOrder="0"/>
    </xf>
    <xf borderId="47" fillId="4" fontId="3" numFmtId="0" xfId="0" applyAlignment="1" applyBorder="1" applyFont="1">
      <alignment horizontal="left" readingOrder="0"/>
    </xf>
    <xf borderId="47" fillId="25" fontId="3" numFmtId="0" xfId="0" applyAlignment="1" applyBorder="1" applyFill="1" applyFont="1">
      <alignment horizontal="center" readingOrder="0"/>
    </xf>
    <xf borderId="47" fillId="5" fontId="3" numFmtId="0" xfId="0" applyAlignment="1" applyBorder="1" applyFont="1">
      <alignment horizontal="center" readingOrder="0"/>
    </xf>
    <xf borderId="47" fillId="0" fontId="3" numFmtId="0" xfId="0" applyAlignment="1" applyBorder="1" applyFont="1">
      <alignment horizontal="center" readingOrder="0"/>
    </xf>
    <xf borderId="47" fillId="4" fontId="3" numFmtId="0" xfId="0" applyAlignment="1" applyBorder="1" applyFont="1">
      <alignment readingOrder="0"/>
    </xf>
    <xf borderId="2" fillId="0" fontId="17" numFmtId="0" xfId="0" applyAlignment="1" applyBorder="1" applyFont="1">
      <alignment vertical="bottom"/>
    </xf>
    <xf borderId="2" fillId="0" fontId="3" numFmtId="0" xfId="0" applyAlignment="1" applyBorder="1" applyFont="1">
      <alignment readingOrder="0"/>
    </xf>
    <xf borderId="2" fillId="0" fontId="17" numFmtId="0" xfId="0" applyAlignment="1" applyBorder="1" applyFont="1">
      <alignment horizontal="center" readingOrder="0" vertical="bottom"/>
    </xf>
    <xf borderId="2" fillId="0" fontId="17" numFmtId="0" xfId="0" applyAlignment="1" applyBorder="1" applyFont="1">
      <alignment readingOrder="0" vertical="bottom"/>
    </xf>
    <xf borderId="2" fillId="5" fontId="17" numFmtId="0" xfId="0" applyAlignment="1" applyBorder="1" applyFont="1">
      <alignment horizontal="center" readingOrder="0" vertical="bottom"/>
    </xf>
    <xf borderId="38" fillId="5" fontId="17" numFmtId="0" xfId="0" applyAlignment="1" applyBorder="1" applyFont="1">
      <alignment horizontal="center" readingOrder="0" vertical="bottom"/>
    </xf>
    <xf borderId="2" fillId="5" fontId="3" numFmtId="0" xfId="0" applyAlignment="1" applyBorder="1" applyFont="1">
      <alignment readingOrder="0"/>
    </xf>
    <xf borderId="47" fillId="4" fontId="3" numFmtId="0" xfId="0" applyAlignment="1" applyBorder="1" applyFont="1">
      <alignment horizontal="left" readingOrder="0" shrinkToFit="0" wrapText="0"/>
    </xf>
    <xf borderId="37" fillId="4" fontId="3" numFmtId="0" xfId="0" applyAlignment="1" applyBorder="1" applyFont="1">
      <alignment horizontal="center" readingOrder="0" shrinkToFit="0" wrapText="0"/>
    </xf>
    <xf borderId="0" fillId="26" fontId="18" numFmtId="0" xfId="0" applyAlignment="1" applyFill="1" applyFont="1">
      <alignment horizontal="center" readingOrder="0" shrinkToFit="0" wrapText="0"/>
    </xf>
    <xf borderId="48" fillId="0" fontId="19" numFmtId="0" xfId="0" applyAlignment="1" applyBorder="1" applyFont="1">
      <alignment readingOrder="0" vertical="bottom"/>
    </xf>
    <xf borderId="0" fillId="0" fontId="12" numFmtId="0" xfId="0" applyAlignment="1" applyFont="1">
      <alignment horizontal="center"/>
    </xf>
    <xf borderId="0" fillId="0" fontId="1" numFmtId="0" xfId="0" applyAlignment="1" applyFont="1">
      <alignment horizontal="left" shrinkToFit="0" wrapText="0"/>
    </xf>
    <xf borderId="0" fillId="0" fontId="19" numFmtId="14" xfId="0" applyAlignment="1" applyFont="1" applyNumberFormat="1">
      <alignment readingOrder="0" vertical="bottom"/>
    </xf>
    <xf borderId="0" fillId="0" fontId="20" numFmtId="166" xfId="0" applyAlignment="1" applyFont="1" applyNumberFormat="1">
      <alignment horizontal="center" readingOrder="0" vertical="bottom"/>
    </xf>
    <xf borderId="0" fillId="0" fontId="9" numFmtId="0" xfId="0" applyAlignment="1" applyFont="1">
      <alignment horizontal="center" readingOrder="0"/>
    </xf>
    <xf borderId="15" fillId="0" fontId="1" numFmtId="166" xfId="0" applyAlignment="1" applyBorder="1" applyFont="1" applyNumberFormat="1">
      <alignment horizontal="left" readingOrder="0"/>
    </xf>
    <xf borderId="0" fillId="0" fontId="0" numFmtId="166" xfId="0" applyAlignment="1" applyFont="1" applyNumberFormat="1">
      <alignment horizontal="left" readingOrder="0"/>
    </xf>
    <xf borderId="4" fillId="24" fontId="15" numFmtId="0" xfId="0" applyAlignment="1" applyBorder="1" applyFont="1">
      <alignment horizontal="center" readingOrder="0"/>
    </xf>
    <xf borderId="0" fillId="4" fontId="21" numFmtId="0" xfId="0" applyAlignment="1" applyFont="1">
      <alignment horizontal="center" readingOrder="0"/>
    </xf>
    <xf borderId="0" fillId="4" fontId="22" numFmtId="0" xfId="0" applyAlignment="1" applyFont="1">
      <alignment horizontal="center" readingOrder="0"/>
    </xf>
    <xf borderId="0" fillId="2" fontId="1" numFmtId="0" xfId="0" applyAlignment="1" applyFont="1">
      <alignment horizontal="left" readingOrder="0"/>
    </xf>
    <xf borderId="0" fillId="2" fontId="23" numFmtId="0" xfId="0" applyAlignment="1" applyFont="1">
      <alignment horizontal="center"/>
    </xf>
    <xf borderId="0" fillId="0" fontId="23" numFmtId="0" xfId="0" applyAlignment="1" applyFont="1">
      <alignment horizontal="center"/>
    </xf>
    <xf borderId="0" fillId="4" fontId="9" numFmtId="0" xfId="0" applyAlignment="1" applyFont="1">
      <alignment horizontal="center" readingOrder="0" vertical="center"/>
    </xf>
    <xf borderId="0" fillId="2" fontId="20" numFmtId="167" xfId="0" applyAlignment="1" applyFont="1" applyNumberFormat="1">
      <alignment horizontal="center" readingOrder="0" vertical="bottom"/>
    </xf>
    <xf borderId="0" fillId="2" fontId="8" numFmtId="9" xfId="0" applyAlignment="1" applyFont="1" applyNumberFormat="1">
      <alignment horizontal="center"/>
    </xf>
    <xf borderId="0" fillId="0" fontId="23" numFmtId="9" xfId="0" applyAlignment="1" applyFont="1" applyNumberFormat="1">
      <alignment horizontal="center"/>
    </xf>
    <xf borderId="15" fillId="0" fontId="1" numFmtId="0" xfId="0" applyAlignment="1" applyBorder="1" applyFont="1">
      <alignment horizontal="left" readingOrder="0"/>
    </xf>
    <xf borderId="0" fillId="13" fontId="1" numFmtId="0" xfId="0" applyAlignment="1" applyFont="1">
      <alignment horizontal="left"/>
    </xf>
    <xf borderId="0" fillId="6" fontId="3" numFmtId="0" xfId="0" applyAlignment="1" applyFont="1">
      <alignment horizontal="center" readingOrder="0"/>
    </xf>
    <xf borderId="0" fillId="6" fontId="12" numFmtId="0" xfId="0" applyAlignment="1" applyFont="1">
      <alignment horizontal="center" readingOrder="0"/>
    </xf>
    <xf borderId="0" fillId="27" fontId="3" numFmtId="0" xfId="0" applyAlignment="1" applyFill="1" applyFont="1">
      <alignment horizontal="center" readingOrder="0"/>
    </xf>
    <xf borderId="0" fillId="27" fontId="12" numFmtId="0" xfId="0" applyAlignment="1" applyFont="1">
      <alignment horizontal="center" readingOrder="0"/>
    </xf>
    <xf borderId="0" fillId="2" fontId="1" numFmtId="0" xfId="0" applyAlignment="1" applyFont="1">
      <alignment horizontal="center"/>
    </xf>
    <xf borderId="0" fillId="2" fontId="3" numFmtId="0" xfId="0" applyAlignment="1" applyFont="1">
      <alignment horizontal="center" readingOrder="0"/>
    </xf>
    <xf borderId="48" fillId="4" fontId="24" numFmtId="0" xfId="0" applyAlignment="1" applyBorder="1" applyFont="1">
      <alignment horizontal="center" readingOrder="0"/>
    </xf>
    <xf borderId="0" fillId="4" fontId="24" numFmtId="0" xfId="0" applyAlignment="1" applyFont="1">
      <alignment horizontal="center" readingOrder="0"/>
    </xf>
    <xf borderId="0" fillId="0" fontId="1" numFmtId="14" xfId="0" applyAlignment="1" applyFont="1" applyNumberFormat="1">
      <alignment horizontal="center" readingOrder="0"/>
    </xf>
    <xf borderId="0" fillId="0" fontId="15" numFmtId="0" xfId="0" applyAlignment="1" applyFont="1">
      <alignment readingOrder="0"/>
    </xf>
    <xf borderId="0" fillId="0" fontId="1" numFmtId="9" xfId="0" applyAlignment="1" applyFont="1" applyNumberFormat="1">
      <alignment horizontal="center"/>
    </xf>
    <xf borderId="0" fillId="0" fontId="0" numFmtId="0" xfId="0" applyAlignment="1" applyFont="1">
      <alignment horizontal="left"/>
    </xf>
    <xf borderId="48" fillId="0" fontId="3" numFmtId="0" xfId="0" applyAlignment="1" applyBorder="1" applyFont="1">
      <alignment horizontal="center" readingOrder="0"/>
    </xf>
    <xf borderId="0" fillId="0" fontId="12" numFmtId="0" xfId="0" applyAlignment="1" applyFont="1">
      <alignment horizontal="center" readingOrder="0"/>
    </xf>
    <xf borderId="15" fillId="0" fontId="1" numFmtId="14" xfId="0" applyAlignment="1" applyBorder="1" applyFont="1" applyNumberFormat="1">
      <alignment horizontal="left" readingOrder="0"/>
    </xf>
    <xf borderId="48" fillId="2" fontId="3" numFmtId="0" xfId="0" applyAlignment="1" applyBorder="1" applyFont="1">
      <alignment horizontal="center" readingOrder="0"/>
    </xf>
    <xf borderId="0" fillId="0" fontId="15" numFmtId="0" xfId="0" applyAlignment="1" applyFont="1">
      <alignment horizontal="left" readingOrder="0"/>
    </xf>
    <xf borderId="0" fillId="2" fontId="1" numFmtId="166" xfId="0" applyAlignment="1" applyFont="1" applyNumberFormat="1">
      <alignment horizontal="center" readingOrder="0"/>
    </xf>
    <xf borderId="0" fillId="21" fontId="3" numFmtId="0" xfId="0" applyAlignment="1" applyFont="1">
      <alignment readingOrder="0"/>
    </xf>
    <xf borderId="48" fillId="0" fontId="3" numFmtId="0" xfId="0" applyAlignment="1" applyBorder="1" applyFont="1">
      <alignment horizontal="center" readingOrder="0"/>
    </xf>
    <xf borderId="0" fillId="0" fontId="12" numFmtId="0" xfId="0" applyAlignment="1" applyFont="1">
      <alignment horizontal="center" readingOrder="0"/>
    </xf>
    <xf borderId="0" fillId="0" fontId="1" numFmtId="168" xfId="0" applyAlignment="1" applyFont="1" applyNumberFormat="1">
      <alignment horizontal="center" readingOrder="0"/>
    </xf>
    <xf borderId="15" fillId="0" fontId="1" numFmtId="168" xfId="0" applyAlignment="1" applyBorder="1" applyFont="1" applyNumberFormat="1">
      <alignment horizontal="left" readingOrder="0"/>
    </xf>
    <xf borderId="48" fillId="2" fontId="9" numFmtId="0" xfId="0" applyAlignment="1" applyBorder="1" applyFont="1">
      <alignment horizontal="center" vertical="bottom"/>
    </xf>
    <xf borderId="0" fillId="2" fontId="12" numFmtId="0" xfId="0" applyAlignment="1" applyFont="1">
      <alignment horizontal="center" vertical="bottom"/>
    </xf>
    <xf borderId="48" fillId="2" fontId="7" numFmtId="0" xfId="0" applyAlignment="1" applyBorder="1" applyFont="1">
      <alignment horizontal="center" readingOrder="0"/>
    </xf>
    <xf borderId="0" fillId="2" fontId="25" numFmtId="0" xfId="0" applyAlignment="1" applyFont="1">
      <alignment horizontal="center" readingOrder="0"/>
    </xf>
    <xf borderId="0" fillId="2" fontId="12" numFmtId="0" xfId="0" applyAlignment="1" applyFont="1">
      <alignment horizontal="center" readingOrder="0"/>
    </xf>
    <xf borderId="15" fillId="0" fontId="2" numFmtId="14" xfId="0" applyAlignment="1" applyBorder="1" applyFont="1" applyNumberFormat="1">
      <alignment horizontal="left" readingOrder="0" vertical="center"/>
    </xf>
    <xf borderId="48" fillId="0" fontId="7" numFmtId="0" xfId="0" applyAlignment="1" applyBorder="1" applyFont="1">
      <alignment horizontal="center" readingOrder="0"/>
    </xf>
    <xf borderId="0" fillId="0" fontId="26" numFmtId="0" xfId="0" applyAlignment="1" applyFont="1">
      <alignment horizontal="center" readingOrder="0"/>
    </xf>
    <xf borderId="48" fillId="4" fontId="21" numFmtId="0" xfId="0" applyAlignment="1" applyBorder="1" applyFont="1">
      <alignment horizontal="center" readingOrder="0"/>
    </xf>
    <xf borderId="0" fillId="4" fontId="22" numFmtId="0" xfId="0" applyAlignment="1" applyFont="1">
      <alignment horizontal="center"/>
    </xf>
    <xf borderId="0" fillId="2" fontId="1" numFmtId="0" xfId="0" applyAlignment="1" applyFont="1">
      <alignment horizontal="left" readingOrder="0" shrinkToFit="0" wrapText="0"/>
    </xf>
    <xf borderId="0" fillId="0" fontId="1" numFmtId="169" xfId="0" applyAlignment="1" applyFont="1" applyNumberFormat="1">
      <alignment horizontal="center" readingOrder="0"/>
    </xf>
    <xf borderId="15" fillId="0" fontId="1" numFmtId="169" xfId="0" applyAlignment="1" applyBorder="1" applyFont="1" applyNumberFormat="1">
      <alignment horizontal="left" readingOrder="0"/>
    </xf>
    <xf borderId="0" fillId="0" fontId="27" numFmtId="0" xfId="0" applyAlignment="1" applyFont="1">
      <alignment readingOrder="0"/>
    </xf>
    <xf borderId="48" fillId="2" fontId="3" numFmtId="0" xfId="0" applyAlignment="1" applyBorder="1" applyFont="1">
      <alignment horizontal="center" readingOrder="0"/>
    </xf>
    <xf borderId="0" fillId="2" fontId="1" numFmtId="169" xfId="0" applyAlignment="1" applyFont="1" applyNumberFormat="1">
      <alignment horizontal="center" readingOrder="0"/>
    </xf>
    <xf borderId="0" fillId="2" fontId="14" numFmtId="0" xfId="0" applyAlignment="1" applyFont="1">
      <alignment horizontal="center" readingOrder="0"/>
    </xf>
    <xf borderId="0" fillId="0" fontId="2" numFmtId="169" xfId="0" applyAlignment="1" applyFont="1" applyNumberFormat="1">
      <alignment horizontal="center" vertical="bottom"/>
    </xf>
    <xf borderId="0" fillId="0" fontId="2" numFmtId="166" xfId="0" applyAlignment="1" applyFont="1" applyNumberFormat="1">
      <alignment horizontal="center" vertical="bottom"/>
    </xf>
    <xf borderId="0" fillId="5" fontId="1" numFmtId="166" xfId="0" applyAlignment="1" applyFont="1" applyNumberFormat="1">
      <alignment horizontal="center" readingOrder="0"/>
    </xf>
    <xf borderId="48" fillId="2" fontId="25" numFmtId="0" xfId="0" applyAlignment="1" applyBorder="1" applyFont="1">
      <alignment readingOrder="0"/>
    </xf>
    <xf borderId="0" fillId="0" fontId="28" numFmtId="0" xfId="0" applyAlignment="1" applyFont="1">
      <alignment horizontal="center" readingOrder="0"/>
    </xf>
    <xf borderId="0" fillId="26" fontId="3" numFmtId="0" xfId="0" applyAlignment="1" applyFont="1">
      <alignment readingOrder="0"/>
    </xf>
    <xf borderId="0" fillId="2" fontId="7" numFmtId="0" xfId="0" applyAlignment="1" applyFont="1">
      <alignment horizontal="center" readingOrder="0"/>
    </xf>
    <xf borderId="48" fillId="2" fontId="26" numFmtId="0" xfId="0" applyAlignment="1" applyBorder="1" applyFont="1">
      <alignment horizontal="center" vertical="bottom"/>
    </xf>
    <xf borderId="0" fillId="2" fontId="26" numFmtId="0" xfId="0" applyAlignment="1" applyFont="1">
      <alignment horizontal="center" vertical="bottom"/>
    </xf>
    <xf borderId="0" fillId="2" fontId="14" numFmtId="0" xfId="0" applyAlignment="1" applyFont="1">
      <alignment horizontal="center" readingOrder="0"/>
    </xf>
    <xf borderId="48" fillId="0" fontId="9" numFmtId="0" xfId="0" applyAlignment="1" applyBorder="1" applyFont="1">
      <alignment horizontal="center" vertical="bottom"/>
    </xf>
    <xf borderId="0" fillId="0" fontId="9" numFmtId="0" xfId="0" applyAlignment="1" applyFont="1">
      <alignment horizontal="center" vertical="bottom"/>
    </xf>
    <xf borderId="48" fillId="0" fontId="25" numFmtId="0" xfId="0" applyAlignment="1" applyBorder="1" applyFont="1">
      <alignment horizontal="center" readingOrder="0"/>
    </xf>
    <xf borderId="0" fillId="0" fontId="25" numFmtId="0" xfId="0" applyAlignment="1" applyFont="1">
      <alignment horizontal="center" readingOrder="0"/>
    </xf>
    <xf borderId="0" fillId="0" fontId="7" numFmtId="0" xfId="0" applyAlignment="1" applyFont="1">
      <alignment readingOrder="0"/>
    </xf>
    <xf borderId="0" fillId="0" fontId="3" numFmtId="0" xfId="0" applyAlignment="1" applyFont="1">
      <alignment horizontal="center" readingOrder="0"/>
    </xf>
    <xf borderId="48" fillId="2" fontId="25" numFmtId="0" xfId="0" applyAlignment="1" applyBorder="1" applyFont="1">
      <alignment horizontal="center" readingOrder="0"/>
    </xf>
    <xf borderId="0" fillId="2" fontId="2" numFmtId="0" xfId="0" applyAlignment="1" applyFont="1">
      <alignment readingOrder="0" vertical="top"/>
    </xf>
    <xf borderId="0" fillId="0" fontId="1" numFmtId="166" xfId="0" applyAlignment="1" applyFont="1" applyNumberFormat="1">
      <alignment readingOrder="0"/>
    </xf>
    <xf borderId="0" fillId="0" fontId="8" numFmtId="166" xfId="0" applyAlignment="1" applyFont="1" applyNumberFormat="1">
      <alignment horizontal="center" readingOrder="0"/>
    </xf>
    <xf borderId="48" fillId="4" fontId="29" numFmtId="0" xfId="0" applyAlignment="1" applyBorder="1" applyFont="1">
      <alignment horizontal="center" vertical="bottom"/>
    </xf>
    <xf borderId="0" fillId="4" fontId="22" numFmtId="0" xfId="0" applyAlignment="1" applyFont="1">
      <alignment horizontal="center" vertical="bottom"/>
    </xf>
    <xf borderId="0" fillId="2" fontId="2" numFmtId="166" xfId="0" applyAlignment="1" applyFont="1" applyNumberFormat="1">
      <alignment horizontal="center" readingOrder="0" vertical="bottom"/>
    </xf>
    <xf borderId="48" fillId="16" fontId="3" numFmtId="0" xfId="0" applyAlignment="1" applyBorder="1" applyFont="1">
      <alignment horizontal="center" readingOrder="0"/>
    </xf>
    <xf borderId="0" fillId="16" fontId="12" numFmtId="0" xfId="0" applyAlignment="1" applyFont="1">
      <alignment horizontal="center" readingOrder="0"/>
    </xf>
    <xf borderId="0" fillId="0" fontId="1" numFmtId="0" xfId="0" applyAlignment="1" applyFont="1">
      <alignment horizontal="center" readingOrder="0" shrinkToFit="0" wrapText="0"/>
    </xf>
    <xf borderId="0" fillId="2" fontId="1" numFmtId="0" xfId="0" applyAlignment="1" applyFont="1">
      <alignment horizontal="left"/>
    </xf>
    <xf borderId="0" fillId="0" fontId="2" numFmtId="166" xfId="0" applyAlignment="1" applyFont="1" applyNumberFormat="1">
      <alignment horizontal="center" readingOrder="0" vertical="bottom"/>
    </xf>
    <xf borderId="0" fillId="2" fontId="17" numFmtId="0" xfId="0" applyAlignment="1" applyFont="1">
      <alignment horizontal="center" readingOrder="0"/>
    </xf>
    <xf borderId="0" fillId="2" fontId="6" numFmtId="0" xfId="0" applyAlignment="1" applyFont="1">
      <alignment horizontal="left" readingOrder="0"/>
    </xf>
    <xf borderId="0" fillId="0" fontId="8" numFmtId="0" xfId="0" applyAlignment="1" applyFont="1">
      <alignment horizontal="center" readingOrder="0"/>
    </xf>
    <xf borderId="0" fillId="2" fontId="8" numFmtId="166" xfId="0" applyAlignment="1" applyFont="1" applyNumberFormat="1">
      <alignment horizontal="center" readingOrder="0"/>
    </xf>
    <xf borderId="0" fillId="0" fontId="16" numFmtId="0" xfId="0" applyAlignment="1" applyFont="1">
      <alignment readingOrder="0"/>
    </xf>
    <xf borderId="0" fillId="21" fontId="7" numFmtId="0" xfId="0" applyAlignment="1" applyFont="1">
      <alignment readingOrder="0"/>
    </xf>
    <xf borderId="0" fillId="0" fontId="8" numFmtId="0" xfId="0" applyAlignment="1" applyFont="1">
      <alignment readingOrder="0"/>
    </xf>
    <xf borderId="0" fillId="0" fontId="14" numFmtId="0" xfId="0" applyAlignment="1" applyFont="1">
      <alignment horizontal="center" readingOrder="0"/>
    </xf>
    <xf borderId="0" fillId="4" fontId="24" numFmtId="0" xfId="0" applyAlignment="1" applyFont="1">
      <alignment horizontal="center" vertical="bottom"/>
    </xf>
    <xf borderId="0" fillId="2" fontId="7" numFmtId="0" xfId="0" applyAlignment="1" applyFont="1">
      <alignment horizontal="center" readingOrder="0"/>
    </xf>
    <xf borderId="0" fillId="0" fontId="2" numFmtId="0" xfId="0" applyAlignment="1" applyFont="1">
      <alignment readingOrder="0" vertical="top"/>
    </xf>
    <xf borderId="0" fillId="2" fontId="8" numFmtId="0" xfId="0" applyAlignment="1" applyFont="1">
      <alignment horizontal="left" readingOrder="0"/>
    </xf>
    <xf borderId="0" fillId="6" fontId="1" numFmtId="0" xfId="0" applyAlignment="1" applyFont="1">
      <alignment horizontal="left" readingOrder="0"/>
    </xf>
    <xf borderId="0" fillId="2" fontId="7" numFmtId="0" xfId="0" applyAlignment="1" applyFont="1">
      <alignment horizontal="center" vertical="bottom"/>
    </xf>
    <xf borderId="0" fillId="0" fontId="8" numFmtId="166" xfId="0" applyAlignment="1" applyFont="1" applyNumberFormat="1">
      <alignment horizontal="center" vertical="bottom"/>
    </xf>
    <xf borderId="0" fillId="2" fontId="30" numFmtId="0" xfId="0" applyAlignment="1" applyFont="1">
      <alignment readingOrder="0"/>
    </xf>
    <xf borderId="48" fillId="0" fontId="17" numFmtId="0" xfId="0" applyAlignment="1" applyBorder="1" applyFont="1">
      <alignment horizontal="center" readingOrder="0"/>
    </xf>
    <xf borderId="0" fillId="0" fontId="17" numFmtId="0" xfId="0" applyAlignment="1" applyFont="1">
      <alignment horizontal="center" readingOrder="0"/>
    </xf>
    <xf borderId="0" fillId="21" fontId="31" numFmtId="0" xfId="0" applyAlignment="1" applyFont="1">
      <alignment readingOrder="0"/>
    </xf>
    <xf borderId="48" fillId="0" fontId="7" numFmtId="0" xfId="0" applyAlignment="1" applyBorder="1" applyFont="1">
      <alignment horizontal="center" readingOrder="0"/>
    </xf>
    <xf borderId="0" fillId="0" fontId="7" numFmtId="0" xfId="0" applyAlignment="1" applyFont="1">
      <alignment horizontal="center" readingOrder="0"/>
    </xf>
    <xf borderId="0" fillId="0" fontId="8" numFmtId="166" xfId="0" applyAlignment="1" applyFont="1" applyNumberFormat="1">
      <alignment horizontal="center" readingOrder="0" vertical="bottom"/>
    </xf>
    <xf borderId="48" fillId="2" fontId="9" numFmtId="0" xfId="0" applyAlignment="1" applyBorder="1" applyFont="1">
      <alignment horizontal="center" readingOrder="0"/>
    </xf>
    <xf borderId="0" fillId="27" fontId="3" numFmtId="0" xfId="0" applyAlignment="1" applyFont="1">
      <alignment readingOrder="0"/>
    </xf>
    <xf borderId="0" fillId="0" fontId="8" numFmtId="0" xfId="0" applyFont="1"/>
    <xf borderId="0" fillId="2" fontId="17" numFmtId="0" xfId="0" applyAlignment="1" applyFont="1">
      <alignment horizontal="center" readingOrder="0"/>
    </xf>
    <xf borderId="0" fillId="0" fontId="7" numFmtId="0" xfId="0" applyAlignment="1" applyFont="1">
      <alignment horizontal="center" vertical="bottom"/>
    </xf>
    <xf borderId="0" fillId="2" fontId="15" numFmtId="0" xfId="0" applyAlignment="1" applyFont="1">
      <alignment readingOrder="0"/>
    </xf>
    <xf borderId="0" fillId="26" fontId="1" numFmtId="0" xfId="0" applyAlignment="1" applyFont="1">
      <alignment readingOrder="0"/>
    </xf>
    <xf borderId="0" fillId="0" fontId="7" numFmtId="0" xfId="0" applyAlignment="1" applyFont="1">
      <alignment horizontal="center" readingOrder="0"/>
    </xf>
    <xf borderId="0" fillId="0" fontId="17" numFmtId="0" xfId="0" applyAlignment="1" applyFont="1">
      <alignment horizontal="center" readingOrder="0"/>
    </xf>
    <xf borderId="48" fillId="2" fontId="17" numFmtId="0" xfId="0" applyAlignment="1" applyBorder="1" applyFont="1">
      <alignment horizontal="center" vertical="bottom"/>
    </xf>
    <xf borderId="0" fillId="2" fontId="17" numFmtId="0" xfId="0" applyAlignment="1" applyFont="1">
      <alignment horizontal="center" vertical="bottom"/>
    </xf>
    <xf borderId="0" fillId="0" fontId="8" numFmtId="0" xfId="0" applyAlignment="1" applyFont="1">
      <alignment horizontal="left" readingOrder="0"/>
    </xf>
    <xf borderId="0" fillId="5" fontId="3" numFmtId="0" xfId="0" applyAlignment="1" applyFont="1">
      <alignment readingOrder="0"/>
    </xf>
    <xf borderId="48" fillId="2" fontId="28" numFmtId="0" xfId="0" applyAlignment="1" applyBorder="1" applyFont="1">
      <alignment horizontal="center" readingOrder="0"/>
    </xf>
    <xf borderId="0" fillId="2" fontId="28" numFmtId="0" xfId="0" applyAlignment="1" applyFont="1">
      <alignment horizontal="center" readingOrder="0"/>
    </xf>
    <xf borderId="0" fillId="2" fontId="7" numFmtId="0" xfId="0" applyAlignment="1" applyFont="1">
      <alignment horizontal="center" readingOrder="0" vertical="bottom"/>
    </xf>
    <xf borderId="0" fillId="0" fontId="1" numFmtId="0" xfId="0" applyAlignment="1" applyFont="1">
      <alignment horizontal="left" readingOrder="0" shrinkToFit="0" wrapText="0"/>
    </xf>
    <xf borderId="0" fillId="6" fontId="3" numFmtId="0" xfId="0" applyAlignment="1" applyFont="1">
      <alignment readingOrder="0"/>
    </xf>
    <xf borderId="0" fillId="2" fontId="7" numFmtId="0" xfId="0" applyAlignment="1" applyFont="1">
      <alignment horizontal="center" readingOrder="0" vertical="center"/>
    </xf>
    <xf borderId="0" fillId="2" fontId="18" numFmtId="0" xfId="0" applyAlignment="1" applyFont="1">
      <alignment horizontal="center" vertical="bottom"/>
    </xf>
    <xf borderId="0" fillId="2" fontId="6" numFmtId="169" xfId="0" applyAlignment="1" applyFont="1" applyNumberFormat="1">
      <alignment horizontal="center" readingOrder="0"/>
    </xf>
    <xf borderId="0" fillId="2" fontId="12" numFmtId="0" xfId="0" applyAlignment="1" applyFont="1">
      <alignment horizontal="center"/>
    </xf>
    <xf borderId="0" fillId="2" fontId="25" numFmtId="0" xfId="0" applyAlignment="1" applyFont="1">
      <alignment horizontal="center" vertical="bottom"/>
    </xf>
    <xf borderId="0" fillId="2" fontId="1" numFmtId="0" xfId="0" applyAlignment="1" applyFont="1">
      <alignment horizontal="left" shrinkToFit="0" wrapText="0"/>
    </xf>
    <xf borderId="0" fillId="2" fontId="3" numFmtId="0" xfId="0" applyAlignment="1" applyFont="1">
      <alignment readingOrder="0"/>
    </xf>
    <xf borderId="48" fillId="2" fontId="3" numFmtId="0" xfId="0" applyAlignment="1" applyBorder="1" applyFont="1">
      <alignment horizontal="center"/>
    </xf>
    <xf borderId="48" fillId="2" fontId="9" numFmtId="0" xfId="0" applyAlignment="1" applyBorder="1" applyFont="1">
      <alignment horizontal="center" readingOrder="0" vertical="bottom"/>
    </xf>
    <xf borderId="0" fillId="2" fontId="18" numFmtId="0" xfId="0" applyAlignment="1" applyFont="1">
      <alignment horizontal="center" readingOrder="0" vertical="bottom"/>
    </xf>
    <xf borderId="0" fillId="0" fontId="2" numFmtId="0" xfId="0" applyAlignment="1" applyFont="1">
      <alignment horizontal="left" readingOrder="0" vertical="top"/>
    </xf>
    <xf borderId="48" fillId="2" fontId="9" numFmtId="0" xfId="0" applyAlignment="1" applyBorder="1" applyFont="1">
      <alignment horizontal="center" vertical="bottom"/>
    </xf>
    <xf borderId="0" fillId="13" fontId="3" numFmtId="0" xfId="0" applyAlignment="1" applyFont="1">
      <alignment readingOrder="0"/>
    </xf>
    <xf borderId="48" fillId="0" fontId="9" numFmtId="0" xfId="0" applyAlignment="1" applyBorder="1" applyFont="1">
      <alignment horizontal="center" vertical="bottom"/>
    </xf>
    <xf borderId="48" fillId="4" fontId="29" numFmtId="0" xfId="0" applyAlignment="1" applyBorder="1" applyFont="1">
      <alignment horizontal="center" readingOrder="0"/>
    </xf>
    <xf borderId="0" fillId="4" fontId="22" numFmtId="0" xfId="0" applyAlignment="1" applyFont="1">
      <alignment horizontal="center" readingOrder="0" vertical="bottom"/>
    </xf>
    <xf borderId="48" fillId="2" fontId="32" numFmtId="0" xfId="0" applyAlignment="1" applyBorder="1" applyFont="1">
      <alignment horizontal="center" readingOrder="0"/>
    </xf>
    <xf borderId="0" fillId="2" fontId="18" numFmtId="0" xfId="0" applyAlignment="1" applyFont="1">
      <alignment horizontal="center" readingOrder="0"/>
    </xf>
    <xf borderId="0" fillId="2" fontId="2" numFmtId="0" xfId="0" applyAlignment="1" applyFont="1">
      <alignment horizontal="left" readingOrder="0" vertical="bottom"/>
    </xf>
    <xf borderId="48" fillId="2" fontId="17" numFmtId="0" xfId="0" applyAlignment="1" applyBorder="1" applyFont="1">
      <alignment horizontal="center" readingOrder="0" vertical="bottom"/>
    </xf>
    <xf borderId="0" fillId="0" fontId="20" numFmtId="166" xfId="0" applyAlignment="1" applyFont="1" applyNumberFormat="1">
      <alignment horizontal="center" vertical="bottom"/>
    </xf>
    <xf borderId="0" fillId="2" fontId="2" numFmtId="170" xfId="0" applyAlignment="1" applyFont="1" applyNumberFormat="1">
      <alignment readingOrder="0"/>
    </xf>
    <xf borderId="48" fillId="2" fontId="17" numFmtId="0" xfId="0" applyAlignment="1" applyBorder="1" applyFont="1">
      <alignment readingOrder="0"/>
    </xf>
    <xf borderId="0" fillId="0" fontId="16" numFmtId="166" xfId="0" applyAlignment="1" applyFont="1" applyNumberFormat="1">
      <alignment horizontal="center" readingOrder="0"/>
    </xf>
    <xf borderId="0" fillId="2" fontId="12" numFmtId="0" xfId="0" applyAlignment="1" applyFont="1">
      <alignment horizontal="center" readingOrder="0" vertical="bottom"/>
    </xf>
    <xf borderId="2" fillId="11" fontId="14" numFmtId="0" xfId="0" applyAlignment="1" applyBorder="1" applyFont="1">
      <alignment horizontal="center" readingOrder="0" shrinkToFit="0" vertical="bottom" wrapText="0"/>
    </xf>
    <xf borderId="2" fillId="11" fontId="14" numFmtId="0" xfId="0" applyAlignment="1" applyBorder="1" applyFont="1">
      <alignment horizontal="left" readingOrder="0" shrinkToFit="0" vertical="bottom" wrapText="0"/>
    </xf>
    <xf borderId="37" fillId="11" fontId="14" numFmtId="0" xfId="0" applyAlignment="1" applyBorder="1" applyFont="1">
      <alignment horizontal="left" readingOrder="0" shrinkToFit="0" vertical="bottom" wrapText="0"/>
    </xf>
    <xf borderId="37" fillId="11" fontId="14" numFmtId="0" xfId="0" applyAlignment="1" applyBorder="1" applyFont="1">
      <alignment horizontal="center" readingOrder="0" shrinkToFit="0" vertical="bottom" wrapText="0"/>
    </xf>
    <xf borderId="48" fillId="10" fontId="14" numFmtId="0" xfId="0" applyAlignment="1" applyBorder="1" applyFont="1">
      <alignment horizontal="center" readingOrder="0" shrinkToFit="0" vertical="bottom" wrapText="0"/>
    </xf>
    <xf borderId="15" fillId="0" fontId="5" numFmtId="0" xfId="0" applyBorder="1" applyFont="1"/>
    <xf borderId="1" fillId="0" fontId="6" numFmtId="0" xfId="0" applyAlignment="1" applyBorder="1" applyFont="1">
      <alignment horizontal="center" readingOrder="0" shrinkToFit="0" vertical="bottom" wrapText="1"/>
    </xf>
    <xf borderId="1" fillId="13" fontId="6" numFmtId="0" xfId="0" applyAlignment="1" applyBorder="1" applyFont="1">
      <alignment readingOrder="0" shrinkToFit="0" vertical="bottom" wrapText="1"/>
    </xf>
    <xf borderId="1" fillId="0" fontId="9" numFmtId="0" xfId="0" applyAlignment="1" applyBorder="1" applyFont="1">
      <alignment readingOrder="0" shrinkToFit="0" vertical="bottom" wrapText="1"/>
    </xf>
    <xf borderId="1" fillId="0" fontId="2" numFmtId="0" xfId="0" applyAlignment="1" applyBorder="1" applyFont="1">
      <alignment shrinkToFit="0" vertical="bottom" wrapText="1"/>
    </xf>
    <xf borderId="1" fillId="0" fontId="6" numFmtId="0" xfId="0" applyAlignment="1" applyBorder="1" applyFont="1">
      <alignment readingOrder="0" shrinkToFit="0" vertical="bottom" wrapText="0"/>
    </xf>
    <xf borderId="1" fillId="2" fontId="6" numFmtId="0" xfId="0" applyAlignment="1" applyBorder="1" applyFont="1">
      <alignment readingOrder="0" shrinkToFit="0" vertical="bottom" wrapText="0"/>
    </xf>
    <xf borderId="8" fillId="2" fontId="6" numFmtId="0" xfId="0" applyAlignment="1" applyBorder="1" applyFont="1">
      <alignment horizontal="center" readingOrder="0" shrinkToFit="0" vertical="bottom" wrapText="1"/>
    </xf>
    <xf borderId="8" fillId="13" fontId="6" numFmtId="0" xfId="0" applyAlignment="1" applyBorder="1" applyFont="1">
      <alignment readingOrder="0" shrinkToFit="0" vertical="bottom" wrapText="1"/>
    </xf>
    <xf borderId="8" fillId="0" fontId="9" numFmtId="0" xfId="0" applyAlignment="1" applyBorder="1" applyFont="1">
      <alignment readingOrder="0" shrinkToFit="0" vertical="bottom" wrapText="1"/>
    </xf>
    <xf borderId="8" fillId="0" fontId="2" numFmtId="0" xfId="0" applyAlignment="1" applyBorder="1" applyFont="1">
      <alignment shrinkToFit="0" vertical="bottom" wrapText="1"/>
    </xf>
    <xf borderId="8" fillId="0" fontId="6" numFmtId="0" xfId="0" applyAlignment="1" applyBorder="1" applyFont="1">
      <alignment readingOrder="0" shrinkToFit="0" vertical="bottom" wrapText="0"/>
    </xf>
    <xf borderId="8" fillId="2" fontId="6" numFmtId="0" xfId="0" applyAlignment="1" applyBorder="1" applyFont="1">
      <alignment readingOrder="0" shrinkToFit="0" vertical="bottom" wrapText="0"/>
    </xf>
    <xf borderId="3" fillId="0" fontId="5" numFmtId="0" xfId="0" applyBorder="1" applyFont="1"/>
    <xf borderId="1" fillId="6" fontId="6" numFmtId="0" xfId="0" applyAlignment="1" applyBorder="1" applyFont="1">
      <alignment readingOrder="0" shrinkToFit="0" vertical="bottom" wrapText="0"/>
    </xf>
    <xf borderId="8" fillId="6" fontId="6" numFmtId="0" xfId="0" applyAlignment="1" applyBorder="1" applyFont="1">
      <alignment readingOrder="0" shrinkToFit="0" vertical="bottom" wrapText="0"/>
    </xf>
    <xf borderId="14" fillId="28" fontId="9" numFmtId="0" xfId="0" applyAlignment="1" applyBorder="1" applyFill="1" applyFont="1">
      <alignment horizontal="center" vertical="center"/>
    </xf>
    <xf borderId="4" fillId="29" fontId="9" numFmtId="0" xfId="0" applyAlignment="1" applyBorder="1" applyFill="1" applyFont="1">
      <alignment horizontal="center" vertical="bottom"/>
    </xf>
    <xf borderId="4" fillId="30" fontId="9" numFmtId="0" xfId="0" applyAlignment="1" applyBorder="1" applyFill="1" applyFont="1">
      <alignment horizontal="center" vertical="bottom"/>
    </xf>
    <xf borderId="1" fillId="13" fontId="9" numFmtId="0" xfId="0" applyAlignment="1" applyBorder="1" applyFont="1">
      <alignment horizontal="center" readingOrder="0" vertical="bottom"/>
    </xf>
    <xf borderId="1" fillId="13" fontId="9" numFmtId="0" xfId="0" applyAlignment="1" applyBorder="1" applyFont="1">
      <alignment horizontal="center" vertical="bottom"/>
    </xf>
    <xf borderId="1" fillId="10" fontId="9" numFmtId="0" xfId="0" applyAlignment="1" applyBorder="1" applyFont="1">
      <alignment horizontal="center" vertical="bottom"/>
    </xf>
    <xf borderId="1" fillId="0" fontId="2" numFmtId="0" xfId="0" applyAlignment="1" applyBorder="1" applyFont="1">
      <alignment horizontal="center" vertical="center"/>
    </xf>
    <xf borderId="1" fillId="0" fontId="9" numFmtId="0" xfId="0" applyAlignment="1" applyBorder="1" applyFont="1">
      <alignment horizontal="center" readingOrder="0" vertical="center"/>
    </xf>
    <xf borderId="1" fillId="0" fontId="2" numFmtId="0" xfId="0" applyAlignment="1" applyBorder="1" applyFont="1">
      <alignment horizontal="left" readingOrder="0" shrinkToFit="0" vertical="center" wrapText="1"/>
    </xf>
    <xf borderId="1" fillId="0" fontId="2" numFmtId="9" xfId="0" applyAlignment="1" applyBorder="1" applyFont="1" applyNumberFormat="1">
      <alignment horizontal="center" readingOrder="0" shrinkToFit="0" vertical="center" wrapText="1"/>
    </xf>
    <xf borderId="1" fillId="0" fontId="2" numFmtId="0" xfId="0" applyAlignment="1" applyBorder="1" applyFont="1">
      <alignment readingOrder="0" shrinkToFit="0" vertical="center" wrapText="1"/>
    </xf>
    <xf borderId="1" fillId="0" fontId="2" numFmtId="0" xfId="0" applyAlignment="1" applyBorder="1" applyFont="1">
      <alignment shrinkToFit="0" vertical="bottom" wrapText="1"/>
    </xf>
    <xf borderId="1" fillId="0" fontId="2" numFmtId="0" xfId="0" applyAlignment="1" applyBorder="1" applyFont="1">
      <alignment readingOrder="0" shrinkToFit="0" vertical="bottom" wrapText="1"/>
    </xf>
    <xf borderId="1" fillId="31" fontId="9" numFmtId="0" xfId="0" applyAlignment="1" applyBorder="1" applyFill="1" applyFont="1">
      <alignment horizontal="center" readingOrder="0" vertical="center"/>
    </xf>
    <xf borderId="1" fillId="0" fontId="2" numFmtId="0" xfId="0" applyAlignment="1" applyBorder="1" applyFont="1">
      <alignment horizontal="left" readingOrder="0" shrinkToFit="0" vertical="bottom" wrapText="1"/>
    </xf>
    <xf borderId="0" fillId="0" fontId="1" numFmtId="0" xfId="0" applyAlignment="1" applyFont="1">
      <alignment readingOrder="0" shrinkToFit="0" wrapText="1"/>
    </xf>
    <xf borderId="0" fillId="0" fontId="1" numFmtId="171" xfId="0" applyAlignment="1" applyFont="1" applyNumberFormat="1">
      <alignment horizontal="center" readingOrder="0"/>
    </xf>
    <xf borderId="47" fillId="4" fontId="3" numFmtId="0" xfId="0" applyAlignment="1" applyBorder="1" applyFont="1">
      <alignment horizontal="center" readingOrder="0" shrinkToFit="0" wrapText="0"/>
    </xf>
    <xf borderId="47" fillId="4" fontId="3" numFmtId="0" xfId="0" applyAlignment="1" applyBorder="1" applyFont="1">
      <alignment horizontal="left" readingOrder="0" shrinkToFit="0" wrapText="0"/>
    </xf>
    <xf borderId="47" fillId="25" fontId="3" numFmtId="0" xfId="0" applyAlignment="1" applyBorder="1" applyFont="1">
      <alignment horizontal="center" readingOrder="0" shrinkToFit="0" wrapText="0"/>
    </xf>
    <xf borderId="47" fillId="5" fontId="3" numFmtId="0" xfId="0" applyAlignment="1" applyBorder="1" applyFont="1">
      <alignment horizontal="center" readingOrder="0" shrinkToFit="0" wrapText="0"/>
    </xf>
    <xf borderId="47" fillId="0" fontId="3" numFmtId="0" xfId="0" applyAlignment="1" applyBorder="1" applyFont="1">
      <alignment horizontal="center" readingOrder="0" shrinkToFit="0" wrapText="0"/>
    </xf>
    <xf borderId="47" fillId="4" fontId="3" numFmtId="0" xfId="0" applyAlignment="1" applyBorder="1" applyFont="1">
      <alignment readingOrder="0" shrinkToFit="0" wrapText="0"/>
    </xf>
    <xf borderId="2" fillId="0" fontId="17" numFmtId="0" xfId="0" applyAlignment="1" applyBorder="1" applyFont="1">
      <alignment shrinkToFit="0" vertical="bottom" wrapText="0"/>
    </xf>
    <xf borderId="2" fillId="0" fontId="3" numFmtId="0" xfId="0" applyAlignment="1" applyBorder="1" applyFont="1">
      <alignment readingOrder="0" shrinkToFit="0" wrapText="0"/>
    </xf>
    <xf borderId="2" fillId="0" fontId="17" numFmtId="0" xfId="0" applyAlignment="1" applyBorder="1" applyFont="1">
      <alignment horizontal="center" readingOrder="0" shrinkToFit="0" vertical="bottom" wrapText="0"/>
    </xf>
    <xf borderId="2" fillId="0" fontId="17" numFmtId="0" xfId="0" applyAlignment="1" applyBorder="1" applyFont="1">
      <alignment readingOrder="0" shrinkToFit="0" vertical="bottom" wrapText="0"/>
    </xf>
    <xf borderId="2" fillId="5" fontId="17" numFmtId="0" xfId="0" applyAlignment="1" applyBorder="1" applyFont="1">
      <alignment horizontal="center" readingOrder="0" shrinkToFit="0" vertical="bottom" wrapText="0"/>
    </xf>
    <xf borderId="38" fillId="5" fontId="17" numFmtId="0" xfId="0" applyAlignment="1" applyBorder="1" applyFont="1">
      <alignment horizontal="center" readingOrder="0" shrinkToFit="0" vertical="bottom" wrapText="0"/>
    </xf>
    <xf borderId="2" fillId="5" fontId="3" numFmtId="0" xfId="0" applyAlignment="1" applyBorder="1" applyFont="1">
      <alignment readingOrder="0" shrinkToFit="0" wrapText="0"/>
    </xf>
    <xf borderId="37" fillId="4" fontId="3" numFmtId="0" xfId="0" applyAlignment="1" applyBorder="1" applyFont="1">
      <alignment horizontal="center" readingOrder="0" shrinkToFit="0" wrapText="0"/>
    </xf>
    <xf borderId="48" fillId="26" fontId="18" numFmtId="0" xfId="0" applyAlignment="1" applyBorder="1" applyFont="1">
      <alignment horizontal="center" readingOrder="0" shrinkToFit="0" wrapText="0"/>
    </xf>
    <xf borderId="48" fillId="0" fontId="19" numFmtId="0" xfId="0" applyAlignment="1" applyBorder="1" applyFont="1">
      <alignment horizontal="left" readingOrder="0" shrinkToFit="0" vertical="bottom" wrapText="0"/>
    </xf>
    <xf borderId="0" fillId="0" fontId="12" numFmtId="0" xfId="0" applyAlignment="1" applyFont="1">
      <alignment horizontal="left" shrinkToFit="0" wrapText="0"/>
    </xf>
    <xf borderId="0" fillId="0" fontId="19" numFmtId="0" xfId="0" applyAlignment="1" applyFont="1">
      <alignment horizontal="left" readingOrder="0" shrinkToFit="0" vertical="bottom" wrapText="0"/>
    </xf>
    <xf borderId="0" fillId="0" fontId="9" numFmtId="0" xfId="0" applyAlignment="1" applyFont="1">
      <alignment horizontal="left" readingOrder="0" shrinkToFit="0" vertical="center" wrapText="0"/>
    </xf>
    <xf borderId="0" fillId="0" fontId="20" numFmtId="166" xfId="0" applyAlignment="1" applyFont="1" applyNumberFormat="1">
      <alignment horizontal="left" readingOrder="0" shrinkToFit="0" vertical="bottom" wrapText="0"/>
    </xf>
    <xf borderId="0" fillId="0" fontId="1" numFmtId="166" xfId="0" applyAlignment="1" applyFont="1" applyNumberFormat="1">
      <alignment horizontal="left" readingOrder="0" shrinkToFit="0" wrapText="0"/>
    </xf>
    <xf borderId="0" fillId="0" fontId="9" numFmtId="0" xfId="0" applyAlignment="1" applyFont="1">
      <alignment horizontal="left" readingOrder="0" shrinkToFit="0" wrapText="0"/>
    </xf>
    <xf borderId="15" fillId="0" fontId="1" numFmtId="166" xfId="0" applyAlignment="1" applyBorder="1" applyFont="1" applyNumberFormat="1">
      <alignment horizontal="left" readingOrder="0" shrinkToFit="0" wrapText="0"/>
    </xf>
    <xf borderId="48" fillId="0" fontId="0" numFmtId="166" xfId="0" applyAlignment="1" applyBorder="1" applyFont="1" applyNumberFormat="1">
      <alignment horizontal="left" readingOrder="0" shrinkToFit="0" wrapText="0"/>
    </xf>
    <xf borderId="0" fillId="4" fontId="21" numFmtId="0" xfId="0" applyAlignment="1" applyFont="1">
      <alignment horizontal="left" readingOrder="0" shrinkToFit="0" wrapText="0"/>
    </xf>
    <xf borderId="0" fillId="2" fontId="23" numFmtId="0" xfId="0" applyAlignment="1" applyFont="1">
      <alignment horizontal="left" shrinkToFit="0" wrapText="0"/>
    </xf>
    <xf borderId="0" fillId="2" fontId="23" numFmtId="0" xfId="0" applyAlignment="1" applyFont="1">
      <alignment horizontal="left" readingOrder="0" shrinkToFit="0" wrapText="0"/>
    </xf>
    <xf borderId="0" fillId="0" fontId="23" numFmtId="0" xfId="0" applyAlignment="1" applyFont="1">
      <alignment horizontal="left" shrinkToFit="0" wrapText="0"/>
    </xf>
    <xf borderId="0" fillId="2" fontId="20" numFmtId="167" xfId="0" applyAlignment="1" applyFont="1" applyNumberFormat="1">
      <alignment horizontal="left" readingOrder="0" shrinkToFit="0" vertical="bottom" wrapText="0"/>
    </xf>
    <xf borderId="0" fillId="2" fontId="8" numFmtId="9" xfId="0" applyAlignment="1" applyFont="1" applyNumberFormat="1">
      <alignment horizontal="left" shrinkToFit="0" wrapText="0"/>
    </xf>
    <xf borderId="0" fillId="0" fontId="23" numFmtId="9" xfId="0" applyAlignment="1" applyFont="1" applyNumberFormat="1">
      <alignment horizontal="left" shrinkToFit="0" wrapText="0"/>
    </xf>
    <xf borderId="15" fillId="0" fontId="1" numFmtId="0" xfId="0" applyAlignment="1" applyBorder="1" applyFont="1">
      <alignment horizontal="left" readingOrder="0" shrinkToFit="0" wrapText="0"/>
    </xf>
    <xf borderId="48" fillId="0" fontId="0" numFmtId="0" xfId="0" applyAlignment="1" applyBorder="1" applyFont="1">
      <alignment horizontal="left" readingOrder="0" shrinkToFit="0" wrapText="0"/>
    </xf>
    <xf borderId="0" fillId="4" fontId="22" numFmtId="0" xfId="0" applyAlignment="1" applyFont="1">
      <alignment horizontal="left" readingOrder="0" shrinkToFit="0" wrapText="0"/>
    </xf>
    <xf borderId="0" fillId="2" fontId="16" numFmtId="0" xfId="0" applyAlignment="1" applyFont="1">
      <alignment horizontal="left" readingOrder="0" shrinkToFit="0" wrapText="0"/>
    </xf>
    <xf borderId="0" fillId="0" fontId="1" numFmtId="9" xfId="0" applyAlignment="1" applyFont="1" applyNumberFormat="1">
      <alignment horizontal="left" shrinkToFit="0" wrapText="0"/>
    </xf>
    <xf borderId="0" fillId="2" fontId="0" numFmtId="0" xfId="0" applyAlignment="1" applyFont="1">
      <alignment horizontal="left" readingOrder="0" shrinkToFit="0" vertical="top" wrapText="0"/>
    </xf>
    <xf borderId="48" fillId="0" fontId="2" numFmtId="0" xfId="0" applyAlignment="1" applyBorder="1" applyFont="1">
      <alignment horizontal="left" shrinkToFit="0" vertical="bottom" wrapText="0"/>
    </xf>
    <xf borderId="0" fillId="0" fontId="2" numFmtId="0" xfId="0" applyAlignment="1" applyFont="1">
      <alignment shrinkToFit="0" vertical="center" wrapText="1"/>
    </xf>
    <xf borderId="0" fillId="0" fontId="9" numFmtId="0" xfId="0" applyAlignment="1" applyFont="1">
      <alignment readingOrder="0" shrinkToFit="0" vertical="center" wrapText="1"/>
    </xf>
    <xf borderId="0" fillId="0" fontId="33" numFmtId="0" xfId="0" applyAlignment="1" applyFont="1">
      <alignment readingOrder="0"/>
    </xf>
    <xf borderId="0" fillId="0" fontId="2" numFmtId="0" xfId="0" applyAlignment="1" applyFont="1">
      <alignment readingOrder="0" shrinkToFit="0" vertical="center" wrapText="1"/>
    </xf>
    <xf borderId="0" fillId="0" fontId="34" numFmtId="0" xfId="0" applyAlignment="1" applyFont="1">
      <alignment shrinkToFit="0" vertical="center" wrapText="0"/>
    </xf>
    <xf borderId="0" fillId="0" fontId="2" numFmtId="0" xfId="0" applyAlignment="1" applyFont="1">
      <alignment shrinkToFit="0" vertical="center" wrapText="0"/>
    </xf>
    <xf borderId="0" fillId="0" fontId="2" numFmtId="0" xfId="0" applyAlignment="1" applyFont="1">
      <alignment horizontal="right" vertical="center"/>
    </xf>
    <xf borderId="0" fillId="2" fontId="8" numFmtId="0" xfId="0" applyAlignment="1" applyFont="1">
      <alignment horizontal="center" vertical="bottom"/>
    </xf>
    <xf borderId="0" fillId="2" fontId="2" numFmtId="0" xfId="0" applyAlignment="1" applyFont="1">
      <alignment horizontal="center" readingOrder="0" vertical="bottom"/>
    </xf>
    <xf borderId="0" fillId="2" fontId="8" numFmtId="0" xfId="0" applyAlignment="1" applyFont="1">
      <alignment horizontal="center" readingOrder="0" vertical="bottom"/>
    </xf>
    <xf borderId="0" fillId="0" fontId="23" numFmtId="0" xfId="0" applyAlignment="1" applyFont="1">
      <alignment horizontal="center" readingOrder="0"/>
    </xf>
    <xf borderId="0" fillId="0" fontId="23" numFmtId="0" xfId="0" applyAlignment="1" applyFont="1">
      <alignment horizontal="center" readingOrder="0"/>
    </xf>
    <xf borderId="0" fillId="2" fontId="20" numFmtId="0" xfId="0" applyAlignment="1" applyFont="1">
      <alignment horizontal="center" vertical="bottom"/>
    </xf>
    <xf borderId="0" fillId="2" fontId="23" numFmtId="0" xfId="0" applyAlignment="1" applyFont="1">
      <alignment horizontal="center" readingOrder="0"/>
    </xf>
    <xf borderId="0" fillId="2" fontId="20" numFmtId="0" xfId="0" applyAlignment="1" applyFont="1">
      <alignment horizontal="center" readingOrder="0"/>
    </xf>
    <xf borderId="0" fillId="2" fontId="23" numFmtId="0" xfId="0" applyAlignment="1" applyFont="1">
      <alignment horizontal="center" vertical="bottom"/>
    </xf>
    <xf borderId="0" fillId="0" fontId="8" numFmtId="0" xfId="0" applyAlignment="1" applyFont="1">
      <alignment horizontal="center" vertical="bottom"/>
    </xf>
    <xf borderId="0" fillId="2" fontId="35" numFmtId="0" xfId="0" applyAlignment="1" applyFont="1">
      <alignment horizontal="center" readingOrder="0"/>
    </xf>
    <xf borderId="0" fillId="2" fontId="1" numFmtId="0" xfId="0" applyAlignment="1" applyFont="1">
      <alignment horizontal="center" readingOrder="0"/>
    </xf>
    <xf borderId="0" fillId="2" fontId="23" numFmtId="0" xfId="0" applyAlignment="1" applyFont="1">
      <alignment horizontal="center" readingOrder="0"/>
    </xf>
    <xf borderId="0" fillId="2" fontId="36" numFmtId="0" xfId="0" applyAlignment="1" applyFont="1">
      <alignment horizontal="center" readingOrder="0"/>
    </xf>
    <xf borderId="0" fillId="0" fontId="2" numFmtId="14" xfId="0" applyAlignment="1" applyFont="1" applyNumberFormat="1">
      <alignment horizontal="right" vertical="bottom"/>
    </xf>
    <xf borderId="0" fillId="0" fontId="2" numFmtId="0" xfId="0" applyAlignment="1" applyFont="1">
      <alignment horizontal="right" vertical="bottom"/>
    </xf>
  </cellXfs>
  <cellStyles count="1">
    <cellStyle xfId="0" name="Normal" builtinId="0"/>
  </cellStyles>
  <dxfs count="13">
    <dxf>
      <font/>
      <fill>
        <patternFill patternType="solid">
          <fgColor rgb="FFB7E1CD"/>
          <bgColor rgb="FFB7E1CD"/>
        </patternFill>
      </fill>
      <border/>
    </dxf>
    <dxf>
      <font/>
      <fill>
        <patternFill patternType="solid">
          <fgColor rgb="FFFF0000"/>
          <bgColor rgb="FFFF0000"/>
        </patternFill>
      </fill>
      <border/>
    </dxf>
    <dxf>
      <font/>
      <fill>
        <patternFill patternType="solid">
          <fgColor rgb="FF93C47D"/>
          <bgColor rgb="FF93C47D"/>
        </patternFill>
      </fill>
      <border/>
    </dxf>
    <dxf>
      <font/>
      <fill>
        <patternFill patternType="solid">
          <fgColor rgb="FFFF9900"/>
          <bgColor rgb="FFFF9900"/>
        </patternFill>
      </fill>
      <border/>
    </dxf>
    <dxf>
      <font/>
      <fill>
        <patternFill patternType="solid">
          <fgColor rgb="FFFFD966"/>
          <bgColor rgb="FFFFD966"/>
        </patternFill>
      </fill>
      <border/>
    </dxf>
    <dxf>
      <font/>
      <fill>
        <patternFill patternType="solid">
          <fgColor rgb="FFC27BA0"/>
          <bgColor rgb="FFC27BA0"/>
        </patternFill>
      </fill>
      <border/>
    </dxf>
    <dxf>
      <font/>
      <fill>
        <patternFill patternType="solid">
          <fgColor rgb="FFFFE599"/>
          <bgColor rgb="FFFFE599"/>
        </patternFill>
      </fill>
      <border/>
    </dxf>
    <dxf>
      <font/>
      <fill>
        <patternFill patternType="solid">
          <fgColor rgb="FFE06666"/>
          <bgColor rgb="FFE06666"/>
        </patternFill>
      </fill>
      <border/>
    </dxf>
    <dxf>
      <font>
        <b/>
      </font>
      <fill>
        <patternFill patternType="solid">
          <fgColor rgb="FFFF0000"/>
          <bgColor rgb="FFFF0000"/>
        </patternFill>
      </fill>
      <border/>
    </dxf>
    <dxf>
      <font/>
      <fill>
        <patternFill patternType="solid">
          <fgColor rgb="FFB6D7A8"/>
          <bgColor rgb="FFB6D7A8"/>
        </patternFill>
      </fill>
      <border/>
    </dxf>
    <dxf>
      <font/>
      <fill>
        <patternFill patternType="solid">
          <fgColor rgb="FFF4CCCC"/>
          <bgColor rgb="FFF4CCCC"/>
        </patternFill>
      </fill>
      <border/>
    </dxf>
    <dxf>
      <font/>
      <fill>
        <patternFill patternType="solid">
          <fgColor rgb="FFEA9999"/>
          <bgColor rgb="FFEA9999"/>
        </patternFill>
      </fill>
      <border/>
    </dxf>
    <dxf>
      <font>
        <b/>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Monthly progress - EM &amp; DPO</a:t>
            </a:r>
          </a:p>
        </c:rich>
      </c:tx>
      <c:overlay val="0"/>
    </c:title>
    <c:plotArea>
      <c:layout/>
      <c:areaChart>
        <c:ser>
          <c:idx val="0"/>
          <c:order val="0"/>
          <c:tx>
            <c:strRef>
              <c:f>'Campaign Stats'!$B$17</c:f>
            </c:strRef>
          </c:tx>
          <c:spPr>
            <a:solidFill>
              <a:srgbClr val="4285F4">
                <a:alpha val="30000"/>
              </a:srgbClr>
            </a:solidFill>
            <a:ln cmpd="sng">
              <a:solidFill>
                <a:srgbClr val="4285F4"/>
              </a:solidFill>
            </a:ln>
          </c:spPr>
          <c:cat>
            <c:strRef>
              <c:f>'Campaign Stats'!$A$18:$A$60</c:f>
            </c:strRef>
          </c:cat>
          <c:val>
            <c:numRef>
              <c:f>'Campaign Stats'!$B$18:$B$60</c:f>
              <c:numCache/>
            </c:numRef>
          </c:val>
        </c:ser>
        <c:ser>
          <c:idx val="1"/>
          <c:order val="1"/>
          <c:tx>
            <c:strRef>
              <c:f>'Campaign Stats'!$C$17</c:f>
            </c:strRef>
          </c:tx>
          <c:spPr>
            <a:solidFill>
              <a:srgbClr val="EA4335">
                <a:alpha val="30000"/>
              </a:srgbClr>
            </a:solidFill>
            <a:ln cmpd="sng">
              <a:solidFill>
                <a:srgbClr val="EA4335"/>
              </a:solidFill>
            </a:ln>
          </c:spPr>
          <c:cat>
            <c:strRef>
              <c:f>'Campaign Stats'!$A$18:$A$60</c:f>
            </c:strRef>
          </c:cat>
          <c:val>
            <c:numRef>
              <c:f>'Campaign Stats'!$C$18:$C$60</c:f>
              <c:numCache/>
            </c:numRef>
          </c:val>
        </c:ser>
        <c:ser>
          <c:idx val="2"/>
          <c:order val="2"/>
          <c:tx>
            <c:strRef>
              <c:f>'Campaign Stats'!$E$17</c:f>
            </c:strRef>
          </c:tx>
          <c:spPr>
            <a:solidFill>
              <a:srgbClr val="FBBC04">
                <a:alpha val="30000"/>
              </a:srgbClr>
            </a:solidFill>
            <a:ln cmpd="sng">
              <a:solidFill>
                <a:srgbClr val="FBBC04"/>
              </a:solidFill>
            </a:ln>
          </c:spPr>
          <c:cat>
            <c:strRef>
              <c:f>'Campaign Stats'!$A$18:$A$60</c:f>
            </c:strRef>
          </c:cat>
          <c:val>
            <c:numRef>
              <c:f>'Campaign Stats'!$E$18:$E$60</c:f>
              <c:numCache/>
            </c:numRef>
          </c:val>
        </c:ser>
        <c:axId val="1508778450"/>
        <c:axId val="1780451817"/>
      </c:areaChart>
      <c:catAx>
        <c:axId val="15087784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780451817"/>
      </c:catAx>
      <c:valAx>
        <c:axId val="178045181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08778450"/>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DPO - Monthly progress </a:t>
            </a:r>
          </a:p>
        </c:rich>
      </c:tx>
      <c:overlay val="0"/>
    </c:title>
    <c:plotArea>
      <c:layout/>
      <c:areaChart>
        <c:ser>
          <c:idx val="0"/>
          <c:order val="0"/>
          <c:tx>
            <c:strRef>
              <c:f>'Campaign Stats'!$B$62</c:f>
            </c:strRef>
          </c:tx>
          <c:spPr>
            <a:solidFill>
              <a:srgbClr val="4285F4">
                <a:alpha val="30000"/>
              </a:srgbClr>
            </a:solidFill>
            <a:ln cmpd="sng">
              <a:solidFill>
                <a:srgbClr val="4285F4"/>
              </a:solidFill>
            </a:ln>
          </c:spPr>
          <c:cat>
            <c:strRef>
              <c:f>'Campaign Stats'!$A$63:$A$83</c:f>
            </c:strRef>
          </c:cat>
          <c:val>
            <c:numRef>
              <c:f>'Campaign Stats'!$B$63:$B$83</c:f>
              <c:numCache/>
            </c:numRef>
          </c:val>
        </c:ser>
        <c:ser>
          <c:idx val="1"/>
          <c:order val="1"/>
          <c:tx>
            <c:strRef>
              <c:f>'Campaign Stats'!$C$62</c:f>
            </c:strRef>
          </c:tx>
          <c:spPr>
            <a:solidFill>
              <a:srgbClr val="EA4335">
                <a:alpha val="30000"/>
              </a:srgbClr>
            </a:solidFill>
            <a:ln cmpd="sng">
              <a:solidFill>
                <a:srgbClr val="EA4335"/>
              </a:solidFill>
            </a:ln>
          </c:spPr>
          <c:cat>
            <c:strRef>
              <c:f>'Campaign Stats'!$A$63:$A$83</c:f>
            </c:strRef>
          </c:cat>
          <c:val>
            <c:numRef>
              <c:f>'Campaign Stats'!$C$63:$C$83</c:f>
              <c:numCache/>
            </c:numRef>
          </c:val>
        </c:ser>
        <c:ser>
          <c:idx val="2"/>
          <c:order val="2"/>
          <c:tx>
            <c:strRef>
              <c:f>'Campaign Stats'!$E$62</c:f>
            </c:strRef>
          </c:tx>
          <c:spPr>
            <a:solidFill>
              <a:srgbClr val="FBBC04">
                <a:alpha val="30000"/>
              </a:srgbClr>
            </a:solidFill>
            <a:ln cmpd="sng">
              <a:solidFill>
                <a:srgbClr val="FBBC04"/>
              </a:solidFill>
            </a:ln>
          </c:spPr>
          <c:cat>
            <c:strRef>
              <c:f>'Campaign Stats'!$A$63:$A$83</c:f>
            </c:strRef>
          </c:cat>
          <c:val>
            <c:numRef>
              <c:f>'Campaign Stats'!$E$63:$E$83</c:f>
              <c:numCache/>
            </c:numRef>
          </c:val>
        </c:ser>
        <c:axId val="845499495"/>
        <c:axId val="1228073266"/>
      </c:areaChart>
      <c:catAx>
        <c:axId val="8454994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28073266"/>
      </c:catAx>
      <c:valAx>
        <c:axId val="12280732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45499495"/>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EM - Monthly Progress</a:t>
            </a:r>
          </a:p>
        </c:rich>
      </c:tx>
      <c:overlay val="0"/>
    </c:title>
    <c:plotArea>
      <c:layout/>
      <c:areaChart>
        <c:ser>
          <c:idx val="0"/>
          <c:order val="0"/>
          <c:tx>
            <c:strRef>
              <c:f>'Campaign Stats'!$L$62</c:f>
            </c:strRef>
          </c:tx>
          <c:spPr>
            <a:solidFill>
              <a:srgbClr val="4285F4">
                <a:alpha val="30000"/>
              </a:srgbClr>
            </a:solidFill>
            <a:ln cmpd="sng">
              <a:solidFill>
                <a:srgbClr val="4285F4"/>
              </a:solidFill>
            </a:ln>
          </c:spPr>
          <c:cat>
            <c:strRef>
              <c:f>'Campaign Stats'!$K$63:$K$83</c:f>
            </c:strRef>
          </c:cat>
          <c:val>
            <c:numRef>
              <c:f>'Campaign Stats'!$L$63:$L$83</c:f>
              <c:numCache/>
            </c:numRef>
          </c:val>
        </c:ser>
        <c:ser>
          <c:idx val="1"/>
          <c:order val="1"/>
          <c:tx>
            <c:strRef>
              <c:f>'Campaign Stats'!$M$62</c:f>
            </c:strRef>
          </c:tx>
          <c:spPr>
            <a:solidFill>
              <a:srgbClr val="EA4335">
                <a:alpha val="30000"/>
              </a:srgbClr>
            </a:solidFill>
            <a:ln cmpd="sng">
              <a:solidFill>
                <a:srgbClr val="EA4335"/>
              </a:solidFill>
            </a:ln>
          </c:spPr>
          <c:cat>
            <c:strRef>
              <c:f>'Campaign Stats'!$K$63:$K$83</c:f>
            </c:strRef>
          </c:cat>
          <c:val>
            <c:numRef>
              <c:f>'Campaign Stats'!$M$63:$M$83</c:f>
              <c:numCache/>
            </c:numRef>
          </c:val>
        </c:ser>
        <c:ser>
          <c:idx val="2"/>
          <c:order val="2"/>
          <c:tx>
            <c:strRef>
              <c:f>'Campaign Stats'!$O$62</c:f>
            </c:strRef>
          </c:tx>
          <c:spPr>
            <a:solidFill>
              <a:srgbClr val="FBBC04">
                <a:alpha val="30000"/>
              </a:srgbClr>
            </a:solidFill>
            <a:ln cmpd="sng">
              <a:solidFill>
                <a:srgbClr val="FBBC04"/>
              </a:solidFill>
            </a:ln>
          </c:spPr>
          <c:cat>
            <c:strRef>
              <c:f>'Campaign Stats'!$K$63:$K$83</c:f>
            </c:strRef>
          </c:cat>
          <c:val>
            <c:numRef>
              <c:f>'Campaign Stats'!$O$63:$O$83</c:f>
              <c:numCache/>
            </c:numRef>
          </c:val>
        </c:ser>
        <c:axId val="39062697"/>
        <c:axId val="1319012879"/>
      </c:areaChart>
      <c:catAx>
        <c:axId val="390626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19012879"/>
      </c:catAx>
      <c:valAx>
        <c:axId val="13190128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9062697"/>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400050</xdr:colOff>
      <xdr:row>10</xdr:row>
      <xdr:rowOff>76200</xdr:rowOff>
    </xdr:from>
    <xdr:ext cx="8515350" cy="40100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219075</xdr:colOff>
      <xdr:row>87</xdr:row>
      <xdr:rowOff>114300</xdr:rowOff>
    </xdr:from>
    <xdr:ext cx="7886700" cy="48577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695325</xdr:colOff>
      <xdr:row>87</xdr:row>
      <xdr:rowOff>161925</xdr:rowOff>
    </xdr:from>
    <xdr:ext cx="8410575" cy="476250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8.xml"/><Relationship Id="rId3"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0.xml"/><Relationship Id="rId3"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
    <col customWidth="1" min="15" max="15" width="16.0"/>
    <col customWidth="1" min="16" max="16" width="15.88"/>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c r="A2" s="3" t="s">
        <v>16</v>
      </c>
      <c r="B2" s="2" t="s">
        <v>17</v>
      </c>
      <c r="C2" s="2" t="s">
        <v>18</v>
      </c>
      <c r="D2" s="2" t="s">
        <v>19</v>
      </c>
      <c r="E2" s="2" t="s">
        <v>20</v>
      </c>
      <c r="F2" s="2">
        <v>5.0</v>
      </c>
      <c r="G2" s="2">
        <v>12.0</v>
      </c>
      <c r="H2" s="2">
        <v>0.0</v>
      </c>
      <c r="I2" s="2">
        <v>4.0</v>
      </c>
      <c r="J2" s="2">
        <v>1.0</v>
      </c>
      <c r="K2" s="2">
        <v>7.0</v>
      </c>
      <c r="L2" s="2">
        <v>4.0</v>
      </c>
      <c r="M2" s="2">
        <v>5.0</v>
      </c>
      <c r="N2" s="2"/>
      <c r="O2" s="2"/>
      <c r="P2" s="2" t="s">
        <v>21</v>
      </c>
    </row>
    <row r="3">
      <c r="A3" s="3" t="s">
        <v>22</v>
      </c>
      <c r="B3" s="2" t="s">
        <v>17</v>
      </c>
      <c r="C3" s="2" t="s">
        <v>18</v>
      </c>
      <c r="D3" s="2" t="s">
        <v>23</v>
      </c>
      <c r="E3" s="2" t="s">
        <v>20</v>
      </c>
      <c r="F3" s="2">
        <v>5.0</v>
      </c>
      <c r="G3" s="2">
        <v>12.0</v>
      </c>
      <c r="H3" s="2">
        <v>0.0</v>
      </c>
      <c r="I3" s="2">
        <v>4.0</v>
      </c>
      <c r="J3" s="2">
        <v>1.0</v>
      </c>
      <c r="K3" s="2">
        <v>7.0</v>
      </c>
      <c r="L3" s="2">
        <v>4.0</v>
      </c>
      <c r="M3" s="2">
        <v>5.0</v>
      </c>
      <c r="N3" s="2">
        <v>0.0</v>
      </c>
      <c r="O3" s="2">
        <v>5.0</v>
      </c>
      <c r="P3" s="2" t="s">
        <v>21</v>
      </c>
    </row>
    <row r="4">
      <c r="A4" s="3" t="s">
        <v>24</v>
      </c>
      <c r="B4" s="4">
        <v>45294.29166666667</v>
      </c>
      <c r="C4" s="2" t="s">
        <v>18</v>
      </c>
      <c r="D4" s="2" t="s">
        <v>19</v>
      </c>
      <c r="E4" s="2" t="s">
        <v>20</v>
      </c>
      <c r="F4" s="2"/>
      <c r="G4" s="2">
        <v>0.0</v>
      </c>
      <c r="H4" s="2">
        <v>0.0</v>
      </c>
      <c r="I4" s="2">
        <v>0.0</v>
      </c>
      <c r="J4" s="2">
        <v>0.0</v>
      </c>
      <c r="K4" s="2">
        <v>0.0</v>
      </c>
      <c r="L4" s="2">
        <v>0.0</v>
      </c>
      <c r="M4" s="2"/>
      <c r="N4" s="2"/>
      <c r="O4" s="2"/>
      <c r="P4" s="2" t="s">
        <v>21</v>
      </c>
    </row>
    <row r="5">
      <c r="A5" s="3" t="s">
        <v>25</v>
      </c>
      <c r="B5" s="4">
        <v>45323.29166666667</v>
      </c>
      <c r="C5" s="2" t="s">
        <v>18</v>
      </c>
      <c r="D5" s="2" t="s">
        <v>19</v>
      </c>
      <c r="E5" s="2" t="s">
        <v>20</v>
      </c>
      <c r="F5" s="2"/>
      <c r="G5" s="2">
        <v>9.0</v>
      </c>
      <c r="H5" s="2">
        <v>0.0</v>
      </c>
      <c r="I5" s="2">
        <v>4.0</v>
      </c>
      <c r="J5" s="2">
        <v>1.0</v>
      </c>
      <c r="K5" s="2">
        <v>4.0</v>
      </c>
      <c r="L5" s="2">
        <v>1.0</v>
      </c>
      <c r="M5" s="2"/>
      <c r="N5" s="2"/>
      <c r="O5" s="2"/>
      <c r="P5" s="2" t="s">
        <v>21</v>
      </c>
    </row>
    <row r="6">
      <c r="A6" s="3" t="s">
        <v>26</v>
      </c>
      <c r="B6" s="2" t="s">
        <v>17</v>
      </c>
      <c r="C6" s="2" t="s">
        <v>18</v>
      </c>
      <c r="D6" s="2" t="s">
        <v>19</v>
      </c>
      <c r="E6" s="2" t="s">
        <v>27</v>
      </c>
      <c r="F6" s="2">
        <v>20.0</v>
      </c>
      <c r="G6" s="2">
        <v>5.0</v>
      </c>
      <c r="H6" s="2">
        <v>0.0</v>
      </c>
      <c r="I6" s="2">
        <v>1.0</v>
      </c>
      <c r="J6" s="2">
        <v>0.0</v>
      </c>
      <c r="K6" s="2">
        <v>4.0</v>
      </c>
      <c r="L6" s="2">
        <v>0.0</v>
      </c>
      <c r="M6" s="2">
        <v>20.0</v>
      </c>
      <c r="N6" s="2"/>
      <c r="O6" s="2"/>
      <c r="P6" s="2" t="s">
        <v>21</v>
      </c>
    </row>
    <row r="7">
      <c r="A7" s="3" t="s">
        <v>28</v>
      </c>
      <c r="B7" s="2" t="s">
        <v>17</v>
      </c>
      <c r="C7" s="2" t="s">
        <v>18</v>
      </c>
      <c r="D7" s="2" t="s">
        <v>23</v>
      </c>
      <c r="E7" s="2" t="s">
        <v>27</v>
      </c>
      <c r="F7" s="2">
        <v>20.0</v>
      </c>
      <c r="G7" s="2">
        <v>5.0</v>
      </c>
      <c r="H7" s="2">
        <v>0.0</v>
      </c>
      <c r="I7" s="2">
        <v>1.0</v>
      </c>
      <c r="J7" s="2">
        <v>0.0</v>
      </c>
      <c r="K7" s="2">
        <v>4.0</v>
      </c>
      <c r="L7" s="2">
        <v>0.0</v>
      </c>
      <c r="M7" s="2">
        <v>20.0</v>
      </c>
      <c r="N7" s="2">
        <v>0.0</v>
      </c>
      <c r="O7" s="2">
        <v>20.0</v>
      </c>
      <c r="P7" s="2" t="s">
        <v>21</v>
      </c>
    </row>
    <row r="8">
      <c r="A8" s="3" t="s">
        <v>29</v>
      </c>
      <c r="B8" s="2" t="s">
        <v>17</v>
      </c>
      <c r="C8" s="2" t="s">
        <v>18</v>
      </c>
      <c r="D8" s="2" t="s">
        <v>30</v>
      </c>
      <c r="E8" s="2" t="s">
        <v>31</v>
      </c>
      <c r="F8" s="2">
        <v>4.0</v>
      </c>
      <c r="G8" s="2">
        <v>0.0</v>
      </c>
      <c r="H8" s="2">
        <v>0.0</v>
      </c>
      <c r="I8" s="2">
        <v>0.0</v>
      </c>
      <c r="J8" s="2">
        <v>0.0</v>
      </c>
      <c r="K8" s="2">
        <v>0.0</v>
      </c>
      <c r="L8" s="2">
        <v>0.0</v>
      </c>
      <c r="M8" s="2">
        <v>4.0</v>
      </c>
      <c r="N8" s="2"/>
      <c r="O8" s="2"/>
      <c r="P8" s="2" t="s">
        <v>21</v>
      </c>
    </row>
    <row r="9">
      <c r="A9" s="3" t="s">
        <v>32</v>
      </c>
      <c r="B9" s="2" t="s">
        <v>17</v>
      </c>
      <c r="C9" s="2" t="s">
        <v>18</v>
      </c>
      <c r="D9" s="2" t="s">
        <v>33</v>
      </c>
      <c r="E9" s="2" t="s">
        <v>31</v>
      </c>
      <c r="F9" s="2">
        <v>4.0</v>
      </c>
      <c r="G9" s="2">
        <v>4.0</v>
      </c>
      <c r="H9" s="2">
        <v>0.0</v>
      </c>
      <c r="I9" s="2">
        <v>1.0</v>
      </c>
      <c r="J9" s="2">
        <v>3.0</v>
      </c>
      <c r="K9" s="2">
        <v>0.0</v>
      </c>
      <c r="L9" s="2">
        <v>0.0</v>
      </c>
      <c r="M9" s="2">
        <v>4.0</v>
      </c>
      <c r="N9" s="2"/>
      <c r="O9" s="2"/>
      <c r="P9" s="2" t="s">
        <v>21</v>
      </c>
    </row>
    <row r="10">
      <c r="A10" s="3" t="s">
        <v>34</v>
      </c>
      <c r="B10" s="2" t="s">
        <v>17</v>
      </c>
      <c r="C10" s="2" t="s">
        <v>18</v>
      </c>
      <c r="D10" s="2" t="s">
        <v>19</v>
      </c>
      <c r="E10" s="2" t="s">
        <v>31</v>
      </c>
      <c r="F10" s="2">
        <v>4.0</v>
      </c>
      <c r="G10" s="2">
        <v>6.0</v>
      </c>
      <c r="H10" s="2">
        <v>0.0</v>
      </c>
      <c r="I10" s="2">
        <v>1.0</v>
      </c>
      <c r="J10" s="2">
        <v>4.0</v>
      </c>
      <c r="K10" s="2">
        <v>1.0</v>
      </c>
      <c r="L10" s="2">
        <v>0.0</v>
      </c>
      <c r="M10" s="2">
        <v>4.0</v>
      </c>
      <c r="N10" s="2"/>
      <c r="O10" s="2"/>
      <c r="P10" s="2" t="s">
        <v>21</v>
      </c>
    </row>
    <row r="11">
      <c r="A11" s="3" t="s">
        <v>35</v>
      </c>
      <c r="B11" s="2" t="s">
        <v>17</v>
      </c>
      <c r="C11" s="2" t="s">
        <v>18</v>
      </c>
      <c r="D11" s="2" t="s">
        <v>23</v>
      </c>
      <c r="E11" s="2" t="s">
        <v>31</v>
      </c>
      <c r="F11" s="2">
        <v>4.0</v>
      </c>
      <c r="G11" s="2">
        <v>10.0</v>
      </c>
      <c r="H11" s="2">
        <v>0.0</v>
      </c>
      <c r="I11" s="2">
        <v>2.0</v>
      </c>
      <c r="J11" s="2">
        <v>7.0</v>
      </c>
      <c r="K11" s="2">
        <v>1.0</v>
      </c>
      <c r="L11" s="2">
        <v>0.0</v>
      </c>
      <c r="M11" s="2">
        <v>4.0</v>
      </c>
      <c r="N11" s="2">
        <v>-8.0</v>
      </c>
      <c r="O11" s="2">
        <v>4.0</v>
      </c>
      <c r="P11" s="2" t="s">
        <v>21</v>
      </c>
    </row>
    <row r="12">
      <c r="A12" s="3" t="s">
        <v>36</v>
      </c>
      <c r="B12" s="4">
        <v>45171.29166666667</v>
      </c>
      <c r="C12" s="2" t="s">
        <v>18</v>
      </c>
      <c r="D12" s="2" t="s">
        <v>33</v>
      </c>
      <c r="E12" s="2" t="s">
        <v>31</v>
      </c>
      <c r="F12" s="2"/>
      <c r="G12" s="2">
        <v>2.0</v>
      </c>
      <c r="H12" s="2">
        <v>0.0</v>
      </c>
      <c r="I12" s="2">
        <v>0.0</v>
      </c>
      <c r="J12" s="2">
        <v>2.0</v>
      </c>
      <c r="K12" s="2">
        <v>0.0</v>
      </c>
      <c r="L12" s="2">
        <v>0.0</v>
      </c>
      <c r="M12" s="2"/>
      <c r="N12" s="2"/>
      <c r="O12" s="2"/>
      <c r="P12" s="2" t="s">
        <v>21</v>
      </c>
    </row>
    <row r="13">
      <c r="A13" s="3" t="s">
        <v>37</v>
      </c>
      <c r="B13" s="4">
        <v>45172.29166666667</v>
      </c>
      <c r="C13" s="2" t="s">
        <v>18</v>
      </c>
      <c r="D13" s="2" t="s">
        <v>19</v>
      </c>
      <c r="E13" s="2" t="s">
        <v>31</v>
      </c>
      <c r="F13" s="2"/>
      <c r="G13" s="2">
        <v>0.0</v>
      </c>
      <c r="H13" s="2">
        <v>0.0</v>
      </c>
      <c r="I13" s="2">
        <v>0.0</v>
      </c>
      <c r="J13" s="2">
        <v>0.0</v>
      </c>
      <c r="K13" s="2">
        <v>0.0</v>
      </c>
      <c r="L13" s="2">
        <v>0.0</v>
      </c>
      <c r="M13" s="2"/>
      <c r="N13" s="2"/>
      <c r="O13" s="2"/>
      <c r="P13" s="2" t="s">
        <v>21</v>
      </c>
    </row>
    <row r="14">
      <c r="A14" s="3" t="s">
        <v>38</v>
      </c>
      <c r="B14" s="4">
        <v>45201.29166666667</v>
      </c>
      <c r="C14" s="2" t="s">
        <v>18</v>
      </c>
      <c r="D14" s="2" t="s">
        <v>33</v>
      </c>
      <c r="E14" s="2" t="s">
        <v>31</v>
      </c>
      <c r="F14" s="2"/>
      <c r="G14" s="2">
        <v>1.0</v>
      </c>
      <c r="H14" s="2">
        <v>0.0</v>
      </c>
      <c r="I14" s="2">
        <v>1.0</v>
      </c>
      <c r="J14" s="2">
        <v>0.0</v>
      </c>
      <c r="K14" s="2">
        <v>0.0</v>
      </c>
      <c r="L14" s="2">
        <v>0.0</v>
      </c>
      <c r="M14" s="2"/>
      <c r="N14" s="2"/>
      <c r="O14" s="2"/>
      <c r="P14" s="2" t="s">
        <v>21</v>
      </c>
    </row>
    <row r="15">
      <c r="A15" s="3" t="s">
        <v>39</v>
      </c>
      <c r="B15" s="4">
        <v>45202.29166666667</v>
      </c>
      <c r="C15" s="2" t="s">
        <v>18</v>
      </c>
      <c r="D15" s="2" t="s">
        <v>19</v>
      </c>
      <c r="E15" s="2" t="s">
        <v>31</v>
      </c>
      <c r="F15" s="2"/>
      <c r="G15" s="2">
        <v>1.0</v>
      </c>
      <c r="H15" s="2">
        <v>0.0</v>
      </c>
      <c r="I15" s="2">
        <v>1.0</v>
      </c>
      <c r="J15" s="2">
        <v>0.0</v>
      </c>
      <c r="K15" s="2">
        <v>0.0</v>
      </c>
      <c r="L15" s="2">
        <v>0.0</v>
      </c>
      <c r="M15" s="2"/>
      <c r="N15" s="2"/>
      <c r="O15" s="2"/>
      <c r="P15" s="2" t="s">
        <v>21</v>
      </c>
    </row>
    <row r="16">
      <c r="A16" s="3" t="s">
        <v>40</v>
      </c>
      <c r="B16" s="4">
        <v>45232.25</v>
      </c>
      <c r="C16" s="2" t="s">
        <v>18</v>
      </c>
      <c r="D16" s="2" t="s">
        <v>30</v>
      </c>
      <c r="E16" s="2" t="s">
        <v>31</v>
      </c>
      <c r="F16" s="2"/>
      <c r="G16" s="2">
        <v>0.0</v>
      </c>
      <c r="H16" s="2">
        <v>0.0</v>
      </c>
      <c r="I16" s="2">
        <v>0.0</v>
      </c>
      <c r="J16" s="2">
        <v>0.0</v>
      </c>
      <c r="K16" s="2">
        <v>0.0</v>
      </c>
      <c r="L16" s="2">
        <v>0.0</v>
      </c>
      <c r="M16" s="2"/>
      <c r="N16" s="2"/>
      <c r="O16" s="2"/>
      <c r="P16" s="2" t="s">
        <v>21</v>
      </c>
    </row>
    <row r="17">
      <c r="A17" s="3" t="s">
        <v>41</v>
      </c>
      <c r="B17" s="4">
        <v>45232.25</v>
      </c>
      <c r="C17" s="2" t="s">
        <v>18</v>
      </c>
      <c r="D17" s="2" t="s">
        <v>33</v>
      </c>
      <c r="E17" s="2" t="s">
        <v>31</v>
      </c>
      <c r="F17" s="2"/>
      <c r="G17" s="2">
        <v>1.0</v>
      </c>
      <c r="H17" s="2">
        <v>0.0</v>
      </c>
      <c r="I17" s="2">
        <v>0.0</v>
      </c>
      <c r="J17" s="2">
        <v>1.0</v>
      </c>
      <c r="K17" s="2">
        <v>0.0</v>
      </c>
      <c r="L17" s="2">
        <v>0.0</v>
      </c>
      <c r="M17" s="2"/>
      <c r="N17" s="2"/>
      <c r="O17" s="2"/>
      <c r="P17" s="2" t="s">
        <v>21</v>
      </c>
    </row>
    <row r="18">
      <c r="A18" s="3" t="s">
        <v>42</v>
      </c>
      <c r="B18" s="4">
        <v>45233.25</v>
      </c>
      <c r="C18" s="2" t="s">
        <v>18</v>
      </c>
      <c r="D18" s="2" t="s">
        <v>19</v>
      </c>
      <c r="E18" s="2" t="s">
        <v>31</v>
      </c>
      <c r="F18" s="2"/>
      <c r="G18" s="2">
        <v>0.0</v>
      </c>
      <c r="H18" s="2">
        <v>0.0</v>
      </c>
      <c r="I18" s="2">
        <v>0.0</v>
      </c>
      <c r="J18" s="2">
        <v>0.0</v>
      </c>
      <c r="K18" s="2">
        <v>0.0</v>
      </c>
      <c r="L18" s="2">
        <v>0.0</v>
      </c>
      <c r="M18" s="2"/>
      <c r="N18" s="2"/>
      <c r="O18" s="2"/>
      <c r="P18" s="2" t="s">
        <v>21</v>
      </c>
    </row>
    <row r="19">
      <c r="A19" s="3" t="s">
        <v>43</v>
      </c>
      <c r="B19" s="4">
        <v>45262.29166666667</v>
      </c>
      <c r="C19" s="2" t="s">
        <v>18</v>
      </c>
      <c r="D19" s="2" t="s">
        <v>19</v>
      </c>
      <c r="E19" s="2" t="s">
        <v>31</v>
      </c>
      <c r="F19" s="2"/>
      <c r="G19" s="2">
        <v>4.0</v>
      </c>
      <c r="H19" s="2">
        <v>0.0</v>
      </c>
      <c r="I19" s="2">
        <v>0.0</v>
      </c>
      <c r="J19" s="2">
        <v>4.0</v>
      </c>
      <c r="K19" s="2">
        <v>0.0</v>
      </c>
      <c r="L19" s="2">
        <v>0.0</v>
      </c>
      <c r="M19" s="2"/>
      <c r="N19" s="2"/>
      <c r="O19" s="2"/>
      <c r="P19" s="2" t="s">
        <v>21</v>
      </c>
    </row>
    <row r="20">
      <c r="A20" s="3" t="s">
        <v>44</v>
      </c>
      <c r="B20" s="4">
        <v>45293.29166666667</v>
      </c>
      <c r="C20" s="2" t="s">
        <v>18</v>
      </c>
      <c r="D20" s="2" t="s">
        <v>19</v>
      </c>
      <c r="E20" s="2" t="s">
        <v>31</v>
      </c>
      <c r="F20" s="2"/>
      <c r="G20" s="2">
        <v>0.0</v>
      </c>
      <c r="H20" s="2">
        <v>0.0</v>
      </c>
      <c r="I20" s="2">
        <v>0.0</v>
      </c>
      <c r="J20" s="2">
        <v>0.0</v>
      </c>
      <c r="K20" s="2">
        <v>0.0</v>
      </c>
      <c r="L20" s="2">
        <v>0.0</v>
      </c>
      <c r="M20" s="2"/>
      <c r="N20" s="2"/>
      <c r="O20" s="2"/>
      <c r="P20" s="2" t="s">
        <v>21</v>
      </c>
    </row>
    <row r="21">
      <c r="A21" s="3" t="s">
        <v>45</v>
      </c>
      <c r="B21" s="2" t="s">
        <v>17</v>
      </c>
      <c r="C21" s="2" t="s">
        <v>18</v>
      </c>
      <c r="D21" s="2" t="s">
        <v>19</v>
      </c>
      <c r="E21" s="2" t="s">
        <v>46</v>
      </c>
      <c r="F21" s="2">
        <v>2.0</v>
      </c>
      <c r="G21" s="2">
        <v>8.0</v>
      </c>
      <c r="H21" s="2">
        <v>0.0</v>
      </c>
      <c r="I21" s="2">
        <v>3.0</v>
      </c>
      <c r="J21" s="2">
        <v>4.0</v>
      </c>
      <c r="K21" s="2">
        <v>1.0</v>
      </c>
      <c r="L21" s="2">
        <v>1.0</v>
      </c>
      <c r="M21" s="2">
        <v>2.0</v>
      </c>
      <c r="N21" s="2"/>
      <c r="O21" s="2"/>
      <c r="P21" s="2" t="s">
        <v>21</v>
      </c>
    </row>
    <row r="22">
      <c r="A22" s="3" t="s">
        <v>16</v>
      </c>
      <c r="B22" s="2" t="s">
        <v>17</v>
      </c>
      <c r="C22" s="2" t="s">
        <v>18</v>
      </c>
      <c r="D22" s="2" t="s">
        <v>23</v>
      </c>
      <c r="E22" s="2" t="s">
        <v>46</v>
      </c>
      <c r="F22" s="2">
        <v>2.0</v>
      </c>
      <c r="G22" s="2">
        <v>8.0</v>
      </c>
      <c r="H22" s="2">
        <v>0.0</v>
      </c>
      <c r="I22" s="2">
        <v>3.0</v>
      </c>
      <c r="J22" s="2">
        <v>4.0</v>
      </c>
      <c r="K22" s="2">
        <v>1.0</v>
      </c>
      <c r="L22" s="2">
        <v>1.0</v>
      </c>
      <c r="M22" s="2">
        <v>2.0</v>
      </c>
      <c r="N22" s="2">
        <v>0.0</v>
      </c>
      <c r="O22" s="2">
        <v>2.0</v>
      </c>
      <c r="P22" s="2" t="s">
        <v>21</v>
      </c>
    </row>
    <row r="23">
      <c r="A23" s="3" t="s">
        <v>47</v>
      </c>
      <c r="B23" s="4">
        <v>45262.29166666667</v>
      </c>
      <c r="C23" s="2" t="s">
        <v>18</v>
      </c>
      <c r="D23" s="2" t="s">
        <v>19</v>
      </c>
      <c r="E23" s="2" t="s">
        <v>46</v>
      </c>
      <c r="F23" s="2"/>
      <c r="G23" s="2">
        <v>6.0</v>
      </c>
      <c r="H23" s="2">
        <v>0.0</v>
      </c>
      <c r="I23" s="2">
        <v>2.0</v>
      </c>
      <c r="J23" s="2">
        <v>4.0</v>
      </c>
      <c r="K23" s="2">
        <v>0.0</v>
      </c>
      <c r="L23" s="2">
        <v>0.0</v>
      </c>
      <c r="M23" s="2"/>
      <c r="N23" s="2"/>
      <c r="O23" s="2"/>
      <c r="P23" s="2" t="s">
        <v>21</v>
      </c>
    </row>
    <row r="24">
      <c r="A24" s="3" t="s">
        <v>48</v>
      </c>
      <c r="B24" s="4">
        <v>45294.29166666667</v>
      </c>
      <c r="C24" s="2" t="s">
        <v>18</v>
      </c>
      <c r="D24" s="2" t="s">
        <v>19</v>
      </c>
      <c r="E24" s="2" t="s">
        <v>46</v>
      </c>
      <c r="F24" s="2"/>
      <c r="G24" s="2">
        <v>0.0</v>
      </c>
      <c r="H24" s="2">
        <v>0.0</v>
      </c>
      <c r="I24" s="2">
        <v>0.0</v>
      </c>
      <c r="J24" s="2">
        <v>0.0</v>
      </c>
      <c r="K24" s="2">
        <v>0.0</v>
      </c>
      <c r="L24" s="2">
        <v>0.0</v>
      </c>
      <c r="M24" s="2"/>
      <c r="N24" s="2"/>
      <c r="O24" s="2"/>
      <c r="P24" s="2" t="s">
        <v>21</v>
      </c>
    </row>
    <row r="25">
      <c r="A25" s="3" t="s">
        <v>49</v>
      </c>
      <c r="B25" s="2" t="s">
        <v>17</v>
      </c>
      <c r="C25" s="2" t="s">
        <v>18</v>
      </c>
      <c r="D25" s="2" t="s">
        <v>19</v>
      </c>
      <c r="E25" s="2" t="s">
        <v>50</v>
      </c>
      <c r="F25" s="2">
        <v>3.0</v>
      </c>
      <c r="G25" s="2">
        <v>6.0</v>
      </c>
      <c r="H25" s="2">
        <v>0.0</v>
      </c>
      <c r="I25" s="2">
        <v>4.0</v>
      </c>
      <c r="J25" s="2">
        <v>0.0</v>
      </c>
      <c r="K25" s="2">
        <v>2.0</v>
      </c>
      <c r="L25" s="2">
        <v>0.0</v>
      </c>
      <c r="M25" s="2">
        <v>3.0</v>
      </c>
      <c r="N25" s="2"/>
      <c r="O25" s="2"/>
      <c r="P25" s="2" t="s">
        <v>21</v>
      </c>
    </row>
    <row r="26">
      <c r="A26" s="3" t="s">
        <v>51</v>
      </c>
      <c r="B26" s="2" t="s">
        <v>17</v>
      </c>
      <c r="C26" s="2" t="s">
        <v>18</v>
      </c>
      <c r="D26" s="2" t="s">
        <v>23</v>
      </c>
      <c r="E26" s="2" t="s">
        <v>50</v>
      </c>
      <c r="F26" s="2">
        <v>3.0</v>
      </c>
      <c r="G26" s="2">
        <v>6.0</v>
      </c>
      <c r="H26" s="2">
        <v>0.0</v>
      </c>
      <c r="I26" s="2">
        <v>4.0</v>
      </c>
      <c r="J26" s="2">
        <v>0.0</v>
      </c>
      <c r="K26" s="2">
        <v>2.0</v>
      </c>
      <c r="L26" s="2">
        <v>0.0</v>
      </c>
      <c r="M26" s="2">
        <v>3.0</v>
      </c>
      <c r="N26" s="2">
        <v>0.0</v>
      </c>
      <c r="O26" s="2">
        <v>3.0</v>
      </c>
      <c r="P26" s="2" t="s">
        <v>21</v>
      </c>
    </row>
    <row r="27">
      <c r="A27" s="3" t="s">
        <v>52</v>
      </c>
      <c r="B27" s="4">
        <v>45294.29166666667</v>
      </c>
      <c r="C27" s="2" t="s">
        <v>18</v>
      </c>
      <c r="D27" s="2" t="s">
        <v>19</v>
      </c>
      <c r="E27" s="2" t="s">
        <v>50</v>
      </c>
      <c r="F27" s="2"/>
      <c r="G27" s="2">
        <v>0.0</v>
      </c>
      <c r="H27" s="2">
        <v>0.0</v>
      </c>
      <c r="I27" s="2">
        <v>0.0</v>
      </c>
      <c r="J27" s="2">
        <v>0.0</v>
      </c>
      <c r="K27" s="2">
        <v>0.0</v>
      </c>
      <c r="L27" s="2">
        <v>0.0</v>
      </c>
      <c r="M27" s="2"/>
      <c r="N27" s="2"/>
      <c r="O27" s="2"/>
      <c r="P27" s="2" t="s">
        <v>21</v>
      </c>
    </row>
    <row r="28">
      <c r="A28" s="3" t="s">
        <v>53</v>
      </c>
      <c r="B28" s="2" t="s">
        <v>17</v>
      </c>
      <c r="C28" s="2" t="s">
        <v>18</v>
      </c>
      <c r="D28" s="2" t="s">
        <v>19</v>
      </c>
      <c r="E28" s="2" t="s">
        <v>31</v>
      </c>
      <c r="F28" s="2">
        <v>2.0</v>
      </c>
      <c r="G28" s="2">
        <v>1.0</v>
      </c>
      <c r="H28" s="2">
        <v>0.0</v>
      </c>
      <c r="I28" s="2">
        <v>1.0</v>
      </c>
      <c r="J28" s="2">
        <v>0.0</v>
      </c>
      <c r="K28" s="2">
        <v>0.0</v>
      </c>
      <c r="L28" s="2">
        <v>0.0</v>
      </c>
      <c r="M28" s="2">
        <v>2.0</v>
      </c>
      <c r="N28" s="2"/>
      <c r="O28" s="2"/>
      <c r="P28" s="2" t="s">
        <v>21</v>
      </c>
    </row>
    <row r="29">
      <c r="A29" s="3" t="s">
        <v>54</v>
      </c>
      <c r="B29" s="2" t="s">
        <v>17</v>
      </c>
      <c r="C29" s="2" t="s">
        <v>18</v>
      </c>
      <c r="D29" s="2" t="s">
        <v>23</v>
      </c>
      <c r="E29" s="2" t="s">
        <v>31</v>
      </c>
      <c r="F29" s="2">
        <v>2.0</v>
      </c>
      <c r="G29" s="2">
        <v>1.0</v>
      </c>
      <c r="H29" s="2">
        <v>0.0</v>
      </c>
      <c r="I29" s="2">
        <v>1.0</v>
      </c>
      <c r="J29" s="2">
        <v>0.0</v>
      </c>
      <c r="K29" s="2">
        <v>0.0</v>
      </c>
      <c r="L29" s="2">
        <v>0.0</v>
      </c>
      <c r="M29" s="2">
        <v>2.0</v>
      </c>
      <c r="N29" s="2">
        <v>0.0</v>
      </c>
      <c r="O29" s="2">
        <v>2.0</v>
      </c>
      <c r="P29" s="2" t="s">
        <v>21</v>
      </c>
    </row>
    <row r="30">
      <c r="A30" s="3" t="s">
        <v>55</v>
      </c>
      <c r="B30" s="4">
        <v>45293.29166666667</v>
      </c>
      <c r="C30" s="2" t="s">
        <v>18</v>
      </c>
      <c r="D30" s="2" t="s">
        <v>19</v>
      </c>
      <c r="E30" s="2" t="s">
        <v>31</v>
      </c>
      <c r="F30" s="2"/>
      <c r="G30" s="2">
        <v>1.0</v>
      </c>
      <c r="H30" s="2">
        <v>0.0</v>
      </c>
      <c r="I30" s="2">
        <v>1.0</v>
      </c>
      <c r="J30" s="2">
        <v>0.0</v>
      </c>
      <c r="K30" s="2">
        <v>0.0</v>
      </c>
      <c r="L30" s="2">
        <v>0.0</v>
      </c>
      <c r="M30" s="2"/>
      <c r="N30" s="2"/>
      <c r="O30" s="2"/>
      <c r="P30" s="2" t="s">
        <v>21</v>
      </c>
    </row>
    <row r="31">
      <c r="A31" s="3" t="s">
        <v>56</v>
      </c>
      <c r="B31" s="2" t="s">
        <v>17</v>
      </c>
      <c r="C31" s="2" t="s">
        <v>57</v>
      </c>
      <c r="D31" s="2" t="s">
        <v>33</v>
      </c>
      <c r="E31" s="2" t="s">
        <v>58</v>
      </c>
      <c r="F31" s="2">
        <v>1.0</v>
      </c>
      <c r="G31" s="2">
        <v>6.0</v>
      </c>
      <c r="H31" s="2">
        <v>2.0</v>
      </c>
      <c r="I31" s="2">
        <v>1.0</v>
      </c>
      <c r="J31" s="2">
        <v>3.0</v>
      </c>
      <c r="K31" s="2">
        <v>0.0</v>
      </c>
      <c r="L31" s="2">
        <v>0.0</v>
      </c>
      <c r="M31" s="2">
        <v>-1.0</v>
      </c>
      <c r="N31" s="2"/>
      <c r="O31" s="2"/>
      <c r="P31" s="2" t="s">
        <v>21</v>
      </c>
    </row>
    <row r="32">
      <c r="A32" s="3" t="s">
        <v>59</v>
      </c>
      <c r="B32" s="2" t="s">
        <v>17</v>
      </c>
      <c r="C32" s="2" t="s">
        <v>18</v>
      </c>
      <c r="D32" s="2" t="s">
        <v>19</v>
      </c>
      <c r="E32" s="2" t="s">
        <v>58</v>
      </c>
      <c r="F32" s="2">
        <v>3.0</v>
      </c>
      <c r="G32" s="2">
        <v>19.0</v>
      </c>
      <c r="H32" s="2">
        <v>1.0</v>
      </c>
      <c r="I32" s="2">
        <v>7.0</v>
      </c>
      <c r="J32" s="2">
        <v>6.0</v>
      </c>
      <c r="K32" s="2">
        <v>5.0</v>
      </c>
      <c r="L32" s="2">
        <v>0.0</v>
      </c>
      <c r="M32" s="2">
        <v>2.0</v>
      </c>
      <c r="N32" s="2"/>
      <c r="O32" s="2"/>
      <c r="P32" s="2" t="s">
        <v>21</v>
      </c>
    </row>
    <row r="33">
      <c r="A33" s="3" t="s">
        <v>60</v>
      </c>
      <c r="B33" s="2" t="s">
        <v>17</v>
      </c>
      <c r="C33" s="2" t="s">
        <v>18</v>
      </c>
      <c r="D33" s="2" t="s">
        <v>23</v>
      </c>
      <c r="E33" s="2" t="s">
        <v>58</v>
      </c>
      <c r="F33" s="2">
        <v>4.0</v>
      </c>
      <c r="G33" s="2">
        <v>25.0</v>
      </c>
      <c r="H33" s="2">
        <v>3.0</v>
      </c>
      <c r="I33" s="2">
        <v>8.0</v>
      </c>
      <c r="J33" s="2">
        <v>9.0</v>
      </c>
      <c r="K33" s="2">
        <v>5.0</v>
      </c>
      <c r="L33" s="2">
        <v>0.0</v>
      </c>
      <c r="M33" s="2">
        <v>1.0</v>
      </c>
      <c r="N33" s="2">
        <v>0.0</v>
      </c>
      <c r="O33" s="2">
        <v>-2.0</v>
      </c>
      <c r="P33" s="2" t="s">
        <v>21</v>
      </c>
    </row>
    <row r="34">
      <c r="A34" s="3" t="s">
        <v>61</v>
      </c>
      <c r="B34" s="4">
        <v>45171.29166666667</v>
      </c>
      <c r="C34" s="2" t="s">
        <v>18</v>
      </c>
      <c r="D34" s="2" t="s">
        <v>33</v>
      </c>
      <c r="E34" s="2" t="s">
        <v>58</v>
      </c>
      <c r="F34" s="2"/>
      <c r="G34" s="2">
        <v>2.0</v>
      </c>
      <c r="H34" s="2">
        <v>1.0</v>
      </c>
      <c r="I34" s="2">
        <v>0.0</v>
      </c>
      <c r="J34" s="2">
        <v>1.0</v>
      </c>
      <c r="K34" s="2">
        <v>0.0</v>
      </c>
      <c r="L34" s="2">
        <v>0.0</v>
      </c>
      <c r="M34" s="2"/>
      <c r="N34" s="2"/>
      <c r="O34" s="2"/>
      <c r="P34" s="2" t="s">
        <v>21</v>
      </c>
    </row>
    <row r="35">
      <c r="A35" s="3" t="s">
        <v>62</v>
      </c>
      <c r="B35" s="4">
        <v>45202.29166666667</v>
      </c>
      <c r="C35" s="2" t="s">
        <v>18</v>
      </c>
      <c r="D35" s="2" t="s">
        <v>33</v>
      </c>
      <c r="E35" s="2" t="s">
        <v>58</v>
      </c>
      <c r="F35" s="2"/>
      <c r="G35" s="2">
        <v>4.0</v>
      </c>
      <c r="H35" s="2">
        <v>1.0</v>
      </c>
      <c r="I35" s="2">
        <v>1.0</v>
      </c>
      <c r="J35" s="2">
        <v>2.0</v>
      </c>
      <c r="K35" s="2">
        <v>0.0</v>
      </c>
      <c r="L35" s="2">
        <v>0.0</v>
      </c>
      <c r="M35" s="2"/>
      <c r="N35" s="2"/>
      <c r="O35" s="2"/>
      <c r="P35" s="2" t="s">
        <v>21</v>
      </c>
    </row>
    <row r="36">
      <c r="A36" s="3" t="s">
        <v>63</v>
      </c>
      <c r="B36" s="4">
        <v>45203.29166666667</v>
      </c>
      <c r="C36" s="2" t="s">
        <v>18</v>
      </c>
      <c r="D36" s="2" t="s">
        <v>19</v>
      </c>
      <c r="E36" s="2" t="s">
        <v>58</v>
      </c>
      <c r="F36" s="2"/>
      <c r="G36" s="2">
        <v>0.0</v>
      </c>
      <c r="H36" s="2">
        <v>0.0</v>
      </c>
      <c r="I36" s="2">
        <v>0.0</v>
      </c>
      <c r="J36" s="2">
        <v>0.0</v>
      </c>
      <c r="K36" s="2">
        <v>0.0</v>
      </c>
      <c r="L36" s="2">
        <v>0.0</v>
      </c>
      <c r="M36" s="2"/>
      <c r="N36" s="2"/>
      <c r="O36" s="2"/>
      <c r="P36" s="2" t="s">
        <v>21</v>
      </c>
    </row>
    <row r="37">
      <c r="A37" s="3" t="s">
        <v>64</v>
      </c>
      <c r="B37" s="4">
        <v>45264.29166666667</v>
      </c>
      <c r="C37" s="2" t="s">
        <v>18</v>
      </c>
      <c r="D37" s="2" t="s">
        <v>19</v>
      </c>
      <c r="E37" s="2" t="s">
        <v>58</v>
      </c>
      <c r="F37" s="2"/>
      <c r="G37" s="2">
        <v>7.0</v>
      </c>
      <c r="H37" s="2">
        <v>0.0</v>
      </c>
      <c r="I37" s="2">
        <v>2.0</v>
      </c>
      <c r="J37" s="2">
        <v>5.0</v>
      </c>
      <c r="K37" s="2">
        <v>0.0</v>
      </c>
      <c r="L37" s="2">
        <v>0.0</v>
      </c>
      <c r="M37" s="2"/>
      <c r="N37" s="2"/>
      <c r="O37" s="2"/>
      <c r="P37" s="2" t="s">
        <v>21</v>
      </c>
    </row>
    <row r="38">
      <c r="A38" s="3" t="s">
        <v>65</v>
      </c>
      <c r="B38" s="4">
        <v>45293.29166666667</v>
      </c>
      <c r="C38" s="2" t="s">
        <v>18</v>
      </c>
      <c r="D38" s="2" t="s">
        <v>19</v>
      </c>
      <c r="E38" s="2" t="s">
        <v>58</v>
      </c>
      <c r="F38" s="2"/>
      <c r="G38" s="2">
        <v>7.0</v>
      </c>
      <c r="H38" s="2">
        <v>1.0</v>
      </c>
      <c r="I38" s="2">
        <v>4.0</v>
      </c>
      <c r="J38" s="2">
        <v>1.0</v>
      </c>
      <c r="K38" s="2">
        <v>1.0</v>
      </c>
      <c r="L38" s="2">
        <v>0.0</v>
      </c>
      <c r="M38" s="2"/>
      <c r="N38" s="2"/>
      <c r="O38" s="2"/>
      <c r="P38" s="2" t="s">
        <v>21</v>
      </c>
    </row>
    <row r="39">
      <c r="A39" s="3" t="s">
        <v>66</v>
      </c>
      <c r="B39" s="2" t="s">
        <v>17</v>
      </c>
      <c r="C39" s="2" t="s">
        <v>18</v>
      </c>
      <c r="D39" s="2" t="s">
        <v>19</v>
      </c>
      <c r="E39" s="2" t="s">
        <v>27</v>
      </c>
      <c r="F39" s="2">
        <v>49.0</v>
      </c>
      <c r="G39" s="2">
        <v>58.0</v>
      </c>
      <c r="H39" s="2">
        <v>39.0</v>
      </c>
      <c r="I39" s="2">
        <v>9.0</v>
      </c>
      <c r="J39" s="2">
        <v>0.0</v>
      </c>
      <c r="K39" s="2">
        <v>10.0</v>
      </c>
      <c r="L39" s="2">
        <v>0.0</v>
      </c>
      <c r="M39" s="2">
        <v>10.0</v>
      </c>
      <c r="N39" s="2"/>
      <c r="O39" s="2"/>
      <c r="P39" s="2" t="s">
        <v>67</v>
      </c>
    </row>
    <row r="40">
      <c r="A40" s="3" t="s">
        <v>68</v>
      </c>
      <c r="B40" s="2" t="s">
        <v>17</v>
      </c>
      <c r="C40" s="2" t="s">
        <v>57</v>
      </c>
      <c r="D40" s="2" t="s">
        <v>69</v>
      </c>
      <c r="E40" s="2" t="s">
        <v>27</v>
      </c>
      <c r="F40" s="2">
        <v>29.0</v>
      </c>
      <c r="G40" s="2">
        <v>35.0</v>
      </c>
      <c r="H40" s="2">
        <v>29.0</v>
      </c>
      <c r="I40" s="2">
        <v>5.0</v>
      </c>
      <c r="J40" s="2">
        <v>1.0</v>
      </c>
      <c r="K40" s="2">
        <v>0.0</v>
      </c>
      <c r="L40" s="2">
        <v>0.0</v>
      </c>
      <c r="M40" s="2">
        <v>0.0</v>
      </c>
      <c r="N40" s="2"/>
      <c r="O40" s="2"/>
      <c r="P40" s="2" t="s">
        <v>67</v>
      </c>
    </row>
    <row r="41">
      <c r="A41" s="3" t="s">
        <v>70</v>
      </c>
      <c r="B41" s="2" t="s">
        <v>17</v>
      </c>
      <c r="C41" s="2" t="s">
        <v>18</v>
      </c>
      <c r="D41" s="2" t="s">
        <v>23</v>
      </c>
      <c r="E41" s="2" t="s">
        <v>27</v>
      </c>
      <c r="F41" s="2">
        <v>78.0</v>
      </c>
      <c r="G41" s="2">
        <v>93.0</v>
      </c>
      <c r="H41" s="2">
        <v>68.0</v>
      </c>
      <c r="I41" s="2">
        <v>14.0</v>
      </c>
      <c r="J41" s="2">
        <v>1.0</v>
      </c>
      <c r="K41" s="2">
        <v>10.0</v>
      </c>
      <c r="L41" s="2">
        <v>0.0</v>
      </c>
      <c r="M41" s="2">
        <v>10.0</v>
      </c>
      <c r="N41" s="2">
        <v>0.0</v>
      </c>
      <c r="O41" s="2">
        <v>-58.0</v>
      </c>
      <c r="P41" s="2" t="s">
        <v>67</v>
      </c>
    </row>
    <row r="42">
      <c r="A42" s="3" t="s">
        <v>16</v>
      </c>
      <c r="B42" s="4">
        <v>45232.25</v>
      </c>
      <c r="C42" s="2" t="s">
        <v>18</v>
      </c>
      <c r="D42" s="2" t="s">
        <v>19</v>
      </c>
      <c r="E42" s="2" t="s">
        <v>27</v>
      </c>
      <c r="F42" s="2"/>
      <c r="G42" s="2">
        <v>13.0</v>
      </c>
      <c r="H42" s="2">
        <v>11.0</v>
      </c>
      <c r="I42" s="2">
        <v>2.0</v>
      </c>
      <c r="J42" s="2">
        <v>0.0</v>
      </c>
      <c r="K42" s="2">
        <v>0.0</v>
      </c>
      <c r="L42" s="2">
        <v>0.0</v>
      </c>
      <c r="M42" s="2"/>
      <c r="N42" s="2"/>
      <c r="O42" s="2"/>
      <c r="P42" s="2" t="s">
        <v>67</v>
      </c>
    </row>
    <row r="43">
      <c r="A43" s="3" t="s">
        <v>71</v>
      </c>
      <c r="B43" s="4">
        <v>45261.29166666667</v>
      </c>
      <c r="C43" s="2" t="s">
        <v>18</v>
      </c>
      <c r="D43" s="2" t="s">
        <v>19</v>
      </c>
      <c r="E43" s="2" t="s">
        <v>27</v>
      </c>
      <c r="F43" s="2"/>
      <c r="G43" s="2">
        <v>4.0</v>
      </c>
      <c r="H43" s="2">
        <v>4.0</v>
      </c>
      <c r="I43" s="2">
        <v>0.0</v>
      </c>
      <c r="J43" s="2">
        <v>0.0</v>
      </c>
      <c r="K43" s="2">
        <v>0.0</v>
      </c>
      <c r="L43" s="2">
        <v>0.0</v>
      </c>
      <c r="M43" s="2"/>
      <c r="N43" s="2"/>
      <c r="O43" s="2"/>
      <c r="P43" s="2" t="s">
        <v>67</v>
      </c>
    </row>
    <row r="44">
      <c r="A44" s="3" t="s">
        <v>72</v>
      </c>
      <c r="B44" s="4">
        <v>45261.29166666667</v>
      </c>
      <c r="C44" s="2" t="s">
        <v>18</v>
      </c>
      <c r="D44" s="2" t="s">
        <v>69</v>
      </c>
      <c r="E44" s="2" t="s">
        <v>27</v>
      </c>
      <c r="F44" s="2"/>
      <c r="G44" s="2">
        <v>6.0</v>
      </c>
      <c r="H44" s="2">
        <v>4.0</v>
      </c>
      <c r="I44" s="2">
        <v>1.0</v>
      </c>
      <c r="J44" s="2">
        <v>1.0</v>
      </c>
      <c r="K44" s="2">
        <v>0.0</v>
      </c>
      <c r="L44" s="2">
        <v>0.0</v>
      </c>
      <c r="M44" s="2"/>
      <c r="N44" s="2"/>
      <c r="O44" s="2"/>
      <c r="P44" s="2" t="s">
        <v>67</v>
      </c>
    </row>
    <row r="45">
      <c r="A45" s="3" t="s">
        <v>73</v>
      </c>
      <c r="B45" s="4">
        <v>45292.29166666667</v>
      </c>
      <c r="C45" s="2" t="s">
        <v>18</v>
      </c>
      <c r="D45" s="2" t="s">
        <v>19</v>
      </c>
      <c r="E45" s="2" t="s">
        <v>27</v>
      </c>
      <c r="F45" s="2"/>
      <c r="G45" s="2">
        <v>25.0</v>
      </c>
      <c r="H45" s="2">
        <v>20.0</v>
      </c>
      <c r="I45" s="2">
        <v>5.0</v>
      </c>
      <c r="J45" s="2">
        <v>0.0</v>
      </c>
      <c r="K45" s="2">
        <v>0.0</v>
      </c>
      <c r="L45" s="2">
        <v>0.0</v>
      </c>
      <c r="M45" s="2"/>
      <c r="N45" s="2"/>
      <c r="O45" s="2"/>
      <c r="P45" s="2" t="s">
        <v>67</v>
      </c>
    </row>
    <row r="46">
      <c r="A46" s="3" t="s">
        <v>74</v>
      </c>
      <c r="B46" s="4">
        <v>45293.29166666667</v>
      </c>
      <c r="C46" s="2" t="s">
        <v>18</v>
      </c>
      <c r="D46" s="2" t="s">
        <v>69</v>
      </c>
      <c r="E46" s="2" t="s">
        <v>27</v>
      </c>
      <c r="F46" s="2"/>
      <c r="G46" s="2">
        <v>27.0</v>
      </c>
      <c r="H46" s="2">
        <v>24.0</v>
      </c>
      <c r="I46" s="2">
        <v>3.0</v>
      </c>
      <c r="J46" s="2">
        <v>0.0</v>
      </c>
      <c r="K46" s="2">
        <v>0.0</v>
      </c>
      <c r="L46" s="2">
        <v>0.0</v>
      </c>
      <c r="M46" s="2"/>
      <c r="N46" s="2"/>
      <c r="O46" s="2"/>
      <c r="P46" s="2" t="s">
        <v>67</v>
      </c>
    </row>
    <row r="47">
      <c r="A47" s="3" t="s">
        <v>75</v>
      </c>
      <c r="B47" s="4">
        <v>45324.29166666667</v>
      </c>
      <c r="C47" s="2" t="s">
        <v>18</v>
      </c>
      <c r="D47" s="2" t="s">
        <v>19</v>
      </c>
      <c r="E47" s="2" t="s">
        <v>27</v>
      </c>
      <c r="F47" s="2"/>
      <c r="G47" s="2">
        <v>6.0</v>
      </c>
      <c r="H47" s="2">
        <v>4.0</v>
      </c>
      <c r="I47" s="2">
        <v>2.0</v>
      </c>
      <c r="J47" s="2">
        <v>0.0</v>
      </c>
      <c r="K47" s="2">
        <v>0.0</v>
      </c>
      <c r="L47" s="2">
        <v>0.0</v>
      </c>
      <c r="M47" s="2"/>
      <c r="N47" s="2"/>
      <c r="O47" s="2"/>
      <c r="P47" s="2" t="s">
        <v>67</v>
      </c>
    </row>
    <row r="48">
      <c r="A48" s="3" t="s">
        <v>76</v>
      </c>
      <c r="B48" s="4">
        <v>45324.29166666667</v>
      </c>
      <c r="C48" s="2" t="s">
        <v>18</v>
      </c>
      <c r="D48" s="2" t="s">
        <v>69</v>
      </c>
      <c r="E48" s="2" t="s">
        <v>27</v>
      </c>
      <c r="F48" s="2"/>
      <c r="G48" s="2">
        <v>2.0</v>
      </c>
      <c r="H48" s="2">
        <v>1.0</v>
      </c>
      <c r="I48" s="2">
        <v>1.0</v>
      </c>
      <c r="J48" s="2">
        <v>0.0</v>
      </c>
      <c r="K48" s="2">
        <v>0.0</v>
      </c>
      <c r="L48" s="2">
        <v>0.0</v>
      </c>
      <c r="M48" s="2"/>
      <c r="N48" s="2"/>
      <c r="O48" s="2"/>
      <c r="P48" s="2" t="s">
        <v>67</v>
      </c>
    </row>
    <row r="49">
      <c r="A49" s="3" t="s">
        <v>77</v>
      </c>
      <c r="B49" s="4">
        <v>45353.29166666667</v>
      </c>
      <c r="C49" s="2" t="s">
        <v>18</v>
      </c>
      <c r="D49" s="2" t="s">
        <v>19</v>
      </c>
      <c r="E49" s="2" t="s">
        <v>27</v>
      </c>
      <c r="F49" s="2"/>
      <c r="G49" s="2">
        <v>10.0</v>
      </c>
      <c r="H49" s="2">
        <v>0.0</v>
      </c>
      <c r="I49" s="2">
        <v>0.0</v>
      </c>
      <c r="J49" s="2">
        <v>0.0</v>
      </c>
      <c r="K49" s="2">
        <v>10.0</v>
      </c>
      <c r="L49" s="2">
        <v>0.0</v>
      </c>
      <c r="M49" s="2"/>
      <c r="N49" s="2"/>
      <c r="O49" s="2"/>
      <c r="P49" s="2" t="s">
        <v>67</v>
      </c>
    </row>
    <row r="50">
      <c r="A50" s="3" t="s">
        <v>78</v>
      </c>
      <c r="B50" s="2" t="s">
        <v>17</v>
      </c>
      <c r="C50" s="2" t="s">
        <v>18</v>
      </c>
      <c r="D50" s="2" t="s">
        <v>79</v>
      </c>
      <c r="E50" s="2" t="s">
        <v>27</v>
      </c>
      <c r="F50" s="2">
        <v>10.0</v>
      </c>
      <c r="G50" s="2">
        <v>1.0</v>
      </c>
      <c r="H50" s="2">
        <v>1.0</v>
      </c>
      <c r="I50" s="2">
        <v>0.0</v>
      </c>
      <c r="J50" s="2">
        <v>0.0</v>
      </c>
      <c r="K50" s="2">
        <v>0.0</v>
      </c>
      <c r="L50" s="2">
        <v>0.0</v>
      </c>
      <c r="M50" s="2">
        <v>9.0</v>
      </c>
      <c r="N50" s="2"/>
      <c r="O50" s="2"/>
      <c r="P50" s="2" t="s">
        <v>80</v>
      </c>
    </row>
    <row r="51">
      <c r="A51" s="3" t="s">
        <v>81</v>
      </c>
      <c r="B51" s="2" t="s">
        <v>17</v>
      </c>
      <c r="C51" s="2" t="s">
        <v>18</v>
      </c>
      <c r="D51" s="2" t="s">
        <v>19</v>
      </c>
      <c r="E51" s="2" t="s">
        <v>27</v>
      </c>
      <c r="F51" s="2">
        <v>100.0</v>
      </c>
      <c r="G51" s="2">
        <v>60.0</v>
      </c>
      <c r="H51" s="2">
        <v>4.0</v>
      </c>
      <c r="I51" s="2">
        <v>37.0</v>
      </c>
      <c r="J51" s="2">
        <v>0.0</v>
      </c>
      <c r="K51" s="2">
        <v>19.0</v>
      </c>
      <c r="L51" s="2">
        <v>0.0</v>
      </c>
      <c r="M51" s="2">
        <v>96.0</v>
      </c>
      <c r="N51" s="2"/>
      <c r="O51" s="2"/>
      <c r="P51" s="2" t="s">
        <v>80</v>
      </c>
    </row>
    <row r="52">
      <c r="A52" s="3" t="s">
        <v>82</v>
      </c>
      <c r="B52" s="2" t="s">
        <v>17</v>
      </c>
      <c r="C52" s="2" t="s">
        <v>18</v>
      </c>
      <c r="D52" s="2" t="s">
        <v>23</v>
      </c>
      <c r="E52" s="2" t="s">
        <v>27</v>
      </c>
      <c r="F52" s="2">
        <v>100.0</v>
      </c>
      <c r="G52" s="2">
        <v>61.0</v>
      </c>
      <c r="H52" s="2">
        <v>5.0</v>
      </c>
      <c r="I52" s="2">
        <v>37.0</v>
      </c>
      <c r="J52" s="2">
        <v>0.0</v>
      </c>
      <c r="K52" s="2">
        <v>19.0</v>
      </c>
      <c r="L52" s="2">
        <v>0.0</v>
      </c>
      <c r="M52" s="2">
        <v>95.0</v>
      </c>
      <c r="N52" s="2">
        <v>-10.0</v>
      </c>
      <c r="O52" s="2">
        <v>90.0</v>
      </c>
      <c r="P52" s="2" t="s">
        <v>80</v>
      </c>
    </row>
    <row r="53">
      <c r="A53" s="3" t="s">
        <v>83</v>
      </c>
      <c r="B53" s="4">
        <v>45262.29166666667</v>
      </c>
      <c r="C53" s="2" t="s">
        <v>18</v>
      </c>
      <c r="D53" s="2" t="s">
        <v>19</v>
      </c>
      <c r="E53" s="2" t="s">
        <v>27</v>
      </c>
      <c r="F53" s="2"/>
      <c r="G53" s="2">
        <v>40.0</v>
      </c>
      <c r="H53" s="2">
        <v>4.0</v>
      </c>
      <c r="I53" s="2">
        <v>36.0</v>
      </c>
      <c r="J53" s="2">
        <v>0.0</v>
      </c>
      <c r="K53" s="2">
        <v>0.0</v>
      </c>
      <c r="L53" s="2">
        <v>0.0</v>
      </c>
      <c r="M53" s="2"/>
      <c r="N53" s="2"/>
      <c r="O53" s="2"/>
      <c r="P53" s="2" t="s">
        <v>80</v>
      </c>
    </row>
    <row r="54">
      <c r="A54" s="3" t="s">
        <v>84</v>
      </c>
      <c r="B54" s="4">
        <v>45294.29166666667</v>
      </c>
      <c r="C54" s="2" t="s">
        <v>18</v>
      </c>
      <c r="D54" s="2" t="s">
        <v>19</v>
      </c>
      <c r="E54" s="2" t="s">
        <v>27</v>
      </c>
      <c r="F54" s="2"/>
      <c r="G54" s="2">
        <v>1.0</v>
      </c>
      <c r="H54" s="2">
        <v>0.0</v>
      </c>
      <c r="I54" s="2">
        <v>1.0</v>
      </c>
      <c r="J54" s="2">
        <v>0.0</v>
      </c>
      <c r="K54" s="2">
        <v>0.0</v>
      </c>
      <c r="L54" s="2">
        <v>0.0</v>
      </c>
      <c r="M54" s="2"/>
      <c r="N54" s="2"/>
      <c r="O54" s="2"/>
      <c r="P54" s="2" t="s">
        <v>80</v>
      </c>
    </row>
    <row r="55">
      <c r="A55" s="3" t="s">
        <v>85</v>
      </c>
      <c r="B55" s="4">
        <v>45294.29166666667</v>
      </c>
      <c r="C55" s="2" t="s">
        <v>18</v>
      </c>
      <c r="D55" s="2" t="s">
        <v>79</v>
      </c>
      <c r="E55" s="2" t="s">
        <v>27</v>
      </c>
      <c r="F55" s="2"/>
      <c r="G55" s="2">
        <v>1.0</v>
      </c>
      <c r="H55" s="2">
        <v>1.0</v>
      </c>
      <c r="I55" s="2">
        <v>0.0</v>
      </c>
      <c r="J55" s="2">
        <v>0.0</v>
      </c>
      <c r="K55" s="2">
        <v>0.0</v>
      </c>
      <c r="L55" s="2">
        <v>0.0</v>
      </c>
      <c r="M55" s="2"/>
      <c r="N55" s="2"/>
      <c r="O55" s="2"/>
      <c r="P55" s="2" t="s">
        <v>80</v>
      </c>
    </row>
    <row r="56">
      <c r="A56" s="3" t="s">
        <v>86</v>
      </c>
      <c r="B56" s="4">
        <v>45324.29166666667</v>
      </c>
      <c r="C56" s="2" t="s">
        <v>18</v>
      </c>
      <c r="D56" s="2" t="s">
        <v>19</v>
      </c>
      <c r="E56" s="2" t="s">
        <v>27</v>
      </c>
      <c r="F56" s="2"/>
      <c r="G56" s="2">
        <v>19.0</v>
      </c>
      <c r="H56" s="2">
        <v>0.0</v>
      </c>
      <c r="I56" s="2">
        <v>0.0</v>
      </c>
      <c r="J56" s="2">
        <v>0.0</v>
      </c>
      <c r="K56" s="2">
        <v>19.0</v>
      </c>
      <c r="L56" s="2">
        <v>0.0</v>
      </c>
      <c r="M56" s="2"/>
      <c r="N56" s="2"/>
      <c r="O56" s="2"/>
      <c r="P56" s="2" t="s">
        <v>80</v>
      </c>
    </row>
    <row r="57">
      <c r="A57" s="3" t="s">
        <v>87</v>
      </c>
      <c r="B57" s="4">
        <v>45324.29166666667</v>
      </c>
      <c r="C57" s="2" t="s">
        <v>18</v>
      </c>
      <c r="D57" s="2" t="s">
        <v>79</v>
      </c>
      <c r="E57" s="2" t="s">
        <v>27</v>
      </c>
      <c r="F57" s="2"/>
      <c r="G57" s="2">
        <v>0.0</v>
      </c>
      <c r="H57" s="2">
        <v>0.0</v>
      </c>
      <c r="I57" s="2">
        <v>0.0</v>
      </c>
      <c r="J57" s="2">
        <v>0.0</v>
      </c>
      <c r="K57" s="2">
        <v>0.0</v>
      </c>
      <c r="L57" s="2">
        <v>0.0</v>
      </c>
      <c r="M57" s="2"/>
      <c r="N57" s="2"/>
      <c r="O57" s="2"/>
      <c r="P57" s="2" t="s">
        <v>80</v>
      </c>
    </row>
    <row r="58">
      <c r="A58" s="3" t="s">
        <v>88</v>
      </c>
      <c r="B58" s="4">
        <v>45353.29166666667</v>
      </c>
      <c r="C58" s="2" t="s">
        <v>18</v>
      </c>
      <c r="D58" s="2" t="s">
        <v>19</v>
      </c>
      <c r="E58" s="2" t="s">
        <v>27</v>
      </c>
      <c r="F58" s="2"/>
      <c r="G58" s="2">
        <v>0.0</v>
      </c>
      <c r="H58" s="2">
        <v>0.0</v>
      </c>
      <c r="I58" s="2">
        <v>0.0</v>
      </c>
      <c r="J58" s="2">
        <v>0.0</v>
      </c>
      <c r="K58" s="2">
        <v>0.0</v>
      </c>
      <c r="L58" s="2">
        <v>0.0</v>
      </c>
      <c r="M58" s="2"/>
      <c r="N58" s="2"/>
      <c r="O58" s="2"/>
      <c r="P58" s="2" t="s">
        <v>80</v>
      </c>
    </row>
    <row r="59">
      <c r="A59" s="3" t="s">
        <v>89</v>
      </c>
      <c r="B59" s="4">
        <v>45353.29166666667</v>
      </c>
      <c r="C59" s="2" t="s">
        <v>18</v>
      </c>
      <c r="D59" s="2" t="s">
        <v>79</v>
      </c>
      <c r="E59" s="2" t="s">
        <v>27</v>
      </c>
      <c r="F59" s="2"/>
      <c r="G59" s="2">
        <v>0.0</v>
      </c>
      <c r="H59" s="2">
        <v>0.0</v>
      </c>
      <c r="I59" s="2">
        <v>0.0</v>
      </c>
      <c r="J59" s="2">
        <v>0.0</v>
      </c>
      <c r="K59" s="2">
        <v>0.0</v>
      </c>
      <c r="L59" s="2">
        <v>0.0</v>
      </c>
      <c r="M59" s="2"/>
      <c r="N59" s="2"/>
      <c r="O59" s="2"/>
      <c r="P59" s="2" t="s">
        <v>80</v>
      </c>
    </row>
    <row r="60">
      <c r="A60" s="3" t="s">
        <v>90</v>
      </c>
      <c r="B60" s="2" t="s">
        <v>17</v>
      </c>
      <c r="C60" s="2" t="s">
        <v>18</v>
      </c>
      <c r="D60" s="2" t="s">
        <v>91</v>
      </c>
      <c r="E60" s="2" t="s">
        <v>27</v>
      </c>
      <c r="F60" s="2">
        <v>11.0</v>
      </c>
      <c r="G60" s="2">
        <v>10.0</v>
      </c>
      <c r="H60" s="2">
        <v>2.0</v>
      </c>
      <c r="I60" s="2">
        <v>1.0</v>
      </c>
      <c r="J60" s="2">
        <v>0.0</v>
      </c>
      <c r="K60" s="2">
        <v>7.0</v>
      </c>
      <c r="L60" s="2">
        <v>4.0</v>
      </c>
      <c r="M60" s="2">
        <v>9.0</v>
      </c>
      <c r="N60" s="2"/>
      <c r="O60" s="2"/>
      <c r="P60" s="2" t="s">
        <v>92</v>
      </c>
    </row>
    <row r="61">
      <c r="A61" s="3" t="s">
        <v>93</v>
      </c>
      <c r="B61" s="2" t="s">
        <v>17</v>
      </c>
      <c r="C61" s="2" t="s">
        <v>18</v>
      </c>
      <c r="D61" s="2" t="s">
        <v>23</v>
      </c>
      <c r="E61" s="2" t="s">
        <v>27</v>
      </c>
      <c r="F61" s="2">
        <v>11.0</v>
      </c>
      <c r="G61" s="2">
        <v>10.0</v>
      </c>
      <c r="H61" s="2">
        <v>2.0</v>
      </c>
      <c r="I61" s="2">
        <v>1.0</v>
      </c>
      <c r="J61" s="2">
        <v>0.0</v>
      </c>
      <c r="K61" s="2">
        <v>7.0</v>
      </c>
      <c r="L61" s="2">
        <v>4.0</v>
      </c>
      <c r="M61" s="2">
        <v>9.0</v>
      </c>
      <c r="N61" s="2">
        <v>0.0</v>
      </c>
      <c r="O61" s="2">
        <v>7.0</v>
      </c>
      <c r="P61" s="2" t="s">
        <v>92</v>
      </c>
    </row>
    <row r="62">
      <c r="A62" s="3" t="s">
        <v>16</v>
      </c>
      <c r="B62" s="4">
        <v>45324.29166666667</v>
      </c>
      <c r="C62" s="2" t="s">
        <v>18</v>
      </c>
      <c r="D62" s="2" t="s">
        <v>91</v>
      </c>
      <c r="E62" s="2" t="s">
        <v>27</v>
      </c>
      <c r="F62" s="2"/>
      <c r="G62" s="2">
        <v>3.0</v>
      </c>
      <c r="H62" s="2">
        <v>2.0</v>
      </c>
      <c r="I62" s="2">
        <v>1.0</v>
      </c>
      <c r="J62" s="2">
        <v>0.0</v>
      </c>
      <c r="K62" s="2">
        <v>0.0</v>
      </c>
      <c r="L62" s="2">
        <v>0.0</v>
      </c>
      <c r="M62" s="2"/>
      <c r="N62" s="2"/>
      <c r="O62" s="2"/>
      <c r="P62" s="2" t="s">
        <v>92</v>
      </c>
    </row>
    <row r="63">
      <c r="A63" s="3" t="s">
        <v>94</v>
      </c>
      <c r="B63" s="4">
        <v>45353.29166666667</v>
      </c>
      <c r="C63" s="2" t="s">
        <v>18</v>
      </c>
      <c r="D63" s="2" t="s">
        <v>91</v>
      </c>
      <c r="E63" s="2" t="s">
        <v>27</v>
      </c>
      <c r="F63" s="2"/>
      <c r="G63" s="2">
        <v>7.0</v>
      </c>
      <c r="H63" s="2">
        <v>0.0</v>
      </c>
      <c r="I63" s="2">
        <v>0.0</v>
      </c>
      <c r="J63" s="2">
        <v>0.0</v>
      </c>
      <c r="K63" s="2">
        <v>7.0</v>
      </c>
      <c r="L63" s="2">
        <v>4.0</v>
      </c>
      <c r="M63" s="2"/>
      <c r="N63" s="2"/>
      <c r="O63" s="2"/>
      <c r="P63" s="2" t="s">
        <v>92</v>
      </c>
    </row>
    <row r="64">
      <c r="A64" s="3" t="s">
        <v>95</v>
      </c>
      <c r="B64" s="2" t="s">
        <v>17</v>
      </c>
      <c r="C64" s="2" t="s">
        <v>18</v>
      </c>
      <c r="D64" s="2" t="s">
        <v>91</v>
      </c>
      <c r="E64" s="2" t="s">
        <v>96</v>
      </c>
      <c r="F64" s="2">
        <v>70.0</v>
      </c>
      <c r="G64" s="2">
        <v>65.0</v>
      </c>
      <c r="H64" s="2">
        <v>50.0</v>
      </c>
      <c r="I64" s="2">
        <v>6.0</v>
      </c>
      <c r="J64" s="2">
        <v>0.0</v>
      </c>
      <c r="K64" s="2">
        <v>9.0</v>
      </c>
      <c r="L64" s="2">
        <v>9.0</v>
      </c>
      <c r="M64" s="2">
        <v>20.0</v>
      </c>
      <c r="N64" s="2"/>
      <c r="O64" s="2"/>
      <c r="P64" s="2" t="s">
        <v>92</v>
      </c>
    </row>
    <row r="65">
      <c r="A65" s="3" t="s">
        <v>97</v>
      </c>
      <c r="B65" s="2" t="s">
        <v>17</v>
      </c>
      <c r="C65" s="2" t="s">
        <v>18</v>
      </c>
      <c r="D65" s="2" t="s">
        <v>23</v>
      </c>
      <c r="E65" s="2" t="s">
        <v>96</v>
      </c>
      <c r="F65" s="2">
        <v>70.0</v>
      </c>
      <c r="G65" s="2">
        <v>65.0</v>
      </c>
      <c r="H65" s="2">
        <v>50.0</v>
      </c>
      <c r="I65" s="2">
        <v>6.0</v>
      </c>
      <c r="J65" s="2">
        <v>0.0</v>
      </c>
      <c r="K65" s="2">
        <v>9.0</v>
      </c>
      <c r="L65" s="2">
        <v>9.0</v>
      </c>
      <c r="M65" s="2">
        <v>20.0</v>
      </c>
      <c r="N65" s="2">
        <v>0.0</v>
      </c>
      <c r="O65" s="2">
        <v>-30.0</v>
      </c>
      <c r="P65" s="2" t="s">
        <v>92</v>
      </c>
    </row>
    <row r="66">
      <c r="A66" s="3" t="s">
        <v>98</v>
      </c>
      <c r="B66" s="4">
        <v>45324.29166666667</v>
      </c>
      <c r="C66" s="2" t="s">
        <v>18</v>
      </c>
      <c r="D66" s="2" t="s">
        <v>91</v>
      </c>
      <c r="E66" s="2" t="s">
        <v>96</v>
      </c>
      <c r="F66" s="2"/>
      <c r="G66" s="2">
        <v>35.0</v>
      </c>
      <c r="H66" s="2">
        <v>31.0</v>
      </c>
      <c r="I66" s="2">
        <v>4.0</v>
      </c>
      <c r="J66" s="2">
        <v>0.0</v>
      </c>
      <c r="K66" s="2">
        <v>0.0</v>
      </c>
      <c r="L66" s="2">
        <v>0.0</v>
      </c>
      <c r="M66" s="2"/>
      <c r="N66" s="2"/>
      <c r="O66" s="2"/>
      <c r="P66" s="2" t="s">
        <v>92</v>
      </c>
    </row>
    <row r="67">
      <c r="A67" s="3" t="s">
        <v>99</v>
      </c>
      <c r="B67" s="4">
        <v>45352.29166666667</v>
      </c>
      <c r="C67" s="2" t="s">
        <v>18</v>
      </c>
      <c r="D67" s="2" t="s">
        <v>91</v>
      </c>
      <c r="E67" s="2" t="s">
        <v>96</v>
      </c>
      <c r="F67" s="2"/>
      <c r="G67" s="2">
        <v>30.0</v>
      </c>
      <c r="H67" s="2">
        <v>19.0</v>
      </c>
      <c r="I67" s="2">
        <v>2.0</v>
      </c>
      <c r="J67" s="2">
        <v>0.0</v>
      </c>
      <c r="K67" s="2">
        <v>9.0</v>
      </c>
      <c r="L67" s="2">
        <v>9.0</v>
      </c>
      <c r="M67" s="2"/>
      <c r="N67" s="2"/>
      <c r="O67" s="2"/>
      <c r="P67" s="2" t="s">
        <v>92</v>
      </c>
    </row>
    <row r="68">
      <c r="A68" s="3" t="s">
        <v>100</v>
      </c>
      <c r="B68" s="2" t="s">
        <v>17</v>
      </c>
      <c r="C68" s="2" t="s">
        <v>18</v>
      </c>
      <c r="D68" s="2" t="s">
        <v>91</v>
      </c>
      <c r="E68" s="2" t="s">
        <v>31</v>
      </c>
      <c r="F68" s="2">
        <v>84.0</v>
      </c>
      <c r="G68" s="2">
        <v>137.0</v>
      </c>
      <c r="H68" s="2">
        <v>69.0</v>
      </c>
      <c r="I68" s="2">
        <v>41.0</v>
      </c>
      <c r="J68" s="2">
        <v>9.0</v>
      </c>
      <c r="K68" s="2">
        <v>18.0</v>
      </c>
      <c r="L68" s="2">
        <v>0.0</v>
      </c>
      <c r="M68" s="2">
        <v>15.0</v>
      </c>
      <c r="N68" s="2"/>
      <c r="O68" s="2"/>
      <c r="P68" s="2" t="s">
        <v>67</v>
      </c>
    </row>
    <row r="69">
      <c r="A69" s="3" t="s">
        <v>101</v>
      </c>
      <c r="B69" s="2" t="s">
        <v>17</v>
      </c>
      <c r="C69" s="2" t="s">
        <v>18</v>
      </c>
      <c r="D69" s="2" t="s">
        <v>19</v>
      </c>
      <c r="E69" s="2" t="s">
        <v>31</v>
      </c>
      <c r="F69" s="2">
        <v>10.0</v>
      </c>
      <c r="G69" s="2">
        <v>5.0</v>
      </c>
      <c r="H69" s="2">
        <v>1.0</v>
      </c>
      <c r="I69" s="2">
        <v>3.0</v>
      </c>
      <c r="J69" s="2">
        <v>0.0</v>
      </c>
      <c r="K69" s="2">
        <v>1.0</v>
      </c>
      <c r="L69" s="2">
        <v>0.0</v>
      </c>
      <c r="M69" s="2">
        <v>9.0</v>
      </c>
      <c r="N69" s="2"/>
      <c r="O69" s="2"/>
      <c r="P69" s="2" t="s">
        <v>67</v>
      </c>
    </row>
    <row r="70">
      <c r="A70" s="3" t="s">
        <v>102</v>
      </c>
      <c r="B70" s="2" t="s">
        <v>17</v>
      </c>
      <c r="C70" s="2" t="s">
        <v>18</v>
      </c>
      <c r="D70" s="2" t="s">
        <v>23</v>
      </c>
      <c r="E70" s="2" t="s">
        <v>31</v>
      </c>
      <c r="F70" s="2">
        <v>85.0</v>
      </c>
      <c r="G70" s="2">
        <v>142.0</v>
      </c>
      <c r="H70" s="2">
        <v>70.0</v>
      </c>
      <c r="I70" s="2">
        <v>44.0</v>
      </c>
      <c r="J70" s="2">
        <v>9.0</v>
      </c>
      <c r="K70" s="2">
        <v>19.0</v>
      </c>
      <c r="L70" s="2">
        <v>0.0</v>
      </c>
      <c r="M70" s="2">
        <v>15.0</v>
      </c>
      <c r="N70" s="2">
        <v>-9.0</v>
      </c>
      <c r="O70" s="2">
        <v>-55.0</v>
      </c>
      <c r="P70" s="2" t="s">
        <v>67</v>
      </c>
    </row>
    <row r="71">
      <c r="A71" s="3" t="s">
        <v>103</v>
      </c>
      <c r="B71" s="4">
        <v>45261.29166666667</v>
      </c>
      <c r="C71" s="2" t="s">
        <v>18</v>
      </c>
      <c r="D71" s="2" t="s">
        <v>91</v>
      </c>
      <c r="E71" s="2" t="s">
        <v>31</v>
      </c>
      <c r="F71" s="2"/>
      <c r="G71" s="2">
        <v>52.0</v>
      </c>
      <c r="H71" s="2">
        <v>25.0</v>
      </c>
      <c r="I71" s="2">
        <v>18.0</v>
      </c>
      <c r="J71" s="2">
        <v>9.0</v>
      </c>
      <c r="K71" s="2">
        <v>0.0</v>
      </c>
      <c r="L71" s="2">
        <v>0.0</v>
      </c>
      <c r="M71" s="2"/>
      <c r="N71" s="2"/>
      <c r="O71" s="2"/>
      <c r="P71" s="2" t="s">
        <v>67</v>
      </c>
    </row>
    <row r="72">
      <c r="A72" s="3" t="s">
        <v>104</v>
      </c>
      <c r="B72" s="4">
        <v>45323.29166666667</v>
      </c>
      <c r="C72" s="2" t="s">
        <v>18</v>
      </c>
      <c r="D72" s="2" t="s">
        <v>19</v>
      </c>
      <c r="E72" s="2" t="s">
        <v>31</v>
      </c>
      <c r="F72" s="2"/>
      <c r="G72" s="2">
        <v>4.0</v>
      </c>
      <c r="H72" s="2">
        <v>1.0</v>
      </c>
      <c r="I72" s="2">
        <v>3.0</v>
      </c>
      <c r="J72" s="2">
        <v>0.0</v>
      </c>
      <c r="K72" s="2">
        <v>0.0</v>
      </c>
      <c r="L72" s="2">
        <v>0.0</v>
      </c>
      <c r="M72" s="2"/>
      <c r="N72" s="2"/>
      <c r="O72" s="2"/>
      <c r="P72" s="2" t="s">
        <v>67</v>
      </c>
    </row>
    <row r="73">
      <c r="A73" s="3" t="s">
        <v>105</v>
      </c>
      <c r="B73" s="4">
        <v>45323.29166666667</v>
      </c>
      <c r="C73" s="2" t="s">
        <v>18</v>
      </c>
      <c r="D73" s="2" t="s">
        <v>91</v>
      </c>
      <c r="E73" s="2" t="s">
        <v>31</v>
      </c>
      <c r="F73" s="2"/>
      <c r="G73" s="2">
        <v>55.0</v>
      </c>
      <c r="H73" s="2">
        <v>35.0</v>
      </c>
      <c r="I73" s="2">
        <v>20.0</v>
      </c>
      <c r="J73" s="2">
        <v>0.0</v>
      </c>
      <c r="K73" s="2">
        <v>0.0</v>
      </c>
      <c r="L73" s="2">
        <v>0.0</v>
      </c>
      <c r="M73" s="2"/>
      <c r="N73" s="2"/>
      <c r="O73" s="2"/>
      <c r="P73" s="2" t="s">
        <v>67</v>
      </c>
    </row>
    <row r="74">
      <c r="A74" s="3" t="s">
        <v>106</v>
      </c>
      <c r="B74" s="4">
        <v>45353.29166666667</v>
      </c>
      <c r="C74" s="2" t="s">
        <v>18</v>
      </c>
      <c r="D74" s="2" t="s">
        <v>19</v>
      </c>
      <c r="E74" s="2" t="s">
        <v>31</v>
      </c>
      <c r="F74" s="2"/>
      <c r="G74" s="2">
        <v>1.0</v>
      </c>
      <c r="H74" s="2">
        <v>0.0</v>
      </c>
      <c r="I74" s="2">
        <v>0.0</v>
      </c>
      <c r="J74" s="2">
        <v>0.0</v>
      </c>
      <c r="K74" s="2">
        <v>1.0</v>
      </c>
      <c r="L74" s="2">
        <v>0.0</v>
      </c>
      <c r="M74" s="2"/>
      <c r="N74" s="2"/>
      <c r="O74" s="2"/>
      <c r="P74" s="2" t="s">
        <v>67</v>
      </c>
    </row>
    <row r="75">
      <c r="A75" s="3" t="s">
        <v>107</v>
      </c>
      <c r="B75" s="4">
        <v>45353.29166666667</v>
      </c>
      <c r="C75" s="2" t="s">
        <v>18</v>
      </c>
      <c r="D75" s="2" t="s">
        <v>91</v>
      </c>
      <c r="E75" s="2" t="s">
        <v>31</v>
      </c>
      <c r="F75" s="2"/>
      <c r="G75" s="2">
        <v>30.0</v>
      </c>
      <c r="H75" s="2">
        <v>9.0</v>
      </c>
      <c r="I75" s="2">
        <v>3.0</v>
      </c>
      <c r="J75" s="2">
        <v>0.0</v>
      </c>
      <c r="K75" s="2">
        <v>18.0</v>
      </c>
      <c r="L75" s="2">
        <v>0.0</v>
      </c>
      <c r="M75" s="2"/>
      <c r="N75" s="2"/>
      <c r="O75" s="2"/>
      <c r="P75" s="2" t="s">
        <v>67</v>
      </c>
    </row>
    <row r="76">
      <c r="A76" s="3" t="s">
        <v>108</v>
      </c>
      <c r="B76" s="2" t="s">
        <v>17</v>
      </c>
      <c r="C76" s="2" t="s">
        <v>18</v>
      </c>
      <c r="D76" s="2" t="s">
        <v>109</v>
      </c>
      <c r="E76" s="2" t="s">
        <v>110</v>
      </c>
      <c r="F76" s="2">
        <v>20.0</v>
      </c>
      <c r="G76" s="2">
        <v>1.0</v>
      </c>
      <c r="H76" s="2">
        <v>0.0</v>
      </c>
      <c r="I76" s="2">
        <v>1.0</v>
      </c>
      <c r="J76" s="2">
        <v>0.0</v>
      </c>
      <c r="K76" s="2">
        <v>0.0</v>
      </c>
      <c r="L76" s="2">
        <v>0.0</v>
      </c>
      <c r="M76" s="2">
        <v>20.0</v>
      </c>
      <c r="N76" s="2"/>
      <c r="O76" s="2"/>
      <c r="P76" s="2" t="s">
        <v>111</v>
      </c>
    </row>
    <row r="77">
      <c r="A77" s="3" t="s">
        <v>112</v>
      </c>
      <c r="B77" s="2" t="s">
        <v>17</v>
      </c>
      <c r="C77" s="2" t="s">
        <v>113</v>
      </c>
      <c r="D77" s="2" t="s">
        <v>109</v>
      </c>
      <c r="E77" s="2" t="s">
        <v>114</v>
      </c>
      <c r="F77" s="2">
        <v>25.0</v>
      </c>
      <c r="G77" s="2">
        <v>12.0</v>
      </c>
      <c r="H77" s="2">
        <v>5.0</v>
      </c>
      <c r="I77" s="2">
        <v>6.0</v>
      </c>
      <c r="J77" s="2">
        <v>1.0</v>
      </c>
      <c r="K77" s="2">
        <v>0.0</v>
      </c>
      <c r="L77" s="2">
        <v>0.0</v>
      </c>
      <c r="M77" s="2">
        <v>20.0</v>
      </c>
      <c r="N77" s="2"/>
      <c r="O77" s="2"/>
      <c r="P77" s="2" t="s">
        <v>111</v>
      </c>
    </row>
    <row r="78">
      <c r="A78" s="3" t="s">
        <v>115</v>
      </c>
      <c r="B78" s="5" t="s">
        <v>17</v>
      </c>
      <c r="C78" s="5" t="s">
        <v>18</v>
      </c>
      <c r="D78" s="5" t="s">
        <v>109</v>
      </c>
      <c r="E78" s="5" t="s">
        <v>116</v>
      </c>
      <c r="F78" s="5">
        <v>20.0</v>
      </c>
      <c r="G78" s="5">
        <v>5.0</v>
      </c>
      <c r="H78" s="5">
        <v>1.0</v>
      </c>
      <c r="I78" s="5">
        <v>4.0</v>
      </c>
      <c r="J78" s="5">
        <v>0.0</v>
      </c>
      <c r="K78" s="5">
        <v>0.0</v>
      </c>
      <c r="L78" s="5">
        <v>0.0</v>
      </c>
      <c r="M78" s="5">
        <v>19.0</v>
      </c>
      <c r="N78" s="5"/>
      <c r="O78" s="5"/>
      <c r="P78" s="5" t="s">
        <v>111</v>
      </c>
    </row>
    <row r="79">
      <c r="A79" s="3" t="s">
        <v>117</v>
      </c>
      <c r="B79" s="2" t="s">
        <v>17</v>
      </c>
      <c r="C79" s="2" t="s">
        <v>18</v>
      </c>
      <c r="D79" s="2" t="s">
        <v>109</v>
      </c>
      <c r="E79" s="2" t="s">
        <v>118</v>
      </c>
      <c r="F79" s="2">
        <v>10.0</v>
      </c>
      <c r="G79" s="2">
        <v>0.0</v>
      </c>
      <c r="H79" s="2">
        <v>0.0</v>
      </c>
      <c r="I79" s="2">
        <v>0.0</v>
      </c>
      <c r="J79" s="2">
        <v>0.0</v>
      </c>
      <c r="K79" s="2">
        <v>0.0</v>
      </c>
      <c r="L79" s="2">
        <v>0.0</v>
      </c>
      <c r="M79" s="2">
        <v>10.0</v>
      </c>
      <c r="N79" s="2"/>
      <c r="O79" s="2"/>
      <c r="P79" s="2" t="s">
        <v>111</v>
      </c>
    </row>
    <row r="80">
      <c r="A80" s="3" t="s">
        <v>119</v>
      </c>
      <c r="B80" s="2" t="s">
        <v>17</v>
      </c>
      <c r="C80" s="2" t="s">
        <v>113</v>
      </c>
      <c r="D80" s="2" t="s">
        <v>109</v>
      </c>
      <c r="E80" s="2" t="s">
        <v>120</v>
      </c>
      <c r="F80" s="2">
        <v>15.0</v>
      </c>
      <c r="G80" s="2">
        <v>16.0</v>
      </c>
      <c r="H80" s="2">
        <v>6.0</v>
      </c>
      <c r="I80" s="2">
        <v>4.0</v>
      </c>
      <c r="J80" s="2">
        <v>0.0</v>
      </c>
      <c r="K80" s="2">
        <v>6.0</v>
      </c>
      <c r="L80" s="2">
        <v>6.0</v>
      </c>
      <c r="M80" s="2">
        <v>9.0</v>
      </c>
      <c r="N80" s="2"/>
      <c r="O80" s="2"/>
      <c r="P80" s="2" t="s">
        <v>111</v>
      </c>
    </row>
    <row r="81">
      <c r="A81" s="3" t="s">
        <v>121</v>
      </c>
      <c r="B81" s="2" t="s">
        <v>17</v>
      </c>
      <c r="C81" s="2" t="s">
        <v>18</v>
      </c>
      <c r="D81" s="2" t="s">
        <v>109</v>
      </c>
      <c r="E81" s="2" t="s">
        <v>122</v>
      </c>
      <c r="F81" s="2">
        <v>10.0</v>
      </c>
      <c r="G81" s="2">
        <v>1.0</v>
      </c>
      <c r="H81" s="2">
        <v>1.0</v>
      </c>
      <c r="I81" s="2">
        <v>0.0</v>
      </c>
      <c r="J81" s="2">
        <v>0.0</v>
      </c>
      <c r="K81" s="2">
        <v>0.0</v>
      </c>
      <c r="L81" s="2">
        <v>0.0</v>
      </c>
      <c r="M81" s="2">
        <v>9.0</v>
      </c>
      <c r="N81" s="2"/>
      <c r="O81" s="2"/>
      <c r="P81" s="2" t="s">
        <v>111</v>
      </c>
    </row>
    <row r="82">
      <c r="A82" s="3" t="s">
        <v>16</v>
      </c>
      <c r="B82" s="2" t="s">
        <v>17</v>
      </c>
      <c r="C82" s="2" t="s">
        <v>113</v>
      </c>
      <c r="D82" s="2" t="s">
        <v>109</v>
      </c>
      <c r="E82" s="2" t="s">
        <v>123</v>
      </c>
      <c r="F82" s="2">
        <v>15.0</v>
      </c>
      <c r="G82" s="2">
        <v>1.0</v>
      </c>
      <c r="H82" s="2">
        <v>1.0</v>
      </c>
      <c r="I82" s="2">
        <v>0.0</v>
      </c>
      <c r="J82" s="2">
        <v>0.0</v>
      </c>
      <c r="K82" s="2">
        <v>0.0</v>
      </c>
      <c r="L82" s="2">
        <v>0.0</v>
      </c>
      <c r="M82" s="2">
        <v>14.0</v>
      </c>
      <c r="N82" s="2"/>
      <c r="O82" s="2"/>
      <c r="P82" s="2" t="s">
        <v>111</v>
      </c>
    </row>
    <row r="83">
      <c r="A83" s="3" t="s">
        <v>124</v>
      </c>
      <c r="B83" s="2" t="s">
        <v>17</v>
      </c>
      <c r="C83" s="2" t="s">
        <v>57</v>
      </c>
      <c r="D83" s="2" t="s">
        <v>109</v>
      </c>
      <c r="E83" s="2" t="s">
        <v>125</v>
      </c>
      <c r="F83" s="2">
        <v>10.0</v>
      </c>
      <c r="G83" s="2">
        <v>9.0</v>
      </c>
      <c r="H83" s="2">
        <v>3.0</v>
      </c>
      <c r="I83" s="2">
        <v>6.0</v>
      </c>
      <c r="J83" s="2">
        <v>0.0</v>
      </c>
      <c r="K83" s="2">
        <v>0.0</v>
      </c>
      <c r="L83" s="2">
        <v>0.0</v>
      </c>
      <c r="M83" s="2">
        <v>7.0</v>
      </c>
      <c r="N83" s="2"/>
      <c r="O83" s="2"/>
      <c r="P83" s="2" t="s">
        <v>111</v>
      </c>
    </row>
    <row r="84">
      <c r="A84" s="3" t="s">
        <v>126</v>
      </c>
      <c r="B84" s="2" t="s">
        <v>17</v>
      </c>
      <c r="C84" s="2" t="s">
        <v>18</v>
      </c>
      <c r="D84" s="2" t="s">
        <v>127</v>
      </c>
      <c r="E84" s="2" t="s">
        <v>110</v>
      </c>
      <c r="F84" s="2">
        <v>20.0</v>
      </c>
      <c r="G84" s="2">
        <v>8.0</v>
      </c>
      <c r="H84" s="2">
        <v>5.0</v>
      </c>
      <c r="I84" s="2">
        <v>3.0</v>
      </c>
      <c r="J84" s="2">
        <v>0.0</v>
      </c>
      <c r="K84" s="2">
        <v>0.0</v>
      </c>
      <c r="L84" s="2">
        <v>0.0</v>
      </c>
      <c r="M84" s="2">
        <v>15.0</v>
      </c>
      <c r="N84" s="2"/>
      <c r="O84" s="2"/>
      <c r="P84" s="2" t="s">
        <v>111</v>
      </c>
    </row>
    <row r="85">
      <c r="A85" s="3" t="s">
        <v>128</v>
      </c>
      <c r="B85" s="2" t="s">
        <v>17</v>
      </c>
      <c r="C85" s="2" t="s">
        <v>113</v>
      </c>
      <c r="D85" s="2" t="s">
        <v>127</v>
      </c>
      <c r="E85" s="2" t="s">
        <v>114</v>
      </c>
      <c r="F85" s="2">
        <v>10.0</v>
      </c>
      <c r="G85" s="2">
        <v>16.0</v>
      </c>
      <c r="H85" s="2">
        <v>13.0</v>
      </c>
      <c r="I85" s="2">
        <v>2.0</v>
      </c>
      <c r="J85" s="2">
        <v>1.0</v>
      </c>
      <c r="K85" s="2">
        <v>0.0</v>
      </c>
      <c r="L85" s="2">
        <v>0.0</v>
      </c>
      <c r="M85" s="2">
        <v>-3.0</v>
      </c>
      <c r="N85" s="2"/>
      <c r="O85" s="2"/>
      <c r="P85" s="2" t="s">
        <v>111</v>
      </c>
    </row>
    <row r="86">
      <c r="A86" s="3" t="s">
        <v>129</v>
      </c>
      <c r="B86" s="2" t="s">
        <v>17</v>
      </c>
      <c r="C86" s="2" t="s">
        <v>18</v>
      </c>
      <c r="D86" s="2" t="s">
        <v>127</v>
      </c>
      <c r="E86" s="2" t="s">
        <v>116</v>
      </c>
      <c r="F86" s="2">
        <v>15.0</v>
      </c>
      <c r="G86" s="2">
        <v>1.0</v>
      </c>
      <c r="H86" s="2">
        <v>1.0</v>
      </c>
      <c r="I86" s="2">
        <v>0.0</v>
      </c>
      <c r="J86" s="2">
        <v>0.0</v>
      </c>
      <c r="K86" s="2">
        <v>0.0</v>
      </c>
      <c r="L86" s="2">
        <v>0.0</v>
      </c>
      <c r="M86" s="2">
        <v>14.0</v>
      </c>
      <c r="N86" s="2"/>
      <c r="O86" s="2"/>
      <c r="P86" s="2" t="s">
        <v>111</v>
      </c>
    </row>
    <row r="87">
      <c r="A87" s="3" t="s">
        <v>130</v>
      </c>
      <c r="B87" s="2" t="s">
        <v>17</v>
      </c>
      <c r="C87" s="2" t="s">
        <v>18</v>
      </c>
      <c r="D87" s="2" t="s">
        <v>127</v>
      </c>
      <c r="E87" s="2" t="s">
        <v>118</v>
      </c>
      <c r="F87" s="2">
        <v>10.0</v>
      </c>
      <c r="G87" s="2">
        <v>1.0</v>
      </c>
      <c r="H87" s="2">
        <v>0.0</v>
      </c>
      <c r="I87" s="2">
        <v>1.0</v>
      </c>
      <c r="J87" s="2">
        <v>0.0</v>
      </c>
      <c r="K87" s="2">
        <v>0.0</v>
      </c>
      <c r="L87" s="2">
        <v>0.0</v>
      </c>
      <c r="M87" s="2">
        <v>10.0</v>
      </c>
      <c r="N87" s="2"/>
      <c r="O87" s="2"/>
      <c r="P87" s="2" t="s">
        <v>111</v>
      </c>
    </row>
    <row r="88">
      <c r="A88" s="3" t="s">
        <v>131</v>
      </c>
      <c r="B88" s="2" t="s">
        <v>17</v>
      </c>
      <c r="C88" s="2" t="s">
        <v>113</v>
      </c>
      <c r="D88" s="2" t="s">
        <v>127</v>
      </c>
      <c r="E88" s="2" t="s">
        <v>120</v>
      </c>
      <c r="F88" s="2">
        <v>10.0</v>
      </c>
      <c r="G88" s="2">
        <v>9.0</v>
      </c>
      <c r="H88" s="2">
        <v>4.0</v>
      </c>
      <c r="I88" s="2">
        <v>5.0</v>
      </c>
      <c r="J88" s="2">
        <v>0.0</v>
      </c>
      <c r="K88" s="2">
        <v>0.0</v>
      </c>
      <c r="L88" s="2">
        <v>0.0</v>
      </c>
      <c r="M88" s="2">
        <v>6.0</v>
      </c>
      <c r="N88" s="2"/>
      <c r="O88" s="2"/>
      <c r="P88" s="2" t="s">
        <v>111</v>
      </c>
    </row>
    <row r="89">
      <c r="A89" s="3" t="s">
        <v>132</v>
      </c>
      <c r="B89" s="2" t="s">
        <v>17</v>
      </c>
      <c r="C89" s="2" t="s">
        <v>18</v>
      </c>
      <c r="D89" s="2" t="s">
        <v>127</v>
      </c>
      <c r="E89" s="2" t="s">
        <v>122</v>
      </c>
      <c r="F89" s="2">
        <v>10.0</v>
      </c>
      <c r="G89" s="2">
        <v>1.0</v>
      </c>
      <c r="H89" s="2">
        <v>1.0</v>
      </c>
      <c r="I89" s="2">
        <v>0.0</v>
      </c>
      <c r="J89" s="2">
        <v>0.0</v>
      </c>
      <c r="K89" s="2">
        <v>0.0</v>
      </c>
      <c r="L89" s="2">
        <v>0.0</v>
      </c>
      <c r="M89" s="2">
        <v>9.0</v>
      </c>
      <c r="N89" s="2"/>
      <c r="O89" s="2"/>
      <c r="P89" s="2" t="s">
        <v>111</v>
      </c>
    </row>
    <row r="90">
      <c r="A90" s="3" t="s">
        <v>133</v>
      </c>
      <c r="B90" s="2" t="s">
        <v>17</v>
      </c>
      <c r="C90" s="2" t="s">
        <v>18</v>
      </c>
      <c r="D90" s="2" t="s">
        <v>127</v>
      </c>
      <c r="E90" s="2" t="s">
        <v>123</v>
      </c>
      <c r="F90" s="2">
        <v>10.0</v>
      </c>
      <c r="G90" s="2">
        <v>7.0</v>
      </c>
      <c r="H90" s="2">
        <v>2.0</v>
      </c>
      <c r="I90" s="2">
        <v>5.0</v>
      </c>
      <c r="J90" s="2">
        <v>0.0</v>
      </c>
      <c r="K90" s="2">
        <v>0.0</v>
      </c>
      <c r="L90" s="2">
        <v>0.0</v>
      </c>
      <c r="M90" s="2">
        <v>8.0</v>
      </c>
      <c r="N90" s="2"/>
      <c r="O90" s="2"/>
      <c r="P90" s="2" t="s">
        <v>111</v>
      </c>
    </row>
    <row r="91">
      <c r="A91" s="3" t="s">
        <v>134</v>
      </c>
      <c r="B91" s="2" t="s">
        <v>17</v>
      </c>
      <c r="C91" s="2" t="s">
        <v>135</v>
      </c>
      <c r="D91" s="2" t="s">
        <v>127</v>
      </c>
      <c r="E91" s="2" t="s">
        <v>125</v>
      </c>
      <c r="F91" s="2">
        <v>0.0</v>
      </c>
      <c r="G91" s="2">
        <v>0.0</v>
      </c>
      <c r="H91" s="2">
        <v>0.0</v>
      </c>
      <c r="I91" s="2">
        <v>0.0</v>
      </c>
      <c r="J91" s="2">
        <v>0.0</v>
      </c>
      <c r="K91" s="2">
        <v>0.0</v>
      </c>
      <c r="L91" s="2">
        <v>0.0</v>
      </c>
      <c r="M91" s="2">
        <v>0.0</v>
      </c>
      <c r="N91" s="2"/>
      <c r="O91" s="2"/>
      <c r="P91" s="2" t="s">
        <v>111</v>
      </c>
    </row>
    <row r="92">
      <c r="A92" s="3" t="s">
        <v>136</v>
      </c>
      <c r="B92" s="2" t="s">
        <v>17</v>
      </c>
      <c r="C92" s="2" t="s">
        <v>18</v>
      </c>
      <c r="D92" s="2" t="s">
        <v>19</v>
      </c>
      <c r="E92" s="2" t="s">
        <v>110</v>
      </c>
      <c r="F92" s="2">
        <v>20.0</v>
      </c>
      <c r="G92" s="2">
        <v>2.0</v>
      </c>
      <c r="H92" s="2">
        <v>0.0</v>
      </c>
      <c r="I92" s="2">
        <v>0.0</v>
      </c>
      <c r="J92" s="2">
        <v>0.0</v>
      </c>
      <c r="K92" s="2">
        <v>2.0</v>
      </c>
      <c r="L92" s="2">
        <v>0.0</v>
      </c>
      <c r="M92" s="2">
        <v>20.0</v>
      </c>
      <c r="N92" s="2"/>
      <c r="O92" s="2"/>
      <c r="P92" s="2" t="s">
        <v>111</v>
      </c>
    </row>
    <row r="93">
      <c r="A93" s="3" t="s">
        <v>137</v>
      </c>
      <c r="B93" s="2" t="s">
        <v>17</v>
      </c>
      <c r="C93" s="2" t="s">
        <v>113</v>
      </c>
      <c r="D93" s="2" t="s">
        <v>19</v>
      </c>
      <c r="E93" s="2" t="s">
        <v>114</v>
      </c>
      <c r="F93" s="2">
        <v>25.0</v>
      </c>
      <c r="G93" s="2">
        <v>12.0</v>
      </c>
      <c r="H93" s="2">
        <v>10.0</v>
      </c>
      <c r="I93" s="2">
        <v>2.0</v>
      </c>
      <c r="J93" s="2">
        <v>0.0</v>
      </c>
      <c r="K93" s="2">
        <v>0.0</v>
      </c>
      <c r="L93" s="2">
        <v>0.0</v>
      </c>
      <c r="M93" s="2">
        <v>15.0</v>
      </c>
      <c r="N93" s="2"/>
      <c r="O93" s="2"/>
      <c r="P93" s="2" t="s">
        <v>111</v>
      </c>
    </row>
    <row r="94">
      <c r="A94" s="3" t="s">
        <v>138</v>
      </c>
      <c r="B94" s="2" t="s">
        <v>17</v>
      </c>
      <c r="C94" s="2" t="s">
        <v>18</v>
      </c>
      <c r="D94" s="2" t="s">
        <v>19</v>
      </c>
      <c r="E94" s="5" t="s">
        <v>116</v>
      </c>
      <c r="F94" s="2">
        <v>20.0</v>
      </c>
      <c r="G94" s="2">
        <v>2.0</v>
      </c>
      <c r="H94" s="2">
        <v>1.0</v>
      </c>
      <c r="I94" s="2">
        <v>1.0</v>
      </c>
      <c r="J94" s="2">
        <v>0.0</v>
      </c>
      <c r="K94" s="2">
        <v>0.0</v>
      </c>
      <c r="L94" s="2">
        <v>0.0</v>
      </c>
      <c r="M94" s="2">
        <v>19.0</v>
      </c>
      <c r="N94" s="2"/>
      <c r="O94" s="2"/>
      <c r="P94" s="2" t="s">
        <v>111</v>
      </c>
    </row>
    <row r="95">
      <c r="A95" s="3" t="s">
        <v>139</v>
      </c>
      <c r="B95" s="2" t="s">
        <v>17</v>
      </c>
      <c r="C95" s="2" t="s">
        <v>18</v>
      </c>
      <c r="D95" s="2" t="s">
        <v>19</v>
      </c>
      <c r="E95" s="2" t="s">
        <v>118</v>
      </c>
      <c r="F95" s="2">
        <v>10.0</v>
      </c>
      <c r="G95" s="2">
        <v>2.0</v>
      </c>
      <c r="H95" s="2">
        <v>0.0</v>
      </c>
      <c r="I95" s="2">
        <v>0.0</v>
      </c>
      <c r="J95" s="2">
        <v>0.0</v>
      </c>
      <c r="K95" s="2">
        <v>2.0</v>
      </c>
      <c r="L95" s="2">
        <v>0.0</v>
      </c>
      <c r="M95" s="2">
        <v>10.0</v>
      </c>
      <c r="N95" s="2"/>
      <c r="O95" s="2"/>
      <c r="P95" s="2" t="s">
        <v>111</v>
      </c>
    </row>
    <row r="96">
      <c r="A96" s="3" t="s">
        <v>140</v>
      </c>
      <c r="B96" s="2" t="s">
        <v>17</v>
      </c>
      <c r="C96" s="2" t="s">
        <v>113</v>
      </c>
      <c r="D96" s="2" t="s">
        <v>19</v>
      </c>
      <c r="E96" s="2" t="s">
        <v>120</v>
      </c>
      <c r="F96" s="2">
        <v>15.0</v>
      </c>
      <c r="G96" s="2">
        <v>5.0</v>
      </c>
      <c r="H96" s="2">
        <v>2.0</v>
      </c>
      <c r="I96" s="2">
        <v>0.0</v>
      </c>
      <c r="J96" s="2">
        <v>0.0</v>
      </c>
      <c r="K96" s="2">
        <v>3.0</v>
      </c>
      <c r="L96" s="2">
        <v>0.0</v>
      </c>
      <c r="M96" s="2">
        <v>13.0</v>
      </c>
      <c r="N96" s="2"/>
      <c r="O96" s="2"/>
      <c r="P96" s="2" t="s">
        <v>111</v>
      </c>
    </row>
    <row r="97">
      <c r="A97" s="3" t="s">
        <v>141</v>
      </c>
      <c r="B97" s="2" t="s">
        <v>17</v>
      </c>
      <c r="C97" s="2" t="s">
        <v>18</v>
      </c>
      <c r="D97" s="2" t="s">
        <v>19</v>
      </c>
      <c r="E97" s="2" t="s">
        <v>122</v>
      </c>
      <c r="F97" s="2">
        <v>10.0</v>
      </c>
      <c r="G97" s="2">
        <v>1.0</v>
      </c>
      <c r="H97" s="2">
        <v>0.0</v>
      </c>
      <c r="I97" s="2">
        <v>1.0</v>
      </c>
      <c r="J97" s="2">
        <v>0.0</v>
      </c>
      <c r="K97" s="2">
        <v>0.0</v>
      </c>
      <c r="L97" s="2">
        <v>0.0</v>
      </c>
      <c r="M97" s="2">
        <v>10.0</v>
      </c>
      <c r="N97" s="2"/>
      <c r="O97" s="2"/>
      <c r="P97" s="2" t="s">
        <v>111</v>
      </c>
    </row>
    <row r="98">
      <c r="A98" s="3" t="s">
        <v>142</v>
      </c>
      <c r="B98" s="2" t="s">
        <v>17</v>
      </c>
      <c r="C98" s="2" t="s">
        <v>18</v>
      </c>
      <c r="D98" s="2" t="s">
        <v>19</v>
      </c>
      <c r="E98" s="2" t="s">
        <v>123</v>
      </c>
      <c r="F98" s="2">
        <v>15.0</v>
      </c>
      <c r="G98" s="2">
        <v>5.0</v>
      </c>
      <c r="H98" s="2">
        <v>3.0</v>
      </c>
      <c r="I98" s="2">
        <v>0.0</v>
      </c>
      <c r="J98" s="2">
        <v>0.0</v>
      </c>
      <c r="K98" s="2">
        <v>2.0</v>
      </c>
      <c r="L98" s="2">
        <v>0.0</v>
      </c>
      <c r="M98" s="2">
        <v>12.0</v>
      </c>
      <c r="N98" s="2"/>
      <c r="O98" s="2"/>
      <c r="P98" s="2" t="s">
        <v>111</v>
      </c>
    </row>
    <row r="99">
      <c r="A99" s="3" t="s">
        <v>143</v>
      </c>
      <c r="B99" s="2" t="s">
        <v>17</v>
      </c>
      <c r="C99" s="2" t="s">
        <v>113</v>
      </c>
      <c r="D99" s="2" t="s">
        <v>19</v>
      </c>
      <c r="E99" s="2" t="s">
        <v>125</v>
      </c>
      <c r="F99" s="2">
        <v>10.0</v>
      </c>
      <c r="G99" s="2">
        <v>11.0</v>
      </c>
      <c r="H99" s="2">
        <v>8.0</v>
      </c>
      <c r="I99" s="2">
        <v>3.0</v>
      </c>
      <c r="J99" s="2">
        <v>0.0</v>
      </c>
      <c r="K99" s="2">
        <v>0.0</v>
      </c>
      <c r="L99" s="2">
        <v>0.0</v>
      </c>
      <c r="M99" s="2">
        <v>2.0</v>
      </c>
      <c r="N99" s="2"/>
      <c r="O99" s="2"/>
      <c r="P99" s="2" t="s">
        <v>111</v>
      </c>
    </row>
    <row r="100">
      <c r="A100" s="3" t="s">
        <v>144</v>
      </c>
      <c r="B100" s="2" t="s">
        <v>17</v>
      </c>
      <c r="C100" s="2" t="s">
        <v>18</v>
      </c>
      <c r="D100" s="2" t="s">
        <v>23</v>
      </c>
      <c r="E100" s="2" t="s">
        <v>110</v>
      </c>
      <c r="F100" s="2">
        <v>20.0</v>
      </c>
      <c r="G100" s="2">
        <v>11.0</v>
      </c>
      <c r="H100" s="2">
        <v>5.0</v>
      </c>
      <c r="I100" s="2">
        <v>4.0</v>
      </c>
      <c r="J100" s="2">
        <v>0.0</v>
      </c>
      <c r="K100" s="2">
        <v>2.0</v>
      </c>
      <c r="L100" s="2">
        <v>0.0</v>
      </c>
      <c r="M100" s="2">
        <v>15.0</v>
      </c>
      <c r="N100" s="2">
        <v>-40.0</v>
      </c>
      <c r="O100" s="2">
        <v>10.0</v>
      </c>
      <c r="P100" s="2" t="s">
        <v>111</v>
      </c>
    </row>
    <row r="101">
      <c r="A101" s="3" t="s">
        <v>145</v>
      </c>
      <c r="B101" s="2" t="s">
        <v>17</v>
      </c>
      <c r="C101" s="2" t="s">
        <v>18</v>
      </c>
      <c r="D101" s="2" t="s">
        <v>23</v>
      </c>
      <c r="E101" s="2" t="s">
        <v>116</v>
      </c>
      <c r="F101" s="2">
        <v>20.0</v>
      </c>
      <c r="G101" s="2">
        <v>8.0</v>
      </c>
      <c r="H101" s="2">
        <v>3.0</v>
      </c>
      <c r="I101" s="2">
        <v>5.0</v>
      </c>
      <c r="J101" s="2">
        <v>0.0</v>
      </c>
      <c r="K101" s="2">
        <v>0.0</v>
      </c>
      <c r="L101" s="2">
        <v>0.0</v>
      </c>
      <c r="M101" s="2">
        <v>17.0</v>
      </c>
      <c r="N101" s="2">
        <v>-35.0</v>
      </c>
      <c r="O101" s="2">
        <v>14.0</v>
      </c>
      <c r="P101" s="2" t="s">
        <v>111</v>
      </c>
    </row>
    <row r="102">
      <c r="A102" s="3" t="s">
        <v>16</v>
      </c>
      <c r="B102" s="2" t="s">
        <v>17</v>
      </c>
      <c r="C102" s="2" t="s">
        <v>18</v>
      </c>
      <c r="D102" s="2" t="s">
        <v>23</v>
      </c>
      <c r="E102" s="2" t="s">
        <v>118</v>
      </c>
      <c r="F102" s="2">
        <v>10.0</v>
      </c>
      <c r="G102" s="2">
        <v>3.0</v>
      </c>
      <c r="H102" s="2">
        <v>0.0</v>
      </c>
      <c r="I102" s="2">
        <v>1.0</v>
      </c>
      <c r="J102" s="2">
        <v>0.0</v>
      </c>
      <c r="K102" s="2">
        <v>2.0</v>
      </c>
      <c r="L102" s="2">
        <v>0.0</v>
      </c>
      <c r="M102" s="2">
        <v>10.0</v>
      </c>
      <c r="N102" s="2">
        <v>-20.0</v>
      </c>
      <c r="O102" s="2">
        <v>10.0</v>
      </c>
      <c r="P102" s="2" t="s">
        <v>111</v>
      </c>
    </row>
    <row r="103">
      <c r="A103" s="3" t="s">
        <v>22</v>
      </c>
      <c r="B103" s="2" t="s">
        <v>17</v>
      </c>
      <c r="C103" s="2" t="s">
        <v>18</v>
      </c>
      <c r="D103" s="2" t="s">
        <v>23</v>
      </c>
      <c r="E103" s="2" t="s">
        <v>120</v>
      </c>
      <c r="F103" s="2">
        <v>15.0</v>
      </c>
      <c r="G103" s="2">
        <v>30.0</v>
      </c>
      <c r="H103" s="2">
        <v>12.0</v>
      </c>
      <c r="I103" s="2">
        <v>9.0</v>
      </c>
      <c r="J103" s="2">
        <v>0.0</v>
      </c>
      <c r="K103" s="2">
        <v>9.0</v>
      </c>
      <c r="L103" s="2">
        <v>6.0</v>
      </c>
      <c r="M103" s="2">
        <v>3.0</v>
      </c>
      <c r="N103" s="2">
        <v>-25.0</v>
      </c>
      <c r="O103" s="2">
        <v>-9.0</v>
      </c>
      <c r="P103" s="2" t="s">
        <v>111</v>
      </c>
    </row>
    <row r="104">
      <c r="A104" s="3" t="s">
        <v>24</v>
      </c>
      <c r="B104" s="2" t="s">
        <v>17</v>
      </c>
      <c r="C104" s="2" t="s">
        <v>18</v>
      </c>
      <c r="D104" s="2" t="s">
        <v>23</v>
      </c>
      <c r="E104" s="2" t="s">
        <v>122</v>
      </c>
      <c r="F104" s="2">
        <v>10.0</v>
      </c>
      <c r="G104" s="2">
        <v>3.0</v>
      </c>
      <c r="H104" s="2">
        <v>2.0</v>
      </c>
      <c r="I104" s="2">
        <v>1.0</v>
      </c>
      <c r="J104" s="2">
        <v>0.0</v>
      </c>
      <c r="K104" s="2">
        <v>0.0</v>
      </c>
      <c r="L104" s="2">
        <v>0.0</v>
      </c>
      <c r="M104" s="2">
        <v>8.0</v>
      </c>
      <c r="N104" s="2">
        <v>-20.0</v>
      </c>
      <c r="O104" s="2">
        <v>6.0</v>
      </c>
      <c r="P104" s="2" t="s">
        <v>111</v>
      </c>
    </row>
    <row r="105">
      <c r="A105" s="3" t="s">
        <v>25</v>
      </c>
      <c r="B105" s="2" t="s">
        <v>17</v>
      </c>
      <c r="C105" s="2" t="s">
        <v>18</v>
      </c>
      <c r="D105" s="2" t="s">
        <v>23</v>
      </c>
      <c r="E105" s="2" t="s">
        <v>123</v>
      </c>
      <c r="F105" s="2">
        <v>15.0</v>
      </c>
      <c r="G105" s="2">
        <v>13.0</v>
      </c>
      <c r="H105" s="2">
        <v>6.0</v>
      </c>
      <c r="I105" s="2">
        <v>5.0</v>
      </c>
      <c r="J105" s="2">
        <v>0.0</v>
      </c>
      <c r="K105" s="2">
        <v>2.0</v>
      </c>
      <c r="L105" s="2">
        <v>0.0</v>
      </c>
      <c r="M105" s="2">
        <v>9.0</v>
      </c>
      <c r="N105" s="2">
        <v>-25.0</v>
      </c>
      <c r="O105" s="2">
        <v>3.0</v>
      </c>
      <c r="P105" s="2" t="s">
        <v>111</v>
      </c>
    </row>
    <row r="106">
      <c r="A106" s="3" t="s">
        <v>26</v>
      </c>
      <c r="B106" s="2" t="s">
        <v>17</v>
      </c>
      <c r="C106" s="2" t="s">
        <v>57</v>
      </c>
      <c r="D106" s="2" t="s">
        <v>23</v>
      </c>
      <c r="E106" s="2" t="s">
        <v>114</v>
      </c>
      <c r="F106" s="2">
        <v>30.0</v>
      </c>
      <c r="G106" s="2">
        <v>40.0</v>
      </c>
      <c r="H106" s="2">
        <v>28.0</v>
      </c>
      <c r="I106" s="2">
        <v>10.0</v>
      </c>
      <c r="J106" s="2">
        <v>2.0</v>
      </c>
      <c r="K106" s="2">
        <v>0.0</v>
      </c>
      <c r="L106" s="2">
        <v>0.0</v>
      </c>
      <c r="M106" s="2">
        <v>2.0</v>
      </c>
      <c r="N106" s="2">
        <v>-30.0</v>
      </c>
      <c r="O106" s="2">
        <v>-26.0</v>
      </c>
      <c r="P106" s="2" t="s">
        <v>111</v>
      </c>
    </row>
    <row r="107">
      <c r="A107" s="3" t="s">
        <v>28</v>
      </c>
      <c r="B107" s="2" t="s">
        <v>17</v>
      </c>
      <c r="C107" s="2" t="s">
        <v>57</v>
      </c>
      <c r="D107" s="2" t="s">
        <v>23</v>
      </c>
      <c r="E107" s="2" t="s">
        <v>125</v>
      </c>
      <c r="F107" s="2">
        <v>11.0</v>
      </c>
      <c r="G107" s="2">
        <v>20.0</v>
      </c>
      <c r="H107" s="2">
        <v>11.0</v>
      </c>
      <c r="I107" s="2">
        <v>9.0</v>
      </c>
      <c r="J107" s="2">
        <v>0.0</v>
      </c>
      <c r="K107" s="2">
        <v>0.0</v>
      </c>
      <c r="L107" s="2">
        <v>0.0</v>
      </c>
      <c r="M107" s="2">
        <v>0.0</v>
      </c>
      <c r="N107" s="2">
        <v>-9.0</v>
      </c>
      <c r="O107" s="2">
        <v>-11.0</v>
      </c>
      <c r="P107" s="2" t="s">
        <v>111</v>
      </c>
    </row>
    <row r="108">
      <c r="A108" s="3" t="s">
        <v>29</v>
      </c>
      <c r="B108" s="4">
        <v>45294.29166666667</v>
      </c>
      <c r="C108" s="2" t="s">
        <v>18</v>
      </c>
      <c r="D108" s="2" t="s">
        <v>19</v>
      </c>
      <c r="E108" s="2" t="s">
        <v>110</v>
      </c>
      <c r="F108" s="2"/>
      <c r="G108" s="2">
        <v>0.0</v>
      </c>
      <c r="H108" s="2">
        <v>0.0</v>
      </c>
      <c r="I108" s="2">
        <v>0.0</v>
      </c>
      <c r="J108" s="2">
        <v>0.0</v>
      </c>
      <c r="K108" s="2">
        <v>0.0</v>
      </c>
      <c r="L108" s="2">
        <v>0.0</v>
      </c>
      <c r="M108" s="2"/>
      <c r="N108" s="2"/>
      <c r="O108" s="2"/>
      <c r="P108" s="2" t="s">
        <v>111</v>
      </c>
    </row>
    <row r="109">
      <c r="A109" s="3" t="s">
        <v>32</v>
      </c>
      <c r="B109" s="4">
        <v>45295.29166666667</v>
      </c>
      <c r="C109" s="2" t="s">
        <v>18</v>
      </c>
      <c r="D109" s="2" t="s">
        <v>19</v>
      </c>
      <c r="E109" s="2" t="s">
        <v>114</v>
      </c>
      <c r="F109" s="2"/>
      <c r="G109" s="2">
        <v>4.0</v>
      </c>
      <c r="H109" s="2">
        <v>4.0</v>
      </c>
      <c r="I109" s="2">
        <v>0.0</v>
      </c>
      <c r="J109" s="2">
        <v>0.0</v>
      </c>
      <c r="K109" s="2">
        <v>0.0</v>
      </c>
      <c r="L109" s="2">
        <v>0.0</v>
      </c>
      <c r="M109" s="2"/>
      <c r="N109" s="2"/>
      <c r="O109" s="2"/>
      <c r="P109" s="2" t="s">
        <v>111</v>
      </c>
    </row>
    <row r="110">
      <c r="A110" s="3" t="s">
        <v>34</v>
      </c>
      <c r="B110" s="4">
        <v>45296.29166666667</v>
      </c>
      <c r="C110" s="2" t="s">
        <v>18</v>
      </c>
      <c r="D110" s="2" t="s">
        <v>19</v>
      </c>
      <c r="E110" s="2" t="s">
        <v>116</v>
      </c>
      <c r="F110" s="2"/>
      <c r="G110" s="2">
        <v>0.0</v>
      </c>
      <c r="H110" s="2">
        <v>0.0</v>
      </c>
      <c r="I110" s="2">
        <v>0.0</v>
      </c>
      <c r="J110" s="2">
        <v>0.0</v>
      </c>
      <c r="K110" s="2">
        <v>0.0</v>
      </c>
      <c r="L110" s="2">
        <v>0.0</v>
      </c>
      <c r="M110" s="2"/>
      <c r="N110" s="2"/>
      <c r="O110" s="2"/>
      <c r="P110" s="2" t="s">
        <v>111</v>
      </c>
    </row>
    <row r="111">
      <c r="A111" s="3" t="s">
        <v>35</v>
      </c>
      <c r="B111" s="4">
        <v>45297.29166666667</v>
      </c>
      <c r="C111" s="2" t="s">
        <v>18</v>
      </c>
      <c r="D111" s="2" t="s">
        <v>19</v>
      </c>
      <c r="E111" s="2" t="s">
        <v>125</v>
      </c>
      <c r="F111" s="2"/>
      <c r="G111" s="2">
        <v>11.0</v>
      </c>
      <c r="H111" s="2">
        <v>8.0</v>
      </c>
      <c r="I111" s="2">
        <v>3.0</v>
      </c>
      <c r="J111" s="2">
        <v>0.0</v>
      </c>
      <c r="K111" s="2">
        <v>0.0</v>
      </c>
      <c r="L111" s="2">
        <v>0.0</v>
      </c>
      <c r="M111" s="2"/>
      <c r="N111" s="2"/>
      <c r="O111" s="2"/>
      <c r="P111" s="2" t="s">
        <v>111</v>
      </c>
    </row>
    <row r="112">
      <c r="A112" s="3" t="s">
        <v>36</v>
      </c>
      <c r="B112" s="4">
        <v>45298.29166666667</v>
      </c>
      <c r="C112" s="2" t="s">
        <v>18</v>
      </c>
      <c r="D112" s="2" t="s">
        <v>19</v>
      </c>
      <c r="E112" s="2" t="s">
        <v>118</v>
      </c>
      <c r="F112" s="2"/>
      <c r="G112" s="2">
        <v>0.0</v>
      </c>
      <c r="H112" s="2">
        <v>0.0</v>
      </c>
      <c r="I112" s="2">
        <v>0.0</v>
      </c>
      <c r="J112" s="2">
        <v>0.0</v>
      </c>
      <c r="K112" s="2">
        <v>0.0</v>
      </c>
      <c r="L112" s="2">
        <v>0.0</v>
      </c>
      <c r="M112" s="2"/>
      <c r="N112" s="2"/>
      <c r="O112" s="2"/>
      <c r="P112" s="2" t="s">
        <v>111</v>
      </c>
    </row>
    <row r="113">
      <c r="A113" s="3" t="s">
        <v>37</v>
      </c>
      <c r="B113" s="4">
        <v>45299.29166666667</v>
      </c>
      <c r="C113" s="2" t="s">
        <v>18</v>
      </c>
      <c r="D113" s="2" t="s">
        <v>19</v>
      </c>
      <c r="E113" s="2" t="s">
        <v>120</v>
      </c>
      <c r="F113" s="2"/>
      <c r="G113" s="2">
        <v>1.0</v>
      </c>
      <c r="H113" s="2">
        <v>1.0</v>
      </c>
      <c r="I113" s="2">
        <v>0.0</v>
      </c>
      <c r="J113" s="2">
        <v>0.0</v>
      </c>
      <c r="K113" s="2">
        <v>0.0</v>
      </c>
      <c r="L113" s="2">
        <v>0.0</v>
      </c>
      <c r="M113" s="2"/>
      <c r="N113" s="2"/>
      <c r="O113" s="2"/>
      <c r="P113" s="2" t="s">
        <v>111</v>
      </c>
    </row>
    <row r="114">
      <c r="A114" s="3" t="s">
        <v>38</v>
      </c>
      <c r="B114" s="4">
        <v>45300.29166666667</v>
      </c>
      <c r="C114" s="2" t="s">
        <v>18</v>
      </c>
      <c r="D114" s="2" t="s">
        <v>19</v>
      </c>
      <c r="E114" s="2" t="s">
        <v>122</v>
      </c>
      <c r="F114" s="2"/>
      <c r="G114" s="2">
        <v>0.0</v>
      </c>
      <c r="H114" s="2">
        <v>0.0</v>
      </c>
      <c r="I114" s="2">
        <v>0.0</v>
      </c>
      <c r="J114" s="2">
        <v>0.0</v>
      </c>
      <c r="K114" s="2">
        <v>0.0</v>
      </c>
      <c r="L114" s="2">
        <v>0.0</v>
      </c>
      <c r="M114" s="2"/>
      <c r="N114" s="2"/>
      <c r="O114" s="2"/>
      <c r="P114" s="2" t="s">
        <v>111</v>
      </c>
    </row>
    <row r="115">
      <c r="A115" s="3" t="s">
        <v>39</v>
      </c>
      <c r="B115" s="4">
        <v>45301.29166666667</v>
      </c>
      <c r="C115" s="2" t="s">
        <v>18</v>
      </c>
      <c r="D115" s="2" t="s">
        <v>19</v>
      </c>
      <c r="E115" s="2" t="s">
        <v>123</v>
      </c>
      <c r="F115" s="2"/>
      <c r="G115" s="2">
        <v>0.0</v>
      </c>
      <c r="H115" s="2">
        <v>0.0</v>
      </c>
      <c r="I115" s="2">
        <v>0.0</v>
      </c>
      <c r="J115" s="2">
        <v>0.0</v>
      </c>
      <c r="K115" s="2">
        <v>0.0</v>
      </c>
      <c r="L115" s="2">
        <v>0.0</v>
      </c>
      <c r="M115" s="2"/>
      <c r="N115" s="2"/>
      <c r="O115" s="2"/>
      <c r="P115" s="2" t="s">
        <v>111</v>
      </c>
    </row>
    <row r="116">
      <c r="A116" s="3" t="s">
        <v>40</v>
      </c>
      <c r="B116" s="4">
        <v>45301.29166666667</v>
      </c>
      <c r="C116" s="2" t="s">
        <v>18</v>
      </c>
      <c r="D116" s="2" t="s">
        <v>109</v>
      </c>
      <c r="E116" s="2" t="s">
        <v>110</v>
      </c>
      <c r="F116" s="2"/>
      <c r="G116" s="2">
        <v>0.0</v>
      </c>
      <c r="H116" s="2">
        <v>0.0</v>
      </c>
      <c r="I116" s="2">
        <v>0.0</v>
      </c>
      <c r="J116" s="2">
        <v>0.0</v>
      </c>
      <c r="K116" s="2">
        <v>0.0</v>
      </c>
      <c r="L116" s="2">
        <v>0.0</v>
      </c>
      <c r="M116" s="2"/>
      <c r="N116" s="2"/>
      <c r="O116" s="2"/>
      <c r="P116" s="2" t="s">
        <v>111</v>
      </c>
    </row>
    <row r="117">
      <c r="A117" s="3" t="s">
        <v>41</v>
      </c>
      <c r="B117" s="4">
        <v>45301.29166666667</v>
      </c>
      <c r="C117" s="2" t="s">
        <v>18</v>
      </c>
      <c r="D117" s="2" t="s">
        <v>109</v>
      </c>
      <c r="E117" s="2" t="s">
        <v>114</v>
      </c>
      <c r="F117" s="2"/>
      <c r="G117" s="2">
        <v>5.0</v>
      </c>
      <c r="H117" s="2">
        <v>3.0</v>
      </c>
      <c r="I117" s="2">
        <v>2.0</v>
      </c>
      <c r="J117" s="2">
        <v>0.0</v>
      </c>
      <c r="K117" s="2">
        <v>0.0</v>
      </c>
      <c r="L117" s="2">
        <v>0.0</v>
      </c>
      <c r="M117" s="2"/>
      <c r="N117" s="2"/>
      <c r="O117" s="2"/>
      <c r="P117" s="2" t="s">
        <v>111</v>
      </c>
    </row>
    <row r="118">
      <c r="A118" s="3" t="s">
        <v>42</v>
      </c>
      <c r="B118" s="4">
        <v>45301.29166666667</v>
      </c>
      <c r="C118" s="2" t="s">
        <v>18</v>
      </c>
      <c r="D118" s="2" t="s">
        <v>109</v>
      </c>
      <c r="E118" s="2" t="s">
        <v>116</v>
      </c>
      <c r="F118" s="2"/>
      <c r="G118" s="2">
        <v>0.0</v>
      </c>
      <c r="H118" s="2">
        <v>0.0</v>
      </c>
      <c r="I118" s="2">
        <v>0.0</v>
      </c>
      <c r="J118" s="2">
        <v>0.0</v>
      </c>
      <c r="K118" s="2">
        <v>0.0</v>
      </c>
      <c r="L118" s="2">
        <v>0.0</v>
      </c>
      <c r="M118" s="2"/>
      <c r="N118" s="2"/>
      <c r="O118" s="2"/>
      <c r="P118" s="2" t="s">
        <v>111</v>
      </c>
    </row>
    <row r="119">
      <c r="A119" s="3" t="s">
        <v>43</v>
      </c>
      <c r="B119" s="4">
        <v>45301.29166666667</v>
      </c>
      <c r="C119" s="2" t="s">
        <v>18</v>
      </c>
      <c r="D119" s="2" t="s">
        <v>109</v>
      </c>
      <c r="E119" s="2" t="s">
        <v>125</v>
      </c>
      <c r="F119" s="2"/>
      <c r="G119" s="2">
        <v>6.0</v>
      </c>
      <c r="H119" s="2">
        <v>2.0</v>
      </c>
      <c r="I119" s="2">
        <v>4.0</v>
      </c>
      <c r="J119" s="2">
        <v>0.0</v>
      </c>
      <c r="K119" s="2">
        <v>0.0</v>
      </c>
      <c r="L119" s="2">
        <v>0.0</v>
      </c>
      <c r="M119" s="2"/>
      <c r="N119" s="2"/>
      <c r="O119" s="2"/>
      <c r="P119" s="2" t="s">
        <v>111</v>
      </c>
    </row>
    <row r="120">
      <c r="A120" s="3" t="s">
        <v>44</v>
      </c>
      <c r="B120" s="4">
        <v>45301.29166666667</v>
      </c>
      <c r="C120" s="2" t="s">
        <v>18</v>
      </c>
      <c r="D120" s="2" t="s">
        <v>109</v>
      </c>
      <c r="E120" s="2" t="s">
        <v>118</v>
      </c>
      <c r="F120" s="2"/>
      <c r="G120" s="2">
        <v>0.0</v>
      </c>
      <c r="H120" s="2">
        <v>0.0</v>
      </c>
      <c r="I120" s="2">
        <v>0.0</v>
      </c>
      <c r="J120" s="2">
        <v>0.0</v>
      </c>
      <c r="K120" s="2">
        <v>0.0</v>
      </c>
      <c r="L120" s="2">
        <v>0.0</v>
      </c>
      <c r="M120" s="2"/>
      <c r="N120" s="2"/>
      <c r="O120" s="2"/>
      <c r="P120" s="2" t="s">
        <v>111</v>
      </c>
    </row>
    <row r="121">
      <c r="A121" s="3" t="s">
        <v>45</v>
      </c>
      <c r="B121" s="4">
        <v>45301.29166666667</v>
      </c>
      <c r="C121" s="2" t="s">
        <v>18</v>
      </c>
      <c r="D121" s="2" t="s">
        <v>109</v>
      </c>
      <c r="E121" s="2" t="s">
        <v>120</v>
      </c>
      <c r="F121" s="2"/>
      <c r="G121" s="2">
        <v>1.0</v>
      </c>
      <c r="H121" s="2">
        <v>0.0</v>
      </c>
      <c r="I121" s="2">
        <v>1.0</v>
      </c>
      <c r="J121" s="2">
        <v>0.0</v>
      </c>
      <c r="K121" s="2">
        <v>0.0</v>
      </c>
      <c r="L121" s="2">
        <v>0.0</v>
      </c>
      <c r="M121" s="2"/>
      <c r="N121" s="2"/>
      <c r="O121" s="2"/>
      <c r="P121" s="2" t="s">
        <v>111</v>
      </c>
    </row>
    <row r="122">
      <c r="A122" s="3" t="s">
        <v>16</v>
      </c>
      <c r="B122" s="4">
        <v>45301.29166666667</v>
      </c>
      <c r="C122" s="2" t="s">
        <v>18</v>
      </c>
      <c r="D122" s="2" t="s">
        <v>109</v>
      </c>
      <c r="E122" s="2" t="s">
        <v>122</v>
      </c>
      <c r="F122" s="2"/>
      <c r="G122" s="2">
        <v>0.0</v>
      </c>
      <c r="H122" s="2">
        <v>0.0</v>
      </c>
      <c r="I122" s="2">
        <v>0.0</v>
      </c>
      <c r="J122" s="2">
        <v>0.0</v>
      </c>
      <c r="K122" s="2">
        <v>0.0</v>
      </c>
      <c r="L122" s="2">
        <v>0.0</v>
      </c>
      <c r="M122" s="2"/>
      <c r="N122" s="2"/>
      <c r="O122" s="2"/>
      <c r="P122" s="2" t="s">
        <v>111</v>
      </c>
    </row>
    <row r="123">
      <c r="A123" s="3" t="s">
        <v>47</v>
      </c>
      <c r="B123" s="4">
        <v>45301.29166666667</v>
      </c>
      <c r="C123" s="2" t="s">
        <v>18</v>
      </c>
      <c r="D123" s="2" t="s">
        <v>109</v>
      </c>
      <c r="E123" s="2" t="s">
        <v>123</v>
      </c>
      <c r="F123" s="2"/>
      <c r="G123" s="2">
        <v>0.0</v>
      </c>
      <c r="H123" s="2">
        <v>0.0</v>
      </c>
      <c r="I123" s="2">
        <v>0.0</v>
      </c>
      <c r="J123" s="2">
        <v>0.0</v>
      </c>
      <c r="K123" s="2">
        <v>0.0</v>
      </c>
      <c r="L123" s="2">
        <v>0.0</v>
      </c>
      <c r="M123" s="2"/>
      <c r="N123" s="2"/>
      <c r="O123" s="2"/>
      <c r="P123" s="2" t="s">
        <v>111</v>
      </c>
    </row>
    <row r="124">
      <c r="A124" s="3" t="s">
        <v>48</v>
      </c>
      <c r="B124" s="4">
        <v>45324.29166666667</v>
      </c>
      <c r="C124" s="2" t="s">
        <v>18</v>
      </c>
      <c r="D124" s="2" t="s">
        <v>19</v>
      </c>
      <c r="E124" s="2" t="s">
        <v>110</v>
      </c>
      <c r="F124" s="2"/>
      <c r="G124" s="2">
        <v>0.0</v>
      </c>
      <c r="H124" s="2">
        <v>0.0</v>
      </c>
      <c r="I124" s="2">
        <v>0.0</v>
      </c>
      <c r="J124" s="2">
        <v>0.0</v>
      </c>
      <c r="K124" s="2">
        <v>0.0</v>
      </c>
      <c r="L124" s="2">
        <v>0.0</v>
      </c>
      <c r="M124" s="2"/>
      <c r="N124" s="2"/>
      <c r="O124" s="2"/>
      <c r="P124" s="2" t="s">
        <v>111</v>
      </c>
    </row>
    <row r="125">
      <c r="A125" s="3" t="s">
        <v>49</v>
      </c>
      <c r="B125" s="6">
        <v>45324.29166666667</v>
      </c>
      <c r="C125" s="7" t="s">
        <v>18</v>
      </c>
      <c r="D125" s="7" t="s">
        <v>19</v>
      </c>
      <c r="E125" s="7" t="s">
        <v>114</v>
      </c>
      <c r="F125" s="7"/>
      <c r="G125" s="7">
        <v>8.0</v>
      </c>
      <c r="H125" s="7">
        <v>6.0</v>
      </c>
      <c r="I125" s="7">
        <v>2.0</v>
      </c>
      <c r="J125" s="7">
        <v>0.0</v>
      </c>
      <c r="K125" s="7">
        <v>0.0</v>
      </c>
      <c r="L125" s="7">
        <v>0.0</v>
      </c>
      <c r="M125" s="7"/>
      <c r="N125" s="7"/>
      <c r="O125" s="7"/>
      <c r="P125" s="7" t="s">
        <v>111</v>
      </c>
    </row>
    <row r="126">
      <c r="A126" s="3" t="s">
        <v>51</v>
      </c>
      <c r="B126" s="4">
        <v>45324.29166666667</v>
      </c>
      <c r="C126" s="2" t="s">
        <v>18</v>
      </c>
      <c r="D126" s="2" t="s">
        <v>19</v>
      </c>
      <c r="E126" s="2" t="s">
        <v>116</v>
      </c>
      <c r="F126" s="2"/>
      <c r="G126" s="2">
        <v>2.0</v>
      </c>
      <c r="H126" s="2">
        <v>1.0</v>
      </c>
      <c r="I126" s="2">
        <v>1.0</v>
      </c>
      <c r="J126" s="2">
        <v>0.0</v>
      </c>
      <c r="K126" s="2">
        <v>0.0</v>
      </c>
      <c r="L126" s="2">
        <v>0.0</v>
      </c>
      <c r="M126" s="2"/>
      <c r="N126" s="2"/>
      <c r="O126" s="2"/>
      <c r="P126" s="2" t="s">
        <v>111</v>
      </c>
    </row>
    <row r="127">
      <c r="A127" s="3" t="s">
        <v>52</v>
      </c>
      <c r="B127" s="4">
        <v>45324.29166666667</v>
      </c>
      <c r="C127" s="2" t="s">
        <v>18</v>
      </c>
      <c r="D127" s="2" t="s">
        <v>19</v>
      </c>
      <c r="E127" s="2" t="s">
        <v>125</v>
      </c>
      <c r="F127" s="2"/>
      <c r="G127" s="2">
        <v>0.0</v>
      </c>
      <c r="H127" s="2">
        <v>0.0</v>
      </c>
      <c r="I127" s="2">
        <v>0.0</v>
      </c>
      <c r="J127" s="2">
        <v>0.0</v>
      </c>
      <c r="K127" s="2">
        <v>0.0</v>
      </c>
      <c r="L127" s="2">
        <v>0.0</v>
      </c>
      <c r="M127" s="2"/>
      <c r="N127" s="2"/>
      <c r="O127" s="2"/>
      <c r="P127" s="2" t="s">
        <v>111</v>
      </c>
    </row>
    <row r="128">
      <c r="A128" s="3" t="s">
        <v>53</v>
      </c>
      <c r="B128" s="4">
        <v>45324.29166666667</v>
      </c>
      <c r="C128" s="2" t="s">
        <v>18</v>
      </c>
      <c r="D128" s="2" t="s">
        <v>19</v>
      </c>
      <c r="E128" s="2" t="s">
        <v>118</v>
      </c>
      <c r="F128" s="2"/>
      <c r="G128" s="2">
        <v>0.0</v>
      </c>
      <c r="H128" s="2">
        <v>0.0</v>
      </c>
      <c r="I128" s="2">
        <v>0.0</v>
      </c>
      <c r="J128" s="2">
        <v>0.0</v>
      </c>
      <c r="K128" s="2">
        <v>0.0</v>
      </c>
      <c r="L128" s="2">
        <v>0.0</v>
      </c>
      <c r="M128" s="2"/>
      <c r="N128" s="2"/>
      <c r="O128" s="2"/>
      <c r="P128" s="2" t="s">
        <v>111</v>
      </c>
    </row>
    <row r="129">
      <c r="A129" s="3" t="s">
        <v>54</v>
      </c>
      <c r="B129" s="4">
        <v>45324.29166666667</v>
      </c>
      <c r="C129" s="2" t="s">
        <v>18</v>
      </c>
      <c r="D129" s="2" t="s">
        <v>19</v>
      </c>
      <c r="E129" s="2" t="s">
        <v>120</v>
      </c>
      <c r="F129" s="2"/>
      <c r="G129" s="2">
        <v>1.0</v>
      </c>
      <c r="H129" s="2">
        <v>1.0</v>
      </c>
      <c r="I129" s="2">
        <v>0.0</v>
      </c>
      <c r="J129" s="2">
        <v>0.0</v>
      </c>
      <c r="K129" s="2">
        <v>0.0</v>
      </c>
      <c r="L129" s="2">
        <v>0.0</v>
      </c>
      <c r="M129" s="2"/>
      <c r="N129" s="2"/>
      <c r="O129" s="2"/>
      <c r="P129" s="2" t="s">
        <v>111</v>
      </c>
    </row>
    <row r="130">
      <c r="A130" s="3" t="s">
        <v>55</v>
      </c>
      <c r="B130" s="4">
        <v>45324.29166666667</v>
      </c>
      <c r="C130" s="2" t="s">
        <v>18</v>
      </c>
      <c r="D130" s="2" t="s">
        <v>19</v>
      </c>
      <c r="E130" s="2" t="s">
        <v>122</v>
      </c>
      <c r="F130" s="2"/>
      <c r="G130" s="2">
        <v>1.0</v>
      </c>
      <c r="H130" s="2">
        <v>0.0</v>
      </c>
      <c r="I130" s="2">
        <v>1.0</v>
      </c>
      <c r="J130" s="2">
        <v>0.0</v>
      </c>
      <c r="K130" s="2">
        <v>0.0</v>
      </c>
      <c r="L130" s="2">
        <v>0.0</v>
      </c>
      <c r="M130" s="2"/>
      <c r="N130" s="2"/>
      <c r="O130" s="2"/>
      <c r="P130" s="2" t="s">
        <v>111</v>
      </c>
    </row>
    <row r="131">
      <c r="A131" s="3" t="s">
        <v>56</v>
      </c>
      <c r="B131" s="4">
        <v>45324.29166666667</v>
      </c>
      <c r="C131" s="2" t="s">
        <v>18</v>
      </c>
      <c r="D131" s="2" t="s">
        <v>19</v>
      </c>
      <c r="E131" s="2" t="s">
        <v>123</v>
      </c>
      <c r="F131" s="2"/>
      <c r="G131" s="2">
        <v>3.0</v>
      </c>
      <c r="H131" s="2">
        <v>3.0</v>
      </c>
      <c r="I131" s="2">
        <v>0.0</v>
      </c>
      <c r="J131" s="2">
        <v>0.0</v>
      </c>
      <c r="K131" s="2">
        <v>0.0</v>
      </c>
      <c r="L131" s="2">
        <v>0.0</v>
      </c>
      <c r="M131" s="2"/>
      <c r="N131" s="2"/>
      <c r="O131" s="2"/>
      <c r="P131" s="2" t="s">
        <v>111</v>
      </c>
    </row>
    <row r="132">
      <c r="A132" s="3" t="s">
        <v>59</v>
      </c>
      <c r="B132" s="4">
        <v>45324.29166666667</v>
      </c>
      <c r="C132" s="2" t="s">
        <v>18</v>
      </c>
      <c r="D132" s="2" t="s">
        <v>109</v>
      </c>
      <c r="E132" s="2" t="s">
        <v>110</v>
      </c>
      <c r="F132" s="2"/>
      <c r="G132" s="2">
        <v>1.0</v>
      </c>
      <c r="H132" s="2">
        <v>0.0</v>
      </c>
      <c r="I132" s="2">
        <v>1.0</v>
      </c>
      <c r="J132" s="2">
        <v>0.0</v>
      </c>
      <c r="K132" s="2">
        <v>0.0</v>
      </c>
      <c r="L132" s="2">
        <v>0.0</v>
      </c>
      <c r="M132" s="2"/>
      <c r="N132" s="2"/>
      <c r="O132" s="2"/>
      <c r="P132" s="2" t="s">
        <v>111</v>
      </c>
    </row>
    <row r="133">
      <c r="A133" s="3" t="s">
        <v>60</v>
      </c>
      <c r="B133" s="4">
        <v>45324.29166666667</v>
      </c>
      <c r="C133" s="2" t="s">
        <v>18</v>
      </c>
      <c r="D133" s="2" t="s">
        <v>109</v>
      </c>
      <c r="E133" s="2" t="s">
        <v>114</v>
      </c>
      <c r="F133" s="2"/>
      <c r="G133" s="2">
        <v>7.0</v>
      </c>
      <c r="H133" s="2">
        <v>2.0</v>
      </c>
      <c r="I133" s="2">
        <v>4.0</v>
      </c>
      <c r="J133" s="2">
        <v>1.0</v>
      </c>
      <c r="K133" s="2">
        <v>0.0</v>
      </c>
      <c r="L133" s="2">
        <v>0.0</v>
      </c>
      <c r="M133" s="2"/>
      <c r="N133" s="2"/>
      <c r="O133" s="2"/>
      <c r="P133" s="2" t="s">
        <v>111</v>
      </c>
    </row>
    <row r="134">
      <c r="A134" s="3" t="s">
        <v>61</v>
      </c>
      <c r="B134" s="4">
        <v>45324.29166666667</v>
      </c>
      <c r="C134" s="2" t="s">
        <v>18</v>
      </c>
      <c r="D134" s="2" t="s">
        <v>109</v>
      </c>
      <c r="E134" s="2" t="s">
        <v>116</v>
      </c>
      <c r="F134" s="2"/>
      <c r="G134" s="2">
        <v>5.0</v>
      </c>
      <c r="H134" s="2">
        <v>1.0</v>
      </c>
      <c r="I134" s="2">
        <v>4.0</v>
      </c>
      <c r="J134" s="2">
        <v>0.0</v>
      </c>
      <c r="K134" s="2">
        <v>0.0</v>
      </c>
      <c r="L134" s="2">
        <v>0.0</v>
      </c>
      <c r="M134" s="2"/>
      <c r="N134" s="2"/>
      <c r="O134" s="2"/>
      <c r="P134" s="2" t="s">
        <v>111</v>
      </c>
    </row>
    <row r="135">
      <c r="A135" s="3" t="s">
        <v>62</v>
      </c>
      <c r="B135" s="4">
        <v>45324.29166666667</v>
      </c>
      <c r="C135" s="2" t="s">
        <v>18</v>
      </c>
      <c r="D135" s="2" t="s">
        <v>109</v>
      </c>
      <c r="E135" s="2" t="s">
        <v>125</v>
      </c>
      <c r="F135" s="2"/>
      <c r="G135" s="2">
        <v>3.0</v>
      </c>
      <c r="H135" s="2">
        <v>1.0</v>
      </c>
      <c r="I135" s="2">
        <v>2.0</v>
      </c>
      <c r="J135" s="2">
        <v>0.0</v>
      </c>
      <c r="K135" s="2">
        <v>0.0</v>
      </c>
      <c r="L135" s="2">
        <v>0.0</v>
      </c>
      <c r="M135" s="2"/>
      <c r="N135" s="2"/>
      <c r="O135" s="2"/>
      <c r="P135" s="2" t="s">
        <v>111</v>
      </c>
    </row>
    <row r="136">
      <c r="A136" s="3" t="s">
        <v>63</v>
      </c>
      <c r="B136" s="4">
        <v>45324.29166666667</v>
      </c>
      <c r="C136" s="2" t="s">
        <v>18</v>
      </c>
      <c r="D136" s="2" t="s">
        <v>109</v>
      </c>
      <c r="E136" s="2" t="s">
        <v>118</v>
      </c>
      <c r="F136" s="2"/>
      <c r="G136" s="2">
        <v>0.0</v>
      </c>
      <c r="H136" s="2">
        <v>0.0</v>
      </c>
      <c r="I136" s="2">
        <v>0.0</v>
      </c>
      <c r="J136" s="2">
        <v>0.0</v>
      </c>
      <c r="K136" s="2">
        <v>0.0</v>
      </c>
      <c r="L136" s="2">
        <v>0.0</v>
      </c>
      <c r="M136" s="2"/>
      <c r="N136" s="2"/>
      <c r="O136" s="2"/>
      <c r="P136" s="2" t="s">
        <v>111</v>
      </c>
    </row>
    <row r="137">
      <c r="A137" s="3" t="s">
        <v>64</v>
      </c>
      <c r="B137" s="4">
        <v>45324.29166666667</v>
      </c>
      <c r="C137" s="2" t="s">
        <v>18</v>
      </c>
      <c r="D137" s="2" t="s">
        <v>109</v>
      </c>
      <c r="E137" s="2" t="s">
        <v>120</v>
      </c>
      <c r="F137" s="2"/>
      <c r="G137" s="2">
        <v>9.0</v>
      </c>
      <c r="H137" s="2">
        <v>6.0</v>
      </c>
      <c r="I137" s="2">
        <v>3.0</v>
      </c>
      <c r="J137" s="2">
        <v>0.0</v>
      </c>
      <c r="K137" s="2">
        <v>0.0</v>
      </c>
      <c r="L137" s="2">
        <v>0.0</v>
      </c>
      <c r="M137" s="2"/>
      <c r="N137" s="2"/>
      <c r="O137" s="2"/>
      <c r="P137" s="2" t="s">
        <v>111</v>
      </c>
    </row>
    <row r="138">
      <c r="A138" s="3" t="s">
        <v>65</v>
      </c>
      <c r="B138" s="4">
        <v>45324.29166666667</v>
      </c>
      <c r="C138" s="2" t="s">
        <v>18</v>
      </c>
      <c r="D138" s="2" t="s">
        <v>109</v>
      </c>
      <c r="E138" s="2" t="s">
        <v>122</v>
      </c>
      <c r="F138" s="2"/>
      <c r="G138" s="2">
        <v>1.0</v>
      </c>
      <c r="H138" s="2">
        <v>1.0</v>
      </c>
      <c r="I138" s="2">
        <v>0.0</v>
      </c>
      <c r="J138" s="2">
        <v>0.0</v>
      </c>
      <c r="K138" s="2">
        <v>0.0</v>
      </c>
      <c r="L138" s="2">
        <v>0.0</v>
      </c>
      <c r="M138" s="2"/>
      <c r="N138" s="2"/>
      <c r="O138" s="2"/>
      <c r="P138" s="2" t="s">
        <v>111</v>
      </c>
    </row>
    <row r="139">
      <c r="A139" s="3" t="s">
        <v>66</v>
      </c>
      <c r="B139" s="4">
        <v>45324.29166666667</v>
      </c>
      <c r="C139" s="2" t="s">
        <v>18</v>
      </c>
      <c r="D139" s="2" t="s">
        <v>109</v>
      </c>
      <c r="E139" s="2" t="s">
        <v>123</v>
      </c>
      <c r="F139" s="2"/>
      <c r="G139" s="2">
        <v>1.0</v>
      </c>
      <c r="H139" s="2">
        <v>1.0</v>
      </c>
      <c r="I139" s="2">
        <v>0.0</v>
      </c>
      <c r="J139" s="2">
        <v>0.0</v>
      </c>
      <c r="K139" s="2">
        <v>0.0</v>
      </c>
      <c r="L139" s="2">
        <v>0.0</v>
      </c>
      <c r="M139" s="2"/>
      <c r="N139" s="2"/>
      <c r="O139" s="2"/>
      <c r="P139" s="2" t="s">
        <v>111</v>
      </c>
    </row>
    <row r="140">
      <c r="A140" s="3" t="s">
        <v>68</v>
      </c>
      <c r="B140" s="4">
        <v>45325.29166666667</v>
      </c>
      <c r="C140" s="2" t="s">
        <v>18</v>
      </c>
      <c r="D140" s="2" t="s">
        <v>127</v>
      </c>
      <c r="E140" s="2" t="s">
        <v>110</v>
      </c>
      <c r="F140" s="2"/>
      <c r="G140" s="2">
        <v>8.0</v>
      </c>
      <c r="H140" s="2">
        <v>5.0</v>
      </c>
      <c r="I140" s="2">
        <v>3.0</v>
      </c>
      <c r="J140" s="2">
        <v>0.0</v>
      </c>
      <c r="K140" s="2">
        <v>0.0</v>
      </c>
      <c r="L140" s="2">
        <v>0.0</v>
      </c>
      <c r="M140" s="2"/>
      <c r="N140" s="2"/>
      <c r="O140" s="2"/>
      <c r="P140" s="2" t="s">
        <v>111</v>
      </c>
    </row>
    <row r="141">
      <c r="A141" s="3" t="s">
        <v>70</v>
      </c>
      <c r="B141" s="4">
        <v>45326.29166666667</v>
      </c>
      <c r="C141" s="2" t="s">
        <v>18</v>
      </c>
      <c r="D141" s="2" t="s">
        <v>127</v>
      </c>
      <c r="E141" s="2" t="s">
        <v>114</v>
      </c>
      <c r="F141" s="2"/>
      <c r="G141" s="2">
        <v>16.0</v>
      </c>
      <c r="H141" s="2">
        <v>13.0</v>
      </c>
      <c r="I141" s="2">
        <v>2.0</v>
      </c>
      <c r="J141" s="2">
        <v>1.0</v>
      </c>
      <c r="K141" s="2">
        <v>0.0</v>
      </c>
      <c r="L141" s="2">
        <v>0.0</v>
      </c>
      <c r="M141" s="2"/>
      <c r="N141" s="2"/>
      <c r="O141" s="2"/>
      <c r="P141" s="2" t="s">
        <v>111</v>
      </c>
    </row>
    <row r="142">
      <c r="A142" s="3" t="s">
        <v>16</v>
      </c>
      <c r="B142" s="4">
        <v>45327.29166666667</v>
      </c>
      <c r="C142" s="2" t="s">
        <v>18</v>
      </c>
      <c r="D142" s="2" t="s">
        <v>127</v>
      </c>
      <c r="E142" s="2" t="s">
        <v>116</v>
      </c>
      <c r="F142" s="2"/>
      <c r="G142" s="2">
        <v>1.0</v>
      </c>
      <c r="H142" s="2">
        <v>1.0</v>
      </c>
      <c r="I142" s="2">
        <v>0.0</v>
      </c>
      <c r="J142" s="2">
        <v>0.0</v>
      </c>
      <c r="K142" s="2">
        <v>0.0</v>
      </c>
      <c r="L142" s="2">
        <v>0.0</v>
      </c>
      <c r="M142" s="2"/>
      <c r="N142" s="2"/>
      <c r="O142" s="2"/>
      <c r="P142" s="2" t="s">
        <v>111</v>
      </c>
    </row>
    <row r="143">
      <c r="A143" s="3" t="s">
        <v>71</v>
      </c>
      <c r="B143" s="4">
        <v>45328.29166666667</v>
      </c>
      <c r="C143" s="2" t="s">
        <v>18</v>
      </c>
      <c r="D143" s="2" t="s">
        <v>127</v>
      </c>
      <c r="E143" s="2" t="s">
        <v>118</v>
      </c>
      <c r="F143" s="2"/>
      <c r="G143" s="2">
        <v>1.0</v>
      </c>
      <c r="H143" s="2">
        <v>0.0</v>
      </c>
      <c r="I143" s="2">
        <v>1.0</v>
      </c>
      <c r="J143" s="2">
        <v>0.0</v>
      </c>
      <c r="K143" s="2">
        <v>0.0</v>
      </c>
      <c r="L143" s="2">
        <v>0.0</v>
      </c>
      <c r="M143" s="2"/>
      <c r="N143" s="2"/>
      <c r="O143" s="2"/>
      <c r="P143" s="2" t="s">
        <v>111</v>
      </c>
    </row>
    <row r="144">
      <c r="A144" s="3" t="s">
        <v>72</v>
      </c>
      <c r="B144" s="4">
        <v>45329.29166666667</v>
      </c>
      <c r="C144" s="2" t="s">
        <v>18</v>
      </c>
      <c r="D144" s="2" t="s">
        <v>127</v>
      </c>
      <c r="E144" s="2" t="s">
        <v>120</v>
      </c>
      <c r="F144" s="2"/>
      <c r="G144" s="2">
        <v>9.0</v>
      </c>
      <c r="H144" s="2">
        <v>4.0</v>
      </c>
      <c r="I144" s="2">
        <v>5.0</v>
      </c>
      <c r="J144" s="2">
        <v>0.0</v>
      </c>
      <c r="K144" s="2">
        <v>0.0</v>
      </c>
      <c r="L144" s="2">
        <v>0.0</v>
      </c>
      <c r="M144" s="2"/>
      <c r="N144" s="2"/>
      <c r="O144" s="2"/>
      <c r="P144" s="2" t="s">
        <v>111</v>
      </c>
    </row>
    <row r="145">
      <c r="A145" s="3" t="s">
        <v>73</v>
      </c>
      <c r="B145" s="4">
        <v>45330.29166666667</v>
      </c>
      <c r="C145" s="2" t="s">
        <v>18</v>
      </c>
      <c r="D145" s="2" t="s">
        <v>127</v>
      </c>
      <c r="E145" s="2" t="s">
        <v>122</v>
      </c>
      <c r="F145" s="2"/>
      <c r="G145" s="2">
        <v>1.0</v>
      </c>
      <c r="H145" s="2">
        <v>1.0</v>
      </c>
      <c r="I145" s="2">
        <v>0.0</v>
      </c>
      <c r="J145" s="2">
        <v>0.0</v>
      </c>
      <c r="K145" s="2">
        <v>0.0</v>
      </c>
      <c r="L145" s="2">
        <v>0.0</v>
      </c>
      <c r="M145" s="2"/>
      <c r="N145" s="2"/>
      <c r="O145" s="2"/>
      <c r="P145" s="2" t="s">
        <v>111</v>
      </c>
    </row>
    <row r="146">
      <c r="A146" s="3" t="s">
        <v>74</v>
      </c>
      <c r="B146" s="4">
        <v>45331.29166666667</v>
      </c>
      <c r="C146" s="2" t="s">
        <v>18</v>
      </c>
      <c r="D146" s="2" t="s">
        <v>127</v>
      </c>
      <c r="E146" s="2" t="s">
        <v>123</v>
      </c>
      <c r="F146" s="2"/>
      <c r="G146" s="2">
        <v>7.0</v>
      </c>
      <c r="H146" s="2">
        <v>2.0</v>
      </c>
      <c r="I146" s="2">
        <v>5.0</v>
      </c>
      <c r="J146" s="2">
        <v>0.0</v>
      </c>
      <c r="K146" s="2">
        <v>0.0</v>
      </c>
      <c r="L146" s="2">
        <v>0.0</v>
      </c>
      <c r="M146" s="2"/>
      <c r="N146" s="2"/>
      <c r="O146" s="2"/>
      <c r="P146" s="2" t="s">
        <v>111</v>
      </c>
    </row>
    <row r="147">
      <c r="A147" s="3" t="s">
        <v>75</v>
      </c>
      <c r="B147" s="4">
        <v>45332.29166666667</v>
      </c>
      <c r="C147" s="2" t="s">
        <v>18</v>
      </c>
      <c r="D147" s="2" t="s">
        <v>127</v>
      </c>
      <c r="E147" s="2" t="s">
        <v>125</v>
      </c>
      <c r="F147" s="2"/>
      <c r="G147" s="2">
        <v>0.0</v>
      </c>
      <c r="H147" s="2">
        <v>0.0</v>
      </c>
      <c r="I147" s="2">
        <v>0.0</v>
      </c>
      <c r="J147" s="2">
        <v>0.0</v>
      </c>
      <c r="K147" s="2">
        <v>0.0</v>
      </c>
      <c r="L147" s="2">
        <v>0.0</v>
      </c>
      <c r="M147" s="2"/>
      <c r="N147" s="2"/>
      <c r="O147" s="2"/>
      <c r="P147" s="2" t="s">
        <v>111</v>
      </c>
    </row>
    <row r="148">
      <c r="A148" s="3" t="s">
        <v>76</v>
      </c>
      <c r="B148" s="4">
        <v>45352.29166666667</v>
      </c>
      <c r="C148" s="2" t="s">
        <v>18</v>
      </c>
      <c r="D148" s="2" t="s">
        <v>19</v>
      </c>
      <c r="E148" s="2" t="s">
        <v>110</v>
      </c>
      <c r="F148" s="2"/>
      <c r="G148" s="2">
        <v>2.0</v>
      </c>
      <c r="H148" s="2">
        <v>0.0</v>
      </c>
      <c r="I148" s="2">
        <v>0.0</v>
      </c>
      <c r="J148" s="2">
        <v>0.0</v>
      </c>
      <c r="K148" s="2">
        <v>2.0</v>
      </c>
      <c r="L148" s="2">
        <v>0.0</v>
      </c>
      <c r="M148" s="2"/>
      <c r="N148" s="2"/>
      <c r="O148" s="2"/>
      <c r="P148" s="2" t="s">
        <v>111</v>
      </c>
    </row>
    <row r="149">
      <c r="A149" s="3" t="s">
        <v>77</v>
      </c>
      <c r="B149" s="4">
        <v>45352.29166666667</v>
      </c>
      <c r="C149" s="2" t="s">
        <v>18</v>
      </c>
      <c r="D149" s="2" t="s">
        <v>19</v>
      </c>
      <c r="E149" s="2" t="s">
        <v>114</v>
      </c>
      <c r="F149" s="2"/>
      <c r="G149" s="2">
        <v>0.0</v>
      </c>
      <c r="H149" s="2">
        <v>0.0</v>
      </c>
      <c r="I149" s="2">
        <v>0.0</v>
      </c>
      <c r="J149" s="2">
        <v>0.0</v>
      </c>
      <c r="K149" s="2">
        <v>0.0</v>
      </c>
      <c r="L149" s="2">
        <v>0.0</v>
      </c>
      <c r="M149" s="2"/>
      <c r="N149" s="2"/>
      <c r="O149" s="2"/>
      <c r="P149" s="2" t="s">
        <v>111</v>
      </c>
    </row>
    <row r="150">
      <c r="A150" s="3" t="s">
        <v>78</v>
      </c>
      <c r="B150" s="4">
        <v>45352.29166666667</v>
      </c>
      <c r="C150" s="2" t="s">
        <v>18</v>
      </c>
      <c r="D150" s="2" t="s">
        <v>19</v>
      </c>
      <c r="E150" s="2" t="s">
        <v>116</v>
      </c>
      <c r="F150" s="2"/>
      <c r="G150" s="2">
        <v>0.0</v>
      </c>
      <c r="H150" s="2">
        <v>0.0</v>
      </c>
      <c r="I150" s="2">
        <v>0.0</v>
      </c>
      <c r="J150" s="2">
        <v>0.0</v>
      </c>
      <c r="K150" s="2">
        <v>0.0</v>
      </c>
      <c r="L150" s="2">
        <v>0.0</v>
      </c>
      <c r="M150" s="2"/>
      <c r="N150" s="2"/>
      <c r="O150" s="2"/>
      <c r="P150" s="2" t="s">
        <v>111</v>
      </c>
    </row>
    <row r="151">
      <c r="A151" s="3" t="s">
        <v>81</v>
      </c>
      <c r="B151" s="4">
        <v>45352.29166666667</v>
      </c>
      <c r="C151" s="2" t="s">
        <v>18</v>
      </c>
      <c r="D151" s="2" t="s">
        <v>19</v>
      </c>
      <c r="E151" s="2" t="s">
        <v>125</v>
      </c>
      <c r="F151" s="2"/>
      <c r="G151" s="2">
        <v>0.0</v>
      </c>
      <c r="H151" s="2">
        <v>0.0</v>
      </c>
      <c r="I151" s="2">
        <v>0.0</v>
      </c>
      <c r="J151" s="2">
        <v>0.0</v>
      </c>
      <c r="K151" s="2">
        <v>0.0</v>
      </c>
      <c r="L151" s="2">
        <v>0.0</v>
      </c>
      <c r="M151" s="2"/>
      <c r="N151" s="2"/>
      <c r="O151" s="2"/>
      <c r="P151" s="2" t="s">
        <v>111</v>
      </c>
    </row>
    <row r="152">
      <c r="A152" s="3" t="s">
        <v>82</v>
      </c>
      <c r="B152" s="4">
        <v>45352.29166666667</v>
      </c>
      <c r="C152" s="2" t="s">
        <v>18</v>
      </c>
      <c r="D152" s="2" t="s">
        <v>19</v>
      </c>
      <c r="E152" s="2" t="s">
        <v>118</v>
      </c>
      <c r="F152" s="2"/>
      <c r="G152" s="2">
        <v>2.0</v>
      </c>
      <c r="H152" s="2">
        <v>0.0</v>
      </c>
      <c r="I152" s="2">
        <v>0.0</v>
      </c>
      <c r="J152" s="2">
        <v>0.0</v>
      </c>
      <c r="K152" s="2">
        <v>2.0</v>
      </c>
      <c r="L152" s="2">
        <v>0.0</v>
      </c>
      <c r="M152" s="2"/>
      <c r="N152" s="2"/>
      <c r="O152" s="2"/>
      <c r="P152" s="2" t="s">
        <v>111</v>
      </c>
    </row>
    <row r="153">
      <c r="A153" s="3" t="s">
        <v>83</v>
      </c>
      <c r="B153" s="4">
        <v>45352.29166666667</v>
      </c>
      <c r="C153" s="2" t="s">
        <v>18</v>
      </c>
      <c r="D153" s="2" t="s">
        <v>19</v>
      </c>
      <c r="E153" s="2" t="s">
        <v>120</v>
      </c>
      <c r="F153" s="2"/>
      <c r="G153" s="2">
        <v>3.0</v>
      </c>
      <c r="H153" s="2">
        <v>0.0</v>
      </c>
      <c r="I153" s="2">
        <v>0.0</v>
      </c>
      <c r="J153" s="2">
        <v>0.0</v>
      </c>
      <c r="K153" s="2">
        <v>3.0</v>
      </c>
      <c r="L153" s="2">
        <v>0.0</v>
      </c>
      <c r="M153" s="2"/>
      <c r="N153" s="2"/>
      <c r="O153" s="2"/>
      <c r="P153" s="2" t="s">
        <v>111</v>
      </c>
    </row>
    <row r="154">
      <c r="A154" s="3" t="s">
        <v>84</v>
      </c>
      <c r="B154" s="4">
        <v>45352.29166666667</v>
      </c>
      <c r="C154" s="2" t="s">
        <v>18</v>
      </c>
      <c r="D154" s="2" t="s">
        <v>19</v>
      </c>
      <c r="E154" s="2" t="s">
        <v>122</v>
      </c>
      <c r="F154" s="2"/>
      <c r="G154" s="2">
        <v>0.0</v>
      </c>
      <c r="H154" s="2">
        <v>0.0</v>
      </c>
      <c r="I154" s="2">
        <v>0.0</v>
      </c>
      <c r="J154" s="2">
        <v>0.0</v>
      </c>
      <c r="K154" s="2">
        <v>0.0</v>
      </c>
      <c r="L154" s="2">
        <v>0.0</v>
      </c>
      <c r="M154" s="2"/>
      <c r="N154" s="2"/>
      <c r="O154" s="2"/>
      <c r="P154" s="2" t="s">
        <v>111</v>
      </c>
    </row>
    <row r="155">
      <c r="A155" s="3" t="s">
        <v>85</v>
      </c>
      <c r="B155" s="4">
        <v>45352.29166666667</v>
      </c>
      <c r="C155" s="2" t="s">
        <v>18</v>
      </c>
      <c r="D155" s="2" t="s">
        <v>19</v>
      </c>
      <c r="E155" s="2" t="s">
        <v>123</v>
      </c>
      <c r="F155" s="2"/>
      <c r="G155" s="2">
        <v>2.0</v>
      </c>
      <c r="H155" s="2">
        <v>0.0</v>
      </c>
      <c r="I155" s="2">
        <v>0.0</v>
      </c>
      <c r="J155" s="2">
        <v>0.0</v>
      </c>
      <c r="K155" s="2">
        <v>2.0</v>
      </c>
      <c r="L155" s="2">
        <v>0.0</v>
      </c>
      <c r="M155" s="2"/>
      <c r="N155" s="2"/>
      <c r="O155" s="2"/>
      <c r="P155" s="2" t="s">
        <v>111</v>
      </c>
    </row>
    <row r="156">
      <c r="A156" s="3" t="s">
        <v>86</v>
      </c>
      <c r="B156" s="4">
        <v>45352.29166666667</v>
      </c>
      <c r="C156" s="2" t="s">
        <v>18</v>
      </c>
      <c r="D156" s="2" t="s">
        <v>109</v>
      </c>
      <c r="E156" s="2" t="s">
        <v>110</v>
      </c>
      <c r="F156" s="2"/>
      <c r="G156" s="2">
        <v>0.0</v>
      </c>
      <c r="H156" s="2">
        <v>0.0</v>
      </c>
      <c r="I156" s="2">
        <v>0.0</v>
      </c>
      <c r="J156" s="2">
        <v>0.0</v>
      </c>
      <c r="K156" s="2">
        <v>0.0</v>
      </c>
      <c r="L156" s="2">
        <v>0.0</v>
      </c>
      <c r="M156" s="2"/>
      <c r="N156" s="2"/>
      <c r="O156" s="2"/>
      <c r="P156" s="2" t="s">
        <v>111</v>
      </c>
    </row>
    <row r="157">
      <c r="A157" s="3" t="s">
        <v>87</v>
      </c>
      <c r="B157" s="4">
        <v>45352.29166666667</v>
      </c>
      <c r="C157" s="2" t="s">
        <v>18</v>
      </c>
      <c r="D157" s="2" t="s">
        <v>109</v>
      </c>
      <c r="E157" s="2" t="s">
        <v>114</v>
      </c>
      <c r="F157" s="2"/>
      <c r="G157" s="2">
        <v>0.0</v>
      </c>
      <c r="H157" s="2">
        <v>0.0</v>
      </c>
      <c r="I157" s="2">
        <v>0.0</v>
      </c>
      <c r="J157" s="2">
        <v>0.0</v>
      </c>
      <c r="K157" s="2">
        <v>0.0</v>
      </c>
      <c r="L157" s="2">
        <v>0.0</v>
      </c>
      <c r="M157" s="2"/>
      <c r="N157" s="2"/>
      <c r="O157" s="2"/>
      <c r="P157" s="2" t="s">
        <v>111</v>
      </c>
    </row>
    <row r="158">
      <c r="A158" s="3" t="s">
        <v>88</v>
      </c>
      <c r="B158" s="4">
        <v>45352.29166666667</v>
      </c>
      <c r="C158" s="2" t="s">
        <v>18</v>
      </c>
      <c r="D158" s="2" t="s">
        <v>109</v>
      </c>
      <c r="E158" s="2" t="s">
        <v>116</v>
      </c>
      <c r="F158" s="2"/>
      <c r="G158" s="2">
        <v>0.0</v>
      </c>
      <c r="H158" s="2">
        <v>0.0</v>
      </c>
      <c r="I158" s="2">
        <v>0.0</v>
      </c>
      <c r="J158" s="2">
        <v>0.0</v>
      </c>
      <c r="K158" s="2">
        <v>0.0</v>
      </c>
      <c r="L158" s="2">
        <v>0.0</v>
      </c>
      <c r="M158" s="2"/>
      <c r="N158" s="2"/>
      <c r="O158" s="2"/>
      <c r="P158" s="2" t="s">
        <v>111</v>
      </c>
    </row>
    <row r="159">
      <c r="A159" s="3" t="s">
        <v>89</v>
      </c>
      <c r="B159" s="4">
        <v>45352.29166666667</v>
      </c>
      <c r="C159" s="2" t="s">
        <v>18</v>
      </c>
      <c r="D159" s="2" t="s">
        <v>109</v>
      </c>
      <c r="E159" s="2" t="s">
        <v>125</v>
      </c>
      <c r="F159" s="2"/>
      <c r="G159" s="2">
        <v>0.0</v>
      </c>
      <c r="H159" s="2">
        <v>0.0</v>
      </c>
      <c r="I159" s="2">
        <v>0.0</v>
      </c>
      <c r="J159" s="2">
        <v>0.0</v>
      </c>
      <c r="K159" s="2">
        <v>0.0</v>
      </c>
      <c r="L159" s="2">
        <v>0.0</v>
      </c>
      <c r="M159" s="2"/>
      <c r="N159" s="2"/>
      <c r="O159" s="2"/>
      <c r="P159" s="2" t="s">
        <v>111</v>
      </c>
    </row>
    <row r="160">
      <c r="A160" s="3" t="s">
        <v>90</v>
      </c>
      <c r="B160" s="4">
        <v>45352.29166666667</v>
      </c>
      <c r="C160" s="2" t="s">
        <v>18</v>
      </c>
      <c r="D160" s="2" t="s">
        <v>109</v>
      </c>
      <c r="E160" s="2" t="s">
        <v>118</v>
      </c>
      <c r="F160" s="2"/>
      <c r="G160" s="2">
        <v>0.0</v>
      </c>
      <c r="H160" s="2">
        <v>0.0</v>
      </c>
      <c r="I160" s="2">
        <v>0.0</v>
      </c>
      <c r="J160" s="2">
        <v>0.0</v>
      </c>
      <c r="K160" s="2">
        <v>0.0</v>
      </c>
      <c r="L160" s="2">
        <v>0.0</v>
      </c>
      <c r="M160" s="2"/>
      <c r="N160" s="2"/>
      <c r="O160" s="2"/>
      <c r="P160" s="2" t="s">
        <v>111</v>
      </c>
    </row>
    <row r="161">
      <c r="A161" s="3" t="s">
        <v>93</v>
      </c>
      <c r="B161" s="4">
        <v>45352.29166666667</v>
      </c>
      <c r="C161" s="2" t="s">
        <v>18</v>
      </c>
      <c r="D161" s="2" t="s">
        <v>109</v>
      </c>
      <c r="E161" s="2" t="s">
        <v>120</v>
      </c>
      <c r="F161" s="2"/>
      <c r="G161" s="2">
        <v>6.0</v>
      </c>
      <c r="H161" s="2">
        <v>0.0</v>
      </c>
      <c r="I161" s="2">
        <v>0.0</v>
      </c>
      <c r="J161" s="2">
        <v>0.0</v>
      </c>
      <c r="K161" s="2">
        <v>6.0</v>
      </c>
      <c r="L161" s="2">
        <v>6.0</v>
      </c>
      <c r="M161" s="2"/>
      <c r="N161" s="2"/>
      <c r="O161" s="2"/>
      <c r="P161" s="2" t="s">
        <v>111</v>
      </c>
    </row>
    <row r="162">
      <c r="A162" s="3" t="s">
        <v>16</v>
      </c>
      <c r="B162" s="4">
        <v>45352.29166666667</v>
      </c>
      <c r="C162" s="2" t="s">
        <v>18</v>
      </c>
      <c r="D162" s="2" t="s">
        <v>109</v>
      </c>
      <c r="E162" s="2" t="s">
        <v>122</v>
      </c>
      <c r="F162" s="2"/>
      <c r="G162" s="2">
        <v>0.0</v>
      </c>
      <c r="H162" s="2">
        <v>0.0</v>
      </c>
      <c r="I162" s="2">
        <v>0.0</v>
      </c>
      <c r="J162" s="2">
        <v>0.0</v>
      </c>
      <c r="K162" s="2">
        <v>0.0</v>
      </c>
      <c r="L162" s="2">
        <v>0.0</v>
      </c>
      <c r="M162" s="2"/>
      <c r="N162" s="2"/>
      <c r="O162" s="2"/>
      <c r="P162" s="2" t="s">
        <v>111</v>
      </c>
    </row>
    <row r="163">
      <c r="A163" s="3" t="s">
        <v>94</v>
      </c>
      <c r="B163" s="4">
        <v>45352.29166666667</v>
      </c>
      <c r="C163" s="2" t="s">
        <v>18</v>
      </c>
      <c r="D163" s="2" t="s">
        <v>109</v>
      </c>
      <c r="E163" s="2" t="s">
        <v>123</v>
      </c>
      <c r="F163" s="2"/>
      <c r="G163" s="2">
        <v>0.0</v>
      </c>
      <c r="H163" s="2">
        <v>0.0</v>
      </c>
      <c r="I163" s="2">
        <v>0.0</v>
      </c>
      <c r="J163" s="2">
        <v>0.0</v>
      </c>
      <c r="K163" s="2">
        <v>0.0</v>
      </c>
      <c r="L163" s="2">
        <v>0.0</v>
      </c>
      <c r="M163" s="2"/>
      <c r="N163" s="2"/>
      <c r="O163" s="2"/>
      <c r="P163" s="2" t="s">
        <v>111</v>
      </c>
    </row>
    <row r="164">
      <c r="A164" s="3" t="s">
        <v>95</v>
      </c>
      <c r="B164" s="4">
        <v>45353.29166666667</v>
      </c>
      <c r="C164" s="2" t="s">
        <v>18</v>
      </c>
      <c r="D164" s="2" t="s">
        <v>127</v>
      </c>
      <c r="E164" s="2" t="s">
        <v>110</v>
      </c>
      <c r="F164" s="2"/>
      <c r="G164" s="2">
        <v>0.0</v>
      </c>
      <c r="H164" s="2">
        <v>0.0</v>
      </c>
      <c r="I164" s="2">
        <v>0.0</v>
      </c>
      <c r="J164" s="2">
        <v>0.0</v>
      </c>
      <c r="K164" s="2">
        <v>0.0</v>
      </c>
      <c r="L164" s="2">
        <v>0.0</v>
      </c>
      <c r="M164" s="2"/>
      <c r="N164" s="2"/>
      <c r="O164" s="2"/>
      <c r="P164" s="2" t="s">
        <v>111</v>
      </c>
    </row>
    <row r="165">
      <c r="A165" s="3" t="s">
        <v>97</v>
      </c>
      <c r="B165" s="4">
        <v>45354.29166666667</v>
      </c>
      <c r="C165" s="2" t="s">
        <v>18</v>
      </c>
      <c r="D165" s="2" t="s">
        <v>127</v>
      </c>
      <c r="E165" s="2" t="s">
        <v>114</v>
      </c>
      <c r="F165" s="2"/>
      <c r="G165" s="2">
        <v>0.0</v>
      </c>
      <c r="H165" s="2">
        <v>0.0</v>
      </c>
      <c r="I165" s="2">
        <v>0.0</v>
      </c>
      <c r="J165" s="2">
        <v>0.0</v>
      </c>
      <c r="K165" s="2">
        <v>0.0</v>
      </c>
      <c r="L165" s="2">
        <v>0.0</v>
      </c>
      <c r="M165" s="2"/>
      <c r="N165" s="2"/>
      <c r="O165" s="2"/>
      <c r="P165" s="2" t="s">
        <v>111</v>
      </c>
    </row>
    <row r="166">
      <c r="A166" s="3" t="s">
        <v>98</v>
      </c>
      <c r="B166" s="4">
        <v>45355.29166666667</v>
      </c>
      <c r="C166" s="2" t="s">
        <v>18</v>
      </c>
      <c r="D166" s="2" t="s">
        <v>127</v>
      </c>
      <c r="E166" s="2" t="s">
        <v>116</v>
      </c>
      <c r="F166" s="2"/>
      <c r="G166" s="2">
        <v>0.0</v>
      </c>
      <c r="H166" s="2">
        <v>0.0</v>
      </c>
      <c r="I166" s="2">
        <v>0.0</v>
      </c>
      <c r="J166" s="2">
        <v>0.0</v>
      </c>
      <c r="K166" s="2">
        <v>0.0</v>
      </c>
      <c r="L166" s="2">
        <v>0.0</v>
      </c>
      <c r="M166" s="2"/>
      <c r="N166" s="2"/>
      <c r="O166" s="2"/>
      <c r="P166" s="2" t="s">
        <v>111</v>
      </c>
    </row>
    <row r="167">
      <c r="A167" s="3" t="s">
        <v>99</v>
      </c>
      <c r="B167" s="4">
        <v>45356.29166666667</v>
      </c>
      <c r="C167" s="2" t="s">
        <v>18</v>
      </c>
      <c r="D167" s="2" t="s">
        <v>127</v>
      </c>
      <c r="E167" s="2" t="s">
        <v>118</v>
      </c>
      <c r="F167" s="2"/>
      <c r="G167" s="2">
        <v>0.0</v>
      </c>
      <c r="H167" s="2">
        <v>0.0</v>
      </c>
      <c r="I167" s="2">
        <v>0.0</v>
      </c>
      <c r="J167" s="2">
        <v>0.0</v>
      </c>
      <c r="K167" s="2">
        <v>0.0</v>
      </c>
      <c r="L167" s="2">
        <v>0.0</v>
      </c>
      <c r="M167" s="2"/>
      <c r="N167" s="2"/>
      <c r="O167" s="2"/>
      <c r="P167" s="2" t="s">
        <v>111</v>
      </c>
    </row>
    <row r="168">
      <c r="A168" s="3" t="s">
        <v>100</v>
      </c>
      <c r="B168" s="4">
        <v>45357.29166666667</v>
      </c>
      <c r="C168" s="2" t="s">
        <v>18</v>
      </c>
      <c r="D168" s="2" t="s">
        <v>127</v>
      </c>
      <c r="E168" s="2" t="s">
        <v>120</v>
      </c>
      <c r="F168" s="2"/>
      <c r="G168" s="2">
        <v>0.0</v>
      </c>
      <c r="H168" s="2">
        <v>0.0</v>
      </c>
      <c r="I168" s="2">
        <v>0.0</v>
      </c>
      <c r="J168" s="2">
        <v>0.0</v>
      </c>
      <c r="K168" s="2">
        <v>0.0</v>
      </c>
      <c r="L168" s="2">
        <v>0.0</v>
      </c>
      <c r="M168" s="2"/>
      <c r="N168" s="2"/>
      <c r="O168" s="2"/>
      <c r="P168" s="2" t="s">
        <v>111</v>
      </c>
    </row>
    <row r="169">
      <c r="A169" s="3" t="s">
        <v>101</v>
      </c>
      <c r="B169" s="4">
        <v>45358.29166666667</v>
      </c>
      <c r="C169" s="2" t="s">
        <v>18</v>
      </c>
      <c r="D169" s="2" t="s">
        <v>127</v>
      </c>
      <c r="E169" s="2" t="s">
        <v>122</v>
      </c>
      <c r="F169" s="2"/>
      <c r="G169" s="2">
        <v>0.0</v>
      </c>
      <c r="H169" s="2">
        <v>0.0</v>
      </c>
      <c r="I169" s="2">
        <v>0.0</v>
      </c>
      <c r="J169" s="2">
        <v>0.0</v>
      </c>
      <c r="K169" s="2">
        <v>0.0</v>
      </c>
      <c r="L169" s="2">
        <v>0.0</v>
      </c>
      <c r="M169" s="2"/>
      <c r="N169" s="2"/>
      <c r="O169" s="2"/>
      <c r="P169" s="2" t="s">
        <v>111</v>
      </c>
    </row>
    <row r="170">
      <c r="A170" s="3" t="s">
        <v>102</v>
      </c>
      <c r="B170" s="4">
        <v>45359.29166666667</v>
      </c>
      <c r="C170" s="2" t="s">
        <v>18</v>
      </c>
      <c r="D170" s="2" t="s">
        <v>127</v>
      </c>
      <c r="E170" s="2" t="s">
        <v>123</v>
      </c>
      <c r="F170" s="2"/>
      <c r="G170" s="2">
        <v>0.0</v>
      </c>
      <c r="H170" s="2">
        <v>0.0</v>
      </c>
      <c r="I170" s="2">
        <v>0.0</v>
      </c>
      <c r="J170" s="2">
        <v>0.0</v>
      </c>
      <c r="K170" s="2">
        <v>0.0</v>
      </c>
      <c r="L170" s="2">
        <v>0.0</v>
      </c>
      <c r="M170" s="2"/>
      <c r="N170" s="2"/>
      <c r="O170" s="2"/>
      <c r="P170" s="2" t="s">
        <v>111</v>
      </c>
    </row>
    <row r="171">
      <c r="A171" s="3" t="s">
        <v>103</v>
      </c>
      <c r="B171" s="4">
        <v>45360.29166666667</v>
      </c>
      <c r="C171" s="2" t="s">
        <v>18</v>
      </c>
      <c r="D171" s="2" t="s">
        <v>127</v>
      </c>
      <c r="E171" s="2" t="s">
        <v>125</v>
      </c>
      <c r="F171" s="2"/>
      <c r="G171" s="2">
        <v>0.0</v>
      </c>
      <c r="H171" s="2">
        <v>0.0</v>
      </c>
      <c r="I171" s="2">
        <v>0.0</v>
      </c>
      <c r="J171" s="2">
        <v>0.0</v>
      </c>
      <c r="K171" s="2">
        <v>0.0</v>
      </c>
      <c r="L171" s="2">
        <v>0.0</v>
      </c>
      <c r="M171" s="2"/>
      <c r="N171" s="2"/>
      <c r="O171" s="2"/>
      <c r="P171" s="2" t="s">
        <v>111</v>
      </c>
    </row>
    <row r="172">
      <c r="A172" s="3" t="s">
        <v>104</v>
      </c>
      <c r="B172" s="2" t="s">
        <v>17</v>
      </c>
      <c r="C172" s="2" t="s">
        <v>18</v>
      </c>
      <c r="D172" s="2" t="s">
        <v>91</v>
      </c>
      <c r="E172" s="2" t="s">
        <v>27</v>
      </c>
      <c r="F172" s="2">
        <v>26.0</v>
      </c>
      <c r="G172" s="2">
        <v>8.0</v>
      </c>
      <c r="H172" s="2">
        <v>0.0</v>
      </c>
      <c r="I172" s="2">
        <v>0.0</v>
      </c>
      <c r="J172" s="2">
        <v>0.0</v>
      </c>
      <c r="K172" s="2">
        <v>8.0</v>
      </c>
      <c r="L172" s="2">
        <v>8.0</v>
      </c>
      <c r="M172" s="2">
        <v>26.0</v>
      </c>
      <c r="N172" s="2"/>
      <c r="O172" s="2"/>
      <c r="P172" s="2" t="s">
        <v>146</v>
      </c>
    </row>
    <row r="173">
      <c r="A173" s="3" t="s">
        <v>105</v>
      </c>
      <c r="B173" s="2" t="s">
        <v>17</v>
      </c>
      <c r="C173" s="2" t="s">
        <v>18</v>
      </c>
      <c r="D173" s="2" t="s">
        <v>23</v>
      </c>
      <c r="E173" s="2" t="s">
        <v>27</v>
      </c>
      <c r="F173" s="2">
        <v>26.0</v>
      </c>
      <c r="G173" s="2">
        <v>8.0</v>
      </c>
      <c r="H173" s="2">
        <v>0.0</v>
      </c>
      <c r="I173" s="2">
        <v>0.0</v>
      </c>
      <c r="J173" s="2">
        <v>0.0</v>
      </c>
      <c r="K173" s="2">
        <v>8.0</v>
      </c>
      <c r="L173" s="2">
        <v>8.0</v>
      </c>
      <c r="M173" s="2">
        <v>26.0</v>
      </c>
      <c r="N173" s="2">
        <v>0.0</v>
      </c>
      <c r="O173" s="2">
        <v>26.0</v>
      </c>
      <c r="P173" s="2" t="s">
        <v>146</v>
      </c>
    </row>
    <row r="174">
      <c r="A174" s="3" t="s">
        <v>106</v>
      </c>
      <c r="B174" s="4">
        <v>45353.29166666667</v>
      </c>
      <c r="C174" s="2" t="s">
        <v>18</v>
      </c>
      <c r="D174" s="2" t="s">
        <v>91</v>
      </c>
      <c r="E174" s="2" t="s">
        <v>27</v>
      </c>
      <c r="F174" s="2"/>
      <c r="G174" s="2">
        <v>8.0</v>
      </c>
      <c r="H174" s="2">
        <v>0.0</v>
      </c>
      <c r="I174" s="2">
        <v>0.0</v>
      </c>
      <c r="J174" s="2">
        <v>0.0</v>
      </c>
      <c r="K174" s="2">
        <v>8.0</v>
      </c>
      <c r="L174" s="2">
        <v>8.0</v>
      </c>
      <c r="M174" s="2"/>
      <c r="N174" s="2"/>
      <c r="O174" s="2"/>
      <c r="P174" s="2" t="s">
        <v>146</v>
      </c>
    </row>
    <row r="175">
      <c r="A175" s="3" t="s">
        <v>107</v>
      </c>
      <c r="B175" s="2" t="s">
        <v>17</v>
      </c>
      <c r="C175" s="2" t="s">
        <v>18</v>
      </c>
      <c r="D175" s="2" t="s">
        <v>19</v>
      </c>
      <c r="E175" s="2" t="s">
        <v>147</v>
      </c>
      <c r="F175" s="2">
        <v>82.0</v>
      </c>
      <c r="G175" s="2">
        <v>87.0</v>
      </c>
      <c r="H175" s="2">
        <v>67.0</v>
      </c>
      <c r="I175" s="2">
        <v>20.0</v>
      </c>
      <c r="J175" s="2">
        <v>0.0</v>
      </c>
      <c r="K175" s="2">
        <v>0.0</v>
      </c>
      <c r="L175" s="2">
        <v>0.0</v>
      </c>
      <c r="M175" s="2">
        <v>15.0</v>
      </c>
      <c r="N175" s="2"/>
      <c r="O175" s="2"/>
      <c r="P175" s="2" t="s">
        <v>146</v>
      </c>
    </row>
    <row r="176">
      <c r="A176" s="3" t="s">
        <v>108</v>
      </c>
      <c r="B176" s="2" t="s">
        <v>17</v>
      </c>
      <c r="C176" s="2" t="s">
        <v>18</v>
      </c>
      <c r="D176" s="2" t="s">
        <v>23</v>
      </c>
      <c r="E176" s="2" t="s">
        <v>147</v>
      </c>
      <c r="F176" s="2">
        <v>82.0</v>
      </c>
      <c r="G176" s="2">
        <v>87.0</v>
      </c>
      <c r="H176" s="2">
        <v>67.0</v>
      </c>
      <c r="I176" s="2">
        <v>20.0</v>
      </c>
      <c r="J176" s="2">
        <v>0.0</v>
      </c>
      <c r="K176" s="2">
        <v>0.0</v>
      </c>
      <c r="L176" s="2">
        <v>0.0</v>
      </c>
      <c r="M176" s="2">
        <v>15.0</v>
      </c>
      <c r="N176" s="2">
        <v>0.0</v>
      </c>
      <c r="O176" s="2">
        <v>-52.0</v>
      </c>
      <c r="P176" s="2" t="s">
        <v>146</v>
      </c>
    </row>
    <row r="177">
      <c r="A177" s="3" t="s">
        <v>112</v>
      </c>
      <c r="B177" s="4">
        <v>45294.29166666667</v>
      </c>
      <c r="C177" s="2" t="s">
        <v>18</v>
      </c>
      <c r="D177" s="2" t="s">
        <v>19</v>
      </c>
      <c r="E177" s="2" t="s">
        <v>147</v>
      </c>
      <c r="F177" s="2"/>
      <c r="G177" s="2">
        <v>19.0</v>
      </c>
      <c r="H177" s="2">
        <v>15.0</v>
      </c>
      <c r="I177" s="2">
        <v>4.0</v>
      </c>
      <c r="J177" s="2">
        <v>0.0</v>
      </c>
      <c r="K177" s="2">
        <v>0.0</v>
      </c>
      <c r="L177" s="2">
        <v>0.0</v>
      </c>
      <c r="M177" s="2"/>
      <c r="N177" s="2"/>
      <c r="O177" s="2"/>
      <c r="P177" s="2" t="s">
        <v>146</v>
      </c>
    </row>
    <row r="178">
      <c r="A178" s="3" t="s">
        <v>115</v>
      </c>
      <c r="B178" s="4">
        <v>45323.29166666667</v>
      </c>
      <c r="C178" s="2" t="s">
        <v>18</v>
      </c>
      <c r="D178" s="2" t="s">
        <v>19</v>
      </c>
      <c r="E178" s="2" t="s">
        <v>147</v>
      </c>
      <c r="F178" s="2"/>
      <c r="G178" s="2">
        <v>68.0</v>
      </c>
      <c r="H178" s="2">
        <v>52.0</v>
      </c>
      <c r="I178" s="2">
        <v>16.0</v>
      </c>
      <c r="J178" s="2">
        <v>0.0</v>
      </c>
      <c r="K178" s="2">
        <v>0.0</v>
      </c>
      <c r="L178" s="2">
        <v>0.0</v>
      </c>
      <c r="M178" s="2"/>
      <c r="N178" s="2"/>
      <c r="O178" s="2"/>
      <c r="P178" s="2" t="s">
        <v>146</v>
      </c>
    </row>
    <row r="179">
      <c r="A179" s="3" t="s">
        <v>117</v>
      </c>
      <c r="B179" s="4">
        <v>45353.29166666667</v>
      </c>
      <c r="C179" s="2" t="s">
        <v>18</v>
      </c>
      <c r="D179" s="2" t="s">
        <v>19</v>
      </c>
      <c r="E179" s="2" t="s">
        <v>147</v>
      </c>
      <c r="F179" s="2"/>
      <c r="G179" s="2">
        <v>0.0</v>
      </c>
      <c r="H179" s="2">
        <v>0.0</v>
      </c>
      <c r="I179" s="2">
        <v>0.0</v>
      </c>
      <c r="J179" s="2">
        <v>0.0</v>
      </c>
      <c r="K179" s="2">
        <v>0.0</v>
      </c>
      <c r="L179" s="2">
        <v>0.0</v>
      </c>
      <c r="M179" s="2"/>
      <c r="N179" s="2"/>
      <c r="O179" s="2"/>
      <c r="P179" s="2" t="s">
        <v>146</v>
      </c>
    </row>
    <row r="180">
      <c r="A180" s="3" t="s">
        <v>119</v>
      </c>
      <c r="B180" s="2" t="s">
        <v>17</v>
      </c>
      <c r="C180" s="2" t="s">
        <v>148</v>
      </c>
      <c r="D180" s="2" t="s">
        <v>69</v>
      </c>
      <c r="E180" s="2" t="s">
        <v>149</v>
      </c>
      <c r="F180" s="2">
        <v>50.0</v>
      </c>
      <c r="G180" s="2">
        <v>0.0</v>
      </c>
      <c r="H180" s="2">
        <v>0.0</v>
      </c>
      <c r="I180" s="2">
        <v>0.0</v>
      </c>
      <c r="J180" s="2">
        <v>0.0</v>
      </c>
      <c r="K180" s="2">
        <v>0.0</v>
      </c>
      <c r="L180" s="2">
        <v>0.0</v>
      </c>
      <c r="M180" s="2">
        <v>50.0</v>
      </c>
      <c r="N180" s="2"/>
      <c r="O180" s="2"/>
      <c r="P180" s="2" t="s">
        <v>111</v>
      </c>
    </row>
    <row r="181">
      <c r="A181" s="3" t="s">
        <v>121</v>
      </c>
      <c r="B181" s="2" t="s">
        <v>17</v>
      </c>
      <c r="C181" s="2" t="s">
        <v>148</v>
      </c>
      <c r="D181" s="2" t="s">
        <v>69</v>
      </c>
      <c r="E181" s="2" t="s">
        <v>150</v>
      </c>
      <c r="F181" s="2">
        <v>30.0</v>
      </c>
      <c r="G181" s="2">
        <v>0.0</v>
      </c>
      <c r="H181" s="2">
        <v>0.0</v>
      </c>
      <c r="I181" s="2">
        <v>0.0</v>
      </c>
      <c r="J181" s="2">
        <v>0.0</v>
      </c>
      <c r="K181" s="2">
        <v>0.0</v>
      </c>
      <c r="L181" s="2">
        <v>0.0</v>
      </c>
      <c r="M181" s="2">
        <v>30.0</v>
      </c>
      <c r="N181" s="2"/>
      <c r="O181" s="2"/>
      <c r="P181" s="2" t="s">
        <v>111</v>
      </c>
    </row>
    <row r="182">
      <c r="A182" s="3" t="s">
        <v>16</v>
      </c>
      <c r="B182" s="2" t="s">
        <v>17</v>
      </c>
      <c r="C182" s="2" t="s">
        <v>18</v>
      </c>
      <c r="D182" s="2" t="s">
        <v>19</v>
      </c>
      <c r="E182" s="2" t="s">
        <v>149</v>
      </c>
      <c r="F182" s="2">
        <v>200.0</v>
      </c>
      <c r="G182" s="2">
        <v>10.0</v>
      </c>
      <c r="H182" s="2">
        <v>1.0</v>
      </c>
      <c r="I182" s="2">
        <v>3.0</v>
      </c>
      <c r="J182" s="2">
        <v>3.0</v>
      </c>
      <c r="K182" s="2">
        <v>3.0</v>
      </c>
      <c r="L182" s="2">
        <v>0.0</v>
      </c>
      <c r="M182" s="2">
        <v>199.0</v>
      </c>
      <c r="N182" s="2"/>
      <c r="O182" s="2"/>
      <c r="P182" s="2" t="s">
        <v>111</v>
      </c>
    </row>
    <row r="183">
      <c r="A183" s="3" t="s">
        <v>124</v>
      </c>
      <c r="B183" s="2" t="s">
        <v>17</v>
      </c>
      <c r="C183" s="2" t="s">
        <v>18</v>
      </c>
      <c r="D183" s="2" t="s">
        <v>19</v>
      </c>
      <c r="E183" s="2" t="s">
        <v>150</v>
      </c>
      <c r="F183" s="2">
        <v>100.0</v>
      </c>
      <c r="G183" s="2">
        <v>7.0</v>
      </c>
      <c r="H183" s="2">
        <v>1.0</v>
      </c>
      <c r="I183" s="2">
        <v>5.0</v>
      </c>
      <c r="J183" s="2">
        <v>1.0</v>
      </c>
      <c r="K183" s="2">
        <v>0.0</v>
      </c>
      <c r="L183" s="2">
        <v>0.0</v>
      </c>
      <c r="M183" s="2">
        <v>99.0</v>
      </c>
      <c r="N183" s="2"/>
      <c r="O183" s="2"/>
      <c r="P183" s="2" t="s">
        <v>111</v>
      </c>
    </row>
    <row r="184">
      <c r="A184" s="3" t="s">
        <v>126</v>
      </c>
      <c r="B184" s="2" t="s">
        <v>17</v>
      </c>
      <c r="C184" s="2" t="s">
        <v>18</v>
      </c>
      <c r="D184" s="2" t="s">
        <v>23</v>
      </c>
      <c r="E184" s="2" t="s">
        <v>149</v>
      </c>
      <c r="F184" s="2">
        <v>200.0</v>
      </c>
      <c r="G184" s="2">
        <v>10.0</v>
      </c>
      <c r="H184" s="2">
        <v>1.0</v>
      </c>
      <c r="I184" s="2">
        <v>3.0</v>
      </c>
      <c r="J184" s="2">
        <v>3.0</v>
      </c>
      <c r="K184" s="2">
        <v>3.0</v>
      </c>
      <c r="L184" s="2">
        <v>0.0</v>
      </c>
      <c r="M184" s="2">
        <v>199.0</v>
      </c>
      <c r="N184" s="2">
        <v>-50.0</v>
      </c>
      <c r="O184" s="2">
        <v>198.0</v>
      </c>
      <c r="P184" s="2" t="s">
        <v>111</v>
      </c>
    </row>
    <row r="185">
      <c r="A185" s="3" t="s">
        <v>128</v>
      </c>
      <c r="B185" s="2" t="s">
        <v>17</v>
      </c>
      <c r="C185" s="2" t="s">
        <v>18</v>
      </c>
      <c r="D185" s="2" t="s">
        <v>23</v>
      </c>
      <c r="E185" s="2" t="s">
        <v>150</v>
      </c>
      <c r="F185" s="2">
        <v>100.0</v>
      </c>
      <c r="G185" s="2">
        <v>7.0</v>
      </c>
      <c r="H185" s="2">
        <v>1.0</v>
      </c>
      <c r="I185" s="2">
        <v>5.0</v>
      </c>
      <c r="J185" s="2">
        <v>1.0</v>
      </c>
      <c r="K185" s="2">
        <v>0.0</v>
      </c>
      <c r="L185" s="2">
        <v>0.0</v>
      </c>
      <c r="M185" s="2">
        <v>99.0</v>
      </c>
      <c r="N185" s="2">
        <v>-30.0</v>
      </c>
      <c r="O185" s="2">
        <v>98.0</v>
      </c>
      <c r="P185" s="2" t="s">
        <v>111</v>
      </c>
    </row>
    <row r="186">
      <c r="A186" s="3" t="s">
        <v>129</v>
      </c>
      <c r="B186" s="4">
        <v>45324.29166666667</v>
      </c>
      <c r="C186" s="2" t="s">
        <v>18</v>
      </c>
      <c r="D186" s="2" t="s">
        <v>19</v>
      </c>
      <c r="E186" s="2" t="s">
        <v>149</v>
      </c>
      <c r="F186" s="2"/>
      <c r="G186" s="2">
        <v>7.0</v>
      </c>
      <c r="H186" s="2">
        <v>1.0</v>
      </c>
      <c r="I186" s="2">
        <v>3.0</v>
      </c>
      <c r="J186" s="2">
        <v>3.0</v>
      </c>
      <c r="K186" s="2">
        <v>0.0</v>
      </c>
      <c r="L186" s="2">
        <v>0.0</v>
      </c>
      <c r="M186" s="2"/>
      <c r="N186" s="2"/>
      <c r="O186" s="2"/>
      <c r="P186" s="2" t="s">
        <v>111</v>
      </c>
    </row>
    <row r="187">
      <c r="A187" s="3" t="s">
        <v>130</v>
      </c>
      <c r="B187" s="4">
        <v>45325.29166666667</v>
      </c>
      <c r="C187" s="2" t="s">
        <v>18</v>
      </c>
      <c r="D187" s="2" t="s">
        <v>19</v>
      </c>
      <c r="E187" s="2" t="s">
        <v>150</v>
      </c>
      <c r="F187" s="2"/>
      <c r="G187" s="2">
        <v>7.0</v>
      </c>
      <c r="H187" s="2">
        <v>1.0</v>
      </c>
      <c r="I187" s="2">
        <v>5.0</v>
      </c>
      <c r="J187" s="2">
        <v>1.0</v>
      </c>
      <c r="K187" s="2">
        <v>0.0</v>
      </c>
      <c r="L187" s="2">
        <v>0.0</v>
      </c>
      <c r="M187" s="2"/>
      <c r="N187" s="2"/>
      <c r="O187" s="2"/>
      <c r="P187" s="2" t="s">
        <v>111</v>
      </c>
    </row>
    <row r="188">
      <c r="A188" s="3" t="s">
        <v>131</v>
      </c>
      <c r="B188" s="4">
        <v>45352.29166666667</v>
      </c>
      <c r="C188" s="2" t="s">
        <v>18</v>
      </c>
      <c r="D188" s="2" t="s">
        <v>19</v>
      </c>
      <c r="E188" s="2" t="s">
        <v>149</v>
      </c>
      <c r="F188" s="2"/>
      <c r="G188" s="2">
        <v>3.0</v>
      </c>
      <c r="H188" s="2">
        <v>0.0</v>
      </c>
      <c r="I188" s="2">
        <v>0.0</v>
      </c>
      <c r="J188" s="2">
        <v>0.0</v>
      </c>
      <c r="K188" s="2">
        <v>3.0</v>
      </c>
      <c r="L188" s="2">
        <v>0.0</v>
      </c>
      <c r="M188" s="2"/>
      <c r="N188" s="2"/>
      <c r="O188" s="2"/>
      <c r="P188" s="2" t="s">
        <v>111</v>
      </c>
    </row>
    <row r="189">
      <c r="A189" s="3" t="s">
        <v>132</v>
      </c>
      <c r="B189" s="4">
        <v>45352.29166666667</v>
      </c>
      <c r="C189" s="2" t="s">
        <v>18</v>
      </c>
      <c r="D189" s="2" t="s">
        <v>19</v>
      </c>
      <c r="E189" s="2" t="s">
        <v>150</v>
      </c>
      <c r="F189" s="2"/>
      <c r="G189" s="2">
        <v>0.0</v>
      </c>
      <c r="H189" s="2">
        <v>0.0</v>
      </c>
      <c r="I189" s="2">
        <v>0.0</v>
      </c>
      <c r="J189" s="2">
        <v>0.0</v>
      </c>
      <c r="K189" s="2">
        <v>0.0</v>
      </c>
      <c r="L189" s="2">
        <v>0.0</v>
      </c>
      <c r="M189" s="2"/>
      <c r="N189" s="2"/>
      <c r="O189" s="2"/>
      <c r="P189" s="2" t="s">
        <v>111</v>
      </c>
    </row>
    <row r="190">
      <c r="A190" s="3" t="s">
        <v>133</v>
      </c>
      <c r="B190" s="2" t="s">
        <v>17</v>
      </c>
      <c r="C190" s="2" t="s">
        <v>18</v>
      </c>
      <c r="D190" s="2" t="s">
        <v>19</v>
      </c>
      <c r="E190" s="2" t="s">
        <v>27</v>
      </c>
      <c r="F190" s="2">
        <v>24.0</v>
      </c>
      <c r="G190" s="2">
        <v>34.0</v>
      </c>
      <c r="H190" s="2">
        <v>25.0</v>
      </c>
      <c r="I190" s="2">
        <v>9.0</v>
      </c>
      <c r="J190" s="2">
        <v>0.0</v>
      </c>
      <c r="K190" s="2">
        <v>0.0</v>
      </c>
      <c r="L190" s="2">
        <v>0.0</v>
      </c>
      <c r="M190" s="2">
        <v>-1.0</v>
      </c>
      <c r="N190" s="2"/>
      <c r="O190" s="2"/>
      <c r="P190" s="2" t="s">
        <v>92</v>
      </c>
    </row>
    <row r="191">
      <c r="A191" s="3" t="s">
        <v>134</v>
      </c>
      <c r="B191" s="2" t="s">
        <v>17</v>
      </c>
      <c r="C191" s="2" t="s">
        <v>18</v>
      </c>
      <c r="D191" s="2" t="s">
        <v>19</v>
      </c>
      <c r="E191" s="2" t="s">
        <v>151</v>
      </c>
      <c r="F191" s="2">
        <v>29.0</v>
      </c>
      <c r="G191" s="2">
        <v>39.0</v>
      </c>
      <c r="H191" s="2">
        <v>26.0</v>
      </c>
      <c r="I191" s="2">
        <v>10.0</v>
      </c>
      <c r="J191" s="2">
        <v>0.0</v>
      </c>
      <c r="K191" s="2">
        <v>3.0</v>
      </c>
      <c r="L191" s="2">
        <v>0.0</v>
      </c>
      <c r="M191" s="2">
        <v>3.0</v>
      </c>
      <c r="N191" s="2"/>
      <c r="O191" s="2"/>
      <c r="P191" s="2" t="s">
        <v>92</v>
      </c>
    </row>
    <row r="192">
      <c r="A192" s="3" t="s">
        <v>136</v>
      </c>
      <c r="B192" s="2" t="s">
        <v>17</v>
      </c>
      <c r="C192" s="2" t="s">
        <v>57</v>
      </c>
      <c r="D192" s="2" t="s">
        <v>19</v>
      </c>
      <c r="E192" s="2" t="s">
        <v>96</v>
      </c>
      <c r="F192" s="2">
        <v>24.0</v>
      </c>
      <c r="G192" s="2">
        <v>32.0</v>
      </c>
      <c r="H192" s="2">
        <v>24.0</v>
      </c>
      <c r="I192" s="2">
        <v>8.0</v>
      </c>
      <c r="J192" s="2">
        <v>0.0</v>
      </c>
      <c r="K192" s="2">
        <v>0.0</v>
      </c>
      <c r="L192" s="2">
        <v>0.0</v>
      </c>
      <c r="M192" s="2">
        <v>0.0</v>
      </c>
      <c r="N192" s="2"/>
      <c r="O192" s="2"/>
      <c r="P192" s="2" t="s">
        <v>92</v>
      </c>
    </row>
    <row r="193">
      <c r="A193" s="3" t="s">
        <v>137</v>
      </c>
      <c r="B193" s="2" t="s">
        <v>17</v>
      </c>
      <c r="C193" s="2" t="s">
        <v>18</v>
      </c>
      <c r="D193" s="2" t="s">
        <v>23</v>
      </c>
      <c r="E193" s="2" t="s">
        <v>27</v>
      </c>
      <c r="F193" s="2">
        <v>24.0</v>
      </c>
      <c r="G193" s="2">
        <v>34.0</v>
      </c>
      <c r="H193" s="2">
        <v>25.0</v>
      </c>
      <c r="I193" s="2">
        <v>9.0</v>
      </c>
      <c r="J193" s="2">
        <v>0.0</v>
      </c>
      <c r="K193" s="2">
        <v>0.0</v>
      </c>
      <c r="L193" s="2">
        <v>0.0</v>
      </c>
      <c r="M193" s="2">
        <v>-1.0</v>
      </c>
      <c r="N193" s="2">
        <v>0.0</v>
      </c>
      <c r="O193" s="2">
        <v>-26.0</v>
      </c>
      <c r="P193" s="2" t="s">
        <v>92</v>
      </c>
    </row>
    <row r="194">
      <c r="A194" s="3" t="s">
        <v>138</v>
      </c>
      <c r="B194" s="2" t="s">
        <v>17</v>
      </c>
      <c r="C194" s="2" t="s">
        <v>18</v>
      </c>
      <c r="D194" s="2" t="s">
        <v>23</v>
      </c>
      <c r="E194" s="2" t="s">
        <v>151</v>
      </c>
      <c r="F194" s="2">
        <v>29.0</v>
      </c>
      <c r="G194" s="2">
        <v>39.0</v>
      </c>
      <c r="H194" s="2">
        <v>26.0</v>
      </c>
      <c r="I194" s="2">
        <v>10.0</v>
      </c>
      <c r="J194" s="2">
        <v>0.0</v>
      </c>
      <c r="K194" s="2">
        <v>3.0</v>
      </c>
      <c r="L194" s="2">
        <v>0.0</v>
      </c>
      <c r="M194" s="2">
        <v>3.0</v>
      </c>
      <c r="N194" s="2">
        <v>0.0</v>
      </c>
      <c r="O194" s="2">
        <v>-23.0</v>
      </c>
      <c r="P194" s="2" t="s">
        <v>92</v>
      </c>
    </row>
    <row r="195">
      <c r="A195" s="3" t="s">
        <v>139</v>
      </c>
      <c r="B195" s="2" t="s">
        <v>17</v>
      </c>
      <c r="C195" s="2" t="s">
        <v>57</v>
      </c>
      <c r="D195" s="2" t="s">
        <v>23</v>
      </c>
      <c r="E195" s="2" t="s">
        <v>96</v>
      </c>
      <c r="F195" s="2">
        <v>24.0</v>
      </c>
      <c r="G195" s="2">
        <v>32.0</v>
      </c>
      <c r="H195" s="2">
        <v>24.0</v>
      </c>
      <c r="I195" s="2">
        <v>8.0</v>
      </c>
      <c r="J195" s="2">
        <v>0.0</v>
      </c>
      <c r="K195" s="2">
        <v>0.0</v>
      </c>
      <c r="L195" s="2">
        <v>0.0</v>
      </c>
      <c r="M195" s="2">
        <v>0.0</v>
      </c>
      <c r="N195" s="2">
        <v>0.0</v>
      </c>
      <c r="O195" s="2">
        <v>-24.0</v>
      </c>
      <c r="P195" s="2" t="s">
        <v>92</v>
      </c>
    </row>
    <row r="196">
      <c r="A196" s="3" t="s">
        <v>140</v>
      </c>
      <c r="B196" s="4">
        <v>45294.29166666667</v>
      </c>
      <c r="C196" s="2" t="s">
        <v>18</v>
      </c>
      <c r="D196" s="2" t="s">
        <v>19</v>
      </c>
      <c r="E196" s="2" t="s">
        <v>27</v>
      </c>
      <c r="F196" s="2"/>
      <c r="G196" s="2">
        <v>9.0</v>
      </c>
      <c r="H196" s="2">
        <v>6.0</v>
      </c>
      <c r="I196" s="2">
        <v>3.0</v>
      </c>
      <c r="J196" s="2">
        <v>0.0</v>
      </c>
      <c r="K196" s="2">
        <v>0.0</v>
      </c>
      <c r="L196" s="2">
        <v>0.0</v>
      </c>
      <c r="M196" s="2"/>
      <c r="N196" s="2"/>
      <c r="O196" s="2"/>
      <c r="P196" s="2" t="s">
        <v>92</v>
      </c>
    </row>
    <row r="197">
      <c r="A197" s="3" t="s">
        <v>141</v>
      </c>
      <c r="B197" s="4">
        <v>45294.29166666667</v>
      </c>
      <c r="C197" s="2" t="s">
        <v>18</v>
      </c>
      <c r="D197" s="2" t="s">
        <v>19</v>
      </c>
      <c r="E197" s="2" t="s">
        <v>151</v>
      </c>
      <c r="F197" s="2"/>
      <c r="G197" s="2">
        <v>30.0</v>
      </c>
      <c r="H197" s="2">
        <v>23.0</v>
      </c>
      <c r="I197" s="2">
        <v>7.0</v>
      </c>
      <c r="J197" s="2">
        <v>0.0</v>
      </c>
      <c r="K197" s="2">
        <v>0.0</v>
      </c>
      <c r="L197" s="2">
        <v>0.0</v>
      </c>
      <c r="M197" s="2"/>
      <c r="N197" s="2"/>
      <c r="O197" s="2"/>
      <c r="P197" s="2" t="s">
        <v>92</v>
      </c>
    </row>
    <row r="198">
      <c r="A198" s="3" t="s">
        <v>142</v>
      </c>
      <c r="B198" s="4">
        <v>45294.29166666667</v>
      </c>
      <c r="C198" s="2" t="s">
        <v>18</v>
      </c>
      <c r="D198" s="2" t="s">
        <v>19</v>
      </c>
      <c r="E198" s="2" t="s">
        <v>96</v>
      </c>
      <c r="F198" s="2"/>
      <c r="G198" s="2">
        <v>22.0</v>
      </c>
      <c r="H198" s="2">
        <v>17.0</v>
      </c>
      <c r="I198" s="2">
        <v>5.0</v>
      </c>
      <c r="J198" s="2">
        <v>0.0</v>
      </c>
      <c r="K198" s="2">
        <v>0.0</v>
      </c>
      <c r="L198" s="2">
        <v>0.0</v>
      </c>
      <c r="M198" s="2"/>
      <c r="N198" s="2"/>
      <c r="O198" s="2"/>
      <c r="P198" s="2" t="s">
        <v>92</v>
      </c>
    </row>
    <row r="199">
      <c r="A199" s="3" t="s">
        <v>143</v>
      </c>
      <c r="B199" s="4">
        <v>45325.29166666667</v>
      </c>
      <c r="C199" s="2" t="s">
        <v>18</v>
      </c>
      <c r="D199" s="2" t="s">
        <v>19</v>
      </c>
      <c r="E199" s="2" t="s">
        <v>27</v>
      </c>
      <c r="F199" s="2"/>
      <c r="G199" s="2">
        <v>25.0</v>
      </c>
      <c r="H199" s="2">
        <v>19.0</v>
      </c>
      <c r="I199" s="2">
        <v>6.0</v>
      </c>
      <c r="J199" s="2">
        <v>0.0</v>
      </c>
      <c r="K199" s="2">
        <v>0.0</v>
      </c>
      <c r="L199" s="2">
        <v>0.0</v>
      </c>
      <c r="M199" s="2"/>
      <c r="N199" s="2"/>
      <c r="O199" s="2"/>
      <c r="P199" s="2" t="s">
        <v>92</v>
      </c>
    </row>
    <row r="200">
      <c r="A200" s="3" t="s">
        <v>144</v>
      </c>
      <c r="B200" s="4">
        <v>45325.29166666667</v>
      </c>
      <c r="C200" s="2" t="s">
        <v>18</v>
      </c>
      <c r="D200" s="2" t="s">
        <v>19</v>
      </c>
      <c r="E200" s="2" t="s">
        <v>151</v>
      </c>
      <c r="F200" s="2"/>
      <c r="G200" s="2">
        <v>6.0</v>
      </c>
      <c r="H200" s="2">
        <v>3.0</v>
      </c>
      <c r="I200" s="2">
        <v>3.0</v>
      </c>
      <c r="J200" s="2">
        <v>0.0</v>
      </c>
      <c r="K200" s="2">
        <v>0.0</v>
      </c>
      <c r="L200" s="2">
        <v>0.0</v>
      </c>
      <c r="M200" s="2"/>
      <c r="N200" s="2"/>
      <c r="O200" s="2"/>
      <c r="P200" s="2" t="s">
        <v>92</v>
      </c>
    </row>
    <row r="201">
      <c r="A201" s="3" t="s">
        <v>145</v>
      </c>
      <c r="B201" s="4">
        <v>45325.29166666667</v>
      </c>
      <c r="C201" s="2" t="s">
        <v>18</v>
      </c>
      <c r="D201" s="2" t="s">
        <v>19</v>
      </c>
      <c r="E201" s="2" t="s">
        <v>96</v>
      </c>
      <c r="F201" s="2"/>
      <c r="G201" s="2">
        <v>10.0</v>
      </c>
      <c r="H201" s="2">
        <v>7.0</v>
      </c>
      <c r="I201" s="2">
        <v>3.0</v>
      </c>
      <c r="J201" s="2">
        <v>0.0</v>
      </c>
      <c r="K201" s="2">
        <v>0.0</v>
      </c>
      <c r="L201" s="2">
        <v>0.0</v>
      </c>
      <c r="M201" s="2"/>
      <c r="N201" s="2"/>
      <c r="O201" s="2"/>
      <c r="P201" s="2" t="s">
        <v>92</v>
      </c>
    </row>
    <row r="202">
      <c r="A202" s="3" t="s">
        <v>16</v>
      </c>
      <c r="B202" s="4">
        <v>45352.29166666667</v>
      </c>
      <c r="C202" s="2" t="s">
        <v>18</v>
      </c>
      <c r="D202" s="2" t="s">
        <v>19</v>
      </c>
      <c r="E202" s="2" t="s">
        <v>27</v>
      </c>
      <c r="F202" s="2"/>
      <c r="G202" s="2">
        <v>0.0</v>
      </c>
      <c r="H202" s="2">
        <v>0.0</v>
      </c>
      <c r="I202" s="2">
        <v>0.0</v>
      </c>
      <c r="J202" s="2">
        <v>0.0</v>
      </c>
      <c r="K202" s="2">
        <v>0.0</v>
      </c>
      <c r="L202" s="2">
        <v>0.0</v>
      </c>
      <c r="M202" s="2"/>
      <c r="N202" s="2"/>
      <c r="O202" s="2"/>
      <c r="P202" s="2" t="s">
        <v>92</v>
      </c>
    </row>
    <row r="203">
      <c r="A203" s="3" t="s">
        <v>22</v>
      </c>
      <c r="B203" s="4">
        <v>45352.29166666667</v>
      </c>
      <c r="C203" s="2" t="s">
        <v>18</v>
      </c>
      <c r="D203" s="2" t="s">
        <v>19</v>
      </c>
      <c r="E203" s="2" t="s">
        <v>151</v>
      </c>
      <c r="F203" s="2"/>
      <c r="G203" s="2">
        <v>3.0</v>
      </c>
      <c r="H203" s="2">
        <v>0.0</v>
      </c>
      <c r="I203" s="2">
        <v>0.0</v>
      </c>
      <c r="J203" s="2">
        <v>0.0</v>
      </c>
      <c r="K203" s="2">
        <v>3.0</v>
      </c>
      <c r="L203" s="2">
        <v>0.0</v>
      </c>
      <c r="M203" s="2"/>
      <c r="N203" s="2"/>
      <c r="O203" s="2"/>
      <c r="P203" s="2" t="s">
        <v>92</v>
      </c>
    </row>
    <row r="204">
      <c r="A204" s="3" t="s">
        <v>24</v>
      </c>
      <c r="B204" s="4">
        <v>45352.29166666667</v>
      </c>
      <c r="C204" s="2" t="s">
        <v>18</v>
      </c>
      <c r="D204" s="2" t="s">
        <v>19</v>
      </c>
      <c r="E204" s="2" t="s">
        <v>96</v>
      </c>
      <c r="F204" s="2"/>
      <c r="G204" s="2">
        <v>0.0</v>
      </c>
      <c r="H204" s="2">
        <v>0.0</v>
      </c>
      <c r="I204" s="2">
        <v>0.0</v>
      </c>
      <c r="J204" s="2">
        <v>0.0</v>
      </c>
      <c r="K204" s="2">
        <v>0.0</v>
      </c>
      <c r="L204" s="2">
        <v>0.0</v>
      </c>
      <c r="M204" s="2"/>
      <c r="N204" s="2"/>
      <c r="O204" s="2"/>
      <c r="P204" s="2" t="s">
        <v>92</v>
      </c>
    </row>
    <row r="205">
      <c r="A205" s="3" t="s">
        <v>25</v>
      </c>
      <c r="B205" s="2" t="s">
        <v>17</v>
      </c>
      <c r="C205" s="2" t="s">
        <v>18</v>
      </c>
      <c r="D205" s="2" t="s">
        <v>19</v>
      </c>
      <c r="E205" s="2" t="s">
        <v>152</v>
      </c>
      <c r="F205" s="2">
        <v>47.0</v>
      </c>
      <c r="G205" s="2">
        <v>40.0</v>
      </c>
      <c r="H205" s="2">
        <v>25.0</v>
      </c>
      <c r="I205" s="2">
        <v>13.0</v>
      </c>
      <c r="J205" s="2">
        <v>0.0</v>
      </c>
      <c r="K205" s="2">
        <v>2.0</v>
      </c>
      <c r="L205" s="2">
        <v>0.0</v>
      </c>
      <c r="M205" s="2">
        <v>22.0</v>
      </c>
      <c r="N205" s="2"/>
      <c r="O205" s="2"/>
      <c r="P205" s="2" t="s">
        <v>153</v>
      </c>
    </row>
    <row r="206">
      <c r="A206" s="3" t="s">
        <v>26</v>
      </c>
      <c r="B206" s="2" t="s">
        <v>17</v>
      </c>
      <c r="C206" s="2" t="s">
        <v>18</v>
      </c>
      <c r="D206" s="2" t="s">
        <v>19</v>
      </c>
      <c r="E206" s="2" t="s">
        <v>154</v>
      </c>
      <c r="F206" s="2">
        <v>31.0</v>
      </c>
      <c r="G206" s="2">
        <v>46.0</v>
      </c>
      <c r="H206" s="2">
        <v>31.0</v>
      </c>
      <c r="I206" s="2">
        <v>10.0</v>
      </c>
      <c r="J206" s="2">
        <v>0.0</v>
      </c>
      <c r="K206" s="2">
        <v>5.0</v>
      </c>
      <c r="L206" s="2">
        <v>1.0</v>
      </c>
      <c r="M206" s="2">
        <v>0.0</v>
      </c>
      <c r="N206" s="2"/>
      <c r="O206" s="2"/>
      <c r="P206" s="2" t="s">
        <v>153</v>
      </c>
    </row>
    <row r="207">
      <c r="A207" s="3" t="s">
        <v>28</v>
      </c>
      <c r="B207" s="5" t="s">
        <v>17</v>
      </c>
      <c r="C207" s="5" t="s">
        <v>18</v>
      </c>
      <c r="D207" s="5" t="s">
        <v>23</v>
      </c>
      <c r="E207" s="5" t="s">
        <v>152</v>
      </c>
      <c r="F207" s="5">
        <v>47.0</v>
      </c>
      <c r="G207" s="5">
        <v>40.0</v>
      </c>
      <c r="H207" s="5">
        <v>25.0</v>
      </c>
      <c r="I207" s="5">
        <v>13.0</v>
      </c>
      <c r="J207" s="5">
        <v>0.0</v>
      </c>
      <c r="K207" s="5">
        <v>2.0</v>
      </c>
      <c r="L207" s="5">
        <v>0.0</v>
      </c>
      <c r="M207" s="5">
        <v>22.0</v>
      </c>
      <c r="N207" s="5">
        <v>0.0</v>
      </c>
      <c r="O207" s="5">
        <v>-3.0</v>
      </c>
      <c r="P207" s="5" t="s">
        <v>153</v>
      </c>
    </row>
    <row r="208">
      <c r="A208" s="3" t="s">
        <v>29</v>
      </c>
      <c r="B208" s="2" t="s">
        <v>17</v>
      </c>
      <c r="C208" s="2" t="s">
        <v>18</v>
      </c>
      <c r="D208" s="2" t="s">
        <v>23</v>
      </c>
      <c r="E208" s="2" t="s">
        <v>154</v>
      </c>
      <c r="F208" s="2">
        <v>31.0</v>
      </c>
      <c r="G208" s="2">
        <v>46.0</v>
      </c>
      <c r="H208" s="2">
        <v>31.0</v>
      </c>
      <c r="I208" s="2">
        <v>10.0</v>
      </c>
      <c r="J208" s="2">
        <v>0.0</v>
      </c>
      <c r="K208" s="2">
        <v>5.0</v>
      </c>
      <c r="L208" s="2">
        <v>1.0</v>
      </c>
      <c r="M208" s="2">
        <v>0.0</v>
      </c>
      <c r="N208" s="2">
        <v>0.0</v>
      </c>
      <c r="O208" s="2">
        <v>-31.0</v>
      </c>
      <c r="P208" s="2" t="s">
        <v>153</v>
      </c>
    </row>
    <row r="209">
      <c r="A209" s="3" t="s">
        <v>32</v>
      </c>
      <c r="B209" s="4">
        <v>45294.29166666667</v>
      </c>
      <c r="C209" s="2" t="s">
        <v>18</v>
      </c>
      <c r="D209" s="2" t="s">
        <v>19</v>
      </c>
      <c r="E209" s="2" t="s">
        <v>152</v>
      </c>
      <c r="F209" s="2"/>
      <c r="G209" s="2">
        <v>11.0</v>
      </c>
      <c r="H209" s="2">
        <v>8.0</v>
      </c>
      <c r="I209" s="2">
        <v>3.0</v>
      </c>
      <c r="J209" s="2">
        <v>0.0</v>
      </c>
      <c r="K209" s="2">
        <v>0.0</v>
      </c>
      <c r="L209" s="2">
        <v>0.0</v>
      </c>
      <c r="M209" s="2"/>
      <c r="N209" s="2"/>
      <c r="O209" s="2"/>
      <c r="P209" s="2" t="s">
        <v>153</v>
      </c>
    </row>
    <row r="210">
      <c r="A210" s="3" t="s">
        <v>34</v>
      </c>
      <c r="B210" s="4">
        <v>45295.29166666667</v>
      </c>
      <c r="C210" s="2" t="s">
        <v>18</v>
      </c>
      <c r="D210" s="2" t="s">
        <v>19</v>
      </c>
      <c r="E210" s="2" t="s">
        <v>154</v>
      </c>
      <c r="F210" s="2"/>
      <c r="G210" s="2">
        <v>33.0</v>
      </c>
      <c r="H210" s="2">
        <v>24.0</v>
      </c>
      <c r="I210" s="2">
        <v>9.0</v>
      </c>
      <c r="J210" s="2">
        <v>0.0</v>
      </c>
      <c r="K210" s="2">
        <v>0.0</v>
      </c>
      <c r="L210" s="2">
        <v>0.0</v>
      </c>
      <c r="M210" s="2"/>
      <c r="N210" s="2"/>
      <c r="O210" s="2"/>
      <c r="P210" s="2" t="s">
        <v>153</v>
      </c>
    </row>
    <row r="211">
      <c r="A211" s="3" t="s">
        <v>35</v>
      </c>
      <c r="B211" s="4">
        <v>45324.29166666667</v>
      </c>
      <c r="C211" s="2" t="s">
        <v>18</v>
      </c>
      <c r="D211" s="2" t="s">
        <v>19</v>
      </c>
      <c r="E211" s="2" t="s">
        <v>152</v>
      </c>
      <c r="F211" s="2"/>
      <c r="G211" s="2">
        <v>27.0</v>
      </c>
      <c r="H211" s="2">
        <v>17.0</v>
      </c>
      <c r="I211" s="2">
        <v>10.0</v>
      </c>
      <c r="J211" s="2">
        <v>0.0</v>
      </c>
      <c r="K211" s="2">
        <v>0.0</v>
      </c>
      <c r="L211" s="2">
        <v>0.0</v>
      </c>
      <c r="M211" s="2"/>
      <c r="N211" s="2"/>
      <c r="O211" s="2"/>
      <c r="P211" s="2" t="s">
        <v>153</v>
      </c>
    </row>
    <row r="212">
      <c r="A212" s="3" t="s">
        <v>36</v>
      </c>
      <c r="B212" s="4">
        <v>45324.29166666667</v>
      </c>
      <c r="C212" s="2" t="s">
        <v>18</v>
      </c>
      <c r="D212" s="2" t="s">
        <v>19</v>
      </c>
      <c r="E212" s="2" t="s">
        <v>154</v>
      </c>
      <c r="F212" s="2"/>
      <c r="G212" s="2">
        <v>13.0</v>
      </c>
      <c r="H212" s="2">
        <v>7.0</v>
      </c>
      <c r="I212" s="2">
        <v>1.0</v>
      </c>
      <c r="J212" s="2">
        <v>0.0</v>
      </c>
      <c r="K212" s="2">
        <v>5.0</v>
      </c>
      <c r="L212" s="2">
        <v>1.0</v>
      </c>
      <c r="M212" s="2"/>
      <c r="N212" s="2"/>
      <c r="O212" s="2"/>
      <c r="P212" s="2" t="s">
        <v>153</v>
      </c>
    </row>
    <row r="213">
      <c r="A213" s="3" t="s">
        <v>37</v>
      </c>
      <c r="B213" s="4">
        <v>45353.29166666667</v>
      </c>
      <c r="C213" s="2" t="s">
        <v>18</v>
      </c>
      <c r="D213" s="2" t="s">
        <v>19</v>
      </c>
      <c r="E213" s="2" t="s">
        <v>152</v>
      </c>
      <c r="F213" s="2"/>
      <c r="G213" s="2">
        <v>2.0</v>
      </c>
      <c r="H213" s="2">
        <v>0.0</v>
      </c>
      <c r="I213" s="2">
        <v>0.0</v>
      </c>
      <c r="J213" s="2">
        <v>0.0</v>
      </c>
      <c r="K213" s="2">
        <v>2.0</v>
      </c>
      <c r="L213" s="2">
        <v>0.0</v>
      </c>
      <c r="M213" s="2"/>
      <c r="N213" s="2"/>
      <c r="O213" s="2"/>
      <c r="P213" s="2" t="s">
        <v>153</v>
      </c>
    </row>
    <row r="214">
      <c r="A214" s="3" t="s">
        <v>38</v>
      </c>
      <c r="B214" s="4">
        <v>45353.29166666667</v>
      </c>
      <c r="C214" s="2" t="s">
        <v>18</v>
      </c>
      <c r="D214" s="2" t="s">
        <v>19</v>
      </c>
      <c r="E214" s="2" t="s">
        <v>154</v>
      </c>
      <c r="F214" s="2"/>
      <c r="G214" s="2">
        <v>0.0</v>
      </c>
      <c r="H214" s="2">
        <v>0.0</v>
      </c>
      <c r="I214" s="2">
        <v>0.0</v>
      </c>
      <c r="J214" s="2">
        <v>0.0</v>
      </c>
      <c r="K214" s="2">
        <v>0.0</v>
      </c>
      <c r="L214" s="2">
        <v>0.0</v>
      </c>
      <c r="M214" s="2"/>
      <c r="N214" s="2"/>
      <c r="O214" s="2"/>
      <c r="P214" s="2" t="s">
        <v>153</v>
      </c>
    </row>
    <row r="215">
      <c r="A215" s="3" t="s">
        <v>39</v>
      </c>
      <c r="B215" s="2" t="s">
        <v>17</v>
      </c>
      <c r="C215" s="2" t="s">
        <v>18</v>
      </c>
      <c r="D215" s="2" t="s">
        <v>19</v>
      </c>
      <c r="E215" s="2" t="s">
        <v>155</v>
      </c>
      <c r="F215" s="2">
        <v>13.0</v>
      </c>
      <c r="G215" s="2">
        <v>38.0</v>
      </c>
      <c r="H215" s="2">
        <v>6.0</v>
      </c>
      <c r="I215" s="2">
        <v>32.0</v>
      </c>
      <c r="J215" s="2">
        <v>0.0</v>
      </c>
      <c r="K215" s="2">
        <v>0.0</v>
      </c>
      <c r="L215" s="2">
        <v>1.0</v>
      </c>
      <c r="M215" s="2">
        <v>7.0</v>
      </c>
      <c r="N215" s="2"/>
      <c r="O215" s="2"/>
      <c r="P215" s="2" t="s">
        <v>67</v>
      </c>
    </row>
    <row r="216">
      <c r="A216" s="3" t="s">
        <v>40</v>
      </c>
      <c r="B216" s="2" t="s">
        <v>17</v>
      </c>
      <c r="C216" s="2" t="s">
        <v>18</v>
      </c>
      <c r="D216" s="2" t="s">
        <v>19</v>
      </c>
      <c r="E216" s="2" t="s">
        <v>27</v>
      </c>
      <c r="F216" s="2">
        <v>16.0</v>
      </c>
      <c r="G216" s="2">
        <v>7.0</v>
      </c>
      <c r="H216" s="2">
        <v>1.0</v>
      </c>
      <c r="I216" s="2">
        <v>6.0</v>
      </c>
      <c r="J216" s="2">
        <v>0.0</v>
      </c>
      <c r="K216" s="2">
        <v>0.0</v>
      </c>
      <c r="L216" s="2">
        <v>0.0</v>
      </c>
      <c r="M216" s="2">
        <v>15.0</v>
      </c>
      <c r="N216" s="2"/>
      <c r="O216" s="2"/>
      <c r="P216" s="2" t="s">
        <v>67</v>
      </c>
    </row>
    <row r="217">
      <c r="A217" s="3" t="s">
        <v>41</v>
      </c>
      <c r="B217" s="2" t="s">
        <v>17</v>
      </c>
      <c r="C217" s="2" t="s">
        <v>18</v>
      </c>
      <c r="D217" s="2" t="s">
        <v>23</v>
      </c>
      <c r="E217" s="2" t="s">
        <v>155</v>
      </c>
      <c r="F217" s="2">
        <v>13.0</v>
      </c>
      <c r="G217" s="2">
        <v>38.0</v>
      </c>
      <c r="H217" s="2">
        <v>6.0</v>
      </c>
      <c r="I217" s="2">
        <v>32.0</v>
      </c>
      <c r="J217" s="2">
        <v>0.0</v>
      </c>
      <c r="K217" s="2">
        <v>0.0</v>
      </c>
      <c r="L217" s="2">
        <v>1.0</v>
      </c>
      <c r="M217" s="2">
        <v>7.0</v>
      </c>
      <c r="N217" s="2">
        <v>0.0</v>
      </c>
      <c r="O217" s="2">
        <v>1.0</v>
      </c>
      <c r="P217" s="2" t="s">
        <v>67</v>
      </c>
    </row>
    <row r="218">
      <c r="A218" s="3" t="s">
        <v>42</v>
      </c>
      <c r="B218" s="2" t="s">
        <v>17</v>
      </c>
      <c r="C218" s="2" t="s">
        <v>18</v>
      </c>
      <c r="D218" s="2" t="s">
        <v>23</v>
      </c>
      <c r="E218" s="2" t="s">
        <v>27</v>
      </c>
      <c r="F218" s="2">
        <v>16.0</v>
      </c>
      <c r="G218" s="2">
        <v>7.0</v>
      </c>
      <c r="H218" s="2">
        <v>1.0</v>
      </c>
      <c r="I218" s="2">
        <v>6.0</v>
      </c>
      <c r="J218" s="2">
        <v>0.0</v>
      </c>
      <c r="K218" s="2">
        <v>0.0</v>
      </c>
      <c r="L218" s="2">
        <v>0.0</v>
      </c>
      <c r="M218" s="2">
        <v>15.0</v>
      </c>
      <c r="N218" s="2">
        <v>0.0</v>
      </c>
      <c r="O218" s="2">
        <v>14.0</v>
      </c>
      <c r="P218" s="2" t="s">
        <v>67</v>
      </c>
    </row>
    <row r="219">
      <c r="A219" s="3" t="s">
        <v>43</v>
      </c>
      <c r="B219" s="4">
        <v>45294.29166666667</v>
      </c>
      <c r="C219" s="2" t="s">
        <v>18</v>
      </c>
      <c r="D219" s="2" t="s">
        <v>19</v>
      </c>
      <c r="E219" s="2" t="s">
        <v>155</v>
      </c>
      <c r="F219" s="2"/>
      <c r="G219" s="2">
        <v>22.0</v>
      </c>
      <c r="H219" s="2">
        <v>1.0</v>
      </c>
      <c r="I219" s="2">
        <v>21.0</v>
      </c>
      <c r="J219" s="2">
        <v>0.0</v>
      </c>
      <c r="K219" s="2">
        <v>0.0</v>
      </c>
      <c r="L219" s="2">
        <v>0.0</v>
      </c>
      <c r="M219" s="2"/>
      <c r="N219" s="2"/>
      <c r="O219" s="2"/>
      <c r="P219" s="2" t="s">
        <v>67</v>
      </c>
    </row>
    <row r="220">
      <c r="A220" s="3" t="s">
        <v>44</v>
      </c>
      <c r="B220" s="4">
        <v>45295.29166666667</v>
      </c>
      <c r="C220" s="2" t="s">
        <v>18</v>
      </c>
      <c r="D220" s="2" t="s">
        <v>19</v>
      </c>
      <c r="E220" s="2" t="s">
        <v>27</v>
      </c>
      <c r="F220" s="2"/>
      <c r="G220" s="2">
        <v>7.0</v>
      </c>
      <c r="H220" s="2">
        <v>1.0</v>
      </c>
      <c r="I220" s="2">
        <v>6.0</v>
      </c>
      <c r="J220" s="2">
        <v>0.0</v>
      </c>
      <c r="K220" s="2">
        <v>0.0</v>
      </c>
      <c r="L220" s="2">
        <v>0.0</v>
      </c>
      <c r="M220" s="2"/>
      <c r="N220" s="2"/>
      <c r="O220" s="2"/>
      <c r="P220" s="2" t="s">
        <v>67</v>
      </c>
    </row>
    <row r="221">
      <c r="A221" s="3" t="s">
        <v>45</v>
      </c>
      <c r="B221" s="4">
        <v>45324.29166666667</v>
      </c>
      <c r="C221" s="2" t="s">
        <v>18</v>
      </c>
      <c r="D221" s="2" t="s">
        <v>19</v>
      </c>
      <c r="E221" s="2" t="s">
        <v>155</v>
      </c>
      <c r="F221" s="2"/>
      <c r="G221" s="2">
        <v>16.0</v>
      </c>
      <c r="H221" s="2">
        <v>5.0</v>
      </c>
      <c r="I221" s="2">
        <v>11.0</v>
      </c>
      <c r="J221" s="2">
        <v>0.0</v>
      </c>
      <c r="K221" s="2">
        <v>0.0</v>
      </c>
      <c r="L221" s="2">
        <v>1.0</v>
      </c>
      <c r="M221" s="2"/>
      <c r="N221" s="2"/>
      <c r="O221" s="2"/>
      <c r="P221" s="2" t="s">
        <v>67</v>
      </c>
    </row>
    <row r="222">
      <c r="A222" s="3" t="s">
        <v>16</v>
      </c>
      <c r="B222" s="4">
        <v>45324.29166666667</v>
      </c>
      <c r="C222" s="2" t="s">
        <v>18</v>
      </c>
      <c r="D222" s="2" t="s">
        <v>19</v>
      </c>
      <c r="E222" s="2" t="s">
        <v>27</v>
      </c>
      <c r="F222" s="2"/>
      <c r="G222" s="2">
        <v>0.0</v>
      </c>
      <c r="H222" s="2">
        <v>0.0</v>
      </c>
      <c r="I222" s="2">
        <v>0.0</v>
      </c>
      <c r="J222" s="2">
        <v>0.0</v>
      </c>
      <c r="K222" s="2">
        <v>0.0</v>
      </c>
      <c r="L222" s="2">
        <v>0.0</v>
      </c>
      <c r="M222" s="2"/>
      <c r="N222" s="2"/>
      <c r="O222" s="2"/>
      <c r="P222" s="2" t="s">
        <v>67</v>
      </c>
    </row>
    <row r="223">
      <c r="A223" s="3" t="s">
        <v>47</v>
      </c>
      <c r="B223" s="4">
        <v>45353.29166666667</v>
      </c>
      <c r="C223" s="2" t="s">
        <v>18</v>
      </c>
      <c r="D223" s="2" t="s">
        <v>19</v>
      </c>
      <c r="E223" s="2" t="s">
        <v>155</v>
      </c>
      <c r="F223" s="2"/>
      <c r="G223" s="2">
        <v>0.0</v>
      </c>
      <c r="H223" s="2">
        <v>0.0</v>
      </c>
      <c r="I223" s="2">
        <v>0.0</v>
      </c>
      <c r="J223" s="2">
        <v>0.0</v>
      </c>
      <c r="K223" s="2">
        <v>0.0</v>
      </c>
      <c r="L223" s="2">
        <v>0.0</v>
      </c>
      <c r="M223" s="2"/>
      <c r="N223" s="2"/>
      <c r="O223" s="2"/>
      <c r="P223" s="2" t="s">
        <v>67</v>
      </c>
    </row>
    <row r="224">
      <c r="A224" s="3" t="s">
        <v>48</v>
      </c>
      <c r="B224" s="4">
        <v>45353.29166666667</v>
      </c>
      <c r="C224" s="2" t="s">
        <v>18</v>
      </c>
      <c r="D224" s="2" t="s">
        <v>19</v>
      </c>
      <c r="E224" s="2" t="s">
        <v>27</v>
      </c>
      <c r="F224" s="2"/>
      <c r="G224" s="2">
        <v>0.0</v>
      </c>
      <c r="H224" s="2">
        <v>0.0</v>
      </c>
      <c r="I224" s="2">
        <v>0.0</v>
      </c>
      <c r="J224" s="2">
        <v>0.0</v>
      </c>
      <c r="K224" s="2">
        <v>0.0</v>
      </c>
      <c r="L224" s="2">
        <v>0.0</v>
      </c>
      <c r="M224" s="2"/>
      <c r="N224" s="2"/>
      <c r="O224" s="2"/>
      <c r="P224" s="2" t="s">
        <v>67</v>
      </c>
    </row>
    <row r="225">
      <c r="A225" s="3" t="s">
        <v>49</v>
      </c>
      <c r="B225" s="2" t="s">
        <v>17</v>
      </c>
      <c r="C225" s="2" t="s">
        <v>18</v>
      </c>
      <c r="D225" s="2" t="s">
        <v>69</v>
      </c>
      <c r="E225" s="2" t="s">
        <v>114</v>
      </c>
      <c r="F225" s="2">
        <v>15.0</v>
      </c>
      <c r="G225" s="2">
        <v>23.0</v>
      </c>
      <c r="H225" s="2">
        <v>4.0</v>
      </c>
      <c r="I225" s="2">
        <v>16.0</v>
      </c>
      <c r="J225" s="2">
        <v>0.0</v>
      </c>
      <c r="K225" s="2">
        <v>3.0</v>
      </c>
      <c r="L225" s="2">
        <v>0.0</v>
      </c>
      <c r="M225" s="2">
        <v>11.0</v>
      </c>
      <c r="N225" s="2"/>
      <c r="O225" s="2"/>
      <c r="P225" s="2" t="s">
        <v>92</v>
      </c>
    </row>
    <row r="226">
      <c r="A226" s="3" t="s">
        <v>51</v>
      </c>
      <c r="B226" s="5" t="s">
        <v>17</v>
      </c>
      <c r="C226" s="5" t="s">
        <v>18</v>
      </c>
      <c r="D226" s="5" t="s">
        <v>19</v>
      </c>
      <c r="E226" s="5" t="s">
        <v>114</v>
      </c>
      <c r="F226" s="5">
        <v>146.0</v>
      </c>
      <c r="G226" s="5">
        <v>179.0</v>
      </c>
      <c r="H226" s="5">
        <v>130.0</v>
      </c>
      <c r="I226" s="5">
        <v>48.0</v>
      </c>
      <c r="J226" s="5">
        <v>0.0</v>
      </c>
      <c r="K226" s="5">
        <v>1.0</v>
      </c>
      <c r="L226" s="5">
        <v>0.0</v>
      </c>
      <c r="M226" s="5">
        <v>16.0</v>
      </c>
      <c r="N226" s="5"/>
      <c r="O226" s="5"/>
      <c r="P226" s="5" t="s">
        <v>92</v>
      </c>
    </row>
    <row r="227">
      <c r="A227" s="3" t="s">
        <v>52</v>
      </c>
      <c r="B227" s="2" t="s">
        <v>17</v>
      </c>
      <c r="C227" s="2" t="s">
        <v>18</v>
      </c>
      <c r="D227" s="2" t="s">
        <v>23</v>
      </c>
      <c r="E227" s="2" t="s">
        <v>114</v>
      </c>
      <c r="F227" s="2">
        <v>150.0</v>
      </c>
      <c r="G227" s="2">
        <v>202.0</v>
      </c>
      <c r="H227" s="2">
        <v>134.0</v>
      </c>
      <c r="I227" s="2">
        <v>64.0</v>
      </c>
      <c r="J227" s="2">
        <v>0.0</v>
      </c>
      <c r="K227" s="2">
        <v>4.0</v>
      </c>
      <c r="L227" s="2">
        <v>0.0</v>
      </c>
      <c r="M227" s="2">
        <v>16.0</v>
      </c>
      <c r="N227" s="2">
        <v>-11.0</v>
      </c>
      <c r="O227" s="2">
        <v>-118.0</v>
      </c>
      <c r="P227" s="2" t="s">
        <v>92</v>
      </c>
    </row>
    <row r="228">
      <c r="A228" s="3" t="s">
        <v>53</v>
      </c>
      <c r="B228" s="4">
        <v>45294.29166666667</v>
      </c>
      <c r="C228" s="2" t="s">
        <v>18</v>
      </c>
      <c r="D228" s="2" t="s">
        <v>69</v>
      </c>
      <c r="E228" s="2" t="s">
        <v>114</v>
      </c>
      <c r="F228" s="2"/>
      <c r="G228" s="2">
        <v>4.0</v>
      </c>
      <c r="H228" s="2">
        <v>0.0</v>
      </c>
      <c r="I228" s="2">
        <v>3.0</v>
      </c>
      <c r="J228" s="2">
        <v>0.0</v>
      </c>
      <c r="K228" s="2">
        <v>1.0</v>
      </c>
      <c r="L228" s="2">
        <v>0.0</v>
      </c>
      <c r="M228" s="2"/>
      <c r="N228" s="2"/>
      <c r="O228" s="2"/>
      <c r="P228" s="2" t="s">
        <v>92</v>
      </c>
    </row>
    <row r="229">
      <c r="A229" s="3" t="s">
        <v>54</v>
      </c>
      <c r="B229" s="4">
        <v>45294.29166666667</v>
      </c>
      <c r="C229" s="2" t="s">
        <v>18</v>
      </c>
      <c r="D229" s="2" t="s">
        <v>19</v>
      </c>
      <c r="E229" s="2" t="s">
        <v>114</v>
      </c>
      <c r="F229" s="2"/>
      <c r="G229" s="2">
        <v>66.0</v>
      </c>
      <c r="H229" s="2">
        <v>48.0</v>
      </c>
      <c r="I229" s="2">
        <v>18.0</v>
      </c>
      <c r="J229" s="2">
        <v>0.0</v>
      </c>
      <c r="K229" s="2">
        <v>0.0</v>
      </c>
      <c r="L229" s="2">
        <v>0.0</v>
      </c>
      <c r="M229" s="2"/>
      <c r="N229" s="2"/>
      <c r="O229" s="2"/>
      <c r="P229" s="2" t="s">
        <v>92</v>
      </c>
    </row>
    <row r="230">
      <c r="A230" s="3" t="s">
        <v>55</v>
      </c>
      <c r="B230" s="4">
        <v>45323.29166666667</v>
      </c>
      <c r="C230" s="2" t="s">
        <v>18</v>
      </c>
      <c r="D230" s="2" t="s">
        <v>69</v>
      </c>
      <c r="E230" s="2" t="s">
        <v>114</v>
      </c>
      <c r="F230" s="2"/>
      <c r="G230" s="2">
        <v>17.0</v>
      </c>
      <c r="H230" s="2">
        <v>4.0</v>
      </c>
      <c r="I230" s="2">
        <v>13.0</v>
      </c>
      <c r="J230" s="2">
        <v>0.0</v>
      </c>
      <c r="K230" s="2">
        <v>0.0</v>
      </c>
      <c r="L230" s="2">
        <v>0.0</v>
      </c>
      <c r="M230" s="2"/>
      <c r="N230" s="2"/>
      <c r="O230" s="2"/>
      <c r="P230" s="2" t="s">
        <v>92</v>
      </c>
    </row>
    <row r="231">
      <c r="A231" s="3" t="s">
        <v>56</v>
      </c>
      <c r="B231" s="4">
        <v>45323.29166666667</v>
      </c>
      <c r="C231" s="2" t="s">
        <v>18</v>
      </c>
      <c r="D231" s="2" t="s">
        <v>19</v>
      </c>
      <c r="E231" s="2" t="s">
        <v>114</v>
      </c>
      <c r="F231" s="2"/>
      <c r="G231" s="2">
        <v>112.0</v>
      </c>
      <c r="H231" s="2">
        <v>82.0</v>
      </c>
      <c r="I231" s="2">
        <v>30.0</v>
      </c>
      <c r="J231" s="2">
        <v>0.0</v>
      </c>
      <c r="K231" s="2">
        <v>0.0</v>
      </c>
      <c r="L231" s="2">
        <v>0.0</v>
      </c>
      <c r="M231" s="2"/>
      <c r="N231" s="2"/>
      <c r="O231" s="2"/>
      <c r="P231" s="2" t="s">
        <v>92</v>
      </c>
    </row>
    <row r="232">
      <c r="A232" s="3" t="s">
        <v>59</v>
      </c>
      <c r="B232" s="4">
        <v>45352.29166666667</v>
      </c>
      <c r="C232" s="2" t="s">
        <v>18</v>
      </c>
      <c r="D232" s="2" t="s">
        <v>69</v>
      </c>
      <c r="E232" s="2" t="s">
        <v>114</v>
      </c>
      <c r="F232" s="2"/>
      <c r="G232" s="2">
        <v>2.0</v>
      </c>
      <c r="H232" s="2">
        <v>0.0</v>
      </c>
      <c r="I232" s="2">
        <v>0.0</v>
      </c>
      <c r="J232" s="2">
        <v>0.0</v>
      </c>
      <c r="K232" s="2">
        <v>2.0</v>
      </c>
      <c r="L232" s="2">
        <v>0.0</v>
      </c>
      <c r="M232" s="2"/>
      <c r="N232" s="2"/>
      <c r="O232" s="2"/>
      <c r="P232" s="2" t="s">
        <v>92</v>
      </c>
    </row>
    <row r="233">
      <c r="A233" s="3" t="s">
        <v>60</v>
      </c>
      <c r="B233" s="4">
        <v>45352.29166666667</v>
      </c>
      <c r="C233" s="2" t="s">
        <v>18</v>
      </c>
      <c r="D233" s="2" t="s">
        <v>19</v>
      </c>
      <c r="E233" s="2" t="s">
        <v>114</v>
      </c>
      <c r="F233" s="2"/>
      <c r="G233" s="2">
        <v>1.0</v>
      </c>
      <c r="H233" s="2">
        <v>0.0</v>
      </c>
      <c r="I233" s="2">
        <v>0.0</v>
      </c>
      <c r="J233" s="2">
        <v>0.0</v>
      </c>
      <c r="K233" s="2">
        <v>1.0</v>
      </c>
      <c r="L233" s="2">
        <v>0.0</v>
      </c>
      <c r="M233" s="2"/>
      <c r="N233" s="2"/>
      <c r="O233" s="2"/>
      <c r="P233" s="2" t="s">
        <v>92</v>
      </c>
    </row>
    <row r="234">
      <c r="A234" s="3" t="s">
        <v>61</v>
      </c>
      <c r="B234" s="2" t="s">
        <v>17</v>
      </c>
      <c r="C234" s="2" t="s">
        <v>18</v>
      </c>
      <c r="D234" s="2" t="s">
        <v>91</v>
      </c>
      <c r="E234" s="2" t="s">
        <v>156</v>
      </c>
      <c r="F234" s="2">
        <v>231.0</v>
      </c>
      <c r="G234" s="2">
        <v>129.0</v>
      </c>
      <c r="H234" s="2">
        <v>71.0</v>
      </c>
      <c r="I234" s="2">
        <v>26.0</v>
      </c>
      <c r="J234" s="2">
        <v>24.0</v>
      </c>
      <c r="K234" s="2">
        <v>8.0</v>
      </c>
      <c r="L234" s="2">
        <v>4.0</v>
      </c>
      <c r="M234" s="2">
        <v>160.0</v>
      </c>
      <c r="N234" s="2"/>
      <c r="O234" s="2"/>
      <c r="P234" s="2" t="s">
        <v>146</v>
      </c>
    </row>
    <row r="235">
      <c r="A235" s="3" t="s">
        <v>62</v>
      </c>
      <c r="B235" s="2" t="s">
        <v>17</v>
      </c>
      <c r="C235" s="2" t="s">
        <v>18</v>
      </c>
      <c r="D235" s="2" t="s">
        <v>23</v>
      </c>
      <c r="E235" s="2" t="s">
        <v>156</v>
      </c>
      <c r="F235" s="2">
        <v>231.0</v>
      </c>
      <c r="G235" s="2">
        <v>129.0</v>
      </c>
      <c r="H235" s="2">
        <v>71.0</v>
      </c>
      <c r="I235" s="2">
        <v>26.0</v>
      </c>
      <c r="J235" s="2">
        <v>24.0</v>
      </c>
      <c r="K235" s="2">
        <v>8.0</v>
      </c>
      <c r="L235" s="2">
        <v>4.0</v>
      </c>
      <c r="M235" s="2">
        <v>160.0</v>
      </c>
      <c r="N235" s="2">
        <v>0.0</v>
      </c>
      <c r="O235" s="2">
        <v>89.0</v>
      </c>
      <c r="P235" s="2" t="s">
        <v>146</v>
      </c>
    </row>
    <row r="236">
      <c r="A236" s="3" t="s">
        <v>63</v>
      </c>
      <c r="B236" s="4">
        <v>45294.29166666667</v>
      </c>
      <c r="C236" s="2" t="s">
        <v>18</v>
      </c>
      <c r="D236" s="2" t="s">
        <v>91</v>
      </c>
      <c r="E236" s="2" t="s">
        <v>156</v>
      </c>
      <c r="F236" s="2"/>
      <c r="G236" s="2">
        <v>53.0</v>
      </c>
      <c r="H236" s="2">
        <v>20.0</v>
      </c>
      <c r="I236" s="2">
        <v>19.0</v>
      </c>
      <c r="J236" s="2">
        <v>14.0</v>
      </c>
      <c r="K236" s="2">
        <v>0.0</v>
      </c>
      <c r="L236" s="2">
        <v>0.0</v>
      </c>
      <c r="M236" s="2"/>
      <c r="N236" s="2"/>
      <c r="O236" s="2"/>
      <c r="P236" s="2" t="s">
        <v>146</v>
      </c>
    </row>
    <row r="237">
      <c r="A237" s="3" t="s">
        <v>64</v>
      </c>
      <c r="B237" s="4">
        <v>45324.29166666667</v>
      </c>
      <c r="C237" s="2" t="s">
        <v>18</v>
      </c>
      <c r="D237" s="2" t="s">
        <v>91</v>
      </c>
      <c r="E237" s="2" t="s">
        <v>156</v>
      </c>
      <c r="F237" s="2"/>
      <c r="G237" s="2">
        <v>68.0</v>
      </c>
      <c r="H237" s="2">
        <v>51.0</v>
      </c>
      <c r="I237" s="2">
        <v>7.0</v>
      </c>
      <c r="J237" s="2">
        <v>10.0</v>
      </c>
      <c r="K237" s="2">
        <v>0.0</v>
      </c>
      <c r="L237" s="2">
        <v>0.0</v>
      </c>
      <c r="M237" s="2"/>
      <c r="N237" s="2"/>
      <c r="O237" s="2"/>
      <c r="P237" s="2" t="s">
        <v>146</v>
      </c>
    </row>
    <row r="238">
      <c r="A238" s="3" t="s">
        <v>65</v>
      </c>
      <c r="B238" s="4">
        <v>45352.29166666667</v>
      </c>
      <c r="C238" s="2" t="s">
        <v>18</v>
      </c>
      <c r="D238" s="2" t="s">
        <v>91</v>
      </c>
      <c r="E238" s="2" t="s">
        <v>156</v>
      </c>
      <c r="F238" s="2"/>
      <c r="G238" s="2">
        <v>8.0</v>
      </c>
      <c r="H238" s="2">
        <v>0.0</v>
      </c>
      <c r="I238" s="2">
        <v>0.0</v>
      </c>
      <c r="J238" s="2">
        <v>0.0</v>
      </c>
      <c r="K238" s="2">
        <v>8.0</v>
      </c>
      <c r="L238" s="2">
        <v>4.0</v>
      </c>
      <c r="M238" s="2"/>
      <c r="N238" s="2"/>
      <c r="O238" s="2"/>
      <c r="P238" s="2" t="s">
        <v>146</v>
      </c>
    </row>
    <row r="239">
      <c r="A239" s="3" t="s">
        <v>66</v>
      </c>
      <c r="B239" s="2" t="s">
        <v>17</v>
      </c>
      <c r="C239" s="2" t="s">
        <v>18</v>
      </c>
      <c r="D239" s="2" t="s">
        <v>157</v>
      </c>
      <c r="E239" s="2" t="s">
        <v>27</v>
      </c>
      <c r="F239" s="2">
        <v>115.0</v>
      </c>
      <c r="G239" s="2">
        <v>198.0</v>
      </c>
      <c r="H239" s="2">
        <v>49.0</v>
      </c>
      <c r="I239" s="2">
        <v>97.0</v>
      </c>
      <c r="J239" s="2">
        <v>5.0</v>
      </c>
      <c r="K239" s="2">
        <v>47.0</v>
      </c>
      <c r="L239" s="2">
        <v>19.0</v>
      </c>
      <c r="M239" s="2">
        <v>66.0</v>
      </c>
      <c r="N239" s="2"/>
      <c r="O239" s="2"/>
      <c r="P239" s="2" t="s">
        <v>92</v>
      </c>
    </row>
    <row r="240">
      <c r="A240" s="3" t="s">
        <v>68</v>
      </c>
      <c r="B240" s="2" t="s">
        <v>17</v>
      </c>
      <c r="C240" s="2" t="s">
        <v>18</v>
      </c>
      <c r="D240" s="2" t="s">
        <v>19</v>
      </c>
      <c r="E240" s="2" t="s">
        <v>27</v>
      </c>
      <c r="F240" s="2">
        <v>116.0</v>
      </c>
      <c r="G240" s="2">
        <v>116.0</v>
      </c>
      <c r="H240" s="2">
        <v>45.0</v>
      </c>
      <c r="I240" s="2">
        <v>52.0</v>
      </c>
      <c r="J240" s="2">
        <v>5.0</v>
      </c>
      <c r="K240" s="2">
        <v>14.0</v>
      </c>
      <c r="L240" s="2">
        <v>6.0</v>
      </c>
      <c r="M240" s="2">
        <v>71.0</v>
      </c>
      <c r="N240" s="2"/>
      <c r="O240" s="2"/>
      <c r="P240" s="2" t="s">
        <v>92</v>
      </c>
    </row>
    <row r="241">
      <c r="A241" s="3" t="s">
        <v>70</v>
      </c>
      <c r="B241" s="2" t="s">
        <v>17</v>
      </c>
      <c r="C241" s="2" t="s">
        <v>18</v>
      </c>
      <c r="D241" s="2" t="s">
        <v>23</v>
      </c>
      <c r="E241" s="2" t="s">
        <v>27</v>
      </c>
      <c r="F241" s="2">
        <v>231.0</v>
      </c>
      <c r="G241" s="2">
        <v>314.0</v>
      </c>
      <c r="H241" s="2">
        <v>94.0</v>
      </c>
      <c r="I241" s="2">
        <v>149.0</v>
      </c>
      <c r="J241" s="2">
        <v>10.0</v>
      </c>
      <c r="K241" s="2">
        <v>61.0</v>
      </c>
      <c r="L241" s="2">
        <v>25.0</v>
      </c>
      <c r="M241" s="2">
        <v>137.0</v>
      </c>
      <c r="N241" s="2">
        <v>0.0</v>
      </c>
      <c r="O241" s="2">
        <v>43.0</v>
      </c>
      <c r="P241" s="2" t="s">
        <v>92</v>
      </c>
    </row>
    <row r="242">
      <c r="A242" s="3" t="s">
        <v>16</v>
      </c>
      <c r="B242" s="4">
        <v>45262.29166666667</v>
      </c>
      <c r="C242" s="2" t="s">
        <v>18</v>
      </c>
      <c r="D242" s="2" t="s">
        <v>19</v>
      </c>
      <c r="E242" s="2" t="s">
        <v>27</v>
      </c>
      <c r="F242" s="2"/>
      <c r="G242" s="2">
        <v>13.0</v>
      </c>
      <c r="H242" s="2">
        <v>7.0</v>
      </c>
      <c r="I242" s="2">
        <v>5.0</v>
      </c>
      <c r="J242" s="2">
        <v>1.0</v>
      </c>
      <c r="K242" s="2">
        <v>0.0</v>
      </c>
      <c r="L242" s="2">
        <v>0.0</v>
      </c>
      <c r="M242" s="2"/>
      <c r="N242" s="2"/>
      <c r="O242" s="2"/>
      <c r="P242" s="2" t="s">
        <v>92</v>
      </c>
    </row>
    <row r="243">
      <c r="A243" s="3" t="s">
        <v>71</v>
      </c>
      <c r="B243" s="4">
        <v>45293.29166666667</v>
      </c>
      <c r="C243" s="2" t="s">
        <v>18</v>
      </c>
      <c r="D243" s="2" t="s">
        <v>19</v>
      </c>
      <c r="E243" s="2" t="s">
        <v>27</v>
      </c>
      <c r="F243" s="2"/>
      <c r="G243" s="2">
        <v>42.0</v>
      </c>
      <c r="H243" s="2">
        <v>22.0</v>
      </c>
      <c r="I243" s="2">
        <v>17.0</v>
      </c>
      <c r="J243" s="2">
        <v>3.0</v>
      </c>
      <c r="K243" s="2">
        <v>0.0</v>
      </c>
      <c r="L243" s="2">
        <v>0.0</v>
      </c>
      <c r="M243" s="2"/>
      <c r="N243" s="2"/>
      <c r="O243" s="2"/>
      <c r="P243" s="2" t="s">
        <v>92</v>
      </c>
    </row>
    <row r="244">
      <c r="A244" s="3" t="s">
        <v>72</v>
      </c>
      <c r="B244" s="4">
        <v>45324.29166666667</v>
      </c>
      <c r="C244" s="2" t="s">
        <v>18</v>
      </c>
      <c r="D244" s="2" t="s">
        <v>157</v>
      </c>
      <c r="E244" s="2" t="s">
        <v>27</v>
      </c>
      <c r="F244" s="2"/>
      <c r="G244" s="2">
        <v>130.0</v>
      </c>
      <c r="H244" s="2">
        <v>49.0</v>
      </c>
      <c r="I244" s="2">
        <v>76.0</v>
      </c>
      <c r="J244" s="2">
        <v>5.0</v>
      </c>
      <c r="K244" s="2">
        <v>0.0</v>
      </c>
      <c r="L244" s="2">
        <v>0.0</v>
      </c>
      <c r="M244" s="2"/>
      <c r="N244" s="2"/>
      <c r="O244" s="2"/>
      <c r="P244" s="2" t="s">
        <v>92</v>
      </c>
    </row>
    <row r="245">
      <c r="A245" s="3" t="s">
        <v>73</v>
      </c>
      <c r="B245" s="4">
        <v>45325.29166666667</v>
      </c>
      <c r="C245" s="2" t="s">
        <v>18</v>
      </c>
      <c r="D245" s="2" t="s">
        <v>19</v>
      </c>
      <c r="E245" s="2" t="s">
        <v>27</v>
      </c>
      <c r="F245" s="2"/>
      <c r="G245" s="2">
        <v>39.0</v>
      </c>
      <c r="H245" s="2">
        <v>13.0</v>
      </c>
      <c r="I245" s="2">
        <v>25.0</v>
      </c>
      <c r="J245" s="2">
        <v>1.0</v>
      </c>
      <c r="K245" s="2">
        <v>0.0</v>
      </c>
      <c r="L245" s="2">
        <v>0.0</v>
      </c>
      <c r="M245" s="2"/>
      <c r="N245" s="2"/>
      <c r="O245" s="2"/>
      <c r="P245" s="2" t="s">
        <v>92</v>
      </c>
    </row>
    <row r="246">
      <c r="A246" s="3" t="s">
        <v>74</v>
      </c>
      <c r="B246" s="4">
        <v>45353.29166666667</v>
      </c>
      <c r="C246" s="2" t="s">
        <v>18</v>
      </c>
      <c r="D246" s="2" t="s">
        <v>157</v>
      </c>
      <c r="E246" s="2" t="s">
        <v>27</v>
      </c>
      <c r="F246" s="2"/>
      <c r="G246" s="2">
        <v>68.0</v>
      </c>
      <c r="H246" s="2">
        <v>0.0</v>
      </c>
      <c r="I246" s="2">
        <v>21.0</v>
      </c>
      <c r="J246" s="2">
        <v>0.0</v>
      </c>
      <c r="K246" s="2">
        <v>47.0</v>
      </c>
      <c r="L246" s="2">
        <v>19.0</v>
      </c>
      <c r="M246" s="2"/>
      <c r="N246" s="2"/>
      <c r="O246" s="2"/>
      <c r="P246" s="2" t="s">
        <v>92</v>
      </c>
    </row>
    <row r="247">
      <c r="A247" s="3" t="s">
        <v>75</v>
      </c>
      <c r="B247" s="4">
        <v>45353.29166666667</v>
      </c>
      <c r="C247" s="2" t="s">
        <v>18</v>
      </c>
      <c r="D247" s="2" t="s">
        <v>19</v>
      </c>
      <c r="E247" s="2" t="s">
        <v>27</v>
      </c>
      <c r="F247" s="2"/>
      <c r="G247" s="2">
        <v>21.0</v>
      </c>
      <c r="H247" s="2">
        <v>3.0</v>
      </c>
      <c r="I247" s="2">
        <v>4.0</v>
      </c>
      <c r="J247" s="2">
        <v>0.0</v>
      </c>
      <c r="K247" s="2">
        <v>14.0</v>
      </c>
      <c r="L247" s="2">
        <v>6.0</v>
      </c>
      <c r="M247" s="2"/>
      <c r="N247" s="2"/>
      <c r="O247" s="2"/>
      <c r="P247" s="2" t="s">
        <v>92</v>
      </c>
    </row>
    <row r="248">
      <c r="A248" s="3" t="s">
        <v>76</v>
      </c>
      <c r="B248" s="2" t="s">
        <v>17</v>
      </c>
      <c r="C248" s="2" t="s">
        <v>18</v>
      </c>
      <c r="D248" s="2" t="s">
        <v>19</v>
      </c>
      <c r="E248" s="2" t="s">
        <v>116</v>
      </c>
      <c r="F248" s="2">
        <v>20.0</v>
      </c>
      <c r="G248" s="2">
        <v>16.0</v>
      </c>
      <c r="H248" s="2">
        <v>8.0</v>
      </c>
      <c r="I248" s="2">
        <v>4.0</v>
      </c>
      <c r="J248" s="2">
        <v>0.0</v>
      </c>
      <c r="K248" s="2">
        <v>4.0</v>
      </c>
      <c r="L248" s="2">
        <v>0.0</v>
      </c>
      <c r="M248" s="2">
        <v>12.0</v>
      </c>
      <c r="N248" s="2"/>
      <c r="O248" s="2"/>
      <c r="P248" s="2" t="s">
        <v>92</v>
      </c>
    </row>
    <row r="249">
      <c r="A249" s="3" t="s">
        <v>77</v>
      </c>
      <c r="B249" s="2" t="s">
        <v>17</v>
      </c>
      <c r="C249" s="2" t="s">
        <v>18</v>
      </c>
      <c r="D249" s="2" t="s">
        <v>19</v>
      </c>
      <c r="E249" s="2" t="s">
        <v>110</v>
      </c>
      <c r="F249" s="2">
        <v>20.0</v>
      </c>
      <c r="G249" s="2">
        <v>1.0</v>
      </c>
      <c r="H249" s="2">
        <v>0.0</v>
      </c>
      <c r="I249" s="2">
        <v>0.0</v>
      </c>
      <c r="J249" s="2">
        <v>0.0</v>
      </c>
      <c r="K249" s="2">
        <v>1.0</v>
      </c>
      <c r="L249" s="2">
        <v>0.0</v>
      </c>
      <c r="M249" s="2">
        <v>20.0</v>
      </c>
      <c r="N249" s="2"/>
      <c r="O249" s="2"/>
      <c r="P249" s="2" t="s">
        <v>92</v>
      </c>
    </row>
    <row r="250">
      <c r="A250" s="3" t="s">
        <v>78</v>
      </c>
      <c r="B250" s="2" t="s">
        <v>17</v>
      </c>
      <c r="C250" s="2" t="s">
        <v>148</v>
      </c>
      <c r="D250" s="2" t="s">
        <v>19</v>
      </c>
      <c r="E250" s="2" t="s">
        <v>122</v>
      </c>
      <c r="F250" s="2">
        <v>5.0</v>
      </c>
      <c r="G250" s="2">
        <v>0.0</v>
      </c>
      <c r="H250" s="2">
        <v>0.0</v>
      </c>
      <c r="I250" s="2">
        <v>0.0</v>
      </c>
      <c r="J250" s="2">
        <v>0.0</v>
      </c>
      <c r="K250" s="2">
        <v>0.0</v>
      </c>
      <c r="L250" s="2">
        <v>0.0</v>
      </c>
      <c r="M250" s="2">
        <v>5.0</v>
      </c>
      <c r="N250" s="2"/>
      <c r="O250" s="2"/>
      <c r="P250" s="2" t="s">
        <v>92</v>
      </c>
    </row>
    <row r="251">
      <c r="A251" s="3" t="s">
        <v>81</v>
      </c>
      <c r="B251" s="2" t="s">
        <v>17</v>
      </c>
      <c r="C251" s="2" t="s">
        <v>148</v>
      </c>
      <c r="D251" s="2" t="s">
        <v>19</v>
      </c>
      <c r="E251" s="2" t="s">
        <v>118</v>
      </c>
      <c r="F251" s="2">
        <v>5.0</v>
      </c>
      <c r="G251" s="2">
        <v>1.0</v>
      </c>
      <c r="H251" s="2">
        <v>0.0</v>
      </c>
      <c r="I251" s="2">
        <v>0.0</v>
      </c>
      <c r="J251" s="2">
        <v>0.0</v>
      </c>
      <c r="K251" s="2">
        <v>1.0</v>
      </c>
      <c r="L251" s="2">
        <v>0.0</v>
      </c>
      <c r="M251" s="2">
        <v>5.0</v>
      </c>
      <c r="N251" s="2"/>
      <c r="O251" s="2"/>
      <c r="P251" s="2" t="s">
        <v>92</v>
      </c>
    </row>
    <row r="252">
      <c r="A252" s="3" t="s">
        <v>82</v>
      </c>
      <c r="B252" s="2" t="s">
        <v>17</v>
      </c>
      <c r="C252" s="2" t="s">
        <v>18</v>
      </c>
      <c r="D252" s="2" t="s">
        <v>30</v>
      </c>
      <c r="E252" s="2" t="s">
        <v>116</v>
      </c>
      <c r="F252" s="2">
        <v>42.0</v>
      </c>
      <c r="G252" s="2">
        <v>18.0</v>
      </c>
      <c r="H252" s="2">
        <v>2.0</v>
      </c>
      <c r="I252" s="2">
        <v>1.0</v>
      </c>
      <c r="J252" s="2">
        <v>0.0</v>
      </c>
      <c r="K252" s="2">
        <v>15.0</v>
      </c>
      <c r="L252" s="2">
        <v>0.0</v>
      </c>
      <c r="M252" s="2">
        <v>40.0</v>
      </c>
      <c r="N252" s="2"/>
      <c r="O252" s="2"/>
      <c r="P252" s="2" t="s">
        <v>92</v>
      </c>
    </row>
    <row r="253">
      <c r="A253" s="3" t="s">
        <v>83</v>
      </c>
      <c r="B253" s="2" t="s">
        <v>17</v>
      </c>
      <c r="C253" s="2" t="s">
        <v>18</v>
      </c>
      <c r="D253" s="2" t="s">
        <v>30</v>
      </c>
      <c r="E253" s="2" t="s">
        <v>110</v>
      </c>
      <c r="F253" s="2">
        <v>50.0</v>
      </c>
      <c r="G253" s="2">
        <v>29.0</v>
      </c>
      <c r="H253" s="2">
        <v>4.0</v>
      </c>
      <c r="I253" s="2">
        <v>1.0</v>
      </c>
      <c r="J253" s="2">
        <v>0.0</v>
      </c>
      <c r="K253" s="2">
        <v>24.0</v>
      </c>
      <c r="L253" s="2">
        <v>0.0</v>
      </c>
      <c r="M253" s="2">
        <v>46.0</v>
      </c>
      <c r="N253" s="2"/>
      <c r="O253" s="2"/>
      <c r="P253" s="2" t="s">
        <v>92</v>
      </c>
    </row>
    <row r="254">
      <c r="A254" s="3" t="s">
        <v>84</v>
      </c>
      <c r="B254" s="2" t="s">
        <v>17</v>
      </c>
      <c r="C254" s="2" t="s">
        <v>18</v>
      </c>
      <c r="D254" s="2" t="s">
        <v>30</v>
      </c>
      <c r="E254" s="2" t="s">
        <v>122</v>
      </c>
      <c r="F254" s="2">
        <v>10.0</v>
      </c>
      <c r="G254" s="2">
        <v>11.0</v>
      </c>
      <c r="H254" s="2">
        <v>3.0</v>
      </c>
      <c r="I254" s="2">
        <v>1.0</v>
      </c>
      <c r="J254" s="2">
        <v>0.0</v>
      </c>
      <c r="K254" s="2">
        <v>7.0</v>
      </c>
      <c r="L254" s="2">
        <v>0.0</v>
      </c>
      <c r="M254" s="2">
        <v>7.0</v>
      </c>
      <c r="N254" s="2"/>
      <c r="O254" s="2"/>
      <c r="P254" s="2" t="s">
        <v>92</v>
      </c>
    </row>
    <row r="255">
      <c r="A255" s="3" t="s">
        <v>85</v>
      </c>
      <c r="B255" s="2" t="s">
        <v>17</v>
      </c>
      <c r="C255" s="2" t="s">
        <v>18</v>
      </c>
      <c r="D255" s="2" t="s">
        <v>30</v>
      </c>
      <c r="E255" s="2" t="s">
        <v>118</v>
      </c>
      <c r="F255" s="2">
        <v>10.0</v>
      </c>
      <c r="G255" s="2">
        <v>14.0</v>
      </c>
      <c r="H255" s="2">
        <v>3.0</v>
      </c>
      <c r="I255" s="2">
        <v>0.0</v>
      </c>
      <c r="J255" s="2">
        <v>0.0</v>
      </c>
      <c r="K255" s="2">
        <v>11.0</v>
      </c>
      <c r="L255" s="2">
        <v>0.0</v>
      </c>
      <c r="M255" s="2">
        <v>7.0</v>
      </c>
      <c r="N255" s="2"/>
      <c r="O255" s="2"/>
      <c r="P255" s="2" t="s">
        <v>92</v>
      </c>
    </row>
    <row r="256">
      <c r="A256" s="3" t="s">
        <v>86</v>
      </c>
      <c r="B256" s="2" t="s">
        <v>17</v>
      </c>
      <c r="C256" s="2" t="s">
        <v>18</v>
      </c>
      <c r="D256" s="2" t="s">
        <v>23</v>
      </c>
      <c r="E256" s="2" t="s">
        <v>116</v>
      </c>
      <c r="F256" s="2">
        <v>50.0</v>
      </c>
      <c r="G256" s="2">
        <v>34.0</v>
      </c>
      <c r="H256" s="2">
        <v>10.0</v>
      </c>
      <c r="I256" s="2">
        <v>5.0</v>
      </c>
      <c r="J256" s="2">
        <v>0.0</v>
      </c>
      <c r="K256" s="2">
        <v>19.0</v>
      </c>
      <c r="L256" s="2">
        <v>0.0</v>
      </c>
      <c r="M256" s="2">
        <v>40.0</v>
      </c>
      <c r="N256" s="2">
        <v>-12.0</v>
      </c>
      <c r="O256" s="2">
        <v>30.0</v>
      </c>
      <c r="P256" s="2" t="s">
        <v>92</v>
      </c>
    </row>
    <row r="257">
      <c r="A257" s="3" t="s">
        <v>87</v>
      </c>
      <c r="B257" s="2" t="s">
        <v>17</v>
      </c>
      <c r="C257" s="2" t="s">
        <v>18</v>
      </c>
      <c r="D257" s="2" t="s">
        <v>23</v>
      </c>
      <c r="E257" s="2" t="s">
        <v>110</v>
      </c>
      <c r="F257" s="2">
        <v>50.0</v>
      </c>
      <c r="G257" s="2">
        <v>30.0</v>
      </c>
      <c r="H257" s="2">
        <v>4.0</v>
      </c>
      <c r="I257" s="2">
        <v>1.0</v>
      </c>
      <c r="J257" s="2">
        <v>0.0</v>
      </c>
      <c r="K257" s="2">
        <v>25.0</v>
      </c>
      <c r="L257" s="2">
        <v>0.0</v>
      </c>
      <c r="M257" s="2">
        <v>46.0</v>
      </c>
      <c r="N257" s="2">
        <v>-20.0</v>
      </c>
      <c r="O257" s="2">
        <v>42.0</v>
      </c>
      <c r="P257" s="2" t="s">
        <v>92</v>
      </c>
    </row>
    <row r="258">
      <c r="A258" s="3" t="s">
        <v>88</v>
      </c>
      <c r="B258" s="2" t="s">
        <v>17</v>
      </c>
      <c r="C258" s="2" t="s">
        <v>18</v>
      </c>
      <c r="D258" s="2" t="s">
        <v>23</v>
      </c>
      <c r="E258" s="2" t="s">
        <v>122</v>
      </c>
      <c r="F258" s="2">
        <v>10.0</v>
      </c>
      <c r="G258" s="2">
        <v>11.0</v>
      </c>
      <c r="H258" s="2">
        <v>3.0</v>
      </c>
      <c r="I258" s="2">
        <v>1.0</v>
      </c>
      <c r="J258" s="2">
        <v>0.0</v>
      </c>
      <c r="K258" s="2">
        <v>7.0</v>
      </c>
      <c r="L258" s="2">
        <v>0.0</v>
      </c>
      <c r="M258" s="2">
        <v>7.0</v>
      </c>
      <c r="N258" s="2">
        <v>-5.0</v>
      </c>
      <c r="O258" s="2">
        <v>4.0</v>
      </c>
      <c r="P258" s="2" t="s">
        <v>92</v>
      </c>
    </row>
    <row r="259">
      <c r="A259" s="3" t="s">
        <v>89</v>
      </c>
      <c r="B259" s="2" t="s">
        <v>17</v>
      </c>
      <c r="C259" s="2" t="s">
        <v>18</v>
      </c>
      <c r="D259" s="2" t="s">
        <v>23</v>
      </c>
      <c r="E259" s="2" t="s">
        <v>118</v>
      </c>
      <c r="F259" s="2">
        <v>10.0</v>
      </c>
      <c r="G259" s="2">
        <v>15.0</v>
      </c>
      <c r="H259" s="2">
        <v>3.0</v>
      </c>
      <c r="I259" s="2">
        <v>0.0</v>
      </c>
      <c r="J259" s="2">
        <v>0.0</v>
      </c>
      <c r="K259" s="2">
        <v>12.0</v>
      </c>
      <c r="L259" s="2">
        <v>0.0</v>
      </c>
      <c r="M259" s="2">
        <v>7.0</v>
      </c>
      <c r="N259" s="2">
        <v>-5.0</v>
      </c>
      <c r="O259" s="2">
        <v>4.0</v>
      </c>
      <c r="P259" s="2" t="s">
        <v>92</v>
      </c>
    </row>
    <row r="260">
      <c r="A260" s="3" t="s">
        <v>90</v>
      </c>
      <c r="B260" s="4">
        <v>45294.29166666667</v>
      </c>
      <c r="C260" s="2" t="s">
        <v>18</v>
      </c>
      <c r="D260" s="2" t="s">
        <v>19</v>
      </c>
      <c r="E260" s="2" t="s">
        <v>116</v>
      </c>
      <c r="F260" s="2"/>
      <c r="G260" s="2">
        <v>5.0</v>
      </c>
      <c r="H260" s="2">
        <v>4.0</v>
      </c>
      <c r="I260" s="2">
        <v>1.0</v>
      </c>
      <c r="J260" s="2">
        <v>0.0</v>
      </c>
      <c r="K260" s="2">
        <v>0.0</v>
      </c>
      <c r="L260" s="2">
        <v>0.0</v>
      </c>
      <c r="M260" s="2"/>
      <c r="N260" s="2"/>
      <c r="O260" s="2"/>
      <c r="P260" s="2" t="s">
        <v>92</v>
      </c>
    </row>
    <row r="261">
      <c r="A261" s="3" t="s">
        <v>93</v>
      </c>
      <c r="B261" s="4">
        <v>45294.29166666667</v>
      </c>
      <c r="C261" s="2" t="s">
        <v>18</v>
      </c>
      <c r="D261" s="2" t="s">
        <v>19</v>
      </c>
      <c r="E261" s="2" t="s">
        <v>110</v>
      </c>
      <c r="F261" s="2"/>
      <c r="G261" s="2">
        <v>0.0</v>
      </c>
      <c r="H261" s="2">
        <v>0.0</v>
      </c>
      <c r="I261" s="2">
        <v>0.0</v>
      </c>
      <c r="J261" s="2">
        <v>0.0</v>
      </c>
      <c r="K261" s="2">
        <v>0.0</v>
      </c>
      <c r="L261" s="2">
        <v>0.0</v>
      </c>
      <c r="M261" s="2"/>
      <c r="N261" s="2"/>
      <c r="O261" s="2"/>
      <c r="P261" s="2" t="s">
        <v>92</v>
      </c>
    </row>
    <row r="262">
      <c r="A262" s="3" t="s">
        <v>16</v>
      </c>
      <c r="B262" s="4">
        <v>45294.29166666667</v>
      </c>
      <c r="C262" s="2" t="s">
        <v>18</v>
      </c>
      <c r="D262" s="2" t="s">
        <v>19</v>
      </c>
      <c r="E262" s="2" t="s">
        <v>122</v>
      </c>
      <c r="F262" s="2"/>
      <c r="G262" s="2">
        <v>0.0</v>
      </c>
      <c r="H262" s="2">
        <v>0.0</v>
      </c>
      <c r="I262" s="2">
        <v>0.0</v>
      </c>
      <c r="J262" s="2">
        <v>0.0</v>
      </c>
      <c r="K262" s="2">
        <v>0.0</v>
      </c>
      <c r="L262" s="2">
        <v>0.0</v>
      </c>
      <c r="M262" s="2"/>
      <c r="N262" s="2"/>
      <c r="O262" s="2"/>
      <c r="P262" s="2" t="s">
        <v>92</v>
      </c>
    </row>
    <row r="263">
      <c r="A263" s="3" t="s">
        <v>94</v>
      </c>
      <c r="B263" s="4">
        <v>45294.29166666667</v>
      </c>
      <c r="C263" s="2" t="s">
        <v>18</v>
      </c>
      <c r="D263" s="2" t="s">
        <v>19</v>
      </c>
      <c r="E263" s="2" t="s">
        <v>118</v>
      </c>
      <c r="F263" s="2"/>
      <c r="G263" s="2">
        <v>0.0</v>
      </c>
      <c r="H263" s="2">
        <v>0.0</v>
      </c>
      <c r="I263" s="2">
        <v>0.0</v>
      </c>
      <c r="J263" s="2">
        <v>0.0</v>
      </c>
      <c r="K263" s="2">
        <v>0.0</v>
      </c>
      <c r="L263" s="2">
        <v>0.0</v>
      </c>
      <c r="M263" s="2"/>
      <c r="N263" s="2"/>
      <c r="O263" s="2"/>
      <c r="P263" s="2" t="s">
        <v>92</v>
      </c>
    </row>
    <row r="264">
      <c r="A264" s="3" t="s">
        <v>95</v>
      </c>
      <c r="B264" s="4">
        <v>45323.29166666667</v>
      </c>
      <c r="C264" s="2" t="s">
        <v>18</v>
      </c>
      <c r="D264" s="2" t="s">
        <v>19</v>
      </c>
      <c r="E264" s="2" t="s">
        <v>116</v>
      </c>
      <c r="F264" s="2"/>
      <c r="G264" s="2">
        <v>11.0</v>
      </c>
      <c r="H264" s="2">
        <v>4.0</v>
      </c>
      <c r="I264" s="2">
        <v>3.0</v>
      </c>
      <c r="J264" s="2">
        <v>0.0</v>
      </c>
      <c r="K264" s="2">
        <v>4.0</v>
      </c>
      <c r="L264" s="2">
        <v>0.0</v>
      </c>
      <c r="M264" s="2"/>
      <c r="N264" s="2"/>
      <c r="O264" s="2"/>
      <c r="P264" s="2" t="s">
        <v>92</v>
      </c>
    </row>
    <row r="265">
      <c r="A265" s="3" t="s">
        <v>97</v>
      </c>
      <c r="B265" s="4">
        <v>45323.29166666667</v>
      </c>
      <c r="C265" s="2" t="s">
        <v>18</v>
      </c>
      <c r="D265" s="2" t="s">
        <v>19</v>
      </c>
      <c r="E265" s="2" t="s">
        <v>110</v>
      </c>
      <c r="F265" s="2"/>
      <c r="G265" s="2">
        <v>0.0</v>
      </c>
      <c r="H265" s="2">
        <v>0.0</v>
      </c>
      <c r="I265" s="2">
        <v>0.0</v>
      </c>
      <c r="J265" s="2">
        <v>0.0</v>
      </c>
      <c r="K265" s="2">
        <v>0.0</v>
      </c>
      <c r="L265" s="2">
        <v>0.0</v>
      </c>
      <c r="M265" s="2"/>
      <c r="N265" s="2"/>
      <c r="O265" s="2"/>
      <c r="P265" s="2" t="s">
        <v>92</v>
      </c>
    </row>
    <row r="266">
      <c r="A266" s="3" t="s">
        <v>98</v>
      </c>
      <c r="B266" s="4">
        <v>45323.29166666667</v>
      </c>
      <c r="C266" s="2" t="s">
        <v>18</v>
      </c>
      <c r="D266" s="2" t="s">
        <v>19</v>
      </c>
      <c r="E266" s="2" t="s">
        <v>122</v>
      </c>
      <c r="F266" s="2"/>
      <c r="G266" s="2">
        <v>0.0</v>
      </c>
      <c r="H266" s="2">
        <v>0.0</v>
      </c>
      <c r="I266" s="2">
        <v>0.0</v>
      </c>
      <c r="J266" s="2">
        <v>0.0</v>
      </c>
      <c r="K266" s="2">
        <v>0.0</v>
      </c>
      <c r="L266" s="2">
        <v>0.0</v>
      </c>
      <c r="M266" s="2"/>
      <c r="N266" s="2"/>
      <c r="O266" s="2"/>
      <c r="P266" s="2" t="s">
        <v>92</v>
      </c>
    </row>
    <row r="267">
      <c r="A267" s="3" t="s">
        <v>99</v>
      </c>
      <c r="B267" s="4">
        <v>45323.29166666667</v>
      </c>
      <c r="C267" s="2" t="s">
        <v>18</v>
      </c>
      <c r="D267" s="2" t="s">
        <v>19</v>
      </c>
      <c r="E267" s="2" t="s">
        <v>118</v>
      </c>
      <c r="F267" s="2"/>
      <c r="G267" s="2">
        <v>1.0</v>
      </c>
      <c r="H267" s="2">
        <v>0.0</v>
      </c>
      <c r="I267" s="2">
        <v>0.0</v>
      </c>
      <c r="J267" s="2">
        <v>0.0</v>
      </c>
      <c r="K267" s="2">
        <v>1.0</v>
      </c>
      <c r="L267" s="2">
        <v>0.0</v>
      </c>
      <c r="M267" s="2"/>
      <c r="N267" s="2"/>
      <c r="O267" s="2"/>
      <c r="P267" s="2" t="s">
        <v>92</v>
      </c>
    </row>
    <row r="268">
      <c r="A268" s="3" t="s">
        <v>100</v>
      </c>
      <c r="B268" s="4">
        <v>45324.29166666667</v>
      </c>
      <c r="C268" s="2" t="s">
        <v>18</v>
      </c>
      <c r="D268" s="2" t="s">
        <v>30</v>
      </c>
      <c r="E268" s="2" t="s">
        <v>116</v>
      </c>
      <c r="F268" s="2"/>
      <c r="G268" s="2">
        <v>18.0</v>
      </c>
      <c r="H268" s="2">
        <v>2.0</v>
      </c>
      <c r="I268" s="2">
        <v>1.0</v>
      </c>
      <c r="J268" s="2">
        <v>0.0</v>
      </c>
      <c r="K268" s="2">
        <v>15.0</v>
      </c>
      <c r="L268" s="2">
        <v>0.0</v>
      </c>
      <c r="M268" s="2"/>
      <c r="N268" s="2"/>
      <c r="O268" s="2"/>
      <c r="P268" s="2" t="s">
        <v>92</v>
      </c>
    </row>
    <row r="269">
      <c r="A269" s="3" t="s">
        <v>101</v>
      </c>
      <c r="B269" s="4">
        <v>45325.29166666667</v>
      </c>
      <c r="C269" s="2" t="s">
        <v>18</v>
      </c>
      <c r="D269" s="2" t="s">
        <v>30</v>
      </c>
      <c r="E269" s="2" t="s">
        <v>110</v>
      </c>
      <c r="F269" s="2"/>
      <c r="G269" s="2">
        <v>29.0</v>
      </c>
      <c r="H269" s="2">
        <v>4.0</v>
      </c>
      <c r="I269" s="2">
        <v>1.0</v>
      </c>
      <c r="J269" s="2">
        <v>0.0</v>
      </c>
      <c r="K269" s="2">
        <v>24.0</v>
      </c>
      <c r="L269" s="2">
        <v>0.0</v>
      </c>
      <c r="M269" s="2"/>
      <c r="N269" s="2"/>
      <c r="O269" s="2"/>
      <c r="P269" s="2" t="s">
        <v>92</v>
      </c>
    </row>
    <row r="270">
      <c r="A270" s="3" t="s">
        <v>102</v>
      </c>
      <c r="B270" s="4">
        <v>45326.29166666667</v>
      </c>
      <c r="C270" s="2" t="s">
        <v>18</v>
      </c>
      <c r="D270" s="2" t="s">
        <v>30</v>
      </c>
      <c r="E270" s="2" t="s">
        <v>122</v>
      </c>
      <c r="F270" s="2"/>
      <c r="G270" s="2">
        <v>11.0</v>
      </c>
      <c r="H270" s="2">
        <v>3.0</v>
      </c>
      <c r="I270" s="2">
        <v>1.0</v>
      </c>
      <c r="J270" s="2">
        <v>0.0</v>
      </c>
      <c r="K270" s="2">
        <v>7.0</v>
      </c>
      <c r="L270" s="2">
        <v>0.0</v>
      </c>
      <c r="M270" s="2"/>
      <c r="N270" s="2"/>
      <c r="O270" s="2"/>
      <c r="P270" s="2" t="s">
        <v>92</v>
      </c>
    </row>
    <row r="271">
      <c r="A271" s="3" t="s">
        <v>103</v>
      </c>
      <c r="B271" s="4">
        <v>45327.29166666667</v>
      </c>
      <c r="C271" s="2" t="s">
        <v>18</v>
      </c>
      <c r="D271" s="2" t="s">
        <v>30</v>
      </c>
      <c r="E271" s="2" t="s">
        <v>118</v>
      </c>
      <c r="F271" s="2"/>
      <c r="G271" s="2">
        <v>14.0</v>
      </c>
      <c r="H271" s="2">
        <v>3.0</v>
      </c>
      <c r="I271" s="2">
        <v>0.0</v>
      </c>
      <c r="J271" s="2">
        <v>0.0</v>
      </c>
      <c r="K271" s="2">
        <v>11.0</v>
      </c>
      <c r="L271" s="2">
        <v>0.0</v>
      </c>
      <c r="M271" s="2"/>
      <c r="N271" s="2"/>
      <c r="O271" s="2"/>
      <c r="P271" s="2" t="s">
        <v>92</v>
      </c>
    </row>
    <row r="272">
      <c r="A272" s="3" t="s">
        <v>104</v>
      </c>
      <c r="B272" s="4">
        <v>45352.29166666667</v>
      </c>
      <c r="C272" s="2" t="s">
        <v>18</v>
      </c>
      <c r="D272" s="2" t="s">
        <v>30</v>
      </c>
      <c r="E272" s="2" t="s">
        <v>116</v>
      </c>
      <c r="F272" s="2"/>
      <c r="G272" s="2">
        <v>0.0</v>
      </c>
      <c r="H272" s="2">
        <v>0.0</v>
      </c>
      <c r="I272" s="2">
        <v>0.0</v>
      </c>
      <c r="J272" s="2">
        <v>0.0</v>
      </c>
      <c r="K272" s="2">
        <v>0.0</v>
      </c>
      <c r="L272" s="2">
        <v>0.0</v>
      </c>
      <c r="M272" s="2"/>
      <c r="N272" s="2"/>
      <c r="O272" s="2"/>
      <c r="P272" s="2" t="s">
        <v>92</v>
      </c>
    </row>
    <row r="273">
      <c r="A273" s="3" t="s">
        <v>105</v>
      </c>
      <c r="B273" s="4">
        <v>45352.29166666667</v>
      </c>
      <c r="C273" s="2" t="s">
        <v>18</v>
      </c>
      <c r="D273" s="2" t="s">
        <v>30</v>
      </c>
      <c r="E273" s="2" t="s">
        <v>110</v>
      </c>
      <c r="F273" s="2"/>
      <c r="G273" s="2">
        <v>0.0</v>
      </c>
      <c r="H273" s="2">
        <v>0.0</v>
      </c>
      <c r="I273" s="2">
        <v>0.0</v>
      </c>
      <c r="J273" s="2">
        <v>0.0</v>
      </c>
      <c r="K273" s="2">
        <v>0.0</v>
      </c>
      <c r="L273" s="2">
        <v>0.0</v>
      </c>
      <c r="M273" s="2"/>
      <c r="N273" s="2"/>
      <c r="O273" s="2"/>
      <c r="P273" s="2" t="s">
        <v>92</v>
      </c>
    </row>
    <row r="274">
      <c r="A274" s="3" t="s">
        <v>106</v>
      </c>
      <c r="B274" s="4">
        <v>45352.29166666667</v>
      </c>
      <c r="C274" s="2" t="s">
        <v>18</v>
      </c>
      <c r="D274" s="2" t="s">
        <v>30</v>
      </c>
      <c r="E274" s="2" t="s">
        <v>122</v>
      </c>
      <c r="F274" s="2"/>
      <c r="G274" s="2">
        <v>0.0</v>
      </c>
      <c r="H274" s="2">
        <v>0.0</v>
      </c>
      <c r="I274" s="2">
        <v>0.0</v>
      </c>
      <c r="J274" s="2">
        <v>0.0</v>
      </c>
      <c r="K274" s="2">
        <v>0.0</v>
      </c>
      <c r="L274" s="2">
        <v>0.0</v>
      </c>
      <c r="M274" s="2"/>
      <c r="N274" s="2"/>
      <c r="O274" s="2"/>
      <c r="P274" s="2" t="s">
        <v>92</v>
      </c>
    </row>
    <row r="275">
      <c r="A275" s="3" t="s">
        <v>107</v>
      </c>
      <c r="B275" s="4">
        <v>45352.29166666667</v>
      </c>
      <c r="C275" s="2" t="s">
        <v>18</v>
      </c>
      <c r="D275" s="2" t="s">
        <v>30</v>
      </c>
      <c r="E275" s="2" t="s">
        <v>118</v>
      </c>
      <c r="F275" s="2"/>
      <c r="G275" s="2">
        <v>0.0</v>
      </c>
      <c r="H275" s="2">
        <v>0.0</v>
      </c>
      <c r="I275" s="2">
        <v>0.0</v>
      </c>
      <c r="J275" s="2">
        <v>0.0</v>
      </c>
      <c r="K275" s="2">
        <v>0.0</v>
      </c>
      <c r="L275" s="2">
        <v>0.0</v>
      </c>
      <c r="M275" s="2"/>
      <c r="N275" s="2"/>
      <c r="O275" s="2"/>
      <c r="P275" s="2" t="s">
        <v>92</v>
      </c>
    </row>
    <row r="276">
      <c r="A276" s="3" t="s">
        <v>108</v>
      </c>
      <c r="B276" s="2" t="s">
        <v>17</v>
      </c>
      <c r="C276" s="2" t="s">
        <v>57</v>
      </c>
      <c r="D276" s="2" t="s">
        <v>33</v>
      </c>
      <c r="E276" s="2" t="s">
        <v>118</v>
      </c>
      <c r="F276" s="2">
        <v>10.0</v>
      </c>
      <c r="G276" s="2">
        <v>26.0</v>
      </c>
      <c r="H276" s="2">
        <v>4.0</v>
      </c>
      <c r="I276" s="2">
        <v>14.0</v>
      </c>
      <c r="J276" s="2">
        <v>8.0</v>
      </c>
      <c r="K276" s="2">
        <v>0.0</v>
      </c>
      <c r="L276" s="2">
        <v>0.0</v>
      </c>
      <c r="M276" s="2">
        <v>6.0</v>
      </c>
      <c r="N276" s="2"/>
      <c r="O276" s="2"/>
      <c r="P276" s="2" t="s">
        <v>146</v>
      </c>
    </row>
    <row r="277">
      <c r="A277" s="3" t="s">
        <v>112</v>
      </c>
      <c r="B277" s="2" t="s">
        <v>17</v>
      </c>
      <c r="C277" s="2" t="s">
        <v>18</v>
      </c>
      <c r="D277" s="2" t="s">
        <v>33</v>
      </c>
      <c r="E277" s="2" t="s">
        <v>158</v>
      </c>
      <c r="F277" s="2">
        <v>34.0</v>
      </c>
      <c r="G277" s="2">
        <v>79.0</v>
      </c>
      <c r="H277" s="2">
        <v>19.0</v>
      </c>
      <c r="I277" s="2">
        <v>49.0</v>
      </c>
      <c r="J277" s="2">
        <v>11.0</v>
      </c>
      <c r="K277" s="2">
        <v>0.0</v>
      </c>
      <c r="L277" s="2">
        <v>0.0</v>
      </c>
      <c r="M277" s="2">
        <v>15.0</v>
      </c>
      <c r="N277" s="2"/>
      <c r="O277" s="2"/>
      <c r="P277" s="2" t="s">
        <v>146</v>
      </c>
    </row>
    <row r="278">
      <c r="A278" s="3" t="s">
        <v>115</v>
      </c>
      <c r="B278" s="2" t="s">
        <v>17</v>
      </c>
      <c r="C278" s="2" t="s">
        <v>18</v>
      </c>
      <c r="D278" s="2" t="s">
        <v>19</v>
      </c>
      <c r="E278" s="2" t="s">
        <v>118</v>
      </c>
      <c r="F278" s="2">
        <v>6.0</v>
      </c>
      <c r="G278" s="2">
        <v>0.0</v>
      </c>
      <c r="H278" s="2">
        <v>0.0</v>
      </c>
      <c r="I278" s="2">
        <v>0.0</v>
      </c>
      <c r="J278" s="2">
        <v>0.0</v>
      </c>
      <c r="K278" s="2">
        <v>0.0</v>
      </c>
      <c r="L278" s="2">
        <v>0.0</v>
      </c>
      <c r="M278" s="2">
        <v>6.0</v>
      </c>
      <c r="N278" s="2"/>
      <c r="O278" s="2"/>
      <c r="P278" s="2" t="s">
        <v>146</v>
      </c>
    </row>
    <row r="279">
      <c r="A279" s="3" t="s">
        <v>117</v>
      </c>
      <c r="B279" s="2" t="s">
        <v>17</v>
      </c>
      <c r="C279" s="2" t="s">
        <v>18</v>
      </c>
      <c r="D279" s="2" t="s">
        <v>19</v>
      </c>
      <c r="E279" s="2" t="s">
        <v>158</v>
      </c>
      <c r="F279" s="2">
        <v>19.0</v>
      </c>
      <c r="G279" s="2">
        <v>16.0</v>
      </c>
      <c r="H279" s="2">
        <v>8.0</v>
      </c>
      <c r="I279" s="2">
        <v>7.0</v>
      </c>
      <c r="J279" s="2">
        <v>1.0</v>
      </c>
      <c r="K279" s="2">
        <v>0.0</v>
      </c>
      <c r="L279" s="2">
        <v>0.0</v>
      </c>
      <c r="M279" s="2">
        <v>11.0</v>
      </c>
      <c r="N279" s="2"/>
      <c r="O279" s="2"/>
      <c r="P279" s="2" t="s">
        <v>146</v>
      </c>
    </row>
    <row r="280">
      <c r="A280" s="3" t="s">
        <v>119</v>
      </c>
      <c r="B280" s="2" t="s">
        <v>17</v>
      </c>
      <c r="C280" s="2" t="s">
        <v>57</v>
      </c>
      <c r="D280" s="2" t="s">
        <v>23</v>
      </c>
      <c r="E280" s="2" t="s">
        <v>118</v>
      </c>
      <c r="F280" s="2">
        <v>10.0</v>
      </c>
      <c r="G280" s="2">
        <v>26.0</v>
      </c>
      <c r="H280" s="2">
        <v>4.0</v>
      </c>
      <c r="I280" s="2">
        <v>14.0</v>
      </c>
      <c r="J280" s="2">
        <v>8.0</v>
      </c>
      <c r="K280" s="2">
        <v>0.0</v>
      </c>
      <c r="L280" s="2">
        <v>0.0</v>
      </c>
      <c r="M280" s="2">
        <v>6.0</v>
      </c>
      <c r="N280" s="2">
        <v>-6.0</v>
      </c>
      <c r="O280" s="2">
        <v>2.0</v>
      </c>
      <c r="P280" s="2" t="s">
        <v>146</v>
      </c>
    </row>
    <row r="281">
      <c r="A281" s="3" t="s">
        <v>121</v>
      </c>
      <c r="B281" s="2" t="s">
        <v>17</v>
      </c>
      <c r="C281" s="2" t="s">
        <v>18</v>
      </c>
      <c r="D281" s="2" t="s">
        <v>23</v>
      </c>
      <c r="E281" s="2" t="s">
        <v>158</v>
      </c>
      <c r="F281" s="8">
        <v>38.0</v>
      </c>
      <c r="G281" s="8">
        <v>95.0</v>
      </c>
      <c r="H281" s="8">
        <v>27.0</v>
      </c>
      <c r="I281" s="8">
        <v>56.0</v>
      </c>
      <c r="J281" s="8">
        <v>12.0</v>
      </c>
      <c r="K281" s="8">
        <v>0.0</v>
      </c>
      <c r="L281" s="8">
        <v>0.0</v>
      </c>
      <c r="M281" s="8">
        <v>11.0</v>
      </c>
      <c r="N281" s="8">
        <v>-15.0</v>
      </c>
      <c r="O281" s="8">
        <v>-16.0</v>
      </c>
      <c r="P281" s="2" t="s">
        <v>146</v>
      </c>
    </row>
    <row r="282">
      <c r="A282" s="3" t="s">
        <v>16</v>
      </c>
      <c r="B282" s="4">
        <v>45171.29166666667</v>
      </c>
      <c r="C282" s="2" t="s">
        <v>18</v>
      </c>
      <c r="D282" s="2" t="s">
        <v>19</v>
      </c>
      <c r="E282" s="2" t="s">
        <v>118</v>
      </c>
      <c r="F282" s="2"/>
      <c r="G282" s="2">
        <v>0.0</v>
      </c>
      <c r="H282" s="2">
        <v>0.0</v>
      </c>
      <c r="I282" s="2">
        <v>0.0</v>
      </c>
      <c r="J282" s="2">
        <v>0.0</v>
      </c>
      <c r="K282" s="2">
        <v>0.0</v>
      </c>
      <c r="L282" s="2">
        <v>0.0</v>
      </c>
      <c r="M282" s="2"/>
      <c r="N282" s="2"/>
      <c r="O282" s="2"/>
      <c r="P282" s="2" t="s">
        <v>146</v>
      </c>
    </row>
    <row r="283">
      <c r="A283" s="3" t="s">
        <v>124</v>
      </c>
      <c r="B283" s="4">
        <v>45172.29166666667</v>
      </c>
      <c r="C283" s="2" t="s">
        <v>18</v>
      </c>
      <c r="D283" s="2" t="s">
        <v>19</v>
      </c>
      <c r="E283" s="2" t="s">
        <v>158</v>
      </c>
      <c r="F283" s="2"/>
      <c r="G283" s="2">
        <v>11.0</v>
      </c>
      <c r="H283" s="2">
        <v>3.0</v>
      </c>
      <c r="I283" s="2">
        <v>7.0</v>
      </c>
      <c r="J283" s="2">
        <v>1.0</v>
      </c>
      <c r="K283" s="2">
        <v>0.0</v>
      </c>
      <c r="L283" s="2">
        <v>0.0</v>
      </c>
      <c r="M283" s="2"/>
      <c r="N283" s="2"/>
      <c r="O283" s="2"/>
      <c r="P283" s="2" t="s">
        <v>146</v>
      </c>
    </row>
    <row r="284">
      <c r="A284" s="3" t="s">
        <v>126</v>
      </c>
      <c r="B284" s="4">
        <v>45173.29166666667</v>
      </c>
      <c r="C284" s="2" t="s">
        <v>18</v>
      </c>
      <c r="D284" s="2" t="s">
        <v>33</v>
      </c>
      <c r="E284" s="2" t="s">
        <v>118</v>
      </c>
      <c r="F284" s="2"/>
      <c r="G284" s="2">
        <v>17.0</v>
      </c>
      <c r="H284" s="2">
        <v>2.0</v>
      </c>
      <c r="I284" s="2">
        <v>7.0</v>
      </c>
      <c r="J284" s="2">
        <v>8.0</v>
      </c>
      <c r="K284" s="2">
        <v>0.0</v>
      </c>
      <c r="L284" s="2">
        <v>0.0</v>
      </c>
      <c r="M284" s="2"/>
      <c r="N284" s="2"/>
      <c r="O284" s="2"/>
      <c r="P284" s="2" t="s">
        <v>146</v>
      </c>
    </row>
    <row r="285">
      <c r="A285" s="3" t="s">
        <v>128</v>
      </c>
      <c r="B285" s="4">
        <v>45174.29166666667</v>
      </c>
      <c r="C285" s="2" t="s">
        <v>18</v>
      </c>
      <c r="D285" s="2" t="s">
        <v>33</v>
      </c>
      <c r="E285" s="2" t="s">
        <v>158</v>
      </c>
      <c r="F285" s="2"/>
      <c r="G285" s="2">
        <v>61.0</v>
      </c>
      <c r="H285" s="2">
        <v>18.0</v>
      </c>
      <c r="I285" s="2">
        <v>33.0</v>
      </c>
      <c r="J285" s="2">
        <v>10.0</v>
      </c>
      <c r="K285" s="2">
        <v>0.0</v>
      </c>
      <c r="L285" s="2">
        <v>0.0</v>
      </c>
      <c r="M285" s="2"/>
      <c r="N285" s="2"/>
      <c r="O285" s="2"/>
      <c r="P285" s="2" t="s">
        <v>146</v>
      </c>
    </row>
    <row r="286">
      <c r="A286" s="3" t="s">
        <v>129</v>
      </c>
      <c r="B286" s="4">
        <v>45203.29166666667</v>
      </c>
      <c r="C286" s="2" t="s">
        <v>18</v>
      </c>
      <c r="D286" s="2" t="s">
        <v>33</v>
      </c>
      <c r="E286" s="2" t="s">
        <v>158</v>
      </c>
      <c r="F286" s="2"/>
      <c r="G286" s="2">
        <v>7.0</v>
      </c>
      <c r="H286" s="2">
        <v>1.0</v>
      </c>
      <c r="I286" s="2">
        <v>5.0</v>
      </c>
      <c r="J286" s="2">
        <v>1.0</v>
      </c>
      <c r="K286" s="2">
        <v>0.0</v>
      </c>
      <c r="L286" s="2">
        <v>0.0</v>
      </c>
      <c r="M286" s="2"/>
      <c r="N286" s="2"/>
      <c r="O286" s="2"/>
      <c r="P286" s="2" t="s">
        <v>146</v>
      </c>
    </row>
    <row r="287">
      <c r="A287" s="3" t="s">
        <v>130</v>
      </c>
      <c r="B287" s="4">
        <v>45204.29166666667</v>
      </c>
      <c r="C287" s="2" t="s">
        <v>18</v>
      </c>
      <c r="D287" s="2" t="s">
        <v>19</v>
      </c>
      <c r="E287" s="2" t="s">
        <v>158</v>
      </c>
      <c r="F287" s="2"/>
      <c r="G287" s="2">
        <v>4.0</v>
      </c>
      <c r="H287" s="2">
        <v>4.0</v>
      </c>
      <c r="I287" s="2">
        <v>0.0</v>
      </c>
      <c r="J287" s="2">
        <v>0.0</v>
      </c>
      <c r="K287" s="2">
        <v>0.0</v>
      </c>
      <c r="L287" s="2">
        <v>0.0</v>
      </c>
      <c r="M287" s="2"/>
      <c r="N287" s="2"/>
      <c r="O287" s="2"/>
      <c r="P287" s="2" t="s">
        <v>146</v>
      </c>
    </row>
    <row r="288">
      <c r="A288" s="3" t="s">
        <v>131</v>
      </c>
      <c r="B288" s="4">
        <v>45323.29166666667</v>
      </c>
      <c r="C288" s="2" t="s">
        <v>18</v>
      </c>
      <c r="D288" s="2" t="s">
        <v>33</v>
      </c>
      <c r="E288" s="2" t="s">
        <v>118</v>
      </c>
      <c r="F288" s="2"/>
      <c r="G288" s="2">
        <v>9.0</v>
      </c>
      <c r="H288" s="2">
        <v>2.0</v>
      </c>
      <c r="I288" s="2">
        <v>7.0</v>
      </c>
      <c r="J288" s="2">
        <v>0.0</v>
      </c>
      <c r="K288" s="2">
        <v>0.0</v>
      </c>
      <c r="L288" s="2">
        <v>0.0</v>
      </c>
      <c r="M288" s="2"/>
      <c r="N288" s="2"/>
      <c r="O288" s="2"/>
      <c r="P288" s="2" t="s">
        <v>146</v>
      </c>
    </row>
    <row r="289">
      <c r="A289" s="3" t="s">
        <v>132</v>
      </c>
      <c r="B289" s="4">
        <v>45323.29166666667</v>
      </c>
      <c r="C289" s="2" t="s">
        <v>18</v>
      </c>
      <c r="D289" s="2" t="s">
        <v>33</v>
      </c>
      <c r="E289" s="2" t="s">
        <v>158</v>
      </c>
      <c r="F289" s="2"/>
      <c r="G289" s="2">
        <v>11.0</v>
      </c>
      <c r="H289" s="2">
        <v>0.0</v>
      </c>
      <c r="I289" s="2">
        <v>11.0</v>
      </c>
      <c r="J289" s="2">
        <v>0.0</v>
      </c>
      <c r="K289" s="2">
        <v>0.0</v>
      </c>
      <c r="L289" s="2">
        <v>0.0</v>
      </c>
      <c r="M289" s="2"/>
      <c r="N289" s="2"/>
      <c r="O289" s="2"/>
      <c r="P289" s="2" t="s">
        <v>146</v>
      </c>
    </row>
    <row r="290">
      <c r="A290" s="3" t="s">
        <v>133</v>
      </c>
      <c r="B290" s="4">
        <v>45323.29166666667</v>
      </c>
      <c r="C290" s="2" t="s">
        <v>18</v>
      </c>
      <c r="D290" s="2" t="s">
        <v>19</v>
      </c>
      <c r="E290" s="2" t="s">
        <v>118</v>
      </c>
      <c r="F290" s="2"/>
      <c r="G290" s="2">
        <v>0.0</v>
      </c>
      <c r="H290" s="2">
        <v>0.0</v>
      </c>
      <c r="I290" s="2">
        <v>0.0</v>
      </c>
      <c r="J290" s="2">
        <v>0.0</v>
      </c>
      <c r="K290" s="2">
        <v>0.0</v>
      </c>
      <c r="L290" s="2">
        <v>0.0</v>
      </c>
      <c r="M290" s="2"/>
      <c r="N290" s="2"/>
      <c r="O290" s="2"/>
      <c r="P290" s="2" t="s">
        <v>146</v>
      </c>
    </row>
    <row r="291">
      <c r="A291" s="3" t="s">
        <v>134</v>
      </c>
      <c r="B291" s="4">
        <v>45323.29166666667</v>
      </c>
      <c r="C291" s="2" t="s">
        <v>18</v>
      </c>
      <c r="D291" s="2" t="s">
        <v>19</v>
      </c>
      <c r="E291" s="2" t="s">
        <v>158</v>
      </c>
      <c r="F291" s="2"/>
      <c r="G291" s="2">
        <v>1.0</v>
      </c>
      <c r="H291" s="2">
        <v>1.0</v>
      </c>
      <c r="I291" s="2">
        <v>0.0</v>
      </c>
      <c r="J291" s="2">
        <v>0.0</v>
      </c>
      <c r="K291" s="2">
        <v>0.0</v>
      </c>
      <c r="L291" s="2">
        <v>0.0</v>
      </c>
      <c r="M291" s="2"/>
      <c r="N291" s="2"/>
      <c r="O291" s="2"/>
      <c r="P291" s="2" t="s">
        <v>146</v>
      </c>
    </row>
    <row r="292">
      <c r="A292" s="3" t="s">
        <v>136</v>
      </c>
      <c r="B292" s="4">
        <v>45352.29166666667</v>
      </c>
      <c r="C292" s="2" t="s">
        <v>18</v>
      </c>
      <c r="D292" s="2" t="s">
        <v>33</v>
      </c>
      <c r="E292" s="2" t="s">
        <v>118</v>
      </c>
      <c r="F292" s="2"/>
      <c r="G292" s="2">
        <v>0.0</v>
      </c>
      <c r="H292" s="2">
        <v>0.0</v>
      </c>
      <c r="I292" s="2">
        <v>0.0</v>
      </c>
      <c r="J292" s="2">
        <v>0.0</v>
      </c>
      <c r="K292" s="2">
        <v>0.0</v>
      </c>
      <c r="L292" s="2">
        <v>0.0</v>
      </c>
      <c r="M292" s="2"/>
      <c r="N292" s="2"/>
      <c r="O292" s="2"/>
      <c r="P292" s="2" t="s">
        <v>146</v>
      </c>
    </row>
    <row r="293">
      <c r="A293" s="3" t="s">
        <v>137</v>
      </c>
      <c r="B293" s="4">
        <v>45353.29166666667</v>
      </c>
      <c r="C293" s="2" t="s">
        <v>18</v>
      </c>
      <c r="D293" s="2" t="s">
        <v>33</v>
      </c>
      <c r="E293" s="2" t="s">
        <v>158</v>
      </c>
      <c r="F293" s="2"/>
      <c r="G293" s="2">
        <v>0.0</v>
      </c>
      <c r="H293" s="2">
        <v>0.0</v>
      </c>
      <c r="I293" s="2">
        <v>0.0</v>
      </c>
      <c r="J293" s="2">
        <v>0.0</v>
      </c>
      <c r="K293" s="2">
        <v>0.0</v>
      </c>
      <c r="L293" s="2">
        <v>0.0</v>
      </c>
      <c r="M293" s="2"/>
      <c r="N293" s="2"/>
      <c r="O293" s="2"/>
      <c r="P293" s="2" t="s">
        <v>146</v>
      </c>
    </row>
    <row r="294">
      <c r="A294" s="3" t="s">
        <v>138</v>
      </c>
      <c r="B294" s="4">
        <v>45354.29166666667</v>
      </c>
      <c r="C294" s="2" t="s">
        <v>18</v>
      </c>
      <c r="D294" s="2" t="s">
        <v>19</v>
      </c>
      <c r="E294" s="2" t="s">
        <v>118</v>
      </c>
      <c r="F294" s="2"/>
      <c r="G294" s="2">
        <v>0.0</v>
      </c>
      <c r="H294" s="2">
        <v>0.0</v>
      </c>
      <c r="I294" s="2">
        <v>0.0</v>
      </c>
      <c r="J294" s="2">
        <v>0.0</v>
      </c>
      <c r="K294" s="2">
        <v>0.0</v>
      </c>
      <c r="L294" s="2">
        <v>0.0</v>
      </c>
      <c r="M294" s="2"/>
      <c r="N294" s="2"/>
      <c r="O294" s="2"/>
      <c r="P294" s="2" t="s">
        <v>146</v>
      </c>
    </row>
    <row r="295">
      <c r="A295" s="3" t="s">
        <v>139</v>
      </c>
      <c r="B295" s="4">
        <v>45355.29166666667</v>
      </c>
      <c r="C295" s="2" t="s">
        <v>18</v>
      </c>
      <c r="D295" s="2" t="s">
        <v>19</v>
      </c>
      <c r="E295" s="2" t="s">
        <v>158</v>
      </c>
      <c r="F295" s="2"/>
      <c r="G295" s="2">
        <v>0.0</v>
      </c>
      <c r="H295" s="2">
        <v>0.0</v>
      </c>
      <c r="I295" s="2">
        <v>0.0</v>
      </c>
      <c r="J295" s="2">
        <v>0.0</v>
      </c>
      <c r="K295" s="2">
        <v>0.0</v>
      </c>
      <c r="L295" s="2">
        <v>0.0</v>
      </c>
      <c r="M295" s="2"/>
      <c r="N295" s="2"/>
      <c r="O295" s="2"/>
      <c r="P295" s="2" t="s">
        <v>146</v>
      </c>
    </row>
    <row r="296">
      <c r="A296" s="3" t="s">
        <v>140</v>
      </c>
      <c r="B296" s="2" t="s">
        <v>17</v>
      </c>
      <c r="C296" s="2" t="s">
        <v>18</v>
      </c>
      <c r="D296" s="2" t="s">
        <v>91</v>
      </c>
      <c r="E296" s="2" t="s">
        <v>46</v>
      </c>
      <c r="F296" s="2">
        <v>14.0</v>
      </c>
      <c r="G296" s="2">
        <v>2.0</v>
      </c>
      <c r="H296" s="2">
        <v>1.0</v>
      </c>
      <c r="I296" s="2">
        <v>1.0</v>
      </c>
      <c r="J296" s="2">
        <v>0.0</v>
      </c>
      <c r="K296" s="2">
        <v>0.0</v>
      </c>
      <c r="L296" s="2">
        <v>0.0</v>
      </c>
      <c r="M296" s="2">
        <v>13.0</v>
      </c>
      <c r="N296" s="2"/>
      <c r="O296" s="2"/>
      <c r="P296" s="2" t="s">
        <v>146</v>
      </c>
    </row>
    <row r="297">
      <c r="A297" s="3" t="s">
        <v>141</v>
      </c>
      <c r="B297" s="2" t="s">
        <v>17</v>
      </c>
      <c r="C297" s="2" t="s">
        <v>18</v>
      </c>
      <c r="D297" s="9" t="s">
        <v>19</v>
      </c>
      <c r="E297" s="9" t="s">
        <v>46</v>
      </c>
      <c r="F297" s="10">
        <v>22.0</v>
      </c>
      <c r="G297" s="11">
        <v>33.0</v>
      </c>
      <c r="H297" s="11">
        <v>11.0</v>
      </c>
      <c r="I297" s="11">
        <v>13.0</v>
      </c>
      <c r="J297" s="2">
        <v>9.0</v>
      </c>
      <c r="K297" s="2">
        <v>0.0</v>
      </c>
      <c r="L297" s="2">
        <v>0.0</v>
      </c>
      <c r="M297" s="2">
        <v>11.0</v>
      </c>
      <c r="N297" s="2"/>
      <c r="O297" s="2"/>
      <c r="P297" s="2" t="s">
        <v>146</v>
      </c>
    </row>
    <row r="298">
      <c r="A298" s="3" t="s">
        <v>142</v>
      </c>
      <c r="B298" s="2" t="s">
        <v>17</v>
      </c>
      <c r="C298" s="2" t="s">
        <v>18</v>
      </c>
      <c r="D298" s="2" t="s">
        <v>23</v>
      </c>
      <c r="E298" s="2" t="s">
        <v>46</v>
      </c>
      <c r="F298" s="2">
        <v>22.0</v>
      </c>
      <c r="G298" s="2">
        <v>35.0</v>
      </c>
      <c r="H298" s="2">
        <v>12.0</v>
      </c>
      <c r="I298" s="2">
        <v>14.0</v>
      </c>
      <c r="J298" s="2">
        <v>9.0</v>
      </c>
      <c r="K298" s="2">
        <v>0.0</v>
      </c>
      <c r="L298" s="2">
        <v>0.0</v>
      </c>
      <c r="M298" s="2">
        <v>10.0</v>
      </c>
      <c r="N298" s="2">
        <v>-14.0</v>
      </c>
      <c r="O298" s="2">
        <v>-2.0</v>
      </c>
      <c r="P298" s="2" t="s">
        <v>146</v>
      </c>
    </row>
    <row r="299">
      <c r="A299" s="3" t="s">
        <v>143</v>
      </c>
      <c r="B299" s="4">
        <v>45262.29166666667</v>
      </c>
      <c r="C299" s="2" t="s">
        <v>18</v>
      </c>
      <c r="D299" s="2" t="s">
        <v>19</v>
      </c>
      <c r="E299" s="2" t="s">
        <v>46</v>
      </c>
      <c r="F299" s="2"/>
      <c r="G299" s="2">
        <v>11.0</v>
      </c>
      <c r="H299" s="2">
        <v>2.0</v>
      </c>
      <c r="I299" s="2">
        <v>0.0</v>
      </c>
      <c r="J299" s="2">
        <v>9.0</v>
      </c>
      <c r="K299" s="2">
        <v>0.0</v>
      </c>
      <c r="L299" s="2">
        <v>0.0</v>
      </c>
      <c r="M299" s="2"/>
      <c r="N299" s="2"/>
      <c r="O299" s="2"/>
      <c r="P299" s="2" t="s">
        <v>146</v>
      </c>
    </row>
    <row r="300">
      <c r="A300" s="3" t="s">
        <v>144</v>
      </c>
      <c r="B300" s="4">
        <v>45293.29166666667</v>
      </c>
      <c r="C300" s="2" t="s">
        <v>18</v>
      </c>
      <c r="D300" s="2" t="s">
        <v>19</v>
      </c>
      <c r="E300" s="2" t="s">
        <v>46</v>
      </c>
      <c r="F300" s="2"/>
      <c r="G300" s="2">
        <v>7.0</v>
      </c>
      <c r="H300" s="2">
        <v>4.0</v>
      </c>
      <c r="I300" s="2">
        <v>3.0</v>
      </c>
      <c r="J300" s="2">
        <v>0.0</v>
      </c>
      <c r="K300" s="2">
        <v>0.0</v>
      </c>
      <c r="L300" s="2">
        <v>0.0</v>
      </c>
      <c r="M300" s="2"/>
      <c r="N300" s="2"/>
      <c r="O300" s="2"/>
      <c r="P300" s="2" t="s">
        <v>146</v>
      </c>
    </row>
    <row r="301">
      <c r="A301" s="3" t="s">
        <v>145</v>
      </c>
      <c r="B301" s="4">
        <v>45324.29166666667</v>
      </c>
      <c r="C301" s="2" t="s">
        <v>18</v>
      </c>
      <c r="D301" s="2" t="s">
        <v>19</v>
      </c>
      <c r="E301" s="2" t="s">
        <v>46</v>
      </c>
      <c r="F301" s="2"/>
      <c r="G301" s="2">
        <v>15.0</v>
      </c>
      <c r="H301" s="2">
        <v>5.0</v>
      </c>
      <c r="I301" s="2">
        <v>10.0</v>
      </c>
      <c r="J301" s="2">
        <v>0.0</v>
      </c>
      <c r="K301" s="2">
        <v>0.0</v>
      </c>
      <c r="L301" s="2">
        <v>0.0</v>
      </c>
      <c r="M301" s="2"/>
      <c r="N301" s="2"/>
      <c r="O301" s="2"/>
      <c r="P301" s="2" t="s">
        <v>146</v>
      </c>
    </row>
    <row r="302">
      <c r="A302" s="3" t="s">
        <v>16</v>
      </c>
      <c r="B302" s="4">
        <v>45324.29166666667</v>
      </c>
      <c r="C302" s="2" t="s">
        <v>18</v>
      </c>
      <c r="D302" s="2" t="s">
        <v>91</v>
      </c>
      <c r="E302" s="2" t="s">
        <v>46</v>
      </c>
      <c r="F302" s="2"/>
      <c r="G302" s="2">
        <v>2.0</v>
      </c>
      <c r="H302" s="2">
        <v>1.0</v>
      </c>
      <c r="I302" s="2">
        <v>1.0</v>
      </c>
      <c r="J302" s="2">
        <v>0.0</v>
      </c>
      <c r="K302" s="2">
        <v>0.0</v>
      </c>
      <c r="L302" s="2">
        <v>0.0</v>
      </c>
      <c r="M302" s="2"/>
      <c r="N302" s="2"/>
      <c r="O302" s="2"/>
      <c r="P302" s="2" t="s">
        <v>146</v>
      </c>
    </row>
    <row r="303">
      <c r="A303" s="3" t="s">
        <v>22</v>
      </c>
      <c r="B303" s="4">
        <v>45352.29166666667</v>
      </c>
      <c r="C303" s="2" t="s">
        <v>18</v>
      </c>
      <c r="D303" s="2" t="s">
        <v>19</v>
      </c>
      <c r="E303" s="2" t="s">
        <v>46</v>
      </c>
      <c r="F303" s="2"/>
      <c r="G303" s="2">
        <v>0.0</v>
      </c>
      <c r="H303" s="2">
        <v>0.0</v>
      </c>
      <c r="I303" s="2">
        <v>0.0</v>
      </c>
      <c r="J303" s="2">
        <v>0.0</v>
      </c>
      <c r="K303" s="2">
        <v>0.0</v>
      </c>
      <c r="L303" s="2">
        <v>0.0</v>
      </c>
      <c r="M303" s="2"/>
      <c r="N303" s="2"/>
      <c r="O303" s="2"/>
      <c r="P303" s="2" t="s">
        <v>146</v>
      </c>
    </row>
    <row r="304">
      <c r="A304" s="3" t="s">
        <v>24</v>
      </c>
      <c r="B304" s="4">
        <v>45352.29166666667</v>
      </c>
      <c r="C304" s="2" t="s">
        <v>18</v>
      </c>
      <c r="D304" s="2" t="s">
        <v>91</v>
      </c>
      <c r="E304" s="2" t="s">
        <v>46</v>
      </c>
      <c r="F304" s="2"/>
      <c r="G304" s="2">
        <v>0.0</v>
      </c>
      <c r="H304" s="2">
        <v>0.0</v>
      </c>
      <c r="I304" s="2">
        <v>0.0</v>
      </c>
      <c r="J304" s="2">
        <v>0.0</v>
      </c>
      <c r="K304" s="2">
        <v>0.0</v>
      </c>
      <c r="L304" s="2">
        <v>0.0</v>
      </c>
      <c r="M304" s="2"/>
      <c r="N304" s="2"/>
      <c r="O304" s="2"/>
      <c r="P304" s="2" t="s">
        <v>146</v>
      </c>
    </row>
    <row r="305">
      <c r="A305" s="3" t="s">
        <v>25</v>
      </c>
      <c r="B305" s="2" t="s">
        <v>17</v>
      </c>
      <c r="C305" s="2" t="s">
        <v>18</v>
      </c>
      <c r="D305" s="2" t="s">
        <v>19</v>
      </c>
      <c r="E305" s="2" t="s">
        <v>31</v>
      </c>
      <c r="F305" s="2">
        <v>18.0</v>
      </c>
      <c r="G305" s="2">
        <v>10.0</v>
      </c>
      <c r="H305" s="2">
        <v>6.0</v>
      </c>
      <c r="I305" s="2">
        <v>4.0</v>
      </c>
      <c r="J305" s="2">
        <v>0.0</v>
      </c>
      <c r="K305" s="2">
        <v>0.0</v>
      </c>
      <c r="L305" s="2">
        <v>0.0</v>
      </c>
      <c r="M305" s="2">
        <v>12.0</v>
      </c>
      <c r="N305" s="2"/>
      <c r="O305" s="2"/>
      <c r="P305" s="2" t="s">
        <v>146</v>
      </c>
    </row>
    <row r="306">
      <c r="A306" s="3" t="s">
        <v>26</v>
      </c>
      <c r="B306" s="2" t="s">
        <v>17</v>
      </c>
      <c r="C306" s="2" t="s">
        <v>18</v>
      </c>
      <c r="D306" s="2" t="s">
        <v>23</v>
      </c>
      <c r="E306" s="2" t="s">
        <v>31</v>
      </c>
      <c r="F306" s="2">
        <v>18.0</v>
      </c>
      <c r="G306" s="2">
        <v>10.0</v>
      </c>
      <c r="H306" s="2">
        <v>6.0</v>
      </c>
      <c r="I306" s="2">
        <v>4.0</v>
      </c>
      <c r="J306" s="2">
        <v>0.0</v>
      </c>
      <c r="K306" s="2">
        <v>0.0</v>
      </c>
      <c r="L306" s="2">
        <v>0.0</v>
      </c>
      <c r="M306" s="2">
        <v>12.0</v>
      </c>
      <c r="N306" s="2">
        <v>0.0</v>
      </c>
      <c r="O306" s="2">
        <v>6.0</v>
      </c>
      <c r="P306" s="2" t="s">
        <v>146</v>
      </c>
    </row>
    <row r="307">
      <c r="A307" s="3" t="s">
        <v>28</v>
      </c>
      <c r="B307" s="4">
        <v>45293.29166666667</v>
      </c>
      <c r="C307" s="2" t="s">
        <v>18</v>
      </c>
      <c r="D307" s="2" t="s">
        <v>19</v>
      </c>
      <c r="E307" s="2" t="s">
        <v>31</v>
      </c>
      <c r="F307" s="2"/>
      <c r="G307" s="2">
        <v>10.0</v>
      </c>
      <c r="H307" s="2">
        <v>6.0</v>
      </c>
      <c r="I307" s="2">
        <v>4.0</v>
      </c>
      <c r="J307" s="2">
        <v>0.0</v>
      </c>
      <c r="K307" s="2">
        <v>0.0</v>
      </c>
      <c r="L307" s="2">
        <v>0.0</v>
      </c>
      <c r="M307" s="2"/>
      <c r="N307" s="2"/>
      <c r="O307" s="2"/>
      <c r="P307" s="2" t="s">
        <v>146</v>
      </c>
    </row>
    <row r="308">
      <c r="A308" s="3" t="s">
        <v>29</v>
      </c>
      <c r="B308" s="4">
        <v>45325.29166666667</v>
      </c>
      <c r="C308" s="2" t="s">
        <v>18</v>
      </c>
      <c r="D308" s="2" t="s">
        <v>19</v>
      </c>
      <c r="E308" s="2" t="s">
        <v>31</v>
      </c>
      <c r="F308" s="2"/>
      <c r="G308" s="2">
        <v>0.0</v>
      </c>
      <c r="H308" s="2">
        <v>0.0</v>
      </c>
      <c r="I308" s="2">
        <v>0.0</v>
      </c>
      <c r="J308" s="2">
        <v>0.0</v>
      </c>
      <c r="K308" s="2">
        <v>0.0</v>
      </c>
      <c r="L308" s="2">
        <v>0.0</v>
      </c>
      <c r="M308" s="2"/>
      <c r="N308" s="2"/>
      <c r="O308" s="2"/>
      <c r="P308" s="2" t="s">
        <v>146</v>
      </c>
    </row>
    <row r="309">
      <c r="A309" s="3" t="s">
        <v>32</v>
      </c>
      <c r="B309" s="4">
        <v>45352.29166666667</v>
      </c>
      <c r="C309" s="2" t="s">
        <v>18</v>
      </c>
      <c r="D309" s="2" t="s">
        <v>19</v>
      </c>
      <c r="E309" s="2" t="s">
        <v>31</v>
      </c>
      <c r="F309" s="2"/>
      <c r="G309" s="2">
        <v>0.0</v>
      </c>
      <c r="H309" s="2">
        <v>0.0</v>
      </c>
      <c r="I309" s="2">
        <v>0.0</v>
      </c>
      <c r="J309" s="2">
        <v>0.0</v>
      </c>
      <c r="K309" s="2">
        <v>0.0</v>
      </c>
      <c r="L309" s="2">
        <v>0.0</v>
      </c>
      <c r="M309" s="2"/>
      <c r="N309" s="2"/>
      <c r="O309" s="2"/>
      <c r="P309" s="2" t="s">
        <v>146</v>
      </c>
    </row>
    <row r="310">
      <c r="A310" s="3" t="s">
        <v>34</v>
      </c>
      <c r="B310" s="2" t="s">
        <v>17</v>
      </c>
      <c r="C310" s="2" t="s">
        <v>18</v>
      </c>
      <c r="D310" s="2" t="s">
        <v>159</v>
      </c>
      <c r="E310" s="2" t="s">
        <v>160</v>
      </c>
      <c r="F310" s="2">
        <v>27.0</v>
      </c>
      <c r="G310" s="2">
        <v>4.0</v>
      </c>
      <c r="H310" s="2">
        <v>3.0</v>
      </c>
      <c r="I310" s="2">
        <v>1.0</v>
      </c>
      <c r="J310" s="2">
        <v>0.0</v>
      </c>
      <c r="K310" s="2">
        <v>0.0</v>
      </c>
      <c r="L310" s="2">
        <v>0.0</v>
      </c>
      <c r="M310" s="2">
        <v>24.0</v>
      </c>
      <c r="N310" s="2"/>
      <c r="O310" s="2"/>
      <c r="P310" s="2" t="s">
        <v>146</v>
      </c>
    </row>
    <row r="311">
      <c r="A311" s="3" t="s">
        <v>35</v>
      </c>
      <c r="B311" s="2" t="s">
        <v>17</v>
      </c>
      <c r="C311" s="2" t="s">
        <v>18</v>
      </c>
      <c r="D311" s="2" t="s">
        <v>159</v>
      </c>
      <c r="E311" s="2" t="s">
        <v>161</v>
      </c>
      <c r="F311" s="2">
        <v>19.0</v>
      </c>
      <c r="G311" s="2">
        <v>7.0</v>
      </c>
      <c r="H311" s="2">
        <v>3.0</v>
      </c>
      <c r="I311" s="2">
        <v>1.0</v>
      </c>
      <c r="J311" s="2">
        <v>0.0</v>
      </c>
      <c r="K311" s="2">
        <v>3.0</v>
      </c>
      <c r="L311" s="2">
        <v>0.0</v>
      </c>
      <c r="M311" s="2">
        <v>16.0</v>
      </c>
      <c r="N311" s="2"/>
      <c r="O311" s="2"/>
      <c r="P311" s="2" t="s">
        <v>146</v>
      </c>
    </row>
    <row r="312">
      <c r="A312" s="3" t="s">
        <v>36</v>
      </c>
      <c r="B312" s="2" t="s">
        <v>17</v>
      </c>
      <c r="C312" s="2" t="s">
        <v>18</v>
      </c>
      <c r="D312" s="2" t="s">
        <v>19</v>
      </c>
      <c r="E312" s="2" t="s">
        <v>160</v>
      </c>
      <c r="F312" s="2">
        <v>27.0</v>
      </c>
      <c r="G312" s="2">
        <v>8.0</v>
      </c>
      <c r="H312" s="2">
        <v>1.0</v>
      </c>
      <c r="I312" s="2">
        <v>7.0</v>
      </c>
      <c r="J312" s="2">
        <v>0.0</v>
      </c>
      <c r="K312" s="2">
        <v>0.0</v>
      </c>
      <c r="L312" s="2">
        <v>0.0</v>
      </c>
      <c r="M312" s="2">
        <v>26.0</v>
      </c>
      <c r="N312" s="2"/>
      <c r="O312" s="2"/>
      <c r="P312" s="2" t="s">
        <v>146</v>
      </c>
    </row>
    <row r="313">
      <c r="A313" s="3" t="s">
        <v>37</v>
      </c>
      <c r="B313" s="2" t="s">
        <v>17</v>
      </c>
      <c r="C313" s="2" t="s">
        <v>18</v>
      </c>
      <c r="D313" s="2" t="s">
        <v>19</v>
      </c>
      <c r="E313" s="2" t="s">
        <v>161</v>
      </c>
      <c r="F313" s="2">
        <v>26.0</v>
      </c>
      <c r="G313" s="2">
        <v>8.0</v>
      </c>
      <c r="H313" s="2">
        <v>6.0</v>
      </c>
      <c r="I313" s="2">
        <v>2.0</v>
      </c>
      <c r="J313" s="2">
        <v>0.0</v>
      </c>
      <c r="K313" s="2">
        <v>0.0</v>
      </c>
      <c r="L313" s="2">
        <v>0.0</v>
      </c>
      <c r="M313" s="2">
        <v>20.0</v>
      </c>
      <c r="N313" s="2"/>
      <c r="O313" s="2"/>
      <c r="P313" s="2" t="s">
        <v>146</v>
      </c>
    </row>
    <row r="314">
      <c r="A314" s="3" t="s">
        <v>38</v>
      </c>
      <c r="B314" s="2" t="s">
        <v>17</v>
      </c>
      <c r="C314" s="2" t="s">
        <v>18</v>
      </c>
      <c r="D314" s="2" t="s">
        <v>23</v>
      </c>
      <c r="E314" s="2" t="s">
        <v>160</v>
      </c>
      <c r="F314" s="2">
        <v>27.0</v>
      </c>
      <c r="G314" s="2">
        <v>12.0</v>
      </c>
      <c r="H314" s="2">
        <v>4.0</v>
      </c>
      <c r="I314" s="2">
        <v>8.0</v>
      </c>
      <c r="J314" s="2">
        <v>0.0</v>
      </c>
      <c r="K314" s="2">
        <v>0.0</v>
      </c>
      <c r="L314" s="2">
        <v>0.0</v>
      </c>
      <c r="M314" s="2">
        <v>23.0</v>
      </c>
      <c r="N314" s="2">
        <v>-27.0</v>
      </c>
      <c r="O314" s="2">
        <v>19.0</v>
      </c>
      <c r="P314" s="2" t="s">
        <v>146</v>
      </c>
    </row>
    <row r="315">
      <c r="A315" s="3" t="s">
        <v>39</v>
      </c>
      <c r="B315" s="2" t="s">
        <v>17</v>
      </c>
      <c r="C315" s="2" t="s">
        <v>18</v>
      </c>
      <c r="D315" s="2" t="s">
        <v>23</v>
      </c>
      <c r="E315" s="2" t="s">
        <v>161</v>
      </c>
      <c r="F315" s="2">
        <v>26.0</v>
      </c>
      <c r="G315" s="2">
        <v>15.0</v>
      </c>
      <c r="H315" s="2">
        <v>9.0</v>
      </c>
      <c r="I315" s="2">
        <v>3.0</v>
      </c>
      <c r="J315" s="2">
        <v>0.0</v>
      </c>
      <c r="K315" s="2">
        <v>3.0</v>
      </c>
      <c r="L315" s="2">
        <v>0.0</v>
      </c>
      <c r="M315" s="2">
        <v>17.0</v>
      </c>
      <c r="N315" s="2">
        <v>-19.0</v>
      </c>
      <c r="O315" s="2">
        <v>8.0</v>
      </c>
      <c r="P315" s="2" t="s">
        <v>146</v>
      </c>
    </row>
    <row r="316">
      <c r="A316" s="3" t="s">
        <v>40</v>
      </c>
      <c r="B316" s="4">
        <v>45293.29166666667</v>
      </c>
      <c r="C316" s="2" t="s">
        <v>18</v>
      </c>
      <c r="D316" s="2" t="s">
        <v>19</v>
      </c>
      <c r="E316" s="2" t="s">
        <v>160</v>
      </c>
      <c r="F316" s="2"/>
      <c r="G316" s="2">
        <v>8.0</v>
      </c>
      <c r="H316" s="2">
        <v>1.0</v>
      </c>
      <c r="I316" s="2">
        <v>7.0</v>
      </c>
      <c r="J316" s="2">
        <v>0.0</v>
      </c>
      <c r="K316" s="2">
        <v>0.0</v>
      </c>
      <c r="L316" s="2">
        <v>0.0</v>
      </c>
      <c r="M316" s="2"/>
      <c r="N316" s="2"/>
      <c r="O316" s="2"/>
      <c r="P316" s="2" t="s">
        <v>146</v>
      </c>
    </row>
    <row r="317">
      <c r="A317" s="3" t="s">
        <v>41</v>
      </c>
      <c r="B317" s="4">
        <v>45293.29166666667</v>
      </c>
      <c r="C317" s="2" t="s">
        <v>18</v>
      </c>
      <c r="D317" s="2" t="s">
        <v>19</v>
      </c>
      <c r="E317" s="2" t="s">
        <v>161</v>
      </c>
      <c r="F317" s="2"/>
      <c r="G317" s="2">
        <v>8.0</v>
      </c>
      <c r="H317" s="2">
        <v>6.0</v>
      </c>
      <c r="I317" s="2">
        <v>2.0</v>
      </c>
      <c r="J317" s="2">
        <v>0.0</v>
      </c>
      <c r="K317" s="2">
        <v>0.0</v>
      </c>
      <c r="L317" s="2">
        <v>0.0</v>
      </c>
      <c r="M317" s="2"/>
      <c r="N317" s="2"/>
      <c r="O317" s="2"/>
      <c r="P317" s="2" t="s">
        <v>146</v>
      </c>
    </row>
    <row r="318">
      <c r="A318" s="3" t="s">
        <v>42</v>
      </c>
      <c r="B318" s="4">
        <v>45352.29166666667</v>
      </c>
      <c r="C318" s="2" t="s">
        <v>18</v>
      </c>
      <c r="D318" s="2" t="s">
        <v>159</v>
      </c>
      <c r="E318" s="2" t="s">
        <v>160</v>
      </c>
      <c r="F318" s="2"/>
      <c r="G318" s="2">
        <v>4.0</v>
      </c>
      <c r="H318" s="2">
        <v>3.0</v>
      </c>
      <c r="I318" s="2">
        <v>1.0</v>
      </c>
      <c r="J318" s="2">
        <v>0.0</v>
      </c>
      <c r="K318" s="2">
        <v>0.0</v>
      </c>
      <c r="L318" s="2">
        <v>0.0</v>
      </c>
      <c r="M318" s="2"/>
      <c r="N318" s="2"/>
      <c r="O318" s="2"/>
      <c r="P318" s="2" t="s">
        <v>146</v>
      </c>
    </row>
    <row r="319">
      <c r="A319" s="3" t="s">
        <v>43</v>
      </c>
      <c r="B319" s="4">
        <v>45353.29166666667</v>
      </c>
      <c r="C319" s="2" t="s">
        <v>18</v>
      </c>
      <c r="D319" s="2" t="s">
        <v>159</v>
      </c>
      <c r="E319" s="2" t="s">
        <v>161</v>
      </c>
      <c r="F319" s="2"/>
      <c r="G319" s="2">
        <v>7.0</v>
      </c>
      <c r="H319" s="2">
        <v>3.0</v>
      </c>
      <c r="I319" s="2">
        <v>1.0</v>
      </c>
      <c r="J319" s="2">
        <v>0.0</v>
      </c>
      <c r="K319" s="2">
        <v>3.0</v>
      </c>
      <c r="L319" s="2">
        <v>0.0</v>
      </c>
      <c r="M319" s="2"/>
      <c r="N319" s="2"/>
      <c r="O319" s="2"/>
      <c r="P319" s="2" t="s">
        <v>146</v>
      </c>
    </row>
    <row r="320">
      <c r="A320" s="3" t="s">
        <v>44</v>
      </c>
      <c r="B320" s="2" t="s">
        <v>17</v>
      </c>
      <c r="C320" s="2" t="s">
        <v>18</v>
      </c>
      <c r="D320" s="2" t="s">
        <v>19</v>
      </c>
      <c r="E320" s="2" t="s">
        <v>162</v>
      </c>
      <c r="F320" s="2">
        <v>140.0</v>
      </c>
      <c r="G320" s="2">
        <v>88.0</v>
      </c>
      <c r="H320" s="2">
        <v>39.0</v>
      </c>
      <c r="I320" s="2">
        <v>38.0</v>
      </c>
      <c r="J320" s="2">
        <v>0.0</v>
      </c>
      <c r="K320" s="2">
        <v>11.0</v>
      </c>
      <c r="L320" s="2">
        <v>4.0</v>
      </c>
      <c r="M320" s="2">
        <v>101.0</v>
      </c>
      <c r="N320" s="2"/>
      <c r="O320" s="2"/>
      <c r="P320" s="2" t="s">
        <v>92</v>
      </c>
    </row>
    <row r="321">
      <c r="A321" s="3" t="s">
        <v>45</v>
      </c>
      <c r="B321" s="2" t="s">
        <v>17</v>
      </c>
      <c r="C321" s="2" t="s">
        <v>18</v>
      </c>
      <c r="D321" s="2" t="s">
        <v>23</v>
      </c>
      <c r="E321" s="2" t="s">
        <v>162</v>
      </c>
      <c r="F321" s="2">
        <v>140.0</v>
      </c>
      <c r="G321" s="2">
        <v>88.0</v>
      </c>
      <c r="H321" s="2">
        <v>39.0</v>
      </c>
      <c r="I321" s="2">
        <v>38.0</v>
      </c>
      <c r="J321" s="2">
        <v>0.0</v>
      </c>
      <c r="K321" s="2">
        <v>11.0</v>
      </c>
      <c r="L321" s="2">
        <v>4.0</v>
      </c>
      <c r="M321" s="2">
        <v>101.0</v>
      </c>
      <c r="N321" s="2">
        <v>0.0</v>
      </c>
      <c r="O321" s="2">
        <v>62.0</v>
      </c>
      <c r="P321" s="2" t="s">
        <v>92</v>
      </c>
    </row>
    <row r="322">
      <c r="A322" s="3" t="s">
        <v>16</v>
      </c>
      <c r="B322" s="4">
        <v>45294.29166666667</v>
      </c>
      <c r="C322" s="2" t="s">
        <v>18</v>
      </c>
      <c r="D322" s="2" t="s">
        <v>19</v>
      </c>
      <c r="E322" s="2" t="s">
        <v>162</v>
      </c>
      <c r="F322" s="2"/>
      <c r="G322" s="2">
        <v>0.0</v>
      </c>
      <c r="H322" s="2">
        <v>0.0</v>
      </c>
      <c r="I322" s="2">
        <v>0.0</v>
      </c>
      <c r="J322" s="2">
        <v>0.0</v>
      </c>
      <c r="K322" s="2">
        <v>0.0</v>
      </c>
      <c r="L322" s="2">
        <v>0.0</v>
      </c>
      <c r="M322" s="2"/>
      <c r="N322" s="2"/>
      <c r="O322" s="2"/>
      <c r="P322" s="2" t="s">
        <v>92</v>
      </c>
    </row>
    <row r="323">
      <c r="A323" s="3" t="s">
        <v>47</v>
      </c>
      <c r="B323" s="4">
        <v>45323.29166666667</v>
      </c>
      <c r="C323" s="2" t="s">
        <v>18</v>
      </c>
      <c r="D323" s="2" t="s">
        <v>19</v>
      </c>
      <c r="E323" s="2" t="s">
        <v>162</v>
      </c>
      <c r="F323" s="2"/>
      <c r="G323" s="2">
        <v>67.0</v>
      </c>
      <c r="H323" s="2">
        <v>31.0</v>
      </c>
      <c r="I323" s="2">
        <v>31.0</v>
      </c>
      <c r="J323" s="2">
        <v>0.0</v>
      </c>
      <c r="K323" s="2">
        <v>5.0</v>
      </c>
      <c r="L323" s="2">
        <v>0.0</v>
      </c>
      <c r="M323" s="2"/>
      <c r="N323" s="2"/>
      <c r="O323" s="2"/>
      <c r="P323" s="2" t="s">
        <v>92</v>
      </c>
    </row>
    <row r="324">
      <c r="A324" s="3" t="s">
        <v>48</v>
      </c>
      <c r="B324" s="4">
        <v>45352.29166666667</v>
      </c>
      <c r="C324" s="2" t="s">
        <v>18</v>
      </c>
      <c r="D324" s="2" t="s">
        <v>19</v>
      </c>
      <c r="E324" s="2" t="s">
        <v>162</v>
      </c>
      <c r="F324" s="2"/>
      <c r="G324" s="2">
        <v>21.0</v>
      </c>
      <c r="H324" s="2">
        <v>8.0</v>
      </c>
      <c r="I324" s="2">
        <v>7.0</v>
      </c>
      <c r="J324" s="2">
        <v>0.0</v>
      </c>
      <c r="K324" s="2">
        <v>6.0</v>
      </c>
      <c r="L324" s="2">
        <v>4.0</v>
      </c>
      <c r="M324" s="2"/>
      <c r="N324" s="2"/>
      <c r="O324" s="2"/>
      <c r="P324" s="2" t="s">
        <v>92</v>
      </c>
    </row>
    <row r="325">
      <c r="A325" s="3" t="s">
        <v>49</v>
      </c>
      <c r="B325" s="2" t="s">
        <v>17</v>
      </c>
      <c r="C325" s="2" t="s">
        <v>18</v>
      </c>
      <c r="D325" s="2" t="s">
        <v>91</v>
      </c>
      <c r="E325" s="2" t="s">
        <v>27</v>
      </c>
      <c r="F325" s="2">
        <v>30.0</v>
      </c>
      <c r="G325" s="2">
        <v>13.0</v>
      </c>
      <c r="H325" s="2">
        <v>5.0</v>
      </c>
      <c r="I325" s="2">
        <v>1.0</v>
      </c>
      <c r="J325" s="2">
        <v>0.0</v>
      </c>
      <c r="K325" s="2">
        <v>7.0</v>
      </c>
      <c r="L325" s="2">
        <v>0.0</v>
      </c>
      <c r="M325" s="2">
        <v>25.0</v>
      </c>
      <c r="N325" s="2"/>
      <c r="O325" s="2"/>
      <c r="P325" s="2" t="s">
        <v>146</v>
      </c>
    </row>
    <row r="326">
      <c r="A326" s="3" t="s">
        <v>51</v>
      </c>
      <c r="B326" s="2" t="s">
        <v>17</v>
      </c>
      <c r="C326" s="2" t="s">
        <v>18</v>
      </c>
      <c r="D326" s="2" t="s">
        <v>23</v>
      </c>
      <c r="E326" s="2" t="s">
        <v>27</v>
      </c>
      <c r="F326" s="2">
        <v>30.0</v>
      </c>
      <c r="G326" s="2">
        <v>13.0</v>
      </c>
      <c r="H326" s="2">
        <v>5.0</v>
      </c>
      <c r="I326" s="2">
        <v>1.0</v>
      </c>
      <c r="J326" s="2">
        <v>0.0</v>
      </c>
      <c r="K326" s="2">
        <v>7.0</v>
      </c>
      <c r="L326" s="2">
        <v>0.0</v>
      </c>
      <c r="M326" s="2">
        <v>25.0</v>
      </c>
      <c r="N326" s="2">
        <v>0.0</v>
      </c>
      <c r="O326" s="2">
        <v>20.0</v>
      </c>
      <c r="P326" s="2" t="s">
        <v>146</v>
      </c>
    </row>
    <row r="327">
      <c r="A327" s="3" t="s">
        <v>52</v>
      </c>
      <c r="B327" s="4">
        <v>45324.29166666667</v>
      </c>
      <c r="C327" s="2" t="s">
        <v>18</v>
      </c>
      <c r="D327" s="2" t="s">
        <v>91</v>
      </c>
      <c r="E327" s="2" t="s">
        <v>27</v>
      </c>
      <c r="F327" s="2"/>
      <c r="G327" s="2">
        <v>11.0</v>
      </c>
      <c r="H327" s="2">
        <v>3.0</v>
      </c>
      <c r="I327" s="2">
        <v>1.0</v>
      </c>
      <c r="J327" s="2">
        <v>0.0</v>
      </c>
      <c r="K327" s="2">
        <v>7.0</v>
      </c>
      <c r="L327" s="2">
        <v>0.0</v>
      </c>
      <c r="M327" s="2"/>
      <c r="N327" s="2"/>
      <c r="O327" s="2"/>
      <c r="P327" s="2" t="s">
        <v>146</v>
      </c>
    </row>
    <row r="328">
      <c r="A328" s="3" t="s">
        <v>53</v>
      </c>
      <c r="B328" s="4">
        <v>45353.29166666667</v>
      </c>
      <c r="C328" s="2" t="s">
        <v>18</v>
      </c>
      <c r="D328" s="2" t="s">
        <v>91</v>
      </c>
      <c r="E328" s="2" t="s">
        <v>27</v>
      </c>
      <c r="F328" s="2"/>
      <c r="G328" s="2">
        <v>2.0</v>
      </c>
      <c r="H328" s="2">
        <v>2.0</v>
      </c>
      <c r="I328" s="2">
        <v>0.0</v>
      </c>
      <c r="J328" s="2">
        <v>0.0</v>
      </c>
      <c r="K328" s="2">
        <v>0.0</v>
      </c>
      <c r="L328" s="2">
        <v>0.0</v>
      </c>
      <c r="M328" s="2"/>
      <c r="N328" s="2"/>
      <c r="O328" s="2"/>
      <c r="P328" s="2" t="s">
        <v>146</v>
      </c>
    </row>
    <row r="329">
      <c r="A329" s="3" t="s">
        <v>54</v>
      </c>
      <c r="B329" s="2" t="s">
        <v>17</v>
      </c>
      <c r="C329" s="2" t="s">
        <v>18</v>
      </c>
      <c r="D329" s="2" t="s">
        <v>157</v>
      </c>
      <c r="E329" s="2" t="s">
        <v>163</v>
      </c>
      <c r="F329" s="2">
        <v>200.0</v>
      </c>
      <c r="G329" s="2">
        <v>44.0</v>
      </c>
      <c r="H329" s="2">
        <v>2.0</v>
      </c>
      <c r="I329" s="2">
        <v>10.0</v>
      </c>
      <c r="J329" s="2">
        <v>0.0</v>
      </c>
      <c r="K329" s="2">
        <v>32.0</v>
      </c>
      <c r="L329" s="2">
        <v>0.0</v>
      </c>
      <c r="M329" s="2">
        <v>198.0</v>
      </c>
      <c r="N329" s="2"/>
      <c r="O329" s="2"/>
      <c r="P329" s="2" t="s">
        <v>111</v>
      </c>
    </row>
    <row r="330">
      <c r="A330" s="3" t="s">
        <v>55</v>
      </c>
      <c r="B330" s="2" t="s">
        <v>17</v>
      </c>
      <c r="C330" s="2" t="s">
        <v>18</v>
      </c>
      <c r="D330" s="2" t="s">
        <v>19</v>
      </c>
      <c r="E330" s="2" t="s">
        <v>163</v>
      </c>
      <c r="F330" s="2">
        <v>100.0</v>
      </c>
      <c r="G330" s="2">
        <v>0.0</v>
      </c>
      <c r="H330" s="2">
        <v>0.0</v>
      </c>
      <c r="I330" s="2">
        <v>0.0</v>
      </c>
      <c r="J330" s="2">
        <v>0.0</v>
      </c>
      <c r="K330" s="2">
        <v>0.0</v>
      </c>
      <c r="L330" s="2">
        <v>0.0</v>
      </c>
      <c r="M330" s="2">
        <v>100.0</v>
      </c>
      <c r="N330" s="2"/>
      <c r="O330" s="2"/>
      <c r="P330" s="2" t="s">
        <v>111</v>
      </c>
    </row>
    <row r="331">
      <c r="A331" s="3" t="s">
        <v>56</v>
      </c>
      <c r="B331" s="2" t="s">
        <v>17</v>
      </c>
      <c r="C331" s="2" t="s">
        <v>18</v>
      </c>
      <c r="D331" s="2" t="s">
        <v>23</v>
      </c>
      <c r="E331" s="2" t="s">
        <v>163</v>
      </c>
      <c r="F331" s="2">
        <v>300.0</v>
      </c>
      <c r="G331" s="2">
        <v>44.0</v>
      </c>
      <c r="H331" s="2">
        <v>2.0</v>
      </c>
      <c r="I331" s="2">
        <v>10.0</v>
      </c>
      <c r="J331" s="2">
        <v>0.0</v>
      </c>
      <c r="K331" s="2">
        <v>32.0</v>
      </c>
      <c r="L331" s="2">
        <v>0.0</v>
      </c>
      <c r="M331" s="2">
        <v>298.0</v>
      </c>
      <c r="N331" s="2">
        <v>0.0</v>
      </c>
      <c r="O331" s="2">
        <v>296.0</v>
      </c>
      <c r="P331" s="2" t="s">
        <v>111</v>
      </c>
    </row>
    <row r="332">
      <c r="A332" s="3" t="s">
        <v>59</v>
      </c>
      <c r="B332" s="4">
        <v>45324.29166666667</v>
      </c>
      <c r="C332" s="2" t="s">
        <v>18</v>
      </c>
      <c r="D332" s="2" t="s">
        <v>19</v>
      </c>
      <c r="E332" s="2" t="s">
        <v>163</v>
      </c>
      <c r="F332" s="2"/>
      <c r="G332" s="2">
        <v>0.0</v>
      </c>
      <c r="H332" s="2">
        <v>0.0</v>
      </c>
      <c r="I332" s="2">
        <v>0.0</v>
      </c>
      <c r="J332" s="2">
        <v>0.0</v>
      </c>
      <c r="K332" s="2">
        <v>0.0</v>
      </c>
      <c r="L332" s="2">
        <v>0.0</v>
      </c>
      <c r="M332" s="2"/>
      <c r="N332" s="2"/>
      <c r="O332" s="2"/>
      <c r="P332" s="2" t="s">
        <v>111</v>
      </c>
    </row>
    <row r="333">
      <c r="A333" s="3" t="s">
        <v>60</v>
      </c>
      <c r="B333" s="4">
        <v>45324.29166666667</v>
      </c>
      <c r="C333" s="2" t="s">
        <v>18</v>
      </c>
      <c r="D333" s="2" t="s">
        <v>157</v>
      </c>
      <c r="E333" s="2" t="s">
        <v>163</v>
      </c>
      <c r="F333" s="2"/>
      <c r="G333" s="2">
        <v>44.0</v>
      </c>
      <c r="H333" s="2">
        <v>2.0</v>
      </c>
      <c r="I333" s="2">
        <v>10.0</v>
      </c>
      <c r="J333" s="2">
        <v>0.0</v>
      </c>
      <c r="K333" s="2">
        <v>32.0</v>
      </c>
      <c r="L333" s="2">
        <v>0.0</v>
      </c>
      <c r="M333" s="2"/>
      <c r="N333" s="2"/>
      <c r="O333" s="2"/>
      <c r="P333" s="2" t="s">
        <v>111</v>
      </c>
    </row>
    <row r="334">
      <c r="A334" s="3" t="s">
        <v>61</v>
      </c>
      <c r="B334" s="4">
        <v>45352.29166666667</v>
      </c>
      <c r="C334" s="2" t="s">
        <v>18</v>
      </c>
      <c r="D334" s="2" t="s">
        <v>19</v>
      </c>
      <c r="E334" s="2" t="s">
        <v>163</v>
      </c>
      <c r="F334" s="2"/>
      <c r="G334" s="2">
        <v>0.0</v>
      </c>
      <c r="H334" s="2">
        <v>0.0</v>
      </c>
      <c r="I334" s="2">
        <v>0.0</v>
      </c>
      <c r="J334" s="2">
        <v>0.0</v>
      </c>
      <c r="K334" s="2">
        <v>0.0</v>
      </c>
      <c r="L334" s="2">
        <v>0.0</v>
      </c>
      <c r="M334" s="2"/>
      <c r="N334" s="2"/>
      <c r="O334" s="2"/>
      <c r="P334" s="2" t="s">
        <v>111</v>
      </c>
    </row>
    <row r="335">
      <c r="A335" s="3" t="s">
        <v>62</v>
      </c>
      <c r="B335" s="4">
        <v>45352.29166666667</v>
      </c>
      <c r="C335" s="2" t="s">
        <v>18</v>
      </c>
      <c r="D335" s="2" t="s">
        <v>157</v>
      </c>
      <c r="E335" s="2" t="s">
        <v>163</v>
      </c>
      <c r="F335" s="2"/>
      <c r="G335" s="2">
        <v>0.0</v>
      </c>
      <c r="H335" s="2">
        <v>0.0</v>
      </c>
      <c r="I335" s="2">
        <v>0.0</v>
      </c>
      <c r="J335" s="2">
        <v>0.0</v>
      </c>
      <c r="K335" s="2">
        <v>0.0</v>
      </c>
      <c r="L335" s="2">
        <v>0.0</v>
      </c>
      <c r="M335" s="2"/>
      <c r="N335" s="2"/>
      <c r="O335" s="2"/>
      <c r="P335" s="2" t="s">
        <v>111</v>
      </c>
    </row>
    <row r="336">
      <c r="A336" s="3" t="s">
        <v>63</v>
      </c>
      <c r="B336" s="2" t="s">
        <v>17</v>
      </c>
      <c r="C336" s="2" t="s">
        <v>18</v>
      </c>
      <c r="D336" s="2" t="s">
        <v>164</v>
      </c>
      <c r="E336" s="2" t="s">
        <v>165</v>
      </c>
      <c r="F336" s="2">
        <v>42.0</v>
      </c>
      <c r="G336" s="2">
        <v>85.0</v>
      </c>
      <c r="H336" s="2">
        <v>22.0</v>
      </c>
      <c r="I336" s="2">
        <v>23.0</v>
      </c>
      <c r="J336" s="2">
        <v>0.0</v>
      </c>
      <c r="K336" s="2">
        <v>40.0</v>
      </c>
      <c r="L336" s="2">
        <v>0.0</v>
      </c>
      <c r="M336" s="2">
        <v>20.0</v>
      </c>
      <c r="N336" s="2"/>
      <c r="O336" s="2"/>
      <c r="P336" s="2" t="s">
        <v>166</v>
      </c>
    </row>
    <row r="337">
      <c r="A337" s="3" t="s">
        <v>64</v>
      </c>
      <c r="B337" s="2" t="s">
        <v>17</v>
      </c>
      <c r="C337" s="2" t="s">
        <v>18</v>
      </c>
      <c r="D337" s="2" t="s">
        <v>23</v>
      </c>
      <c r="E337" s="2" t="s">
        <v>165</v>
      </c>
      <c r="F337" s="2">
        <v>42.0</v>
      </c>
      <c r="G337" s="2">
        <v>85.0</v>
      </c>
      <c r="H337" s="2">
        <v>22.0</v>
      </c>
      <c r="I337" s="2">
        <v>23.0</v>
      </c>
      <c r="J337" s="2">
        <v>0.0</v>
      </c>
      <c r="K337" s="2">
        <v>40.0</v>
      </c>
      <c r="L337" s="2">
        <v>0.0</v>
      </c>
      <c r="M337" s="2">
        <v>20.0</v>
      </c>
      <c r="N337" s="2">
        <v>0.0</v>
      </c>
      <c r="O337" s="2">
        <v>-2.0</v>
      </c>
      <c r="P337" s="2" t="s">
        <v>166</v>
      </c>
    </row>
    <row r="338">
      <c r="A338" s="3" t="s">
        <v>65</v>
      </c>
      <c r="B338" s="4">
        <v>45324.29166666667</v>
      </c>
      <c r="C338" s="2" t="s">
        <v>18</v>
      </c>
      <c r="D338" s="2" t="s">
        <v>167</v>
      </c>
      <c r="E338" s="2" t="s">
        <v>165</v>
      </c>
      <c r="F338" s="2"/>
      <c r="G338" s="2">
        <v>0.0</v>
      </c>
      <c r="H338" s="2">
        <v>0.0</v>
      </c>
      <c r="I338" s="2">
        <v>0.0</v>
      </c>
      <c r="J338" s="2">
        <v>0.0</v>
      </c>
      <c r="K338" s="2">
        <v>0.0</v>
      </c>
      <c r="L338" s="2">
        <v>0.0</v>
      </c>
      <c r="M338" s="2"/>
      <c r="N338" s="2"/>
      <c r="O338" s="2"/>
      <c r="P338" s="2" t="s">
        <v>166</v>
      </c>
    </row>
    <row r="339">
      <c r="A339" s="3" t="s">
        <v>66</v>
      </c>
      <c r="B339" s="4">
        <v>45352.29166666667</v>
      </c>
      <c r="C339" s="2" t="s">
        <v>18</v>
      </c>
      <c r="D339" s="2" t="s">
        <v>167</v>
      </c>
      <c r="E339" s="2" t="s">
        <v>165</v>
      </c>
      <c r="F339" s="2"/>
      <c r="G339" s="2">
        <v>85.0</v>
      </c>
      <c r="H339" s="2">
        <v>22.0</v>
      </c>
      <c r="I339" s="2">
        <v>23.0</v>
      </c>
      <c r="J339" s="2">
        <v>0.0</v>
      </c>
      <c r="K339" s="2">
        <v>40.0</v>
      </c>
      <c r="L339" s="2">
        <v>0.0</v>
      </c>
      <c r="M339" s="2"/>
      <c r="N339" s="2"/>
      <c r="O339" s="2"/>
      <c r="P339" s="2" t="s">
        <v>166</v>
      </c>
    </row>
    <row r="340">
      <c r="A340" s="3" t="s">
        <v>68</v>
      </c>
      <c r="B340" s="2" t="s">
        <v>17</v>
      </c>
      <c r="C340" s="2" t="s">
        <v>18</v>
      </c>
      <c r="D340" s="2" t="s">
        <v>79</v>
      </c>
      <c r="E340" s="2" t="s">
        <v>165</v>
      </c>
      <c r="F340" s="2">
        <v>270.0</v>
      </c>
      <c r="G340" s="2">
        <v>151.0</v>
      </c>
      <c r="H340" s="2">
        <v>94.0</v>
      </c>
      <c r="I340" s="2">
        <v>57.0</v>
      </c>
      <c r="J340" s="2">
        <v>0.0</v>
      </c>
      <c r="K340" s="2">
        <v>0.0</v>
      </c>
      <c r="L340" s="2">
        <v>0.0</v>
      </c>
      <c r="M340" s="2">
        <v>176.0</v>
      </c>
      <c r="N340" s="2"/>
      <c r="O340" s="2"/>
      <c r="P340" s="2" t="s">
        <v>166</v>
      </c>
    </row>
    <row r="341">
      <c r="A341" s="3" t="s">
        <v>70</v>
      </c>
      <c r="B341" s="2" t="s">
        <v>17</v>
      </c>
      <c r="C341" s="2" t="s">
        <v>18</v>
      </c>
      <c r="D341" s="2" t="s">
        <v>23</v>
      </c>
      <c r="E341" s="2" t="s">
        <v>165</v>
      </c>
      <c r="F341" s="2">
        <v>270.0</v>
      </c>
      <c r="G341" s="2">
        <v>151.0</v>
      </c>
      <c r="H341" s="2">
        <v>94.0</v>
      </c>
      <c r="I341" s="2">
        <v>57.0</v>
      </c>
      <c r="J341" s="2">
        <v>0.0</v>
      </c>
      <c r="K341" s="2">
        <v>0.0</v>
      </c>
      <c r="L341" s="2">
        <v>0.0</v>
      </c>
      <c r="M341" s="2">
        <v>176.0</v>
      </c>
      <c r="N341" s="2">
        <v>0.0</v>
      </c>
      <c r="O341" s="2">
        <v>82.0</v>
      </c>
      <c r="P341" s="2" t="s">
        <v>166</v>
      </c>
    </row>
    <row r="342">
      <c r="A342" s="3" t="s">
        <v>16</v>
      </c>
      <c r="B342" s="4">
        <v>45324.29166666667</v>
      </c>
      <c r="C342" s="2" t="s">
        <v>18</v>
      </c>
      <c r="D342" s="2" t="s">
        <v>79</v>
      </c>
      <c r="E342" s="2" t="s">
        <v>165</v>
      </c>
      <c r="F342" s="2"/>
      <c r="G342" s="2">
        <v>91.0</v>
      </c>
      <c r="H342" s="2">
        <v>57.0</v>
      </c>
      <c r="I342" s="2">
        <v>34.0</v>
      </c>
      <c r="J342" s="2">
        <v>0.0</v>
      </c>
      <c r="K342" s="2">
        <v>0.0</v>
      </c>
      <c r="L342" s="2">
        <v>0.0</v>
      </c>
      <c r="M342" s="2"/>
      <c r="N342" s="2"/>
      <c r="O342" s="2"/>
      <c r="P342" s="2" t="s">
        <v>166</v>
      </c>
    </row>
    <row r="343">
      <c r="A343" s="3" t="s">
        <v>71</v>
      </c>
      <c r="B343" s="4">
        <v>45352.29166666667</v>
      </c>
      <c r="C343" s="2" t="s">
        <v>18</v>
      </c>
      <c r="D343" s="2" t="s">
        <v>79</v>
      </c>
      <c r="E343" s="2" t="s">
        <v>165</v>
      </c>
      <c r="F343" s="2"/>
      <c r="G343" s="2">
        <v>60.0</v>
      </c>
      <c r="H343" s="2">
        <v>37.0</v>
      </c>
      <c r="I343" s="2">
        <v>23.0</v>
      </c>
      <c r="J343" s="2">
        <v>0.0</v>
      </c>
      <c r="K343" s="2">
        <v>0.0</v>
      </c>
      <c r="L343" s="2">
        <v>0.0</v>
      </c>
      <c r="M343" s="2"/>
      <c r="N343" s="2"/>
      <c r="O343" s="2"/>
      <c r="P343" s="2" t="s">
        <v>166</v>
      </c>
    </row>
    <row r="344">
      <c r="A344" s="3" t="s">
        <v>72</v>
      </c>
      <c r="B344" s="2" t="s">
        <v>17</v>
      </c>
      <c r="C344" s="2" t="s">
        <v>18</v>
      </c>
      <c r="D344" s="2" t="s">
        <v>79</v>
      </c>
      <c r="E344" s="2" t="s">
        <v>165</v>
      </c>
      <c r="F344" s="2">
        <v>452.0</v>
      </c>
      <c r="G344" s="2">
        <v>760.0</v>
      </c>
      <c r="H344" s="2">
        <v>314.0</v>
      </c>
      <c r="I344" s="2">
        <v>282.0</v>
      </c>
      <c r="J344" s="2">
        <v>0.0</v>
      </c>
      <c r="K344" s="2">
        <v>164.0</v>
      </c>
      <c r="L344" s="2">
        <v>0.0</v>
      </c>
      <c r="M344" s="2">
        <v>138.0</v>
      </c>
      <c r="N344" s="2"/>
      <c r="O344" s="2"/>
      <c r="P344" s="2" t="s">
        <v>166</v>
      </c>
    </row>
    <row r="345">
      <c r="A345" s="3" t="s">
        <v>73</v>
      </c>
      <c r="B345" s="2" t="s">
        <v>17</v>
      </c>
      <c r="C345" s="2" t="s">
        <v>18</v>
      </c>
      <c r="D345" s="2" t="s">
        <v>23</v>
      </c>
      <c r="E345" s="2" t="s">
        <v>165</v>
      </c>
      <c r="F345" s="2">
        <v>452.0</v>
      </c>
      <c r="G345" s="2">
        <v>760.0</v>
      </c>
      <c r="H345" s="2">
        <v>314.0</v>
      </c>
      <c r="I345" s="2">
        <v>282.0</v>
      </c>
      <c r="J345" s="2">
        <v>0.0</v>
      </c>
      <c r="K345" s="2">
        <v>164.0</v>
      </c>
      <c r="L345" s="2">
        <v>0.0</v>
      </c>
      <c r="M345" s="2">
        <v>138.0</v>
      </c>
      <c r="N345" s="2">
        <v>0.0</v>
      </c>
      <c r="O345" s="2">
        <v>-176.0</v>
      </c>
      <c r="P345" s="2" t="s">
        <v>166</v>
      </c>
    </row>
    <row r="346">
      <c r="A346" s="3" t="s">
        <v>74</v>
      </c>
      <c r="B346" s="4">
        <v>45294.29166666667</v>
      </c>
      <c r="C346" s="2" t="s">
        <v>18</v>
      </c>
      <c r="D346" s="2" t="s">
        <v>79</v>
      </c>
      <c r="E346" s="2" t="s">
        <v>165</v>
      </c>
      <c r="F346" s="2"/>
      <c r="G346" s="2">
        <v>361.0</v>
      </c>
      <c r="H346" s="2">
        <v>166.0</v>
      </c>
      <c r="I346" s="2">
        <v>195.0</v>
      </c>
      <c r="J346" s="2">
        <v>0.0</v>
      </c>
      <c r="K346" s="2">
        <v>0.0</v>
      </c>
      <c r="L346" s="2">
        <v>0.0</v>
      </c>
      <c r="M346" s="2"/>
      <c r="N346" s="2"/>
      <c r="O346" s="2"/>
      <c r="P346" s="2" t="s">
        <v>166</v>
      </c>
    </row>
    <row r="347">
      <c r="A347" s="3" t="s">
        <v>75</v>
      </c>
      <c r="B347" s="4">
        <v>45323.29166666667</v>
      </c>
      <c r="C347" s="2" t="s">
        <v>18</v>
      </c>
      <c r="D347" s="2" t="s">
        <v>79</v>
      </c>
      <c r="E347" s="2" t="s">
        <v>165</v>
      </c>
      <c r="F347" s="2"/>
      <c r="G347" s="2">
        <v>168.0</v>
      </c>
      <c r="H347" s="2">
        <v>113.0</v>
      </c>
      <c r="I347" s="2">
        <v>55.0</v>
      </c>
      <c r="J347" s="2">
        <v>0.0</v>
      </c>
      <c r="K347" s="2">
        <v>0.0</v>
      </c>
      <c r="L347" s="2">
        <v>0.0</v>
      </c>
      <c r="M347" s="2"/>
      <c r="N347" s="2"/>
      <c r="O347" s="2"/>
      <c r="P347" s="2" t="s">
        <v>166</v>
      </c>
    </row>
    <row r="348">
      <c r="A348" s="3" t="s">
        <v>76</v>
      </c>
      <c r="B348" s="4">
        <v>45352.29166666667</v>
      </c>
      <c r="C348" s="2" t="s">
        <v>18</v>
      </c>
      <c r="D348" s="2" t="s">
        <v>79</v>
      </c>
      <c r="E348" s="2" t="s">
        <v>165</v>
      </c>
      <c r="F348" s="2"/>
      <c r="G348" s="2">
        <v>231.0</v>
      </c>
      <c r="H348" s="2">
        <v>35.0</v>
      </c>
      <c r="I348" s="2">
        <v>32.0</v>
      </c>
      <c r="J348" s="2">
        <v>0.0</v>
      </c>
      <c r="K348" s="2">
        <v>164.0</v>
      </c>
      <c r="L348" s="2">
        <v>0.0</v>
      </c>
      <c r="M348" s="2"/>
      <c r="N348" s="2"/>
      <c r="O348" s="2"/>
      <c r="P348" s="2" t="s">
        <v>166</v>
      </c>
    </row>
    <row r="349">
      <c r="A349" s="3" t="s">
        <v>77</v>
      </c>
      <c r="B349" s="2" t="s">
        <v>17</v>
      </c>
      <c r="C349" s="2" t="s">
        <v>18</v>
      </c>
      <c r="D349" s="2" t="s">
        <v>164</v>
      </c>
      <c r="E349" s="2" t="s">
        <v>165</v>
      </c>
      <c r="F349" s="2">
        <v>79.0</v>
      </c>
      <c r="G349" s="2">
        <v>41.0</v>
      </c>
      <c r="H349" s="2">
        <v>19.0</v>
      </c>
      <c r="I349" s="2">
        <v>22.0</v>
      </c>
      <c r="J349" s="2">
        <v>0.0</v>
      </c>
      <c r="K349" s="2">
        <v>0.0</v>
      </c>
      <c r="L349" s="2">
        <v>0.0</v>
      </c>
      <c r="M349" s="2">
        <v>60.0</v>
      </c>
      <c r="N349" s="2"/>
      <c r="O349" s="2"/>
      <c r="P349" s="2" t="s">
        <v>166</v>
      </c>
    </row>
    <row r="350">
      <c r="A350" s="3" t="s">
        <v>78</v>
      </c>
      <c r="B350" s="2" t="s">
        <v>17</v>
      </c>
      <c r="C350" s="2" t="s">
        <v>18</v>
      </c>
      <c r="D350" s="2" t="s">
        <v>23</v>
      </c>
      <c r="E350" s="2" t="s">
        <v>165</v>
      </c>
      <c r="F350" s="2">
        <v>79.0</v>
      </c>
      <c r="G350" s="2">
        <v>41.0</v>
      </c>
      <c r="H350" s="2">
        <v>19.0</v>
      </c>
      <c r="I350" s="2">
        <v>22.0</v>
      </c>
      <c r="J350" s="2">
        <v>0.0</v>
      </c>
      <c r="K350" s="2">
        <v>0.0</v>
      </c>
      <c r="L350" s="2">
        <v>0.0</v>
      </c>
      <c r="M350" s="2">
        <v>60.0</v>
      </c>
      <c r="N350" s="2">
        <v>0.0</v>
      </c>
      <c r="O350" s="2">
        <v>41.0</v>
      </c>
      <c r="P350" s="2" t="s">
        <v>166</v>
      </c>
    </row>
    <row r="351">
      <c r="A351" s="3" t="s">
        <v>81</v>
      </c>
      <c r="B351" s="4">
        <v>45324.29166666667</v>
      </c>
      <c r="C351" s="2" t="s">
        <v>18</v>
      </c>
      <c r="D351" s="2" t="s">
        <v>164</v>
      </c>
      <c r="E351" s="2" t="s">
        <v>165</v>
      </c>
      <c r="F351" s="2"/>
      <c r="G351" s="2">
        <v>41.0</v>
      </c>
      <c r="H351" s="2">
        <v>19.0</v>
      </c>
      <c r="I351" s="2">
        <v>22.0</v>
      </c>
      <c r="J351" s="2">
        <v>0.0</v>
      </c>
      <c r="K351" s="2">
        <v>0.0</v>
      </c>
      <c r="L351" s="2">
        <v>0.0</v>
      </c>
      <c r="M351" s="2"/>
      <c r="N351" s="2"/>
      <c r="O351" s="2"/>
      <c r="P351" s="2" t="s">
        <v>166</v>
      </c>
    </row>
    <row r="352">
      <c r="A352" s="3" t="s">
        <v>82</v>
      </c>
      <c r="B352" s="4">
        <v>45352.29166666667</v>
      </c>
      <c r="C352" s="2" t="s">
        <v>18</v>
      </c>
      <c r="D352" s="2" t="s">
        <v>164</v>
      </c>
      <c r="E352" s="2" t="s">
        <v>165</v>
      </c>
      <c r="F352" s="2"/>
      <c r="G352" s="2">
        <v>0.0</v>
      </c>
      <c r="H352" s="2">
        <v>0.0</v>
      </c>
      <c r="I352" s="2">
        <v>0.0</v>
      </c>
      <c r="J352" s="2">
        <v>0.0</v>
      </c>
      <c r="K352" s="2">
        <v>0.0</v>
      </c>
      <c r="L352" s="2">
        <v>0.0</v>
      </c>
      <c r="M352" s="2"/>
      <c r="N352" s="2"/>
      <c r="O352" s="2"/>
      <c r="P352" s="2" t="s">
        <v>166</v>
      </c>
    </row>
    <row r="353">
      <c r="A353" s="3" t="s">
        <v>83</v>
      </c>
      <c r="B353" s="2" t="s">
        <v>17</v>
      </c>
      <c r="C353" s="2" t="s">
        <v>18</v>
      </c>
      <c r="D353" s="2" t="s">
        <v>79</v>
      </c>
      <c r="E353" s="2" t="s">
        <v>165</v>
      </c>
      <c r="F353" s="2">
        <v>125.0</v>
      </c>
      <c r="G353" s="2">
        <v>268.0</v>
      </c>
      <c r="H353" s="2">
        <v>103.0</v>
      </c>
      <c r="I353" s="2">
        <v>104.0</v>
      </c>
      <c r="J353" s="2">
        <v>0.0</v>
      </c>
      <c r="K353" s="2">
        <v>61.0</v>
      </c>
      <c r="L353" s="2">
        <v>0.0</v>
      </c>
      <c r="M353" s="2">
        <v>22.0</v>
      </c>
      <c r="N353" s="2"/>
      <c r="O353" s="2"/>
      <c r="P353" s="2" t="s">
        <v>166</v>
      </c>
    </row>
    <row r="354">
      <c r="A354" s="3" t="s">
        <v>84</v>
      </c>
      <c r="B354" s="2" t="s">
        <v>17</v>
      </c>
      <c r="C354" s="2" t="s">
        <v>18</v>
      </c>
      <c r="D354" s="2" t="s">
        <v>23</v>
      </c>
      <c r="E354" s="2" t="s">
        <v>165</v>
      </c>
      <c r="F354" s="2">
        <v>125.0</v>
      </c>
      <c r="G354" s="2">
        <v>268.0</v>
      </c>
      <c r="H354" s="2">
        <v>103.0</v>
      </c>
      <c r="I354" s="2">
        <v>104.0</v>
      </c>
      <c r="J354" s="2">
        <v>0.0</v>
      </c>
      <c r="K354" s="2">
        <v>61.0</v>
      </c>
      <c r="L354" s="2">
        <v>0.0</v>
      </c>
      <c r="M354" s="2">
        <v>22.0</v>
      </c>
      <c r="N354" s="2">
        <v>0.0</v>
      </c>
      <c r="O354" s="2">
        <v>-81.0</v>
      </c>
      <c r="P354" s="2" t="s">
        <v>166</v>
      </c>
    </row>
    <row r="355">
      <c r="A355" s="3" t="s">
        <v>85</v>
      </c>
      <c r="B355" s="4">
        <v>45294.29166666667</v>
      </c>
      <c r="C355" s="2" t="s">
        <v>18</v>
      </c>
      <c r="D355" s="2" t="s">
        <v>79</v>
      </c>
      <c r="E355" s="2" t="s">
        <v>165</v>
      </c>
      <c r="F355" s="2"/>
      <c r="G355" s="2">
        <v>82.0</v>
      </c>
      <c r="H355" s="2">
        <v>48.0</v>
      </c>
      <c r="I355" s="2">
        <v>34.0</v>
      </c>
      <c r="J355" s="2">
        <v>0.0</v>
      </c>
      <c r="K355" s="2">
        <v>0.0</v>
      </c>
      <c r="L355" s="2">
        <v>0.0</v>
      </c>
      <c r="M355" s="2"/>
      <c r="N355" s="2"/>
      <c r="O355" s="2"/>
      <c r="P355" s="2" t="s">
        <v>166</v>
      </c>
    </row>
    <row r="356">
      <c r="A356" s="3" t="s">
        <v>86</v>
      </c>
      <c r="B356" s="4">
        <v>45323.29166666667</v>
      </c>
      <c r="C356" s="2" t="s">
        <v>18</v>
      </c>
      <c r="D356" s="2" t="s">
        <v>79</v>
      </c>
      <c r="E356" s="2" t="s">
        <v>165</v>
      </c>
      <c r="F356" s="2"/>
      <c r="G356" s="2">
        <v>92.0</v>
      </c>
      <c r="H356" s="2">
        <v>42.0</v>
      </c>
      <c r="I356" s="2">
        <v>50.0</v>
      </c>
      <c r="J356" s="2">
        <v>0.0</v>
      </c>
      <c r="K356" s="2">
        <v>0.0</v>
      </c>
      <c r="L356" s="2">
        <v>0.0</v>
      </c>
      <c r="M356" s="2"/>
      <c r="N356" s="2"/>
      <c r="O356" s="2"/>
      <c r="P356" s="2" t="s">
        <v>166</v>
      </c>
    </row>
    <row r="357">
      <c r="A357" s="3" t="s">
        <v>87</v>
      </c>
      <c r="B357" s="4">
        <v>45352.29166666667</v>
      </c>
      <c r="C357" s="2" t="s">
        <v>18</v>
      </c>
      <c r="D357" s="2" t="s">
        <v>79</v>
      </c>
      <c r="E357" s="2" t="s">
        <v>165</v>
      </c>
      <c r="F357" s="2"/>
      <c r="G357" s="2">
        <v>94.0</v>
      </c>
      <c r="H357" s="2">
        <v>13.0</v>
      </c>
      <c r="I357" s="2">
        <v>20.0</v>
      </c>
      <c r="J357" s="2">
        <v>0.0</v>
      </c>
      <c r="K357" s="2">
        <v>61.0</v>
      </c>
      <c r="L357" s="2">
        <v>0.0</v>
      </c>
      <c r="M357" s="2"/>
      <c r="N357" s="2"/>
      <c r="O357" s="2"/>
      <c r="P357" s="2" t="s">
        <v>166</v>
      </c>
    </row>
    <row r="358">
      <c r="A358" s="3" t="s">
        <v>88</v>
      </c>
      <c r="B358" s="2" t="s">
        <v>17</v>
      </c>
      <c r="C358" s="2" t="s">
        <v>18</v>
      </c>
      <c r="D358" s="2" t="s">
        <v>164</v>
      </c>
      <c r="E358" s="2" t="s">
        <v>165</v>
      </c>
      <c r="F358" s="2">
        <v>100.0</v>
      </c>
      <c r="G358" s="2">
        <v>37.0</v>
      </c>
      <c r="H358" s="2">
        <v>26.0</v>
      </c>
      <c r="I358" s="2">
        <v>11.0</v>
      </c>
      <c r="J358" s="2">
        <v>0.0</v>
      </c>
      <c r="K358" s="2">
        <v>0.0</v>
      </c>
      <c r="L358" s="2">
        <v>0.0</v>
      </c>
      <c r="M358" s="2">
        <v>74.0</v>
      </c>
      <c r="N358" s="2"/>
      <c r="O358" s="2"/>
      <c r="P358" s="2" t="s">
        <v>166</v>
      </c>
    </row>
    <row r="359">
      <c r="A359" s="3" t="s">
        <v>89</v>
      </c>
      <c r="B359" s="2" t="s">
        <v>17</v>
      </c>
      <c r="C359" s="2" t="s">
        <v>18</v>
      </c>
      <c r="D359" s="2" t="s">
        <v>23</v>
      </c>
      <c r="E359" s="2" t="s">
        <v>165</v>
      </c>
      <c r="F359" s="2">
        <v>100.0</v>
      </c>
      <c r="G359" s="2">
        <v>37.0</v>
      </c>
      <c r="H359" s="2">
        <v>26.0</v>
      </c>
      <c r="I359" s="2">
        <v>11.0</v>
      </c>
      <c r="J359" s="2">
        <v>0.0</v>
      </c>
      <c r="K359" s="2">
        <v>0.0</v>
      </c>
      <c r="L359" s="2">
        <v>0.0</v>
      </c>
      <c r="M359" s="2">
        <v>74.0</v>
      </c>
      <c r="N359" s="2">
        <v>0.0</v>
      </c>
      <c r="O359" s="2">
        <v>48.0</v>
      </c>
      <c r="P359" s="2" t="s">
        <v>166</v>
      </c>
    </row>
    <row r="360">
      <c r="A360" s="3" t="s">
        <v>90</v>
      </c>
      <c r="B360" s="4">
        <v>45324.29166666667</v>
      </c>
      <c r="C360" s="2" t="s">
        <v>18</v>
      </c>
      <c r="D360" s="2" t="s">
        <v>164</v>
      </c>
      <c r="E360" s="2" t="s">
        <v>165</v>
      </c>
      <c r="F360" s="2"/>
      <c r="G360" s="2">
        <v>37.0</v>
      </c>
      <c r="H360" s="2">
        <v>26.0</v>
      </c>
      <c r="I360" s="2">
        <v>11.0</v>
      </c>
      <c r="J360" s="2">
        <v>0.0</v>
      </c>
      <c r="K360" s="2">
        <v>0.0</v>
      </c>
      <c r="L360" s="2">
        <v>0.0</v>
      </c>
      <c r="M360" s="2"/>
      <c r="N360" s="2"/>
      <c r="O360" s="2"/>
      <c r="P360" s="2" t="s">
        <v>166</v>
      </c>
    </row>
    <row r="361">
      <c r="A361" s="3" t="s">
        <v>93</v>
      </c>
      <c r="B361" s="4">
        <v>45352.29166666667</v>
      </c>
      <c r="C361" s="2" t="s">
        <v>18</v>
      </c>
      <c r="D361" s="2" t="s">
        <v>164</v>
      </c>
      <c r="E361" s="2" t="s">
        <v>165</v>
      </c>
      <c r="F361" s="2"/>
      <c r="G361" s="2">
        <v>0.0</v>
      </c>
      <c r="H361" s="2">
        <v>0.0</v>
      </c>
      <c r="I361" s="2">
        <v>0.0</v>
      </c>
      <c r="J361" s="2">
        <v>0.0</v>
      </c>
      <c r="K361" s="2">
        <v>0.0</v>
      </c>
      <c r="L361" s="2">
        <v>0.0</v>
      </c>
      <c r="M361" s="2"/>
      <c r="N361" s="2"/>
      <c r="O361" s="2"/>
      <c r="P361" s="2" t="s">
        <v>166</v>
      </c>
    </row>
    <row r="362">
      <c r="A362" s="3" t="s">
        <v>16</v>
      </c>
      <c r="B362" s="2" t="s">
        <v>17</v>
      </c>
      <c r="C362" s="2" t="s">
        <v>18</v>
      </c>
      <c r="D362" s="2" t="s">
        <v>164</v>
      </c>
      <c r="E362" s="2" t="s">
        <v>165</v>
      </c>
      <c r="F362" s="2">
        <v>20.0</v>
      </c>
      <c r="G362" s="2">
        <v>49.0</v>
      </c>
      <c r="H362" s="2">
        <v>23.0</v>
      </c>
      <c r="I362" s="2">
        <v>26.0</v>
      </c>
      <c r="J362" s="2">
        <v>0.0</v>
      </c>
      <c r="K362" s="2">
        <v>0.0</v>
      </c>
      <c r="L362" s="2">
        <v>0.0</v>
      </c>
      <c r="M362" s="2">
        <v>-3.0</v>
      </c>
      <c r="N362" s="2"/>
      <c r="O362" s="2"/>
      <c r="P362" s="2" t="s">
        <v>166</v>
      </c>
    </row>
    <row r="363">
      <c r="A363" s="3" t="s">
        <v>94</v>
      </c>
      <c r="B363" s="2" t="s">
        <v>17</v>
      </c>
      <c r="C363" s="2" t="s">
        <v>18</v>
      </c>
      <c r="D363" s="2" t="s">
        <v>23</v>
      </c>
      <c r="E363" s="2" t="s">
        <v>165</v>
      </c>
      <c r="F363" s="2">
        <v>20.0</v>
      </c>
      <c r="G363" s="2">
        <v>49.0</v>
      </c>
      <c r="H363" s="2">
        <v>23.0</v>
      </c>
      <c r="I363" s="2">
        <v>26.0</v>
      </c>
      <c r="J363" s="2">
        <v>0.0</v>
      </c>
      <c r="K363" s="2">
        <v>0.0</v>
      </c>
      <c r="L363" s="2">
        <v>0.0</v>
      </c>
      <c r="M363" s="2">
        <v>-3.0</v>
      </c>
      <c r="N363" s="2">
        <v>0.0</v>
      </c>
      <c r="O363" s="2">
        <v>-26.0</v>
      </c>
      <c r="P363" s="2" t="s">
        <v>166</v>
      </c>
    </row>
    <row r="364">
      <c r="A364" s="3" t="s">
        <v>95</v>
      </c>
      <c r="B364" s="4">
        <v>45330.29166666667</v>
      </c>
      <c r="C364" s="2" t="s">
        <v>18</v>
      </c>
      <c r="D364" s="2" t="s">
        <v>164</v>
      </c>
      <c r="E364" s="2" t="s">
        <v>165</v>
      </c>
      <c r="F364" s="2"/>
      <c r="G364" s="2">
        <v>49.0</v>
      </c>
      <c r="H364" s="2">
        <v>23.0</v>
      </c>
      <c r="I364" s="2">
        <v>26.0</v>
      </c>
      <c r="J364" s="2">
        <v>0.0</v>
      </c>
      <c r="K364" s="2">
        <v>0.0</v>
      </c>
      <c r="L364" s="2">
        <v>0.0</v>
      </c>
      <c r="M364" s="2"/>
      <c r="N364" s="2"/>
      <c r="O364" s="2"/>
      <c r="P364" s="2" t="s">
        <v>166</v>
      </c>
    </row>
    <row r="365">
      <c r="A365" s="3" t="s">
        <v>97</v>
      </c>
      <c r="B365" s="4">
        <v>45352.29166666667</v>
      </c>
      <c r="C365" s="2" t="s">
        <v>18</v>
      </c>
      <c r="D365" s="2" t="s">
        <v>164</v>
      </c>
      <c r="E365" s="2" t="s">
        <v>165</v>
      </c>
      <c r="F365" s="2"/>
      <c r="G365" s="2">
        <v>0.0</v>
      </c>
      <c r="H365" s="2">
        <v>0.0</v>
      </c>
      <c r="I365" s="2">
        <v>0.0</v>
      </c>
      <c r="J365" s="2">
        <v>0.0</v>
      </c>
      <c r="K365" s="2">
        <v>0.0</v>
      </c>
      <c r="L365" s="2">
        <v>0.0</v>
      </c>
      <c r="M365" s="2"/>
      <c r="N365" s="2"/>
      <c r="O365" s="2"/>
      <c r="P365" s="2" t="s">
        <v>166</v>
      </c>
    </row>
    <row r="366">
      <c r="A366" s="3" t="s">
        <v>98</v>
      </c>
      <c r="B366" s="2" t="s">
        <v>17</v>
      </c>
      <c r="C366" s="2" t="s">
        <v>18</v>
      </c>
      <c r="D366" s="2" t="s">
        <v>79</v>
      </c>
      <c r="E366" s="2" t="s">
        <v>165</v>
      </c>
      <c r="F366" s="2">
        <v>333.0</v>
      </c>
      <c r="G366" s="2">
        <v>489.0</v>
      </c>
      <c r="H366" s="2">
        <v>288.0</v>
      </c>
      <c r="I366" s="2">
        <v>201.0</v>
      </c>
      <c r="J366" s="2">
        <v>0.0</v>
      </c>
      <c r="K366" s="2">
        <v>0.0</v>
      </c>
      <c r="L366" s="2">
        <v>0.0</v>
      </c>
      <c r="M366" s="2">
        <v>45.0</v>
      </c>
      <c r="N366" s="2"/>
      <c r="O366" s="2"/>
      <c r="P366" s="2" t="s">
        <v>166</v>
      </c>
    </row>
    <row r="367">
      <c r="A367" s="3" t="s">
        <v>99</v>
      </c>
      <c r="B367" s="2" t="s">
        <v>17</v>
      </c>
      <c r="C367" s="2" t="s">
        <v>18</v>
      </c>
      <c r="D367" s="2" t="s">
        <v>23</v>
      </c>
      <c r="E367" s="2" t="s">
        <v>165</v>
      </c>
      <c r="F367" s="2">
        <v>333.0</v>
      </c>
      <c r="G367" s="2">
        <v>489.0</v>
      </c>
      <c r="H367" s="2">
        <v>288.0</v>
      </c>
      <c r="I367" s="2">
        <v>201.0</v>
      </c>
      <c r="J367" s="2">
        <v>0.0</v>
      </c>
      <c r="K367" s="2">
        <v>0.0</v>
      </c>
      <c r="L367" s="2">
        <v>0.0</v>
      </c>
      <c r="M367" s="2">
        <v>45.0</v>
      </c>
      <c r="N367" s="2">
        <v>0.0</v>
      </c>
      <c r="O367" s="2">
        <v>-243.0</v>
      </c>
      <c r="P367" s="2" t="s">
        <v>166</v>
      </c>
    </row>
    <row r="368">
      <c r="A368" s="3" t="s">
        <v>100</v>
      </c>
      <c r="B368" s="4">
        <v>45294.29166666667</v>
      </c>
      <c r="C368" s="2" t="s">
        <v>18</v>
      </c>
      <c r="D368" s="2" t="s">
        <v>79</v>
      </c>
      <c r="E368" s="2" t="s">
        <v>165</v>
      </c>
      <c r="F368" s="2"/>
      <c r="G368" s="2">
        <v>216.0</v>
      </c>
      <c r="H368" s="2">
        <v>114.0</v>
      </c>
      <c r="I368" s="2">
        <v>102.0</v>
      </c>
      <c r="J368" s="2">
        <v>0.0</v>
      </c>
      <c r="K368" s="2">
        <v>0.0</v>
      </c>
      <c r="L368" s="2">
        <v>0.0</v>
      </c>
      <c r="M368" s="2"/>
      <c r="N368" s="2"/>
      <c r="O368" s="2"/>
      <c r="P368" s="2" t="s">
        <v>166</v>
      </c>
    </row>
    <row r="369">
      <c r="A369" s="3" t="s">
        <v>101</v>
      </c>
      <c r="B369" s="4">
        <v>45323.29166666667</v>
      </c>
      <c r="C369" s="2" t="s">
        <v>18</v>
      </c>
      <c r="D369" s="2" t="s">
        <v>79</v>
      </c>
      <c r="E369" s="2" t="s">
        <v>165</v>
      </c>
      <c r="F369" s="2"/>
      <c r="G369" s="2">
        <v>203.0</v>
      </c>
      <c r="H369" s="2">
        <v>129.0</v>
      </c>
      <c r="I369" s="2">
        <v>74.0</v>
      </c>
      <c r="J369" s="2">
        <v>0.0</v>
      </c>
      <c r="K369" s="2">
        <v>0.0</v>
      </c>
      <c r="L369" s="2">
        <v>0.0</v>
      </c>
      <c r="M369" s="2"/>
      <c r="N369" s="2"/>
      <c r="O369" s="2"/>
      <c r="P369" s="2" t="s">
        <v>166</v>
      </c>
    </row>
    <row r="370">
      <c r="A370" s="3" t="s">
        <v>102</v>
      </c>
      <c r="B370" s="4">
        <v>45352.29166666667</v>
      </c>
      <c r="C370" s="2" t="s">
        <v>18</v>
      </c>
      <c r="D370" s="2" t="s">
        <v>79</v>
      </c>
      <c r="E370" s="2" t="s">
        <v>165</v>
      </c>
      <c r="F370" s="2"/>
      <c r="G370" s="2">
        <v>70.0</v>
      </c>
      <c r="H370" s="2">
        <v>45.0</v>
      </c>
      <c r="I370" s="2">
        <v>25.0</v>
      </c>
      <c r="J370" s="2">
        <v>0.0</v>
      </c>
      <c r="K370" s="2">
        <v>0.0</v>
      </c>
      <c r="L370" s="2">
        <v>0.0</v>
      </c>
      <c r="M370" s="2"/>
      <c r="N370" s="2"/>
      <c r="O370" s="2"/>
      <c r="P370" s="2" t="s">
        <v>166</v>
      </c>
    </row>
    <row r="371">
      <c r="A371" s="3" t="s">
        <v>103</v>
      </c>
      <c r="B371" s="2" t="s">
        <v>17</v>
      </c>
      <c r="C371" s="2" t="s">
        <v>18</v>
      </c>
      <c r="D371" s="2" t="s">
        <v>79</v>
      </c>
      <c r="E371" s="2" t="s">
        <v>165</v>
      </c>
      <c r="F371" s="2">
        <v>187.0</v>
      </c>
      <c r="G371" s="2">
        <v>375.0</v>
      </c>
      <c r="H371" s="2">
        <v>139.0</v>
      </c>
      <c r="I371" s="2">
        <v>146.0</v>
      </c>
      <c r="J371" s="2">
        <v>0.0</v>
      </c>
      <c r="K371" s="2">
        <v>90.0</v>
      </c>
      <c r="L371" s="2">
        <v>0.0</v>
      </c>
      <c r="M371" s="2">
        <v>48.0</v>
      </c>
      <c r="N371" s="2"/>
      <c r="O371" s="2"/>
      <c r="P371" s="2" t="s">
        <v>166</v>
      </c>
    </row>
    <row r="372">
      <c r="A372" s="3" t="s">
        <v>104</v>
      </c>
      <c r="B372" s="2" t="s">
        <v>17</v>
      </c>
      <c r="C372" s="2" t="s">
        <v>18</v>
      </c>
      <c r="D372" s="2" t="s">
        <v>23</v>
      </c>
      <c r="E372" s="2" t="s">
        <v>165</v>
      </c>
      <c r="F372" s="2">
        <v>187.0</v>
      </c>
      <c r="G372" s="2">
        <v>375.0</v>
      </c>
      <c r="H372" s="2">
        <v>139.0</v>
      </c>
      <c r="I372" s="2">
        <v>146.0</v>
      </c>
      <c r="J372" s="2">
        <v>0.0</v>
      </c>
      <c r="K372" s="2">
        <v>90.0</v>
      </c>
      <c r="L372" s="2">
        <v>0.0</v>
      </c>
      <c r="M372" s="2">
        <v>48.0</v>
      </c>
      <c r="N372" s="2">
        <v>0.0</v>
      </c>
      <c r="O372" s="2">
        <v>-91.0</v>
      </c>
      <c r="P372" s="2" t="s">
        <v>166</v>
      </c>
    </row>
    <row r="373">
      <c r="A373" s="3" t="s">
        <v>105</v>
      </c>
      <c r="B373" s="4">
        <v>45294.29166666667</v>
      </c>
      <c r="C373" s="2" t="s">
        <v>18</v>
      </c>
      <c r="D373" s="2" t="s">
        <v>79</v>
      </c>
      <c r="E373" s="2" t="s">
        <v>165</v>
      </c>
      <c r="F373" s="2"/>
      <c r="G373" s="2">
        <v>131.0</v>
      </c>
      <c r="H373" s="2">
        <v>65.0</v>
      </c>
      <c r="I373" s="2">
        <v>66.0</v>
      </c>
      <c r="J373" s="2">
        <v>0.0</v>
      </c>
      <c r="K373" s="2">
        <v>0.0</v>
      </c>
      <c r="L373" s="2">
        <v>0.0</v>
      </c>
      <c r="M373" s="2"/>
      <c r="N373" s="2"/>
      <c r="O373" s="2"/>
      <c r="P373" s="2" t="s">
        <v>166</v>
      </c>
    </row>
    <row r="374">
      <c r="A374" s="3" t="s">
        <v>106</v>
      </c>
      <c r="B374" s="4">
        <v>45323.29166666667</v>
      </c>
      <c r="C374" s="2" t="s">
        <v>18</v>
      </c>
      <c r="D374" s="2" t="s">
        <v>79</v>
      </c>
      <c r="E374" s="2" t="s">
        <v>165</v>
      </c>
      <c r="F374" s="2"/>
      <c r="G374" s="2">
        <v>149.0</v>
      </c>
      <c r="H374" s="2">
        <v>74.0</v>
      </c>
      <c r="I374" s="2">
        <v>75.0</v>
      </c>
      <c r="J374" s="2">
        <v>0.0</v>
      </c>
      <c r="K374" s="2">
        <v>0.0</v>
      </c>
      <c r="L374" s="2">
        <v>0.0</v>
      </c>
      <c r="M374" s="2"/>
      <c r="N374" s="2"/>
      <c r="O374" s="2"/>
      <c r="P374" s="2" t="s">
        <v>166</v>
      </c>
    </row>
    <row r="375">
      <c r="A375" s="3" t="s">
        <v>107</v>
      </c>
      <c r="B375" s="4">
        <v>45352.29166666667</v>
      </c>
      <c r="C375" s="2" t="s">
        <v>18</v>
      </c>
      <c r="D375" s="2" t="s">
        <v>79</v>
      </c>
      <c r="E375" s="2" t="s">
        <v>165</v>
      </c>
      <c r="F375" s="2"/>
      <c r="G375" s="2">
        <v>95.0</v>
      </c>
      <c r="H375" s="2">
        <v>0.0</v>
      </c>
      <c r="I375" s="2">
        <v>5.0</v>
      </c>
      <c r="J375" s="2">
        <v>0.0</v>
      </c>
      <c r="K375" s="2">
        <v>90.0</v>
      </c>
      <c r="L375" s="2">
        <v>0.0</v>
      </c>
      <c r="M375" s="2"/>
      <c r="N375" s="2"/>
      <c r="O375" s="2"/>
      <c r="P375" s="2" t="s">
        <v>166</v>
      </c>
    </row>
    <row r="376">
      <c r="A376" s="3" t="s">
        <v>108</v>
      </c>
      <c r="B376" s="2" t="s">
        <v>17</v>
      </c>
      <c r="C376" s="2" t="s">
        <v>18</v>
      </c>
      <c r="D376" s="2" t="s">
        <v>79</v>
      </c>
      <c r="E376" s="2" t="s">
        <v>165</v>
      </c>
      <c r="F376" s="2">
        <v>264.0</v>
      </c>
      <c r="G376" s="2">
        <v>517.0</v>
      </c>
      <c r="H376" s="2">
        <v>204.0</v>
      </c>
      <c r="I376" s="2">
        <v>233.0</v>
      </c>
      <c r="J376" s="2">
        <v>0.0</v>
      </c>
      <c r="K376" s="2">
        <v>80.0</v>
      </c>
      <c r="L376" s="2">
        <v>80.0</v>
      </c>
      <c r="M376" s="2">
        <v>60.0</v>
      </c>
      <c r="N376" s="2"/>
      <c r="O376" s="2"/>
      <c r="P376" s="2" t="s">
        <v>166</v>
      </c>
    </row>
    <row r="377">
      <c r="A377" s="3" t="s">
        <v>112</v>
      </c>
      <c r="B377" s="2" t="s">
        <v>17</v>
      </c>
      <c r="C377" s="2" t="s">
        <v>18</v>
      </c>
      <c r="D377" s="2" t="s">
        <v>23</v>
      </c>
      <c r="E377" s="2" t="s">
        <v>165</v>
      </c>
      <c r="F377" s="2">
        <v>264.0</v>
      </c>
      <c r="G377" s="2">
        <v>517.0</v>
      </c>
      <c r="H377" s="2">
        <v>204.0</v>
      </c>
      <c r="I377" s="2">
        <v>233.0</v>
      </c>
      <c r="J377" s="2">
        <v>0.0</v>
      </c>
      <c r="K377" s="2">
        <v>80.0</v>
      </c>
      <c r="L377" s="2">
        <v>80.0</v>
      </c>
      <c r="M377" s="2">
        <v>60.0</v>
      </c>
      <c r="N377" s="2">
        <v>0.0</v>
      </c>
      <c r="O377" s="2">
        <v>-144.0</v>
      </c>
      <c r="P377" s="2" t="s">
        <v>166</v>
      </c>
    </row>
    <row r="378">
      <c r="A378" s="3" t="s">
        <v>115</v>
      </c>
      <c r="B378" s="4">
        <v>45294.29166666667</v>
      </c>
      <c r="C378" s="2" t="s">
        <v>18</v>
      </c>
      <c r="D378" s="2" t="s">
        <v>79</v>
      </c>
      <c r="E378" s="2" t="s">
        <v>165</v>
      </c>
      <c r="F378" s="2"/>
      <c r="G378" s="2">
        <v>258.0</v>
      </c>
      <c r="H378" s="2">
        <v>106.0</v>
      </c>
      <c r="I378" s="2">
        <v>152.0</v>
      </c>
      <c r="J378" s="2">
        <v>0.0</v>
      </c>
      <c r="K378" s="2">
        <v>0.0</v>
      </c>
      <c r="L378" s="2">
        <v>0.0</v>
      </c>
      <c r="M378" s="2"/>
      <c r="N378" s="2"/>
      <c r="O378" s="2"/>
      <c r="P378" s="2" t="s">
        <v>166</v>
      </c>
    </row>
    <row r="379">
      <c r="A379" s="3" t="s">
        <v>117</v>
      </c>
      <c r="B379" s="4">
        <v>45323.29166666667</v>
      </c>
      <c r="C379" s="2" t="s">
        <v>18</v>
      </c>
      <c r="D379" s="2" t="s">
        <v>79</v>
      </c>
      <c r="E379" s="2" t="s">
        <v>165</v>
      </c>
      <c r="F379" s="2"/>
      <c r="G379" s="2">
        <v>179.0</v>
      </c>
      <c r="H379" s="2">
        <v>98.0</v>
      </c>
      <c r="I379" s="2">
        <v>81.0</v>
      </c>
      <c r="J379" s="2">
        <v>0.0</v>
      </c>
      <c r="K379" s="2">
        <v>0.0</v>
      </c>
      <c r="L379" s="2">
        <v>0.0</v>
      </c>
      <c r="M379" s="2"/>
      <c r="N379" s="2"/>
      <c r="O379" s="2"/>
      <c r="P379" s="2" t="s">
        <v>166</v>
      </c>
    </row>
    <row r="380">
      <c r="A380" s="3" t="s">
        <v>119</v>
      </c>
      <c r="B380" s="4">
        <v>45352.29166666667</v>
      </c>
      <c r="C380" s="2" t="s">
        <v>18</v>
      </c>
      <c r="D380" s="2" t="s">
        <v>79</v>
      </c>
      <c r="E380" s="2" t="s">
        <v>165</v>
      </c>
      <c r="F380" s="2"/>
      <c r="G380" s="2">
        <v>80.0</v>
      </c>
      <c r="H380" s="2">
        <v>0.0</v>
      </c>
      <c r="I380" s="2">
        <v>0.0</v>
      </c>
      <c r="J380" s="2">
        <v>0.0</v>
      </c>
      <c r="K380" s="2">
        <v>80.0</v>
      </c>
      <c r="L380" s="2">
        <v>80.0</v>
      </c>
      <c r="M380" s="2"/>
      <c r="N380" s="2"/>
      <c r="O380" s="2"/>
      <c r="P380" s="2" t="s">
        <v>166</v>
      </c>
    </row>
    <row r="381">
      <c r="A381" s="3" t="s">
        <v>121</v>
      </c>
      <c r="B381" s="2" t="s">
        <v>17</v>
      </c>
      <c r="C381" s="2" t="s">
        <v>18</v>
      </c>
      <c r="D381" s="2" t="s">
        <v>79</v>
      </c>
      <c r="E381" s="2" t="s">
        <v>165</v>
      </c>
      <c r="F381" s="2">
        <v>139.0</v>
      </c>
      <c r="G381" s="2">
        <v>72.0</v>
      </c>
      <c r="H381" s="2">
        <v>0.0</v>
      </c>
      <c r="I381" s="2">
        <v>0.0</v>
      </c>
      <c r="J381" s="2">
        <v>0.0</v>
      </c>
      <c r="K381" s="2">
        <v>72.0</v>
      </c>
      <c r="L381" s="2">
        <v>0.0</v>
      </c>
      <c r="M381" s="2">
        <v>139.0</v>
      </c>
      <c r="N381" s="2"/>
      <c r="O381" s="2"/>
      <c r="P381" s="2" t="s">
        <v>166</v>
      </c>
    </row>
    <row r="382">
      <c r="A382" s="3" t="s">
        <v>16</v>
      </c>
      <c r="B382" s="2" t="s">
        <v>17</v>
      </c>
      <c r="C382" s="2" t="s">
        <v>18</v>
      </c>
      <c r="D382" s="2" t="s">
        <v>23</v>
      </c>
      <c r="E382" s="2" t="s">
        <v>165</v>
      </c>
      <c r="F382" s="2">
        <v>139.0</v>
      </c>
      <c r="G382" s="2">
        <v>72.0</v>
      </c>
      <c r="H382" s="2">
        <v>0.0</v>
      </c>
      <c r="I382" s="2">
        <v>0.0</v>
      </c>
      <c r="J382" s="2">
        <v>0.0</v>
      </c>
      <c r="K382" s="2">
        <v>72.0</v>
      </c>
      <c r="L382" s="2">
        <v>0.0</v>
      </c>
      <c r="M382" s="2">
        <v>139.0</v>
      </c>
      <c r="N382" s="2">
        <v>0.0</v>
      </c>
      <c r="O382" s="2">
        <v>139.0</v>
      </c>
      <c r="P382" s="2" t="s">
        <v>166</v>
      </c>
    </row>
    <row r="383">
      <c r="A383" s="3" t="s">
        <v>124</v>
      </c>
      <c r="B383" s="4">
        <v>45352.29166666667</v>
      </c>
      <c r="C383" s="2" t="s">
        <v>18</v>
      </c>
      <c r="D383" s="2" t="s">
        <v>79</v>
      </c>
      <c r="E383" s="2" t="s">
        <v>165</v>
      </c>
      <c r="F383" s="2"/>
      <c r="G383" s="2">
        <v>72.0</v>
      </c>
      <c r="H383" s="2">
        <v>0.0</v>
      </c>
      <c r="I383" s="2">
        <v>0.0</v>
      </c>
      <c r="J383" s="2">
        <v>0.0</v>
      </c>
      <c r="K383" s="2">
        <v>72.0</v>
      </c>
      <c r="L383" s="2">
        <v>0.0</v>
      </c>
      <c r="M383" s="2"/>
      <c r="N383" s="2"/>
      <c r="O383" s="2"/>
      <c r="P383" s="2" t="s">
        <v>166</v>
      </c>
    </row>
    <row r="384">
      <c r="A384" s="3" t="s">
        <v>126</v>
      </c>
      <c r="B384" s="2" t="s">
        <v>17</v>
      </c>
      <c r="C384" s="2" t="s">
        <v>18</v>
      </c>
      <c r="D384" s="2" t="s">
        <v>79</v>
      </c>
      <c r="E384" s="2" t="s">
        <v>165</v>
      </c>
      <c r="F384" s="2">
        <v>271.0</v>
      </c>
      <c r="G384" s="2">
        <v>443.0</v>
      </c>
      <c r="H384" s="2">
        <v>205.0</v>
      </c>
      <c r="I384" s="2">
        <v>238.0</v>
      </c>
      <c r="J384" s="2">
        <v>0.0</v>
      </c>
      <c r="K384" s="2">
        <v>0.0</v>
      </c>
      <c r="L384" s="2">
        <v>0.0</v>
      </c>
      <c r="M384" s="2">
        <v>66.0</v>
      </c>
      <c r="N384" s="2"/>
      <c r="O384" s="2"/>
      <c r="P384" s="2" t="s">
        <v>166</v>
      </c>
    </row>
    <row r="385">
      <c r="A385" s="3" t="s">
        <v>128</v>
      </c>
      <c r="B385" s="2" t="s">
        <v>17</v>
      </c>
      <c r="C385" s="2" t="s">
        <v>18</v>
      </c>
      <c r="D385" s="2" t="s">
        <v>23</v>
      </c>
      <c r="E385" s="2" t="s">
        <v>165</v>
      </c>
      <c r="F385" s="2">
        <v>271.0</v>
      </c>
      <c r="G385" s="2">
        <v>443.0</v>
      </c>
      <c r="H385" s="2">
        <v>205.0</v>
      </c>
      <c r="I385" s="2">
        <v>238.0</v>
      </c>
      <c r="J385" s="2">
        <v>0.0</v>
      </c>
      <c r="K385" s="2">
        <v>0.0</v>
      </c>
      <c r="L385" s="2">
        <v>0.0</v>
      </c>
      <c r="M385" s="2">
        <v>66.0</v>
      </c>
      <c r="N385" s="2">
        <v>0.0</v>
      </c>
      <c r="O385" s="2">
        <v>-139.0</v>
      </c>
      <c r="P385" s="2" t="s">
        <v>166</v>
      </c>
    </row>
    <row r="386">
      <c r="A386" s="3" t="s">
        <v>129</v>
      </c>
      <c r="B386" s="4">
        <v>45294.29166666667</v>
      </c>
      <c r="C386" s="2" t="s">
        <v>18</v>
      </c>
      <c r="D386" s="2" t="s">
        <v>79</v>
      </c>
      <c r="E386" s="2" t="s">
        <v>165</v>
      </c>
      <c r="F386" s="2"/>
      <c r="G386" s="2">
        <v>235.0</v>
      </c>
      <c r="H386" s="2">
        <v>106.0</v>
      </c>
      <c r="I386" s="2">
        <v>129.0</v>
      </c>
      <c r="J386" s="2">
        <v>0.0</v>
      </c>
      <c r="K386" s="2">
        <v>0.0</v>
      </c>
      <c r="L386" s="2">
        <v>0.0</v>
      </c>
      <c r="M386" s="2"/>
      <c r="N386" s="2"/>
      <c r="O386" s="2"/>
      <c r="P386" s="2" t="s">
        <v>166</v>
      </c>
    </row>
    <row r="387">
      <c r="A387" s="3" t="s">
        <v>130</v>
      </c>
      <c r="B387" s="4">
        <v>45323.29166666667</v>
      </c>
      <c r="C387" s="2" t="s">
        <v>18</v>
      </c>
      <c r="D387" s="2" t="s">
        <v>79</v>
      </c>
      <c r="E387" s="2" t="s">
        <v>165</v>
      </c>
      <c r="F387" s="2"/>
      <c r="G387" s="2">
        <v>208.0</v>
      </c>
      <c r="H387" s="2">
        <v>99.0</v>
      </c>
      <c r="I387" s="2">
        <v>109.0</v>
      </c>
      <c r="J387" s="2">
        <v>0.0</v>
      </c>
      <c r="K387" s="2">
        <v>0.0</v>
      </c>
      <c r="L387" s="2">
        <v>0.0</v>
      </c>
      <c r="M387" s="2"/>
      <c r="N387" s="2"/>
      <c r="O387" s="2"/>
      <c r="P387" s="2" t="s">
        <v>166</v>
      </c>
    </row>
    <row r="388">
      <c r="A388" s="3" t="s">
        <v>131</v>
      </c>
      <c r="B388" s="4">
        <v>45352.29166666667</v>
      </c>
      <c r="C388" s="2" t="s">
        <v>18</v>
      </c>
      <c r="D388" s="2" t="s">
        <v>79</v>
      </c>
      <c r="E388" s="2" t="s">
        <v>165</v>
      </c>
      <c r="F388" s="2"/>
      <c r="G388" s="2">
        <v>0.0</v>
      </c>
      <c r="H388" s="2">
        <v>0.0</v>
      </c>
      <c r="I388" s="2">
        <v>0.0</v>
      </c>
      <c r="J388" s="2">
        <v>0.0</v>
      </c>
      <c r="K388" s="2">
        <v>0.0</v>
      </c>
      <c r="L388" s="2">
        <v>0.0</v>
      </c>
      <c r="M388" s="2"/>
      <c r="N388" s="2"/>
      <c r="O388" s="2"/>
      <c r="P388" s="2" t="s">
        <v>166</v>
      </c>
    </row>
    <row r="389">
      <c r="A389" s="3" t="s">
        <v>132</v>
      </c>
      <c r="B389" s="2" t="s">
        <v>17</v>
      </c>
      <c r="C389" s="2" t="s">
        <v>18</v>
      </c>
      <c r="D389" s="2" t="s">
        <v>79</v>
      </c>
      <c r="E389" s="2" t="s">
        <v>165</v>
      </c>
      <c r="F389" s="2">
        <v>209.0</v>
      </c>
      <c r="G389" s="2">
        <v>451.0</v>
      </c>
      <c r="H389" s="2">
        <v>161.0</v>
      </c>
      <c r="I389" s="2">
        <v>219.0</v>
      </c>
      <c r="J389" s="2">
        <v>0.0</v>
      </c>
      <c r="K389" s="2">
        <v>71.0</v>
      </c>
      <c r="L389" s="2">
        <v>0.0</v>
      </c>
      <c r="M389" s="2">
        <v>48.0</v>
      </c>
      <c r="N389" s="2"/>
      <c r="O389" s="2"/>
      <c r="P389" s="2" t="s">
        <v>166</v>
      </c>
    </row>
    <row r="390">
      <c r="A390" s="3" t="s">
        <v>133</v>
      </c>
      <c r="B390" s="2" t="s">
        <v>17</v>
      </c>
      <c r="C390" s="2" t="s">
        <v>18</v>
      </c>
      <c r="D390" s="2" t="s">
        <v>23</v>
      </c>
      <c r="E390" s="2" t="s">
        <v>165</v>
      </c>
      <c r="F390" s="2">
        <v>209.0</v>
      </c>
      <c r="G390" s="2">
        <v>451.0</v>
      </c>
      <c r="H390" s="2">
        <v>161.0</v>
      </c>
      <c r="I390" s="2">
        <v>219.0</v>
      </c>
      <c r="J390" s="2">
        <v>0.0</v>
      </c>
      <c r="K390" s="2">
        <v>71.0</v>
      </c>
      <c r="L390" s="2">
        <v>0.0</v>
      </c>
      <c r="M390" s="2">
        <v>48.0</v>
      </c>
      <c r="N390" s="2">
        <v>0.0</v>
      </c>
      <c r="O390" s="2">
        <v>-113.0</v>
      </c>
      <c r="P390" s="2" t="s">
        <v>166</v>
      </c>
    </row>
    <row r="391">
      <c r="A391" s="3" t="s">
        <v>134</v>
      </c>
      <c r="B391" s="4">
        <v>45294.29166666667</v>
      </c>
      <c r="C391" s="2" t="s">
        <v>18</v>
      </c>
      <c r="D391" s="2" t="s">
        <v>79</v>
      </c>
      <c r="E391" s="2" t="s">
        <v>165</v>
      </c>
      <c r="F391" s="2"/>
      <c r="G391" s="2">
        <v>191.0</v>
      </c>
      <c r="H391" s="2">
        <v>86.0</v>
      </c>
      <c r="I391" s="2">
        <v>105.0</v>
      </c>
      <c r="J391" s="2">
        <v>0.0</v>
      </c>
      <c r="K391" s="2">
        <v>0.0</v>
      </c>
      <c r="L391" s="2">
        <v>0.0</v>
      </c>
      <c r="M391" s="2"/>
      <c r="N391" s="2"/>
      <c r="O391" s="2"/>
      <c r="P391" s="2" t="s">
        <v>166</v>
      </c>
    </row>
    <row r="392">
      <c r="A392" s="3" t="s">
        <v>136</v>
      </c>
      <c r="B392" s="4">
        <v>45323.29166666667</v>
      </c>
      <c r="C392" s="2" t="s">
        <v>18</v>
      </c>
      <c r="D392" s="2" t="s">
        <v>79</v>
      </c>
      <c r="E392" s="2" t="s">
        <v>165</v>
      </c>
      <c r="F392" s="2"/>
      <c r="G392" s="2">
        <v>189.0</v>
      </c>
      <c r="H392" s="2">
        <v>75.0</v>
      </c>
      <c r="I392" s="2">
        <v>114.0</v>
      </c>
      <c r="J392" s="2">
        <v>0.0</v>
      </c>
      <c r="K392" s="2">
        <v>0.0</v>
      </c>
      <c r="L392" s="2">
        <v>0.0</v>
      </c>
      <c r="M392" s="2"/>
      <c r="N392" s="2"/>
      <c r="O392" s="2"/>
      <c r="P392" s="2" t="s">
        <v>166</v>
      </c>
    </row>
    <row r="393">
      <c r="A393" s="3" t="s">
        <v>137</v>
      </c>
      <c r="B393" s="4">
        <v>45352.29166666667</v>
      </c>
      <c r="C393" s="2" t="s">
        <v>18</v>
      </c>
      <c r="D393" s="2" t="s">
        <v>79</v>
      </c>
      <c r="E393" s="5" t="s">
        <v>165</v>
      </c>
      <c r="F393" s="2"/>
      <c r="G393" s="2">
        <v>71.0</v>
      </c>
      <c r="H393" s="2">
        <v>0.0</v>
      </c>
      <c r="I393" s="2">
        <v>0.0</v>
      </c>
      <c r="J393" s="2">
        <v>0.0</v>
      </c>
      <c r="K393" s="2">
        <v>71.0</v>
      </c>
      <c r="L393" s="2">
        <v>0.0</v>
      </c>
      <c r="M393" s="2"/>
      <c r="N393" s="2"/>
      <c r="O393" s="2"/>
      <c r="P393" s="2" t="s">
        <v>166</v>
      </c>
    </row>
    <row r="394">
      <c r="A394" s="3" t="s">
        <v>138</v>
      </c>
      <c r="B394" s="2" t="s">
        <v>17</v>
      </c>
      <c r="C394" s="2" t="s">
        <v>18</v>
      </c>
      <c r="D394" s="2" t="s">
        <v>79</v>
      </c>
      <c r="E394" s="2" t="s">
        <v>165</v>
      </c>
      <c r="F394" s="2">
        <v>671.0</v>
      </c>
      <c r="G394" s="2">
        <v>1050.0</v>
      </c>
      <c r="H394" s="2">
        <v>479.0</v>
      </c>
      <c r="I394" s="2">
        <v>521.0</v>
      </c>
      <c r="J394" s="2">
        <v>0.0</v>
      </c>
      <c r="K394" s="2">
        <v>50.0</v>
      </c>
      <c r="L394" s="2">
        <v>0.0</v>
      </c>
      <c r="M394" s="2">
        <v>192.0</v>
      </c>
      <c r="N394" s="2"/>
      <c r="O394" s="2"/>
      <c r="P394" s="2" t="s">
        <v>166</v>
      </c>
    </row>
    <row r="395">
      <c r="A395" s="3" t="s">
        <v>139</v>
      </c>
      <c r="B395" s="2" t="s">
        <v>17</v>
      </c>
      <c r="C395" s="2" t="s">
        <v>18</v>
      </c>
      <c r="D395" s="2" t="s">
        <v>23</v>
      </c>
      <c r="E395" s="2" t="s">
        <v>165</v>
      </c>
      <c r="F395" s="2">
        <v>671.0</v>
      </c>
      <c r="G395" s="2">
        <v>1050.0</v>
      </c>
      <c r="H395" s="2">
        <v>479.0</v>
      </c>
      <c r="I395" s="2">
        <v>521.0</v>
      </c>
      <c r="J395" s="2">
        <v>0.0</v>
      </c>
      <c r="K395" s="2">
        <v>50.0</v>
      </c>
      <c r="L395" s="2">
        <v>0.0</v>
      </c>
      <c r="M395" s="2">
        <v>192.0</v>
      </c>
      <c r="N395" s="2">
        <v>0.0</v>
      </c>
      <c r="O395" s="2">
        <v>-287.0</v>
      </c>
      <c r="P395" s="2" t="s">
        <v>166</v>
      </c>
    </row>
    <row r="396">
      <c r="A396" s="3" t="s">
        <v>140</v>
      </c>
      <c r="B396" s="4">
        <v>45294.29166666667</v>
      </c>
      <c r="C396" s="2" t="s">
        <v>18</v>
      </c>
      <c r="D396" s="2" t="s">
        <v>79</v>
      </c>
      <c r="E396" s="2" t="s">
        <v>165</v>
      </c>
      <c r="F396" s="2"/>
      <c r="G396" s="2">
        <v>560.0</v>
      </c>
      <c r="H396" s="2">
        <v>244.0</v>
      </c>
      <c r="I396" s="2">
        <v>316.0</v>
      </c>
      <c r="J396" s="2">
        <v>0.0</v>
      </c>
      <c r="K396" s="2">
        <v>0.0</v>
      </c>
      <c r="L396" s="2">
        <v>0.0</v>
      </c>
      <c r="M396" s="2"/>
      <c r="N396" s="2"/>
      <c r="O396" s="2"/>
      <c r="P396" s="2" t="s">
        <v>166</v>
      </c>
    </row>
    <row r="397">
      <c r="A397" s="3" t="s">
        <v>141</v>
      </c>
      <c r="B397" s="4">
        <v>45323.29166666667</v>
      </c>
      <c r="C397" s="2" t="s">
        <v>18</v>
      </c>
      <c r="D397" s="2" t="s">
        <v>79</v>
      </c>
      <c r="E397" s="2" t="s">
        <v>165</v>
      </c>
      <c r="F397" s="2"/>
      <c r="G397" s="2">
        <v>428.0</v>
      </c>
      <c r="H397" s="2">
        <v>235.0</v>
      </c>
      <c r="I397" s="2">
        <v>193.0</v>
      </c>
      <c r="J397" s="2">
        <v>0.0</v>
      </c>
      <c r="K397" s="2">
        <v>0.0</v>
      </c>
      <c r="L397" s="2">
        <v>0.0</v>
      </c>
      <c r="M397" s="2"/>
      <c r="N397" s="2"/>
      <c r="O397" s="2"/>
      <c r="P397" s="2" t="s">
        <v>166</v>
      </c>
    </row>
    <row r="398">
      <c r="A398" s="3" t="s">
        <v>142</v>
      </c>
      <c r="B398" s="4">
        <v>45352.29166666667</v>
      </c>
      <c r="C398" s="2" t="s">
        <v>18</v>
      </c>
      <c r="D398" s="2" t="s">
        <v>79</v>
      </c>
      <c r="E398" s="2" t="s">
        <v>165</v>
      </c>
      <c r="F398" s="2"/>
      <c r="G398" s="2">
        <v>62.0</v>
      </c>
      <c r="H398" s="2">
        <v>0.0</v>
      </c>
      <c r="I398" s="2">
        <v>12.0</v>
      </c>
      <c r="J398" s="2">
        <v>0.0</v>
      </c>
      <c r="K398" s="2">
        <v>50.0</v>
      </c>
      <c r="L398" s="2">
        <v>0.0</v>
      </c>
      <c r="M398" s="2"/>
      <c r="N398" s="2"/>
      <c r="O398" s="2"/>
      <c r="P398" s="2" t="s">
        <v>166</v>
      </c>
    </row>
    <row r="399">
      <c r="A399" s="3" t="s">
        <v>143</v>
      </c>
      <c r="B399" s="2" t="s">
        <v>17</v>
      </c>
      <c r="C399" s="2" t="s">
        <v>18</v>
      </c>
      <c r="D399" s="2" t="s">
        <v>79</v>
      </c>
      <c r="E399" s="2" t="s">
        <v>165</v>
      </c>
      <c r="F399" s="2">
        <v>267.0</v>
      </c>
      <c r="G399" s="2">
        <v>348.0</v>
      </c>
      <c r="H399" s="2">
        <v>213.0</v>
      </c>
      <c r="I399" s="2">
        <v>128.0</v>
      </c>
      <c r="J399" s="2">
        <v>0.0</v>
      </c>
      <c r="K399" s="2">
        <v>7.0</v>
      </c>
      <c r="L399" s="2">
        <v>7.0</v>
      </c>
      <c r="M399" s="2">
        <v>54.0</v>
      </c>
      <c r="N399" s="2"/>
      <c r="O399" s="2"/>
      <c r="P399" s="2" t="s">
        <v>166</v>
      </c>
    </row>
    <row r="400">
      <c r="A400" s="3" t="s">
        <v>144</v>
      </c>
      <c r="B400" s="2" t="s">
        <v>17</v>
      </c>
      <c r="C400" s="2" t="s">
        <v>18</v>
      </c>
      <c r="D400" s="2" t="s">
        <v>23</v>
      </c>
      <c r="E400" s="2" t="s">
        <v>165</v>
      </c>
      <c r="F400" s="2">
        <v>267.0</v>
      </c>
      <c r="G400" s="2">
        <v>348.0</v>
      </c>
      <c r="H400" s="2">
        <v>213.0</v>
      </c>
      <c r="I400" s="2">
        <v>128.0</v>
      </c>
      <c r="J400" s="2">
        <v>0.0</v>
      </c>
      <c r="K400" s="2">
        <v>7.0</v>
      </c>
      <c r="L400" s="2">
        <v>7.0</v>
      </c>
      <c r="M400" s="2">
        <v>54.0</v>
      </c>
      <c r="N400" s="2">
        <v>0.0</v>
      </c>
      <c r="O400" s="2">
        <v>-159.0</v>
      </c>
      <c r="P400" s="2" t="s">
        <v>166</v>
      </c>
    </row>
    <row r="401">
      <c r="A401" s="3" t="s">
        <v>145</v>
      </c>
      <c r="B401" s="4">
        <v>45294.29166666667</v>
      </c>
      <c r="C401" s="2" t="s">
        <v>18</v>
      </c>
      <c r="D401" s="2" t="s">
        <v>79</v>
      </c>
      <c r="E401" s="2" t="s">
        <v>165</v>
      </c>
      <c r="F401" s="2"/>
      <c r="G401" s="2">
        <v>203.0</v>
      </c>
      <c r="H401" s="2">
        <v>133.0</v>
      </c>
      <c r="I401" s="2">
        <v>70.0</v>
      </c>
      <c r="J401" s="2">
        <v>0.0</v>
      </c>
      <c r="K401" s="2">
        <v>0.0</v>
      </c>
      <c r="L401" s="2">
        <v>0.0</v>
      </c>
      <c r="M401" s="2"/>
      <c r="N401" s="2"/>
      <c r="O401" s="2"/>
      <c r="P401" s="2" t="s">
        <v>166</v>
      </c>
    </row>
    <row r="402">
      <c r="A402" s="3" t="s">
        <v>16</v>
      </c>
      <c r="B402" s="4">
        <v>45323.29166666667</v>
      </c>
      <c r="C402" s="2" t="s">
        <v>18</v>
      </c>
      <c r="D402" s="2" t="s">
        <v>79</v>
      </c>
      <c r="E402" s="2" t="s">
        <v>165</v>
      </c>
      <c r="F402" s="2"/>
      <c r="G402" s="2">
        <v>138.0</v>
      </c>
      <c r="H402" s="2">
        <v>80.0</v>
      </c>
      <c r="I402" s="2">
        <v>58.0</v>
      </c>
      <c r="J402" s="2">
        <v>0.0</v>
      </c>
      <c r="K402" s="2">
        <v>0.0</v>
      </c>
      <c r="L402" s="2">
        <v>0.0</v>
      </c>
      <c r="M402" s="2"/>
      <c r="N402" s="2"/>
      <c r="O402" s="2"/>
      <c r="P402" s="2" t="s">
        <v>166</v>
      </c>
    </row>
    <row r="403">
      <c r="A403" s="3" t="s">
        <v>22</v>
      </c>
      <c r="B403" s="4">
        <v>45352.29166666667</v>
      </c>
      <c r="C403" s="2" t="s">
        <v>18</v>
      </c>
      <c r="D403" s="2" t="s">
        <v>79</v>
      </c>
      <c r="E403" s="2" t="s">
        <v>165</v>
      </c>
      <c r="F403" s="2"/>
      <c r="G403" s="2">
        <v>7.0</v>
      </c>
      <c r="H403" s="2">
        <v>0.0</v>
      </c>
      <c r="I403" s="2">
        <v>0.0</v>
      </c>
      <c r="J403" s="2">
        <v>0.0</v>
      </c>
      <c r="K403" s="2">
        <v>7.0</v>
      </c>
      <c r="L403" s="2">
        <v>7.0</v>
      </c>
      <c r="M403" s="2"/>
      <c r="N403" s="2"/>
      <c r="O403" s="2"/>
      <c r="P403" s="2" t="s">
        <v>166</v>
      </c>
    </row>
    <row r="404">
      <c r="A404" s="3" t="s">
        <v>24</v>
      </c>
      <c r="B404" s="2" t="s">
        <v>17</v>
      </c>
      <c r="C404" s="2" t="s">
        <v>18</v>
      </c>
      <c r="D404" s="2" t="s">
        <v>164</v>
      </c>
      <c r="E404" s="2" t="s">
        <v>165</v>
      </c>
      <c r="F404" s="2">
        <v>500.0</v>
      </c>
      <c r="G404" s="2">
        <v>169.0</v>
      </c>
      <c r="H404" s="2">
        <v>26.0</v>
      </c>
      <c r="I404" s="2">
        <v>78.0</v>
      </c>
      <c r="J404" s="2">
        <v>0.0</v>
      </c>
      <c r="K404" s="2">
        <v>65.0</v>
      </c>
      <c r="L404" s="2">
        <v>0.0</v>
      </c>
      <c r="M404" s="2">
        <v>474.0</v>
      </c>
      <c r="N404" s="2"/>
      <c r="O404" s="2"/>
      <c r="P404" s="2" t="s">
        <v>166</v>
      </c>
    </row>
    <row r="405">
      <c r="A405" s="3" t="s">
        <v>25</v>
      </c>
      <c r="B405" s="2" t="s">
        <v>17</v>
      </c>
      <c r="C405" s="2" t="s">
        <v>18</v>
      </c>
      <c r="D405" s="2" t="s">
        <v>23</v>
      </c>
      <c r="E405" s="2" t="s">
        <v>165</v>
      </c>
      <c r="F405" s="2">
        <v>500.0</v>
      </c>
      <c r="G405" s="2">
        <v>169.0</v>
      </c>
      <c r="H405" s="2">
        <v>26.0</v>
      </c>
      <c r="I405" s="2">
        <v>78.0</v>
      </c>
      <c r="J405" s="2">
        <v>0.0</v>
      </c>
      <c r="K405" s="2">
        <v>65.0</v>
      </c>
      <c r="L405" s="2">
        <v>0.0</v>
      </c>
      <c r="M405" s="2">
        <v>474.0</v>
      </c>
      <c r="N405" s="2">
        <v>0.0</v>
      </c>
      <c r="O405" s="2">
        <v>448.0</v>
      </c>
      <c r="P405" s="2" t="s">
        <v>166</v>
      </c>
    </row>
    <row r="406">
      <c r="A406" s="3" t="s">
        <v>26</v>
      </c>
      <c r="B406" s="4">
        <v>45324.29166666667</v>
      </c>
      <c r="C406" s="2" t="s">
        <v>18</v>
      </c>
      <c r="D406" s="2" t="s">
        <v>164</v>
      </c>
      <c r="E406" s="2" t="s">
        <v>165</v>
      </c>
      <c r="F406" s="2"/>
      <c r="G406" s="2">
        <v>0.0</v>
      </c>
      <c r="H406" s="2">
        <v>0.0</v>
      </c>
      <c r="I406" s="2">
        <v>0.0</v>
      </c>
      <c r="J406" s="2">
        <v>0.0</v>
      </c>
      <c r="K406" s="2">
        <v>0.0</v>
      </c>
      <c r="L406" s="2">
        <v>0.0</v>
      </c>
      <c r="M406" s="2"/>
      <c r="N406" s="2"/>
      <c r="O406" s="2"/>
      <c r="P406" s="2" t="s">
        <v>166</v>
      </c>
    </row>
    <row r="407">
      <c r="A407" s="3" t="s">
        <v>28</v>
      </c>
      <c r="B407" s="4">
        <v>45352.29166666667</v>
      </c>
      <c r="C407" s="2" t="s">
        <v>18</v>
      </c>
      <c r="D407" s="2" t="s">
        <v>164</v>
      </c>
      <c r="E407" s="2" t="s">
        <v>165</v>
      </c>
      <c r="F407" s="2"/>
      <c r="G407" s="2">
        <v>169.0</v>
      </c>
      <c r="H407" s="2">
        <v>26.0</v>
      </c>
      <c r="I407" s="2">
        <v>78.0</v>
      </c>
      <c r="J407" s="2">
        <v>0.0</v>
      </c>
      <c r="K407" s="2">
        <v>65.0</v>
      </c>
      <c r="L407" s="2">
        <v>0.0</v>
      </c>
      <c r="M407" s="2"/>
      <c r="N407" s="2"/>
      <c r="O407" s="2"/>
      <c r="P407" s="2" t="s">
        <v>166</v>
      </c>
    </row>
    <row r="408">
      <c r="A408" s="3" t="s">
        <v>29</v>
      </c>
      <c r="B408" s="2" t="s">
        <v>17</v>
      </c>
      <c r="C408" s="2" t="s">
        <v>18</v>
      </c>
      <c r="D408" s="2" t="s">
        <v>167</v>
      </c>
      <c r="E408" s="2" t="s">
        <v>165</v>
      </c>
      <c r="F408" s="2">
        <v>100.0</v>
      </c>
      <c r="G408" s="2">
        <v>0.0</v>
      </c>
      <c r="H408" s="2">
        <v>0.0</v>
      </c>
      <c r="I408" s="2">
        <v>0.0</v>
      </c>
      <c r="J408" s="2">
        <v>0.0</v>
      </c>
      <c r="K408" s="2">
        <v>0.0</v>
      </c>
      <c r="L408" s="2">
        <v>0.0</v>
      </c>
      <c r="M408" s="2">
        <v>100.0</v>
      </c>
      <c r="N408" s="2"/>
      <c r="O408" s="2"/>
      <c r="P408" s="2" t="s">
        <v>166</v>
      </c>
    </row>
    <row r="409">
      <c r="A409" s="3" t="s">
        <v>32</v>
      </c>
      <c r="B409" s="2" t="s">
        <v>17</v>
      </c>
      <c r="C409" s="2" t="s">
        <v>18</v>
      </c>
      <c r="D409" s="2" t="s">
        <v>23</v>
      </c>
      <c r="E409" s="2" t="s">
        <v>165</v>
      </c>
      <c r="F409" s="2">
        <v>100.0</v>
      </c>
      <c r="G409" s="2">
        <v>0.0</v>
      </c>
      <c r="H409" s="2">
        <v>0.0</v>
      </c>
      <c r="I409" s="2">
        <v>0.0</v>
      </c>
      <c r="J409" s="2">
        <v>0.0</v>
      </c>
      <c r="K409" s="2">
        <v>0.0</v>
      </c>
      <c r="L409" s="2">
        <v>0.0</v>
      </c>
      <c r="M409" s="2">
        <v>100.0</v>
      </c>
      <c r="N409" s="2">
        <v>0.0</v>
      </c>
      <c r="O409" s="2">
        <v>100.0</v>
      </c>
      <c r="P409" s="2" t="s">
        <v>166</v>
      </c>
    </row>
    <row r="410">
      <c r="A410" s="3" t="s">
        <v>34</v>
      </c>
      <c r="B410" s="4">
        <v>45353.29166666667</v>
      </c>
      <c r="C410" s="2" t="s">
        <v>18</v>
      </c>
      <c r="D410" s="2" t="s">
        <v>167</v>
      </c>
      <c r="E410" s="2" t="s">
        <v>165</v>
      </c>
      <c r="F410" s="2"/>
      <c r="G410" s="2">
        <v>0.0</v>
      </c>
      <c r="H410" s="2">
        <v>0.0</v>
      </c>
      <c r="I410" s="2">
        <v>0.0</v>
      </c>
      <c r="J410" s="2">
        <v>0.0</v>
      </c>
      <c r="K410" s="2">
        <v>0.0</v>
      </c>
      <c r="L410" s="2">
        <v>0.0</v>
      </c>
      <c r="M410" s="2"/>
      <c r="N410" s="2"/>
      <c r="O410" s="2"/>
      <c r="P410" s="2" t="s">
        <v>166</v>
      </c>
    </row>
    <row r="411">
      <c r="A411" s="3" t="s">
        <v>35</v>
      </c>
      <c r="B411" s="2" t="s">
        <v>17</v>
      </c>
      <c r="C411" s="2" t="s">
        <v>18</v>
      </c>
      <c r="D411" s="2" t="s">
        <v>164</v>
      </c>
      <c r="E411" s="2" t="s">
        <v>165</v>
      </c>
      <c r="F411" s="2">
        <v>400.0</v>
      </c>
      <c r="G411" s="2">
        <v>507.0</v>
      </c>
      <c r="H411" s="2">
        <v>314.0</v>
      </c>
      <c r="I411" s="2">
        <v>193.0</v>
      </c>
      <c r="J411" s="2">
        <v>0.0</v>
      </c>
      <c r="K411" s="2">
        <v>0.0</v>
      </c>
      <c r="L411" s="2">
        <v>0.0</v>
      </c>
      <c r="M411" s="2">
        <v>86.0</v>
      </c>
      <c r="N411" s="2"/>
      <c r="O411" s="2"/>
      <c r="P411" s="2" t="s">
        <v>166</v>
      </c>
    </row>
    <row r="412">
      <c r="A412" s="3" t="s">
        <v>36</v>
      </c>
      <c r="B412" s="2" t="s">
        <v>17</v>
      </c>
      <c r="C412" s="2" t="s">
        <v>18</v>
      </c>
      <c r="D412" s="2" t="s">
        <v>23</v>
      </c>
      <c r="E412" s="2" t="s">
        <v>165</v>
      </c>
      <c r="F412" s="2">
        <v>400.0</v>
      </c>
      <c r="G412" s="2">
        <v>507.0</v>
      </c>
      <c r="H412" s="2">
        <v>314.0</v>
      </c>
      <c r="I412" s="2">
        <v>193.0</v>
      </c>
      <c r="J412" s="2">
        <v>0.0</v>
      </c>
      <c r="K412" s="2">
        <v>0.0</v>
      </c>
      <c r="L412" s="2">
        <v>0.0</v>
      </c>
      <c r="M412" s="2">
        <v>86.0</v>
      </c>
      <c r="N412" s="2">
        <v>0.0</v>
      </c>
      <c r="O412" s="2">
        <v>-228.0</v>
      </c>
      <c r="P412" s="2" t="s">
        <v>166</v>
      </c>
    </row>
    <row r="413">
      <c r="A413" s="3" t="s">
        <v>37</v>
      </c>
      <c r="B413" s="4">
        <v>45324.29166666667</v>
      </c>
      <c r="C413" s="2" t="s">
        <v>18</v>
      </c>
      <c r="D413" s="2" t="s">
        <v>164</v>
      </c>
      <c r="E413" s="2" t="s">
        <v>165</v>
      </c>
      <c r="F413" s="2"/>
      <c r="G413" s="2">
        <v>507.0</v>
      </c>
      <c r="H413" s="2">
        <v>314.0</v>
      </c>
      <c r="I413" s="2">
        <v>193.0</v>
      </c>
      <c r="J413" s="2">
        <v>0.0</v>
      </c>
      <c r="K413" s="2">
        <v>0.0</v>
      </c>
      <c r="L413" s="2">
        <v>0.0</v>
      </c>
      <c r="M413" s="2"/>
      <c r="N413" s="2"/>
      <c r="O413" s="2"/>
      <c r="P413" s="2" t="s">
        <v>166</v>
      </c>
    </row>
    <row r="414">
      <c r="A414" s="3" t="s">
        <v>38</v>
      </c>
      <c r="B414" s="4">
        <v>45352.29166666667</v>
      </c>
      <c r="C414" s="2" t="s">
        <v>18</v>
      </c>
      <c r="D414" s="2" t="s">
        <v>164</v>
      </c>
      <c r="E414" s="2" t="s">
        <v>165</v>
      </c>
      <c r="F414" s="2"/>
      <c r="G414" s="2">
        <v>0.0</v>
      </c>
      <c r="H414" s="2">
        <v>0.0</v>
      </c>
      <c r="I414" s="2">
        <v>0.0</v>
      </c>
      <c r="J414" s="2">
        <v>0.0</v>
      </c>
      <c r="K414" s="2">
        <v>0.0</v>
      </c>
      <c r="L414" s="2">
        <v>0.0</v>
      </c>
      <c r="M414" s="2"/>
      <c r="N414" s="2"/>
      <c r="O414" s="2"/>
      <c r="P414" s="2" t="s">
        <v>166</v>
      </c>
    </row>
    <row r="415">
      <c r="A415" s="3" t="s">
        <v>39</v>
      </c>
      <c r="B415" s="2" t="s">
        <v>17</v>
      </c>
      <c r="C415" s="2" t="s">
        <v>18</v>
      </c>
      <c r="D415" s="2" t="s">
        <v>164</v>
      </c>
      <c r="E415" s="2" t="s">
        <v>165</v>
      </c>
      <c r="F415" s="2">
        <v>409.0</v>
      </c>
      <c r="G415" s="2">
        <v>347.0</v>
      </c>
      <c r="H415" s="2">
        <v>49.0</v>
      </c>
      <c r="I415" s="2">
        <v>84.0</v>
      </c>
      <c r="J415" s="2">
        <v>0.0</v>
      </c>
      <c r="K415" s="2">
        <v>214.0</v>
      </c>
      <c r="L415" s="2">
        <v>0.0</v>
      </c>
      <c r="M415" s="2">
        <v>360.0</v>
      </c>
      <c r="N415" s="2"/>
      <c r="O415" s="2"/>
      <c r="P415" s="2" t="s">
        <v>166</v>
      </c>
    </row>
    <row r="416">
      <c r="A416" s="3" t="s">
        <v>40</v>
      </c>
      <c r="B416" s="2" t="s">
        <v>17</v>
      </c>
      <c r="C416" s="2" t="s">
        <v>18</v>
      </c>
      <c r="D416" s="2" t="s">
        <v>23</v>
      </c>
      <c r="E416" s="2" t="s">
        <v>165</v>
      </c>
      <c r="F416" s="2">
        <v>409.0</v>
      </c>
      <c r="G416" s="2">
        <v>347.0</v>
      </c>
      <c r="H416" s="2">
        <v>49.0</v>
      </c>
      <c r="I416" s="2">
        <v>84.0</v>
      </c>
      <c r="J416" s="2">
        <v>0.0</v>
      </c>
      <c r="K416" s="2">
        <v>214.0</v>
      </c>
      <c r="L416" s="2">
        <v>0.0</v>
      </c>
      <c r="M416" s="2">
        <v>360.0</v>
      </c>
      <c r="N416" s="2">
        <v>0.0</v>
      </c>
      <c r="O416" s="2">
        <v>311.0</v>
      </c>
      <c r="P416" s="2" t="s">
        <v>166</v>
      </c>
    </row>
    <row r="417">
      <c r="A417" s="3" t="s">
        <v>41</v>
      </c>
      <c r="B417" s="4">
        <v>45324.29166666667</v>
      </c>
      <c r="C417" s="2" t="s">
        <v>18</v>
      </c>
      <c r="D417" s="2" t="s">
        <v>164</v>
      </c>
      <c r="E417" s="2" t="s">
        <v>165</v>
      </c>
      <c r="F417" s="2"/>
      <c r="G417" s="2">
        <v>285.0</v>
      </c>
      <c r="H417" s="2">
        <v>49.0</v>
      </c>
      <c r="I417" s="2">
        <v>84.0</v>
      </c>
      <c r="J417" s="2">
        <v>0.0</v>
      </c>
      <c r="K417" s="2">
        <v>152.0</v>
      </c>
      <c r="L417" s="2">
        <v>0.0</v>
      </c>
      <c r="M417" s="2"/>
      <c r="N417" s="2"/>
      <c r="O417" s="2"/>
      <c r="P417" s="2" t="s">
        <v>166</v>
      </c>
    </row>
    <row r="418">
      <c r="A418" s="3" t="s">
        <v>42</v>
      </c>
      <c r="B418" s="4">
        <v>45352.29166666667</v>
      </c>
      <c r="C418" s="2" t="s">
        <v>18</v>
      </c>
      <c r="D418" s="2" t="s">
        <v>164</v>
      </c>
      <c r="E418" s="2" t="s">
        <v>165</v>
      </c>
      <c r="F418" s="2"/>
      <c r="G418" s="2">
        <v>62.0</v>
      </c>
      <c r="H418" s="2">
        <v>0.0</v>
      </c>
      <c r="I418" s="2">
        <v>0.0</v>
      </c>
      <c r="J418" s="2">
        <v>0.0</v>
      </c>
      <c r="K418" s="2">
        <v>62.0</v>
      </c>
      <c r="L418" s="2">
        <v>0.0</v>
      </c>
      <c r="M418" s="2"/>
      <c r="N418" s="2"/>
      <c r="O418" s="2"/>
      <c r="P418" s="2" t="s">
        <v>166</v>
      </c>
    </row>
    <row r="419">
      <c r="A419" s="3" t="s">
        <v>43</v>
      </c>
      <c r="B419" s="2" t="s">
        <v>17</v>
      </c>
      <c r="C419" s="2" t="s">
        <v>18</v>
      </c>
      <c r="D419" s="2" t="s">
        <v>164</v>
      </c>
      <c r="E419" s="2" t="s">
        <v>165</v>
      </c>
      <c r="F419" s="8">
        <v>134.0</v>
      </c>
      <c r="G419" s="8">
        <v>235.0</v>
      </c>
      <c r="H419" s="8">
        <v>24.0</v>
      </c>
      <c r="I419" s="8">
        <v>25.0</v>
      </c>
      <c r="J419" s="8">
        <v>0.0</v>
      </c>
      <c r="K419" s="8">
        <v>186.0</v>
      </c>
      <c r="L419" s="8">
        <v>0.0</v>
      </c>
      <c r="M419" s="8">
        <v>110.0</v>
      </c>
      <c r="N419" s="8"/>
      <c r="O419" s="8"/>
      <c r="P419" s="2" t="s">
        <v>166</v>
      </c>
    </row>
    <row r="420">
      <c r="A420" s="3" t="s">
        <v>44</v>
      </c>
      <c r="B420" s="2" t="s">
        <v>17</v>
      </c>
      <c r="C420" s="2" t="s">
        <v>18</v>
      </c>
      <c r="D420" s="2" t="s">
        <v>23</v>
      </c>
      <c r="E420" s="2" t="s">
        <v>165</v>
      </c>
      <c r="F420" s="8">
        <v>134.0</v>
      </c>
      <c r="G420" s="8">
        <v>235.0</v>
      </c>
      <c r="H420" s="8">
        <v>24.0</v>
      </c>
      <c r="I420" s="8">
        <v>25.0</v>
      </c>
      <c r="J420" s="8">
        <v>0.0</v>
      </c>
      <c r="K420" s="8">
        <v>186.0</v>
      </c>
      <c r="L420" s="8">
        <v>0.0</v>
      </c>
      <c r="M420" s="8">
        <v>110.0</v>
      </c>
      <c r="N420" s="8">
        <v>0.0</v>
      </c>
      <c r="O420" s="8">
        <v>86.0</v>
      </c>
      <c r="P420" s="2" t="s">
        <v>166</v>
      </c>
    </row>
    <row r="421">
      <c r="A421" s="3" t="s">
        <v>45</v>
      </c>
      <c r="B421" s="4">
        <v>45324.29166666667</v>
      </c>
      <c r="C421" s="2" t="s">
        <v>18</v>
      </c>
      <c r="D421" s="2" t="s">
        <v>164</v>
      </c>
      <c r="E421" s="2" t="s">
        <v>165</v>
      </c>
      <c r="F421" s="2"/>
      <c r="G421" s="2">
        <v>235.0</v>
      </c>
      <c r="H421" s="2">
        <v>24.0</v>
      </c>
      <c r="I421" s="2">
        <v>25.0</v>
      </c>
      <c r="J421" s="2">
        <v>0.0</v>
      </c>
      <c r="K421" s="2">
        <v>186.0</v>
      </c>
      <c r="L421" s="2">
        <v>0.0</v>
      </c>
      <c r="M421" s="2"/>
      <c r="N421" s="2"/>
      <c r="O421" s="2"/>
      <c r="P421" s="2" t="s">
        <v>166</v>
      </c>
    </row>
    <row r="422">
      <c r="A422" s="3" t="s">
        <v>16</v>
      </c>
      <c r="B422" s="4">
        <v>45352.29166666667</v>
      </c>
      <c r="C422" s="2" t="s">
        <v>18</v>
      </c>
      <c r="D422" s="2" t="s">
        <v>164</v>
      </c>
      <c r="E422" s="2" t="s">
        <v>165</v>
      </c>
      <c r="F422" s="2"/>
      <c r="G422" s="2">
        <v>0.0</v>
      </c>
      <c r="H422" s="2">
        <v>0.0</v>
      </c>
      <c r="I422" s="2">
        <v>0.0</v>
      </c>
      <c r="J422" s="2">
        <v>0.0</v>
      </c>
      <c r="K422" s="2">
        <v>0.0</v>
      </c>
      <c r="L422" s="2">
        <v>0.0</v>
      </c>
      <c r="M422" s="2"/>
      <c r="N422" s="2"/>
      <c r="O422" s="2"/>
      <c r="P422" s="2" t="s">
        <v>166</v>
      </c>
    </row>
    <row r="423">
      <c r="A423" s="3" t="s">
        <v>47</v>
      </c>
      <c r="B423" s="2" t="s">
        <v>17</v>
      </c>
      <c r="C423" s="2" t="s">
        <v>18</v>
      </c>
      <c r="D423" s="2" t="s">
        <v>164</v>
      </c>
      <c r="E423" s="2" t="s">
        <v>165</v>
      </c>
      <c r="F423" s="2">
        <v>105.0</v>
      </c>
      <c r="G423" s="2">
        <v>154.0</v>
      </c>
      <c r="H423" s="2">
        <v>51.0</v>
      </c>
      <c r="I423" s="2">
        <v>24.0</v>
      </c>
      <c r="J423" s="2">
        <v>0.0</v>
      </c>
      <c r="K423" s="2">
        <v>79.0</v>
      </c>
      <c r="L423" s="2">
        <v>0.0</v>
      </c>
      <c r="M423" s="2">
        <v>54.0</v>
      </c>
      <c r="N423" s="2"/>
      <c r="O423" s="2"/>
      <c r="P423" s="2" t="s">
        <v>166</v>
      </c>
    </row>
    <row r="424">
      <c r="A424" s="3" t="s">
        <v>48</v>
      </c>
      <c r="B424" s="2" t="s">
        <v>17</v>
      </c>
      <c r="C424" s="2" t="s">
        <v>18</v>
      </c>
      <c r="D424" s="2" t="s">
        <v>23</v>
      </c>
      <c r="E424" s="2" t="s">
        <v>165</v>
      </c>
      <c r="F424" s="2">
        <v>105.0</v>
      </c>
      <c r="G424" s="2">
        <v>154.0</v>
      </c>
      <c r="H424" s="2">
        <v>51.0</v>
      </c>
      <c r="I424" s="2">
        <v>24.0</v>
      </c>
      <c r="J424" s="2">
        <v>0.0</v>
      </c>
      <c r="K424" s="2">
        <v>79.0</v>
      </c>
      <c r="L424" s="2">
        <v>0.0</v>
      </c>
      <c r="M424" s="2">
        <v>54.0</v>
      </c>
      <c r="N424" s="2">
        <v>-105.0</v>
      </c>
      <c r="O424" s="2">
        <v>3.0</v>
      </c>
      <c r="P424" s="2" t="s">
        <v>166</v>
      </c>
    </row>
    <row r="425">
      <c r="A425" s="3" t="s">
        <v>49</v>
      </c>
      <c r="B425" s="4">
        <v>45324.29166666667</v>
      </c>
      <c r="C425" s="2" t="s">
        <v>18</v>
      </c>
      <c r="D425" s="2" t="s">
        <v>164</v>
      </c>
      <c r="E425" s="2" t="s">
        <v>165</v>
      </c>
      <c r="F425" s="2">
        <v>32.0</v>
      </c>
      <c r="G425" s="2">
        <v>75.0</v>
      </c>
      <c r="H425" s="2">
        <v>51.0</v>
      </c>
      <c r="I425" s="2">
        <v>24.0</v>
      </c>
      <c r="J425" s="2">
        <v>0.0</v>
      </c>
      <c r="K425" s="2">
        <v>0.0</v>
      </c>
      <c r="L425" s="2">
        <v>0.0</v>
      </c>
      <c r="M425" s="2"/>
      <c r="N425" s="2"/>
      <c r="O425" s="2"/>
      <c r="P425" s="2" t="s">
        <v>166</v>
      </c>
    </row>
    <row r="426">
      <c r="A426" s="3" t="s">
        <v>51</v>
      </c>
      <c r="B426" s="4">
        <v>45353.29166666667</v>
      </c>
      <c r="C426" s="2" t="s">
        <v>18</v>
      </c>
      <c r="D426" s="2" t="s">
        <v>164</v>
      </c>
      <c r="E426" s="2" t="s">
        <v>165</v>
      </c>
      <c r="F426" s="2">
        <v>52.0</v>
      </c>
      <c r="G426" s="2">
        <v>79.0</v>
      </c>
      <c r="H426" s="2">
        <v>0.0</v>
      </c>
      <c r="I426" s="2">
        <v>0.0</v>
      </c>
      <c r="J426" s="2">
        <v>0.0</v>
      </c>
      <c r="K426" s="2">
        <v>79.0</v>
      </c>
      <c r="L426" s="2">
        <v>0.0</v>
      </c>
      <c r="M426" s="2"/>
      <c r="N426" s="2"/>
      <c r="O426" s="2"/>
      <c r="P426" s="2" t="s">
        <v>166</v>
      </c>
    </row>
    <row r="427">
      <c r="A427" s="3" t="s">
        <v>52</v>
      </c>
      <c r="B427" s="4">
        <v>45384.29166666667</v>
      </c>
      <c r="C427" s="2" t="s">
        <v>18</v>
      </c>
      <c r="D427" s="2" t="s">
        <v>164</v>
      </c>
      <c r="E427" s="2" t="s">
        <v>165</v>
      </c>
      <c r="F427" s="2">
        <v>21.0</v>
      </c>
      <c r="G427" s="2">
        <v>0.0</v>
      </c>
      <c r="H427" s="2">
        <v>0.0</v>
      </c>
      <c r="I427" s="2">
        <v>0.0</v>
      </c>
      <c r="J427" s="2">
        <v>0.0</v>
      </c>
      <c r="K427" s="2">
        <v>0.0</v>
      </c>
      <c r="L427" s="2">
        <v>0.0</v>
      </c>
      <c r="M427" s="2"/>
      <c r="N427" s="2"/>
      <c r="O427" s="2"/>
      <c r="P427" s="2" t="s">
        <v>166</v>
      </c>
    </row>
    <row r="428">
      <c r="A428" s="3" t="s">
        <v>53</v>
      </c>
      <c r="B428" s="2" t="s">
        <v>17</v>
      </c>
      <c r="C428" s="2" t="s">
        <v>18</v>
      </c>
      <c r="D428" s="2" t="s">
        <v>164</v>
      </c>
      <c r="E428" s="2" t="s">
        <v>165</v>
      </c>
      <c r="F428" s="2">
        <v>90.0</v>
      </c>
      <c r="G428" s="2">
        <v>142.0</v>
      </c>
      <c r="H428" s="2">
        <v>62.0</v>
      </c>
      <c r="I428" s="2">
        <v>45.0</v>
      </c>
      <c r="J428" s="2">
        <v>0.0</v>
      </c>
      <c r="K428" s="2">
        <v>35.0</v>
      </c>
      <c r="L428" s="2">
        <v>0.0</v>
      </c>
      <c r="M428" s="2">
        <v>28.0</v>
      </c>
      <c r="N428" s="2"/>
      <c r="O428" s="2"/>
      <c r="P428" s="2" t="s">
        <v>166</v>
      </c>
    </row>
    <row r="429">
      <c r="A429" s="3" t="s">
        <v>54</v>
      </c>
      <c r="B429" s="2" t="s">
        <v>17</v>
      </c>
      <c r="C429" s="2" t="s">
        <v>18</v>
      </c>
      <c r="D429" s="2" t="s">
        <v>23</v>
      </c>
      <c r="E429" s="2" t="s">
        <v>165</v>
      </c>
      <c r="F429" s="2">
        <v>90.0</v>
      </c>
      <c r="G429" s="2">
        <v>142.0</v>
      </c>
      <c r="H429" s="2">
        <v>62.0</v>
      </c>
      <c r="I429" s="2">
        <v>45.0</v>
      </c>
      <c r="J429" s="2">
        <v>0.0</v>
      </c>
      <c r="K429" s="2">
        <v>35.0</v>
      </c>
      <c r="L429" s="2">
        <v>0.0</v>
      </c>
      <c r="M429" s="2">
        <v>28.0</v>
      </c>
      <c r="N429" s="2">
        <v>0.0</v>
      </c>
      <c r="O429" s="2">
        <v>-34.0</v>
      </c>
      <c r="P429" s="2" t="s">
        <v>166</v>
      </c>
    </row>
    <row r="430">
      <c r="A430" s="3" t="s">
        <v>55</v>
      </c>
      <c r="B430" s="4">
        <v>45324.29166666667</v>
      </c>
      <c r="C430" s="2" t="s">
        <v>18</v>
      </c>
      <c r="D430" s="2" t="s">
        <v>164</v>
      </c>
      <c r="E430" s="2" t="s">
        <v>165</v>
      </c>
      <c r="F430" s="2"/>
      <c r="G430" s="2">
        <v>142.0</v>
      </c>
      <c r="H430" s="2">
        <v>62.0</v>
      </c>
      <c r="I430" s="2">
        <v>45.0</v>
      </c>
      <c r="J430" s="2">
        <v>0.0</v>
      </c>
      <c r="K430" s="2">
        <v>35.0</v>
      </c>
      <c r="L430" s="2">
        <v>0.0</v>
      </c>
      <c r="M430" s="2"/>
      <c r="N430" s="2"/>
      <c r="O430" s="2"/>
      <c r="P430" s="2" t="s">
        <v>166</v>
      </c>
    </row>
    <row r="431">
      <c r="A431" s="3" t="s">
        <v>56</v>
      </c>
      <c r="B431" s="2" t="s">
        <v>17</v>
      </c>
      <c r="C431" s="2" t="s">
        <v>18</v>
      </c>
      <c r="D431" s="2" t="s">
        <v>167</v>
      </c>
      <c r="E431" s="2" t="s">
        <v>165</v>
      </c>
      <c r="F431" s="2">
        <v>70.0</v>
      </c>
      <c r="G431" s="2">
        <v>7.0</v>
      </c>
      <c r="H431" s="2">
        <v>0.0</v>
      </c>
      <c r="I431" s="2">
        <v>0.0</v>
      </c>
      <c r="J431" s="2">
        <v>0.0</v>
      </c>
      <c r="K431" s="2">
        <v>7.0</v>
      </c>
      <c r="L431" s="2">
        <v>0.0</v>
      </c>
      <c r="M431" s="2">
        <v>70.0</v>
      </c>
      <c r="N431" s="2"/>
      <c r="O431" s="2"/>
      <c r="P431" s="2" t="s">
        <v>166</v>
      </c>
    </row>
    <row r="432">
      <c r="A432" s="3" t="s">
        <v>59</v>
      </c>
      <c r="B432" s="2" t="s">
        <v>17</v>
      </c>
      <c r="C432" s="2" t="s">
        <v>18</v>
      </c>
      <c r="D432" s="2" t="s">
        <v>23</v>
      </c>
      <c r="E432" s="2" t="s">
        <v>165</v>
      </c>
      <c r="F432" s="2">
        <v>70.0</v>
      </c>
      <c r="G432" s="2">
        <v>7.0</v>
      </c>
      <c r="H432" s="2">
        <v>0.0</v>
      </c>
      <c r="I432" s="2">
        <v>0.0</v>
      </c>
      <c r="J432" s="2">
        <v>0.0</v>
      </c>
      <c r="K432" s="2">
        <v>7.0</v>
      </c>
      <c r="L432" s="2">
        <v>0.0</v>
      </c>
      <c r="M432" s="2">
        <v>70.0</v>
      </c>
      <c r="N432" s="2">
        <v>0.0</v>
      </c>
      <c r="O432" s="2">
        <v>70.0</v>
      </c>
      <c r="P432" s="2" t="s">
        <v>166</v>
      </c>
    </row>
    <row r="433">
      <c r="A433" s="3" t="s">
        <v>60</v>
      </c>
      <c r="B433" s="4">
        <v>45353.29166666667</v>
      </c>
      <c r="C433" s="2" t="s">
        <v>18</v>
      </c>
      <c r="D433" s="2" t="s">
        <v>167</v>
      </c>
      <c r="E433" s="2" t="s">
        <v>165</v>
      </c>
      <c r="F433" s="2"/>
      <c r="G433" s="2">
        <v>7.0</v>
      </c>
      <c r="H433" s="2">
        <v>0.0</v>
      </c>
      <c r="I433" s="2">
        <v>0.0</v>
      </c>
      <c r="J433" s="2">
        <v>0.0</v>
      </c>
      <c r="K433" s="2">
        <v>7.0</v>
      </c>
      <c r="L433" s="2">
        <v>0.0</v>
      </c>
      <c r="M433" s="2"/>
      <c r="N433" s="2"/>
      <c r="O433" s="2"/>
      <c r="P433" s="2" t="s">
        <v>166</v>
      </c>
    </row>
    <row r="434">
      <c r="A434" s="3" t="s">
        <v>61</v>
      </c>
      <c r="B434" s="2" t="s">
        <v>17</v>
      </c>
      <c r="C434" s="2" t="s">
        <v>18</v>
      </c>
      <c r="D434" s="2" t="s">
        <v>164</v>
      </c>
      <c r="E434" s="2" t="s">
        <v>165</v>
      </c>
      <c r="F434" s="2">
        <v>102.0</v>
      </c>
      <c r="G434" s="2">
        <v>95.0</v>
      </c>
      <c r="H434" s="2">
        <v>26.0</v>
      </c>
      <c r="I434" s="2">
        <v>67.0</v>
      </c>
      <c r="J434" s="2">
        <v>0.0</v>
      </c>
      <c r="K434" s="2">
        <v>2.0</v>
      </c>
      <c r="L434" s="2">
        <v>0.0</v>
      </c>
      <c r="M434" s="2">
        <v>76.0</v>
      </c>
      <c r="N434" s="2"/>
      <c r="O434" s="2"/>
      <c r="P434" s="2" t="s">
        <v>166</v>
      </c>
    </row>
    <row r="435">
      <c r="A435" s="3" t="s">
        <v>62</v>
      </c>
      <c r="B435" s="2" t="s">
        <v>17</v>
      </c>
      <c r="C435" s="2" t="s">
        <v>18</v>
      </c>
      <c r="D435" s="2" t="s">
        <v>23</v>
      </c>
      <c r="E435" s="2" t="s">
        <v>165</v>
      </c>
      <c r="F435" s="2">
        <v>102.0</v>
      </c>
      <c r="G435" s="2">
        <v>95.0</v>
      </c>
      <c r="H435" s="2">
        <v>26.0</v>
      </c>
      <c r="I435" s="2">
        <v>67.0</v>
      </c>
      <c r="J435" s="2">
        <v>0.0</v>
      </c>
      <c r="K435" s="2">
        <v>2.0</v>
      </c>
      <c r="L435" s="2">
        <v>0.0</v>
      </c>
      <c r="M435" s="2">
        <v>76.0</v>
      </c>
      <c r="N435" s="2">
        <v>0.0</v>
      </c>
      <c r="O435" s="2">
        <v>50.0</v>
      </c>
      <c r="P435" s="2" t="s">
        <v>166</v>
      </c>
    </row>
    <row r="436">
      <c r="A436" s="3" t="s">
        <v>63</v>
      </c>
      <c r="B436" s="4">
        <v>45324.29166666667</v>
      </c>
      <c r="C436" s="2" t="s">
        <v>18</v>
      </c>
      <c r="D436" s="2" t="s">
        <v>164</v>
      </c>
      <c r="E436" s="2" t="s">
        <v>165</v>
      </c>
      <c r="F436" s="2"/>
      <c r="G436" s="2">
        <v>39.0</v>
      </c>
      <c r="H436" s="2">
        <v>8.0</v>
      </c>
      <c r="I436" s="2">
        <v>31.0</v>
      </c>
      <c r="J436" s="2">
        <v>0.0</v>
      </c>
      <c r="K436" s="2">
        <v>0.0</v>
      </c>
      <c r="L436" s="2">
        <v>0.0</v>
      </c>
      <c r="M436" s="2"/>
      <c r="N436" s="2"/>
      <c r="O436" s="2"/>
      <c r="P436" s="2" t="s">
        <v>166</v>
      </c>
    </row>
    <row r="437">
      <c r="A437" s="3" t="s">
        <v>64</v>
      </c>
      <c r="B437" s="4">
        <v>45352.29166666667</v>
      </c>
      <c r="C437" s="2" t="s">
        <v>18</v>
      </c>
      <c r="D437" s="2" t="s">
        <v>164</v>
      </c>
      <c r="E437" s="2" t="s">
        <v>165</v>
      </c>
      <c r="F437" s="2"/>
      <c r="G437" s="2">
        <v>56.0</v>
      </c>
      <c r="H437" s="2">
        <v>18.0</v>
      </c>
      <c r="I437" s="2">
        <v>36.0</v>
      </c>
      <c r="J437" s="2">
        <v>0.0</v>
      </c>
      <c r="K437" s="2">
        <v>2.0</v>
      </c>
      <c r="L437" s="2">
        <v>0.0</v>
      </c>
      <c r="M437" s="2"/>
      <c r="N437" s="2"/>
      <c r="O437" s="2"/>
      <c r="P437" s="2" t="s">
        <v>166</v>
      </c>
    </row>
    <row r="438">
      <c r="A438" s="3" t="s">
        <v>65</v>
      </c>
      <c r="B438" s="2" t="s">
        <v>17</v>
      </c>
      <c r="C438" s="2" t="s">
        <v>18</v>
      </c>
      <c r="D438" s="2" t="s">
        <v>164</v>
      </c>
      <c r="E438" s="2" t="s">
        <v>165</v>
      </c>
      <c r="F438" s="2">
        <v>571.0</v>
      </c>
      <c r="G438" s="2">
        <v>274.0</v>
      </c>
      <c r="H438" s="2">
        <v>147.0</v>
      </c>
      <c r="I438" s="2">
        <v>106.0</v>
      </c>
      <c r="J438" s="2">
        <v>0.0</v>
      </c>
      <c r="K438" s="2">
        <v>21.0</v>
      </c>
      <c r="L438" s="2">
        <v>0.0</v>
      </c>
      <c r="M438" s="2">
        <v>424.0</v>
      </c>
      <c r="N438" s="2"/>
      <c r="O438" s="2"/>
      <c r="P438" s="2" t="s">
        <v>166</v>
      </c>
    </row>
    <row r="439">
      <c r="A439" s="3" t="s">
        <v>66</v>
      </c>
      <c r="B439" s="2" t="s">
        <v>17</v>
      </c>
      <c r="C439" s="2" t="s">
        <v>18</v>
      </c>
      <c r="D439" s="2" t="s">
        <v>23</v>
      </c>
      <c r="E439" s="2" t="s">
        <v>165</v>
      </c>
      <c r="F439" s="2">
        <v>571.0</v>
      </c>
      <c r="G439" s="2">
        <v>274.0</v>
      </c>
      <c r="H439" s="2">
        <v>147.0</v>
      </c>
      <c r="I439" s="2">
        <v>106.0</v>
      </c>
      <c r="J439" s="2">
        <v>0.0</v>
      </c>
      <c r="K439" s="2">
        <v>21.0</v>
      </c>
      <c r="L439" s="2">
        <v>0.0</v>
      </c>
      <c r="M439" s="2">
        <v>424.0</v>
      </c>
      <c r="N439" s="2">
        <v>0.0</v>
      </c>
      <c r="O439" s="2">
        <v>277.0</v>
      </c>
      <c r="P439" s="2" t="s">
        <v>166</v>
      </c>
    </row>
    <row r="440">
      <c r="A440" s="3" t="s">
        <v>68</v>
      </c>
      <c r="B440" s="4">
        <v>45324.29166666667</v>
      </c>
      <c r="C440" s="2" t="s">
        <v>18</v>
      </c>
      <c r="D440" s="2" t="s">
        <v>164</v>
      </c>
      <c r="E440" s="2" t="s">
        <v>165</v>
      </c>
      <c r="F440" s="2"/>
      <c r="G440" s="2">
        <v>274.0</v>
      </c>
      <c r="H440" s="2">
        <v>147.0</v>
      </c>
      <c r="I440" s="2">
        <v>106.0</v>
      </c>
      <c r="J440" s="2">
        <v>0.0</v>
      </c>
      <c r="K440" s="2">
        <v>21.0</v>
      </c>
      <c r="L440" s="2">
        <v>0.0</v>
      </c>
      <c r="M440" s="2"/>
      <c r="N440" s="2"/>
      <c r="O440" s="2"/>
      <c r="P440" s="2" t="s">
        <v>166</v>
      </c>
    </row>
    <row r="441">
      <c r="A441" s="3" t="s">
        <v>70</v>
      </c>
      <c r="B441" s="4">
        <v>45352.29166666667</v>
      </c>
      <c r="C441" s="2" t="s">
        <v>18</v>
      </c>
      <c r="D441" s="2" t="s">
        <v>164</v>
      </c>
      <c r="E441" s="2" t="s">
        <v>165</v>
      </c>
      <c r="F441" s="2"/>
      <c r="G441" s="2">
        <v>0.0</v>
      </c>
      <c r="H441" s="2">
        <v>0.0</v>
      </c>
      <c r="I441" s="2">
        <v>0.0</v>
      </c>
      <c r="J441" s="2">
        <v>0.0</v>
      </c>
      <c r="K441" s="2">
        <v>0.0</v>
      </c>
      <c r="L441" s="2">
        <v>0.0</v>
      </c>
      <c r="M441" s="2"/>
      <c r="N441" s="2"/>
      <c r="O441" s="2"/>
      <c r="P441" s="2" t="s">
        <v>166</v>
      </c>
    </row>
    <row r="442">
      <c r="A442" s="3" t="s">
        <v>16</v>
      </c>
      <c r="B442" s="4">
        <v>45383.29166666667</v>
      </c>
      <c r="C442" s="2" t="s">
        <v>18</v>
      </c>
      <c r="D442" s="2" t="s">
        <v>164</v>
      </c>
      <c r="E442" s="2" t="s">
        <v>165</v>
      </c>
      <c r="F442" s="2"/>
      <c r="G442" s="2">
        <v>0.0</v>
      </c>
      <c r="H442" s="2">
        <v>0.0</v>
      </c>
      <c r="I442" s="2">
        <v>0.0</v>
      </c>
      <c r="J442" s="2">
        <v>0.0</v>
      </c>
      <c r="K442" s="2">
        <v>0.0</v>
      </c>
      <c r="L442" s="2">
        <v>0.0</v>
      </c>
      <c r="M442" s="2"/>
      <c r="N442" s="2"/>
      <c r="O442" s="2"/>
      <c r="P442" s="2" t="s">
        <v>166</v>
      </c>
    </row>
    <row r="443">
      <c r="A443" s="3" t="s">
        <v>71</v>
      </c>
      <c r="B443" s="2" t="s">
        <v>17</v>
      </c>
      <c r="C443" s="2" t="s">
        <v>18</v>
      </c>
      <c r="D443" s="2" t="s">
        <v>164</v>
      </c>
      <c r="E443" s="2" t="s">
        <v>165</v>
      </c>
      <c r="F443" s="2">
        <v>143.0</v>
      </c>
      <c r="G443" s="2">
        <v>98.0</v>
      </c>
      <c r="H443" s="2">
        <v>0.0</v>
      </c>
      <c r="I443" s="2">
        <v>17.0</v>
      </c>
      <c r="J443" s="2">
        <v>0.0</v>
      </c>
      <c r="K443" s="2">
        <v>81.0</v>
      </c>
      <c r="L443" s="2">
        <v>0.0</v>
      </c>
      <c r="M443" s="2">
        <v>143.0</v>
      </c>
      <c r="N443" s="2"/>
      <c r="O443" s="2"/>
      <c r="P443" s="2" t="s">
        <v>166</v>
      </c>
    </row>
    <row r="444">
      <c r="A444" s="3" t="s">
        <v>72</v>
      </c>
      <c r="B444" s="2" t="s">
        <v>17</v>
      </c>
      <c r="C444" s="2" t="s">
        <v>18</v>
      </c>
      <c r="D444" s="2" t="s">
        <v>23</v>
      </c>
      <c r="E444" s="2" t="s">
        <v>165</v>
      </c>
      <c r="F444" s="2">
        <v>143.0</v>
      </c>
      <c r="G444" s="2">
        <v>98.0</v>
      </c>
      <c r="H444" s="2">
        <v>0.0</v>
      </c>
      <c r="I444" s="2">
        <v>17.0</v>
      </c>
      <c r="J444" s="2">
        <v>0.0</v>
      </c>
      <c r="K444" s="2">
        <v>81.0</v>
      </c>
      <c r="L444" s="2">
        <v>0.0</v>
      </c>
      <c r="M444" s="2">
        <v>143.0</v>
      </c>
      <c r="N444" s="2">
        <v>0.0</v>
      </c>
      <c r="O444" s="2">
        <v>143.0</v>
      </c>
      <c r="P444" s="2" t="s">
        <v>166</v>
      </c>
    </row>
    <row r="445">
      <c r="A445" s="3" t="s">
        <v>73</v>
      </c>
      <c r="B445" s="4">
        <v>45324.29166666667</v>
      </c>
      <c r="C445" s="2" t="s">
        <v>18</v>
      </c>
      <c r="D445" s="2" t="s">
        <v>164</v>
      </c>
      <c r="E445" s="2" t="s">
        <v>165</v>
      </c>
      <c r="F445" s="2"/>
      <c r="G445" s="2">
        <v>98.0</v>
      </c>
      <c r="H445" s="2">
        <v>0.0</v>
      </c>
      <c r="I445" s="2">
        <v>17.0</v>
      </c>
      <c r="J445" s="2">
        <v>0.0</v>
      </c>
      <c r="K445" s="2">
        <v>81.0</v>
      </c>
      <c r="L445" s="2">
        <v>0.0</v>
      </c>
      <c r="M445" s="2"/>
      <c r="N445" s="2"/>
      <c r="O445" s="2"/>
      <c r="P445" s="2" t="s">
        <v>166</v>
      </c>
    </row>
    <row r="446">
      <c r="A446" s="3" t="s">
        <v>74</v>
      </c>
      <c r="B446" s="4">
        <v>45352.29166666667</v>
      </c>
      <c r="C446" s="2" t="s">
        <v>18</v>
      </c>
      <c r="D446" s="2" t="s">
        <v>164</v>
      </c>
      <c r="E446" s="2" t="s">
        <v>165</v>
      </c>
      <c r="F446" s="2"/>
      <c r="G446" s="2">
        <v>0.0</v>
      </c>
      <c r="H446" s="2">
        <v>0.0</v>
      </c>
      <c r="I446" s="2">
        <v>0.0</v>
      </c>
      <c r="J446" s="2">
        <v>0.0</v>
      </c>
      <c r="K446" s="2">
        <v>0.0</v>
      </c>
      <c r="L446" s="2">
        <v>0.0</v>
      </c>
      <c r="M446" s="2"/>
      <c r="N446" s="2"/>
      <c r="O446" s="2"/>
      <c r="P446" s="2" t="s">
        <v>166</v>
      </c>
    </row>
    <row r="447">
      <c r="A447" s="3" t="s">
        <v>75</v>
      </c>
      <c r="B447" s="4">
        <v>45383.29166666667</v>
      </c>
      <c r="C447" s="2" t="s">
        <v>18</v>
      </c>
      <c r="D447" s="2" t="s">
        <v>164</v>
      </c>
      <c r="E447" s="2" t="s">
        <v>165</v>
      </c>
      <c r="F447" s="2"/>
      <c r="G447" s="2">
        <v>0.0</v>
      </c>
      <c r="H447" s="2">
        <v>0.0</v>
      </c>
      <c r="I447" s="2">
        <v>0.0</v>
      </c>
      <c r="J447" s="2">
        <v>0.0</v>
      </c>
      <c r="K447" s="2">
        <v>0.0</v>
      </c>
      <c r="L447" s="2">
        <v>0.0</v>
      </c>
      <c r="M447" s="2"/>
      <c r="N447" s="2"/>
      <c r="O447" s="2"/>
      <c r="P447" s="2" t="s">
        <v>166</v>
      </c>
    </row>
    <row r="448">
      <c r="A448" s="3" t="s">
        <v>76</v>
      </c>
      <c r="B448" s="2" t="s">
        <v>17</v>
      </c>
      <c r="C448" s="2" t="s">
        <v>18</v>
      </c>
      <c r="D448" s="2" t="s">
        <v>164</v>
      </c>
      <c r="E448" s="2" t="s">
        <v>165</v>
      </c>
      <c r="F448" s="2">
        <v>8.0</v>
      </c>
      <c r="G448" s="2">
        <v>33.0</v>
      </c>
      <c r="H448" s="2">
        <v>4.0</v>
      </c>
      <c r="I448" s="2">
        <v>11.0</v>
      </c>
      <c r="J448" s="2">
        <v>0.0</v>
      </c>
      <c r="K448" s="2">
        <v>18.0</v>
      </c>
      <c r="L448" s="2">
        <v>0.0</v>
      </c>
      <c r="M448" s="2">
        <v>4.0</v>
      </c>
      <c r="N448" s="2"/>
      <c r="O448" s="2"/>
      <c r="P448" s="2" t="s">
        <v>166</v>
      </c>
    </row>
    <row r="449">
      <c r="A449" s="3" t="s">
        <v>77</v>
      </c>
      <c r="B449" s="2" t="s">
        <v>17</v>
      </c>
      <c r="C449" s="2" t="s">
        <v>18</v>
      </c>
      <c r="D449" s="2" t="s">
        <v>23</v>
      </c>
      <c r="E449" s="2" t="s">
        <v>165</v>
      </c>
      <c r="F449" s="2">
        <v>8.0</v>
      </c>
      <c r="G449" s="2">
        <v>33.0</v>
      </c>
      <c r="H449" s="2">
        <v>4.0</v>
      </c>
      <c r="I449" s="2">
        <v>11.0</v>
      </c>
      <c r="J449" s="2">
        <v>0.0</v>
      </c>
      <c r="K449" s="2">
        <v>18.0</v>
      </c>
      <c r="L449" s="2">
        <v>0.0</v>
      </c>
      <c r="M449" s="2">
        <v>4.0</v>
      </c>
      <c r="N449" s="2">
        <v>0.0</v>
      </c>
      <c r="O449" s="2">
        <v>0.0</v>
      </c>
      <c r="P449" s="2" t="s">
        <v>166</v>
      </c>
    </row>
    <row r="450">
      <c r="A450" s="3" t="s">
        <v>78</v>
      </c>
      <c r="B450" s="4">
        <v>45324.29166666667</v>
      </c>
      <c r="C450" s="2" t="s">
        <v>18</v>
      </c>
      <c r="D450" s="2" t="s">
        <v>164</v>
      </c>
      <c r="E450" s="2" t="s">
        <v>165</v>
      </c>
      <c r="F450" s="2"/>
      <c r="G450" s="2">
        <v>33.0</v>
      </c>
      <c r="H450" s="2">
        <v>4.0</v>
      </c>
      <c r="I450" s="2">
        <v>11.0</v>
      </c>
      <c r="J450" s="2">
        <v>0.0</v>
      </c>
      <c r="K450" s="2">
        <v>18.0</v>
      </c>
      <c r="L450" s="2">
        <v>0.0</v>
      </c>
      <c r="M450" s="2"/>
      <c r="N450" s="2"/>
      <c r="O450" s="2"/>
      <c r="P450" s="2" t="s">
        <v>166</v>
      </c>
    </row>
    <row r="451">
      <c r="A451" s="3" t="s">
        <v>81</v>
      </c>
      <c r="B451" s="4">
        <v>45352.29166666667</v>
      </c>
      <c r="C451" s="2" t="s">
        <v>18</v>
      </c>
      <c r="D451" s="2" t="s">
        <v>164</v>
      </c>
      <c r="E451" s="2" t="s">
        <v>165</v>
      </c>
      <c r="F451" s="2"/>
      <c r="G451" s="2">
        <v>0.0</v>
      </c>
      <c r="H451" s="2">
        <v>0.0</v>
      </c>
      <c r="I451" s="2">
        <v>0.0</v>
      </c>
      <c r="J451" s="2">
        <v>0.0</v>
      </c>
      <c r="K451" s="2">
        <v>0.0</v>
      </c>
      <c r="L451" s="2">
        <v>0.0</v>
      </c>
      <c r="M451" s="2"/>
      <c r="N451" s="2"/>
      <c r="O451" s="2"/>
      <c r="P451" s="2" t="s">
        <v>166</v>
      </c>
    </row>
    <row r="452">
      <c r="A452" s="3" t="s">
        <v>82</v>
      </c>
      <c r="B452" s="4">
        <v>45383.29166666667</v>
      </c>
      <c r="C452" s="2" t="s">
        <v>18</v>
      </c>
      <c r="D452" s="2" t="s">
        <v>164</v>
      </c>
      <c r="E452" s="2" t="s">
        <v>165</v>
      </c>
      <c r="F452" s="2"/>
      <c r="G452" s="2">
        <v>0.0</v>
      </c>
      <c r="H452" s="2">
        <v>0.0</v>
      </c>
      <c r="I452" s="2">
        <v>0.0</v>
      </c>
      <c r="J452" s="2">
        <v>0.0</v>
      </c>
      <c r="K452" s="2">
        <v>0.0</v>
      </c>
      <c r="L452" s="2">
        <v>0.0</v>
      </c>
      <c r="M452" s="2"/>
      <c r="N452" s="2"/>
      <c r="O452" s="2"/>
      <c r="P452" s="2" t="s">
        <v>166</v>
      </c>
    </row>
    <row r="453">
      <c r="A453" s="3" t="s">
        <v>83</v>
      </c>
      <c r="B453" s="2" t="s">
        <v>17</v>
      </c>
      <c r="C453" s="2" t="s">
        <v>18</v>
      </c>
      <c r="D453" s="2" t="s">
        <v>167</v>
      </c>
      <c r="E453" s="2" t="s">
        <v>168</v>
      </c>
      <c r="F453" s="2">
        <v>178.0</v>
      </c>
      <c r="G453" s="2">
        <v>0.0</v>
      </c>
      <c r="H453" s="2">
        <v>0.0</v>
      </c>
      <c r="I453" s="2">
        <v>0.0</v>
      </c>
      <c r="J453" s="2">
        <v>0.0</v>
      </c>
      <c r="K453" s="2">
        <v>0.0</v>
      </c>
      <c r="L453" s="2">
        <v>0.0</v>
      </c>
      <c r="M453" s="2">
        <v>178.0</v>
      </c>
      <c r="N453" s="2"/>
      <c r="O453" s="2"/>
      <c r="P453" s="2" t="s">
        <v>166</v>
      </c>
    </row>
    <row r="454">
      <c r="A454" s="3" t="s">
        <v>84</v>
      </c>
      <c r="B454" s="2" t="s">
        <v>17</v>
      </c>
      <c r="C454" s="2" t="s">
        <v>18</v>
      </c>
      <c r="D454" s="2" t="s">
        <v>23</v>
      </c>
      <c r="E454" s="2" t="s">
        <v>168</v>
      </c>
      <c r="F454" s="2">
        <v>178.0</v>
      </c>
      <c r="G454" s="2">
        <v>331.0</v>
      </c>
      <c r="H454" s="2">
        <v>14.0</v>
      </c>
      <c r="I454" s="2">
        <v>44.0</v>
      </c>
      <c r="J454" s="2">
        <v>0.0</v>
      </c>
      <c r="K454" s="2">
        <v>273.0</v>
      </c>
      <c r="L454" s="2">
        <v>0.0</v>
      </c>
      <c r="M454" s="2">
        <v>164.0</v>
      </c>
      <c r="N454" s="2">
        <v>0.0</v>
      </c>
      <c r="O454" s="2">
        <v>164.0</v>
      </c>
      <c r="P454" s="2" t="s">
        <v>166</v>
      </c>
    </row>
    <row r="455">
      <c r="A455" s="3" t="s">
        <v>85</v>
      </c>
      <c r="B455" s="4">
        <v>45324.29166666667</v>
      </c>
      <c r="C455" s="2" t="s">
        <v>18</v>
      </c>
      <c r="D455" s="2" t="s">
        <v>167</v>
      </c>
      <c r="E455" s="2" t="s">
        <v>168</v>
      </c>
      <c r="F455" s="2"/>
      <c r="G455" s="2">
        <v>72.0</v>
      </c>
      <c r="H455" s="2">
        <v>14.0</v>
      </c>
      <c r="I455" s="2">
        <v>32.0</v>
      </c>
      <c r="J455" s="2">
        <v>0.0</v>
      </c>
      <c r="K455" s="2">
        <v>26.0</v>
      </c>
      <c r="L455" s="2">
        <v>0.0</v>
      </c>
      <c r="M455" s="2"/>
      <c r="N455" s="2"/>
      <c r="O455" s="2"/>
      <c r="P455" s="2" t="s">
        <v>166</v>
      </c>
    </row>
    <row r="456">
      <c r="A456" s="3" t="s">
        <v>86</v>
      </c>
      <c r="B456" s="4">
        <v>45352.29166666667</v>
      </c>
      <c r="C456" s="2" t="s">
        <v>18</v>
      </c>
      <c r="D456" s="2" t="s">
        <v>167</v>
      </c>
      <c r="E456" s="2" t="s">
        <v>168</v>
      </c>
      <c r="F456" s="2"/>
      <c r="G456" s="2">
        <v>259.0</v>
      </c>
      <c r="H456" s="2">
        <v>0.0</v>
      </c>
      <c r="I456" s="2">
        <v>12.0</v>
      </c>
      <c r="J456" s="2">
        <v>0.0</v>
      </c>
      <c r="K456" s="2">
        <v>247.0</v>
      </c>
      <c r="L456" s="2">
        <v>0.0</v>
      </c>
      <c r="M456" s="2"/>
      <c r="N456" s="2"/>
      <c r="O456" s="2"/>
      <c r="P456" s="2" t="s">
        <v>166</v>
      </c>
    </row>
    <row r="457">
      <c r="A457" s="3" t="s">
        <v>87</v>
      </c>
      <c r="B457" s="4">
        <v>45383.29166666667</v>
      </c>
      <c r="C457" s="2" t="s">
        <v>18</v>
      </c>
      <c r="D457" s="2" t="s">
        <v>167</v>
      </c>
      <c r="E457" s="2" t="s">
        <v>168</v>
      </c>
      <c r="F457" s="2"/>
      <c r="G457" s="2">
        <v>0.0</v>
      </c>
      <c r="H457" s="2">
        <v>0.0</v>
      </c>
      <c r="I457" s="2">
        <v>0.0</v>
      </c>
      <c r="J457" s="2">
        <v>0.0</v>
      </c>
      <c r="K457" s="2">
        <v>0.0</v>
      </c>
      <c r="L457" s="2">
        <v>0.0</v>
      </c>
      <c r="M457" s="2"/>
      <c r="N457" s="2"/>
      <c r="O457" s="2"/>
      <c r="P457" s="2" t="s">
        <v>166</v>
      </c>
    </row>
    <row r="458">
      <c r="A458" s="3" t="s">
        <v>88</v>
      </c>
      <c r="B458" s="2" t="s">
        <v>17</v>
      </c>
      <c r="C458" s="2" t="s">
        <v>18</v>
      </c>
      <c r="D458" s="2" t="s">
        <v>164</v>
      </c>
      <c r="E458" s="2" t="s">
        <v>165</v>
      </c>
      <c r="F458" s="2">
        <v>33.0</v>
      </c>
      <c r="G458" s="2">
        <v>32.0</v>
      </c>
      <c r="H458" s="2">
        <v>0.0</v>
      </c>
      <c r="I458" s="2">
        <v>14.0</v>
      </c>
      <c r="J458" s="2">
        <v>0.0</v>
      </c>
      <c r="K458" s="2">
        <v>18.0</v>
      </c>
      <c r="L458" s="2">
        <v>0.0</v>
      </c>
      <c r="M458" s="2">
        <v>33.0</v>
      </c>
      <c r="N458" s="2"/>
      <c r="O458" s="2"/>
      <c r="P458" s="2" t="s">
        <v>166</v>
      </c>
    </row>
    <row r="459">
      <c r="A459" s="3" t="s">
        <v>89</v>
      </c>
      <c r="B459" s="2" t="s">
        <v>17</v>
      </c>
      <c r="C459" s="2" t="s">
        <v>18</v>
      </c>
      <c r="D459" s="2" t="s">
        <v>23</v>
      </c>
      <c r="E459" s="2" t="s">
        <v>165</v>
      </c>
      <c r="F459" s="2">
        <v>33.0</v>
      </c>
      <c r="G459" s="2">
        <v>32.0</v>
      </c>
      <c r="H459" s="2">
        <v>0.0</v>
      </c>
      <c r="I459" s="2">
        <v>14.0</v>
      </c>
      <c r="J459" s="2">
        <v>0.0</v>
      </c>
      <c r="K459" s="2">
        <v>18.0</v>
      </c>
      <c r="L459" s="2">
        <v>0.0</v>
      </c>
      <c r="M459" s="2">
        <v>33.0</v>
      </c>
      <c r="N459" s="2">
        <v>0.0</v>
      </c>
      <c r="O459" s="2">
        <v>33.0</v>
      </c>
      <c r="P459" s="2" t="s">
        <v>166</v>
      </c>
    </row>
    <row r="460">
      <c r="A460" s="3" t="s">
        <v>90</v>
      </c>
      <c r="B460" s="4">
        <v>45324.29166666667</v>
      </c>
      <c r="C460" s="2" t="s">
        <v>18</v>
      </c>
      <c r="D460" s="2" t="s">
        <v>164</v>
      </c>
      <c r="E460" s="2" t="s">
        <v>165</v>
      </c>
      <c r="F460" s="2"/>
      <c r="G460" s="2">
        <v>32.0</v>
      </c>
      <c r="H460" s="2">
        <v>0.0</v>
      </c>
      <c r="I460" s="2">
        <v>14.0</v>
      </c>
      <c r="J460" s="2">
        <v>0.0</v>
      </c>
      <c r="K460" s="2">
        <v>18.0</v>
      </c>
      <c r="L460" s="2">
        <v>0.0</v>
      </c>
      <c r="M460" s="2"/>
      <c r="N460" s="2"/>
      <c r="O460" s="2"/>
      <c r="P460" s="2" t="s">
        <v>166</v>
      </c>
    </row>
    <row r="461">
      <c r="A461" s="3" t="s">
        <v>93</v>
      </c>
      <c r="B461" s="4">
        <v>45352.29166666667</v>
      </c>
      <c r="C461" s="2" t="s">
        <v>18</v>
      </c>
      <c r="D461" s="2" t="s">
        <v>164</v>
      </c>
      <c r="E461" s="2" t="s">
        <v>165</v>
      </c>
      <c r="F461" s="2"/>
      <c r="G461" s="2">
        <v>0.0</v>
      </c>
      <c r="H461" s="2">
        <v>0.0</v>
      </c>
      <c r="I461" s="2">
        <v>0.0</v>
      </c>
      <c r="J461" s="2">
        <v>0.0</v>
      </c>
      <c r="K461" s="2">
        <v>0.0</v>
      </c>
      <c r="L461" s="2">
        <v>0.0</v>
      </c>
      <c r="M461" s="2"/>
      <c r="N461" s="2"/>
      <c r="O461" s="2"/>
      <c r="P461" s="2" t="s">
        <v>166</v>
      </c>
    </row>
    <row r="462">
      <c r="A462" s="3" t="s">
        <v>16</v>
      </c>
      <c r="B462" s="2" t="s">
        <v>17</v>
      </c>
      <c r="C462" s="2" t="s">
        <v>18</v>
      </c>
      <c r="D462" s="2" t="s">
        <v>164</v>
      </c>
      <c r="E462" s="2" t="s">
        <v>165</v>
      </c>
      <c r="F462" s="2">
        <v>210.0</v>
      </c>
      <c r="G462" s="2">
        <v>183.0</v>
      </c>
      <c r="H462" s="2">
        <v>87.0</v>
      </c>
      <c r="I462" s="2">
        <v>53.0</v>
      </c>
      <c r="J462" s="2">
        <v>0.0</v>
      </c>
      <c r="K462" s="2">
        <v>43.0</v>
      </c>
      <c r="L462" s="2">
        <v>0.0</v>
      </c>
      <c r="M462" s="2">
        <v>123.0</v>
      </c>
      <c r="N462" s="2"/>
      <c r="O462" s="2"/>
      <c r="P462" s="2" t="s">
        <v>166</v>
      </c>
    </row>
    <row r="463">
      <c r="A463" s="3" t="s">
        <v>94</v>
      </c>
      <c r="B463" s="2" t="s">
        <v>17</v>
      </c>
      <c r="C463" s="2" t="s">
        <v>18</v>
      </c>
      <c r="D463" s="2" t="s">
        <v>23</v>
      </c>
      <c r="E463" s="2" t="s">
        <v>165</v>
      </c>
      <c r="F463" s="2">
        <v>210.0</v>
      </c>
      <c r="G463" s="2">
        <v>183.0</v>
      </c>
      <c r="H463" s="2">
        <v>87.0</v>
      </c>
      <c r="I463" s="2">
        <v>53.0</v>
      </c>
      <c r="J463" s="2">
        <v>0.0</v>
      </c>
      <c r="K463" s="2">
        <v>43.0</v>
      </c>
      <c r="L463" s="2">
        <v>0.0</v>
      </c>
      <c r="M463" s="2">
        <v>123.0</v>
      </c>
      <c r="N463" s="2">
        <v>0.0</v>
      </c>
      <c r="O463" s="2">
        <v>36.0</v>
      </c>
      <c r="P463" s="2" t="s">
        <v>166</v>
      </c>
    </row>
    <row r="464">
      <c r="A464" s="3" t="s">
        <v>95</v>
      </c>
      <c r="B464" s="4">
        <v>45232.25</v>
      </c>
      <c r="C464" s="2" t="s">
        <v>18</v>
      </c>
      <c r="D464" s="2" t="s">
        <v>164</v>
      </c>
      <c r="E464" s="2" t="s">
        <v>165</v>
      </c>
      <c r="F464" s="2"/>
      <c r="G464" s="2">
        <v>74.0</v>
      </c>
      <c r="H464" s="2">
        <v>49.0</v>
      </c>
      <c r="I464" s="2">
        <v>25.0</v>
      </c>
      <c r="J464" s="2">
        <v>0.0</v>
      </c>
      <c r="K464" s="2">
        <v>0.0</v>
      </c>
      <c r="L464" s="2">
        <v>0.0</v>
      </c>
      <c r="M464" s="2"/>
      <c r="N464" s="2"/>
      <c r="O464" s="2"/>
      <c r="P464" s="2" t="s">
        <v>166</v>
      </c>
    </row>
    <row r="465">
      <c r="A465" s="3" t="s">
        <v>97</v>
      </c>
      <c r="B465" s="4">
        <v>45261.29166666667</v>
      </c>
      <c r="C465" s="2" t="s">
        <v>18</v>
      </c>
      <c r="D465" s="2" t="s">
        <v>164</v>
      </c>
      <c r="E465" s="2" t="s">
        <v>165</v>
      </c>
      <c r="F465" s="2"/>
      <c r="G465" s="2">
        <v>14.0</v>
      </c>
      <c r="H465" s="2">
        <v>7.0</v>
      </c>
      <c r="I465" s="2">
        <v>7.0</v>
      </c>
      <c r="J465" s="2">
        <v>0.0</v>
      </c>
      <c r="K465" s="2">
        <v>0.0</v>
      </c>
      <c r="L465" s="2">
        <v>0.0</v>
      </c>
      <c r="M465" s="2"/>
      <c r="N465" s="2"/>
      <c r="O465" s="2"/>
      <c r="P465" s="2" t="s">
        <v>166</v>
      </c>
    </row>
    <row r="466">
      <c r="A466" s="3" t="s">
        <v>98</v>
      </c>
      <c r="B466" s="4">
        <v>45292.29166666667</v>
      </c>
      <c r="C466" s="2" t="s">
        <v>18</v>
      </c>
      <c r="D466" s="2" t="s">
        <v>164</v>
      </c>
      <c r="E466" s="2" t="s">
        <v>165</v>
      </c>
      <c r="F466" s="2"/>
      <c r="G466" s="2">
        <v>0.0</v>
      </c>
      <c r="H466" s="2">
        <v>0.0</v>
      </c>
      <c r="I466" s="2">
        <v>0.0</v>
      </c>
      <c r="J466" s="2">
        <v>0.0</v>
      </c>
      <c r="K466" s="2">
        <v>0.0</v>
      </c>
      <c r="L466" s="2">
        <v>0.0</v>
      </c>
      <c r="M466" s="2"/>
      <c r="N466" s="2"/>
      <c r="O466" s="2"/>
      <c r="P466" s="2" t="s">
        <v>166</v>
      </c>
    </row>
    <row r="467">
      <c r="A467" s="3" t="s">
        <v>99</v>
      </c>
      <c r="B467" s="4">
        <v>45324.29166666667</v>
      </c>
      <c r="C467" s="2" t="s">
        <v>18</v>
      </c>
      <c r="D467" s="2" t="s">
        <v>164</v>
      </c>
      <c r="E467" s="2" t="s">
        <v>165</v>
      </c>
      <c r="F467" s="2"/>
      <c r="G467" s="2">
        <v>52.0</v>
      </c>
      <c r="H467" s="2">
        <v>31.0</v>
      </c>
      <c r="I467" s="2">
        <v>21.0</v>
      </c>
      <c r="J467" s="2">
        <v>0.0</v>
      </c>
      <c r="K467" s="2">
        <v>0.0</v>
      </c>
      <c r="L467" s="2">
        <v>0.0</v>
      </c>
      <c r="M467" s="2"/>
      <c r="N467" s="2"/>
      <c r="O467" s="2"/>
      <c r="P467" s="2" t="s">
        <v>166</v>
      </c>
    </row>
    <row r="468">
      <c r="A468" s="3" t="s">
        <v>100</v>
      </c>
      <c r="B468" s="4">
        <v>45353.29166666667</v>
      </c>
      <c r="C468" s="2" t="s">
        <v>18</v>
      </c>
      <c r="D468" s="2" t="s">
        <v>164</v>
      </c>
      <c r="E468" s="2" t="s">
        <v>165</v>
      </c>
      <c r="F468" s="2"/>
      <c r="G468" s="2">
        <v>43.0</v>
      </c>
      <c r="H468" s="2">
        <v>0.0</v>
      </c>
      <c r="I468" s="2">
        <v>0.0</v>
      </c>
      <c r="J468" s="2">
        <v>0.0</v>
      </c>
      <c r="K468" s="2">
        <v>43.0</v>
      </c>
      <c r="L468" s="2">
        <v>0.0</v>
      </c>
      <c r="M468" s="2"/>
      <c r="N468" s="2"/>
      <c r="O468" s="2"/>
      <c r="P468" s="2" t="s">
        <v>166</v>
      </c>
    </row>
    <row r="469">
      <c r="A469" s="3" t="s">
        <v>101</v>
      </c>
      <c r="B469" s="4">
        <v>45384.29166666667</v>
      </c>
      <c r="C469" s="2" t="s">
        <v>18</v>
      </c>
      <c r="D469" s="2" t="s">
        <v>164</v>
      </c>
      <c r="E469" s="2" t="s">
        <v>165</v>
      </c>
      <c r="F469" s="2"/>
      <c r="G469" s="2">
        <v>0.0</v>
      </c>
      <c r="H469" s="2">
        <v>0.0</v>
      </c>
      <c r="I469" s="2">
        <v>0.0</v>
      </c>
      <c r="J469" s="2">
        <v>0.0</v>
      </c>
      <c r="K469" s="2">
        <v>0.0</v>
      </c>
      <c r="L469" s="2">
        <v>0.0</v>
      </c>
      <c r="M469" s="2"/>
      <c r="N469" s="2"/>
      <c r="O469" s="2"/>
      <c r="P469" s="2" t="s">
        <v>166</v>
      </c>
    </row>
    <row r="470">
      <c r="A470" s="3" t="s">
        <v>102</v>
      </c>
      <c r="B470" s="2" t="s">
        <v>17</v>
      </c>
      <c r="C470" s="2" t="s">
        <v>18</v>
      </c>
      <c r="D470" s="2" t="s">
        <v>79</v>
      </c>
      <c r="E470" s="2" t="s">
        <v>165</v>
      </c>
      <c r="F470" s="2">
        <v>210.0</v>
      </c>
      <c r="G470" s="2">
        <v>122.0</v>
      </c>
      <c r="H470" s="2">
        <v>71.0</v>
      </c>
      <c r="I470" s="2">
        <v>34.0</v>
      </c>
      <c r="J470" s="2">
        <v>0.0</v>
      </c>
      <c r="K470" s="2">
        <v>17.0</v>
      </c>
      <c r="L470" s="2">
        <v>0.0</v>
      </c>
      <c r="M470" s="2">
        <v>139.0</v>
      </c>
      <c r="N470" s="2"/>
      <c r="O470" s="2"/>
      <c r="P470" s="2" t="s">
        <v>166</v>
      </c>
    </row>
    <row r="471">
      <c r="A471" s="3" t="s">
        <v>103</v>
      </c>
      <c r="B471" s="2" t="s">
        <v>17</v>
      </c>
      <c r="C471" s="2" t="s">
        <v>18</v>
      </c>
      <c r="D471" s="2" t="s">
        <v>23</v>
      </c>
      <c r="E471" s="2" t="s">
        <v>165</v>
      </c>
      <c r="F471" s="2">
        <v>210.0</v>
      </c>
      <c r="G471" s="2">
        <v>122.0</v>
      </c>
      <c r="H471" s="2">
        <v>71.0</v>
      </c>
      <c r="I471" s="2">
        <v>34.0</v>
      </c>
      <c r="J471" s="2">
        <v>0.0</v>
      </c>
      <c r="K471" s="2">
        <v>17.0</v>
      </c>
      <c r="L471" s="2">
        <v>0.0</v>
      </c>
      <c r="M471" s="2">
        <v>139.0</v>
      </c>
      <c r="N471" s="2">
        <v>0.0</v>
      </c>
      <c r="O471" s="2">
        <v>68.0</v>
      </c>
      <c r="P471" s="2" t="s">
        <v>166</v>
      </c>
    </row>
    <row r="472">
      <c r="A472" s="3" t="s">
        <v>104</v>
      </c>
      <c r="B472" s="4">
        <v>45232.25</v>
      </c>
      <c r="C472" s="2" t="s">
        <v>18</v>
      </c>
      <c r="D472" s="2" t="s">
        <v>79</v>
      </c>
      <c r="E472" s="2" t="s">
        <v>165</v>
      </c>
      <c r="F472" s="2"/>
      <c r="G472" s="2">
        <v>15.0</v>
      </c>
      <c r="H472" s="2">
        <v>12.0</v>
      </c>
      <c r="I472" s="2">
        <v>3.0</v>
      </c>
      <c r="J472" s="2">
        <v>0.0</v>
      </c>
      <c r="K472" s="2">
        <v>0.0</v>
      </c>
      <c r="L472" s="2">
        <v>0.0</v>
      </c>
      <c r="M472" s="2"/>
      <c r="N472" s="2"/>
      <c r="O472" s="2"/>
      <c r="P472" s="2" t="s">
        <v>166</v>
      </c>
    </row>
    <row r="473">
      <c r="A473" s="3" t="s">
        <v>105</v>
      </c>
      <c r="B473" s="4">
        <v>45261.29166666667</v>
      </c>
      <c r="C473" s="2" t="s">
        <v>18</v>
      </c>
      <c r="D473" s="2" t="s">
        <v>79</v>
      </c>
      <c r="E473" s="2" t="s">
        <v>165</v>
      </c>
      <c r="F473" s="2"/>
      <c r="G473" s="2">
        <v>30.0</v>
      </c>
      <c r="H473" s="2">
        <v>18.0</v>
      </c>
      <c r="I473" s="2">
        <v>12.0</v>
      </c>
      <c r="J473" s="2">
        <v>0.0</v>
      </c>
      <c r="K473" s="2">
        <v>0.0</v>
      </c>
      <c r="L473" s="2">
        <v>0.0</v>
      </c>
      <c r="M473" s="2"/>
      <c r="N473" s="2"/>
      <c r="O473" s="2"/>
      <c r="P473" s="2" t="s">
        <v>166</v>
      </c>
    </row>
    <row r="474">
      <c r="A474" s="3" t="s">
        <v>106</v>
      </c>
      <c r="B474" s="4">
        <v>45292.29166666667</v>
      </c>
      <c r="C474" s="2" t="s">
        <v>18</v>
      </c>
      <c r="D474" s="2" t="s">
        <v>79</v>
      </c>
      <c r="E474" s="2" t="s">
        <v>165</v>
      </c>
      <c r="F474" s="2"/>
      <c r="G474" s="2">
        <v>27.0</v>
      </c>
      <c r="H474" s="2">
        <v>19.0</v>
      </c>
      <c r="I474" s="2">
        <v>8.0</v>
      </c>
      <c r="J474" s="2">
        <v>0.0</v>
      </c>
      <c r="K474" s="2">
        <v>0.0</v>
      </c>
      <c r="L474" s="2">
        <v>0.0</v>
      </c>
      <c r="M474" s="2"/>
      <c r="N474" s="2"/>
      <c r="O474" s="2"/>
      <c r="P474" s="2" t="s">
        <v>166</v>
      </c>
    </row>
    <row r="475">
      <c r="A475" s="3" t="s">
        <v>107</v>
      </c>
      <c r="B475" s="4">
        <v>45324.29166666667</v>
      </c>
      <c r="C475" s="2" t="s">
        <v>18</v>
      </c>
      <c r="D475" s="2" t="s">
        <v>79</v>
      </c>
      <c r="E475" s="2" t="s">
        <v>165</v>
      </c>
      <c r="F475" s="2"/>
      <c r="G475" s="2">
        <v>33.0</v>
      </c>
      <c r="H475" s="2">
        <v>22.0</v>
      </c>
      <c r="I475" s="2">
        <v>11.0</v>
      </c>
      <c r="J475" s="2">
        <v>0.0</v>
      </c>
      <c r="K475" s="2">
        <v>0.0</v>
      </c>
      <c r="L475" s="2">
        <v>0.0</v>
      </c>
      <c r="M475" s="2"/>
      <c r="N475" s="2"/>
      <c r="O475" s="2"/>
      <c r="P475" s="2" t="s">
        <v>166</v>
      </c>
    </row>
    <row r="476">
      <c r="A476" s="3" t="s">
        <v>108</v>
      </c>
      <c r="B476" s="4">
        <v>45353.29166666667</v>
      </c>
      <c r="C476" s="2" t="s">
        <v>18</v>
      </c>
      <c r="D476" s="2" t="s">
        <v>79</v>
      </c>
      <c r="E476" s="2" t="s">
        <v>165</v>
      </c>
      <c r="F476" s="2"/>
      <c r="G476" s="2">
        <v>17.0</v>
      </c>
      <c r="H476" s="2">
        <v>0.0</v>
      </c>
      <c r="I476" s="2">
        <v>0.0</v>
      </c>
      <c r="J476" s="2">
        <v>0.0</v>
      </c>
      <c r="K476" s="2">
        <v>17.0</v>
      </c>
      <c r="L476" s="2">
        <v>0.0</v>
      </c>
      <c r="M476" s="2"/>
      <c r="N476" s="2"/>
      <c r="O476" s="2"/>
      <c r="P476" s="2" t="s">
        <v>166</v>
      </c>
    </row>
    <row r="477">
      <c r="A477" s="3" t="s">
        <v>112</v>
      </c>
      <c r="B477" s="4">
        <v>45384.29166666667</v>
      </c>
      <c r="C477" s="2" t="s">
        <v>18</v>
      </c>
      <c r="D477" s="2" t="s">
        <v>79</v>
      </c>
      <c r="E477" s="2" t="s">
        <v>165</v>
      </c>
      <c r="F477" s="2"/>
      <c r="G477" s="2">
        <v>0.0</v>
      </c>
      <c r="H477" s="2">
        <v>0.0</v>
      </c>
      <c r="I477" s="2">
        <v>0.0</v>
      </c>
      <c r="J477" s="2">
        <v>0.0</v>
      </c>
      <c r="K477" s="2">
        <v>0.0</v>
      </c>
      <c r="L477" s="2">
        <v>0.0</v>
      </c>
      <c r="M477" s="2"/>
      <c r="N477" s="2"/>
      <c r="O477" s="2"/>
      <c r="P477" s="2" t="s">
        <v>166</v>
      </c>
    </row>
    <row r="478">
      <c r="A478" s="3" t="s">
        <v>115</v>
      </c>
      <c r="B478" s="2" t="s">
        <v>17</v>
      </c>
      <c r="C478" s="2" t="s">
        <v>18</v>
      </c>
      <c r="D478" s="2" t="s">
        <v>79</v>
      </c>
      <c r="E478" s="2" t="s">
        <v>165</v>
      </c>
      <c r="F478" s="2">
        <v>210.0</v>
      </c>
      <c r="G478" s="2">
        <v>113.0</v>
      </c>
      <c r="H478" s="2">
        <v>71.0</v>
      </c>
      <c r="I478" s="2">
        <v>17.0</v>
      </c>
      <c r="J478" s="2">
        <v>0.0</v>
      </c>
      <c r="K478" s="2">
        <v>25.0</v>
      </c>
      <c r="L478" s="2">
        <v>0.0</v>
      </c>
      <c r="M478" s="2">
        <v>139.0</v>
      </c>
      <c r="N478" s="2"/>
      <c r="O478" s="2"/>
      <c r="P478" s="2" t="s">
        <v>166</v>
      </c>
    </row>
    <row r="479">
      <c r="A479" s="3" t="s">
        <v>117</v>
      </c>
      <c r="B479" s="2" t="s">
        <v>17</v>
      </c>
      <c r="C479" s="2" t="s">
        <v>18</v>
      </c>
      <c r="D479" s="2" t="s">
        <v>23</v>
      </c>
      <c r="E479" s="2" t="s">
        <v>165</v>
      </c>
      <c r="F479" s="2">
        <v>210.0</v>
      </c>
      <c r="G479" s="2">
        <v>113.0</v>
      </c>
      <c r="H479" s="2">
        <v>71.0</v>
      </c>
      <c r="I479" s="2">
        <v>17.0</v>
      </c>
      <c r="J479" s="2">
        <v>0.0</v>
      </c>
      <c r="K479" s="2">
        <v>25.0</v>
      </c>
      <c r="L479" s="2">
        <v>0.0</v>
      </c>
      <c r="M479" s="2">
        <v>139.0</v>
      </c>
      <c r="N479" s="2">
        <v>0.0</v>
      </c>
      <c r="O479" s="2">
        <v>68.0</v>
      </c>
      <c r="P479" s="2" t="s">
        <v>166</v>
      </c>
    </row>
    <row r="480">
      <c r="A480" s="3" t="s">
        <v>119</v>
      </c>
      <c r="B480" s="4">
        <v>45232.25</v>
      </c>
      <c r="C480" s="2" t="s">
        <v>18</v>
      </c>
      <c r="D480" s="2" t="s">
        <v>79</v>
      </c>
      <c r="E480" s="2" t="s">
        <v>165</v>
      </c>
      <c r="F480" s="2"/>
      <c r="G480" s="2">
        <v>20.0</v>
      </c>
      <c r="H480" s="2">
        <v>14.0</v>
      </c>
      <c r="I480" s="2">
        <v>6.0</v>
      </c>
      <c r="J480" s="2">
        <v>0.0</v>
      </c>
      <c r="K480" s="2">
        <v>0.0</v>
      </c>
      <c r="L480" s="2">
        <v>0.0</v>
      </c>
      <c r="M480" s="2"/>
      <c r="N480" s="2"/>
      <c r="O480" s="2"/>
      <c r="P480" s="2" t="s">
        <v>166</v>
      </c>
    </row>
    <row r="481">
      <c r="A481" s="3" t="s">
        <v>121</v>
      </c>
      <c r="B481" s="4">
        <v>45261.29166666667</v>
      </c>
      <c r="C481" s="2" t="s">
        <v>18</v>
      </c>
      <c r="D481" s="2" t="s">
        <v>79</v>
      </c>
      <c r="E481" s="2" t="s">
        <v>165</v>
      </c>
      <c r="F481" s="2"/>
      <c r="G481" s="2">
        <v>30.0</v>
      </c>
      <c r="H481" s="2">
        <v>22.0</v>
      </c>
      <c r="I481" s="2">
        <v>8.0</v>
      </c>
      <c r="J481" s="2">
        <v>0.0</v>
      </c>
      <c r="K481" s="2">
        <v>0.0</v>
      </c>
      <c r="L481" s="2">
        <v>0.0</v>
      </c>
      <c r="M481" s="2"/>
      <c r="N481" s="2"/>
      <c r="O481" s="2"/>
      <c r="P481" s="2" t="s">
        <v>166</v>
      </c>
    </row>
    <row r="482">
      <c r="A482" s="3" t="s">
        <v>16</v>
      </c>
      <c r="B482" s="4">
        <v>45292.29166666667</v>
      </c>
      <c r="C482" s="2" t="s">
        <v>18</v>
      </c>
      <c r="D482" s="2" t="s">
        <v>79</v>
      </c>
      <c r="E482" s="2" t="s">
        <v>165</v>
      </c>
      <c r="F482" s="2"/>
      <c r="G482" s="2">
        <v>18.0</v>
      </c>
      <c r="H482" s="2">
        <v>16.0</v>
      </c>
      <c r="I482" s="2">
        <v>2.0</v>
      </c>
      <c r="J482" s="2">
        <v>0.0</v>
      </c>
      <c r="K482" s="2">
        <v>0.0</v>
      </c>
      <c r="L482" s="2">
        <v>0.0</v>
      </c>
      <c r="M482" s="2"/>
      <c r="N482" s="2"/>
      <c r="O482" s="2"/>
      <c r="P482" s="2" t="s">
        <v>166</v>
      </c>
    </row>
    <row r="483">
      <c r="A483" s="3" t="s">
        <v>124</v>
      </c>
      <c r="B483" s="4">
        <v>45324.29166666667</v>
      </c>
      <c r="C483" s="2" t="s">
        <v>18</v>
      </c>
      <c r="D483" s="2" t="s">
        <v>79</v>
      </c>
      <c r="E483" s="2" t="s">
        <v>165</v>
      </c>
      <c r="F483" s="2"/>
      <c r="G483" s="2">
        <v>20.0</v>
      </c>
      <c r="H483" s="2">
        <v>19.0</v>
      </c>
      <c r="I483" s="2">
        <v>1.0</v>
      </c>
      <c r="J483" s="2">
        <v>0.0</v>
      </c>
      <c r="K483" s="2">
        <v>0.0</v>
      </c>
      <c r="L483" s="2">
        <v>0.0</v>
      </c>
      <c r="M483" s="2"/>
      <c r="N483" s="2"/>
      <c r="O483" s="2"/>
      <c r="P483" s="2" t="s">
        <v>166</v>
      </c>
    </row>
    <row r="484">
      <c r="A484" s="3" t="s">
        <v>126</v>
      </c>
      <c r="B484" s="4">
        <v>45352.29166666667</v>
      </c>
      <c r="C484" s="2" t="s">
        <v>18</v>
      </c>
      <c r="D484" s="2" t="s">
        <v>79</v>
      </c>
      <c r="E484" s="2" t="s">
        <v>165</v>
      </c>
      <c r="F484" s="2"/>
      <c r="G484" s="2">
        <v>25.0</v>
      </c>
      <c r="H484" s="2">
        <v>0.0</v>
      </c>
      <c r="I484" s="2">
        <v>0.0</v>
      </c>
      <c r="J484" s="2">
        <v>0.0</v>
      </c>
      <c r="K484" s="2">
        <v>25.0</v>
      </c>
      <c r="L484" s="2">
        <v>0.0</v>
      </c>
      <c r="M484" s="2"/>
      <c r="N484" s="2"/>
      <c r="O484" s="2"/>
      <c r="P484" s="2" t="s">
        <v>166</v>
      </c>
    </row>
    <row r="485">
      <c r="A485" s="3" t="s">
        <v>128</v>
      </c>
      <c r="B485" s="4">
        <v>45385.29166666667</v>
      </c>
      <c r="C485" s="2" t="s">
        <v>18</v>
      </c>
      <c r="D485" s="2" t="s">
        <v>79</v>
      </c>
      <c r="E485" s="2" t="s">
        <v>165</v>
      </c>
      <c r="F485" s="2"/>
      <c r="G485" s="2">
        <v>0.0</v>
      </c>
      <c r="H485" s="2">
        <v>0.0</v>
      </c>
      <c r="I485" s="2">
        <v>0.0</v>
      </c>
      <c r="J485" s="2">
        <v>0.0</v>
      </c>
      <c r="K485" s="2">
        <v>0.0</v>
      </c>
      <c r="L485" s="2">
        <v>0.0</v>
      </c>
      <c r="M485" s="2"/>
      <c r="N485" s="2"/>
      <c r="O485" s="2"/>
      <c r="P485" s="2" t="s">
        <v>166</v>
      </c>
    </row>
    <row r="486">
      <c r="A486" s="3" t="s">
        <v>129</v>
      </c>
      <c r="B486" s="2" t="s">
        <v>17</v>
      </c>
      <c r="C486" s="2" t="s">
        <v>18</v>
      </c>
      <c r="D486" s="2" t="s">
        <v>79</v>
      </c>
      <c r="E486" s="2" t="s">
        <v>165</v>
      </c>
      <c r="F486" s="2">
        <v>210.0</v>
      </c>
      <c r="G486" s="2">
        <v>121.0</v>
      </c>
      <c r="H486" s="2">
        <v>78.0</v>
      </c>
      <c r="I486" s="2">
        <v>26.0</v>
      </c>
      <c r="J486" s="2">
        <v>0.0</v>
      </c>
      <c r="K486" s="2">
        <v>17.0</v>
      </c>
      <c r="L486" s="2">
        <v>0.0</v>
      </c>
      <c r="M486" s="2">
        <v>132.0</v>
      </c>
      <c r="N486" s="2"/>
      <c r="O486" s="2"/>
      <c r="P486" s="2" t="s">
        <v>166</v>
      </c>
    </row>
    <row r="487">
      <c r="A487" s="3" t="s">
        <v>130</v>
      </c>
      <c r="B487" s="2" t="s">
        <v>17</v>
      </c>
      <c r="C487" s="2" t="s">
        <v>18</v>
      </c>
      <c r="D487" s="2" t="s">
        <v>23</v>
      </c>
      <c r="E487" s="2" t="s">
        <v>165</v>
      </c>
      <c r="F487" s="2">
        <v>210.0</v>
      </c>
      <c r="G487" s="2">
        <v>121.0</v>
      </c>
      <c r="H487" s="2">
        <v>78.0</v>
      </c>
      <c r="I487" s="2">
        <v>26.0</v>
      </c>
      <c r="J487" s="2">
        <v>0.0</v>
      </c>
      <c r="K487" s="2">
        <v>17.0</v>
      </c>
      <c r="L487" s="2">
        <v>0.0</v>
      </c>
      <c r="M487" s="2">
        <v>132.0</v>
      </c>
      <c r="N487" s="2">
        <v>0.0</v>
      </c>
      <c r="O487" s="2">
        <v>54.0</v>
      </c>
      <c r="P487" s="2" t="s">
        <v>166</v>
      </c>
    </row>
    <row r="488">
      <c r="A488" s="3" t="s">
        <v>131</v>
      </c>
      <c r="B488" s="4">
        <v>45232.25</v>
      </c>
      <c r="C488" s="2" t="s">
        <v>18</v>
      </c>
      <c r="D488" s="2" t="s">
        <v>79</v>
      </c>
      <c r="E488" s="2" t="s">
        <v>165</v>
      </c>
      <c r="F488" s="2"/>
      <c r="G488" s="2">
        <v>20.0</v>
      </c>
      <c r="H488" s="2">
        <v>16.0</v>
      </c>
      <c r="I488" s="2">
        <v>4.0</v>
      </c>
      <c r="J488" s="2">
        <v>0.0</v>
      </c>
      <c r="K488" s="2">
        <v>0.0</v>
      </c>
      <c r="L488" s="2">
        <v>0.0</v>
      </c>
      <c r="M488" s="2"/>
      <c r="N488" s="2"/>
      <c r="O488" s="2"/>
      <c r="P488" s="2" t="s">
        <v>166</v>
      </c>
    </row>
    <row r="489">
      <c r="A489" s="3" t="s">
        <v>132</v>
      </c>
      <c r="B489" s="4">
        <v>45261.29166666667</v>
      </c>
      <c r="C489" s="2" t="s">
        <v>18</v>
      </c>
      <c r="D489" s="2" t="s">
        <v>79</v>
      </c>
      <c r="E489" s="2" t="s">
        <v>165</v>
      </c>
      <c r="F489" s="2"/>
      <c r="G489" s="2">
        <v>40.0</v>
      </c>
      <c r="H489" s="2">
        <v>32.0</v>
      </c>
      <c r="I489" s="2">
        <v>8.0</v>
      </c>
      <c r="J489" s="2">
        <v>0.0</v>
      </c>
      <c r="K489" s="2">
        <v>0.0</v>
      </c>
      <c r="L489" s="2">
        <v>0.0</v>
      </c>
      <c r="M489" s="2"/>
      <c r="N489" s="2"/>
      <c r="O489" s="2"/>
      <c r="P489" s="2" t="s">
        <v>166</v>
      </c>
    </row>
    <row r="490">
      <c r="A490" s="3" t="s">
        <v>133</v>
      </c>
      <c r="B490" s="4">
        <v>45292.29166666667</v>
      </c>
      <c r="C490" s="2" t="s">
        <v>18</v>
      </c>
      <c r="D490" s="2" t="s">
        <v>79</v>
      </c>
      <c r="E490" s="2" t="s">
        <v>165</v>
      </c>
      <c r="F490" s="2"/>
      <c r="G490" s="2">
        <v>7.0</v>
      </c>
      <c r="H490" s="2">
        <v>4.0</v>
      </c>
      <c r="I490" s="2">
        <v>3.0</v>
      </c>
      <c r="J490" s="2">
        <v>0.0</v>
      </c>
      <c r="K490" s="2">
        <v>0.0</v>
      </c>
      <c r="L490" s="2">
        <v>0.0</v>
      </c>
      <c r="M490" s="2"/>
      <c r="N490" s="2"/>
      <c r="O490" s="2"/>
      <c r="P490" s="2" t="s">
        <v>166</v>
      </c>
    </row>
    <row r="491">
      <c r="A491" s="3" t="s">
        <v>134</v>
      </c>
      <c r="B491" s="4">
        <v>45324.29166666667</v>
      </c>
      <c r="C491" s="2" t="s">
        <v>18</v>
      </c>
      <c r="D491" s="2" t="s">
        <v>79</v>
      </c>
      <c r="E491" s="2" t="s">
        <v>165</v>
      </c>
      <c r="F491" s="2"/>
      <c r="G491" s="2">
        <v>37.0</v>
      </c>
      <c r="H491" s="2">
        <v>26.0</v>
      </c>
      <c r="I491" s="2">
        <v>11.0</v>
      </c>
      <c r="J491" s="2">
        <v>0.0</v>
      </c>
      <c r="K491" s="2">
        <v>0.0</v>
      </c>
      <c r="L491" s="2">
        <v>0.0</v>
      </c>
      <c r="M491" s="2"/>
      <c r="N491" s="2"/>
      <c r="O491" s="2"/>
      <c r="P491" s="2" t="s">
        <v>166</v>
      </c>
    </row>
    <row r="492">
      <c r="A492" s="3" t="s">
        <v>136</v>
      </c>
      <c r="B492" s="4">
        <v>45353.29166666667</v>
      </c>
      <c r="C492" s="2" t="s">
        <v>18</v>
      </c>
      <c r="D492" s="2" t="s">
        <v>79</v>
      </c>
      <c r="E492" s="2" t="s">
        <v>165</v>
      </c>
      <c r="F492" s="2"/>
      <c r="G492" s="2">
        <v>17.0</v>
      </c>
      <c r="H492" s="2">
        <v>0.0</v>
      </c>
      <c r="I492" s="2">
        <v>0.0</v>
      </c>
      <c r="J492" s="2">
        <v>0.0</v>
      </c>
      <c r="K492" s="2">
        <v>17.0</v>
      </c>
      <c r="L492" s="2">
        <v>0.0</v>
      </c>
      <c r="M492" s="2"/>
      <c r="N492" s="2"/>
      <c r="O492" s="2"/>
      <c r="P492" s="2" t="s">
        <v>166</v>
      </c>
    </row>
    <row r="493">
      <c r="A493" s="3" t="s">
        <v>137</v>
      </c>
      <c r="B493" s="4">
        <v>45385.29166666667</v>
      </c>
      <c r="C493" s="2" t="s">
        <v>18</v>
      </c>
      <c r="D493" s="2" t="s">
        <v>79</v>
      </c>
      <c r="E493" s="2" t="s">
        <v>165</v>
      </c>
      <c r="F493" s="2"/>
      <c r="G493" s="2">
        <v>0.0</v>
      </c>
      <c r="H493" s="2">
        <v>0.0</v>
      </c>
      <c r="I493" s="2">
        <v>0.0</v>
      </c>
      <c r="J493" s="2">
        <v>0.0</v>
      </c>
      <c r="K493" s="2">
        <v>0.0</v>
      </c>
      <c r="L493" s="2">
        <v>0.0</v>
      </c>
      <c r="M493" s="2"/>
      <c r="N493" s="2"/>
      <c r="O493" s="2"/>
      <c r="P493" s="2" t="s">
        <v>166</v>
      </c>
    </row>
    <row r="494">
      <c r="A494" s="3" t="s">
        <v>138</v>
      </c>
      <c r="B494" s="2" t="s">
        <v>17</v>
      </c>
      <c r="C494" s="2" t="s">
        <v>18</v>
      </c>
      <c r="D494" s="2" t="s">
        <v>164</v>
      </c>
      <c r="E494" s="2" t="s">
        <v>165</v>
      </c>
      <c r="F494" s="2">
        <v>210.0</v>
      </c>
      <c r="G494" s="2">
        <v>219.0</v>
      </c>
      <c r="H494" s="2">
        <v>98.0</v>
      </c>
      <c r="I494" s="2">
        <v>83.0</v>
      </c>
      <c r="J494" s="2">
        <v>0.0</v>
      </c>
      <c r="K494" s="2">
        <v>38.0</v>
      </c>
      <c r="L494" s="2">
        <v>0.0</v>
      </c>
      <c r="M494" s="2">
        <v>112.0</v>
      </c>
      <c r="N494" s="2"/>
      <c r="O494" s="2"/>
      <c r="P494" s="2" t="s">
        <v>166</v>
      </c>
    </row>
    <row r="495">
      <c r="A495" s="3" t="s">
        <v>139</v>
      </c>
      <c r="B495" s="2" t="s">
        <v>17</v>
      </c>
      <c r="C495" s="2" t="s">
        <v>18</v>
      </c>
      <c r="D495" s="2" t="s">
        <v>23</v>
      </c>
      <c r="E495" s="2" t="s">
        <v>165</v>
      </c>
      <c r="F495" s="2">
        <v>210.0</v>
      </c>
      <c r="G495" s="2">
        <v>219.0</v>
      </c>
      <c r="H495" s="2">
        <v>98.0</v>
      </c>
      <c r="I495" s="2">
        <v>83.0</v>
      </c>
      <c r="J495" s="2">
        <v>0.0</v>
      </c>
      <c r="K495" s="2">
        <v>38.0</v>
      </c>
      <c r="L495" s="2">
        <v>0.0</v>
      </c>
      <c r="M495" s="2">
        <v>112.0</v>
      </c>
      <c r="N495" s="2">
        <v>0.0</v>
      </c>
      <c r="O495" s="2">
        <v>14.0</v>
      </c>
      <c r="P495" s="2" t="s">
        <v>166</v>
      </c>
    </row>
    <row r="496">
      <c r="A496" s="3" t="s">
        <v>140</v>
      </c>
      <c r="B496" s="4">
        <v>45232.25</v>
      </c>
      <c r="C496" s="2" t="s">
        <v>18</v>
      </c>
      <c r="D496" s="2" t="s">
        <v>164</v>
      </c>
      <c r="E496" s="2" t="s">
        <v>165</v>
      </c>
      <c r="F496" s="2"/>
      <c r="G496" s="2">
        <v>43.0</v>
      </c>
      <c r="H496" s="2">
        <v>29.0</v>
      </c>
      <c r="I496" s="2">
        <v>14.0</v>
      </c>
      <c r="J496" s="2">
        <v>0.0</v>
      </c>
      <c r="K496" s="2">
        <v>0.0</v>
      </c>
      <c r="L496" s="2">
        <v>0.0</v>
      </c>
      <c r="M496" s="2"/>
      <c r="N496" s="2"/>
      <c r="O496" s="2"/>
      <c r="P496" s="2" t="s">
        <v>166</v>
      </c>
    </row>
    <row r="497">
      <c r="A497" s="3" t="s">
        <v>141</v>
      </c>
      <c r="B497" s="4">
        <v>45261.29166666667</v>
      </c>
      <c r="C497" s="2" t="s">
        <v>18</v>
      </c>
      <c r="D497" s="2" t="s">
        <v>164</v>
      </c>
      <c r="E497" s="2" t="s">
        <v>165</v>
      </c>
      <c r="F497" s="2"/>
      <c r="G497" s="2">
        <v>11.0</v>
      </c>
      <c r="H497" s="2">
        <v>2.0</v>
      </c>
      <c r="I497" s="2">
        <v>9.0</v>
      </c>
      <c r="J497" s="2">
        <v>0.0</v>
      </c>
      <c r="K497" s="2">
        <v>0.0</v>
      </c>
      <c r="L497" s="2">
        <v>0.0</v>
      </c>
      <c r="M497" s="2"/>
      <c r="N497" s="2"/>
      <c r="O497" s="2"/>
      <c r="P497" s="2" t="s">
        <v>166</v>
      </c>
    </row>
    <row r="498">
      <c r="A498" s="3" t="s">
        <v>142</v>
      </c>
      <c r="B498" s="4">
        <v>45292.29166666667</v>
      </c>
      <c r="C498" s="2" t="s">
        <v>18</v>
      </c>
      <c r="D498" s="2" t="s">
        <v>164</v>
      </c>
      <c r="E498" s="2" t="s">
        <v>165</v>
      </c>
      <c r="F498" s="2"/>
      <c r="G498" s="2">
        <v>74.0</v>
      </c>
      <c r="H498" s="2">
        <v>29.0</v>
      </c>
      <c r="I498" s="2">
        <v>45.0</v>
      </c>
      <c r="J498" s="2">
        <v>0.0</v>
      </c>
      <c r="K498" s="2">
        <v>0.0</v>
      </c>
      <c r="L498" s="2">
        <v>0.0</v>
      </c>
      <c r="M498" s="2"/>
      <c r="N498" s="2"/>
      <c r="O498" s="2"/>
      <c r="P498" s="2" t="s">
        <v>166</v>
      </c>
    </row>
    <row r="499">
      <c r="A499" s="3" t="s">
        <v>143</v>
      </c>
      <c r="B499" s="4">
        <v>45324.29166666667</v>
      </c>
      <c r="C499" s="2" t="s">
        <v>18</v>
      </c>
      <c r="D499" s="2" t="s">
        <v>164</v>
      </c>
      <c r="E499" s="2" t="s">
        <v>165</v>
      </c>
      <c r="F499" s="2"/>
      <c r="G499" s="2">
        <v>20.0</v>
      </c>
      <c r="H499" s="2">
        <v>7.0</v>
      </c>
      <c r="I499" s="2">
        <v>13.0</v>
      </c>
      <c r="J499" s="2">
        <v>0.0</v>
      </c>
      <c r="K499" s="2">
        <v>0.0</v>
      </c>
      <c r="L499" s="2">
        <v>0.0</v>
      </c>
      <c r="M499" s="2"/>
      <c r="N499" s="2"/>
      <c r="O499" s="2"/>
      <c r="P499" s="2" t="s">
        <v>166</v>
      </c>
    </row>
    <row r="500">
      <c r="A500" s="3" t="s">
        <v>144</v>
      </c>
      <c r="B500" s="4">
        <v>45353.29166666667</v>
      </c>
      <c r="C500" s="2" t="s">
        <v>18</v>
      </c>
      <c r="D500" s="2" t="s">
        <v>164</v>
      </c>
      <c r="E500" s="2" t="s">
        <v>165</v>
      </c>
      <c r="F500" s="2"/>
      <c r="G500" s="2">
        <v>71.0</v>
      </c>
      <c r="H500" s="2">
        <v>31.0</v>
      </c>
      <c r="I500" s="2">
        <v>2.0</v>
      </c>
      <c r="J500" s="2">
        <v>0.0</v>
      </c>
      <c r="K500" s="2">
        <v>38.0</v>
      </c>
      <c r="L500" s="2">
        <v>0.0</v>
      </c>
      <c r="M500" s="2"/>
      <c r="N500" s="2"/>
      <c r="O500" s="2"/>
      <c r="P500" s="2" t="s">
        <v>166</v>
      </c>
    </row>
    <row r="501">
      <c r="A501" s="3" t="s">
        <v>145</v>
      </c>
      <c r="B501" s="4">
        <v>45384.29166666667</v>
      </c>
      <c r="C501" s="2" t="s">
        <v>18</v>
      </c>
      <c r="D501" s="2" t="s">
        <v>164</v>
      </c>
      <c r="E501" s="2" t="s">
        <v>165</v>
      </c>
      <c r="F501" s="2"/>
      <c r="G501" s="2">
        <v>0.0</v>
      </c>
      <c r="H501" s="2">
        <v>0.0</v>
      </c>
      <c r="I501" s="2">
        <v>0.0</v>
      </c>
      <c r="J501" s="2">
        <v>0.0</v>
      </c>
      <c r="K501" s="2">
        <v>0.0</v>
      </c>
      <c r="L501" s="2">
        <v>0.0</v>
      </c>
      <c r="M501" s="2"/>
      <c r="N501" s="2"/>
      <c r="O501" s="2"/>
      <c r="P501" s="2" t="s">
        <v>166</v>
      </c>
    </row>
    <row r="502">
      <c r="A502" s="3" t="s">
        <v>16</v>
      </c>
      <c r="B502" s="2" t="s">
        <v>17</v>
      </c>
      <c r="C502" s="2" t="s">
        <v>18</v>
      </c>
      <c r="D502" s="2" t="s">
        <v>79</v>
      </c>
      <c r="E502" s="2" t="s">
        <v>165</v>
      </c>
      <c r="F502" s="2">
        <v>210.0</v>
      </c>
      <c r="G502" s="2">
        <v>118.0</v>
      </c>
      <c r="H502" s="2">
        <v>76.0</v>
      </c>
      <c r="I502" s="2">
        <v>27.0</v>
      </c>
      <c r="J502" s="2">
        <v>0.0</v>
      </c>
      <c r="K502" s="2">
        <v>15.0</v>
      </c>
      <c r="L502" s="2">
        <v>0.0</v>
      </c>
      <c r="M502" s="2">
        <v>134.0</v>
      </c>
      <c r="N502" s="2"/>
      <c r="O502" s="2"/>
      <c r="P502" s="2" t="s">
        <v>166</v>
      </c>
    </row>
    <row r="503">
      <c r="A503" s="3" t="s">
        <v>22</v>
      </c>
      <c r="B503" s="2" t="s">
        <v>17</v>
      </c>
      <c r="C503" s="2" t="s">
        <v>18</v>
      </c>
      <c r="D503" s="2" t="s">
        <v>23</v>
      </c>
      <c r="E503" s="2" t="s">
        <v>165</v>
      </c>
      <c r="F503" s="2">
        <v>210.0</v>
      </c>
      <c r="G503" s="2">
        <v>118.0</v>
      </c>
      <c r="H503" s="2">
        <v>76.0</v>
      </c>
      <c r="I503" s="2">
        <v>27.0</v>
      </c>
      <c r="J503" s="2">
        <v>0.0</v>
      </c>
      <c r="K503" s="2">
        <v>15.0</v>
      </c>
      <c r="L503" s="2">
        <v>0.0</v>
      </c>
      <c r="M503" s="2">
        <v>134.0</v>
      </c>
      <c r="N503" s="2">
        <v>0.0</v>
      </c>
      <c r="O503" s="2">
        <v>58.0</v>
      </c>
      <c r="P503" s="2" t="s">
        <v>166</v>
      </c>
    </row>
    <row r="504">
      <c r="A504" s="3" t="s">
        <v>24</v>
      </c>
      <c r="B504" s="4">
        <v>45232.25</v>
      </c>
      <c r="C504" s="2" t="s">
        <v>18</v>
      </c>
      <c r="D504" s="2" t="s">
        <v>79</v>
      </c>
      <c r="E504" s="2" t="s">
        <v>165</v>
      </c>
      <c r="F504" s="2"/>
      <c r="G504" s="2">
        <v>20.0</v>
      </c>
      <c r="H504" s="2">
        <v>19.0</v>
      </c>
      <c r="I504" s="2">
        <v>1.0</v>
      </c>
      <c r="J504" s="2">
        <v>0.0</v>
      </c>
      <c r="K504" s="2">
        <v>0.0</v>
      </c>
      <c r="L504" s="2">
        <v>0.0</v>
      </c>
      <c r="M504" s="2"/>
      <c r="N504" s="2"/>
      <c r="O504" s="2"/>
      <c r="P504" s="2" t="s">
        <v>166</v>
      </c>
    </row>
    <row r="505">
      <c r="A505" s="3" t="s">
        <v>25</v>
      </c>
      <c r="B505" s="4">
        <v>45261.29166666667</v>
      </c>
      <c r="C505" s="2" t="s">
        <v>18</v>
      </c>
      <c r="D505" s="2" t="s">
        <v>79</v>
      </c>
      <c r="E505" s="2" t="s">
        <v>165</v>
      </c>
      <c r="F505" s="2"/>
      <c r="G505" s="2">
        <v>40.0</v>
      </c>
      <c r="H505" s="2">
        <v>28.0</v>
      </c>
      <c r="I505" s="2">
        <v>12.0</v>
      </c>
      <c r="J505" s="2">
        <v>0.0</v>
      </c>
      <c r="K505" s="2">
        <v>0.0</v>
      </c>
      <c r="L505" s="2">
        <v>0.0</v>
      </c>
      <c r="M505" s="2"/>
      <c r="N505" s="2"/>
      <c r="O505" s="2"/>
      <c r="P505" s="2" t="s">
        <v>166</v>
      </c>
    </row>
    <row r="506">
      <c r="A506" s="3" t="s">
        <v>26</v>
      </c>
      <c r="B506" s="4">
        <v>45292.29166666667</v>
      </c>
      <c r="C506" s="2" t="s">
        <v>18</v>
      </c>
      <c r="D506" s="2" t="s">
        <v>79</v>
      </c>
      <c r="E506" s="2" t="s">
        <v>165</v>
      </c>
      <c r="F506" s="2"/>
      <c r="G506" s="2">
        <v>10.0</v>
      </c>
      <c r="H506" s="2">
        <v>5.0</v>
      </c>
      <c r="I506" s="2">
        <v>5.0</v>
      </c>
      <c r="J506" s="2">
        <v>0.0</v>
      </c>
      <c r="K506" s="2">
        <v>0.0</v>
      </c>
      <c r="L506" s="2">
        <v>0.0</v>
      </c>
      <c r="M506" s="2"/>
      <c r="N506" s="2"/>
      <c r="O506" s="2"/>
      <c r="P506" s="2" t="s">
        <v>166</v>
      </c>
    </row>
    <row r="507">
      <c r="A507" s="3" t="s">
        <v>28</v>
      </c>
      <c r="B507" s="4">
        <v>45324.29166666667</v>
      </c>
      <c r="C507" s="2" t="s">
        <v>18</v>
      </c>
      <c r="D507" s="2" t="s">
        <v>79</v>
      </c>
      <c r="E507" s="2" t="s">
        <v>165</v>
      </c>
      <c r="F507" s="2"/>
      <c r="G507" s="2">
        <v>33.0</v>
      </c>
      <c r="H507" s="2">
        <v>24.0</v>
      </c>
      <c r="I507" s="2">
        <v>9.0</v>
      </c>
      <c r="J507" s="2">
        <v>0.0</v>
      </c>
      <c r="K507" s="2">
        <v>0.0</v>
      </c>
      <c r="L507" s="2">
        <v>0.0</v>
      </c>
      <c r="M507" s="2"/>
      <c r="N507" s="2"/>
      <c r="O507" s="2"/>
      <c r="P507" s="2" t="s">
        <v>166</v>
      </c>
    </row>
    <row r="508">
      <c r="A508" s="3" t="s">
        <v>29</v>
      </c>
      <c r="B508" s="4">
        <v>45353.29166666667</v>
      </c>
      <c r="C508" s="2" t="s">
        <v>18</v>
      </c>
      <c r="D508" s="2" t="s">
        <v>79</v>
      </c>
      <c r="E508" s="2" t="s">
        <v>165</v>
      </c>
      <c r="F508" s="2"/>
      <c r="G508" s="2">
        <v>15.0</v>
      </c>
      <c r="H508" s="2">
        <v>0.0</v>
      </c>
      <c r="I508" s="2">
        <v>0.0</v>
      </c>
      <c r="J508" s="2">
        <v>0.0</v>
      </c>
      <c r="K508" s="2">
        <v>15.0</v>
      </c>
      <c r="L508" s="2">
        <v>0.0</v>
      </c>
      <c r="M508" s="2"/>
      <c r="N508" s="2"/>
      <c r="O508" s="2"/>
      <c r="P508" s="2" t="s">
        <v>166</v>
      </c>
    </row>
    <row r="509">
      <c r="A509" s="3" t="s">
        <v>32</v>
      </c>
      <c r="B509" s="4">
        <v>45385.29166666667</v>
      </c>
      <c r="C509" s="2" t="s">
        <v>18</v>
      </c>
      <c r="D509" s="2" t="s">
        <v>79</v>
      </c>
      <c r="E509" s="2" t="s">
        <v>165</v>
      </c>
      <c r="F509" s="2"/>
      <c r="G509" s="2">
        <v>0.0</v>
      </c>
      <c r="H509" s="2">
        <v>0.0</v>
      </c>
      <c r="I509" s="2">
        <v>0.0</v>
      </c>
      <c r="J509" s="2">
        <v>0.0</v>
      </c>
      <c r="K509" s="2">
        <v>0.0</v>
      </c>
      <c r="L509" s="2">
        <v>0.0</v>
      </c>
      <c r="M509" s="2"/>
      <c r="N509" s="2"/>
      <c r="O509" s="2"/>
      <c r="P509" s="2" t="s">
        <v>166</v>
      </c>
    </row>
    <row r="510">
      <c r="A510" s="3" t="s">
        <v>34</v>
      </c>
      <c r="B510" s="2" t="s">
        <v>17</v>
      </c>
      <c r="C510" s="2" t="s">
        <v>18</v>
      </c>
      <c r="D510" s="2" t="s">
        <v>79</v>
      </c>
      <c r="E510" s="2" t="s">
        <v>165</v>
      </c>
      <c r="F510" s="2">
        <v>210.0</v>
      </c>
      <c r="G510" s="2">
        <v>129.0</v>
      </c>
      <c r="H510" s="2">
        <v>77.0</v>
      </c>
      <c r="I510" s="2">
        <v>33.0</v>
      </c>
      <c r="J510" s="2">
        <v>0.0</v>
      </c>
      <c r="K510" s="2">
        <v>19.0</v>
      </c>
      <c r="L510" s="2">
        <v>0.0</v>
      </c>
      <c r="M510" s="2">
        <v>133.0</v>
      </c>
      <c r="N510" s="2"/>
      <c r="O510" s="2"/>
      <c r="P510" s="2" t="s">
        <v>166</v>
      </c>
    </row>
    <row r="511">
      <c r="A511" s="3" t="s">
        <v>35</v>
      </c>
      <c r="B511" s="2" t="s">
        <v>17</v>
      </c>
      <c r="C511" s="2" t="s">
        <v>18</v>
      </c>
      <c r="D511" s="2" t="s">
        <v>23</v>
      </c>
      <c r="E511" s="2" t="s">
        <v>165</v>
      </c>
      <c r="F511" s="2">
        <v>210.0</v>
      </c>
      <c r="G511" s="2">
        <v>129.0</v>
      </c>
      <c r="H511" s="2">
        <v>77.0</v>
      </c>
      <c r="I511" s="2">
        <v>33.0</v>
      </c>
      <c r="J511" s="2">
        <v>0.0</v>
      </c>
      <c r="K511" s="2">
        <v>19.0</v>
      </c>
      <c r="L511" s="2">
        <v>0.0</v>
      </c>
      <c r="M511" s="2">
        <v>133.0</v>
      </c>
      <c r="N511" s="2">
        <v>0.0</v>
      </c>
      <c r="O511" s="2">
        <v>56.0</v>
      </c>
      <c r="P511" s="2" t="s">
        <v>166</v>
      </c>
    </row>
    <row r="512">
      <c r="A512" s="3" t="s">
        <v>36</v>
      </c>
      <c r="B512" s="4">
        <v>45232.25</v>
      </c>
      <c r="C512" s="2" t="s">
        <v>18</v>
      </c>
      <c r="D512" s="2" t="s">
        <v>79</v>
      </c>
      <c r="E512" s="2" t="s">
        <v>165</v>
      </c>
      <c r="F512" s="2"/>
      <c r="G512" s="2">
        <v>20.0</v>
      </c>
      <c r="H512" s="2">
        <v>15.0</v>
      </c>
      <c r="I512" s="2">
        <v>5.0</v>
      </c>
      <c r="J512" s="2">
        <v>0.0</v>
      </c>
      <c r="K512" s="2">
        <v>0.0</v>
      </c>
      <c r="L512" s="2">
        <v>0.0</v>
      </c>
      <c r="M512" s="2"/>
      <c r="N512" s="2"/>
      <c r="O512" s="2"/>
      <c r="P512" s="2" t="s">
        <v>166</v>
      </c>
    </row>
    <row r="513">
      <c r="A513" s="3" t="s">
        <v>37</v>
      </c>
      <c r="B513" s="4">
        <v>45261.29166666667</v>
      </c>
      <c r="C513" s="2" t="s">
        <v>18</v>
      </c>
      <c r="D513" s="2" t="s">
        <v>79</v>
      </c>
      <c r="E513" s="2" t="s">
        <v>165</v>
      </c>
      <c r="F513" s="2"/>
      <c r="G513" s="2">
        <v>40.0</v>
      </c>
      <c r="H513" s="2">
        <v>30.0</v>
      </c>
      <c r="I513" s="2">
        <v>10.0</v>
      </c>
      <c r="J513" s="2">
        <v>0.0</v>
      </c>
      <c r="K513" s="2">
        <v>0.0</v>
      </c>
      <c r="L513" s="2">
        <v>0.0</v>
      </c>
      <c r="M513" s="2"/>
      <c r="N513" s="2"/>
      <c r="O513" s="2"/>
      <c r="P513" s="2" t="s">
        <v>166</v>
      </c>
    </row>
    <row r="514">
      <c r="A514" s="3" t="s">
        <v>38</v>
      </c>
      <c r="B514" s="4">
        <v>45292.29166666667</v>
      </c>
      <c r="C514" s="2" t="s">
        <v>18</v>
      </c>
      <c r="D514" s="2" t="s">
        <v>79</v>
      </c>
      <c r="E514" s="2" t="s">
        <v>165</v>
      </c>
      <c r="F514" s="2"/>
      <c r="G514" s="2">
        <v>15.0</v>
      </c>
      <c r="H514" s="2">
        <v>11.0</v>
      </c>
      <c r="I514" s="2">
        <v>4.0</v>
      </c>
      <c r="J514" s="2">
        <v>0.0</v>
      </c>
      <c r="K514" s="2">
        <v>0.0</v>
      </c>
      <c r="L514" s="2">
        <v>0.0</v>
      </c>
      <c r="M514" s="2"/>
      <c r="N514" s="2"/>
      <c r="O514" s="2"/>
      <c r="P514" s="2" t="s">
        <v>166</v>
      </c>
    </row>
    <row r="515">
      <c r="A515" s="3" t="s">
        <v>39</v>
      </c>
      <c r="B515" s="4">
        <v>45323.29166666667</v>
      </c>
      <c r="C515" s="2" t="s">
        <v>18</v>
      </c>
      <c r="D515" s="2" t="s">
        <v>79</v>
      </c>
      <c r="E515" s="2" t="s">
        <v>165</v>
      </c>
      <c r="F515" s="2"/>
      <c r="G515" s="2">
        <v>35.0</v>
      </c>
      <c r="H515" s="2">
        <v>21.0</v>
      </c>
      <c r="I515" s="2">
        <v>14.0</v>
      </c>
      <c r="J515" s="2">
        <v>0.0</v>
      </c>
      <c r="K515" s="2">
        <v>0.0</v>
      </c>
      <c r="L515" s="2">
        <v>0.0</v>
      </c>
      <c r="M515" s="2"/>
      <c r="N515" s="2"/>
      <c r="O515" s="2"/>
      <c r="P515" s="2" t="s">
        <v>166</v>
      </c>
    </row>
    <row r="516">
      <c r="A516" s="3" t="s">
        <v>40</v>
      </c>
      <c r="B516" s="4">
        <v>45353.29166666667</v>
      </c>
      <c r="C516" s="2" t="s">
        <v>18</v>
      </c>
      <c r="D516" s="2" t="s">
        <v>79</v>
      </c>
      <c r="E516" s="2" t="s">
        <v>165</v>
      </c>
      <c r="F516" s="2"/>
      <c r="G516" s="2">
        <v>19.0</v>
      </c>
      <c r="H516" s="2">
        <v>0.0</v>
      </c>
      <c r="I516" s="2">
        <v>0.0</v>
      </c>
      <c r="J516" s="2">
        <v>0.0</v>
      </c>
      <c r="K516" s="2">
        <v>19.0</v>
      </c>
      <c r="L516" s="2">
        <v>0.0</v>
      </c>
      <c r="M516" s="2"/>
      <c r="N516" s="2"/>
      <c r="O516" s="2"/>
      <c r="P516" s="2" t="s">
        <v>166</v>
      </c>
    </row>
    <row r="517">
      <c r="A517" s="3" t="s">
        <v>41</v>
      </c>
      <c r="B517" s="4">
        <v>45384.29166666667</v>
      </c>
      <c r="C517" s="2" t="s">
        <v>18</v>
      </c>
      <c r="D517" s="2" t="s">
        <v>79</v>
      </c>
      <c r="E517" s="2" t="s">
        <v>165</v>
      </c>
      <c r="F517" s="2"/>
      <c r="G517" s="2">
        <v>0.0</v>
      </c>
      <c r="H517" s="2">
        <v>0.0</v>
      </c>
      <c r="I517" s="2">
        <v>0.0</v>
      </c>
      <c r="J517" s="2">
        <v>0.0</v>
      </c>
      <c r="K517" s="2">
        <v>0.0</v>
      </c>
      <c r="L517" s="2">
        <v>0.0</v>
      </c>
      <c r="M517" s="2"/>
      <c r="N517" s="2"/>
      <c r="O517" s="2"/>
      <c r="P517" s="2" t="s">
        <v>166</v>
      </c>
    </row>
    <row r="518">
      <c r="A518" s="3" t="s">
        <v>42</v>
      </c>
      <c r="B518" s="2" t="s">
        <v>17</v>
      </c>
      <c r="C518" s="2" t="s">
        <v>18</v>
      </c>
      <c r="D518" s="2" t="s">
        <v>79</v>
      </c>
      <c r="E518" s="2" t="s">
        <v>165</v>
      </c>
      <c r="F518" s="2">
        <v>150.0</v>
      </c>
      <c r="G518" s="2">
        <v>39.0</v>
      </c>
      <c r="H518" s="2">
        <v>13.0</v>
      </c>
      <c r="I518" s="2">
        <v>26.0</v>
      </c>
      <c r="J518" s="2">
        <v>0.0</v>
      </c>
      <c r="K518" s="2">
        <v>0.0</v>
      </c>
      <c r="L518" s="2">
        <v>0.0</v>
      </c>
      <c r="M518" s="2">
        <v>137.0</v>
      </c>
      <c r="N518" s="2"/>
      <c r="O518" s="2"/>
      <c r="P518" s="2" t="s">
        <v>166</v>
      </c>
    </row>
    <row r="519">
      <c r="A519" s="3" t="s">
        <v>43</v>
      </c>
      <c r="B519" s="2" t="s">
        <v>17</v>
      </c>
      <c r="C519" s="2" t="s">
        <v>18</v>
      </c>
      <c r="D519" s="2" t="s">
        <v>23</v>
      </c>
      <c r="E519" s="2" t="s">
        <v>165</v>
      </c>
      <c r="F519" s="2">
        <v>150.0</v>
      </c>
      <c r="G519" s="2">
        <v>39.0</v>
      </c>
      <c r="H519" s="2">
        <v>13.0</v>
      </c>
      <c r="I519" s="2">
        <v>26.0</v>
      </c>
      <c r="J519" s="2">
        <v>0.0</v>
      </c>
      <c r="K519" s="2">
        <v>0.0</v>
      </c>
      <c r="L519" s="2">
        <v>0.0</v>
      </c>
      <c r="M519" s="2">
        <v>137.0</v>
      </c>
      <c r="N519" s="2">
        <v>0.0</v>
      </c>
      <c r="O519" s="2">
        <v>124.0</v>
      </c>
      <c r="P519" s="2" t="s">
        <v>166</v>
      </c>
    </row>
    <row r="520">
      <c r="A520" s="3" t="s">
        <v>44</v>
      </c>
      <c r="B520" s="4">
        <v>45262.29166666667</v>
      </c>
      <c r="C520" s="2" t="s">
        <v>18</v>
      </c>
      <c r="D520" s="2" t="s">
        <v>79</v>
      </c>
      <c r="E520" s="2" t="s">
        <v>165</v>
      </c>
      <c r="F520" s="2"/>
      <c r="G520" s="2">
        <v>39.0</v>
      </c>
      <c r="H520" s="2">
        <v>13.0</v>
      </c>
      <c r="I520" s="2">
        <v>26.0</v>
      </c>
      <c r="J520" s="2">
        <v>0.0</v>
      </c>
      <c r="K520" s="2">
        <v>0.0</v>
      </c>
      <c r="L520" s="2">
        <v>0.0</v>
      </c>
      <c r="M520" s="2"/>
      <c r="N520" s="2"/>
      <c r="O520" s="2"/>
      <c r="P520" s="2" t="s">
        <v>166</v>
      </c>
    </row>
    <row r="521">
      <c r="A521" s="3" t="s">
        <v>45</v>
      </c>
      <c r="B521" s="4">
        <v>45293.29166666667</v>
      </c>
      <c r="C521" s="2" t="s">
        <v>18</v>
      </c>
      <c r="D521" s="2" t="s">
        <v>79</v>
      </c>
      <c r="E521" s="2" t="s">
        <v>165</v>
      </c>
      <c r="F521" s="2"/>
      <c r="G521" s="2">
        <v>0.0</v>
      </c>
      <c r="H521" s="2">
        <v>0.0</v>
      </c>
      <c r="I521" s="2">
        <v>0.0</v>
      </c>
      <c r="J521" s="2">
        <v>0.0</v>
      </c>
      <c r="K521" s="2">
        <v>0.0</v>
      </c>
      <c r="L521" s="2">
        <v>0.0</v>
      </c>
      <c r="M521" s="2"/>
      <c r="N521" s="2"/>
      <c r="O521" s="2"/>
      <c r="P521" s="2" t="s">
        <v>166</v>
      </c>
    </row>
    <row r="522">
      <c r="A522" s="3" t="s">
        <v>16</v>
      </c>
      <c r="B522" s="4">
        <v>45323.29166666667</v>
      </c>
      <c r="C522" s="2" t="s">
        <v>18</v>
      </c>
      <c r="D522" s="2" t="s">
        <v>79</v>
      </c>
      <c r="E522" s="2" t="s">
        <v>165</v>
      </c>
      <c r="F522" s="2"/>
      <c r="G522" s="2">
        <v>0.0</v>
      </c>
      <c r="H522" s="2">
        <v>0.0</v>
      </c>
      <c r="I522" s="2">
        <v>0.0</v>
      </c>
      <c r="J522" s="2">
        <v>0.0</v>
      </c>
      <c r="K522" s="2">
        <v>0.0</v>
      </c>
      <c r="L522" s="2">
        <v>0.0</v>
      </c>
      <c r="M522" s="2"/>
      <c r="N522" s="2"/>
      <c r="O522" s="2"/>
      <c r="P522" s="2" t="s">
        <v>166</v>
      </c>
    </row>
    <row r="523">
      <c r="A523" s="3" t="s">
        <v>47</v>
      </c>
      <c r="B523" s="4">
        <v>45352.29166666667</v>
      </c>
      <c r="C523" s="2" t="s">
        <v>18</v>
      </c>
      <c r="D523" s="2" t="s">
        <v>79</v>
      </c>
      <c r="E523" s="2" t="s">
        <v>165</v>
      </c>
      <c r="F523" s="2"/>
      <c r="G523" s="2">
        <v>0.0</v>
      </c>
      <c r="H523" s="2">
        <v>0.0</v>
      </c>
      <c r="I523" s="2">
        <v>0.0</v>
      </c>
      <c r="J523" s="2">
        <v>0.0</v>
      </c>
      <c r="K523" s="2">
        <v>0.0</v>
      </c>
      <c r="L523" s="2">
        <v>0.0</v>
      </c>
      <c r="M523" s="2"/>
      <c r="N523" s="2"/>
      <c r="O523" s="2"/>
      <c r="P523" s="2" t="s">
        <v>166</v>
      </c>
    </row>
    <row r="524">
      <c r="A524" s="3" t="s">
        <v>48</v>
      </c>
      <c r="B524" s="2" t="s">
        <v>17</v>
      </c>
      <c r="C524" s="2" t="s">
        <v>18</v>
      </c>
      <c r="D524" s="2" t="s">
        <v>164</v>
      </c>
      <c r="E524" s="2" t="s">
        <v>165</v>
      </c>
      <c r="F524" s="2">
        <v>150.0</v>
      </c>
      <c r="G524" s="2">
        <v>63.0</v>
      </c>
      <c r="H524" s="2">
        <v>21.0</v>
      </c>
      <c r="I524" s="2">
        <v>42.0</v>
      </c>
      <c r="J524" s="2">
        <v>0.0</v>
      </c>
      <c r="K524" s="2">
        <v>0.0</v>
      </c>
      <c r="L524" s="2">
        <v>0.0</v>
      </c>
      <c r="M524" s="2">
        <v>129.0</v>
      </c>
      <c r="N524" s="2"/>
      <c r="O524" s="2"/>
      <c r="P524" s="2" t="s">
        <v>166</v>
      </c>
    </row>
    <row r="525">
      <c r="A525" s="3" t="s">
        <v>49</v>
      </c>
      <c r="B525" s="2" t="s">
        <v>17</v>
      </c>
      <c r="C525" s="2" t="s">
        <v>18</v>
      </c>
      <c r="D525" s="2" t="s">
        <v>23</v>
      </c>
      <c r="E525" s="2" t="s">
        <v>165</v>
      </c>
      <c r="F525" s="2">
        <v>150.0</v>
      </c>
      <c r="G525" s="2">
        <v>63.0</v>
      </c>
      <c r="H525" s="2">
        <v>21.0</v>
      </c>
      <c r="I525" s="2">
        <v>42.0</v>
      </c>
      <c r="J525" s="2">
        <v>0.0</v>
      </c>
      <c r="K525" s="2">
        <v>0.0</v>
      </c>
      <c r="L525" s="2">
        <v>0.0</v>
      </c>
      <c r="M525" s="2">
        <v>129.0</v>
      </c>
      <c r="N525" s="2">
        <v>0.0</v>
      </c>
      <c r="O525" s="2">
        <v>108.0</v>
      </c>
      <c r="P525" s="2" t="s">
        <v>166</v>
      </c>
    </row>
    <row r="526">
      <c r="A526" s="3" t="s">
        <v>51</v>
      </c>
      <c r="B526" s="4">
        <v>45262.29166666667</v>
      </c>
      <c r="C526" s="2" t="s">
        <v>18</v>
      </c>
      <c r="D526" s="2" t="s">
        <v>164</v>
      </c>
      <c r="E526" s="2" t="s">
        <v>165</v>
      </c>
      <c r="F526" s="2"/>
      <c r="G526" s="2">
        <v>63.0</v>
      </c>
      <c r="H526" s="2">
        <v>21.0</v>
      </c>
      <c r="I526" s="2">
        <v>42.0</v>
      </c>
      <c r="J526" s="2">
        <v>0.0</v>
      </c>
      <c r="K526" s="2">
        <v>0.0</v>
      </c>
      <c r="L526" s="2">
        <v>0.0</v>
      </c>
      <c r="M526" s="2"/>
      <c r="N526" s="2"/>
      <c r="O526" s="2"/>
      <c r="P526" s="2" t="s">
        <v>166</v>
      </c>
    </row>
    <row r="527">
      <c r="A527" s="3" t="s">
        <v>52</v>
      </c>
      <c r="B527" s="4">
        <v>45293.29166666667</v>
      </c>
      <c r="C527" s="2" t="s">
        <v>18</v>
      </c>
      <c r="D527" s="2" t="s">
        <v>164</v>
      </c>
      <c r="E527" s="2" t="s">
        <v>165</v>
      </c>
      <c r="F527" s="2"/>
      <c r="G527" s="2">
        <v>0.0</v>
      </c>
      <c r="H527" s="2">
        <v>0.0</v>
      </c>
      <c r="I527" s="2">
        <v>0.0</v>
      </c>
      <c r="J527" s="2">
        <v>0.0</v>
      </c>
      <c r="K527" s="2">
        <v>0.0</v>
      </c>
      <c r="L527" s="2">
        <v>0.0</v>
      </c>
      <c r="M527" s="2"/>
      <c r="N527" s="2"/>
      <c r="O527" s="2"/>
      <c r="P527" s="2" t="s">
        <v>166</v>
      </c>
    </row>
    <row r="528">
      <c r="A528" s="3" t="s">
        <v>53</v>
      </c>
      <c r="B528" s="4">
        <v>45324.29166666667</v>
      </c>
      <c r="C528" s="2" t="s">
        <v>18</v>
      </c>
      <c r="D528" s="2" t="s">
        <v>164</v>
      </c>
      <c r="E528" s="2" t="s">
        <v>165</v>
      </c>
      <c r="F528" s="2"/>
      <c r="G528" s="2">
        <v>0.0</v>
      </c>
      <c r="H528" s="2">
        <v>0.0</v>
      </c>
      <c r="I528" s="2">
        <v>0.0</v>
      </c>
      <c r="J528" s="2">
        <v>0.0</v>
      </c>
      <c r="K528" s="2">
        <v>0.0</v>
      </c>
      <c r="L528" s="2">
        <v>0.0</v>
      </c>
      <c r="M528" s="2"/>
      <c r="N528" s="2"/>
      <c r="O528" s="2"/>
      <c r="P528" s="2" t="s">
        <v>166</v>
      </c>
    </row>
    <row r="529">
      <c r="A529" s="3" t="s">
        <v>54</v>
      </c>
      <c r="B529" s="4">
        <v>45353.29166666667</v>
      </c>
      <c r="C529" s="2" t="s">
        <v>18</v>
      </c>
      <c r="D529" s="2" t="s">
        <v>164</v>
      </c>
      <c r="E529" s="2" t="s">
        <v>165</v>
      </c>
      <c r="F529" s="2"/>
      <c r="G529" s="2">
        <v>0.0</v>
      </c>
      <c r="H529" s="2">
        <v>0.0</v>
      </c>
      <c r="I529" s="2">
        <v>0.0</v>
      </c>
      <c r="J529" s="2">
        <v>0.0</v>
      </c>
      <c r="K529" s="2">
        <v>0.0</v>
      </c>
      <c r="L529" s="2">
        <v>0.0</v>
      </c>
      <c r="M529" s="2"/>
      <c r="N529" s="2"/>
      <c r="O529" s="2"/>
      <c r="P529" s="2" t="s">
        <v>166</v>
      </c>
    </row>
    <row r="530">
      <c r="A530" s="3" t="s">
        <v>55</v>
      </c>
      <c r="B530" s="2" t="s">
        <v>17</v>
      </c>
      <c r="C530" s="2" t="s">
        <v>18</v>
      </c>
      <c r="D530" s="2" t="s">
        <v>79</v>
      </c>
      <c r="E530" s="2" t="s">
        <v>27</v>
      </c>
      <c r="F530" s="2">
        <v>68.0</v>
      </c>
      <c r="G530" s="2">
        <v>0.0</v>
      </c>
      <c r="H530" s="2">
        <v>0.0</v>
      </c>
      <c r="I530" s="2">
        <v>0.0</v>
      </c>
      <c r="J530" s="2">
        <v>0.0</v>
      </c>
      <c r="K530" s="2">
        <v>0.0</v>
      </c>
      <c r="L530" s="2">
        <v>0.0</v>
      </c>
      <c r="M530" s="2">
        <v>68.0</v>
      </c>
      <c r="N530" s="2"/>
      <c r="O530" s="2"/>
      <c r="P530" s="2" t="s">
        <v>92</v>
      </c>
    </row>
    <row r="531">
      <c r="A531" s="3" t="s">
        <v>56</v>
      </c>
      <c r="B531" s="2" t="s">
        <v>17</v>
      </c>
      <c r="C531" s="2" t="s">
        <v>113</v>
      </c>
      <c r="D531" s="2" t="s">
        <v>33</v>
      </c>
      <c r="E531" s="2" t="s">
        <v>27</v>
      </c>
      <c r="F531" s="2">
        <v>15.0</v>
      </c>
      <c r="G531" s="2">
        <v>0.0</v>
      </c>
      <c r="H531" s="2">
        <v>0.0</v>
      </c>
      <c r="I531" s="2">
        <v>0.0</v>
      </c>
      <c r="J531" s="2">
        <v>0.0</v>
      </c>
      <c r="K531" s="2">
        <v>0.0</v>
      </c>
      <c r="L531" s="2">
        <v>0.0</v>
      </c>
      <c r="M531" s="2">
        <v>15.0</v>
      </c>
      <c r="N531" s="2"/>
      <c r="O531" s="2"/>
      <c r="P531" s="2" t="s">
        <v>92</v>
      </c>
    </row>
    <row r="532">
      <c r="A532" s="3" t="s">
        <v>59</v>
      </c>
      <c r="B532" s="2" t="s">
        <v>17</v>
      </c>
      <c r="C532" s="2" t="s">
        <v>18</v>
      </c>
      <c r="D532" s="2" t="s">
        <v>109</v>
      </c>
      <c r="E532" s="2" t="s">
        <v>27</v>
      </c>
      <c r="F532" s="2">
        <v>50.0</v>
      </c>
      <c r="G532" s="2">
        <v>4.0</v>
      </c>
      <c r="H532" s="2">
        <v>0.0</v>
      </c>
      <c r="I532" s="2">
        <v>3.0</v>
      </c>
      <c r="J532" s="2">
        <v>0.0</v>
      </c>
      <c r="K532" s="2">
        <v>1.0</v>
      </c>
      <c r="L532" s="2">
        <v>0.0</v>
      </c>
      <c r="M532" s="2">
        <v>50.0</v>
      </c>
      <c r="N532" s="2"/>
      <c r="O532" s="2"/>
      <c r="P532" s="2" t="s">
        <v>92</v>
      </c>
    </row>
    <row r="533">
      <c r="A533" s="3" t="s">
        <v>60</v>
      </c>
      <c r="B533" s="2" t="s">
        <v>17</v>
      </c>
      <c r="C533" s="2" t="s">
        <v>18</v>
      </c>
      <c r="D533" s="2" t="s">
        <v>19</v>
      </c>
      <c r="E533" s="2" t="s">
        <v>27</v>
      </c>
      <c r="F533" s="2">
        <v>300.0</v>
      </c>
      <c r="G533" s="2">
        <v>1.0</v>
      </c>
      <c r="H533" s="2">
        <v>0.0</v>
      </c>
      <c r="I533" s="2">
        <v>1.0</v>
      </c>
      <c r="J533" s="2">
        <v>0.0</v>
      </c>
      <c r="K533" s="2">
        <v>0.0</v>
      </c>
      <c r="L533" s="2">
        <v>0.0</v>
      </c>
      <c r="M533" s="2">
        <v>300.0</v>
      </c>
      <c r="N533" s="2"/>
      <c r="O533" s="2"/>
      <c r="P533" s="2" t="s">
        <v>92</v>
      </c>
    </row>
    <row r="534">
      <c r="A534" s="3" t="s">
        <v>61</v>
      </c>
      <c r="B534" s="2" t="s">
        <v>17</v>
      </c>
      <c r="C534" s="2" t="s">
        <v>18</v>
      </c>
      <c r="D534" s="2" t="s">
        <v>23</v>
      </c>
      <c r="E534" s="2" t="s">
        <v>27</v>
      </c>
      <c r="F534" s="2">
        <v>463.0</v>
      </c>
      <c r="G534" s="2">
        <v>5.0</v>
      </c>
      <c r="H534" s="2">
        <v>0.0</v>
      </c>
      <c r="I534" s="2">
        <v>4.0</v>
      </c>
      <c r="J534" s="2">
        <v>0.0</v>
      </c>
      <c r="K534" s="2">
        <v>1.0</v>
      </c>
      <c r="L534" s="2">
        <v>0.0</v>
      </c>
      <c r="M534" s="2">
        <v>463.0</v>
      </c>
      <c r="N534" s="2">
        <v>30.0</v>
      </c>
      <c r="O534" s="2">
        <v>463.0</v>
      </c>
      <c r="P534" s="2" t="s">
        <v>92</v>
      </c>
    </row>
    <row r="535">
      <c r="A535" s="3" t="s">
        <v>62</v>
      </c>
      <c r="B535" s="4">
        <v>45232.25</v>
      </c>
      <c r="C535" s="2" t="s">
        <v>18</v>
      </c>
      <c r="D535" s="2" t="s">
        <v>19</v>
      </c>
      <c r="E535" s="2" t="s">
        <v>27</v>
      </c>
      <c r="F535" s="8"/>
      <c r="G535" s="8">
        <v>1.0</v>
      </c>
      <c r="H535" s="8">
        <v>0.0</v>
      </c>
      <c r="I535" s="8">
        <v>1.0</v>
      </c>
      <c r="J535" s="8">
        <v>0.0</v>
      </c>
      <c r="K535" s="8">
        <v>0.0</v>
      </c>
      <c r="L535" s="8">
        <v>0.0</v>
      </c>
      <c r="M535" s="8"/>
      <c r="N535" s="8"/>
      <c r="O535" s="8"/>
      <c r="P535" s="2" t="s">
        <v>92</v>
      </c>
    </row>
    <row r="536">
      <c r="A536" s="3" t="s">
        <v>63</v>
      </c>
      <c r="B536" s="4">
        <v>45293.29166666667</v>
      </c>
      <c r="C536" s="2" t="s">
        <v>18</v>
      </c>
      <c r="D536" s="2" t="s">
        <v>79</v>
      </c>
      <c r="E536" s="2" t="s">
        <v>27</v>
      </c>
      <c r="F536" s="2"/>
      <c r="G536" s="2">
        <v>0.0</v>
      </c>
      <c r="H536" s="2">
        <v>0.0</v>
      </c>
      <c r="I536" s="2">
        <v>0.0</v>
      </c>
      <c r="J536" s="2">
        <v>0.0</v>
      </c>
      <c r="K536" s="2">
        <v>0.0</v>
      </c>
      <c r="L536" s="2">
        <v>0.0</v>
      </c>
      <c r="M536" s="2"/>
      <c r="N536" s="2"/>
      <c r="O536" s="2"/>
      <c r="P536" s="2" t="s">
        <v>92</v>
      </c>
    </row>
    <row r="537">
      <c r="A537" s="3" t="s">
        <v>64</v>
      </c>
      <c r="B537" s="4">
        <v>45293.29166666667</v>
      </c>
      <c r="C537" s="2" t="s">
        <v>18</v>
      </c>
      <c r="D537" s="2" t="s">
        <v>33</v>
      </c>
      <c r="E537" s="2" t="s">
        <v>27</v>
      </c>
      <c r="F537" s="2"/>
      <c r="G537" s="2">
        <v>0.0</v>
      </c>
      <c r="H537" s="2">
        <v>0.0</v>
      </c>
      <c r="I537" s="2">
        <v>0.0</v>
      </c>
      <c r="J537" s="2">
        <v>0.0</v>
      </c>
      <c r="K537" s="2">
        <v>0.0</v>
      </c>
      <c r="L537" s="2">
        <v>0.0</v>
      </c>
      <c r="M537" s="2"/>
      <c r="N537" s="2"/>
      <c r="O537" s="2"/>
      <c r="P537" s="2" t="s">
        <v>92</v>
      </c>
    </row>
    <row r="538">
      <c r="A538" s="3" t="s">
        <v>65</v>
      </c>
      <c r="B538" s="4">
        <v>45293.29166666667</v>
      </c>
      <c r="C538" s="2" t="s">
        <v>18</v>
      </c>
      <c r="D538" s="2" t="s">
        <v>109</v>
      </c>
      <c r="E538" s="2" t="s">
        <v>27</v>
      </c>
      <c r="F538" s="2"/>
      <c r="G538" s="2">
        <v>4.0</v>
      </c>
      <c r="H538" s="2">
        <v>0.0</v>
      </c>
      <c r="I538" s="2">
        <v>3.0</v>
      </c>
      <c r="J538" s="2">
        <v>0.0</v>
      </c>
      <c r="K538" s="2">
        <v>1.0</v>
      </c>
      <c r="L538" s="2">
        <v>0.0</v>
      </c>
      <c r="M538" s="2"/>
      <c r="N538" s="2"/>
      <c r="O538" s="2"/>
      <c r="P538" s="2" t="s">
        <v>92</v>
      </c>
    </row>
    <row r="539">
      <c r="A539" s="3" t="s">
        <v>66</v>
      </c>
      <c r="B539" s="4">
        <v>45293.29166666667</v>
      </c>
      <c r="C539" s="2" t="s">
        <v>18</v>
      </c>
      <c r="D539" s="2" t="s">
        <v>19</v>
      </c>
      <c r="E539" s="2" t="s">
        <v>27</v>
      </c>
      <c r="F539" s="2"/>
      <c r="G539" s="2">
        <v>0.0</v>
      </c>
      <c r="H539" s="2">
        <v>0.0</v>
      </c>
      <c r="I539" s="2">
        <v>0.0</v>
      </c>
      <c r="J539" s="2">
        <v>0.0</v>
      </c>
      <c r="K539" s="2">
        <v>0.0</v>
      </c>
      <c r="L539" s="2">
        <v>0.0</v>
      </c>
      <c r="M539" s="2"/>
      <c r="N539" s="2"/>
      <c r="O539" s="2"/>
      <c r="P539" s="2" t="s">
        <v>92</v>
      </c>
    </row>
    <row r="540">
      <c r="A540" s="3" t="s">
        <v>68</v>
      </c>
      <c r="B540" s="4">
        <v>45324.29166666667</v>
      </c>
      <c r="C540" s="2" t="s">
        <v>18</v>
      </c>
      <c r="D540" s="2" t="s">
        <v>19</v>
      </c>
      <c r="E540" s="2" t="s">
        <v>27</v>
      </c>
      <c r="F540" s="2"/>
      <c r="G540" s="2">
        <v>0.0</v>
      </c>
      <c r="H540" s="2">
        <v>0.0</v>
      </c>
      <c r="I540" s="2">
        <v>0.0</v>
      </c>
      <c r="J540" s="2">
        <v>0.0</v>
      </c>
      <c r="K540" s="2">
        <v>0.0</v>
      </c>
      <c r="L540" s="2">
        <v>0.0</v>
      </c>
      <c r="M540" s="2"/>
      <c r="N540" s="2"/>
      <c r="O540" s="2"/>
      <c r="P540" s="2" t="s">
        <v>92</v>
      </c>
    </row>
    <row r="541">
      <c r="A541" s="3" t="s">
        <v>70</v>
      </c>
      <c r="B541" s="4">
        <v>45353.29166666667</v>
      </c>
      <c r="C541" s="2" t="s">
        <v>18</v>
      </c>
      <c r="D541" s="2" t="s">
        <v>19</v>
      </c>
      <c r="E541" s="2" t="s">
        <v>27</v>
      </c>
      <c r="F541" s="2"/>
      <c r="G541" s="2">
        <v>0.0</v>
      </c>
      <c r="H541" s="2">
        <v>0.0</v>
      </c>
      <c r="I541" s="2">
        <v>0.0</v>
      </c>
      <c r="J541" s="2">
        <v>0.0</v>
      </c>
      <c r="K541" s="2">
        <v>0.0</v>
      </c>
      <c r="L541" s="2">
        <v>0.0</v>
      </c>
      <c r="M541" s="2"/>
      <c r="N541" s="2"/>
      <c r="O541" s="2"/>
      <c r="P541" s="2" t="s">
        <v>92</v>
      </c>
    </row>
    <row r="542">
      <c r="A542" s="3" t="s">
        <v>16</v>
      </c>
      <c r="B542" s="2" t="s">
        <v>17</v>
      </c>
      <c r="C542" s="2" t="s">
        <v>18</v>
      </c>
      <c r="D542" s="2" t="s">
        <v>79</v>
      </c>
      <c r="E542" s="2" t="s">
        <v>27</v>
      </c>
      <c r="F542" s="2">
        <v>70.0</v>
      </c>
      <c r="G542" s="2">
        <v>0.0</v>
      </c>
      <c r="H542" s="2">
        <v>0.0</v>
      </c>
      <c r="I542" s="2">
        <v>0.0</v>
      </c>
      <c r="J542" s="2">
        <v>0.0</v>
      </c>
      <c r="K542" s="2">
        <v>0.0</v>
      </c>
      <c r="L542" s="2">
        <v>0.0</v>
      </c>
      <c r="M542" s="2">
        <v>70.0</v>
      </c>
      <c r="N542" s="2"/>
      <c r="O542" s="2"/>
      <c r="P542" s="2" t="s">
        <v>92</v>
      </c>
    </row>
    <row r="543">
      <c r="A543" s="3" t="s">
        <v>71</v>
      </c>
      <c r="B543" s="2" t="s">
        <v>17</v>
      </c>
      <c r="C543" s="2" t="s">
        <v>113</v>
      </c>
      <c r="D543" s="2" t="s">
        <v>33</v>
      </c>
      <c r="E543" s="2" t="s">
        <v>27</v>
      </c>
      <c r="F543" s="2">
        <v>15.0</v>
      </c>
      <c r="G543" s="2">
        <v>0.0</v>
      </c>
      <c r="H543" s="2">
        <v>0.0</v>
      </c>
      <c r="I543" s="2">
        <v>0.0</v>
      </c>
      <c r="J543" s="2">
        <v>0.0</v>
      </c>
      <c r="K543" s="2">
        <v>0.0</v>
      </c>
      <c r="L543" s="2">
        <v>0.0</v>
      </c>
      <c r="M543" s="2">
        <v>15.0</v>
      </c>
      <c r="N543" s="2"/>
      <c r="O543" s="2"/>
      <c r="P543" s="2" t="s">
        <v>92</v>
      </c>
    </row>
    <row r="544">
      <c r="A544" s="3" t="s">
        <v>72</v>
      </c>
      <c r="B544" s="2" t="s">
        <v>17</v>
      </c>
      <c r="C544" s="2" t="s">
        <v>18</v>
      </c>
      <c r="D544" s="2" t="s">
        <v>109</v>
      </c>
      <c r="E544" s="2" t="s">
        <v>27</v>
      </c>
      <c r="F544" s="2">
        <v>40.0</v>
      </c>
      <c r="G544" s="2">
        <v>4.0</v>
      </c>
      <c r="H544" s="2">
        <v>0.0</v>
      </c>
      <c r="I544" s="2">
        <v>2.0</v>
      </c>
      <c r="J544" s="2">
        <v>0.0</v>
      </c>
      <c r="K544" s="2">
        <v>2.0</v>
      </c>
      <c r="L544" s="2">
        <v>0.0</v>
      </c>
      <c r="M544" s="2">
        <v>40.0</v>
      </c>
      <c r="N544" s="2"/>
      <c r="O544" s="2"/>
      <c r="P544" s="2" t="s">
        <v>92</v>
      </c>
    </row>
    <row r="545">
      <c r="A545" s="3" t="s">
        <v>73</v>
      </c>
      <c r="B545" s="2" t="s">
        <v>17</v>
      </c>
      <c r="C545" s="2" t="s">
        <v>18</v>
      </c>
      <c r="D545" s="2" t="s">
        <v>19</v>
      </c>
      <c r="E545" s="2" t="s">
        <v>27</v>
      </c>
      <c r="F545" s="2">
        <v>100.0</v>
      </c>
      <c r="G545" s="2">
        <v>0.0</v>
      </c>
      <c r="H545" s="2">
        <v>0.0</v>
      </c>
      <c r="I545" s="2">
        <v>0.0</v>
      </c>
      <c r="J545" s="2">
        <v>0.0</v>
      </c>
      <c r="K545" s="2">
        <v>0.0</v>
      </c>
      <c r="L545" s="2">
        <v>0.0</v>
      </c>
      <c r="M545" s="2">
        <v>100.0</v>
      </c>
      <c r="N545" s="2"/>
      <c r="O545" s="2"/>
      <c r="P545" s="2" t="s">
        <v>92</v>
      </c>
    </row>
    <row r="546">
      <c r="A546" s="3" t="s">
        <v>74</v>
      </c>
      <c r="B546" s="2" t="s">
        <v>17</v>
      </c>
      <c r="C546" s="2" t="s">
        <v>18</v>
      </c>
      <c r="D546" s="2" t="s">
        <v>23</v>
      </c>
      <c r="E546" s="2" t="s">
        <v>27</v>
      </c>
      <c r="F546" s="2">
        <v>280.0</v>
      </c>
      <c r="G546" s="2">
        <v>4.0</v>
      </c>
      <c r="H546" s="2">
        <v>0.0</v>
      </c>
      <c r="I546" s="2">
        <v>2.0</v>
      </c>
      <c r="J546" s="2">
        <v>0.0</v>
      </c>
      <c r="K546" s="2">
        <v>2.0</v>
      </c>
      <c r="L546" s="2">
        <v>0.0</v>
      </c>
      <c r="M546" s="2">
        <v>280.0</v>
      </c>
      <c r="N546" s="2">
        <v>55.0</v>
      </c>
      <c r="O546" s="2">
        <v>280.0</v>
      </c>
      <c r="P546" s="2" t="s">
        <v>92</v>
      </c>
    </row>
    <row r="547">
      <c r="A547" s="3" t="s">
        <v>75</v>
      </c>
      <c r="B547" s="4">
        <v>45294.29166666667</v>
      </c>
      <c r="C547" s="2" t="s">
        <v>18</v>
      </c>
      <c r="D547" s="2" t="s">
        <v>79</v>
      </c>
      <c r="E547" s="2" t="s">
        <v>27</v>
      </c>
      <c r="F547" s="2"/>
      <c r="G547" s="2">
        <v>0.0</v>
      </c>
      <c r="H547" s="2">
        <v>0.0</v>
      </c>
      <c r="I547" s="2">
        <v>0.0</v>
      </c>
      <c r="J547" s="2">
        <v>0.0</v>
      </c>
      <c r="K547" s="2">
        <v>0.0</v>
      </c>
      <c r="L547" s="2">
        <v>0.0</v>
      </c>
      <c r="M547" s="2"/>
      <c r="N547" s="2"/>
      <c r="O547" s="2"/>
      <c r="P547" s="2" t="s">
        <v>92</v>
      </c>
    </row>
    <row r="548">
      <c r="A548" s="3" t="s">
        <v>76</v>
      </c>
      <c r="B548" s="4">
        <v>45295.29166666667</v>
      </c>
      <c r="C548" s="2" t="s">
        <v>18</v>
      </c>
      <c r="D548" s="2" t="s">
        <v>33</v>
      </c>
      <c r="E548" s="2" t="s">
        <v>27</v>
      </c>
      <c r="F548" s="2"/>
      <c r="G548" s="2">
        <v>0.0</v>
      </c>
      <c r="H548" s="2">
        <v>0.0</v>
      </c>
      <c r="I548" s="2">
        <v>0.0</v>
      </c>
      <c r="J548" s="2">
        <v>0.0</v>
      </c>
      <c r="K548" s="2">
        <v>0.0</v>
      </c>
      <c r="L548" s="2">
        <v>0.0</v>
      </c>
      <c r="M548" s="2"/>
      <c r="N548" s="2"/>
      <c r="O548" s="2"/>
      <c r="P548" s="2" t="s">
        <v>92</v>
      </c>
    </row>
    <row r="549">
      <c r="A549" s="3" t="s">
        <v>77</v>
      </c>
      <c r="B549" s="4">
        <v>45296.29166666667</v>
      </c>
      <c r="C549" s="2" t="s">
        <v>18</v>
      </c>
      <c r="D549" s="2" t="s">
        <v>109</v>
      </c>
      <c r="E549" s="2" t="s">
        <v>27</v>
      </c>
      <c r="F549" s="2"/>
      <c r="G549" s="2">
        <v>4.0</v>
      </c>
      <c r="H549" s="2">
        <v>0.0</v>
      </c>
      <c r="I549" s="2">
        <v>2.0</v>
      </c>
      <c r="J549" s="2">
        <v>0.0</v>
      </c>
      <c r="K549" s="2">
        <v>2.0</v>
      </c>
      <c r="L549" s="2">
        <v>0.0</v>
      </c>
      <c r="M549" s="2"/>
      <c r="N549" s="2"/>
      <c r="O549" s="2"/>
      <c r="P549" s="2" t="s">
        <v>92</v>
      </c>
    </row>
    <row r="550">
      <c r="A550" s="3" t="s">
        <v>78</v>
      </c>
      <c r="B550" s="4">
        <v>45297.29166666667</v>
      </c>
      <c r="C550" s="2" t="s">
        <v>18</v>
      </c>
      <c r="D550" s="2" t="s">
        <v>19</v>
      </c>
      <c r="E550" s="2" t="s">
        <v>27</v>
      </c>
      <c r="F550" s="2"/>
      <c r="G550" s="2">
        <v>0.0</v>
      </c>
      <c r="H550" s="2">
        <v>0.0</v>
      </c>
      <c r="I550" s="2">
        <v>0.0</v>
      </c>
      <c r="J550" s="2">
        <v>0.0</v>
      </c>
      <c r="K550" s="2">
        <v>0.0</v>
      </c>
      <c r="L550" s="2">
        <v>0.0</v>
      </c>
      <c r="M550" s="2"/>
      <c r="N550" s="2"/>
      <c r="O550" s="2"/>
      <c r="P550" s="2" t="s">
        <v>92</v>
      </c>
    </row>
    <row r="551">
      <c r="A551" s="3" t="s">
        <v>81</v>
      </c>
      <c r="B551" s="4">
        <v>45324.29166666667</v>
      </c>
      <c r="C551" s="2" t="s">
        <v>18</v>
      </c>
      <c r="D551" s="2" t="s">
        <v>19</v>
      </c>
      <c r="E551" s="2" t="s">
        <v>27</v>
      </c>
      <c r="F551" s="2"/>
      <c r="G551" s="2">
        <v>0.0</v>
      </c>
      <c r="H551" s="2">
        <v>0.0</v>
      </c>
      <c r="I551" s="2">
        <v>0.0</v>
      </c>
      <c r="J551" s="2">
        <v>0.0</v>
      </c>
      <c r="K551" s="2">
        <v>0.0</v>
      </c>
      <c r="L551" s="2">
        <v>0.0</v>
      </c>
      <c r="M551" s="2"/>
      <c r="N551" s="2"/>
      <c r="O551" s="2"/>
      <c r="P551" s="2" t="s">
        <v>92</v>
      </c>
    </row>
    <row r="552">
      <c r="A552" s="3" t="s">
        <v>82</v>
      </c>
      <c r="B552" s="4">
        <v>45353.29166666667</v>
      </c>
      <c r="C552" s="2" t="s">
        <v>18</v>
      </c>
      <c r="D552" s="2" t="s">
        <v>19</v>
      </c>
      <c r="E552" s="2" t="s">
        <v>27</v>
      </c>
      <c r="F552" s="2"/>
      <c r="G552" s="2">
        <v>0.0</v>
      </c>
      <c r="H552" s="2">
        <v>0.0</v>
      </c>
      <c r="I552" s="2">
        <v>0.0</v>
      </c>
      <c r="J552" s="2">
        <v>0.0</v>
      </c>
      <c r="K552" s="2">
        <v>0.0</v>
      </c>
      <c r="L552" s="2">
        <v>0.0</v>
      </c>
      <c r="M552" s="2"/>
      <c r="N552" s="2"/>
      <c r="O552" s="2"/>
      <c r="P552" s="2" t="s">
        <v>92</v>
      </c>
    </row>
    <row r="553">
      <c r="A553" s="3" t="s">
        <v>83</v>
      </c>
      <c r="B553" s="2" t="s">
        <v>17</v>
      </c>
      <c r="C553" s="2" t="s">
        <v>18</v>
      </c>
      <c r="D553" s="2" t="s">
        <v>19</v>
      </c>
      <c r="E553" s="2" t="s">
        <v>27</v>
      </c>
      <c r="F553" s="2">
        <v>30.0</v>
      </c>
      <c r="G553" s="2">
        <v>17.0</v>
      </c>
      <c r="H553" s="2">
        <v>8.0</v>
      </c>
      <c r="I553" s="2">
        <v>0.0</v>
      </c>
      <c r="J553" s="2">
        <v>0.0</v>
      </c>
      <c r="K553" s="2">
        <v>9.0</v>
      </c>
      <c r="L553" s="2">
        <v>0.0</v>
      </c>
      <c r="M553" s="2">
        <v>22.0</v>
      </c>
      <c r="N553" s="2"/>
      <c r="O553" s="2"/>
      <c r="P553" s="2" t="s">
        <v>92</v>
      </c>
    </row>
    <row r="554">
      <c r="A554" s="3" t="s">
        <v>84</v>
      </c>
      <c r="B554" s="2" t="s">
        <v>17</v>
      </c>
      <c r="C554" s="2" t="s">
        <v>18</v>
      </c>
      <c r="D554" s="2" t="s">
        <v>30</v>
      </c>
      <c r="E554" s="2" t="s">
        <v>27</v>
      </c>
      <c r="F554" s="2">
        <v>45.0</v>
      </c>
      <c r="G554" s="2">
        <v>38.0</v>
      </c>
      <c r="H554" s="2">
        <v>19.0</v>
      </c>
      <c r="I554" s="2">
        <v>5.0</v>
      </c>
      <c r="J554" s="2">
        <v>0.0</v>
      </c>
      <c r="K554" s="2">
        <v>14.0</v>
      </c>
      <c r="L554" s="2">
        <v>0.0</v>
      </c>
      <c r="M554" s="2">
        <v>26.0</v>
      </c>
      <c r="N554" s="2"/>
      <c r="O554" s="2"/>
      <c r="P554" s="2" t="s">
        <v>92</v>
      </c>
    </row>
    <row r="555">
      <c r="A555" s="3" t="s">
        <v>85</v>
      </c>
      <c r="B555" s="2" t="s">
        <v>17</v>
      </c>
      <c r="C555" s="2" t="s">
        <v>18</v>
      </c>
      <c r="D555" s="2" t="s">
        <v>23</v>
      </c>
      <c r="E555" s="2" t="s">
        <v>27</v>
      </c>
      <c r="F555" s="2">
        <v>75.0</v>
      </c>
      <c r="G555" s="2">
        <v>55.0</v>
      </c>
      <c r="H555" s="2">
        <v>27.0</v>
      </c>
      <c r="I555" s="2">
        <v>5.0</v>
      </c>
      <c r="J555" s="2">
        <v>0.0</v>
      </c>
      <c r="K555" s="2">
        <v>23.0</v>
      </c>
      <c r="L555" s="2">
        <v>0.0</v>
      </c>
      <c r="M555" s="2">
        <v>48.0</v>
      </c>
      <c r="N555" s="2">
        <v>0.0</v>
      </c>
      <c r="O555" s="2">
        <v>21.0</v>
      </c>
      <c r="P555" s="2" t="s">
        <v>92</v>
      </c>
    </row>
    <row r="556">
      <c r="A556" s="3" t="s">
        <v>86</v>
      </c>
      <c r="B556" s="4">
        <v>45294.29166666667</v>
      </c>
      <c r="C556" s="2" t="s">
        <v>18</v>
      </c>
      <c r="D556" s="2" t="s">
        <v>19</v>
      </c>
      <c r="E556" s="2" t="s">
        <v>27</v>
      </c>
      <c r="F556" s="2"/>
      <c r="G556" s="2">
        <v>17.0</v>
      </c>
      <c r="H556" s="2">
        <v>8.0</v>
      </c>
      <c r="I556" s="2">
        <v>0.0</v>
      </c>
      <c r="J556" s="2">
        <v>0.0</v>
      </c>
      <c r="K556" s="2">
        <v>9.0</v>
      </c>
      <c r="L556" s="2">
        <v>0.0</v>
      </c>
      <c r="M556" s="2"/>
      <c r="N556" s="2"/>
      <c r="O556" s="2"/>
      <c r="P556" s="2" t="s">
        <v>92</v>
      </c>
    </row>
    <row r="557">
      <c r="A557" s="3" t="s">
        <v>87</v>
      </c>
      <c r="B557" s="4">
        <v>45294.29166666667</v>
      </c>
      <c r="C557" s="2" t="s">
        <v>18</v>
      </c>
      <c r="D557" s="2" t="s">
        <v>30</v>
      </c>
      <c r="E557" s="2" t="s">
        <v>27</v>
      </c>
      <c r="F557" s="2"/>
      <c r="G557" s="2">
        <v>38.0</v>
      </c>
      <c r="H557" s="2">
        <v>19.0</v>
      </c>
      <c r="I557" s="2">
        <v>5.0</v>
      </c>
      <c r="J557" s="2">
        <v>0.0</v>
      </c>
      <c r="K557" s="2">
        <v>14.0</v>
      </c>
      <c r="L557" s="2">
        <v>0.0</v>
      </c>
      <c r="M557" s="2"/>
      <c r="N557" s="2"/>
      <c r="O557" s="2"/>
      <c r="P557" s="2" t="s">
        <v>92</v>
      </c>
    </row>
    <row r="558">
      <c r="A558" s="3" t="s">
        <v>88</v>
      </c>
      <c r="B558" s="2" t="s">
        <v>17</v>
      </c>
      <c r="C558" s="2" t="s">
        <v>18</v>
      </c>
      <c r="D558" s="2" t="s">
        <v>19</v>
      </c>
      <c r="E558" s="2" t="s">
        <v>169</v>
      </c>
      <c r="F558" s="2">
        <v>30.0</v>
      </c>
      <c r="G558" s="2">
        <v>9.0</v>
      </c>
      <c r="H558" s="2">
        <v>5.0</v>
      </c>
      <c r="I558" s="2">
        <v>2.0</v>
      </c>
      <c r="J558" s="2">
        <v>0.0</v>
      </c>
      <c r="K558" s="2">
        <v>2.0</v>
      </c>
      <c r="L558" s="2">
        <v>0.0</v>
      </c>
      <c r="M558" s="2">
        <v>25.0</v>
      </c>
      <c r="N558" s="2"/>
      <c r="O558" s="2"/>
      <c r="P558" s="2" t="s">
        <v>92</v>
      </c>
    </row>
    <row r="559">
      <c r="A559" s="3" t="s">
        <v>89</v>
      </c>
      <c r="B559" s="2" t="s">
        <v>17</v>
      </c>
      <c r="C559" s="2" t="s">
        <v>18</v>
      </c>
      <c r="D559" s="2" t="s">
        <v>30</v>
      </c>
      <c r="E559" s="2" t="s">
        <v>169</v>
      </c>
      <c r="F559" s="2">
        <v>45.0</v>
      </c>
      <c r="G559" s="2">
        <v>48.0</v>
      </c>
      <c r="H559" s="2">
        <v>28.0</v>
      </c>
      <c r="I559" s="2">
        <v>17.0</v>
      </c>
      <c r="J559" s="2">
        <v>0.0</v>
      </c>
      <c r="K559" s="2">
        <v>3.0</v>
      </c>
      <c r="L559" s="2">
        <v>0.0</v>
      </c>
      <c r="M559" s="2">
        <v>17.0</v>
      </c>
      <c r="N559" s="2"/>
      <c r="O559" s="2"/>
      <c r="P559" s="2" t="s">
        <v>92</v>
      </c>
    </row>
    <row r="560">
      <c r="A560" s="3" t="s">
        <v>90</v>
      </c>
      <c r="B560" s="2" t="s">
        <v>17</v>
      </c>
      <c r="C560" s="2" t="s">
        <v>18</v>
      </c>
      <c r="D560" s="2" t="s">
        <v>23</v>
      </c>
      <c r="E560" s="2" t="s">
        <v>169</v>
      </c>
      <c r="F560" s="2">
        <v>75.0</v>
      </c>
      <c r="G560" s="2">
        <v>57.0</v>
      </c>
      <c r="H560" s="2">
        <v>33.0</v>
      </c>
      <c r="I560" s="2">
        <v>19.0</v>
      </c>
      <c r="J560" s="2">
        <v>0.0</v>
      </c>
      <c r="K560" s="2">
        <v>5.0</v>
      </c>
      <c r="L560" s="2">
        <v>0.0</v>
      </c>
      <c r="M560" s="2">
        <v>42.0</v>
      </c>
      <c r="N560" s="2">
        <v>0.0</v>
      </c>
      <c r="O560" s="2">
        <v>9.0</v>
      </c>
      <c r="P560" s="2" t="s">
        <v>92</v>
      </c>
    </row>
    <row r="561">
      <c r="A561" s="3" t="s">
        <v>93</v>
      </c>
      <c r="B561" s="12">
        <v>45294.29166666667</v>
      </c>
      <c r="C561" s="5" t="s">
        <v>18</v>
      </c>
      <c r="D561" s="5" t="s">
        <v>19</v>
      </c>
      <c r="E561" s="5" t="s">
        <v>169</v>
      </c>
      <c r="F561" s="5"/>
      <c r="G561" s="5">
        <v>9.0</v>
      </c>
      <c r="H561" s="5">
        <v>5.0</v>
      </c>
      <c r="I561" s="5">
        <v>2.0</v>
      </c>
      <c r="J561" s="5">
        <v>0.0</v>
      </c>
      <c r="K561" s="5">
        <v>2.0</v>
      </c>
      <c r="L561" s="5">
        <v>0.0</v>
      </c>
      <c r="M561" s="5"/>
      <c r="N561" s="5"/>
      <c r="O561" s="5"/>
      <c r="P561" s="5" t="s">
        <v>92</v>
      </c>
    </row>
    <row r="562">
      <c r="A562" s="3" t="s">
        <v>16</v>
      </c>
      <c r="B562" s="4">
        <v>45294.29166666667</v>
      </c>
      <c r="C562" s="2" t="s">
        <v>18</v>
      </c>
      <c r="D562" s="2" t="s">
        <v>30</v>
      </c>
      <c r="E562" s="2" t="s">
        <v>169</v>
      </c>
      <c r="F562" s="2"/>
      <c r="G562" s="2">
        <v>48.0</v>
      </c>
      <c r="H562" s="2">
        <v>28.0</v>
      </c>
      <c r="I562" s="2">
        <v>17.0</v>
      </c>
      <c r="J562" s="2">
        <v>0.0</v>
      </c>
      <c r="K562" s="2">
        <v>3.0</v>
      </c>
      <c r="L562" s="2">
        <v>0.0</v>
      </c>
      <c r="M562" s="2"/>
      <c r="N562" s="2"/>
      <c r="O562" s="2"/>
      <c r="P562" s="2" t="s">
        <v>92</v>
      </c>
    </row>
    <row r="563">
      <c r="A563" s="3" t="s">
        <v>94</v>
      </c>
      <c r="B563" s="2" t="s">
        <v>17</v>
      </c>
      <c r="C563" s="2" t="s">
        <v>18</v>
      </c>
      <c r="D563" s="2" t="s">
        <v>19</v>
      </c>
      <c r="E563" s="2" t="s">
        <v>27</v>
      </c>
      <c r="F563" s="2">
        <v>22.0</v>
      </c>
      <c r="G563" s="2">
        <v>14.0</v>
      </c>
      <c r="H563" s="2">
        <v>8.0</v>
      </c>
      <c r="I563" s="2">
        <v>5.0</v>
      </c>
      <c r="J563" s="2">
        <v>0.0</v>
      </c>
      <c r="K563" s="2">
        <v>1.0</v>
      </c>
      <c r="L563" s="2">
        <v>0.0</v>
      </c>
      <c r="M563" s="2">
        <v>14.0</v>
      </c>
      <c r="N563" s="2"/>
      <c r="O563" s="2"/>
      <c r="P563" s="2" t="s">
        <v>146</v>
      </c>
    </row>
    <row r="564">
      <c r="A564" s="3" t="s">
        <v>95</v>
      </c>
      <c r="B564" s="2" t="s">
        <v>17</v>
      </c>
      <c r="C564" s="2" t="s">
        <v>18</v>
      </c>
      <c r="D564" s="2" t="s">
        <v>19</v>
      </c>
      <c r="E564" s="2" t="s">
        <v>165</v>
      </c>
      <c r="F564" s="2">
        <v>5.0</v>
      </c>
      <c r="G564" s="2">
        <v>5.0</v>
      </c>
      <c r="H564" s="2">
        <v>2.0</v>
      </c>
      <c r="I564" s="2">
        <v>3.0</v>
      </c>
      <c r="J564" s="2">
        <v>0.0</v>
      </c>
      <c r="K564" s="2">
        <v>0.0</v>
      </c>
      <c r="L564" s="2">
        <v>0.0</v>
      </c>
      <c r="M564" s="2">
        <v>3.0</v>
      </c>
      <c r="N564" s="2"/>
      <c r="O564" s="2"/>
      <c r="P564" s="2" t="s">
        <v>146</v>
      </c>
    </row>
    <row r="565">
      <c r="A565" s="3" t="s">
        <v>97</v>
      </c>
      <c r="B565" s="2" t="s">
        <v>17</v>
      </c>
      <c r="C565" s="2" t="s">
        <v>18</v>
      </c>
      <c r="D565" s="2" t="s">
        <v>19</v>
      </c>
      <c r="E565" s="2" t="s">
        <v>96</v>
      </c>
      <c r="F565" s="2">
        <v>5.0</v>
      </c>
      <c r="G565" s="2">
        <v>7.0</v>
      </c>
      <c r="H565" s="2">
        <v>4.0</v>
      </c>
      <c r="I565" s="2">
        <v>3.0</v>
      </c>
      <c r="J565" s="2">
        <v>0.0</v>
      </c>
      <c r="K565" s="2">
        <v>0.0</v>
      </c>
      <c r="L565" s="2">
        <v>0.0</v>
      </c>
      <c r="M565" s="2">
        <v>1.0</v>
      </c>
      <c r="N565" s="2"/>
      <c r="O565" s="2"/>
      <c r="P565" s="2" t="s">
        <v>146</v>
      </c>
    </row>
    <row r="566">
      <c r="A566" s="3" t="s">
        <v>98</v>
      </c>
      <c r="B566" s="2" t="s">
        <v>17</v>
      </c>
      <c r="C566" s="2" t="s">
        <v>18</v>
      </c>
      <c r="D566" s="2" t="s">
        <v>91</v>
      </c>
      <c r="E566" s="2" t="s">
        <v>27</v>
      </c>
      <c r="F566" s="2">
        <v>13.0</v>
      </c>
      <c r="G566" s="2">
        <v>15.0</v>
      </c>
      <c r="H566" s="2">
        <v>0.0</v>
      </c>
      <c r="I566" s="2">
        <v>7.0</v>
      </c>
      <c r="J566" s="2">
        <v>0.0</v>
      </c>
      <c r="K566" s="2">
        <v>8.0</v>
      </c>
      <c r="L566" s="2">
        <v>0.0</v>
      </c>
      <c r="M566" s="2">
        <v>13.0</v>
      </c>
      <c r="N566" s="2"/>
      <c r="O566" s="2"/>
      <c r="P566" s="2" t="s">
        <v>146</v>
      </c>
    </row>
    <row r="567">
      <c r="A567" s="3" t="s">
        <v>99</v>
      </c>
      <c r="B567" s="2" t="s">
        <v>17</v>
      </c>
      <c r="C567" s="2" t="s">
        <v>18</v>
      </c>
      <c r="D567" s="2" t="s">
        <v>91</v>
      </c>
      <c r="E567" s="2" t="s">
        <v>165</v>
      </c>
      <c r="F567" s="2">
        <v>5.0</v>
      </c>
      <c r="G567" s="2">
        <v>8.0</v>
      </c>
      <c r="H567" s="2">
        <v>0.0</v>
      </c>
      <c r="I567" s="2">
        <v>0.0</v>
      </c>
      <c r="J567" s="2">
        <v>0.0</v>
      </c>
      <c r="K567" s="2">
        <v>8.0</v>
      </c>
      <c r="L567" s="2">
        <v>0.0</v>
      </c>
      <c r="M567" s="2">
        <v>5.0</v>
      </c>
      <c r="N567" s="2"/>
      <c r="O567" s="2"/>
      <c r="P567" s="2" t="s">
        <v>146</v>
      </c>
    </row>
    <row r="568">
      <c r="A568" s="3" t="s">
        <v>100</v>
      </c>
      <c r="B568" s="2" t="s">
        <v>17</v>
      </c>
      <c r="C568" s="2" t="s">
        <v>18</v>
      </c>
      <c r="D568" s="2" t="s">
        <v>23</v>
      </c>
      <c r="E568" s="2" t="s">
        <v>27</v>
      </c>
      <c r="F568" s="2">
        <v>35.0</v>
      </c>
      <c r="G568" s="2">
        <v>29.0</v>
      </c>
      <c r="H568" s="2">
        <v>8.0</v>
      </c>
      <c r="I568" s="2">
        <v>12.0</v>
      </c>
      <c r="J568" s="2">
        <v>0.0</v>
      </c>
      <c r="K568" s="2">
        <v>9.0</v>
      </c>
      <c r="L568" s="2">
        <v>0.0</v>
      </c>
      <c r="M568" s="2">
        <v>27.0</v>
      </c>
      <c r="N568" s="2">
        <v>0.0</v>
      </c>
      <c r="O568" s="2">
        <v>19.0</v>
      </c>
      <c r="P568" s="2" t="s">
        <v>146</v>
      </c>
    </row>
    <row r="569">
      <c r="A569" s="3" t="s">
        <v>101</v>
      </c>
      <c r="B569" s="2" t="s">
        <v>17</v>
      </c>
      <c r="C569" s="2" t="s">
        <v>18</v>
      </c>
      <c r="D569" s="2" t="s">
        <v>23</v>
      </c>
      <c r="E569" s="2" t="s">
        <v>165</v>
      </c>
      <c r="F569" s="2">
        <v>10.0</v>
      </c>
      <c r="G569" s="2">
        <v>13.0</v>
      </c>
      <c r="H569" s="2">
        <v>2.0</v>
      </c>
      <c r="I569" s="2">
        <v>3.0</v>
      </c>
      <c r="J569" s="2">
        <v>0.0</v>
      </c>
      <c r="K569" s="2">
        <v>8.0</v>
      </c>
      <c r="L569" s="2">
        <v>0.0</v>
      </c>
      <c r="M569" s="2">
        <v>8.0</v>
      </c>
      <c r="N569" s="2">
        <v>0.0</v>
      </c>
      <c r="O569" s="2">
        <v>6.0</v>
      </c>
      <c r="P569" s="2" t="s">
        <v>146</v>
      </c>
    </row>
    <row r="570">
      <c r="A570" s="3" t="s">
        <v>102</v>
      </c>
      <c r="B570" s="2" t="s">
        <v>17</v>
      </c>
      <c r="C570" s="2" t="s">
        <v>18</v>
      </c>
      <c r="D570" s="2" t="s">
        <v>23</v>
      </c>
      <c r="E570" s="2" t="s">
        <v>96</v>
      </c>
      <c r="F570" s="2">
        <v>5.0</v>
      </c>
      <c r="G570" s="2">
        <v>7.0</v>
      </c>
      <c r="H570" s="2">
        <v>4.0</v>
      </c>
      <c r="I570" s="2">
        <v>3.0</v>
      </c>
      <c r="J570" s="2">
        <v>0.0</v>
      </c>
      <c r="K570" s="2">
        <v>0.0</v>
      </c>
      <c r="L570" s="2">
        <v>0.0</v>
      </c>
      <c r="M570" s="2">
        <v>1.0</v>
      </c>
      <c r="N570" s="2">
        <v>0.0</v>
      </c>
      <c r="O570" s="2">
        <v>-3.0</v>
      </c>
      <c r="P570" s="2" t="s">
        <v>146</v>
      </c>
    </row>
    <row r="571">
      <c r="A571" s="3" t="s">
        <v>103</v>
      </c>
      <c r="B571" s="4">
        <v>45171.29166666667</v>
      </c>
      <c r="C571" s="2" t="s">
        <v>18</v>
      </c>
      <c r="D571" s="2" t="s">
        <v>19</v>
      </c>
      <c r="E571" s="2" t="s">
        <v>27</v>
      </c>
      <c r="F571" s="2"/>
      <c r="G571" s="2">
        <v>13.0</v>
      </c>
      <c r="H571" s="2">
        <v>8.0</v>
      </c>
      <c r="I571" s="2">
        <v>5.0</v>
      </c>
      <c r="J571" s="2">
        <v>0.0</v>
      </c>
      <c r="K571" s="2">
        <v>0.0</v>
      </c>
      <c r="L571" s="2">
        <v>0.0</v>
      </c>
      <c r="M571" s="2"/>
      <c r="N571" s="2"/>
      <c r="O571" s="2"/>
      <c r="P571" s="2" t="s">
        <v>146</v>
      </c>
    </row>
    <row r="572">
      <c r="A572" s="3" t="s">
        <v>104</v>
      </c>
      <c r="B572" s="4">
        <v>45172.29166666667</v>
      </c>
      <c r="C572" s="2" t="s">
        <v>18</v>
      </c>
      <c r="D572" s="2" t="s">
        <v>19</v>
      </c>
      <c r="E572" s="2" t="s">
        <v>165</v>
      </c>
      <c r="F572" s="2"/>
      <c r="G572" s="2">
        <v>4.0</v>
      </c>
      <c r="H572" s="2">
        <v>2.0</v>
      </c>
      <c r="I572" s="2">
        <v>2.0</v>
      </c>
      <c r="J572" s="2">
        <v>0.0</v>
      </c>
      <c r="K572" s="2">
        <v>0.0</v>
      </c>
      <c r="L572" s="2">
        <v>0.0</v>
      </c>
      <c r="M572" s="2"/>
      <c r="N572" s="2"/>
      <c r="O572" s="2"/>
      <c r="P572" s="2" t="s">
        <v>146</v>
      </c>
    </row>
    <row r="573">
      <c r="A573" s="3" t="s">
        <v>105</v>
      </c>
      <c r="B573" s="4">
        <v>45173.29166666667</v>
      </c>
      <c r="C573" s="2" t="s">
        <v>18</v>
      </c>
      <c r="D573" s="2" t="s">
        <v>19</v>
      </c>
      <c r="E573" s="2" t="s">
        <v>96</v>
      </c>
      <c r="F573" s="2"/>
      <c r="G573" s="2">
        <v>7.0</v>
      </c>
      <c r="H573" s="2">
        <v>4.0</v>
      </c>
      <c r="I573" s="2">
        <v>3.0</v>
      </c>
      <c r="J573" s="2">
        <v>0.0</v>
      </c>
      <c r="K573" s="2">
        <v>0.0</v>
      </c>
      <c r="L573" s="2">
        <v>0.0</v>
      </c>
      <c r="M573" s="2"/>
      <c r="N573" s="2"/>
      <c r="O573" s="2"/>
      <c r="P573" s="2" t="s">
        <v>146</v>
      </c>
    </row>
    <row r="574">
      <c r="A574" s="3" t="s">
        <v>106</v>
      </c>
      <c r="B574" s="4">
        <v>45200.29166666667</v>
      </c>
      <c r="C574" s="2" t="s">
        <v>18</v>
      </c>
      <c r="D574" s="2" t="s">
        <v>91</v>
      </c>
      <c r="E574" s="2" t="s">
        <v>27</v>
      </c>
      <c r="F574" s="2"/>
      <c r="G574" s="2">
        <v>15.0</v>
      </c>
      <c r="H574" s="2">
        <v>0.0</v>
      </c>
      <c r="I574" s="2">
        <v>7.0</v>
      </c>
      <c r="J574" s="2">
        <v>0.0</v>
      </c>
      <c r="K574" s="2">
        <v>8.0</v>
      </c>
      <c r="L574" s="2">
        <v>0.0</v>
      </c>
      <c r="M574" s="2"/>
      <c r="N574" s="2"/>
      <c r="O574" s="2"/>
      <c r="P574" s="2" t="s">
        <v>146</v>
      </c>
    </row>
    <row r="575">
      <c r="A575" s="3" t="s">
        <v>107</v>
      </c>
      <c r="B575" s="4">
        <v>45201.29166666667</v>
      </c>
      <c r="C575" s="2" t="s">
        <v>18</v>
      </c>
      <c r="D575" s="2" t="s">
        <v>91</v>
      </c>
      <c r="E575" s="2" t="s">
        <v>165</v>
      </c>
      <c r="F575" s="2"/>
      <c r="G575" s="2">
        <v>8.0</v>
      </c>
      <c r="H575" s="2">
        <v>0.0</v>
      </c>
      <c r="I575" s="2">
        <v>0.0</v>
      </c>
      <c r="J575" s="2">
        <v>0.0</v>
      </c>
      <c r="K575" s="2">
        <v>8.0</v>
      </c>
      <c r="L575" s="2">
        <v>0.0</v>
      </c>
      <c r="M575" s="2"/>
      <c r="N575" s="2"/>
      <c r="O575" s="2"/>
      <c r="P575" s="2" t="s">
        <v>146</v>
      </c>
    </row>
    <row r="576">
      <c r="A576" s="3" t="s">
        <v>108</v>
      </c>
      <c r="B576" s="4">
        <v>45202.29166666667</v>
      </c>
      <c r="C576" s="2" t="s">
        <v>18</v>
      </c>
      <c r="D576" s="2" t="s">
        <v>19</v>
      </c>
      <c r="E576" s="2" t="s">
        <v>27</v>
      </c>
      <c r="F576" s="2"/>
      <c r="G576" s="2">
        <v>1.0</v>
      </c>
      <c r="H576" s="2">
        <v>0.0</v>
      </c>
      <c r="I576" s="2">
        <v>0.0</v>
      </c>
      <c r="J576" s="2">
        <v>0.0</v>
      </c>
      <c r="K576" s="2">
        <v>1.0</v>
      </c>
      <c r="L576" s="2">
        <v>0.0</v>
      </c>
      <c r="M576" s="2"/>
      <c r="N576" s="2"/>
      <c r="O576" s="2"/>
      <c r="P576" s="2" t="s">
        <v>146</v>
      </c>
    </row>
    <row r="577">
      <c r="A577" s="3" t="s">
        <v>112</v>
      </c>
      <c r="B577" s="4">
        <v>45203.29166666667</v>
      </c>
      <c r="C577" s="2" t="s">
        <v>18</v>
      </c>
      <c r="D577" s="2" t="s">
        <v>19</v>
      </c>
      <c r="E577" s="2" t="s">
        <v>165</v>
      </c>
      <c r="F577" s="2"/>
      <c r="G577" s="2">
        <v>1.0</v>
      </c>
      <c r="H577" s="2">
        <v>0.0</v>
      </c>
      <c r="I577" s="2">
        <v>1.0</v>
      </c>
      <c r="J577" s="2">
        <v>0.0</v>
      </c>
      <c r="K577" s="2">
        <v>0.0</v>
      </c>
      <c r="L577" s="2">
        <v>0.0</v>
      </c>
      <c r="M577" s="2"/>
      <c r="N577" s="2"/>
      <c r="O577" s="2"/>
      <c r="P577" s="2" t="s">
        <v>146</v>
      </c>
    </row>
    <row r="578">
      <c r="A578" s="3" t="s">
        <v>115</v>
      </c>
      <c r="B578" s="4">
        <v>45204.29166666667</v>
      </c>
      <c r="C578" s="2" t="s">
        <v>18</v>
      </c>
      <c r="D578" s="2" t="s">
        <v>19</v>
      </c>
      <c r="E578" s="2" t="s">
        <v>96</v>
      </c>
      <c r="F578" s="2"/>
      <c r="G578" s="2">
        <v>0.0</v>
      </c>
      <c r="H578" s="2">
        <v>0.0</v>
      </c>
      <c r="I578" s="2">
        <v>0.0</v>
      </c>
      <c r="J578" s="2">
        <v>0.0</v>
      </c>
      <c r="K578" s="2">
        <v>0.0</v>
      </c>
      <c r="L578" s="2">
        <v>0.0</v>
      </c>
      <c r="M578" s="2"/>
      <c r="N578" s="2"/>
      <c r="O578" s="2"/>
      <c r="P578" s="2" t="s">
        <v>146</v>
      </c>
    </row>
    <row r="579">
      <c r="A579" s="3" t="s">
        <v>117</v>
      </c>
      <c r="B579" s="2" t="s">
        <v>17</v>
      </c>
      <c r="C579" s="2" t="s">
        <v>18</v>
      </c>
      <c r="D579" s="2" t="s">
        <v>127</v>
      </c>
      <c r="E579" s="2" t="s">
        <v>170</v>
      </c>
      <c r="F579" s="2">
        <v>200.0</v>
      </c>
      <c r="G579" s="2">
        <v>348.0</v>
      </c>
      <c r="H579" s="2">
        <v>62.0</v>
      </c>
      <c r="I579" s="2">
        <v>99.0</v>
      </c>
      <c r="J579" s="2">
        <v>85.0</v>
      </c>
      <c r="K579" s="2">
        <v>102.0</v>
      </c>
      <c r="L579" s="2">
        <v>0.0</v>
      </c>
      <c r="M579" s="2">
        <v>138.0</v>
      </c>
      <c r="N579" s="2"/>
      <c r="O579" s="2"/>
      <c r="P579" s="2" t="s">
        <v>92</v>
      </c>
    </row>
    <row r="580">
      <c r="A580" s="3" t="s">
        <v>119</v>
      </c>
      <c r="B580" s="2" t="s">
        <v>17</v>
      </c>
      <c r="C580" s="2" t="s">
        <v>18</v>
      </c>
      <c r="D580" s="2" t="s">
        <v>19</v>
      </c>
      <c r="E580" s="2" t="s">
        <v>170</v>
      </c>
      <c r="F580" s="2">
        <v>200.0</v>
      </c>
      <c r="G580" s="2">
        <v>6.0</v>
      </c>
      <c r="H580" s="2">
        <v>4.0</v>
      </c>
      <c r="I580" s="2">
        <v>2.0</v>
      </c>
      <c r="J580" s="2">
        <v>0.0</v>
      </c>
      <c r="K580" s="2">
        <v>0.0</v>
      </c>
      <c r="L580" s="2">
        <v>0.0</v>
      </c>
      <c r="M580" s="2">
        <v>196.0</v>
      </c>
      <c r="N580" s="2"/>
      <c r="O580" s="2"/>
      <c r="P580" s="2" t="s">
        <v>92</v>
      </c>
    </row>
    <row r="581">
      <c r="A581" s="3" t="s">
        <v>121</v>
      </c>
      <c r="B581" s="2" t="s">
        <v>17</v>
      </c>
      <c r="C581" s="2" t="s">
        <v>18</v>
      </c>
      <c r="D581" s="2" t="s">
        <v>23</v>
      </c>
      <c r="E581" s="2" t="s">
        <v>170</v>
      </c>
      <c r="F581" s="2">
        <v>200.0</v>
      </c>
      <c r="G581" s="2">
        <v>354.0</v>
      </c>
      <c r="H581" s="2">
        <v>66.0</v>
      </c>
      <c r="I581" s="2">
        <v>101.0</v>
      </c>
      <c r="J581" s="2">
        <v>85.0</v>
      </c>
      <c r="K581" s="2">
        <v>102.0</v>
      </c>
      <c r="L581" s="2">
        <v>0.0</v>
      </c>
      <c r="M581" s="2">
        <v>134.0</v>
      </c>
      <c r="N581" s="2">
        <v>-200.0</v>
      </c>
      <c r="O581" s="2">
        <v>68.0</v>
      </c>
      <c r="P581" s="2" t="s">
        <v>92</v>
      </c>
    </row>
    <row r="582">
      <c r="A582" s="3" t="s">
        <v>16</v>
      </c>
      <c r="B582" s="4">
        <v>45111.29166666667</v>
      </c>
      <c r="C582" s="2" t="s">
        <v>18</v>
      </c>
      <c r="D582" s="2" t="s">
        <v>19</v>
      </c>
      <c r="E582" s="2" t="s">
        <v>170</v>
      </c>
      <c r="F582" s="2"/>
      <c r="G582" s="2">
        <v>3.0</v>
      </c>
      <c r="H582" s="2">
        <v>2.0</v>
      </c>
      <c r="I582" s="2">
        <v>1.0</v>
      </c>
      <c r="J582" s="2">
        <v>0.0</v>
      </c>
      <c r="K582" s="2">
        <v>0.0</v>
      </c>
      <c r="L582" s="2">
        <v>0.0</v>
      </c>
      <c r="M582" s="2"/>
      <c r="N582" s="2"/>
      <c r="O582" s="2"/>
      <c r="P582" s="2" t="s">
        <v>92</v>
      </c>
    </row>
    <row r="583">
      <c r="A583" s="3" t="s">
        <v>124</v>
      </c>
      <c r="B583" s="4">
        <v>45140.29166666667</v>
      </c>
      <c r="C583" s="2" t="s">
        <v>18</v>
      </c>
      <c r="D583" s="2" t="s">
        <v>127</v>
      </c>
      <c r="E583" s="2" t="s">
        <v>170</v>
      </c>
      <c r="F583" s="2"/>
      <c r="G583" s="2">
        <v>233.0</v>
      </c>
      <c r="H583" s="2">
        <v>59.0</v>
      </c>
      <c r="I583" s="2">
        <v>89.0</v>
      </c>
      <c r="J583" s="2">
        <v>85.0</v>
      </c>
      <c r="K583" s="2">
        <v>0.0</v>
      </c>
      <c r="L583" s="2">
        <v>0.0</v>
      </c>
      <c r="M583" s="2"/>
      <c r="N583" s="2"/>
      <c r="O583" s="2"/>
      <c r="P583" s="2" t="s">
        <v>92</v>
      </c>
    </row>
    <row r="584">
      <c r="A584" s="3" t="s">
        <v>126</v>
      </c>
      <c r="B584" s="4">
        <v>45141.29166666667</v>
      </c>
      <c r="C584" s="2" t="s">
        <v>18</v>
      </c>
      <c r="D584" s="2" t="s">
        <v>19</v>
      </c>
      <c r="E584" s="2" t="s">
        <v>170</v>
      </c>
      <c r="F584" s="2"/>
      <c r="G584" s="2">
        <v>3.0</v>
      </c>
      <c r="H584" s="2">
        <v>2.0</v>
      </c>
      <c r="I584" s="2">
        <v>1.0</v>
      </c>
      <c r="J584" s="2">
        <v>0.0</v>
      </c>
      <c r="K584" s="2">
        <v>0.0</v>
      </c>
      <c r="L584" s="2">
        <v>0.0</v>
      </c>
      <c r="M584" s="2"/>
      <c r="N584" s="2"/>
      <c r="O584" s="2"/>
      <c r="P584" s="2" t="s">
        <v>92</v>
      </c>
    </row>
    <row r="585">
      <c r="A585" s="3" t="s">
        <v>128</v>
      </c>
      <c r="B585" s="4">
        <v>45171.29166666667</v>
      </c>
      <c r="C585" s="2" t="s">
        <v>18</v>
      </c>
      <c r="D585" s="2" t="s">
        <v>127</v>
      </c>
      <c r="E585" s="2" t="s">
        <v>170</v>
      </c>
      <c r="F585" s="2"/>
      <c r="G585" s="2">
        <v>115.0</v>
      </c>
      <c r="H585" s="2">
        <v>3.0</v>
      </c>
      <c r="I585" s="2">
        <v>10.0</v>
      </c>
      <c r="J585" s="2">
        <v>0.0</v>
      </c>
      <c r="K585" s="2">
        <v>102.0</v>
      </c>
      <c r="L585" s="2">
        <v>0.0</v>
      </c>
      <c r="M585" s="2"/>
      <c r="N585" s="2"/>
      <c r="O585" s="2"/>
      <c r="P585" s="2" t="s">
        <v>92</v>
      </c>
    </row>
    <row r="586">
      <c r="A586" s="3" t="s">
        <v>129</v>
      </c>
      <c r="B586" s="2" t="s">
        <v>17</v>
      </c>
      <c r="C586" s="2" t="s">
        <v>148</v>
      </c>
      <c r="D586" s="2" t="s">
        <v>19</v>
      </c>
      <c r="E586" s="2" t="s">
        <v>27</v>
      </c>
      <c r="F586" s="2">
        <v>25.0</v>
      </c>
      <c r="G586" s="2">
        <v>55.0</v>
      </c>
      <c r="H586" s="2">
        <v>25.0</v>
      </c>
      <c r="I586" s="2">
        <v>29.0</v>
      </c>
      <c r="J586" s="2">
        <v>1.0</v>
      </c>
      <c r="K586" s="2">
        <v>0.0</v>
      </c>
      <c r="L586" s="2">
        <v>0.0</v>
      </c>
      <c r="M586" s="2">
        <v>0.0</v>
      </c>
      <c r="N586" s="2"/>
      <c r="O586" s="2"/>
      <c r="P586" s="2" t="s">
        <v>146</v>
      </c>
    </row>
    <row r="587">
      <c r="A587" s="3" t="s">
        <v>130</v>
      </c>
      <c r="B587" s="2" t="s">
        <v>17</v>
      </c>
      <c r="C587" s="2" t="s">
        <v>18</v>
      </c>
      <c r="D587" s="2" t="s">
        <v>91</v>
      </c>
      <c r="E587" s="2" t="s">
        <v>27</v>
      </c>
      <c r="F587" s="2">
        <v>96.0</v>
      </c>
      <c r="G587" s="2">
        <v>79.0</v>
      </c>
      <c r="H587" s="2">
        <v>37.0</v>
      </c>
      <c r="I587" s="2">
        <v>7.0</v>
      </c>
      <c r="J587" s="2">
        <v>7.0</v>
      </c>
      <c r="K587" s="2">
        <v>28.0</v>
      </c>
      <c r="L587" s="2">
        <v>0.0</v>
      </c>
      <c r="M587" s="2">
        <v>59.0</v>
      </c>
      <c r="N587" s="2"/>
      <c r="O587" s="2"/>
      <c r="P587" s="2" t="s">
        <v>146</v>
      </c>
    </row>
    <row r="588">
      <c r="A588" s="3" t="s">
        <v>131</v>
      </c>
      <c r="B588" s="2" t="s">
        <v>17</v>
      </c>
      <c r="C588" s="2" t="s">
        <v>18</v>
      </c>
      <c r="D588" s="2" t="s">
        <v>23</v>
      </c>
      <c r="E588" s="2" t="s">
        <v>27</v>
      </c>
      <c r="F588" s="2">
        <v>120.0</v>
      </c>
      <c r="G588" s="2">
        <v>134.0</v>
      </c>
      <c r="H588" s="2">
        <v>62.0</v>
      </c>
      <c r="I588" s="2">
        <v>36.0</v>
      </c>
      <c r="J588" s="2">
        <v>8.0</v>
      </c>
      <c r="K588" s="2">
        <v>28.0</v>
      </c>
      <c r="L588" s="2">
        <v>0.0</v>
      </c>
      <c r="M588" s="2">
        <v>58.0</v>
      </c>
      <c r="N588" s="2">
        <v>-1.0</v>
      </c>
      <c r="O588" s="2">
        <v>-4.0</v>
      </c>
      <c r="P588" s="2" t="s">
        <v>146</v>
      </c>
    </row>
    <row r="589">
      <c r="A589" s="3" t="s">
        <v>132</v>
      </c>
      <c r="B589" s="4">
        <v>45171.29166666667</v>
      </c>
      <c r="C589" s="2" t="s">
        <v>18</v>
      </c>
      <c r="D589" s="2" t="s">
        <v>19</v>
      </c>
      <c r="E589" s="2" t="s">
        <v>27</v>
      </c>
      <c r="F589" s="2"/>
      <c r="G589" s="2">
        <v>24.0</v>
      </c>
      <c r="H589" s="2">
        <v>2.0</v>
      </c>
      <c r="I589" s="2">
        <v>22.0</v>
      </c>
      <c r="J589" s="2">
        <v>0.0</v>
      </c>
      <c r="K589" s="2">
        <v>0.0</v>
      </c>
      <c r="L589" s="2">
        <v>0.0</v>
      </c>
      <c r="M589" s="2"/>
      <c r="N589" s="2"/>
      <c r="O589" s="2"/>
      <c r="P589" s="2" t="s">
        <v>146</v>
      </c>
    </row>
    <row r="590">
      <c r="A590" s="3" t="s">
        <v>133</v>
      </c>
      <c r="B590" s="4">
        <v>45200.29166666667</v>
      </c>
      <c r="C590" s="2" t="s">
        <v>18</v>
      </c>
      <c r="D590" s="2" t="s">
        <v>19</v>
      </c>
      <c r="E590" s="2" t="s">
        <v>27</v>
      </c>
      <c r="F590" s="2"/>
      <c r="G590" s="2">
        <v>23.0</v>
      </c>
      <c r="H590" s="2">
        <v>16.0</v>
      </c>
      <c r="I590" s="2">
        <v>7.0</v>
      </c>
      <c r="J590" s="2">
        <v>0.0</v>
      </c>
      <c r="K590" s="2">
        <v>0.0</v>
      </c>
      <c r="L590" s="2">
        <v>0.0</v>
      </c>
      <c r="M590" s="2"/>
      <c r="N590" s="2"/>
      <c r="O590" s="2"/>
      <c r="P590" s="2" t="s">
        <v>146</v>
      </c>
    </row>
    <row r="591">
      <c r="A591" s="3" t="s">
        <v>134</v>
      </c>
      <c r="B591" s="4">
        <v>45231.25</v>
      </c>
      <c r="C591" s="2" t="s">
        <v>18</v>
      </c>
      <c r="D591" s="2" t="s">
        <v>19</v>
      </c>
      <c r="E591" s="2" t="s">
        <v>27</v>
      </c>
      <c r="F591" s="2"/>
      <c r="G591" s="2">
        <v>8.0</v>
      </c>
      <c r="H591" s="2">
        <v>7.0</v>
      </c>
      <c r="I591" s="2">
        <v>0.0</v>
      </c>
      <c r="J591" s="2">
        <v>1.0</v>
      </c>
      <c r="K591" s="2">
        <v>0.0</v>
      </c>
      <c r="L591" s="2">
        <v>0.0</v>
      </c>
      <c r="M591" s="2"/>
      <c r="N591" s="2"/>
      <c r="O591" s="2"/>
      <c r="P591" s="2" t="s">
        <v>146</v>
      </c>
    </row>
    <row r="592">
      <c r="A592" s="3" t="s">
        <v>136</v>
      </c>
      <c r="B592" s="4">
        <v>45232.25</v>
      </c>
      <c r="C592" s="2" t="s">
        <v>18</v>
      </c>
      <c r="D592" s="2" t="s">
        <v>91</v>
      </c>
      <c r="E592" s="2" t="s">
        <v>27</v>
      </c>
      <c r="F592" s="2"/>
      <c r="G592" s="2">
        <v>14.0</v>
      </c>
      <c r="H592" s="2">
        <v>12.0</v>
      </c>
      <c r="I592" s="2">
        <v>2.0</v>
      </c>
      <c r="J592" s="2">
        <v>0.0</v>
      </c>
      <c r="K592" s="2">
        <v>0.0</v>
      </c>
      <c r="L592" s="2">
        <v>0.0</v>
      </c>
      <c r="M592" s="2"/>
      <c r="N592" s="2"/>
      <c r="O592" s="2"/>
      <c r="P592" s="2" t="s">
        <v>146</v>
      </c>
    </row>
    <row r="593">
      <c r="A593" s="3" t="s">
        <v>137</v>
      </c>
      <c r="B593" s="4">
        <v>45262.29166666667</v>
      </c>
      <c r="C593" s="2" t="s">
        <v>18</v>
      </c>
      <c r="D593" s="2" t="s">
        <v>91</v>
      </c>
      <c r="E593" s="2" t="s">
        <v>27</v>
      </c>
      <c r="F593" s="2"/>
      <c r="G593" s="2">
        <v>21.0</v>
      </c>
      <c r="H593" s="2">
        <v>10.0</v>
      </c>
      <c r="I593" s="2">
        <v>4.0</v>
      </c>
      <c r="J593" s="2">
        <v>7.0</v>
      </c>
      <c r="K593" s="2">
        <v>0.0</v>
      </c>
      <c r="L593" s="2">
        <v>0.0</v>
      </c>
      <c r="M593" s="2"/>
      <c r="N593" s="2"/>
      <c r="O593" s="2"/>
      <c r="P593" s="2" t="s">
        <v>146</v>
      </c>
    </row>
    <row r="594">
      <c r="A594" s="3" t="s">
        <v>138</v>
      </c>
      <c r="B594" s="4">
        <v>45292.29166666667</v>
      </c>
      <c r="C594" s="2" t="s">
        <v>18</v>
      </c>
      <c r="D594" s="2" t="s">
        <v>91</v>
      </c>
      <c r="E594" s="2" t="s">
        <v>27</v>
      </c>
      <c r="F594" s="2"/>
      <c r="G594" s="2">
        <v>44.0</v>
      </c>
      <c r="H594" s="2">
        <v>15.0</v>
      </c>
      <c r="I594" s="2">
        <v>1.0</v>
      </c>
      <c r="J594" s="2">
        <v>0.0</v>
      </c>
      <c r="K594" s="2">
        <v>28.0</v>
      </c>
      <c r="L594" s="2">
        <v>0.0</v>
      </c>
      <c r="M594" s="2"/>
      <c r="N594" s="2"/>
      <c r="O594" s="2"/>
      <c r="P594" s="2" t="s">
        <v>146</v>
      </c>
    </row>
    <row r="595">
      <c r="A595" s="3" t="s">
        <v>139</v>
      </c>
      <c r="B595" s="4">
        <v>45323.29166666667</v>
      </c>
      <c r="C595" s="2" t="s">
        <v>18</v>
      </c>
      <c r="D595" s="2" t="s">
        <v>91</v>
      </c>
      <c r="E595" s="2" t="s">
        <v>27</v>
      </c>
      <c r="F595" s="2"/>
      <c r="G595" s="2">
        <v>0.0</v>
      </c>
      <c r="H595" s="2">
        <v>0.0</v>
      </c>
      <c r="I595" s="2">
        <v>0.0</v>
      </c>
      <c r="J595" s="2">
        <v>0.0</v>
      </c>
      <c r="K595" s="2">
        <v>0.0</v>
      </c>
      <c r="L595" s="2">
        <v>0.0</v>
      </c>
      <c r="M595" s="2"/>
      <c r="N595" s="2"/>
      <c r="O595" s="2"/>
      <c r="P595" s="2" t="s">
        <v>146</v>
      </c>
    </row>
    <row r="596">
      <c r="A596" s="3" t="s">
        <v>140</v>
      </c>
      <c r="B596" s="2" t="s">
        <v>17</v>
      </c>
      <c r="C596" s="2" t="s">
        <v>18</v>
      </c>
      <c r="D596" s="2" t="s">
        <v>91</v>
      </c>
      <c r="E596" s="2" t="s">
        <v>171</v>
      </c>
      <c r="F596" s="2">
        <v>15.0</v>
      </c>
      <c r="G596" s="2">
        <v>19.0</v>
      </c>
      <c r="H596" s="2">
        <v>10.0</v>
      </c>
      <c r="I596" s="2">
        <v>0.0</v>
      </c>
      <c r="J596" s="2">
        <v>0.0</v>
      </c>
      <c r="K596" s="2">
        <v>9.0</v>
      </c>
      <c r="L596" s="2">
        <v>0.0</v>
      </c>
      <c r="M596" s="2">
        <v>5.0</v>
      </c>
      <c r="N596" s="2"/>
      <c r="O596" s="2"/>
      <c r="P596" s="2" t="s">
        <v>92</v>
      </c>
    </row>
    <row r="597">
      <c r="A597" s="3" t="s">
        <v>141</v>
      </c>
      <c r="B597" s="2" t="s">
        <v>17</v>
      </c>
      <c r="C597" s="2" t="s">
        <v>18</v>
      </c>
      <c r="D597" s="2" t="s">
        <v>23</v>
      </c>
      <c r="E597" s="2" t="s">
        <v>171</v>
      </c>
      <c r="F597" s="2">
        <v>15.0</v>
      </c>
      <c r="G597" s="2">
        <v>19.0</v>
      </c>
      <c r="H597" s="2">
        <v>10.0</v>
      </c>
      <c r="I597" s="2">
        <v>0.0</v>
      </c>
      <c r="J597" s="2">
        <v>0.0</v>
      </c>
      <c r="K597" s="2">
        <v>9.0</v>
      </c>
      <c r="L597" s="2">
        <v>0.0</v>
      </c>
      <c r="M597" s="2">
        <v>5.0</v>
      </c>
      <c r="N597" s="2">
        <v>0.0</v>
      </c>
      <c r="O597" s="2">
        <v>-5.0</v>
      </c>
      <c r="P597" s="2" t="s">
        <v>92</v>
      </c>
    </row>
    <row r="598">
      <c r="A598" s="3" t="s">
        <v>142</v>
      </c>
      <c r="B598" s="4">
        <v>45324.29166666667</v>
      </c>
      <c r="C598" s="2" t="s">
        <v>18</v>
      </c>
      <c r="D598" s="2" t="s">
        <v>91</v>
      </c>
      <c r="E598" s="2" t="s">
        <v>171</v>
      </c>
      <c r="F598" s="2"/>
      <c r="G598" s="2">
        <v>8.0</v>
      </c>
      <c r="H598" s="2">
        <v>8.0</v>
      </c>
      <c r="I598" s="2">
        <v>0.0</v>
      </c>
      <c r="J598" s="2">
        <v>0.0</v>
      </c>
      <c r="K598" s="2">
        <v>0.0</v>
      </c>
      <c r="L598" s="2">
        <v>0.0</v>
      </c>
      <c r="M598" s="2"/>
      <c r="N598" s="2"/>
      <c r="O598" s="2"/>
      <c r="P598" s="2" t="s">
        <v>92</v>
      </c>
    </row>
    <row r="599">
      <c r="A599" s="3" t="s">
        <v>143</v>
      </c>
      <c r="B599" s="4">
        <v>45352.29166666667</v>
      </c>
      <c r="C599" s="2" t="s">
        <v>18</v>
      </c>
      <c r="D599" s="2" t="s">
        <v>91</v>
      </c>
      <c r="E599" s="2" t="s">
        <v>171</v>
      </c>
      <c r="F599" s="2"/>
      <c r="G599" s="2">
        <v>11.0</v>
      </c>
      <c r="H599" s="2">
        <v>2.0</v>
      </c>
      <c r="I599" s="2">
        <v>0.0</v>
      </c>
      <c r="J599" s="2">
        <v>0.0</v>
      </c>
      <c r="K599" s="2">
        <v>9.0</v>
      </c>
      <c r="L599" s="2">
        <v>0.0</v>
      </c>
      <c r="M599" s="2"/>
      <c r="N599" s="2"/>
      <c r="O599" s="2"/>
      <c r="P599" s="2" t="s">
        <v>92</v>
      </c>
    </row>
    <row r="600">
      <c r="A600" s="3" t="s">
        <v>144</v>
      </c>
      <c r="B600" s="2" t="s">
        <v>17</v>
      </c>
      <c r="C600" s="2" t="s">
        <v>18</v>
      </c>
      <c r="D600" s="2" t="s">
        <v>164</v>
      </c>
      <c r="E600" s="2" t="s">
        <v>165</v>
      </c>
      <c r="F600" s="2">
        <v>150.0</v>
      </c>
      <c r="G600" s="2">
        <v>252.0</v>
      </c>
      <c r="H600" s="2">
        <v>60.0</v>
      </c>
      <c r="I600" s="2">
        <v>139.0</v>
      </c>
      <c r="J600" s="2">
        <v>0.0</v>
      </c>
      <c r="K600" s="2">
        <v>53.0</v>
      </c>
      <c r="L600" s="2">
        <v>0.0</v>
      </c>
      <c r="M600" s="2">
        <v>90.0</v>
      </c>
      <c r="N600" s="2"/>
      <c r="O600" s="2"/>
      <c r="P600" s="2" t="s">
        <v>166</v>
      </c>
    </row>
    <row r="601">
      <c r="A601" s="3" t="s">
        <v>145</v>
      </c>
      <c r="B601" s="2" t="s">
        <v>17</v>
      </c>
      <c r="C601" s="2" t="s">
        <v>18</v>
      </c>
      <c r="D601" s="2" t="s">
        <v>23</v>
      </c>
      <c r="E601" s="2" t="s">
        <v>165</v>
      </c>
      <c r="F601" s="2">
        <v>150.0</v>
      </c>
      <c r="G601" s="2">
        <v>252.0</v>
      </c>
      <c r="H601" s="2">
        <v>60.0</v>
      </c>
      <c r="I601" s="2">
        <v>139.0</v>
      </c>
      <c r="J601" s="2">
        <v>0.0</v>
      </c>
      <c r="K601" s="2">
        <v>53.0</v>
      </c>
      <c r="L601" s="2">
        <v>0.0</v>
      </c>
      <c r="M601" s="2">
        <v>90.0</v>
      </c>
      <c r="N601" s="2">
        <v>0.0</v>
      </c>
      <c r="O601" s="2">
        <v>30.0</v>
      </c>
      <c r="P601" s="2" t="s">
        <v>166</v>
      </c>
    </row>
    <row r="602">
      <c r="A602" s="3" t="s">
        <v>16</v>
      </c>
      <c r="B602" s="4">
        <v>45324.29166666667</v>
      </c>
      <c r="C602" s="2" t="s">
        <v>18</v>
      </c>
      <c r="D602" s="2" t="s">
        <v>164</v>
      </c>
      <c r="E602" s="2" t="s">
        <v>165</v>
      </c>
      <c r="F602" s="2"/>
      <c r="G602" s="2">
        <v>252.0</v>
      </c>
      <c r="H602" s="2">
        <v>60.0</v>
      </c>
      <c r="I602" s="2">
        <v>139.0</v>
      </c>
      <c r="J602" s="2">
        <v>0.0</v>
      </c>
      <c r="K602" s="2">
        <v>53.0</v>
      </c>
      <c r="L602" s="2">
        <v>0.0</v>
      </c>
      <c r="M602" s="2"/>
      <c r="N602" s="2"/>
      <c r="O602" s="2"/>
      <c r="P602" s="2" t="s">
        <v>166</v>
      </c>
    </row>
    <row r="603">
      <c r="A603" s="3" t="s">
        <v>22</v>
      </c>
      <c r="B603" s="4">
        <v>45352.29166666667</v>
      </c>
      <c r="C603" s="2" t="s">
        <v>18</v>
      </c>
      <c r="D603" s="2" t="s">
        <v>164</v>
      </c>
      <c r="E603" s="2" t="s">
        <v>165</v>
      </c>
      <c r="F603" s="2"/>
      <c r="G603" s="2">
        <v>0.0</v>
      </c>
      <c r="H603" s="2">
        <v>0.0</v>
      </c>
      <c r="I603" s="2">
        <v>0.0</v>
      </c>
      <c r="J603" s="2">
        <v>0.0</v>
      </c>
      <c r="K603" s="2">
        <v>0.0</v>
      </c>
      <c r="L603" s="2">
        <v>0.0</v>
      </c>
      <c r="M603" s="2"/>
      <c r="N603" s="2"/>
      <c r="O603" s="2"/>
      <c r="P603" s="2" t="s">
        <v>166</v>
      </c>
    </row>
    <row r="604">
      <c r="A604" s="3" t="s">
        <v>24</v>
      </c>
      <c r="B604" s="2" t="s">
        <v>17</v>
      </c>
      <c r="C604" s="2" t="s">
        <v>18</v>
      </c>
      <c r="D604" s="2" t="s">
        <v>127</v>
      </c>
      <c r="E604" s="2" t="s">
        <v>27</v>
      </c>
      <c r="F604" s="2">
        <v>18.0</v>
      </c>
      <c r="G604" s="2">
        <v>28.0</v>
      </c>
      <c r="H604" s="2">
        <v>25.0</v>
      </c>
      <c r="I604" s="2">
        <v>3.0</v>
      </c>
      <c r="J604" s="2">
        <v>0.0</v>
      </c>
      <c r="K604" s="2">
        <v>0.0</v>
      </c>
      <c r="L604" s="2">
        <v>15.0</v>
      </c>
      <c r="M604" s="2">
        <v>-7.0</v>
      </c>
      <c r="N604" s="2"/>
      <c r="O604" s="2"/>
      <c r="P604" s="2" t="s">
        <v>80</v>
      </c>
    </row>
    <row r="605">
      <c r="A605" s="3" t="s">
        <v>25</v>
      </c>
      <c r="B605" s="2" t="s">
        <v>17</v>
      </c>
      <c r="C605" s="2" t="s">
        <v>18</v>
      </c>
      <c r="D605" s="2" t="s">
        <v>19</v>
      </c>
      <c r="E605" s="2" t="s">
        <v>27</v>
      </c>
      <c r="F605" s="2">
        <v>25.0</v>
      </c>
      <c r="G605" s="2">
        <v>9.0</v>
      </c>
      <c r="H605" s="2">
        <v>6.0</v>
      </c>
      <c r="I605" s="2">
        <v>3.0</v>
      </c>
      <c r="J605" s="2">
        <v>0.0</v>
      </c>
      <c r="K605" s="2">
        <v>0.0</v>
      </c>
      <c r="L605" s="2">
        <v>0.0</v>
      </c>
      <c r="M605" s="2">
        <v>19.0</v>
      </c>
      <c r="N605" s="2"/>
      <c r="O605" s="2"/>
      <c r="P605" s="2" t="s">
        <v>80</v>
      </c>
    </row>
    <row r="606">
      <c r="A606" s="3" t="s">
        <v>26</v>
      </c>
      <c r="B606" s="2" t="s">
        <v>17</v>
      </c>
      <c r="C606" s="2" t="s">
        <v>18</v>
      </c>
      <c r="D606" s="2" t="s">
        <v>23</v>
      </c>
      <c r="E606" s="2" t="s">
        <v>27</v>
      </c>
      <c r="F606" s="2">
        <v>26.0</v>
      </c>
      <c r="G606" s="2">
        <v>37.0</v>
      </c>
      <c r="H606" s="2">
        <v>31.0</v>
      </c>
      <c r="I606" s="2">
        <v>6.0</v>
      </c>
      <c r="J606" s="2">
        <v>0.0</v>
      </c>
      <c r="K606" s="2">
        <v>0.0</v>
      </c>
      <c r="L606" s="2">
        <v>15.0</v>
      </c>
      <c r="M606" s="2">
        <v>-5.0</v>
      </c>
      <c r="N606" s="2">
        <v>-17.0</v>
      </c>
      <c r="O606" s="2">
        <v>-36.0</v>
      </c>
      <c r="P606" s="2" t="s">
        <v>80</v>
      </c>
    </row>
    <row r="607">
      <c r="A607" s="3" t="s">
        <v>28</v>
      </c>
      <c r="B607" s="4">
        <v>45262.29166666667</v>
      </c>
      <c r="C607" s="2" t="s">
        <v>18</v>
      </c>
      <c r="D607" s="2" t="s">
        <v>19</v>
      </c>
      <c r="E607" s="2" t="s">
        <v>27</v>
      </c>
      <c r="F607" s="2"/>
      <c r="G607" s="2">
        <v>2.0</v>
      </c>
      <c r="H607" s="2">
        <v>2.0</v>
      </c>
      <c r="I607" s="2">
        <v>0.0</v>
      </c>
      <c r="J607" s="2">
        <v>0.0</v>
      </c>
      <c r="K607" s="2">
        <v>0.0</v>
      </c>
      <c r="L607" s="2">
        <v>0.0</v>
      </c>
      <c r="M607" s="2"/>
      <c r="N607" s="2"/>
      <c r="O607" s="2"/>
      <c r="P607" s="2" t="s">
        <v>80</v>
      </c>
    </row>
    <row r="608">
      <c r="A608" s="3" t="s">
        <v>29</v>
      </c>
      <c r="B608" s="4">
        <v>45292.29166666667</v>
      </c>
      <c r="C608" s="2" t="s">
        <v>18</v>
      </c>
      <c r="D608" s="2" t="s">
        <v>19</v>
      </c>
      <c r="E608" s="2" t="s">
        <v>27</v>
      </c>
      <c r="F608" s="2"/>
      <c r="G608" s="2">
        <v>0.0</v>
      </c>
      <c r="H608" s="2">
        <v>0.0</v>
      </c>
      <c r="I608" s="2">
        <v>0.0</v>
      </c>
      <c r="J608" s="2">
        <v>0.0</v>
      </c>
      <c r="K608" s="2">
        <v>0.0</v>
      </c>
      <c r="L608" s="2">
        <v>0.0</v>
      </c>
      <c r="M608" s="2"/>
      <c r="N608" s="2"/>
      <c r="O608" s="2"/>
      <c r="P608" s="2" t="s">
        <v>80</v>
      </c>
    </row>
    <row r="609">
      <c r="A609" s="3" t="s">
        <v>32</v>
      </c>
      <c r="B609" s="4">
        <v>45325.29166666667</v>
      </c>
      <c r="C609" s="2" t="s">
        <v>18</v>
      </c>
      <c r="D609" s="2" t="s">
        <v>19</v>
      </c>
      <c r="E609" s="2" t="s">
        <v>27</v>
      </c>
      <c r="F609" s="2"/>
      <c r="G609" s="2">
        <v>7.0</v>
      </c>
      <c r="H609" s="2">
        <v>4.0</v>
      </c>
      <c r="I609" s="2">
        <v>3.0</v>
      </c>
      <c r="J609" s="2">
        <v>0.0</v>
      </c>
      <c r="K609" s="2">
        <v>0.0</v>
      </c>
      <c r="L609" s="2">
        <v>0.0</v>
      </c>
      <c r="M609" s="2"/>
      <c r="N609" s="2"/>
      <c r="O609" s="2"/>
      <c r="P609" s="2" t="s">
        <v>80</v>
      </c>
    </row>
    <row r="610">
      <c r="A610" s="3" t="s">
        <v>34</v>
      </c>
      <c r="B610" s="4">
        <v>45353.29166666667</v>
      </c>
      <c r="C610" s="2" t="s">
        <v>18</v>
      </c>
      <c r="D610" s="2" t="s">
        <v>19</v>
      </c>
      <c r="E610" s="2" t="s">
        <v>27</v>
      </c>
      <c r="F610" s="2"/>
      <c r="G610" s="2">
        <v>0.0</v>
      </c>
      <c r="H610" s="2">
        <v>0.0</v>
      </c>
      <c r="I610" s="2">
        <v>0.0</v>
      </c>
      <c r="J610" s="2">
        <v>0.0</v>
      </c>
      <c r="K610" s="2">
        <v>0.0</v>
      </c>
      <c r="L610" s="2">
        <v>0.0</v>
      </c>
      <c r="M610" s="2"/>
      <c r="N610" s="2"/>
      <c r="O610" s="2"/>
      <c r="P610" s="2" t="s">
        <v>80</v>
      </c>
    </row>
    <row r="611">
      <c r="A611" s="3" t="s">
        <v>35</v>
      </c>
      <c r="B611" s="4">
        <v>45354.29166666667</v>
      </c>
      <c r="C611" s="2" t="s">
        <v>18</v>
      </c>
      <c r="D611" s="2" t="s">
        <v>127</v>
      </c>
      <c r="E611" s="2" t="s">
        <v>27</v>
      </c>
      <c r="F611" s="2"/>
      <c r="G611" s="2">
        <v>28.0</v>
      </c>
      <c r="H611" s="2">
        <v>25.0</v>
      </c>
      <c r="I611" s="2">
        <v>3.0</v>
      </c>
      <c r="J611" s="2">
        <v>0.0</v>
      </c>
      <c r="K611" s="2">
        <v>0.0</v>
      </c>
      <c r="L611" s="2">
        <v>15.0</v>
      </c>
      <c r="M611" s="2"/>
      <c r="N611" s="2"/>
      <c r="O611" s="2"/>
      <c r="P611" s="2" t="s">
        <v>80</v>
      </c>
    </row>
    <row r="612">
      <c r="A612" s="3" t="s">
        <v>36</v>
      </c>
      <c r="B612" s="2" t="s">
        <v>17</v>
      </c>
      <c r="C612" s="2" t="s">
        <v>18</v>
      </c>
      <c r="D612" s="2" t="s">
        <v>127</v>
      </c>
      <c r="E612" s="2" t="s">
        <v>27</v>
      </c>
      <c r="F612" s="2">
        <v>23.0</v>
      </c>
      <c r="G612" s="2">
        <v>35.0</v>
      </c>
      <c r="H612" s="2">
        <v>29.0</v>
      </c>
      <c r="I612" s="2">
        <v>6.0</v>
      </c>
      <c r="J612" s="2">
        <v>0.0</v>
      </c>
      <c r="K612" s="2">
        <v>0.0</v>
      </c>
      <c r="L612" s="2">
        <v>35.0</v>
      </c>
      <c r="M612" s="2">
        <v>-6.0</v>
      </c>
      <c r="N612" s="2"/>
      <c r="O612" s="2"/>
      <c r="P612" s="2" t="s">
        <v>80</v>
      </c>
    </row>
    <row r="613">
      <c r="A613" s="3" t="s">
        <v>37</v>
      </c>
      <c r="B613" s="2" t="s">
        <v>17</v>
      </c>
      <c r="C613" s="2" t="s">
        <v>18</v>
      </c>
      <c r="D613" s="2" t="s">
        <v>19</v>
      </c>
      <c r="E613" s="2" t="s">
        <v>27</v>
      </c>
      <c r="F613" s="2">
        <v>25.0</v>
      </c>
      <c r="G613" s="2">
        <v>3.0</v>
      </c>
      <c r="H613" s="2">
        <v>2.0</v>
      </c>
      <c r="I613" s="2">
        <v>1.0</v>
      </c>
      <c r="J613" s="2">
        <v>0.0</v>
      </c>
      <c r="K613" s="2">
        <v>0.0</v>
      </c>
      <c r="L613" s="2">
        <v>0.0</v>
      </c>
      <c r="M613" s="2">
        <v>23.0</v>
      </c>
      <c r="N613" s="2"/>
      <c r="O613" s="2"/>
      <c r="P613" s="2" t="s">
        <v>80</v>
      </c>
    </row>
    <row r="614">
      <c r="A614" s="3" t="s">
        <v>38</v>
      </c>
      <c r="B614" s="2" t="s">
        <v>17</v>
      </c>
      <c r="C614" s="2" t="s">
        <v>18</v>
      </c>
      <c r="D614" s="2" t="s">
        <v>23</v>
      </c>
      <c r="E614" s="2" t="s">
        <v>27</v>
      </c>
      <c r="F614" s="2">
        <v>25.0</v>
      </c>
      <c r="G614" s="2">
        <v>38.0</v>
      </c>
      <c r="H614" s="2">
        <v>31.0</v>
      </c>
      <c r="I614" s="2">
        <v>7.0</v>
      </c>
      <c r="J614" s="2">
        <v>0.0</v>
      </c>
      <c r="K614" s="2">
        <v>0.0</v>
      </c>
      <c r="L614" s="2">
        <v>35.0</v>
      </c>
      <c r="M614" s="2">
        <v>-6.0</v>
      </c>
      <c r="N614" s="2">
        <v>-23.0</v>
      </c>
      <c r="O614" s="2">
        <v>-37.0</v>
      </c>
      <c r="P614" s="2" t="s">
        <v>80</v>
      </c>
    </row>
    <row r="615">
      <c r="A615" s="3" t="s">
        <v>39</v>
      </c>
      <c r="B615" s="4">
        <v>45262.29166666667</v>
      </c>
      <c r="C615" s="2" t="s">
        <v>18</v>
      </c>
      <c r="D615" s="2" t="s">
        <v>19</v>
      </c>
      <c r="E615" s="2" t="s">
        <v>27</v>
      </c>
      <c r="F615" s="2"/>
      <c r="G615" s="2">
        <v>1.0</v>
      </c>
      <c r="H615" s="2">
        <v>1.0</v>
      </c>
      <c r="I615" s="2">
        <v>0.0</v>
      </c>
      <c r="J615" s="2">
        <v>0.0</v>
      </c>
      <c r="K615" s="2">
        <v>0.0</v>
      </c>
      <c r="L615" s="2">
        <v>0.0</v>
      </c>
      <c r="M615" s="2"/>
      <c r="N615" s="2"/>
      <c r="O615" s="2"/>
      <c r="P615" s="2" t="s">
        <v>80</v>
      </c>
    </row>
    <row r="616">
      <c r="A616" s="3" t="s">
        <v>40</v>
      </c>
      <c r="B616" s="4">
        <v>45324.29166666667</v>
      </c>
      <c r="C616" s="2" t="s">
        <v>18</v>
      </c>
      <c r="D616" s="2" t="s">
        <v>19</v>
      </c>
      <c r="E616" s="2" t="s">
        <v>27</v>
      </c>
      <c r="F616" s="2"/>
      <c r="G616" s="2">
        <v>2.0</v>
      </c>
      <c r="H616" s="2">
        <v>1.0</v>
      </c>
      <c r="I616" s="2">
        <v>1.0</v>
      </c>
      <c r="J616" s="2">
        <v>0.0</v>
      </c>
      <c r="K616" s="2">
        <v>0.0</v>
      </c>
      <c r="L616" s="2">
        <v>0.0</v>
      </c>
      <c r="M616" s="2"/>
      <c r="N616" s="2"/>
      <c r="O616" s="2"/>
      <c r="P616" s="2" t="s">
        <v>80</v>
      </c>
    </row>
    <row r="617">
      <c r="A617" s="3" t="s">
        <v>41</v>
      </c>
      <c r="B617" s="4">
        <v>45353.29166666667</v>
      </c>
      <c r="C617" s="2" t="s">
        <v>18</v>
      </c>
      <c r="D617" s="2" t="s">
        <v>19</v>
      </c>
      <c r="E617" s="2" t="s">
        <v>27</v>
      </c>
      <c r="F617" s="2"/>
      <c r="G617" s="2">
        <v>0.0</v>
      </c>
      <c r="H617" s="2">
        <v>0.0</v>
      </c>
      <c r="I617" s="2">
        <v>0.0</v>
      </c>
      <c r="J617" s="2">
        <v>0.0</v>
      </c>
      <c r="K617" s="2">
        <v>0.0</v>
      </c>
      <c r="L617" s="2">
        <v>0.0</v>
      </c>
      <c r="M617" s="2"/>
      <c r="N617" s="2"/>
      <c r="O617" s="2"/>
      <c r="P617" s="2" t="s">
        <v>80</v>
      </c>
    </row>
    <row r="618">
      <c r="A618" s="3" t="s">
        <v>42</v>
      </c>
      <c r="B618" s="4">
        <v>45354.29166666667</v>
      </c>
      <c r="C618" s="2" t="s">
        <v>18</v>
      </c>
      <c r="D618" s="2" t="s">
        <v>127</v>
      </c>
      <c r="E618" s="2" t="s">
        <v>27</v>
      </c>
      <c r="F618" s="2"/>
      <c r="G618" s="2">
        <v>35.0</v>
      </c>
      <c r="H618" s="2">
        <v>29.0</v>
      </c>
      <c r="I618" s="2">
        <v>6.0</v>
      </c>
      <c r="J618" s="2">
        <v>0.0</v>
      </c>
      <c r="K618" s="2">
        <v>0.0</v>
      </c>
      <c r="L618" s="2">
        <v>35.0</v>
      </c>
      <c r="M618" s="2"/>
      <c r="N618" s="2"/>
      <c r="O618" s="2"/>
      <c r="P618" s="2" t="s">
        <v>80</v>
      </c>
    </row>
    <row r="619">
      <c r="A619" s="3" t="s">
        <v>43</v>
      </c>
      <c r="B619" s="2" t="s">
        <v>17</v>
      </c>
      <c r="C619" s="2" t="s">
        <v>18</v>
      </c>
      <c r="D619" s="2" t="s">
        <v>79</v>
      </c>
      <c r="E619" s="2" t="s">
        <v>165</v>
      </c>
      <c r="F619" s="2">
        <v>260.0</v>
      </c>
      <c r="G619" s="2">
        <v>141.0</v>
      </c>
      <c r="H619" s="2">
        <v>82.0</v>
      </c>
      <c r="I619" s="2">
        <v>59.0</v>
      </c>
      <c r="J619" s="2">
        <v>0.0</v>
      </c>
      <c r="K619" s="2">
        <v>0.0</v>
      </c>
      <c r="L619" s="2">
        <v>0.0</v>
      </c>
      <c r="M619" s="2">
        <v>178.0</v>
      </c>
      <c r="N619" s="2"/>
      <c r="O619" s="2"/>
      <c r="P619" s="2" t="s">
        <v>166</v>
      </c>
    </row>
    <row r="620">
      <c r="A620" s="3" t="s">
        <v>44</v>
      </c>
      <c r="B620" s="2" t="s">
        <v>17</v>
      </c>
      <c r="C620" s="2" t="s">
        <v>18</v>
      </c>
      <c r="D620" s="2" t="s">
        <v>23</v>
      </c>
      <c r="E620" s="2" t="s">
        <v>165</v>
      </c>
      <c r="F620" s="2">
        <v>260.0</v>
      </c>
      <c r="G620" s="2">
        <v>141.0</v>
      </c>
      <c r="H620" s="2">
        <v>82.0</v>
      </c>
      <c r="I620" s="2">
        <v>59.0</v>
      </c>
      <c r="J620" s="2">
        <v>0.0</v>
      </c>
      <c r="K620" s="2">
        <v>0.0</v>
      </c>
      <c r="L620" s="2">
        <v>0.0</v>
      </c>
      <c r="M620" s="2">
        <v>178.0</v>
      </c>
      <c r="N620" s="2">
        <v>0.0</v>
      </c>
      <c r="O620" s="2">
        <v>96.0</v>
      </c>
      <c r="P620" s="2" t="s">
        <v>166</v>
      </c>
    </row>
    <row r="621">
      <c r="A621" s="3" t="s">
        <v>45</v>
      </c>
      <c r="B621" s="4">
        <v>45294.29166666667</v>
      </c>
      <c r="C621" s="2" t="s">
        <v>18</v>
      </c>
      <c r="D621" s="2" t="s">
        <v>79</v>
      </c>
      <c r="E621" s="2" t="s">
        <v>165</v>
      </c>
      <c r="F621" s="2"/>
      <c r="G621" s="2">
        <v>137.0</v>
      </c>
      <c r="H621" s="2">
        <v>78.0</v>
      </c>
      <c r="I621" s="2">
        <v>59.0</v>
      </c>
      <c r="J621" s="2">
        <v>0.0</v>
      </c>
      <c r="K621" s="2">
        <v>0.0</v>
      </c>
      <c r="L621" s="2">
        <v>0.0</v>
      </c>
      <c r="M621" s="2"/>
      <c r="N621" s="2"/>
      <c r="O621" s="2"/>
      <c r="P621" s="2" t="s">
        <v>166</v>
      </c>
    </row>
    <row r="622">
      <c r="A622" s="3" t="s">
        <v>16</v>
      </c>
      <c r="B622" s="4">
        <v>45323.29166666667</v>
      </c>
      <c r="C622" s="2" t="s">
        <v>18</v>
      </c>
      <c r="D622" s="2" t="s">
        <v>79</v>
      </c>
      <c r="E622" s="2" t="s">
        <v>165</v>
      </c>
      <c r="F622" s="2"/>
      <c r="G622" s="2">
        <v>4.0</v>
      </c>
      <c r="H622" s="2">
        <v>4.0</v>
      </c>
      <c r="I622" s="2">
        <v>0.0</v>
      </c>
      <c r="J622" s="2">
        <v>0.0</v>
      </c>
      <c r="K622" s="2">
        <v>0.0</v>
      </c>
      <c r="L622" s="2">
        <v>0.0</v>
      </c>
      <c r="M622" s="2"/>
      <c r="N622" s="2"/>
      <c r="O622" s="2"/>
      <c r="P622" s="2" t="s">
        <v>166</v>
      </c>
    </row>
    <row r="623">
      <c r="A623" s="3" t="s">
        <v>47</v>
      </c>
      <c r="B623" s="4">
        <v>45352.29166666667</v>
      </c>
      <c r="C623" s="2" t="s">
        <v>18</v>
      </c>
      <c r="D623" s="2" t="s">
        <v>79</v>
      </c>
      <c r="E623" s="2" t="s">
        <v>165</v>
      </c>
      <c r="F623" s="2"/>
      <c r="G623" s="2">
        <v>0.0</v>
      </c>
      <c r="H623" s="2">
        <v>0.0</v>
      </c>
      <c r="I623" s="2">
        <v>0.0</v>
      </c>
      <c r="J623" s="2">
        <v>0.0</v>
      </c>
      <c r="K623" s="2">
        <v>0.0</v>
      </c>
      <c r="L623" s="2">
        <v>0.0</v>
      </c>
      <c r="M623" s="2"/>
      <c r="N623" s="2"/>
      <c r="O623" s="2"/>
      <c r="P623" s="2" t="s">
        <v>166</v>
      </c>
    </row>
    <row r="624">
      <c r="A624" s="3" t="s">
        <v>48</v>
      </c>
      <c r="B624" s="2" t="s">
        <v>17</v>
      </c>
      <c r="C624" s="2" t="s">
        <v>18</v>
      </c>
      <c r="D624" s="2" t="s">
        <v>164</v>
      </c>
      <c r="E624" s="2" t="s">
        <v>165</v>
      </c>
      <c r="F624" s="2">
        <v>70.0</v>
      </c>
      <c r="G624" s="2">
        <v>103.0</v>
      </c>
      <c r="H624" s="2">
        <v>71.0</v>
      </c>
      <c r="I624" s="2">
        <v>28.0</v>
      </c>
      <c r="J624" s="2">
        <v>4.0</v>
      </c>
      <c r="K624" s="2">
        <v>0.0</v>
      </c>
      <c r="L624" s="2">
        <v>0.0</v>
      </c>
      <c r="M624" s="2">
        <v>-1.0</v>
      </c>
      <c r="N624" s="2"/>
      <c r="O624" s="2"/>
      <c r="P624" s="2" t="s">
        <v>166</v>
      </c>
    </row>
    <row r="625">
      <c r="A625" s="3" t="s">
        <v>49</v>
      </c>
      <c r="B625" s="2" t="s">
        <v>17</v>
      </c>
      <c r="C625" s="2" t="s">
        <v>18</v>
      </c>
      <c r="D625" s="2" t="s">
        <v>23</v>
      </c>
      <c r="E625" s="2" t="s">
        <v>165</v>
      </c>
      <c r="F625" s="2">
        <v>70.0</v>
      </c>
      <c r="G625" s="2">
        <v>103.0</v>
      </c>
      <c r="H625" s="2">
        <v>71.0</v>
      </c>
      <c r="I625" s="2">
        <v>28.0</v>
      </c>
      <c r="J625" s="2">
        <v>4.0</v>
      </c>
      <c r="K625" s="2">
        <v>0.0</v>
      </c>
      <c r="L625" s="2">
        <v>0.0</v>
      </c>
      <c r="M625" s="2">
        <v>-1.0</v>
      </c>
      <c r="N625" s="2">
        <v>0.0</v>
      </c>
      <c r="O625" s="2">
        <v>-67.0</v>
      </c>
      <c r="P625" s="2" t="s">
        <v>166</v>
      </c>
    </row>
    <row r="626">
      <c r="A626" s="3" t="s">
        <v>51</v>
      </c>
      <c r="B626" s="4">
        <v>45294.29166666667</v>
      </c>
      <c r="C626" s="2" t="s">
        <v>18</v>
      </c>
      <c r="D626" s="2" t="s">
        <v>164</v>
      </c>
      <c r="E626" s="2" t="s">
        <v>165</v>
      </c>
      <c r="F626" s="2"/>
      <c r="G626" s="2">
        <v>95.0</v>
      </c>
      <c r="H626" s="2">
        <v>66.0</v>
      </c>
      <c r="I626" s="2">
        <v>25.0</v>
      </c>
      <c r="J626" s="2">
        <v>4.0</v>
      </c>
      <c r="K626" s="2">
        <v>0.0</v>
      </c>
      <c r="L626" s="2">
        <v>0.0</v>
      </c>
      <c r="M626" s="2"/>
      <c r="N626" s="2"/>
      <c r="O626" s="2"/>
      <c r="P626" s="2" t="s">
        <v>166</v>
      </c>
    </row>
    <row r="627">
      <c r="A627" s="3" t="s">
        <v>52</v>
      </c>
      <c r="B627" s="4">
        <v>45353.29166666667</v>
      </c>
      <c r="C627" s="2" t="s">
        <v>18</v>
      </c>
      <c r="D627" s="2" t="s">
        <v>172</v>
      </c>
      <c r="E627" s="2" t="s">
        <v>165</v>
      </c>
      <c r="F627" s="2"/>
      <c r="G627" s="2">
        <v>0.0</v>
      </c>
      <c r="H627" s="2">
        <v>0.0</v>
      </c>
      <c r="I627" s="2">
        <v>0.0</v>
      </c>
      <c r="J627" s="2">
        <v>0.0</v>
      </c>
      <c r="K627" s="2">
        <v>0.0</v>
      </c>
      <c r="L627" s="2">
        <v>0.0</v>
      </c>
      <c r="M627" s="2"/>
      <c r="N627" s="2"/>
      <c r="O627" s="2"/>
      <c r="P627" s="2" t="s">
        <v>166</v>
      </c>
    </row>
    <row r="628">
      <c r="A628" s="3" t="s">
        <v>53</v>
      </c>
      <c r="B628" s="2" t="s">
        <v>17</v>
      </c>
      <c r="C628" s="2" t="s">
        <v>18</v>
      </c>
      <c r="D628" s="2" t="s">
        <v>91</v>
      </c>
      <c r="E628" s="2" t="s">
        <v>27</v>
      </c>
      <c r="F628" s="2">
        <v>70.0</v>
      </c>
      <c r="G628" s="2">
        <v>93.0</v>
      </c>
      <c r="H628" s="2">
        <v>73.0</v>
      </c>
      <c r="I628" s="2">
        <v>20.0</v>
      </c>
      <c r="J628" s="2">
        <v>0.0</v>
      </c>
      <c r="K628" s="2">
        <v>0.0</v>
      </c>
      <c r="L628" s="2">
        <v>27.0</v>
      </c>
      <c r="M628" s="2">
        <v>-3.0</v>
      </c>
      <c r="N628" s="2"/>
      <c r="O628" s="2"/>
      <c r="P628" s="2" t="s">
        <v>92</v>
      </c>
    </row>
    <row r="629">
      <c r="A629" s="3" t="s">
        <v>54</v>
      </c>
      <c r="B629" s="2" t="s">
        <v>17</v>
      </c>
      <c r="C629" s="2" t="s">
        <v>18</v>
      </c>
      <c r="D629" s="2" t="s">
        <v>19</v>
      </c>
      <c r="E629" s="2" t="s">
        <v>27</v>
      </c>
      <c r="F629" s="2">
        <v>30.0</v>
      </c>
      <c r="G629" s="2">
        <v>24.0</v>
      </c>
      <c r="H629" s="2">
        <v>12.0</v>
      </c>
      <c r="I629" s="2">
        <v>12.0</v>
      </c>
      <c r="J629" s="2">
        <v>0.0</v>
      </c>
      <c r="K629" s="2">
        <v>0.0</v>
      </c>
      <c r="L629" s="2">
        <v>0.0</v>
      </c>
      <c r="M629" s="2">
        <v>18.0</v>
      </c>
      <c r="N629" s="2"/>
      <c r="O629" s="2"/>
      <c r="P629" s="2" t="s">
        <v>92</v>
      </c>
    </row>
    <row r="630">
      <c r="A630" s="3" t="s">
        <v>55</v>
      </c>
      <c r="B630" s="2" t="s">
        <v>17</v>
      </c>
      <c r="C630" s="2" t="s">
        <v>148</v>
      </c>
      <c r="D630" s="2" t="s">
        <v>69</v>
      </c>
      <c r="E630" s="2" t="s">
        <v>27</v>
      </c>
      <c r="F630" s="2">
        <v>10.0</v>
      </c>
      <c r="G630" s="2">
        <v>0.0</v>
      </c>
      <c r="H630" s="2">
        <v>0.0</v>
      </c>
      <c r="I630" s="2">
        <v>0.0</v>
      </c>
      <c r="J630" s="2">
        <v>0.0</v>
      </c>
      <c r="K630" s="2">
        <v>0.0</v>
      </c>
      <c r="L630" s="2">
        <v>0.0</v>
      </c>
      <c r="M630" s="2">
        <v>10.0</v>
      </c>
      <c r="N630" s="2"/>
      <c r="O630" s="2"/>
      <c r="P630" s="2" t="s">
        <v>92</v>
      </c>
    </row>
    <row r="631">
      <c r="A631" s="3" t="s">
        <v>56</v>
      </c>
      <c r="B631" s="2" t="s">
        <v>17</v>
      </c>
      <c r="C631" s="2" t="s">
        <v>18</v>
      </c>
      <c r="D631" s="2" t="s">
        <v>23</v>
      </c>
      <c r="E631" s="2" t="s">
        <v>27</v>
      </c>
      <c r="F631" s="2">
        <v>107.0</v>
      </c>
      <c r="G631" s="2">
        <v>117.0</v>
      </c>
      <c r="H631" s="2">
        <v>85.0</v>
      </c>
      <c r="I631" s="2">
        <v>32.0</v>
      </c>
      <c r="J631" s="2">
        <v>0.0</v>
      </c>
      <c r="K631" s="2">
        <v>0.0</v>
      </c>
      <c r="L631" s="2">
        <v>27.0</v>
      </c>
      <c r="M631" s="2">
        <v>22.0</v>
      </c>
      <c r="N631" s="2">
        <v>-3.0</v>
      </c>
      <c r="O631" s="2">
        <v>-63.0</v>
      </c>
      <c r="P631" s="2" t="s">
        <v>92</v>
      </c>
    </row>
    <row r="632">
      <c r="A632" s="3" t="s">
        <v>59</v>
      </c>
      <c r="B632" s="4">
        <v>45324.29166666667</v>
      </c>
      <c r="C632" s="2" t="s">
        <v>18</v>
      </c>
      <c r="D632" s="2" t="s">
        <v>91</v>
      </c>
      <c r="E632" s="2" t="s">
        <v>27</v>
      </c>
      <c r="F632" s="2"/>
      <c r="G632" s="2">
        <v>66.0</v>
      </c>
      <c r="H632" s="2">
        <v>51.0</v>
      </c>
      <c r="I632" s="2">
        <v>15.0</v>
      </c>
      <c r="J632" s="2">
        <v>0.0</v>
      </c>
      <c r="K632" s="2">
        <v>0.0</v>
      </c>
      <c r="L632" s="2">
        <v>0.0</v>
      </c>
      <c r="M632" s="2"/>
      <c r="N632" s="2"/>
      <c r="O632" s="2"/>
      <c r="P632" s="2" t="s">
        <v>92</v>
      </c>
    </row>
    <row r="633">
      <c r="A633" s="3" t="s">
        <v>60</v>
      </c>
      <c r="B633" s="4">
        <v>45325.29166666667</v>
      </c>
      <c r="C633" s="2" t="s">
        <v>18</v>
      </c>
      <c r="D633" s="2" t="s">
        <v>19</v>
      </c>
      <c r="E633" s="2" t="s">
        <v>27</v>
      </c>
      <c r="F633" s="2"/>
      <c r="G633" s="2">
        <v>10.0</v>
      </c>
      <c r="H633" s="2">
        <v>6.0</v>
      </c>
      <c r="I633" s="2">
        <v>4.0</v>
      </c>
      <c r="J633" s="2">
        <v>0.0</v>
      </c>
      <c r="K633" s="2">
        <v>0.0</v>
      </c>
      <c r="L633" s="2">
        <v>0.0</v>
      </c>
      <c r="M633" s="2"/>
      <c r="N633" s="2"/>
      <c r="O633" s="2"/>
      <c r="P633" s="2" t="s">
        <v>92</v>
      </c>
    </row>
    <row r="634">
      <c r="A634" s="3" t="s">
        <v>61</v>
      </c>
      <c r="B634" s="4">
        <v>45353.29166666667</v>
      </c>
      <c r="C634" s="2" t="s">
        <v>18</v>
      </c>
      <c r="D634" s="2" t="s">
        <v>91</v>
      </c>
      <c r="E634" s="2" t="s">
        <v>27</v>
      </c>
      <c r="F634" s="2"/>
      <c r="G634" s="2">
        <v>27.0</v>
      </c>
      <c r="H634" s="2">
        <v>22.0</v>
      </c>
      <c r="I634" s="2">
        <v>5.0</v>
      </c>
      <c r="J634" s="2">
        <v>0.0</v>
      </c>
      <c r="K634" s="2">
        <v>0.0</v>
      </c>
      <c r="L634" s="2">
        <v>27.0</v>
      </c>
      <c r="M634" s="2"/>
      <c r="N634" s="2"/>
      <c r="O634" s="2"/>
      <c r="P634" s="2" t="s">
        <v>92</v>
      </c>
    </row>
    <row r="635">
      <c r="A635" s="3" t="s">
        <v>62</v>
      </c>
      <c r="B635" s="4">
        <v>45354.29166666667</v>
      </c>
      <c r="C635" s="2" t="s">
        <v>18</v>
      </c>
      <c r="D635" s="2" t="s">
        <v>19</v>
      </c>
      <c r="E635" s="2" t="s">
        <v>27</v>
      </c>
      <c r="F635" s="2"/>
      <c r="G635" s="2">
        <v>14.0</v>
      </c>
      <c r="H635" s="2">
        <v>6.0</v>
      </c>
      <c r="I635" s="2">
        <v>8.0</v>
      </c>
      <c r="J635" s="2">
        <v>0.0</v>
      </c>
      <c r="K635" s="2">
        <v>0.0</v>
      </c>
      <c r="L635" s="2">
        <v>0.0</v>
      </c>
      <c r="M635" s="2"/>
      <c r="N635" s="2"/>
      <c r="O635" s="2"/>
      <c r="P635" s="2" t="s">
        <v>92</v>
      </c>
    </row>
    <row r="636">
      <c r="A636" s="3" t="s">
        <v>63</v>
      </c>
      <c r="B636" s="2" t="s">
        <v>17</v>
      </c>
      <c r="C636" s="2" t="s">
        <v>18</v>
      </c>
      <c r="D636" s="2" t="s">
        <v>19</v>
      </c>
      <c r="E636" s="2" t="s">
        <v>162</v>
      </c>
      <c r="F636" s="2">
        <v>18.0</v>
      </c>
      <c r="G636" s="2">
        <v>8.0</v>
      </c>
      <c r="H636" s="2">
        <v>7.0</v>
      </c>
      <c r="I636" s="2">
        <v>1.0</v>
      </c>
      <c r="J636" s="2">
        <v>0.0</v>
      </c>
      <c r="K636" s="2">
        <v>0.0</v>
      </c>
      <c r="L636" s="2">
        <v>0.0</v>
      </c>
      <c r="M636" s="2">
        <v>11.0</v>
      </c>
      <c r="N636" s="2"/>
      <c r="O636" s="2"/>
      <c r="P636" s="2" t="s">
        <v>111</v>
      </c>
    </row>
    <row r="637">
      <c r="A637" s="3" t="s">
        <v>64</v>
      </c>
      <c r="B637" s="2" t="s">
        <v>17</v>
      </c>
      <c r="C637" s="2" t="s">
        <v>18</v>
      </c>
      <c r="D637" s="2" t="s">
        <v>23</v>
      </c>
      <c r="E637" s="2" t="s">
        <v>162</v>
      </c>
      <c r="F637" s="2">
        <v>18.0</v>
      </c>
      <c r="G637" s="2">
        <v>8.0</v>
      </c>
      <c r="H637" s="2">
        <v>7.0</v>
      </c>
      <c r="I637" s="2">
        <v>1.0</v>
      </c>
      <c r="J637" s="2">
        <v>0.0</v>
      </c>
      <c r="K637" s="2">
        <v>0.0</v>
      </c>
      <c r="L637" s="2">
        <v>0.0</v>
      </c>
      <c r="M637" s="2">
        <v>11.0</v>
      </c>
      <c r="N637" s="2">
        <v>0.0</v>
      </c>
      <c r="O637" s="2">
        <v>4.0</v>
      </c>
      <c r="P637" s="2" t="s">
        <v>111</v>
      </c>
    </row>
    <row r="638">
      <c r="A638" s="3" t="s">
        <v>65</v>
      </c>
      <c r="B638" s="4">
        <v>45201.29166666667</v>
      </c>
      <c r="C638" s="2" t="s">
        <v>18</v>
      </c>
      <c r="D638" s="2" t="s">
        <v>19</v>
      </c>
      <c r="E638" s="2" t="s">
        <v>162</v>
      </c>
      <c r="F638" s="2"/>
      <c r="G638" s="2">
        <v>8.0</v>
      </c>
      <c r="H638" s="2">
        <v>7.0</v>
      </c>
      <c r="I638" s="2">
        <v>1.0</v>
      </c>
      <c r="J638" s="2">
        <v>0.0</v>
      </c>
      <c r="K638" s="2">
        <v>0.0</v>
      </c>
      <c r="L638" s="2">
        <v>0.0</v>
      </c>
      <c r="M638" s="2"/>
      <c r="N638" s="2"/>
      <c r="O638" s="2"/>
      <c r="P638" s="2" t="s">
        <v>111</v>
      </c>
    </row>
    <row r="639">
      <c r="A639" s="3" t="s">
        <v>66</v>
      </c>
      <c r="B639" s="4">
        <v>45231.25</v>
      </c>
      <c r="C639" s="2" t="s">
        <v>18</v>
      </c>
      <c r="D639" s="2" t="s">
        <v>19</v>
      </c>
      <c r="E639" s="2" t="s">
        <v>162</v>
      </c>
      <c r="F639" s="2"/>
      <c r="G639" s="2">
        <v>0.0</v>
      </c>
      <c r="H639" s="2">
        <v>0.0</v>
      </c>
      <c r="I639" s="2">
        <v>0.0</v>
      </c>
      <c r="J639" s="2">
        <v>0.0</v>
      </c>
      <c r="K639" s="2">
        <v>0.0</v>
      </c>
      <c r="L639" s="2">
        <v>0.0</v>
      </c>
      <c r="M639" s="2"/>
      <c r="N639" s="2"/>
      <c r="O639" s="2"/>
      <c r="P639" s="2" t="s">
        <v>111</v>
      </c>
    </row>
    <row r="640">
      <c r="A640" s="3" t="s">
        <v>68</v>
      </c>
      <c r="B640" s="2" t="s">
        <v>17</v>
      </c>
      <c r="C640" s="2" t="s">
        <v>18</v>
      </c>
      <c r="D640" s="2" t="s">
        <v>91</v>
      </c>
      <c r="E640" s="2" t="s">
        <v>173</v>
      </c>
      <c r="F640" s="2">
        <v>18.0</v>
      </c>
      <c r="G640" s="2">
        <v>6.0</v>
      </c>
      <c r="H640" s="2">
        <v>6.0</v>
      </c>
      <c r="I640" s="2">
        <v>0.0</v>
      </c>
      <c r="J640" s="2">
        <v>0.0</v>
      </c>
      <c r="K640" s="2">
        <v>0.0</v>
      </c>
      <c r="L640" s="2">
        <v>0.0</v>
      </c>
      <c r="M640" s="2">
        <v>12.0</v>
      </c>
      <c r="N640" s="2"/>
      <c r="O640" s="2"/>
      <c r="P640" s="2" t="s">
        <v>92</v>
      </c>
    </row>
    <row r="641">
      <c r="A641" s="3" t="s">
        <v>70</v>
      </c>
      <c r="B641" s="2" t="s">
        <v>17</v>
      </c>
      <c r="C641" s="2" t="s">
        <v>18</v>
      </c>
      <c r="D641" s="2" t="s">
        <v>19</v>
      </c>
      <c r="E641" s="2" t="s">
        <v>173</v>
      </c>
      <c r="F641" s="2">
        <v>18.0</v>
      </c>
      <c r="G641" s="2">
        <v>0.0</v>
      </c>
      <c r="H641" s="2">
        <v>0.0</v>
      </c>
      <c r="I641" s="2">
        <v>0.0</v>
      </c>
      <c r="J641" s="2">
        <v>0.0</v>
      </c>
      <c r="K641" s="2">
        <v>0.0</v>
      </c>
      <c r="L641" s="2">
        <v>0.0</v>
      </c>
      <c r="M641" s="2">
        <v>18.0</v>
      </c>
      <c r="N641" s="2"/>
      <c r="O641" s="2"/>
      <c r="P641" s="2" t="s">
        <v>92</v>
      </c>
    </row>
    <row r="642">
      <c r="A642" s="3" t="s">
        <v>16</v>
      </c>
      <c r="B642" s="2" t="s">
        <v>17</v>
      </c>
      <c r="C642" s="2" t="s">
        <v>18</v>
      </c>
      <c r="D642" s="2" t="s">
        <v>23</v>
      </c>
      <c r="E642" s="2" t="s">
        <v>173</v>
      </c>
      <c r="F642" s="2">
        <v>18.0</v>
      </c>
      <c r="G642" s="2">
        <v>6.0</v>
      </c>
      <c r="H642" s="2">
        <v>6.0</v>
      </c>
      <c r="I642" s="2">
        <v>0.0</v>
      </c>
      <c r="J642" s="2">
        <v>0.0</v>
      </c>
      <c r="K642" s="2">
        <v>0.0</v>
      </c>
      <c r="L642" s="2">
        <v>0.0</v>
      </c>
      <c r="M642" s="2">
        <v>12.0</v>
      </c>
      <c r="N642" s="2">
        <v>-18.0</v>
      </c>
      <c r="O642" s="2">
        <v>6.0</v>
      </c>
      <c r="P642" s="2" t="s">
        <v>92</v>
      </c>
    </row>
    <row r="643">
      <c r="A643" s="3" t="s">
        <v>71</v>
      </c>
      <c r="B643" s="4">
        <v>45201.29166666667</v>
      </c>
      <c r="C643" s="2" t="s">
        <v>18</v>
      </c>
      <c r="D643" s="2" t="s">
        <v>19</v>
      </c>
      <c r="E643" s="2" t="s">
        <v>173</v>
      </c>
      <c r="F643" s="2"/>
      <c r="G643" s="2">
        <v>0.0</v>
      </c>
      <c r="H643" s="2">
        <v>0.0</v>
      </c>
      <c r="I643" s="2">
        <v>0.0</v>
      </c>
      <c r="J643" s="2">
        <v>0.0</v>
      </c>
      <c r="K643" s="2">
        <v>0.0</v>
      </c>
      <c r="L643" s="2">
        <v>0.0</v>
      </c>
      <c r="M643" s="2"/>
      <c r="N643" s="2"/>
      <c r="O643" s="2"/>
      <c r="P643" s="2" t="s">
        <v>92</v>
      </c>
    </row>
    <row r="644">
      <c r="A644" s="3" t="s">
        <v>72</v>
      </c>
      <c r="B644" s="4">
        <v>45202.29166666667</v>
      </c>
      <c r="C644" s="2" t="s">
        <v>18</v>
      </c>
      <c r="D644" s="2" t="s">
        <v>91</v>
      </c>
      <c r="E644" s="2" t="s">
        <v>173</v>
      </c>
      <c r="F644" s="2"/>
      <c r="G644" s="2">
        <v>6.0</v>
      </c>
      <c r="H644" s="2">
        <v>6.0</v>
      </c>
      <c r="I644" s="2">
        <v>0.0</v>
      </c>
      <c r="J644" s="2">
        <v>0.0</v>
      </c>
      <c r="K644" s="2">
        <v>0.0</v>
      </c>
      <c r="L644" s="2">
        <v>0.0</v>
      </c>
      <c r="M644" s="2"/>
      <c r="N644" s="2"/>
      <c r="O644" s="2"/>
      <c r="P644" s="2" t="s">
        <v>92</v>
      </c>
    </row>
    <row r="645">
      <c r="A645" s="3" t="s">
        <v>73</v>
      </c>
      <c r="B645" s="4">
        <v>45231.25</v>
      </c>
      <c r="C645" s="2" t="s">
        <v>18</v>
      </c>
      <c r="D645" s="2" t="s">
        <v>19</v>
      </c>
      <c r="E645" s="2" t="s">
        <v>173</v>
      </c>
      <c r="F645" s="2"/>
      <c r="G645" s="2">
        <v>0.0</v>
      </c>
      <c r="H645" s="2">
        <v>0.0</v>
      </c>
      <c r="I645" s="2">
        <v>0.0</v>
      </c>
      <c r="J645" s="2">
        <v>0.0</v>
      </c>
      <c r="K645" s="2">
        <v>0.0</v>
      </c>
      <c r="L645" s="2">
        <v>0.0</v>
      </c>
      <c r="M645" s="2"/>
      <c r="N645" s="2"/>
      <c r="O645" s="2"/>
      <c r="P645" s="2" t="s">
        <v>92</v>
      </c>
    </row>
    <row r="646">
      <c r="A646" s="3" t="s">
        <v>74</v>
      </c>
      <c r="B646" s="4">
        <v>45232.25</v>
      </c>
      <c r="C646" s="2" t="s">
        <v>18</v>
      </c>
      <c r="D646" s="2" t="s">
        <v>91</v>
      </c>
      <c r="E646" s="2" t="s">
        <v>173</v>
      </c>
      <c r="F646" s="2"/>
      <c r="G646" s="2">
        <v>0.0</v>
      </c>
      <c r="H646" s="2">
        <v>0.0</v>
      </c>
      <c r="I646" s="2">
        <v>0.0</v>
      </c>
      <c r="J646" s="2">
        <v>0.0</v>
      </c>
      <c r="K646" s="2">
        <v>0.0</v>
      </c>
      <c r="L646" s="2">
        <v>0.0</v>
      </c>
      <c r="M646" s="2"/>
      <c r="N646" s="2"/>
      <c r="O646" s="2"/>
      <c r="P646" s="2" t="s">
        <v>92</v>
      </c>
    </row>
    <row r="647">
      <c r="A647" s="3" t="s">
        <v>75</v>
      </c>
      <c r="B647" s="2" t="s">
        <v>17</v>
      </c>
      <c r="C647" s="2" t="s">
        <v>18</v>
      </c>
      <c r="D647" s="2" t="s">
        <v>19</v>
      </c>
      <c r="E647" s="2" t="s">
        <v>174</v>
      </c>
      <c r="F647" s="2">
        <v>13.0</v>
      </c>
      <c r="G647" s="2">
        <v>1.0</v>
      </c>
      <c r="H647" s="2">
        <v>0.0</v>
      </c>
      <c r="I647" s="2">
        <v>1.0</v>
      </c>
      <c r="J647" s="2">
        <v>0.0</v>
      </c>
      <c r="K647" s="2">
        <v>0.0</v>
      </c>
      <c r="L647" s="2">
        <v>0.0</v>
      </c>
      <c r="M647" s="2">
        <v>13.0</v>
      </c>
      <c r="N647" s="2"/>
      <c r="O647" s="2"/>
      <c r="P647" s="2" t="s">
        <v>175</v>
      </c>
    </row>
    <row r="648">
      <c r="A648" s="3" t="s">
        <v>76</v>
      </c>
      <c r="B648" s="2" t="s">
        <v>17</v>
      </c>
      <c r="C648" s="2" t="s">
        <v>18</v>
      </c>
      <c r="D648" s="2" t="s">
        <v>19</v>
      </c>
      <c r="E648" s="2" t="s">
        <v>176</v>
      </c>
      <c r="F648" s="2">
        <v>12.0</v>
      </c>
      <c r="G648" s="2">
        <v>1.0</v>
      </c>
      <c r="H648" s="2">
        <v>1.0</v>
      </c>
      <c r="I648" s="2">
        <v>0.0</v>
      </c>
      <c r="J648" s="2">
        <v>0.0</v>
      </c>
      <c r="K648" s="2">
        <v>0.0</v>
      </c>
      <c r="L648" s="2">
        <v>0.0</v>
      </c>
      <c r="M648" s="2">
        <v>11.0</v>
      </c>
      <c r="N648" s="2"/>
      <c r="O648" s="2"/>
      <c r="P648" s="2" t="s">
        <v>175</v>
      </c>
    </row>
    <row r="649">
      <c r="A649" s="3" t="s">
        <v>77</v>
      </c>
      <c r="B649" s="2" t="s">
        <v>17</v>
      </c>
      <c r="C649" s="2" t="s">
        <v>18</v>
      </c>
      <c r="D649" s="2" t="s">
        <v>19</v>
      </c>
      <c r="E649" s="2" t="s">
        <v>177</v>
      </c>
      <c r="F649" s="2">
        <v>12.0</v>
      </c>
      <c r="G649" s="2">
        <v>0.0</v>
      </c>
      <c r="H649" s="2">
        <v>0.0</v>
      </c>
      <c r="I649" s="2">
        <v>0.0</v>
      </c>
      <c r="J649" s="2">
        <v>0.0</v>
      </c>
      <c r="K649" s="2">
        <v>0.0</v>
      </c>
      <c r="L649" s="2">
        <v>0.0</v>
      </c>
      <c r="M649" s="2">
        <v>12.0</v>
      </c>
      <c r="N649" s="2"/>
      <c r="O649" s="2"/>
      <c r="P649" s="2" t="s">
        <v>175</v>
      </c>
    </row>
    <row r="650">
      <c r="A650" s="3" t="s">
        <v>78</v>
      </c>
      <c r="B650" s="2" t="s">
        <v>17</v>
      </c>
      <c r="C650" s="2" t="s">
        <v>18</v>
      </c>
      <c r="D650" s="2" t="s">
        <v>19</v>
      </c>
      <c r="E650" s="2" t="s">
        <v>169</v>
      </c>
      <c r="F650" s="2">
        <v>13.0</v>
      </c>
      <c r="G650" s="2">
        <v>1.0</v>
      </c>
      <c r="H650" s="2">
        <v>1.0</v>
      </c>
      <c r="I650" s="2">
        <v>0.0</v>
      </c>
      <c r="J650" s="2">
        <v>0.0</v>
      </c>
      <c r="K650" s="2">
        <v>0.0</v>
      </c>
      <c r="L650" s="2">
        <v>0.0</v>
      </c>
      <c r="M650" s="2">
        <v>12.0</v>
      </c>
      <c r="N650" s="2"/>
      <c r="O650" s="2"/>
      <c r="P650" s="2" t="s">
        <v>175</v>
      </c>
    </row>
    <row r="651">
      <c r="A651" s="3" t="s">
        <v>81</v>
      </c>
      <c r="B651" s="2" t="s">
        <v>17</v>
      </c>
      <c r="C651" s="2" t="s">
        <v>18</v>
      </c>
      <c r="D651" s="2" t="s">
        <v>23</v>
      </c>
      <c r="E651" s="2" t="s">
        <v>174</v>
      </c>
      <c r="F651" s="2">
        <v>13.0</v>
      </c>
      <c r="G651" s="2">
        <v>1.0</v>
      </c>
      <c r="H651" s="2">
        <v>0.0</v>
      </c>
      <c r="I651" s="2">
        <v>1.0</v>
      </c>
      <c r="J651" s="2">
        <v>0.0</v>
      </c>
      <c r="K651" s="2">
        <v>0.0</v>
      </c>
      <c r="L651" s="2">
        <v>0.0</v>
      </c>
      <c r="M651" s="2">
        <v>13.0</v>
      </c>
      <c r="N651" s="2">
        <v>0.0</v>
      </c>
      <c r="O651" s="2">
        <v>13.0</v>
      </c>
      <c r="P651" s="2" t="s">
        <v>175</v>
      </c>
    </row>
    <row r="652">
      <c r="A652" s="3" t="s">
        <v>82</v>
      </c>
      <c r="B652" s="2" t="s">
        <v>17</v>
      </c>
      <c r="C652" s="2" t="s">
        <v>18</v>
      </c>
      <c r="D652" s="2" t="s">
        <v>23</v>
      </c>
      <c r="E652" s="2" t="s">
        <v>176</v>
      </c>
      <c r="F652" s="2">
        <v>12.0</v>
      </c>
      <c r="G652" s="2">
        <v>1.0</v>
      </c>
      <c r="H652" s="2">
        <v>1.0</v>
      </c>
      <c r="I652" s="2">
        <v>0.0</v>
      </c>
      <c r="J652" s="2">
        <v>0.0</v>
      </c>
      <c r="K652" s="2">
        <v>0.0</v>
      </c>
      <c r="L652" s="2">
        <v>0.0</v>
      </c>
      <c r="M652" s="2">
        <v>11.0</v>
      </c>
      <c r="N652" s="2">
        <v>0.0</v>
      </c>
      <c r="O652" s="2">
        <v>10.0</v>
      </c>
      <c r="P652" s="2" t="s">
        <v>175</v>
      </c>
    </row>
    <row r="653">
      <c r="A653" s="3" t="s">
        <v>83</v>
      </c>
      <c r="B653" s="2" t="s">
        <v>17</v>
      </c>
      <c r="C653" s="2" t="s">
        <v>18</v>
      </c>
      <c r="D653" s="2" t="s">
        <v>23</v>
      </c>
      <c r="E653" s="2" t="s">
        <v>177</v>
      </c>
      <c r="F653" s="2">
        <v>12.0</v>
      </c>
      <c r="G653" s="2">
        <v>0.0</v>
      </c>
      <c r="H653" s="2">
        <v>0.0</v>
      </c>
      <c r="I653" s="2">
        <v>0.0</v>
      </c>
      <c r="J653" s="2">
        <v>0.0</v>
      </c>
      <c r="K653" s="2">
        <v>0.0</v>
      </c>
      <c r="L653" s="2">
        <v>0.0</v>
      </c>
      <c r="M653" s="2">
        <v>12.0</v>
      </c>
      <c r="N653" s="2">
        <v>0.0</v>
      </c>
      <c r="O653" s="2">
        <v>12.0</v>
      </c>
      <c r="P653" s="2" t="s">
        <v>175</v>
      </c>
    </row>
    <row r="654">
      <c r="A654" s="3" t="s">
        <v>84</v>
      </c>
      <c r="B654" s="2" t="s">
        <v>17</v>
      </c>
      <c r="C654" s="2" t="s">
        <v>18</v>
      </c>
      <c r="D654" s="2" t="s">
        <v>23</v>
      </c>
      <c r="E654" s="2" t="s">
        <v>169</v>
      </c>
      <c r="F654" s="2">
        <v>13.0</v>
      </c>
      <c r="G654" s="2">
        <v>1.0</v>
      </c>
      <c r="H654" s="2">
        <v>1.0</v>
      </c>
      <c r="I654" s="2">
        <v>0.0</v>
      </c>
      <c r="J654" s="2">
        <v>0.0</v>
      </c>
      <c r="K654" s="2">
        <v>0.0</v>
      </c>
      <c r="L654" s="2">
        <v>0.0</v>
      </c>
      <c r="M654" s="2">
        <v>12.0</v>
      </c>
      <c r="N654" s="2">
        <v>0.0</v>
      </c>
      <c r="O654" s="2">
        <v>11.0</v>
      </c>
      <c r="P654" s="2" t="s">
        <v>175</v>
      </c>
    </row>
    <row r="655">
      <c r="A655" s="3" t="s">
        <v>85</v>
      </c>
      <c r="B655" s="4">
        <v>45111.29166666667</v>
      </c>
      <c r="C655" s="2" t="s">
        <v>18</v>
      </c>
      <c r="D655" s="2" t="s">
        <v>19</v>
      </c>
      <c r="E655" s="2" t="s">
        <v>174</v>
      </c>
      <c r="F655" s="2"/>
      <c r="G655" s="2">
        <v>1.0</v>
      </c>
      <c r="H655" s="2">
        <v>0.0</v>
      </c>
      <c r="I655" s="2">
        <v>1.0</v>
      </c>
      <c r="J655" s="2">
        <v>0.0</v>
      </c>
      <c r="K655" s="2">
        <v>0.0</v>
      </c>
      <c r="L655" s="2">
        <v>0.0</v>
      </c>
      <c r="M655" s="2"/>
      <c r="N655" s="2"/>
      <c r="O655" s="2"/>
      <c r="P655" s="2" t="s">
        <v>175</v>
      </c>
    </row>
    <row r="656">
      <c r="A656" s="3" t="s">
        <v>86</v>
      </c>
      <c r="B656" s="4">
        <v>45112.29166666667</v>
      </c>
      <c r="C656" s="2" t="s">
        <v>18</v>
      </c>
      <c r="D656" s="2" t="s">
        <v>19</v>
      </c>
      <c r="E656" s="2" t="s">
        <v>176</v>
      </c>
      <c r="F656" s="2"/>
      <c r="G656" s="2">
        <v>1.0</v>
      </c>
      <c r="H656" s="2">
        <v>1.0</v>
      </c>
      <c r="I656" s="2">
        <v>0.0</v>
      </c>
      <c r="J656" s="2">
        <v>0.0</v>
      </c>
      <c r="K656" s="2">
        <v>0.0</v>
      </c>
      <c r="L656" s="2">
        <v>0.0</v>
      </c>
      <c r="M656" s="2"/>
      <c r="N656" s="2"/>
      <c r="O656" s="2"/>
      <c r="P656" s="2" t="s">
        <v>175</v>
      </c>
    </row>
    <row r="657">
      <c r="A657" s="3" t="s">
        <v>87</v>
      </c>
      <c r="B657" s="4">
        <v>45113.29166666667</v>
      </c>
      <c r="C657" s="2" t="s">
        <v>18</v>
      </c>
      <c r="D657" s="2" t="s">
        <v>19</v>
      </c>
      <c r="E657" s="2" t="s">
        <v>177</v>
      </c>
      <c r="F657" s="2"/>
      <c r="G657" s="2">
        <v>0.0</v>
      </c>
      <c r="H657" s="2">
        <v>0.0</v>
      </c>
      <c r="I657" s="2">
        <v>0.0</v>
      </c>
      <c r="J657" s="2">
        <v>0.0</v>
      </c>
      <c r="K657" s="2">
        <v>0.0</v>
      </c>
      <c r="L657" s="2">
        <v>0.0</v>
      </c>
      <c r="M657" s="2"/>
      <c r="N657" s="2"/>
      <c r="O657" s="2"/>
      <c r="P657" s="2" t="s">
        <v>175</v>
      </c>
    </row>
    <row r="658">
      <c r="A658" s="3" t="s">
        <v>88</v>
      </c>
      <c r="B658" s="4">
        <v>45114.29166666667</v>
      </c>
      <c r="C658" s="2" t="s">
        <v>18</v>
      </c>
      <c r="D658" s="2" t="s">
        <v>19</v>
      </c>
      <c r="E658" s="2" t="s">
        <v>169</v>
      </c>
      <c r="F658" s="2"/>
      <c r="G658" s="2">
        <v>1.0</v>
      </c>
      <c r="H658" s="2">
        <v>1.0</v>
      </c>
      <c r="I658" s="2">
        <v>0.0</v>
      </c>
      <c r="J658" s="2">
        <v>0.0</v>
      </c>
      <c r="K658" s="2">
        <v>0.0</v>
      </c>
      <c r="L658" s="2">
        <v>0.0</v>
      </c>
      <c r="M658" s="2"/>
      <c r="N658" s="2"/>
      <c r="O658" s="2"/>
      <c r="P658" s="2" t="s">
        <v>175</v>
      </c>
    </row>
    <row r="659">
      <c r="A659" s="3" t="s">
        <v>89</v>
      </c>
      <c r="B659" s="2" t="s">
        <v>17</v>
      </c>
      <c r="C659" s="2" t="s">
        <v>57</v>
      </c>
      <c r="D659" s="2" t="s">
        <v>127</v>
      </c>
      <c r="E659" s="2" t="s">
        <v>27</v>
      </c>
      <c r="F659" s="2">
        <v>60.0</v>
      </c>
      <c r="G659" s="2">
        <v>81.0</v>
      </c>
      <c r="H659" s="2">
        <v>60.0</v>
      </c>
      <c r="I659" s="2">
        <v>21.0</v>
      </c>
      <c r="J659" s="2">
        <v>0.0</v>
      </c>
      <c r="K659" s="2">
        <v>0.0</v>
      </c>
      <c r="L659" s="2">
        <v>0.0</v>
      </c>
      <c r="M659" s="2">
        <v>0.0</v>
      </c>
      <c r="N659" s="2"/>
      <c r="O659" s="2"/>
      <c r="P659" s="2" t="s">
        <v>80</v>
      </c>
    </row>
    <row r="660">
      <c r="A660" s="3" t="s">
        <v>90</v>
      </c>
      <c r="B660" s="2" t="s">
        <v>17</v>
      </c>
      <c r="C660" s="2" t="s">
        <v>18</v>
      </c>
      <c r="D660" s="2" t="s">
        <v>19</v>
      </c>
      <c r="E660" s="2" t="s">
        <v>27</v>
      </c>
      <c r="F660" s="2">
        <v>22.0</v>
      </c>
      <c r="G660" s="2">
        <v>13.0</v>
      </c>
      <c r="H660" s="2">
        <v>10.0</v>
      </c>
      <c r="I660" s="2">
        <v>3.0</v>
      </c>
      <c r="J660" s="2">
        <v>0.0</v>
      </c>
      <c r="K660" s="2">
        <v>0.0</v>
      </c>
      <c r="L660" s="2">
        <v>0.0</v>
      </c>
      <c r="M660" s="2">
        <v>12.0</v>
      </c>
      <c r="N660" s="2"/>
      <c r="O660" s="2"/>
      <c r="P660" s="2" t="s">
        <v>80</v>
      </c>
    </row>
    <row r="661">
      <c r="A661" s="3" t="s">
        <v>93</v>
      </c>
      <c r="B661" s="2" t="s">
        <v>17</v>
      </c>
      <c r="C661" s="2" t="s">
        <v>18</v>
      </c>
      <c r="D661" s="2" t="s">
        <v>23</v>
      </c>
      <c r="E661" s="2" t="s">
        <v>27</v>
      </c>
      <c r="F661" s="2">
        <v>82.0</v>
      </c>
      <c r="G661" s="2">
        <v>94.0</v>
      </c>
      <c r="H661" s="2">
        <v>70.0</v>
      </c>
      <c r="I661" s="2">
        <v>24.0</v>
      </c>
      <c r="J661" s="2">
        <v>0.0</v>
      </c>
      <c r="K661" s="2">
        <v>0.0</v>
      </c>
      <c r="L661" s="2">
        <v>0.0</v>
      </c>
      <c r="M661" s="2">
        <v>12.0</v>
      </c>
      <c r="N661" s="2">
        <v>0.0</v>
      </c>
      <c r="O661" s="2">
        <v>-58.0</v>
      </c>
      <c r="P661" s="2" t="s">
        <v>80</v>
      </c>
    </row>
    <row r="662">
      <c r="A662" s="3" t="s">
        <v>16</v>
      </c>
      <c r="B662" s="4">
        <v>45171.29166666667</v>
      </c>
      <c r="C662" s="2" t="s">
        <v>18</v>
      </c>
      <c r="D662" s="2" t="s">
        <v>19</v>
      </c>
      <c r="E662" s="2" t="s">
        <v>27</v>
      </c>
      <c r="F662" s="2"/>
      <c r="G662" s="2">
        <v>10.0</v>
      </c>
      <c r="H662" s="2">
        <v>7.0</v>
      </c>
      <c r="I662" s="2">
        <v>3.0</v>
      </c>
      <c r="J662" s="2">
        <v>0.0</v>
      </c>
      <c r="K662" s="2">
        <v>0.0</v>
      </c>
      <c r="L662" s="2">
        <v>0.0</v>
      </c>
      <c r="M662" s="2"/>
      <c r="N662" s="2"/>
      <c r="O662" s="2"/>
      <c r="P662" s="2" t="s">
        <v>80</v>
      </c>
    </row>
    <row r="663">
      <c r="A663" s="3" t="s">
        <v>94</v>
      </c>
      <c r="B663" s="4">
        <v>45172.29166666667</v>
      </c>
      <c r="C663" s="2" t="s">
        <v>18</v>
      </c>
      <c r="D663" s="2" t="s">
        <v>127</v>
      </c>
      <c r="E663" s="2" t="s">
        <v>27</v>
      </c>
      <c r="F663" s="2"/>
      <c r="G663" s="2">
        <v>14.0</v>
      </c>
      <c r="H663" s="2">
        <v>14.0</v>
      </c>
      <c r="I663" s="2">
        <v>0.0</v>
      </c>
      <c r="J663" s="2">
        <v>0.0</v>
      </c>
      <c r="K663" s="2">
        <v>0.0</v>
      </c>
      <c r="L663" s="2">
        <v>0.0</v>
      </c>
      <c r="M663" s="2"/>
      <c r="N663" s="2"/>
      <c r="O663" s="2"/>
      <c r="P663" s="2" t="s">
        <v>80</v>
      </c>
    </row>
    <row r="664">
      <c r="A664" s="3" t="s">
        <v>95</v>
      </c>
      <c r="B664" s="4">
        <v>45202.29166666667</v>
      </c>
      <c r="C664" s="2" t="s">
        <v>18</v>
      </c>
      <c r="D664" s="2" t="s">
        <v>127</v>
      </c>
      <c r="E664" s="2" t="s">
        <v>27</v>
      </c>
      <c r="F664" s="2"/>
      <c r="G664" s="2">
        <v>29.0</v>
      </c>
      <c r="H664" s="2">
        <v>25.0</v>
      </c>
      <c r="I664" s="2">
        <v>4.0</v>
      </c>
      <c r="J664" s="2">
        <v>0.0</v>
      </c>
      <c r="K664" s="2">
        <v>0.0</v>
      </c>
      <c r="L664" s="2">
        <v>0.0</v>
      </c>
      <c r="M664" s="2"/>
      <c r="N664" s="2"/>
      <c r="O664" s="2"/>
      <c r="P664" s="2" t="s">
        <v>80</v>
      </c>
    </row>
    <row r="665">
      <c r="A665" s="3" t="s">
        <v>97</v>
      </c>
      <c r="B665" s="4">
        <v>45203.29166666667</v>
      </c>
      <c r="C665" s="2" t="s">
        <v>18</v>
      </c>
      <c r="D665" s="2" t="s">
        <v>19</v>
      </c>
      <c r="E665" s="2" t="s">
        <v>27</v>
      </c>
      <c r="F665" s="2"/>
      <c r="G665" s="2">
        <v>2.0</v>
      </c>
      <c r="H665" s="2">
        <v>2.0</v>
      </c>
      <c r="I665" s="2">
        <v>0.0</v>
      </c>
      <c r="J665" s="2">
        <v>0.0</v>
      </c>
      <c r="K665" s="2">
        <v>0.0</v>
      </c>
      <c r="L665" s="2">
        <v>0.0</v>
      </c>
      <c r="M665" s="2"/>
      <c r="N665" s="2"/>
      <c r="O665" s="2"/>
      <c r="P665" s="2" t="s">
        <v>80</v>
      </c>
    </row>
    <row r="666">
      <c r="A666" s="3" t="s">
        <v>98</v>
      </c>
      <c r="B666" s="4">
        <v>45263.29166666667</v>
      </c>
      <c r="C666" s="2" t="s">
        <v>18</v>
      </c>
      <c r="D666" s="2" t="s">
        <v>127</v>
      </c>
      <c r="E666" s="2" t="s">
        <v>27</v>
      </c>
      <c r="F666" s="2"/>
      <c r="G666" s="2">
        <v>38.0</v>
      </c>
      <c r="H666" s="2">
        <v>21.0</v>
      </c>
      <c r="I666" s="2">
        <v>17.0</v>
      </c>
      <c r="J666" s="2">
        <v>0.0</v>
      </c>
      <c r="K666" s="2">
        <v>0.0</v>
      </c>
      <c r="L666" s="2">
        <v>0.0</v>
      </c>
      <c r="M666" s="2"/>
      <c r="N666" s="2"/>
      <c r="O666" s="2"/>
      <c r="P666" s="2" t="s">
        <v>80</v>
      </c>
    </row>
    <row r="667">
      <c r="A667" s="3" t="s">
        <v>99</v>
      </c>
      <c r="B667" s="4">
        <v>45293.29166666667</v>
      </c>
      <c r="C667" s="2" t="s">
        <v>18</v>
      </c>
      <c r="D667" s="2" t="s">
        <v>19</v>
      </c>
      <c r="E667" s="2" t="s">
        <v>27</v>
      </c>
      <c r="F667" s="2"/>
      <c r="G667" s="2">
        <v>1.0</v>
      </c>
      <c r="H667" s="2">
        <v>1.0</v>
      </c>
      <c r="I667" s="2">
        <v>0.0</v>
      </c>
      <c r="J667" s="2">
        <v>0.0</v>
      </c>
      <c r="K667" s="2">
        <v>0.0</v>
      </c>
      <c r="L667" s="2">
        <v>0.0</v>
      </c>
      <c r="M667" s="2"/>
      <c r="N667" s="2"/>
      <c r="O667" s="2"/>
      <c r="P667" s="2" t="s">
        <v>80</v>
      </c>
    </row>
    <row r="668">
      <c r="A668" s="3" t="s">
        <v>100</v>
      </c>
      <c r="B668" s="2" t="s">
        <v>17</v>
      </c>
      <c r="C668" s="2" t="s">
        <v>18</v>
      </c>
      <c r="D668" s="2" t="s">
        <v>164</v>
      </c>
      <c r="E668" s="2" t="s">
        <v>178</v>
      </c>
      <c r="F668" s="2">
        <v>0.0</v>
      </c>
      <c r="G668" s="2">
        <v>9.0</v>
      </c>
      <c r="H668" s="2">
        <v>1.0</v>
      </c>
      <c r="I668" s="2">
        <v>8.0</v>
      </c>
      <c r="J668" s="2">
        <v>0.0</v>
      </c>
      <c r="K668" s="2">
        <v>0.0</v>
      </c>
      <c r="L668" s="2">
        <v>7.0</v>
      </c>
      <c r="M668" s="2">
        <v>-1.0</v>
      </c>
      <c r="N668" s="2"/>
      <c r="O668" s="2"/>
      <c r="P668" s="2" t="s">
        <v>166</v>
      </c>
    </row>
    <row r="669">
      <c r="A669" s="3" t="s">
        <v>101</v>
      </c>
      <c r="B669" s="2" t="s">
        <v>17</v>
      </c>
      <c r="C669" s="2" t="s">
        <v>18</v>
      </c>
      <c r="D669" s="2" t="s">
        <v>23</v>
      </c>
      <c r="E669" s="2" t="s">
        <v>178</v>
      </c>
      <c r="F669" s="2">
        <v>25.0</v>
      </c>
      <c r="G669" s="2">
        <v>9.0</v>
      </c>
      <c r="H669" s="2">
        <v>1.0</v>
      </c>
      <c r="I669" s="2">
        <v>8.0</v>
      </c>
      <c r="J669" s="2">
        <v>0.0</v>
      </c>
      <c r="K669" s="2">
        <v>0.0</v>
      </c>
      <c r="L669" s="2">
        <v>7.0</v>
      </c>
      <c r="M669" s="2">
        <v>24.0</v>
      </c>
      <c r="N669" s="2">
        <v>25.0</v>
      </c>
      <c r="O669" s="2">
        <v>23.0</v>
      </c>
      <c r="P669" s="2" t="s">
        <v>166</v>
      </c>
    </row>
    <row r="670">
      <c r="A670" s="3" t="s">
        <v>102</v>
      </c>
      <c r="B670" s="4">
        <v>45324.29166666667</v>
      </c>
      <c r="C670" s="2" t="s">
        <v>18</v>
      </c>
      <c r="D670" s="2" t="s">
        <v>164</v>
      </c>
      <c r="E670" s="2" t="s">
        <v>178</v>
      </c>
      <c r="F670" s="2"/>
      <c r="G670" s="2">
        <v>9.0</v>
      </c>
      <c r="H670" s="2">
        <v>1.0</v>
      </c>
      <c r="I670" s="2">
        <v>8.0</v>
      </c>
      <c r="J670" s="2">
        <v>0.0</v>
      </c>
      <c r="K670" s="2">
        <v>0.0</v>
      </c>
      <c r="L670" s="2">
        <v>7.0</v>
      </c>
      <c r="M670" s="2"/>
      <c r="N670" s="2"/>
      <c r="O670" s="2"/>
      <c r="P670" s="2" t="s">
        <v>166</v>
      </c>
    </row>
    <row r="671">
      <c r="A671" s="3" t="s">
        <v>103</v>
      </c>
      <c r="B671" s="2" t="s">
        <v>17</v>
      </c>
      <c r="C671" s="2" t="s">
        <v>18</v>
      </c>
      <c r="D671" s="2" t="s">
        <v>164</v>
      </c>
      <c r="E671" s="2" t="s">
        <v>168</v>
      </c>
      <c r="F671" s="2">
        <v>19.0</v>
      </c>
      <c r="G671" s="2">
        <v>49.0</v>
      </c>
      <c r="H671" s="2">
        <v>19.0</v>
      </c>
      <c r="I671" s="2">
        <v>30.0</v>
      </c>
      <c r="J671" s="2">
        <v>0.0</v>
      </c>
      <c r="K671" s="2">
        <v>0.0</v>
      </c>
      <c r="L671" s="2">
        <v>0.0</v>
      </c>
      <c r="M671" s="2">
        <v>0.0</v>
      </c>
      <c r="N671" s="2"/>
      <c r="O671" s="2"/>
      <c r="P671" s="2" t="s">
        <v>166</v>
      </c>
    </row>
    <row r="672">
      <c r="A672" s="3" t="s">
        <v>104</v>
      </c>
      <c r="B672" s="2" t="s">
        <v>17</v>
      </c>
      <c r="C672" s="2" t="s">
        <v>18</v>
      </c>
      <c r="D672" s="2" t="s">
        <v>23</v>
      </c>
      <c r="E672" s="2" t="s">
        <v>168</v>
      </c>
      <c r="F672" s="2">
        <v>19.0</v>
      </c>
      <c r="G672" s="2">
        <v>49.0</v>
      </c>
      <c r="H672" s="2">
        <v>19.0</v>
      </c>
      <c r="I672" s="2">
        <v>30.0</v>
      </c>
      <c r="J672" s="2">
        <v>0.0</v>
      </c>
      <c r="K672" s="2">
        <v>0.0</v>
      </c>
      <c r="L672" s="2">
        <v>0.0</v>
      </c>
      <c r="M672" s="2">
        <v>0.0</v>
      </c>
      <c r="N672" s="2">
        <v>0.0</v>
      </c>
      <c r="O672" s="2">
        <v>-19.0</v>
      </c>
      <c r="P672" s="2" t="s">
        <v>166</v>
      </c>
    </row>
    <row r="673">
      <c r="A673" s="3" t="s">
        <v>105</v>
      </c>
      <c r="B673" s="4">
        <v>45324.29166666667</v>
      </c>
      <c r="C673" s="2" t="s">
        <v>18</v>
      </c>
      <c r="D673" s="2" t="s">
        <v>164</v>
      </c>
      <c r="E673" s="2" t="s">
        <v>168</v>
      </c>
      <c r="F673" s="2"/>
      <c r="G673" s="2">
        <v>49.0</v>
      </c>
      <c r="H673" s="2">
        <v>19.0</v>
      </c>
      <c r="I673" s="2">
        <v>30.0</v>
      </c>
      <c r="J673" s="2">
        <v>0.0</v>
      </c>
      <c r="K673" s="2">
        <v>0.0</v>
      </c>
      <c r="L673" s="2">
        <v>0.0</v>
      </c>
      <c r="M673" s="2"/>
      <c r="N673" s="2"/>
      <c r="O673" s="2"/>
      <c r="P673" s="2" t="s">
        <v>166</v>
      </c>
    </row>
    <row r="674">
      <c r="A674" s="3" t="s">
        <v>106</v>
      </c>
      <c r="B674" s="4">
        <v>45352.29166666667</v>
      </c>
      <c r="C674" s="2" t="s">
        <v>18</v>
      </c>
      <c r="D674" s="2" t="s">
        <v>164</v>
      </c>
      <c r="E674" s="2" t="s">
        <v>168</v>
      </c>
      <c r="F674" s="2"/>
      <c r="G674" s="2">
        <v>0.0</v>
      </c>
      <c r="H674" s="2">
        <v>0.0</v>
      </c>
      <c r="I674" s="2">
        <v>0.0</v>
      </c>
      <c r="J674" s="2">
        <v>0.0</v>
      </c>
      <c r="K674" s="2">
        <v>0.0</v>
      </c>
      <c r="L674" s="2">
        <v>0.0</v>
      </c>
      <c r="M674" s="2"/>
      <c r="N674" s="2"/>
      <c r="O674" s="2"/>
      <c r="P674" s="2" t="s">
        <v>166</v>
      </c>
    </row>
    <row r="675">
      <c r="A675" s="3" t="s">
        <v>107</v>
      </c>
      <c r="B675" s="2" t="s">
        <v>17</v>
      </c>
      <c r="C675" s="2" t="s">
        <v>18</v>
      </c>
      <c r="D675" s="2" t="s">
        <v>164</v>
      </c>
      <c r="E675" s="2" t="s">
        <v>165</v>
      </c>
      <c r="F675" s="2">
        <v>210.0</v>
      </c>
      <c r="G675" s="2">
        <v>342.0</v>
      </c>
      <c r="H675" s="2">
        <v>210.0</v>
      </c>
      <c r="I675" s="2">
        <v>132.0</v>
      </c>
      <c r="J675" s="2">
        <v>0.0</v>
      </c>
      <c r="K675" s="2">
        <v>0.0</v>
      </c>
      <c r="L675" s="2">
        <v>0.0</v>
      </c>
      <c r="M675" s="2">
        <v>0.0</v>
      </c>
      <c r="N675" s="2"/>
      <c r="O675" s="2"/>
      <c r="P675" s="2" t="s">
        <v>166</v>
      </c>
    </row>
    <row r="676">
      <c r="A676" s="3" t="s">
        <v>108</v>
      </c>
      <c r="B676" s="2" t="s">
        <v>17</v>
      </c>
      <c r="C676" s="2" t="s">
        <v>18</v>
      </c>
      <c r="D676" s="2" t="s">
        <v>23</v>
      </c>
      <c r="E676" s="2" t="s">
        <v>165</v>
      </c>
      <c r="F676" s="2">
        <v>210.0</v>
      </c>
      <c r="G676" s="2">
        <v>342.0</v>
      </c>
      <c r="H676" s="2">
        <v>210.0</v>
      </c>
      <c r="I676" s="2">
        <v>132.0</v>
      </c>
      <c r="J676" s="2">
        <v>0.0</v>
      </c>
      <c r="K676" s="2">
        <v>0.0</v>
      </c>
      <c r="L676" s="2">
        <v>0.0</v>
      </c>
      <c r="M676" s="2">
        <v>0.0</v>
      </c>
      <c r="N676" s="2">
        <v>0.0</v>
      </c>
      <c r="O676" s="2">
        <v>-210.0</v>
      </c>
      <c r="P676" s="2" t="s">
        <v>166</v>
      </c>
    </row>
    <row r="677">
      <c r="A677" s="3" t="s">
        <v>112</v>
      </c>
      <c r="B677" s="4">
        <v>45294.29166666667</v>
      </c>
      <c r="C677" s="2" t="s">
        <v>18</v>
      </c>
      <c r="D677" s="2" t="s">
        <v>164</v>
      </c>
      <c r="E677" s="2" t="s">
        <v>165</v>
      </c>
      <c r="F677" s="2"/>
      <c r="G677" s="2">
        <v>342.0</v>
      </c>
      <c r="H677" s="2">
        <v>210.0</v>
      </c>
      <c r="I677" s="2">
        <v>132.0</v>
      </c>
      <c r="J677" s="2">
        <v>0.0</v>
      </c>
      <c r="K677" s="2">
        <v>0.0</v>
      </c>
      <c r="L677" s="2">
        <v>0.0</v>
      </c>
      <c r="M677" s="2"/>
      <c r="N677" s="2"/>
      <c r="O677" s="2"/>
      <c r="P677" s="2" t="s">
        <v>166</v>
      </c>
    </row>
    <row r="678">
      <c r="A678" s="3" t="s">
        <v>115</v>
      </c>
      <c r="B678" s="4">
        <v>45323.29166666667</v>
      </c>
      <c r="C678" s="2" t="s">
        <v>18</v>
      </c>
      <c r="D678" s="2" t="s">
        <v>164</v>
      </c>
      <c r="E678" s="2" t="s">
        <v>165</v>
      </c>
      <c r="F678" s="2"/>
      <c r="G678" s="2">
        <v>0.0</v>
      </c>
      <c r="H678" s="2">
        <v>0.0</v>
      </c>
      <c r="I678" s="2">
        <v>0.0</v>
      </c>
      <c r="J678" s="2">
        <v>0.0</v>
      </c>
      <c r="K678" s="2">
        <v>0.0</v>
      </c>
      <c r="L678" s="2">
        <v>0.0</v>
      </c>
      <c r="M678" s="2"/>
      <c r="N678" s="2"/>
      <c r="O678" s="2"/>
      <c r="P678" s="2" t="s">
        <v>166</v>
      </c>
    </row>
    <row r="679">
      <c r="A679" s="3" t="s">
        <v>117</v>
      </c>
      <c r="B679" s="2" t="s">
        <v>17</v>
      </c>
      <c r="C679" s="2" t="s">
        <v>18</v>
      </c>
      <c r="D679" s="2" t="s">
        <v>164</v>
      </c>
      <c r="E679" s="2" t="s">
        <v>165</v>
      </c>
      <c r="F679" s="2">
        <v>89.0</v>
      </c>
      <c r="G679" s="2">
        <v>162.0</v>
      </c>
      <c r="H679" s="2">
        <v>90.0</v>
      </c>
      <c r="I679" s="2">
        <v>72.0</v>
      </c>
      <c r="J679" s="2">
        <v>0.0</v>
      </c>
      <c r="K679" s="2">
        <v>0.0</v>
      </c>
      <c r="L679" s="2">
        <v>0.0</v>
      </c>
      <c r="M679" s="2">
        <v>-1.0</v>
      </c>
      <c r="N679" s="2"/>
      <c r="O679" s="2"/>
      <c r="P679" s="2" t="s">
        <v>166</v>
      </c>
    </row>
    <row r="680">
      <c r="A680" s="3" t="s">
        <v>119</v>
      </c>
      <c r="B680" s="2" t="s">
        <v>17</v>
      </c>
      <c r="C680" s="2" t="s">
        <v>18</v>
      </c>
      <c r="D680" s="2" t="s">
        <v>23</v>
      </c>
      <c r="E680" s="2" t="s">
        <v>165</v>
      </c>
      <c r="F680" s="2">
        <v>89.0</v>
      </c>
      <c r="G680" s="2">
        <v>162.0</v>
      </c>
      <c r="H680" s="2">
        <v>90.0</v>
      </c>
      <c r="I680" s="2">
        <v>72.0</v>
      </c>
      <c r="J680" s="2">
        <v>0.0</v>
      </c>
      <c r="K680" s="2">
        <v>0.0</v>
      </c>
      <c r="L680" s="2">
        <v>0.0</v>
      </c>
      <c r="M680" s="2">
        <v>-1.0</v>
      </c>
      <c r="N680" s="2">
        <v>0.0</v>
      </c>
      <c r="O680" s="2">
        <v>-91.0</v>
      </c>
      <c r="P680" s="2" t="s">
        <v>166</v>
      </c>
    </row>
    <row r="681">
      <c r="A681" s="3" t="s">
        <v>121</v>
      </c>
      <c r="B681" s="4">
        <v>45324.29166666667</v>
      </c>
      <c r="C681" s="2" t="s">
        <v>18</v>
      </c>
      <c r="D681" s="2" t="s">
        <v>164</v>
      </c>
      <c r="E681" s="2" t="s">
        <v>165</v>
      </c>
      <c r="F681" s="2"/>
      <c r="G681" s="2">
        <v>162.0</v>
      </c>
      <c r="H681" s="2">
        <v>90.0</v>
      </c>
      <c r="I681" s="2">
        <v>72.0</v>
      </c>
      <c r="J681" s="2">
        <v>0.0</v>
      </c>
      <c r="K681" s="2">
        <v>0.0</v>
      </c>
      <c r="L681" s="2">
        <v>0.0</v>
      </c>
      <c r="M681" s="2"/>
      <c r="N681" s="2"/>
      <c r="O681" s="2"/>
      <c r="P681" s="2" t="s">
        <v>166</v>
      </c>
    </row>
    <row r="682">
      <c r="A682" s="3" t="s">
        <v>16</v>
      </c>
      <c r="B682" s="4">
        <v>45353.29166666667</v>
      </c>
      <c r="C682" s="2" t="s">
        <v>18</v>
      </c>
      <c r="D682" s="2" t="s">
        <v>164</v>
      </c>
      <c r="E682" s="2" t="s">
        <v>165</v>
      </c>
      <c r="F682" s="2"/>
      <c r="G682" s="2">
        <v>0.0</v>
      </c>
      <c r="H682" s="2">
        <v>0.0</v>
      </c>
      <c r="I682" s="2">
        <v>0.0</v>
      </c>
      <c r="J682" s="2">
        <v>0.0</v>
      </c>
      <c r="K682" s="2">
        <v>0.0</v>
      </c>
      <c r="L682" s="2">
        <v>0.0</v>
      </c>
      <c r="M682" s="2"/>
      <c r="N682" s="2"/>
      <c r="O682" s="2"/>
      <c r="P682" s="2" t="s">
        <v>166</v>
      </c>
    </row>
    <row r="683">
      <c r="A683" s="3" t="s">
        <v>124</v>
      </c>
      <c r="B683" s="2" t="s">
        <v>17</v>
      </c>
      <c r="C683" s="2" t="s">
        <v>18</v>
      </c>
      <c r="D683" s="2" t="s">
        <v>69</v>
      </c>
      <c r="E683" s="2" t="s">
        <v>27</v>
      </c>
      <c r="F683" s="2">
        <v>18.0</v>
      </c>
      <c r="G683" s="2">
        <v>18.0</v>
      </c>
      <c r="H683" s="2">
        <v>6.0</v>
      </c>
      <c r="I683" s="2">
        <v>12.0</v>
      </c>
      <c r="J683" s="2">
        <v>0.0</v>
      </c>
      <c r="K683" s="2">
        <v>0.0</v>
      </c>
      <c r="L683" s="2">
        <v>0.0</v>
      </c>
      <c r="M683" s="2">
        <v>12.0</v>
      </c>
      <c r="N683" s="2"/>
      <c r="O683" s="2"/>
      <c r="P683" s="2" t="s">
        <v>146</v>
      </c>
    </row>
    <row r="684">
      <c r="A684" s="3" t="s">
        <v>126</v>
      </c>
      <c r="B684" s="2" t="s">
        <v>17</v>
      </c>
      <c r="C684" s="2" t="s">
        <v>18</v>
      </c>
      <c r="D684" s="2" t="s">
        <v>19</v>
      </c>
      <c r="E684" s="2" t="s">
        <v>27</v>
      </c>
      <c r="F684" s="2">
        <v>95.0</v>
      </c>
      <c r="G684" s="2">
        <v>194.0</v>
      </c>
      <c r="H684" s="2">
        <v>101.0</v>
      </c>
      <c r="I684" s="2">
        <v>73.0</v>
      </c>
      <c r="J684" s="2">
        <v>20.0</v>
      </c>
      <c r="K684" s="2">
        <v>0.0</v>
      </c>
      <c r="L684" s="2">
        <v>0.0</v>
      </c>
      <c r="M684" s="2">
        <v>-6.0</v>
      </c>
      <c r="N684" s="2"/>
      <c r="O684" s="2"/>
      <c r="P684" s="2" t="s">
        <v>146</v>
      </c>
    </row>
    <row r="685">
      <c r="A685" s="3" t="s">
        <v>128</v>
      </c>
      <c r="B685" s="2" t="s">
        <v>17</v>
      </c>
      <c r="C685" s="2" t="s">
        <v>18</v>
      </c>
      <c r="D685" s="2" t="s">
        <v>23</v>
      </c>
      <c r="E685" s="2" t="s">
        <v>27</v>
      </c>
      <c r="F685" s="2">
        <v>100.0</v>
      </c>
      <c r="G685" s="2">
        <v>212.0</v>
      </c>
      <c r="H685" s="2">
        <v>107.0</v>
      </c>
      <c r="I685" s="2">
        <v>85.0</v>
      </c>
      <c r="J685" s="2">
        <v>20.0</v>
      </c>
      <c r="K685" s="2">
        <v>0.0</v>
      </c>
      <c r="L685" s="2">
        <v>0.0</v>
      </c>
      <c r="M685" s="2">
        <v>-7.0</v>
      </c>
      <c r="N685" s="2">
        <v>-13.0</v>
      </c>
      <c r="O685" s="2">
        <v>-114.0</v>
      </c>
      <c r="P685" s="2" t="s">
        <v>146</v>
      </c>
    </row>
    <row r="686">
      <c r="A686" s="3" t="s">
        <v>129</v>
      </c>
      <c r="B686" s="4">
        <v>45294.29166666667</v>
      </c>
      <c r="C686" s="2" t="s">
        <v>18</v>
      </c>
      <c r="D686" s="2" t="s">
        <v>69</v>
      </c>
      <c r="E686" s="2" t="s">
        <v>27</v>
      </c>
      <c r="F686" s="2"/>
      <c r="G686" s="2">
        <v>6.0</v>
      </c>
      <c r="H686" s="2">
        <v>3.0</v>
      </c>
      <c r="I686" s="2">
        <v>3.0</v>
      </c>
      <c r="J686" s="2">
        <v>0.0</v>
      </c>
      <c r="K686" s="2">
        <v>0.0</v>
      </c>
      <c r="L686" s="2">
        <v>0.0</v>
      </c>
      <c r="M686" s="2"/>
      <c r="N686" s="2"/>
      <c r="O686" s="2"/>
      <c r="P686" s="2" t="s">
        <v>146</v>
      </c>
    </row>
    <row r="687">
      <c r="A687" s="3" t="s">
        <v>130</v>
      </c>
      <c r="B687" s="4">
        <v>45295.29166666667</v>
      </c>
      <c r="C687" s="2" t="s">
        <v>18</v>
      </c>
      <c r="D687" s="2" t="s">
        <v>19</v>
      </c>
      <c r="E687" s="2" t="s">
        <v>27</v>
      </c>
      <c r="F687" s="2"/>
      <c r="G687" s="2">
        <v>114.0</v>
      </c>
      <c r="H687" s="2">
        <v>49.0</v>
      </c>
      <c r="I687" s="2">
        <v>49.0</v>
      </c>
      <c r="J687" s="2">
        <v>16.0</v>
      </c>
      <c r="K687" s="2">
        <v>0.0</v>
      </c>
      <c r="L687" s="2">
        <v>0.0</v>
      </c>
      <c r="M687" s="2"/>
      <c r="N687" s="2"/>
      <c r="O687" s="2"/>
      <c r="P687" s="2" t="s">
        <v>146</v>
      </c>
    </row>
    <row r="688">
      <c r="A688" s="3" t="s">
        <v>131</v>
      </c>
      <c r="B688" s="4">
        <v>45324.29166666667</v>
      </c>
      <c r="C688" s="2" t="s">
        <v>18</v>
      </c>
      <c r="D688" s="2" t="s">
        <v>69</v>
      </c>
      <c r="E688" s="2" t="s">
        <v>27</v>
      </c>
      <c r="F688" s="2"/>
      <c r="G688" s="2">
        <v>12.0</v>
      </c>
      <c r="H688" s="2">
        <v>3.0</v>
      </c>
      <c r="I688" s="2">
        <v>9.0</v>
      </c>
      <c r="J688" s="2">
        <v>0.0</v>
      </c>
      <c r="K688" s="2">
        <v>0.0</v>
      </c>
      <c r="L688" s="2">
        <v>0.0</v>
      </c>
      <c r="M688" s="2"/>
      <c r="N688" s="2"/>
      <c r="O688" s="2"/>
      <c r="P688" s="2" t="s">
        <v>146</v>
      </c>
    </row>
    <row r="689">
      <c r="A689" s="3" t="s">
        <v>132</v>
      </c>
      <c r="B689" s="4">
        <v>45325.29166666667</v>
      </c>
      <c r="C689" s="2" t="s">
        <v>18</v>
      </c>
      <c r="D689" s="2" t="s">
        <v>19</v>
      </c>
      <c r="E689" s="2" t="s">
        <v>27</v>
      </c>
      <c r="F689" s="2"/>
      <c r="G689" s="2">
        <v>80.0</v>
      </c>
      <c r="H689" s="2">
        <v>52.0</v>
      </c>
      <c r="I689" s="2">
        <v>24.0</v>
      </c>
      <c r="J689" s="2">
        <v>4.0</v>
      </c>
      <c r="K689" s="2">
        <v>0.0</v>
      </c>
      <c r="L689" s="2">
        <v>0.0</v>
      </c>
      <c r="M689" s="2"/>
      <c r="N689" s="2"/>
      <c r="O689" s="2"/>
      <c r="P689" s="2" t="s">
        <v>146</v>
      </c>
    </row>
    <row r="690">
      <c r="A690" s="3" t="s">
        <v>133</v>
      </c>
      <c r="B690" s="4">
        <v>45352.29166666667</v>
      </c>
      <c r="C690" s="2" t="s">
        <v>18</v>
      </c>
      <c r="D690" s="2" t="s">
        <v>19</v>
      </c>
      <c r="E690" s="2" t="s">
        <v>27</v>
      </c>
      <c r="F690" s="2"/>
      <c r="G690" s="2">
        <v>0.0</v>
      </c>
      <c r="H690" s="2">
        <v>0.0</v>
      </c>
      <c r="I690" s="2">
        <v>0.0</v>
      </c>
      <c r="J690" s="2">
        <v>0.0</v>
      </c>
      <c r="K690" s="2">
        <v>0.0</v>
      </c>
      <c r="L690" s="2">
        <v>0.0</v>
      </c>
      <c r="M690" s="2"/>
      <c r="N690" s="2"/>
      <c r="O690" s="2"/>
      <c r="P690" s="2" t="s">
        <v>146</v>
      </c>
    </row>
    <row r="691">
      <c r="A691" s="3" t="s">
        <v>134</v>
      </c>
      <c r="B691" s="4">
        <v>45353.29166666667</v>
      </c>
      <c r="C691" s="2" t="s">
        <v>18</v>
      </c>
      <c r="D691" s="2" t="s">
        <v>19</v>
      </c>
      <c r="E691" s="2" t="s">
        <v>27</v>
      </c>
      <c r="F691" s="2"/>
      <c r="G691" s="2">
        <v>0.0</v>
      </c>
      <c r="H691" s="2">
        <v>0.0</v>
      </c>
      <c r="I691" s="2">
        <v>0.0</v>
      </c>
      <c r="J691" s="2">
        <v>0.0</v>
      </c>
      <c r="K691" s="2">
        <v>0.0</v>
      </c>
      <c r="L691" s="2">
        <v>0.0</v>
      </c>
      <c r="M691" s="2"/>
      <c r="N691" s="2"/>
      <c r="O691" s="2"/>
      <c r="P691" s="2" t="s">
        <v>146</v>
      </c>
    </row>
    <row r="692">
      <c r="A692" s="3" t="s">
        <v>136</v>
      </c>
      <c r="B692" s="2" t="s">
        <v>17</v>
      </c>
      <c r="C692" s="2" t="s">
        <v>57</v>
      </c>
      <c r="D692" s="2" t="s">
        <v>157</v>
      </c>
      <c r="E692" s="2" t="s">
        <v>179</v>
      </c>
      <c r="F692" s="2">
        <v>9.0</v>
      </c>
      <c r="G692" s="2">
        <v>23.0</v>
      </c>
      <c r="H692" s="2">
        <v>9.0</v>
      </c>
      <c r="I692" s="2">
        <v>14.0</v>
      </c>
      <c r="J692" s="2">
        <v>0.0</v>
      </c>
      <c r="K692" s="2">
        <v>0.0</v>
      </c>
      <c r="L692" s="2">
        <v>0.0</v>
      </c>
      <c r="M692" s="2">
        <v>0.0</v>
      </c>
      <c r="N692" s="2"/>
      <c r="O692" s="2"/>
      <c r="P692" s="2" t="s">
        <v>92</v>
      </c>
    </row>
    <row r="693">
      <c r="A693" s="3" t="s">
        <v>137</v>
      </c>
      <c r="B693" s="2" t="s">
        <v>17</v>
      </c>
      <c r="C693" s="2" t="s">
        <v>18</v>
      </c>
      <c r="D693" s="2" t="s">
        <v>19</v>
      </c>
      <c r="E693" s="2" t="s">
        <v>179</v>
      </c>
      <c r="F693" s="2">
        <v>51.0</v>
      </c>
      <c r="G693" s="2">
        <v>30.0</v>
      </c>
      <c r="H693" s="2">
        <v>22.0</v>
      </c>
      <c r="I693" s="2">
        <v>8.0</v>
      </c>
      <c r="J693" s="2">
        <v>0.0</v>
      </c>
      <c r="K693" s="2">
        <v>0.0</v>
      </c>
      <c r="L693" s="2">
        <v>0.0</v>
      </c>
      <c r="M693" s="2">
        <v>29.0</v>
      </c>
      <c r="N693" s="2"/>
      <c r="O693" s="2"/>
      <c r="P693" s="2" t="s">
        <v>92</v>
      </c>
    </row>
    <row r="694">
      <c r="A694" s="3" t="s">
        <v>138</v>
      </c>
      <c r="B694" s="2" t="s">
        <v>17</v>
      </c>
      <c r="C694" s="2" t="s">
        <v>18</v>
      </c>
      <c r="D694" s="2" t="s">
        <v>23</v>
      </c>
      <c r="E694" s="2" t="s">
        <v>179</v>
      </c>
      <c r="F694" s="2">
        <v>60.0</v>
      </c>
      <c r="G694" s="2">
        <v>53.0</v>
      </c>
      <c r="H694" s="2">
        <v>31.0</v>
      </c>
      <c r="I694" s="2">
        <v>22.0</v>
      </c>
      <c r="J694" s="2">
        <v>0.0</v>
      </c>
      <c r="K694" s="2">
        <v>0.0</v>
      </c>
      <c r="L694" s="2">
        <v>0.0</v>
      </c>
      <c r="M694" s="2">
        <v>29.0</v>
      </c>
      <c r="N694" s="2">
        <v>0.0</v>
      </c>
      <c r="O694" s="2">
        <v>-2.0</v>
      </c>
      <c r="P694" s="2" t="s">
        <v>92</v>
      </c>
    </row>
    <row r="695">
      <c r="A695" s="3" t="s">
        <v>139</v>
      </c>
      <c r="B695" s="4">
        <v>45294.29166666667</v>
      </c>
      <c r="C695" s="2" t="s">
        <v>18</v>
      </c>
      <c r="D695" s="2" t="s">
        <v>19</v>
      </c>
      <c r="E695" s="2" t="s">
        <v>179</v>
      </c>
      <c r="F695" s="2"/>
      <c r="G695" s="2">
        <v>22.0</v>
      </c>
      <c r="H695" s="2">
        <v>15.0</v>
      </c>
      <c r="I695" s="2">
        <v>7.0</v>
      </c>
      <c r="J695" s="2">
        <v>0.0</v>
      </c>
      <c r="K695" s="2">
        <v>0.0</v>
      </c>
      <c r="L695" s="2">
        <v>0.0</v>
      </c>
      <c r="M695" s="2"/>
      <c r="N695" s="2"/>
      <c r="O695" s="2"/>
      <c r="P695" s="2" t="s">
        <v>92</v>
      </c>
    </row>
    <row r="696">
      <c r="A696" s="3" t="s">
        <v>140</v>
      </c>
      <c r="B696" s="4">
        <v>45294.29166666667</v>
      </c>
      <c r="C696" s="2" t="s">
        <v>18</v>
      </c>
      <c r="D696" s="2" t="s">
        <v>157</v>
      </c>
      <c r="E696" s="2" t="s">
        <v>179</v>
      </c>
      <c r="F696" s="2"/>
      <c r="G696" s="2">
        <v>14.0</v>
      </c>
      <c r="H696" s="2">
        <v>5.0</v>
      </c>
      <c r="I696" s="2">
        <v>9.0</v>
      </c>
      <c r="J696" s="2">
        <v>0.0</v>
      </c>
      <c r="K696" s="2">
        <v>0.0</v>
      </c>
      <c r="L696" s="2">
        <v>0.0</v>
      </c>
      <c r="M696" s="2"/>
      <c r="N696" s="2"/>
      <c r="O696" s="2"/>
      <c r="P696" s="2" t="s">
        <v>92</v>
      </c>
    </row>
    <row r="697">
      <c r="A697" s="3" t="s">
        <v>141</v>
      </c>
      <c r="B697" s="4">
        <v>45324.29166666667</v>
      </c>
      <c r="C697" s="2" t="s">
        <v>18</v>
      </c>
      <c r="D697" s="2" t="s">
        <v>19</v>
      </c>
      <c r="E697" s="2" t="s">
        <v>179</v>
      </c>
      <c r="F697" s="2"/>
      <c r="G697" s="2">
        <v>8.0</v>
      </c>
      <c r="H697" s="2">
        <v>7.0</v>
      </c>
      <c r="I697" s="2">
        <v>1.0</v>
      </c>
      <c r="J697" s="2">
        <v>0.0</v>
      </c>
      <c r="K697" s="2">
        <v>0.0</v>
      </c>
      <c r="L697" s="2">
        <v>0.0</v>
      </c>
      <c r="M697" s="2"/>
      <c r="N697" s="2"/>
      <c r="O697" s="2"/>
      <c r="P697" s="2" t="s">
        <v>92</v>
      </c>
    </row>
    <row r="698">
      <c r="A698" s="3" t="s">
        <v>142</v>
      </c>
      <c r="B698" s="4">
        <v>45324.29166666667</v>
      </c>
      <c r="C698" s="2" t="s">
        <v>18</v>
      </c>
      <c r="D698" s="2" t="s">
        <v>157</v>
      </c>
      <c r="E698" s="2" t="s">
        <v>179</v>
      </c>
      <c r="F698" s="2"/>
      <c r="G698" s="2">
        <v>9.0</v>
      </c>
      <c r="H698" s="2">
        <v>4.0</v>
      </c>
      <c r="I698" s="2">
        <v>5.0</v>
      </c>
      <c r="J698" s="2">
        <v>0.0</v>
      </c>
      <c r="K698" s="2">
        <v>0.0</v>
      </c>
      <c r="L698" s="2">
        <v>0.0</v>
      </c>
      <c r="M698" s="2"/>
      <c r="N698" s="2"/>
      <c r="O698" s="2"/>
      <c r="P698" s="2" t="s">
        <v>92</v>
      </c>
    </row>
    <row r="699">
      <c r="A699" s="3" t="s">
        <v>143</v>
      </c>
      <c r="B699" s="4">
        <v>45352.29166666667</v>
      </c>
      <c r="C699" s="2" t="s">
        <v>18</v>
      </c>
      <c r="D699" s="2" t="s">
        <v>19</v>
      </c>
      <c r="E699" s="2" t="s">
        <v>179</v>
      </c>
      <c r="F699" s="2"/>
      <c r="G699" s="2">
        <v>0.0</v>
      </c>
      <c r="H699" s="2">
        <v>0.0</v>
      </c>
      <c r="I699" s="2">
        <v>0.0</v>
      </c>
      <c r="J699" s="2">
        <v>0.0</v>
      </c>
      <c r="K699" s="2">
        <v>0.0</v>
      </c>
      <c r="L699" s="2">
        <v>0.0</v>
      </c>
      <c r="M699" s="2"/>
      <c r="N699" s="2"/>
      <c r="O699" s="2"/>
      <c r="P699" s="2" t="s">
        <v>92</v>
      </c>
    </row>
    <row r="700">
      <c r="A700" s="3" t="s">
        <v>144</v>
      </c>
      <c r="B700" s="4">
        <v>45353.29166666667</v>
      </c>
      <c r="C700" s="2" t="s">
        <v>18</v>
      </c>
      <c r="D700" s="2" t="s">
        <v>157</v>
      </c>
      <c r="E700" s="2" t="s">
        <v>179</v>
      </c>
      <c r="F700" s="2"/>
      <c r="G700" s="2">
        <v>0.0</v>
      </c>
      <c r="H700" s="2">
        <v>0.0</v>
      </c>
      <c r="I700" s="2">
        <v>0.0</v>
      </c>
      <c r="J700" s="2">
        <v>0.0</v>
      </c>
      <c r="K700" s="2">
        <v>0.0</v>
      </c>
      <c r="L700" s="2">
        <v>0.0</v>
      </c>
      <c r="M700" s="2"/>
      <c r="N700" s="2"/>
      <c r="O700" s="2"/>
      <c r="P700" s="2" t="s">
        <v>92</v>
      </c>
    </row>
    <row r="701">
      <c r="A701" s="3" t="s">
        <v>145</v>
      </c>
      <c r="B701" s="2" t="s">
        <v>17</v>
      </c>
      <c r="C701" s="2" t="s">
        <v>18</v>
      </c>
      <c r="D701" s="2" t="s">
        <v>19</v>
      </c>
      <c r="E701" s="2" t="s">
        <v>180</v>
      </c>
      <c r="F701" s="2">
        <v>30.0</v>
      </c>
      <c r="G701" s="2">
        <v>12.0</v>
      </c>
      <c r="H701" s="2">
        <v>12.0</v>
      </c>
      <c r="I701" s="2">
        <v>0.0</v>
      </c>
      <c r="J701" s="2">
        <v>0.0</v>
      </c>
      <c r="K701" s="2">
        <v>0.0</v>
      </c>
      <c r="L701" s="2">
        <v>0.0</v>
      </c>
      <c r="M701" s="2">
        <v>18.0</v>
      </c>
      <c r="N701" s="2"/>
      <c r="O701" s="2"/>
      <c r="P701" s="2" t="s">
        <v>92</v>
      </c>
    </row>
    <row r="702">
      <c r="A702" s="3" t="s">
        <v>16</v>
      </c>
      <c r="B702" s="2" t="s">
        <v>17</v>
      </c>
      <c r="C702" s="2" t="s">
        <v>18</v>
      </c>
      <c r="D702" s="2" t="s">
        <v>23</v>
      </c>
      <c r="E702" s="2" t="s">
        <v>180</v>
      </c>
      <c r="F702" s="2">
        <v>30.0</v>
      </c>
      <c r="G702" s="2">
        <v>12.0</v>
      </c>
      <c r="H702" s="2">
        <v>12.0</v>
      </c>
      <c r="I702" s="2">
        <v>0.0</v>
      </c>
      <c r="J702" s="2">
        <v>0.0</v>
      </c>
      <c r="K702" s="2">
        <v>0.0</v>
      </c>
      <c r="L702" s="2">
        <v>0.0</v>
      </c>
      <c r="M702" s="2">
        <v>18.0</v>
      </c>
      <c r="N702" s="2">
        <v>0.0</v>
      </c>
      <c r="O702" s="2">
        <v>6.0</v>
      </c>
      <c r="P702" s="2" t="s">
        <v>92</v>
      </c>
    </row>
    <row r="703">
      <c r="A703" s="3" t="s">
        <v>22</v>
      </c>
      <c r="B703" s="4">
        <v>45294.29166666667</v>
      </c>
      <c r="C703" s="2" t="s">
        <v>18</v>
      </c>
      <c r="D703" s="2" t="s">
        <v>19</v>
      </c>
      <c r="E703" s="2" t="s">
        <v>180</v>
      </c>
      <c r="F703" s="2"/>
      <c r="G703" s="2">
        <v>9.0</v>
      </c>
      <c r="H703" s="2">
        <v>9.0</v>
      </c>
      <c r="I703" s="2">
        <v>0.0</v>
      </c>
      <c r="J703" s="2">
        <v>0.0</v>
      </c>
      <c r="K703" s="2">
        <v>0.0</v>
      </c>
      <c r="L703" s="2">
        <v>0.0</v>
      </c>
      <c r="M703" s="2"/>
      <c r="N703" s="2"/>
      <c r="O703" s="2"/>
      <c r="P703" s="2" t="s">
        <v>92</v>
      </c>
    </row>
    <row r="704">
      <c r="A704" s="3" t="s">
        <v>24</v>
      </c>
      <c r="B704" s="4">
        <v>45324.29166666667</v>
      </c>
      <c r="C704" s="2" t="s">
        <v>18</v>
      </c>
      <c r="D704" s="2" t="s">
        <v>19</v>
      </c>
      <c r="E704" s="2" t="s">
        <v>180</v>
      </c>
      <c r="F704" s="2"/>
      <c r="G704" s="2">
        <v>3.0</v>
      </c>
      <c r="H704" s="2">
        <v>3.0</v>
      </c>
      <c r="I704" s="2">
        <v>0.0</v>
      </c>
      <c r="J704" s="2">
        <v>0.0</v>
      </c>
      <c r="K704" s="2">
        <v>0.0</v>
      </c>
      <c r="L704" s="2">
        <v>0.0</v>
      </c>
      <c r="M704" s="2"/>
      <c r="N704" s="2"/>
      <c r="O704" s="2"/>
      <c r="P704" s="2" t="s">
        <v>92</v>
      </c>
    </row>
    <row r="705">
      <c r="A705" s="3" t="s">
        <v>25</v>
      </c>
      <c r="B705" s="4">
        <v>45352.29166666667</v>
      </c>
      <c r="C705" s="2" t="s">
        <v>18</v>
      </c>
      <c r="D705" s="2" t="s">
        <v>19</v>
      </c>
      <c r="E705" s="2" t="s">
        <v>180</v>
      </c>
      <c r="F705" s="2"/>
      <c r="G705" s="2">
        <v>0.0</v>
      </c>
      <c r="H705" s="2">
        <v>0.0</v>
      </c>
      <c r="I705" s="2">
        <v>0.0</v>
      </c>
      <c r="J705" s="2">
        <v>0.0</v>
      </c>
      <c r="K705" s="2">
        <v>0.0</v>
      </c>
      <c r="L705" s="2">
        <v>0.0</v>
      </c>
      <c r="M705" s="2"/>
      <c r="N705" s="2"/>
      <c r="O705" s="2"/>
      <c r="P705" s="2" t="s">
        <v>92</v>
      </c>
    </row>
    <row r="706">
      <c r="A706" s="3" t="s">
        <v>26</v>
      </c>
      <c r="B706" s="2" t="s">
        <v>17</v>
      </c>
      <c r="C706" s="2" t="s">
        <v>18</v>
      </c>
      <c r="D706" s="2" t="s">
        <v>164</v>
      </c>
      <c r="E706" s="2" t="s">
        <v>165</v>
      </c>
      <c r="F706" s="2">
        <v>57.0</v>
      </c>
      <c r="G706" s="2">
        <v>127.0</v>
      </c>
      <c r="H706" s="2">
        <v>57.0</v>
      </c>
      <c r="I706" s="2">
        <v>70.0</v>
      </c>
      <c r="J706" s="2">
        <v>0.0</v>
      </c>
      <c r="K706" s="2">
        <v>0.0</v>
      </c>
      <c r="L706" s="2">
        <v>0.0</v>
      </c>
      <c r="M706" s="2">
        <v>0.0</v>
      </c>
      <c r="N706" s="2"/>
      <c r="O706" s="2"/>
      <c r="P706" s="2" t="s">
        <v>166</v>
      </c>
    </row>
    <row r="707">
      <c r="A707" s="3" t="s">
        <v>28</v>
      </c>
      <c r="B707" s="2" t="s">
        <v>17</v>
      </c>
      <c r="C707" s="2" t="s">
        <v>18</v>
      </c>
      <c r="D707" s="2" t="s">
        <v>23</v>
      </c>
      <c r="E707" s="2" t="s">
        <v>165</v>
      </c>
      <c r="F707" s="2">
        <v>57.0</v>
      </c>
      <c r="G707" s="2">
        <v>127.0</v>
      </c>
      <c r="H707" s="2">
        <v>57.0</v>
      </c>
      <c r="I707" s="2">
        <v>70.0</v>
      </c>
      <c r="J707" s="2">
        <v>0.0</v>
      </c>
      <c r="K707" s="2">
        <v>0.0</v>
      </c>
      <c r="L707" s="2">
        <v>0.0</v>
      </c>
      <c r="M707" s="2">
        <v>0.0</v>
      </c>
      <c r="N707" s="2">
        <v>0.0</v>
      </c>
      <c r="O707" s="2">
        <v>-57.0</v>
      </c>
      <c r="P707" s="2" t="s">
        <v>166</v>
      </c>
    </row>
    <row r="708">
      <c r="A708" s="3" t="s">
        <v>29</v>
      </c>
      <c r="B708" s="4">
        <v>45324.29166666667</v>
      </c>
      <c r="C708" s="2" t="s">
        <v>18</v>
      </c>
      <c r="D708" s="2" t="s">
        <v>164</v>
      </c>
      <c r="E708" s="2" t="s">
        <v>165</v>
      </c>
      <c r="F708" s="2"/>
      <c r="G708" s="2">
        <v>127.0</v>
      </c>
      <c r="H708" s="2">
        <v>57.0</v>
      </c>
      <c r="I708" s="2">
        <v>70.0</v>
      </c>
      <c r="J708" s="2">
        <v>0.0</v>
      </c>
      <c r="K708" s="2">
        <v>0.0</v>
      </c>
      <c r="L708" s="2">
        <v>0.0</v>
      </c>
      <c r="M708" s="2"/>
      <c r="N708" s="2"/>
      <c r="O708" s="2"/>
      <c r="P708" s="2" t="s">
        <v>166</v>
      </c>
    </row>
    <row r="709">
      <c r="A709" s="3" t="s">
        <v>32</v>
      </c>
      <c r="B709" s="2" t="s">
        <v>17</v>
      </c>
      <c r="C709" s="2" t="s">
        <v>18</v>
      </c>
      <c r="D709" s="2" t="s">
        <v>167</v>
      </c>
      <c r="E709" s="2" t="s">
        <v>165</v>
      </c>
      <c r="F709" s="2">
        <v>81.0</v>
      </c>
      <c r="G709" s="2">
        <v>135.0</v>
      </c>
      <c r="H709" s="2">
        <v>89.0</v>
      </c>
      <c r="I709" s="2">
        <v>46.0</v>
      </c>
      <c r="J709" s="2">
        <v>0.0</v>
      </c>
      <c r="K709" s="2">
        <v>0.0</v>
      </c>
      <c r="L709" s="2">
        <v>0.0</v>
      </c>
      <c r="M709" s="2">
        <v>-8.0</v>
      </c>
      <c r="N709" s="2"/>
      <c r="O709" s="2"/>
      <c r="P709" s="2" t="s">
        <v>166</v>
      </c>
    </row>
    <row r="710">
      <c r="A710" s="3" t="s">
        <v>34</v>
      </c>
      <c r="B710" s="2" t="s">
        <v>17</v>
      </c>
      <c r="C710" s="2" t="s">
        <v>18</v>
      </c>
      <c r="D710" s="2" t="s">
        <v>23</v>
      </c>
      <c r="E710" s="2" t="s">
        <v>165</v>
      </c>
      <c r="F710" s="2">
        <v>81.0</v>
      </c>
      <c r="G710" s="2">
        <v>135.0</v>
      </c>
      <c r="H710" s="2">
        <v>89.0</v>
      </c>
      <c r="I710" s="2">
        <v>46.0</v>
      </c>
      <c r="J710" s="2">
        <v>0.0</v>
      </c>
      <c r="K710" s="2">
        <v>0.0</v>
      </c>
      <c r="L710" s="2">
        <v>0.0</v>
      </c>
      <c r="M710" s="2">
        <v>-8.0</v>
      </c>
      <c r="N710" s="2">
        <v>0.0</v>
      </c>
      <c r="O710" s="2">
        <v>-97.0</v>
      </c>
      <c r="P710" s="2" t="s">
        <v>166</v>
      </c>
    </row>
    <row r="711">
      <c r="A711" s="3" t="s">
        <v>35</v>
      </c>
      <c r="B711" s="4">
        <v>45324.29166666667</v>
      </c>
      <c r="C711" s="2" t="s">
        <v>18</v>
      </c>
      <c r="D711" s="2" t="s">
        <v>167</v>
      </c>
      <c r="E711" s="2" t="s">
        <v>165</v>
      </c>
      <c r="F711" s="2"/>
      <c r="G711" s="2">
        <v>135.0</v>
      </c>
      <c r="H711" s="2">
        <v>89.0</v>
      </c>
      <c r="I711" s="2">
        <v>46.0</v>
      </c>
      <c r="J711" s="2">
        <v>0.0</v>
      </c>
      <c r="K711" s="2">
        <v>0.0</v>
      </c>
      <c r="L711" s="2">
        <v>0.0</v>
      </c>
      <c r="M711" s="2"/>
      <c r="N711" s="2"/>
      <c r="O711" s="2"/>
      <c r="P711" s="2" t="s">
        <v>166</v>
      </c>
    </row>
    <row r="712">
      <c r="A712" s="3" t="s">
        <v>36</v>
      </c>
      <c r="B712" s="4">
        <v>45352.29166666667</v>
      </c>
      <c r="C712" s="2" t="s">
        <v>18</v>
      </c>
      <c r="D712" s="2" t="s">
        <v>167</v>
      </c>
      <c r="E712" s="2" t="s">
        <v>165</v>
      </c>
      <c r="F712" s="2"/>
      <c r="G712" s="2">
        <v>0.0</v>
      </c>
      <c r="H712" s="2">
        <v>0.0</v>
      </c>
      <c r="I712" s="2">
        <v>0.0</v>
      </c>
      <c r="J712" s="2">
        <v>0.0</v>
      </c>
      <c r="K712" s="2">
        <v>0.0</v>
      </c>
      <c r="L712" s="2">
        <v>0.0</v>
      </c>
      <c r="M712" s="2"/>
      <c r="N712" s="2"/>
      <c r="O712" s="2"/>
      <c r="P712" s="2" t="s">
        <v>166</v>
      </c>
    </row>
    <row r="713">
      <c r="A713" s="3" t="s">
        <v>37</v>
      </c>
      <c r="B713" s="2" t="s">
        <v>17</v>
      </c>
      <c r="C713" s="2" t="s">
        <v>18</v>
      </c>
      <c r="D713" s="2" t="s">
        <v>19</v>
      </c>
      <c r="E713" s="2" t="s">
        <v>162</v>
      </c>
      <c r="F713" s="2">
        <v>60.0</v>
      </c>
      <c r="G713" s="2">
        <v>94.0</v>
      </c>
      <c r="H713" s="2">
        <v>66.0</v>
      </c>
      <c r="I713" s="2">
        <v>28.0</v>
      </c>
      <c r="J713" s="2">
        <v>0.0</v>
      </c>
      <c r="K713" s="2">
        <v>0.0</v>
      </c>
      <c r="L713" s="2">
        <v>1.0</v>
      </c>
      <c r="M713" s="2">
        <v>-6.0</v>
      </c>
      <c r="N713" s="2"/>
      <c r="O713" s="2"/>
      <c r="P713" s="2" t="s">
        <v>92</v>
      </c>
    </row>
    <row r="714">
      <c r="A714" s="3" t="s">
        <v>38</v>
      </c>
      <c r="B714" s="2" t="s">
        <v>17</v>
      </c>
      <c r="C714" s="2" t="s">
        <v>18</v>
      </c>
      <c r="D714" s="2" t="s">
        <v>23</v>
      </c>
      <c r="E714" s="2" t="s">
        <v>162</v>
      </c>
      <c r="F714" s="8">
        <v>60.0</v>
      </c>
      <c r="G714" s="8">
        <v>94.0</v>
      </c>
      <c r="H714" s="8">
        <v>66.0</v>
      </c>
      <c r="I714" s="8">
        <v>28.0</v>
      </c>
      <c r="J714" s="8">
        <v>0.0</v>
      </c>
      <c r="K714" s="8">
        <v>0.0</v>
      </c>
      <c r="L714" s="8">
        <v>1.0</v>
      </c>
      <c r="M714" s="8">
        <v>-6.0</v>
      </c>
      <c r="N714" s="8">
        <v>0.0</v>
      </c>
      <c r="O714" s="8">
        <v>-72.0</v>
      </c>
      <c r="P714" s="2" t="s">
        <v>92</v>
      </c>
    </row>
    <row r="715">
      <c r="A715" s="3" t="s">
        <v>39</v>
      </c>
      <c r="B715" s="4">
        <v>45294.29166666667</v>
      </c>
      <c r="C715" s="2" t="s">
        <v>18</v>
      </c>
      <c r="D715" s="2" t="s">
        <v>19</v>
      </c>
      <c r="E715" s="2" t="s">
        <v>162</v>
      </c>
      <c r="F715" s="8"/>
      <c r="G715" s="8">
        <v>5.0</v>
      </c>
      <c r="H715" s="8">
        <v>5.0</v>
      </c>
      <c r="I715" s="8">
        <v>0.0</v>
      </c>
      <c r="J715" s="8">
        <v>0.0</v>
      </c>
      <c r="K715" s="8">
        <v>0.0</v>
      </c>
      <c r="L715" s="8">
        <v>0.0</v>
      </c>
      <c r="M715" s="8"/>
      <c r="N715" s="8"/>
      <c r="O715" s="8"/>
      <c r="P715" s="2" t="s">
        <v>92</v>
      </c>
    </row>
    <row r="716">
      <c r="A716" s="3" t="s">
        <v>40</v>
      </c>
      <c r="B716" s="4">
        <v>45323.29166666667</v>
      </c>
      <c r="C716" s="2" t="s">
        <v>18</v>
      </c>
      <c r="D716" s="2" t="s">
        <v>19</v>
      </c>
      <c r="E716" s="2" t="s">
        <v>162</v>
      </c>
      <c r="F716" s="2"/>
      <c r="G716" s="2">
        <v>89.0</v>
      </c>
      <c r="H716" s="2">
        <v>61.0</v>
      </c>
      <c r="I716" s="2">
        <v>28.0</v>
      </c>
      <c r="J716" s="2">
        <v>0.0</v>
      </c>
      <c r="K716" s="2">
        <v>0.0</v>
      </c>
      <c r="L716" s="2">
        <v>1.0</v>
      </c>
      <c r="M716" s="2"/>
      <c r="N716" s="2"/>
      <c r="O716" s="2"/>
      <c r="P716" s="2" t="s">
        <v>92</v>
      </c>
    </row>
    <row r="717">
      <c r="A717" s="3" t="s">
        <v>41</v>
      </c>
      <c r="B717" s="2" t="s">
        <v>17</v>
      </c>
      <c r="C717" s="2" t="s">
        <v>18</v>
      </c>
      <c r="D717" s="2" t="s">
        <v>164</v>
      </c>
      <c r="E717" s="2" t="s">
        <v>165</v>
      </c>
      <c r="F717" s="2">
        <v>16.0</v>
      </c>
      <c r="G717" s="2">
        <v>68.0</v>
      </c>
      <c r="H717" s="2">
        <v>16.0</v>
      </c>
      <c r="I717" s="2">
        <v>52.0</v>
      </c>
      <c r="J717" s="2">
        <v>0.0</v>
      </c>
      <c r="K717" s="2">
        <v>0.0</v>
      </c>
      <c r="L717" s="2">
        <v>0.0</v>
      </c>
      <c r="M717" s="2">
        <v>0.0</v>
      </c>
      <c r="N717" s="2"/>
      <c r="O717" s="2"/>
      <c r="P717" s="2" t="s">
        <v>166</v>
      </c>
    </row>
    <row r="718">
      <c r="A718" s="3" t="s">
        <v>42</v>
      </c>
      <c r="B718" s="2" t="s">
        <v>17</v>
      </c>
      <c r="C718" s="2" t="s">
        <v>18</v>
      </c>
      <c r="D718" s="2" t="s">
        <v>23</v>
      </c>
      <c r="E718" s="2" t="s">
        <v>165</v>
      </c>
      <c r="F718" s="2">
        <v>16.0</v>
      </c>
      <c r="G718" s="2">
        <v>68.0</v>
      </c>
      <c r="H718" s="2">
        <v>16.0</v>
      </c>
      <c r="I718" s="2">
        <v>52.0</v>
      </c>
      <c r="J718" s="2">
        <v>0.0</v>
      </c>
      <c r="K718" s="2">
        <v>0.0</v>
      </c>
      <c r="L718" s="2">
        <v>0.0</v>
      </c>
      <c r="M718" s="2">
        <v>0.0</v>
      </c>
      <c r="N718" s="2">
        <v>0.0</v>
      </c>
      <c r="O718" s="2">
        <v>-16.0</v>
      </c>
      <c r="P718" s="2" t="s">
        <v>166</v>
      </c>
    </row>
    <row r="719">
      <c r="A719" s="3" t="s">
        <v>43</v>
      </c>
      <c r="B719" s="4">
        <v>45324.29166666667</v>
      </c>
      <c r="C719" s="2" t="s">
        <v>18</v>
      </c>
      <c r="D719" s="2" t="s">
        <v>164</v>
      </c>
      <c r="E719" s="2" t="s">
        <v>165</v>
      </c>
      <c r="F719" s="2"/>
      <c r="G719" s="2">
        <v>68.0</v>
      </c>
      <c r="H719" s="2">
        <v>16.0</v>
      </c>
      <c r="I719" s="2">
        <v>52.0</v>
      </c>
      <c r="J719" s="2">
        <v>0.0</v>
      </c>
      <c r="K719" s="2">
        <v>0.0</v>
      </c>
      <c r="L719" s="2">
        <v>0.0</v>
      </c>
      <c r="M719" s="2"/>
      <c r="N719" s="2"/>
      <c r="O719" s="2"/>
      <c r="P719" s="2" t="s">
        <v>166</v>
      </c>
    </row>
    <row r="720">
      <c r="A720" s="3" t="s">
        <v>44</v>
      </c>
      <c r="B720" s="2" t="s">
        <v>17</v>
      </c>
      <c r="C720" s="2" t="s">
        <v>18</v>
      </c>
      <c r="D720" s="2" t="s">
        <v>19</v>
      </c>
      <c r="E720" s="2" t="s">
        <v>181</v>
      </c>
      <c r="F720" s="2">
        <v>28.0</v>
      </c>
      <c r="G720" s="2">
        <v>15.0</v>
      </c>
      <c r="H720" s="2">
        <v>11.0</v>
      </c>
      <c r="I720" s="2">
        <v>4.0</v>
      </c>
      <c r="J720" s="2">
        <v>0.0</v>
      </c>
      <c r="K720" s="2">
        <v>0.0</v>
      </c>
      <c r="L720" s="2">
        <v>0.0</v>
      </c>
      <c r="M720" s="2">
        <v>17.0</v>
      </c>
      <c r="N720" s="2"/>
      <c r="O720" s="2"/>
      <c r="P720" s="2" t="s">
        <v>67</v>
      </c>
    </row>
    <row r="721">
      <c r="A721" s="3" t="s">
        <v>45</v>
      </c>
      <c r="B721" s="2" t="s">
        <v>17</v>
      </c>
      <c r="C721" s="2" t="s">
        <v>18</v>
      </c>
      <c r="D721" s="2" t="s">
        <v>23</v>
      </c>
      <c r="E721" s="2" t="s">
        <v>181</v>
      </c>
      <c r="F721" s="2">
        <v>28.0</v>
      </c>
      <c r="G721" s="2">
        <v>15.0</v>
      </c>
      <c r="H721" s="2">
        <v>11.0</v>
      </c>
      <c r="I721" s="2">
        <v>4.0</v>
      </c>
      <c r="J721" s="2">
        <v>0.0</v>
      </c>
      <c r="K721" s="2">
        <v>0.0</v>
      </c>
      <c r="L721" s="2">
        <v>0.0</v>
      </c>
      <c r="M721" s="2">
        <v>17.0</v>
      </c>
      <c r="N721" s="2">
        <v>0.0</v>
      </c>
      <c r="O721" s="2">
        <v>6.0</v>
      </c>
      <c r="P721" s="2" t="s">
        <v>67</v>
      </c>
    </row>
    <row r="722">
      <c r="A722" s="3" t="s">
        <v>16</v>
      </c>
      <c r="B722" s="4">
        <v>45294.29166666667</v>
      </c>
      <c r="C722" s="2" t="s">
        <v>18</v>
      </c>
      <c r="D722" s="2" t="s">
        <v>19</v>
      </c>
      <c r="E722" s="2" t="s">
        <v>181</v>
      </c>
      <c r="F722" s="2"/>
      <c r="G722" s="2">
        <v>8.0</v>
      </c>
      <c r="H722" s="2">
        <v>8.0</v>
      </c>
      <c r="I722" s="2">
        <v>0.0</v>
      </c>
      <c r="J722" s="2">
        <v>0.0</v>
      </c>
      <c r="K722" s="2">
        <v>0.0</v>
      </c>
      <c r="L722" s="2">
        <v>0.0</v>
      </c>
      <c r="M722" s="2"/>
      <c r="N722" s="2"/>
      <c r="O722" s="2"/>
      <c r="P722" s="2" t="s">
        <v>67</v>
      </c>
    </row>
    <row r="723">
      <c r="A723" s="3" t="s">
        <v>47</v>
      </c>
      <c r="B723" s="4">
        <v>45325.29166666667</v>
      </c>
      <c r="C723" s="2" t="s">
        <v>18</v>
      </c>
      <c r="D723" s="2" t="s">
        <v>19</v>
      </c>
      <c r="E723" s="2" t="s">
        <v>181</v>
      </c>
      <c r="F723" s="2"/>
      <c r="G723" s="2">
        <v>7.0</v>
      </c>
      <c r="H723" s="2">
        <v>3.0</v>
      </c>
      <c r="I723" s="2">
        <v>4.0</v>
      </c>
      <c r="J723" s="2">
        <v>0.0</v>
      </c>
      <c r="K723" s="2">
        <v>0.0</v>
      </c>
      <c r="L723" s="2">
        <v>0.0</v>
      </c>
      <c r="M723" s="2"/>
      <c r="N723" s="2"/>
      <c r="O723" s="2"/>
      <c r="P723" s="2" t="s">
        <v>67</v>
      </c>
    </row>
    <row r="724">
      <c r="A724" s="3" t="s">
        <v>48</v>
      </c>
      <c r="B724" s="2" t="s">
        <v>17</v>
      </c>
      <c r="C724" s="2" t="s">
        <v>18</v>
      </c>
      <c r="D724" s="2" t="s">
        <v>157</v>
      </c>
      <c r="E724" s="2" t="s">
        <v>27</v>
      </c>
      <c r="F724" s="2">
        <v>39.0</v>
      </c>
      <c r="G724" s="2">
        <v>68.0</v>
      </c>
      <c r="H724" s="2">
        <v>35.0</v>
      </c>
      <c r="I724" s="2">
        <v>32.0</v>
      </c>
      <c r="J724" s="2">
        <v>1.0</v>
      </c>
      <c r="K724" s="2">
        <v>0.0</v>
      </c>
      <c r="L724" s="2">
        <v>0.0</v>
      </c>
      <c r="M724" s="2">
        <v>4.0</v>
      </c>
      <c r="N724" s="2"/>
      <c r="O724" s="2"/>
      <c r="P724" s="2" t="s">
        <v>92</v>
      </c>
    </row>
    <row r="725">
      <c r="A725" s="3" t="s">
        <v>49</v>
      </c>
      <c r="B725" s="2" t="s">
        <v>17</v>
      </c>
      <c r="C725" s="2" t="s">
        <v>113</v>
      </c>
      <c r="D725" s="2" t="s">
        <v>30</v>
      </c>
      <c r="E725" s="2" t="s">
        <v>27</v>
      </c>
      <c r="F725" s="2">
        <v>27.0</v>
      </c>
      <c r="G725" s="2">
        <v>37.0</v>
      </c>
      <c r="H725" s="2">
        <v>27.0</v>
      </c>
      <c r="I725" s="2">
        <v>10.0</v>
      </c>
      <c r="J725" s="2">
        <v>0.0</v>
      </c>
      <c r="K725" s="2">
        <v>0.0</v>
      </c>
      <c r="L725" s="2">
        <v>0.0</v>
      </c>
      <c r="M725" s="2">
        <v>0.0</v>
      </c>
      <c r="N725" s="2"/>
      <c r="O725" s="2"/>
      <c r="P725" s="2" t="s">
        <v>92</v>
      </c>
    </row>
    <row r="726">
      <c r="A726" s="3" t="s">
        <v>51</v>
      </c>
      <c r="B726" s="2" t="s">
        <v>17</v>
      </c>
      <c r="C726" s="2" t="s">
        <v>18</v>
      </c>
      <c r="D726" s="2" t="s">
        <v>23</v>
      </c>
      <c r="E726" s="2" t="s">
        <v>27</v>
      </c>
      <c r="F726" s="2">
        <v>65.0</v>
      </c>
      <c r="G726" s="2">
        <v>105.0</v>
      </c>
      <c r="H726" s="2">
        <v>62.0</v>
      </c>
      <c r="I726" s="2">
        <v>42.0</v>
      </c>
      <c r="J726" s="2">
        <v>1.0</v>
      </c>
      <c r="K726" s="2">
        <v>0.0</v>
      </c>
      <c r="L726" s="2">
        <v>0.0</v>
      </c>
      <c r="M726" s="2">
        <v>3.0</v>
      </c>
      <c r="N726" s="2">
        <v>-1.0</v>
      </c>
      <c r="O726" s="2">
        <v>-59.0</v>
      </c>
      <c r="P726" s="2" t="s">
        <v>92</v>
      </c>
    </row>
    <row r="727">
      <c r="A727" s="3" t="s">
        <v>52</v>
      </c>
      <c r="B727" s="4">
        <v>45232.25</v>
      </c>
      <c r="C727" s="2" t="s">
        <v>18</v>
      </c>
      <c r="D727" s="2" t="s">
        <v>157</v>
      </c>
      <c r="E727" s="2" t="s">
        <v>27</v>
      </c>
      <c r="F727" s="2"/>
      <c r="G727" s="2">
        <v>2.0</v>
      </c>
      <c r="H727" s="2">
        <v>2.0</v>
      </c>
      <c r="I727" s="2">
        <v>0.0</v>
      </c>
      <c r="J727" s="2">
        <v>0.0</v>
      </c>
      <c r="K727" s="2">
        <v>0.0</v>
      </c>
      <c r="L727" s="2">
        <v>0.0</v>
      </c>
      <c r="M727" s="2"/>
      <c r="N727" s="2"/>
      <c r="O727" s="2"/>
      <c r="P727" s="2" t="s">
        <v>92</v>
      </c>
    </row>
    <row r="728">
      <c r="A728" s="3" t="s">
        <v>53</v>
      </c>
      <c r="B728" s="4">
        <v>45262.29166666667</v>
      </c>
      <c r="C728" s="2" t="s">
        <v>18</v>
      </c>
      <c r="D728" s="2" t="s">
        <v>30</v>
      </c>
      <c r="E728" s="2" t="s">
        <v>27</v>
      </c>
      <c r="F728" s="2"/>
      <c r="G728" s="2">
        <v>7.0</v>
      </c>
      <c r="H728" s="2">
        <v>7.0</v>
      </c>
      <c r="I728" s="2">
        <v>0.0</v>
      </c>
      <c r="J728" s="2">
        <v>0.0</v>
      </c>
      <c r="K728" s="2">
        <v>0.0</v>
      </c>
      <c r="L728" s="2">
        <v>0.0</v>
      </c>
      <c r="M728" s="2"/>
      <c r="N728" s="2"/>
      <c r="O728" s="2"/>
      <c r="P728" s="2" t="s">
        <v>92</v>
      </c>
    </row>
    <row r="729">
      <c r="A729" s="3" t="s">
        <v>54</v>
      </c>
      <c r="B729" s="4">
        <v>45292.29166666667</v>
      </c>
      <c r="C729" s="2" t="s">
        <v>18</v>
      </c>
      <c r="D729" s="2" t="s">
        <v>157</v>
      </c>
      <c r="E729" s="2" t="s">
        <v>27</v>
      </c>
      <c r="F729" s="2"/>
      <c r="G729" s="2">
        <v>11.0</v>
      </c>
      <c r="H729" s="2">
        <v>2.0</v>
      </c>
      <c r="I729" s="2">
        <v>8.0</v>
      </c>
      <c r="J729" s="2">
        <v>1.0</v>
      </c>
      <c r="K729" s="2">
        <v>0.0</v>
      </c>
      <c r="L729" s="2">
        <v>0.0</v>
      </c>
      <c r="M729" s="2"/>
      <c r="N729" s="2"/>
      <c r="O729" s="2"/>
      <c r="P729" s="2" t="s">
        <v>92</v>
      </c>
    </row>
    <row r="730">
      <c r="A730" s="3" t="s">
        <v>55</v>
      </c>
      <c r="B730" s="4">
        <v>45293.29166666667</v>
      </c>
      <c r="C730" s="2" t="s">
        <v>18</v>
      </c>
      <c r="D730" s="2" t="s">
        <v>30</v>
      </c>
      <c r="E730" s="2" t="s">
        <v>27</v>
      </c>
      <c r="F730" s="2"/>
      <c r="G730" s="2">
        <v>30.0</v>
      </c>
      <c r="H730" s="2">
        <v>20.0</v>
      </c>
      <c r="I730" s="2">
        <v>10.0</v>
      </c>
      <c r="J730" s="2">
        <v>0.0</v>
      </c>
      <c r="K730" s="2">
        <v>0.0</v>
      </c>
      <c r="L730" s="2">
        <v>0.0</v>
      </c>
      <c r="M730" s="2"/>
      <c r="N730" s="2"/>
      <c r="O730" s="2"/>
      <c r="P730" s="2" t="s">
        <v>92</v>
      </c>
    </row>
    <row r="731">
      <c r="A731" s="3" t="s">
        <v>56</v>
      </c>
      <c r="B731" s="4">
        <v>45324.29166666667</v>
      </c>
      <c r="C731" s="2" t="s">
        <v>18</v>
      </c>
      <c r="D731" s="2" t="s">
        <v>157</v>
      </c>
      <c r="E731" s="2" t="s">
        <v>27</v>
      </c>
      <c r="F731" s="2"/>
      <c r="G731" s="2">
        <v>55.0</v>
      </c>
      <c r="H731" s="2">
        <v>31.0</v>
      </c>
      <c r="I731" s="2">
        <v>24.0</v>
      </c>
      <c r="J731" s="2">
        <v>0.0</v>
      </c>
      <c r="K731" s="2">
        <v>0.0</v>
      </c>
      <c r="L731" s="2">
        <v>0.0</v>
      </c>
      <c r="M731" s="2"/>
      <c r="N731" s="2"/>
      <c r="O731" s="2"/>
      <c r="P731" s="2" t="s">
        <v>92</v>
      </c>
    </row>
    <row r="732">
      <c r="A732" s="3" t="s">
        <v>59</v>
      </c>
      <c r="B732" s="2" t="s">
        <v>17</v>
      </c>
      <c r="C732" s="2" t="s">
        <v>18</v>
      </c>
      <c r="D732" s="2" t="s">
        <v>157</v>
      </c>
      <c r="E732" s="2" t="s">
        <v>27</v>
      </c>
      <c r="F732" s="2">
        <v>114.0</v>
      </c>
      <c r="G732" s="2">
        <v>160.0</v>
      </c>
      <c r="H732" s="2">
        <v>115.0</v>
      </c>
      <c r="I732" s="2">
        <v>43.0</v>
      </c>
      <c r="J732" s="2">
        <v>2.0</v>
      </c>
      <c r="K732" s="2">
        <v>0.0</v>
      </c>
      <c r="L732" s="2">
        <v>8.0</v>
      </c>
      <c r="M732" s="2">
        <v>-1.0</v>
      </c>
      <c r="N732" s="2"/>
      <c r="O732" s="2"/>
      <c r="P732" s="2" t="s">
        <v>92</v>
      </c>
    </row>
    <row r="733">
      <c r="A733" s="3" t="s">
        <v>60</v>
      </c>
      <c r="B733" s="2" t="s">
        <v>17</v>
      </c>
      <c r="C733" s="2" t="s">
        <v>113</v>
      </c>
      <c r="D733" s="2" t="s">
        <v>19</v>
      </c>
      <c r="E733" s="2" t="s">
        <v>27</v>
      </c>
      <c r="F733" s="2">
        <v>50.0</v>
      </c>
      <c r="G733" s="2">
        <v>40.0</v>
      </c>
      <c r="H733" s="2">
        <v>13.0</v>
      </c>
      <c r="I733" s="2">
        <v>10.0</v>
      </c>
      <c r="J733" s="2">
        <v>17.0</v>
      </c>
      <c r="K733" s="2">
        <v>0.0</v>
      </c>
      <c r="L733" s="2">
        <v>0.0</v>
      </c>
      <c r="M733" s="2">
        <v>37.0</v>
      </c>
      <c r="N733" s="2"/>
      <c r="O733" s="2"/>
      <c r="P733" s="2" t="s">
        <v>92</v>
      </c>
    </row>
    <row r="734">
      <c r="A734" s="3" t="s">
        <v>61</v>
      </c>
      <c r="B734" s="2" t="s">
        <v>17</v>
      </c>
      <c r="C734" s="2" t="s">
        <v>113</v>
      </c>
      <c r="D734" s="2" t="s">
        <v>33</v>
      </c>
      <c r="E734" s="2" t="s">
        <v>27</v>
      </c>
      <c r="F734" s="2">
        <v>20.0</v>
      </c>
      <c r="G734" s="2">
        <v>4.0</v>
      </c>
      <c r="H734" s="2">
        <v>0.0</v>
      </c>
      <c r="I734" s="2">
        <v>2.0</v>
      </c>
      <c r="J734" s="2">
        <v>2.0</v>
      </c>
      <c r="K734" s="2">
        <v>0.0</v>
      </c>
      <c r="L734" s="2">
        <v>0.0</v>
      </c>
      <c r="M734" s="2">
        <v>20.0</v>
      </c>
      <c r="N734" s="2"/>
      <c r="O734" s="2"/>
      <c r="P734" s="2" t="s">
        <v>92</v>
      </c>
    </row>
    <row r="735">
      <c r="A735" s="3" t="s">
        <v>62</v>
      </c>
      <c r="B735" s="2" t="s">
        <v>17</v>
      </c>
      <c r="C735" s="2" t="s">
        <v>18</v>
      </c>
      <c r="D735" s="2" t="s">
        <v>23</v>
      </c>
      <c r="E735" s="2" t="s">
        <v>27</v>
      </c>
      <c r="F735" s="2">
        <v>125.0</v>
      </c>
      <c r="G735" s="2">
        <v>204.0</v>
      </c>
      <c r="H735" s="2">
        <v>128.0</v>
      </c>
      <c r="I735" s="2">
        <v>55.0</v>
      </c>
      <c r="J735" s="2">
        <v>21.0</v>
      </c>
      <c r="K735" s="2">
        <v>0.0</v>
      </c>
      <c r="L735" s="2">
        <v>8.0</v>
      </c>
      <c r="M735" s="2">
        <v>-3.0</v>
      </c>
      <c r="N735" s="2">
        <v>-59.0</v>
      </c>
      <c r="O735" s="2">
        <v>-131.0</v>
      </c>
      <c r="P735" s="2" t="s">
        <v>92</v>
      </c>
    </row>
    <row r="736">
      <c r="A736" s="3" t="s">
        <v>63</v>
      </c>
      <c r="B736" s="4">
        <v>45262.29166666667</v>
      </c>
      <c r="C736" s="2" t="s">
        <v>18</v>
      </c>
      <c r="D736" s="2" t="s">
        <v>19</v>
      </c>
      <c r="E736" s="2" t="s">
        <v>27</v>
      </c>
      <c r="F736" s="2"/>
      <c r="G736" s="2">
        <v>5.0</v>
      </c>
      <c r="H736" s="2">
        <v>4.0</v>
      </c>
      <c r="I736" s="2">
        <v>0.0</v>
      </c>
      <c r="J736" s="2">
        <v>1.0</v>
      </c>
      <c r="K736" s="2">
        <v>0.0</v>
      </c>
      <c r="L736" s="2">
        <v>0.0</v>
      </c>
      <c r="M736" s="2"/>
      <c r="N736" s="2"/>
      <c r="O736" s="2"/>
      <c r="P736" s="2" t="s">
        <v>92</v>
      </c>
    </row>
    <row r="737">
      <c r="A737" s="3" t="s">
        <v>64</v>
      </c>
      <c r="B737" s="4">
        <v>45293.29166666667</v>
      </c>
      <c r="C737" s="2" t="s">
        <v>18</v>
      </c>
      <c r="D737" s="2" t="s">
        <v>157</v>
      </c>
      <c r="E737" s="2" t="s">
        <v>27</v>
      </c>
      <c r="F737" s="2"/>
      <c r="G737" s="2">
        <v>55.0</v>
      </c>
      <c r="H737" s="2">
        <v>40.0</v>
      </c>
      <c r="I737" s="2">
        <v>13.0</v>
      </c>
      <c r="J737" s="2">
        <v>2.0</v>
      </c>
      <c r="K737" s="2">
        <v>0.0</v>
      </c>
      <c r="L737" s="2">
        <v>0.0</v>
      </c>
      <c r="M737" s="2"/>
      <c r="N737" s="2"/>
      <c r="O737" s="2"/>
      <c r="P737" s="2" t="s">
        <v>92</v>
      </c>
    </row>
    <row r="738">
      <c r="A738" s="3" t="s">
        <v>65</v>
      </c>
      <c r="B738" s="4">
        <v>45294.29166666667</v>
      </c>
      <c r="C738" s="2" t="s">
        <v>18</v>
      </c>
      <c r="D738" s="2" t="s">
        <v>33</v>
      </c>
      <c r="E738" s="2" t="s">
        <v>27</v>
      </c>
      <c r="F738" s="2"/>
      <c r="G738" s="2">
        <v>4.0</v>
      </c>
      <c r="H738" s="2">
        <v>0.0</v>
      </c>
      <c r="I738" s="2">
        <v>2.0</v>
      </c>
      <c r="J738" s="2">
        <v>2.0</v>
      </c>
      <c r="K738" s="2">
        <v>0.0</v>
      </c>
      <c r="L738" s="2">
        <v>0.0</v>
      </c>
      <c r="M738" s="2"/>
      <c r="N738" s="2"/>
      <c r="O738" s="2"/>
      <c r="P738" s="2" t="s">
        <v>92</v>
      </c>
    </row>
    <row r="739">
      <c r="A739" s="3" t="s">
        <v>66</v>
      </c>
      <c r="B739" s="4">
        <v>45295.29166666667</v>
      </c>
      <c r="C739" s="2" t="s">
        <v>18</v>
      </c>
      <c r="D739" s="2" t="s">
        <v>19</v>
      </c>
      <c r="E739" s="2" t="s">
        <v>27</v>
      </c>
      <c r="F739" s="2"/>
      <c r="G739" s="2">
        <v>27.0</v>
      </c>
      <c r="H739" s="2">
        <v>4.0</v>
      </c>
      <c r="I739" s="2">
        <v>7.0</v>
      </c>
      <c r="J739" s="2">
        <v>16.0</v>
      </c>
      <c r="K739" s="2">
        <v>0.0</v>
      </c>
      <c r="L739" s="2">
        <v>0.0</v>
      </c>
      <c r="M739" s="2"/>
      <c r="N739" s="2"/>
      <c r="O739" s="2"/>
      <c r="P739" s="2" t="s">
        <v>92</v>
      </c>
    </row>
    <row r="740">
      <c r="A740" s="3" t="s">
        <v>68</v>
      </c>
      <c r="B740" s="4">
        <v>45324.29166666667</v>
      </c>
      <c r="C740" s="2" t="s">
        <v>18</v>
      </c>
      <c r="D740" s="2" t="s">
        <v>157</v>
      </c>
      <c r="E740" s="2" t="s">
        <v>27</v>
      </c>
      <c r="F740" s="2"/>
      <c r="G740" s="2">
        <v>105.0</v>
      </c>
      <c r="H740" s="2">
        <v>75.0</v>
      </c>
      <c r="I740" s="2">
        <v>30.0</v>
      </c>
      <c r="J740" s="2">
        <v>0.0</v>
      </c>
      <c r="K740" s="2">
        <v>0.0</v>
      </c>
      <c r="L740" s="2">
        <v>8.0</v>
      </c>
      <c r="M740" s="2"/>
      <c r="N740" s="2"/>
      <c r="O740" s="2"/>
      <c r="P740" s="2" t="s">
        <v>92</v>
      </c>
    </row>
    <row r="741">
      <c r="A741" s="3" t="s">
        <v>70</v>
      </c>
      <c r="B741" s="4">
        <v>45324.29166666667</v>
      </c>
      <c r="C741" s="2" t="s">
        <v>18</v>
      </c>
      <c r="D741" s="2" t="s">
        <v>19</v>
      </c>
      <c r="E741" s="2" t="s">
        <v>27</v>
      </c>
      <c r="F741" s="2"/>
      <c r="G741" s="2">
        <v>8.0</v>
      </c>
      <c r="H741" s="2">
        <v>5.0</v>
      </c>
      <c r="I741" s="2">
        <v>3.0</v>
      </c>
      <c r="J741" s="2">
        <v>0.0</v>
      </c>
      <c r="K741" s="2">
        <v>0.0</v>
      </c>
      <c r="L741" s="2">
        <v>0.0</v>
      </c>
      <c r="M741" s="2"/>
      <c r="N741" s="2"/>
      <c r="O741" s="2"/>
      <c r="P741" s="2" t="s">
        <v>92</v>
      </c>
    </row>
    <row r="742">
      <c r="A742" s="3" t="s">
        <v>16</v>
      </c>
      <c r="B742" s="4">
        <v>45324.29166666667</v>
      </c>
      <c r="C742" s="2" t="s">
        <v>113</v>
      </c>
      <c r="D742" s="2" t="s">
        <v>33</v>
      </c>
      <c r="E742" s="2" t="s">
        <v>27</v>
      </c>
      <c r="F742" s="2"/>
      <c r="G742" s="2">
        <v>0.0</v>
      </c>
      <c r="H742" s="2">
        <v>0.0</v>
      </c>
      <c r="I742" s="2">
        <v>0.0</v>
      </c>
      <c r="J742" s="2">
        <v>0.0</v>
      </c>
      <c r="K742" s="2">
        <v>0.0</v>
      </c>
      <c r="L742" s="2">
        <v>0.0</v>
      </c>
      <c r="M742" s="2"/>
      <c r="N742" s="2"/>
      <c r="O742" s="2"/>
      <c r="P742" s="2" t="s">
        <v>92</v>
      </c>
    </row>
    <row r="743">
      <c r="A743" s="3" t="s">
        <v>71</v>
      </c>
      <c r="B743" s="2" t="s">
        <v>17</v>
      </c>
      <c r="C743" s="2" t="s">
        <v>18</v>
      </c>
      <c r="D743" s="2" t="s">
        <v>19</v>
      </c>
      <c r="E743" s="2" t="s">
        <v>27</v>
      </c>
      <c r="F743" s="2">
        <v>25.0</v>
      </c>
      <c r="G743" s="2">
        <v>32.0</v>
      </c>
      <c r="H743" s="2">
        <v>28.0</v>
      </c>
      <c r="I743" s="2">
        <v>4.0</v>
      </c>
      <c r="J743" s="2">
        <v>0.0</v>
      </c>
      <c r="K743" s="2">
        <v>0.0</v>
      </c>
      <c r="L743" s="2">
        <v>1.0</v>
      </c>
      <c r="M743" s="2">
        <v>-3.0</v>
      </c>
      <c r="N743" s="2"/>
      <c r="O743" s="2"/>
      <c r="P743" s="2" t="s">
        <v>80</v>
      </c>
    </row>
    <row r="744">
      <c r="A744" s="3" t="s">
        <v>72</v>
      </c>
      <c r="B744" s="2" t="s">
        <v>17</v>
      </c>
      <c r="C744" s="2" t="s">
        <v>18</v>
      </c>
      <c r="D744" s="2" t="s">
        <v>23</v>
      </c>
      <c r="E744" s="2" t="s">
        <v>27</v>
      </c>
      <c r="F744" s="2">
        <v>25.0</v>
      </c>
      <c r="G744" s="2">
        <v>32.0</v>
      </c>
      <c r="H744" s="2">
        <v>28.0</v>
      </c>
      <c r="I744" s="2">
        <v>4.0</v>
      </c>
      <c r="J744" s="2">
        <v>0.0</v>
      </c>
      <c r="K744" s="2">
        <v>0.0</v>
      </c>
      <c r="L744" s="2">
        <v>1.0</v>
      </c>
      <c r="M744" s="2">
        <v>-3.0</v>
      </c>
      <c r="N744" s="2">
        <v>0.0</v>
      </c>
      <c r="O744" s="2">
        <v>-31.0</v>
      </c>
      <c r="P744" s="2" t="s">
        <v>80</v>
      </c>
    </row>
    <row r="745">
      <c r="A745" s="3" t="s">
        <v>73</v>
      </c>
      <c r="B745" s="4">
        <v>45262.29166666667</v>
      </c>
      <c r="C745" s="2" t="s">
        <v>18</v>
      </c>
      <c r="D745" s="2" t="s">
        <v>19</v>
      </c>
      <c r="E745" s="2" t="s">
        <v>27</v>
      </c>
      <c r="F745" s="2"/>
      <c r="G745" s="2">
        <v>10.0</v>
      </c>
      <c r="H745" s="2">
        <v>8.0</v>
      </c>
      <c r="I745" s="2">
        <v>2.0</v>
      </c>
      <c r="J745" s="2">
        <v>0.0</v>
      </c>
      <c r="K745" s="2">
        <v>0.0</v>
      </c>
      <c r="L745" s="2">
        <v>0.0</v>
      </c>
      <c r="M745" s="2"/>
      <c r="N745" s="2"/>
      <c r="O745" s="2"/>
      <c r="P745" s="2" t="s">
        <v>80</v>
      </c>
    </row>
    <row r="746">
      <c r="A746" s="3" t="s">
        <v>74</v>
      </c>
      <c r="B746" s="4">
        <v>45292.29166666667</v>
      </c>
      <c r="C746" s="2" t="s">
        <v>18</v>
      </c>
      <c r="D746" s="2" t="s">
        <v>19</v>
      </c>
      <c r="E746" s="2" t="s">
        <v>27</v>
      </c>
      <c r="F746" s="2"/>
      <c r="G746" s="2">
        <v>0.0</v>
      </c>
      <c r="H746" s="2">
        <v>0.0</v>
      </c>
      <c r="I746" s="2">
        <v>0.0</v>
      </c>
      <c r="J746" s="2">
        <v>0.0</v>
      </c>
      <c r="K746" s="2">
        <v>0.0</v>
      </c>
      <c r="L746" s="2">
        <v>0.0</v>
      </c>
      <c r="M746" s="2"/>
      <c r="N746" s="2"/>
      <c r="O746" s="2"/>
      <c r="P746" s="2" t="s">
        <v>80</v>
      </c>
    </row>
    <row r="747">
      <c r="A747" s="3" t="s">
        <v>75</v>
      </c>
      <c r="B747" s="6">
        <v>45325.29166666667</v>
      </c>
      <c r="C747" s="7" t="s">
        <v>18</v>
      </c>
      <c r="D747" s="7" t="s">
        <v>19</v>
      </c>
      <c r="E747" s="7" t="s">
        <v>27</v>
      </c>
      <c r="F747" s="7"/>
      <c r="G747" s="7">
        <v>22.0</v>
      </c>
      <c r="H747" s="7">
        <v>20.0</v>
      </c>
      <c r="I747" s="7">
        <v>2.0</v>
      </c>
      <c r="J747" s="7">
        <v>0.0</v>
      </c>
      <c r="K747" s="7">
        <v>0.0</v>
      </c>
      <c r="L747" s="7">
        <v>1.0</v>
      </c>
      <c r="M747" s="7"/>
      <c r="N747" s="7"/>
      <c r="O747" s="7"/>
      <c r="P747" s="7" t="s">
        <v>80</v>
      </c>
    </row>
    <row r="748">
      <c r="A748" s="3" t="s">
        <v>76</v>
      </c>
      <c r="B748" s="2" t="s">
        <v>17</v>
      </c>
      <c r="C748" s="2" t="s">
        <v>18</v>
      </c>
      <c r="D748" s="2" t="s">
        <v>164</v>
      </c>
      <c r="E748" s="2" t="s">
        <v>168</v>
      </c>
      <c r="F748" s="2">
        <v>10.0</v>
      </c>
      <c r="G748" s="2">
        <v>9.0</v>
      </c>
      <c r="H748" s="2">
        <v>5.0</v>
      </c>
      <c r="I748" s="2">
        <v>4.0</v>
      </c>
      <c r="J748" s="2">
        <v>0.0</v>
      </c>
      <c r="K748" s="2">
        <v>0.0</v>
      </c>
      <c r="L748" s="2">
        <v>0.0</v>
      </c>
      <c r="M748" s="2">
        <v>5.0</v>
      </c>
      <c r="N748" s="2"/>
      <c r="O748" s="2"/>
      <c r="P748" s="2" t="s">
        <v>166</v>
      </c>
    </row>
    <row r="749">
      <c r="A749" s="3" t="s">
        <v>77</v>
      </c>
      <c r="B749" s="2" t="s">
        <v>17</v>
      </c>
      <c r="C749" s="2" t="s">
        <v>18</v>
      </c>
      <c r="D749" s="2" t="s">
        <v>23</v>
      </c>
      <c r="E749" s="2" t="s">
        <v>168</v>
      </c>
      <c r="F749" s="2">
        <v>10.0</v>
      </c>
      <c r="G749" s="2">
        <v>9.0</v>
      </c>
      <c r="H749" s="2">
        <v>5.0</v>
      </c>
      <c r="I749" s="2">
        <v>4.0</v>
      </c>
      <c r="J749" s="2">
        <v>0.0</v>
      </c>
      <c r="K749" s="2">
        <v>0.0</v>
      </c>
      <c r="L749" s="2">
        <v>0.0</v>
      </c>
      <c r="M749" s="2">
        <v>5.0</v>
      </c>
      <c r="N749" s="2">
        <v>0.0</v>
      </c>
      <c r="O749" s="2">
        <v>0.0</v>
      </c>
      <c r="P749" s="2" t="s">
        <v>166</v>
      </c>
    </row>
    <row r="750">
      <c r="A750" s="3" t="s">
        <v>78</v>
      </c>
      <c r="B750" s="4">
        <v>45294.29166666667</v>
      </c>
      <c r="C750" s="2" t="s">
        <v>18</v>
      </c>
      <c r="D750" s="2" t="s">
        <v>164</v>
      </c>
      <c r="E750" s="2" t="s">
        <v>168</v>
      </c>
      <c r="F750" s="2"/>
      <c r="G750" s="2">
        <v>9.0</v>
      </c>
      <c r="H750" s="2">
        <v>5.0</v>
      </c>
      <c r="I750" s="2">
        <v>4.0</v>
      </c>
      <c r="J750" s="2">
        <v>0.0</v>
      </c>
      <c r="K750" s="2">
        <v>0.0</v>
      </c>
      <c r="L750" s="2">
        <v>0.0</v>
      </c>
      <c r="M750" s="2"/>
      <c r="N750" s="2"/>
      <c r="O750" s="2"/>
      <c r="P750" s="2" t="s">
        <v>166</v>
      </c>
    </row>
    <row r="751">
      <c r="A751" s="3" t="s">
        <v>81</v>
      </c>
      <c r="B751" s="4">
        <v>45324.29166666667</v>
      </c>
      <c r="C751" s="2" t="s">
        <v>18</v>
      </c>
      <c r="D751" s="2" t="s">
        <v>164</v>
      </c>
      <c r="E751" s="2" t="s">
        <v>168</v>
      </c>
      <c r="F751" s="2"/>
      <c r="G751" s="2">
        <v>0.0</v>
      </c>
      <c r="H751" s="2">
        <v>0.0</v>
      </c>
      <c r="I751" s="2">
        <v>0.0</v>
      </c>
      <c r="J751" s="2">
        <v>0.0</v>
      </c>
      <c r="K751" s="2">
        <v>0.0</v>
      </c>
      <c r="L751" s="2">
        <v>0.0</v>
      </c>
      <c r="M751" s="2"/>
      <c r="N751" s="2"/>
      <c r="O751" s="2"/>
      <c r="P751" s="2" t="s">
        <v>166</v>
      </c>
    </row>
    <row r="752">
      <c r="A752" s="3" t="s">
        <v>82</v>
      </c>
      <c r="B752" s="2" t="s">
        <v>17</v>
      </c>
      <c r="C752" s="2" t="s">
        <v>18</v>
      </c>
      <c r="D752" s="2" t="s">
        <v>19</v>
      </c>
      <c r="E752" s="2" t="s">
        <v>27</v>
      </c>
      <c r="F752" s="2">
        <v>42.0</v>
      </c>
      <c r="G752" s="2">
        <v>13.0</v>
      </c>
      <c r="H752" s="2">
        <v>8.0</v>
      </c>
      <c r="I752" s="2">
        <v>5.0</v>
      </c>
      <c r="J752" s="2">
        <v>0.0</v>
      </c>
      <c r="K752" s="2">
        <v>0.0</v>
      </c>
      <c r="L752" s="2">
        <v>0.0</v>
      </c>
      <c r="M752" s="2">
        <v>34.0</v>
      </c>
      <c r="N752" s="2"/>
      <c r="O752" s="2"/>
      <c r="P752" s="2" t="s">
        <v>92</v>
      </c>
    </row>
    <row r="753">
      <c r="A753" s="3" t="s">
        <v>83</v>
      </c>
      <c r="B753" s="2" t="s">
        <v>17</v>
      </c>
      <c r="C753" s="2" t="s">
        <v>18</v>
      </c>
      <c r="D753" s="2" t="s">
        <v>23</v>
      </c>
      <c r="E753" s="2" t="s">
        <v>27</v>
      </c>
      <c r="F753" s="2">
        <v>42.0</v>
      </c>
      <c r="G753" s="2">
        <v>13.0</v>
      </c>
      <c r="H753" s="2">
        <v>8.0</v>
      </c>
      <c r="I753" s="2">
        <v>5.0</v>
      </c>
      <c r="J753" s="2">
        <v>0.0</v>
      </c>
      <c r="K753" s="2">
        <v>0.0</v>
      </c>
      <c r="L753" s="2">
        <v>0.0</v>
      </c>
      <c r="M753" s="2">
        <v>34.0</v>
      </c>
      <c r="N753" s="2">
        <v>0.0</v>
      </c>
      <c r="O753" s="2">
        <v>26.0</v>
      </c>
      <c r="P753" s="2" t="s">
        <v>92</v>
      </c>
    </row>
    <row r="754">
      <c r="A754" s="3" t="s">
        <v>84</v>
      </c>
      <c r="B754" s="4">
        <v>45232.25</v>
      </c>
      <c r="C754" s="2" t="s">
        <v>18</v>
      </c>
      <c r="D754" s="2" t="s">
        <v>19</v>
      </c>
      <c r="E754" s="2" t="s">
        <v>27</v>
      </c>
      <c r="F754" s="2"/>
      <c r="G754" s="2">
        <v>7.0</v>
      </c>
      <c r="H754" s="2">
        <v>4.0</v>
      </c>
      <c r="I754" s="2">
        <v>3.0</v>
      </c>
      <c r="J754" s="2">
        <v>0.0</v>
      </c>
      <c r="K754" s="2">
        <v>0.0</v>
      </c>
      <c r="L754" s="2">
        <v>0.0</v>
      </c>
      <c r="M754" s="2"/>
      <c r="N754" s="2"/>
      <c r="O754" s="2"/>
      <c r="P754" s="2" t="s">
        <v>92</v>
      </c>
    </row>
    <row r="755">
      <c r="A755" s="3" t="s">
        <v>85</v>
      </c>
      <c r="B755" s="4">
        <v>45261.29166666667</v>
      </c>
      <c r="C755" s="2" t="s">
        <v>18</v>
      </c>
      <c r="D755" s="2" t="s">
        <v>19</v>
      </c>
      <c r="E755" s="2" t="s">
        <v>27</v>
      </c>
      <c r="F755" s="2"/>
      <c r="G755" s="2">
        <v>3.0</v>
      </c>
      <c r="H755" s="2">
        <v>2.0</v>
      </c>
      <c r="I755" s="2">
        <v>1.0</v>
      </c>
      <c r="J755" s="2">
        <v>0.0</v>
      </c>
      <c r="K755" s="2">
        <v>0.0</v>
      </c>
      <c r="L755" s="2">
        <v>0.0</v>
      </c>
      <c r="M755" s="2"/>
      <c r="N755" s="2"/>
      <c r="O755" s="2"/>
      <c r="P755" s="2" t="s">
        <v>92</v>
      </c>
    </row>
    <row r="756">
      <c r="A756" s="3" t="s">
        <v>86</v>
      </c>
      <c r="B756" s="4">
        <v>45292.29166666667</v>
      </c>
      <c r="C756" s="2" t="s">
        <v>18</v>
      </c>
      <c r="D756" s="2" t="s">
        <v>19</v>
      </c>
      <c r="E756" s="2" t="s">
        <v>27</v>
      </c>
      <c r="F756" s="2"/>
      <c r="G756" s="2">
        <v>3.0</v>
      </c>
      <c r="H756" s="2">
        <v>2.0</v>
      </c>
      <c r="I756" s="2">
        <v>1.0</v>
      </c>
      <c r="J756" s="2">
        <v>0.0</v>
      </c>
      <c r="K756" s="2">
        <v>0.0</v>
      </c>
      <c r="L756" s="2">
        <v>0.0</v>
      </c>
      <c r="M756" s="2"/>
      <c r="N756" s="2"/>
      <c r="O756" s="2"/>
      <c r="P756" s="2" t="s">
        <v>92</v>
      </c>
    </row>
    <row r="757">
      <c r="A757" s="3" t="s">
        <v>87</v>
      </c>
      <c r="B757" s="4">
        <v>45324.29166666667</v>
      </c>
      <c r="C757" s="2" t="s">
        <v>18</v>
      </c>
      <c r="D757" s="2" t="s">
        <v>19</v>
      </c>
      <c r="E757" s="2" t="s">
        <v>27</v>
      </c>
      <c r="F757" s="2"/>
      <c r="G757" s="2">
        <v>0.0</v>
      </c>
      <c r="H757" s="2">
        <v>0.0</v>
      </c>
      <c r="I757" s="2">
        <v>0.0</v>
      </c>
      <c r="J757" s="2">
        <v>0.0</v>
      </c>
      <c r="K757" s="2">
        <v>0.0</v>
      </c>
      <c r="L757" s="2">
        <v>0.0</v>
      </c>
      <c r="M757" s="2"/>
      <c r="N757" s="2"/>
      <c r="O757" s="2"/>
      <c r="P757" s="2" t="s">
        <v>92</v>
      </c>
    </row>
    <row r="758">
      <c r="A758" s="3" t="s">
        <v>88</v>
      </c>
      <c r="B758" s="2" t="s">
        <v>17</v>
      </c>
      <c r="C758" s="2" t="s">
        <v>18</v>
      </c>
      <c r="D758" s="2" t="s">
        <v>164</v>
      </c>
      <c r="E758" s="2" t="s">
        <v>168</v>
      </c>
      <c r="F758" s="2">
        <v>15.0</v>
      </c>
      <c r="G758" s="2">
        <v>6.0</v>
      </c>
      <c r="H758" s="2">
        <v>3.0</v>
      </c>
      <c r="I758" s="2">
        <v>3.0</v>
      </c>
      <c r="J758" s="2">
        <v>0.0</v>
      </c>
      <c r="K758" s="2">
        <v>0.0</v>
      </c>
      <c r="L758" s="2">
        <v>0.0</v>
      </c>
      <c r="M758" s="2">
        <v>12.0</v>
      </c>
      <c r="N758" s="2"/>
      <c r="O758" s="2"/>
      <c r="P758" s="2" t="s">
        <v>166</v>
      </c>
    </row>
    <row r="759">
      <c r="A759" s="3" t="s">
        <v>89</v>
      </c>
      <c r="B759" s="2" t="s">
        <v>17</v>
      </c>
      <c r="C759" s="2" t="s">
        <v>18</v>
      </c>
      <c r="D759" s="2" t="s">
        <v>23</v>
      </c>
      <c r="E759" s="2" t="s">
        <v>168</v>
      </c>
      <c r="F759" s="2">
        <v>15.0</v>
      </c>
      <c r="G759" s="2">
        <v>6.0</v>
      </c>
      <c r="H759" s="2">
        <v>3.0</v>
      </c>
      <c r="I759" s="2">
        <v>3.0</v>
      </c>
      <c r="J759" s="2">
        <v>0.0</v>
      </c>
      <c r="K759" s="2">
        <v>0.0</v>
      </c>
      <c r="L759" s="2">
        <v>0.0</v>
      </c>
      <c r="M759" s="2">
        <v>12.0</v>
      </c>
      <c r="N759" s="2">
        <v>0.0</v>
      </c>
      <c r="O759" s="2">
        <v>9.0</v>
      </c>
      <c r="P759" s="2" t="s">
        <v>166</v>
      </c>
    </row>
    <row r="760">
      <c r="A760" s="3" t="s">
        <v>90</v>
      </c>
      <c r="B760" s="4">
        <v>45294.29166666667</v>
      </c>
      <c r="C760" s="2" t="s">
        <v>18</v>
      </c>
      <c r="D760" s="2" t="s">
        <v>164</v>
      </c>
      <c r="E760" s="2" t="s">
        <v>168</v>
      </c>
      <c r="F760" s="2"/>
      <c r="G760" s="2">
        <v>6.0</v>
      </c>
      <c r="H760" s="2">
        <v>3.0</v>
      </c>
      <c r="I760" s="2">
        <v>3.0</v>
      </c>
      <c r="J760" s="2">
        <v>0.0</v>
      </c>
      <c r="K760" s="2">
        <v>0.0</v>
      </c>
      <c r="L760" s="2">
        <v>0.0</v>
      </c>
      <c r="M760" s="2"/>
      <c r="N760" s="2"/>
      <c r="O760" s="2"/>
      <c r="P760" s="2" t="s">
        <v>166</v>
      </c>
    </row>
    <row r="761">
      <c r="A761" s="3" t="s">
        <v>93</v>
      </c>
      <c r="B761" s="4">
        <v>45324.29166666667</v>
      </c>
      <c r="C761" s="2" t="s">
        <v>18</v>
      </c>
      <c r="D761" s="2" t="s">
        <v>164</v>
      </c>
      <c r="E761" s="2" t="s">
        <v>168</v>
      </c>
      <c r="F761" s="2"/>
      <c r="G761" s="2">
        <v>0.0</v>
      </c>
      <c r="H761" s="2">
        <v>0.0</v>
      </c>
      <c r="I761" s="2">
        <v>0.0</v>
      </c>
      <c r="J761" s="2">
        <v>0.0</v>
      </c>
      <c r="K761" s="2">
        <v>0.0</v>
      </c>
      <c r="L761" s="2">
        <v>0.0</v>
      </c>
      <c r="M761" s="2"/>
      <c r="N761" s="2"/>
      <c r="O761" s="2"/>
      <c r="P761" s="2" t="s">
        <v>166</v>
      </c>
    </row>
    <row r="762">
      <c r="A762" s="3" t="s">
        <v>16</v>
      </c>
      <c r="B762" s="2" t="s">
        <v>17</v>
      </c>
      <c r="C762" s="2" t="s">
        <v>18</v>
      </c>
      <c r="D762" s="2" t="s">
        <v>109</v>
      </c>
      <c r="E762" s="2" t="s">
        <v>182</v>
      </c>
      <c r="F762" s="2">
        <v>50.0</v>
      </c>
      <c r="G762" s="2">
        <v>44.0</v>
      </c>
      <c r="H762" s="2">
        <v>21.0</v>
      </c>
      <c r="I762" s="2">
        <v>23.0</v>
      </c>
      <c r="J762" s="2">
        <v>0.0</v>
      </c>
      <c r="K762" s="2">
        <v>0.0</v>
      </c>
      <c r="L762" s="2">
        <v>0.0</v>
      </c>
      <c r="M762" s="2">
        <v>29.0</v>
      </c>
      <c r="N762" s="2"/>
      <c r="O762" s="2"/>
      <c r="P762" s="2" t="s">
        <v>166</v>
      </c>
    </row>
    <row r="763">
      <c r="A763" s="3" t="s">
        <v>94</v>
      </c>
      <c r="B763" s="2" t="s">
        <v>17</v>
      </c>
      <c r="C763" s="2" t="s">
        <v>18</v>
      </c>
      <c r="D763" s="2" t="s">
        <v>23</v>
      </c>
      <c r="E763" s="2" t="s">
        <v>182</v>
      </c>
      <c r="F763" s="8">
        <v>50.0</v>
      </c>
      <c r="G763" s="8">
        <v>44.0</v>
      </c>
      <c r="H763" s="8">
        <v>21.0</v>
      </c>
      <c r="I763" s="8">
        <v>23.0</v>
      </c>
      <c r="J763" s="8">
        <v>0.0</v>
      </c>
      <c r="K763" s="8">
        <v>0.0</v>
      </c>
      <c r="L763" s="8">
        <v>0.0</v>
      </c>
      <c r="M763" s="8">
        <v>29.0</v>
      </c>
      <c r="N763" s="8">
        <v>0.0</v>
      </c>
      <c r="O763" s="8">
        <v>8.0</v>
      </c>
      <c r="P763" s="2" t="s">
        <v>166</v>
      </c>
    </row>
    <row r="764">
      <c r="A764" s="3" t="s">
        <v>95</v>
      </c>
      <c r="B764" s="4">
        <v>45294.29166666667</v>
      </c>
      <c r="C764" s="2" t="s">
        <v>18</v>
      </c>
      <c r="D764" s="2" t="s">
        <v>109</v>
      </c>
      <c r="E764" s="2" t="s">
        <v>182</v>
      </c>
      <c r="F764" s="2"/>
      <c r="G764" s="2">
        <v>35.0</v>
      </c>
      <c r="H764" s="2">
        <v>14.0</v>
      </c>
      <c r="I764" s="2">
        <v>21.0</v>
      </c>
      <c r="J764" s="2">
        <v>0.0</v>
      </c>
      <c r="K764" s="2">
        <v>0.0</v>
      </c>
      <c r="L764" s="2">
        <v>0.0</v>
      </c>
      <c r="M764" s="2"/>
      <c r="N764" s="2"/>
      <c r="O764" s="2"/>
      <c r="P764" s="2" t="s">
        <v>166</v>
      </c>
    </row>
    <row r="765">
      <c r="A765" s="3" t="s">
        <v>97</v>
      </c>
      <c r="B765" s="4">
        <v>45324.29166666667</v>
      </c>
      <c r="C765" s="2" t="s">
        <v>18</v>
      </c>
      <c r="D765" s="2" t="s">
        <v>109</v>
      </c>
      <c r="E765" s="2" t="s">
        <v>182</v>
      </c>
      <c r="F765" s="2"/>
      <c r="G765" s="2">
        <v>9.0</v>
      </c>
      <c r="H765" s="2">
        <v>7.0</v>
      </c>
      <c r="I765" s="2">
        <v>2.0</v>
      </c>
      <c r="J765" s="2">
        <v>0.0</v>
      </c>
      <c r="K765" s="2">
        <v>0.0</v>
      </c>
      <c r="L765" s="2">
        <v>0.0</v>
      </c>
      <c r="M765" s="2"/>
      <c r="N765" s="2"/>
      <c r="O765" s="2"/>
      <c r="P765" s="2" t="s">
        <v>166</v>
      </c>
    </row>
    <row r="766">
      <c r="A766" s="3" t="s">
        <v>98</v>
      </c>
      <c r="B766" s="2" t="s">
        <v>17</v>
      </c>
      <c r="C766" s="2" t="s">
        <v>18</v>
      </c>
      <c r="D766" s="2" t="s">
        <v>127</v>
      </c>
      <c r="E766" s="2" t="s">
        <v>183</v>
      </c>
      <c r="F766" s="2">
        <v>20.0</v>
      </c>
      <c r="G766" s="2">
        <v>33.0</v>
      </c>
      <c r="H766" s="2">
        <v>18.0</v>
      </c>
      <c r="I766" s="2">
        <v>15.0</v>
      </c>
      <c r="J766" s="2">
        <v>0.0</v>
      </c>
      <c r="K766" s="2">
        <v>0.0</v>
      </c>
      <c r="L766" s="2">
        <v>0.0</v>
      </c>
      <c r="M766" s="2">
        <v>2.0</v>
      </c>
      <c r="N766" s="2"/>
      <c r="O766" s="2"/>
      <c r="P766" s="2" t="s">
        <v>92</v>
      </c>
    </row>
    <row r="767">
      <c r="A767" s="3" t="s">
        <v>99</v>
      </c>
      <c r="B767" s="2" t="s">
        <v>17</v>
      </c>
      <c r="C767" s="2" t="s">
        <v>18</v>
      </c>
      <c r="D767" s="2" t="s">
        <v>19</v>
      </c>
      <c r="E767" s="2" t="s">
        <v>183</v>
      </c>
      <c r="F767" s="2">
        <v>44.0</v>
      </c>
      <c r="G767" s="2">
        <v>59.0</v>
      </c>
      <c r="H767" s="2">
        <v>43.0</v>
      </c>
      <c r="I767" s="2">
        <v>16.0</v>
      </c>
      <c r="J767" s="2">
        <v>0.0</v>
      </c>
      <c r="K767" s="2">
        <v>0.0</v>
      </c>
      <c r="L767" s="2">
        <v>0.0</v>
      </c>
      <c r="M767" s="2">
        <v>1.0</v>
      </c>
      <c r="N767" s="2"/>
      <c r="O767" s="2"/>
      <c r="P767" s="2" t="s">
        <v>92</v>
      </c>
    </row>
    <row r="768">
      <c r="A768" s="3" t="s">
        <v>100</v>
      </c>
      <c r="B768" s="2" t="s">
        <v>17</v>
      </c>
      <c r="C768" s="2" t="s">
        <v>18</v>
      </c>
      <c r="D768" s="2" t="s">
        <v>23</v>
      </c>
      <c r="E768" s="2" t="s">
        <v>183</v>
      </c>
      <c r="F768" s="2">
        <v>58.0</v>
      </c>
      <c r="G768" s="2">
        <v>92.0</v>
      </c>
      <c r="H768" s="2">
        <v>61.0</v>
      </c>
      <c r="I768" s="2">
        <v>31.0</v>
      </c>
      <c r="J768" s="2">
        <v>0.0</v>
      </c>
      <c r="K768" s="2">
        <v>0.0</v>
      </c>
      <c r="L768" s="2">
        <v>0.0</v>
      </c>
      <c r="M768" s="2">
        <v>-3.0</v>
      </c>
      <c r="N768" s="2">
        <v>-6.0</v>
      </c>
      <c r="O768" s="2">
        <v>-64.0</v>
      </c>
      <c r="P768" s="2" t="s">
        <v>92</v>
      </c>
    </row>
    <row r="769">
      <c r="A769" s="3" t="s">
        <v>101</v>
      </c>
      <c r="B769" s="4">
        <v>45262.29166666667</v>
      </c>
      <c r="C769" s="2" t="s">
        <v>18</v>
      </c>
      <c r="D769" s="2" t="s">
        <v>127</v>
      </c>
      <c r="E769" s="2" t="s">
        <v>183</v>
      </c>
      <c r="F769" s="2"/>
      <c r="G769" s="2">
        <v>15.0</v>
      </c>
      <c r="H769" s="2">
        <v>10.0</v>
      </c>
      <c r="I769" s="2">
        <v>5.0</v>
      </c>
      <c r="J769" s="2">
        <v>0.0</v>
      </c>
      <c r="K769" s="2">
        <v>0.0</v>
      </c>
      <c r="L769" s="2">
        <v>0.0</v>
      </c>
      <c r="M769" s="2"/>
      <c r="N769" s="2"/>
      <c r="O769" s="2"/>
      <c r="P769" s="2" t="s">
        <v>92</v>
      </c>
    </row>
    <row r="770">
      <c r="A770" s="3" t="s">
        <v>102</v>
      </c>
      <c r="B770" s="4">
        <v>45263.29166666667</v>
      </c>
      <c r="C770" s="2" t="s">
        <v>18</v>
      </c>
      <c r="D770" s="2" t="s">
        <v>19</v>
      </c>
      <c r="E770" s="2" t="s">
        <v>183</v>
      </c>
      <c r="F770" s="2"/>
      <c r="G770" s="2">
        <v>6.0</v>
      </c>
      <c r="H770" s="2">
        <v>5.0</v>
      </c>
      <c r="I770" s="2">
        <v>1.0</v>
      </c>
      <c r="J770" s="2">
        <v>0.0</v>
      </c>
      <c r="K770" s="2">
        <v>0.0</v>
      </c>
      <c r="L770" s="2">
        <v>0.0</v>
      </c>
      <c r="M770" s="2"/>
      <c r="N770" s="2"/>
      <c r="O770" s="2"/>
      <c r="P770" s="2" t="s">
        <v>92</v>
      </c>
    </row>
    <row r="771">
      <c r="A771" s="3" t="s">
        <v>103</v>
      </c>
      <c r="B771" s="4">
        <v>45293.29166666667</v>
      </c>
      <c r="C771" s="2" t="s">
        <v>18</v>
      </c>
      <c r="D771" s="2" t="s">
        <v>127</v>
      </c>
      <c r="E771" s="2" t="s">
        <v>183</v>
      </c>
      <c r="F771" s="2"/>
      <c r="G771" s="2">
        <v>18.0</v>
      </c>
      <c r="H771" s="2">
        <v>8.0</v>
      </c>
      <c r="I771" s="2">
        <v>10.0</v>
      </c>
      <c r="J771" s="2">
        <v>0.0</v>
      </c>
      <c r="K771" s="2">
        <v>0.0</v>
      </c>
      <c r="L771" s="2">
        <v>0.0</v>
      </c>
      <c r="M771" s="2"/>
      <c r="N771" s="2"/>
      <c r="O771" s="2"/>
      <c r="P771" s="2" t="s">
        <v>92</v>
      </c>
    </row>
    <row r="772">
      <c r="A772" s="3" t="s">
        <v>104</v>
      </c>
      <c r="B772" s="4">
        <v>45293.29166666667</v>
      </c>
      <c r="C772" s="2" t="s">
        <v>18</v>
      </c>
      <c r="D772" s="2" t="s">
        <v>19</v>
      </c>
      <c r="E772" s="2" t="s">
        <v>183</v>
      </c>
      <c r="F772" s="2"/>
      <c r="G772" s="2">
        <v>53.0</v>
      </c>
      <c r="H772" s="2">
        <v>38.0</v>
      </c>
      <c r="I772" s="2">
        <v>15.0</v>
      </c>
      <c r="J772" s="2">
        <v>0.0</v>
      </c>
      <c r="K772" s="2">
        <v>0.0</v>
      </c>
      <c r="L772" s="2">
        <v>0.0</v>
      </c>
      <c r="M772" s="2"/>
      <c r="N772" s="2"/>
      <c r="O772" s="2"/>
      <c r="P772" s="2" t="s">
        <v>92</v>
      </c>
    </row>
    <row r="773">
      <c r="A773" s="3" t="s">
        <v>105</v>
      </c>
      <c r="B773" s="2" t="s">
        <v>17</v>
      </c>
      <c r="C773" s="2" t="s">
        <v>18</v>
      </c>
      <c r="D773" s="2" t="s">
        <v>19</v>
      </c>
      <c r="E773" s="2" t="s">
        <v>27</v>
      </c>
      <c r="F773" s="8">
        <v>15.0</v>
      </c>
      <c r="G773" s="8">
        <v>0.0</v>
      </c>
      <c r="H773" s="8">
        <v>0.0</v>
      </c>
      <c r="I773" s="8">
        <v>0.0</v>
      </c>
      <c r="J773" s="8">
        <v>0.0</v>
      </c>
      <c r="K773" s="8">
        <v>0.0</v>
      </c>
      <c r="L773" s="8">
        <v>0.0</v>
      </c>
      <c r="M773" s="8">
        <v>15.0</v>
      </c>
      <c r="N773" s="8"/>
      <c r="O773" s="8"/>
      <c r="P773" s="2" t="s">
        <v>92</v>
      </c>
    </row>
    <row r="774">
      <c r="A774" s="3" t="s">
        <v>106</v>
      </c>
      <c r="B774" s="2" t="s">
        <v>17</v>
      </c>
      <c r="C774" s="2" t="s">
        <v>18</v>
      </c>
      <c r="D774" s="2" t="s">
        <v>127</v>
      </c>
      <c r="E774" s="2" t="s">
        <v>27</v>
      </c>
      <c r="F774" s="2">
        <v>15.0</v>
      </c>
      <c r="G774" s="2">
        <v>29.0</v>
      </c>
      <c r="H774" s="2">
        <v>19.0</v>
      </c>
      <c r="I774" s="2">
        <v>10.0</v>
      </c>
      <c r="J774" s="2">
        <v>0.0</v>
      </c>
      <c r="K774" s="2">
        <v>0.0</v>
      </c>
      <c r="L774" s="2">
        <v>0.0</v>
      </c>
      <c r="M774" s="2">
        <v>-4.0</v>
      </c>
      <c r="N774" s="2"/>
      <c r="O774" s="2"/>
      <c r="P774" s="2" t="s">
        <v>92</v>
      </c>
    </row>
    <row r="775">
      <c r="A775" s="3" t="s">
        <v>107</v>
      </c>
      <c r="B775" s="2" t="s">
        <v>17</v>
      </c>
      <c r="C775" s="2" t="s">
        <v>18</v>
      </c>
      <c r="D775" s="2" t="s">
        <v>23</v>
      </c>
      <c r="E775" s="2" t="s">
        <v>27</v>
      </c>
      <c r="F775" s="2">
        <v>15.0</v>
      </c>
      <c r="G775" s="2">
        <v>29.0</v>
      </c>
      <c r="H775" s="2">
        <v>19.0</v>
      </c>
      <c r="I775" s="2">
        <v>10.0</v>
      </c>
      <c r="J775" s="2">
        <v>0.0</v>
      </c>
      <c r="K775" s="2">
        <v>0.0</v>
      </c>
      <c r="L775" s="2">
        <v>0.0</v>
      </c>
      <c r="M775" s="2">
        <v>-4.0</v>
      </c>
      <c r="N775" s="2">
        <v>-15.0</v>
      </c>
      <c r="O775" s="2">
        <v>-23.0</v>
      </c>
      <c r="P775" s="2" t="s">
        <v>92</v>
      </c>
    </row>
    <row r="776">
      <c r="A776" s="3" t="s">
        <v>108</v>
      </c>
      <c r="B776" s="4">
        <v>45262.29166666667</v>
      </c>
      <c r="C776" s="2" t="s">
        <v>18</v>
      </c>
      <c r="D776" s="2" t="s">
        <v>19</v>
      </c>
      <c r="E776" s="2" t="s">
        <v>27</v>
      </c>
      <c r="F776" s="2"/>
      <c r="G776" s="2">
        <v>0.0</v>
      </c>
      <c r="H776" s="2">
        <v>0.0</v>
      </c>
      <c r="I776" s="2">
        <v>0.0</v>
      </c>
      <c r="J776" s="2">
        <v>0.0</v>
      </c>
      <c r="K776" s="2">
        <v>0.0</v>
      </c>
      <c r="L776" s="2">
        <v>0.0</v>
      </c>
      <c r="M776" s="2"/>
      <c r="N776" s="2"/>
      <c r="O776" s="2"/>
      <c r="P776" s="2" t="s">
        <v>92</v>
      </c>
    </row>
    <row r="777">
      <c r="A777" s="3" t="s">
        <v>112</v>
      </c>
      <c r="B777" s="4">
        <v>45292.29166666667</v>
      </c>
      <c r="C777" s="2" t="s">
        <v>18</v>
      </c>
      <c r="D777" s="2" t="s">
        <v>19</v>
      </c>
      <c r="E777" s="2" t="s">
        <v>27</v>
      </c>
      <c r="F777" s="2"/>
      <c r="G777" s="2">
        <v>0.0</v>
      </c>
      <c r="H777" s="2">
        <v>0.0</v>
      </c>
      <c r="I777" s="2">
        <v>0.0</v>
      </c>
      <c r="J777" s="2">
        <v>0.0</v>
      </c>
      <c r="K777" s="2">
        <v>0.0</v>
      </c>
      <c r="L777" s="2">
        <v>0.0</v>
      </c>
      <c r="M777" s="2"/>
      <c r="N777" s="2"/>
      <c r="O777" s="2"/>
      <c r="P777" s="2" t="s">
        <v>92</v>
      </c>
    </row>
    <row r="778">
      <c r="A778" s="3" t="s">
        <v>115</v>
      </c>
      <c r="B778" s="4">
        <v>45292.29166666667</v>
      </c>
      <c r="C778" s="2" t="s">
        <v>18</v>
      </c>
      <c r="D778" s="2" t="s">
        <v>127</v>
      </c>
      <c r="E778" s="2" t="s">
        <v>27</v>
      </c>
      <c r="F778" s="2"/>
      <c r="G778" s="2">
        <v>29.0</v>
      </c>
      <c r="H778" s="2">
        <v>19.0</v>
      </c>
      <c r="I778" s="2">
        <v>10.0</v>
      </c>
      <c r="J778" s="2">
        <v>0.0</v>
      </c>
      <c r="K778" s="2">
        <v>0.0</v>
      </c>
      <c r="L778" s="2">
        <v>0.0</v>
      </c>
      <c r="M778" s="2"/>
      <c r="N778" s="2"/>
      <c r="O778" s="2"/>
      <c r="P778" s="2" t="s">
        <v>92</v>
      </c>
    </row>
    <row r="779">
      <c r="A779" s="3" t="s">
        <v>117</v>
      </c>
      <c r="B779" s="4">
        <v>45325.29166666667</v>
      </c>
      <c r="C779" s="2" t="s">
        <v>18</v>
      </c>
      <c r="D779" s="2" t="s">
        <v>127</v>
      </c>
      <c r="E779" s="2" t="s">
        <v>27</v>
      </c>
      <c r="F779" s="2"/>
      <c r="G779" s="2">
        <v>0.0</v>
      </c>
      <c r="H779" s="2">
        <v>0.0</v>
      </c>
      <c r="I779" s="2">
        <v>0.0</v>
      </c>
      <c r="J779" s="2">
        <v>0.0</v>
      </c>
      <c r="K779" s="2">
        <v>0.0</v>
      </c>
      <c r="L779" s="2">
        <v>0.0</v>
      </c>
      <c r="M779" s="2"/>
      <c r="N779" s="2"/>
      <c r="O779" s="2"/>
      <c r="P779" s="2" t="s">
        <v>92</v>
      </c>
    </row>
    <row r="780">
      <c r="A780" s="3" t="s">
        <v>119</v>
      </c>
      <c r="B780" s="2" t="s">
        <v>17</v>
      </c>
      <c r="C780" s="2" t="s">
        <v>148</v>
      </c>
      <c r="D780" s="2" t="s">
        <v>19</v>
      </c>
      <c r="E780" s="2" t="s">
        <v>27</v>
      </c>
      <c r="F780" s="2">
        <v>46.0</v>
      </c>
      <c r="G780" s="2">
        <v>1.0</v>
      </c>
      <c r="H780" s="2">
        <v>0.0</v>
      </c>
      <c r="I780" s="2">
        <v>1.0</v>
      </c>
      <c r="J780" s="2">
        <v>0.0</v>
      </c>
      <c r="K780" s="2">
        <v>0.0</v>
      </c>
      <c r="L780" s="2">
        <v>0.0</v>
      </c>
      <c r="M780" s="2">
        <v>46.0</v>
      </c>
      <c r="N780" s="2"/>
      <c r="O780" s="2"/>
      <c r="P780" s="2" t="s">
        <v>92</v>
      </c>
    </row>
    <row r="781">
      <c r="A781" s="3" t="s">
        <v>121</v>
      </c>
      <c r="B781" s="2" t="s">
        <v>17</v>
      </c>
      <c r="C781" s="2" t="s">
        <v>18</v>
      </c>
      <c r="D781" s="2" t="s">
        <v>127</v>
      </c>
      <c r="E781" s="2" t="s">
        <v>27</v>
      </c>
      <c r="F781" s="2">
        <v>97.0</v>
      </c>
      <c r="G781" s="2">
        <v>134.0</v>
      </c>
      <c r="H781" s="2">
        <v>97.0</v>
      </c>
      <c r="I781" s="2">
        <v>37.0</v>
      </c>
      <c r="J781" s="2">
        <v>0.0</v>
      </c>
      <c r="K781" s="2">
        <v>0.0</v>
      </c>
      <c r="L781" s="2">
        <v>0.0</v>
      </c>
      <c r="M781" s="2">
        <v>0.0</v>
      </c>
      <c r="N781" s="2"/>
      <c r="O781" s="2"/>
      <c r="P781" s="2" t="s">
        <v>92</v>
      </c>
    </row>
    <row r="782">
      <c r="A782" s="3" t="s">
        <v>16</v>
      </c>
      <c r="B782" s="2" t="s">
        <v>17</v>
      </c>
      <c r="C782" s="2" t="s">
        <v>18</v>
      </c>
      <c r="D782" s="2" t="s">
        <v>23</v>
      </c>
      <c r="E782" s="2" t="s">
        <v>27</v>
      </c>
      <c r="F782" s="2">
        <v>97.0</v>
      </c>
      <c r="G782" s="2">
        <v>135.0</v>
      </c>
      <c r="H782" s="2">
        <v>97.0</v>
      </c>
      <c r="I782" s="2">
        <v>38.0</v>
      </c>
      <c r="J782" s="2">
        <v>0.0</v>
      </c>
      <c r="K782" s="2">
        <v>0.0</v>
      </c>
      <c r="L782" s="2">
        <v>0.0</v>
      </c>
      <c r="M782" s="2">
        <v>0.0</v>
      </c>
      <c r="N782" s="2">
        <v>-46.0</v>
      </c>
      <c r="O782" s="2">
        <v>-97.0</v>
      </c>
      <c r="P782" s="2" t="s">
        <v>92</v>
      </c>
    </row>
    <row r="783">
      <c r="A783" s="3" t="s">
        <v>124</v>
      </c>
      <c r="B783" s="4">
        <v>45292.29166666667</v>
      </c>
      <c r="C783" s="2" t="s">
        <v>18</v>
      </c>
      <c r="D783" s="2" t="s">
        <v>19</v>
      </c>
      <c r="E783" s="2" t="s">
        <v>27</v>
      </c>
      <c r="F783" s="2"/>
      <c r="G783" s="2">
        <v>1.0</v>
      </c>
      <c r="H783" s="2">
        <v>0.0</v>
      </c>
      <c r="I783" s="2">
        <v>1.0</v>
      </c>
      <c r="J783" s="2">
        <v>0.0</v>
      </c>
      <c r="K783" s="2">
        <v>0.0</v>
      </c>
      <c r="L783" s="2">
        <v>0.0</v>
      </c>
      <c r="M783" s="2"/>
      <c r="N783" s="2"/>
      <c r="O783" s="2"/>
      <c r="P783" s="2" t="s">
        <v>92</v>
      </c>
    </row>
    <row r="784">
      <c r="A784" s="3" t="s">
        <v>126</v>
      </c>
      <c r="B784" s="4">
        <v>45292.29166666667</v>
      </c>
      <c r="C784" s="2" t="s">
        <v>18</v>
      </c>
      <c r="D784" s="2" t="s">
        <v>127</v>
      </c>
      <c r="E784" s="2" t="s">
        <v>27</v>
      </c>
      <c r="F784" s="2"/>
      <c r="G784" s="2">
        <v>65.0</v>
      </c>
      <c r="H784" s="2">
        <v>51.0</v>
      </c>
      <c r="I784" s="2">
        <v>14.0</v>
      </c>
      <c r="J784" s="2">
        <v>0.0</v>
      </c>
      <c r="K784" s="2">
        <v>0.0</v>
      </c>
      <c r="L784" s="2">
        <v>0.0</v>
      </c>
      <c r="M784" s="2"/>
      <c r="N784" s="2"/>
      <c r="O784" s="2"/>
      <c r="P784" s="2" t="s">
        <v>92</v>
      </c>
    </row>
    <row r="785">
      <c r="A785" s="3" t="s">
        <v>128</v>
      </c>
      <c r="B785" s="4">
        <v>45324.29166666667</v>
      </c>
      <c r="C785" s="2" t="s">
        <v>18</v>
      </c>
      <c r="D785" s="2" t="s">
        <v>127</v>
      </c>
      <c r="E785" s="2" t="s">
        <v>27</v>
      </c>
      <c r="F785" s="2"/>
      <c r="G785" s="2">
        <v>69.0</v>
      </c>
      <c r="H785" s="2">
        <v>46.0</v>
      </c>
      <c r="I785" s="2">
        <v>23.0</v>
      </c>
      <c r="J785" s="2">
        <v>0.0</v>
      </c>
      <c r="K785" s="2">
        <v>0.0</v>
      </c>
      <c r="L785" s="2">
        <v>0.0</v>
      </c>
      <c r="M785" s="2"/>
      <c r="N785" s="2"/>
      <c r="O785" s="2"/>
      <c r="P785" s="2" t="s">
        <v>92</v>
      </c>
    </row>
    <row r="786">
      <c r="A786" s="3" t="s">
        <v>129</v>
      </c>
      <c r="B786" s="2" t="s">
        <v>17</v>
      </c>
      <c r="C786" s="2" t="s">
        <v>18</v>
      </c>
      <c r="D786" s="2" t="s">
        <v>19</v>
      </c>
      <c r="E786" s="2" t="s">
        <v>27</v>
      </c>
      <c r="F786" s="2">
        <v>25.0</v>
      </c>
      <c r="G786" s="2">
        <v>33.0</v>
      </c>
      <c r="H786" s="2">
        <v>27.0</v>
      </c>
      <c r="I786" s="2">
        <v>6.0</v>
      </c>
      <c r="J786" s="2">
        <v>0.0</v>
      </c>
      <c r="K786" s="2">
        <v>0.0</v>
      </c>
      <c r="L786" s="2">
        <v>0.0</v>
      </c>
      <c r="M786" s="2">
        <v>-2.0</v>
      </c>
      <c r="N786" s="2"/>
      <c r="O786" s="2"/>
      <c r="P786" s="2" t="s">
        <v>80</v>
      </c>
    </row>
    <row r="787">
      <c r="A787" s="3" t="s">
        <v>130</v>
      </c>
      <c r="B787" s="2" t="s">
        <v>17</v>
      </c>
      <c r="C787" s="2" t="s">
        <v>18</v>
      </c>
      <c r="D787" s="2" t="s">
        <v>23</v>
      </c>
      <c r="E787" s="2" t="s">
        <v>27</v>
      </c>
      <c r="F787" s="2">
        <v>25.0</v>
      </c>
      <c r="G787" s="2">
        <v>33.0</v>
      </c>
      <c r="H787" s="2">
        <v>27.0</v>
      </c>
      <c r="I787" s="2">
        <v>6.0</v>
      </c>
      <c r="J787" s="2">
        <v>0.0</v>
      </c>
      <c r="K787" s="2">
        <v>0.0</v>
      </c>
      <c r="L787" s="2">
        <v>0.0</v>
      </c>
      <c r="M787" s="2">
        <v>-2.0</v>
      </c>
      <c r="N787" s="2">
        <v>0.0</v>
      </c>
      <c r="O787" s="2">
        <v>-29.0</v>
      </c>
      <c r="P787" s="2" t="s">
        <v>80</v>
      </c>
    </row>
    <row r="788">
      <c r="A788" s="3" t="s">
        <v>131</v>
      </c>
      <c r="B788" s="4">
        <v>45262.29166666667</v>
      </c>
      <c r="C788" s="2" t="s">
        <v>18</v>
      </c>
      <c r="D788" s="2" t="s">
        <v>19</v>
      </c>
      <c r="E788" s="2" t="s">
        <v>27</v>
      </c>
      <c r="F788" s="2"/>
      <c r="G788" s="2">
        <v>3.0</v>
      </c>
      <c r="H788" s="2">
        <v>2.0</v>
      </c>
      <c r="I788" s="2">
        <v>1.0</v>
      </c>
      <c r="J788" s="2">
        <v>0.0</v>
      </c>
      <c r="K788" s="2">
        <v>0.0</v>
      </c>
      <c r="L788" s="2">
        <v>0.0</v>
      </c>
      <c r="M788" s="2"/>
      <c r="N788" s="2"/>
      <c r="O788" s="2"/>
      <c r="P788" s="2" t="s">
        <v>80</v>
      </c>
    </row>
    <row r="789">
      <c r="A789" s="3" t="s">
        <v>132</v>
      </c>
      <c r="B789" s="4">
        <v>45324.29166666667</v>
      </c>
      <c r="C789" s="2" t="s">
        <v>18</v>
      </c>
      <c r="D789" s="2" t="s">
        <v>19</v>
      </c>
      <c r="E789" s="2" t="s">
        <v>27</v>
      </c>
      <c r="F789" s="2"/>
      <c r="G789" s="2">
        <v>30.0</v>
      </c>
      <c r="H789" s="2">
        <v>25.0</v>
      </c>
      <c r="I789" s="2">
        <v>5.0</v>
      </c>
      <c r="J789" s="2">
        <v>0.0</v>
      </c>
      <c r="K789" s="2">
        <v>0.0</v>
      </c>
      <c r="L789" s="2">
        <v>0.0</v>
      </c>
      <c r="M789" s="2"/>
      <c r="N789" s="2"/>
      <c r="O789" s="2"/>
      <c r="P789" s="2" t="s">
        <v>80</v>
      </c>
    </row>
    <row r="790">
      <c r="A790" s="3" t="s">
        <v>133</v>
      </c>
      <c r="B790" s="2" t="s">
        <v>17</v>
      </c>
      <c r="C790" s="2" t="s">
        <v>18</v>
      </c>
      <c r="D790" s="2" t="s">
        <v>19</v>
      </c>
      <c r="E790" s="2" t="s">
        <v>27</v>
      </c>
      <c r="F790" s="2">
        <v>26.0</v>
      </c>
      <c r="G790" s="2">
        <v>32.0</v>
      </c>
      <c r="H790" s="2">
        <v>27.0</v>
      </c>
      <c r="I790" s="2">
        <v>5.0</v>
      </c>
      <c r="J790" s="2">
        <v>0.0</v>
      </c>
      <c r="K790" s="2">
        <v>0.0</v>
      </c>
      <c r="L790" s="2">
        <v>3.0</v>
      </c>
      <c r="M790" s="2">
        <v>-1.0</v>
      </c>
      <c r="N790" s="2"/>
      <c r="O790" s="2"/>
      <c r="P790" s="2" t="s">
        <v>80</v>
      </c>
    </row>
    <row r="791">
      <c r="A791" s="3" t="s">
        <v>134</v>
      </c>
      <c r="B791" s="2" t="s">
        <v>17</v>
      </c>
      <c r="C791" s="2" t="s">
        <v>18</v>
      </c>
      <c r="D791" s="2" t="s">
        <v>23</v>
      </c>
      <c r="E791" s="2" t="s">
        <v>27</v>
      </c>
      <c r="F791" s="2">
        <v>26.0</v>
      </c>
      <c r="G791" s="2">
        <v>32.0</v>
      </c>
      <c r="H791" s="2">
        <v>27.0</v>
      </c>
      <c r="I791" s="2">
        <v>5.0</v>
      </c>
      <c r="J791" s="2">
        <v>0.0</v>
      </c>
      <c r="K791" s="2">
        <v>0.0</v>
      </c>
      <c r="L791" s="2">
        <v>3.0</v>
      </c>
      <c r="M791" s="2">
        <v>-1.0</v>
      </c>
      <c r="N791" s="2">
        <v>0.0</v>
      </c>
      <c r="O791" s="2">
        <v>-28.0</v>
      </c>
      <c r="P791" s="2" t="s">
        <v>80</v>
      </c>
    </row>
    <row r="792">
      <c r="A792" s="3" t="s">
        <v>136</v>
      </c>
      <c r="B792" s="4">
        <v>45262.29166666667</v>
      </c>
      <c r="C792" s="2" t="s">
        <v>18</v>
      </c>
      <c r="D792" s="2" t="s">
        <v>19</v>
      </c>
      <c r="E792" s="2" t="s">
        <v>27</v>
      </c>
      <c r="F792" s="2"/>
      <c r="G792" s="2">
        <v>2.0</v>
      </c>
      <c r="H792" s="2">
        <v>2.0</v>
      </c>
      <c r="I792" s="2">
        <v>0.0</v>
      </c>
      <c r="J792" s="2">
        <v>0.0</v>
      </c>
      <c r="K792" s="2">
        <v>0.0</v>
      </c>
      <c r="L792" s="2">
        <v>0.0</v>
      </c>
      <c r="M792" s="2"/>
      <c r="N792" s="2"/>
      <c r="O792" s="2"/>
      <c r="P792" s="2" t="s">
        <v>80</v>
      </c>
    </row>
    <row r="793">
      <c r="A793" s="3" t="s">
        <v>137</v>
      </c>
      <c r="B793" s="4">
        <v>45325.29166666667</v>
      </c>
      <c r="C793" s="2" t="s">
        <v>18</v>
      </c>
      <c r="D793" s="2" t="s">
        <v>19</v>
      </c>
      <c r="E793" s="2" t="s">
        <v>27</v>
      </c>
      <c r="F793" s="2"/>
      <c r="G793" s="2">
        <v>30.0</v>
      </c>
      <c r="H793" s="2">
        <v>25.0</v>
      </c>
      <c r="I793" s="2">
        <v>5.0</v>
      </c>
      <c r="J793" s="2">
        <v>0.0</v>
      </c>
      <c r="K793" s="2">
        <v>0.0</v>
      </c>
      <c r="L793" s="2">
        <v>3.0</v>
      </c>
      <c r="M793" s="2"/>
      <c r="N793" s="2"/>
      <c r="O793" s="2"/>
      <c r="P793" s="2" t="s">
        <v>80</v>
      </c>
    </row>
    <row r="794">
      <c r="A794" s="3" t="s">
        <v>138</v>
      </c>
      <c r="B794" s="2" t="s">
        <v>17</v>
      </c>
      <c r="C794" s="2" t="s">
        <v>18</v>
      </c>
      <c r="D794" s="2" t="s">
        <v>19</v>
      </c>
      <c r="E794" s="2" t="s">
        <v>27</v>
      </c>
      <c r="F794" s="2">
        <v>40.0</v>
      </c>
      <c r="G794" s="2">
        <v>73.0</v>
      </c>
      <c r="H794" s="2">
        <v>39.0</v>
      </c>
      <c r="I794" s="2">
        <v>34.0</v>
      </c>
      <c r="J794" s="2">
        <v>0.0</v>
      </c>
      <c r="K794" s="2">
        <v>0.0</v>
      </c>
      <c r="L794" s="2">
        <v>0.0</v>
      </c>
      <c r="M794" s="2">
        <v>1.0</v>
      </c>
      <c r="N794" s="2"/>
      <c r="O794" s="2"/>
      <c r="P794" s="2" t="s">
        <v>184</v>
      </c>
    </row>
    <row r="795">
      <c r="A795" s="3" t="s">
        <v>139</v>
      </c>
      <c r="B795" s="2" t="s">
        <v>17</v>
      </c>
      <c r="C795" s="2" t="s">
        <v>18</v>
      </c>
      <c r="D795" s="2" t="s">
        <v>23</v>
      </c>
      <c r="E795" s="2" t="s">
        <v>27</v>
      </c>
      <c r="F795" s="8">
        <v>40.0</v>
      </c>
      <c r="G795" s="8">
        <v>73.0</v>
      </c>
      <c r="H795" s="8">
        <v>39.0</v>
      </c>
      <c r="I795" s="8">
        <v>34.0</v>
      </c>
      <c r="J795" s="8">
        <v>0.0</v>
      </c>
      <c r="K795" s="8">
        <v>0.0</v>
      </c>
      <c r="L795" s="8">
        <v>0.0</v>
      </c>
      <c r="M795" s="8">
        <v>1.0</v>
      </c>
      <c r="N795" s="8">
        <v>0.0</v>
      </c>
      <c r="O795" s="8">
        <v>-38.0</v>
      </c>
      <c r="P795" s="2" t="s">
        <v>184</v>
      </c>
    </row>
    <row r="796">
      <c r="A796" s="3" t="s">
        <v>140</v>
      </c>
      <c r="B796" s="4">
        <v>45294.29166666667</v>
      </c>
      <c r="C796" s="2" t="s">
        <v>18</v>
      </c>
      <c r="D796" s="2" t="s">
        <v>19</v>
      </c>
      <c r="E796" s="2" t="s">
        <v>27</v>
      </c>
      <c r="F796" s="2"/>
      <c r="G796" s="2">
        <v>39.0</v>
      </c>
      <c r="H796" s="2">
        <v>18.0</v>
      </c>
      <c r="I796" s="2">
        <v>21.0</v>
      </c>
      <c r="J796" s="2">
        <v>0.0</v>
      </c>
      <c r="K796" s="2">
        <v>0.0</v>
      </c>
      <c r="L796" s="2">
        <v>0.0</v>
      </c>
      <c r="M796" s="2"/>
      <c r="N796" s="2"/>
      <c r="O796" s="2"/>
      <c r="P796" s="2" t="s">
        <v>184</v>
      </c>
    </row>
    <row r="797">
      <c r="A797" s="3" t="s">
        <v>141</v>
      </c>
      <c r="B797" s="4">
        <v>45324.29166666667</v>
      </c>
      <c r="C797" s="2" t="s">
        <v>18</v>
      </c>
      <c r="D797" s="2" t="s">
        <v>19</v>
      </c>
      <c r="E797" s="2" t="s">
        <v>27</v>
      </c>
      <c r="F797" s="2"/>
      <c r="G797" s="2">
        <v>34.0</v>
      </c>
      <c r="H797" s="2">
        <v>21.0</v>
      </c>
      <c r="I797" s="2">
        <v>13.0</v>
      </c>
      <c r="J797" s="2">
        <v>0.0</v>
      </c>
      <c r="K797" s="2">
        <v>0.0</v>
      </c>
      <c r="L797" s="2">
        <v>0.0</v>
      </c>
      <c r="M797" s="2"/>
      <c r="N797" s="2"/>
      <c r="O797" s="2"/>
      <c r="P797" s="2" t="s">
        <v>184</v>
      </c>
    </row>
    <row r="798">
      <c r="A798" s="3" t="s">
        <v>142</v>
      </c>
      <c r="B798" s="2" t="s">
        <v>17</v>
      </c>
      <c r="C798" s="2" t="s">
        <v>18</v>
      </c>
      <c r="D798" s="2" t="s">
        <v>19</v>
      </c>
      <c r="E798" s="2" t="s">
        <v>27</v>
      </c>
      <c r="F798" s="2">
        <v>28.0</v>
      </c>
      <c r="G798" s="2">
        <v>40.0</v>
      </c>
      <c r="H798" s="2">
        <v>32.0</v>
      </c>
      <c r="I798" s="2">
        <v>8.0</v>
      </c>
      <c r="J798" s="2">
        <v>0.0</v>
      </c>
      <c r="K798" s="2">
        <v>0.0</v>
      </c>
      <c r="L798" s="2">
        <v>2.0</v>
      </c>
      <c r="M798" s="2">
        <v>-4.0</v>
      </c>
      <c r="N798" s="2"/>
      <c r="O798" s="2"/>
      <c r="P798" s="2" t="s">
        <v>80</v>
      </c>
    </row>
    <row r="799">
      <c r="A799" s="3" t="s">
        <v>143</v>
      </c>
      <c r="B799" s="2" t="s">
        <v>17</v>
      </c>
      <c r="C799" s="2" t="s">
        <v>18</v>
      </c>
      <c r="D799" s="2" t="s">
        <v>23</v>
      </c>
      <c r="E799" s="2" t="s">
        <v>27</v>
      </c>
      <c r="F799" s="2">
        <v>28.0</v>
      </c>
      <c r="G799" s="2">
        <v>40.0</v>
      </c>
      <c r="H799" s="2">
        <v>32.0</v>
      </c>
      <c r="I799" s="2">
        <v>8.0</v>
      </c>
      <c r="J799" s="2">
        <v>0.0</v>
      </c>
      <c r="K799" s="2">
        <v>0.0</v>
      </c>
      <c r="L799" s="2">
        <v>2.0</v>
      </c>
      <c r="M799" s="2">
        <v>-4.0</v>
      </c>
      <c r="N799" s="2">
        <v>0.0</v>
      </c>
      <c r="O799" s="2">
        <v>-36.0</v>
      </c>
      <c r="P799" s="2" t="s">
        <v>80</v>
      </c>
    </row>
    <row r="800">
      <c r="A800" s="3" t="s">
        <v>144</v>
      </c>
      <c r="B800" s="4">
        <v>45262.29166666667</v>
      </c>
      <c r="C800" s="2" t="s">
        <v>18</v>
      </c>
      <c r="D800" s="2" t="s">
        <v>19</v>
      </c>
      <c r="E800" s="2" t="s">
        <v>27</v>
      </c>
      <c r="F800" s="2"/>
      <c r="G800" s="2">
        <v>10.0</v>
      </c>
      <c r="H800" s="2">
        <v>7.0</v>
      </c>
      <c r="I800" s="2">
        <v>3.0</v>
      </c>
      <c r="J800" s="2">
        <v>0.0</v>
      </c>
      <c r="K800" s="2">
        <v>0.0</v>
      </c>
      <c r="L800" s="2">
        <v>0.0</v>
      </c>
      <c r="M800" s="2"/>
      <c r="N800" s="2"/>
      <c r="O800" s="2"/>
      <c r="P800" s="2" t="s">
        <v>80</v>
      </c>
    </row>
    <row r="801">
      <c r="A801" s="3" t="s">
        <v>145</v>
      </c>
      <c r="B801" s="4">
        <v>45293.29166666667</v>
      </c>
      <c r="C801" s="2" t="s">
        <v>18</v>
      </c>
      <c r="D801" s="2" t="s">
        <v>19</v>
      </c>
      <c r="E801" s="2" t="s">
        <v>27</v>
      </c>
      <c r="F801" s="2"/>
      <c r="G801" s="2">
        <v>0.0</v>
      </c>
      <c r="H801" s="2">
        <v>0.0</v>
      </c>
      <c r="I801" s="2">
        <v>0.0</v>
      </c>
      <c r="J801" s="2">
        <v>0.0</v>
      </c>
      <c r="K801" s="2">
        <v>0.0</v>
      </c>
      <c r="L801" s="2">
        <v>0.0</v>
      </c>
      <c r="M801" s="2"/>
      <c r="N801" s="2"/>
      <c r="O801" s="2"/>
      <c r="P801" s="2" t="s">
        <v>80</v>
      </c>
    </row>
    <row r="802">
      <c r="A802" s="3" t="s">
        <v>16</v>
      </c>
      <c r="B802" s="4">
        <v>45324.29166666667</v>
      </c>
      <c r="C802" s="2" t="s">
        <v>18</v>
      </c>
      <c r="D802" s="2" t="s">
        <v>19</v>
      </c>
      <c r="E802" s="2" t="s">
        <v>27</v>
      </c>
      <c r="F802" s="2"/>
      <c r="G802" s="2">
        <v>30.0</v>
      </c>
      <c r="H802" s="2">
        <v>25.0</v>
      </c>
      <c r="I802" s="2">
        <v>5.0</v>
      </c>
      <c r="J802" s="2">
        <v>0.0</v>
      </c>
      <c r="K802" s="2">
        <v>0.0</v>
      </c>
      <c r="L802" s="2">
        <v>2.0</v>
      </c>
      <c r="M802" s="2"/>
      <c r="N802" s="2"/>
      <c r="O802" s="2"/>
      <c r="P802" s="2" t="s">
        <v>80</v>
      </c>
    </row>
    <row r="803">
      <c r="A803" s="3" t="s">
        <v>22</v>
      </c>
      <c r="B803" s="2" t="s">
        <v>17</v>
      </c>
      <c r="C803" s="2" t="s">
        <v>18</v>
      </c>
      <c r="D803" s="2" t="s">
        <v>33</v>
      </c>
      <c r="E803" s="2" t="s">
        <v>27</v>
      </c>
      <c r="F803" s="2">
        <v>55.0</v>
      </c>
      <c r="G803" s="2">
        <v>65.0</v>
      </c>
      <c r="H803" s="2">
        <v>50.0</v>
      </c>
      <c r="I803" s="2">
        <v>15.0</v>
      </c>
      <c r="J803" s="2">
        <v>0.0</v>
      </c>
      <c r="K803" s="2">
        <v>0.0</v>
      </c>
      <c r="L803" s="2">
        <v>0.0</v>
      </c>
      <c r="M803" s="2">
        <v>5.0</v>
      </c>
      <c r="N803" s="2"/>
      <c r="O803" s="2"/>
      <c r="P803" s="2" t="s">
        <v>111</v>
      </c>
    </row>
    <row r="804">
      <c r="A804" s="3" t="s">
        <v>24</v>
      </c>
      <c r="B804" s="2" t="s">
        <v>17</v>
      </c>
      <c r="C804" s="2" t="s">
        <v>18</v>
      </c>
      <c r="D804" s="2" t="s">
        <v>109</v>
      </c>
      <c r="E804" s="2" t="s">
        <v>27</v>
      </c>
      <c r="F804" s="2">
        <v>66.0</v>
      </c>
      <c r="G804" s="2">
        <v>80.0</v>
      </c>
      <c r="H804" s="2">
        <v>38.0</v>
      </c>
      <c r="I804" s="2">
        <v>42.0</v>
      </c>
      <c r="J804" s="2">
        <v>0.0</v>
      </c>
      <c r="K804" s="2">
        <v>0.0</v>
      </c>
      <c r="L804" s="2">
        <v>0.0</v>
      </c>
      <c r="M804" s="2">
        <v>28.0</v>
      </c>
      <c r="N804" s="2"/>
      <c r="O804" s="2"/>
      <c r="P804" s="2" t="s">
        <v>111</v>
      </c>
    </row>
    <row r="805">
      <c r="A805" s="3" t="s">
        <v>25</v>
      </c>
      <c r="B805" s="2" t="s">
        <v>17</v>
      </c>
      <c r="C805" s="2" t="s">
        <v>18</v>
      </c>
      <c r="D805" s="2" t="s">
        <v>19</v>
      </c>
      <c r="E805" s="2" t="s">
        <v>27</v>
      </c>
      <c r="F805" s="2">
        <v>50.0</v>
      </c>
      <c r="G805" s="2">
        <v>37.0</v>
      </c>
      <c r="H805" s="2">
        <v>23.0</v>
      </c>
      <c r="I805" s="2">
        <v>14.0</v>
      </c>
      <c r="J805" s="2">
        <v>0.0</v>
      </c>
      <c r="K805" s="2">
        <v>0.0</v>
      </c>
      <c r="L805" s="2">
        <v>0.0</v>
      </c>
      <c r="M805" s="2">
        <v>27.0</v>
      </c>
      <c r="N805" s="2"/>
      <c r="O805" s="2"/>
      <c r="P805" s="2" t="s">
        <v>111</v>
      </c>
    </row>
    <row r="806">
      <c r="A806" s="3" t="s">
        <v>26</v>
      </c>
      <c r="B806" s="2" t="s">
        <v>17</v>
      </c>
      <c r="C806" s="2" t="s">
        <v>18</v>
      </c>
      <c r="D806" s="2" t="s">
        <v>69</v>
      </c>
      <c r="E806" s="2" t="s">
        <v>27</v>
      </c>
      <c r="F806" s="2">
        <v>40.0</v>
      </c>
      <c r="G806" s="2">
        <v>1.0</v>
      </c>
      <c r="H806" s="2">
        <v>0.0</v>
      </c>
      <c r="I806" s="2">
        <v>1.0</v>
      </c>
      <c r="J806" s="2">
        <v>0.0</v>
      </c>
      <c r="K806" s="2">
        <v>0.0</v>
      </c>
      <c r="L806" s="2">
        <v>0.0</v>
      </c>
      <c r="M806" s="2">
        <v>40.0</v>
      </c>
      <c r="N806" s="2"/>
      <c r="O806" s="2"/>
      <c r="P806" s="2" t="s">
        <v>111</v>
      </c>
    </row>
    <row r="807">
      <c r="A807" s="3" t="s">
        <v>28</v>
      </c>
      <c r="B807" s="2" t="s">
        <v>17</v>
      </c>
      <c r="C807" s="2" t="s">
        <v>18</v>
      </c>
      <c r="D807" s="2" t="s">
        <v>127</v>
      </c>
      <c r="E807" s="2" t="s">
        <v>27</v>
      </c>
      <c r="F807" s="2">
        <v>20.0</v>
      </c>
      <c r="G807" s="2">
        <v>24.0</v>
      </c>
      <c r="H807" s="2">
        <v>20.0</v>
      </c>
      <c r="I807" s="2">
        <v>4.0</v>
      </c>
      <c r="J807" s="2">
        <v>0.0</v>
      </c>
      <c r="K807" s="2">
        <v>0.0</v>
      </c>
      <c r="L807" s="2">
        <v>0.0</v>
      </c>
      <c r="M807" s="2">
        <v>0.0</v>
      </c>
      <c r="N807" s="2"/>
      <c r="O807" s="2"/>
      <c r="P807" s="2" t="s">
        <v>111</v>
      </c>
    </row>
    <row r="808">
      <c r="A808" s="3" t="s">
        <v>29</v>
      </c>
      <c r="B808" s="2" t="s">
        <v>17</v>
      </c>
      <c r="C808" s="2" t="s">
        <v>18</v>
      </c>
      <c r="D808" s="2" t="s">
        <v>23</v>
      </c>
      <c r="E808" s="2" t="s">
        <v>27</v>
      </c>
      <c r="F808" s="2">
        <v>123.0</v>
      </c>
      <c r="G808" s="2">
        <v>207.0</v>
      </c>
      <c r="H808" s="2">
        <v>131.0</v>
      </c>
      <c r="I808" s="2">
        <v>76.0</v>
      </c>
      <c r="J808" s="2">
        <v>0.0</v>
      </c>
      <c r="K808" s="2">
        <v>0.0</v>
      </c>
      <c r="L808" s="2">
        <v>0.0</v>
      </c>
      <c r="M808" s="2">
        <v>-8.0</v>
      </c>
      <c r="N808" s="2">
        <v>-108.0</v>
      </c>
      <c r="O808" s="2">
        <v>-139.0</v>
      </c>
      <c r="P808" s="2" t="s">
        <v>111</v>
      </c>
    </row>
    <row r="809">
      <c r="A809" s="3" t="s">
        <v>32</v>
      </c>
      <c r="B809" s="4">
        <v>45294.29166666667</v>
      </c>
      <c r="C809" s="2" t="s">
        <v>18</v>
      </c>
      <c r="D809" s="2" t="s">
        <v>19</v>
      </c>
      <c r="E809" s="2" t="s">
        <v>27</v>
      </c>
      <c r="F809" s="2"/>
      <c r="G809" s="2">
        <v>9.0</v>
      </c>
      <c r="H809" s="2">
        <v>5.0</v>
      </c>
      <c r="I809" s="2">
        <v>4.0</v>
      </c>
      <c r="J809" s="2">
        <v>0.0</v>
      </c>
      <c r="K809" s="2">
        <v>0.0</v>
      </c>
      <c r="L809" s="2">
        <v>0.0</v>
      </c>
      <c r="M809" s="2"/>
      <c r="N809" s="2"/>
      <c r="O809" s="2"/>
      <c r="P809" s="2" t="s">
        <v>111</v>
      </c>
    </row>
    <row r="810">
      <c r="A810" s="3" t="s">
        <v>34</v>
      </c>
      <c r="B810" s="4">
        <v>45324.29166666667</v>
      </c>
      <c r="C810" s="2" t="s">
        <v>18</v>
      </c>
      <c r="D810" s="2" t="s">
        <v>33</v>
      </c>
      <c r="E810" s="2" t="s">
        <v>27</v>
      </c>
      <c r="F810" s="2"/>
      <c r="G810" s="2">
        <v>65.0</v>
      </c>
      <c r="H810" s="2">
        <v>50.0</v>
      </c>
      <c r="I810" s="2">
        <v>15.0</v>
      </c>
      <c r="J810" s="2">
        <v>0.0</v>
      </c>
      <c r="K810" s="2">
        <v>0.0</v>
      </c>
      <c r="L810" s="2">
        <v>0.0</v>
      </c>
      <c r="M810" s="2"/>
      <c r="N810" s="2"/>
      <c r="O810" s="2"/>
      <c r="P810" s="2" t="s">
        <v>111</v>
      </c>
    </row>
    <row r="811">
      <c r="A811" s="3" t="s">
        <v>35</v>
      </c>
      <c r="B811" s="4">
        <v>45325.29166666667</v>
      </c>
      <c r="C811" s="2" t="s">
        <v>18</v>
      </c>
      <c r="D811" s="2" t="s">
        <v>109</v>
      </c>
      <c r="E811" s="2" t="s">
        <v>27</v>
      </c>
      <c r="F811" s="2"/>
      <c r="G811" s="2">
        <v>80.0</v>
      </c>
      <c r="H811" s="2">
        <v>38.0</v>
      </c>
      <c r="I811" s="2">
        <v>42.0</v>
      </c>
      <c r="J811" s="2">
        <v>0.0</v>
      </c>
      <c r="K811" s="2">
        <v>0.0</v>
      </c>
      <c r="L811" s="2">
        <v>0.0</v>
      </c>
      <c r="M811" s="2"/>
      <c r="N811" s="2"/>
      <c r="O811" s="2"/>
      <c r="P811" s="2" t="s">
        <v>111</v>
      </c>
    </row>
    <row r="812">
      <c r="A812" s="3" t="s">
        <v>36</v>
      </c>
      <c r="B812" s="4">
        <v>45326.29166666667</v>
      </c>
      <c r="C812" s="2" t="s">
        <v>18</v>
      </c>
      <c r="D812" s="2" t="s">
        <v>19</v>
      </c>
      <c r="E812" s="2" t="s">
        <v>27</v>
      </c>
      <c r="F812" s="2"/>
      <c r="G812" s="2">
        <v>28.0</v>
      </c>
      <c r="H812" s="2">
        <v>18.0</v>
      </c>
      <c r="I812" s="2">
        <v>10.0</v>
      </c>
      <c r="J812" s="2">
        <v>0.0</v>
      </c>
      <c r="K812" s="2">
        <v>0.0</v>
      </c>
      <c r="L812" s="2">
        <v>0.0</v>
      </c>
      <c r="M812" s="2"/>
      <c r="N812" s="2"/>
      <c r="O812" s="2"/>
      <c r="P812" s="2" t="s">
        <v>111</v>
      </c>
    </row>
    <row r="813">
      <c r="A813" s="3" t="s">
        <v>37</v>
      </c>
      <c r="B813" s="4">
        <v>45327.29166666667</v>
      </c>
      <c r="C813" s="2" t="s">
        <v>18</v>
      </c>
      <c r="D813" s="2" t="s">
        <v>69</v>
      </c>
      <c r="E813" s="2" t="s">
        <v>27</v>
      </c>
      <c r="F813" s="2"/>
      <c r="G813" s="2">
        <v>1.0</v>
      </c>
      <c r="H813" s="2">
        <v>0.0</v>
      </c>
      <c r="I813" s="2">
        <v>1.0</v>
      </c>
      <c r="J813" s="2">
        <v>0.0</v>
      </c>
      <c r="K813" s="2">
        <v>0.0</v>
      </c>
      <c r="L813" s="2">
        <v>0.0</v>
      </c>
      <c r="M813" s="2"/>
      <c r="N813" s="2"/>
      <c r="O813" s="2"/>
      <c r="P813" s="2" t="s">
        <v>111</v>
      </c>
    </row>
    <row r="814">
      <c r="A814" s="3" t="s">
        <v>38</v>
      </c>
      <c r="B814" s="4">
        <v>45328.29166666667</v>
      </c>
      <c r="C814" s="2" t="s">
        <v>18</v>
      </c>
      <c r="D814" s="2" t="s">
        <v>127</v>
      </c>
      <c r="E814" s="2" t="s">
        <v>27</v>
      </c>
      <c r="F814" s="2"/>
      <c r="G814" s="2">
        <v>24.0</v>
      </c>
      <c r="H814" s="2">
        <v>20.0</v>
      </c>
      <c r="I814" s="2">
        <v>4.0</v>
      </c>
      <c r="J814" s="2">
        <v>0.0</v>
      </c>
      <c r="K814" s="2">
        <v>0.0</v>
      </c>
      <c r="L814" s="2">
        <v>0.0</v>
      </c>
      <c r="M814" s="2"/>
      <c r="N814" s="2"/>
      <c r="O814" s="2"/>
      <c r="P814" s="2" t="s">
        <v>111</v>
      </c>
    </row>
    <row r="815">
      <c r="A815" s="3" t="s">
        <v>39</v>
      </c>
      <c r="B815" s="2" t="s">
        <v>17</v>
      </c>
      <c r="C815" s="2" t="s">
        <v>57</v>
      </c>
      <c r="D815" s="2" t="s">
        <v>19</v>
      </c>
      <c r="E815" s="2" t="s">
        <v>185</v>
      </c>
      <c r="F815" s="2">
        <v>11.0</v>
      </c>
      <c r="G815" s="2">
        <v>12.0</v>
      </c>
      <c r="H815" s="2">
        <v>11.0</v>
      </c>
      <c r="I815" s="2">
        <v>1.0</v>
      </c>
      <c r="J815" s="2">
        <v>0.0</v>
      </c>
      <c r="K815" s="2">
        <v>0.0</v>
      </c>
      <c r="L815" s="2">
        <v>0.0</v>
      </c>
      <c r="M815" s="2">
        <v>0.0</v>
      </c>
      <c r="N815" s="2"/>
      <c r="O815" s="2"/>
      <c r="P815" s="2" t="s">
        <v>153</v>
      </c>
    </row>
    <row r="816">
      <c r="A816" s="3" t="s">
        <v>40</v>
      </c>
      <c r="B816" s="2" t="s">
        <v>17</v>
      </c>
      <c r="C816" s="2" t="s">
        <v>18</v>
      </c>
      <c r="D816" s="2" t="s">
        <v>19</v>
      </c>
      <c r="E816" s="2" t="s">
        <v>186</v>
      </c>
      <c r="F816" s="2">
        <v>10.0</v>
      </c>
      <c r="G816" s="2">
        <v>5.0</v>
      </c>
      <c r="H816" s="2">
        <v>3.0</v>
      </c>
      <c r="I816" s="2">
        <v>2.0</v>
      </c>
      <c r="J816" s="2">
        <v>0.0</v>
      </c>
      <c r="K816" s="2">
        <v>0.0</v>
      </c>
      <c r="L816" s="2">
        <v>0.0</v>
      </c>
      <c r="M816" s="2">
        <v>7.0</v>
      </c>
      <c r="N816" s="2"/>
      <c r="O816" s="2"/>
      <c r="P816" s="2" t="s">
        <v>153</v>
      </c>
    </row>
    <row r="817">
      <c r="A817" s="3" t="s">
        <v>41</v>
      </c>
      <c r="B817" s="2" t="s">
        <v>17</v>
      </c>
      <c r="C817" s="2" t="s">
        <v>57</v>
      </c>
      <c r="D817" s="2" t="s">
        <v>19</v>
      </c>
      <c r="E817" s="2" t="s">
        <v>96</v>
      </c>
      <c r="F817" s="2">
        <v>20.0</v>
      </c>
      <c r="G817" s="2">
        <v>27.0</v>
      </c>
      <c r="H817" s="2">
        <v>20.0</v>
      </c>
      <c r="I817" s="2">
        <v>7.0</v>
      </c>
      <c r="J817" s="2">
        <v>0.0</v>
      </c>
      <c r="K817" s="2">
        <v>0.0</v>
      </c>
      <c r="L817" s="2">
        <v>0.0</v>
      </c>
      <c r="M817" s="2">
        <v>0.0</v>
      </c>
      <c r="N817" s="2"/>
      <c r="O817" s="2"/>
      <c r="P817" s="2" t="s">
        <v>153</v>
      </c>
    </row>
    <row r="818">
      <c r="A818" s="3" t="s">
        <v>42</v>
      </c>
      <c r="B818" s="2" t="s">
        <v>17</v>
      </c>
      <c r="C818" s="2" t="s">
        <v>18</v>
      </c>
      <c r="D818" s="2" t="s">
        <v>19</v>
      </c>
      <c r="E818" s="2" t="s">
        <v>27</v>
      </c>
      <c r="F818" s="2">
        <v>16.0</v>
      </c>
      <c r="G818" s="2">
        <v>7.0</v>
      </c>
      <c r="H818" s="2">
        <v>4.0</v>
      </c>
      <c r="I818" s="2">
        <v>2.0</v>
      </c>
      <c r="J818" s="2">
        <v>1.0</v>
      </c>
      <c r="K818" s="2">
        <v>0.0</v>
      </c>
      <c r="L818" s="2">
        <v>0.0</v>
      </c>
      <c r="M818" s="2">
        <v>12.0</v>
      </c>
      <c r="N818" s="2"/>
      <c r="O818" s="2"/>
      <c r="P818" s="2" t="s">
        <v>153</v>
      </c>
    </row>
    <row r="819">
      <c r="A819" s="3" t="s">
        <v>43</v>
      </c>
      <c r="B819" s="2" t="s">
        <v>17</v>
      </c>
      <c r="C819" s="2" t="s">
        <v>57</v>
      </c>
      <c r="D819" s="2" t="s">
        <v>23</v>
      </c>
      <c r="E819" s="2" t="s">
        <v>185</v>
      </c>
      <c r="F819" s="2">
        <v>11.0</v>
      </c>
      <c r="G819" s="2">
        <v>12.0</v>
      </c>
      <c r="H819" s="2">
        <v>11.0</v>
      </c>
      <c r="I819" s="2">
        <v>1.0</v>
      </c>
      <c r="J819" s="2">
        <v>0.0</v>
      </c>
      <c r="K819" s="2">
        <v>0.0</v>
      </c>
      <c r="L819" s="2">
        <v>0.0</v>
      </c>
      <c r="M819" s="2">
        <v>0.0</v>
      </c>
      <c r="N819" s="2">
        <v>0.0</v>
      </c>
      <c r="O819" s="2">
        <v>-11.0</v>
      </c>
      <c r="P819" s="2" t="s">
        <v>153</v>
      </c>
    </row>
    <row r="820">
      <c r="A820" s="3" t="s">
        <v>44</v>
      </c>
      <c r="B820" s="2" t="s">
        <v>17</v>
      </c>
      <c r="C820" s="2" t="s">
        <v>18</v>
      </c>
      <c r="D820" s="2" t="s">
        <v>23</v>
      </c>
      <c r="E820" s="2" t="s">
        <v>186</v>
      </c>
      <c r="F820" s="2">
        <v>10.0</v>
      </c>
      <c r="G820" s="2">
        <v>5.0</v>
      </c>
      <c r="H820" s="2">
        <v>3.0</v>
      </c>
      <c r="I820" s="2">
        <v>2.0</v>
      </c>
      <c r="J820" s="2">
        <v>0.0</v>
      </c>
      <c r="K820" s="2">
        <v>0.0</v>
      </c>
      <c r="L820" s="2">
        <v>0.0</v>
      </c>
      <c r="M820" s="2">
        <v>7.0</v>
      </c>
      <c r="N820" s="2">
        <v>0.0</v>
      </c>
      <c r="O820" s="2">
        <v>4.0</v>
      </c>
      <c r="P820" s="2" t="s">
        <v>153</v>
      </c>
    </row>
    <row r="821">
      <c r="A821" s="3" t="s">
        <v>45</v>
      </c>
      <c r="B821" s="2" t="s">
        <v>17</v>
      </c>
      <c r="C821" s="2" t="s">
        <v>57</v>
      </c>
      <c r="D821" s="2" t="s">
        <v>23</v>
      </c>
      <c r="E821" s="2" t="s">
        <v>96</v>
      </c>
      <c r="F821" s="2">
        <v>19.0</v>
      </c>
      <c r="G821" s="2">
        <v>27.0</v>
      </c>
      <c r="H821" s="2">
        <v>19.0</v>
      </c>
      <c r="I821" s="2">
        <v>7.0</v>
      </c>
      <c r="J821" s="2">
        <v>0.0</v>
      </c>
      <c r="K821" s="2">
        <v>0.0</v>
      </c>
      <c r="L821" s="2">
        <v>0.0</v>
      </c>
      <c r="M821" s="2">
        <v>0.0</v>
      </c>
      <c r="N821" s="2">
        <v>-1.0</v>
      </c>
      <c r="O821" s="2">
        <v>-21.0</v>
      </c>
      <c r="P821" s="2" t="s">
        <v>153</v>
      </c>
    </row>
    <row r="822">
      <c r="A822" s="3" t="s">
        <v>16</v>
      </c>
      <c r="B822" s="2" t="s">
        <v>17</v>
      </c>
      <c r="C822" s="2" t="s">
        <v>18</v>
      </c>
      <c r="D822" s="2" t="s">
        <v>23</v>
      </c>
      <c r="E822" s="2" t="s">
        <v>27</v>
      </c>
      <c r="F822" s="2">
        <v>4.0</v>
      </c>
      <c r="G822" s="2">
        <v>7.0</v>
      </c>
      <c r="H822" s="2">
        <v>4.0</v>
      </c>
      <c r="I822" s="2">
        <v>2.0</v>
      </c>
      <c r="J822" s="2">
        <v>1.0</v>
      </c>
      <c r="K822" s="2">
        <v>0.0</v>
      </c>
      <c r="L822" s="2">
        <v>0.0</v>
      </c>
      <c r="M822" s="2">
        <v>0.0</v>
      </c>
      <c r="N822" s="2">
        <v>-12.0</v>
      </c>
      <c r="O822" s="2">
        <v>-4.0</v>
      </c>
      <c r="P822" s="2" t="s">
        <v>153</v>
      </c>
    </row>
    <row r="823">
      <c r="A823" s="3" t="s">
        <v>47</v>
      </c>
      <c r="B823" s="4">
        <v>45294.29166666667</v>
      </c>
      <c r="C823" s="2" t="s">
        <v>18</v>
      </c>
      <c r="D823" s="2" t="s">
        <v>19</v>
      </c>
      <c r="E823" s="2" t="s">
        <v>185</v>
      </c>
      <c r="F823" s="2"/>
      <c r="G823" s="2">
        <v>12.0</v>
      </c>
      <c r="H823" s="2">
        <v>11.0</v>
      </c>
      <c r="I823" s="2">
        <v>1.0</v>
      </c>
      <c r="J823" s="2">
        <v>0.0</v>
      </c>
      <c r="K823" s="2">
        <v>0.0</v>
      </c>
      <c r="L823" s="2">
        <v>0.0</v>
      </c>
      <c r="M823" s="2"/>
      <c r="N823" s="2"/>
      <c r="O823" s="2"/>
      <c r="P823" s="2" t="s">
        <v>153</v>
      </c>
    </row>
    <row r="824">
      <c r="A824" s="3" t="s">
        <v>48</v>
      </c>
      <c r="B824" s="4">
        <v>45295.29166666667</v>
      </c>
      <c r="C824" s="2" t="s">
        <v>18</v>
      </c>
      <c r="D824" s="2" t="s">
        <v>19</v>
      </c>
      <c r="E824" s="2" t="s">
        <v>186</v>
      </c>
      <c r="F824" s="2"/>
      <c r="G824" s="2">
        <v>3.0</v>
      </c>
      <c r="H824" s="2">
        <v>3.0</v>
      </c>
      <c r="I824" s="2">
        <v>0.0</v>
      </c>
      <c r="J824" s="2">
        <v>0.0</v>
      </c>
      <c r="K824" s="2">
        <v>0.0</v>
      </c>
      <c r="L824" s="2">
        <v>0.0</v>
      </c>
      <c r="M824" s="2"/>
      <c r="N824" s="2"/>
      <c r="O824" s="2"/>
      <c r="P824" s="2" t="s">
        <v>153</v>
      </c>
    </row>
    <row r="825">
      <c r="A825" s="3" t="s">
        <v>49</v>
      </c>
      <c r="B825" s="4">
        <v>45296.29166666667</v>
      </c>
      <c r="C825" s="2" t="s">
        <v>18</v>
      </c>
      <c r="D825" s="2" t="s">
        <v>19</v>
      </c>
      <c r="E825" s="2" t="s">
        <v>96</v>
      </c>
      <c r="F825" s="2"/>
      <c r="G825" s="2">
        <v>10.0</v>
      </c>
      <c r="H825" s="2">
        <v>8.0</v>
      </c>
      <c r="I825" s="2">
        <v>2.0</v>
      </c>
      <c r="J825" s="2">
        <v>0.0</v>
      </c>
      <c r="K825" s="2">
        <v>0.0</v>
      </c>
      <c r="L825" s="2">
        <v>0.0</v>
      </c>
      <c r="M825" s="2"/>
      <c r="N825" s="2"/>
      <c r="O825" s="2"/>
      <c r="P825" s="2" t="s">
        <v>153</v>
      </c>
    </row>
    <row r="826">
      <c r="A826" s="3" t="s">
        <v>51</v>
      </c>
      <c r="B826" s="4">
        <v>45297.29166666667</v>
      </c>
      <c r="C826" s="2" t="s">
        <v>18</v>
      </c>
      <c r="D826" s="2" t="s">
        <v>19</v>
      </c>
      <c r="E826" s="2" t="s">
        <v>27</v>
      </c>
      <c r="F826" s="2"/>
      <c r="G826" s="2">
        <v>4.0</v>
      </c>
      <c r="H826" s="2">
        <v>2.0</v>
      </c>
      <c r="I826" s="2">
        <v>1.0</v>
      </c>
      <c r="J826" s="2">
        <v>1.0</v>
      </c>
      <c r="K826" s="2">
        <v>0.0</v>
      </c>
      <c r="L826" s="2">
        <v>0.0</v>
      </c>
      <c r="M826" s="2"/>
      <c r="N826" s="2"/>
      <c r="O826" s="2"/>
      <c r="P826" s="2" t="s">
        <v>153</v>
      </c>
    </row>
    <row r="827">
      <c r="A827" s="3" t="s">
        <v>52</v>
      </c>
      <c r="B827" s="4">
        <v>45325.29166666667</v>
      </c>
      <c r="C827" s="2" t="s">
        <v>18</v>
      </c>
      <c r="D827" s="2" t="s">
        <v>19</v>
      </c>
      <c r="E827" s="2" t="s">
        <v>185</v>
      </c>
      <c r="F827" s="2"/>
      <c r="G827" s="2">
        <v>0.0</v>
      </c>
      <c r="H827" s="2">
        <v>0.0</v>
      </c>
      <c r="I827" s="2">
        <v>0.0</v>
      </c>
      <c r="J827" s="2">
        <v>0.0</v>
      </c>
      <c r="K827" s="2">
        <v>0.0</v>
      </c>
      <c r="L827" s="2">
        <v>0.0</v>
      </c>
      <c r="M827" s="2"/>
      <c r="N827" s="2"/>
      <c r="O827" s="2"/>
      <c r="P827" s="2" t="s">
        <v>153</v>
      </c>
    </row>
    <row r="828">
      <c r="A828" s="3" t="s">
        <v>53</v>
      </c>
      <c r="B828" s="4">
        <v>45326.29166666667</v>
      </c>
      <c r="C828" s="2" t="s">
        <v>18</v>
      </c>
      <c r="D828" s="2" t="s">
        <v>19</v>
      </c>
      <c r="E828" s="2" t="s">
        <v>186</v>
      </c>
      <c r="F828" s="2"/>
      <c r="G828" s="2">
        <v>2.0</v>
      </c>
      <c r="H828" s="2">
        <v>0.0</v>
      </c>
      <c r="I828" s="2">
        <v>2.0</v>
      </c>
      <c r="J828" s="2">
        <v>0.0</v>
      </c>
      <c r="K828" s="2">
        <v>0.0</v>
      </c>
      <c r="L828" s="2">
        <v>0.0</v>
      </c>
      <c r="M828" s="2"/>
      <c r="N828" s="2"/>
      <c r="O828" s="2"/>
      <c r="P828" s="2" t="s">
        <v>153</v>
      </c>
    </row>
    <row r="829">
      <c r="A829" s="3" t="s">
        <v>54</v>
      </c>
      <c r="B829" s="4">
        <v>45327.29166666667</v>
      </c>
      <c r="C829" s="2" t="s">
        <v>18</v>
      </c>
      <c r="D829" s="2" t="s">
        <v>19</v>
      </c>
      <c r="E829" s="2" t="s">
        <v>96</v>
      </c>
      <c r="F829" s="2"/>
      <c r="G829" s="2">
        <v>17.0</v>
      </c>
      <c r="H829" s="2">
        <v>12.0</v>
      </c>
      <c r="I829" s="2">
        <v>5.0</v>
      </c>
      <c r="J829" s="2">
        <v>0.0</v>
      </c>
      <c r="K829" s="2">
        <v>0.0</v>
      </c>
      <c r="L829" s="2">
        <v>0.0</v>
      </c>
      <c r="M829" s="2"/>
      <c r="N829" s="2"/>
      <c r="O829" s="2"/>
      <c r="P829" s="2" t="s">
        <v>153</v>
      </c>
    </row>
    <row r="830">
      <c r="A830" s="3" t="s">
        <v>55</v>
      </c>
      <c r="B830" s="4">
        <v>45328.29166666667</v>
      </c>
      <c r="C830" s="2" t="s">
        <v>18</v>
      </c>
      <c r="D830" s="2" t="s">
        <v>19</v>
      </c>
      <c r="E830" s="2" t="s">
        <v>27</v>
      </c>
      <c r="F830" s="2"/>
      <c r="G830" s="2">
        <v>3.0</v>
      </c>
      <c r="H830" s="2">
        <v>2.0</v>
      </c>
      <c r="I830" s="2">
        <v>1.0</v>
      </c>
      <c r="J830" s="2">
        <v>0.0</v>
      </c>
      <c r="K830" s="2">
        <v>0.0</v>
      </c>
      <c r="L830" s="2">
        <v>0.0</v>
      </c>
      <c r="M830" s="2"/>
      <c r="N830" s="2"/>
      <c r="O830" s="2"/>
      <c r="P830" s="2" t="s">
        <v>153</v>
      </c>
    </row>
    <row r="831">
      <c r="A831" s="3" t="s">
        <v>56</v>
      </c>
      <c r="B831" s="2" t="s">
        <v>17</v>
      </c>
      <c r="C831" s="2" t="s">
        <v>18</v>
      </c>
      <c r="D831" s="2" t="s">
        <v>164</v>
      </c>
      <c r="E831" s="2" t="s">
        <v>165</v>
      </c>
      <c r="F831" s="2">
        <v>28.0</v>
      </c>
      <c r="G831" s="2">
        <v>57.0</v>
      </c>
      <c r="H831" s="2">
        <v>28.0</v>
      </c>
      <c r="I831" s="2">
        <v>29.0</v>
      </c>
      <c r="J831" s="2">
        <v>0.0</v>
      </c>
      <c r="K831" s="2">
        <v>0.0</v>
      </c>
      <c r="L831" s="2">
        <v>0.0</v>
      </c>
      <c r="M831" s="2">
        <v>0.0</v>
      </c>
      <c r="N831" s="2"/>
      <c r="O831" s="2"/>
      <c r="P831" s="2" t="s">
        <v>166</v>
      </c>
    </row>
    <row r="832">
      <c r="A832" s="3" t="s">
        <v>59</v>
      </c>
      <c r="B832" s="2" t="s">
        <v>17</v>
      </c>
      <c r="C832" s="2" t="s">
        <v>18</v>
      </c>
      <c r="D832" s="2" t="s">
        <v>23</v>
      </c>
      <c r="E832" s="2" t="s">
        <v>165</v>
      </c>
      <c r="F832" s="2">
        <v>28.0</v>
      </c>
      <c r="G832" s="2">
        <v>57.0</v>
      </c>
      <c r="H832" s="2">
        <v>28.0</v>
      </c>
      <c r="I832" s="2">
        <v>29.0</v>
      </c>
      <c r="J832" s="2">
        <v>0.0</v>
      </c>
      <c r="K832" s="2">
        <v>0.0</v>
      </c>
      <c r="L832" s="2">
        <v>0.0</v>
      </c>
      <c r="M832" s="2">
        <v>0.0</v>
      </c>
      <c r="N832" s="2">
        <v>0.0</v>
      </c>
      <c r="O832" s="2">
        <v>-28.0</v>
      </c>
      <c r="P832" s="2" t="s">
        <v>166</v>
      </c>
    </row>
    <row r="833">
      <c r="A833" s="3" t="s">
        <v>60</v>
      </c>
      <c r="B833" s="4">
        <v>45324.29166666667</v>
      </c>
      <c r="C833" s="2" t="s">
        <v>18</v>
      </c>
      <c r="D833" s="2" t="s">
        <v>164</v>
      </c>
      <c r="E833" s="2" t="s">
        <v>165</v>
      </c>
      <c r="F833" s="2"/>
      <c r="G833" s="2">
        <v>57.0</v>
      </c>
      <c r="H833" s="2">
        <v>28.0</v>
      </c>
      <c r="I833" s="2">
        <v>29.0</v>
      </c>
      <c r="J833" s="2">
        <v>0.0</v>
      </c>
      <c r="K833" s="2">
        <v>0.0</v>
      </c>
      <c r="L833" s="2">
        <v>0.0</v>
      </c>
      <c r="M833" s="2"/>
      <c r="N833" s="2"/>
      <c r="O833" s="2"/>
      <c r="P833" s="2" t="s">
        <v>166</v>
      </c>
    </row>
    <row r="834">
      <c r="A834" s="3" t="s">
        <v>61</v>
      </c>
      <c r="B834" s="2" t="s">
        <v>17</v>
      </c>
      <c r="C834" s="2" t="s">
        <v>113</v>
      </c>
      <c r="D834" s="2" t="s">
        <v>19</v>
      </c>
      <c r="E834" s="2" t="s">
        <v>116</v>
      </c>
      <c r="F834" s="2">
        <v>9.0</v>
      </c>
      <c r="G834" s="2">
        <v>3.0</v>
      </c>
      <c r="H834" s="2">
        <v>1.0</v>
      </c>
      <c r="I834" s="2">
        <v>2.0</v>
      </c>
      <c r="J834" s="2">
        <v>0.0</v>
      </c>
      <c r="K834" s="2">
        <v>0.0</v>
      </c>
      <c r="L834" s="2">
        <v>0.0</v>
      </c>
      <c r="M834" s="2">
        <v>8.0</v>
      </c>
      <c r="N834" s="2"/>
      <c r="O834" s="2"/>
      <c r="P834" s="2" t="s">
        <v>92</v>
      </c>
    </row>
    <row r="835">
      <c r="A835" s="3" t="s">
        <v>62</v>
      </c>
      <c r="B835" s="5" t="s">
        <v>17</v>
      </c>
      <c r="C835" s="5" t="s">
        <v>18</v>
      </c>
      <c r="D835" s="5" t="s">
        <v>19</v>
      </c>
      <c r="E835" s="5" t="s">
        <v>118</v>
      </c>
      <c r="F835" s="5">
        <v>6.0</v>
      </c>
      <c r="G835" s="5">
        <v>1.0</v>
      </c>
      <c r="H835" s="5">
        <v>1.0</v>
      </c>
      <c r="I835" s="5">
        <v>0.0</v>
      </c>
      <c r="J835" s="5">
        <v>0.0</v>
      </c>
      <c r="K835" s="5">
        <v>0.0</v>
      </c>
      <c r="L835" s="5">
        <v>0.0</v>
      </c>
      <c r="M835" s="5">
        <v>5.0</v>
      </c>
      <c r="N835" s="5"/>
      <c r="O835" s="5"/>
      <c r="P835" s="5" t="s">
        <v>92</v>
      </c>
    </row>
    <row r="836">
      <c r="A836" s="3" t="s">
        <v>63</v>
      </c>
      <c r="B836" s="2" t="s">
        <v>17</v>
      </c>
      <c r="C836" s="2" t="s">
        <v>113</v>
      </c>
      <c r="D836" s="2" t="s">
        <v>19</v>
      </c>
      <c r="E836" s="2" t="s">
        <v>187</v>
      </c>
      <c r="F836" s="2">
        <v>10.0</v>
      </c>
      <c r="G836" s="2">
        <v>11.0</v>
      </c>
      <c r="H836" s="2">
        <v>5.0</v>
      </c>
      <c r="I836" s="2">
        <v>6.0</v>
      </c>
      <c r="J836" s="2">
        <v>0.0</v>
      </c>
      <c r="K836" s="2">
        <v>0.0</v>
      </c>
      <c r="L836" s="2">
        <v>0.0</v>
      </c>
      <c r="M836" s="2">
        <v>5.0</v>
      </c>
      <c r="N836" s="2"/>
      <c r="O836" s="2"/>
      <c r="P836" s="2" t="s">
        <v>92</v>
      </c>
    </row>
    <row r="837">
      <c r="A837" s="3" t="s">
        <v>64</v>
      </c>
      <c r="B837" s="2" t="s">
        <v>17</v>
      </c>
      <c r="C837" s="2" t="s">
        <v>18</v>
      </c>
      <c r="D837" s="2" t="s">
        <v>157</v>
      </c>
      <c r="E837" s="2" t="s">
        <v>116</v>
      </c>
      <c r="F837" s="2">
        <v>7.0</v>
      </c>
      <c r="G837" s="2">
        <v>11.0</v>
      </c>
      <c r="H837" s="2">
        <v>7.0</v>
      </c>
      <c r="I837" s="2">
        <v>4.0</v>
      </c>
      <c r="J837" s="2">
        <v>0.0</v>
      </c>
      <c r="K837" s="2">
        <v>0.0</v>
      </c>
      <c r="L837" s="2">
        <v>0.0</v>
      </c>
      <c r="M837" s="2">
        <v>0.0</v>
      </c>
      <c r="N837" s="2"/>
      <c r="O837" s="2"/>
      <c r="P837" s="2" t="s">
        <v>92</v>
      </c>
    </row>
    <row r="838">
      <c r="A838" s="3" t="s">
        <v>65</v>
      </c>
      <c r="B838" s="2" t="s">
        <v>17</v>
      </c>
      <c r="C838" s="2" t="s">
        <v>18</v>
      </c>
      <c r="D838" s="2" t="s">
        <v>157</v>
      </c>
      <c r="E838" s="2" t="s">
        <v>118</v>
      </c>
      <c r="F838" s="2">
        <v>16.0</v>
      </c>
      <c r="G838" s="2">
        <v>19.0</v>
      </c>
      <c r="H838" s="2">
        <v>16.0</v>
      </c>
      <c r="I838" s="2">
        <v>3.0</v>
      </c>
      <c r="J838" s="2">
        <v>0.0</v>
      </c>
      <c r="K838" s="2">
        <v>0.0</v>
      </c>
      <c r="L838" s="2">
        <v>0.0</v>
      </c>
      <c r="M838" s="2">
        <v>0.0</v>
      </c>
      <c r="N838" s="2"/>
      <c r="O838" s="2"/>
      <c r="P838" s="2" t="s">
        <v>92</v>
      </c>
    </row>
    <row r="839">
      <c r="A839" s="3" t="s">
        <v>66</v>
      </c>
      <c r="B839" s="2" t="s">
        <v>17</v>
      </c>
      <c r="C839" s="2" t="s">
        <v>18</v>
      </c>
      <c r="D839" s="2" t="s">
        <v>157</v>
      </c>
      <c r="E839" s="2" t="s">
        <v>187</v>
      </c>
      <c r="F839" s="2">
        <v>6.0</v>
      </c>
      <c r="G839" s="2">
        <v>8.0</v>
      </c>
      <c r="H839" s="2">
        <v>6.0</v>
      </c>
      <c r="I839" s="2">
        <v>2.0</v>
      </c>
      <c r="J839" s="2">
        <v>0.0</v>
      </c>
      <c r="K839" s="2">
        <v>0.0</v>
      </c>
      <c r="L839" s="2">
        <v>0.0</v>
      </c>
      <c r="M839" s="2">
        <v>0.0</v>
      </c>
      <c r="N839" s="2"/>
      <c r="O839" s="2"/>
      <c r="P839" s="2" t="s">
        <v>92</v>
      </c>
    </row>
    <row r="840">
      <c r="A840" s="3" t="s">
        <v>68</v>
      </c>
      <c r="B840" s="2" t="s">
        <v>17</v>
      </c>
      <c r="C840" s="2" t="s">
        <v>18</v>
      </c>
      <c r="D840" s="2" t="s">
        <v>23</v>
      </c>
      <c r="E840" s="2" t="s">
        <v>116</v>
      </c>
      <c r="F840" s="2">
        <v>8.0</v>
      </c>
      <c r="G840" s="2">
        <v>14.0</v>
      </c>
      <c r="H840" s="2">
        <v>8.0</v>
      </c>
      <c r="I840" s="2">
        <v>6.0</v>
      </c>
      <c r="J840" s="2">
        <v>0.0</v>
      </c>
      <c r="K840" s="2">
        <v>0.0</v>
      </c>
      <c r="L840" s="2">
        <v>0.0</v>
      </c>
      <c r="M840" s="2">
        <v>0.0</v>
      </c>
      <c r="N840" s="2">
        <v>-8.0</v>
      </c>
      <c r="O840" s="2">
        <v>-8.0</v>
      </c>
      <c r="P840" s="2" t="s">
        <v>92</v>
      </c>
    </row>
    <row r="841">
      <c r="A841" s="3" t="s">
        <v>70</v>
      </c>
      <c r="B841" s="2" t="s">
        <v>17</v>
      </c>
      <c r="C841" s="2" t="s">
        <v>18</v>
      </c>
      <c r="D841" s="2" t="s">
        <v>23</v>
      </c>
      <c r="E841" s="2" t="s">
        <v>118</v>
      </c>
      <c r="F841" s="2">
        <v>17.0</v>
      </c>
      <c r="G841" s="2">
        <v>20.0</v>
      </c>
      <c r="H841" s="2">
        <v>17.0</v>
      </c>
      <c r="I841" s="2">
        <v>3.0</v>
      </c>
      <c r="J841" s="2">
        <v>0.0</v>
      </c>
      <c r="K841" s="2">
        <v>0.0</v>
      </c>
      <c r="L841" s="2">
        <v>0.0</v>
      </c>
      <c r="M841" s="2">
        <v>0.0</v>
      </c>
      <c r="N841" s="2">
        <v>-5.0</v>
      </c>
      <c r="O841" s="2">
        <v>-17.0</v>
      </c>
      <c r="P841" s="2" t="s">
        <v>92</v>
      </c>
    </row>
    <row r="842">
      <c r="A842" s="3" t="s">
        <v>16</v>
      </c>
      <c r="B842" s="2" t="s">
        <v>17</v>
      </c>
      <c r="C842" s="2" t="s">
        <v>18</v>
      </c>
      <c r="D842" s="2" t="s">
        <v>23</v>
      </c>
      <c r="E842" s="2" t="s">
        <v>187</v>
      </c>
      <c r="F842" s="2">
        <v>11.0</v>
      </c>
      <c r="G842" s="2">
        <v>19.0</v>
      </c>
      <c r="H842" s="2">
        <v>11.0</v>
      </c>
      <c r="I842" s="2">
        <v>8.0</v>
      </c>
      <c r="J842" s="2">
        <v>0.0</v>
      </c>
      <c r="K842" s="2">
        <v>0.0</v>
      </c>
      <c r="L842" s="2">
        <v>0.0</v>
      </c>
      <c r="M842" s="2">
        <v>0.0</v>
      </c>
      <c r="N842" s="2">
        <v>-5.0</v>
      </c>
      <c r="O842" s="2">
        <v>-11.0</v>
      </c>
      <c r="P842" s="2" t="s">
        <v>92</v>
      </c>
    </row>
    <row r="843">
      <c r="A843" s="3" t="s">
        <v>71</v>
      </c>
      <c r="B843" s="4">
        <v>45294.29166666667</v>
      </c>
      <c r="C843" s="2" t="s">
        <v>18</v>
      </c>
      <c r="D843" s="2" t="s">
        <v>19</v>
      </c>
      <c r="E843" s="2" t="s">
        <v>116</v>
      </c>
      <c r="F843" s="2"/>
      <c r="G843" s="2">
        <v>1.0</v>
      </c>
      <c r="H843" s="2">
        <v>0.0</v>
      </c>
      <c r="I843" s="2">
        <v>1.0</v>
      </c>
      <c r="J843" s="2">
        <v>0.0</v>
      </c>
      <c r="K843" s="2">
        <v>0.0</v>
      </c>
      <c r="L843" s="2">
        <v>0.0</v>
      </c>
      <c r="M843" s="2"/>
      <c r="N843" s="2"/>
      <c r="O843" s="2"/>
      <c r="P843" s="2" t="s">
        <v>92</v>
      </c>
    </row>
    <row r="844">
      <c r="A844" s="3" t="s">
        <v>72</v>
      </c>
      <c r="B844" s="4">
        <v>45295.29166666667</v>
      </c>
      <c r="C844" s="2" t="s">
        <v>18</v>
      </c>
      <c r="D844" s="2" t="s">
        <v>19</v>
      </c>
      <c r="E844" s="2" t="s">
        <v>118</v>
      </c>
      <c r="F844" s="2"/>
      <c r="G844" s="2">
        <v>0.0</v>
      </c>
      <c r="H844" s="2">
        <v>0.0</v>
      </c>
      <c r="I844" s="2">
        <v>0.0</v>
      </c>
      <c r="J844" s="2">
        <v>0.0</v>
      </c>
      <c r="K844" s="2">
        <v>0.0</v>
      </c>
      <c r="L844" s="2">
        <v>0.0</v>
      </c>
      <c r="M844" s="2"/>
      <c r="N844" s="2"/>
      <c r="O844" s="2"/>
      <c r="P844" s="2" t="s">
        <v>92</v>
      </c>
    </row>
    <row r="845">
      <c r="A845" s="3" t="s">
        <v>73</v>
      </c>
      <c r="B845" s="4">
        <v>45296.29166666667</v>
      </c>
      <c r="C845" s="2" t="s">
        <v>18</v>
      </c>
      <c r="D845" s="2" t="s">
        <v>19</v>
      </c>
      <c r="E845" s="2" t="s">
        <v>187</v>
      </c>
      <c r="F845" s="2"/>
      <c r="G845" s="2">
        <v>2.0</v>
      </c>
      <c r="H845" s="2">
        <v>0.0</v>
      </c>
      <c r="I845" s="2">
        <v>2.0</v>
      </c>
      <c r="J845" s="2">
        <v>0.0</v>
      </c>
      <c r="K845" s="2">
        <v>0.0</v>
      </c>
      <c r="L845" s="2">
        <v>0.0</v>
      </c>
      <c r="M845" s="2"/>
      <c r="N845" s="2"/>
      <c r="O845" s="2"/>
      <c r="P845" s="2" t="s">
        <v>92</v>
      </c>
    </row>
    <row r="846">
      <c r="A846" s="3" t="s">
        <v>74</v>
      </c>
      <c r="B846" s="4">
        <v>45325.29166666667</v>
      </c>
      <c r="C846" s="2" t="s">
        <v>18</v>
      </c>
      <c r="D846" s="2" t="s">
        <v>19</v>
      </c>
      <c r="E846" s="2" t="s">
        <v>116</v>
      </c>
      <c r="F846" s="2"/>
      <c r="G846" s="2">
        <v>2.0</v>
      </c>
      <c r="H846" s="2">
        <v>1.0</v>
      </c>
      <c r="I846" s="2">
        <v>1.0</v>
      </c>
      <c r="J846" s="2">
        <v>0.0</v>
      </c>
      <c r="K846" s="2">
        <v>0.0</v>
      </c>
      <c r="L846" s="2">
        <v>0.0</v>
      </c>
      <c r="M846" s="2"/>
      <c r="N846" s="2"/>
      <c r="O846" s="2"/>
      <c r="P846" s="2" t="s">
        <v>92</v>
      </c>
    </row>
    <row r="847">
      <c r="A847" s="3" t="s">
        <v>75</v>
      </c>
      <c r="B847" s="4">
        <v>45326.29166666667</v>
      </c>
      <c r="C847" s="2" t="s">
        <v>18</v>
      </c>
      <c r="D847" s="2" t="s">
        <v>19</v>
      </c>
      <c r="E847" s="2" t="s">
        <v>118</v>
      </c>
      <c r="F847" s="2"/>
      <c r="G847" s="2">
        <v>1.0</v>
      </c>
      <c r="H847" s="2">
        <v>1.0</v>
      </c>
      <c r="I847" s="2">
        <v>0.0</v>
      </c>
      <c r="J847" s="2">
        <v>0.0</v>
      </c>
      <c r="K847" s="2">
        <v>0.0</v>
      </c>
      <c r="L847" s="2">
        <v>0.0</v>
      </c>
      <c r="M847" s="2"/>
      <c r="N847" s="2"/>
      <c r="O847" s="2"/>
      <c r="P847" s="2" t="s">
        <v>92</v>
      </c>
    </row>
    <row r="848">
      <c r="A848" s="3" t="s">
        <v>76</v>
      </c>
      <c r="B848" s="4">
        <v>45327.29166666667</v>
      </c>
      <c r="C848" s="2" t="s">
        <v>18</v>
      </c>
      <c r="D848" s="2" t="s">
        <v>19</v>
      </c>
      <c r="E848" s="2" t="s">
        <v>187</v>
      </c>
      <c r="F848" s="2"/>
      <c r="G848" s="2">
        <v>9.0</v>
      </c>
      <c r="H848" s="2">
        <v>5.0</v>
      </c>
      <c r="I848" s="2">
        <v>4.0</v>
      </c>
      <c r="J848" s="2">
        <v>0.0</v>
      </c>
      <c r="K848" s="2">
        <v>0.0</v>
      </c>
      <c r="L848" s="2">
        <v>0.0</v>
      </c>
      <c r="M848" s="2"/>
      <c r="N848" s="2"/>
      <c r="O848" s="2"/>
      <c r="P848" s="2" t="s">
        <v>92</v>
      </c>
    </row>
    <row r="849">
      <c r="A849" s="3" t="s">
        <v>77</v>
      </c>
      <c r="B849" s="4">
        <v>45328.29166666667</v>
      </c>
      <c r="C849" s="2" t="s">
        <v>18</v>
      </c>
      <c r="D849" s="2" t="s">
        <v>157</v>
      </c>
      <c r="E849" s="2" t="s">
        <v>116</v>
      </c>
      <c r="F849" s="2"/>
      <c r="G849" s="2">
        <v>11.0</v>
      </c>
      <c r="H849" s="2">
        <v>7.0</v>
      </c>
      <c r="I849" s="2">
        <v>4.0</v>
      </c>
      <c r="J849" s="2">
        <v>0.0</v>
      </c>
      <c r="K849" s="2">
        <v>0.0</v>
      </c>
      <c r="L849" s="2">
        <v>0.0</v>
      </c>
      <c r="M849" s="2"/>
      <c r="N849" s="2"/>
      <c r="O849" s="2"/>
      <c r="P849" s="2" t="s">
        <v>92</v>
      </c>
    </row>
    <row r="850">
      <c r="A850" s="3" t="s">
        <v>78</v>
      </c>
      <c r="B850" s="4">
        <v>45329.29166666667</v>
      </c>
      <c r="C850" s="2" t="s">
        <v>18</v>
      </c>
      <c r="D850" s="2" t="s">
        <v>157</v>
      </c>
      <c r="E850" s="2" t="s">
        <v>118</v>
      </c>
      <c r="F850" s="2"/>
      <c r="G850" s="2">
        <v>19.0</v>
      </c>
      <c r="H850" s="2">
        <v>16.0</v>
      </c>
      <c r="I850" s="2">
        <v>3.0</v>
      </c>
      <c r="J850" s="2">
        <v>0.0</v>
      </c>
      <c r="K850" s="2">
        <v>0.0</v>
      </c>
      <c r="L850" s="2">
        <v>0.0</v>
      </c>
      <c r="M850" s="2"/>
      <c r="N850" s="2"/>
      <c r="O850" s="2"/>
      <c r="P850" s="2" t="s">
        <v>92</v>
      </c>
    </row>
    <row r="851">
      <c r="A851" s="3" t="s">
        <v>81</v>
      </c>
      <c r="B851" s="4">
        <v>45330.29166666667</v>
      </c>
      <c r="C851" s="2" t="s">
        <v>18</v>
      </c>
      <c r="D851" s="2" t="s">
        <v>157</v>
      </c>
      <c r="E851" s="2" t="s">
        <v>187</v>
      </c>
      <c r="F851" s="2"/>
      <c r="G851" s="2">
        <v>8.0</v>
      </c>
      <c r="H851" s="2">
        <v>6.0</v>
      </c>
      <c r="I851" s="2">
        <v>2.0</v>
      </c>
      <c r="J851" s="2">
        <v>0.0</v>
      </c>
      <c r="K851" s="2">
        <v>0.0</v>
      </c>
      <c r="L851" s="2">
        <v>0.0</v>
      </c>
      <c r="M851" s="2"/>
      <c r="N851" s="2"/>
      <c r="O851" s="2"/>
      <c r="P851" s="2" t="s">
        <v>92</v>
      </c>
    </row>
    <row r="852">
      <c r="A852" s="3" t="s">
        <v>82</v>
      </c>
      <c r="B852" s="2" t="s">
        <v>17</v>
      </c>
      <c r="C852" s="2" t="s">
        <v>18</v>
      </c>
      <c r="D852" s="2" t="s">
        <v>19</v>
      </c>
      <c r="E852" s="2" t="s">
        <v>188</v>
      </c>
      <c r="F852" s="2">
        <v>13.0</v>
      </c>
      <c r="G852" s="2">
        <v>8.0</v>
      </c>
      <c r="H852" s="2">
        <v>5.0</v>
      </c>
      <c r="I852" s="2">
        <v>3.0</v>
      </c>
      <c r="J852" s="2">
        <v>0.0</v>
      </c>
      <c r="K852" s="2">
        <v>0.0</v>
      </c>
      <c r="L852" s="2">
        <v>0.0</v>
      </c>
      <c r="M852" s="2">
        <v>8.0</v>
      </c>
      <c r="N852" s="2"/>
      <c r="O852" s="2"/>
      <c r="P852" s="2" t="s">
        <v>153</v>
      </c>
    </row>
    <row r="853">
      <c r="A853" s="3" t="s">
        <v>83</v>
      </c>
      <c r="B853" s="2" t="s">
        <v>17</v>
      </c>
      <c r="C853" s="2" t="s">
        <v>57</v>
      </c>
      <c r="D853" s="2" t="s">
        <v>19</v>
      </c>
      <c r="E853" s="2" t="s">
        <v>189</v>
      </c>
      <c r="F853" s="2">
        <v>7.0</v>
      </c>
      <c r="G853" s="2">
        <v>10.0</v>
      </c>
      <c r="H853" s="2">
        <v>7.0</v>
      </c>
      <c r="I853" s="2">
        <v>3.0</v>
      </c>
      <c r="J853" s="2">
        <v>0.0</v>
      </c>
      <c r="K853" s="2">
        <v>0.0</v>
      </c>
      <c r="L853" s="2">
        <v>0.0</v>
      </c>
      <c r="M853" s="2">
        <v>0.0</v>
      </c>
      <c r="N853" s="2"/>
      <c r="O853" s="2"/>
      <c r="P853" s="2" t="s">
        <v>153</v>
      </c>
    </row>
    <row r="854">
      <c r="A854" s="3" t="s">
        <v>84</v>
      </c>
      <c r="B854" s="7" t="s">
        <v>17</v>
      </c>
      <c r="C854" s="7" t="s">
        <v>113</v>
      </c>
      <c r="D854" s="7" t="s">
        <v>19</v>
      </c>
      <c r="E854" s="7" t="s">
        <v>190</v>
      </c>
      <c r="F854" s="7">
        <v>11.0</v>
      </c>
      <c r="G854" s="7">
        <v>1.0</v>
      </c>
      <c r="H854" s="7">
        <v>1.0</v>
      </c>
      <c r="I854" s="7">
        <v>0.0</v>
      </c>
      <c r="J854" s="7">
        <v>0.0</v>
      </c>
      <c r="K854" s="7">
        <v>0.0</v>
      </c>
      <c r="L854" s="7">
        <v>0.0</v>
      </c>
      <c r="M854" s="7">
        <v>10.0</v>
      </c>
      <c r="N854" s="7"/>
      <c r="O854" s="7"/>
      <c r="P854" s="7" t="s">
        <v>153</v>
      </c>
    </row>
    <row r="855">
      <c r="A855" s="3" t="s">
        <v>85</v>
      </c>
      <c r="B855" s="2" t="s">
        <v>17</v>
      </c>
      <c r="C855" s="2" t="s">
        <v>148</v>
      </c>
      <c r="D855" s="2" t="s">
        <v>19</v>
      </c>
      <c r="E855" s="2" t="s">
        <v>191</v>
      </c>
      <c r="F855" s="2">
        <v>13.0</v>
      </c>
      <c r="G855" s="2">
        <v>3.0</v>
      </c>
      <c r="H855" s="2">
        <v>2.0</v>
      </c>
      <c r="I855" s="2">
        <v>1.0</v>
      </c>
      <c r="J855" s="2">
        <v>0.0</v>
      </c>
      <c r="K855" s="2">
        <v>0.0</v>
      </c>
      <c r="L855" s="2">
        <v>0.0</v>
      </c>
      <c r="M855" s="2">
        <v>11.0</v>
      </c>
      <c r="N855" s="2"/>
      <c r="O855" s="2"/>
      <c r="P855" s="2" t="s">
        <v>153</v>
      </c>
    </row>
    <row r="856">
      <c r="A856" s="3" t="s">
        <v>86</v>
      </c>
      <c r="B856" s="2" t="s">
        <v>17</v>
      </c>
      <c r="C856" s="2" t="s">
        <v>148</v>
      </c>
      <c r="D856" s="2" t="s">
        <v>19</v>
      </c>
      <c r="E856" s="2" t="s">
        <v>192</v>
      </c>
      <c r="F856" s="2">
        <v>27.0</v>
      </c>
      <c r="G856" s="2">
        <v>2.0</v>
      </c>
      <c r="H856" s="2">
        <v>2.0</v>
      </c>
      <c r="I856" s="2">
        <v>0.0</v>
      </c>
      <c r="J856" s="2">
        <v>0.0</v>
      </c>
      <c r="K856" s="2">
        <v>0.0</v>
      </c>
      <c r="L856" s="2">
        <v>0.0</v>
      </c>
      <c r="M856" s="2">
        <v>25.0</v>
      </c>
      <c r="N856" s="2"/>
      <c r="O856" s="2"/>
      <c r="P856" s="2" t="s">
        <v>153</v>
      </c>
    </row>
    <row r="857">
      <c r="A857" s="3" t="s">
        <v>87</v>
      </c>
      <c r="B857" s="2" t="s">
        <v>17</v>
      </c>
      <c r="C857" s="2" t="s">
        <v>18</v>
      </c>
      <c r="D857" s="2" t="s">
        <v>19</v>
      </c>
      <c r="E857" s="2" t="s">
        <v>193</v>
      </c>
      <c r="F857" s="2">
        <v>13.0</v>
      </c>
      <c r="G857" s="2">
        <v>7.0</v>
      </c>
      <c r="H857" s="2">
        <v>6.0</v>
      </c>
      <c r="I857" s="2">
        <v>1.0</v>
      </c>
      <c r="J857" s="2">
        <v>0.0</v>
      </c>
      <c r="K857" s="2">
        <v>0.0</v>
      </c>
      <c r="L857" s="2">
        <v>0.0</v>
      </c>
      <c r="M857" s="2">
        <v>7.0</v>
      </c>
      <c r="N857" s="2"/>
      <c r="O857" s="2"/>
      <c r="P857" s="2" t="s">
        <v>153</v>
      </c>
    </row>
    <row r="858">
      <c r="A858" s="3" t="s">
        <v>88</v>
      </c>
      <c r="B858" s="2" t="s">
        <v>17</v>
      </c>
      <c r="C858" s="2" t="s">
        <v>18</v>
      </c>
      <c r="D858" s="2" t="s">
        <v>91</v>
      </c>
      <c r="E858" s="2" t="s">
        <v>188</v>
      </c>
      <c r="F858" s="2">
        <v>8.0</v>
      </c>
      <c r="G858" s="2">
        <v>11.0</v>
      </c>
      <c r="H858" s="2">
        <v>9.0</v>
      </c>
      <c r="I858" s="2">
        <v>2.0</v>
      </c>
      <c r="J858" s="2">
        <v>0.0</v>
      </c>
      <c r="K858" s="2">
        <v>0.0</v>
      </c>
      <c r="L858" s="2">
        <v>0.0</v>
      </c>
      <c r="M858" s="2">
        <v>-1.0</v>
      </c>
      <c r="N858" s="2"/>
      <c r="O858" s="2"/>
      <c r="P858" s="2" t="s">
        <v>153</v>
      </c>
    </row>
    <row r="859">
      <c r="A859" s="3" t="s">
        <v>89</v>
      </c>
      <c r="B859" s="2" t="s">
        <v>17</v>
      </c>
      <c r="C859" s="2" t="s">
        <v>57</v>
      </c>
      <c r="D859" s="2" t="s">
        <v>91</v>
      </c>
      <c r="E859" s="2" t="s">
        <v>190</v>
      </c>
      <c r="F859" s="2">
        <v>12.0</v>
      </c>
      <c r="G859" s="2">
        <v>14.0</v>
      </c>
      <c r="H859" s="2">
        <v>12.0</v>
      </c>
      <c r="I859" s="2">
        <v>2.0</v>
      </c>
      <c r="J859" s="2">
        <v>0.0</v>
      </c>
      <c r="K859" s="2">
        <v>0.0</v>
      </c>
      <c r="L859" s="2">
        <v>0.0</v>
      </c>
      <c r="M859" s="2">
        <v>0.0</v>
      </c>
      <c r="N859" s="2"/>
      <c r="O859" s="2"/>
      <c r="P859" s="2" t="s">
        <v>153</v>
      </c>
    </row>
    <row r="860">
      <c r="A860" s="3" t="s">
        <v>90</v>
      </c>
      <c r="B860" s="2" t="s">
        <v>17</v>
      </c>
      <c r="C860" s="2" t="s">
        <v>57</v>
      </c>
      <c r="D860" s="2" t="s">
        <v>91</v>
      </c>
      <c r="E860" s="2" t="s">
        <v>191</v>
      </c>
      <c r="F860" s="2">
        <v>12.0</v>
      </c>
      <c r="G860" s="2">
        <v>12.0</v>
      </c>
      <c r="H860" s="2">
        <v>12.0</v>
      </c>
      <c r="I860" s="2">
        <v>0.0</v>
      </c>
      <c r="J860" s="2">
        <v>0.0</v>
      </c>
      <c r="K860" s="2">
        <v>0.0</v>
      </c>
      <c r="L860" s="2">
        <v>0.0</v>
      </c>
      <c r="M860" s="2">
        <v>0.0</v>
      </c>
      <c r="N860" s="2"/>
      <c r="O860" s="2"/>
      <c r="P860" s="2" t="s">
        <v>153</v>
      </c>
    </row>
    <row r="861">
      <c r="A861" s="3" t="s">
        <v>93</v>
      </c>
      <c r="B861" s="2" t="s">
        <v>17</v>
      </c>
      <c r="C861" s="2" t="s">
        <v>18</v>
      </c>
      <c r="D861" s="2" t="s">
        <v>91</v>
      </c>
      <c r="E861" s="2" t="s">
        <v>192</v>
      </c>
      <c r="F861" s="2">
        <v>25.0</v>
      </c>
      <c r="G861" s="2">
        <v>28.0</v>
      </c>
      <c r="H861" s="2">
        <v>26.0</v>
      </c>
      <c r="I861" s="2">
        <v>2.0</v>
      </c>
      <c r="J861" s="2">
        <v>0.0</v>
      </c>
      <c r="K861" s="2">
        <v>0.0</v>
      </c>
      <c r="L861" s="2">
        <v>0.0</v>
      </c>
      <c r="M861" s="2">
        <v>-1.0</v>
      </c>
      <c r="N861" s="2"/>
      <c r="O861" s="2"/>
      <c r="P861" s="2" t="s">
        <v>153</v>
      </c>
    </row>
    <row r="862">
      <c r="A862" s="3" t="s">
        <v>16</v>
      </c>
      <c r="B862" s="2" t="s">
        <v>17</v>
      </c>
      <c r="C862" s="2" t="s">
        <v>18</v>
      </c>
      <c r="D862" s="2" t="s">
        <v>91</v>
      </c>
      <c r="E862" s="2" t="s">
        <v>193</v>
      </c>
      <c r="F862" s="2">
        <v>8.0</v>
      </c>
      <c r="G862" s="2">
        <v>9.0</v>
      </c>
      <c r="H862" s="2">
        <v>8.0</v>
      </c>
      <c r="I862" s="2">
        <v>1.0</v>
      </c>
      <c r="J862" s="2">
        <v>0.0</v>
      </c>
      <c r="K862" s="2">
        <v>0.0</v>
      </c>
      <c r="L862" s="2">
        <v>0.0</v>
      </c>
      <c r="M862" s="2">
        <v>0.0</v>
      </c>
      <c r="N862" s="2"/>
      <c r="O862" s="2"/>
      <c r="P862" s="2" t="s">
        <v>153</v>
      </c>
    </row>
    <row r="863">
      <c r="A863" s="3" t="s">
        <v>94</v>
      </c>
      <c r="B863" s="2" t="s">
        <v>17</v>
      </c>
      <c r="C863" s="2" t="s">
        <v>18</v>
      </c>
      <c r="D863" s="2" t="s">
        <v>23</v>
      </c>
      <c r="E863" s="2" t="s">
        <v>188</v>
      </c>
      <c r="F863" s="2">
        <v>13.0</v>
      </c>
      <c r="G863" s="2">
        <v>19.0</v>
      </c>
      <c r="H863" s="2">
        <v>14.0</v>
      </c>
      <c r="I863" s="2">
        <v>5.0</v>
      </c>
      <c r="J863" s="2">
        <v>0.0</v>
      </c>
      <c r="K863" s="2">
        <v>0.0</v>
      </c>
      <c r="L863" s="2">
        <v>0.0</v>
      </c>
      <c r="M863" s="2">
        <v>-1.0</v>
      </c>
      <c r="N863" s="2">
        <v>-8.0</v>
      </c>
      <c r="O863" s="2">
        <v>-15.0</v>
      </c>
      <c r="P863" s="2" t="s">
        <v>153</v>
      </c>
    </row>
    <row r="864">
      <c r="A864" s="3" t="s">
        <v>95</v>
      </c>
      <c r="B864" s="2" t="s">
        <v>17</v>
      </c>
      <c r="C864" s="2" t="s">
        <v>57</v>
      </c>
      <c r="D864" s="2" t="s">
        <v>23</v>
      </c>
      <c r="E864" s="2" t="s">
        <v>189</v>
      </c>
      <c r="F864" s="2">
        <v>7.0</v>
      </c>
      <c r="G864" s="2">
        <v>10.0</v>
      </c>
      <c r="H864" s="2">
        <v>7.0</v>
      </c>
      <c r="I864" s="2">
        <v>3.0</v>
      </c>
      <c r="J864" s="2">
        <v>0.0</v>
      </c>
      <c r="K864" s="2">
        <v>0.0</v>
      </c>
      <c r="L864" s="2">
        <v>0.0</v>
      </c>
      <c r="M864" s="2">
        <v>0.0</v>
      </c>
      <c r="N864" s="2">
        <v>0.0</v>
      </c>
      <c r="O864" s="2">
        <v>-7.0</v>
      </c>
      <c r="P864" s="2" t="s">
        <v>153</v>
      </c>
    </row>
    <row r="865">
      <c r="A865" s="3" t="s">
        <v>97</v>
      </c>
      <c r="B865" s="2" t="s">
        <v>17</v>
      </c>
      <c r="C865" s="2" t="s">
        <v>57</v>
      </c>
      <c r="D865" s="2" t="s">
        <v>23</v>
      </c>
      <c r="E865" s="2" t="s">
        <v>190</v>
      </c>
      <c r="F865" s="2">
        <v>13.0</v>
      </c>
      <c r="G865" s="2">
        <v>15.0</v>
      </c>
      <c r="H865" s="2">
        <v>13.0</v>
      </c>
      <c r="I865" s="2">
        <v>2.0</v>
      </c>
      <c r="J865" s="2">
        <v>0.0</v>
      </c>
      <c r="K865" s="2">
        <v>0.0</v>
      </c>
      <c r="L865" s="2">
        <v>0.0</v>
      </c>
      <c r="M865" s="2">
        <v>0.0</v>
      </c>
      <c r="N865" s="2">
        <v>-10.0</v>
      </c>
      <c r="O865" s="2">
        <v>-13.0</v>
      </c>
      <c r="P865" s="2" t="s">
        <v>153</v>
      </c>
    </row>
    <row r="866">
      <c r="A866" s="3" t="s">
        <v>98</v>
      </c>
      <c r="B866" s="2" t="s">
        <v>17</v>
      </c>
      <c r="C866" s="2" t="s">
        <v>57</v>
      </c>
      <c r="D866" s="2" t="s">
        <v>23</v>
      </c>
      <c r="E866" s="2" t="s">
        <v>191</v>
      </c>
      <c r="F866" s="2">
        <v>14.0</v>
      </c>
      <c r="G866" s="2">
        <v>15.0</v>
      </c>
      <c r="H866" s="2">
        <v>14.0</v>
      </c>
      <c r="I866" s="2">
        <v>1.0</v>
      </c>
      <c r="J866" s="2">
        <v>0.0</v>
      </c>
      <c r="K866" s="2">
        <v>0.0</v>
      </c>
      <c r="L866" s="2">
        <v>0.0</v>
      </c>
      <c r="M866" s="2">
        <v>0.0</v>
      </c>
      <c r="N866" s="2">
        <v>-11.0</v>
      </c>
      <c r="O866" s="2">
        <v>-14.0</v>
      </c>
      <c r="P866" s="2" t="s">
        <v>153</v>
      </c>
    </row>
    <row r="867">
      <c r="A867" s="3" t="s">
        <v>99</v>
      </c>
      <c r="B867" s="2" t="s">
        <v>17</v>
      </c>
      <c r="C867" s="2" t="s">
        <v>18</v>
      </c>
      <c r="D867" s="2" t="s">
        <v>23</v>
      </c>
      <c r="E867" s="2" t="s">
        <v>192</v>
      </c>
      <c r="F867" s="2">
        <v>27.0</v>
      </c>
      <c r="G867" s="2">
        <v>30.0</v>
      </c>
      <c r="H867" s="2">
        <v>28.0</v>
      </c>
      <c r="I867" s="2">
        <v>2.0</v>
      </c>
      <c r="J867" s="2">
        <v>0.0</v>
      </c>
      <c r="K867" s="2">
        <v>0.0</v>
      </c>
      <c r="L867" s="2">
        <v>0.0</v>
      </c>
      <c r="M867" s="2">
        <v>-1.0</v>
      </c>
      <c r="N867" s="2">
        <v>-25.0</v>
      </c>
      <c r="O867" s="2">
        <v>-29.0</v>
      </c>
      <c r="P867" s="2" t="s">
        <v>153</v>
      </c>
    </row>
    <row r="868">
      <c r="A868" s="3" t="s">
        <v>100</v>
      </c>
      <c r="B868" s="2" t="s">
        <v>17</v>
      </c>
      <c r="C868" s="2" t="s">
        <v>18</v>
      </c>
      <c r="D868" s="2" t="s">
        <v>23</v>
      </c>
      <c r="E868" s="2" t="s">
        <v>193</v>
      </c>
      <c r="F868" s="2">
        <v>13.0</v>
      </c>
      <c r="G868" s="2">
        <v>16.0</v>
      </c>
      <c r="H868" s="2">
        <v>14.0</v>
      </c>
      <c r="I868" s="2">
        <v>2.0</v>
      </c>
      <c r="J868" s="2">
        <v>0.0</v>
      </c>
      <c r="K868" s="2">
        <v>0.0</v>
      </c>
      <c r="L868" s="2">
        <v>0.0</v>
      </c>
      <c r="M868" s="2">
        <v>-1.0</v>
      </c>
      <c r="N868" s="2">
        <v>-8.0</v>
      </c>
      <c r="O868" s="2">
        <v>-15.0</v>
      </c>
      <c r="P868" s="2" t="s">
        <v>153</v>
      </c>
    </row>
    <row r="869">
      <c r="A869" s="3" t="s">
        <v>101</v>
      </c>
      <c r="B869" s="4">
        <v>45294.29166666667</v>
      </c>
      <c r="C869" s="2" t="s">
        <v>18</v>
      </c>
      <c r="D869" s="2" t="s">
        <v>19</v>
      </c>
      <c r="E869" s="2" t="s">
        <v>188</v>
      </c>
      <c r="F869" s="2"/>
      <c r="G869" s="2">
        <v>0.0</v>
      </c>
      <c r="H869" s="2">
        <v>0.0</v>
      </c>
      <c r="I869" s="2">
        <v>0.0</v>
      </c>
      <c r="J869" s="2">
        <v>0.0</v>
      </c>
      <c r="K869" s="2">
        <v>0.0</v>
      </c>
      <c r="L869" s="2">
        <v>0.0</v>
      </c>
      <c r="M869" s="2"/>
      <c r="N869" s="2"/>
      <c r="O869" s="2"/>
      <c r="P869" s="2" t="s">
        <v>153</v>
      </c>
    </row>
    <row r="870">
      <c r="A870" s="3" t="s">
        <v>102</v>
      </c>
      <c r="B870" s="4">
        <v>45295.29166666667</v>
      </c>
      <c r="C870" s="2" t="s">
        <v>18</v>
      </c>
      <c r="D870" s="2" t="s">
        <v>19</v>
      </c>
      <c r="E870" s="2" t="s">
        <v>189</v>
      </c>
      <c r="F870" s="2"/>
      <c r="G870" s="2">
        <v>1.0</v>
      </c>
      <c r="H870" s="2">
        <v>1.0</v>
      </c>
      <c r="I870" s="2">
        <v>0.0</v>
      </c>
      <c r="J870" s="2">
        <v>0.0</v>
      </c>
      <c r="K870" s="2">
        <v>0.0</v>
      </c>
      <c r="L870" s="2">
        <v>0.0</v>
      </c>
      <c r="M870" s="2"/>
      <c r="N870" s="2"/>
      <c r="O870" s="2"/>
      <c r="P870" s="2" t="s">
        <v>153</v>
      </c>
    </row>
    <row r="871">
      <c r="A871" s="3" t="s">
        <v>103</v>
      </c>
      <c r="B871" s="4">
        <v>45296.29166666667</v>
      </c>
      <c r="C871" s="2" t="s">
        <v>18</v>
      </c>
      <c r="D871" s="2" t="s">
        <v>19</v>
      </c>
      <c r="E871" s="2" t="s">
        <v>190</v>
      </c>
      <c r="F871" s="2"/>
      <c r="G871" s="2">
        <v>0.0</v>
      </c>
      <c r="H871" s="2">
        <v>0.0</v>
      </c>
      <c r="I871" s="2">
        <v>0.0</v>
      </c>
      <c r="J871" s="2">
        <v>0.0</v>
      </c>
      <c r="K871" s="2">
        <v>0.0</v>
      </c>
      <c r="L871" s="2">
        <v>0.0</v>
      </c>
      <c r="M871" s="2"/>
      <c r="N871" s="2"/>
      <c r="O871" s="2"/>
      <c r="P871" s="2" t="s">
        <v>153</v>
      </c>
    </row>
    <row r="872">
      <c r="A872" s="3" t="s">
        <v>104</v>
      </c>
      <c r="B872" s="4">
        <v>45297.29166666667</v>
      </c>
      <c r="C872" s="2" t="s">
        <v>18</v>
      </c>
      <c r="D872" s="2" t="s">
        <v>19</v>
      </c>
      <c r="E872" s="2" t="s">
        <v>191</v>
      </c>
      <c r="F872" s="2"/>
      <c r="G872" s="2">
        <v>1.0</v>
      </c>
      <c r="H872" s="2">
        <v>0.0</v>
      </c>
      <c r="I872" s="2">
        <v>1.0</v>
      </c>
      <c r="J872" s="2">
        <v>0.0</v>
      </c>
      <c r="K872" s="2">
        <v>0.0</v>
      </c>
      <c r="L872" s="2">
        <v>0.0</v>
      </c>
      <c r="M872" s="2"/>
      <c r="N872" s="2"/>
      <c r="O872" s="2"/>
      <c r="P872" s="2" t="s">
        <v>153</v>
      </c>
    </row>
    <row r="873">
      <c r="A873" s="3" t="s">
        <v>105</v>
      </c>
      <c r="B873" s="4">
        <v>45298.29166666667</v>
      </c>
      <c r="C873" s="2" t="s">
        <v>18</v>
      </c>
      <c r="D873" s="2" t="s">
        <v>19</v>
      </c>
      <c r="E873" s="2" t="s">
        <v>192</v>
      </c>
      <c r="F873" s="2"/>
      <c r="G873" s="2">
        <v>1.0</v>
      </c>
      <c r="H873" s="2">
        <v>1.0</v>
      </c>
      <c r="I873" s="2">
        <v>0.0</v>
      </c>
      <c r="J873" s="2">
        <v>0.0</v>
      </c>
      <c r="K873" s="2">
        <v>0.0</v>
      </c>
      <c r="L873" s="2">
        <v>0.0</v>
      </c>
      <c r="M873" s="2"/>
      <c r="N873" s="2"/>
      <c r="O873" s="2"/>
      <c r="P873" s="2" t="s">
        <v>153</v>
      </c>
    </row>
    <row r="874">
      <c r="A874" s="3" t="s">
        <v>16</v>
      </c>
      <c r="B874" s="4">
        <v>45299.29166666667</v>
      </c>
      <c r="C874" s="2" t="s">
        <v>18</v>
      </c>
      <c r="D874" s="2" t="s">
        <v>19</v>
      </c>
      <c r="E874" s="2" t="s">
        <v>193</v>
      </c>
      <c r="F874" s="2"/>
      <c r="G874" s="2">
        <v>4.0</v>
      </c>
      <c r="H874" s="2">
        <v>3.0</v>
      </c>
      <c r="I874" s="2">
        <v>1.0</v>
      </c>
      <c r="J874" s="2">
        <v>0.0</v>
      </c>
      <c r="K874" s="2">
        <v>0.0</v>
      </c>
      <c r="L874" s="2">
        <v>0.0</v>
      </c>
      <c r="M874" s="2"/>
      <c r="N874" s="2"/>
      <c r="O874" s="2"/>
      <c r="P874" s="2" t="s">
        <v>153</v>
      </c>
    </row>
    <row r="875">
      <c r="A875" s="3" t="s">
        <v>22</v>
      </c>
      <c r="B875" s="4">
        <v>45325.29166666667</v>
      </c>
      <c r="C875" s="2" t="s">
        <v>18</v>
      </c>
      <c r="D875" s="2" t="s">
        <v>19</v>
      </c>
      <c r="E875" s="2" t="s">
        <v>188</v>
      </c>
      <c r="F875" s="2"/>
      <c r="G875" s="2">
        <v>8.0</v>
      </c>
      <c r="H875" s="2">
        <v>5.0</v>
      </c>
      <c r="I875" s="2">
        <v>3.0</v>
      </c>
      <c r="J875" s="2">
        <v>0.0</v>
      </c>
      <c r="K875" s="2">
        <v>0.0</v>
      </c>
      <c r="L875" s="2">
        <v>0.0</v>
      </c>
      <c r="M875" s="2"/>
      <c r="N875" s="2"/>
      <c r="O875" s="2"/>
      <c r="P875" s="2" t="s">
        <v>153</v>
      </c>
    </row>
    <row r="876">
      <c r="A876" s="3" t="s">
        <v>24</v>
      </c>
      <c r="B876" s="4">
        <v>45326.29166666667</v>
      </c>
      <c r="C876" s="2" t="s">
        <v>18</v>
      </c>
      <c r="D876" s="2" t="s">
        <v>19</v>
      </c>
      <c r="E876" s="2" t="s">
        <v>189</v>
      </c>
      <c r="F876" s="2"/>
      <c r="G876" s="2">
        <v>9.0</v>
      </c>
      <c r="H876" s="2">
        <v>6.0</v>
      </c>
      <c r="I876" s="2">
        <v>3.0</v>
      </c>
      <c r="J876" s="2">
        <v>0.0</v>
      </c>
      <c r="K876" s="2">
        <v>0.0</v>
      </c>
      <c r="L876" s="2">
        <v>0.0</v>
      </c>
      <c r="M876" s="2"/>
      <c r="N876" s="2"/>
      <c r="O876" s="2"/>
      <c r="P876" s="2" t="s">
        <v>153</v>
      </c>
    </row>
    <row r="877">
      <c r="A877" s="3" t="s">
        <v>25</v>
      </c>
      <c r="B877" s="4">
        <v>45327.29166666667</v>
      </c>
      <c r="C877" s="2" t="s">
        <v>18</v>
      </c>
      <c r="D877" s="2" t="s">
        <v>19</v>
      </c>
      <c r="E877" s="2" t="s">
        <v>190</v>
      </c>
      <c r="F877" s="2"/>
      <c r="G877" s="2">
        <v>1.0</v>
      </c>
      <c r="H877" s="2">
        <v>1.0</v>
      </c>
      <c r="I877" s="2">
        <v>0.0</v>
      </c>
      <c r="J877" s="2">
        <v>0.0</v>
      </c>
      <c r="K877" s="2">
        <v>0.0</v>
      </c>
      <c r="L877" s="2">
        <v>0.0</v>
      </c>
      <c r="M877" s="2"/>
      <c r="N877" s="2"/>
      <c r="O877" s="2"/>
      <c r="P877" s="2" t="s">
        <v>153</v>
      </c>
    </row>
    <row r="878">
      <c r="A878" s="3" t="s">
        <v>26</v>
      </c>
      <c r="B878" s="4">
        <v>45328.29166666667</v>
      </c>
      <c r="C878" s="2" t="s">
        <v>18</v>
      </c>
      <c r="D878" s="2" t="s">
        <v>19</v>
      </c>
      <c r="E878" s="2" t="s">
        <v>191</v>
      </c>
      <c r="F878" s="2"/>
      <c r="G878" s="2">
        <v>2.0</v>
      </c>
      <c r="H878" s="2">
        <v>2.0</v>
      </c>
      <c r="I878" s="2">
        <v>0.0</v>
      </c>
      <c r="J878" s="2">
        <v>0.0</v>
      </c>
      <c r="K878" s="2">
        <v>0.0</v>
      </c>
      <c r="L878" s="2">
        <v>0.0</v>
      </c>
      <c r="M878" s="2"/>
      <c r="N878" s="2"/>
      <c r="O878" s="2"/>
      <c r="P878" s="2" t="s">
        <v>153</v>
      </c>
    </row>
    <row r="879">
      <c r="A879" s="3" t="s">
        <v>28</v>
      </c>
      <c r="B879" s="4">
        <v>45329.29166666667</v>
      </c>
      <c r="C879" s="2" t="s">
        <v>18</v>
      </c>
      <c r="D879" s="2" t="s">
        <v>19</v>
      </c>
      <c r="E879" s="2" t="s">
        <v>192</v>
      </c>
      <c r="F879" s="2"/>
      <c r="G879" s="2">
        <v>1.0</v>
      </c>
      <c r="H879" s="2">
        <v>1.0</v>
      </c>
      <c r="I879" s="2">
        <v>0.0</v>
      </c>
      <c r="J879" s="2">
        <v>0.0</v>
      </c>
      <c r="K879" s="2">
        <v>0.0</v>
      </c>
      <c r="L879" s="2">
        <v>0.0</v>
      </c>
      <c r="M879" s="2"/>
      <c r="N879" s="2"/>
      <c r="O879" s="2"/>
      <c r="P879" s="2" t="s">
        <v>153</v>
      </c>
    </row>
    <row r="880">
      <c r="A880" s="3" t="s">
        <v>29</v>
      </c>
      <c r="B880" s="4">
        <v>45330.29166666667</v>
      </c>
      <c r="C880" s="2" t="s">
        <v>18</v>
      </c>
      <c r="D880" s="2" t="s">
        <v>19</v>
      </c>
      <c r="E880" s="2" t="s">
        <v>193</v>
      </c>
      <c r="F880" s="2"/>
      <c r="G880" s="2">
        <v>3.0</v>
      </c>
      <c r="H880" s="2">
        <v>3.0</v>
      </c>
      <c r="I880" s="2">
        <v>0.0</v>
      </c>
      <c r="J880" s="2">
        <v>0.0</v>
      </c>
      <c r="K880" s="2">
        <v>0.0</v>
      </c>
      <c r="L880" s="2">
        <v>0.0</v>
      </c>
      <c r="M880" s="2"/>
      <c r="N880" s="2"/>
      <c r="O880" s="2"/>
      <c r="P880" s="2" t="s">
        <v>153</v>
      </c>
    </row>
    <row r="881">
      <c r="A881" s="3" t="s">
        <v>32</v>
      </c>
      <c r="B881" s="4">
        <v>45331.29166666667</v>
      </c>
      <c r="C881" s="2" t="s">
        <v>135</v>
      </c>
      <c r="D881" s="2" t="s">
        <v>91</v>
      </c>
      <c r="E881" s="2" t="s">
        <v>188</v>
      </c>
      <c r="F881" s="2"/>
      <c r="G881" s="2">
        <v>11.0</v>
      </c>
      <c r="H881" s="2">
        <v>9.0</v>
      </c>
      <c r="I881" s="2">
        <v>2.0</v>
      </c>
      <c r="J881" s="2">
        <v>0.0</v>
      </c>
      <c r="K881" s="2">
        <v>0.0</v>
      </c>
      <c r="L881" s="2">
        <v>0.0</v>
      </c>
      <c r="M881" s="2"/>
      <c r="N881" s="2"/>
      <c r="O881" s="2"/>
      <c r="P881" s="2" t="s">
        <v>153</v>
      </c>
    </row>
    <row r="882">
      <c r="A882" s="3" t="s">
        <v>34</v>
      </c>
      <c r="B882" s="4">
        <v>45332.29166666667</v>
      </c>
      <c r="C882" s="2" t="s">
        <v>18</v>
      </c>
      <c r="D882" s="2" t="s">
        <v>91</v>
      </c>
      <c r="E882" s="2" t="s">
        <v>190</v>
      </c>
      <c r="F882" s="2"/>
      <c r="G882" s="2">
        <v>14.0</v>
      </c>
      <c r="H882" s="2">
        <v>12.0</v>
      </c>
      <c r="I882" s="2">
        <v>2.0</v>
      </c>
      <c r="J882" s="2">
        <v>0.0</v>
      </c>
      <c r="K882" s="2">
        <v>0.0</v>
      </c>
      <c r="L882" s="2">
        <v>0.0</v>
      </c>
      <c r="M882" s="2"/>
      <c r="N882" s="2"/>
      <c r="O882" s="2"/>
      <c r="P882" s="2" t="s">
        <v>153</v>
      </c>
    </row>
    <row r="883">
      <c r="A883" s="3" t="s">
        <v>35</v>
      </c>
      <c r="B883" s="4">
        <v>45333.29166666667</v>
      </c>
      <c r="C883" s="2" t="s">
        <v>18</v>
      </c>
      <c r="D883" s="2" t="s">
        <v>91</v>
      </c>
      <c r="E883" s="2" t="s">
        <v>191</v>
      </c>
      <c r="F883" s="2"/>
      <c r="G883" s="2">
        <v>12.0</v>
      </c>
      <c r="H883" s="2">
        <v>12.0</v>
      </c>
      <c r="I883" s="2">
        <v>0.0</v>
      </c>
      <c r="J883" s="2">
        <v>0.0</v>
      </c>
      <c r="K883" s="2">
        <v>0.0</v>
      </c>
      <c r="L883" s="2">
        <v>0.0</v>
      </c>
      <c r="M883" s="2"/>
      <c r="N883" s="2"/>
      <c r="O883" s="2"/>
      <c r="P883" s="2" t="s">
        <v>153</v>
      </c>
    </row>
    <row r="884">
      <c r="A884" s="3" t="s">
        <v>36</v>
      </c>
      <c r="B884" s="4">
        <v>45334.29166666667</v>
      </c>
      <c r="C884" s="2" t="s">
        <v>18</v>
      </c>
      <c r="D884" s="2" t="s">
        <v>91</v>
      </c>
      <c r="E884" s="2" t="s">
        <v>192</v>
      </c>
      <c r="F884" s="2"/>
      <c r="G884" s="2">
        <v>28.0</v>
      </c>
      <c r="H884" s="2">
        <v>26.0</v>
      </c>
      <c r="I884" s="2">
        <v>2.0</v>
      </c>
      <c r="J884" s="2">
        <v>0.0</v>
      </c>
      <c r="K884" s="2">
        <v>0.0</v>
      </c>
      <c r="L884" s="2">
        <v>0.0</v>
      </c>
      <c r="M884" s="2"/>
      <c r="N884" s="2"/>
      <c r="O884" s="2"/>
      <c r="P884" s="2" t="s">
        <v>153</v>
      </c>
    </row>
    <row r="885">
      <c r="A885" s="3" t="s">
        <v>37</v>
      </c>
      <c r="B885" s="4">
        <v>45335.29166666667</v>
      </c>
      <c r="C885" s="2" t="s">
        <v>135</v>
      </c>
      <c r="D885" s="2" t="s">
        <v>91</v>
      </c>
      <c r="E885" s="2" t="s">
        <v>193</v>
      </c>
      <c r="F885" s="2"/>
      <c r="G885" s="2">
        <v>9.0</v>
      </c>
      <c r="H885" s="2">
        <v>8.0</v>
      </c>
      <c r="I885" s="2">
        <v>1.0</v>
      </c>
      <c r="J885" s="2">
        <v>0.0</v>
      </c>
      <c r="K885" s="2">
        <v>0.0</v>
      </c>
      <c r="L885" s="2">
        <v>0.0</v>
      </c>
      <c r="M885" s="2"/>
      <c r="N885" s="2"/>
      <c r="O885" s="2"/>
      <c r="P885" s="2" t="s">
        <v>153</v>
      </c>
    </row>
    <row r="886">
      <c r="A886" s="3" t="s">
        <v>38</v>
      </c>
      <c r="B886" s="2" t="s">
        <v>17</v>
      </c>
      <c r="C886" s="2" t="s">
        <v>18</v>
      </c>
      <c r="D886" s="2" t="s">
        <v>19</v>
      </c>
      <c r="E886" s="2" t="s">
        <v>155</v>
      </c>
      <c r="F886" s="2">
        <v>32.0</v>
      </c>
      <c r="G886" s="2">
        <v>34.0</v>
      </c>
      <c r="H886" s="2">
        <v>32.0</v>
      </c>
      <c r="I886" s="2">
        <v>2.0</v>
      </c>
      <c r="J886" s="2">
        <v>0.0</v>
      </c>
      <c r="K886" s="2">
        <v>0.0</v>
      </c>
      <c r="L886" s="2">
        <v>1.0</v>
      </c>
      <c r="M886" s="2">
        <v>0.0</v>
      </c>
      <c r="N886" s="2"/>
      <c r="O886" s="2"/>
      <c r="P886" s="2" t="s">
        <v>80</v>
      </c>
    </row>
    <row r="887">
      <c r="A887" s="3" t="s">
        <v>39</v>
      </c>
      <c r="B887" s="2" t="s">
        <v>17</v>
      </c>
      <c r="C887" s="2" t="s">
        <v>18</v>
      </c>
      <c r="D887" s="2" t="s">
        <v>23</v>
      </c>
      <c r="E887" s="2" t="s">
        <v>155</v>
      </c>
      <c r="F887" s="2">
        <v>32.0</v>
      </c>
      <c r="G887" s="2">
        <v>34.0</v>
      </c>
      <c r="H887" s="2">
        <v>32.0</v>
      </c>
      <c r="I887" s="2">
        <v>2.0</v>
      </c>
      <c r="J887" s="2">
        <v>0.0</v>
      </c>
      <c r="K887" s="2">
        <v>0.0</v>
      </c>
      <c r="L887" s="2">
        <v>1.0</v>
      </c>
      <c r="M887" s="2">
        <v>0.0</v>
      </c>
      <c r="N887" s="2">
        <v>0.0</v>
      </c>
      <c r="O887" s="2">
        <v>-32.0</v>
      </c>
      <c r="P887" s="2" t="s">
        <v>80</v>
      </c>
    </row>
    <row r="888">
      <c r="A888" s="3" t="s">
        <v>40</v>
      </c>
      <c r="B888" s="4">
        <v>45324.29166666667</v>
      </c>
      <c r="C888" s="2" t="s">
        <v>18</v>
      </c>
      <c r="D888" s="2" t="s">
        <v>19</v>
      </c>
      <c r="E888" s="2" t="s">
        <v>155</v>
      </c>
      <c r="F888" s="2"/>
      <c r="G888" s="2">
        <v>34.0</v>
      </c>
      <c r="H888" s="2">
        <v>32.0</v>
      </c>
      <c r="I888" s="2">
        <v>2.0</v>
      </c>
      <c r="J888" s="2">
        <v>0.0</v>
      </c>
      <c r="K888" s="2">
        <v>0.0</v>
      </c>
      <c r="L888" s="2">
        <v>1.0</v>
      </c>
      <c r="M888" s="2"/>
      <c r="N888" s="2"/>
      <c r="O888" s="2"/>
      <c r="P888" s="2" t="s">
        <v>80</v>
      </c>
    </row>
    <row r="889">
      <c r="A889" s="3" t="s">
        <v>41</v>
      </c>
      <c r="B889" s="2" t="s">
        <v>17</v>
      </c>
      <c r="C889" s="2" t="s">
        <v>18</v>
      </c>
      <c r="D889" s="9" t="s">
        <v>127</v>
      </c>
      <c r="E889" s="9" t="s">
        <v>194</v>
      </c>
      <c r="F889" s="10">
        <v>25.0</v>
      </c>
      <c r="G889" s="11">
        <v>5.0</v>
      </c>
      <c r="H889" s="11">
        <v>1.0</v>
      </c>
      <c r="I889" s="11">
        <v>4.0</v>
      </c>
      <c r="J889" s="2">
        <v>0.0</v>
      </c>
      <c r="K889" s="2">
        <v>0.0</v>
      </c>
      <c r="L889" s="2">
        <v>0.0</v>
      </c>
      <c r="M889" s="2">
        <v>24.0</v>
      </c>
      <c r="N889" s="2"/>
      <c r="O889" s="2"/>
      <c r="P889" s="2" t="s">
        <v>195</v>
      </c>
    </row>
    <row r="890">
      <c r="A890" s="3" t="s">
        <v>42</v>
      </c>
      <c r="B890" s="2" t="s">
        <v>17</v>
      </c>
      <c r="C890" s="2" t="s">
        <v>148</v>
      </c>
      <c r="D890" s="2" t="s">
        <v>19</v>
      </c>
      <c r="E890" s="2" t="s">
        <v>194</v>
      </c>
      <c r="F890" s="2">
        <v>15.0</v>
      </c>
      <c r="G890" s="2">
        <v>0.0</v>
      </c>
      <c r="H890" s="2">
        <v>0.0</v>
      </c>
      <c r="I890" s="2">
        <v>0.0</v>
      </c>
      <c r="J890" s="2">
        <v>0.0</v>
      </c>
      <c r="K890" s="2">
        <v>0.0</v>
      </c>
      <c r="L890" s="2">
        <v>0.0</v>
      </c>
      <c r="M890" s="2">
        <v>15.0</v>
      </c>
      <c r="N890" s="2"/>
      <c r="O890" s="2"/>
      <c r="P890" s="2" t="s">
        <v>195</v>
      </c>
    </row>
    <row r="891">
      <c r="A891" s="3" t="s">
        <v>43</v>
      </c>
      <c r="B891" s="2" t="s">
        <v>17</v>
      </c>
      <c r="C891" s="2" t="s">
        <v>18</v>
      </c>
      <c r="D891" s="2" t="s">
        <v>23</v>
      </c>
      <c r="E891" s="2" t="s">
        <v>194</v>
      </c>
      <c r="F891" s="2">
        <v>25.0</v>
      </c>
      <c r="G891" s="2">
        <v>5.0</v>
      </c>
      <c r="H891" s="2">
        <v>1.0</v>
      </c>
      <c r="I891" s="2">
        <v>4.0</v>
      </c>
      <c r="J891" s="2">
        <v>0.0</v>
      </c>
      <c r="K891" s="2">
        <v>0.0</v>
      </c>
      <c r="L891" s="2">
        <v>0.0</v>
      </c>
      <c r="M891" s="2">
        <v>24.0</v>
      </c>
      <c r="N891" s="2">
        <v>-15.0</v>
      </c>
      <c r="O891" s="2">
        <v>23.0</v>
      </c>
      <c r="P891" s="2" t="s">
        <v>195</v>
      </c>
    </row>
    <row r="892">
      <c r="A892" s="3" t="s">
        <v>44</v>
      </c>
      <c r="B892" s="4">
        <v>45323.29166666667</v>
      </c>
      <c r="C892" s="2" t="s">
        <v>18</v>
      </c>
      <c r="D892" s="2" t="s">
        <v>127</v>
      </c>
      <c r="E892" s="2" t="s">
        <v>194</v>
      </c>
      <c r="F892" s="2"/>
      <c r="G892" s="2">
        <v>5.0</v>
      </c>
      <c r="H892" s="2">
        <v>1.0</v>
      </c>
      <c r="I892" s="2">
        <v>4.0</v>
      </c>
      <c r="J892" s="2">
        <v>0.0</v>
      </c>
      <c r="K892" s="2">
        <v>0.0</v>
      </c>
      <c r="L892" s="2">
        <v>0.0</v>
      </c>
      <c r="M892" s="2"/>
      <c r="N892" s="2"/>
      <c r="O892" s="2"/>
      <c r="P892" s="2" t="s">
        <v>195</v>
      </c>
    </row>
    <row r="893">
      <c r="A893" s="3" t="s">
        <v>45</v>
      </c>
      <c r="B893" s="2" t="s">
        <v>17</v>
      </c>
      <c r="C893" s="2" t="s">
        <v>18</v>
      </c>
      <c r="D893" s="2" t="s">
        <v>157</v>
      </c>
      <c r="E893" s="2" t="s">
        <v>27</v>
      </c>
      <c r="F893" s="2">
        <v>111.0</v>
      </c>
      <c r="G893" s="2">
        <v>169.0</v>
      </c>
      <c r="H893" s="2">
        <v>110.0</v>
      </c>
      <c r="I893" s="2">
        <v>48.0</v>
      </c>
      <c r="J893" s="2">
        <v>11.0</v>
      </c>
      <c r="K893" s="2">
        <v>0.0</v>
      </c>
      <c r="L893" s="2">
        <v>0.0</v>
      </c>
      <c r="M893" s="2">
        <v>1.0</v>
      </c>
      <c r="N893" s="2"/>
      <c r="O893" s="2"/>
      <c r="P893" s="2" t="s">
        <v>92</v>
      </c>
    </row>
    <row r="894">
      <c r="A894" s="3" t="s">
        <v>16</v>
      </c>
      <c r="B894" s="2" t="s">
        <v>17</v>
      </c>
      <c r="C894" s="2" t="s">
        <v>18</v>
      </c>
      <c r="D894" s="2" t="s">
        <v>109</v>
      </c>
      <c r="E894" s="2" t="s">
        <v>27</v>
      </c>
      <c r="F894" s="2">
        <v>20.0</v>
      </c>
      <c r="G894" s="2">
        <v>14.0</v>
      </c>
      <c r="H894" s="2">
        <v>6.0</v>
      </c>
      <c r="I894" s="2">
        <v>6.0</v>
      </c>
      <c r="J894" s="2">
        <v>2.0</v>
      </c>
      <c r="K894" s="2">
        <v>0.0</v>
      </c>
      <c r="L894" s="2">
        <v>0.0</v>
      </c>
      <c r="M894" s="2">
        <v>14.0</v>
      </c>
      <c r="N894" s="2"/>
      <c r="O894" s="2"/>
      <c r="P894" s="2" t="s">
        <v>92</v>
      </c>
    </row>
    <row r="895">
      <c r="A895" s="3" t="s">
        <v>47</v>
      </c>
      <c r="B895" s="2" t="s">
        <v>17</v>
      </c>
      <c r="C895" s="2" t="s">
        <v>18</v>
      </c>
      <c r="D895" s="2" t="s">
        <v>19</v>
      </c>
      <c r="E895" s="2" t="s">
        <v>27</v>
      </c>
      <c r="F895" s="2">
        <v>15.0</v>
      </c>
      <c r="G895" s="2">
        <v>12.0</v>
      </c>
      <c r="H895" s="2">
        <v>8.0</v>
      </c>
      <c r="I895" s="2">
        <v>3.0</v>
      </c>
      <c r="J895" s="2">
        <v>1.0</v>
      </c>
      <c r="K895" s="2">
        <v>0.0</v>
      </c>
      <c r="L895" s="2">
        <v>0.0</v>
      </c>
      <c r="M895" s="2">
        <v>7.0</v>
      </c>
      <c r="N895" s="2"/>
      <c r="O895" s="2"/>
      <c r="P895" s="2" t="s">
        <v>92</v>
      </c>
    </row>
    <row r="896">
      <c r="A896" s="3" t="s">
        <v>48</v>
      </c>
      <c r="B896" s="2" t="s">
        <v>17</v>
      </c>
      <c r="C896" s="2" t="s">
        <v>18</v>
      </c>
      <c r="D896" s="2" t="s">
        <v>23</v>
      </c>
      <c r="E896" s="2" t="s">
        <v>27</v>
      </c>
      <c r="F896" s="2">
        <v>125.0</v>
      </c>
      <c r="G896" s="2">
        <v>195.0</v>
      </c>
      <c r="H896" s="2">
        <v>124.0</v>
      </c>
      <c r="I896" s="2">
        <v>57.0</v>
      </c>
      <c r="J896" s="2">
        <v>14.0</v>
      </c>
      <c r="K896" s="2">
        <v>0.0</v>
      </c>
      <c r="L896" s="2">
        <v>0.0</v>
      </c>
      <c r="M896" s="2">
        <v>1.0</v>
      </c>
      <c r="N896" s="2">
        <v>-21.0</v>
      </c>
      <c r="O896" s="2">
        <v>-120.0</v>
      </c>
      <c r="P896" s="2" t="s">
        <v>92</v>
      </c>
    </row>
    <row r="897">
      <c r="A897" s="3" t="s">
        <v>49</v>
      </c>
      <c r="B897" s="4">
        <v>45263.29166666667</v>
      </c>
      <c r="C897" s="2" t="s">
        <v>18</v>
      </c>
      <c r="D897" s="2" t="s">
        <v>19</v>
      </c>
      <c r="E897" s="2" t="s">
        <v>27</v>
      </c>
      <c r="F897" s="2"/>
      <c r="G897" s="2">
        <v>1.0</v>
      </c>
      <c r="H897" s="2">
        <v>1.0</v>
      </c>
      <c r="I897" s="2">
        <v>0.0</v>
      </c>
      <c r="J897" s="2">
        <v>0.0</v>
      </c>
      <c r="K897" s="2">
        <v>0.0</v>
      </c>
      <c r="L897" s="2">
        <v>0.0</v>
      </c>
      <c r="M897" s="2"/>
      <c r="N897" s="2"/>
      <c r="O897" s="2"/>
      <c r="P897" s="2" t="s">
        <v>92</v>
      </c>
    </row>
    <row r="898">
      <c r="A898" s="3" t="s">
        <v>51</v>
      </c>
      <c r="B898" s="4">
        <v>45263.29166666667</v>
      </c>
      <c r="C898" s="2" t="s">
        <v>18</v>
      </c>
      <c r="D898" s="2" t="s">
        <v>157</v>
      </c>
      <c r="E898" s="2" t="s">
        <v>27</v>
      </c>
      <c r="F898" s="2"/>
      <c r="G898" s="2">
        <v>0.0</v>
      </c>
      <c r="H898" s="2">
        <v>0.0</v>
      </c>
      <c r="I898" s="2">
        <v>0.0</v>
      </c>
      <c r="J898" s="2">
        <v>0.0</v>
      </c>
      <c r="K898" s="2">
        <v>0.0</v>
      </c>
      <c r="L898" s="2">
        <v>0.0</v>
      </c>
      <c r="M898" s="2"/>
      <c r="N898" s="2"/>
      <c r="O898" s="2"/>
      <c r="P898" s="2" t="s">
        <v>92</v>
      </c>
    </row>
    <row r="899">
      <c r="A899" s="3" t="s">
        <v>52</v>
      </c>
      <c r="B899" s="4">
        <v>45263.29166666667</v>
      </c>
      <c r="C899" s="2" t="s">
        <v>18</v>
      </c>
      <c r="D899" s="2" t="s">
        <v>109</v>
      </c>
      <c r="E899" s="2" t="s">
        <v>27</v>
      </c>
      <c r="F899" s="2"/>
      <c r="G899" s="2">
        <v>0.0</v>
      </c>
      <c r="H899" s="2">
        <v>0.0</v>
      </c>
      <c r="I899" s="2">
        <v>0.0</v>
      </c>
      <c r="J899" s="2">
        <v>0.0</v>
      </c>
      <c r="K899" s="2">
        <v>0.0</v>
      </c>
      <c r="L899" s="2">
        <v>0.0</v>
      </c>
      <c r="M899" s="2"/>
      <c r="N899" s="2"/>
      <c r="O899" s="2"/>
      <c r="P899" s="2" t="s">
        <v>92</v>
      </c>
    </row>
    <row r="900">
      <c r="A900" s="3" t="s">
        <v>53</v>
      </c>
      <c r="B900" s="4">
        <v>45292.29166666667</v>
      </c>
      <c r="C900" s="2" t="s">
        <v>18</v>
      </c>
      <c r="D900" s="2" t="s">
        <v>157</v>
      </c>
      <c r="E900" s="2" t="s">
        <v>27</v>
      </c>
      <c r="F900" s="2"/>
      <c r="G900" s="2">
        <v>82.0</v>
      </c>
      <c r="H900" s="2">
        <v>58.0</v>
      </c>
      <c r="I900" s="2">
        <v>15.0</v>
      </c>
      <c r="J900" s="2">
        <v>9.0</v>
      </c>
      <c r="K900" s="2">
        <v>0.0</v>
      </c>
      <c r="L900" s="2">
        <v>0.0</v>
      </c>
      <c r="M900" s="2"/>
      <c r="N900" s="2"/>
      <c r="O900" s="2"/>
      <c r="P900" s="2" t="s">
        <v>92</v>
      </c>
    </row>
    <row r="901">
      <c r="A901" s="3" t="s">
        <v>54</v>
      </c>
      <c r="B901" s="4">
        <v>45293.29166666667</v>
      </c>
      <c r="C901" s="2" t="s">
        <v>18</v>
      </c>
      <c r="D901" s="2" t="s">
        <v>109</v>
      </c>
      <c r="E901" s="2" t="s">
        <v>27</v>
      </c>
      <c r="F901" s="2"/>
      <c r="G901" s="2">
        <v>14.0</v>
      </c>
      <c r="H901" s="2">
        <v>6.0</v>
      </c>
      <c r="I901" s="2">
        <v>6.0</v>
      </c>
      <c r="J901" s="2">
        <v>2.0</v>
      </c>
      <c r="K901" s="2">
        <v>0.0</v>
      </c>
      <c r="L901" s="2">
        <v>0.0</v>
      </c>
      <c r="M901" s="2"/>
      <c r="N901" s="2"/>
      <c r="O901" s="2"/>
      <c r="P901" s="2" t="s">
        <v>92</v>
      </c>
    </row>
    <row r="902">
      <c r="A902" s="3" t="s">
        <v>55</v>
      </c>
      <c r="B902" s="4">
        <v>45294.29166666667</v>
      </c>
      <c r="C902" s="2" t="s">
        <v>18</v>
      </c>
      <c r="D902" s="2" t="s">
        <v>19</v>
      </c>
      <c r="E902" s="2" t="s">
        <v>27</v>
      </c>
      <c r="F902" s="2"/>
      <c r="G902" s="2">
        <v>9.0</v>
      </c>
      <c r="H902" s="2">
        <v>6.0</v>
      </c>
      <c r="I902" s="2">
        <v>2.0</v>
      </c>
      <c r="J902" s="2">
        <v>1.0</v>
      </c>
      <c r="K902" s="2">
        <v>0.0</v>
      </c>
      <c r="L902" s="2">
        <v>0.0</v>
      </c>
      <c r="M902" s="2"/>
      <c r="N902" s="2"/>
      <c r="O902" s="2"/>
      <c r="P902" s="2" t="s">
        <v>92</v>
      </c>
    </row>
    <row r="903">
      <c r="A903" s="3" t="s">
        <v>56</v>
      </c>
      <c r="B903" s="4">
        <v>45324.29166666667</v>
      </c>
      <c r="C903" s="2" t="s">
        <v>18</v>
      </c>
      <c r="D903" s="2" t="s">
        <v>157</v>
      </c>
      <c r="E903" s="2" t="s">
        <v>27</v>
      </c>
      <c r="F903" s="2"/>
      <c r="G903" s="2">
        <v>82.0</v>
      </c>
      <c r="H903" s="2">
        <v>49.0</v>
      </c>
      <c r="I903" s="2">
        <v>33.0</v>
      </c>
      <c r="J903" s="2">
        <v>0.0</v>
      </c>
      <c r="K903" s="2">
        <v>0.0</v>
      </c>
      <c r="L903" s="2">
        <v>0.0</v>
      </c>
      <c r="M903" s="2"/>
      <c r="N903" s="2"/>
      <c r="O903" s="2"/>
      <c r="P903" s="2" t="s">
        <v>92</v>
      </c>
    </row>
    <row r="904">
      <c r="A904" s="3" t="s">
        <v>59</v>
      </c>
      <c r="B904" s="4">
        <v>45324.29166666667</v>
      </c>
      <c r="C904" s="2" t="s">
        <v>18</v>
      </c>
      <c r="D904" s="2" t="s">
        <v>19</v>
      </c>
      <c r="E904" s="2" t="s">
        <v>27</v>
      </c>
      <c r="F904" s="2"/>
      <c r="G904" s="2">
        <v>2.0</v>
      </c>
      <c r="H904" s="2">
        <v>1.0</v>
      </c>
      <c r="I904" s="2">
        <v>1.0</v>
      </c>
      <c r="J904" s="2">
        <v>0.0</v>
      </c>
      <c r="K904" s="2">
        <v>0.0</v>
      </c>
      <c r="L904" s="2">
        <v>0.0</v>
      </c>
      <c r="M904" s="2"/>
      <c r="N904" s="2"/>
      <c r="O904" s="2"/>
      <c r="P904" s="2" t="s">
        <v>92</v>
      </c>
    </row>
    <row r="905">
      <c r="A905" s="3" t="s">
        <v>60</v>
      </c>
      <c r="B905" s="4">
        <v>45324.29166666667</v>
      </c>
      <c r="C905" s="2" t="s">
        <v>113</v>
      </c>
      <c r="D905" s="2" t="s">
        <v>109</v>
      </c>
      <c r="E905" s="2" t="s">
        <v>27</v>
      </c>
      <c r="F905" s="2"/>
      <c r="G905" s="2">
        <v>0.0</v>
      </c>
      <c r="H905" s="2">
        <v>0.0</v>
      </c>
      <c r="I905" s="2">
        <v>0.0</v>
      </c>
      <c r="J905" s="2">
        <v>0.0</v>
      </c>
      <c r="K905" s="2">
        <v>0.0</v>
      </c>
      <c r="L905" s="2">
        <v>0.0</v>
      </c>
      <c r="M905" s="2"/>
      <c r="N905" s="2"/>
      <c r="O905" s="2"/>
      <c r="P905" s="2" t="s">
        <v>92</v>
      </c>
    </row>
    <row r="906">
      <c r="A906" s="3" t="s">
        <v>61</v>
      </c>
      <c r="B906" s="2" t="s">
        <v>17</v>
      </c>
      <c r="C906" s="2" t="s">
        <v>57</v>
      </c>
      <c r="D906" s="2" t="s">
        <v>91</v>
      </c>
      <c r="E906" s="2" t="s">
        <v>196</v>
      </c>
      <c r="F906" s="2">
        <v>39.0</v>
      </c>
      <c r="G906" s="2">
        <v>52.0</v>
      </c>
      <c r="H906" s="2">
        <v>39.0</v>
      </c>
      <c r="I906" s="2">
        <v>13.0</v>
      </c>
      <c r="J906" s="2">
        <v>0.0</v>
      </c>
      <c r="K906" s="2">
        <v>0.0</v>
      </c>
      <c r="L906" s="2">
        <v>0.0</v>
      </c>
      <c r="M906" s="2">
        <v>0.0</v>
      </c>
      <c r="N906" s="2"/>
      <c r="O906" s="2"/>
      <c r="P906" s="2" t="s">
        <v>146</v>
      </c>
    </row>
    <row r="907">
      <c r="A907" s="3" t="s">
        <v>62</v>
      </c>
      <c r="B907" s="2" t="s">
        <v>17</v>
      </c>
      <c r="C907" s="2" t="s">
        <v>18</v>
      </c>
      <c r="D907" s="2" t="s">
        <v>19</v>
      </c>
      <c r="E907" s="2" t="s">
        <v>196</v>
      </c>
      <c r="F907" s="2">
        <v>15.0</v>
      </c>
      <c r="G907" s="2">
        <v>18.0</v>
      </c>
      <c r="H907" s="2">
        <v>14.0</v>
      </c>
      <c r="I907" s="2">
        <v>4.0</v>
      </c>
      <c r="J907" s="2">
        <v>0.0</v>
      </c>
      <c r="K907" s="2">
        <v>0.0</v>
      </c>
      <c r="L907" s="2">
        <v>0.0</v>
      </c>
      <c r="M907" s="2">
        <v>1.0</v>
      </c>
      <c r="N907" s="2"/>
      <c r="O907" s="2"/>
      <c r="P907" s="2" t="s">
        <v>146</v>
      </c>
    </row>
    <row r="908">
      <c r="A908" s="3" t="s">
        <v>63</v>
      </c>
      <c r="B908" s="2" t="s">
        <v>17</v>
      </c>
      <c r="C908" s="2" t="s">
        <v>18</v>
      </c>
      <c r="D908" s="2" t="s">
        <v>23</v>
      </c>
      <c r="E908" s="2" t="s">
        <v>196</v>
      </c>
      <c r="F908" s="2">
        <v>54.0</v>
      </c>
      <c r="G908" s="2">
        <v>70.0</v>
      </c>
      <c r="H908" s="2">
        <v>53.0</v>
      </c>
      <c r="I908" s="2">
        <v>17.0</v>
      </c>
      <c r="J908" s="2">
        <v>0.0</v>
      </c>
      <c r="K908" s="2">
        <v>0.0</v>
      </c>
      <c r="L908" s="2">
        <v>0.0</v>
      </c>
      <c r="M908" s="2">
        <v>1.0</v>
      </c>
      <c r="N908" s="2">
        <v>0.0</v>
      </c>
      <c r="O908" s="2">
        <v>-52.0</v>
      </c>
      <c r="P908" s="2" t="s">
        <v>146</v>
      </c>
    </row>
    <row r="909">
      <c r="A909" s="3" t="s">
        <v>64</v>
      </c>
      <c r="B909" s="4">
        <v>45262.29166666667</v>
      </c>
      <c r="C909" s="2" t="s">
        <v>18</v>
      </c>
      <c r="D909" s="2" t="s">
        <v>19</v>
      </c>
      <c r="E909" s="2" t="s">
        <v>196</v>
      </c>
      <c r="F909" s="2"/>
      <c r="G909" s="2">
        <v>9.0</v>
      </c>
      <c r="H909" s="2">
        <v>7.0</v>
      </c>
      <c r="I909" s="2">
        <v>2.0</v>
      </c>
      <c r="J909" s="2">
        <v>0.0</v>
      </c>
      <c r="K909" s="2">
        <v>0.0</v>
      </c>
      <c r="L909" s="2">
        <v>0.0</v>
      </c>
      <c r="M909" s="2"/>
      <c r="N909" s="2"/>
      <c r="O909" s="2"/>
      <c r="P909" s="2" t="s">
        <v>146</v>
      </c>
    </row>
    <row r="910">
      <c r="A910" s="3" t="s">
        <v>65</v>
      </c>
      <c r="B910" s="4">
        <v>45263.29166666667</v>
      </c>
      <c r="C910" s="2" t="s">
        <v>18</v>
      </c>
      <c r="D910" s="2" t="s">
        <v>91</v>
      </c>
      <c r="E910" s="2" t="s">
        <v>196</v>
      </c>
      <c r="F910" s="2"/>
      <c r="G910" s="2">
        <v>52.0</v>
      </c>
      <c r="H910" s="2">
        <v>39.0</v>
      </c>
      <c r="I910" s="2">
        <v>13.0</v>
      </c>
      <c r="J910" s="2">
        <v>0.0</v>
      </c>
      <c r="K910" s="2">
        <v>0.0</v>
      </c>
      <c r="L910" s="2">
        <v>0.0</v>
      </c>
      <c r="M910" s="2"/>
      <c r="N910" s="2"/>
      <c r="O910" s="2"/>
      <c r="P910" s="2" t="s">
        <v>146</v>
      </c>
    </row>
    <row r="911">
      <c r="A911" s="3" t="s">
        <v>66</v>
      </c>
      <c r="B911" s="4">
        <v>45292.29166666667</v>
      </c>
      <c r="C911" s="2" t="s">
        <v>18</v>
      </c>
      <c r="D911" s="2" t="s">
        <v>19</v>
      </c>
      <c r="E911" s="2" t="s">
        <v>196</v>
      </c>
      <c r="F911" s="2"/>
      <c r="G911" s="2">
        <v>9.0</v>
      </c>
      <c r="H911" s="2">
        <v>7.0</v>
      </c>
      <c r="I911" s="2">
        <v>2.0</v>
      </c>
      <c r="J911" s="2">
        <v>0.0</v>
      </c>
      <c r="K911" s="2">
        <v>0.0</v>
      </c>
      <c r="L911" s="2">
        <v>0.0</v>
      </c>
      <c r="M911" s="2"/>
      <c r="N911" s="2"/>
      <c r="O911" s="2"/>
      <c r="P911" s="2" t="s">
        <v>146</v>
      </c>
    </row>
    <row r="912">
      <c r="A912" s="3" t="s">
        <v>68</v>
      </c>
      <c r="B912" s="4">
        <v>45324.29166666667</v>
      </c>
      <c r="C912" s="2" t="s">
        <v>18</v>
      </c>
      <c r="D912" s="2" t="s">
        <v>19</v>
      </c>
      <c r="E912" s="2" t="s">
        <v>196</v>
      </c>
      <c r="F912" s="2"/>
      <c r="G912" s="2">
        <v>0.0</v>
      </c>
      <c r="H912" s="2">
        <v>0.0</v>
      </c>
      <c r="I912" s="2">
        <v>0.0</v>
      </c>
      <c r="J912" s="2">
        <v>0.0</v>
      </c>
      <c r="K912" s="2">
        <v>0.0</v>
      </c>
      <c r="L912" s="2">
        <v>0.0</v>
      </c>
      <c r="M912" s="2"/>
      <c r="N912" s="2"/>
      <c r="O912" s="2"/>
      <c r="P912" s="2" t="s">
        <v>146</v>
      </c>
    </row>
    <row r="913">
      <c r="A913" s="3" t="s">
        <v>70</v>
      </c>
      <c r="B913" s="5" t="s">
        <v>17</v>
      </c>
      <c r="C913" s="5" t="s">
        <v>18</v>
      </c>
      <c r="D913" s="5" t="s">
        <v>157</v>
      </c>
      <c r="E913" s="5" t="s">
        <v>197</v>
      </c>
      <c r="F913" s="5">
        <v>120.0</v>
      </c>
      <c r="G913" s="5">
        <v>46.0</v>
      </c>
      <c r="H913" s="5">
        <v>25.0</v>
      </c>
      <c r="I913" s="5">
        <v>21.0</v>
      </c>
      <c r="J913" s="5">
        <v>0.0</v>
      </c>
      <c r="K913" s="5">
        <v>0.0</v>
      </c>
      <c r="L913" s="5">
        <v>0.0</v>
      </c>
      <c r="M913" s="5">
        <v>95.0</v>
      </c>
      <c r="N913" s="5"/>
      <c r="O913" s="5"/>
      <c r="P913" s="5" t="s">
        <v>67</v>
      </c>
    </row>
    <row r="914">
      <c r="A914" s="3" t="s">
        <v>16</v>
      </c>
      <c r="B914" s="2" t="s">
        <v>17</v>
      </c>
      <c r="C914" s="2" t="s">
        <v>18</v>
      </c>
      <c r="D914" s="2" t="s">
        <v>19</v>
      </c>
      <c r="E914" s="2" t="s">
        <v>197</v>
      </c>
      <c r="F914" s="2">
        <v>100.0</v>
      </c>
      <c r="G914" s="2">
        <v>2.0</v>
      </c>
      <c r="H914" s="2">
        <v>2.0</v>
      </c>
      <c r="I914" s="2">
        <v>0.0</v>
      </c>
      <c r="J914" s="2">
        <v>0.0</v>
      </c>
      <c r="K914" s="2">
        <v>0.0</v>
      </c>
      <c r="L914" s="2">
        <v>0.0</v>
      </c>
      <c r="M914" s="2">
        <v>98.0</v>
      </c>
      <c r="N914" s="2"/>
      <c r="O914" s="2"/>
      <c r="P914" s="2" t="s">
        <v>67</v>
      </c>
    </row>
    <row r="915">
      <c r="A915" s="3" t="s">
        <v>71</v>
      </c>
      <c r="B915" s="2" t="s">
        <v>17</v>
      </c>
      <c r="C915" s="2" t="s">
        <v>18</v>
      </c>
      <c r="D915" s="2" t="s">
        <v>127</v>
      </c>
      <c r="E915" s="2" t="s">
        <v>197</v>
      </c>
      <c r="F915" s="2">
        <v>125.0</v>
      </c>
      <c r="G915" s="2">
        <v>172.0</v>
      </c>
      <c r="H915" s="2">
        <v>109.0</v>
      </c>
      <c r="I915" s="2">
        <v>63.0</v>
      </c>
      <c r="J915" s="2">
        <v>0.0</v>
      </c>
      <c r="K915" s="2">
        <v>0.0</v>
      </c>
      <c r="L915" s="2">
        <v>0.0</v>
      </c>
      <c r="M915" s="2">
        <v>16.0</v>
      </c>
      <c r="N915" s="2"/>
      <c r="O915" s="2"/>
      <c r="P915" s="2" t="s">
        <v>67</v>
      </c>
    </row>
    <row r="916">
      <c r="A916" s="3" t="s">
        <v>72</v>
      </c>
      <c r="B916" s="2" t="s">
        <v>17</v>
      </c>
      <c r="C916" s="2" t="s">
        <v>18</v>
      </c>
      <c r="D916" s="2" t="s">
        <v>23</v>
      </c>
      <c r="E916" s="2" t="s">
        <v>197</v>
      </c>
      <c r="F916" s="2">
        <v>345.0</v>
      </c>
      <c r="G916" s="2">
        <v>220.0</v>
      </c>
      <c r="H916" s="2">
        <v>136.0</v>
      </c>
      <c r="I916" s="2">
        <v>84.0</v>
      </c>
      <c r="J916" s="2">
        <v>0.0</v>
      </c>
      <c r="K916" s="2">
        <v>0.0</v>
      </c>
      <c r="L916" s="2">
        <v>0.0</v>
      </c>
      <c r="M916" s="2">
        <v>209.0</v>
      </c>
      <c r="N916" s="2">
        <v>0.0</v>
      </c>
      <c r="O916" s="2">
        <v>73.0</v>
      </c>
      <c r="P916" s="2" t="s">
        <v>67</v>
      </c>
    </row>
    <row r="917">
      <c r="A917" s="3" t="s">
        <v>73</v>
      </c>
      <c r="B917" s="4">
        <v>45294.29166666667</v>
      </c>
      <c r="C917" s="2" t="s">
        <v>18</v>
      </c>
      <c r="D917" s="2" t="s">
        <v>157</v>
      </c>
      <c r="E917" s="2" t="s">
        <v>197</v>
      </c>
      <c r="F917" s="2"/>
      <c r="G917" s="2">
        <v>2.0</v>
      </c>
      <c r="H917" s="2">
        <v>1.0</v>
      </c>
      <c r="I917" s="2">
        <v>1.0</v>
      </c>
      <c r="J917" s="2">
        <v>0.0</v>
      </c>
      <c r="K917" s="2">
        <v>0.0</v>
      </c>
      <c r="L917" s="2">
        <v>0.0</v>
      </c>
      <c r="M917" s="2"/>
      <c r="N917" s="2"/>
      <c r="O917" s="2"/>
      <c r="P917" s="2" t="s">
        <v>67</v>
      </c>
    </row>
    <row r="918">
      <c r="A918" s="3" t="s">
        <v>74</v>
      </c>
      <c r="B918" s="4">
        <v>45294.29166666667</v>
      </c>
      <c r="C918" s="2" t="s">
        <v>18</v>
      </c>
      <c r="D918" s="2" t="s">
        <v>19</v>
      </c>
      <c r="E918" s="2" t="s">
        <v>197</v>
      </c>
      <c r="F918" s="2"/>
      <c r="G918" s="2">
        <v>2.0</v>
      </c>
      <c r="H918" s="2">
        <v>2.0</v>
      </c>
      <c r="I918" s="2">
        <v>0.0</v>
      </c>
      <c r="J918" s="2">
        <v>0.0</v>
      </c>
      <c r="K918" s="2">
        <v>0.0</v>
      </c>
      <c r="L918" s="2">
        <v>0.0</v>
      </c>
      <c r="M918" s="2"/>
      <c r="N918" s="2"/>
      <c r="O918" s="2"/>
      <c r="P918" s="2" t="s">
        <v>67</v>
      </c>
    </row>
    <row r="919">
      <c r="A919" s="3" t="s">
        <v>75</v>
      </c>
      <c r="B919" s="4">
        <v>45294.29166666667</v>
      </c>
      <c r="C919" s="2" t="s">
        <v>18</v>
      </c>
      <c r="D919" s="2" t="s">
        <v>127</v>
      </c>
      <c r="E919" s="2" t="s">
        <v>197</v>
      </c>
      <c r="F919" s="2"/>
      <c r="G919" s="2">
        <v>15.0</v>
      </c>
      <c r="H919" s="2">
        <v>7.0</v>
      </c>
      <c r="I919" s="2">
        <v>8.0</v>
      </c>
      <c r="J919" s="2">
        <v>0.0</v>
      </c>
      <c r="K919" s="2">
        <v>0.0</v>
      </c>
      <c r="L919" s="2">
        <v>0.0</v>
      </c>
      <c r="M919" s="2"/>
      <c r="N919" s="2"/>
      <c r="O919" s="2"/>
      <c r="P919" s="2" t="s">
        <v>67</v>
      </c>
    </row>
    <row r="920">
      <c r="A920" s="3" t="s">
        <v>76</v>
      </c>
      <c r="B920" s="4">
        <v>45324.29166666667</v>
      </c>
      <c r="C920" s="2" t="s">
        <v>18</v>
      </c>
      <c r="D920" s="2" t="s">
        <v>157</v>
      </c>
      <c r="E920" s="2" t="s">
        <v>197</v>
      </c>
      <c r="F920" s="2"/>
      <c r="G920" s="2">
        <v>44.0</v>
      </c>
      <c r="H920" s="2">
        <v>24.0</v>
      </c>
      <c r="I920" s="2">
        <v>20.0</v>
      </c>
      <c r="J920" s="2">
        <v>0.0</v>
      </c>
      <c r="K920" s="2">
        <v>0.0</v>
      </c>
      <c r="L920" s="2">
        <v>0.0</v>
      </c>
      <c r="M920" s="2"/>
      <c r="N920" s="2"/>
      <c r="O920" s="2"/>
      <c r="P920" s="2" t="s">
        <v>67</v>
      </c>
    </row>
    <row r="921">
      <c r="A921" s="3" t="s">
        <v>77</v>
      </c>
      <c r="B921" s="4">
        <v>45324.29166666667</v>
      </c>
      <c r="C921" s="2" t="s">
        <v>18</v>
      </c>
      <c r="D921" s="2" t="s">
        <v>19</v>
      </c>
      <c r="E921" s="2" t="s">
        <v>197</v>
      </c>
      <c r="F921" s="2"/>
      <c r="G921" s="2">
        <v>0.0</v>
      </c>
      <c r="H921" s="2">
        <v>0.0</v>
      </c>
      <c r="I921" s="2">
        <v>0.0</v>
      </c>
      <c r="J921" s="2">
        <v>0.0</v>
      </c>
      <c r="K921" s="2">
        <v>0.0</v>
      </c>
      <c r="L921" s="2">
        <v>0.0</v>
      </c>
      <c r="M921" s="2"/>
      <c r="N921" s="2"/>
      <c r="O921" s="2"/>
      <c r="P921" s="2" t="s">
        <v>67</v>
      </c>
    </row>
    <row r="922">
      <c r="A922" s="3" t="s">
        <v>78</v>
      </c>
      <c r="B922" s="4">
        <v>45324.29166666667</v>
      </c>
      <c r="C922" s="2" t="s">
        <v>18</v>
      </c>
      <c r="D922" s="2" t="s">
        <v>127</v>
      </c>
      <c r="E922" s="2" t="s">
        <v>197</v>
      </c>
      <c r="F922" s="2"/>
      <c r="G922" s="2">
        <v>157.0</v>
      </c>
      <c r="H922" s="2">
        <v>102.0</v>
      </c>
      <c r="I922" s="2">
        <v>55.0</v>
      </c>
      <c r="J922" s="2">
        <v>0.0</v>
      </c>
      <c r="K922" s="2">
        <v>0.0</v>
      </c>
      <c r="L922" s="2">
        <v>0.0</v>
      </c>
      <c r="M922" s="2"/>
      <c r="N922" s="2"/>
      <c r="O922" s="2"/>
      <c r="P922" s="2" t="s">
        <v>67</v>
      </c>
    </row>
    <row r="923">
      <c r="A923" s="3" t="s">
        <v>81</v>
      </c>
      <c r="B923" s="2" t="s">
        <v>17</v>
      </c>
      <c r="C923" s="2" t="s">
        <v>18</v>
      </c>
      <c r="D923" s="2" t="s">
        <v>19</v>
      </c>
      <c r="E923" s="2" t="s">
        <v>155</v>
      </c>
      <c r="F923" s="2">
        <v>30.0</v>
      </c>
      <c r="G923" s="2">
        <v>41.0</v>
      </c>
      <c r="H923" s="2">
        <v>36.0</v>
      </c>
      <c r="I923" s="2">
        <v>5.0</v>
      </c>
      <c r="J923" s="2">
        <v>0.0</v>
      </c>
      <c r="K923" s="2">
        <v>0.0</v>
      </c>
      <c r="L923" s="2">
        <v>0.0</v>
      </c>
      <c r="M923" s="2">
        <v>-6.0</v>
      </c>
      <c r="N923" s="2"/>
      <c r="O923" s="2"/>
      <c r="P923" s="2" t="s">
        <v>153</v>
      </c>
    </row>
    <row r="924">
      <c r="A924" s="3" t="s">
        <v>82</v>
      </c>
      <c r="B924" s="2" t="s">
        <v>17</v>
      </c>
      <c r="C924" s="2" t="s">
        <v>18</v>
      </c>
      <c r="D924" s="2" t="s">
        <v>23</v>
      </c>
      <c r="E924" s="2" t="s">
        <v>155</v>
      </c>
      <c r="F924" s="2">
        <v>30.0</v>
      </c>
      <c r="G924" s="2">
        <v>41.0</v>
      </c>
      <c r="H924" s="2">
        <v>36.0</v>
      </c>
      <c r="I924" s="2">
        <v>5.0</v>
      </c>
      <c r="J924" s="2">
        <v>0.0</v>
      </c>
      <c r="K924" s="2">
        <v>0.0</v>
      </c>
      <c r="L924" s="2">
        <v>0.0</v>
      </c>
      <c r="M924" s="2">
        <v>-6.0</v>
      </c>
      <c r="N924" s="2">
        <v>0.0</v>
      </c>
      <c r="O924" s="2">
        <v>-42.0</v>
      </c>
      <c r="P924" s="2" t="s">
        <v>153</v>
      </c>
    </row>
    <row r="925">
      <c r="A925" s="3" t="s">
        <v>83</v>
      </c>
      <c r="B925" s="4">
        <v>45293.29166666667</v>
      </c>
      <c r="C925" s="2" t="s">
        <v>18</v>
      </c>
      <c r="D925" s="2" t="s">
        <v>19</v>
      </c>
      <c r="E925" s="2" t="s">
        <v>155</v>
      </c>
      <c r="F925" s="2"/>
      <c r="G925" s="2">
        <v>27.0</v>
      </c>
      <c r="H925" s="2">
        <v>22.0</v>
      </c>
      <c r="I925" s="2">
        <v>5.0</v>
      </c>
      <c r="J925" s="2">
        <v>0.0</v>
      </c>
      <c r="K925" s="2">
        <v>0.0</v>
      </c>
      <c r="L925" s="2">
        <v>0.0</v>
      </c>
      <c r="M925" s="2"/>
      <c r="N925" s="2"/>
      <c r="O925" s="2"/>
      <c r="P925" s="2" t="s">
        <v>153</v>
      </c>
    </row>
    <row r="926">
      <c r="A926" s="3" t="s">
        <v>84</v>
      </c>
      <c r="B926" s="4">
        <v>45324.29166666667</v>
      </c>
      <c r="C926" s="2" t="s">
        <v>18</v>
      </c>
      <c r="D926" s="2" t="s">
        <v>19</v>
      </c>
      <c r="E926" s="2" t="s">
        <v>155</v>
      </c>
      <c r="F926" s="2"/>
      <c r="G926" s="2">
        <v>14.0</v>
      </c>
      <c r="H926" s="2">
        <v>14.0</v>
      </c>
      <c r="I926" s="2">
        <v>0.0</v>
      </c>
      <c r="J926" s="2">
        <v>0.0</v>
      </c>
      <c r="K926" s="2">
        <v>0.0</v>
      </c>
      <c r="L926" s="2">
        <v>0.0</v>
      </c>
      <c r="M926" s="2"/>
      <c r="N926" s="2"/>
      <c r="O926" s="2"/>
      <c r="P926" s="2" t="s">
        <v>153</v>
      </c>
    </row>
    <row r="927">
      <c r="A927" s="3" t="s">
        <v>85</v>
      </c>
      <c r="B927" s="2" t="s">
        <v>17</v>
      </c>
      <c r="C927" s="2" t="s">
        <v>18</v>
      </c>
      <c r="D927" s="2" t="s">
        <v>19</v>
      </c>
      <c r="E927" s="2" t="s">
        <v>170</v>
      </c>
      <c r="F927" s="2">
        <v>2.0</v>
      </c>
      <c r="G927" s="2">
        <v>7.0</v>
      </c>
      <c r="H927" s="2">
        <v>2.0</v>
      </c>
      <c r="I927" s="2">
        <v>5.0</v>
      </c>
      <c r="J927" s="2">
        <v>0.0</v>
      </c>
      <c r="K927" s="2">
        <v>0.0</v>
      </c>
      <c r="L927" s="2">
        <v>0.0</v>
      </c>
      <c r="M927" s="2">
        <v>0.0</v>
      </c>
      <c r="N927" s="2"/>
      <c r="O927" s="2"/>
      <c r="P927" s="2" t="s">
        <v>21</v>
      </c>
    </row>
    <row r="928">
      <c r="A928" s="3" t="s">
        <v>86</v>
      </c>
      <c r="B928" s="2" t="s">
        <v>17</v>
      </c>
      <c r="C928" s="2" t="s">
        <v>18</v>
      </c>
      <c r="D928" s="2" t="s">
        <v>23</v>
      </c>
      <c r="E928" s="2" t="s">
        <v>170</v>
      </c>
      <c r="F928" s="2">
        <v>2.0</v>
      </c>
      <c r="G928" s="2">
        <v>7.0</v>
      </c>
      <c r="H928" s="2">
        <v>2.0</v>
      </c>
      <c r="I928" s="2">
        <v>5.0</v>
      </c>
      <c r="J928" s="2">
        <v>0.0</v>
      </c>
      <c r="K928" s="2">
        <v>0.0</v>
      </c>
      <c r="L928" s="2">
        <v>0.0</v>
      </c>
      <c r="M928" s="2">
        <v>0.0</v>
      </c>
      <c r="N928" s="2">
        <v>0.0</v>
      </c>
      <c r="O928" s="2">
        <v>-2.0</v>
      </c>
      <c r="P928" s="2" t="s">
        <v>21</v>
      </c>
    </row>
    <row r="929">
      <c r="A929" s="3" t="s">
        <v>87</v>
      </c>
      <c r="B929" s="4">
        <v>45262.29166666667</v>
      </c>
      <c r="C929" s="2" t="s">
        <v>18</v>
      </c>
      <c r="D929" s="2" t="s">
        <v>19</v>
      </c>
      <c r="E929" s="2" t="s">
        <v>170</v>
      </c>
      <c r="F929" s="2"/>
      <c r="G929" s="2">
        <v>2.0</v>
      </c>
      <c r="H929" s="2">
        <v>1.0</v>
      </c>
      <c r="I929" s="2">
        <v>1.0</v>
      </c>
      <c r="J929" s="2">
        <v>0.0</v>
      </c>
      <c r="K929" s="2">
        <v>0.0</v>
      </c>
      <c r="L929" s="2">
        <v>0.0</v>
      </c>
      <c r="M929" s="2"/>
      <c r="N929" s="2"/>
      <c r="O929" s="2"/>
      <c r="P929" s="2" t="s">
        <v>21</v>
      </c>
    </row>
    <row r="930">
      <c r="A930" s="3" t="s">
        <v>88</v>
      </c>
      <c r="B930" s="4">
        <v>45293.29166666667</v>
      </c>
      <c r="C930" s="2" t="s">
        <v>18</v>
      </c>
      <c r="D930" s="2" t="s">
        <v>19</v>
      </c>
      <c r="E930" s="2" t="s">
        <v>170</v>
      </c>
      <c r="F930" s="2"/>
      <c r="G930" s="2">
        <v>4.0</v>
      </c>
      <c r="H930" s="2">
        <v>1.0</v>
      </c>
      <c r="I930" s="2">
        <v>3.0</v>
      </c>
      <c r="J930" s="2">
        <v>0.0</v>
      </c>
      <c r="K930" s="2">
        <v>0.0</v>
      </c>
      <c r="L930" s="2">
        <v>0.0</v>
      </c>
      <c r="M930" s="2"/>
      <c r="N930" s="2"/>
      <c r="O930" s="2"/>
      <c r="P930" s="2" t="s">
        <v>21</v>
      </c>
    </row>
    <row r="931">
      <c r="A931" s="3" t="s">
        <v>89</v>
      </c>
      <c r="B931" s="2" t="s">
        <v>17</v>
      </c>
      <c r="C931" s="2" t="s">
        <v>18</v>
      </c>
      <c r="D931" s="2" t="s">
        <v>19</v>
      </c>
      <c r="E931" s="2" t="s">
        <v>198</v>
      </c>
      <c r="F931" s="2">
        <v>39.0</v>
      </c>
      <c r="G931" s="2">
        <v>45.0</v>
      </c>
      <c r="H931" s="2">
        <v>7.0</v>
      </c>
      <c r="I931" s="2">
        <v>35.0</v>
      </c>
      <c r="J931" s="2">
        <v>3.0</v>
      </c>
      <c r="K931" s="2">
        <v>0.0</v>
      </c>
      <c r="L931" s="2">
        <v>0.0</v>
      </c>
      <c r="M931" s="2">
        <v>32.0</v>
      </c>
      <c r="N931" s="2"/>
      <c r="O931" s="2"/>
      <c r="P931" s="2" t="s">
        <v>67</v>
      </c>
    </row>
    <row r="932">
      <c r="A932" s="3" t="s">
        <v>90</v>
      </c>
      <c r="B932" s="2" t="s">
        <v>17</v>
      </c>
      <c r="C932" s="2" t="s">
        <v>18</v>
      </c>
      <c r="D932" s="2" t="s">
        <v>23</v>
      </c>
      <c r="E932" s="2" t="s">
        <v>198</v>
      </c>
      <c r="F932" s="2">
        <v>39.0</v>
      </c>
      <c r="G932" s="2">
        <v>45.0</v>
      </c>
      <c r="H932" s="2">
        <v>7.0</v>
      </c>
      <c r="I932" s="2">
        <v>35.0</v>
      </c>
      <c r="J932" s="2">
        <v>3.0</v>
      </c>
      <c r="K932" s="2">
        <v>0.0</v>
      </c>
      <c r="L932" s="2">
        <v>0.0</v>
      </c>
      <c r="M932" s="2">
        <v>32.0</v>
      </c>
      <c r="N932" s="2">
        <v>0.0</v>
      </c>
      <c r="O932" s="2">
        <v>25.0</v>
      </c>
      <c r="P932" s="2" t="s">
        <v>67</v>
      </c>
    </row>
    <row r="933">
      <c r="A933" s="3" t="s">
        <v>93</v>
      </c>
      <c r="B933" s="4">
        <v>45171.29166666667</v>
      </c>
      <c r="C933" s="2" t="s">
        <v>18</v>
      </c>
      <c r="D933" s="2" t="s">
        <v>19</v>
      </c>
      <c r="E933" s="2" t="s">
        <v>198</v>
      </c>
      <c r="F933" s="2"/>
      <c r="G933" s="2">
        <v>18.0</v>
      </c>
      <c r="H933" s="2">
        <v>0.0</v>
      </c>
      <c r="I933" s="2">
        <v>15.0</v>
      </c>
      <c r="J933" s="2">
        <v>3.0</v>
      </c>
      <c r="K933" s="2">
        <v>0.0</v>
      </c>
      <c r="L933" s="2">
        <v>0.0</v>
      </c>
      <c r="M933" s="2"/>
      <c r="N933" s="2"/>
      <c r="O933" s="2"/>
      <c r="P933" s="2" t="s">
        <v>67</v>
      </c>
    </row>
    <row r="934">
      <c r="A934" s="3" t="s">
        <v>16</v>
      </c>
      <c r="B934" s="4">
        <v>45202.29166666667</v>
      </c>
      <c r="C934" s="2" t="s">
        <v>18</v>
      </c>
      <c r="D934" s="2" t="s">
        <v>19</v>
      </c>
      <c r="E934" s="2" t="s">
        <v>198</v>
      </c>
      <c r="F934" s="2"/>
      <c r="G934" s="2">
        <v>18.0</v>
      </c>
      <c r="H934" s="2">
        <v>0.0</v>
      </c>
      <c r="I934" s="2">
        <v>18.0</v>
      </c>
      <c r="J934" s="2">
        <v>0.0</v>
      </c>
      <c r="K934" s="2">
        <v>0.0</v>
      </c>
      <c r="L934" s="2">
        <v>0.0</v>
      </c>
      <c r="M934" s="2"/>
      <c r="N934" s="2"/>
      <c r="O934" s="2"/>
      <c r="P934" s="2" t="s">
        <v>67</v>
      </c>
    </row>
    <row r="935">
      <c r="A935" s="3" t="s">
        <v>94</v>
      </c>
      <c r="B935" s="4">
        <v>45293.29166666667</v>
      </c>
      <c r="C935" s="2" t="s">
        <v>18</v>
      </c>
      <c r="D935" s="2" t="s">
        <v>19</v>
      </c>
      <c r="E935" s="2" t="s">
        <v>198</v>
      </c>
      <c r="F935" s="2"/>
      <c r="G935" s="2">
        <v>9.0</v>
      </c>
      <c r="H935" s="2">
        <v>7.0</v>
      </c>
      <c r="I935" s="2">
        <v>2.0</v>
      </c>
      <c r="J935" s="2">
        <v>0.0</v>
      </c>
      <c r="K935" s="2">
        <v>0.0</v>
      </c>
      <c r="L935" s="2">
        <v>0.0</v>
      </c>
      <c r="M935" s="2"/>
      <c r="N935" s="2"/>
      <c r="O935" s="2"/>
      <c r="P935" s="2" t="s">
        <v>67</v>
      </c>
    </row>
    <row r="936">
      <c r="A936" s="3" t="s">
        <v>95</v>
      </c>
      <c r="B936" s="4">
        <v>45324.29166666667</v>
      </c>
      <c r="C936" s="2" t="s">
        <v>18</v>
      </c>
      <c r="D936" s="2" t="s">
        <v>19</v>
      </c>
      <c r="E936" s="2" t="s">
        <v>198</v>
      </c>
      <c r="F936" s="2"/>
      <c r="G936" s="2">
        <v>0.0</v>
      </c>
      <c r="H936" s="2">
        <v>0.0</v>
      </c>
      <c r="I936" s="2">
        <v>0.0</v>
      </c>
      <c r="J936" s="2">
        <v>0.0</v>
      </c>
      <c r="K936" s="2">
        <v>0.0</v>
      </c>
      <c r="L936" s="2">
        <v>0.0</v>
      </c>
      <c r="M936" s="2"/>
      <c r="N936" s="2"/>
      <c r="O936" s="2"/>
      <c r="P936" s="2" t="s">
        <v>67</v>
      </c>
    </row>
    <row r="937">
      <c r="A937" s="3" t="s">
        <v>97</v>
      </c>
      <c r="B937" s="2" t="s">
        <v>17</v>
      </c>
      <c r="C937" s="2" t="s">
        <v>18</v>
      </c>
      <c r="D937" s="2" t="s">
        <v>91</v>
      </c>
      <c r="E937" s="2" t="s">
        <v>171</v>
      </c>
      <c r="F937" s="2">
        <v>170.0</v>
      </c>
      <c r="G937" s="2">
        <v>198.0</v>
      </c>
      <c r="H937" s="2">
        <v>170.0</v>
      </c>
      <c r="I937" s="2">
        <v>28.0</v>
      </c>
      <c r="J937" s="2">
        <v>0.0</v>
      </c>
      <c r="K937" s="2">
        <v>0.0</v>
      </c>
      <c r="L937" s="2">
        <v>0.0</v>
      </c>
      <c r="M937" s="2">
        <v>0.0</v>
      </c>
      <c r="N937" s="2"/>
      <c r="O937" s="2"/>
      <c r="P937" s="2" t="s">
        <v>92</v>
      </c>
    </row>
    <row r="938">
      <c r="A938" s="3" t="s">
        <v>98</v>
      </c>
      <c r="B938" s="2" t="s">
        <v>17</v>
      </c>
      <c r="C938" s="2" t="s">
        <v>18</v>
      </c>
      <c r="D938" s="2" t="s">
        <v>23</v>
      </c>
      <c r="E938" s="2" t="s">
        <v>171</v>
      </c>
      <c r="F938" s="2">
        <v>170.0</v>
      </c>
      <c r="G938" s="2">
        <v>198.0</v>
      </c>
      <c r="H938" s="2">
        <v>170.0</v>
      </c>
      <c r="I938" s="2">
        <v>28.0</v>
      </c>
      <c r="J938" s="2">
        <v>0.0</v>
      </c>
      <c r="K938" s="2">
        <v>0.0</v>
      </c>
      <c r="L938" s="2">
        <v>0.0</v>
      </c>
      <c r="M938" s="2">
        <v>0.0</v>
      </c>
      <c r="N938" s="2">
        <v>0.0</v>
      </c>
      <c r="O938" s="2">
        <v>-170.0</v>
      </c>
      <c r="P938" s="2" t="s">
        <v>92</v>
      </c>
    </row>
    <row r="939">
      <c r="A939" s="3" t="s">
        <v>99</v>
      </c>
      <c r="B939" s="4">
        <v>45294.29166666667</v>
      </c>
      <c r="C939" s="2" t="s">
        <v>18</v>
      </c>
      <c r="D939" s="2" t="s">
        <v>91</v>
      </c>
      <c r="E939" s="2" t="s">
        <v>171</v>
      </c>
      <c r="F939" s="2"/>
      <c r="G939" s="2">
        <v>74.0</v>
      </c>
      <c r="H939" s="2">
        <v>66.0</v>
      </c>
      <c r="I939" s="2">
        <v>8.0</v>
      </c>
      <c r="J939" s="2">
        <v>0.0</v>
      </c>
      <c r="K939" s="2">
        <v>0.0</v>
      </c>
      <c r="L939" s="2">
        <v>0.0</v>
      </c>
      <c r="M939" s="2"/>
      <c r="N939" s="2"/>
      <c r="O939" s="2"/>
      <c r="P939" s="2" t="s">
        <v>92</v>
      </c>
    </row>
    <row r="940">
      <c r="A940" s="3" t="s">
        <v>100</v>
      </c>
      <c r="B940" s="4">
        <v>45324.29166666667</v>
      </c>
      <c r="C940" s="2" t="s">
        <v>18</v>
      </c>
      <c r="D940" s="2" t="s">
        <v>91</v>
      </c>
      <c r="E940" s="2" t="s">
        <v>171</v>
      </c>
      <c r="F940" s="2"/>
      <c r="G940" s="2">
        <v>124.0</v>
      </c>
      <c r="H940" s="2">
        <v>104.0</v>
      </c>
      <c r="I940" s="2">
        <v>20.0</v>
      </c>
      <c r="J940" s="2">
        <v>0.0</v>
      </c>
      <c r="K940" s="2">
        <v>0.0</v>
      </c>
      <c r="L940" s="2">
        <v>0.0</v>
      </c>
      <c r="M940" s="2"/>
      <c r="N940" s="2"/>
      <c r="O940" s="2"/>
      <c r="P940" s="2" t="s">
        <v>92</v>
      </c>
    </row>
    <row r="941">
      <c r="A941" s="3" t="s">
        <v>16</v>
      </c>
      <c r="B941" s="2" t="s">
        <v>17</v>
      </c>
      <c r="C941" s="2" t="s">
        <v>18</v>
      </c>
      <c r="D941" s="2" t="s">
        <v>19</v>
      </c>
      <c r="E941" s="2" t="s">
        <v>155</v>
      </c>
      <c r="F941" s="2">
        <v>60.0</v>
      </c>
      <c r="G941" s="2">
        <v>88.0</v>
      </c>
      <c r="H941" s="2">
        <v>80.0</v>
      </c>
      <c r="I941" s="2">
        <v>8.0</v>
      </c>
      <c r="J941" s="2">
        <v>0.0</v>
      </c>
      <c r="K941" s="2">
        <v>0.0</v>
      </c>
      <c r="L941" s="2">
        <v>12.0</v>
      </c>
      <c r="M941" s="2">
        <v>-20.0</v>
      </c>
      <c r="N941" s="2"/>
      <c r="O941" s="2"/>
      <c r="P941" s="2" t="s">
        <v>67</v>
      </c>
    </row>
    <row r="942">
      <c r="A942" s="3" t="s">
        <v>22</v>
      </c>
      <c r="B942" s="2" t="s">
        <v>17</v>
      </c>
      <c r="C942" s="2" t="s">
        <v>18</v>
      </c>
      <c r="D942" s="2" t="s">
        <v>23</v>
      </c>
      <c r="E942" s="2" t="s">
        <v>155</v>
      </c>
      <c r="F942" s="2">
        <v>60.0</v>
      </c>
      <c r="G942" s="2">
        <v>88.0</v>
      </c>
      <c r="H942" s="2">
        <v>80.0</v>
      </c>
      <c r="I942" s="2">
        <v>8.0</v>
      </c>
      <c r="J942" s="2">
        <v>0.0</v>
      </c>
      <c r="K942" s="2">
        <v>0.0</v>
      </c>
      <c r="L942" s="2">
        <v>12.0</v>
      </c>
      <c r="M942" s="2">
        <v>-20.0</v>
      </c>
      <c r="N942" s="2">
        <v>0.0</v>
      </c>
      <c r="O942" s="2">
        <v>-100.0</v>
      </c>
      <c r="P942" s="2" t="s">
        <v>67</v>
      </c>
    </row>
    <row r="943">
      <c r="A943" s="3" t="s">
        <v>24</v>
      </c>
      <c r="B943" s="4">
        <v>45293.29166666667</v>
      </c>
      <c r="C943" s="2" t="s">
        <v>18</v>
      </c>
      <c r="D943" s="2" t="s">
        <v>19</v>
      </c>
      <c r="E943" s="2" t="s">
        <v>155</v>
      </c>
      <c r="F943" s="2"/>
      <c r="G943" s="2">
        <v>88.0</v>
      </c>
      <c r="H943" s="2">
        <v>80.0</v>
      </c>
      <c r="I943" s="2">
        <v>8.0</v>
      </c>
      <c r="J943" s="2">
        <v>0.0</v>
      </c>
      <c r="K943" s="2">
        <v>0.0</v>
      </c>
      <c r="L943" s="2">
        <v>12.0</v>
      </c>
      <c r="M943" s="2"/>
      <c r="N943" s="2"/>
      <c r="O943" s="2"/>
      <c r="P943" s="2" t="s">
        <v>67</v>
      </c>
    </row>
    <row r="944">
      <c r="A944" s="3" t="s">
        <v>25</v>
      </c>
      <c r="B944" s="4">
        <v>45324.29166666667</v>
      </c>
      <c r="C944" s="2" t="s">
        <v>18</v>
      </c>
      <c r="D944" s="2" t="s">
        <v>19</v>
      </c>
      <c r="E944" s="2" t="s">
        <v>155</v>
      </c>
      <c r="F944" s="2"/>
      <c r="G944" s="2">
        <v>0.0</v>
      </c>
      <c r="H944" s="2">
        <v>0.0</v>
      </c>
      <c r="I944" s="2">
        <v>0.0</v>
      </c>
      <c r="J944" s="2">
        <v>0.0</v>
      </c>
      <c r="K944" s="2">
        <v>0.0</v>
      </c>
      <c r="L944" s="2">
        <v>0.0</v>
      </c>
      <c r="M944" s="2"/>
      <c r="N944" s="2"/>
      <c r="O944" s="2"/>
      <c r="P944" s="2" t="s">
        <v>67</v>
      </c>
    </row>
    <row r="945">
      <c r="A945" s="3" t="s">
        <v>26</v>
      </c>
      <c r="B945" s="2" t="s">
        <v>17</v>
      </c>
      <c r="C945" s="2" t="s">
        <v>18</v>
      </c>
      <c r="D945" s="2" t="s">
        <v>19</v>
      </c>
      <c r="E945" s="2" t="s">
        <v>27</v>
      </c>
      <c r="F945" s="2">
        <v>9.0</v>
      </c>
      <c r="G945" s="2">
        <v>14.0</v>
      </c>
      <c r="H945" s="2">
        <v>0.0</v>
      </c>
      <c r="I945" s="2">
        <v>8.0</v>
      </c>
      <c r="J945" s="2">
        <v>6.0</v>
      </c>
      <c r="K945" s="2">
        <v>0.0</v>
      </c>
      <c r="L945" s="2">
        <v>0.0</v>
      </c>
      <c r="M945" s="2">
        <v>9.0</v>
      </c>
      <c r="N945" s="2"/>
      <c r="O945" s="2"/>
      <c r="P945" s="2" t="s">
        <v>21</v>
      </c>
    </row>
    <row r="946">
      <c r="A946" s="3" t="s">
        <v>28</v>
      </c>
      <c r="B946" s="2" t="s">
        <v>17</v>
      </c>
      <c r="C946" s="2" t="s">
        <v>18</v>
      </c>
      <c r="D946" s="2" t="s">
        <v>33</v>
      </c>
      <c r="E946" s="2" t="s">
        <v>27</v>
      </c>
      <c r="F946" s="2">
        <v>9.0</v>
      </c>
      <c r="G946" s="2">
        <v>2.0</v>
      </c>
      <c r="H946" s="2">
        <v>0.0</v>
      </c>
      <c r="I946" s="2">
        <v>1.0</v>
      </c>
      <c r="J946" s="2">
        <v>1.0</v>
      </c>
      <c r="K946" s="2">
        <v>0.0</v>
      </c>
      <c r="L946" s="2">
        <v>0.0</v>
      </c>
      <c r="M946" s="2">
        <v>9.0</v>
      </c>
      <c r="N946" s="2"/>
      <c r="O946" s="2"/>
      <c r="P946" s="2" t="s">
        <v>21</v>
      </c>
    </row>
    <row r="947">
      <c r="A947" s="3" t="s">
        <v>29</v>
      </c>
      <c r="B947" s="2" t="s">
        <v>17</v>
      </c>
      <c r="C947" s="2" t="s">
        <v>18</v>
      </c>
      <c r="D947" s="2" t="s">
        <v>23</v>
      </c>
      <c r="E947" s="2" t="s">
        <v>27</v>
      </c>
      <c r="F947" s="2">
        <v>9.0</v>
      </c>
      <c r="G947" s="2">
        <v>16.0</v>
      </c>
      <c r="H947" s="2">
        <v>0.0</v>
      </c>
      <c r="I947" s="2">
        <v>9.0</v>
      </c>
      <c r="J947" s="2">
        <v>7.0</v>
      </c>
      <c r="K947" s="2">
        <v>0.0</v>
      </c>
      <c r="L947" s="2">
        <v>0.0</v>
      </c>
      <c r="M947" s="2">
        <v>9.0</v>
      </c>
      <c r="N947" s="2"/>
      <c r="O947" s="2"/>
      <c r="P947" s="2" t="s">
        <v>21</v>
      </c>
    </row>
    <row r="948">
      <c r="A948" s="3" t="s">
        <v>32</v>
      </c>
      <c r="B948" s="4">
        <v>45172.29166666667</v>
      </c>
      <c r="C948" s="2" t="s">
        <v>18</v>
      </c>
      <c r="D948" s="2" t="s">
        <v>33</v>
      </c>
      <c r="E948" s="2" t="s">
        <v>27</v>
      </c>
      <c r="F948" s="2"/>
      <c r="G948" s="2">
        <v>1.0</v>
      </c>
      <c r="H948" s="2">
        <v>0.0</v>
      </c>
      <c r="I948" s="2">
        <v>1.0</v>
      </c>
      <c r="J948" s="2">
        <v>0.0</v>
      </c>
      <c r="K948" s="2">
        <v>0.0</v>
      </c>
      <c r="L948" s="2">
        <v>0.0</v>
      </c>
      <c r="M948" s="2"/>
      <c r="N948" s="2"/>
      <c r="O948" s="2"/>
      <c r="P948" s="2" t="s">
        <v>21</v>
      </c>
    </row>
    <row r="949">
      <c r="A949" s="3" t="s">
        <v>34</v>
      </c>
      <c r="B949" s="4">
        <v>45202.29166666667</v>
      </c>
      <c r="C949" s="2" t="s">
        <v>18</v>
      </c>
      <c r="D949" s="2" t="s">
        <v>19</v>
      </c>
      <c r="E949" s="2" t="s">
        <v>27</v>
      </c>
      <c r="F949" s="2"/>
      <c r="G949" s="2">
        <v>5.0</v>
      </c>
      <c r="H949" s="2">
        <v>0.0</v>
      </c>
      <c r="I949" s="2">
        <v>3.0</v>
      </c>
      <c r="J949" s="2">
        <v>2.0</v>
      </c>
      <c r="K949" s="2">
        <v>0.0</v>
      </c>
      <c r="L949" s="2">
        <v>0.0</v>
      </c>
      <c r="M949" s="2"/>
      <c r="N949" s="2"/>
      <c r="O949" s="2"/>
      <c r="P949" s="2" t="s">
        <v>21</v>
      </c>
    </row>
    <row r="950">
      <c r="A950" s="3" t="s">
        <v>35</v>
      </c>
      <c r="B950" s="4">
        <v>45204.29166666667</v>
      </c>
      <c r="C950" s="2" t="s">
        <v>18</v>
      </c>
      <c r="D950" s="2" t="s">
        <v>33</v>
      </c>
      <c r="E950" s="2" t="s">
        <v>27</v>
      </c>
      <c r="F950" s="2"/>
      <c r="G950" s="2">
        <v>1.0</v>
      </c>
      <c r="H950" s="2">
        <v>0.0</v>
      </c>
      <c r="I950" s="2">
        <v>0.0</v>
      </c>
      <c r="J950" s="2">
        <v>1.0</v>
      </c>
      <c r="K950" s="2">
        <v>0.0</v>
      </c>
      <c r="L950" s="2">
        <v>0.0</v>
      </c>
      <c r="M950" s="2"/>
      <c r="N950" s="2"/>
      <c r="O950" s="2"/>
      <c r="P950" s="2" t="s">
        <v>21</v>
      </c>
    </row>
    <row r="951">
      <c r="A951" s="3" t="s">
        <v>36</v>
      </c>
      <c r="B951" s="4">
        <v>45231.25</v>
      </c>
      <c r="C951" s="2" t="s">
        <v>18</v>
      </c>
      <c r="D951" s="2" t="s">
        <v>19</v>
      </c>
      <c r="E951" s="2" t="s">
        <v>27</v>
      </c>
      <c r="F951" s="2"/>
      <c r="G951" s="2">
        <v>2.0</v>
      </c>
      <c r="H951" s="2">
        <v>0.0</v>
      </c>
      <c r="I951" s="2">
        <v>1.0</v>
      </c>
      <c r="J951" s="2">
        <v>1.0</v>
      </c>
      <c r="K951" s="2">
        <v>0.0</v>
      </c>
      <c r="L951" s="2">
        <v>0.0</v>
      </c>
      <c r="M951" s="2"/>
      <c r="N951" s="2"/>
      <c r="O951" s="2"/>
      <c r="P951" s="2" t="s">
        <v>21</v>
      </c>
    </row>
    <row r="952">
      <c r="A952" s="3" t="s">
        <v>37</v>
      </c>
      <c r="B952" s="4">
        <v>45261.29166666667</v>
      </c>
      <c r="C952" s="2" t="s">
        <v>18</v>
      </c>
      <c r="D952" s="2" t="s">
        <v>19</v>
      </c>
      <c r="E952" s="2" t="s">
        <v>27</v>
      </c>
      <c r="F952" s="2"/>
      <c r="G952" s="2">
        <v>5.0</v>
      </c>
      <c r="H952" s="2">
        <v>0.0</v>
      </c>
      <c r="I952" s="2">
        <v>2.0</v>
      </c>
      <c r="J952" s="2">
        <v>3.0</v>
      </c>
      <c r="K952" s="2">
        <v>0.0</v>
      </c>
      <c r="L952" s="2">
        <v>0.0</v>
      </c>
      <c r="M952" s="2"/>
      <c r="N952" s="2"/>
      <c r="O952" s="2"/>
      <c r="P952" s="2" t="s">
        <v>21</v>
      </c>
    </row>
    <row r="953">
      <c r="A953" s="3" t="s">
        <v>38</v>
      </c>
      <c r="B953" s="4">
        <v>45292.29166666667</v>
      </c>
      <c r="C953" s="2" t="s">
        <v>18</v>
      </c>
      <c r="D953" s="2" t="s">
        <v>19</v>
      </c>
      <c r="E953" s="2" t="s">
        <v>27</v>
      </c>
      <c r="F953" s="2"/>
      <c r="G953" s="2">
        <v>2.0</v>
      </c>
      <c r="H953" s="2">
        <v>0.0</v>
      </c>
      <c r="I953" s="2">
        <v>2.0</v>
      </c>
      <c r="J953" s="2">
        <v>0.0</v>
      </c>
      <c r="K953" s="2">
        <v>0.0</v>
      </c>
      <c r="L953" s="2">
        <v>0.0</v>
      </c>
      <c r="M953" s="2"/>
      <c r="N953" s="2"/>
      <c r="O953" s="2"/>
      <c r="P953" s="2" t="s">
        <v>21</v>
      </c>
    </row>
    <row r="954">
      <c r="A954" s="3" t="s">
        <v>39</v>
      </c>
      <c r="B954" s="2" t="s">
        <v>17</v>
      </c>
      <c r="C954" s="2" t="s">
        <v>18</v>
      </c>
      <c r="D954" s="2" t="s">
        <v>164</v>
      </c>
      <c r="E954" s="2" t="s">
        <v>165</v>
      </c>
      <c r="F954" s="2">
        <v>39.0</v>
      </c>
      <c r="G954" s="2">
        <v>45.0</v>
      </c>
      <c r="H954" s="2">
        <v>20.0</v>
      </c>
      <c r="I954" s="2">
        <v>25.0</v>
      </c>
      <c r="J954" s="2">
        <v>0.0</v>
      </c>
      <c r="K954" s="2">
        <v>0.0</v>
      </c>
      <c r="L954" s="2">
        <v>0.0</v>
      </c>
      <c r="M954" s="2">
        <v>19.0</v>
      </c>
      <c r="N954" s="2"/>
      <c r="O954" s="2"/>
      <c r="P954" s="2" t="s">
        <v>166</v>
      </c>
    </row>
    <row r="955">
      <c r="A955" s="3" t="s">
        <v>40</v>
      </c>
      <c r="B955" s="2" t="s">
        <v>17</v>
      </c>
      <c r="C955" s="2" t="s">
        <v>18</v>
      </c>
      <c r="D955" s="2" t="s">
        <v>172</v>
      </c>
      <c r="E955" s="2" t="s">
        <v>165</v>
      </c>
      <c r="F955" s="2">
        <v>92.0</v>
      </c>
      <c r="G955" s="2">
        <v>1052.0</v>
      </c>
      <c r="H955" s="2">
        <v>92.0</v>
      </c>
      <c r="I955" s="2">
        <v>960.0</v>
      </c>
      <c r="J955" s="2">
        <v>0.0</v>
      </c>
      <c r="K955" s="2">
        <v>0.0</v>
      </c>
      <c r="L955" s="2">
        <v>0.0</v>
      </c>
      <c r="M955" s="2">
        <v>3.0</v>
      </c>
      <c r="N955" s="2"/>
      <c r="O955" s="2"/>
      <c r="P955" s="2" t="s">
        <v>166</v>
      </c>
    </row>
    <row r="956">
      <c r="A956" s="3" t="s">
        <v>41</v>
      </c>
      <c r="B956" s="2" t="s">
        <v>17</v>
      </c>
      <c r="C956" s="2" t="s">
        <v>18</v>
      </c>
      <c r="D956" s="2" t="s">
        <v>23</v>
      </c>
      <c r="E956" s="2" t="s">
        <v>165</v>
      </c>
      <c r="F956" s="2">
        <v>112.0</v>
      </c>
      <c r="G956" s="2">
        <v>1097.0</v>
      </c>
      <c r="H956" s="2">
        <v>112.0</v>
      </c>
      <c r="I956" s="2">
        <v>985.0</v>
      </c>
      <c r="J956" s="2">
        <v>0.0</v>
      </c>
      <c r="K956" s="2">
        <v>0.0</v>
      </c>
      <c r="L956" s="2">
        <v>0.0</v>
      </c>
      <c r="M956" s="2">
        <v>0.0</v>
      </c>
      <c r="N956" s="2">
        <v>-19.0</v>
      </c>
      <c r="O956" s="2">
        <v>-112.0</v>
      </c>
      <c r="P956" s="2" t="s">
        <v>166</v>
      </c>
    </row>
    <row r="957">
      <c r="A957" s="3" t="s">
        <v>42</v>
      </c>
      <c r="B957" s="4">
        <v>44714.29166666667</v>
      </c>
      <c r="C957" s="2" t="s">
        <v>18</v>
      </c>
      <c r="D957" s="2" t="s">
        <v>164</v>
      </c>
      <c r="E957" s="2" t="s">
        <v>165</v>
      </c>
      <c r="F957" s="2"/>
      <c r="G957" s="2">
        <v>45.0</v>
      </c>
      <c r="H957" s="2">
        <v>20.0</v>
      </c>
      <c r="I957" s="2">
        <v>25.0</v>
      </c>
      <c r="J957" s="2">
        <v>0.0</v>
      </c>
      <c r="K957" s="2">
        <v>0.0</v>
      </c>
      <c r="L957" s="2">
        <v>0.0</v>
      </c>
      <c r="M957" s="2"/>
      <c r="N957" s="2"/>
      <c r="O957" s="2"/>
      <c r="P957" s="2" t="s">
        <v>166</v>
      </c>
    </row>
    <row r="958">
      <c r="A958" s="3" t="s">
        <v>43</v>
      </c>
      <c r="B958" s="4">
        <v>44715.29166666667</v>
      </c>
      <c r="C958" s="2" t="s">
        <v>18</v>
      </c>
      <c r="D958" s="2" t="s">
        <v>172</v>
      </c>
      <c r="E958" s="2" t="s">
        <v>165</v>
      </c>
      <c r="F958" s="2"/>
      <c r="G958" s="2">
        <v>651.0</v>
      </c>
      <c r="H958" s="2">
        <v>78.0</v>
      </c>
      <c r="I958" s="2">
        <v>573.0</v>
      </c>
      <c r="J958" s="2">
        <v>0.0</v>
      </c>
      <c r="K958" s="2">
        <v>0.0</v>
      </c>
      <c r="L958" s="2">
        <v>0.0</v>
      </c>
      <c r="M958" s="2"/>
      <c r="N958" s="2"/>
      <c r="O958" s="2"/>
      <c r="P958" s="2" t="s">
        <v>166</v>
      </c>
    </row>
    <row r="959">
      <c r="A959" s="3" t="s">
        <v>44</v>
      </c>
      <c r="B959" s="4">
        <v>44745.29166666667</v>
      </c>
      <c r="C959" s="2" t="s">
        <v>18</v>
      </c>
      <c r="D959" s="2" t="s">
        <v>172</v>
      </c>
      <c r="E959" s="2" t="s">
        <v>165</v>
      </c>
      <c r="F959" s="2"/>
      <c r="G959" s="2">
        <v>401.0</v>
      </c>
      <c r="H959" s="2">
        <v>14.0</v>
      </c>
      <c r="I959" s="2">
        <v>387.0</v>
      </c>
      <c r="J959" s="2">
        <v>0.0</v>
      </c>
      <c r="K959" s="2">
        <v>0.0</v>
      </c>
      <c r="L959" s="2">
        <v>0.0</v>
      </c>
      <c r="M959" s="2"/>
      <c r="N959" s="2"/>
      <c r="O959" s="2"/>
      <c r="P959" s="2" t="s">
        <v>166</v>
      </c>
    </row>
    <row r="960">
      <c r="A960" s="3" t="s">
        <v>45</v>
      </c>
      <c r="B960" s="2" t="s">
        <v>17</v>
      </c>
      <c r="C960" s="2" t="s">
        <v>148</v>
      </c>
      <c r="D960" s="2" t="s">
        <v>19</v>
      </c>
      <c r="E960" s="2" t="s">
        <v>27</v>
      </c>
      <c r="F960" s="2">
        <v>30.0</v>
      </c>
      <c r="G960" s="2">
        <v>1.0</v>
      </c>
      <c r="H960" s="2">
        <v>0.0</v>
      </c>
      <c r="I960" s="2">
        <v>1.0</v>
      </c>
      <c r="J960" s="2">
        <v>0.0</v>
      </c>
      <c r="K960" s="2">
        <v>0.0</v>
      </c>
      <c r="L960" s="2">
        <v>0.0</v>
      </c>
      <c r="M960" s="2">
        <v>30.0</v>
      </c>
      <c r="N960" s="2"/>
      <c r="O960" s="2"/>
      <c r="P960" s="2" t="s">
        <v>146</v>
      </c>
    </row>
    <row r="961">
      <c r="A961" s="3" t="s">
        <v>16</v>
      </c>
      <c r="B961" s="2" t="s">
        <v>17</v>
      </c>
      <c r="C961" s="2" t="s">
        <v>18</v>
      </c>
      <c r="D961" s="2" t="s">
        <v>127</v>
      </c>
      <c r="E961" s="2" t="s">
        <v>27</v>
      </c>
      <c r="F961" s="2">
        <v>300.0</v>
      </c>
      <c r="G961" s="2">
        <v>467.0</v>
      </c>
      <c r="H961" s="2">
        <v>298.0</v>
      </c>
      <c r="I961" s="2">
        <v>169.0</v>
      </c>
      <c r="J961" s="2">
        <v>0.0</v>
      </c>
      <c r="K961" s="2">
        <v>0.0</v>
      </c>
      <c r="L961" s="2">
        <v>1.0</v>
      </c>
      <c r="M961" s="2">
        <v>2.0</v>
      </c>
      <c r="N961" s="2"/>
      <c r="O961" s="2"/>
      <c r="P961" s="2" t="s">
        <v>146</v>
      </c>
    </row>
    <row r="962">
      <c r="A962" s="3" t="s">
        <v>47</v>
      </c>
      <c r="B962" s="2" t="s">
        <v>17</v>
      </c>
      <c r="C962" s="2" t="s">
        <v>18</v>
      </c>
      <c r="D962" s="2" t="s">
        <v>23</v>
      </c>
      <c r="E962" s="2" t="s">
        <v>27</v>
      </c>
      <c r="F962" s="2">
        <v>300.0</v>
      </c>
      <c r="G962" s="2">
        <v>468.0</v>
      </c>
      <c r="H962" s="2">
        <v>298.0</v>
      </c>
      <c r="I962" s="2">
        <v>170.0</v>
      </c>
      <c r="J962" s="2">
        <v>0.0</v>
      </c>
      <c r="K962" s="2">
        <v>0.0</v>
      </c>
      <c r="L962" s="2">
        <v>1.0</v>
      </c>
      <c r="M962" s="2">
        <v>2.0</v>
      </c>
      <c r="N962" s="2">
        <v>-30.0</v>
      </c>
      <c r="O962" s="2">
        <v>-296.0</v>
      </c>
      <c r="P962" s="2" t="s">
        <v>146</v>
      </c>
    </row>
    <row r="963">
      <c r="A963" s="3" t="s">
        <v>48</v>
      </c>
      <c r="B963" s="4">
        <v>45294.29166666667</v>
      </c>
      <c r="C963" s="2" t="s">
        <v>18</v>
      </c>
      <c r="D963" s="2" t="s">
        <v>19</v>
      </c>
      <c r="E963" s="2" t="s">
        <v>27</v>
      </c>
      <c r="F963" s="2"/>
      <c r="G963" s="2">
        <v>1.0</v>
      </c>
      <c r="H963" s="2">
        <v>0.0</v>
      </c>
      <c r="I963" s="2">
        <v>1.0</v>
      </c>
      <c r="J963" s="2">
        <v>0.0</v>
      </c>
      <c r="K963" s="2">
        <v>0.0</v>
      </c>
      <c r="L963" s="2">
        <v>0.0</v>
      </c>
      <c r="M963" s="2"/>
      <c r="N963" s="2"/>
      <c r="O963" s="2"/>
      <c r="P963" s="2" t="s">
        <v>146</v>
      </c>
    </row>
    <row r="964">
      <c r="A964" s="3" t="s">
        <v>49</v>
      </c>
      <c r="B964" s="4">
        <v>45295.29166666667</v>
      </c>
      <c r="C964" s="2" t="s">
        <v>18</v>
      </c>
      <c r="D964" s="2" t="s">
        <v>127</v>
      </c>
      <c r="E964" s="2" t="s">
        <v>27</v>
      </c>
      <c r="F964" s="2"/>
      <c r="G964" s="2">
        <v>276.0</v>
      </c>
      <c r="H964" s="2">
        <v>216.0</v>
      </c>
      <c r="I964" s="2">
        <v>60.0</v>
      </c>
      <c r="J964" s="2">
        <v>0.0</v>
      </c>
      <c r="K964" s="2">
        <v>0.0</v>
      </c>
      <c r="L964" s="2">
        <v>0.0</v>
      </c>
      <c r="M964" s="2"/>
      <c r="N964" s="2"/>
      <c r="O964" s="2"/>
      <c r="P964" s="2" t="s">
        <v>146</v>
      </c>
    </row>
    <row r="965">
      <c r="A965" s="3" t="s">
        <v>51</v>
      </c>
      <c r="B965" s="4">
        <v>45326.29166666667</v>
      </c>
      <c r="C965" s="2" t="s">
        <v>18</v>
      </c>
      <c r="D965" s="2" t="s">
        <v>127</v>
      </c>
      <c r="E965" s="2" t="s">
        <v>27</v>
      </c>
      <c r="F965" s="2"/>
      <c r="G965" s="2">
        <v>191.0</v>
      </c>
      <c r="H965" s="2">
        <v>82.0</v>
      </c>
      <c r="I965" s="2">
        <v>109.0</v>
      </c>
      <c r="J965" s="2">
        <v>0.0</v>
      </c>
      <c r="K965" s="2">
        <v>0.0</v>
      </c>
      <c r="L965" s="2">
        <v>1.0</v>
      </c>
      <c r="M965" s="2"/>
      <c r="N965" s="2"/>
      <c r="O965" s="2"/>
      <c r="P965" s="2" t="s">
        <v>146</v>
      </c>
    </row>
    <row r="966">
      <c r="A966" s="3" t="s">
        <v>52</v>
      </c>
      <c r="B966" s="2" t="s">
        <v>17</v>
      </c>
      <c r="C966" s="2" t="s">
        <v>18</v>
      </c>
      <c r="D966" s="2" t="s">
        <v>164</v>
      </c>
      <c r="E966" s="2" t="s">
        <v>165</v>
      </c>
      <c r="F966" s="2">
        <v>105.0</v>
      </c>
      <c r="G966" s="2">
        <v>120.0</v>
      </c>
      <c r="H966" s="2">
        <v>51.0</v>
      </c>
      <c r="I966" s="2">
        <v>24.0</v>
      </c>
      <c r="J966" s="2">
        <v>0.0</v>
      </c>
      <c r="K966" s="2">
        <v>45.0</v>
      </c>
      <c r="L966" s="2">
        <v>0.0</v>
      </c>
      <c r="M966" s="2">
        <v>54.0</v>
      </c>
      <c r="N966" s="2"/>
      <c r="O966" s="2"/>
      <c r="P966" s="2" t="s">
        <v>166</v>
      </c>
    </row>
    <row r="967">
      <c r="A967" s="3" t="s">
        <v>53</v>
      </c>
      <c r="B967" s="2" t="s">
        <v>17</v>
      </c>
      <c r="C967" s="2" t="s">
        <v>18</v>
      </c>
      <c r="D967" s="2" t="s">
        <v>23</v>
      </c>
      <c r="E967" s="2" t="s">
        <v>165</v>
      </c>
      <c r="F967" s="2">
        <v>105.0</v>
      </c>
      <c r="G967" s="2">
        <v>120.0</v>
      </c>
      <c r="H967" s="2">
        <v>51.0</v>
      </c>
      <c r="I967" s="2">
        <v>24.0</v>
      </c>
      <c r="J967" s="2">
        <v>0.0</v>
      </c>
      <c r="K967" s="2">
        <v>45.0</v>
      </c>
      <c r="L967" s="2">
        <v>0.0</v>
      </c>
      <c r="M967" s="2">
        <v>54.0</v>
      </c>
      <c r="N967" s="2">
        <v>-105.0</v>
      </c>
      <c r="O967" s="2">
        <v>3.0</v>
      </c>
      <c r="P967" s="2" t="s">
        <v>166</v>
      </c>
    </row>
    <row r="968">
      <c r="A968" s="3" t="s">
        <v>54</v>
      </c>
      <c r="B968" s="4">
        <v>45324.29166666667</v>
      </c>
      <c r="C968" s="2" t="s">
        <v>18</v>
      </c>
      <c r="D968" s="2" t="s">
        <v>164</v>
      </c>
      <c r="E968" s="2" t="s">
        <v>165</v>
      </c>
      <c r="F968" s="2">
        <v>32.0</v>
      </c>
      <c r="G968" s="2">
        <v>75.0</v>
      </c>
      <c r="H968" s="2">
        <v>51.0</v>
      </c>
      <c r="I968" s="2">
        <v>24.0</v>
      </c>
      <c r="J968" s="2">
        <v>0.0</v>
      </c>
      <c r="K968" s="2">
        <v>0.0</v>
      </c>
      <c r="L968" s="2">
        <v>0.0</v>
      </c>
      <c r="M968" s="2"/>
      <c r="N968" s="2"/>
      <c r="O968" s="2"/>
      <c r="P968" s="2" t="s">
        <v>166</v>
      </c>
    </row>
    <row r="969">
      <c r="A969" s="3" t="s">
        <v>55</v>
      </c>
      <c r="B969" s="4">
        <v>45353.29166666667</v>
      </c>
      <c r="C969" s="2" t="s">
        <v>18</v>
      </c>
      <c r="D969" s="2" t="s">
        <v>164</v>
      </c>
      <c r="E969" s="2" t="s">
        <v>165</v>
      </c>
      <c r="F969" s="2">
        <v>52.0</v>
      </c>
      <c r="G969" s="2">
        <v>45.0</v>
      </c>
      <c r="H969" s="2">
        <v>0.0</v>
      </c>
      <c r="I969" s="2">
        <v>0.0</v>
      </c>
      <c r="J969" s="2">
        <v>0.0</v>
      </c>
      <c r="K969" s="2">
        <v>45.0</v>
      </c>
      <c r="L969" s="2">
        <v>0.0</v>
      </c>
      <c r="M969" s="2"/>
      <c r="N969" s="2"/>
      <c r="O969" s="2"/>
      <c r="P969" s="2" t="s">
        <v>166</v>
      </c>
    </row>
    <row r="970">
      <c r="A970" s="3" t="s">
        <v>56</v>
      </c>
      <c r="B970" s="4">
        <v>45384.29166666667</v>
      </c>
      <c r="C970" s="2" t="s">
        <v>18</v>
      </c>
      <c r="D970" s="2" t="s">
        <v>164</v>
      </c>
      <c r="E970" s="2" t="s">
        <v>165</v>
      </c>
      <c r="F970" s="2">
        <v>21.0</v>
      </c>
      <c r="G970" s="2">
        <v>0.0</v>
      </c>
      <c r="H970" s="2">
        <v>0.0</v>
      </c>
      <c r="I970" s="2">
        <v>0.0</v>
      </c>
      <c r="J970" s="2">
        <v>0.0</v>
      </c>
      <c r="K970" s="2">
        <v>0.0</v>
      </c>
      <c r="L970" s="2">
        <v>0.0</v>
      </c>
      <c r="M970" s="2"/>
      <c r="N970" s="2"/>
      <c r="O970" s="2"/>
      <c r="P970" s="2" t="s">
        <v>166</v>
      </c>
    </row>
    <row r="971">
      <c r="A971" s="3" t="s">
        <v>59</v>
      </c>
      <c r="B971" s="2" t="s">
        <v>17</v>
      </c>
      <c r="C971" s="2" t="s">
        <v>18</v>
      </c>
      <c r="D971" s="2" t="s">
        <v>164</v>
      </c>
      <c r="E971" s="2" t="s">
        <v>165</v>
      </c>
      <c r="F971" s="2">
        <v>89.0</v>
      </c>
      <c r="G971" s="2">
        <v>162.0</v>
      </c>
      <c r="H971" s="2">
        <v>90.0</v>
      </c>
      <c r="I971" s="2">
        <v>72.0</v>
      </c>
      <c r="J971" s="2">
        <v>0.0</v>
      </c>
      <c r="K971" s="2">
        <v>0.0</v>
      </c>
      <c r="L971" s="2">
        <v>0.0</v>
      </c>
      <c r="M971" s="2">
        <v>-1.0</v>
      </c>
      <c r="N971" s="2"/>
      <c r="O971" s="2"/>
      <c r="P971" s="2" t="s">
        <v>166</v>
      </c>
    </row>
    <row r="972">
      <c r="A972" s="3" t="s">
        <v>60</v>
      </c>
      <c r="B972" s="2" t="s">
        <v>17</v>
      </c>
      <c r="C972" s="2" t="s">
        <v>18</v>
      </c>
      <c r="D972" s="2" t="s">
        <v>23</v>
      </c>
      <c r="E972" s="2" t="s">
        <v>165</v>
      </c>
      <c r="F972" s="2">
        <v>89.0</v>
      </c>
      <c r="G972" s="2">
        <v>162.0</v>
      </c>
      <c r="H972" s="2">
        <v>90.0</v>
      </c>
      <c r="I972" s="2">
        <v>72.0</v>
      </c>
      <c r="J972" s="2">
        <v>0.0</v>
      </c>
      <c r="K972" s="2">
        <v>0.0</v>
      </c>
      <c r="L972" s="2">
        <v>0.0</v>
      </c>
      <c r="M972" s="2">
        <v>-1.0</v>
      </c>
      <c r="N972" s="2">
        <v>0.0</v>
      </c>
      <c r="O972" s="2">
        <v>-91.0</v>
      </c>
      <c r="P972" s="2" t="s">
        <v>166</v>
      </c>
    </row>
    <row r="973">
      <c r="A973" s="3" t="s">
        <v>61</v>
      </c>
      <c r="B973" s="4">
        <v>45324.29166666667</v>
      </c>
      <c r="C973" s="2" t="s">
        <v>18</v>
      </c>
      <c r="D973" s="2" t="s">
        <v>164</v>
      </c>
      <c r="E973" s="2" t="s">
        <v>165</v>
      </c>
      <c r="F973" s="2"/>
      <c r="G973" s="2">
        <v>162.0</v>
      </c>
      <c r="H973" s="2">
        <v>90.0</v>
      </c>
      <c r="I973" s="2">
        <v>72.0</v>
      </c>
      <c r="J973" s="2">
        <v>0.0</v>
      </c>
      <c r="K973" s="2">
        <v>0.0</v>
      </c>
      <c r="L973" s="2">
        <v>0.0</v>
      </c>
      <c r="M973" s="2"/>
      <c r="N973" s="2"/>
      <c r="O973" s="2"/>
      <c r="P973" s="2" t="s">
        <v>166</v>
      </c>
    </row>
    <row r="974">
      <c r="A974" s="3" t="s">
        <v>62</v>
      </c>
      <c r="B974" s="4">
        <v>45353.29166666667</v>
      </c>
      <c r="C974" s="2" t="s">
        <v>18</v>
      </c>
      <c r="D974" s="2" t="s">
        <v>164</v>
      </c>
      <c r="E974" s="2" t="s">
        <v>165</v>
      </c>
      <c r="F974" s="2"/>
      <c r="G974" s="2">
        <v>0.0</v>
      </c>
      <c r="H974" s="2">
        <v>0.0</v>
      </c>
      <c r="I974" s="2">
        <v>0.0</v>
      </c>
      <c r="J974" s="2">
        <v>0.0</v>
      </c>
      <c r="K974" s="2">
        <v>0.0</v>
      </c>
      <c r="L974" s="2">
        <v>0.0</v>
      </c>
      <c r="M974" s="2"/>
      <c r="N974" s="2"/>
      <c r="O974" s="2"/>
      <c r="P974" s="2" t="s">
        <v>166</v>
      </c>
    </row>
    <row r="975">
      <c r="A975" s="3" t="s">
        <v>63</v>
      </c>
      <c r="B975" s="2" t="s">
        <v>17</v>
      </c>
      <c r="C975" s="2" t="s">
        <v>18</v>
      </c>
      <c r="D975" s="2" t="s">
        <v>19</v>
      </c>
      <c r="E975" s="2" t="s">
        <v>199</v>
      </c>
      <c r="F975" s="2">
        <v>17.0</v>
      </c>
      <c r="G975" s="2">
        <v>3.0</v>
      </c>
      <c r="H975" s="2">
        <v>2.0</v>
      </c>
      <c r="I975" s="2">
        <v>1.0</v>
      </c>
      <c r="J975" s="2">
        <v>0.0</v>
      </c>
      <c r="K975" s="2">
        <v>0.0</v>
      </c>
      <c r="L975" s="2">
        <v>0.0</v>
      </c>
      <c r="M975" s="2">
        <v>15.0</v>
      </c>
      <c r="N975" s="2"/>
      <c r="O975" s="2"/>
      <c r="P975" s="2" t="s">
        <v>153</v>
      </c>
    </row>
    <row r="976">
      <c r="A976" s="3" t="s">
        <v>64</v>
      </c>
      <c r="B976" s="2" t="s">
        <v>17</v>
      </c>
      <c r="C976" s="2" t="s">
        <v>18</v>
      </c>
      <c r="D976" s="2" t="s">
        <v>19</v>
      </c>
      <c r="E976" s="2" t="s">
        <v>200</v>
      </c>
      <c r="F976" s="2">
        <v>17.0</v>
      </c>
      <c r="G976" s="2">
        <v>1.0</v>
      </c>
      <c r="H976" s="2">
        <v>1.0</v>
      </c>
      <c r="I976" s="2">
        <v>0.0</v>
      </c>
      <c r="J976" s="2">
        <v>0.0</v>
      </c>
      <c r="K976" s="2">
        <v>0.0</v>
      </c>
      <c r="L976" s="2">
        <v>0.0</v>
      </c>
      <c r="M976" s="2">
        <v>16.0</v>
      </c>
      <c r="N976" s="2"/>
      <c r="O976" s="2"/>
      <c r="P976" s="2" t="s">
        <v>153</v>
      </c>
    </row>
    <row r="977">
      <c r="A977" s="3" t="s">
        <v>65</v>
      </c>
      <c r="B977" s="2" t="s">
        <v>17</v>
      </c>
      <c r="C977" s="2" t="s">
        <v>18</v>
      </c>
      <c r="D977" s="2" t="s">
        <v>23</v>
      </c>
      <c r="E977" s="2" t="s">
        <v>199</v>
      </c>
      <c r="F977" s="2">
        <v>17.0</v>
      </c>
      <c r="G977" s="2">
        <v>3.0</v>
      </c>
      <c r="H977" s="2">
        <v>2.0</v>
      </c>
      <c r="I977" s="2">
        <v>1.0</v>
      </c>
      <c r="J977" s="2">
        <v>0.0</v>
      </c>
      <c r="K977" s="2">
        <v>0.0</v>
      </c>
      <c r="L977" s="2">
        <v>0.0</v>
      </c>
      <c r="M977" s="2">
        <v>15.0</v>
      </c>
      <c r="N977" s="2">
        <v>0.0</v>
      </c>
      <c r="O977" s="2">
        <v>13.0</v>
      </c>
      <c r="P977" s="2" t="s">
        <v>153</v>
      </c>
    </row>
    <row r="978">
      <c r="A978" s="3" t="s">
        <v>66</v>
      </c>
      <c r="B978" s="2" t="s">
        <v>17</v>
      </c>
      <c r="C978" s="2" t="s">
        <v>18</v>
      </c>
      <c r="D978" s="2" t="s">
        <v>23</v>
      </c>
      <c r="E978" s="2" t="s">
        <v>200</v>
      </c>
      <c r="F978" s="2">
        <v>17.0</v>
      </c>
      <c r="G978" s="2">
        <v>1.0</v>
      </c>
      <c r="H978" s="2">
        <v>1.0</v>
      </c>
      <c r="I978" s="2">
        <v>0.0</v>
      </c>
      <c r="J978" s="2">
        <v>0.0</v>
      </c>
      <c r="K978" s="2">
        <v>0.0</v>
      </c>
      <c r="L978" s="2">
        <v>0.0</v>
      </c>
      <c r="M978" s="2">
        <v>16.0</v>
      </c>
      <c r="N978" s="2">
        <v>0.0</v>
      </c>
      <c r="O978" s="2">
        <v>15.0</v>
      </c>
      <c r="P978" s="2" t="s">
        <v>153</v>
      </c>
    </row>
    <row r="979">
      <c r="A979" s="3" t="s">
        <v>68</v>
      </c>
      <c r="B979" s="4">
        <v>45294.29166666667</v>
      </c>
      <c r="C979" s="2" t="s">
        <v>18</v>
      </c>
      <c r="D979" s="2" t="s">
        <v>19</v>
      </c>
      <c r="E979" s="2" t="s">
        <v>199</v>
      </c>
      <c r="F979" s="2"/>
      <c r="G979" s="2">
        <v>3.0</v>
      </c>
      <c r="H979" s="2">
        <v>2.0</v>
      </c>
      <c r="I979" s="2">
        <v>1.0</v>
      </c>
      <c r="J979" s="2">
        <v>0.0</v>
      </c>
      <c r="K979" s="2">
        <v>0.0</v>
      </c>
      <c r="L979" s="2">
        <v>0.0</v>
      </c>
      <c r="M979" s="2"/>
      <c r="N979" s="2"/>
      <c r="O979" s="2"/>
      <c r="P979" s="2" t="s">
        <v>153</v>
      </c>
    </row>
    <row r="980">
      <c r="A980" s="3" t="s">
        <v>70</v>
      </c>
      <c r="B980" s="4">
        <v>45294.29166666667</v>
      </c>
      <c r="C980" s="2" t="s">
        <v>18</v>
      </c>
      <c r="D980" s="2" t="s">
        <v>19</v>
      </c>
      <c r="E980" s="2" t="s">
        <v>200</v>
      </c>
      <c r="F980" s="2"/>
      <c r="G980" s="2">
        <v>1.0</v>
      </c>
      <c r="H980" s="2">
        <v>1.0</v>
      </c>
      <c r="I980" s="2">
        <v>0.0</v>
      </c>
      <c r="J980" s="2">
        <v>0.0</v>
      </c>
      <c r="K980" s="2">
        <v>0.0</v>
      </c>
      <c r="L980" s="2">
        <v>0.0</v>
      </c>
      <c r="M980" s="2"/>
      <c r="N980" s="2"/>
      <c r="O980" s="2"/>
      <c r="P980" s="2" t="s">
        <v>153</v>
      </c>
    </row>
    <row r="981">
      <c r="A981" s="3" t="s">
        <v>16</v>
      </c>
      <c r="B981" s="2" t="s">
        <v>17</v>
      </c>
      <c r="C981" s="2" t="s">
        <v>18</v>
      </c>
      <c r="D981" s="2" t="s">
        <v>19</v>
      </c>
      <c r="E981" s="2" t="s">
        <v>114</v>
      </c>
      <c r="F981" s="2">
        <v>40.0</v>
      </c>
      <c r="G981" s="2">
        <v>42.0</v>
      </c>
      <c r="H981" s="2">
        <v>32.0</v>
      </c>
      <c r="I981" s="2">
        <v>10.0</v>
      </c>
      <c r="J981" s="2">
        <v>0.0</v>
      </c>
      <c r="K981" s="2">
        <v>0.0</v>
      </c>
      <c r="L981" s="2">
        <v>0.0</v>
      </c>
      <c r="M981" s="2">
        <v>8.0</v>
      </c>
      <c r="N981" s="2"/>
      <c r="O981" s="2"/>
      <c r="P981" s="2" t="s">
        <v>195</v>
      </c>
    </row>
    <row r="982">
      <c r="A982" s="3" t="s">
        <v>71</v>
      </c>
      <c r="B982" s="2" t="s">
        <v>17</v>
      </c>
      <c r="C982" s="2" t="s">
        <v>18</v>
      </c>
      <c r="D982" s="2" t="s">
        <v>127</v>
      </c>
      <c r="E982" s="2" t="s">
        <v>114</v>
      </c>
      <c r="F982" s="2">
        <v>130.0</v>
      </c>
      <c r="G982" s="2">
        <v>164.0</v>
      </c>
      <c r="H982" s="2">
        <v>130.0</v>
      </c>
      <c r="I982" s="2">
        <v>34.0</v>
      </c>
      <c r="J982" s="2">
        <v>0.0</v>
      </c>
      <c r="K982" s="2">
        <v>0.0</v>
      </c>
      <c r="L982" s="2">
        <v>0.0</v>
      </c>
      <c r="M982" s="2">
        <v>0.0</v>
      </c>
      <c r="N982" s="2"/>
      <c r="O982" s="2"/>
      <c r="P982" s="2" t="s">
        <v>195</v>
      </c>
    </row>
    <row r="983">
      <c r="A983" s="3" t="s">
        <v>72</v>
      </c>
      <c r="B983" s="2" t="s">
        <v>17</v>
      </c>
      <c r="C983" s="2" t="s">
        <v>18</v>
      </c>
      <c r="D983" s="2" t="s">
        <v>23</v>
      </c>
      <c r="E983" s="2" t="s">
        <v>114</v>
      </c>
      <c r="F983" s="2">
        <v>170.0</v>
      </c>
      <c r="G983" s="2">
        <v>206.0</v>
      </c>
      <c r="H983" s="2">
        <v>162.0</v>
      </c>
      <c r="I983" s="2">
        <v>44.0</v>
      </c>
      <c r="J983" s="2">
        <v>0.0</v>
      </c>
      <c r="K983" s="2">
        <v>0.0</v>
      </c>
      <c r="L983" s="2">
        <v>0.0</v>
      </c>
      <c r="M983" s="2">
        <v>8.0</v>
      </c>
      <c r="N983" s="2">
        <v>0.0</v>
      </c>
      <c r="O983" s="2">
        <v>-154.0</v>
      </c>
      <c r="P983" s="2" t="s">
        <v>195</v>
      </c>
    </row>
    <row r="984">
      <c r="A984" s="3" t="s">
        <v>73</v>
      </c>
      <c r="B984" s="4">
        <v>45294.29166666667</v>
      </c>
      <c r="C984" s="2" t="s">
        <v>18</v>
      </c>
      <c r="D984" s="2" t="s">
        <v>19</v>
      </c>
      <c r="E984" s="2" t="s">
        <v>114</v>
      </c>
      <c r="F984" s="2"/>
      <c r="G984" s="2">
        <v>42.0</v>
      </c>
      <c r="H984" s="2">
        <v>32.0</v>
      </c>
      <c r="I984" s="2">
        <v>10.0</v>
      </c>
      <c r="J984" s="2">
        <v>0.0</v>
      </c>
      <c r="K984" s="2">
        <v>0.0</v>
      </c>
      <c r="L984" s="2">
        <v>0.0</v>
      </c>
      <c r="M984" s="2"/>
      <c r="N984" s="2"/>
      <c r="O984" s="2"/>
      <c r="P984" s="2" t="s">
        <v>195</v>
      </c>
    </row>
    <row r="985">
      <c r="A985" s="3" t="s">
        <v>74</v>
      </c>
      <c r="B985" s="4">
        <v>45294.29166666667</v>
      </c>
      <c r="C985" s="2" t="s">
        <v>18</v>
      </c>
      <c r="D985" s="2" t="s">
        <v>127</v>
      </c>
      <c r="E985" s="2" t="s">
        <v>114</v>
      </c>
      <c r="F985" s="2"/>
      <c r="G985" s="2">
        <v>164.0</v>
      </c>
      <c r="H985" s="2">
        <v>130.0</v>
      </c>
      <c r="I985" s="2">
        <v>34.0</v>
      </c>
      <c r="J985" s="2">
        <v>0.0</v>
      </c>
      <c r="K985" s="2">
        <v>0.0</v>
      </c>
      <c r="L985" s="2">
        <v>0.0</v>
      </c>
      <c r="M985" s="2"/>
      <c r="N985" s="2"/>
      <c r="O985" s="2"/>
      <c r="P985" s="2" t="s">
        <v>195</v>
      </c>
    </row>
    <row r="986">
      <c r="A986" s="3" t="s">
        <v>75</v>
      </c>
      <c r="B986" s="2" t="s">
        <v>17</v>
      </c>
      <c r="C986" s="2" t="s">
        <v>148</v>
      </c>
      <c r="D986" s="2" t="s">
        <v>19</v>
      </c>
      <c r="E986" s="2" t="s">
        <v>169</v>
      </c>
      <c r="F986" s="2">
        <v>5.0</v>
      </c>
      <c r="G986" s="2">
        <v>3.0</v>
      </c>
      <c r="H986" s="2">
        <v>0.0</v>
      </c>
      <c r="I986" s="2">
        <v>3.0</v>
      </c>
      <c r="J986" s="2">
        <v>0.0</v>
      </c>
      <c r="K986" s="2">
        <v>0.0</v>
      </c>
      <c r="L986" s="2">
        <v>0.0</v>
      </c>
      <c r="M986" s="2">
        <v>5.0</v>
      </c>
      <c r="N986" s="2"/>
      <c r="O986" s="2"/>
      <c r="P986" s="2" t="s">
        <v>92</v>
      </c>
    </row>
    <row r="987">
      <c r="A987" s="3" t="s">
        <v>76</v>
      </c>
      <c r="B987" s="2" t="s">
        <v>17</v>
      </c>
      <c r="C987" s="2" t="s">
        <v>148</v>
      </c>
      <c r="D987" s="2" t="s">
        <v>19</v>
      </c>
      <c r="E987" s="2" t="s">
        <v>201</v>
      </c>
      <c r="F987" s="2">
        <v>36.0</v>
      </c>
      <c r="G987" s="2">
        <v>0.0</v>
      </c>
      <c r="H987" s="2">
        <v>0.0</v>
      </c>
      <c r="I987" s="2">
        <v>0.0</v>
      </c>
      <c r="J987" s="2">
        <v>0.0</v>
      </c>
      <c r="K987" s="2">
        <v>0.0</v>
      </c>
      <c r="L987" s="2">
        <v>0.0</v>
      </c>
      <c r="M987" s="2">
        <v>36.0</v>
      </c>
      <c r="N987" s="2"/>
      <c r="O987" s="2"/>
      <c r="P987" s="2" t="s">
        <v>92</v>
      </c>
    </row>
    <row r="988">
      <c r="A988" s="3" t="s">
        <v>77</v>
      </c>
      <c r="B988" s="2" t="s">
        <v>17</v>
      </c>
      <c r="C988" s="2" t="s">
        <v>148</v>
      </c>
      <c r="D988" s="2" t="s">
        <v>19</v>
      </c>
      <c r="E988" s="2" t="s">
        <v>202</v>
      </c>
      <c r="F988" s="2">
        <v>24.0</v>
      </c>
      <c r="G988" s="2">
        <v>2.0</v>
      </c>
      <c r="H988" s="2">
        <v>1.0</v>
      </c>
      <c r="I988" s="2">
        <v>0.0</v>
      </c>
      <c r="J988" s="2">
        <v>1.0</v>
      </c>
      <c r="K988" s="2">
        <v>0.0</v>
      </c>
      <c r="L988" s="2">
        <v>0.0</v>
      </c>
      <c r="M988" s="2">
        <v>23.0</v>
      </c>
      <c r="N988" s="2"/>
      <c r="O988" s="2"/>
      <c r="P988" s="2" t="s">
        <v>92</v>
      </c>
    </row>
    <row r="989">
      <c r="A989" s="3" t="s">
        <v>78</v>
      </c>
      <c r="B989" s="2" t="s">
        <v>17</v>
      </c>
      <c r="C989" s="2" t="s">
        <v>18</v>
      </c>
      <c r="D989" s="2" t="s">
        <v>109</v>
      </c>
      <c r="E989" s="2" t="s">
        <v>169</v>
      </c>
      <c r="F989" s="2">
        <v>5.0</v>
      </c>
      <c r="G989" s="2">
        <v>1.0</v>
      </c>
      <c r="H989" s="2">
        <v>1.0</v>
      </c>
      <c r="I989" s="2">
        <v>0.0</v>
      </c>
      <c r="J989" s="2">
        <v>0.0</v>
      </c>
      <c r="K989" s="2">
        <v>0.0</v>
      </c>
      <c r="L989" s="2">
        <v>0.0</v>
      </c>
      <c r="M989" s="2">
        <v>4.0</v>
      </c>
      <c r="N989" s="2"/>
      <c r="O989" s="2"/>
      <c r="P989" s="2" t="s">
        <v>92</v>
      </c>
    </row>
    <row r="990">
      <c r="A990" s="3" t="s">
        <v>81</v>
      </c>
      <c r="B990" s="2" t="s">
        <v>17</v>
      </c>
      <c r="C990" s="2" t="s">
        <v>148</v>
      </c>
      <c r="D990" s="2" t="s">
        <v>109</v>
      </c>
      <c r="E990" s="2" t="s">
        <v>201</v>
      </c>
      <c r="F990" s="2">
        <v>16.0</v>
      </c>
      <c r="G990" s="2">
        <v>0.0</v>
      </c>
      <c r="H990" s="2">
        <v>0.0</v>
      </c>
      <c r="I990" s="2">
        <v>0.0</v>
      </c>
      <c r="J990" s="2">
        <v>0.0</v>
      </c>
      <c r="K990" s="2">
        <v>0.0</v>
      </c>
      <c r="L990" s="2">
        <v>0.0</v>
      </c>
      <c r="M990" s="2">
        <v>16.0</v>
      </c>
      <c r="N990" s="2"/>
      <c r="O990" s="2"/>
      <c r="P990" s="2" t="s">
        <v>92</v>
      </c>
    </row>
    <row r="991">
      <c r="A991" s="3" t="s">
        <v>82</v>
      </c>
      <c r="B991" s="2" t="s">
        <v>17</v>
      </c>
      <c r="C991" s="2" t="s">
        <v>18</v>
      </c>
      <c r="D991" s="2" t="s">
        <v>109</v>
      </c>
      <c r="E991" s="2" t="s">
        <v>202</v>
      </c>
      <c r="F991" s="2">
        <v>22.0</v>
      </c>
      <c r="G991" s="2">
        <v>3.0</v>
      </c>
      <c r="H991" s="2">
        <v>1.0</v>
      </c>
      <c r="I991" s="2">
        <v>1.0</v>
      </c>
      <c r="J991" s="2">
        <v>1.0</v>
      </c>
      <c r="K991" s="2">
        <v>0.0</v>
      </c>
      <c r="L991" s="2">
        <v>0.0</v>
      </c>
      <c r="M991" s="2">
        <v>21.0</v>
      </c>
      <c r="N991" s="2"/>
      <c r="O991" s="2"/>
      <c r="P991" s="2" t="s">
        <v>92</v>
      </c>
    </row>
    <row r="992">
      <c r="A992" s="3" t="s">
        <v>83</v>
      </c>
      <c r="B992" s="2" t="s">
        <v>17</v>
      </c>
      <c r="C992" s="2" t="s">
        <v>18</v>
      </c>
      <c r="D992" s="2" t="s">
        <v>91</v>
      </c>
      <c r="E992" s="2" t="s">
        <v>169</v>
      </c>
      <c r="F992" s="2">
        <v>5.0</v>
      </c>
      <c r="G992" s="2">
        <v>7.0</v>
      </c>
      <c r="H992" s="2">
        <v>6.0</v>
      </c>
      <c r="I992" s="2">
        <v>1.0</v>
      </c>
      <c r="J992" s="2">
        <v>0.0</v>
      </c>
      <c r="K992" s="2">
        <v>0.0</v>
      </c>
      <c r="L992" s="2">
        <v>0.0</v>
      </c>
      <c r="M992" s="2">
        <v>-1.0</v>
      </c>
      <c r="N992" s="2"/>
      <c r="O992" s="2"/>
      <c r="P992" s="2" t="s">
        <v>92</v>
      </c>
    </row>
    <row r="993">
      <c r="A993" s="3" t="s">
        <v>84</v>
      </c>
      <c r="B993" s="2" t="s">
        <v>17</v>
      </c>
      <c r="C993" s="2" t="s">
        <v>18</v>
      </c>
      <c r="D993" s="2" t="s">
        <v>91</v>
      </c>
      <c r="E993" s="2" t="s">
        <v>202</v>
      </c>
      <c r="F993" s="2">
        <v>22.0</v>
      </c>
      <c r="G993" s="2">
        <v>14.0</v>
      </c>
      <c r="H993" s="2">
        <v>10.0</v>
      </c>
      <c r="I993" s="2">
        <v>4.0</v>
      </c>
      <c r="J993" s="2">
        <v>0.0</v>
      </c>
      <c r="K993" s="2">
        <v>0.0</v>
      </c>
      <c r="L993" s="2">
        <v>0.0</v>
      </c>
      <c r="M993" s="2">
        <v>12.0</v>
      </c>
      <c r="N993" s="2"/>
      <c r="O993" s="2"/>
      <c r="P993" s="2" t="s">
        <v>92</v>
      </c>
    </row>
    <row r="994">
      <c r="A994" s="3" t="s">
        <v>85</v>
      </c>
      <c r="B994" s="2" t="s">
        <v>17</v>
      </c>
      <c r="C994" s="2" t="s">
        <v>18</v>
      </c>
      <c r="D994" s="2" t="s">
        <v>23</v>
      </c>
      <c r="E994" s="2" t="s">
        <v>169</v>
      </c>
      <c r="F994" s="2">
        <v>5.0</v>
      </c>
      <c r="G994" s="2">
        <v>11.0</v>
      </c>
      <c r="H994" s="2">
        <v>7.0</v>
      </c>
      <c r="I994" s="2">
        <v>4.0</v>
      </c>
      <c r="J994" s="2">
        <v>0.0</v>
      </c>
      <c r="K994" s="2">
        <v>0.0</v>
      </c>
      <c r="L994" s="2">
        <v>0.0</v>
      </c>
      <c r="M994" s="2">
        <v>-2.0</v>
      </c>
      <c r="N994" s="2">
        <v>-10.0</v>
      </c>
      <c r="O994" s="2">
        <v>-9.0</v>
      </c>
      <c r="P994" s="2" t="s">
        <v>92</v>
      </c>
    </row>
    <row r="995">
      <c r="A995" s="3" t="s">
        <v>86</v>
      </c>
      <c r="B995" s="2" t="s">
        <v>17</v>
      </c>
      <c r="C995" s="2" t="s">
        <v>148</v>
      </c>
      <c r="D995" s="2" t="s">
        <v>23</v>
      </c>
      <c r="E995" s="2" t="s">
        <v>201</v>
      </c>
      <c r="F995" s="2">
        <v>0.0</v>
      </c>
      <c r="G995" s="2">
        <v>0.0</v>
      </c>
      <c r="H995" s="2">
        <v>0.0</v>
      </c>
      <c r="I995" s="2">
        <v>0.0</v>
      </c>
      <c r="J995" s="2">
        <v>0.0</v>
      </c>
      <c r="K995" s="2">
        <v>0.0</v>
      </c>
      <c r="L995" s="2">
        <v>0.0</v>
      </c>
      <c r="M995" s="2">
        <v>0.0</v>
      </c>
      <c r="N995" s="2">
        <v>-52.0</v>
      </c>
      <c r="O995" s="2">
        <v>0.0</v>
      </c>
      <c r="P995" s="2" t="s">
        <v>92</v>
      </c>
    </row>
    <row r="996">
      <c r="A996" s="3" t="s">
        <v>87</v>
      </c>
      <c r="B996" s="2" t="s">
        <v>17</v>
      </c>
      <c r="C996" s="2" t="s">
        <v>18</v>
      </c>
      <c r="D996" s="2" t="s">
        <v>23</v>
      </c>
      <c r="E996" s="2" t="s">
        <v>202</v>
      </c>
      <c r="F996" s="2">
        <v>24.0</v>
      </c>
      <c r="G996" s="2">
        <v>19.0</v>
      </c>
      <c r="H996" s="2">
        <v>12.0</v>
      </c>
      <c r="I996" s="2">
        <v>5.0</v>
      </c>
      <c r="J996" s="2">
        <v>2.0</v>
      </c>
      <c r="K996" s="2">
        <v>0.0</v>
      </c>
      <c r="L996" s="2">
        <v>0.0</v>
      </c>
      <c r="M996" s="2">
        <v>12.0</v>
      </c>
      <c r="N996" s="2">
        <v>-44.0</v>
      </c>
      <c r="O996" s="2">
        <v>0.0</v>
      </c>
      <c r="P996" s="2" t="s">
        <v>92</v>
      </c>
    </row>
    <row r="997">
      <c r="A997" s="3" t="s">
        <v>88</v>
      </c>
      <c r="B997" s="4">
        <v>45294.29166666667</v>
      </c>
      <c r="C997" s="2" t="s">
        <v>18</v>
      </c>
      <c r="D997" s="2" t="s">
        <v>19</v>
      </c>
      <c r="E997" s="2" t="s">
        <v>169</v>
      </c>
      <c r="F997" s="2"/>
      <c r="G997" s="2">
        <v>3.0</v>
      </c>
      <c r="H997" s="2">
        <v>0.0</v>
      </c>
      <c r="I997" s="2">
        <v>3.0</v>
      </c>
      <c r="J997" s="2">
        <v>0.0</v>
      </c>
      <c r="K997" s="2">
        <v>0.0</v>
      </c>
      <c r="L997" s="2">
        <v>0.0</v>
      </c>
      <c r="M997" s="2"/>
      <c r="N997" s="2"/>
      <c r="O997" s="2"/>
      <c r="P997" s="2" t="s">
        <v>92</v>
      </c>
    </row>
    <row r="998">
      <c r="A998" s="3" t="s">
        <v>89</v>
      </c>
      <c r="B998" s="4">
        <v>45295.29166666667</v>
      </c>
      <c r="C998" s="2" t="s">
        <v>18</v>
      </c>
      <c r="D998" s="2" t="s">
        <v>19</v>
      </c>
      <c r="E998" s="2" t="s">
        <v>201</v>
      </c>
      <c r="F998" s="2"/>
      <c r="G998" s="2">
        <v>0.0</v>
      </c>
      <c r="H998" s="2">
        <v>0.0</v>
      </c>
      <c r="I998" s="2">
        <v>0.0</v>
      </c>
      <c r="J998" s="2">
        <v>0.0</v>
      </c>
      <c r="K998" s="2">
        <v>0.0</v>
      </c>
      <c r="L998" s="2">
        <v>0.0</v>
      </c>
      <c r="M998" s="2"/>
      <c r="N998" s="2"/>
      <c r="O998" s="2"/>
      <c r="P998" s="2" t="s">
        <v>92</v>
      </c>
    </row>
    <row r="999">
      <c r="A999" s="3" t="s">
        <v>90</v>
      </c>
      <c r="B999" s="4">
        <v>45296.29166666667</v>
      </c>
      <c r="C999" s="2" t="s">
        <v>18</v>
      </c>
      <c r="D999" s="2" t="s">
        <v>19</v>
      </c>
      <c r="E999" s="2" t="s">
        <v>202</v>
      </c>
      <c r="F999" s="2"/>
      <c r="G999" s="2">
        <v>2.0</v>
      </c>
      <c r="H999" s="2">
        <v>1.0</v>
      </c>
      <c r="I999" s="2">
        <v>0.0</v>
      </c>
      <c r="J999" s="2">
        <v>1.0</v>
      </c>
      <c r="K999" s="2">
        <v>0.0</v>
      </c>
      <c r="L999" s="2">
        <v>0.0</v>
      </c>
      <c r="M999" s="2"/>
      <c r="N999" s="2"/>
      <c r="O999" s="2"/>
      <c r="P999" s="2" t="s">
        <v>92</v>
      </c>
    </row>
    <row r="1000">
      <c r="A1000" s="3" t="s">
        <v>93</v>
      </c>
      <c r="B1000" s="4">
        <v>45297.29166666667</v>
      </c>
      <c r="C1000" s="2" t="s">
        <v>18</v>
      </c>
      <c r="D1000" s="2" t="s">
        <v>109</v>
      </c>
      <c r="E1000" s="2" t="s">
        <v>169</v>
      </c>
      <c r="F1000" s="2"/>
      <c r="G1000" s="2">
        <v>1.0</v>
      </c>
      <c r="H1000" s="2">
        <v>1.0</v>
      </c>
      <c r="I1000" s="2">
        <v>0.0</v>
      </c>
      <c r="J1000" s="2">
        <v>0.0</v>
      </c>
      <c r="K1000" s="2">
        <v>0.0</v>
      </c>
      <c r="L1000" s="2">
        <v>0.0</v>
      </c>
      <c r="M1000" s="2"/>
      <c r="N1000" s="2"/>
      <c r="O1000" s="2"/>
      <c r="P1000" s="2" t="s">
        <v>92</v>
      </c>
    </row>
    <row r="1001">
      <c r="A1001" s="3" t="s">
        <v>16</v>
      </c>
      <c r="B1001" s="4">
        <v>45298.29166666667</v>
      </c>
      <c r="C1001" s="2" t="s">
        <v>18</v>
      </c>
      <c r="D1001" s="2" t="s">
        <v>109</v>
      </c>
      <c r="E1001" s="2" t="s">
        <v>201</v>
      </c>
      <c r="F1001" s="2"/>
      <c r="G1001" s="2">
        <v>0.0</v>
      </c>
      <c r="H1001" s="2">
        <v>0.0</v>
      </c>
      <c r="I1001" s="2">
        <v>0.0</v>
      </c>
      <c r="J1001" s="2">
        <v>0.0</v>
      </c>
      <c r="K1001" s="2">
        <v>0.0</v>
      </c>
      <c r="L1001" s="2">
        <v>0.0</v>
      </c>
      <c r="M1001" s="2"/>
      <c r="N1001" s="2"/>
      <c r="O1001" s="2"/>
      <c r="P1001" s="2" t="s">
        <v>92</v>
      </c>
    </row>
    <row r="1002">
      <c r="A1002" s="3" t="s">
        <v>94</v>
      </c>
      <c r="B1002" s="12">
        <v>45299.29166666667</v>
      </c>
      <c r="C1002" s="5" t="s">
        <v>18</v>
      </c>
      <c r="D1002" s="5" t="s">
        <v>109</v>
      </c>
      <c r="E1002" s="5" t="s">
        <v>202</v>
      </c>
      <c r="F1002" s="5"/>
      <c r="G1002" s="5">
        <v>3.0</v>
      </c>
      <c r="H1002" s="5">
        <v>1.0</v>
      </c>
      <c r="I1002" s="5">
        <v>1.0</v>
      </c>
      <c r="J1002" s="5">
        <v>1.0</v>
      </c>
      <c r="K1002" s="5">
        <v>0.0</v>
      </c>
      <c r="L1002" s="5">
        <v>0.0</v>
      </c>
      <c r="M1002" s="5"/>
      <c r="N1002" s="5"/>
      <c r="O1002" s="5"/>
      <c r="P1002" s="5" t="s">
        <v>92</v>
      </c>
    </row>
    <row r="1003">
      <c r="A1003" s="1" t="s">
        <v>203</v>
      </c>
      <c r="B1003" s="4">
        <v>45300.29166666667</v>
      </c>
      <c r="C1003" s="2" t="s">
        <v>18</v>
      </c>
      <c r="D1003" s="2" t="s">
        <v>91</v>
      </c>
      <c r="E1003" s="2" t="s">
        <v>169</v>
      </c>
      <c r="F1003" s="2"/>
      <c r="G1003" s="2">
        <v>7.0</v>
      </c>
      <c r="H1003" s="2">
        <v>6.0</v>
      </c>
      <c r="I1003" s="2">
        <v>1.0</v>
      </c>
      <c r="J1003" s="2">
        <v>0.0</v>
      </c>
      <c r="K1003" s="2">
        <v>0.0</v>
      </c>
      <c r="L1003" s="2">
        <v>0.0</v>
      </c>
      <c r="M1003" s="2"/>
      <c r="N1003" s="2"/>
      <c r="O1003" s="2"/>
      <c r="P1003" s="2" t="s">
        <v>92</v>
      </c>
    </row>
    <row r="1004">
      <c r="A1004" s="1" t="s">
        <v>203</v>
      </c>
      <c r="B1004" s="4">
        <v>45302.29166666667</v>
      </c>
      <c r="C1004" s="2" t="s">
        <v>18</v>
      </c>
      <c r="D1004" s="2" t="s">
        <v>91</v>
      </c>
      <c r="E1004" s="2" t="s">
        <v>202</v>
      </c>
      <c r="F1004" s="2"/>
      <c r="G1004" s="2">
        <v>14.0</v>
      </c>
      <c r="H1004" s="2">
        <v>10.0</v>
      </c>
      <c r="I1004" s="2">
        <v>4.0</v>
      </c>
      <c r="J1004" s="2">
        <v>0.0</v>
      </c>
      <c r="K1004" s="2">
        <v>0.0</v>
      </c>
      <c r="L1004" s="2">
        <v>0.0</v>
      </c>
      <c r="M1004" s="2"/>
      <c r="N1004" s="2"/>
      <c r="O1004" s="2"/>
      <c r="P1004" s="2" t="s">
        <v>92</v>
      </c>
    </row>
    <row r="1005">
      <c r="A1005" s="1" t="s">
        <v>204</v>
      </c>
      <c r="B1005" s="2" t="s">
        <v>17</v>
      </c>
      <c r="C1005" s="2" t="s">
        <v>18</v>
      </c>
      <c r="D1005" s="2" t="s">
        <v>164</v>
      </c>
      <c r="E1005" s="2" t="s">
        <v>165</v>
      </c>
      <c r="F1005" s="2">
        <v>70.0</v>
      </c>
      <c r="G1005" s="2">
        <v>10.0</v>
      </c>
      <c r="H1005" s="2">
        <v>1.0</v>
      </c>
      <c r="I1005" s="2">
        <v>9.0</v>
      </c>
      <c r="J1005" s="2">
        <v>0.0</v>
      </c>
      <c r="K1005" s="2">
        <v>0.0</v>
      </c>
      <c r="L1005" s="2">
        <v>0.0</v>
      </c>
      <c r="M1005" s="2">
        <v>69.0</v>
      </c>
      <c r="N1005" s="2"/>
      <c r="O1005" s="2"/>
      <c r="P1005" s="2" t="s">
        <v>166</v>
      </c>
    </row>
    <row r="1006">
      <c r="A1006" s="13" t="s">
        <v>204</v>
      </c>
      <c r="B1006" s="2" t="s">
        <v>17</v>
      </c>
      <c r="C1006" s="2" t="s">
        <v>18</v>
      </c>
      <c r="D1006" s="2" t="s">
        <v>23</v>
      </c>
      <c r="E1006" s="2" t="s">
        <v>165</v>
      </c>
      <c r="F1006" s="2">
        <v>70.0</v>
      </c>
      <c r="G1006" s="2">
        <v>10.0</v>
      </c>
      <c r="H1006" s="2">
        <v>1.0</v>
      </c>
      <c r="I1006" s="2">
        <v>9.0</v>
      </c>
      <c r="J1006" s="2">
        <v>0.0</v>
      </c>
      <c r="K1006" s="2">
        <v>0.0</v>
      </c>
      <c r="L1006" s="2">
        <v>0.0</v>
      </c>
      <c r="M1006" s="2">
        <v>69.0</v>
      </c>
      <c r="N1006" s="2">
        <v>0.0</v>
      </c>
      <c r="O1006" s="2">
        <v>68.0</v>
      </c>
      <c r="P1006" s="2" t="s">
        <v>166</v>
      </c>
    </row>
    <row r="1007">
      <c r="A1007" s="1" t="s">
        <v>204</v>
      </c>
      <c r="B1007" s="4">
        <v>45294.29166666667</v>
      </c>
      <c r="C1007" s="2" t="s">
        <v>18</v>
      </c>
      <c r="D1007" s="2" t="s">
        <v>164</v>
      </c>
      <c r="E1007" s="2" t="s">
        <v>165</v>
      </c>
      <c r="F1007" s="2"/>
      <c r="G1007" s="2">
        <v>10.0</v>
      </c>
      <c r="H1007" s="2">
        <v>1.0</v>
      </c>
      <c r="I1007" s="2">
        <v>9.0</v>
      </c>
      <c r="J1007" s="2">
        <v>0.0</v>
      </c>
      <c r="K1007" s="2">
        <v>0.0</v>
      </c>
      <c r="L1007" s="2">
        <v>0.0</v>
      </c>
      <c r="M1007" s="2"/>
      <c r="N1007" s="2"/>
      <c r="O1007" s="2"/>
      <c r="P1007" s="2" t="s">
        <v>166</v>
      </c>
    </row>
    <row r="1008">
      <c r="A1008" s="3" t="s">
        <v>129</v>
      </c>
      <c r="B1008" s="4">
        <v>45323.29166666667</v>
      </c>
      <c r="C1008" s="2" t="s">
        <v>18</v>
      </c>
      <c r="D1008" s="2" t="s">
        <v>164</v>
      </c>
      <c r="E1008" s="2" t="s">
        <v>165</v>
      </c>
      <c r="F1008" s="2"/>
      <c r="G1008" s="2">
        <v>0.0</v>
      </c>
      <c r="H1008" s="2">
        <v>0.0</v>
      </c>
      <c r="I1008" s="2">
        <v>0.0</v>
      </c>
      <c r="J1008" s="2">
        <v>0.0</v>
      </c>
      <c r="K1008" s="2">
        <v>0.0</v>
      </c>
      <c r="L1008" s="2">
        <v>0.0</v>
      </c>
      <c r="M1008" s="2"/>
      <c r="N1008" s="2"/>
      <c r="O1008" s="2"/>
      <c r="P1008" s="2" t="s">
        <v>166</v>
      </c>
    </row>
    <row r="1009">
      <c r="A1009" s="1" t="s">
        <v>204</v>
      </c>
      <c r="B1009" s="4">
        <v>45352.29166666667</v>
      </c>
      <c r="C1009" s="2" t="s">
        <v>18</v>
      </c>
      <c r="D1009" s="2" t="s">
        <v>164</v>
      </c>
      <c r="E1009" s="2" t="s">
        <v>165</v>
      </c>
      <c r="F1009" s="2"/>
      <c r="G1009" s="2">
        <v>0.0</v>
      </c>
      <c r="H1009" s="2">
        <v>0.0</v>
      </c>
      <c r="I1009" s="2">
        <v>0.0</v>
      </c>
      <c r="J1009" s="2">
        <v>0.0</v>
      </c>
      <c r="K1009" s="2">
        <v>0.0</v>
      </c>
      <c r="L1009" s="2">
        <v>0.0</v>
      </c>
      <c r="M1009" s="2"/>
      <c r="N1009" s="2"/>
      <c r="O1009" s="2"/>
      <c r="P1009" s="2" t="s">
        <v>166</v>
      </c>
    </row>
    <row r="1010">
      <c r="A1010" s="1" t="s">
        <v>205</v>
      </c>
      <c r="B1010" s="2" t="s">
        <v>17</v>
      </c>
      <c r="C1010" s="2" t="s">
        <v>18</v>
      </c>
      <c r="D1010" s="2" t="s">
        <v>164</v>
      </c>
      <c r="E1010" s="2" t="s">
        <v>168</v>
      </c>
      <c r="F1010" s="2">
        <v>200.0</v>
      </c>
      <c r="G1010" s="2">
        <v>134.0</v>
      </c>
      <c r="H1010" s="2">
        <v>80.0</v>
      </c>
      <c r="I1010" s="2">
        <v>54.0</v>
      </c>
      <c r="J1010" s="2">
        <v>0.0</v>
      </c>
      <c r="K1010" s="2">
        <v>0.0</v>
      </c>
      <c r="L1010" s="2">
        <v>0.0</v>
      </c>
      <c r="M1010" s="2">
        <v>120.0</v>
      </c>
      <c r="N1010" s="2"/>
      <c r="O1010" s="2"/>
      <c r="P1010" s="2" t="s">
        <v>166</v>
      </c>
    </row>
    <row r="1011">
      <c r="A1011" s="1" t="s">
        <v>205</v>
      </c>
      <c r="B1011" s="2" t="s">
        <v>17</v>
      </c>
      <c r="C1011" s="2" t="s">
        <v>18</v>
      </c>
      <c r="D1011" s="2" t="s">
        <v>23</v>
      </c>
      <c r="E1011" s="2" t="s">
        <v>168</v>
      </c>
      <c r="F1011" s="2">
        <v>200.0</v>
      </c>
      <c r="G1011" s="2">
        <v>134.0</v>
      </c>
      <c r="H1011" s="2">
        <v>80.0</v>
      </c>
      <c r="I1011" s="2">
        <v>54.0</v>
      </c>
      <c r="J1011" s="2">
        <v>0.0</v>
      </c>
      <c r="K1011" s="2">
        <v>0.0</v>
      </c>
      <c r="L1011" s="2">
        <v>0.0</v>
      </c>
      <c r="M1011" s="2">
        <v>120.0</v>
      </c>
      <c r="N1011" s="2">
        <v>0.0</v>
      </c>
      <c r="O1011" s="2">
        <v>40.0</v>
      </c>
      <c r="P1011" s="2" t="s">
        <v>166</v>
      </c>
    </row>
    <row r="1012">
      <c r="A1012" s="14" t="s">
        <v>205</v>
      </c>
      <c r="B1012" s="12">
        <v>45294.29166666667</v>
      </c>
      <c r="C1012" s="5" t="s">
        <v>18</v>
      </c>
      <c r="D1012" s="5" t="s">
        <v>164</v>
      </c>
      <c r="E1012" s="5" t="s">
        <v>168</v>
      </c>
      <c r="F1012" s="5"/>
      <c r="G1012" s="5">
        <v>134.0</v>
      </c>
      <c r="H1012" s="5">
        <v>80.0</v>
      </c>
      <c r="I1012" s="5">
        <v>54.0</v>
      </c>
      <c r="J1012" s="5">
        <v>0.0</v>
      </c>
      <c r="K1012" s="5">
        <v>0.0</v>
      </c>
      <c r="L1012" s="5">
        <v>0.0</v>
      </c>
      <c r="M1012" s="5"/>
      <c r="N1012" s="5"/>
      <c r="O1012" s="5"/>
      <c r="P1012" s="5" t="s">
        <v>166</v>
      </c>
    </row>
    <row r="1013">
      <c r="A1013" s="3" t="s">
        <v>130</v>
      </c>
      <c r="B1013" s="4">
        <v>45323.29166666667</v>
      </c>
      <c r="C1013" s="2" t="s">
        <v>18</v>
      </c>
      <c r="D1013" s="2" t="s">
        <v>164</v>
      </c>
      <c r="E1013" s="2" t="s">
        <v>168</v>
      </c>
      <c r="F1013" s="2"/>
      <c r="G1013" s="2">
        <v>0.0</v>
      </c>
      <c r="H1013" s="2">
        <v>0.0</v>
      </c>
      <c r="I1013" s="2">
        <v>0.0</v>
      </c>
      <c r="J1013" s="2">
        <v>0.0</v>
      </c>
      <c r="K1013" s="2">
        <v>0.0</v>
      </c>
      <c r="L1013" s="2">
        <v>0.0</v>
      </c>
      <c r="M1013" s="2"/>
      <c r="N1013" s="2"/>
      <c r="O1013" s="2"/>
      <c r="P1013" s="2" t="s">
        <v>166</v>
      </c>
    </row>
    <row r="1014">
      <c r="A1014" s="1" t="s">
        <v>206</v>
      </c>
      <c r="B1014" s="2" t="s">
        <v>17</v>
      </c>
      <c r="C1014" s="2" t="s">
        <v>18</v>
      </c>
      <c r="D1014" s="2" t="s">
        <v>164</v>
      </c>
      <c r="E1014" s="2" t="s">
        <v>165</v>
      </c>
      <c r="F1014" s="2">
        <v>180.0</v>
      </c>
      <c r="G1014" s="2">
        <v>22.0</v>
      </c>
      <c r="H1014" s="2">
        <v>15.0</v>
      </c>
      <c r="I1014" s="2">
        <v>7.0</v>
      </c>
      <c r="J1014" s="2">
        <v>0.0</v>
      </c>
      <c r="K1014" s="2">
        <v>0.0</v>
      </c>
      <c r="L1014" s="2">
        <v>0.0</v>
      </c>
      <c r="M1014" s="2">
        <v>165.0</v>
      </c>
      <c r="N1014" s="2"/>
      <c r="O1014" s="2"/>
      <c r="P1014" s="2" t="s">
        <v>166</v>
      </c>
    </row>
    <row r="1015">
      <c r="A1015" s="1" t="s">
        <v>206</v>
      </c>
      <c r="B1015" s="2" t="s">
        <v>17</v>
      </c>
      <c r="C1015" s="2" t="s">
        <v>18</v>
      </c>
      <c r="D1015" s="2" t="s">
        <v>23</v>
      </c>
      <c r="E1015" s="2" t="s">
        <v>165</v>
      </c>
      <c r="F1015" s="2">
        <v>180.0</v>
      </c>
      <c r="G1015" s="2">
        <v>22.0</v>
      </c>
      <c r="H1015" s="2">
        <v>15.0</v>
      </c>
      <c r="I1015" s="2">
        <v>7.0</v>
      </c>
      <c r="J1015" s="2">
        <v>0.0</v>
      </c>
      <c r="K1015" s="2">
        <v>0.0</v>
      </c>
      <c r="L1015" s="2">
        <v>0.0</v>
      </c>
      <c r="M1015" s="2">
        <v>165.0</v>
      </c>
      <c r="N1015" s="2">
        <v>0.0</v>
      </c>
      <c r="O1015" s="2">
        <v>150.0</v>
      </c>
      <c r="P1015" s="2" t="s">
        <v>166</v>
      </c>
    </row>
    <row r="1016">
      <c r="A1016" s="1" t="s">
        <v>206</v>
      </c>
      <c r="B1016" s="4">
        <v>45294.29166666667</v>
      </c>
      <c r="C1016" s="2" t="s">
        <v>18</v>
      </c>
      <c r="D1016" s="2" t="s">
        <v>164</v>
      </c>
      <c r="E1016" s="2" t="s">
        <v>165</v>
      </c>
      <c r="F1016" s="2"/>
      <c r="G1016" s="2">
        <v>22.0</v>
      </c>
      <c r="H1016" s="2">
        <v>15.0</v>
      </c>
      <c r="I1016" s="2">
        <v>7.0</v>
      </c>
      <c r="J1016" s="2">
        <v>0.0</v>
      </c>
      <c r="K1016" s="2">
        <v>0.0</v>
      </c>
      <c r="L1016" s="2">
        <v>0.0</v>
      </c>
      <c r="M1016" s="2"/>
      <c r="N1016" s="2"/>
      <c r="O1016" s="2"/>
      <c r="P1016" s="2" t="s">
        <v>166</v>
      </c>
    </row>
    <row r="1017">
      <c r="A1017" s="3" t="s">
        <v>131</v>
      </c>
      <c r="B1017" s="4">
        <v>45323.29166666667</v>
      </c>
      <c r="C1017" s="2" t="s">
        <v>18</v>
      </c>
      <c r="D1017" s="2" t="s">
        <v>164</v>
      </c>
      <c r="E1017" s="2" t="s">
        <v>165</v>
      </c>
      <c r="F1017" s="2"/>
      <c r="G1017" s="2">
        <v>0.0</v>
      </c>
      <c r="H1017" s="2">
        <v>0.0</v>
      </c>
      <c r="I1017" s="2">
        <v>0.0</v>
      </c>
      <c r="J1017" s="2">
        <v>0.0</v>
      </c>
      <c r="K1017" s="2">
        <v>0.0</v>
      </c>
      <c r="L1017" s="2">
        <v>0.0</v>
      </c>
      <c r="M1017" s="2"/>
      <c r="N1017" s="2"/>
      <c r="O1017" s="2"/>
      <c r="P1017" s="2" t="s">
        <v>166</v>
      </c>
    </row>
    <row r="1018">
      <c r="A1018" s="1" t="s">
        <v>206</v>
      </c>
      <c r="B1018" s="4">
        <v>45352.29166666667</v>
      </c>
      <c r="C1018" s="2" t="s">
        <v>18</v>
      </c>
      <c r="D1018" s="2" t="s">
        <v>164</v>
      </c>
      <c r="E1018" s="2" t="s">
        <v>165</v>
      </c>
      <c r="F1018" s="2"/>
      <c r="G1018" s="2">
        <v>0.0</v>
      </c>
      <c r="H1018" s="2">
        <v>0.0</v>
      </c>
      <c r="I1018" s="2">
        <v>0.0</v>
      </c>
      <c r="J1018" s="2">
        <v>0.0</v>
      </c>
      <c r="K1018" s="2">
        <v>0.0</v>
      </c>
      <c r="L1018" s="2">
        <v>0.0</v>
      </c>
      <c r="M1018" s="2"/>
      <c r="N1018" s="2"/>
      <c r="O1018" s="2"/>
      <c r="P1018" s="2" t="s">
        <v>166</v>
      </c>
    </row>
    <row r="1019">
      <c r="A1019" s="1" t="s">
        <v>207</v>
      </c>
      <c r="B1019" s="2" t="s">
        <v>17</v>
      </c>
      <c r="C1019" s="2" t="s">
        <v>113</v>
      </c>
      <c r="D1019" s="2" t="s">
        <v>19</v>
      </c>
      <c r="E1019" s="2" t="s">
        <v>169</v>
      </c>
      <c r="F1019" s="2">
        <v>25.0</v>
      </c>
      <c r="G1019" s="2">
        <v>19.0</v>
      </c>
      <c r="H1019" s="2">
        <v>14.0</v>
      </c>
      <c r="I1019" s="2">
        <v>5.0</v>
      </c>
      <c r="J1019" s="2">
        <v>0.0</v>
      </c>
      <c r="K1019" s="2">
        <v>0.0</v>
      </c>
      <c r="L1019" s="2">
        <v>0.0</v>
      </c>
      <c r="M1019" s="2">
        <v>11.0</v>
      </c>
      <c r="N1019" s="2"/>
      <c r="O1019" s="2"/>
      <c r="P1019" s="2" t="s">
        <v>111</v>
      </c>
    </row>
    <row r="1020">
      <c r="A1020" s="1" t="s">
        <v>207</v>
      </c>
      <c r="B1020" s="2" t="s">
        <v>17</v>
      </c>
      <c r="C1020" s="2" t="s">
        <v>18</v>
      </c>
      <c r="D1020" s="2" t="s">
        <v>19</v>
      </c>
      <c r="E1020" s="2" t="s">
        <v>208</v>
      </c>
      <c r="F1020" s="2">
        <v>19.0</v>
      </c>
      <c r="G1020" s="2">
        <v>15.0</v>
      </c>
      <c r="H1020" s="2">
        <v>11.0</v>
      </c>
      <c r="I1020" s="2">
        <v>4.0</v>
      </c>
      <c r="J1020" s="2">
        <v>0.0</v>
      </c>
      <c r="K1020" s="2">
        <v>0.0</v>
      </c>
      <c r="L1020" s="2">
        <v>0.0</v>
      </c>
      <c r="M1020" s="2">
        <v>8.0</v>
      </c>
      <c r="N1020" s="2"/>
      <c r="O1020" s="2"/>
      <c r="P1020" s="2" t="s">
        <v>111</v>
      </c>
    </row>
    <row r="1021">
      <c r="A1021" s="1" t="s">
        <v>207</v>
      </c>
      <c r="B1021" s="2" t="s">
        <v>17</v>
      </c>
      <c r="C1021" s="2" t="s">
        <v>57</v>
      </c>
      <c r="D1021" s="2" t="s">
        <v>19</v>
      </c>
      <c r="E1021" s="2" t="s">
        <v>209</v>
      </c>
      <c r="F1021" s="2">
        <v>20.0</v>
      </c>
      <c r="G1021" s="2">
        <v>28.0</v>
      </c>
      <c r="H1021" s="2">
        <v>18.0</v>
      </c>
      <c r="I1021" s="2">
        <v>10.0</v>
      </c>
      <c r="J1021" s="2">
        <v>0.0</v>
      </c>
      <c r="K1021" s="2">
        <v>0.0</v>
      </c>
      <c r="L1021" s="2">
        <v>0.0</v>
      </c>
      <c r="M1021" s="2">
        <v>2.0</v>
      </c>
      <c r="N1021" s="2"/>
      <c r="O1021" s="2"/>
      <c r="P1021" s="2" t="s">
        <v>111</v>
      </c>
    </row>
    <row r="1022">
      <c r="A1022" s="1" t="s">
        <v>207</v>
      </c>
      <c r="B1022" s="2" t="s">
        <v>17</v>
      </c>
      <c r="C1022" s="2" t="s">
        <v>18</v>
      </c>
      <c r="D1022" s="2" t="s">
        <v>19</v>
      </c>
      <c r="E1022" s="2" t="s">
        <v>163</v>
      </c>
      <c r="F1022" s="2">
        <v>16.0</v>
      </c>
      <c r="G1022" s="2">
        <v>16.0</v>
      </c>
      <c r="H1022" s="2">
        <v>11.0</v>
      </c>
      <c r="I1022" s="2">
        <v>5.0</v>
      </c>
      <c r="J1022" s="2">
        <v>0.0</v>
      </c>
      <c r="K1022" s="2">
        <v>0.0</v>
      </c>
      <c r="L1022" s="2">
        <v>0.0</v>
      </c>
      <c r="M1022" s="2">
        <v>5.0</v>
      </c>
      <c r="N1022" s="2"/>
      <c r="O1022" s="2"/>
      <c r="P1022" s="2" t="s">
        <v>111</v>
      </c>
    </row>
    <row r="1023">
      <c r="A1023" s="1" t="s">
        <v>207</v>
      </c>
      <c r="B1023" s="2" t="s">
        <v>17</v>
      </c>
      <c r="C1023" s="2" t="s">
        <v>113</v>
      </c>
      <c r="D1023" s="2" t="s">
        <v>127</v>
      </c>
      <c r="E1023" s="2" t="s">
        <v>169</v>
      </c>
      <c r="F1023" s="2">
        <v>20.0</v>
      </c>
      <c r="G1023" s="2">
        <v>55.0</v>
      </c>
      <c r="H1023" s="2">
        <v>20.0</v>
      </c>
      <c r="I1023" s="2">
        <v>35.0</v>
      </c>
      <c r="J1023" s="2">
        <v>0.0</v>
      </c>
      <c r="K1023" s="2">
        <v>0.0</v>
      </c>
      <c r="L1023" s="2">
        <v>0.0</v>
      </c>
      <c r="M1023" s="2">
        <v>0.0</v>
      </c>
      <c r="N1023" s="2"/>
      <c r="O1023" s="2"/>
      <c r="P1023" s="2" t="s">
        <v>111</v>
      </c>
    </row>
    <row r="1024">
      <c r="A1024" s="1" t="s">
        <v>207</v>
      </c>
      <c r="B1024" s="2" t="s">
        <v>17</v>
      </c>
      <c r="C1024" s="2" t="s">
        <v>113</v>
      </c>
      <c r="D1024" s="2" t="s">
        <v>127</v>
      </c>
      <c r="E1024" s="2" t="s">
        <v>208</v>
      </c>
      <c r="F1024" s="2">
        <v>19.0</v>
      </c>
      <c r="G1024" s="2">
        <v>15.0</v>
      </c>
      <c r="H1024" s="2">
        <v>9.0</v>
      </c>
      <c r="I1024" s="2">
        <v>6.0</v>
      </c>
      <c r="J1024" s="2">
        <v>0.0</v>
      </c>
      <c r="K1024" s="2">
        <v>0.0</v>
      </c>
      <c r="L1024" s="2">
        <v>0.0</v>
      </c>
      <c r="M1024" s="2">
        <v>10.0</v>
      </c>
      <c r="N1024" s="2"/>
      <c r="O1024" s="2"/>
      <c r="P1024" s="2" t="s">
        <v>111</v>
      </c>
    </row>
    <row r="1025">
      <c r="A1025" s="1" t="s">
        <v>207</v>
      </c>
      <c r="B1025" s="2" t="s">
        <v>17</v>
      </c>
      <c r="C1025" s="2" t="s">
        <v>57</v>
      </c>
      <c r="D1025" s="2" t="s">
        <v>127</v>
      </c>
      <c r="E1025" s="2" t="s">
        <v>209</v>
      </c>
      <c r="F1025" s="2">
        <v>12.0</v>
      </c>
      <c r="G1025" s="2">
        <v>9.0</v>
      </c>
      <c r="H1025" s="2">
        <v>5.0</v>
      </c>
      <c r="I1025" s="2">
        <v>4.0</v>
      </c>
      <c r="J1025" s="2">
        <v>0.0</v>
      </c>
      <c r="K1025" s="2">
        <v>0.0</v>
      </c>
      <c r="L1025" s="2">
        <v>0.0</v>
      </c>
      <c r="M1025" s="2">
        <v>7.0</v>
      </c>
      <c r="N1025" s="2"/>
      <c r="O1025" s="2"/>
      <c r="P1025" s="2" t="s">
        <v>111</v>
      </c>
    </row>
    <row r="1026">
      <c r="A1026" s="13" t="s">
        <v>207</v>
      </c>
      <c r="B1026" s="2" t="s">
        <v>17</v>
      </c>
      <c r="C1026" s="2" t="s">
        <v>113</v>
      </c>
      <c r="D1026" s="2" t="s">
        <v>127</v>
      </c>
      <c r="E1026" s="2" t="s">
        <v>163</v>
      </c>
      <c r="F1026" s="2">
        <v>16.0</v>
      </c>
      <c r="G1026" s="2">
        <v>20.0</v>
      </c>
      <c r="H1026" s="2">
        <v>7.0</v>
      </c>
      <c r="I1026" s="2">
        <v>13.0</v>
      </c>
      <c r="J1026" s="2">
        <v>0.0</v>
      </c>
      <c r="K1026" s="2">
        <v>0.0</v>
      </c>
      <c r="L1026" s="2">
        <v>0.0</v>
      </c>
      <c r="M1026" s="2">
        <v>9.0</v>
      </c>
      <c r="N1026" s="2"/>
      <c r="O1026" s="2"/>
      <c r="P1026" s="2" t="s">
        <v>111</v>
      </c>
    </row>
    <row r="1027">
      <c r="A1027" s="1" t="s">
        <v>207</v>
      </c>
      <c r="B1027" s="2" t="s">
        <v>17</v>
      </c>
      <c r="C1027" s="2" t="s">
        <v>57</v>
      </c>
      <c r="D1027" s="2" t="s">
        <v>23</v>
      </c>
      <c r="E1027" s="2" t="s">
        <v>169</v>
      </c>
      <c r="F1027" s="2">
        <v>34.0</v>
      </c>
      <c r="G1027" s="2">
        <v>74.0</v>
      </c>
      <c r="H1027" s="2">
        <v>34.0</v>
      </c>
      <c r="I1027" s="2">
        <v>40.0</v>
      </c>
      <c r="J1027" s="2">
        <v>0.0</v>
      </c>
      <c r="K1027" s="2">
        <v>0.0</v>
      </c>
      <c r="L1027" s="2">
        <v>0.0</v>
      </c>
      <c r="M1027" s="2">
        <v>0.0</v>
      </c>
      <c r="N1027" s="2">
        <v>-11.0</v>
      </c>
      <c r="O1027" s="2">
        <v>-34.0</v>
      </c>
      <c r="P1027" s="2" t="s">
        <v>111</v>
      </c>
    </row>
    <row r="1028">
      <c r="A1028" s="1" t="s">
        <v>207</v>
      </c>
      <c r="B1028" s="2" t="s">
        <v>17</v>
      </c>
      <c r="C1028" s="2" t="s">
        <v>18</v>
      </c>
      <c r="D1028" s="2" t="s">
        <v>23</v>
      </c>
      <c r="E1028" s="2" t="s">
        <v>208</v>
      </c>
      <c r="F1028" s="2">
        <v>19.0</v>
      </c>
      <c r="G1028" s="2">
        <v>30.0</v>
      </c>
      <c r="H1028" s="2">
        <v>20.0</v>
      </c>
      <c r="I1028" s="2">
        <v>10.0</v>
      </c>
      <c r="J1028" s="2">
        <v>0.0</v>
      </c>
      <c r="K1028" s="2">
        <v>0.0</v>
      </c>
      <c r="L1028" s="2">
        <v>0.0</v>
      </c>
      <c r="M1028" s="2">
        <v>-1.0</v>
      </c>
      <c r="N1028" s="2">
        <v>-19.0</v>
      </c>
      <c r="O1028" s="2">
        <v>-21.0</v>
      </c>
      <c r="P1028" s="2" t="s">
        <v>111</v>
      </c>
    </row>
    <row r="1029">
      <c r="A1029" s="1" t="s">
        <v>207</v>
      </c>
      <c r="B1029" s="2" t="s">
        <v>17</v>
      </c>
      <c r="C1029" s="2" t="s">
        <v>57</v>
      </c>
      <c r="D1029" s="2" t="s">
        <v>23</v>
      </c>
      <c r="E1029" s="2" t="s">
        <v>209</v>
      </c>
      <c r="F1029" s="2">
        <v>22.0</v>
      </c>
      <c r="G1029" s="2">
        <v>37.0</v>
      </c>
      <c r="H1029" s="2">
        <v>23.0</v>
      </c>
      <c r="I1029" s="2">
        <v>14.0</v>
      </c>
      <c r="J1029" s="2">
        <v>0.0</v>
      </c>
      <c r="K1029" s="2">
        <v>0.0</v>
      </c>
      <c r="L1029" s="2">
        <v>0.0</v>
      </c>
      <c r="M1029" s="2">
        <v>-1.0</v>
      </c>
      <c r="N1029" s="2">
        <v>-10.0</v>
      </c>
      <c r="O1029" s="2">
        <v>-24.0</v>
      </c>
      <c r="P1029" s="2" t="s">
        <v>111</v>
      </c>
    </row>
    <row r="1030">
      <c r="A1030" s="1" t="s">
        <v>207</v>
      </c>
      <c r="B1030" s="2" t="s">
        <v>17</v>
      </c>
      <c r="C1030" s="2" t="s">
        <v>18</v>
      </c>
      <c r="D1030" s="2" t="s">
        <v>23</v>
      </c>
      <c r="E1030" s="2" t="s">
        <v>163</v>
      </c>
      <c r="F1030" s="2">
        <v>16.0</v>
      </c>
      <c r="G1030" s="2">
        <v>36.0</v>
      </c>
      <c r="H1030" s="2">
        <v>18.0</v>
      </c>
      <c r="I1030" s="2">
        <v>18.0</v>
      </c>
      <c r="J1030" s="2">
        <v>0.0</v>
      </c>
      <c r="K1030" s="2">
        <v>0.0</v>
      </c>
      <c r="L1030" s="2">
        <v>0.0</v>
      </c>
      <c r="M1030" s="2">
        <v>-2.0</v>
      </c>
      <c r="N1030" s="2">
        <v>-16.0</v>
      </c>
      <c r="O1030" s="2">
        <v>-20.0</v>
      </c>
      <c r="P1030" s="2" t="s">
        <v>111</v>
      </c>
    </row>
    <row r="1031">
      <c r="A1031" s="1" t="s">
        <v>207</v>
      </c>
      <c r="B1031" s="4">
        <v>45266.29166666667</v>
      </c>
      <c r="C1031" s="2" t="s">
        <v>18</v>
      </c>
      <c r="D1031" s="2" t="s">
        <v>127</v>
      </c>
      <c r="E1031" s="2" t="s">
        <v>169</v>
      </c>
      <c r="F1031" s="2"/>
      <c r="G1031" s="2">
        <v>28.0</v>
      </c>
      <c r="H1031" s="2">
        <v>0.0</v>
      </c>
      <c r="I1031" s="2">
        <v>28.0</v>
      </c>
      <c r="J1031" s="2">
        <v>0.0</v>
      </c>
      <c r="K1031" s="2">
        <v>0.0</v>
      </c>
      <c r="L1031" s="2">
        <v>0.0</v>
      </c>
      <c r="M1031" s="2"/>
      <c r="N1031" s="2"/>
      <c r="O1031" s="2"/>
      <c r="P1031" s="2" t="s">
        <v>111</v>
      </c>
    </row>
    <row r="1032">
      <c r="A1032" s="1" t="s">
        <v>207</v>
      </c>
      <c r="B1032" s="4">
        <v>45267.29166666667</v>
      </c>
      <c r="C1032" s="2" t="s">
        <v>18</v>
      </c>
      <c r="D1032" s="2" t="s">
        <v>127</v>
      </c>
      <c r="E1032" s="2" t="s">
        <v>208</v>
      </c>
      <c r="F1032" s="2"/>
      <c r="G1032" s="2">
        <v>4.0</v>
      </c>
      <c r="H1032" s="2">
        <v>0.0</v>
      </c>
      <c r="I1032" s="2">
        <v>4.0</v>
      </c>
      <c r="J1032" s="2">
        <v>0.0</v>
      </c>
      <c r="K1032" s="2">
        <v>0.0</v>
      </c>
      <c r="L1032" s="2">
        <v>0.0</v>
      </c>
      <c r="M1032" s="2"/>
      <c r="N1032" s="2"/>
      <c r="O1032" s="2"/>
      <c r="P1032" s="2" t="s">
        <v>111</v>
      </c>
    </row>
    <row r="1033">
      <c r="A1033" s="1" t="s">
        <v>207</v>
      </c>
      <c r="B1033" s="4">
        <v>45268.29166666667</v>
      </c>
      <c r="C1033" s="2" t="s">
        <v>18</v>
      </c>
      <c r="D1033" s="2" t="s">
        <v>127</v>
      </c>
      <c r="E1033" s="2" t="s">
        <v>209</v>
      </c>
      <c r="F1033" s="2"/>
      <c r="G1033" s="2">
        <v>0.0</v>
      </c>
      <c r="H1033" s="2">
        <v>0.0</v>
      </c>
      <c r="I1033" s="2">
        <v>0.0</v>
      </c>
      <c r="J1033" s="2">
        <v>0.0</v>
      </c>
      <c r="K1033" s="2">
        <v>0.0</v>
      </c>
      <c r="L1033" s="2">
        <v>0.0</v>
      </c>
      <c r="M1033" s="2"/>
      <c r="N1033" s="2"/>
      <c r="O1033" s="2"/>
      <c r="P1033" s="2" t="s">
        <v>111</v>
      </c>
    </row>
    <row r="1034">
      <c r="A1034" s="1" t="s">
        <v>207</v>
      </c>
      <c r="B1034" s="4">
        <v>45269.29166666667</v>
      </c>
      <c r="C1034" s="2" t="s">
        <v>18</v>
      </c>
      <c r="D1034" s="2" t="s">
        <v>127</v>
      </c>
      <c r="E1034" s="2" t="s">
        <v>163</v>
      </c>
      <c r="F1034" s="2"/>
      <c r="G1034" s="2">
        <v>9.0</v>
      </c>
      <c r="H1034" s="2">
        <v>0.0</v>
      </c>
      <c r="I1034" s="2">
        <v>9.0</v>
      </c>
      <c r="J1034" s="2">
        <v>0.0</v>
      </c>
      <c r="K1034" s="2">
        <v>0.0</v>
      </c>
      <c r="L1034" s="2">
        <v>0.0</v>
      </c>
      <c r="M1034" s="2"/>
      <c r="N1034" s="2"/>
      <c r="O1034" s="2"/>
      <c r="P1034" s="2" t="s">
        <v>111</v>
      </c>
    </row>
    <row r="1035">
      <c r="A1035" s="1" t="s">
        <v>207</v>
      </c>
      <c r="B1035" s="4">
        <v>45294.29166666667</v>
      </c>
      <c r="C1035" s="2" t="s">
        <v>18</v>
      </c>
      <c r="D1035" s="2" t="s">
        <v>19</v>
      </c>
      <c r="E1035" s="2" t="s">
        <v>169</v>
      </c>
      <c r="F1035" s="2"/>
      <c r="G1035" s="2">
        <v>19.0</v>
      </c>
      <c r="H1035" s="2">
        <v>14.0</v>
      </c>
      <c r="I1035" s="2">
        <v>5.0</v>
      </c>
      <c r="J1035" s="2">
        <v>0.0</v>
      </c>
      <c r="K1035" s="2">
        <v>0.0</v>
      </c>
      <c r="L1035" s="2">
        <v>0.0</v>
      </c>
      <c r="M1035" s="2"/>
      <c r="N1035" s="2"/>
      <c r="O1035" s="2"/>
      <c r="P1035" s="2" t="s">
        <v>111</v>
      </c>
    </row>
    <row r="1036">
      <c r="A1036" s="1" t="s">
        <v>207</v>
      </c>
      <c r="B1036" s="4">
        <v>45294.29166666667</v>
      </c>
      <c r="C1036" s="2" t="s">
        <v>18</v>
      </c>
      <c r="D1036" s="2" t="s">
        <v>19</v>
      </c>
      <c r="E1036" s="2" t="s">
        <v>208</v>
      </c>
      <c r="F1036" s="2"/>
      <c r="G1036" s="2">
        <v>15.0</v>
      </c>
      <c r="H1036" s="2">
        <v>11.0</v>
      </c>
      <c r="I1036" s="2">
        <v>4.0</v>
      </c>
      <c r="J1036" s="2">
        <v>0.0</v>
      </c>
      <c r="K1036" s="2">
        <v>0.0</v>
      </c>
      <c r="L1036" s="2">
        <v>0.0</v>
      </c>
      <c r="M1036" s="2"/>
      <c r="N1036" s="2"/>
      <c r="O1036" s="2"/>
      <c r="P1036" s="2" t="s">
        <v>111</v>
      </c>
    </row>
    <row r="1037">
      <c r="A1037" s="1" t="s">
        <v>207</v>
      </c>
      <c r="B1037" s="4">
        <v>45294.29166666667</v>
      </c>
      <c r="C1037" s="2" t="s">
        <v>18</v>
      </c>
      <c r="D1037" s="2" t="s">
        <v>19</v>
      </c>
      <c r="E1037" s="2" t="s">
        <v>209</v>
      </c>
      <c r="F1037" s="2"/>
      <c r="G1037" s="2">
        <v>28.0</v>
      </c>
      <c r="H1037" s="2">
        <v>18.0</v>
      </c>
      <c r="I1037" s="2">
        <v>10.0</v>
      </c>
      <c r="J1037" s="2">
        <v>0.0</v>
      </c>
      <c r="K1037" s="2">
        <v>0.0</v>
      </c>
      <c r="L1037" s="2">
        <v>0.0</v>
      </c>
      <c r="M1037" s="2"/>
      <c r="N1037" s="2"/>
      <c r="O1037" s="2"/>
      <c r="P1037" s="2" t="s">
        <v>111</v>
      </c>
    </row>
    <row r="1038">
      <c r="A1038" s="1" t="s">
        <v>207</v>
      </c>
      <c r="B1038" s="4">
        <v>45294.29166666667</v>
      </c>
      <c r="C1038" s="2" t="s">
        <v>18</v>
      </c>
      <c r="D1038" s="2" t="s">
        <v>19</v>
      </c>
      <c r="E1038" s="2" t="s">
        <v>163</v>
      </c>
      <c r="F1038" s="2"/>
      <c r="G1038" s="2">
        <v>16.0</v>
      </c>
      <c r="H1038" s="2">
        <v>11.0</v>
      </c>
      <c r="I1038" s="2">
        <v>5.0</v>
      </c>
      <c r="J1038" s="2">
        <v>0.0</v>
      </c>
      <c r="K1038" s="2">
        <v>0.0</v>
      </c>
      <c r="L1038" s="2">
        <v>0.0</v>
      </c>
      <c r="M1038" s="2"/>
      <c r="N1038" s="2"/>
      <c r="O1038" s="2"/>
      <c r="P1038" s="2" t="s">
        <v>111</v>
      </c>
    </row>
    <row r="1039">
      <c r="A1039" s="1" t="s">
        <v>207</v>
      </c>
      <c r="B1039" s="4">
        <v>45295.29166666667</v>
      </c>
      <c r="C1039" s="2" t="s">
        <v>18</v>
      </c>
      <c r="D1039" s="2" t="s">
        <v>127</v>
      </c>
      <c r="E1039" s="2" t="s">
        <v>169</v>
      </c>
      <c r="F1039" s="2"/>
      <c r="G1039" s="2">
        <v>27.0</v>
      </c>
      <c r="H1039" s="2">
        <v>20.0</v>
      </c>
      <c r="I1039" s="2">
        <v>7.0</v>
      </c>
      <c r="J1039" s="2">
        <v>0.0</v>
      </c>
      <c r="K1039" s="2">
        <v>0.0</v>
      </c>
      <c r="L1039" s="2">
        <v>0.0</v>
      </c>
      <c r="M1039" s="2"/>
      <c r="N1039" s="2"/>
      <c r="O1039" s="2"/>
      <c r="P1039" s="2" t="s">
        <v>111</v>
      </c>
    </row>
    <row r="1040">
      <c r="A1040" s="1" t="s">
        <v>207</v>
      </c>
      <c r="B1040" s="4">
        <v>45296.29166666667</v>
      </c>
      <c r="C1040" s="2" t="s">
        <v>18</v>
      </c>
      <c r="D1040" s="2" t="s">
        <v>127</v>
      </c>
      <c r="E1040" s="2" t="s">
        <v>208</v>
      </c>
      <c r="F1040" s="2"/>
      <c r="G1040" s="2">
        <v>11.0</v>
      </c>
      <c r="H1040" s="2">
        <v>9.0</v>
      </c>
      <c r="I1040" s="2">
        <v>2.0</v>
      </c>
      <c r="J1040" s="2">
        <v>0.0</v>
      </c>
      <c r="K1040" s="2">
        <v>0.0</v>
      </c>
      <c r="L1040" s="2">
        <v>0.0</v>
      </c>
      <c r="M1040" s="2"/>
      <c r="N1040" s="2"/>
      <c r="O1040" s="2"/>
      <c r="P1040" s="2" t="s">
        <v>111</v>
      </c>
    </row>
    <row r="1041">
      <c r="A1041" s="1" t="s">
        <v>207</v>
      </c>
      <c r="B1041" s="4">
        <v>45297.29166666667</v>
      </c>
      <c r="C1041" s="2" t="s">
        <v>18</v>
      </c>
      <c r="D1041" s="2" t="s">
        <v>127</v>
      </c>
      <c r="E1041" s="2" t="s">
        <v>209</v>
      </c>
      <c r="F1041" s="2"/>
      <c r="G1041" s="2">
        <v>9.0</v>
      </c>
      <c r="H1041" s="2">
        <v>5.0</v>
      </c>
      <c r="I1041" s="2">
        <v>4.0</v>
      </c>
      <c r="J1041" s="2">
        <v>0.0</v>
      </c>
      <c r="K1041" s="2">
        <v>0.0</v>
      </c>
      <c r="L1041" s="2">
        <v>0.0</v>
      </c>
      <c r="M1041" s="2"/>
      <c r="N1041" s="2"/>
      <c r="O1041" s="2"/>
      <c r="P1041" s="2" t="s">
        <v>111</v>
      </c>
    </row>
    <row r="1042">
      <c r="A1042" s="1" t="s">
        <v>207</v>
      </c>
      <c r="B1042" s="4">
        <v>45298.29166666667</v>
      </c>
      <c r="C1042" s="2" t="s">
        <v>18</v>
      </c>
      <c r="D1042" s="2" t="s">
        <v>127</v>
      </c>
      <c r="E1042" s="2" t="s">
        <v>163</v>
      </c>
      <c r="F1042" s="2"/>
      <c r="G1042" s="2">
        <v>11.0</v>
      </c>
      <c r="H1042" s="2">
        <v>7.0</v>
      </c>
      <c r="I1042" s="2">
        <v>4.0</v>
      </c>
      <c r="J1042" s="2">
        <v>0.0</v>
      </c>
      <c r="K1042" s="2">
        <v>0.0</v>
      </c>
      <c r="L1042" s="2">
        <v>0.0</v>
      </c>
      <c r="M1042" s="2"/>
      <c r="N1042" s="2"/>
      <c r="O1042" s="2"/>
      <c r="P1042" s="2" t="s">
        <v>111</v>
      </c>
    </row>
    <row r="1043">
      <c r="A1043" s="1" t="s">
        <v>210</v>
      </c>
      <c r="B1043" s="2" t="s">
        <v>17</v>
      </c>
      <c r="C1043" s="2" t="s">
        <v>18</v>
      </c>
      <c r="D1043" s="2" t="s">
        <v>164</v>
      </c>
      <c r="E1043" s="2" t="s">
        <v>168</v>
      </c>
      <c r="F1043" s="2">
        <v>500.0</v>
      </c>
      <c r="G1043" s="2">
        <v>4.0</v>
      </c>
      <c r="H1043" s="2">
        <v>0.0</v>
      </c>
      <c r="I1043" s="2">
        <v>4.0</v>
      </c>
      <c r="J1043" s="2">
        <v>0.0</v>
      </c>
      <c r="K1043" s="2">
        <v>0.0</v>
      </c>
      <c r="L1043" s="2">
        <v>0.0</v>
      </c>
      <c r="M1043" s="2">
        <v>500.0</v>
      </c>
      <c r="N1043" s="2"/>
      <c r="O1043" s="2"/>
      <c r="P1043" s="2" t="s">
        <v>166</v>
      </c>
    </row>
    <row r="1044">
      <c r="A1044" s="1" t="s">
        <v>210</v>
      </c>
      <c r="B1044" s="2" t="s">
        <v>17</v>
      </c>
      <c r="C1044" s="2" t="s">
        <v>18</v>
      </c>
      <c r="D1044" s="2" t="s">
        <v>23</v>
      </c>
      <c r="E1044" s="2" t="s">
        <v>168</v>
      </c>
      <c r="F1044" s="2">
        <v>500.0</v>
      </c>
      <c r="G1044" s="2">
        <v>4.0</v>
      </c>
      <c r="H1044" s="2">
        <v>0.0</v>
      </c>
      <c r="I1044" s="2">
        <v>4.0</v>
      </c>
      <c r="J1044" s="2">
        <v>0.0</v>
      </c>
      <c r="K1044" s="2">
        <v>0.0</v>
      </c>
      <c r="L1044" s="2">
        <v>0.0</v>
      </c>
      <c r="M1044" s="2">
        <v>500.0</v>
      </c>
      <c r="N1044" s="2">
        <v>0.0</v>
      </c>
      <c r="O1044" s="2">
        <v>500.0</v>
      </c>
      <c r="P1044" s="2" t="s">
        <v>166</v>
      </c>
    </row>
    <row r="1045">
      <c r="A1045" s="1" t="s">
        <v>210</v>
      </c>
      <c r="B1045" s="4">
        <v>45294.29166666667</v>
      </c>
      <c r="C1045" s="2" t="s">
        <v>18</v>
      </c>
      <c r="D1045" s="2" t="s">
        <v>164</v>
      </c>
      <c r="E1045" s="2" t="s">
        <v>168</v>
      </c>
      <c r="F1045" s="2"/>
      <c r="G1045" s="2">
        <v>4.0</v>
      </c>
      <c r="H1045" s="2">
        <v>0.0</v>
      </c>
      <c r="I1045" s="2">
        <v>4.0</v>
      </c>
      <c r="J1045" s="2">
        <v>0.0</v>
      </c>
      <c r="K1045" s="2">
        <v>0.0</v>
      </c>
      <c r="L1045" s="2">
        <v>0.0</v>
      </c>
      <c r="M1045" s="2"/>
      <c r="N1045" s="2"/>
      <c r="O1045" s="2"/>
      <c r="P1045" s="2" t="s">
        <v>166</v>
      </c>
    </row>
    <row r="1046">
      <c r="A1046" s="1" t="s">
        <v>211</v>
      </c>
      <c r="B1046" s="2" t="s">
        <v>17</v>
      </c>
      <c r="C1046" s="2" t="s">
        <v>18</v>
      </c>
      <c r="D1046" s="2" t="s">
        <v>91</v>
      </c>
      <c r="E1046" s="2" t="s">
        <v>212</v>
      </c>
      <c r="F1046" s="2">
        <v>41.0</v>
      </c>
      <c r="G1046" s="2">
        <v>53.0</v>
      </c>
      <c r="H1046" s="2">
        <v>41.0</v>
      </c>
      <c r="I1046" s="2">
        <v>12.0</v>
      </c>
      <c r="J1046" s="2">
        <v>0.0</v>
      </c>
      <c r="K1046" s="2">
        <v>0.0</v>
      </c>
      <c r="L1046" s="2">
        <v>0.0</v>
      </c>
      <c r="M1046" s="2">
        <v>0.0</v>
      </c>
      <c r="N1046" s="2"/>
      <c r="O1046" s="2"/>
      <c r="P1046" s="2" t="s">
        <v>92</v>
      </c>
    </row>
    <row r="1047">
      <c r="A1047" s="1" t="s">
        <v>211</v>
      </c>
      <c r="B1047" s="2" t="s">
        <v>17</v>
      </c>
      <c r="C1047" s="2" t="s">
        <v>18</v>
      </c>
      <c r="D1047" s="2" t="s">
        <v>23</v>
      </c>
      <c r="E1047" s="2" t="s">
        <v>212</v>
      </c>
      <c r="F1047" s="2">
        <v>41.0</v>
      </c>
      <c r="G1047" s="2">
        <v>53.0</v>
      </c>
      <c r="H1047" s="2">
        <v>41.0</v>
      </c>
      <c r="I1047" s="2">
        <v>12.0</v>
      </c>
      <c r="J1047" s="2">
        <v>0.0</v>
      </c>
      <c r="K1047" s="2">
        <v>0.0</v>
      </c>
      <c r="L1047" s="2">
        <v>0.0</v>
      </c>
      <c r="M1047" s="2">
        <v>0.0</v>
      </c>
      <c r="N1047" s="2">
        <v>0.0</v>
      </c>
      <c r="O1047" s="2">
        <v>-41.0</v>
      </c>
      <c r="P1047" s="2" t="s">
        <v>92</v>
      </c>
    </row>
    <row r="1048">
      <c r="A1048" s="1" t="s">
        <v>211</v>
      </c>
      <c r="B1048" s="4">
        <v>45262.29166666667</v>
      </c>
      <c r="C1048" s="2" t="s">
        <v>18</v>
      </c>
      <c r="D1048" s="2" t="s">
        <v>91</v>
      </c>
      <c r="E1048" s="2" t="s">
        <v>212</v>
      </c>
      <c r="F1048" s="2"/>
      <c r="G1048" s="2">
        <v>19.0</v>
      </c>
      <c r="H1048" s="2">
        <v>12.0</v>
      </c>
      <c r="I1048" s="2">
        <v>7.0</v>
      </c>
      <c r="J1048" s="2">
        <v>0.0</v>
      </c>
      <c r="K1048" s="2">
        <v>0.0</v>
      </c>
      <c r="L1048" s="2">
        <v>0.0</v>
      </c>
      <c r="M1048" s="2"/>
      <c r="N1048" s="2"/>
      <c r="O1048" s="2"/>
      <c r="P1048" s="2" t="s">
        <v>92</v>
      </c>
    </row>
    <row r="1049">
      <c r="A1049" s="1" t="s">
        <v>211</v>
      </c>
      <c r="B1049" s="4">
        <v>45294.29166666667</v>
      </c>
      <c r="C1049" s="2" t="s">
        <v>18</v>
      </c>
      <c r="D1049" s="2" t="s">
        <v>91</v>
      </c>
      <c r="E1049" s="2" t="s">
        <v>212</v>
      </c>
      <c r="F1049" s="2"/>
      <c r="G1049" s="2">
        <v>34.0</v>
      </c>
      <c r="H1049" s="2">
        <v>29.0</v>
      </c>
      <c r="I1049" s="2">
        <v>5.0</v>
      </c>
      <c r="J1049" s="2">
        <v>0.0</v>
      </c>
      <c r="K1049" s="2">
        <v>0.0</v>
      </c>
      <c r="L1049" s="2">
        <v>0.0</v>
      </c>
      <c r="M1049" s="2"/>
      <c r="N1049" s="2"/>
      <c r="O1049" s="2"/>
      <c r="P1049" s="2" t="s">
        <v>92</v>
      </c>
    </row>
    <row r="1050">
      <c r="A1050" s="1" t="s">
        <v>213</v>
      </c>
      <c r="B1050" s="2" t="s">
        <v>17</v>
      </c>
      <c r="C1050" s="2" t="s">
        <v>18</v>
      </c>
      <c r="D1050" s="2" t="s">
        <v>19</v>
      </c>
      <c r="E1050" s="2" t="s">
        <v>208</v>
      </c>
      <c r="F1050" s="2">
        <v>30.0</v>
      </c>
      <c r="G1050" s="2">
        <v>4.0</v>
      </c>
      <c r="H1050" s="2">
        <v>3.0</v>
      </c>
      <c r="I1050" s="2">
        <v>1.0</v>
      </c>
      <c r="J1050" s="2">
        <v>0.0</v>
      </c>
      <c r="K1050" s="2">
        <v>0.0</v>
      </c>
      <c r="L1050" s="2">
        <v>0.0</v>
      </c>
      <c r="M1050" s="2">
        <v>27.0</v>
      </c>
      <c r="N1050" s="2"/>
      <c r="O1050" s="2"/>
      <c r="P1050" s="2" t="s">
        <v>146</v>
      </c>
    </row>
    <row r="1051">
      <c r="A1051" s="1" t="s">
        <v>213</v>
      </c>
      <c r="B1051" s="2" t="s">
        <v>17</v>
      </c>
      <c r="C1051" s="2" t="s">
        <v>18</v>
      </c>
      <c r="D1051" s="2" t="s">
        <v>19</v>
      </c>
      <c r="E1051" s="2" t="s">
        <v>169</v>
      </c>
      <c r="F1051" s="2">
        <v>50.0</v>
      </c>
      <c r="G1051" s="2">
        <v>1.0</v>
      </c>
      <c r="H1051" s="2">
        <v>0.0</v>
      </c>
      <c r="I1051" s="2">
        <v>1.0</v>
      </c>
      <c r="J1051" s="2">
        <v>0.0</v>
      </c>
      <c r="K1051" s="2">
        <v>0.0</v>
      </c>
      <c r="L1051" s="2">
        <v>0.0</v>
      </c>
      <c r="M1051" s="2">
        <v>50.0</v>
      </c>
      <c r="N1051" s="2"/>
      <c r="O1051" s="2"/>
      <c r="P1051" s="2" t="s">
        <v>146</v>
      </c>
    </row>
    <row r="1052">
      <c r="A1052" s="1" t="s">
        <v>213</v>
      </c>
      <c r="B1052" s="2" t="s">
        <v>17</v>
      </c>
      <c r="C1052" s="2" t="s">
        <v>18</v>
      </c>
      <c r="D1052" s="2" t="s">
        <v>19</v>
      </c>
      <c r="E1052" s="2" t="s">
        <v>197</v>
      </c>
      <c r="F1052" s="2">
        <v>50.0</v>
      </c>
      <c r="G1052" s="2">
        <v>0.0</v>
      </c>
      <c r="H1052" s="2">
        <v>0.0</v>
      </c>
      <c r="I1052" s="2">
        <v>0.0</v>
      </c>
      <c r="J1052" s="2">
        <v>0.0</v>
      </c>
      <c r="K1052" s="2">
        <v>0.0</v>
      </c>
      <c r="L1052" s="2">
        <v>0.0</v>
      </c>
      <c r="M1052" s="2">
        <v>50.0</v>
      </c>
      <c r="N1052" s="2"/>
      <c r="O1052" s="2"/>
      <c r="P1052" s="2" t="s">
        <v>146</v>
      </c>
    </row>
    <row r="1053">
      <c r="A1053" s="1" t="s">
        <v>213</v>
      </c>
      <c r="B1053" s="2" t="s">
        <v>17</v>
      </c>
      <c r="C1053" s="2" t="s">
        <v>18</v>
      </c>
      <c r="D1053" s="2" t="s">
        <v>127</v>
      </c>
      <c r="E1053" s="2" t="s">
        <v>208</v>
      </c>
      <c r="F1053" s="2">
        <v>30.0</v>
      </c>
      <c r="G1053" s="2">
        <v>40.0</v>
      </c>
      <c r="H1053" s="2">
        <v>30.0</v>
      </c>
      <c r="I1053" s="2">
        <v>10.0</v>
      </c>
      <c r="J1053" s="2">
        <v>0.0</v>
      </c>
      <c r="K1053" s="2">
        <v>0.0</v>
      </c>
      <c r="L1053" s="2">
        <v>0.0</v>
      </c>
      <c r="M1053" s="2">
        <v>0.0</v>
      </c>
      <c r="N1053" s="2"/>
      <c r="O1053" s="2"/>
      <c r="P1053" s="2" t="s">
        <v>146</v>
      </c>
    </row>
    <row r="1054">
      <c r="A1054" s="1" t="s">
        <v>213</v>
      </c>
      <c r="B1054" s="2" t="s">
        <v>17</v>
      </c>
      <c r="C1054" s="2" t="s">
        <v>113</v>
      </c>
      <c r="D1054" s="2" t="s">
        <v>127</v>
      </c>
      <c r="E1054" s="2" t="s">
        <v>169</v>
      </c>
      <c r="F1054" s="2">
        <v>52.0</v>
      </c>
      <c r="G1054" s="2">
        <v>63.0</v>
      </c>
      <c r="H1054" s="2">
        <v>52.0</v>
      </c>
      <c r="I1054" s="2">
        <v>11.0</v>
      </c>
      <c r="J1054" s="2">
        <v>0.0</v>
      </c>
      <c r="K1054" s="2">
        <v>0.0</v>
      </c>
      <c r="L1054" s="2">
        <v>0.0</v>
      </c>
      <c r="M1054" s="2">
        <v>0.0</v>
      </c>
      <c r="N1054" s="2"/>
      <c r="O1054" s="2"/>
      <c r="P1054" s="2" t="s">
        <v>146</v>
      </c>
    </row>
    <row r="1055">
      <c r="A1055" s="1" t="s">
        <v>213</v>
      </c>
      <c r="B1055" s="2" t="s">
        <v>17</v>
      </c>
      <c r="C1055" s="2" t="s">
        <v>113</v>
      </c>
      <c r="D1055" s="2" t="s">
        <v>127</v>
      </c>
      <c r="E1055" s="2" t="s">
        <v>197</v>
      </c>
      <c r="F1055" s="2">
        <v>90.0</v>
      </c>
      <c r="G1055" s="2">
        <v>111.0</v>
      </c>
      <c r="H1055" s="2">
        <v>81.0</v>
      </c>
      <c r="I1055" s="2">
        <v>30.0</v>
      </c>
      <c r="J1055" s="2">
        <v>0.0</v>
      </c>
      <c r="K1055" s="2">
        <v>0.0</v>
      </c>
      <c r="L1055" s="2">
        <v>0.0</v>
      </c>
      <c r="M1055" s="2">
        <v>9.0</v>
      </c>
      <c r="N1055" s="2"/>
      <c r="O1055" s="2"/>
      <c r="P1055" s="2" t="s">
        <v>146</v>
      </c>
    </row>
    <row r="1056">
      <c r="A1056" s="1" t="s">
        <v>213</v>
      </c>
      <c r="B1056" s="2" t="s">
        <v>17</v>
      </c>
      <c r="C1056" s="2" t="s">
        <v>57</v>
      </c>
      <c r="D1056" s="2" t="s">
        <v>91</v>
      </c>
      <c r="E1056" s="2" t="s">
        <v>208</v>
      </c>
      <c r="F1056" s="2">
        <v>10.0</v>
      </c>
      <c r="G1056" s="2">
        <v>15.0</v>
      </c>
      <c r="H1056" s="2">
        <v>11.0</v>
      </c>
      <c r="I1056" s="2">
        <v>4.0</v>
      </c>
      <c r="J1056" s="2">
        <v>0.0</v>
      </c>
      <c r="K1056" s="2">
        <v>0.0</v>
      </c>
      <c r="L1056" s="2">
        <v>0.0</v>
      </c>
      <c r="M1056" s="2">
        <v>-1.0</v>
      </c>
      <c r="N1056" s="2"/>
      <c r="O1056" s="2"/>
      <c r="P1056" s="2" t="s">
        <v>146</v>
      </c>
    </row>
    <row r="1057">
      <c r="A1057" s="1" t="s">
        <v>213</v>
      </c>
      <c r="B1057" s="2" t="s">
        <v>17</v>
      </c>
      <c r="C1057" s="2" t="s">
        <v>113</v>
      </c>
      <c r="D1057" s="2" t="s">
        <v>91</v>
      </c>
      <c r="E1057" s="2" t="s">
        <v>169</v>
      </c>
      <c r="F1057" s="2">
        <v>35.0</v>
      </c>
      <c r="G1057" s="2">
        <v>35.0</v>
      </c>
      <c r="H1057" s="2">
        <v>24.0</v>
      </c>
      <c r="I1057" s="2">
        <v>11.0</v>
      </c>
      <c r="J1057" s="2">
        <v>0.0</v>
      </c>
      <c r="K1057" s="2">
        <v>0.0</v>
      </c>
      <c r="L1057" s="2">
        <v>0.0</v>
      </c>
      <c r="M1057" s="2">
        <v>11.0</v>
      </c>
      <c r="N1057" s="2"/>
      <c r="O1057" s="2"/>
      <c r="P1057" s="2" t="s">
        <v>146</v>
      </c>
    </row>
    <row r="1058">
      <c r="A1058" s="1" t="s">
        <v>213</v>
      </c>
      <c r="B1058" s="2" t="s">
        <v>17</v>
      </c>
      <c r="C1058" s="2" t="s">
        <v>18</v>
      </c>
      <c r="D1058" s="2" t="s">
        <v>91</v>
      </c>
      <c r="E1058" s="2" t="s">
        <v>197</v>
      </c>
      <c r="F1058" s="2">
        <v>25.0</v>
      </c>
      <c r="G1058" s="2">
        <v>48.0</v>
      </c>
      <c r="H1058" s="2">
        <v>33.0</v>
      </c>
      <c r="I1058" s="2">
        <v>15.0</v>
      </c>
      <c r="J1058" s="2">
        <v>0.0</v>
      </c>
      <c r="K1058" s="2">
        <v>0.0</v>
      </c>
      <c r="L1058" s="2">
        <v>0.0</v>
      </c>
      <c r="M1058" s="2">
        <v>-8.0</v>
      </c>
      <c r="N1058" s="2"/>
      <c r="O1058" s="2"/>
      <c r="P1058" s="2" t="s">
        <v>146</v>
      </c>
    </row>
    <row r="1059">
      <c r="A1059" s="1" t="s">
        <v>213</v>
      </c>
      <c r="B1059" s="2" t="s">
        <v>17</v>
      </c>
      <c r="C1059" s="2" t="s">
        <v>18</v>
      </c>
      <c r="D1059" s="2" t="s">
        <v>23</v>
      </c>
      <c r="E1059" s="2" t="s">
        <v>208</v>
      </c>
      <c r="F1059" s="2">
        <v>50.0</v>
      </c>
      <c r="G1059" s="2">
        <v>59.0</v>
      </c>
      <c r="H1059" s="2">
        <v>44.0</v>
      </c>
      <c r="I1059" s="2">
        <v>15.0</v>
      </c>
      <c r="J1059" s="2">
        <v>0.0</v>
      </c>
      <c r="K1059" s="2">
        <v>0.0</v>
      </c>
      <c r="L1059" s="2">
        <v>0.0</v>
      </c>
      <c r="M1059" s="2">
        <v>6.0</v>
      </c>
      <c r="N1059" s="2">
        <v>-20.0</v>
      </c>
      <c r="O1059" s="2">
        <v>-38.0</v>
      </c>
      <c r="P1059" s="2" t="s">
        <v>146</v>
      </c>
    </row>
    <row r="1060">
      <c r="A1060" s="1" t="s">
        <v>213</v>
      </c>
      <c r="B1060" s="2" t="s">
        <v>17</v>
      </c>
      <c r="C1060" s="2" t="s">
        <v>18</v>
      </c>
      <c r="D1060" s="2" t="s">
        <v>23</v>
      </c>
      <c r="E1060" s="2" t="s">
        <v>169</v>
      </c>
      <c r="F1060" s="2">
        <v>80.0</v>
      </c>
      <c r="G1060" s="2">
        <v>99.0</v>
      </c>
      <c r="H1060" s="2">
        <v>76.0</v>
      </c>
      <c r="I1060" s="2">
        <v>23.0</v>
      </c>
      <c r="J1060" s="2">
        <v>0.0</v>
      </c>
      <c r="K1060" s="2">
        <v>0.0</v>
      </c>
      <c r="L1060" s="2">
        <v>0.0</v>
      </c>
      <c r="M1060" s="2">
        <v>4.0</v>
      </c>
      <c r="N1060" s="2">
        <v>-57.0</v>
      </c>
      <c r="O1060" s="2">
        <v>-72.0</v>
      </c>
      <c r="P1060" s="2" t="s">
        <v>146</v>
      </c>
    </row>
    <row r="1061">
      <c r="A1061" s="13" t="s">
        <v>213</v>
      </c>
      <c r="B1061" s="2" t="s">
        <v>17</v>
      </c>
      <c r="C1061" s="2" t="s">
        <v>18</v>
      </c>
      <c r="D1061" s="2" t="s">
        <v>23</v>
      </c>
      <c r="E1061" s="2" t="s">
        <v>197</v>
      </c>
      <c r="F1061" s="2">
        <v>113.0</v>
      </c>
      <c r="G1061" s="2">
        <v>159.0</v>
      </c>
      <c r="H1061" s="2">
        <v>114.0</v>
      </c>
      <c r="I1061" s="2">
        <v>45.0</v>
      </c>
      <c r="J1061" s="2">
        <v>0.0</v>
      </c>
      <c r="K1061" s="2">
        <v>0.0</v>
      </c>
      <c r="L1061" s="2">
        <v>0.0</v>
      </c>
      <c r="M1061" s="2">
        <v>-1.0</v>
      </c>
      <c r="N1061" s="2">
        <v>-52.0</v>
      </c>
      <c r="O1061" s="2">
        <v>-115.0</v>
      </c>
      <c r="P1061" s="2" t="s">
        <v>146</v>
      </c>
    </row>
    <row r="1062">
      <c r="A1062" s="1" t="s">
        <v>213</v>
      </c>
      <c r="B1062" s="4">
        <v>45293.29166666667</v>
      </c>
      <c r="C1062" s="2" t="s">
        <v>18</v>
      </c>
      <c r="D1062" s="2" t="s">
        <v>19</v>
      </c>
      <c r="E1062" s="2" t="s">
        <v>208</v>
      </c>
      <c r="F1062" s="2"/>
      <c r="G1062" s="2">
        <v>4.0</v>
      </c>
      <c r="H1062" s="2">
        <v>3.0</v>
      </c>
      <c r="I1062" s="2">
        <v>1.0</v>
      </c>
      <c r="J1062" s="2">
        <v>0.0</v>
      </c>
      <c r="K1062" s="2">
        <v>0.0</v>
      </c>
      <c r="L1062" s="2">
        <v>0.0</v>
      </c>
      <c r="M1062" s="2"/>
      <c r="N1062" s="2"/>
      <c r="O1062" s="2"/>
      <c r="P1062" s="2" t="s">
        <v>146</v>
      </c>
    </row>
    <row r="1063">
      <c r="A1063" s="1" t="s">
        <v>213</v>
      </c>
      <c r="B1063" s="4">
        <v>45294.29166666667</v>
      </c>
      <c r="C1063" s="2" t="s">
        <v>18</v>
      </c>
      <c r="D1063" s="2" t="s">
        <v>19</v>
      </c>
      <c r="E1063" s="2" t="s">
        <v>169</v>
      </c>
      <c r="F1063" s="2"/>
      <c r="G1063" s="2">
        <v>1.0</v>
      </c>
      <c r="H1063" s="2">
        <v>0.0</v>
      </c>
      <c r="I1063" s="2">
        <v>1.0</v>
      </c>
      <c r="J1063" s="2">
        <v>0.0</v>
      </c>
      <c r="K1063" s="2">
        <v>0.0</v>
      </c>
      <c r="L1063" s="2">
        <v>0.0</v>
      </c>
      <c r="M1063" s="2"/>
      <c r="N1063" s="2"/>
      <c r="O1063" s="2"/>
      <c r="P1063" s="2" t="s">
        <v>146</v>
      </c>
    </row>
    <row r="1064">
      <c r="A1064" s="1" t="s">
        <v>213</v>
      </c>
      <c r="B1064" s="4">
        <v>45295.29166666667</v>
      </c>
      <c r="C1064" s="2" t="s">
        <v>18</v>
      </c>
      <c r="D1064" s="2" t="s">
        <v>19</v>
      </c>
      <c r="E1064" s="2" t="s">
        <v>197</v>
      </c>
      <c r="F1064" s="2"/>
      <c r="G1064" s="2">
        <v>0.0</v>
      </c>
      <c r="H1064" s="2">
        <v>0.0</v>
      </c>
      <c r="I1064" s="2">
        <v>0.0</v>
      </c>
      <c r="J1064" s="2">
        <v>0.0</v>
      </c>
      <c r="K1064" s="2">
        <v>0.0</v>
      </c>
      <c r="L1064" s="2">
        <v>0.0</v>
      </c>
      <c r="M1064" s="2"/>
      <c r="N1064" s="2"/>
      <c r="O1064" s="2"/>
      <c r="P1064" s="2" t="s">
        <v>146</v>
      </c>
    </row>
    <row r="1065">
      <c r="A1065" s="1" t="s">
        <v>213</v>
      </c>
      <c r="B1065" s="4">
        <v>45296.29166666667</v>
      </c>
      <c r="C1065" s="2" t="s">
        <v>18</v>
      </c>
      <c r="D1065" s="2" t="s">
        <v>127</v>
      </c>
      <c r="E1065" s="2" t="s">
        <v>208</v>
      </c>
      <c r="F1065" s="2"/>
      <c r="G1065" s="2">
        <v>40.0</v>
      </c>
      <c r="H1065" s="2">
        <v>30.0</v>
      </c>
      <c r="I1065" s="2">
        <v>10.0</v>
      </c>
      <c r="J1065" s="2">
        <v>0.0</v>
      </c>
      <c r="K1065" s="2">
        <v>0.0</v>
      </c>
      <c r="L1065" s="2">
        <v>0.0</v>
      </c>
      <c r="M1065" s="2"/>
      <c r="N1065" s="2"/>
      <c r="O1065" s="2"/>
      <c r="P1065" s="2" t="s">
        <v>146</v>
      </c>
    </row>
    <row r="1066">
      <c r="A1066" s="1" t="s">
        <v>213</v>
      </c>
      <c r="B1066" s="4">
        <v>45297.29166666667</v>
      </c>
      <c r="C1066" s="2" t="s">
        <v>18</v>
      </c>
      <c r="D1066" s="2" t="s">
        <v>127</v>
      </c>
      <c r="E1066" s="2" t="s">
        <v>169</v>
      </c>
      <c r="F1066" s="2"/>
      <c r="G1066" s="2">
        <v>63.0</v>
      </c>
      <c r="H1066" s="2">
        <v>52.0</v>
      </c>
      <c r="I1066" s="2">
        <v>11.0</v>
      </c>
      <c r="J1066" s="2">
        <v>0.0</v>
      </c>
      <c r="K1066" s="2">
        <v>0.0</v>
      </c>
      <c r="L1066" s="2">
        <v>0.0</v>
      </c>
      <c r="M1066" s="2"/>
      <c r="N1066" s="2"/>
      <c r="O1066" s="2"/>
      <c r="P1066" s="2" t="s">
        <v>146</v>
      </c>
    </row>
    <row r="1067">
      <c r="A1067" s="1" t="s">
        <v>213</v>
      </c>
      <c r="B1067" s="4">
        <v>45298.29166666667</v>
      </c>
      <c r="C1067" s="2" t="s">
        <v>18</v>
      </c>
      <c r="D1067" s="2" t="s">
        <v>127</v>
      </c>
      <c r="E1067" s="2" t="s">
        <v>197</v>
      </c>
      <c r="F1067" s="2"/>
      <c r="G1067" s="2">
        <v>111.0</v>
      </c>
      <c r="H1067" s="2">
        <v>81.0</v>
      </c>
      <c r="I1067" s="2">
        <v>30.0</v>
      </c>
      <c r="J1067" s="2">
        <v>0.0</v>
      </c>
      <c r="K1067" s="2">
        <v>0.0</v>
      </c>
      <c r="L1067" s="2">
        <v>0.0</v>
      </c>
      <c r="M1067" s="2"/>
      <c r="N1067" s="2"/>
      <c r="O1067" s="2"/>
      <c r="P1067" s="2" t="s">
        <v>146</v>
      </c>
    </row>
    <row r="1068">
      <c r="A1068" s="1" t="s">
        <v>213</v>
      </c>
      <c r="B1068" s="4">
        <v>45299.29166666667</v>
      </c>
      <c r="C1068" s="2" t="s">
        <v>18</v>
      </c>
      <c r="D1068" s="2" t="s">
        <v>91</v>
      </c>
      <c r="E1068" s="2" t="s">
        <v>208</v>
      </c>
      <c r="F1068" s="2"/>
      <c r="G1068" s="2">
        <v>15.0</v>
      </c>
      <c r="H1068" s="2">
        <v>11.0</v>
      </c>
      <c r="I1068" s="2">
        <v>4.0</v>
      </c>
      <c r="J1068" s="2">
        <v>0.0</v>
      </c>
      <c r="K1068" s="2">
        <v>0.0</v>
      </c>
      <c r="L1068" s="2">
        <v>0.0</v>
      </c>
      <c r="M1068" s="2"/>
      <c r="N1068" s="2"/>
      <c r="O1068" s="2"/>
      <c r="P1068" s="2" t="s">
        <v>146</v>
      </c>
    </row>
    <row r="1069">
      <c r="A1069" s="1" t="s">
        <v>213</v>
      </c>
      <c r="B1069" s="4">
        <v>45300.29166666667</v>
      </c>
      <c r="C1069" s="2" t="s">
        <v>18</v>
      </c>
      <c r="D1069" s="2" t="s">
        <v>91</v>
      </c>
      <c r="E1069" s="2" t="s">
        <v>169</v>
      </c>
      <c r="F1069" s="2"/>
      <c r="G1069" s="2">
        <v>35.0</v>
      </c>
      <c r="H1069" s="2">
        <v>24.0</v>
      </c>
      <c r="I1069" s="2">
        <v>11.0</v>
      </c>
      <c r="J1069" s="2">
        <v>0.0</v>
      </c>
      <c r="K1069" s="2">
        <v>0.0</v>
      </c>
      <c r="L1069" s="2">
        <v>0.0</v>
      </c>
      <c r="M1069" s="2"/>
      <c r="N1069" s="2"/>
      <c r="O1069" s="2"/>
      <c r="P1069" s="2" t="s">
        <v>146</v>
      </c>
    </row>
    <row r="1070">
      <c r="A1070" s="1" t="s">
        <v>213</v>
      </c>
      <c r="B1070" s="4">
        <v>45301.29166666667</v>
      </c>
      <c r="C1070" s="2" t="s">
        <v>18</v>
      </c>
      <c r="D1070" s="2" t="s">
        <v>91</v>
      </c>
      <c r="E1070" s="2" t="s">
        <v>197</v>
      </c>
      <c r="F1070" s="2"/>
      <c r="G1070" s="2">
        <v>48.0</v>
      </c>
      <c r="H1070" s="2">
        <v>33.0</v>
      </c>
      <c r="I1070" s="2">
        <v>15.0</v>
      </c>
      <c r="J1070" s="2">
        <v>0.0</v>
      </c>
      <c r="K1070" s="2">
        <v>0.0</v>
      </c>
      <c r="L1070" s="2">
        <v>0.0</v>
      </c>
      <c r="M1070" s="2"/>
      <c r="N1070" s="2"/>
      <c r="O1070" s="2"/>
      <c r="P1070" s="2" t="s">
        <v>146</v>
      </c>
    </row>
    <row r="1071">
      <c r="A1071" s="1" t="s">
        <v>214</v>
      </c>
      <c r="B1071" s="2" t="s">
        <v>17</v>
      </c>
      <c r="C1071" s="2" t="s">
        <v>18</v>
      </c>
      <c r="D1071" s="2" t="s">
        <v>19</v>
      </c>
      <c r="E1071" s="2" t="s">
        <v>198</v>
      </c>
      <c r="F1071" s="2">
        <v>60.0</v>
      </c>
      <c r="G1071" s="2">
        <v>59.0</v>
      </c>
      <c r="H1071" s="2">
        <v>49.0</v>
      </c>
      <c r="I1071" s="2">
        <v>10.0</v>
      </c>
      <c r="J1071" s="2">
        <v>0.0</v>
      </c>
      <c r="K1071" s="2">
        <v>0.0</v>
      </c>
      <c r="L1071" s="2">
        <v>0.0</v>
      </c>
      <c r="M1071" s="2">
        <v>11.0</v>
      </c>
      <c r="N1071" s="2"/>
      <c r="O1071" s="2"/>
      <c r="P1071" s="2" t="s">
        <v>92</v>
      </c>
    </row>
    <row r="1072">
      <c r="A1072" s="1" t="s">
        <v>214</v>
      </c>
      <c r="B1072" s="2" t="s">
        <v>17</v>
      </c>
      <c r="C1072" s="2" t="s">
        <v>113</v>
      </c>
      <c r="D1072" s="2" t="s">
        <v>109</v>
      </c>
      <c r="E1072" s="2" t="s">
        <v>198</v>
      </c>
      <c r="F1072" s="2">
        <v>30.0</v>
      </c>
      <c r="G1072" s="2">
        <v>13.0</v>
      </c>
      <c r="H1072" s="2">
        <v>7.0</v>
      </c>
      <c r="I1072" s="2">
        <v>6.0</v>
      </c>
      <c r="J1072" s="2">
        <v>0.0</v>
      </c>
      <c r="K1072" s="2">
        <v>0.0</v>
      </c>
      <c r="L1072" s="2">
        <v>0.0</v>
      </c>
      <c r="M1072" s="2">
        <v>23.0</v>
      </c>
      <c r="N1072" s="2"/>
      <c r="O1072" s="2"/>
      <c r="P1072" s="2" t="s">
        <v>92</v>
      </c>
    </row>
    <row r="1073">
      <c r="A1073" s="1" t="s">
        <v>214</v>
      </c>
      <c r="B1073" s="2" t="s">
        <v>17</v>
      </c>
      <c r="C1073" s="2" t="s">
        <v>113</v>
      </c>
      <c r="D1073" s="2" t="s">
        <v>33</v>
      </c>
      <c r="E1073" s="2" t="s">
        <v>198</v>
      </c>
      <c r="F1073" s="2">
        <v>30.0</v>
      </c>
      <c r="G1073" s="2">
        <v>29.0</v>
      </c>
      <c r="H1073" s="2">
        <v>23.0</v>
      </c>
      <c r="I1073" s="2">
        <v>6.0</v>
      </c>
      <c r="J1073" s="2">
        <v>0.0</v>
      </c>
      <c r="K1073" s="2">
        <v>0.0</v>
      </c>
      <c r="L1073" s="2">
        <v>0.0</v>
      </c>
      <c r="M1073" s="2">
        <v>7.0</v>
      </c>
      <c r="N1073" s="2"/>
      <c r="O1073" s="2"/>
      <c r="P1073" s="2" t="s">
        <v>92</v>
      </c>
    </row>
    <row r="1074">
      <c r="A1074" s="1" t="s">
        <v>214</v>
      </c>
      <c r="B1074" s="2" t="s">
        <v>17</v>
      </c>
      <c r="C1074" s="2" t="s">
        <v>18</v>
      </c>
      <c r="D1074" s="2" t="s">
        <v>23</v>
      </c>
      <c r="E1074" s="2" t="s">
        <v>198</v>
      </c>
      <c r="F1074" s="2">
        <v>90.0</v>
      </c>
      <c r="G1074" s="2">
        <v>101.0</v>
      </c>
      <c r="H1074" s="2">
        <v>79.0</v>
      </c>
      <c r="I1074" s="2">
        <v>22.0</v>
      </c>
      <c r="J1074" s="2">
        <v>0.0</v>
      </c>
      <c r="K1074" s="2">
        <v>0.0</v>
      </c>
      <c r="L1074" s="2">
        <v>0.0</v>
      </c>
      <c r="M1074" s="2">
        <v>11.0</v>
      </c>
      <c r="N1074" s="2">
        <v>-30.0</v>
      </c>
      <c r="O1074" s="2">
        <v>-68.0</v>
      </c>
      <c r="P1074" s="2" t="s">
        <v>92</v>
      </c>
    </row>
    <row r="1075">
      <c r="A1075" s="1" t="s">
        <v>214</v>
      </c>
      <c r="B1075" s="4">
        <v>45294.29166666667</v>
      </c>
      <c r="C1075" s="2" t="s">
        <v>18</v>
      </c>
      <c r="D1075" s="2" t="s">
        <v>19</v>
      </c>
      <c r="E1075" s="2" t="s">
        <v>198</v>
      </c>
      <c r="F1075" s="2"/>
      <c r="G1075" s="2">
        <v>59.0</v>
      </c>
      <c r="H1075" s="2">
        <v>49.0</v>
      </c>
      <c r="I1075" s="2">
        <v>10.0</v>
      </c>
      <c r="J1075" s="2">
        <v>0.0</v>
      </c>
      <c r="K1075" s="2">
        <v>0.0</v>
      </c>
      <c r="L1075" s="2">
        <v>0.0</v>
      </c>
      <c r="M1075" s="2"/>
      <c r="N1075" s="2"/>
      <c r="O1075" s="2"/>
      <c r="P1075" s="2" t="s">
        <v>92</v>
      </c>
    </row>
    <row r="1076">
      <c r="A1076" s="1" t="s">
        <v>214</v>
      </c>
      <c r="B1076" s="4">
        <v>45295.29166666667</v>
      </c>
      <c r="C1076" s="2" t="s">
        <v>18</v>
      </c>
      <c r="D1076" s="2" t="s">
        <v>109</v>
      </c>
      <c r="E1076" s="2" t="s">
        <v>198</v>
      </c>
      <c r="F1076" s="2"/>
      <c r="G1076" s="2">
        <v>13.0</v>
      </c>
      <c r="H1076" s="2">
        <v>7.0</v>
      </c>
      <c r="I1076" s="2">
        <v>6.0</v>
      </c>
      <c r="J1076" s="2">
        <v>0.0</v>
      </c>
      <c r="K1076" s="2">
        <v>0.0</v>
      </c>
      <c r="L1076" s="2">
        <v>0.0</v>
      </c>
      <c r="M1076" s="2"/>
      <c r="N1076" s="2"/>
      <c r="O1076" s="2"/>
      <c r="P1076" s="2" t="s">
        <v>92</v>
      </c>
    </row>
    <row r="1077">
      <c r="A1077" s="1" t="s">
        <v>214</v>
      </c>
      <c r="B1077" s="4">
        <v>45296.29166666667</v>
      </c>
      <c r="C1077" s="2" t="s">
        <v>18</v>
      </c>
      <c r="D1077" s="2" t="s">
        <v>33</v>
      </c>
      <c r="E1077" s="2" t="s">
        <v>198</v>
      </c>
      <c r="F1077" s="2"/>
      <c r="G1077" s="2">
        <v>29.0</v>
      </c>
      <c r="H1077" s="2">
        <v>23.0</v>
      </c>
      <c r="I1077" s="2">
        <v>6.0</v>
      </c>
      <c r="J1077" s="2">
        <v>0.0</v>
      </c>
      <c r="K1077" s="2">
        <v>0.0</v>
      </c>
      <c r="L1077" s="2">
        <v>0.0</v>
      </c>
      <c r="M1077" s="2"/>
      <c r="N1077" s="2"/>
      <c r="O1077" s="2"/>
      <c r="P1077" s="2" t="s">
        <v>92</v>
      </c>
    </row>
    <row r="1078">
      <c r="A1078" s="1" t="s">
        <v>215</v>
      </c>
      <c r="B1078" s="2" t="s">
        <v>17</v>
      </c>
      <c r="C1078" s="2" t="s">
        <v>18</v>
      </c>
      <c r="D1078" s="2" t="s">
        <v>79</v>
      </c>
      <c r="E1078" s="2" t="s">
        <v>165</v>
      </c>
      <c r="F1078" s="2">
        <v>15.0</v>
      </c>
      <c r="G1078" s="2">
        <v>47.0</v>
      </c>
      <c r="H1078" s="2">
        <v>15.0</v>
      </c>
      <c r="I1078" s="2">
        <v>32.0</v>
      </c>
      <c r="J1078" s="2">
        <v>0.0</v>
      </c>
      <c r="K1078" s="2">
        <v>0.0</v>
      </c>
      <c r="L1078" s="2">
        <v>0.0</v>
      </c>
      <c r="M1078" s="2">
        <v>0.0</v>
      </c>
      <c r="N1078" s="2"/>
      <c r="O1078" s="2"/>
      <c r="P1078" s="2" t="s">
        <v>166</v>
      </c>
    </row>
    <row r="1079">
      <c r="A1079" s="1" t="s">
        <v>215</v>
      </c>
      <c r="B1079" s="2" t="s">
        <v>17</v>
      </c>
      <c r="C1079" s="2" t="s">
        <v>18</v>
      </c>
      <c r="D1079" s="2" t="s">
        <v>23</v>
      </c>
      <c r="E1079" s="2" t="s">
        <v>165</v>
      </c>
      <c r="F1079" s="2">
        <v>15.0</v>
      </c>
      <c r="G1079" s="2">
        <v>47.0</v>
      </c>
      <c r="H1079" s="2">
        <v>15.0</v>
      </c>
      <c r="I1079" s="2">
        <v>32.0</v>
      </c>
      <c r="J1079" s="2">
        <v>0.0</v>
      </c>
      <c r="K1079" s="2">
        <v>0.0</v>
      </c>
      <c r="L1079" s="2">
        <v>0.0</v>
      </c>
      <c r="M1079" s="2">
        <v>0.0</v>
      </c>
      <c r="N1079" s="2">
        <v>0.0</v>
      </c>
      <c r="O1079" s="2">
        <v>-15.0</v>
      </c>
      <c r="P1079" s="2" t="s">
        <v>166</v>
      </c>
    </row>
    <row r="1080">
      <c r="A1080" s="1" t="s">
        <v>215</v>
      </c>
      <c r="B1080" s="4">
        <v>45292.29166666667</v>
      </c>
      <c r="C1080" s="2" t="s">
        <v>18</v>
      </c>
      <c r="D1080" s="2" t="s">
        <v>79</v>
      </c>
      <c r="E1080" s="2" t="s">
        <v>165</v>
      </c>
      <c r="F1080" s="2"/>
      <c r="G1080" s="2">
        <v>47.0</v>
      </c>
      <c r="H1080" s="2">
        <v>15.0</v>
      </c>
      <c r="I1080" s="2">
        <v>32.0</v>
      </c>
      <c r="J1080" s="2">
        <v>0.0</v>
      </c>
      <c r="K1080" s="2">
        <v>0.0</v>
      </c>
      <c r="L1080" s="2">
        <v>0.0</v>
      </c>
      <c r="M1080" s="2"/>
      <c r="N1080" s="2"/>
      <c r="O1080" s="2"/>
      <c r="P1080" s="2" t="s">
        <v>166</v>
      </c>
    </row>
    <row r="1081">
      <c r="A1081" s="1" t="s">
        <v>216</v>
      </c>
      <c r="B1081" s="2" t="s">
        <v>17</v>
      </c>
      <c r="C1081" s="2" t="s">
        <v>18</v>
      </c>
      <c r="D1081" s="2" t="s">
        <v>157</v>
      </c>
      <c r="E1081" s="2" t="s">
        <v>114</v>
      </c>
      <c r="F1081" s="2">
        <v>25.0</v>
      </c>
      <c r="G1081" s="2">
        <v>29.0</v>
      </c>
      <c r="H1081" s="2">
        <v>17.0</v>
      </c>
      <c r="I1081" s="2">
        <v>12.0</v>
      </c>
      <c r="J1081" s="2">
        <v>0.0</v>
      </c>
      <c r="K1081" s="2">
        <v>0.0</v>
      </c>
      <c r="L1081" s="2">
        <v>0.0</v>
      </c>
      <c r="M1081" s="2">
        <v>8.0</v>
      </c>
      <c r="N1081" s="2"/>
      <c r="O1081" s="2"/>
      <c r="P1081" s="2" t="s">
        <v>153</v>
      </c>
    </row>
    <row r="1082">
      <c r="A1082" s="1" t="s">
        <v>216</v>
      </c>
      <c r="B1082" s="2" t="s">
        <v>17</v>
      </c>
      <c r="C1082" s="2" t="s">
        <v>18</v>
      </c>
      <c r="D1082" s="2" t="s">
        <v>19</v>
      </c>
      <c r="E1082" s="2" t="s">
        <v>114</v>
      </c>
      <c r="F1082" s="2">
        <v>25.0</v>
      </c>
      <c r="G1082" s="2">
        <v>36.0</v>
      </c>
      <c r="H1082" s="2">
        <v>24.0</v>
      </c>
      <c r="I1082" s="2">
        <v>12.0</v>
      </c>
      <c r="J1082" s="2">
        <v>0.0</v>
      </c>
      <c r="K1082" s="2">
        <v>0.0</v>
      </c>
      <c r="L1082" s="2">
        <v>0.0</v>
      </c>
      <c r="M1082" s="2">
        <v>1.0</v>
      </c>
      <c r="N1082" s="2"/>
      <c r="O1082" s="2"/>
      <c r="P1082" s="2" t="s">
        <v>153</v>
      </c>
    </row>
    <row r="1083">
      <c r="A1083" s="1" t="s">
        <v>216</v>
      </c>
      <c r="B1083" s="10" t="s">
        <v>17</v>
      </c>
      <c r="C1083" s="2" t="s">
        <v>18</v>
      </c>
      <c r="D1083" s="15" t="s">
        <v>23</v>
      </c>
      <c r="E1083" s="2" t="s">
        <v>114</v>
      </c>
      <c r="F1083" s="2">
        <v>50.0</v>
      </c>
      <c r="G1083" s="2">
        <v>65.0</v>
      </c>
      <c r="H1083" s="2">
        <v>41.0</v>
      </c>
      <c r="I1083" s="2">
        <v>24.0</v>
      </c>
      <c r="J1083" s="2">
        <v>0.0</v>
      </c>
      <c r="K1083" s="2">
        <v>0.0</v>
      </c>
      <c r="L1083" s="2">
        <v>0.0</v>
      </c>
      <c r="M1083" s="2">
        <v>9.0</v>
      </c>
      <c r="N1083" s="2">
        <v>0.0</v>
      </c>
      <c r="O1083" s="2">
        <v>-32.0</v>
      </c>
      <c r="P1083" s="2" t="s">
        <v>153</v>
      </c>
    </row>
    <row r="1084">
      <c r="A1084" s="13" t="s">
        <v>216</v>
      </c>
      <c r="B1084" s="4">
        <v>45294.29166666667</v>
      </c>
      <c r="C1084" s="2" t="s">
        <v>18</v>
      </c>
      <c r="D1084" s="2" t="s">
        <v>157</v>
      </c>
      <c r="E1084" s="2" t="s">
        <v>114</v>
      </c>
      <c r="F1084" s="2"/>
      <c r="G1084" s="2">
        <v>29.0</v>
      </c>
      <c r="H1084" s="2">
        <v>17.0</v>
      </c>
      <c r="I1084" s="2">
        <v>12.0</v>
      </c>
      <c r="J1084" s="2">
        <v>0.0</v>
      </c>
      <c r="K1084" s="2">
        <v>0.0</v>
      </c>
      <c r="L1084" s="2">
        <v>0.0</v>
      </c>
      <c r="M1084" s="2"/>
      <c r="N1084" s="2"/>
      <c r="O1084" s="2"/>
      <c r="P1084" s="2" t="s">
        <v>153</v>
      </c>
    </row>
    <row r="1085">
      <c r="A1085" s="1" t="s">
        <v>216</v>
      </c>
      <c r="B1085" s="4">
        <v>45295.29166666667</v>
      </c>
      <c r="C1085" s="2" t="s">
        <v>18</v>
      </c>
      <c r="D1085" s="2" t="s">
        <v>19</v>
      </c>
      <c r="E1085" s="2" t="s">
        <v>114</v>
      </c>
      <c r="F1085" s="2"/>
      <c r="G1085" s="2">
        <v>36.0</v>
      </c>
      <c r="H1085" s="2">
        <v>24.0</v>
      </c>
      <c r="I1085" s="2">
        <v>12.0</v>
      </c>
      <c r="J1085" s="2">
        <v>0.0</v>
      </c>
      <c r="K1085" s="2">
        <v>0.0</v>
      </c>
      <c r="L1085" s="2">
        <v>0.0</v>
      </c>
      <c r="M1085" s="2"/>
      <c r="N1085" s="2"/>
      <c r="O1085" s="2"/>
      <c r="P1085" s="2" t="s">
        <v>153</v>
      </c>
    </row>
    <row r="1086">
      <c r="A1086" s="1" t="s">
        <v>217</v>
      </c>
      <c r="B1086" s="2" t="s">
        <v>17</v>
      </c>
      <c r="C1086" s="2" t="s">
        <v>18</v>
      </c>
      <c r="D1086" s="2" t="s">
        <v>19</v>
      </c>
      <c r="E1086" s="2" t="s">
        <v>170</v>
      </c>
      <c r="F1086" s="2">
        <v>15.0</v>
      </c>
      <c r="G1086" s="2">
        <v>0.0</v>
      </c>
      <c r="H1086" s="2">
        <v>0.0</v>
      </c>
      <c r="I1086" s="2">
        <v>0.0</v>
      </c>
      <c r="J1086" s="2">
        <v>0.0</v>
      </c>
      <c r="K1086" s="2">
        <v>0.0</v>
      </c>
      <c r="L1086" s="2">
        <v>0.0</v>
      </c>
      <c r="M1086" s="2">
        <v>15.0</v>
      </c>
      <c r="N1086" s="2"/>
      <c r="O1086" s="2"/>
      <c r="P1086" s="2" t="s">
        <v>92</v>
      </c>
    </row>
    <row r="1087">
      <c r="A1087" s="1" t="s">
        <v>217</v>
      </c>
      <c r="B1087" s="2" t="s">
        <v>17</v>
      </c>
      <c r="C1087" s="2" t="s">
        <v>18</v>
      </c>
      <c r="D1087" s="2" t="s">
        <v>127</v>
      </c>
      <c r="E1087" s="2" t="s">
        <v>170</v>
      </c>
      <c r="F1087" s="2">
        <v>32.0</v>
      </c>
      <c r="G1087" s="2">
        <v>40.0</v>
      </c>
      <c r="H1087" s="2">
        <v>33.0</v>
      </c>
      <c r="I1087" s="2">
        <v>7.0</v>
      </c>
      <c r="J1087" s="2">
        <v>0.0</v>
      </c>
      <c r="K1087" s="2">
        <v>0.0</v>
      </c>
      <c r="L1087" s="2">
        <v>0.0</v>
      </c>
      <c r="M1087" s="2">
        <v>-1.0</v>
      </c>
      <c r="N1087" s="2"/>
      <c r="O1087" s="2"/>
      <c r="P1087" s="2" t="s">
        <v>92</v>
      </c>
    </row>
    <row r="1088">
      <c r="A1088" s="1" t="s">
        <v>217</v>
      </c>
      <c r="B1088" s="2" t="s">
        <v>17</v>
      </c>
      <c r="C1088" s="2" t="s">
        <v>18</v>
      </c>
      <c r="D1088" s="2" t="s">
        <v>23</v>
      </c>
      <c r="E1088" s="2" t="s">
        <v>170</v>
      </c>
      <c r="F1088" s="2">
        <v>48.0</v>
      </c>
      <c r="G1088" s="2">
        <v>40.0</v>
      </c>
      <c r="H1088" s="2">
        <v>33.0</v>
      </c>
      <c r="I1088" s="2">
        <v>7.0</v>
      </c>
      <c r="J1088" s="2">
        <v>0.0</v>
      </c>
      <c r="K1088" s="2">
        <v>0.0</v>
      </c>
      <c r="L1088" s="2">
        <v>0.0</v>
      </c>
      <c r="M1088" s="2">
        <v>15.0</v>
      </c>
      <c r="N1088" s="2">
        <v>1.0</v>
      </c>
      <c r="O1088" s="2">
        <v>-18.0</v>
      </c>
      <c r="P1088" s="2" t="s">
        <v>92</v>
      </c>
    </row>
    <row r="1089">
      <c r="A1089" s="1" t="s">
        <v>217</v>
      </c>
      <c r="B1089" s="4">
        <v>45262.29166666667</v>
      </c>
      <c r="C1089" s="2" t="s">
        <v>18</v>
      </c>
      <c r="D1089" s="2" t="s">
        <v>127</v>
      </c>
      <c r="E1089" s="2" t="s">
        <v>170</v>
      </c>
      <c r="F1089" s="2"/>
      <c r="G1089" s="2">
        <v>9.0</v>
      </c>
      <c r="H1089" s="2">
        <v>6.0</v>
      </c>
      <c r="I1089" s="2">
        <v>3.0</v>
      </c>
      <c r="J1089" s="2">
        <v>0.0</v>
      </c>
      <c r="K1089" s="2">
        <v>0.0</v>
      </c>
      <c r="L1089" s="2">
        <v>0.0</v>
      </c>
      <c r="M1089" s="2"/>
      <c r="N1089" s="2"/>
      <c r="O1089" s="2"/>
      <c r="P1089" s="2" t="s">
        <v>92</v>
      </c>
    </row>
    <row r="1090">
      <c r="A1090" s="1" t="s">
        <v>217</v>
      </c>
      <c r="B1090" s="4">
        <v>45292.29166666667</v>
      </c>
      <c r="C1090" s="2" t="s">
        <v>18</v>
      </c>
      <c r="D1090" s="2" t="s">
        <v>127</v>
      </c>
      <c r="E1090" s="2" t="s">
        <v>170</v>
      </c>
      <c r="F1090" s="2"/>
      <c r="G1090" s="2">
        <v>31.0</v>
      </c>
      <c r="H1090" s="2">
        <v>27.0</v>
      </c>
      <c r="I1090" s="2">
        <v>4.0</v>
      </c>
      <c r="J1090" s="2">
        <v>0.0</v>
      </c>
      <c r="K1090" s="2">
        <v>0.0</v>
      </c>
      <c r="L1090" s="2">
        <v>0.0</v>
      </c>
      <c r="M1090" s="2"/>
      <c r="N1090" s="2"/>
      <c r="O1090" s="2"/>
      <c r="P1090" s="2" t="s">
        <v>92</v>
      </c>
    </row>
    <row r="1091">
      <c r="A1091" s="1" t="s">
        <v>218</v>
      </c>
      <c r="B1091" s="2" t="s">
        <v>17</v>
      </c>
      <c r="C1091" s="2" t="s">
        <v>18</v>
      </c>
      <c r="D1091" s="2" t="s">
        <v>164</v>
      </c>
      <c r="E1091" s="2" t="s">
        <v>168</v>
      </c>
      <c r="F1091" s="2">
        <v>50.0</v>
      </c>
      <c r="G1091" s="2">
        <v>88.0</v>
      </c>
      <c r="H1091" s="2">
        <v>50.0</v>
      </c>
      <c r="I1091" s="2">
        <v>38.0</v>
      </c>
      <c r="J1091" s="2">
        <v>0.0</v>
      </c>
      <c r="K1091" s="2">
        <v>0.0</v>
      </c>
      <c r="L1091" s="2">
        <v>0.0</v>
      </c>
      <c r="M1091" s="2">
        <v>0.0</v>
      </c>
      <c r="N1091" s="2"/>
      <c r="O1091" s="2"/>
      <c r="P1091" s="2" t="s">
        <v>166</v>
      </c>
    </row>
    <row r="1092">
      <c r="A1092" s="1" t="s">
        <v>218</v>
      </c>
      <c r="B1092" s="2" t="s">
        <v>17</v>
      </c>
      <c r="C1092" s="2" t="s">
        <v>18</v>
      </c>
      <c r="D1092" s="2" t="s">
        <v>23</v>
      </c>
      <c r="E1092" s="2" t="s">
        <v>168</v>
      </c>
      <c r="F1092" s="2">
        <v>50.0</v>
      </c>
      <c r="G1092" s="2">
        <v>88.0</v>
      </c>
      <c r="H1092" s="2">
        <v>50.0</v>
      </c>
      <c r="I1092" s="2">
        <v>38.0</v>
      </c>
      <c r="J1092" s="2">
        <v>0.0</v>
      </c>
      <c r="K1092" s="2">
        <v>0.0</v>
      </c>
      <c r="L1092" s="2">
        <v>0.0</v>
      </c>
      <c r="M1092" s="2">
        <v>0.0</v>
      </c>
      <c r="N1092" s="2">
        <v>0.0</v>
      </c>
      <c r="O1092" s="2">
        <v>-50.0</v>
      </c>
      <c r="P1092" s="2" t="s">
        <v>166</v>
      </c>
    </row>
    <row r="1093">
      <c r="A1093" s="1" t="s">
        <v>218</v>
      </c>
      <c r="B1093" s="4">
        <v>45294.29166666667</v>
      </c>
      <c r="C1093" s="2" t="s">
        <v>18</v>
      </c>
      <c r="D1093" s="2" t="s">
        <v>164</v>
      </c>
      <c r="E1093" s="2" t="s">
        <v>168</v>
      </c>
      <c r="F1093" s="2"/>
      <c r="G1093" s="2">
        <v>88.0</v>
      </c>
      <c r="H1093" s="2">
        <v>50.0</v>
      </c>
      <c r="I1093" s="2">
        <v>38.0</v>
      </c>
      <c r="J1093" s="2">
        <v>0.0</v>
      </c>
      <c r="K1093" s="2">
        <v>0.0</v>
      </c>
      <c r="L1093" s="2">
        <v>0.0</v>
      </c>
      <c r="M1093" s="2"/>
      <c r="N1093" s="2"/>
      <c r="O1093" s="2"/>
      <c r="P1093" s="2" t="s">
        <v>166</v>
      </c>
    </row>
    <row r="1094">
      <c r="A1094" s="3" t="s">
        <v>132</v>
      </c>
      <c r="B1094" s="4">
        <v>45323.29166666667</v>
      </c>
      <c r="C1094" s="2" t="s">
        <v>18</v>
      </c>
      <c r="D1094" s="2" t="s">
        <v>164</v>
      </c>
      <c r="E1094" s="2" t="s">
        <v>168</v>
      </c>
      <c r="F1094" s="2"/>
      <c r="G1094" s="2">
        <v>0.0</v>
      </c>
      <c r="H1094" s="2">
        <v>0.0</v>
      </c>
      <c r="I1094" s="2">
        <v>0.0</v>
      </c>
      <c r="J1094" s="2">
        <v>0.0</v>
      </c>
      <c r="K1094" s="2">
        <v>0.0</v>
      </c>
      <c r="L1094" s="2">
        <v>0.0</v>
      </c>
      <c r="M1094" s="2"/>
      <c r="N1094" s="2"/>
      <c r="O1094" s="2"/>
      <c r="P1094" s="2" t="s">
        <v>166</v>
      </c>
    </row>
    <row r="1095">
      <c r="A1095" s="1" t="s">
        <v>219</v>
      </c>
      <c r="B1095" s="2" t="s">
        <v>17</v>
      </c>
      <c r="C1095" s="2" t="s">
        <v>18</v>
      </c>
      <c r="D1095" s="2" t="s">
        <v>157</v>
      </c>
      <c r="E1095" s="2" t="s">
        <v>170</v>
      </c>
      <c r="F1095" s="2">
        <v>26.0</v>
      </c>
      <c r="G1095" s="2">
        <v>37.0</v>
      </c>
      <c r="H1095" s="2">
        <v>26.0</v>
      </c>
      <c r="I1095" s="2">
        <v>11.0</v>
      </c>
      <c r="J1095" s="2">
        <v>0.0</v>
      </c>
      <c r="K1095" s="2">
        <v>0.0</v>
      </c>
      <c r="L1095" s="2">
        <v>0.0</v>
      </c>
      <c r="M1095" s="2">
        <v>0.0</v>
      </c>
      <c r="N1095" s="2"/>
      <c r="O1095" s="2"/>
      <c r="P1095" s="2" t="s">
        <v>92</v>
      </c>
    </row>
    <row r="1096">
      <c r="A1096" s="1" t="s">
        <v>219</v>
      </c>
      <c r="B1096" s="10" t="s">
        <v>17</v>
      </c>
      <c r="C1096" s="2" t="s">
        <v>57</v>
      </c>
      <c r="D1096" s="2" t="s">
        <v>30</v>
      </c>
      <c r="E1096" s="2" t="s">
        <v>170</v>
      </c>
      <c r="F1096" s="2">
        <v>23.0</v>
      </c>
      <c r="G1096" s="2">
        <v>28.0</v>
      </c>
      <c r="H1096" s="2">
        <v>23.0</v>
      </c>
      <c r="I1096" s="2">
        <v>5.0</v>
      </c>
      <c r="J1096" s="2">
        <v>0.0</v>
      </c>
      <c r="K1096" s="2">
        <v>0.0</v>
      </c>
      <c r="L1096" s="2">
        <v>0.0</v>
      </c>
      <c r="M1096" s="2">
        <v>0.0</v>
      </c>
      <c r="N1096" s="2"/>
      <c r="O1096" s="2"/>
      <c r="P1096" s="2" t="s">
        <v>92</v>
      </c>
    </row>
    <row r="1097">
      <c r="A1097" s="14" t="s">
        <v>219</v>
      </c>
      <c r="B1097" s="2" t="s">
        <v>17</v>
      </c>
      <c r="C1097" s="2" t="s">
        <v>148</v>
      </c>
      <c r="D1097" s="2" t="s">
        <v>19</v>
      </c>
      <c r="E1097" s="2" t="s">
        <v>170</v>
      </c>
      <c r="F1097" s="2">
        <v>47.0</v>
      </c>
      <c r="G1097" s="2">
        <v>0.0</v>
      </c>
      <c r="H1097" s="2">
        <v>0.0</v>
      </c>
      <c r="I1097" s="2">
        <v>0.0</v>
      </c>
      <c r="J1097" s="2">
        <v>0.0</v>
      </c>
      <c r="K1097" s="2">
        <v>0.0</v>
      </c>
      <c r="L1097" s="2">
        <v>0.0</v>
      </c>
      <c r="M1097" s="2">
        <v>47.0</v>
      </c>
      <c r="N1097" s="2"/>
      <c r="O1097" s="2"/>
      <c r="P1097" s="2" t="s">
        <v>92</v>
      </c>
    </row>
    <row r="1098">
      <c r="A1098" s="1" t="s">
        <v>219</v>
      </c>
      <c r="B1098" s="2" t="s">
        <v>17</v>
      </c>
      <c r="C1098" s="2" t="s">
        <v>18</v>
      </c>
      <c r="D1098" s="2" t="s">
        <v>23</v>
      </c>
      <c r="E1098" s="2" t="s">
        <v>170</v>
      </c>
      <c r="F1098" s="2">
        <v>49.0</v>
      </c>
      <c r="G1098" s="2">
        <v>65.0</v>
      </c>
      <c r="H1098" s="2">
        <v>49.0</v>
      </c>
      <c r="I1098" s="2">
        <v>16.0</v>
      </c>
      <c r="J1098" s="2">
        <v>0.0</v>
      </c>
      <c r="K1098" s="2">
        <v>0.0</v>
      </c>
      <c r="L1098" s="2">
        <v>0.0</v>
      </c>
      <c r="M1098" s="2">
        <v>0.0</v>
      </c>
      <c r="N1098" s="2">
        <v>-47.0</v>
      </c>
      <c r="O1098" s="2">
        <v>-49.0</v>
      </c>
      <c r="P1098" s="2" t="s">
        <v>92</v>
      </c>
    </row>
    <row r="1099">
      <c r="A1099" s="1" t="s">
        <v>219</v>
      </c>
      <c r="B1099" s="4">
        <v>45293.29166666667</v>
      </c>
      <c r="C1099" s="2" t="s">
        <v>18</v>
      </c>
      <c r="D1099" s="2" t="s">
        <v>157</v>
      </c>
      <c r="E1099" s="2" t="s">
        <v>170</v>
      </c>
      <c r="F1099" s="2"/>
      <c r="G1099" s="2">
        <v>37.0</v>
      </c>
      <c r="H1099" s="2">
        <v>26.0</v>
      </c>
      <c r="I1099" s="2">
        <v>11.0</v>
      </c>
      <c r="J1099" s="2">
        <v>0.0</v>
      </c>
      <c r="K1099" s="2">
        <v>0.0</v>
      </c>
      <c r="L1099" s="2">
        <v>0.0</v>
      </c>
      <c r="M1099" s="2"/>
      <c r="N1099" s="2"/>
      <c r="O1099" s="2"/>
      <c r="P1099" s="2" t="s">
        <v>92</v>
      </c>
    </row>
    <row r="1100">
      <c r="A1100" s="1" t="s">
        <v>219</v>
      </c>
      <c r="B1100" s="4">
        <v>45294.29166666667</v>
      </c>
      <c r="C1100" s="2" t="s">
        <v>18</v>
      </c>
      <c r="D1100" s="2" t="s">
        <v>30</v>
      </c>
      <c r="E1100" s="2" t="s">
        <v>170</v>
      </c>
      <c r="F1100" s="2"/>
      <c r="G1100" s="2">
        <v>28.0</v>
      </c>
      <c r="H1100" s="2">
        <v>23.0</v>
      </c>
      <c r="I1100" s="2">
        <v>5.0</v>
      </c>
      <c r="J1100" s="2">
        <v>0.0</v>
      </c>
      <c r="K1100" s="2">
        <v>0.0</v>
      </c>
      <c r="L1100" s="2">
        <v>0.0</v>
      </c>
      <c r="M1100" s="2"/>
      <c r="N1100" s="2"/>
      <c r="O1100" s="2"/>
      <c r="P1100" s="2" t="s">
        <v>92</v>
      </c>
    </row>
    <row r="1101">
      <c r="A1101" s="1" t="s">
        <v>220</v>
      </c>
      <c r="B1101" s="2" t="s">
        <v>17</v>
      </c>
      <c r="C1101" s="2" t="s">
        <v>18</v>
      </c>
      <c r="D1101" s="2" t="s">
        <v>91</v>
      </c>
      <c r="E1101" s="2" t="s">
        <v>27</v>
      </c>
      <c r="F1101" s="2">
        <v>40.0</v>
      </c>
      <c r="G1101" s="2">
        <v>27.0</v>
      </c>
      <c r="H1101" s="2">
        <v>20.0</v>
      </c>
      <c r="I1101" s="2">
        <v>7.0</v>
      </c>
      <c r="J1101" s="2">
        <v>0.0</v>
      </c>
      <c r="K1101" s="2">
        <v>0.0</v>
      </c>
      <c r="L1101" s="2">
        <v>0.0</v>
      </c>
      <c r="M1101" s="2">
        <v>20.0</v>
      </c>
      <c r="N1101" s="2"/>
      <c r="O1101" s="2"/>
      <c r="P1101" s="2" t="s">
        <v>146</v>
      </c>
    </row>
    <row r="1102">
      <c r="A1102" s="1" t="s">
        <v>220</v>
      </c>
      <c r="B1102" s="2" t="s">
        <v>17</v>
      </c>
      <c r="C1102" s="2" t="s">
        <v>148</v>
      </c>
      <c r="D1102" s="2" t="s">
        <v>19</v>
      </c>
      <c r="E1102" s="2" t="s">
        <v>27</v>
      </c>
      <c r="F1102" s="2">
        <v>43.0</v>
      </c>
      <c r="G1102" s="2">
        <v>2.0</v>
      </c>
      <c r="H1102" s="2">
        <v>0.0</v>
      </c>
      <c r="I1102" s="2">
        <v>2.0</v>
      </c>
      <c r="J1102" s="2">
        <v>0.0</v>
      </c>
      <c r="K1102" s="2">
        <v>0.0</v>
      </c>
      <c r="L1102" s="2">
        <v>0.0</v>
      </c>
      <c r="M1102" s="2">
        <v>43.0</v>
      </c>
      <c r="N1102" s="2"/>
      <c r="O1102" s="2"/>
      <c r="P1102" s="2" t="s">
        <v>146</v>
      </c>
    </row>
    <row r="1103">
      <c r="A1103" s="1" t="s">
        <v>220</v>
      </c>
      <c r="B1103" s="2" t="s">
        <v>17</v>
      </c>
      <c r="C1103" s="2" t="s">
        <v>18</v>
      </c>
      <c r="D1103" s="2" t="s">
        <v>23</v>
      </c>
      <c r="E1103" s="2" t="s">
        <v>27</v>
      </c>
      <c r="F1103" s="2">
        <v>40.0</v>
      </c>
      <c r="G1103" s="2">
        <v>29.0</v>
      </c>
      <c r="H1103" s="2">
        <v>20.0</v>
      </c>
      <c r="I1103" s="2">
        <v>9.0</v>
      </c>
      <c r="J1103" s="2">
        <v>0.0</v>
      </c>
      <c r="K1103" s="2">
        <v>0.0</v>
      </c>
      <c r="L1103" s="2">
        <v>0.0</v>
      </c>
      <c r="M1103" s="2">
        <v>20.0</v>
      </c>
      <c r="N1103" s="2">
        <v>-43.0</v>
      </c>
      <c r="O1103" s="2">
        <v>0.0</v>
      </c>
      <c r="P1103" s="2" t="s">
        <v>146</v>
      </c>
    </row>
    <row r="1104">
      <c r="A1104" s="1" t="s">
        <v>220</v>
      </c>
      <c r="B1104" s="4">
        <v>45079.29166666667</v>
      </c>
      <c r="C1104" s="2" t="s">
        <v>18</v>
      </c>
      <c r="D1104" s="2" t="s">
        <v>19</v>
      </c>
      <c r="E1104" s="2" t="s">
        <v>27</v>
      </c>
      <c r="F1104" s="2"/>
      <c r="G1104" s="2">
        <v>2.0</v>
      </c>
      <c r="H1104" s="2">
        <v>0.0</v>
      </c>
      <c r="I1104" s="2">
        <v>2.0</v>
      </c>
      <c r="J1104" s="2">
        <v>0.0</v>
      </c>
      <c r="K1104" s="2">
        <v>0.0</v>
      </c>
      <c r="L1104" s="2">
        <v>0.0</v>
      </c>
      <c r="M1104" s="2"/>
      <c r="N1104" s="2"/>
      <c r="O1104" s="2"/>
      <c r="P1104" s="2" t="s">
        <v>146</v>
      </c>
    </row>
    <row r="1105">
      <c r="A1105" s="1" t="s">
        <v>220</v>
      </c>
      <c r="B1105" s="4">
        <v>45232.25</v>
      </c>
      <c r="C1105" s="2" t="s">
        <v>18</v>
      </c>
      <c r="D1105" s="2" t="s">
        <v>91</v>
      </c>
      <c r="E1105" s="2" t="s">
        <v>27</v>
      </c>
      <c r="F1105" s="2"/>
      <c r="G1105" s="2">
        <v>26.0</v>
      </c>
      <c r="H1105" s="2">
        <v>19.0</v>
      </c>
      <c r="I1105" s="2">
        <v>7.0</v>
      </c>
      <c r="J1105" s="2">
        <v>0.0</v>
      </c>
      <c r="K1105" s="2">
        <v>0.0</v>
      </c>
      <c r="L1105" s="2">
        <v>0.0</v>
      </c>
      <c r="M1105" s="2"/>
      <c r="N1105" s="2"/>
      <c r="O1105" s="2"/>
      <c r="P1105" s="2" t="s">
        <v>146</v>
      </c>
    </row>
    <row r="1106">
      <c r="A1106" s="1" t="s">
        <v>220</v>
      </c>
      <c r="B1106" s="4">
        <v>45262.29166666667</v>
      </c>
      <c r="C1106" s="2" t="s">
        <v>18</v>
      </c>
      <c r="D1106" s="2" t="s">
        <v>91</v>
      </c>
      <c r="E1106" s="2" t="s">
        <v>27</v>
      </c>
      <c r="F1106" s="2"/>
      <c r="G1106" s="2">
        <v>1.0</v>
      </c>
      <c r="H1106" s="2">
        <v>1.0</v>
      </c>
      <c r="I1106" s="2">
        <v>0.0</v>
      </c>
      <c r="J1106" s="2">
        <v>0.0</v>
      </c>
      <c r="K1106" s="2">
        <v>0.0</v>
      </c>
      <c r="L1106" s="2">
        <v>0.0</v>
      </c>
      <c r="M1106" s="2"/>
      <c r="N1106" s="2"/>
      <c r="O1106" s="2"/>
      <c r="P1106" s="2" t="s">
        <v>146</v>
      </c>
    </row>
    <row r="1107">
      <c r="A1107" s="1" t="s">
        <v>221</v>
      </c>
      <c r="B1107" s="10" t="s">
        <v>17</v>
      </c>
      <c r="C1107" s="2" t="s">
        <v>18</v>
      </c>
      <c r="D1107" s="2" t="s">
        <v>157</v>
      </c>
      <c r="E1107" s="2" t="s">
        <v>27</v>
      </c>
      <c r="F1107" s="2">
        <v>30.0</v>
      </c>
      <c r="G1107" s="2">
        <v>40.0</v>
      </c>
      <c r="H1107" s="2">
        <v>9.0</v>
      </c>
      <c r="I1107" s="2">
        <v>30.0</v>
      </c>
      <c r="J1107" s="2">
        <v>1.0</v>
      </c>
      <c r="K1107" s="2">
        <v>0.0</v>
      </c>
      <c r="L1107" s="2">
        <v>0.0</v>
      </c>
      <c r="M1107" s="2">
        <v>21.0</v>
      </c>
      <c r="N1107" s="2"/>
      <c r="O1107" s="2"/>
      <c r="P1107" s="2" t="s">
        <v>111</v>
      </c>
    </row>
    <row r="1108">
      <c r="A1108" s="1" t="s">
        <v>221</v>
      </c>
      <c r="B1108" s="2" t="s">
        <v>17</v>
      </c>
      <c r="C1108" s="2" t="s">
        <v>18</v>
      </c>
      <c r="D1108" s="2" t="s">
        <v>91</v>
      </c>
      <c r="E1108" s="2" t="s">
        <v>27</v>
      </c>
      <c r="F1108" s="2">
        <v>35.0</v>
      </c>
      <c r="G1108" s="2">
        <v>34.0</v>
      </c>
      <c r="H1108" s="2">
        <v>30.0</v>
      </c>
      <c r="I1108" s="2">
        <v>4.0</v>
      </c>
      <c r="J1108" s="2">
        <v>0.0</v>
      </c>
      <c r="K1108" s="2">
        <v>0.0</v>
      </c>
      <c r="L1108" s="2">
        <v>0.0</v>
      </c>
      <c r="M1108" s="2">
        <v>5.0</v>
      </c>
      <c r="N1108" s="2"/>
      <c r="O1108" s="2"/>
      <c r="P1108" s="2" t="s">
        <v>111</v>
      </c>
    </row>
    <row r="1109">
      <c r="A1109" s="1" t="s">
        <v>221</v>
      </c>
      <c r="B1109" s="2" t="s">
        <v>17</v>
      </c>
      <c r="C1109" s="2" t="s">
        <v>148</v>
      </c>
      <c r="D1109" s="2" t="s">
        <v>19</v>
      </c>
      <c r="E1109" s="2" t="s">
        <v>27</v>
      </c>
      <c r="F1109" s="2">
        <v>65.0</v>
      </c>
      <c r="G1109" s="2">
        <v>0.0</v>
      </c>
      <c r="H1109" s="2">
        <v>0.0</v>
      </c>
      <c r="I1109" s="2">
        <v>0.0</v>
      </c>
      <c r="J1109" s="2">
        <v>0.0</v>
      </c>
      <c r="K1109" s="2">
        <v>0.0</v>
      </c>
      <c r="L1109" s="2">
        <v>0.0</v>
      </c>
      <c r="M1109" s="2">
        <v>65.0</v>
      </c>
      <c r="N1109" s="2"/>
      <c r="O1109" s="2"/>
      <c r="P1109" s="2" t="s">
        <v>111</v>
      </c>
    </row>
    <row r="1110">
      <c r="A1110" s="1" t="s">
        <v>221</v>
      </c>
      <c r="B1110" s="2" t="s">
        <v>17</v>
      </c>
      <c r="C1110" s="2" t="s">
        <v>18</v>
      </c>
      <c r="D1110" s="2" t="s">
        <v>23</v>
      </c>
      <c r="E1110" s="2" t="s">
        <v>27</v>
      </c>
      <c r="F1110" s="2">
        <v>65.0</v>
      </c>
      <c r="G1110" s="2">
        <v>74.0</v>
      </c>
      <c r="H1110" s="2">
        <v>39.0</v>
      </c>
      <c r="I1110" s="2">
        <v>34.0</v>
      </c>
      <c r="J1110" s="2">
        <v>1.0</v>
      </c>
      <c r="K1110" s="2">
        <v>0.0</v>
      </c>
      <c r="L1110" s="2">
        <v>0.0</v>
      </c>
      <c r="M1110" s="2">
        <v>26.0</v>
      </c>
      <c r="N1110" s="2">
        <v>-65.0</v>
      </c>
      <c r="O1110" s="2">
        <v>-13.0</v>
      </c>
      <c r="P1110" s="2" t="s">
        <v>111</v>
      </c>
    </row>
    <row r="1111">
      <c r="A1111" s="1" t="s">
        <v>221</v>
      </c>
      <c r="B1111" s="4">
        <v>45110.29166666667</v>
      </c>
      <c r="C1111" s="2" t="s">
        <v>18</v>
      </c>
      <c r="D1111" s="2" t="s">
        <v>157</v>
      </c>
      <c r="E1111" s="2" t="s">
        <v>27</v>
      </c>
      <c r="F1111" s="2"/>
      <c r="G1111" s="2">
        <v>22.0</v>
      </c>
      <c r="H1111" s="2">
        <v>0.0</v>
      </c>
      <c r="I1111" s="2">
        <v>22.0</v>
      </c>
      <c r="J1111" s="2">
        <v>0.0</v>
      </c>
      <c r="K1111" s="2">
        <v>0.0</v>
      </c>
      <c r="L1111" s="2">
        <v>0.0</v>
      </c>
      <c r="M1111" s="2"/>
      <c r="N1111" s="2"/>
      <c r="O1111" s="2"/>
      <c r="P1111" s="2" t="s">
        <v>111</v>
      </c>
    </row>
    <row r="1112">
      <c r="A1112" s="1" t="s">
        <v>221</v>
      </c>
      <c r="B1112" s="4">
        <v>45110.29166666667</v>
      </c>
      <c r="C1112" s="2" t="s">
        <v>18</v>
      </c>
      <c r="D1112" s="2" t="s">
        <v>91</v>
      </c>
      <c r="E1112" s="2" t="s">
        <v>27</v>
      </c>
      <c r="F1112" s="2"/>
      <c r="G1112" s="2">
        <v>0.0</v>
      </c>
      <c r="H1112" s="2">
        <v>0.0</v>
      </c>
      <c r="I1112" s="2">
        <v>0.0</v>
      </c>
      <c r="J1112" s="2">
        <v>0.0</v>
      </c>
      <c r="K1112" s="2">
        <v>0.0</v>
      </c>
      <c r="L1112" s="2">
        <v>0.0</v>
      </c>
      <c r="M1112" s="2"/>
      <c r="N1112" s="2"/>
      <c r="O1112" s="2"/>
      <c r="P1112" s="2" t="s">
        <v>111</v>
      </c>
    </row>
    <row r="1113">
      <c r="A1113" s="1" t="s">
        <v>221</v>
      </c>
      <c r="B1113" s="4">
        <v>45232.25</v>
      </c>
      <c r="C1113" s="2" t="s">
        <v>18</v>
      </c>
      <c r="D1113" s="2" t="s">
        <v>157</v>
      </c>
      <c r="E1113" s="2" t="s">
        <v>27</v>
      </c>
      <c r="F1113" s="2"/>
      <c r="G1113" s="2">
        <v>13.0</v>
      </c>
      <c r="H1113" s="2">
        <v>4.0</v>
      </c>
      <c r="I1113" s="2">
        <v>8.0</v>
      </c>
      <c r="J1113" s="2">
        <v>1.0</v>
      </c>
      <c r="K1113" s="2">
        <v>0.0</v>
      </c>
      <c r="L1113" s="2">
        <v>0.0</v>
      </c>
      <c r="M1113" s="2"/>
      <c r="N1113" s="2"/>
      <c r="O1113" s="2"/>
      <c r="P1113" s="2" t="s">
        <v>111</v>
      </c>
    </row>
    <row r="1114">
      <c r="A1114" s="1" t="s">
        <v>221</v>
      </c>
      <c r="B1114" s="4">
        <v>45232.25</v>
      </c>
      <c r="C1114" s="2" t="s">
        <v>18</v>
      </c>
      <c r="D1114" s="2" t="s">
        <v>91</v>
      </c>
      <c r="E1114" s="2" t="s">
        <v>27</v>
      </c>
      <c r="F1114" s="2"/>
      <c r="G1114" s="2">
        <v>21.0</v>
      </c>
      <c r="H1114" s="2">
        <v>17.0</v>
      </c>
      <c r="I1114" s="2">
        <v>4.0</v>
      </c>
      <c r="J1114" s="2">
        <v>0.0</v>
      </c>
      <c r="K1114" s="2">
        <v>0.0</v>
      </c>
      <c r="L1114" s="2">
        <v>0.0</v>
      </c>
      <c r="M1114" s="2"/>
      <c r="N1114" s="2"/>
      <c r="O1114" s="2"/>
      <c r="P1114" s="2" t="s">
        <v>111</v>
      </c>
    </row>
    <row r="1115">
      <c r="A1115" s="1" t="s">
        <v>221</v>
      </c>
      <c r="B1115" s="4">
        <v>45262.29166666667</v>
      </c>
      <c r="C1115" s="2" t="s">
        <v>18</v>
      </c>
      <c r="D1115" s="2" t="s">
        <v>157</v>
      </c>
      <c r="E1115" s="2" t="s">
        <v>27</v>
      </c>
      <c r="F1115" s="2"/>
      <c r="G1115" s="2">
        <v>5.0</v>
      </c>
      <c r="H1115" s="2">
        <v>5.0</v>
      </c>
      <c r="I1115" s="2">
        <v>0.0</v>
      </c>
      <c r="J1115" s="2">
        <v>0.0</v>
      </c>
      <c r="K1115" s="2">
        <v>0.0</v>
      </c>
      <c r="L1115" s="2">
        <v>0.0</v>
      </c>
      <c r="M1115" s="2"/>
      <c r="N1115" s="2"/>
      <c r="O1115" s="2"/>
      <c r="P1115" s="2" t="s">
        <v>111</v>
      </c>
    </row>
    <row r="1116">
      <c r="A1116" s="1" t="s">
        <v>221</v>
      </c>
      <c r="B1116" s="4">
        <v>45262.29166666667</v>
      </c>
      <c r="C1116" s="2" t="s">
        <v>18</v>
      </c>
      <c r="D1116" s="2" t="s">
        <v>91</v>
      </c>
      <c r="E1116" s="2" t="s">
        <v>27</v>
      </c>
      <c r="F1116" s="2"/>
      <c r="G1116" s="2">
        <v>13.0</v>
      </c>
      <c r="H1116" s="2">
        <v>13.0</v>
      </c>
      <c r="I1116" s="2">
        <v>0.0</v>
      </c>
      <c r="J1116" s="2">
        <v>0.0</v>
      </c>
      <c r="K1116" s="2">
        <v>0.0</v>
      </c>
      <c r="L1116" s="2">
        <v>0.0</v>
      </c>
      <c r="M1116" s="2"/>
      <c r="N1116" s="2"/>
      <c r="O1116" s="2"/>
      <c r="P1116" s="2" t="s">
        <v>111</v>
      </c>
    </row>
    <row r="1117">
      <c r="A1117" s="1" t="s">
        <v>222</v>
      </c>
      <c r="B1117" s="2" t="s">
        <v>17</v>
      </c>
      <c r="C1117" s="2" t="s">
        <v>18</v>
      </c>
      <c r="D1117" s="2" t="s">
        <v>164</v>
      </c>
      <c r="E1117" s="2" t="s">
        <v>165</v>
      </c>
      <c r="F1117" s="2">
        <v>45.0</v>
      </c>
      <c r="G1117" s="2">
        <v>94.0</v>
      </c>
      <c r="H1117" s="2">
        <v>46.0</v>
      </c>
      <c r="I1117" s="2">
        <v>48.0</v>
      </c>
      <c r="J1117" s="2">
        <v>0.0</v>
      </c>
      <c r="K1117" s="2">
        <v>0.0</v>
      </c>
      <c r="L1117" s="2">
        <v>5.0</v>
      </c>
      <c r="M1117" s="2">
        <v>-1.0</v>
      </c>
      <c r="N1117" s="2"/>
      <c r="O1117" s="2"/>
      <c r="P1117" s="2" t="s">
        <v>166</v>
      </c>
    </row>
    <row r="1118">
      <c r="A1118" s="1" t="s">
        <v>222</v>
      </c>
      <c r="B1118" s="2" t="s">
        <v>17</v>
      </c>
      <c r="C1118" s="2" t="s">
        <v>18</v>
      </c>
      <c r="D1118" s="2" t="s">
        <v>23</v>
      </c>
      <c r="E1118" s="2" t="s">
        <v>165</v>
      </c>
      <c r="F1118" s="2">
        <v>45.0</v>
      </c>
      <c r="G1118" s="2">
        <v>94.0</v>
      </c>
      <c r="H1118" s="2">
        <v>46.0</v>
      </c>
      <c r="I1118" s="2">
        <v>48.0</v>
      </c>
      <c r="J1118" s="2">
        <v>0.0</v>
      </c>
      <c r="K1118" s="2">
        <v>0.0</v>
      </c>
      <c r="L1118" s="2">
        <v>5.0</v>
      </c>
      <c r="M1118" s="2">
        <v>-1.0</v>
      </c>
      <c r="N1118" s="2">
        <v>0.0</v>
      </c>
      <c r="O1118" s="2">
        <v>-47.0</v>
      </c>
      <c r="P1118" s="2" t="s">
        <v>166</v>
      </c>
    </row>
    <row r="1119">
      <c r="A1119" s="1" t="s">
        <v>222</v>
      </c>
      <c r="B1119" s="4">
        <v>45262.29166666667</v>
      </c>
      <c r="C1119" s="2" t="s">
        <v>18</v>
      </c>
      <c r="D1119" s="2" t="s">
        <v>164</v>
      </c>
      <c r="E1119" s="2" t="s">
        <v>165</v>
      </c>
      <c r="F1119" s="2"/>
      <c r="G1119" s="2">
        <v>8.0</v>
      </c>
      <c r="H1119" s="2">
        <v>1.0</v>
      </c>
      <c r="I1119" s="2">
        <v>7.0</v>
      </c>
      <c r="J1119" s="2">
        <v>0.0</v>
      </c>
      <c r="K1119" s="2">
        <v>0.0</v>
      </c>
      <c r="L1119" s="2">
        <v>0.0</v>
      </c>
      <c r="M1119" s="2"/>
      <c r="N1119" s="2"/>
      <c r="O1119" s="2"/>
      <c r="P1119" s="2" t="s">
        <v>166</v>
      </c>
    </row>
    <row r="1120">
      <c r="A1120" s="1" t="s">
        <v>222</v>
      </c>
      <c r="B1120" s="4">
        <v>45292.29166666667</v>
      </c>
      <c r="C1120" s="2" t="s">
        <v>18</v>
      </c>
      <c r="D1120" s="2" t="s">
        <v>164</v>
      </c>
      <c r="E1120" s="2" t="s">
        <v>165</v>
      </c>
      <c r="F1120" s="2"/>
      <c r="G1120" s="2">
        <v>86.0</v>
      </c>
      <c r="H1120" s="2">
        <v>45.0</v>
      </c>
      <c r="I1120" s="2">
        <v>41.0</v>
      </c>
      <c r="J1120" s="2">
        <v>0.0</v>
      </c>
      <c r="K1120" s="2">
        <v>0.0</v>
      </c>
      <c r="L1120" s="2">
        <v>5.0</v>
      </c>
      <c r="M1120" s="2"/>
      <c r="N1120" s="2"/>
      <c r="O1120" s="2"/>
      <c r="P1120" s="2" t="s">
        <v>166</v>
      </c>
    </row>
    <row r="1121">
      <c r="A1121" s="1" t="s">
        <v>223</v>
      </c>
      <c r="B1121" s="2" t="s">
        <v>17</v>
      </c>
      <c r="C1121" s="2" t="s">
        <v>18</v>
      </c>
      <c r="D1121" s="2" t="s">
        <v>164</v>
      </c>
      <c r="E1121" s="2" t="s">
        <v>165</v>
      </c>
      <c r="F1121" s="2">
        <v>25.0</v>
      </c>
      <c r="G1121" s="2">
        <v>55.0</v>
      </c>
      <c r="H1121" s="2">
        <v>25.0</v>
      </c>
      <c r="I1121" s="2">
        <v>30.0</v>
      </c>
      <c r="J1121" s="2">
        <v>0.0</v>
      </c>
      <c r="K1121" s="2">
        <v>0.0</v>
      </c>
      <c r="L1121" s="2">
        <v>0.0</v>
      </c>
      <c r="M1121" s="2">
        <v>0.0</v>
      </c>
      <c r="N1121" s="2"/>
      <c r="O1121" s="2"/>
      <c r="P1121" s="2" t="s">
        <v>166</v>
      </c>
    </row>
    <row r="1122">
      <c r="A1122" s="1" t="s">
        <v>223</v>
      </c>
      <c r="B1122" s="2" t="s">
        <v>17</v>
      </c>
      <c r="C1122" s="2" t="s">
        <v>18</v>
      </c>
      <c r="D1122" s="2" t="s">
        <v>164</v>
      </c>
      <c r="E1122" s="2" t="s">
        <v>27</v>
      </c>
      <c r="F1122" s="2">
        <v>8.0</v>
      </c>
      <c r="G1122" s="2">
        <v>27.0</v>
      </c>
      <c r="H1122" s="2">
        <v>8.0</v>
      </c>
      <c r="I1122" s="2">
        <v>19.0</v>
      </c>
      <c r="J1122" s="2">
        <v>0.0</v>
      </c>
      <c r="K1122" s="2">
        <v>0.0</v>
      </c>
      <c r="L1122" s="2">
        <v>0.0</v>
      </c>
      <c r="M1122" s="2">
        <v>0.0</v>
      </c>
      <c r="N1122" s="2"/>
      <c r="O1122" s="2"/>
      <c r="P1122" s="2" t="s">
        <v>166</v>
      </c>
    </row>
    <row r="1123">
      <c r="A1123" s="1" t="s">
        <v>223</v>
      </c>
      <c r="B1123" s="2" t="s">
        <v>17</v>
      </c>
      <c r="C1123" s="2" t="s">
        <v>18</v>
      </c>
      <c r="D1123" s="2" t="s">
        <v>23</v>
      </c>
      <c r="E1123" s="2" t="s">
        <v>165</v>
      </c>
      <c r="F1123" s="2">
        <v>25.0</v>
      </c>
      <c r="G1123" s="2">
        <v>55.0</v>
      </c>
      <c r="H1123" s="2">
        <v>25.0</v>
      </c>
      <c r="I1123" s="2">
        <v>30.0</v>
      </c>
      <c r="J1123" s="2">
        <v>0.0</v>
      </c>
      <c r="K1123" s="2">
        <v>0.0</v>
      </c>
      <c r="L1123" s="2">
        <v>0.0</v>
      </c>
      <c r="M1123" s="2">
        <v>0.0</v>
      </c>
      <c r="N1123" s="2">
        <v>0.0</v>
      </c>
      <c r="O1123" s="2">
        <v>-25.0</v>
      </c>
      <c r="P1123" s="2" t="s">
        <v>166</v>
      </c>
    </row>
    <row r="1124">
      <c r="A1124" s="1" t="s">
        <v>223</v>
      </c>
      <c r="B1124" s="2" t="s">
        <v>17</v>
      </c>
      <c r="C1124" s="2" t="s">
        <v>18</v>
      </c>
      <c r="D1124" s="2" t="s">
        <v>23</v>
      </c>
      <c r="E1124" s="2" t="s">
        <v>27</v>
      </c>
      <c r="F1124" s="2">
        <v>8.0</v>
      </c>
      <c r="G1124" s="2">
        <v>27.0</v>
      </c>
      <c r="H1124" s="2">
        <v>8.0</v>
      </c>
      <c r="I1124" s="2">
        <v>19.0</v>
      </c>
      <c r="J1124" s="2">
        <v>0.0</v>
      </c>
      <c r="K1124" s="2">
        <v>0.0</v>
      </c>
      <c r="L1124" s="2">
        <v>0.0</v>
      </c>
      <c r="M1124" s="2">
        <v>0.0</v>
      </c>
      <c r="N1124" s="2">
        <v>0.0</v>
      </c>
      <c r="O1124" s="2">
        <v>-8.0</v>
      </c>
      <c r="P1124" s="2" t="s">
        <v>166</v>
      </c>
    </row>
    <row r="1125">
      <c r="A1125" s="1" t="s">
        <v>223</v>
      </c>
      <c r="B1125" s="4">
        <v>45262.29166666667</v>
      </c>
      <c r="C1125" s="2" t="s">
        <v>18</v>
      </c>
      <c r="D1125" s="2" t="s">
        <v>164</v>
      </c>
      <c r="E1125" s="2" t="s">
        <v>165</v>
      </c>
      <c r="F1125" s="2"/>
      <c r="G1125" s="2">
        <v>2.0</v>
      </c>
      <c r="H1125" s="2">
        <v>2.0</v>
      </c>
      <c r="I1125" s="2">
        <v>0.0</v>
      </c>
      <c r="J1125" s="2">
        <v>0.0</v>
      </c>
      <c r="K1125" s="2">
        <v>0.0</v>
      </c>
      <c r="L1125" s="2">
        <v>0.0</v>
      </c>
      <c r="M1125" s="2"/>
      <c r="N1125" s="2"/>
      <c r="O1125" s="2"/>
      <c r="P1125" s="2" t="s">
        <v>166</v>
      </c>
    </row>
    <row r="1126">
      <c r="A1126" s="1" t="s">
        <v>223</v>
      </c>
      <c r="B1126" s="4">
        <v>45262.29166666667</v>
      </c>
      <c r="C1126" s="2" t="s">
        <v>18</v>
      </c>
      <c r="D1126" s="2" t="s">
        <v>164</v>
      </c>
      <c r="E1126" s="2" t="s">
        <v>27</v>
      </c>
      <c r="F1126" s="2"/>
      <c r="G1126" s="2">
        <v>27.0</v>
      </c>
      <c r="H1126" s="2">
        <v>8.0</v>
      </c>
      <c r="I1126" s="2">
        <v>19.0</v>
      </c>
      <c r="J1126" s="2">
        <v>0.0</v>
      </c>
      <c r="K1126" s="2">
        <v>0.0</v>
      </c>
      <c r="L1126" s="2">
        <v>0.0</v>
      </c>
      <c r="M1126" s="2"/>
      <c r="N1126" s="2"/>
      <c r="O1126" s="2"/>
      <c r="P1126" s="2" t="s">
        <v>166</v>
      </c>
    </row>
    <row r="1127">
      <c r="A1127" s="1" t="s">
        <v>223</v>
      </c>
      <c r="B1127" s="4">
        <v>45292.29166666667</v>
      </c>
      <c r="C1127" s="2" t="s">
        <v>18</v>
      </c>
      <c r="D1127" s="2" t="s">
        <v>164</v>
      </c>
      <c r="E1127" s="2" t="s">
        <v>165</v>
      </c>
      <c r="F1127" s="2"/>
      <c r="G1127" s="2">
        <v>53.0</v>
      </c>
      <c r="H1127" s="2">
        <v>23.0</v>
      </c>
      <c r="I1127" s="2">
        <v>30.0</v>
      </c>
      <c r="J1127" s="2">
        <v>0.0</v>
      </c>
      <c r="K1127" s="2">
        <v>0.0</v>
      </c>
      <c r="L1127" s="2">
        <v>0.0</v>
      </c>
      <c r="M1127" s="2"/>
      <c r="N1127" s="2"/>
      <c r="O1127" s="2"/>
      <c r="P1127" s="2" t="s">
        <v>166</v>
      </c>
    </row>
    <row r="1128">
      <c r="A1128" s="14" t="s">
        <v>224</v>
      </c>
      <c r="B1128" s="2" t="s">
        <v>17</v>
      </c>
      <c r="C1128" s="2" t="s">
        <v>18</v>
      </c>
      <c r="D1128" s="2" t="s">
        <v>127</v>
      </c>
      <c r="E1128" s="2" t="s">
        <v>170</v>
      </c>
      <c r="F1128" s="2">
        <v>5.0</v>
      </c>
      <c r="G1128" s="2">
        <v>10.0</v>
      </c>
      <c r="H1128" s="2">
        <v>5.0</v>
      </c>
      <c r="I1128" s="2">
        <v>5.0</v>
      </c>
      <c r="J1128" s="2">
        <v>0.0</v>
      </c>
      <c r="K1128" s="2">
        <v>0.0</v>
      </c>
      <c r="L1128" s="2">
        <v>0.0</v>
      </c>
      <c r="M1128" s="2">
        <v>0.0</v>
      </c>
      <c r="N1128" s="2"/>
      <c r="O1128" s="2"/>
      <c r="P1128" s="2" t="s">
        <v>92</v>
      </c>
    </row>
    <row r="1129">
      <c r="A1129" s="1" t="s">
        <v>224</v>
      </c>
      <c r="B1129" s="2" t="s">
        <v>17</v>
      </c>
      <c r="C1129" s="2" t="s">
        <v>148</v>
      </c>
      <c r="D1129" s="2" t="s">
        <v>79</v>
      </c>
      <c r="E1129" s="2" t="s">
        <v>170</v>
      </c>
      <c r="F1129" s="2">
        <v>10.0</v>
      </c>
      <c r="G1129" s="2">
        <v>1.0</v>
      </c>
      <c r="H1129" s="2">
        <v>0.0</v>
      </c>
      <c r="I1129" s="2">
        <v>1.0</v>
      </c>
      <c r="J1129" s="2">
        <v>0.0</v>
      </c>
      <c r="K1129" s="2">
        <v>0.0</v>
      </c>
      <c r="L1129" s="2">
        <v>0.0</v>
      </c>
      <c r="M1129" s="2">
        <v>10.0</v>
      </c>
      <c r="N1129" s="2"/>
      <c r="O1129" s="2"/>
      <c r="P1129" s="2" t="s">
        <v>92</v>
      </c>
    </row>
    <row r="1130">
      <c r="A1130" s="1" t="s">
        <v>224</v>
      </c>
      <c r="B1130" s="2" t="s">
        <v>17</v>
      </c>
      <c r="C1130" s="2" t="s">
        <v>148</v>
      </c>
      <c r="D1130" s="2" t="s">
        <v>19</v>
      </c>
      <c r="E1130" s="2" t="s">
        <v>170</v>
      </c>
      <c r="F1130" s="2">
        <v>19.0</v>
      </c>
      <c r="G1130" s="2">
        <v>0.0</v>
      </c>
      <c r="H1130" s="2">
        <v>0.0</v>
      </c>
      <c r="I1130" s="2">
        <v>0.0</v>
      </c>
      <c r="J1130" s="2">
        <v>0.0</v>
      </c>
      <c r="K1130" s="2">
        <v>0.0</v>
      </c>
      <c r="L1130" s="2">
        <v>0.0</v>
      </c>
      <c r="M1130" s="2">
        <v>19.0</v>
      </c>
      <c r="N1130" s="2"/>
      <c r="O1130" s="2"/>
      <c r="P1130" s="2" t="s">
        <v>92</v>
      </c>
    </row>
    <row r="1131">
      <c r="A1131" s="1" t="s">
        <v>224</v>
      </c>
      <c r="B1131" s="2" t="s">
        <v>17</v>
      </c>
      <c r="C1131" s="2" t="s">
        <v>18</v>
      </c>
      <c r="D1131" s="2" t="s">
        <v>23</v>
      </c>
      <c r="E1131" s="2" t="s">
        <v>170</v>
      </c>
      <c r="F1131" s="2">
        <v>5.0</v>
      </c>
      <c r="G1131" s="2">
        <v>11.0</v>
      </c>
      <c r="H1131" s="2">
        <v>5.0</v>
      </c>
      <c r="I1131" s="2">
        <v>6.0</v>
      </c>
      <c r="J1131" s="2">
        <v>0.0</v>
      </c>
      <c r="K1131" s="2">
        <v>0.0</v>
      </c>
      <c r="L1131" s="2">
        <v>0.0</v>
      </c>
      <c r="M1131" s="2">
        <v>0.0</v>
      </c>
      <c r="N1131" s="2">
        <v>-29.0</v>
      </c>
      <c r="O1131" s="2">
        <v>-5.0</v>
      </c>
      <c r="P1131" s="2" t="s">
        <v>92</v>
      </c>
    </row>
    <row r="1132">
      <c r="A1132" s="1" t="s">
        <v>224</v>
      </c>
      <c r="B1132" s="4">
        <v>45171.29166666667</v>
      </c>
      <c r="C1132" s="2" t="s">
        <v>18</v>
      </c>
      <c r="D1132" s="2" t="s">
        <v>79</v>
      </c>
      <c r="E1132" s="2" t="s">
        <v>170</v>
      </c>
      <c r="F1132" s="2"/>
      <c r="G1132" s="2">
        <v>1.0</v>
      </c>
      <c r="H1132" s="2">
        <v>0.0</v>
      </c>
      <c r="I1132" s="2">
        <v>1.0</v>
      </c>
      <c r="J1132" s="2">
        <v>0.0</v>
      </c>
      <c r="K1132" s="2">
        <v>0.0</v>
      </c>
      <c r="L1132" s="2">
        <v>0.0</v>
      </c>
      <c r="M1132" s="2"/>
      <c r="N1132" s="2"/>
      <c r="O1132" s="2"/>
      <c r="P1132" s="2" t="s">
        <v>92</v>
      </c>
    </row>
    <row r="1133">
      <c r="A1133" s="1" t="s">
        <v>224</v>
      </c>
      <c r="B1133" s="4">
        <v>45172.29166666667</v>
      </c>
      <c r="C1133" s="2" t="s">
        <v>18</v>
      </c>
      <c r="D1133" s="2" t="s">
        <v>19</v>
      </c>
      <c r="E1133" s="2" t="s">
        <v>170</v>
      </c>
      <c r="F1133" s="2"/>
      <c r="G1133" s="2">
        <v>0.0</v>
      </c>
      <c r="H1133" s="2">
        <v>0.0</v>
      </c>
      <c r="I1133" s="2">
        <v>0.0</v>
      </c>
      <c r="J1133" s="2">
        <v>0.0</v>
      </c>
      <c r="K1133" s="2">
        <v>0.0</v>
      </c>
      <c r="L1133" s="2">
        <v>0.0</v>
      </c>
      <c r="M1133" s="2"/>
      <c r="N1133" s="2"/>
      <c r="O1133" s="2"/>
      <c r="P1133" s="2" t="s">
        <v>92</v>
      </c>
    </row>
    <row r="1134">
      <c r="A1134" s="1" t="s">
        <v>224</v>
      </c>
      <c r="B1134" s="4">
        <v>45292.29166666667</v>
      </c>
      <c r="C1134" s="2" t="s">
        <v>18</v>
      </c>
      <c r="D1134" s="2" t="s">
        <v>127</v>
      </c>
      <c r="E1134" s="2" t="s">
        <v>170</v>
      </c>
      <c r="F1134" s="2"/>
      <c r="G1134" s="2">
        <v>10.0</v>
      </c>
      <c r="H1134" s="2">
        <v>5.0</v>
      </c>
      <c r="I1134" s="2">
        <v>5.0</v>
      </c>
      <c r="J1134" s="2">
        <v>0.0</v>
      </c>
      <c r="K1134" s="2">
        <v>0.0</v>
      </c>
      <c r="L1134" s="2">
        <v>0.0</v>
      </c>
      <c r="M1134" s="2"/>
      <c r="N1134" s="2"/>
      <c r="O1134" s="2"/>
      <c r="P1134" s="2" t="s">
        <v>92</v>
      </c>
    </row>
    <row r="1135">
      <c r="A1135" s="1" t="s">
        <v>225</v>
      </c>
      <c r="B1135" s="2" t="s">
        <v>17</v>
      </c>
      <c r="C1135" s="2" t="s">
        <v>18</v>
      </c>
      <c r="D1135" s="2" t="s">
        <v>164</v>
      </c>
      <c r="E1135" s="2" t="s">
        <v>165</v>
      </c>
      <c r="F1135" s="2">
        <v>28.0</v>
      </c>
      <c r="G1135" s="2">
        <v>35.0</v>
      </c>
      <c r="H1135" s="2">
        <v>28.0</v>
      </c>
      <c r="I1135" s="2">
        <v>7.0</v>
      </c>
      <c r="J1135" s="2">
        <v>0.0</v>
      </c>
      <c r="K1135" s="2">
        <v>0.0</v>
      </c>
      <c r="L1135" s="2">
        <v>0.0</v>
      </c>
      <c r="M1135" s="2">
        <v>0.0</v>
      </c>
      <c r="N1135" s="2"/>
      <c r="O1135" s="2"/>
      <c r="P1135" s="2" t="s">
        <v>166</v>
      </c>
    </row>
    <row r="1136">
      <c r="A1136" s="1" t="s">
        <v>225</v>
      </c>
      <c r="B1136" s="2" t="s">
        <v>17</v>
      </c>
      <c r="C1136" s="2" t="s">
        <v>18</v>
      </c>
      <c r="D1136" s="2" t="s">
        <v>23</v>
      </c>
      <c r="E1136" s="2" t="s">
        <v>165</v>
      </c>
      <c r="F1136" s="2">
        <v>28.0</v>
      </c>
      <c r="G1136" s="2">
        <v>35.0</v>
      </c>
      <c r="H1136" s="2">
        <v>28.0</v>
      </c>
      <c r="I1136" s="2">
        <v>7.0</v>
      </c>
      <c r="J1136" s="2">
        <v>0.0</v>
      </c>
      <c r="K1136" s="2">
        <v>0.0</v>
      </c>
      <c r="L1136" s="2">
        <v>0.0</v>
      </c>
      <c r="M1136" s="2">
        <v>0.0</v>
      </c>
      <c r="N1136" s="2">
        <v>0.0</v>
      </c>
      <c r="O1136" s="2">
        <v>-28.0</v>
      </c>
      <c r="P1136" s="2" t="s">
        <v>166</v>
      </c>
    </row>
    <row r="1137">
      <c r="A1137" s="1" t="s">
        <v>225</v>
      </c>
      <c r="B1137" s="4">
        <v>45262.29166666667</v>
      </c>
      <c r="C1137" s="2" t="s">
        <v>18</v>
      </c>
      <c r="D1137" s="2" t="s">
        <v>164</v>
      </c>
      <c r="E1137" s="2" t="s">
        <v>165</v>
      </c>
      <c r="F1137" s="2"/>
      <c r="G1137" s="2">
        <v>32.0</v>
      </c>
      <c r="H1137" s="2">
        <v>26.0</v>
      </c>
      <c r="I1137" s="2">
        <v>6.0</v>
      </c>
      <c r="J1137" s="2">
        <v>0.0</v>
      </c>
      <c r="K1137" s="2">
        <v>0.0</v>
      </c>
      <c r="L1137" s="2">
        <v>0.0</v>
      </c>
      <c r="M1137" s="2"/>
      <c r="N1137" s="2"/>
      <c r="O1137" s="2"/>
      <c r="P1137" s="2" t="s">
        <v>166</v>
      </c>
    </row>
    <row r="1138">
      <c r="A1138" s="13" t="s">
        <v>225</v>
      </c>
      <c r="B1138" s="4">
        <v>45293.29166666667</v>
      </c>
      <c r="C1138" s="2" t="s">
        <v>18</v>
      </c>
      <c r="D1138" s="2" t="s">
        <v>164</v>
      </c>
      <c r="E1138" s="2" t="s">
        <v>165</v>
      </c>
      <c r="F1138" s="2"/>
      <c r="G1138" s="2">
        <v>3.0</v>
      </c>
      <c r="H1138" s="2">
        <v>2.0</v>
      </c>
      <c r="I1138" s="2">
        <v>1.0</v>
      </c>
      <c r="J1138" s="2">
        <v>0.0</v>
      </c>
      <c r="K1138" s="2">
        <v>0.0</v>
      </c>
      <c r="L1138" s="2">
        <v>0.0</v>
      </c>
      <c r="M1138" s="2"/>
      <c r="N1138" s="2"/>
      <c r="O1138" s="2"/>
      <c r="P1138" s="2" t="s">
        <v>166</v>
      </c>
    </row>
    <row r="1139">
      <c r="A1139" s="1" t="s">
        <v>226</v>
      </c>
      <c r="B1139" s="2" t="s">
        <v>17</v>
      </c>
      <c r="C1139" s="2" t="s">
        <v>18</v>
      </c>
      <c r="D1139" s="2" t="s">
        <v>79</v>
      </c>
      <c r="E1139" s="2" t="s">
        <v>31</v>
      </c>
      <c r="F1139" s="2">
        <v>5.0</v>
      </c>
      <c r="G1139" s="2">
        <v>4.0</v>
      </c>
      <c r="H1139" s="2">
        <v>4.0</v>
      </c>
      <c r="I1139" s="2">
        <v>0.0</v>
      </c>
      <c r="J1139" s="2">
        <v>0.0</v>
      </c>
      <c r="K1139" s="2">
        <v>0.0</v>
      </c>
      <c r="L1139" s="2">
        <v>0.0</v>
      </c>
      <c r="M1139" s="2">
        <v>1.0</v>
      </c>
      <c r="N1139" s="2"/>
      <c r="O1139" s="2"/>
      <c r="P1139" s="2" t="s">
        <v>111</v>
      </c>
    </row>
    <row r="1140">
      <c r="A1140" s="1" t="s">
        <v>226</v>
      </c>
      <c r="B1140" s="2" t="s">
        <v>17</v>
      </c>
      <c r="C1140" s="2" t="s">
        <v>18</v>
      </c>
      <c r="D1140" s="2" t="s">
        <v>33</v>
      </c>
      <c r="E1140" s="2" t="s">
        <v>31</v>
      </c>
      <c r="F1140" s="2">
        <v>40.0</v>
      </c>
      <c r="G1140" s="2">
        <v>13.0</v>
      </c>
      <c r="H1140" s="2">
        <v>12.0</v>
      </c>
      <c r="I1140" s="2">
        <v>1.0</v>
      </c>
      <c r="J1140" s="2">
        <v>0.0</v>
      </c>
      <c r="K1140" s="2">
        <v>0.0</v>
      </c>
      <c r="L1140" s="2">
        <v>0.0</v>
      </c>
      <c r="M1140" s="2">
        <v>28.0</v>
      </c>
      <c r="N1140" s="2"/>
      <c r="O1140" s="2"/>
      <c r="P1140" s="2" t="s">
        <v>111</v>
      </c>
    </row>
    <row r="1141">
      <c r="A1141" s="1" t="s">
        <v>226</v>
      </c>
      <c r="B1141" s="2" t="s">
        <v>17</v>
      </c>
      <c r="C1141" s="2" t="s">
        <v>18</v>
      </c>
      <c r="D1141" s="2" t="s">
        <v>91</v>
      </c>
      <c r="E1141" s="2" t="s">
        <v>31</v>
      </c>
      <c r="F1141" s="2">
        <v>109.0</v>
      </c>
      <c r="G1141" s="2">
        <v>102.0</v>
      </c>
      <c r="H1141" s="2">
        <v>85.0</v>
      </c>
      <c r="I1141" s="2">
        <v>17.0</v>
      </c>
      <c r="J1141" s="2">
        <v>0.0</v>
      </c>
      <c r="K1141" s="2">
        <v>0.0</v>
      </c>
      <c r="L1141" s="2">
        <v>0.0</v>
      </c>
      <c r="M1141" s="2">
        <v>24.0</v>
      </c>
      <c r="N1141" s="2"/>
      <c r="O1141" s="2"/>
      <c r="P1141" s="2" t="s">
        <v>111</v>
      </c>
    </row>
    <row r="1142">
      <c r="A1142" s="1" t="s">
        <v>226</v>
      </c>
      <c r="B1142" s="2" t="s">
        <v>17</v>
      </c>
      <c r="C1142" s="2" t="s">
        <v>18</v>
      </c>
      <c r="D1142" s="2" t="s">
        <v>19</v>
      </c>
      <c r="E1142" s="2" t="s">
        <v>31</v>
      </c>
      <c r="F1142" s="2">
        <v>110.0</v>
      </c>
      <c r="G1142" s="2">
        <v>98.0</v>
      </c>
      <c r="H1142" s="2">
        <v>86.0</v>
      </c>
      <c r="I1142" s="2">
        <v>12.0</v>
      </c>
      <c r="J1142" s="2">
        <v>0.0</v>
      </c>
      <c r="K1142" s="2">
        <v>0.0</v>
      </c>
      <c r="L1142" s="2">
        <v>3.0</v>
      </c>
      <c r="M1142" s="2">
        <v>24.0</v>
      </c>
      <c r="N1142" s="2"/>
      <c r="O1142" s="2"/>
      <c r="P1142" s="2" t="s">
        <v>111</v>
      </c>
    </row>
    <row r="1143">
      <c r="A1143" s="1" t="s">
        <v>226</v>
      </c>
      <c r="B1143" s="2" t="s">
        <v>17</v>
      </c>
      <c r="C1143" s="2" t="s">
        <v>18</v>
      </c>
      <c r="D1143" s="2" t="s">
        <v>23</v>
      </c>
      <c r="E1143" s="2" t="s">
        <v>31</v>
      </c>
      <c r="F1143" s="2">
        <v>181.0</v>
      </c>
      <c r="G1143" s="2">
        <v>217.0</v>
      </c>
      <c r="H1143" s="2">
        <v>187.0</v>
      </c>
      <c r="I1143" s="2">
        <v>30.0</v>
      </c>
      <c r="J1143" s="2">
        <v>0.0</v>
      </c>
      <c r="K1143" s="2">
        <v>0.0</v>
      </c>
      <c r="L1143" s="2">
        <v>3.0</v>
      </c>
      <c r="M1143" s="2">
        <v>-6.0</v>
      </c>
      <c r="N1143" s="2">
        <v>-83.0</v>
      </c>
      <c r="O1143" s="2">
        <v>-192.0</v>
      </c>
      <c r="P1143" s="2" t="s">
        <v>111</v>
      </c>
    </row>
    <row r="1144">
      <c r="A1144" s="1" t="s">
        <v>226</v>
      </c>
      <c r="B1144" s="4">
        <v>45262.29166666667</v>
      </c>
      <c r="C1144" s="2" t="s">
        <v>18</v>
      </c>
      <c r="D1144" s="2" t="s">
        <v>19</v>
      </c>
      <c r="E1144" s="2" t="s">
        <v>31</v>
      </c>
      <c r="F1144" s="2"/>
      <c r="G1144" s="2">
        <v>66.0</v>
      </c>
      <c r="H1144" s="2">
        <v>58.0</v>
      </c>
      <c r="I1144" s="2">
        <v>8.0</v>
      </c>
      <c r="J1144" s="2">
        <v>0.0</v>
      </c>
      <c r="K1144" s="2">
        <v>0.0</v>
      </c>
      <c r="L1144" s="2">
        <v>0.0</v>
      </c>
      <c r="M1144" s="2"/>
      <c r="N1144" s="2"/>
      <c r="O1144" s="2"/>
      <c r="P1144" s="2" t="s">
        <v>111</v>
      </c>
    </row>
    <row r="1145">
      <c r="A1145" s="1" t="s">
        <v>226</v>
      </c>
      <c r="B1145" s="4">
        <v>45262.29166666667</v>
      </c>
      <c r="C1145" s="2" t="s">
        <v>18</v>
      </c>
      <c r="D1145" s="2" t="s">
        <v>79</v>
      </c>
      <c r="E1145" s="2" t="s">
        <v>31</v>
      </c>
      <c r="F1145" s="2"/>
      <c r="G1145" s="2">
        <v>3.0</v>
      </c>
      <c r="H1145" s="2">
        <v>3.0</v>
      </c>
      <c r="I1145" s="2">
        <v>0.0</v>
      </c>
      <c r="J1145" s="2">
        <v>0.0</v>
      </c>
      <c r="K1145" s="2">
        <v>0.0</v>
      </c>
      <c r="L1145" s="2">
        <v>0.0</v>
      </c>
      <c r="M1145" s="2"/>
      <c r="N1145" s="2"/>
      <c r="O1145" s="2"/>
      <c r="P1145" s="2" t="s">
        <v>111</v>
      </c>
    </row>
    <row r="1146">
      <c r="A1146" s="1" t="s">
        <v>226</v>
      </c>
      <c r="B1146" s="4">
        <v>45262.29166666667</v>
      </c>
      <c r="C1146" s="2" t="s">
        <v>18</v>
      </c>
      <c r="D1146" s="2" t="s">
        <v>91</v>
      </c>
      <c r="E1146" s="2" t="s">
        <v>31</v>
      </c>
      <c r="F1146" s="2"/>
      <c r="G1146" s="2">
        <v>21.0</v>
      </c>
      <c r="H1146" s="2">
        <v>20.0</v>
      </c>
      <c r="I1146" s="2">
        <v>1.0</v>
      </c>
      <c r="J1146" s="2">
        <v>0.0</v>
      </c>
      <c r="K1146" s="2">
        <v>0.0</v>
      </c>
      <c r="L1146" s="2">
        <v>0.0</v>
      </c>
      <c r="M1146" s="2"/>
      <c r="N1146" s="2"/>
      <c r="O1146" s="2"/>
      <c r="P1146" s="2" t="s">
        <v>111</v>
      </c>
    </row>
    <row r="1147">
      <c r="A1147" s="1" t="s">
        <v>226</v>
      </c>
      <c r="B1147" s="4">
        <v>45262.29166666667</v>
      </c>
      <c r="C1147" s="2" t="s">
        <v>18</v>
      </c>
      <c r="D1147" s="2" t="s">
        <v>33</v>
      </c>
      <c r="E1147" s="2" t="s">
        <v>31</v>
      </c>
      <c r="F1147" s="2"/>
      <c r="G1147" s="2">
        <v>7.0</v>
      </c>
      <c r="H1147" s="2">
        <v>7.0</v>
      </c>
      <c r="I1147" s="2">
        <v>0.0</v>
      </c>
      <c r="J1147" s="2">
        <v>0.0</v>
      </c>
      <c r="K1147" s="2">
        <v>0.0</v>
      </c>
      <c r="L1147" s="2">
        <v>0.0</v>
      </c>
      <c r="M1147" s="2"/>
      <c r="N1147" s="2"/>
      <c r="O1147" s="2"/>
      <c r="P1147" s="2" t="s">
        <v>111</v>
      </c>
    </row>
    <row r="1148">
      <c r="A1148" s="1" t="s">
        <v>226</v>
      </c>
      <c r="B1148" s="4">
        <v>45293.29166666667</v>
      </c>
      <c r="C1148" s="2" t="s">
        <v>18</v>
      </c>
      <c r="D1148" s="2" t="s">
        <v>19</v>
      </c>
      <c r="E1148" s="2" t="s">
        <v>31</v>
      </c>
      <c r="F1148" s="2"/>
      <c r="G1148" s="2">
        <v>32.0</v>
      </c>
      <c r="H1148" s="2">
        <v>28.0</v>
      </c>
      <c r="I1148" s="2">
        <v>4.0</v>
      </c>
      <c r="J1148" s="2">
        <v>0.0</v>
      </c>
      <c r="K1148" s="2">
        <v>0.0</v>
      </c>
      <c r="L1148" s="2">
        <v>3.0</v>
      </c>
      <c r="M1148" s="2"/>
      <c r="N1148" s="2"/>
      <c r="O1148" s="2"/>
      <c r="P1148" s="2" t="s">
        <v>111</v>
      </c>
    </row>
    <row r="1149">
      <c r="A1149" s="1" t="s">
        <v>226</v>
      </c>
      <c r="B1149" s="4">
        <v>45295.29166666667</v>
      </c>
      <c r="C1149" s="2" t="s">
        <v>18</v>
      </c>
      <c r="D1149" s="2" t="s">
        <v>79</v>
      </c>
      <c r="E1149" s="2" t="s">
        <v>31</v>
      </c>
      <c r="F1149" s="2"/>
      <c r="G1149" s="2">
        <v>0.0</v>
      </c>
      <c r="H1149" s="2">
        <v>0.0</v>
      </c>
      <c r="I1149" s="2">
        <v>0.0</v>
      </c>
      <c r="J1149" s="2">
        <v>0.0</v>
      </c>
      <c r="K1149" s="2">
        <v>0.0</v>
      </c>
      <c r="L1149" s="2">
        <v>0.0</v>
      </c>
      <c r="M1149" s="2"/>
      <c r="N1149" s="2"/>
      <c r="O1149" s="2"/>
      <c r="P1149" s="2" t="s">
        <v>111</v>
      </c>
    </row>
    <row r="1150">
      <c r="A1150" s="1" t="s">
        <v>226</v>
      </c>
      <c r="B1150" s="4">
        <v>45296.29166666667</v>
      </c>
      <c r="C1150" s="2" t="s">
        <v>18</v>
      </c>
      <c r="D1150" s="2" t="s">
        <v>91</v>
      </c>
      <c r="E1150" s="2" t="s">
        <v>31</v>
      </c>
      <c r="F1150" s="2"/>
      <c r="G1150" s="2">
        <v>81.0</v>
      </c>
      <c r="H1150" s="2">
        <v>65.0</v>
      </c>
      <c r="I1150" s="2">
        <v>16.0</v>
      </c>
      <c r="J1150" s="2">
        <v>0.0</v>
      </c>
      <c r="K1150" s="2">
        <v>0.0</v>
      </c>
      <c r="L1150" s="2">
        <v>0.0</v>
      </c>
      <c r="M1150" s="2"/>
      <c r="N1150" s="2"/>
      <c r="O1150" s="2"/>
      <c r="P1150" s="2" t="s">
        <v>111</v>
      </c>
    </row>
    <row r="1151">
      <c r="A1151" s="1" t="s">
        <v>226</v>
      </c>
      <c r="B1151" s="4">
        <v>45297.29166666667</v>
      </c>
      <c r="C1151" s="2" t="s">
        <v>18</v>
      </c>
      <c r="D1151" s="2" t="s">
        <v>33</v>
      </c>
      <c r="E1151" s="2" t="s">
        <v>31</v>
      </c>
      <c r="F1151" s="2"/>
      <c r="G1151" s="2">
        <v>6.0</v>
      </c>
      <c r="H1151" s="2">
        <v>5.0</v>
      </c>
      <c r="I1151" s="2">
        <v>1.0</v>
      </c>
      <c r="J1151" s="2">
        <v>0.0</v>
      </c>
      <c r="K1151" s="2">
        <v>0.0</v>
      </c>
      <c r="L1151" s="2">
        <v>0.0</v>
      </c>
      <c r="M1151" s="2"/>
      <c r="N1151" s="2"/>
      <c r="O1151" s="2"/>
      <c r="P1151" s="2" t="s">
        <v>111</v>
      </c>
    </row>
    <row r="1152">
      <c r="A1152" s="1" t="s">
        <v>227</v>
      </c>
      <c r="B1152" s="2" t="s">
        <v>17</v>
      </c>
      <c r="C1152" s="2" t="s">
        <v>57</v>
      </c>
      <c r="D1152" s="2" t="s">
        <v>157</v>
      </c>
      <c r="E1152" s="2" t="s">
        <v>96</v>
      </c>
      <c r="F1152" s="2">
        <v>34.0</v>
      </c>
      <c r="G1152" s="2">
        <v>55.0</v>
      </c>
      <c r="H1152" s="2">
        <v>34.0</v>
      </c>
      <c r="I1152" s="2">
        <v>21.0</v>
      </c>
      <c r="J1152" s="2">
        <v>0.0</v>
      </c>
      <c r="K1152" s="2">
        <v>0.0</v>
      </c>
      <c r="L1152" s="2">
        <v>0.0</v>
      </c>
      <c r="M1152" s="2">
        <v>0.0</v>
      </c>
      <c r="N1152" s="2"/>
      <c r="O1152" s="2"/>
      <c r="P1152" s="2" t="s">
        <v>67</v>
      </c>
    </row>
    <row r="1153">
      <c r="A1153" s="1" t="s">
        <v>227</v>
      </c>
      <c r="B1153" s="2" t="s">
        <v>17</v>
      </c>
      <c r="C1153" s="2" t="s">
        <v>18</v>
      </c>
      <c r="D1153" s="2" t="s">
        <v>30</v>
      </c>
      <c r="E1153" s="2" t="s">
        <v>96</v>
      </c>
      <c r="F1153" s="2">
        <v>6.0</v>
      </c>
      <c r="G1153" s="2">
        <v>10.0</v>
      </c>
      <c r="H1153" s="2">
        <v>9.0</v>
      </c>
      <c r="I1153" s="2">
        <v>1.0</v>
      </c>
      <c r="J1153" s="2">
        <v>0.0</v>
      </c>
      <c r="K1153" s="2">
        <v>0.0</v>
      </c>
      <c r="L1153" s="2">
        <v>0.0</v>
      </c>
      <c r="M1153" s="2">
        <v>-3.0</v>
      </c>
      <c r="N1153" s="2"/>
      <c r="O1153" s="2"/>
      <c r="P1153" s="2" t="s">
        <v>67</v>
      </c>
    </row>
    <row r="1154">
      <c r="A1154" s="1" t="s">
        <v>227</v>
      </c>
      <c r="B1154" s="2" t="s">
        <v>17</v>
      </c>
      <c r="C1154" s="2" t="s">
        <v>57</v>
      </c>
      <c r="D1154" s="2" t="s">
        <v>19</v>
      </c>
      <c r="E1154" s="2" t="s">
        <v>96</v>
      </c>
      <c r="F1154" s="2">
        <v>7.0</v>
      </c>
      <c r="G1154" s="2">
        <v>9.0</v>
      </c>
      <c r="H1154" s="2">
        <v>7.0</v>
      </c>
      <c r="I1154" s="2">
        <v>2.0</v>
      </c>
      <c r="J1154" s="2">
        <v>0.0</v>
      </c>
      <c r="K1154" s="2">
        <v>0.0</v>
      </c>
      <c r="L1154" s="2">
        <v>0.0</v>
      </c>
      <c r="M1154" s="2">
        <v>0.0</v>
      </c>
      <c r="N1154" s="2"/>
      <c r="O1154" s="2"/>
      <c r="P1154" s="2" t="s">
        <v>67</v>
      </c>
    </row>
    <row r="1155">
      <c r="A1155" s="1" t="s">
        <v>227</v>
      </c>
      <c r="B1155" s="2" t="s">
        <v>17</v>
      </c>
      <c r="C1155" s="2" t="s">
        <v>18</v>
      </c>
      <c r="D1155" s="2" t="s">
        <v>23</v>
      </c>
      <c r="E1155" s="2" t="s">
        <v>96</v>
      </c>
      <c r="F1155" s="2">
        <v>47.0</v>
      </c>
      <c r="G1155" s="2">
        <v>74.0</v>
      </c>
      <c r="H1155" s="2">
        <v>50.0</v>
      </c>
      <c r="I1155" s="2">
        <v>24.0</v>
      </c>
      <c r="J1155" s="2">
        <v>0.0</v>
      </c>
      <c r="K1155" s="2">
        <v>0.0</v>
      </c>
      <c r="L1155" s="2">
        <v>0.0</v>
      </c>
      <c r="M1155" s="2">
        <v>-3.0</v>
      </c>
      <c r="N1155" s="2">
        <v>0.0</v>
      </c>
      <c r="O1155" s="2">
        <v>-53.0</v>
      </c>
      <c r="P1155" s="2" t="s">
        <v>67</v>
      </c>
    </row>
    <row r="1156">
      <c r="A1156" s="1" t="s">
        <v>227</v>
      </c>
      <c r="B1156" s="4">
        <v>45232.25</v>
      </c>
      <c r="C1156" s="2" t="s">
        <v>18</v>
      </c>
      <c r="D1156" s="2" t="s">
        <v>19</v>
      </c>
      <c r="E1156" s="2" t="s">
        <v>96</v>
      </c>
      <c r="F1156" s="2"/>
      <c r="G1156" s="2">
        <v>9.0</v>
      </c>
      <c r="H1156" s="2">
        <v>7.0</v>
      </c>
      <c r="I1156" s="2">
        <v>2.0</v>
      </c>
      <c r="J1156" s="2">
        <v>0.0</v>
      </c>
      <c r="K1156" s="2">
        <v>0.0</v>
      </c>
      <c r="L1156" s="2">
        <v>0.0</v>
      </c>
      <c r="M1156" s="2"/>
      <c r="N1156" s="2"/>
      <c r="O1156" s="2"/>
      <c r="P1156" s="2" t="s">
        <v>67</v>
      </c>
    </row>
    <row r="1157">
      <c r="A1157" s="1" t="s">
        <v>227</v>
      </c>
      <c r="B1157" s="4">
        <v>45263.29166666667</v>
      </c>
      <c r="C1157" s="2" t="s">
        <v>18</v>
      </c>
      <c r="D1157" s="2" t="s">
        <v>157</v>
      </c>
      <c r="E1157" s="2" t="s">
        <v>96</v>
      </c>
      <c r="F1157" s="2"/>
      <c r="G1157" s="2">
        <v>55.0</v>
      </c>
      <c r="H1157" s="2">
        <v>34.0</v>
      </c>
      <c r="I1157" s="2">
        <v>21.0</v>
      </c>
      <c r="J1157" s="2">
        <v>0.0</v>
      </c>
      <c r="K1157" s="2">
        <v>0.0</v>
      </c>
      <c r="L1157" s="2">
        <v>0.0</v>
      </c>
      <c r="M1157" s="2"/>
      <c r="N1157" s="2"/>
      <c r="O1157" s="2"/>
      <c r="P1157" s="2" t="s">
        <v>67</v>
      </c>
    </row>
    <row r="1158">
      <c r="A1158" s="1" t="s">
        <v>227</v>
      </c>
      <c r="B1158" s="4">
        <v>45293.29166666667</v>
      </c>
      <c r="C1158" s="2" t="s">
        <v>18</v>
      </c>
      <c r="D1158" s="2" t="s">
        <v>30</v>
      </c>
      <c r="E1158" s="2" t="s">
        <v>96</v>
      </c>
      <c r="F1158" s="2"/>
      <c r="G1158" s="2">
        <v>10.0</v>
      </c>
      <c r="H1158" s="2">
        <v>9.0</v>
      </c>
      <c r="I1158" s="2">
        <v>1.0</v>
      </c>
      <c r="J1158" s="2">
        <v>0.0</v>
      </c>
      <c r="K1158" s="2">
        <v>0.0</v>
      </c>
      <c r="L1158" s="2">
        <v>0.0</v>
      </c>
      <c r="M1158" s="2"/>
      <c r="N1158" s="2"/>
      <c r="O1158" s="2"/>
      <c r="P1158" s="2" t="s">
        <v>67</v>
      </c>
    </row>
    <row r="1159">
      <c r="A1159" s="1" t="s">
        <v>228</v>
      </c>
      <c r="B1159" s="2" t="s">
        <v>17</v>
      </c>
      <c r="C1159" s="2" t="s">
        <v>57</v>
      </c>
      <c r="D1159" s="2" t="s">
        <v>30</v>
      </c>
      <c r="E1159" s="2" t="s">
        <v>229</v>
      </c>
      <c r="F1159" s="2">
        <v>31.0</v>
      </c>
      <c r="G1159" s="2">
        <v>41.0</v>
      </c>
      <c r="H1159" s="2">
        <v>31.0</v>
      </c>
      <c r="I1159" s="2">
        <v>10.0</v>
      </c>
      <c r="J1159" s="2">
        <v>0.0</v>
      </c>
      <c r="K1159" s="2">
        <v>0.0</v>
      </c>
      <c r="L1159" s="2">
        <v>0.0</v>
      </c>
      <c r="M1159" s="2">
        <v>0.0</v>
      </c>
      <c r="N1159" s="2"/>
      <c r="O1159" s="2"/>
      <c r="P1159" s="2" t="s">
        <v>92</v>
      </c>
    </row>
    <row r="1160">
      <c r="A1160" s="1" t="s">
        <v>228</v>
      </c>
      <c r="B1160" s="2" t="s">
        <v>17</v>
      </c>
      <c r="C1160" s="2" t="s">
        <v>18</v>
      </c>
      <c r="D1160" s="2" t="s">
        <v>30</v>
      </c>
      <c r="E1160" s="2" t="s">
        <v>230</v>
      </c>
      <c r="F1160" s="2">
        <v>32.0</v>
      </c>
      <c r="G1160" s="2">
        <v>53.0</v>
      </c>
      <c r="H1160" s="2">
        <v>41.0</v>
      </c>
      <c r="I1160" s="2">
        <v>12.0</v>
      </c>
      <c r="J1160" s="2">
        <v>0.0</v>
      </c>
      <c r="K1160" s="2">
        <v>0.0</v>
      </c>
      <c r="L1160" s="2">
        <v>0.0</v>
      </c>
      <c r="M1160" s="2">
        <v>-9.0</v>
      </c>
      <c r="N1160" s="2"/>
      <c r="O1160" s="2"/>
      <c r="P1160" s="2" t="s">
        <v>92</v>
      </c>
    </row>
    <row r="1161">
      <c r="A1161" s="1" t="s">
        <v>228</v>
      </c>
      <c r="B1161" s="2" t="s">
        <v>17</v>
      </c>
      <c r="C1161" s="2" t="s">
        <v>148</v>
      </c>
      <c r="D1161" s="2" t="s">
        <v>19</v>
      </c>
      <c r="E1161" s="2" t="s">
        <v>229</v>
      </c>
      <c r="F1161" s="2">
        <v>11.0</v>
      </c>
      <c r="G1161" s="2">
        <v>3.0</v>
      </c>
      <c r="H1161" s="2">
        <v>2.0</v>
      </c>
      <c r="I1161" s="2">
        <v>1.0</v>
      </c>
      <c r="J1161" s="2">
        <v>0.0</v>
      </c>
      <c r="K1161" s="2">
        <v>0.0</v>
      </c>
      <c r="L1161" s="2">
        <v>0.0</v>
      </c>
      <c r="M1161" s="2">
        <v>9.0</v>
      </c>
      <c r="N1161" s="2"/>
      <c r="O1161" s="2"/>
      <c r="P1161" s="2" t="s">
        <v>92</v>
      </c>
    </row>
    <row r="1162">
      <c r="A1162" s="1" t="s">
        <v>228</v>
      </c>
      <c r="B1162" s="2" t="s">
        <v>17</v>
      </c>
      <c r="C1162" s="2" t="s">
        <v>148</v>
      </c>
      <c r="D1162" s="2" t="s">
        <v>231</v>
      </c>
      <c r="E1162" s="2" t="s">
        <v>230</v>
      </c>
      <c r="F1162" s="2">
        <v>32.0</v>
      </c>
      <c r="G1162" s="2">
        <v>5.0</v>
      </c>
      <c r="H1162" s="2">
        <v>0.0</v>
      </c>
      <c r="I1162" s="2">
        <v>5.0</v>
      </c>
      <c r="J1162" s="2">
        <v>0.0</v>
      </c>
      <c r="K1162" s="2">
        <v>0.0</v>
      </c>
      <c r="L1162" s="2">
        <v>0.0</v>
      </c>
      <c r="M1162" s="2">
        <v>32.0</v>
      </c>
      <c r="N1162" s="2"/>
      <c r="O1162" s="2"/>
      <c r="P1162" s="2" t="s">
        <v>92</v>
      </c>
    </row>
    <row r="1163">
      <c r="A1163" s="1" t="s">
        <v>228</v>
      </c>
      <c r="B1163" s="2" t="s">
        <v>17</v>
      </c>
      <c r="C1163" s="2" t="s">
        <v>57</v>
      </c>
      <c r="D1163" s="2" t="s">
        <v>23</v>
      </c>
      <c r="E1163" s="2" t="s">
        <v>229</v>
      </c>
      <c r="F1163" s="2">
        <v>33.0</v>
      </c>
      <c r="G1163" s="2">
        <v>44.0</v>
      </c>
      <c r="H1163" s="2">
        <v>33.0</v>
      </c>
      <c r="I1163" s="2">
        <v>11.0</v>
      </c>
      <c r="J1163" s="2">
        <v>0.0</v>
      </c>
      <c r="K1163" s="2">
        <v>0.0</v>
      </c>
      <c r="L1163" s="2">
        <v>0.0</v>
      </c>
      <c r="M1163" s="2">
        <v>0.0</v>
      </c>
      <c r="N1163" s="2">
        <v>-9.0</v>
      </c>
      <c r="O1163" s="2">
        <v>-33.0</v>
      </c>
      <c r="P1163" s="2" t="s">
        <v>92</v>
      </c>
    </row>
    <row r="1164">
      <c r="A1164" s="1" t="s">
        <v>228</v>
      </c>
      <c r="B1164" s="2" t="s">
        <v>17</v>
      </c>
      <c r="C1164" s="2" t="s">
        <v>18</v>
      </c>
      <c r="D1164" s="2" t="s">
        <v>23</v>
      </c>
      <c r="E1164" s="2" t="s">
        <v>230</v>
      </c>
      <c r="F1164" s="2">
        <v>32.0</v>
      </c>
      <c r="G1164" s="2">
        <v>58.0</v>
      </c>
      <c r="H1164" s="2">
        <v>41.0</v>
      </c>
      <c r="I1164" s="2">
        <v>17.0</v>
      </c>
      <c r="J1164" s="2">
        <v>0.0</v>
      </c>
      <c r="K1164" s="2">
        <v>0.0</v>
      </c>
      <c r="L1164" s="2">
        <v>0.0</v>
      </c>
      <c r="M1164" s="2">
        <v>-9.0</v>
      </c>
      <c r="N1164" s="2">
        <v>-32.0</v>
      </c>
      <c r="O1164" s="2">
        <v>-50.0</v>
      </c>
      <c r="P1164" s="2" t="s">
        <v>92</v>
      </c>
    </row>
    <row r="1165">
      <c r="A1165" s="1" t="s">
        <v>228</v>
      </c>
      <c r="B1165" s="4">
        <v>45232.25</v>
      </c>
      <c r="C1165" s="2" t="s">
        <v>18</v>
      </c>
      <c r="D1165" s="2" t="s">
        <v>19</v>
      </c>
      <c r="E1165" s="2" t="s">
        <v>229</v>
      </c>
      <c r="F1165" s="2"/>
      <c r="G1165" s="2">
        <v>3.0</v>
      </c>
      <c r="H1165" s="2">
        <v>2.0</v>
      </c>
      <c r="I1165" s="2">
        <v>1.0</v>
      </c>
      <c r="J1165" s="2">
        <v>0.0</v>
      </c>
      <c r="K1165" s="2">
        <v>0.0</v>
      </c>
      <c r="L1165" s="2">
        <v>0.0</v>
      </c>
      <c r="M1165" s="2"/>
      <c r="N1165" s="2"/>
      <c r="O1165" s="2"/>
      <c r="P1165" s="2" t="s">
        <v>92</v>
      </c>
    </row>
    <row r="1166">
      <c r="A1166" s="14" t="s">
        <v>228</v>
      </c>
      <c r="B1166" s="12">
        <v>45233.25</v>
      </c>
      <c r="C1166" s="5" t="s">
        <v>18</v>
      </c>
      <c r="D1166" s="5" t="s">
        <v>231</v>
      </c>
      <c r="E1166" s="5" t="s">
        <v>230</v>
      </c>
      <c r="F1166" s="5"/>
      <c r="G1166" s="5">
        <v>5.0</v>
      </c>
      <c r="H1166" s="5">
        <v>0.0</v>
      </c>
      <c r="I1166" s="5">
        <v>5.0</v>
      </c>
      <c r="J1166" s="5">
        <v>0.0</v>
      </c>
      <c r="K1166" s="5">
        <v>0.0</v>
      </c>
      <c r="L1166" s="5">
        <v>0.0</v>
      </c>
      <c r="M1166" s="5"/>
      <c r="N1166" s="5"/>
      <c r="O1166" s="5"/>
      <c r="P1166" s="5" t="s">
        <v>92</v>
      </c>
    </row>
    <row r="1167">
      <c r="A1167" s="1" t="s">
        <v>228</v>
      </c>
      <c r="B1167" s="4">
        <v>45263.29166666667</v>
      </c>
      <c r="C1167" s="2" t="s">
        <v>18</v>
      </c>
      <c r="D1167" s="2" t="s">
        <v>30</v>
      </c>
      <c r="E1167" s="2" t="s">
        <v>229</v>
      </c>
      <c r="F1167" s="2"/>
      <c r="G1167" s="2">
        <v>41.0</v>
      </c>
      <c r="H1167" s="2">
        <v>31.0</v>
      </c>
      <c r="I1167" s="2">
        <v>10.0</v>
      </c>
      <c r="J1167" s="2">
        <v>0.0</v>
      </c>
      <c r="K1167" s="2">
        <v>0.0</v>
      </c>
      <c r="L1167" s="2">
        <v>0.0</v>
      </c>
      <c r="M1167" s="2"/>
      <c r="N1167" s="2"/>
      <c r="O1167" s="2"/>
      <c r="P1167" s="2" t="s">
        <v>92</v>
      </c>
    </row>
    <row r="1168">
      <c r="A1168" s="1" t="s">
        <v>228</v>
      </c>
      <c r="B1168" s="4">
        <v>45264.29166666667</v>
      </c>
      <c r="C1168" s="2" t="s">
        <v>18</v>
      </c>
      <c r="D1168" s="2" t="s">
        <v>30</v>
      </c>
      <c r="E1168" s="2" t="s">
        <v>230</v>
      </c>
      <c r="F1168" s="2"/>
      <c r="G1168" s="2">
        <v>53.0</v>
      </c>
      <c r="H1168" s="2">
        <v>41.0</v>
      </c>
      <c r="I1168" s="2">
        <v>12.0</v>
      </c>
      <c r="J1168" s="2">
        <v>0.0</v>
      </c>
      <c r="K1168" s="2">
        <v>0.0</v>
      </c>
      <c r="L1168" s="2">
        <v>0.0</v>
      </c>
      <c r="M1168" s="2"/>
      <c r="N1168" s="2"/>
      <c r="O1168" s="2"/>
      <c r="P1168" s="2" t="s">
        <v>92</v>
      </c>
    </row>
    <row r="1169">
      <c r="A1169" s="1" t="s">
        <v>232</v>
      </c>
      <c r="B1169" s="2" t="s">
        <v>17</v>
      </c>
      <c r="C1169" s="2" t="s">
        <v>18</v>
      </c>
      <c r="D1169" s="2" t="s">
        <v>69</v>
      </c>
      <c r="E1169" s="2" t="s">
        <v>27</v>
      </c>
      <c r="F1169" s="2">
        <v>50.0</v>
      </c>
      <c r="G1169" s="2">
        <v>7.0</v>
      </c>
      <c r="H1169" s="2">
        <v>1.0</v>
      </c>
      <c r="I1169" s="2">
        <v>6.0</v>
      </c>
      <c r="J1169" s="2">
        <v>0.0</v>
      </c>
      <c r="K1169" s="2">
        <v>0.0</v>
      </c>
      <c r="L1169" s="2">
        <v>7.0</v>
      </c>
      <c r="M1169" s="2">
        <v>49.0</v>
      </c>
      <c r="N1169" s="2"/>
      <c r="O1169" s="2"/>
      <c r="P1169" s="2" t="s">
        <v>92</v>
      </c>
    </row>
    <row r="1170">
      <c r="A1170" s="1" t="s">
        <v>232</v>
      </c>
      <c r="B1170" s="2" t="s">
        <v>17</v>
      </c>
      <c r="C1170" s="2" t="s">
        <v>18</v>
      </c>
      <c r="D1170" s="2" t="s">
        <v>30</v>
      </c>
      <c r="E1170" s="2" t="s">
        <v>27</v>
      </c>
      <c r="F1170" s="2">
        <v>158.0</v>
      </c>
      <c r="G1170" s="2">
        <v>129.0</v>
      </c>
      <c r="H1170" s="2">
        <v>55.0</v>
      </c>
      <c r="I1170" s="2">
        <v>74.0</v>
      </c>
      <c r="J1170" s="2">
        <v>0.0</v>
      </c>
      <c r="K1170" s="2">
        <v>0.0</v>
      </c>
      <c r="L1170" s="2">
        <v>89.0</v>
      </c>
      <c r="M1170" s="2">
        <v>103.0</v>
      </c>
      <c r="N1170" s="2"/>
      <c r="O1170" s="2"/>
      <c r="P1170" s="2" t="s">
        <v>92</v>
      </c>
    </row>
    <row r="1171">
      <c r="A1171" s="1" t="s">
        <v>232</v>
      </c>
      <c r="B1171" s="2" t="s">
        <v>17</v>
      </c>
      <c r="C1171" s="2" t="s">
        <v>148</v>
      </c>
      <c r="D1171" s="2" t="s">
        <v>19</v>
      </c>
      <c r="E1171" s="2" t="s">
        <v>27</v>
      </c>
      <c r="F1171" s="2">
        <v>100.0</v>
      </c>
      <c r="G1171" s="2">
        <v>0.0</v>
      </c>
      <c r="H1171" s="2">
        <v>0.0</v>
      </c>
      <c r="I1171" s="2">
        <v>0.0</v>
      </c>
      <c r="J1171" s="2">
        <v>0.0</v>
      </c>
      <c r="K1171" s="2">
        <v>0.0</v>
      </c>
      <c r="L1171" s="2">
        <v>0.0</v>
      </c>
      <c r="M1171" s="2">
        <v>100.0</v>
      </c>
      <c r="N1171" s="2"/>
      <c r="O1171" s="2"/>
      <c r="P1171" s="2" t="s">
        <v>92</v>
      </c>
    </row>
    <row r="1172">
      <c r="A1172" s="1" t="s">
        <v>232</v>
      </c>
      <c r="B1172" s="2" t="s">
        <v>17</v>
      </c>
      <c r="C1172" s="2" t="s">
        <v>18</v>
      </c>
      <c r="D1172" s="2" t="s">
        <v>23</v>
      </c>
      <c r="E1172" s="2" t="s">
        <v>27</v>
      </c>
      <c r="F1172" s="2">
        <v>73.0</v>
      </c>
      <c r="G1172" s="2">
        <v>136.0</v>
      </c>
      <c r="H1172" s="2">
        <v>56.0</v>
      </c>
      <c r="I1172" s="2">
        <v>80.0</v>
      </c>
      <c r="J1172" s="2">
        <v>0.0</v>
      </c>
      <c r="K1172" s="2">
        <v>0.0</v>
      </c>
      <c r="L1172" s="2">
        <v>96.0</v>
      </c>
      <c r="M1172" s="2">
        <v>17.0</v>
      </c>
      <c r="N1172" s="2">
        <v>-235.0</v>
      </c>
      <c r="O1172" s="2">
        <v>-39.0</v>
      </c>
      <c r="P1172" s="2" t="s">
        <v>92</v>
      </c>
    </row>
    <row r="1173">
      <c r="A1173" s="1" t="s">
        <v>232</v>
      </c>
      <c r="B1173" s="4">
        <v>45232.25</v>
      </c>
      <c r="C1173" s="2" t="s">
        <v>18</v>
      </c>
      <c r="D1173" s="2" t="s">
        <v>30</v>
      </c>
      <c r="E1173" s="2" t="s">
        <v>27</v>
      </c>
      <c r="F1173" s="2"/>
      <c r="G1173" s="2">
        <v>74.0</v>
      </c>
      <c r="H1173" s="2">
        <v>37.0</v>
      </c>
      <c r="I1173" s="2">
        <v>37.0</v>
      </c>
      <c r="J1173" s="2">
        <v>0.0</v>
      </c>
      <c r="K1173" s="2">
        <v>0.0</v>
      </c>
      <c r="L1173" s="2">
        <v>34.0</v>
      </c>
      <c r="M1173" s="2"/>
      <c r="N1173" s="2"/>
      <c r="O1173" s="2"/>
      <c r="P1173" s="2" t="s">
        <v>92</v>
      </c>
    </row>
    <row r="1174">
      <c r="A1174" s="16" t="s">
        <v>232</v>
      </c>
      <c r="B1174" s="6">
        <v>45262.29166666667</v>
      </c>
      <c r="C1174" s="7" t="s">
        <v>18</v>
      </c>
      <c r="D1174" s="7" t="s">
        <v>69</v>
      </c>
      <c r="E1174" s="7" t="s">
        <v>27</v>
      </c>
      <c r="F1174" s="7"/>
      <c r="G1174" s="7">
        <v>7.0</v>
      </c>
      <c r="H1174" s="7">
        <v>1.0</v>
      </c>
      <c r="I1174" s="7">
        <v>6.0</v>
      </c>
      <c r="J1174" s="7">
        <v>0.0</v>
      </c>
      <c r="K1174" s="7">
        <v>0.0</v>
      </c>
      <c r="L1174" s="7">
        <v>7.0</v>
      </c>
      <c r="M1174" s="7"/>
      <c r="N1174" s="7"/>
      <c r="O1174" s="7"/>
      <c r="P1174" s="7" t="s">
        <v>92</v>
      </c>
    </row>
    <row r="1175">
      <c r="A1175" s="1" t="s">
        <v>232</v>
      </c>
      <c r="B1175" s="4">
        <v>45263.29166666667</v>
      </c>
      <c r="C1175" s="2" t="s">
        <v>18</v>
      </c>
      <c r="D1175" s="2" t="s">
        <v>30</v>
      </c>
      <c r="E1175" s="2" t="s">
        <v>27</v>
      </c>
      <c r="F1175" s="2"/>
      <c r="G1175" s="2">
        <v>55.0</v>
      </c>
      <c r="H1175" s="2">
        <v>18.0</v>
      </c>
      <c r="I1175" s="2">
        <v>37.0</v>
      </c>
      <c r="J1175" s="2">
        <v>0.0</v>
      </c>
      <c r="K1175" s="2">
        <v>0.0</v>
      </c>
      <c r="L1175" s="2">
        <v>55.0</v>
      </c>
      <c r="M1175" s="2"/>
      <c r="N1175" s="2"/>
      <c r="O1175" s="2"/>
      <c r="P1175" s="2" t="s">
        <v>92</v>
      </c>
    </row>
    <row r="1176">
      <c r="A1176" s="1" t="s">
        <v>233</v>
      </c>
      <c r="B1176" s="2" t="s">
        <v>17</v>
      </c>
      <c r="C1176" s="2" t="s">
        <v>148</v>
      </c>
      <c r="D1176" s="2" t="s">
        <v>33</v>
      </c>
      <c r="E1176" s="2" t="s">
        <v>234</v>
      </c>
      <c r="F1176" s="2">
        <v>10.0</v>
      </c>
      <c r="G1176" s="2">
        <v>0.0</v>
      </c>
      <c r="H1176" s="2">
        <v>0.0</v>
      </c>
      <c r="I1176" s="2">
        <v>0.0</v>
      </c>
      <c r="J1176" s="2">
        <v>0.0</v>
      </c>
      <c r="K1176" s="2">
        <v>0.0</v>
      </c>
      <c r="L1176" s="2">
        <v>0.0</v>
      </c>
      <c r="M1176" s="2">
        <v>10.0</v>
      </c>
      <c r="N1176" s="2"/>
      <c r="O1176" s="2"/>
      <c r="P1176" s="2" t="s">
        <v>80</v>
      </c>
    </row>
    <row r="1177">
      <c r="A1177" s="1" t="s">
        <v>233</v>
      </c>
      <c r="B1177" s="2" t="s">
        <v>17</v>
      </c>
      <c r="C1177" s="2" t="s">
        <v>148</v>
      </c>
      <c r="D1177" s="2" t="s">
        <v>33</v>
      </c>
      <c r="E1177" s="2" t="s">
        <v>235</v>
      </c>
      <c r="F1177" s="2">
        <v>12.0</v>
      </c>
      <c r="G1177" s="2">
        <v>0.0</v>
      </c>
      <c r="H1177" s="2">
        <v>0.0</v>
      </c>
      <c r="I1177" s="2">
        <v>0.0</v>
      </c>
      <c r="J1177" s="2">
        <v>0.0</v>
      </c>
      <c r="K1177" s="2">
        <v>0.0</v>
      </c>
      <c r="L1177" s="2">
        <v>0.0</v>
      </c>
      <c r="M1177" s="2">
        <v>12.0</v>
      </c>
      <c r="N1177" s="2"/>
      <c r="O1177" s="2"/>
      <c r="P1177" s="2" t="s">
        <v>80</v>
      </c>
    </row>
    <row r="1178">
      <c r="A1178" s="1" t="s">
        <v>233</v>
      </c>
      <c r="B1178" s="2" t="s">
        <v>17</v>
      </c>
      <c r="C1178" s="2" t="s">
        <v>148</v>
      </c>
      <c r="D1178" s="2" t="s">
        <v>33</v>
      </c>
      <c r="E1178" s="2" t="s">
        <v>236</v>
      </c>
      <c r="F1178" s="2">
        <v>10.0</v>
      </c>
      <c r="G1178" s="2">
        <v>0.0</v>
      </c>
      <c r="H1178" s="2">
        <v>0.0</v>
      </c>
      <c r="I1178" s="2">
        <v>0.0</v>
      </c>
      <c r="J1178" s="2">
        <v>0.0</v>
      </c>
      <c r="K1178" s="2">
        <v>0.0</v>
      </c>
      <c r="L1178" s="2">
        <v>0.0</v>
      </c>
      <c r="M1178" s="2">
        <v>10.0</v>
      </c>
      <c r="N1178" s="2"/>
      <c r="O1178" s="2"/>
      <c r="P1178" s="2" t="s">
        <v>80</v>
      </c>
    </row>
    <row r="1179">
      <c r="A1179" s="1" t="s">
        <v>233</v>
      </c>
      <c r="B1179" s="2" t="s">
        <v>17</v>
      </c>
      <c r="C1179" s="2" t="s">
        <v>148</v>
      </c>
      <c r="D1179" s="2" t="s">
        <v>109</v>
      </c>
      <c r="E1179" s="2" t="s">
        <v>234</v>
      </c>
      <c r="F1179" s="2">
        <v>5.0</v>
      </c>
      <c r="G1179" s="2">
        <v>0.0</v>
      </c>
      <c r="H1179" s="2">
        <v>0.0</v>
      </c>
      <c r="I1179" s="2">
        <v>0.0</v>
      </c>
      <c r="J1179" s="2">
        <v>0.0</v>
      </c>
      <c r="K1179" s="2">
        <v>0.0</v>
      </c>
      <c r="L1179" s="2">
        <v>0.0</v>
      </c>
      <c r="M1179" s="2">
        <v>5.0</v>
      </c>
      <c r="N1179" s="2"/>
      <c r="O1179" s="2"/>
      <c r="P1179" s="2" t="s">
        <v>80</v>
      </c>
    </row>
    <row r="1180">
      <c r="A1180" s="1" t="s">
        <v>233</v>
      </c>
      <c r="B1180" s="2" t="s">
        <v>17</v>
      </c>
      <c r="C1180" s="2" t="s">
        <v>148</v>
      </c>
      <c r="D1180" s="2" t="s">
        <v>109</v>
      </c>
      <c r="E1180" s="2" t="s">
        <v>235</v>
      </c>
      <c r="F1180" s="2">
        <v>10.0</v>
      </c>
      <c r="G1180" s="2">
        <v>0.0</v>
      </c>
      <c r="H1180" s="2">
        <v>0.0</v>
      </c>
      <c r="I1180" s="2">
        <v>0.0</v>
      </c>
      <c r="J1180" s="2">
        <v>0.0</v>
      </c>
      <c r="K1180" s="2">
        <v>0.0</v>
      </c>
      <c r="L1180" s="2">
        <v>0.0</v>
      </c>
      <c r="M1180" s="2">
        <v>10.0</v>
      </c>
      <c r="N1180" s="2"/>
      <c r="O1180" s="2"/>
      <c r="P1180" s="2" t="s">
        <v>80</v>
      </c>
    </row>
    <row r="1181">
      <c r="A1181" s="1" t="s">
        <v>233</v>
      </c>
      <c r="B1181" s="2" t="s">
        <v>17</v>
      </c>
      <c r="C1181" s="2" t="s">
        <v>148</v>
      </c>
      <c r="D1181" s="2" t="s">
        <v>109</v>
      </c>
      <c r="E1181" s="2" t="s">
        <v>236</v>
      </c>
      <c r="F1181" s="2">
        <v>20.0</v>
      </c>
      <c r="G1181" s="2">
        <v>0.0</v>
      </c>
      <c r="H1181" s="2">
        <v>0.0</v>
      </c>
      <c r="I1181" s="2">
        <v>0.0</v>
      </c>
      <c r="J1181" s="2">
        <v>0.0</v>
      </c>
      <c r="K1181" s="2">
        <v>0.0</v>
      </c>
      <c r="L1181" s="2">
        <v>0.0</v>
      </c>
      <c r="M1181" s="2">
        <v>20.0</v>
      </c>
      <c r="N1181" s="2"/>
      <c r="O1181" s="2"/>
      <c r="P1181" s="2" t="s">
        <v>80</v>
      </c>
    </row>
    <row r="1182">
      <c r="A1182" s="1" t="s">
        <v>233</v>
      </c>
      <c r="B1182" s="2" t="s">
        <v>17</v>
      </c>
      <c r="C1182" s="2" t="s">
        <v>18</v>
      </c>
      <c r="D1182" s="2" t="s">
        <v>127</v>
      </c>
      <c r="E1182" s="2" t="s">
        <v>234</v>
      </c>
      <c r="F1182" s="2">
        <v>15.0</v>
      </c>
      <c r="G1182" s="2">
        <v>0.0</v>
      </c>
      <c r="H1182" s="2">
        <v>0.0</v>
      </c>
      <c r="I1182" s="2">
        <v>0.0</v>
      </c>
      <c r="J1182" s="2">
        <v>0.0</v>
      </c>
      <c r="K1182" s="2">
        <v>0.0</v>
      </c>
      <c r="L1182" s="2">
        <v>0.0</v>
      </c>
      <c r="M1182" s="2">
        <v>15.0</v>
      </c>
      <c r="N1182" s="2"/>
      <c r="O1182" s="2"/>
      <c r="P1182" s="2" t="s">
        <v>80</v>
      </c>
    </row>
    <row r="1183">
      <c r="A1183" s="1" t="s">
        <v>233</v>
      </c>
      <c r="B1183" s="2" t="s">
        <v>17</v>
      </c>
      <c r="C1183" s="2" t="s">
        <v>18</v>
      </c>
      <c r="D1183" s="2" t="s">
        <v>127</v>
      </c>
      <c r="E1183" s="2" t="s">
        <v>235</v>
      </c>
      <c r="F1183" s="2">
        <v>8.0</v>
      </c>
      <c r="G1183" s="2">
        <v>0.0</v>
      </c>
      <c r="H1183" s="2">
        <v>0.0</v>
      </c>
      <c r="I1183" s="2">
        <v>0.0</v>
      </c>
      <c r="J1183" s="2">
        <v>0.0</v>
      </c>
      <c r="K1183" s="2">
        <v>0.0</v>
      </c>
      <c r="L1183" s="2">
        <v>0.0</v>
      </c>
      <c r="M1183" s="2">
        <v>8.0</v>
      </c>
      <c r="N1183" s="2"/>
      <c r="O1183" s="2"/>
      <c r="P1183" s="2" t="s">
        <v>80</v>
      </c>
    </row>
    <row r="1184">
      <c r="A1184" s="1" t="s">
        <v>233</v>
      </c>
      <c r="B1184" s="2" t="s">
        <v>17</v>
      </c>
      <c r="C1184" s="2" t="s">
        <v>18</v>
      </c>
      <c r="D1184" s="2" t="s">
        <v>127</v>
      </c>
      <c r="E1184" s="2" t="s">
        <v>236</v>
      </c>
      <c r="F1184" s="2">
        <v>35.0</v>
      </c>
      <c r="G1184" s="2">
        <v>10.0</v>
      </c>
      <c r="H1184" s="2">
        <v>9.0</v>
      </c>
      <c r="I1184" s="2">
        <v>1.0</v>
      </c>
      <c r="J1184" s="2">
        <v>0.0</v>
      </c>
      <c r="K1184" s="2">
        <v>0.0</v>
      </c>
      <c r="L1184" s="2">
        <v>0.0</v>
      </c>
      <c r="M1184" s="2">
        <v>26.0</v>
      </c>
      <c r="N1184" s="2"/>
      <c r="O1184" s="2"/>
      <c r="P1184" s="2" t="s">
        <v>80</v>
      </c>
    </row>
    <row r="1185">
      <c r="A1185" s="1" t="s">
        <v>233</v>
      </c>
      <c r="B1185" s="2" t="s">
        <v>17</v>
      </c>
      <c r="C1185" s="2" t="s">
        <v>18</v>
      </c>
      <c r="D1185" s="2" t="s">
        <v>19</v>
      </c>
      <c r="E1185" s="2" t="s">
        <v>234</v>
      </c>
      <c r="F1185" s="2">
        <v>15.0</v>
      </c>
      <c r="G1185" s="2">
        <v>0.0</v>
      </c>
      <c r="H1185" s="2">
        <v>0.0</v>
      </c>
      <c r="I1185" s="2">
        <v>0.0</v>
      </c>
      <c r="J1185" s="2">
        <v>0.0</v>
      </c>
      <c r="K1185" s="2">
        <v>0.0</v>
      </c>
      <c r="L1185" s="2">
        <v>0.0</v>
      </c>
      <c r="M1185" s="2">
        <v>15.0</v>
      </c>
      <c r="N1185" s="2"/>
      <c r="O1185" s="2"/>
      <c r="P1185" s="2" t="s">
        <v>80</v>
      </c>
    </row>
    <row r="1186">
      <c r="A1186" s="13" t="s">
        <v>233</v>
      </c>
      <c r="B1186" s="2" t="s">
        <v>17</v>
      </c>
      <c r="C1186" s="2" t="s">
        <v>18</v>
      </c>
      <c r="D1186" s="2" t="s">
        <v>19</v>
      </c>
      <c r="E1186" s="2" t="s">
        <v>235</v>
      </c>
      <c r="F1186" s="2">
        <v>8.0</v>
      </c>
      <c r="G1186" s="2">
        <v>0.0</v>
      </c>
      <c r="H1186" s="2">
        <v>0.0</v>
      </c>
      <c r="I1186" s="2">
        <v>0.0</v>
      </c>
      <c r="J1186" s="2">
        <v>0.0</v>
      </c>
      <c r="K1186" s="2">
        <v>0.0</v>
      </c>
      <c r="L1186" s="2">
        <v>0.0</v>
      </c>
      <c r="M1186" s="2">
        <v>8.0</v>
      </c>
      <c r="N1186" s="2"/>
      <c r="O1186" s="2"/>
      <c r="P1186" s="2" t="s">
        <v>80</v>
      </c>
    </row>
    <row r="1187">
      <c r="A1187" s="1" t="s">
        <v>233</v>
      </c>
      <c r="B1187" s="2" t="s">
        <v>17</v>
      </c>
      <c r="C1187" s="2" t="s">
        <v>18</v>
      </c>
      <c r="D1187" s="2" t="s">
        <v>19</v>
      </c>
      <c r="E1187" s="2" t="s">
        <v>236</v>
      </c>
      <c r="F1187" s="2">
        <v>28.0</v>
      </c>
      <c r="G1187" s="2">
        <v>1.0</v>
      </c>
      <c r="H1187" s="2">
        <v>0.0</v>
      </c>
      <c r="I1187" s="2">
        <v>1.0</v>
      </c>
      <c r="J1187" s="2">
        <v>0.0</v>
      </c>
      <c r="K1187" s="2">
        <v>0.0</v>
      </c>
      <c r="L1187" s="2">
        <v>0.0</v>
      </c>
      <c r="M1187" s="2">
        <v>28.0</v>
      </c>
      <c r="N1187" s="2"/>
      <c r="O1187" s="2"/>
      <c r="P1187" s="2" t="s">
        <v>80</v>
      </c>
    </row>
    <row r="1188">
      <c r="A1188" s="1" t="s">
        <v>233</v>
      </c>
      <c r="B1188" s="2" t="s">
        <v>17</v>
      </c>
      <c r="C1188" s="2" t="s">
        <v>18</v>
      </c>
      <c r="D1188" s="2" t="s">
        <v>23</v>
      </c>
      <c r="E1188" s="2" t="s">
        <v>234</v>
      </c>
      <c r="F1188" s="2">
        <v>15.0</v>
      </c>
      <c r="G1188" s="2">
        <v>0.0</v>
      </c>
      <c r="H1188" s="2">
        <v>0.0</v>
      </c>
      <c r="I1188" s="2">
        <v>0.0</v>
      </c>
      <c r="J1188" s="2">
        <v>0.0</v>
      </c>
      <c r="K1188" s="2">
        <v>0.0</v>
      </c>
      <c r="L1188" s="2">
        <v>0.0</v>
      </c>
      <c r="M1188" s="2">
        <v>15.0</v>
      </c>
      <c r="N1188" s="2">
        <v>-30.0</v>
      </c>
      <c r="O1188" s="2">
        <v>15.0</v>
      </c>
      <c r="P1188" s="2" t="s">
        <v>80</v>
      </c>
    </row>
    <row r="1189">
      <c r="A1189" s="1" t="s">
        <v>233</v>
      </c>
      <c r="B1189" s="2" t="s">
        <v>17</v>
      </c>
      <c r="C1189" s="2" t="s">
        <v>18</v>
      </c>
      <c r="D1189" s="2" t="s">
        <v>23</v>
      </c>
      <c r="E1189" s="2" t="s">
        <v>235</v>
      </c>
      <c r="F1189" s="2">
        <v>8.0</v>
      </c>
      <c r="G1189" s="2">
        <v>0.0</v>
      </c>
      <c r="H1189" s="2">
        <v>0.0</v>
      </c>
      <c r="I1189" s="2">
        <v>0.0</v>
      </c>
      <c r="J1189" s="2">
        <v>0.0</v>
      </c>
      <c r="K1189" s="2">
        <v>0.0</v>
      </c>
      <c r="L1189" s="2">
        <v>0.0</v>
      </c>
      <c r="M1189" s="2">
        <v>8.0</v>
      </c>
      <c r="N1189" s="2">
        <v>-30.0</v>
      </c>
      <c r="O1189" s="2">
        <v>8.0</v>
      </c>
      <c r="P1189" s="2" t="s">
        <v>80</v>
      </c>
    </row>
    <row r="1190">
      <c r="A1190" s="1" t="s">
        <v>233</v>
      </c>
      <c r="B1190" s="2" t="s">
        <v>17</v>
      </c>
      <c r="C1190" s="2" t="s">
        <v>18</v>
      </c>
      <c r="D1190" s="2" t="s">
        <v>23</v>
      </c>
      <c r="E1190" s="2" t="s">
        <v>236</v>
      </c>
      <c r="F1190" s="2">
        <v>34.0</v>
      </c>
      <c r="G1190" s="2">
        <v>11.0</v>
      </c>
      <c r="H1190" s="2">
        <v>9.0</v>
      </c>
      <c r="I1190" s="2">
        <v>2.0</v>
      </c>
      <c r="J1190" s="2">
        <v>0.0</v>
      </c>
      <c r="K1190" s="2">
        <v>0.0</v>
      </c>
      <c r="L1190" s="2">
        <v>0.0</v>
      </c>
      <c r="M1190" s="2">
        <v>25.0</v>
      </c>
      <c r="N1190" s="2">
        <v>-59.0</v>
      </c>
      <c r="O1190" s="2">
        <v>16.0</v>
      </c>
      <c r="P1190" s="2" t="s">
        <v>80</v>
      </c>
    </row>
    <row r="1191">
      <c r="A1191" s="1" t="s">
        <v>233</v>
      </c>
      <c r="B1191" s="4">
        <v>45201.29166666667</v>
      </c>
      <c r="C1191" s="2" t="s">
        <v>18</v>
      </c>
      <c r="D1191" s="2" t="s">
        <v>127</v>
      </c>
      <c r="E1191" s="2" t="s">
        <v>234</v>
      </c>
      <c r="F1191" s="2"/>
      <c r="G1191" s="2">
        <v>0.0</v>
      </c>
      <c r="H1191" s="2">
        <v>0.0</v>
      </c>
      <c r="I1191" s="2">
        <v>0.0</v>
      </c>
      <c r="J1191" s="2">
        <v>0.0</v>
      </c>
      <c r="K1191" s="2">
        <v>0.0</v>
      </c>
      <c r="L1191" s="2">
        <v>0.0</v>
      </c>
      <c r="M1191" s="2"/>
      <c r="N1191" s="2"/>
      <c r="O1191" s="2"/>
      <c r="P1191" s="2" t="s">
        <v>80</v>
      </c>
    </row>
    <row r="1192">
      <c r="A1192" s="1" t="s">
        <v>233</v>
      </c>
      <c r="B1192" s="4">
        <v>45201.29166666667</v>
      </c>
      <c r="C1192" s="2" t="s">
        <v>18</v>
      </c>
      <c r="D1192" s="2" t="s">
        <v>127</v>
      </c>
      <c r="E1192" s="2" t="s">
        <v>235</v>
      </c>
      <c r="F1192" s="2"/>
      <c r="G1192" s="2">
        <v>0.0</v>
      </c>
      <c r="H1192" s="2">
        <v>0.0</v>
      </c>
      <c r="I1192" s="2">
        <v>0.0</v>
      </c>
      <c r="J1192" s="2">
        <v>0.0</v>
      </c>
      <c r="K1192" s="2">
        <v>0.0</v>
      </c>
      <c r="L1192" s="2">
        <v>0.0</v>
      </c>
      <c r="M1192" s="2"/>
      <c r="N1192" s="2"/>
      <c r="O1192" s="2"/>
      <c r="P1192" s="2" t="s">
        <v>80</v>
      </c>
    </row>
    <row r="1193">
      <c r="A1193" s="13" t="s">
        <v>233</v>
      </c>
      <c r="B1193" s="4">
        <v>45201.29166666667</v>
      </c>
      <c r="C1193" s="2" t="s">
        <v>18</v>
      </c>
      <c r="D1193" s="2" t="s">
        <v>127</v>
      </c>
      <c r="E1193" s="2" t="s">
        <v>236</v>
      </c>
      <c r="F1193" s="2"/>
      <c r="G1193" s="2">
        <v>4.0</v>
      </c>
      <c r="H1193" s="2">
        <v>4.0</v>
      </c>
      <c r="I1193" s="2">
        <v>0.0</v>
      </c>
      <c r="J1193" s="2">
        <v>0.0</v>
      </c>
      <c r="K1193" s="2">
        <v>0.0</v>
      </c>
      <c r="L1193" s="2">
        <v>0.0</v>
      </c>
      <c r="M1193" s="2"/>
      <c r="N1193" s="2"/>
      <c r="O1193" s="2"/>
      <c r="P1193" s="2" t="s">
        <v>80</v>
      </c>
    </row>
    <row r="1194">
      <c r="A1194" s="1" t="s">
        <v>233</v>
      </c>
      <c r="B1194" s="4">
        <v>45201.29166666667</v>
      </c>
      <c r="C1194" s="2" t="s">
        <v>18</v>
      </c>
      <c r="D1194" s="2" t="s">
        <v>19</v>
      </c>
      <c r="E1194" s="2" t="s">
        <v>234</v>
      </c>
      <c r="F1194" s="2"/>
      <c r="G1194" s="2">
        <v>0.0</v>
      </c>
      <c r="H1194" s="2">
        <v>0.0</v>
      </c>
      <c r="I1194" s="2">
        <v>0.0</v>
      </c>
      <c r="J1194" s="2">
        <v>0.0</v>
      </c>
      <c r="K1194" s="2">
        <v>0.0</v>
      </c>
      <c r="L1194" s="2">
        <v>0.0</v>
      </c>
      <c r="M1194" s="2"/>
      <c r="N1194" s="2"/>
      <c r="O1194" s="2"/>
      <c r="P1194" s="2" t="s">
        <v>80</v>
      </c>
    </row>
    <row r="1195">
      <c r="A1195" s="1" t="s">
        <v>233</v>
      </c>
      <c r="B1195" s="4">
        <v>45201.29166666667</v>
      </c>
      <c r="C1195" s="2" t="s">
        <v>18</v>
      </c>
      <c r="D1195" s="2" t="s">
        <v>19</v>
      </c>
      <c r="E1195" s="2" t="s">
        <v>235</v>
      </c>
      <c r="F1195" s="2"/>
      <c r="G1195" s="2">
        <v>0.0</v>
      </c>
      <c r="H1195" s="2">
        <v>0.0</v>
      </c>
      <c r="I1195" s="2">
        <v>0.0</v>
      </c>
      <c r="J1195" s="2">
        <v>0.0</v>
      </c>
      <c r="K1195" s="2">
        <v>0.0</v>
      </c>
      <c r="L1195" s="2">
        <v>0.0</v>
      </c>
      <c r="M1195" s="2"/>
      <c r="N1195" s="2"/>
      <c r="O1195" s="2"/>
      <c r="P1195" s="2" t="s">
        <v>80</v>
      </c>
    </row>
    <row r="1196">
      <c r="A1196" s="1" t="s">
        <v>233</v>
      </c>
      <c r="B1196" s="4">
        <v>45201.29166666667</v>
      </c>
      <c r="C1196" s="2" t="s">
        <v>18</v>
      </c>
      <c r="D1196" s="2" t="s">
        <v>19</v>
      </c>
      <c r="E1196" s="2" t="s">
        <v>236</v>
      </c>
      <c r="F1196" s="2"/>
      <c r="G1196" s="2">
        <v>1.0</v>
      </c>
      <c r="H1196" s="2">
        <v>0.0</v>
      </c>
      <c r="I1196" s="2">
        <v>1.0</v>
      </c>
      <c r="J1196" s="2">
        <v>0.0</v>
      </c>
      <c r="K1196" s="2">
        <v>0.0</v>
      </c>
      <c r="L1196" s="2">
        <v>0.0</v>
      </c>
      <c r="M1196" s="2"/>
      <c r="N1196" s="2"/>
      <c r="O1196" s="2"/>
      <c r="P1196" s="2" t="s">
        <v>80</v>
      </c>
    </row>
    <row r="1197">
      <c r="A1197" s="1" t="s">
        <v>233</v>
      </c>
      <c r="B1197" s="4">
        <v>45232.25</v>
      </c>
      <c r="C1197" s="2" t="s">
        <v>18</v>
      </c>
      <c r="D1197" s="2" t="s">
        <v>127</v>
      </c>
      <c r="E1197" s="2" t="s">
        <v>234</v>
      </c>
      <c r="F1197" s="2"/>
      <c r="G1197" s="2">
        <v>0.0</v>
      </c>
      <c r="H1197" s="2">
        <v>0.0</v>
      </c>
      <c r="I1197" s="2">
        <v>0.0</v>
      </c>
      <c r="J1197" s="2">
        <v>0.0</v>
      </c>
      <c r="K1197" s="2">
        <v>0.0</v>
      </c>
      <c r="L1197" s="2">
        <v>0.0</v>
      </c>
      <c r="M1197" s="2"/>
      <c r="N1197" s="2"/>
      <c r="O1197" s="2"/>
      <c r="P1197" s="2" t="s">
        <v>80</v>
      </c>
    </row>
    <row r="1198">
      <c r="A1198" s="1" t="s">
        <v>233</v>
      </c>
      <c r="B1198" s="4">
        <v>45232.25</v>
      </c>
      <c r="C1198" s="2" t="s">
        <v>18</v>
      </c>
      <c r="D1198" s="2" t="s">
        <v>127</v>
      </c>
      <c r="E1198" s="2" t="s">
        <v>235</v>
      </c>
      <c r="F1198" s="2"/>
      <c r="G1198" s="2">
        <v>0.0</v>
      </c>
      <c r="H1198" s="2">
        <v>0.0</v>
      </c>
      <c r="I1198" s="2">
        <v>0.0</v>
      </c>
      <c r="J1198" s="2">
        <v>0.0</v>
      </c>
      <c r="K1198" s="2">
        <v>0.0</v>
      </c>
      <c r="L1198" s="2">
        <v>0.0</v>
      </c>
      <c r="M1198" s="2"/>
      <c r="N1198" s="2"/>
      <c r="O1198" s="2"/>
      <c r="P1198" s="2" t="s">
        <v>80</v>
      </c>
    </row>
    <row r="1199">
      <c r="A1199" s="1" t="s">
        <v>233</v>
      </c>
      <c r="B1199" s="4">
        <v>45232.25</v>
      </c>
      <c r="C1199" s="2" t="s">
        <v>18</v>
      </c>
      <c r="D1199" s="2" t="s">
        <v>127</v>
      </c>
      <c r="E1199" s="2" t="s">
        <v>236</v>
      </c>
      <c r="F1199" s="2"/>
      <c r="G1199" s="2">
        <v>5.0</v>
      </c>
      <c r="H1199" s="2">
        <v>5.0</v>
      </c>
      <c r="I1199" s="2">
        <v>0.0</v>
      </c>
      <c r="J1199" s="2">
        <v>0.0</v>
      </c>
      <c r="K1199" s="2">
        <v>0.0</v>
      </c>
      <c r="L1199" s="2">
        <v>0.0</v>
      </c>
      <c r="M1199" s="2"/>
      <c r="N1199" s="2"/>
      <c r="O1199" s="2"/>
      <c r="P1199" s="2" t="s">
        <v>80</v>
      </c>
    </row>
    <row r="1200">
      <c r="A1200" s="1" t="s">
        <v>233</v>
      </c>
      <c r="B1200" s="4">
        <v>45262.29166666667</v>
      </c>
      <c r="C1200" s="2" t="s">
        <v>18</v>
      </c>
      <c r="D1200" s="2" t="s">
        <v>127</v>
      </c>
      <c r="E1200" s="2" t="s">
        <v>234</v>
      </c>
      <c r="F1200" s="2"/>
      <c r="G1200" s="2">
        <v>0.0</v>
      </c>
      <c r="H1200" s="2">
        <v>0.0</v>
      </c>
      <c r="I1200" s="2">
        <v>0.0</v>
      </c>
      <c r="J1200" s="2">
        <v>0.0</v>
      </c>
      <c r="K1200" s="2">
        <v>0.0</v>
      </c>
      <c r="L1200" s="2">
        <v>0.0</v>
      </c>
      <c r="M1200" s="2"/>
      <c r="N1200" s="2"/>
      <c r="O1200" s="2"/>
      <c r="P1200" s="2" t="s">
        <v>80</v>
      </c>
    </row>
    <row r="1201">
      <c r="A1201" s="1" t="s">
        <v>233</v>
      </c>
      <c r="B1201" s="4">
        <v>45263.29166666667</v>
      </c>
      <c r="C1201" s="2" t="s">
        <v>18</v>
      </c>
      <c r="D1201" s="2" t="s">
        <v>127</v>
      </c>
      <c r="E1201" s="2" t="s">
        <v>235</v>
      </c>
      <c r="F1201" s="2"/>
      <c r="G1201" s="2">
        <v>0.0</v>
      </c>
      <c r="H1201" s="2">
        <v>0.0</v>
      </c>
      <c r="I1201" s="2">
        <v>0.0</v>
      </c>
      <c r="J1201" s="2">
        <v>0.0</v>
      </c>
      <c r="K1201" s="2">
        <v>0.0</v>
      </c>
      <c r="L1201" s="2">
        <v>0.0</v>
      </c>
      <c r="M1201" s="2"/>
      <c r="N1201" s="2"/>
      <c r="O1201" s="2"/>
      <c r="P1201" s="2" t="s">
        <v>80</v>
      </c>
    </row>
    <row r="1202">
      <c r="A1202" s="1" t="s">
        <v>233</v>
      </c>
      <c r="B1202" s="4">
        <v>45264.29166666667</v>
      </c>
      <c r="C1202" s="2" t="s">
        <v>18</v>
      </c>
      <c r="D1202" s="2" t="s">
        <v>127</v>
      </c>
      <c r="E1202" s="2" t="s">
        <v>236</v>
      </c>
      <c r="F1202" s="2"/>
      <c r="G1202" s="2">
        <v>1.0</v>
      </c>
      <c r="H1202" s="2">
        <v>0.0</v>
      </c>
      <c r="I1202" s="2">
        <v>1.0</v>
      </c>
      <c r="J1202" s="2">
        <v>0.0</v>
      </c>
      <c r="K1202" s="2">
        <v>0.0</v>
      </c>
      <c r="L1202" s="2">
        <v>0.0</v>
      </c>
      <c r="M1202" s="2"/>
      <c r="N1202" s="2"/>
      <c r="O1202" s="2"/>
      <c r="P1202" s="2" t="s">
        <v>80</v>
      </c>
    </row>
    <row r="1203">
      <c r="A1203" s="1" t="s">
        <v>237</v>
      </c>
      <c r="B1203" s="2" t="s">
        <v>17</v>
      </c>
      <c r="C1203" s="2" t="s">
        <v>18</v>
      </c>
      <c r="D1203" s="2" t="s">
        <v>157</v>
      </c>
      <c r="E1203" s="2" t="s">
        <v>96</v>
      </c>
      <c r="F1203" s="2">
        <v>100.0</v>
      </c>
      <c r="G1203" s="2">
        <v>110.0</v>
      </c>
      <c r="H1203" s="2">
        <v>81.0</v>
      </c>
      <c r="I1203" s="2">
        <v>29.0</v>
      </c>
      <c r="J1203" s="2">
        <v>0.0</v>
      </c>
      <c r="K1203" s="2">
        <v>0.0</v>
      </c>
      <c r="L1203" s="2">
        <v>0.0</v>
      </c>
      <c r="M1203" s="2">
        <v>19.0</v>
      </c>
      <c r="N1203" s="2"/>
      <c r="O1203" s="2"/>
      <c r="P1203" s="2" t="s">
        <v>92</v>
      </c>
    </row>
    <row r="1204">
      <c r="A1204" s="1" t="s">
        <v>237</v>
      </c>
      <c r="B1204" s="2" t="s">
        <v>17</v>
      </c>
      <c r="C1204" s="2" t="s">
        <v>18</v>
      </c>
      <c r="D1204" s="2" t="s">
        <v>19</v>
      </c>
      <c r="E1204" s="2" t="s">
        <v>96</v>
      </c>
      <c r="F1204" s="2">
        <v>90.0</v>
      </c>
      <c r="G1204" s="2">
        <v>93.0</v>
      </c>
      <c r="H1204" s="2">
        <v>87.0</v>
      </c>
      <c r="I1204" s="2">
        <v>6.0</v>
      </c>
      <c r="J1204" s="2">
        <v>0.0</v>
      </c>
      <c r="K1204" s="2">
        <v>0.0</v>
      </c>
      <c r="L1204" s="2">
        <v>0.0</v>
      </c>
      <c r="M1204" s="2">
        <v>3.0</v>
      </c>
      <c r="N1204" s="2"/>
      <c r="O1204" s="2"/>
      <c r="P1204" s="2" t="s">
        <v>92</v>
      </c>
    </row>
    <row r="1205">
      <c r="A1205" s="13" t="s">
        <v>237</v>
      </c>
      <c r="B1205" s="2" t="s">
        <v>17</v>
      </c>
      <c r="C1205" s="2" t="s">
        <v>18</v>
      </c>
      <c r="D1205" s="2" t="s">
        <v>127</v>
      </c>
      <c r="E1205" s="2" t="s">
        <v>96</v>
      </c>
      <c r="F1205" s="2">
        <v>50.0</v>
      </c>
      <c r="G1205" s="2">
        <v>62.0</v>
      </c>
      <c r="H1205" s="2">
        <v>50.0</v>
      </c>
      <c r="I1205" s="2">
        <v>12.0</v>
      </c>
      <c r="J1205" s="2">
        <v>0.0</v>
      </c>
      <c r="K1205" s="2">
        <v>0.0</v>
      </c>
      <c r="L1205" s="2">
        <v>0.0</v>
      </c>
      <c r="M1205" s="2">
        <v>0.0</v>
      </c>
      <c r="N1205" s="2"/>
      <c r="O1205" s="2"/>
      <c r="P1205" s="2" t="s">
        <v>92</v>
      </c>
    </row>
    <row r="1206">
      <c r="A1206" s="1" t="s">
        <v>237</v>
      </c>
      <c r="B1206" s="2" t="s">
        <v>17</v>
      </c>
      <c r="C1206" s="2" t="s">
        <v>18</v>
      </c>
      <c r="D1206" s="2" t="s">
        <v>23</v>
      </c>
      <c r="E1206" s="2" t="s">
        <v>96</v>
      </c>
      <c r="F1206" s="2">
        <v>222.0</v>
      </c>
      <c r="G1206" s="2">
        <v>265.0</v>
      </c>
      <c r="H1206" s="2">
        <v>218.0</v>
      </c>
      <c r="I1206" s="2">
        <v>47.0</v>
      </c>
      <c r="J1206" s="2">
        <v>0.0</v>
      </c>
      <c r="K1206" s="2">
        <v>0.0</v>
      </c>
      <c r="L1206" s="2">
        <v>0.0</v>
      </c>
      <c r="M1206" s="2">
        <v>4.0</v>
      </c>
      <c r="N1206" s="2">
        <v>-18.0</v>
      </c>
      <c r="O1206" s="2">
        <v>-214.0</v>
      </c>
      <c r="P1206" s="2" t="s">
        <v>92</v>
      </c>
    </row>
    <row r="1207">
      <c r="A1207" s="1" t="s">
        <v>237</v>
      </c>
      <c r="B1207" s="4">
        <v>45294.29166666667</v>
      </c>
      <c r="C1207" s="2" t="s">
        <v>18</v>
      </c>
      <c r="D1207" s="2" t="s">
        <v>19</v>
      </c>
      <c r="E1207" s="2" t="s">
        <v>96</v>
      </c>
      <c r="F1207" s="2"/>
      <c r="G1207" s="2">
        <v>93.0</v>
      </c>
      <c r="H1207" s="2">
        <v>87.0</v>
      </c>
      <c r="I1207" s="2">
        <v>6.0</v>
      </c>
      <c r="J1207" s="2">
        <v>0.0</v>
      </c>
      <c r="K1207" s="2">
        <v>0.0</v>
      </c>
      <c r="L1207" s="2">
        <v>0.0</v>
      </c>
      <c r="M1207" s="2"/>
      <c r="N1207" s="2"/>
      <c r="O1207" s="2"/>
      <c r="P1207" s="2" t="s">
        <v>92</v>
      </c>
    </row>
    <row r="1208">
      <c r="A1208" s="1" t="s">
        <v>237</v>
      </c>
      <c r="B1208" s="4">
        <v>45295.29166666667</v>
      </c>
      <c r="C1208" s="2" t="s">
        <v>18</v>
      </c>
      <c r="D1208" s="2" t="s">
        <v>157</v>
      </c>
      <c r="E1208" s="2" t="s">
        <v>96</v>
      </c>
      <c r="F1208" s="2"/>
      <c r="G1208" s="2">
        <v>110.0</v>
      </c>
      <c r="H1208" s="2">
        <v>81.0</v>
      </c>
      <c r="I1208" s="2">
        <v>29.0</v>
      </c>
      <c r="J1208" s="2">
        <v>0.0</v>
      </c>
      <c r="K1208" s="2">
        <v>0.0</v>
      </c>
      <c r="L1208" s="2">
        <v>0.0</v>
      </c>
      <c r="M1208" s="2"/>
      <c r="N1208" s="2"/>
      <c r="O1208" s="2"/>
      <c r="P1208" s="2" t="s">
        <v>92</v>
      </c>
    </row>
    <row r="1209">
      <c r="A1209" s="1" t="s">
        <v>237</v>
      </c>
      <c r="B1209" s="4">
        <v>45296.29166666667</v>
      </c>
      <c r="C1209" s="2" t="s">
        <v>18</v>
      </c>
      <c r="D1209" s="2" t="s">
        <v>127</v>
      </c>
      <c r="E1209" s="2" t="s">
        <v>96</v>
      </c>
      <c r="F1209" s="2"/>
      <c r="G1209" s="2">
        <v>62.0</v>
      </c>
      <c r="H1209" s="2">
        <v>50.0</v>
      </c>
      <c r="I1209" s="2">
        <v>12.0</v>
      </c>
      <c r="J1209" s="2">
        <v>0.0</v>
      </c>
      <c r="K1209" s="2">
        <v>0.0</v>
      </c>
      <c r="L1209" s="2">
        <v>0.0</v>
      </c>
      <c r="M1209" s="2"/>
      <c r="N1209" s="2"/>
      <c r="O1209" s="2"/>
      <c r="P1209" s="2" t="s">
        <v>92</v>
      </c>
    </row>
    <row r="1210">
      <c r="A1210" s="1" t="s">
        <v>238</v>
      </c>
      <c r="B1210" s="2" t="s">
        <v>17</v>
      </c>
      <c r="C1210" s="2" t="s">
        <v>18</v>
      </c>
      <c r="D1210" s="2" t="s">
        <v>19</v>
      </c>
      <c r="E1210" s="2" t="s">
        <v>27</v>
      </c>
      <c r="F1210" s="2">
        <v>46.0</v>
      </c>
      <c r="G1210" s="2">
        <v>65.0</v>
      </c>
      <c r="H1210" s="2">
        <v>47.0</v>
      </c>
      <c r="I1210" s="2">
        <v>16.0</v>
      </c>
      <c r="J1210" s="2">
        <v>2.0</v>
      </c>
      <c r="K1210" s="2">
        <v>0.0</v>
      </c>
      <c r="L1210" s="2">
        <v>0.0</v>
      </c>
      <c r="M1210" s="2">
        <v>-1.0</v>
      </c>
      <c r="N1210" s="2"/>
      <c r="O1210" s="2"/>
      <c r="P1210" s="2" t="s">
        <v>67</v>
      </c>
    </row>
    <row r="1211">
      <c r="A1211" s="1" t="s">
        <v>238</v>
      </c>
      <c r="B1211" s="2" t="s">
        <v>17</v>
      </c>
      <c r="C1211" s="2" t="s">
        <v>18</v>
      </c>
      <c r="D1211" s="2" t="s">
        <v>23</v>
      </c>
      <c r="E1211" s="2" t="s">
        <v>27</v>
      </c>
      <c r="F1211" s="2">
        <v>46.0</v>
      </c>
      <c r="G1211" s="2">
        <v>65.0</v>
      </c>
      <c r="H1211" s="2">
        <v>47.0</v>
      </c>
      <c r="I1211" s="2">
        <v>16.0</v>
      </c>
      <c r="J1211" s="2">
        <v>2.0</v>
      </c>
      <c r="K1211" s="2">
        <v>0.0</v>
      </c>
      <c r="L1211" s="2">
        <v>0.0</v>
      </c>
      <c r="M1211" s="2">
        <v>-1.0</v>
      </c>
      <c r="N1211" s="2">
        <v>0.0</v>
      </c>
      <c r="O1211" s="2">
        <v>-48.0</v>
      </c>
      <c r="P1211" s="2" t="s">
        <v>67</v>
      </c>
    </row>
    <row r="1212">
      <c r="A1212" s="1" t="s">
        <v>238</v>
      </c>
      <c r="B1212" s="4">
        <v>45294.29166666667</v>
      </c>
      <c r="C1212" s="2" t="s">
        <v>18</v>
      </c>
      <c r="D1212" s="2" t="s">
        <v>19</v>
      </c>
      <c r="E1212" s="2" t="s">
        <v>27</v>
      </c>
      <c r="F1212" s="2"/>
      <c r="G1212" s="2">
        <v>62.0</v>
      </c>
      <c r="H1212" s="2">
        <v>45.0</v>
      </c>
      <c r="I1212" s="2">
        <v>15.0</v>
      </c>
      <c r="J1212" s="2">
        <v>2.0</v>
      </c>
      <c r="K1212" s="2">
        <v>0.0</v>
      </c>
      <c r="L1212" s="2">
        <v>0.0</v>
      </c>
      <c r="M1212" s="2"/>
      <c r="N1212" s="2"/>
      <c r="O1212" s="2"/>
      <c r="P1212" s="2" t="s">
        <v>67</v>
      </c>
    </row>
    <row r="1213">
      <c r="A1213" s="3" t="s">
        <v>133</v>
      </c>
      <c r="B1213" s="4">
        <v>45324.29166666667</v>
      </c>
      <c r="C1213" s="2" t="s">
        <v>18</v>
      </c>
      <c r="D1213" s="2" t="s">
        <v>19</v>
      </c>
      <c r="E1213" s="2" t="s">
        <v>27</v>
      </c>
      <c r="F1213" s="2"/>
      <c r="G1213" s="2">
        <v>3.0</v>
      </c>
      <c r="H1213" s="2">
        <v>2.0</v>
      </c>
      <c r="I1213" s="2">
        <v>1.0</v>
      </c>
      <c r="J1213" s="2">
        <v>0.0</v>
      </c>
      <c r="K1213" s="2">
        <v>0.0</v>
      </c>
      <c r="L1213" s="2">
        <v>0.0</v>
      </c>
      <c r="M1213" s="2"/>
      <c r="N1213" s="2"/>
      <c r="O1213" s="2"/>
      <c r="P1213" s="2" t="s">
        <v>67</v>
      </c>
    </row>
    <row r="1214">
      <c r="A1214" s="1" t="s">
        <v>239</v>
      </c>
      <c r="B1214" s="2" t="s">
        <v>17</v>
      </c>
      <c r="C1214" s="2" t="s">
        <v>18</v>
      </c>
      <c r="D1214" s="2" t="s">
        <v>127</v>
      </c>
      <c r="E1214" s="2" t="s">
        <v>171</v>
      </c>
      <c r="F1214" s="2">
        <v>148.0</v>
      </c>
      <c r="G1214" s="2">
        <v>209.0</v>
      </c>
      <c r="H1214" s="2">
        <v>148.0</v>
      </c>
      <c r="I1214" s="2">
        <v>61.0</v>
      </c>
      <c r="J1214" s="2">
        <v>0.0</v>
      </c>
      <c r="K1214" s="2">
        <v>0.0</v>
      </c>
      <c r="L1214" s="2">
        <v>0.0</v>
      </c>
      <c r="M1214" s="2">
        <v>0.0</v>
      </c>
      <c r="N1214" s="2"/>
      <c r="O1214" s="2"/>
      <c r="P1214" s="2" t="s">
        <v>80</v>
      </c>
    </row>
    <row r="1215">
      <c r="A1215" s="1" t="s">
        <v>239</v>
      </c>
      <c r="B1215" s="2" t="s">
        <v>17</v>
      </c>
      <c r="C1215" s="2" t="s">
        <v>148</v>
      </c>
      <c r="D1215" s="2" t="s">
        <v>19</v>
      </c>
      <c r="E1215" s="2" t="s">
        <v>171</v>
      </c>
      <c r="F1215" s="2">
        <v>50.0</v>
      </c>
      <c r="G1215" s="2">
        <v>2.0</v>
      </c>
      <c r="H1215" s="2">
        <v>2.0</v>
      </c>
      <c r="I1215" s="2">
        <v>0.0</v>
      </c>
      <c r="J1215" s="2">
        <v>0.0</v>
      </c>
      <c r="K1215" s="2">
        <v>0.0</v>
      </c>
      <c r="L1215" s="2">
        <v>0.0</v>
      </c>
      <c r="M1215" s="2">
        <v>48.0</v>
      </c>
      <c r="N1215" s="2"/>
      <c r="O1215" s="2"/>
      <c r="P1215" s="2" t="s">
        <v>80</v>
      </c>
    </row>
    <row r="1216">
      <c r="A1216" s="1" t="s">
        <v>239</v>
      </c>
      <c r="B1216" s="2" t="s">
        <v>17</v>
      </c>
      <c r="C1216" s="2" t="s">
        <v>18</v>
      </c>
      <c r="D1216" s="2" t="s">
        <v>23</v>
      </c>
      <c r="E1216" s="2" t="s">
        <v>171</v>
      </c>
      <c r="F1216" s="2">
        <v>150.0</v>
      </c>
      <c r="G1216" s="2">
        <v>211.0</v>
      </c>
      <c r="H1216" s="2">
        <v>150.0</v>
      </c>
      <c r="I1216" s="2">
        <v>61.0</v>
      </c>
      <c r="J1216" s="2">
        <v>0.0</v>
      </c>
      <c r="K1216" s="2">
        <v>0.0</v>
      </c>
      <c r="L1216" s="2">
        <v>0.0</v>
      </c>
      <c r="M1216" s="2">
        <v>0.0</v>
      </c>
      <c r="N1216" s="2">
        <v>-48.0</v>
      </c>
      <c r="O1216" s="2">
        <v>-150.0</v>
      </c>
      <c r="P1216" s="2" t="s">
        <v>80</v>
      </c>
    </row>
    <row r="1217">
      <c r="A1217" s="1" t="s">
        <v>239</v>
      </c>
      <c r="B1217" s="4">
        <v>45294.29166666667</v>
      </c>
      <c r="C1217" s="2" t="s">
        <v>18</v>
      </c>
      <c r="D1217" s="2" t="s">
        <v>19</v>
      </c>
      <c r="E1217" s="2" t="s">
        <v>171</v>
      </c>
      <c r="F1217" s="2"/>
      <c r="G1217" s="2">
        <v>2.0</v>
      </c>
      <c r="H1217" s="2">
        <v>2.0</v>
      </c>
      <c r="I1217" s="2">
        <v>0.0</v>
      </c>
      <c r="J1217" s="2">
        <v>0.0</v>
      </c>
      <c r="K1217" s="2">
        <v>0.0</v>
      </c>
      <c r="L1217" s="2">
        <v>0.0</v>
      </c>
      <c r="M1217" s="2"/>
      <c r="N1217" s="2"/>
      <c r="O1217" s="2"/>
      <c r="P1217" s="2" t="s">
        <v>80</v>
      </c>
    </row>
    <row r="1218">
      <c r="A1218" s="1" t="s">
        <v>239</v>
      </c>
      <c r="B1218" s="4">
        <v>45294.29166666667</v>
      </c>
      <c r="C1218" s="2" t="s">
        <v>18</v>
      </c>
      <c r="D1218" s="2" t="s">
        <v>127</v>
      </c>
      <c r="E1218" s="2" t="s">
        <v>171</v>
      </c>
      <c r="F1218" s="2"/>
      <c r="G1218" s="2">
        <v>135.0</v>
      </c>
      <c r="H1218" s="2">
        <v>105.0</v>
      </c>
      <c r="I1218" s="2">
        <v>30.0</v>
      </c>
      <c r="J1218" s="2">
        <v>0.0</v>
      </c>
      <c r="K1218" s="2">
        <v>0.0</v>
      </c>
      <c r="L1218" s="2">
        <v>0.0</v>
      </c>
      <c r="M1218" s="2"/>
      <c r="N1218" s="2"/>
      <c r="O1218" s="2"/>
      <c r="P1218" s="2" t="s">
        <v>80</v>
      </c>
    </row>
    <row r="1219">
      <c r="A1219" s="3" t="s">
        <v>134</v>
      </c>
      <c r="B1219" s="4">
        <v>45324.29166666667</v>
      </c>
      <c r="C1219" s="2" t="s">
        <v>18</v>
      </c>
      <c r="D1219" s="2" t="s">
        <v>127</v>
      </c>
      <c r="E1219" s="2" t="s">
        <v>171</v>
      </c>
      <c r="F1219" s="2"/>
      <c r="G1219" s="2">
        <v>74.0</v>
      </c>
      <c r="H1219" s="2">
        <v>43.0</v>
      </c>
      <c r="I1219" s="2">
        <v>31.0</v>
      </c>
      <c r="J1219" s="2">
        <v>0.0</v>
      </c>
      <c r="K1219" s="2">
        <v>0.0</v>
      </c>
      <c r="L1219" s="2">
        <v>0.0</v>
      </c>
      <c r="M1219" s="2"/>
      <c r="N1219" s="2"/>
      <c r="O1219" s="2"/>
      <c r="P1219" s="2" t="s">
        <v>80</v>
      </c>
    </row>
    <row r="1220">
      <c r="A1220" s="1" t="s">
        <v>240</v>
      </c>
      <c r="B1220" s="2" t="s">
        <v>17</v>
      </c>
      <c r="C1220" s="2" t="s">
        <v>18</v>
      </c>
      <c r="D1220" s="2" t="s">
        <v>157</v>
      </c>
      <c r="E1220" s="2" t="s">
        <v>96</v>
      </c>
      <c r="F1220" s="2">
        <v>120.0</v>
      </c>
      <c r="G1220" s="2">
        <v>144.0</v>
      </c>
      <c r="H1220" s="2">
        <v>105.0</v>
      </c>
      <c r="I1220" s="2">
        <v>39.0</v>
      </c>
      <c r="J1220" s="2">
        <v>0.0</v>
      </c>
      <c r="K1220" s="2">
        <v>0.0</v>
      </c>
      <c r="L1220" s="2">
        <v>0.0</v>
      </c>
      <c r="M1220" s="2">
        <v>15.0</v>
      </c>
      <c r="N1220" s="2"/>
      <c r="O1220" s="2"/>
      <c r="P1220" s="2" t="s">
        <v>92</v>
      </c>
    </row>
    <row r="1221">
      <c r="A1221" s="1" t="s">
        <v>240</v>
      </c>
      <c r="B1221" s="2" t="s">
        <v>17</v>
      </c>
      <c r="C1221" s="2" t="s">
        <v>18</v>
      </c>
      <c r="D1221" s="2" t="s">
        <v>19</v>
      </c>
      <c r="E1221" s="2" t="s">
        <v>96</v>
      </c>
      <c r="F1221" s="2">
        <v>110.0</v>
      </c>
      <c r="G1221" s="2">
        <v>137.0</v>
      </c>
      <c r="H1221" s="2">
        <v>118.0</v>
      </c>
      <c r="I1221" s="2">
        <v>19.0</v>
      </c>
      <c r="J1221" s="2">
        <v>0.0</v>
      </c>
      <c r="K1221" s="2">
        <v>0.0</v>
      </c>
      <c r="L1221" s="2">
        <v>0.0</v>
      </c>
      <c r="M1221" s="2">
        <v>-8.0</v>
      </c>
      <c r="N1221" s="2"/>
      <c r="O1221" s="2"/>
      <c r="P1221" s="2" t="s">
        <v>92</v>
      </c>
    </row>
    <row r="1222">
      <c r="A1222" s="13" t="s">
        <v>240</v>
      </c>
      <c r="B1222" s="2" t="s">
        <v>17</v>
      </c>
      <c r="C1222" s="2" t="s">
        <v>18</v>
      </c>
      <c r="D1222" s="2" t="s">
        <v>127</v>
      </c>
      <c r="E1222" s="2" t="s">
        <v>96</v>
      </c>
      <c r="F1222" s="2">
        <v>312.0</v>
      </c>
      <c r="G1222" s="2">
        <v>390.0</v>
      </c>
      <c r="H1222" s="2">
        <v>312.0</v>
      </c>
      <c r="I1222" s="2">
        <v>78.0</v>
      </c>
      <c r="J1222" s="2">
        <v>0.0</v>
      </c>
      <c r="K1222" s="2">
        <v>0.0</v>
      </c>
      <c r="L1222" s="2">
        <v>0.0</v>
      </c>
      <c r="M1222" s="2">
        <v>0.0</v>
      </c>
      <c r="N1222" s="2"/>
      <c r="O1222" s="2"/>
      <c r="P1222" s="2" t="s">
        <v>92</v>
      </c>
    </row>
    <row r="1223">
      <c r="A1223" s="1" t="s">
        <v>240</v>
      </c>
      <c r="B1223" s="2" t="s">
        <v>17</v>
      </c>
      <c r="C1223" s="2" t="s">
        <v>18</v>
      </c>
      <c r="D1223" s="2" t="s">
        <v>23</v>
      </c>
      <c r="E1223" s="2" t="s">
        <v>96</v>
      </c>
      <c r="F1223" s="2">
        <v>521.0</v>
      </c>
      <c r="G1223" s="2">
        <v>671.0</v>
      </c>
      <c r="H1223" s="2">
        <v>535.0</v>
      </c>
      <c r="I1223" s="2">
        <v>136.0</v>
      </c>
      <c r="J1223" s="2">
        <v>0.0</v>
      </c>
      <c r="K1223" s="2">
        <v>0.0</v>
      </c>
      <c r="L1223" s="2">
        <v>0.0</v>
      </c>
      <c r="M1223" s="2">
        <v>-14.0</v>
      </c>
      <c r="N1223" s="2">
        <v>-21.0</v>
      </c>
      <c r="O1223" s="2">
        <v>-549.0</v>
      </c>
      <c r="P1223" s="2" t="s">
        <v>92</v>
      </c>
    </row>
    <row r="1224">
      <c r="A1224" s="1" t="s">
        <v>240</v>
      </c>
      <c r="B1224" s="4">
        <v>45294.29166666667</v>
      </c>
      <c r="C1224" s="2" t="s">
        <v>18</v>
      </c>
      <c r="D1224" s="2" t="s">
        <v>157</v>
      </c>
      <c r="E1224" s="2" t="s">
        <v>96</v>
      </c>
      <c r="F1224" s="2"/>
      <c r="G1224" s="2">
        <v>144.0</v>
      </c>
      <c r="H1224" s="2">
        <v>105.0</v>
      </c>
      <c r="I1224" s="2">
        <v>39.0</v>
      </c>
      <c r="J1224" s="2">
        <v>0.0</v>
      </c>
      <c r="K1224" s="2">
        <v>0.0</v>
      </c>
      <c r="L1224" s="2">
        <v>0.0</v>
      </c>
      <c r="M1224" s="2"/>
      <c r="N1224" s="2"/>
      <c r="O1224" s="2"/>
      <c r="P1224" s="2" t="s">
        <v>92</v>
      </c>
    </row>
    <row r="1225">
      <c r="A1225" s="1" t="s">
        <v>240</v>
      </c>
      <c r="B1225" s="4">
        <v>45295.29166666667</v>
      </c>
      <c r="C1225" s="2" t="s">
        <v>18</v>
      </c>
      <c r="D1225" s="2" t="s">
        <v>19</v>
      </c>
      <c r="E1225" s="2" t="s">
        <v>96</v>
      </c>
      <c r="F1225" s="2"/>
      <c r="G1225" s="2">
        <v>137.0</v>
      </c>
      <c r="H1225" s="2">
        <v>118.0</v>
      </c>
      <c r="I1225" s="2">
        <v>19.0</v>
      </c>
      <c r="J1225" s="2">
        <v>0.0</v>
      </c>
      <c r="K1225" s="2">
        <v>0.0</v>
      </c>
      <c r="L1225" s="2">
        <v>0.0</v>
      </c>
      <c r="M1225" s="2"/>
      <c r="N1225" s="2"/>
      <c r="O1225" s="2"/>
      <c r="P1225" s="2" t="s">
        <v>92</v>
      </c>
    </row>
    <row r="1226">
      <c r="A1226" s="1" t="s">
        <v>240</v>
      </c>
      <c r="B1226" s="4">
        <v>45296.29166666667</v>
      </c>
      <c r="C1226" s="2" t="s">
        <v>18</v>
      </c>
      <c r="D1226" s="2" t="s">
        <v>127</v>
      </c>
      <c r="E1226" s="2" t="s">
        <v>96</v>
      </c>
      <c r="F1226" s="2"/>
      <c r="G1226" s="2">
        <v>390.0</v>
      </c>
      <c r="H1226" s="2">
        <v>312.0</v>
      </c>
      <c r="I1226" s="2">
        <v>78.0</v>
      </c>
      <c r="J1226" s="2">
        <v>0.0</v>
      </c>
      <c r="K1226" s="2">
        <v>0.0</v>
      </c>
      <c r="L1226" s="2">
        <v>0.0</v>
      </c>
      <c r="M1226" s="2"/>
      <c r="N1226" s="2"/>
      <c r="O1226" s="2"/>
      <c r="P1226" s="2" t="s">
        <v>92</v>
      </c>
    </row>
    <row r="1227">
      <c r="A1227" s="1" t="s">
        <v>241</v>
      </c>
      <c r="B1227" s="2" t="s">
        <v>17</v>
      </c>
      <c r="C1227" s="2" t="s">
        <v>18</v>
      </c>
      <c r="D1227" s="2" t="s">
        <v>19</v>
      </c>
      <c r="E1227" s="2" t="s">
        <v>27</v>
      </c>
      <c r="F1227" s="2">
        <v>15.0</v>
      </c>
      <c r="G1227" s="2">
        <v>18.0</v>
      </c>
      <c r="H1227" s="2">
        <v>14.0</v>
      </c>
      <c r="I1227" s="2">
        <v>4.0</v>
      </c>
      <c r="J1227" s="2">
        <v>0.0</v>
      </c>
      <c r="K1227" s="2">
        <v>0.0</v>
      </c>
      <c r="L1227" s="2">
        <v>0.0</v>
      </c>
      <c r="M1227" s="2">
        <v>1.0</v>
      </c>
      <c r="N1227" s="2"/>
      <c r="O1227" s="2"/>
      <c r="P1227" s="2" t="s">
        <v>92</v>
      </c>
    </row>
    <row r="1228">
      <c r="A1228" s="1" t="s">
        <v>241</v>
      </c>
      <c r="B1228" s="2" t="s">
        <v>17</v>
      </c>
      <c r="C1228" s="2" t="s">
        <v>18</v>
      </c>
      <c r="D1228" s="2" t="s">
        <v>127</v>
      </c>
      <c r="E1228" s="2" t="s">
        <v>27</v>
      </c>
      <c r="F1228" s="2">
        <v>15.0</v>
      </c>
      <c r="G1228" s="2">
        <v>25.0</v>
      </c>
      <c r="H1228" s="2">
        <v>15.0</v>
      </c>
      <c r="I1228" s="2">
        <v>10.0</v>
      </c>
      <c r="J1228" s="2">
        <v>0.0</v>
      </c>
      <c r="K1228" s="2">
        <v>0.0</v>
      </c>
      <c r="L1228" s="2">
        <v>0.0</v>
      </c>
      <c r="M1228" s="2">
        <v>0.0</v>
      </c>
      <c r="N1228" s="2"/>
      <c r="O1228" s="2"/>
      <c r="P1228" s="2" t="s">
        <v>92</v>
      </c>
    </row>
    <row r="1229">
      <c r="A1229" s="1" t="s">
        <v>241</v>
      </c>
      <c r="B1229" s="2" t="s">
        <v>17</v>
      </c>
      <c r="C1229" s="2" t="s">
        <v>18</v>
      </c>
      <c r="D1229" s="2" t="s">
        <v>23</v>
      </c>
      <c r="E1229" s="2" t="s">
        <v>27</v>
      </c>
      <c r="F1229" s="2">
        <v>30.0</v>
      </c>
      <c r="G1229" s="2">
        <v>43.0</v>
      </c>
      <c r="H1229" s="2">
        <v>29.0</v>
      </c>
      <c r="I1229" s="2">
        <v>14.0</v>
      </c>
      <c r="J1229" s="2">
        <v>0.0</v>
      </c>
      <c r="K1229" s="2">
        <v>0.0</v>
      </c>
      <c r="L1229" s="2">
        <v>0.0</v>
      </c>
      <c r="M1229" s="2">
        <v>1.0</v>
      </c>
      <c r="N1229" s="2">
        <v>0.0</v>
      </c>
      <c r="O1229" s="2">
        <v>-28.0</v>
      </c>
      <c r="P1229" s="2" t="s">
        <v>92</v>
      </c>
    </row>
    <row r="1230">
      <c r="A1230" s="13" t="s">
        <v>241</v>
      </c>
      <c r="B1230" s="4">
        <v>45294.29166666667</v>
      </c>
      <c r="C1230" s="2" t="s">
        <v>18</v>
      </c>
      <c r="D1230" s="2" t="s">
        <v>19</v>
      </c>
      <c r="E1230" s="2" t="s">
        <v>27</v>
      </c>
      <c r="F1230" s="2"/>
      <c r="G1230" s="2">
        <v>18.0</v>
      </c>
      <c r="H1230" s="2">
        <v>14.0</v>
      </c>
      <c r="I1230" s="2">
        <v>4.0</v>
      </c>
      <c r="J1230" s="2">
        <v>0.0</v>
      </c>
      <c r="K1230" s="2">
        <v>0.0</v>
      </c>
      <c r="L1230" s="2">
        <v>0.0</v>
      </c>
      <c r="M1230" s="2"/>
      <c r="N1230" s="2"/>
      <c r="O1230" s="2"/>
      <c r="P1230" s="2" t="s">
        <v>92</v>
      </c>
    </row>
    <row r="1231">
      <c r="A1231" s="1" t="s">
        <v>241</v>
      </c>
      <c r="B1231" s="4">
        <v>45295.29166666667</v>
      </c>
      <c r="C1231" s="2" t="s">
        <v>18</v>
      </c>
      <c r="D1231" s="2" t="s">
        <v>127</v>
      </c>
      <c r="E1231" s="2" t="s">
        <v>27</v>
      </c>
      <c r="F1231" s="2"/>
      <c r="G1231" s="2">
        <v>25.0</v>
      </c>
      <c r="H1231" s="2">
        <v>15.0</v>
      </c>
      <c r="I1231" s="2">
        <v>10.0</v>
      </c>
      <c r="J1231" s="2">
        <v>0.0</v>
      </c>
      <c r="K1231" s="2">
        <v>0.0</v>
      </c>
      <c r="L1231" s="2">
        <v>0.0</v>
      </c>
      <c r="M1231" s="2"/>
      <c r="N1231" s="2"/>
      <c r="O1231" s="2"/>
      <c r="P1231" s="2" t="s">
        <v>92</v>
      </c>
    </row>
    <row r="1232">
      <c r="A1232" s="1" t="s">
        <v>242</v>
      </c>
      <c r="B1232" s="2" t="s">
        <v>17</v>
      </c>
      <c r="C1232" s="2" t="s">
        <v>18</v>
      </c>
      <c r="D1232" s="2" t="s">
        <v>164</v>
      </c>
      <c r="E1232" s="2" t="s">
        <v>165</v>
      </c>
      <c r="F1232" s="2">
        <v>420.0</v>
      </c>
      <c r="G1232" s="2">
        <v>598.0</v>
      </c>
      <c r="H1232" s="2">
        <v>455.0</v>
      </c>
      <c r="I1232" s="2">
        <v>143.0</v>
      </c>
      <c r="J1232" s="2">
        <v>0.0</v>
      </c>
      <c r="K1232" s="2">
        <v>0.0</v>
      </c>
      <c r="L1232" s="2">
        <v>0.0</v>
      </c>
      <c r="M1232" s="2">
        <v>-35.0</v>
      </c>
      <c r="N1232" s="2"/>
      <c r="O1232" s="2"/>
      <c r="P1232" s="2" t="s">
        <v>166</v>
      </c>
    </row>
    <row r="1233">
      <c r="A1233" s="1" t="s">
        <v>242</v>
      </c>
      <c r="B1233" s="2" t="s">
        <v>17</v>
      </c>
      <c r="C1233" s="2" t="s">
        <v>18</v>
      </c>
      <c r="D1233" s="2" t="s">
        <v>23</v>
      </c>
      <c r="E1233" s="2" t="s">
        <v>165</v>
      </c>
      <c r="F1233" s="2">
        <v>420.0</v>
      </c>
      <c r="G1233" s="2">
        <v>598.0</v>
      </c>
      <c r="H1233" s="2">
        <v>455.0</v>
      </c>
      <c r="I1233" s="2">
        <v>143.0</v>
      </c>
      <c r="J1233" s="2">
        <v>0.0</v>
      </c>
      <c r="K1233" s="2">
        <v>0.0</v>
      </c>
      <c r="L1233" s="2">
        <v>0.0</v>
      </c>
      <c r="M1233" s="2">
        <v>-35.0</v>
      </c>
      <c r="N1233" s="2">
        <v>0.0</v>
      </c>
      <c r="O1233" s="2">
        <v>-490.0</v>
      </c>
      <c r="P1233" s="2" t="s">
        <v>166</v>
      </c>
    </row>
    <row r="1234">
      <c r="A1234" s="1" t="s">
        <v>242</v>
      </c>
      <c r="B1234" s="4">
        <v>45294.29166666667</v>
      </c>
      <c r="C1234" s="2" t="s">
        <v>18</v>
      </c>
      <c r="D1234" s="2" t="s">
        <v>164</v>
      </c>
      <c r="E1234" s="2" t="s">
        <v>165</v>
      </c>
      <c r="F1234" s="2"/>
      <c r="G1234" s="2">
        <v>598.0</v>
      </c>
      <c r="H1234" s="2">
        <v>455.0</v>
      </c>
      <c r="I1234" s="2">
        <v>0.0</v>
      </c>
      <c r="J1234" s="2">
        <v>0.0</v>
      </c>
      <c r="K1234" s="2">
        <v>0.0</v>
      </c>
      <c r="L1234" s="2">
        <v>0.0</v>
      </c>
      <c r="M1234" s="2"/>
      <c r="N1234" s="2"/>
      <c r="O1234" s="2"/>
      <c r="P1234" s="2" t="s">
        <v>166</v>
      </c>
    </row>
    <row r="1235">
      <c r="A1235" s="1" t="s">
        <v>243</v>
      </c>
      <c r="B1235" s="2" t="s">
        <v>17</v>
      </c>
      <c r="C1235" s="2" t="s">
        <v>18</v>
      </c>
      <c r="D1235" s="2" t="s">
        <v>164</v>
      </c>
      <c r="E1235" s="2" t="s">
        <v>165</v>
      </c>
      <c r="F1235" s="2">
        <v>210.0</v>
      </c>
      <c r="G1235" s="2">
        <v>314.0</v>
      </c>
      <c r="H1235" s="2">
        <v>219.0</v>
      </c>
      <c r="I1235" s="2">
        <v>95.0</v>
      </c>
      <c r="J1235" s="2">
        <v>0.0</v>
      </c>
      <c r="K1235" s="2">
        <v>0.0</v>
      </c>
      <c r="L1235" s="2">
        <v>0.0</v>
      </c>
      <c r="M1235" s="2">
        <v>-9.0</v>
      </c>
      <c r="N1235" s="2"/>
      <c r="O1235" s="2"/>
      <c r="P1235" s="2" t="s">
        <v>166</v>
      </c>
    </row>
    <row r="1236">
      <c r="A1236" s="1" t="s">
        <v>243</v>
      </c>
      <c r="B1236" s="2" t="s">
        <v>17</v>
      </c>
      <c r="C1236" s="2" t="s">
        <v>18</v>
      </c>
      <c r="D1236" s="2" t="s">
        <v>23</v>
      </c>
      <c r="E1236" s="2" t="s">
        <v>165</v>
      </c>
      <c r="F1236" s="2">
        <v>210.0</v>
      </c>
      <c r="G1236" s="2">
        <v>314.0</v>
      </c>
      <c r="H1236" s="2">
        <v>219.0</v>
      </c>
      <c r="I1236" s="2">
        <v>95.0</v>
      </c>
      <c r="J1236" s="2">
        <v>0.0</v>
      </c>
      <c r="K1236" s="2">
        <v>0.0</v>
      </c>
      <c r="L1236" s="2">
        <v>0.0</v>
      </c>
      <c r="M1236" s="2">
        <v>-9.0</v>
      </c>
      <c r="N1236" s="2">
        <v>0.0</v>
      </c>
      <c r="O1236" s="2">
        <v>-228.0</v>
      </c>
      <c r="P1236" s="2" t="s">
        <v>166</v>
      </c>
    </row>
    <row r="1237">
      <c r="A1237" s="1" t="s">
        <v>243</v>
      </c>
      <c r="B1237" s="4">
        <v>45294.29166666667</v>
      </c>
      <c r="C1237" s="2" t="s">
        <v>18</v>
      </c>
      <c r="D1237" s="2" t="s">
        <v>164</v>
      </c>
      <c r="E1237" s="2" t="s">
        <v>165</v>
      </c>
      <c r="F1237" s="2"/>
      <c r="G1237" s="2">
        <v>314.0</v>
      </c>
      <c r="H1237" s="2">
        <v>219.0</v>
      </c>
      <c r="I1237" s="2">
        <v>95.0</v>
      </c>
      <c r="J1237" s="2">
        <v>0.0</v>
      </c>
      <c r="K1237" s="2">
        <v>0.0</v>
      </c>
      <c r="L1237" s="2">
        <v>0.0</v>
      </c>
      <c r="M1237" s="2"/>
      <c r="N1237" s="2"/>
      <c r="O1237" s="2"/>
      <c r="P1237" s="2" t="s">
        <v>166</v>
      </c>
    </row>
    <row r="1238">
      <c r="A1238" s="1" t="s">
        <v>244</v>
      </c>
      <c r="B1238" s="2" t="s">
        <v>17</v>
      </c>
      <c r="C1238" s="2" t="s">
        <v>18</v>
      </c>
      <c r="D1238" s="2" t="s">
        <v>19</v>
      </c>
      <c r="E1238" s="2" t="s">
        <v>27</v>
      </c>
      <c r="F1238" s="2">
        <v>10.0</v>
      </c>
      <c r="G1238" s="2">
        <v>7.0</v>
      </c>
      <c r="H1238" s="2">
        <v>6.0</v>
      </c>
      <c r="I1238" s="2">
        <v>1.0</v>
      </c>
      <c r="J1238" s="2">
        <v>0.0</v>
      </c>
      <c r="K1238" s="2">
        <v>0.0</v>
      </c>
      <c r="L1238" s="2">
        <v>0.0</v>
      </c>
      <c r="M1238" s="2">
        <v>4.0</v>
      </c>
      <c r="N1238" s="2"/>
      <c r="O1238" s="2"/>
      <c r="P1238" s="2" t="s">
        <v>92</v>
      </c>
    </row>
    <row r="1239">
      <c r="A1239" s="1" t="s">
        <v>244</v>
      </c>
      <c r="B1239" s="2" t="s">
        <v>17</v>
      </c>
      <c r="C1239" s="2" t="s">
        <v>18</v>
      </c>
      <c r="D1239" s="2" t="s">
        <v>157</v>
      </c>
      <c r="E1239" s="2" t="s">
        <v>27</v>
      </c>
      <c r="F1239" s="2">
        <v>30.0</v>
      </c>
      <c r="G1239" s="2">
        <v>31.0</v>
      </c>
      <c r="H1239" s="2">
        <v>27.0</v>
      </c>
      <c r="I1239" s="2">
        <v>4.0</v>
      </c>
      <c r="J1239" s="2">
        <v>0.0</v>
      </c>
      <c r="K1239" s="2">
        <v>0.0</v>
      </c>
      <c r="L1239" s="2">
        <v>0.0</v>
      </c>
      <c r="M1239" s="2">
        <v>3.0</v>
      </c>
      <c r="N1239" s="2"/>
      <c r="O1239" s="2"/>
      <c r="P1239" s="2" t="s">
        <v>92</v>
      </c>
    </row>
    <row r="1240">
      <c r="A1240" s="1" t="s">
        <v>244</v>
      </c>
      <c r="B1240" s="2" t="s">
        <v>17</v>
      </c>
      <c r="C1240" s="2" t="s">
        <v>18</v>
      </c>
      <c r="D1240" s="2" t="s">
        <v>127</v>
      </c>
      <c r="E1240" s="2" t="s">
        <v>27</v>
      </c>
      <c r="F1240" s="2">
        <v>60.0</v>
      </c>
      <c r="G1240" s="2">
        <v>78.0</v>
      </c>
      <c r="H1240" s="2">
        <v>60.0</v>
      </c>
      <c r="I1240" s="2">
        <v>18.0</v>
      </c>
      <c r="J1240" s="2">
        <v>0.0</v>
      </c>
      <c r="K1240" s="2">
        <v>0.0</v>
      </c>
      <c r="L1240" s="2">
        <v>0.0</v>
      </c>
      <c r="M1240" s="2">
        <v>0.0</v>
      </c>
      <c r="N1240" s="2"/>
      <c r="O1240" s="2"/>
      <c r="P1240" s="2" t="s">
        <v>92</v>
      </c>
    </row>
    <row r="1241">
      <c r="A1241" s="1" t="s">
        <v>244</v>
      </c>
      <c r="B1241" s="2" t="s">
        <v>17</v>
      </c>
      <c r="C1241" s="2" t="s">
        <v>18</v>
      </c>
      <c r="D1241" s="2" t="s">
        <v>23</v>
      </c>
      <c r="E1241" s="2" t="s">
        <v>27</v>
      </c>
      <c r="F1241" s="2">
        <v>100.0</v>
      </c>
      <c r="G1241" s="2">
        <v>116.0</v>
      </c>
      <c r="H1241" s="2">
        <v>93.0</v>
      </c>
      <c r="I1241" s="2">
        <v>23.0</v>
      </c>
      <c r="J1241" s="2">
        <v>0.0</v>
      </c>
      <c r="K1241" s="2">
        <v>0.0</v>
      </c>
      <c r="L1241" s="2">
        <v>0.0</v>
      </c>
      <c r="M1241" s="2">
        <v>7.0</v>
      </c>
      <c r="N1241" s="2">
        <v>0.0</v>
      </c>
      <c r="O1241" s="2">
        <v>-86.0</v>
      </c>
      <c r="P1241" s="2" t="s">
        <v>92</v>
      </c>
    </row>
    <row r="1242">
      <c r="A1242" s="1" t="s">
        <v>244</v>
      </c>
      <c r="B1242" s="4">
        <v>45294.29166666667</v>
      </c>
      <c r="C1242" s="2" t="s">
        <v>18</v>
      </c>
      <c r="D1242" s="2" t="s">
        <v>19</v>
      </c>
      <c r="E1242" s="2" t="s">
        <v>27</v>
      </c>
      <c r="F1242" s="2"/>
      <c r="G1242" s="2">
        <v>7.0</v>
      </c>
      <c r="H1242" s="2">
        <v>6.0</v>
      </c>
      <c r="I1242" s="2">
        <v>1.0</v>
      </c>
      <c r="J1242" s="2">
        <v>0.0</v>
      </c>
      <c r="K1242" s="2">
        <v>0.0</v>
      </c>
      <c r="L1242" s="2">
        <v>0.0</v>
      </c>
      <c r="M1242" s="2"/>
      <c r="N1242" s="2"/>
      <c r="O1242" s="2"/>
      <c r="P1242" s="2" t="s">
        <v>92</v>
      </c>
    </row>
    <row r="1243">
      <c r="A1243" s="1" t="s">
        <v>244</v>
      </c>
      <c r="B1243" s="4">
        <v>45294.29166666667</v>
      </c>
      <c r="C1243" s="2" t="s">
        <v>18</v>
      </c>
      <c r="D1243" s="2" t="s">
        <v>157</v>
      </c>
      <c r="E1243" s="2" t="s">
        <v>27</v>
      </c>
      <c r="F1243" s="2"/>
      <c r="G1243" s="2">
        <v>31.0</v>
      </c>
      <c r="H1243" s="2">
        <v>27.0</v>
      </c>
      <c r="I1243" s="2">
        <v>4.0</v>
      </c>
      <c r="J1243" s="2">
        <v>0.0</v>
      </c>
      <c r="K1243" s="2">
        <v>0.0</v>
      </c>
      <c r="L1243" s="2">
        <v>0.0</v>
      </c>
      <c r="M1243" s="2"/>
      <c r="N1243" s="2"/>
      <c r="O1243" s="2"/>
      <c r="P1243" s="2" t="s">
        <v>92</v>
      </c>
    </row>
    <row r="1244">
      <c r="A1244" s="1" t="s">
        <v>244</v>
      </c>
      <c r="B1244" s="4">
        <v>45295.29166666667</v>
      </c>
      <c r="C1244" s="2" t="s">
        <v>18</v>
      </c>
      <c r="D1244" s="2" t="s">
        <v>127</v>
      </c>
      <c r="E1244" s="2" t="s">
        <v>27</v>
      </c>
      <c r="F1244" s="2"/>
      <c r="G1244" s="2">
        <v>78.0</v>
      </c>
      <c r="H1244" s="2">
        <v>60.0</v>
      </c>
      <c r="I1244" s="2">
        <v>18.0</v>
      </c>
      <c r="J1244" s="2">
        <v>0.0</v>
      </c>
      <c r="K1244" s="2">
        <v>0.0</v>
      </c>
      <c r="L1244" s="2">
        <v>0.0</v>
      </c>
      <c r="M1244" s="2"/>
      <c r="N1244" s="2"/>
      <c r="O1244" s="2"/>
      <c r="P1244" s="2" t="s">
        <v>92</v>
      </c>
    </row>
    <row r="1245">
      <c r="A1245" s="1" t="s">
        <v>245</v>
      </c>
      <c r="B1245" s="2" t="s">
        <v>17</v>
      </c>
      <c r="C1245" s="2" t="s">
        <v>18</v>
      </c>
      <c r="D1245" s="2" t="s">
        <v>157</v>
      </c>
      <c r="E1245" s="2" t="s">
        <v>170</v>
      </c>
      <c r="F1245" s="2">
        <v>17.0</v>
      </c>
      <c r="G1245" s="2">
        <v>23.0</v>
      </c>
      <c r="H1245" s="2">
        <v>17.0</v>
      </c>
      <c r="I1245" s="2">
        <v>6.0</v>
      </c>
      <c r="J1245" s="2">
        <v>0.0</v>
      </c>
      <c r="K1245" s="2">
        <v>0.0</v>
      </c>
      <c r="L1245" s="2">
        <v>0.0</v>
      </c>
      <c r="M1245" s="2">
        <v>0.0</v>
      </c>
      <c r="N1245" s="2"/>
      <c r="O1245" s="2"/>
      <c r="P1245" s="2" t="s">
        <v>67</v>
      </c>
    </row>
    <row r="1246">
      <c r="A1246" s="1" t="s">
        <v>245</v>
      </c>
      <c r="B1246" s="2" t="s">
        <v>17</v>
      </c>
      <c r="C1246" s="2" t="s">
        <v>18</v>
      </c>
      <c r="D1246" s="2" t="s">
        <v>23</v>
      </c>
      <c r="E1246" s="2" t="s">
        <v>170</v>
      </c>
      <c r="F1246" s="2">
        <v>17.0</v>
      </c>
      <c r="G1246" s="2">
        <v>23.0</v>
      </c>
      <c r="H1246" s="2">
        <v>17.0</v>
      </c>
      <c r="I1246" s="2">
        <v>6.0</v>
      </c>
      <c r="J1246" s="2">
        <v>0.0</v>
      </c>
      <c r="K1246" s="2">
        <v>0.0</v>
      </c>
      <c r="L1246" s="2">
        <v>0.0</v>
      </c>
      <c r="M1246" s="2">
        <v>0.0</v>
      </c>
      <c r="N1246" s="2">
        <v>0.0</v>
      </c>
      <c r="O1246" s="2">
        <v>-17.0</v>
      </c>
      <c r="P1246" s="2" t="s">
        <v>67</v>
      </c>
    </row>
    <row r="1247">
      <c r="A1247" s="1" t="s">
        <v>245</v>
      </c>
      <c r="B1247" s="4">
        <v>45262.29166666667</v>
      </c>
      <c r="C1247" s="2" t="s">
        <v>18</v>
      </c>
      <c r="D1247" s="2" t="s">
        <v>157</v>
      </c>
      <c r="E1247" s="2" t="s">
        <v>170</v>
      </c>
      <c r="F1247" s="2"/>
      <c r="G1247" s="2">
        <v>19.0</v>
      </c>
      <c r="H1247" s="2">
        <v>15.0</v>
      </c>
      <c r="I1247" s="2">
        <v>4.0</v>
      </c>
      <c r="J1247" s="2">
        <v>0.0</v>
      </c>
      <c r="K1247" s="2">
        <v>0.0</v>
      </c>
      <c r="L1247" s="2">
        <v>0.0</v>
      </c>
      <c r="M1247" s="2"/>
      <c r="N1247" s="2"/>
      <c r="O1247" s="2"/>
      <c r="P1247" s="2" t="s">
        <v>67</v>
      </c>
    </row>
    <row r="1248">
      <c r="A1248" s="1" t="s">
        <v>245</v>
      </c>
      <c r="B1248" s="4">
        <v>45293.29166666667</v>
      </c>
      <c r="C1248" s="2" t="s">
        <v>18</v>
      </c>
      <c r="D1248" s="2" t="s">
        <v>157</v>
      </c>
      <c r="E1248" s="2" t="s">
        <v>170</v>
      </c>
      <c r="F1248" s="2"/>
      <c r="G1248" s="2">
        <v>2.0</v>
      </c>
      <c r="H1248" s="2">
        <v>1.0</v>
      </c>
      <c r="I1248" s="2">
        <v>1.0</v>
      </c>
      <c r="J1248" s="2">
        <v>0.0</v>
      </c>
      <c r="K1248" s="2">
        <v>0.0</v>
      </c>
      <c r="L1248" s="2">
        <v>0.0</v>
      </c>
      <c r="M1248" s="2"/>
      <c r="N1248" s="2"/>
      <c r="O1248" s="2"/>
      <c r="P1248" s="2" t="s">
        <v>67</v>
      </c>
    </row>
    <row r="1249">
      <c r="A1249" s="3" t="s">
        <v>136</v>
      </c>
      <c r="B1249" s="4">
        <v>45324.29166666667</v>
      </c>
      <c r="C1249" s="2" t="s">
        <v>18</v>
      </c>
      <c r="D1249" s="2" t="s">
        <v>157</v>
      </c>
      <c r="E1249" s="2" t="s">
        <v>170</v>
      </c>
      <c r="F1249" s="2"/>
      <c r="G1249" s="2">
        <v>2.0</v>
      </c>
      <c r="H1249" s="2">
        <v>1.0</v>
      </c>
      <c r="I1249" s="2">
        <v>1.0</v>
      </c>
      <c r="J1249" s="2">
        <v>0.0</v>
      </c>
      <c r="K1249" s="2">
        <v>0.0</v>
      </c>
      <c r="L1249" s="2">
        <v>0.0</v>
      </c>
      <c r="M1249" s="2"/>
      <c r="N1249" s="2"/>
      <c r="O1249" s="2"/>
      <c r="P1249" s="2" t="s">
        <v>67</v>
      </c>
    </row>
    <row r="1250">
      <c r="A1250" s="1" t="s">
        <v>246</v>
      </c>
      <c r="B1250" s="2" t="s">
        <v>17</v>
      </c>
      <c r="C1250" s="2" t="s">
        <v>18</v>
      </c>
      <c r="D1250" s="2" t="s">
        <v>127</v>
      </c>
      <c r="E1250" s="2" t="s">
        <v>27</v>
      </c>
      <c r="F1250" s="2">
        <v>109.0</v>
      </c>
      <c r="G1250" s="2">
        <v>224.0</v>
      </c>
      <c r="H1250" s="2">
        <v>109.0</v>
      </c>
      <c r="I1250" s="2">
        <v>115.0</v>
      </c>
      <c r="J1250" s="2">
        <v>0.0</v>
      </c>
      <c r="K1250" s="2">
        <v>0.0</v>
      </c>
      <c r="L1250" s="2">
        <v>0.0</v>
      </c>
      <c r="M1250" s="2">
        <v>0.0</v>
      </c>
      <c r="N1250" s="2"/>
      <c r="O1250" s="2"/>
      <c r="P1250" s="2" t="s">
        <v>80</v>
      </c>
    </row>
    <row r="1251">
      <c r="A1251" s="1" t="s">
        <v>246</v>
      </c>
      <c r="B1251" s="2" t="s">
        <v>17</v>
      </c>
      <c r="C1251" s="2" t="s">
        <v>148</v>
      </c>
      <c r="D1251" s="2" t="s">
        <v>19</v>
      </c>
      <c r="E1251" s="2" t="s">
        <v>27</v>
      </c>
      <c r="F1251" s="2">
        <v>90.0</v>
      </c>
      <c r="G1251" s="2">
        <v>0.0</v>
      </c>
      <c r="H1251" s="2">
        <v>0.0</v>
      </c>
      <c r="I1251" s="2">
        <v>0.0</v>
      </c>
      <c r="J1251" s="2">
        <v>0.0</v>
      </c>
      <c r="K1251" s="2">
        <v>0.0</v>
      </c>
      <c r="L1251" s="2">
        <v>0.0</v>
      </c>
      <c r="M1251" s="2">
        <v>90.0</v>
      </c>
      <c r="N1251" s="2"/>
      <c r="O1251" s="2"/>
      <c r="P1251" s="2" t="s">
        <v>80</v>
      </c>
    </row>
    <row r="1252">
      <c r="A1252" s="1" t="s">
        <v>246</v>
      </c>
      <c r="B1252" s="2" t="s">
        <v>17</v>
      </c>
      <c r="C1252" s="2" t="s">
        <v>18</v>
      </c>
      <c r="D1252" s="2" t="s">
        <v>23</v>
      </c>
      <c r="E1252" s="2" t="s">
        <v>27</v>
      </c>
      <c r="F1252" s="2">
        <v>109.0</v>
      </c>
      <c r="G1252" s="2">
        <v>224.0</v>
      </c>
      <c r="H1252" s="2">
        <v>109.0</v>
      </c>
      <c r="I1252" s="2">
        <v>115.0</v>
      </c>
      <c r="J1252" s="2">
        <v>0.0</v>
      </c>
      <c r="K1252" s="2">
        <v>0.0</v>
      </c>
      <c r="L1252" s="2">
        <v>0.0</v>
      </c>
      <c r="M1252" s="2">
        <v>0.0</v>
      </c>
      <c r="N1252" s="2">
        <v>-90.0</v>
      </c>
      <c r="O1252" s="2">
        <v>-109.0</v>
      </c>
      <c r="P1252" s="2" t="s">
        <v>80</v>
      </c>
    </row>
    <row r="1253">
      <c r="A1253" s="1" t="s">
        <v>246</v>
      </c>
      <c r="B1253" s="4">
        <v>45233.25</v>
      </c>
      <c r="C1253" s="2" t="s">
        <v>18</v>
      </c>
      <c r="D1253" s="2" t="s">
        <v>127</v>
      </c>
      <c r="E1253" s="2" t="s">
        <v>27</v>
      </c>
      <c r="F1253" s="2"/>
      <c r="G1253" s="2">
        <v>94.0</v>
      </c>
      <c r="H1253" s="2">
        <v>55.0</v>
      </c>
      <c r="I1253" s="2">
        <v>39.0</v>
      </c>
      <c r="J1253" s="2">
        <v>0.0</v>
      </c>
      <c r="K1253" s="2">
        <v>0.0</v>
      </c>
      <c r="L1253" s="2">
        <v>0.0</v>
      </c>
      <c r="M1253" s="2"/>
      <c r="N1253" s="2"/>
      <c r="O1253" s="2"/>
      <c r="P1253" s="2" t="s">
        <v>80</v>
      </c>
    </row>
    <row r="1254">
      <c r="A1254" s="1" t="s">
        <v>246</v>
      </c>
      <c r="B1254" s="4">
        <v>45262.29166666667</v>
      </c>
      <c r="C1254" s="2" t="s">
        <v>18</v>
      </c>
      <c r="D1254" s="2" t="s">
        <v>127</v>
      </c>
      <c r="E1254" s="2" t="s">
        <v>27</v>
      </c>
      <c r="F1254" s="2"/>
      <c r="G1254" s="2">
        <v>36.0</v>
      </c>
      <c r="H1254" s="2">
        <v>13.0</v>
      </c>
      <c r="I1254" s="2">
        <v>23.0</v>
      </c>
      <c r="J1254" s="2">
        <v>0.0</v>
      </c>
      <c r="K1254" s="2">
        <v>0.0</v>
      </c>
      <c r="L1254" s="2">
        <v>0.0</v>
      </c>
      <c r="M1254" s="2"/>
      <c r="N1254" s="2"/>
      <c r="O1254" s="2"/>
      <c r="P1254" s="2" t="s">
        <v>80</v>
      </c>
    </row>
    <row r="1255">
      <c r="A1255" s="1" t="s">
        <v>246</v>
      </c>
      <c r="B1255" s="4">
        <v>45294.29166666667</v>
      </c>
      <c r="C1255" s="2" t="s">
        <v>18</v>
      </c>
      <c r="D1255" s="2" t="s">
        <v>127</v>
      </c>
      <c r="E1255" s="2" t="s">
        <v>27</v>
      </c>
      <c r="F1255" s="2"/>
      <c r="G1255" s="2">
        <v>82.0</v>
      </c>
      <c r="H1255" s="2">
        <v>41.0</v>
      </c>
      <c r="I1255" s="2">
        <v>41.0</v>
      </c>
      <c r="J1255" s="2">
        <v>0.0</v>
      </c>
      <c r="K1255" s="2">
        <v>0.0</v>
      </c>
      <c r="L1255" s="2">
        <v>0.0</v>
      </c>
      <c r="M1255" s="2"/>
      <c r="N1255" s="2"/>
      <c r="O1255" s="2"/>
      <c r="P1255" s="2" t="s">
        <v>80</v>
      </c>
    </row>
    <row r="1256">
      <c r="A1256" s="3" t="s">
        <v>137</v>
      </c>
      <c r="B1256" s="4">
        <v>45324.29166666667</v>
      </c>
      <c r="C1256" s="2" t="s">
        <v>18</v>
      </c>
      <c r="D1256" s="2" t="s">
        <v>127</v>
      </c>
      <c r="E1256" s="2" t="s">
        <v>27</v>
      </c>
      <c r="F1256" s="2"/>
      <c r="G1256" s="2">
        <v>12.0</v>
      </c>
      <c r="H1256" s="2">
        <v>0.0</v>
      </c>
      <c r="I1256" s="2">
        <v>12.0</v>
      </c>
      <c r="J1256" s="2">
        <v>0.0</v>
      </c>
      <c r="K1256" s="2">
        <v>0.0</v>
      </c>
      <c r="L1256" s="2">
        <v>0.0</v>
      </c>
      <c r="M1256" s="2"/>
      <c r="N1256" s="2"/>
      <c r="O1256" s="2"/>
      <c r="P1256" s="2" t="s">
        <v>80</v>
      </c>
    </row>
    <row r="1257">
      <c r="A1257" s="1" t="s">
        <v>247</v>
      </c>
      <c r="B1257" s="2" t="s">
        <v>17</v>
      </c>
      <c r="C1257" s="2" t="s">
        <v>18</v>
      </c>
      <c r="D1257" s="2" t="s">
        <v>127</v>
      </c>
      <c r="E1257" s="2" t="s">
        <v>248</v>
      </c>
      <c r="F1257" s="2">
        <v>72.0</v>
      </c>
      <c r="G1257" s="2">
        <v>15.0</v>
      </c>
      <c r="H1257" s="2">
        <v>13.0</v>
      </c>
      <c r="I1257" s="2">
        <v>2.0</v>
      </c>
      <c r="J1257" s="2">
        <v>0.0</v>
      </c>
      <c r="K1257" s="2">
        <v>0.0</v>
      </c>
      <c r="L1257" s="2">
        <v>0.0</v>
      </c>
      <c r="M1257" s="2">
        <v>59.0</v>
      </c>
      <c r="N1257" s="2"/>
      <c r="O1257" s="2"/>
      <c r="P1257" s="2" t="s">
        <v>195</v>
      </c>
    </row>
    <row r="1258">
      <c r="A1258" s="1" t="s">
        <v>247</v>
      </c>
      <c r="B1258" s="2" t="s">
        <v>17</v>
      </c>
      <c r="C1258" s="2" t="s">
        <v>18</v>
      </c>
      <c r="D1258" s="2" t="s">
        <v>127</v>
      </c>
      <c r="E1258" s="2" t="s">
        <v>149</v>
      </c>
      <c r="F1258" s="2">
        <v>71.0</v>
      </c>
      <c r="G1258" s="2">
        <v>44.0</v>
      </c>
      <c r="H1258" s="2">
        <v>34.0</v>
      </c>
      <c r="I1258" s="2">
        <v>10.0</v>
      </c>
      <c r="J1258" s="2">
        <v>0.0</v>
      </c>
      <c r="K1258" s="2">
        <v>0.0</v>
      </c>
      <c r="L1258" s="2">
        <v>0.0</v>
      </c>
      <c r="M1258" s="2">
        <v>37.0</v>
      </c>
      <c r="N1258" s="2"/>
      <c r="O1258" s="2"/>
      <c r="P1258" s="2" t="s">
        <v>195</v>
      </c>
    </row>
    <row r="1259">
      <c r="A1259" s="1" t="s">
        <v>247</v>
      </c>
      <c r="B1259" s="2" t="s">
        <v>17</v>
      </c>
      <c r="C1259" s="2" t="s">
        <v>18</v>
      </c>
      <c r="D1259" s="2" t="s">
        <v>30</v>
      </c>
      <c r="E1259" s="2" t="s">
        <v>248</v>
      </c>
      <c r="F1259" s="2">
        <v>75.0</v>
      </c>
      <c r="G1259" s="2">
        <v>7.0</v>
      </c>
      <c r="H1259" s="2">
        <v>4.0</v>
      </c>
      <c r="I1259" s="2">
        <v>3.0</v>
      </c>
      <c r="J1259" s="2">
        <v>0.0</v>
      </c>
      <c r="K1259" s="2">
        <v>0.0</v>
      </c>
      <c r="L1259" s="2">
        <v>7.0</v>
      </c>
      <c r="M1259" s="2">
        <v>71.0</v>
      </c>
      <c r="N1259" s="2"/>
      <c r="O1259" s="2"/>
      <c r="P1259" s="2" t="s">
        <v>195</v>
      </c>
    </row>
    <row r="1260">
      <c r="A1260" s="14" t="s">
        <v>247</v>
      </c>
      <c r="B1260" s="2" t="s">
        <v>17</v>
      </c>
      <c r="C1260" s="2" t="s">
        <v>18</v>
      </c>
      <c r="D1260" s="2" t="s">
        <v>30</v>
      </c>
      <c r="E1260" s="2" t="s">
        <v>149</v>
      </c>
      <c r="F1260" s="2">
        <v>77.0</v>
      </c>
      <c r="G1260" s="2">
        <v>19.0</v>
      </c>
      <c r="H1260" s="2">
        <v>15.0</v>
      </c>
      <c r="I1260" s="2">
        <v>4.0</v>
      </c>
      <c r="J1260" s="2">
        <v>0.0</v>
      </c>
      <c r="K1260" s="2">
        <v>0.0</v>
      </c>
      <c r="L1260" s="2">
        <v>19.0</v>
      </c>
      <c r="M1260" s="2">
        <v>62.0</v>
      </c>
      <c r="N1260" s="2"/>
      <c r="O1260" s="2"/>
      <c r="P1260" s="2" t="s">
        <v>195</v>
      </c>
    </row>
    <row r="1261">
      <c r="A1261" s="1" t="s">
        <v>247</v>
      </c>
      <c r="B1261" s="2" t="s">
        <v>17</v>
      </c>
      <c r="C1261" s="2" t="s">
        <v>57</v>
      </c>
      <c r="D1261" s="2" t="s">
        <v>30</v>
      </c>
      <c r="E1261" s="2" t="s">
        <v>147</v>
      </c>
      <c r="F1261" s="2">
        <v>33.0</v>
      </c>
      <c r="G1261" s="2">
        <v>39.0</v>
      </c>
      <c r="H1261" s="2">
        <v>34.0</v>
      </c>
      <c r="I1261" s="2">
        <v>5.0</v>
      </c>
      <c r="J1261" s="2">
        <v>0.0</v>
      </c>
      <c r="K1261" s="2">
        <v>0.0</v>
      </c>
      <c r="L1261" s="2">
        <v>39.0</v>
      </c>
      <c r="M1261" s="2">
        <v>-1.0</v>
      </c>
      <c r="N1261" s="2"/>
      <c r="O1261" s="2"/>
      <c r="P1261" s="2" t="s">
        <v>195</v>
      </c>
    </row>
    <row r="1262">
      <c r="A1262" s="1" t="s">
        <v>247</v>
      </c>
      <c r="B1262" s="2" t="s">
        <v>17</v>
      </c>
      <c r="C1262" s="2" t="s">
        <v>18</v>
      </c>
      <c r="D1262" s="2" t="s">
        <v>23</v>
      </c>
      <c r="E1262" s="2" t="s">
        <v>248</v>
      </c>
      <c r="F1262" s="2">
        <v>75.0</v>
      </c>
      <c r="G1262" s="2">
        <v>22.0</v>
      </c>
      <c r="H1262" s="2">
        <v>17.0</v>
      </c>
      <c r="I1262" s="2">
        <v>5.0</v>
      </c>
      <c r="J1262" s="2">
        <v>0.0</v>
      </c>
      <c r="K1262" s="2">
        <v>0.0</v>
      </c>
      <c r="L1262" s="2">
        <v>7.0</v>
      </c>
      <c r="M1262" s="2">
        <v>58.0</v>
      </c>
      <c r="N1262" s="2">
        <v>-72.0</v>
      </c>
      <c r="O1262" s="2">
        <v>41.0</v>
      </c>
      <c r="P1262" s="2" t="s">
        <v>195</v>
      </c>
    </row>
    <row r="1263">
      <c r="A1263" s="1" t="s">
        <v>247</v>
      </c>
      <c r="B1263" s="2" t="s">
        <v>17</v>
      </c>
      <c r="C1263" s="2" t="s">
        <v>18</v>
      </c>
      <c r="D1263" s="2" t="s">
        <v>23</v>
      </c>
      <c r="E1263" s="2" t="s">
        <v>149</v>
      </c>
      <c r="F1263" s="2">
        <v>77.0</v>
      </c>
      <c r="G1263" s="2">
        <v>63.0</v>
      </c>
      <c r="H1263" s="2">
        <v>49.0</v>
      </c>
      <c r="I1263" s="2">
        <v>14.0</v>
      </c>
      <c r="J1263" s="2">
        <v>0.0</v>
      </c>
      <c r="K1263" s="2">
        <v>0.0</v>
      </c>
      <c r="L1263" s="2">
        <v>19.0</v>
      </c>
      <c r="M1263" s="2">
        <v>28.0</v>
      </c>
      <c r="N1263" s="2">
        <v>-71.0</v>
      </c>
      <c r="O1263" s="2">
        <v>-21.0</v>
      </c>
      <c r="P1263" s="2" t="s">
        <v>195</v>
      </c>
    </row>
    <row r="1264">
      <c r="A1264" s="1" t="s">
        <v>247</v>
      </c>
      <c r="B1264" s="2" t="s">
        <v>17</v>
      </c>
      <c r="C1264" s="2" t="s">
        <v>57</v>
      </c>
      <c r="D1264" s="2" t="s">
        <v>23</v>
      </c>
      <c r="E1264" s="2" t="s">
        <v>147</v>
      </c>
      <c r="F1264" s="2">
        <v>33.0</v>
      </c>
      <c r="G1264" s="2">
        <v>39.0</v>
      </c>
      <c r="H1264" s="2">
        <v>34.0</v>
      </c>
      <c r="I1264" s="2">
        <v>5.0</v>
      </c>
      <c r="J1264" s="2">
        <v>0.0</v>
      </c>
      <c r="K1264" s="2">
        <v>0.0</v>
      </c>
      <c r="L1264" s="2">
        <v>39.0</v>
      </c>
      <c r="M1264" s="2">
        <v>-1.0</v>
      </c>
      <c r="N1264" s="2">
        <v>0.0</v>
      </c>
      <c r="O1264" s="2">
        <v>-35.0</v>
      </c>
      <c r="P1264" s="2" t="s">
        <v>195</v>
      </c>
    </row>
    <row r="1265">
      <c r="A1265" s="1" t="s">
        <v>247</v>
      </c>
      <c r="B1265" s="4">
        <v>45294.29166666667</v>
      </c>
      <c r="C1265" s="2" t="s">
        <v>18</v>
      </c>
      <c r="D1265" s="2" t="s">
        <v>30</v>
      </c>
      <c r="E1265" s="2" t="s">
        <v>248</v>
      </c>
      <c r="F1265" s="2"/>
      <c r="G1265" s="2">
        <v>7.0</v>
      </c>
      <c r="H1265" s="2">
        <v>4.0</v>
      </c>
      <c r="I1265" s="2">
        <v>3.0</v>
      </c>
      <c r="J1265" s="2">
        <v>0.0</v>
      </c>
      <c r="K1265" s="2">
        <v>0.0</v>
      </c>
      <c r="L1265" s="2">
        <v>7.0</v>
      </c>
      <c r="M1265" s="2"/>
      <c r="N1265" s="2"/>
      <c r="O1265" s="2"/>
      <c r="P1265" s="2" t="s">
        <v>195</v>
      </c>
    </row>
    <row r="1266">
      <c r="A1266" s="1" t="s">
        <v>247</v>
      </c>
      <c r="B1266" s="4">
        <v>45294.29166666667</v>
      </c>
      <c r="C1266" s="2" t="s">
        <v>18</v>
      </c>
      <c r="D1266" s="2" t="s">
        <v>30</v>
      </c>
      <c r="E1266" s="2" t="s">
        <v>149</v>
      </c>
      <c r="F1266" s="2"/>
      <c r="G1266" s="2">
        <v>19.0</v>
      </c>
      <c r="H1266" s="2">
        <v>15.0</v>
      </c>
      <c r="I1266" s="2">
        <v>4.0</v>
      </c>
      <c r="J1266" s="2">
        <v>0.0</v>
      </c>
      <c r="K1266" s="2">
        <v>0.0</v>
      </c>
      <c r="L1266" s="2">
        <v>19.0</v>
      </c>
      <c r="M1266" s="2"/>
      <c r="N1266" s="2"/>
      <c r="O1266" s="2"/>
      <c r="P1266" s="2" t="s">
        <v>195</v>
      </c>
    </row>
    <row r="1267">
      <c r="A1267" s="1" t="s">
        <v>247</v>
      </c>
      <c r="B1267" s="4">
        <v>45294.29166666667</v>
      </c>
      <c r="C1267" s="2" t="s">
        <v>18</v>
      </c>
      <c r="D1267" s="2" t="s">
        <v>30</v>
      </c>
      <c r="E1267" s="2" t="s">
        <v>147</v>
      </c>
      <c r="F1267" s="2"/>
      <c r="G1267" s="2">
        <v>39.0</v>
      </c>
      <c r="H1267" s="2">
        <v>34.0</v>
      </c>
      <c r="I1267" s="2">
        <v>5.0</v>
      </c>
      <c r="J1267" s="2">
        <v>0.0</v>
      </c>
      <c r="K1267" s="2">
        <v>0.0</v>
      </c>
      <c r="L1267" s="2">
        <v>39.0</v>
      </c>
      <c r="M1267" s="2"/>
      <c r="N1267" s="2"/>
      <c r="O1267" s="2"/>
      <c r="P1267" s="2" t="s">
        <v>195</v>
      </c>
    </row>
    <row r="1268">
      <c r="A1268" s="1" t="s">
        <v>247</v>
      </c>
      <c r="B1268" s="4">
        <v>45294.29166666667</v>
      </c>
      <c r="C1268" s="2" t="s">
        <v>18</v>
      </c>
      <c r="D1268" s="2" t="s">
        <v>127</v>
      </c>
      <c r="E1268" s="2" t="s">
        <v>248</v>
      </c>
      <c r="F1268" s="2"/>
      <c r="G1268" s="2">
        <v>15.0</v>
      </c>
      <c r="H1268" s="2">
        <v>13.0</v>
      </c>
      <c r="I1268" s="2">
        <v>2.0</v>
      </c>
      <c r="J1268" s="2">
        <v>0.0</v>
      </c>
      <c r="K1268" s="2">
        <v>0.0</v>
      </c>
      <c r="L1268" s="2">
        <v>0.0</v>
      </c>
      <c r="M1268" s="2"/>
      <c r="N1268" s="2"/>
      <c r="O1268" s="2"/>
      <c r="P1268" s="2" t="s">
        <v>195</v>
      </c>
    </row>
    <row r="1269">
      <c r="A1269" s="1" t="s">
        <v>247</v>
      </c>
      <c r="B1269" s="4">
        <v>45294.29166666667</v>
      </c>
      <c r="C1269" s="2" t="s">
        <v>18</v>
      </c>
      <c r="D1269" s="2" t="s">
        <v>127</v>
      </c>
      <c r="E1269" s="2" t="s">
        <v>149</v>
      </c>
      <c r="F1269" s="2"/>
      <c r="G1269" s="2">
        <v>44.0</v>
      </c>
      <c r="H1269" s="2">
        <v>34.0</v>
      </c>
      <c r="I1269" s="2">
        <v>10.0</v>
      </c>
      <c r="J1269" s="2">
        <v>0.0</v>
      </c>
      <c r="K1269" s="2">
        <v>0.0</v>
      </c>
      <c r="L1269" s="2">
        <v>0.0</v>
      </c>
      <c r="M1269" s="2"/>
      <c r="N1269" s="2"/>
      <c r="O1269" s="2"/>
      <c r="P1269" s="2" t="s">
        <v>195</v>
      </c>
    </row>
    <row r="1270">
      <c r="A1270" s="1" t="s">
        <v>249</v>
      </c>
      <c r="B1270" s="2" t="s">
        <v>17</v>
      </c>
      <c r="C1270" s="2" t="s">
        <v>18</v>
      </c>
      <c r="D1270" s="2" t="s">
        <v>127</v>
      </c>
      <c r="E1270" s="2" t="s">
        <v>250</v>
      </c>
      <c r="F1270" s="2">
        <v>82.0</v>
      </c>
      <c r="G1270" s="2">
        <v>109.0</v>
      </c>
      <c r="H1270" s="2">
        <v>69.0</v>
      </c>
      <c r="I1270" s="2">
        <v>40.0</v>
      </c>
      <c r="J1270" s="2">
        <v>0.0</v>
      </c>
      <c r="K1270" s="2">
        <v>0.0</v>
      </c>
      <c r="L1270" s="2">
        <v>0.0</v>
      </c>
      <c r="M1270" s="2">
        <v>13.0</v>
      </c>
      <c r="N1270" s="2"/>
      <c r="O1270" s="2"/>
      <c r="P1270" s="2" t="s">
        <v>92</v>
      </c>
    </row>
    <row r="1271">
      <c r="A1271" s="1" t="s">
        <v>249</v>
      </c>
      <c r="B1271" s="2" t="s">
        <v>17</v>
      </c>
      <c r="C1271" s="2" t="s">
        <v>148</v>
      </c>
      <c r="D1271" s="2" t="s">
        <v>19</v>
      </c>
      <c r="E1271" s="2" t="s">
        <v>250</v>
      </c>
      <c r="F1271" s="2">
        <v>50.0</v>
      </c>
      <c r="G1271" s="2">
        <v>0.0</v>
      </c>
      <c r="H1271" s="2">
        <v>0.0</v>
      </c>
      <c r="I1271" s="2">
        <v>0.0</v>
      </c>
      <c r="J1271" s="2">
        <v>0.0</v>
      </c>
      <c r="K1271" s="2">
        <v>0.0</v>
      </c>
      <c r="L1271" s="2">
        <v>0.0</v>
      </c>
      <c r="M1271" s="2">
        <v>50.0</v>
      </c>
      <c r="N1271" s="2"/>
      <c r="O1271" s="2"/>
      <c r="P1271" s="2" t="s">
        <v>92</v>
      </c>
    </row>
    <row r="1272">
      <c r="A1272" s="1" t="s">
        <v>249</v>
      </c>
      <c r="B1272" s="2" t="s">
        <v>17</v>
      </c>
      <c r="C1272" s="2" t="s">
        <v>18</v>
      </c>
      <c r="D1272" s="2" t="s">
        <v>23</v>
      </c>
      <c r="E1272" s="2" t="s">
        <v>250</v>
      </c>
      <c r="F1272" s="2">
        <v>82.0</v>
      </c>
      <c r="G1272" s="2">
        <v>109.0</v>
      </c>
      <c r="H1272" s="2">
        <v>69.0</v>
      </c>
      <c r="I1272" s="2">
        <v>40.0</v>
      </c>
      <c r="J1272" s="2">
        <v>0.0</v>
      </c>
      <c r="K1272" s="2">
        <v>0.0</v>
      </c>
      <c r="L1272" s="2">
        <v>0.0</v>
      </c>
      <c r="M1272" s="2">
        <v>13.0</v>
      </c>
      <c r="N1272" s="2">
        <v>-50.0</v>
      </c>
      <c r="O1272" s="2">
        <v>-56.0</v>
      </c>
      <c r="P1272" s="2" t="s">
        <v>92</v>
      </c>
    </row>
    <row r="1273">
      <c r="A1273" s="1" t="s">
        <v>249</v>
      </c>
      <c r="B1273" s="4">
        <v>45263.29166666667</v>
      </c>
      <c r="C1273" s="2" t="s">
        <v>18</v>
      </c>
      <c r="D1273" s="2" t="s">
        <v>127</v>
      </c>
      <c r="E1273" s="2" t="s">
        <v>250</v>
      </c>
      <c r="F1273" s="2"/>
      <c r="G1273" s="2">
        <v>76.0</v>
      </c>
      <c r="H1273" s="2">
        <v>51.0</v>
      </c>
      <c r="I1273" s="2">
        <v>25.0</v>
      </c>
      <c r="J1273" s="2">
        <v>0.0</v>
      </c>
      <c r="K1273" s="2">
        <v>0.0</v>
      </c>
      <c r="L1273" s="2">
        <v>0.0</v>
      </c>
      <c r="M1273" s="2"/>
      <c r="N1273" s="2"/>
      <c r="O1273" s="2"/>
      <c r="P1273" s="2" t="s">
        <v>92</v>
      </c>
    </row>
    <row r="1274">
      <c r="A1274" s="13" t="s">
        <v>249</v>
      </c>
      <c r="B1274" s="4">
        <v>45293.29166666667</v>
      </c>
      <c r="C1274" s="2" t="s">
        <v>18</v>
      </c>
      <c r="D1274" s="2" t="s">
        <v>127</v>
      </c>
      <c r="E1274" s="2" t="s">
        <v>250</v>
      </c>
      <c r="F1274" s="2"/>
      <c r="G1274" s="2">
        <v>33.0</v>
      </c>
      <c r="H1274" s="2">
        <v>18.0</v>
      </c>
      <c r="I1274" s="2">
        <v>15.0</v>
      </c>
      <c r="J1274" s="2">
        <v>0.0</v>
      </c>
      <c r="K1274" s="2">
        <v>0.0</v>
      </c>
      <c r="L1274" s="2">
        <v>0.0</v>
      </c>
      <c r="M1274" s="2"/>
      <c r="N1274" s="2"/>
      <c r="O1274" s="2"/>
      <c r="P1274" s="2"/>
    </row>
    <row r="1275">
      <c r="A1275" s="1" t="s">
        <v>251</v>
      </c>
      <c r="B1275" s="2" t="s">
        <v>17</v>
      </c>
      <c r="C1275" s="2" t="s">
        <v>18</v>
      </c>
      <c r="D1275" s="2" t="s">
        <v>30</v>
      </c>
      <c r="E1275" s="2" t="s">
        <v>155</v>
      </c>
      <c r="F1275" s="2">
        <v>36.0</v>
      </c>
      <c r="G1275" s="2">
        <v>34.0</v>
      </c>
      <c r="H1275" s="2">
        <v>20.0</v>
      </c>
      <c r="I1275" s="2">
        <v>14.0</v>
      </c>
      <c r="J1275" s="2">
        <v>0.0</v>
      </c>
      <c r="K1275" s="2">
        <v>0.0</v>
      </c>
      <c r="L1275" s="2">
        <v>0.0</v>
      </c>
      <c r="M1275" s="2">
        <v>16.0</v>
      </c>
      <c r="N1275" s="2"/>
      <c r="O1275" s="2"/>
      <c r="P1275" s="2" t="s">
        <v>92</v>
      </c>
    </row>
    <row r="1276">
      <c r="A1276" s="1" t="s">
        <v>251</v>
      </c>
      <c r="B1276" s="2" t="s">
        <v>17</v>
      </c>
      <c r="C1276" s="2" t="s">
        <v>18</v>
      </c>
      <c r="D1276" s="2" t="s">
        <v>157</v>
      </c>
      <c r="E1276" s="2" t="s">
        <v>155</v>
      </c>
      <c r="F1276" s="2">
        <v>50.0</v>
      </c>
      <c r="G1276" s="2">
        <v>9.0</v>
      </c>
      <c r="H1276" s="2">
        <v>4.0</v>
      </c>
      <c r="I1276" s="2">
        <v>5.0</v>
      </c>
      <c r="J1276" s="2">
        <v>0.0</v>
      </c>
      <c r="K1276" s="2">
        <v>0.0</v>
      </c>
      <c r="L1276" s="2">
        <v>0.0</v>
      </c>
      <c r="M1276" s="2">
        <v>46.0</v>
      </c>
      <c r="N1276" s="2"/>
      <c r="O1276" s="2"/>
      <c r="P1276" s="2" t="s">
        <v>92</v>
      </c>
    </row>
    <row r="1277">
      <c r="A1277" s="1" t="s">
        <v>251</v>
      </c>
      <c r="B1277" s="2" t="s">
        <v>17</v>
      </c>
      <c r="C1277" s="2" t="s">
        <v>18</v>
      </c>
      <c r="D1277" s="2" t="s">
        <v>23</v>
      </c>
      <c r="E1277" s="2" t="s">
        <v>155</v>
      </c>
      <c r="F1277" s="2">
        <v>40.0</v>
      </c>
      <c r="G1277" s="2">
        <v>43.0</v>
      </c>
      <c r="H1277" s="2">
        <v>24.0</v>
      </c>
      <c r="I1277" s="2">
        <v>19.0</v>
      </c>
      <c r="J1277" s="2">
        <v>0.0</v>
      </c>
      <c r="K1277" s="2">
        <v>0.0</v>
      </c>
      <c r="L1277" s="2">
        <v>0.0</v>
      </c>
      <c r="M1277" s="2">
        <v>16.0</v>
      </c>
      <c r="N1277" s="2">
        <v>-46.0</v>
      </c>
      <c r="O1277" s="2">
        <v>-8.0</v>
      </c>
      <c r="P1277" s="2" t="s">
        <v>92</v>
      </c>
    </row>
    <row r="1278">
      <c r="A1278" s="1" t="s">
        <v>251</v>
      </c>
      <c r="B1278" s="4">
        <v>45262.29166666667</v>
      </c>
      <c r="C1278" s="2" t="s">
        <v>18</v>
      </c>
      <c r="D1278" s="2" t="s">
        <v>30</v>
      </c>
      <c r="E1278" s="2" t="s">
        <v>155</v>
      </c>
      <c r="F1278" s="2"/>
      <c r="G1278" s="2">
        <v>8.0</v>
      </c>
      <c r="H1278" s="2">
        <v>3.0</v>
      </c>
      <c r="I1278" s="2">
        <v>5.0</v>
      </c>
      <c r="J1278" s="2">
        <v>0.0</v>
      </c>
      <c r="K1278" s="2">
        <v>0.0</v>
      </c>
      <c r="L1278" s="2">
        <v>0.0</v>
      </c>
      <c r="M1278" s="2"/>
      <c r="N1278" s="2"/>
      <c r="O1278" s="2"/>
      <c r="P1278" s="2" t="s">
        <v>92</v>
      </c>
    </row>
    <row r="1279">
      <c r="A1279" s="13" t="s">
        <v>251</v>
      </c>
      <c r="B1279" s="4">
        <v>45263.29166666667</v>
      </c>
      <c r="C1279" s="2" t="s">
        <v>18</v>
      </c>
      <c r="D1279" s="2" t="s">
        <v>157</v>
      </c>
      <c r="E1279" s="2" t="s">
        <v>155</v>
      </c>
      <c r="F1279" s="2"/>
      <c r="G1279" s="2">
        <v>4.0</v>
      </c>
      <c r="H1279" s="2">
        <v>3.0</v>
      </c>
      <c r="I1279" s="2">
        <v>1.0</v>
      </c>
      <c r="J1279" s="2">
        <v>0.0</v>
      </c>
      <c r="K1279" s="2">
        <v>0.0</v>
      </c>
      <c r="L1279" s="2">
        <v>0.0</v>
      </c>
      <c r="M1279" s="2"/>
      <c r="N1279" s="2"/>
      <c r="O1279" s="2"/>
      <c r="P1279" s="2" t="s">
        <v>92</v>
      </c>
    </row>
    <row r="1280">
      <c r="A1280" s="1" t="s">
        <v>251</v>
      </c>
      <c r="B1280" s="4">
        <v>45292.29166666667</v>
      </c>
      <c r="C1280" s="2" t="s">
        <v>18</v>
      </c>
      <c r="D1280" s="2" t="s">
        <v>30</v>
      </c>
      <c r="E1280" s="2" t="s">
        <v>155</v>
      </c>
      <c r="F1280" s="2"/>
      <c r="G1280" s="2">
        <v>26.0</v>
      </c>
      <c r="H1280" s="2">
        <v>17.0</v>
      </c>
      <c r="I1280" s="2">
        <v>9.0</v>
      </c>
      <c r="J1280" s="2">
        <v>0.0</v>
      </c>
      <c r="K1280" s="2">
        <v>0.0</v>
      </c>
      <c r="L1280" s="2">
        <v>0.0</v>
      </c>
      <c r="M1280" s="2"/>
      <c r="N1280" s="2"/>
      <c r="O1280" s="2"/>
      <c r="P1280" s="2" t="s">
        <v>92</v>
      </c>
    </row>
    <row r="1281">
      <c r="A1281" s="13" t="s">
        <v>251</v>
      </c>
      <c r="B1281" s="4">
        <v>45293.29166666667</v>
      </c>
      <c r="C1281" s="2" t="s">
        <v>18</v>
      </c>
      <c r="D1281" s="2" t="s">
        <v>157</v>
      </c>
      <c r="E1281" s="2" t="s">
        <v>155</v>
      </c>
      <c r="F1281" s="2"/>
      <c r="G1281" s="2">
        <v>5.0</v>
      </c>
      <c r="H1281" s="2">
        <v>1.0</v>
      </c>
      <c r="I1281" s="2">
        <v>4.0</v>
      </c>
      <c r="J1281" s="2">
        <v>0.0</v>
      </c>
      <c r="K1281" s="2">
        <v>0.0</v>
      </c>
      <c r="L1281" s="2">
        <v>0.0</v>
      </c>
      <c r="M1281" s="2"/>
      <c r="N1281" s="2"/>
      <c r="O1281" s="2"/>
      <c r="P1281" s="2" t="s">
        <v>92</v>
      </c>
    </row>
    <row r="1282">
      <c r="A1282" s="1" t="s">
        <v>252</v>
      </c>
      <c r="B1282" s="2" t="s">
        <v>17</v>
      </c>
      <c r="C1282" s="2" t="s">
        <v>18</v>
      </c>
      <c r="D1282" s="2" t="s">
        <v>127</v>
      </c>
      <c r="E1282" s="2" t="s">
        <v>250</v>
      </c>
      <c r="F1282" s="2">
        <v>110.0</v>
      </c>
      <c r="G1282" s="2">
        <v>171.0</v>
      </c>
      <c r="H1282" s="2">
        <v>110.0</v>
      </c>
      <c r="I1282" s="2">
        <v>61.0</v>
      </c>
      <c r="J1282" s="2">
        <v>0.0</v>
      </c>
      <c r="K1282" s="2">
        <v>0.0</v>
      </c>
      <c r="L1282" s="2">
        <v>0.0</v>
      </c>
      <c r="M1282" s="2">
        <v>0.0</v>
      </c>
      <c r="N1282" s="2"/>
      <c r="O1282" s="2"/>
      <c r="P1282" s="2" t="s">
        <v>92</v>
      </c>
    </row>
    <row r="1283">
      <c r="A1283" s="1" t="s">
        <v>252</v>
      </c>
      <c r="B1283" s="2" t="s">
        <v>17</v>
      </c>
      <c r="C1283" s="2" t="s">
        <v>18</v>
      </c>
      <c r="D1283" s="2" t="s">
        <v>23</v>
      </c>
      <c r="E1283" s="2" t="s">
        <v>250</v>
      </c>
      <c r="F1283" s="2">
        <v>110.0</v>
      </c>
      <c r="G1283" s="2">
        <v>171.0</v>
      </c>
      <c r="H1283" s="2">
        <v>110.0</v>
      </c>
      <c r="I1283" s="2">
        <v>61.0</v>
      </c>
      <c r="J1283" s="2">
        <v>0.0</v>
      </c>
      <c r="K1283" s="2">
        <v>0.0</v>
      </c>
      <c r="L1283" s="2">
        <v>0.0</v>
      </c>
      <c r="M1283" s="2">
        <v>0.0</v>
      </c>
      <c r="N1283" s="2">
        <v>0.0</v>
      </c>
      <c r="O1283" s="2">
        <v>-110.0</v>
      </c>
      <c r="P1283" s="2" t="s">
        <v>92</v>
      </c>
    </row>
    <row r="1284">
      <c r="A1284" s="1" t="s">
        <v>252</v>
      </c>
      <c r="B1284" s="4">
        <v>45262.29166666667</v>
      </c>
      <c r="C1284" s="2" t="s">
        <v>18</v>
      </c>
      <c r="D1284" s="2" t="s">
        <v>127</v>
      </c>
      <c r="E1284" s="2" t="s">
        <v>250</v>
      </c>
      <c r="F1284" s="2"/>
      <c r="G1284" s="2">
        <v>126.0</v>
      </c>
      <c r="H1284" s="2">
        <v>84.0</v>
      </c>
      <c r="I1284" s="2">
        <v>42.0</v>
      </c>
      <c r="J1284" s="2">
        <v>0.0</v>
      </c>
      <c r="K1284" s="2">
        <v>0.0</v>
      </c>
      <c r="L1284" s="2">
        <v>0.0</v>
      </c>
      <c r="M1284" s="2"/>
      <c r="N1284" s="2"/>
      <c r="O1284" s="2"/>
      <c r="P1284" s="2" t="s">
        <v>92</v>
      </c>
    </row>
    <row r="1285">
      <c r="A1285" s="13" t="s">
        <v>252</v>
      </c>
      <c r="B1285" s="4">
        <v>45293.29166666667</v>
      </c>
      <c r="C1285" s="2" t="s">
        <v>18</v>
      </c>
      <c r="D1285" s="2" t="s">
        <v>127</v>
      </c>
      <c r="E1285" s="2" t="s">
        <v>250</v>
      </c>
      <c r="F1285" s="2"/>
      <c r="G1285" s="2">
        <v>45.0</v>
      </c>
      <c r="H1285" s="2">
        <v>26.0</v>
      </c>
      <c r="I1285" s="2">
        <v>19.0</v>
      </c>
      <c r="J1285" s="2">
        <v>0.0</v>
      </c>
      <c r="K1285" s="2">
        <v>0.0</v>
      </c>
      <c r="L1285" s="2">
        <v>0.0</v>
      </c>
      <c r="M1285" s="2"/>
      <c r="N1285" s="2"/>
      <c r="O1285" s="2"/>
      <c r="P1285" s="2" t="s">
        <v>92</v>
      </c>
    </row>
    <row r="1286">
      <c r="A1286" s="1" t="s">
        <v>253</v>
      </c>
      <c r="B1286" s="2" t="s">
        <v>17</v>
      </c>
      <c r="C1286" s="2" t="s">
        <v>18</v>
      </c>
      <c r="D1286" s="2" t="s">
        <v>127</v>
      </c>
      <c r="E1286" s="2" t="s">
        <v>250</v>
      </c>
      <c r="F1286" s="2">
        <v>54.0</v>
      </c>
      <c r="G1286" s="2">
        <v>82.0</v>
      </c>
      <c r="H1286" s="2">
        <v>64.0</v>
      </c>
      <c r="I1286" s="2">
        <v>18.0</v>
      </c>
      <c r="J1286" s="2">
        <v>0.0</v>
      </c>
      <c r="K1286" s="2">
        <v>0.0</v>
      </c>
      <c r="L1286" s="2">
        <v>0.0</v>
      </c>
      <c r="M1286" s="2">
        <v>-10.0</v>
      </c>
      <c r="N1286" s="2"/>
      <c r="O1286" s="2"/>
      <c r="P1286" s="2" t="s">
        <v>92</v>
      </c>
    </row>
    <row r="1287">
      <c r="A1287" s="1" t="s">
        <v>253</v>
      </c>
      <c r="B1287" s="2" t="s">
        <v>17</v>
      </c>
      <c r="C1287" s="2" t="s">
        <v>18</v>
      </c>
      <c r="D1287" s="2" t="s">
        <v>19</v>
      </c>
      <c r="E1287" s="2" t="s">
        <v>250</v>
      </c>
      <c r="F1287" s="2">
        <v>25.0</v>
      </c>
      <c r="G1287" s="2">
        <v>4.0</v>
      </c>
      <c r="H1287" s="2">
        <v>2.0</v>
      </c>
      <c r="I1287" s="2">
        <v>2.0</v>
      </c>
      <c r="J1287" s="2">
        <v>0.0</v>
      </c>
      <c r="K1287" s="2">
        <v>0.0</v>
      </c>
      <c r="L1287" s="2">
        <v>0.0</v>
      </c>
      <c r="M1287" s="2">
        <v>23.0</v>
      </c>
      <c r="N1287" s="2"/>
      <c r="O1287" s="2"/>
      <c r="P1287" s="2" t="s">
        <v>92</v>
      </c>
    </row>
    <row r="1288">
      <c r="A1288" s="1" t="s">
        <v>253</v>
      </c>
      <c r="B1288" s="2" t="s">
        <v>17</v>
      </c>
      <c r="C1288" s="2" t="s">
        <v>18</v>
      </c>
      <c r="D1288" s="2" t="s">
        <v>23</v>
      </c>
      <c r="E1288" s="2" t="s">
        <v>250</v>
      </c>
      <c r="F1288" s="2">
        <v>62.0</v>
      </c>
      <c r="G1288" s="2">
        <v>86.0</v>
      </c>
      <c r="H1288" s="2">
        <v>66.0</v>
      </c>
      <c r="I1288" s="2">
        <v>20.0</v>
      </c>
      <c r="J1288" s="2">
        <v>0.0</v>
      </c>
      <c r="K1288" s="2">
        <v>0.0</v>
      </c>
      <c r="L1288" s="2">
        <v>0.0</v>
      </c>
      <c r="M1288" s="2">
        <v>-4.0</v>
      </c>
      <c r="N1288" s="2">
        <v>-17.0</v>
      </c>
      <c r="O1288" s="2">
        <v>-6.0</v>
      </c>
      <c r="P1288" s="2" t="s">
        <v>92</v>
      </c>
    </row>
    <row r="1289">
      <c r="A1289" s="1" t="s">
        <v>253</v>
      </c>
      <c r="B1289" s="4">
        <v>45262.29166666667</v>
      </c>
      <c r="C1289" s="2" t="s">
        <v>18</v>
      </c>
      <c r="D1289" s="2" t="s">
        <v>19</v>
      </c>
      <c r="E1289" s="2" t="s">
        <v>250</v>
      </c>
      <c r="F1289" s="2"/>
      <c r="G1289" s="2">
        <v>4.0</v>
      </c>
      <c r="H1289" s="2">
        <v>2.0</v>
      </c>
      <c r="I1289" s="2">
        <v>2.0</v>
      </c>
      <c r="J1289" s="2">
        <v>0.0</v>
      </c>
      <c r="K1289" s="2">
        <v>0.0</v>
      </c>
      <c r="L1289" s="2">
        <v>0.0</v>
      </c>
      <c r="M1289" s="2"/>
      <c r="N1289" s="2"/>
      <c r="O1289" s="2"/>
      <c r="P1289" s="2" t="s">
        <v>92</v>
      </c>
    </row>
    <row r="1290">
      <c r="A1290" s="1" t="s">
        <v>253</v>
      </c>
      <c r="B1290" s="4">
        <v>45292.29166666667</v>
      </c>
      <c r="C1290" s="2" t="s">
        <v>18</v>
      </c>
      <c r="D1290" s="2" t="s">
        <v>19</v>
      </c>
      <c r="E1290" s="2" t="s">
        <v>250</v>
      </c>
      <c r="F1290" s="2"/>
      <c r="G1290" s="2">
        <v>0.0</v>
      </c>
      <c r="H1290" s="2">
        <v>0.0</v>
      </c>
      <c r="I1290" s="2">
        <v>0.0</v>
      </c>
      <c r="J1290" s="2">
        <v>0.0</v>
      </c>
      <c r="K1290" s="2">
        <v>0.0</v>
      </c>
      <c r="L1290" s="2">
        <v>0.0</v>
      </c>
      <c r="M1290" s="2"/>
      <c r="N1290" s="2"/>
      <c r="O1290" s="2"/>
      <c r="P1290" s="2" t="s">
        <v>92</v>
      </c>
    </row>
    <row r="1291">
      <c r="A1291" s="1" t="s">
        <v>254</v>
      </c>
      <c r="B1291" s="2" t="s">
        <v>17</v>
      </c>
      <c r="C1291" s="2" t="s">
        <v>18</v>
      </c>
      <c r="D1291" s="2" t="s">
        <v>164</v>
      </c>
      <c r="E1291" s="2" t="s">
        <v>165</v>
      </c>
      <c r="F1291" s="2">
        <v>20.0</v>
      </c>
      <c r="G1291" s="2">
        <v>49.0</v>
      </c>
      <c r="H1291" s="2">
        <v>16.0</v>
      </c>
      <c r="I1291" s="2">
        <v>23.0</v>
      </c>
      <c r="J1291" s="2">
        <v>0.0</v>
      </c>
      <c r="K1291" s="2">
        <v>10.0</v>
      </c>
      <c r="L1291" s="2">
        <v>0.0</v>
      </c>
      <c r="M1291" s="2">
        <v>4.0</v>
      </c>
      <c r="N1291" s="2"/>
      <c r="O1291" s="2"/>
      <c r="P1291" s="2" t="s">
        <v>166</v>
      </c>
    </row>
    <row r="1292">
      <c r="A1292" s="1" t="s">
        <v>254</v>
      </c>
      <c r="B1292" s="2" t="s">
        <v>17</v>
      </c>
      <c r="C1292" s="2" t="s">
        <v>18</v>
      </c>
      <c r="D1292" s="2" t="s">
        <v>23</v>
      </c>
      <c r="E1292" s="2" t="s">
        <v>165</v>
      </c>
      <c r="F1292" s="2">
        <v>20.0</v>
      </c>
      <c r="G1292" s="2">
        <v>49.0</v>
      </c>
      <c r="H1292" s="2">
        <v>16.0</v>
      </c>
      <c r="I1292" s="2">
        <v>23.0</v>
      </c>
      <c r="J1292" s="2">
        <v>0.0</v>
      </c>
      <c r="K1292" s="2">
        <v>10.0</v>
      </c>
      <c r="L1292" s="2">
        <v>0.0</v>
      </c>
      <c r="M1292" s="2">
        <v>4.0</v>
      </c>
      <c r="N1292" s="2">
        <v>0.0</v>
      </c>
      <c r="O1292" s="2">
        <v>-28.0</v>
      </c>
      <c r="P1292" s="2" t="s">
        <v>166</v>
      </c>
    </row>
    <row r="1293">
      <c r="A1293" s="3" t="s">
        <v>138</v>
      </c>
      <c r="B1293" s="4">
        <v>45330.29166666667</v>
      </c>
      <c r="C1293" s="2" t="s">
        <v>18</v>
      </c>
      <c r="D1293" s="2" t="s">
        <v>164</v>
      </c>
      <c r="E1293" s="2" t="s">
        <v>165</v>
      </c>
      <c r="F1293" s="2"/>
      <c r="G1293" s="2">
        <v>49.0</v>
      </c>
      <c r="H1293" s="2">
        <v>16.0</v>
      </c>
      <c r="I1293" s="2">
        <v>23.0</v>
      </c>
      <c r="J1293" s="2">
        <v>0.0</v>
      </c>
      <c r="K1293" s="2">
        <v>10.0</v>
      </c>
      <c r="L1293" s="2">
        <v>0.0</v>
      </c>
      <c r="M1293" s="2"/>
      <c r="N1293" s="2"/>
      <c r="O1293" s="2"/>
      <c r="P1293" s="2" t="s">
        <v>166</v>
      </c>
    </row>
    <row r="1294">
      <c r="A1294" s="3" t="s">
        <v>139</v>
      </c>
      <c r="B1294" s="4">
        <v>45331.29166666667</v>
      </c>
      <c r="C1294" s="2" t="s">
        <v>18</v>
      </c>
      <c r="D1294" s="2" t="s">
        <v>164</v>
      </c>
      <c r="E1294" s="2" t="s">
        <v>165</v>
      </c>
      <c r="F1294" s="2"/>
      <c r="G1294" s="2">
        <v>49.0</v>
      </c>
      <c r="H1294" s="2">
        <v>16.0</v>
      </c>
      <c r="I1294" s="2">
        <v>23.0</v>
      </c>
      <c r="J1294" s="2">
        <v>0.0</v>
      </c>
      <c r="K1294" s="2">
        <v>10.0</v>
      </c>
      <c r="L1294" s="2">
        <v>0.0</v>
      </c>
      <c r="M1294" s="2"/>
      <c r="N1294" s="2"/>
      <c r="O1294" s="2"/>
      <c r="P1294" s="2" t="s">
        <v>166</v>
      </c>
    </row>
    <row r="1295">
      <c r="A1295" s="1" t="s">
        <v>255</v>
      </c>
      <c r="B1295" s="2" t="s">
        <v>17</v>
      </c>
      <c r="C1295" s="2" t="s">
        <v>18</v>
      </c>
      <c r="D1295" s="2" t="s">
        <v>19</v>
      </c>
      <c r="E1295" s="2" t="s">
        <v>162</v>
      </c>
      <c r="F1295" s="2">
        <v>60.0</v>
      </c>
      <c r="G1295" s="2">
        <v>94.0</v>
      </c>
      <c r="H1295" s="2">
        <v>62.0</v>
      </c>
      <c r="I1295" s="2">
        <v>15.0</v>
      </c>
      <c r="J1295" s="2">
        <v>0.0</v>
      </c>
      <c r="K1295" s="2">
        <v>17.0</v>
      </c>
      <c r="L1295" s="2">
        <v>1.0</v>
      </c>
      <c r="M1295" s="2">
        <v>-2.0</v>
      </c>
      <c r="N1295" s="2"/>
      <c r="O1295" s="2"/>
      <c r="P1295" s="2" t="s">
        <v>92</v>
      </c>
    </row>
    <row r="1296">
      <c r="A1296" s="1" t="s">
        <v>255</v>
      </c>
      <c r="B1296" s="2" t="s">
        <v>17</v>
      </c>
      <c r="C1296" s="2" t="s">
        <v>18</v>
      </c>
      <c r="D1296" s="2" t="s">
        <v>23</v>
      </c>
      <c r="E1296" s="2" t="s">
        <v>162</v>
      </c>
      <c r="F1296" s="2">
        <v>60.0</v>
      </c>
      <c r="G1296" s="2">
        <v>94.0</v>
      </c>
      <c r="H1296" s="2">
        <v>62.0</v>
      </c>
      <c r="I1296" s="2">
        <v>15.0</v>
      </c>
      <c r="J1296" s="2">
        <v>0.0</v>
      </c>
      <c r="K1296" s="2">
        <v>17.0</v>
      </c>
      <c r="L1296" s="2">
        <v>1.0</v>
      </c>
      <c r="M1296" s="2">
        <v>-2.0</v>
      </c>
      <c r="N1296" s="2">
        <v>0.0</v>
      </c>
      <c r="O1296" s="2">
        <v>-64.0</v>
      </c>
      <c r="P1296" s="2" t="s">
        <v>92</v>
      </c>
    </row>
    <row r="1297">
      <c r="A1297" s="1" t="s">
        <v>255</v>
      </c>
      <c r="B1297" s="4">
        <v>45294.29166666667</v>
      </c>
      <c r="C1297" s="2" t="s">
        <v>18</v>
      </c>
      <c r="D1297" s="2" t="s">
        <v>19</v>
      </c>
      <c r="E1297" s="2" t="s">
        <v>162</v>
      </c>
      <c r="F1297" s="2"/>
      <c r="G1297" s="2">
        <v>5.0</v>
      </c>
      <c r="H1297" s="2">
        <v>5.0</v>
      </c>
      <c r="I1297" s="2">
        <v>0.0</v>
      </c>
      <c r="J1297" s="2">
        <v>0.0</v>
      </c>
      <c r="K1297" s="2">
        <v>0.0</v>
      </c>
      <c r="L1297" s="2">
        <v>0.0</v>
      </c>
      <c r="M1297" s="2"/>
      <c r="N1297" s="2"/>
      <c r="O1297" s="2"/>
      <c r="P1297" s="2" t="s">
        <v>92</v>
      </c>
    </row>
    <row r="1298">
      <c r="A1298" s="3" t="s">
        <v>140</v>
      </c>
      <c r="B1298" s="4">
        <v>45323.29166666667</v>
      </c>
      <c r="C1298" s="2" t="s">
        <v>18</v>
      </c>
      <c r="D1298" s="2" t="s">
        <v>19</v>
      </c>
      <c r="E1298" s="2" t="s">
        <v>162</v>
      </c>
      <c r="F1298" s="2"/>
      <c r="G1298" s="2">
        <v>89.0</v>
      </c>
      <c r="H1298" s="2">
        <v>57.0</v>
      </c>
      <c r="I1298" s="2">
        <v>15.0</v>
      </c>
      <c r="J1298" s="2">
        <v>0.0</v>
      </c>
      <c r="K1298" s="2">
        <v>17.0</v>
      </c>
      <c r="L1298" s="2">
        <v>1.0</v>
      </c>
      <c r="M1298" s="2"/>
      <c r="N1298" s="2"/>
      <c r="O1298" s="2"/>
      <c r="P1298" s="2" t="s">
        <v>92</v>
      </c>
    </row>
    <row r="1299">
      <c r="A1299" s="1" t="s">
        <v>256</v>
      </c>
      <c r="B1299" s="2" t="s">
        <v>17</v>
      </c>
      <c r="C1299" s="2" t="s">
        <v>18</v>
      </c>
      <c r="D1299" s="2" t="s">
        <v>164</v>
      </c>
      <c r="E1299" s="2" t="s">
        <v>165</v>
      </c>
      <c r="F1299" s="2">
        <v>35.0</v>
      </c>
      <c r="G1299" s="2">
        <v>63.0</v>
      </c>
      <c r="H1299" s="2">
        <v>35.0</v>
      </c>
      <c r="I1299" s="2">
        <v>28.0</v>
      </c>
      <c r="J1299" s="2">
        <v>0.0</v>
      </c>
      <c r="K1299" s="2">
        <v>0.0</v>
      </c>
      <c r="L1299" s="2">
        <v>0.0</v>
      </c>
      <c r="M1299" s="2">
        <v>0.0</v>
      </c>
      <c r="N1299" s="2"/>
      <c r="O1299" s="2"/>
      <c r="P1299" s="2" t="s">
        <v>166</v>
      </c>
    </row>
    <row r="1300">
      <c r="A1300" s="1" t="s">
        <v>256</v>
      </c>
      <c r="B1300" s="2" t="s">
        <v>17</v>
      </c>
      <c r="C1300" s="2" t="s">
        <v>18</v>
      </c>
      <c r="D1300" s="2" t="s">
        <v>23</v>
      </c>
      <c r="E1300" s="2" t="s">
        <v>165</v>
      </c>
      <c r="F1300" s="2">
        <v>35.0</v>
      </c>
      <c r="G1300" s="2">
        <v>63.0</v>
      </c>
      <c r="H1300" s="2">
        <v>35.0</v>
      </c>
      <c r="I1300" s="2">
        <v>28.0</v>
      </c>
      <c r="J1300" s="2">
        <v>0.0</v>
      </c>
      <c r="K1300" s="2">
        <v>0.0</v>
      </c>
      <c r="L1300" s="2">
        <v>0.0</v>
      </c>
      <c r="M1300" s="2">
        <v>0.0</v>
      </c>
      <c r="N1300" s="2">
        <v>0.0</v>
      </c>
      <c r="O1300" s="2">
        <v>-35.0</v>
      </c>
      <c r="P1300" s="2" t="s">
        <v>166</v>
      </c>
    </row>
    <row r="1301">
      <c r="A1301" s="1" t="s">
        <v>256</v>
      </c>
      <c r="B1301" s="4">
        <v>45232.25</v>
      </c>
      <c r="C1301" s="2" t="s">
        <v>18</v>
      </c>
      <c r="D1301" s="2" t="s">
        <v>164</v>
      </c>
      <c r="E1301" s="2" t="s">
        <v>165</v>
      </c>
      <c r="F1301" s="2"/>
      <c r="G1301" s="2">
        <v>58.0</v>
      </c>
      <c r="H1301" s="2">
        <v>33.0</v>
      </c>
      <c r="I1301" s="2">
        <v>25.0</v>
      </c>
      <c r="J1301" s="2">
        <v>0.0</v>
      </c>
      <c r="K1301" s="2">
        <v>0.0</v>
      </c>
      <c r="L1301" s="2">
        <v>0.0</v>
      </c>
      <c r="M1301" s="2"/>
      <c r="N1301" s="2"/>
      <c r="O1301" s="2"/>
      <c r="P1301" s="2" t="s">
        <v>166</v>
      </c>
    </row>
    <row r="1302">
      <c r="A1302" s="3" t="s">
        <v>141</v>
      </c>
      <c r="B1302" s="4">
        <v>45324.29166666667</v>
      </c>
      <c r="C1302" s="2" t="s">
        <v>18</v>
      </c>
      <c r="D1302" s="2" t="s">
        <v>164</v>
      </c>
      <c r="E1302" s="2" t="s">
        <v>165</v>
      </c>
      <c r="F1302" s="2"/>
      <c r="G1302" s="2">
        <v>5.0</v>
      </c>
      <c r="H1302" s="2">
        <v>2.0</v>
      </c>
      <c r="I1302" s="2">
        <v>3.0</v>
      </c>
      <c r="J1302" s="2">
        <v>0.0</v>
      </c>
      <c r="K1302" s="2">
        <v>0.0</v>
      </c>
      <c r="L1302" s="2">
        <v>0.0</v>
      </c>
      <c r="M1302" s="2"/>
      <c r="N1302" s="2"/>
      <c r="O1302" s="2"/>
      <c r="P1302" s="2" t="s">
        <v>166</v>
      </c>
    </row>
    <row r="1303">
      <c r="A1303" s="1" t="s">
        <v>257</v>
      </c>
      <c r="B1303" s="2" t="s">
        <v>17</v>
      </c>
      <c r="C1303" s="2" t="s">
        <v>18</v>
      </c>
      <c r="D1303" s="2" t="s">
        <v>157</v>
      </c>
      <c r="E1303" s="2" t="s">
        <v>31</v>
      </c>
      <c r="F1303" s="2">
        <v>61.0</v>
      </c>
      <c r="G1303" s="2">
        <v>94.0</v>
      </c>
      <c r="H1303" s="2">
        <v>56.0</v>
      </c>
      <c r="I1303" s="2">
        <v>38.0</v>
      </c>
      <c r="J1303" s="2">
        <v>0.0</v>
      </c>
      <c r="K1303" s="2">
        <v>0.0</v>
      </c>
      <c r="L1303" s="2">
        <v>0.0</v>
      </c>
      <c r="M1303" s="2">
        <v>5.0</v>
      </c>
      <c r="N1303" s="2"/>
      <c r="O1303" s="2"/>
      <c r="P1303" s="2" t="s">
        <v>67</v>
      </c>
    </row>
    <row r="1304">
      <c r="A1304" s="1" t="s">
        <v>257</v>
      </c>
      <c r="B1304" s="2" t="s">
        <v>17</v>
      </c>
      <c r="C1304" s="2" t="s">
        <v>148</v>
      </c>
      <c r="D1304" s="2" t="s">
        <v>69</v>
      </c>
      <c r="E1304" s="2" t="s">
        <v>31</v>
      </c>
      <c r="F1304" s="2">
        <v>15.0</v>
      </c>
      <c r="G1304" s="2">
        <v>0.0</v>
      </c>
      <c r="H1304" s="2">
        <v>0.0</v>
      </c>
      <c r="I1304" s="2">
        <v>0.0</v>
      </c>
      <c r="J1304" s="2">
        <v>0.0</v>
      </c>
      <c r="K1304" s="2">
        <v>0.0</v>
      </c>
      <c r="L1304" s="2">
        <v>0.0</v>
      </c>
      <c r="M1304" s="2">
        <v>15.0</v>
      </c>
      <c r="N1304" s="2"/>
      <c r="O1304" s="2"/>
      <c r="P1304" s="2" t="s">
        <v>67</v>
      </c>
    </row>
    <row r="1305">
      <c r="A1305" s="1" t="s">
        <v>257</v>
      </c>
      <c r="B1305" s="2" t="s">
        <v>17</v>
      </c>
      <c r="C1305" s="2" t="s">
        <v>18</v>
      </c>
      <c r="D1305" s="2" t="s">
        <v>19</v>
      </c>
      <c r="E1305" s="2" t="s">
        <v>31</v>
      </c>
      <c r="F1305" s="2">
        <v>74.0</v>
      </c>
      <c r="G1305" s="2">
        <v>13.0</v>
      </c>
      <c r="H1305" s="2">
        <v>6.0</v>
      </c>
      <c r="I1305" s="2">
        <v>7.0</v>
      </c>
      <c r="J1305" s="2">
        <v>0.0</v>
      </c>
      <c r="K1305" s="2">
        <v>0.0</v>
      </c>
      <c r="L1305" s="2">
        <v>0.0</v>
      </c>
      <c r="M1305" s="2">
        <v>68.0</v>
      </c>
      <c r="N1305" s="2"/>
      <c r="O1305" s="2"/>
      <c r="P1305" s="2" t="s">
        <v>67</v>
      </c>
    </row>
    <row r="1306">
      <c r="A1306" s="1" t="s">
        <v>257</v>
      </c>
      <c r="B1306" s="2" t="s">
        <v>17</v>
      </c>
      <c r="C1306" s="2" t="s">
        <v>18</v>
      </c>
      <c r="D1306" s="2" t="s">
        <v>23</v>
      </c>
      <c r="E1306" s="2" t="s">
        <v>31</v>
      </c>
      <c r="F1306" s="2">
        <v>67.0</v>
      </c>
      <c r="G1306" s="2">
        <v>107.0</v>
      </c>
      <c r="H1306" s="2">
        <v>62.0</v>
      </c>
      <c r="I1306" s="2">
        <v>45.0</v>
      </c>
      <c r="J1306" s="2">
        <v>0.0</v>
      </c>
      <c r="K1306" s="2">
        <v>0.0</v>
      </c>
      <c r="L1306" s="2">
        <v>0.0</v>
      </c>
      <c r="M1306" s="2">
        <v>5.0</v>
      </c>
      <c r="N1306" s="2">
        <v>-83.0</v>
      </c>
      <c r="O1306" s="2">
        <v>-57.0</v>
      </c>
      <c r="P1306" s="2" t="s">
        <v>67</v>
      </c>
    </row>
    <row r="1307">
      <c r="A1307" s="1" t="s">
        <v>257</v>
      </c>
      <c r="B1307" s="4">
        <v>45265.29166666667</v>
      </c>
      <c r="C1307" s="2" t="s">
        <v>18</v>
      </c>
      <c r="D1307" s="2" t="s">
        <v>157</v>
      </c>
      <c r="E1307" s="2" t="s">
        <v>31</v>
      </c>
      <c r="F1307" s="2"/>
      <c r="G1307" s="2">
        <v>80.0</v>
      </c>
      <c r="H1307" s="2">
        <v>51.0</v>
      </c>
      <c r="I1307" s="2">
        <v>29.0</v>
      </c>
      <c r="J1307" s="2">
        <v>0.0</v>
      </c>
      <c r="K1307" s="2">
        <v>0.0</v>
      </c>
      <c r="L1307" s="2">
        <v>0.0</v>
      </c>
      <c r="M1307" s="2"/>
      <c r="N1307" s="2"/>
      <c r="O1307" s="2"/>
      <c r="P1307" s="2" t="s">
        <v>67</v>
      </c>
    </row>
    <row r="1308">
      <c r="A1308" s="1" t="s">
        <v>257</v>
      </c>
      <c r="B1308" s="4">
        <v>45266.29166666667</v>
      </c>
      <c r="C1308" s="2" t="s">
        <v>18</v>
      </c>
      <c r="D1308" s="2" t="s">
        <v>19</v>
      </c>
      <c r="E1308" s="2" t="s">
        <v>31</v>
      </c>
      <c r="F1308" s="2"/>
      <c r="G1308" s="2">
        <v>13.0</v>
      </c>
      <c r="H1308" s="2">
        <v>6.0</v>
      </c>
      <c r="I1308" s="2">
        <v>7.0</v>
      </c>
      <c r="J1308" s="2">
        <v>0.0</v>
      </c>
      <c r="K1308" s="2">
        <v>0.0</v>
      </c>
      <c r="L1308" s="2">
        <v>0.0</v>
      </c>
      <c r="M1308" s="2"/>
      <c r="N1308" s="2"/>
      <c r="O1308" s="2"/>
      <c r="P1308" s="2" t="s">
        <v>67</v>
      </c>
    </row>
    <row r="1309">
      <c r="A1309" s="1" t="s">
        <v>257</v>
      </c>
      <c r="B1309" s="4">
        <v>45293.29166666667</v>
      </c>
      <c r="C1309" s="2" t="s">
        <v>18</v>
      </c>
      <c r="D1309" s="2" t="s">
        <v>157</v>
      </c>
      <c r="E1309" s="2" t="s">
        <v>31</v>
      </c>
      <c r="F1309" s="2"/>
      <c r="G1309" s="2">
        <v>14.0</v>
      </c>
      <c r="H1309" s="2">
        <v>5.0</v>
      </c>
      <c r="I1309" s="2">
        <v>9.0</v>
      </c>
      <c r="J1309" s="2">
        <v>0.0</v>
      </c>
      <c r="K1309" s="2">
        <v>0.0</v>
      </c>
      <c r="L1309" s="2">
        <v>0.0</v>
      </c>
      <c r="M1309" s="2"/>
      <c r="N1309" s="2"/>
      <c r="O1309" s="2"/>
      <c r="P1309" s="2" t="s">
        <v>67</v>
      </c>
    </row>
    <row r="1310">
      <c r="A1310" s="1" t="s">
        <v>258</v>
      </c>
      <c r="B1310" s="2" t="s">
        <v>17</v>
      </c>
      <c r="C1310" s="2" t="s">
        <v>18</v>
      </c>
      <c r="D1310" s="2" t="s">
        <v>157</v>
      </c>
      <c r="E1310" s="2" t="s">
        <v>27</v>
      </c>
      <c r="F1310" s="2">
        <v>39.0</v>
      </c>
      <c r="G1310" s="2">
        <v>68.0</v>
      </c>
      <c r="H1310" s="2">
        <v>35.0</v>
      </c>
      <c r="I1310" s="2">
        <v>32.0</v>
      </c>
      <c r="J1310" s="2">
        <v>1.0</v>
      </c>
      <c r="K1310" s="2">
        <v>0.0</v>
      </c>
      <c r="L1310" s="2">
        <v>0.0</v>
      </c>
      <c r="M1310" s="2">
        <v>4.0</v>
      </c>
      <c r="N1310" s="2"/>
      <c r="O1310" s="2"/>
      <c r="P1310" s="2" t="s">
        <v>92</v>
      </c>
    </row>
    <row r="1311">
      <c r="A1311" s="1" t="s">
        <v>258</v>
      </c>
      <c r="B1311" s="2" t="s">
        <v>17</v>
      </c>
      <c r="C1311" s="2" t="s">
        <v>113</v>
      </c>
      <c r="D1311" s="2" t="s">
        <v>30</v>
      </c>
      <c r="E1311" s="2" t="s">
        <v>27</v>
      </c>
      <c r="F1311" s="2">
        <v>27.0</v>
      </c>
      <c r="G1311" s="2">
        <v>37.0</v>
      </c>
      <c r="H1311" s="2">
        <v>27.0</v>
      </c>
      <c r="I1311" s="2">
        <v>10.0</v>
      </c>
      <c r="J1311" s="2">
        <v>0.0</v>
      </c>
      <c r="K1311" s="2">
        <v>0.0</v>
      </c>
      <c r="L1311" s="2">
        <v>0.0</v>
      </c>
      <c r="M1311" s="2">
        <v>0.0</v>
      </c>
      <c r="N1311" s="2"/>
      <c r="O1311" s="2"/>
      <c r="P1311" s="2" t="s">
        <v>92</v>
      </c>
    </row>
    <row r="1312">
      <c r="A1312" s="1" t="s">
        <v>258</v>
      </c>
      <c r="B1312" s="2" t="s">
        <v>17</v>
      </c>
      <c r="C1312" s="2" t="s">
        <v>18</v>
      </c>
      <c r="D1312" s="2" t="s">
        <v>23</v>
      </c>
      <c r="E1312" s="2" t="s">
        <v>27</v>
      </c>
      <c r="F1312" s="2">
        <v>65.0</v>
      </c>
      <c r="G1312" s="2">
        <v>105.0</v>
      </c>
      <c r="H1312" s="2">
        <v>62.0</v>
      </c>
      <c r="I1312" s="2">
        <v>42.0</v>
      </c>
      <c r="J1312" s="2">
        <v>1.0</v>
      </c>
      <c r="K1312" s="2">
        <v>0.0</v>
      </c>
      <c r="L1312" s="2">
        <v>0.0</v>
      </c>
      <c r="M1312" s="2">
        <v>3.0</v>
      </c>
      <c r="N1312" s="2">
        <v>-1.0</v>
      </c>
      <c r="O1312" s="2">
        <v>-59.0</v>
      </c>
      <c r="P1312" s="2" t="s">
        <v>92</v>
      </c>
    </row>
    <row r="1313">
      <c r="A1313" s="1" t="s">
        <v>258</v>
      </c>
      <c r="B1313" s="4">
        <v>45232.25</v>
      </c>
      <c r="C1313" s="2" t="s">
        <v>18</v>
      </c>
      <c r="D1313" s="2" t="s">
        <v>157</v>
      </c>
      <c r="E1313" s="2" t="s">
        <v>27</v>
      </c>
      <c r="F1313" s="2"/>
      <c r="G1313" s="2">
        <v>2.0</v>
      </c>
      <c r="H1313" s="2">
        <v>2.0</v>
      </c>
      <c r="I1313" s="2">
        <v>0.0</v>
      </c>
      <c r="J1313" s="2">
        <v>0.0</v>
      </c>
      <c r="K1313" s="2">
        <v>0.0</v>
      </c>
      <c r="L1313" s="2">
        <v>0.0</v>
      </c>
      <c r="M1313" s="2"/>
      <c r="N1313" s="2"/>
      <c r="O1313" s="2"/>
      <c r="P1313" s="2" t="s">
        <v>92</v>
      </c>
    </row>
    <row r="1314">
      <c r="A1314" s="1" t="s">
        <v>258</v>
      </c>
      <c r="B1314" s="4">
        <v>45262.29166666667</v>
      </c>
      <c r="C1314" s="2" t="s">
        <v>18</v>
      </c>
      <c r="D1314" s="2" t="s">
        <v>30</v>
      </c>
      <c r="E1314" s="2" t="s">
        <v>27</v>
      </c>
      <c r="F1314" s="2"/>
      <c r="G1314" s="2">
        <v>7.0</v>
      </c>
      <c r="H1314" s="2">
        <v>7.0</v>
      </c>
      <c r="I1314" s="2">
        <v>0.0</v>
      </c>
      <c r="J1314" s="2">
        <v>0.0</v>
      </c>
      <c r="K1314" s="2">
        <v>0.0</v>
      </c>
      <c r="L1314" s="2">
        <v>0.0</v>
      </c>
      <c r="M1314" s="2"/>
      <c r="N1314" s="2"/>
      <c r="O1314" s="2"/>
      <c r="P1314" s="2" t="s">
        <v>92</v>
      </c>
    </row>
    <row r="1315">
      <c r="A1315" s="1" t="s">
        <v>258</v>
      </c>
      <c r="B1315" s="4">
        <v>45292.29166666667</v>
      </c>
      <c r="C1315" s="2" t="s">
        <v>18</v>
      </c>
      <c r="D1315" s="2" t="s">
        <v>157</v>
      </c>
      <c r="E1315" s="2" t="s">
        <v>27</v>
      </c>
      <c r="F1315" s="2"/>
      <c r="G1315" s="2">
        <v>11.0</v>
      </c>
      <c r="H1315" s="2">
        <v>2.0</v>
      </c>
      <c r="I1315" s="2">
        <v>8.0</v>
      </c>
      <c r="J1315" s="2">
        <v>1.0</v>
      </c>
      <c r="K1315" s="2">
        <v>0.0</v>
      </c>
      <c r="L1315" s="2">
        <v>0.0</v>
      </c>
      <c r="M1315" s="2"/>
      <c r="N1315" s="2"/>
      <c r="O1315" s="2"/>
      <c r="P1315" s="2" t="s">
        <v>92</v>
      </c>
    </row>
    <row r="1316">
      <c r="A1316" s="1" t="s">
        <v>258</v>
      </c>
      <c r="B1316" s="4">
        <v>45293.29166666667</v>
      </c>
      <c r="C1316" s="2" t="s">
        <v>18</v>
      </c>
      <c r="D1316" s="2" t="s">
        <v>30</v>
      </c>
      <c r="E1316" s="2" t="s">
        <v>27</v>
      </c>
      <c r="F1316" s="2"/>
      <c r="G1316" s="2">
        <v>30.0</v>
      </c>
      <c r="H1316" s="2">
        <v>20.0</v>
      </c>
      <c r="I1316" s="2">
        <v>10.0</v>
      </c>
      <c r="J1316" s="2">
        <v>0.0</v>
      </c>
      <c r="K1316" s="2">
        <v>0.0</v>
      </c>
      <c r="L1316" s="2">
        <v>0.0</v>
      </c>
      <c r="M1316" s="2"/>
      <c r="N1316" s="2"/>
      <c r="O1316" s="2"/>
      <c r="P1316" s="2" t="s">
        <v>92</v>
      </c>
    </row>
    <row r="1317">
      <c r="A1317" s="3" t="s">
        <v>142</v>
      </c>
      <c r="B1317" s="4">
        <v>45324.29166666667</v>
      </c>
      <c r="C1317" s="2" t="s">
        <v>18</v>
      </c>
      <c r="D1317" s="2" t="s">
        <v>157</v>
      </c>
      <c r="E1317" s="2" t="s">
        <v>27</v>
      </c>
      <c r="F1317" s="2"/>
      <c r="G1317" s="2">
        <v>55.0</v>
      </c>
      <c r="H1317" s="2">
        <v>31.0</v>
      </c>
      <c r="I1317" s="2">
        <v>24.0</v>
      </c>
      <c r="J1317" s="2">
        <v>0.0</v>
      </c>
      <c r="K1317" s="2">
        <v>0.0</v>
      </c>
      <c r="L1317" s="2">
        <v>0.0</v>
      </c>
      <c r="M1317" s="2"/>
      <c r="N1317" s="2"/>
      <c r="O1317" s="2"/>
      <c r="P1317" s="2" t="s">
        <v>92</v>
      </c>
    </row>
    <row r="1318">
      <c r="A1318" s="1" t="s">
        <v>259</v>
      </c>
      <c r="B1318" s="2" t="s">
        <v>17</v>
      </c>
      <c r="C1318" s="2" t="s">
        <v>18</v>
      </c>
      <c r="D1318" s="2" t="s">
        <v>157</v>
      </c>
      <c r="E1318" s="2" t="s">
        <v>260</v>
      </c>
      <c r="F1318" s="2">
        <v>40.0</v>
      </c>
      <c r="G1318" s="2">
        <v>50.0</v>
      </c>
      <c r="H1318" s="2">
        <v>9.0</v>
      </c>
      <c r="I1318" s="2">
        <v>27.0</v>
      </c>
      <c r="J1318" s="2">
        <v>14.0</v>
      </c>
      <c r="K1318" s="2">
        <v>0.0</v>
      </c>
      <c r="L1318" s="2">
        <v>0.0</v>
      </c>
      <c r="M1318" s="2">
        <v>31.0</v>
      </c>
      <c r="N1318" s="2"/>
      <c r="O1318" s="2"/>
      <c r="P1318" s="2" t="s">
        <v>92</v>
      </c>
    </row>
    <row r="1319">
      <c r="A1319" s="1" t="s">
        <v>259</v>
      </c>
      <c r="B1319" s="2" t="s">
        <v>17</v>
      </c>
      <c r="C1319" s="2" t="s">
        <v>18</v>
      </c>
      <c r="D1319" s="2" t="s">
        <v>30</v>
      </c>
      <c r="E1319" s="2" t="s">
        <v>260</v>
      </c>
      <c r="F1319" s="2">
        <v>35.0</v>
      </c>
      <c r="G1319" s="2">
        <v>42.0</v>
      </c>
      <c r="H1319" s="2">
        <v>7.0</v>
      </c>
      <c r="I1319" s="2">
        <v>16.0</v>
      </c>
      <c r="J1319" s="2">
        <v>19.0</v>
      </c>
      <c r="K1319" s="2">
        <v>0.0</v>
      </c>
      <c r="L1319" s="2">
        <v>0.0</v>
      </c>
      <c r="M1319" s="2">
        <v>28.0</v>
      </c>
      <c r="N1319" s="2"/>
      <c r="O1319" s="2"/>
      <c r="P1319" s="2" t="s">
        <v>92</v>
      </c>
    </row>
    <row r="1320">
      <c r="A1320" s="1" t="s">
        <v>259</v>
      </c>
      <c r="B1320" s="2" t="s">
        <v>17</v>
      </c>
      <c r="C1320" s="2" t="s">
        <v>113</v>
      </c>
      <c r="D1320" s="2" t="s">
        <v>19</v>
      </c>
      <c r="E1320" s="2" t="s">
        <v>260</v>
      </c>
      <c r="F1320" s="2">
        <v>50.0</v>
      </c>
      <c r="G1320" s="2">
        <v>53.0</v>
      </c>
      <c r="H1320" s="2">
        <v>17.0</v>
      </c>
      <c r="I1320" s="2">
        <v>19.0</v>
      </c>
      <c r="J1320" s="2">
        <v>17.0</v>
      </c>
      <c r="K1320" s="2">
        <v>0.0</v>
      </c>
      <c r="L1320" s="2">
        <v>0.0</v>
      </c>
      <c r="M1320" s="2">
        <v>33.0</v>
      </c>
      <c r="N1320" s="2"/>
      <c r="O1320" s="2"/>
      <c r="P1320" s="2" t="s">
        <v>92</v>
      </c>
    </row>
    <row r="1321">
      <c r="A1321" s="1" t="s">
        <v>259</v>
      </c>
      <c r="B1321" s="2" t="s">
        <v>17</v>
      </c>
      <c r="C1321" s="2" t="s">
        <v>18</v>
      </c>
      <c r="D1321" s="2" t="s">
        <v>23</v>
      </c>
      <c r="E1321" s="2" t="s">
        <v>260</v>
      </c>
      <c r="F1321" s="2">
        <v>100.0</v>
      </c>
      <c r="G1321" s="2">
        <v>145.0</v>
      </c>
      <c r="H1321" s="2">
        <v>33.0</v>
      </c>
      <c r="I1321" s="2">
        <v>62.0</v>
      </c>
      <c r="J1321" s="2">
        <v>50.0</v>
      </c>
      <c r="K1321" s="2">
        <v>0.0</v>
      </c>
      <c r="L1321" s="2">
        <v>0.0</v>
      </c>
      <c r="M1321" s="2">
        <v>67.0</v>
      </c>
      <c r="N1321" s="2">
        <v>-25.0</v>
      </c>
      <c r="O1321" s="2">
        <v>34.0</v>
      </c>
      <c r="P1321" s="2" t="s">
        <v>92</v>
      </c>
    </row>
    <row r="1322">
      <c r="A1322" s="1" t="s">
        <v>259</v>
      </c>
      <c r="B1322" s="4">
        <v>45262.29166666667</v>
      </c>
      <c r="C1322" s="2" t="s">
        <v>18</v>
      </c>
      <c r="D1322" s="2" t="s">
        <v>19</v>
      </c>
      <c r="E1322" s="2" t="s">
        <v>260</v>
      </c>
      <c r="F1322" s="2"/>
      <c r="G1322" s="2">
        <v>8.0</v>
      </c>
      <c r="H1322" s="2">
        <v>3.0</v>
      </c>
      <c r="I1322" s="2">
        <v>3.0</v>
      </c>
      <c r="J1322" s="2">
        <v>2.0</v>
      </c>
      <c r="K1322" s="2">
        <v>0.0</v>
      </c>
      <c r="L1322" s="2">
        <v>0.0</v>
      </c>
      <c r="M1322" s="2"/>
      <c r="N1322" s="2"/>
      <c r="O1322" s="2"/>
      <c r="P1322" s="2" t="s">
        <v>92</v>
      </c>
    </row>
    <row r="1323">
      <c r="A1323" s="1" t="s">
        <v>259</v>
      </c>
      <c r="B1323" s="4">
        <v>45294.29166666667</v>
      </c>
      <c r="C1323" s="2" t="s">
        <v>18</v>
      </c>
      <c r="D1323" s="2" t="s">
        <v>157</v>
      </c>
      <c r="E1323" s="2" t="s">
        <v>260</v>
      </c>
      <c r="F1323" s="2"/>
      <c r="G1323" s="2">
        <v>50.0</v>
      </c>
      <c r="H1323" s="2">
        <v>9.0</v>
      </c>
      <c r="I1323" s="2">
        <v>27.0</v>
      </c>
      <c r="J1323" s="2">
        <v>14.0</v>
      </c>
      <c r="K1323" s="2">
        <v>0.0</v>
      </c>
      <c r="L1323" s="2">
        <v>0.0</v>
      </c>
      <c r="M1323" s="2"/>
      <c r="N1323" s="2"/>
      <c r="O1323" s="2"/>
      <c r="P1323" s="2" t="s">
        <v>92</v>
      </c>
    </row>
    <row r="1324">
      <c r="A1324" s="1" t="s">
        <v>259</v>
      </c>
      <c r="B1324" s="4">
        <v>45295.29166666667</v>
      </c>
      <c r="C1324" s="2" t="s">
        <v>18</v>
      </c>
      <c r="D1324" s="2" t="s">
        <v>30</v>
      </c>
      <c r="E1324" s="2" t="s">
        <v>260</v>
      </c>
      <c r="F1324" s="2"/>
      <c r="G1324" s="2">
        <v>42.0</v>
      </c>
      <c r="H1324" s="2">
        <v>7.0</v>
      </c>
      <c r="I1324" s="2">
        <v>16.0</v>
      </c>
      <c r="J1324" s="2">
        <v>19.0</v>
      </c>
      <c r="K1324" s="2">
        <v>0.0</v>
      </c>
      <c r="L1324" s="2">
        <v>0.0</v>
      </c>
      <c r="M1324" s="2"/>
      <c r="N1324" s="2"/>
      <c r="O1324" s="2"/>
      <c r="P1324" s="2" t="s">
        <v>92</v>
      </c>
    </row>
    <row r="1325">
      <c r="A1325" s="1" t="s">
        <v>259</v>
      </c>
      <c r="B1325" s="4">
        <v>45296.29166666667</v>
      </c>
      <c r="C1325" s="2" t="s">
        <v>18</v>
      </c>
      <c r="D1325" s="2" t="s">
        <v>19</v>
      </c>
      <c r="E1325" s="2" t="s">
        <v>260</v>
      </c>
      <c r="F1325" s="2"/>
      <c r="G1325" s="2">
        <v>45.0</v>
      </c>
      <c r="H1325" s="2">
        <v>14.0</v>
      </c>
      <c r="I1325" s="2">
        <v>16.0</v>
      </c>
      <c r="J1325" s="2">
        <v>15.0</v>
      </c>
      <c r="K1325" s="2">
        <v>0.0</v>
      </c>
      <c r="L1325" s="2">
        <v>0.0</v>
      </c>
      <c r="M1325" s="2"/>
      <c r="N1325" s="2"/>
      <c r="O1325" s="2"/>
      <c r="P1325" s="2" t="s">
        <v>92</v>
      </c>
    </row>
    <row r="1326">
      <c r="A1326" s="1" t="s">
        <v>261</v>
      </c>
      <c r="B1326" s="2" t="s">
        <v>17</v>
      </c>
      <c r="C1326" s="2" t="s">
        <v>18</v>
      </c>
      <c r="D1326" s="2" t="s">
        <v>91</v>
      </c>
      <c r="E1326" s="2" t="s">
        <v>27</v>
      </c>
      <c r="F1326" s="2">
        <v>100.0</v>
      </c>
      <c r="G1326" s="2">
        <v>126.0</v>
      </c>
      <c r="H1326" s="2">
        <v>101.0</v>
      </c>
      <c r="I1326" s="2">
        <v>25.0</v>
      </c>
      <c r="J1326" s="2">
        <v>0.0</v>
      </c>
      <c r="K1326" s="2">
        <v>0.0</v>
      </c>
      <c r="L1326" s="2">
        <v>0.0</v>
      </c>
      <c r="M1326" s="2">
        <v>-1.0</v>
      </c>
      <c r="N1326" s="2"/>
      <c r="O1326" s="2"/>
      <c r="P1326" s="2" t="s">
        <v>146</v>
      </c>
    </row>
    <row r="1327">
      <c r="A1327" s="1" t="s">
        <v>261</v>
      </c>
      <c r="B1327" s="2" t="s">
        <v>17</v>
      </c>
      <c r="C1327" s="2" t="s">
        <v>148</v>
      </c>
      <c r="D1327" s="2" t="s">
        <v>19</v>
      </c>
      <c r="E1327" s="2" t="s">
        <v>27</v>
      </c>
      <c r="F1327" s="2">
        <v>98.0</v>
      </c>
      <c r="G1327" s="2">
        <v>1.0</v>
      </c>
      <c r="H1327" s="2">
        <v>1.0</v>
      </c>
      <c r="I1327" s="2">
        <v>0.0</v>
      </c>
      <c r="J1327" s="2">
        <v>0.0</v>
      </c>
      <c r="K1327" s="2">
        <v>0.0</v>
      </c>
      <c r="L1327" s="2">
        <v>0.0</v>
      </c>
      <c r="M1327" s="2">
        <v>97.0</v>
      </c>
      <c r="N1327" s="2"/>
      <c r="O1327" s="2"/>
      <c r="P1327" s="2" t="s">
        <v>146</v>
      </c>
    </row>
    <row r="1328">
      <c r="A1328" s="1" t="s">
        <v>261</v>
      </c>
      <c r="B1328" s="2" t="s">
        <v>17</v>
      </c>
      <c r="C1328" s="2" t="s">
        <v>18</v>
      </c>
      <c r="D1328" s="2" t="s">
        <v>23</v>
      </c>
      <c r="E1328" s="2" t="s">
        <v>27</v>
      </c>
      <c r="F1328" s="2">
        <v>102.0</v>
      </c>
      <c r="G1328" s="2">
        <v>127.0</v>
      </c>
      <c r="H1328" s="2">
        <v>102.0</v>
      </c>
      <c r="I1328" s="2">
        <v>25.0</v>
      </c>
      <c r="J1328" s="2">
        <v>0.0</v>
      </c>
      <c r="K1328" s="2">
        <v>0.0</v>
      </c>
      <c r="L1328" s="2">
        <v>0.0</v>
      </c>
      <c r="M1328" s="2">
        <v>0.0</v>
      </c>
      <c r="N1328" s="2">
        <v>-96.0</v>
      </c>
      <c r="O1328" s="2">
        <v>-102.0</v>
      </c>
      <c r="P1328" s="2" t="s">
        <v>146</v>
      </c>
    </row>
    <row r="1329">
      <c r="A1329" s="1" t="s">
        <v>261</v>
      </c>
      <c r="B1329" s="4">
        <v>45201.29166666667</v>
      </c>
      <c r="C1329" s="2" t="s">
        <v>18</v>
      </c>
      <c r="D1329" s="2" t="s">
        <v>19</v>
      </c>
      <c r="E1329" s="2" t="s">
        <v>27</v>
      </c>
      <c r="F1329" s="2"/>
      <c r="G1329" s="2">
        <v>1.0</v>
      </c>
      <c r="H1329" s="2">
        <v>1.0</v>
      </c>
      <c r="I1329" s="2">
        <v>0.0</v>
      </c>
      <c r="J1329" s="2">
        <v>0.0</v>
      </c>
      <c r="K1329" s="2">
        <v>0.0</v>
      </c>
      <c r="L1329" s="2">
        <v>0.0</v>
      </c>
      <c r="M1329" s="2"/>
      <c r="N1329" s="2"/>
      <c r="O1329" s="2"/>
      <c r="P1329" s="2" t="s">
        <v>146</v>
      </c>
    </row>
    <row r="1330">
      <c r="A1330" s="1" t="s">
        <v>261</v>
      </c>
      <c r="B1330" s="4">
        <v>45234.25</v>
      </c>
      <c r="C1330" s="2" t="s">
        <v>18</v>
      </c>
      <c r="D1330" s="2" t="s">
        <v>91</v>
      </c>
      <c r="E1330" s="2" t="s">
        <v>27</v>
      </c>
      <c r="F1330" s="2"/>
      <c r="G1330" s="2">
        <v>43.0</v>
      </c>
      <c r="H1330" s="2">
        <v>35.0</v>
      </c>
      <c r="I1330" s="2">
        <v>8.0</v>
      </c>
      <c r="J1330" s="2">
        <v>0.0</v>
      </c>
      <c r="K1330" s="2">
        <v>0.0</v>
      </c>
      <c r="L1330" s="2">
        <v>0.0</v>
      </c>
      <c r="M1330" s="2"/>
      <c r="N1330" s="2"/>
      <c r="O1330" s="2"/>
      <c r="P1330" s="2" t="s">
        <v>146</v>
      </c>
    </row>
    <row r="1331">
      <c r="A1331" s="1" t="s">
        <v>261</v>
      </c>
      <c r="B1331" s="4">
        <v>45262.29166666667</v>
      </c>
      <c r="C1331" s="2" t="s">
        <v>18</v>
      </c>
      <c r="D1331" s="2" t="s">
        <v>91</v>
      </c>
      <c r="E1331" s="2" t="s">
        <v>27</v>
      </c>
      <c r="F1331" s="2"/>
      <c r="G1331" s="2">
        <v>79.0</v>
      </c>
      <c r="H1331" s="2">
        <v>63.0</v>
      </c>
      <c r="I1331" s="2">
        <v>16.0</v>
      </c>
      <c r="J1331" s="2">
        <v>0.0</v>
      </c>
      <c r="K1331" s="2">
        <v>0.0</v>
      </c>
      <c r="L1331" s="2">
        <v>0.0</v>
      </c>
      <c r="M1331" s="2"/>
      <c r="N1331" s="2"/>
      <c r="O1331" s="2"/>
      <c r="P1331" s="2" t="s">
        <v>146</v>
      </c>
    </row>
    <row r="1332">
      <c r="A1332" s="3" t="s">
        <v>16</v>
      </c>
      <c r="B1332" s="4">
        <v>45293.29166666667</v>
      </c>
      <c r="C1332" s="2" t="s">
        <v>18</v>
      </c>
      <c r="D1332" s="2" t="s">
        <v>91</v>
      </c>
      <c r="E1332" s="2" t="s">
        <v>27</v>
      </c>
      <c r="F1332" s="2"/>
      <c r="G1332" s="2">
        <v>4.0</v>
      </c>
      <c r="H1332" s="2">
        <v>3.0</v>
      </c>
      <c r="I1332" s="2">
        <v>1.0</v>
      </c>
      <c r="J1332" s="2">
        <v>0.0</v>
      </c>
      <c r="K1332" s="2">
        <v>0.0</v>
      </c>
      <c r="L1332" s="2">
        <v>0.0</v>
      </c>
      <c r="M1332" s="2"/>
      <c r="N1332" s="2"/>
      <c r="O1332" s="2"/>
      <c r="P1332" s="2" t="s">
        <v>146</v>
      </c>
    </row>
    <row r="1333">
      <c r="A1333" s="3" t="s">
        <v>22</v>
      </c>
      <c r="B1333" s="2" t="s">
        <v>17</v>
      </c>
      <c r="C1333" s="2" t="s">
        <v>18</v>
      </c>
      <c r="D1333" s="2" t="s">
        <v>79</v>
      </c>
      <c r="E1333" s="2" t="s">
        <v>165</v>
      </c>
      <c r="F1333" s="2">
        <v>65.0</v>
      </c>
      <c r="G1333" s="2">
        <v>97.0</v>
      </c>
      <c r="H1333" s="2">
        <v>67.0</v>
      </c>
      <c r="I1333" s="2">
        <v>30.0</v>
      </c>
      <c r="J1333" s="2">
        <v>0.0</v>
      </c>
      <c r="K1333" s="2">
        <v>0.0</v>
      </c>
      <c r="L1333" s="2">
        <v>0.0</v>
      </c>
      <c r="M1333" s="2">
        <v>-2.0</v>
      </c>
      <c r="N1333" s="2"/>
      <c r="O1333" s="2"/>
      <c r="P1333" s="2" t="s">
        <v>166</v>
      </c>
    </row>
    <row r="1334">
      <c r="A1334" s="3" t="s">
        <v>24</v>
      </c>
      <c r="B1334" s="2" t="s">
        <v>17</v>
      </c>
      <c r="C1334" s="2" t="s">
        <v>18</v>
      </c>
      <c r="D1334" s="2" t="s">
        <v>23</v>
      </c>
      <c r="E1334" s="2" t="s">
        <v>165</v>
      </c>
      <c r="F1334" s="2">
        <v>65.0</v>
      </c>
      <c r="G1334" s="2">
        <v>97.0</v>
      </c>
      <c r="H1334" s="2">
        <v>67.0</v>
      </c>
      <c r="I1334" s="2">
        <v>30.0</v>
      </c>
      <c r="J1334" s="2">
        <v>0.0</v>
      </c>
      <c r="K1334" s="2">
        <v>0.0</v>
      </c>
      <c r="L1334" s="2">
        <v>0.0</v>
      </c>
      <c r="M1334" s="2">
        <v>-2.0</v>
      </c>
      <c r="N1334" s="2">
        <v>0.0</v>
      </c>
      <c r="O1334" s="2">
        <v>-69.0</v>
      </c>
      <c r="P1334" s="2" t="s">
        <v>166</v>
      </c>
    </row>
    <row r="1335">
      <c r="A1335" s="3" t="s">
        <v>25</v>
      </c>
      <c r="B1335" s="4">
        <v>45262.29166666667</v>
      </c>
      <c r="C1335" s="2" t="s">
        <v>18</v>
      </c>
      <c r="D1335" s="2" t="s">
        <v>79</v>
      </c>
      <c r="E1335" s="2" t="s">
        <v>165</v>
      </c>
      <c r="F1335" s="2"/>
      <c r="G1335" s="2">
        <v>75.0</v>
      </c>
      <c r="H1335" s="2">
        <v>49.0</v>
      </c>
      <c r="I1335" s="2">
        <v>26.0</v>
      </c>
      <c r="J1335" s="2">
        <v>0.0</v>
      </c>
      <c r="K1335" s="2">
        <v>0.0</v>
      </c>
      <c r="L1335" s="2">
        <v>0.0</v>
      </c>
      <c r="M1335" s="2"/>
      <c r="N1335" s="2"/>
      <c r="O1335" s="2"/>
      <c r="P1335" s="2" t="s">
        <v>166</v>
      </c>
    </row>
    <row r="1336">
      <c r="A1336" s="3" t="s">
        <v>26</v>
      </c>
      <c r="B1336" s="4">
        <v>45292.29166666667</v>
      </c>
      <c r="C1336" s="2" t="s">
        <v>18</v>
      </c>
      <c r="D1336" s="2" t="s">
        <v>79</v>
      </c>
      <c r="E1336" s="2" t="s">
        <v>165</v>
      </c>
      <c r="F1336" s="2"/>
      <c r="G1336" s="2">
        <v>22.0</v>
      </c>
      <c r="H1336" s="2">
        <v>18.0</v>
      </c>
      <c r="I1336" s="2">
        <v>4.0</v>
      </c>
      <c r="J1336" s="2">
        <v>0.0</v>
      </c>
      <c r="K1336" s="2">
        <v>0.0</v>
      </c>
      <c r="L1336" s="2">
        <v>0.0</v>
      </c>
      <c r="M1336" s="2"/>
      <c r="N1336" s="2"/>
      <c r="O1336" s="2"/>
      <c r="P1336" s="2" t="s">
        <v>166</v>
      </c>
    </row>
    <row r="1337">
      <c r="A1337" s="3" t="s">
        <v>28</v>
      </c>
      <c r="B1337" s="2" t="s">
        <v>17</v>
      </c>
      <c r="C1337" s="2" t="s">
        <v>18</v>
      </c>
      <c r="D1337" s="2" t="s">
        <v>164</v>
      </c>
      <c r="E1337" s="2" t="s">
        <v>168</v>
      </c>
      <c r="F1337" s="2">
        <v>19.0</v>
      </c>
      <c r="G1337" s="2">
        <v>0.0</v>
      </c>
      <c r="H1337" s="2">
        <v>0.0</v>
      </c>
      <c r="I1337" s="2">
        <v>0.0</v>
      </c>
      <c r="J1337" s="2">
        <v>0.0</v>
      </c>
      <c r="K1337" s="2">
        <v>0.0</v>
      </c>
      <c r="L1337" s="2">
        <v>0.0</v>
      </c>
      <c r="M1337" s="2">
        <v>19.0</v>
      </c>
      <c r="N1337" s="2"/>
      <c r="O1337" s="2"/>
      <c r="P1337" s="2" t="s">
        <v>166</v>
      </c>
    </row>
    <row r="1338">
      <c r="A1338" s="3" t="s">
        <v>29</v>
      </c>
      <c r="B1338" s="2" t="s">
        <v>17</v>
      </c>
      <c r="C1338" s="2" t="s">
        <v>18</v>
      </c>
      <c r="D1338" s="2" t="s">
        <v>23</v>
      </c>
      <c r="E1338" s="2" t="s">
        <v>168</v>
      </c>
      <c r="F1338" s="2">
        <v>19.0</v>
      </c>
      <c r="G1338" s="2">
        <v>0.0</v>
      </c>
      <c r="H1338" s="2">
        <v>0.0</v>
      </c>
      <c r="I1338" s="2">
        <v>0.0</v>
      </c>
      <c r="J1338" s="2">
        <v>0.0</v>
      </c>
      <c r="K1338" s="2">
        <v>0.0</v>
      </c>
      <c r="L1338" s="2">
        <v>0.0</v>
      </c>
      <c r="M1338" s="2">
        <v>19.0</v>
      </c>
      <c r="N1338" s="2">
        <v>0.0</v>
      </c>
      <c r="O1338" s="2">
        <v>19.0</v>
      </c>
      <c r="P1338" s="2" t="s">
        <v>166</v>
      </c>
    </row>
    <row r="1339">
      <c r="A1339" s="3" t="s">
        <v>32</v>
      </c>
      <c r="B1339" s="4">
        <v>45324.29166666667</v>
      </c>
      <c r="C1339" s="2" t="s">
        <v>18</v>
      </c>
      <c r="D1339" s="2" t="s">
        <v>164</v>
      </c>
      <c r="E1339" s="2" t="s">
        <v>168</v>
      </c>
      <c r="F1339" s="2"/>
      <c r="G1339" s="2">
        <v>0.0</v>
      </c>
      <c r="H1339" s="2">
        <v>0.0</v>
      </c>
      <c r="I1339" s="2">
        <v>0.0</v>
      </c>
      <c r="J1339" s="2">
        <v>0.0</v>
      </c>
      <c r="K1339" s="2">
        <v>0.0</v>
      </c>
      <c r="L1339" s="2">
        <v>0.0</v>
      </c>
      <c r="M1339" s="2"/>
      <c r="N1339" s="2"/>
      <c r="O1339" s="2"/>
      <c r="P1339" s="2" t="s">
        <v>166</v>
      </c>
    </row>
    <row r="1340">
      <c r="A1340" s="3" t="s">
        <v>34</v>
      </c>
      <c r="B1340" s="4">
        <v>45352.29166666667</v>
      </c>
      <c r="C1340" s="2" t="s">
        <v>18</v>
      </c>
      <c r="D1340" s="2" t="s">
        <v>164</v>
      </c>
      <c r="E1340" s="2" t="s">
        <v>168</v>
      </c>
      <c r="F1340" s="2"/>
      <c r="G1340" s="2">
        <v>0.0</v>
      </c>
      <c r="H1340" s="2">
        <v>0.0</v>
      </c>
      <c r="I1340" s="2">
        <v>0.0</v>
      </c>
      <c r="J1340" s="2">
        <v>0.0</v>
      </c>
      <c r="K1340" s="2">
        <v>0.0</v>
      </c>
      <c r="L1340" s="2">
        <v>0.0</v>
      </c>
      <c r="M1340" s="2"/>
      <c r="N1340" s="2"/>
      <c r="O1340" s="2"/>
      <c r="P1340" s="2" t="s">
        <v>166</v>
      </c>
    </row>
    <row r="1341">
      <c r="A1341" s="3" t="s">
        <v>35</v>
      </c>
      <c r="B1341" s="2" t="s">
        <v>17</v>
      </c>
      <c r="C1341" s="2" t="s">
        <v>57</v>
      </c>
      <c r="D1341" s="2" t="s">
        <v>79</v>
      </c>
      <c r="E1341" s="2" t="s">
        <v>262</v>
      </c>
      <c r="F1341" s="2">
        <v>15.0</v>
      </c>
      <c r="G1341" s="2">
        <v>2.0</v>
      </c>
      <c r="H1341" s="2">
        <v>2.0</v>
      </c>
      <c r="I1341" s="2">
        <v>0.0</v>
      </c>
      <c r="J1341" s="2">
        <v>0.0</v>
      </c>
      <c r="K1341" s="2">
        <v>0.0</v>
      </c>
      <c r="L1341" s="2">
        <v>0.0</v>
      </c>
      <c r="M1341" s="2">
        <v>13.0</v>
      </c>
      <c r="N1341" s="2"/>
      <c r="O1341" s="2"/>
      <c r="P1341" s="2" t="s">
        <v>92</v>
      </c>
    </row>
    <row r="1342">
      <c r="A1342" s="3" t="s">
        <v>36</v>
      </c>
      <c r="B1342" s="2" t="s">
        <v>17</v>
      </c>
      <c r="C1342" s="2" t="s">
        <v>57</v>
      </c>
      <c r="D1342" s="2" t="s">
        <v>79</v>
      </c>
      <c r="E1342" s="2" t="s">
        <v>263</v>
      </c>
      <c r="F1342" s="2">
        <v>15.0</v>
      </c>
      <c r="G1342" s="2">
        <v>5.0</v>
      </c>
      <c r="H1342" s="2">
        <v>3.0</v>
      </c>
      <c r="I1342" s="2">
        <v>2.0</v>
      </c>
      <c r="J1342" s="2">
        <v>0.0</v>
      </c>
      <c r="K1342" s="2">
        <v>0.0</v>
      </c>
      <c r="L1342" s="2">
        <v>0.0</v>
      </c>
      <c r="M1342" s="2">
        <v>12.0</v>
      </c>
      <c r="N1342" s="2"/>
      <c r="O1342" s="2"/>
      <c r="P1342" s="2" t="s">
        <v>92</v>
      </c>
    </row>
    <row r="1343">
      <c r="A1343" s="3" t="s">
        <v>37</v>
      </c>
      <c r="B1343" s="2" t="s">
        <v>17</v>
      </c>
      <c r="C1343" s="2" t="s">
        <v>57</v>
      </c>
      <c r="D1343" s="2" t="s">
        <v>33</v>
      </c>
      <c r="E1343" s="2" t="s">
        <v>262</v>
      </c>
      <c r="F1343" s="2">
        <v>5.0</v>
      </c>
      <c r="G1343" s="2">
        <v>4.0</v>
      </c>
      <c r="H1343" s="2">
        <v>4.0</v>
      </c>
      <c r="I1343" s="2">
        <v>0.0</v>
      </c>
      <c r="J1343" s="2">
        <v>0.0</v>
      </c>
      <c r="K1343" s="2">
        <v>0.0</v>
      </c>
      <c r="L1343" s="2">
        <v>0.0</v>
      </c>
      <c r="M1343" s="2">
        <v>1.0</v>
      </c>
      <c r="N1343" s="2"/>
      <c r="O1343" s="2"/>
      <c r="P1343" s="2" t="s">
        <v>92</v>
      </c>
    </row>
    <row r="1344">
      <c r="A1344" s="3" t="s">
        <v>38</v>
      </c>
      <c r="B1344" s="2" t="s">
        <v>17</v>
      </c>
      <c r="C1344" s="2" t="s">
        <v>57</v>
      </c>
      <c r="D1344" s="2" t="s">
        <v>33</v>
      </c>
      <c r="E1344" s="2" t="s">
        <v>263</v>
      </c>
      <c r="F1344" s="2">
        <v>5.0</v>
      </c>
      <c r="G1344" s="2">
        <v>2.0</v>
      </c>
      <c r="H1344" s="2">
        <v>2.0</v>
      </c>
      <c r="I1344" s="2">
        <v>0.0</v>
      </c>
      <c r="J1344" s="2">
        <v>0.0</v>
      </c>
      <c r="K1344" s="2">
        <v>0.0</v>
      </c>
      <c r="L1344" s="2">
        <v>0.0</v>
      </c>
      <c r="M1344" s="2">
        <v>3.0</v>
      </c>
      <c r="N1344" s="2"/>
      <c r="O1344" s="2"/>
      <c r="P1344" s="2" t="s">
        <v>92</v>
      </c>
    </row>
    <row r="1345">
      <c r="A1345" s="3" t="s">
        <v>39</v>
      </c>
      <c r="B1345" s="2" t="s">
        <v>17</v>
      </c>
      <c r="C1345" s="2" t="s">
        <v>18</v>
      </c>
      <c r="D1345" s="2" t="s">
        <v>109</v>
      </c>
      <c r="E1345" s="2" t="s">
        <v>262</v>
      </c>
      <c r="F1345" s="2">
        <v>50.0</v>
      </c>
      <c r="G1345" s="2">
        <v>57.0</v>
      </c>
      <c r="H1345" s="2">
        <v>35.0</v>
      </c>
      <c r="I1345" s="2">
        <v>22.0</v>
      </c>
      <c r="J1345" s="2">
        <v>0.0</v>
      </c>
      <c r="K1345" s="2">
        <v>0.0</v>
      </c>
      <c r="L1345" s="2">
        <v>0.0</v>
      </c>
      <c r="M1345" s="2">
        <v>15.0</v>
      </c>
      <c r="N1345" s="2"/>
      <c r="O1345" s="2"/>
      <c r="P1345" s="2" t="s">
        <v>92</v>
      </c>
    </row>
    <row r="1346">
      <c r="A1346" s="3" t="s">
        <v>40</v>
      </c>
      <c r="B1346" s="2" t="s">
        <v>17</v>
      </c>
      <c r="C1346" s="2" t="s">
        <v>18</v>
      </c>
      <c r="D1346" s="2" t="s">
        <v>109</v>
      </c>
      <c r="E1346" s="2" t="s">
        <v>263</v>
      </c>
      <c r="F1346" s="2">
        <v>50.0</v>
      </c>
      <c r="G1346" s="2">
        <v>28.0</v>
      </c>
      <c r="H1346" s="2">
        <v>15.0</v>
      </c>
      <c r="I1346" s="2">
        <v>13.0</v>
      </c>
      <c r="J1346" s="2">
        <v>0.0</v>
      </c>
      <c r="K1346" s="2">
        <v>0.0</v>
      </c>
      <c r="L1346" s="2">
        <v>0.0</v>
      </c>
      <c r="M1346" s="2">
        <v>35.0</v>
      </c>
      <c r="N1346" s="2"/>
      <c r="O1346" s="2"/>
      <c r="P1346" s="2" t="s">
        <v>92</v>
      </c>
    </row>
    <row r="1347">
      <c r="A1347" s="3" t="s">
        <v>41</v>
      </c>
      <c r="B1347" s="2" t="s">
        <v>17</v>
      </c>
      <c r="C1347" s="2" t="s">
        <v>18</v>
      </c>
      <c r="D1347" s="2" t="s">
        <v>157</v>
      </c>
      <c r="E1347" s="2" t="s">
        <v>262</v>
      </c>
      <c r="F1347" s="2">
        <v>70.0</v>
      </c>
      <c r="G1347" s="2">
        <v>74.0</v>
      </c>
      <c r="H1347" s="2">
        <v>54.0</v>
      </c>
      <c r="I1347" s="2">
        <v>20.0</v>
      </c>
      <c r="J1347" s="2">
        <v>0.0</v>
      </c>
      <c r="K1347" s="2">
        <v>0.0</v>
      </c>
      <c r="L1347" s="2">
        <v>0.0</v>
      </c>
      <c r="M1347" s="2">
        <v>16.0</v>
      </c>
      <c r="N1347" s="2"/>
      <c r="O1347" s="2"/>
      <c r="P1347" s="2" t="s">
        <v>92</v>
      </c>
    </row>
    <row r="1348">
      <c r="A1348" s="3" t="s">
        <v>42</v>
      </c>
      <c r="B1348" s="2" t="s">
        <v>17</v>
      </c>
      <c r="C1348" s="2" t="s">
        <v>18</v>
      </c>
      <c r="D1348" s="2" t="s">
        <v>157</v>
      </c>
      <c r="E1348" s="2" t="s">
        <v>263</v>
      </c>
      <c r="F1348" s="2">
        <v>50.0</v>
      </c>
      <c r="G1348" s="2">
        <v>72.0</v>
      </c>
      <c r="H1348" s="2">
        <v>47.0</v>
      </c>
      <c r="I1348" s="2">
        <v>25.0</v>
      </c>
      <c r="J1348" s="2">
        <v>0.0</v>
      </c>
      <c r="K1348" s="2">
        <v>0.0</v>
      </c>
      <c r="L1348" s="2">
        <v>0.0</v>
      </c>
      <c r="M1348" s="2">
        <v>3.0</v>
      </c>
      <c r="N1348" s="2"/>
      <c r="O1348" s="2"/>
      <c r="P1348" s="2" t="s">
        <v>92</v>
      </c>
    </row>
    <row r="1349">
      <c r="A1349" s="3" t="s">
        <v>43</v>
      </c>
      <c r="B1349" s="2" t="s">
        <v>17</v>
      </c>
      <c r="C1349" s="2" t="s">
        <v>18</v>
      </c>
      <c r="D1349" s="2" t="s">
        <v>19</v>
      </c>
      <c r="E1349" s="2" t="s">
        <v>262</v>
      </c>
      <c r="F1349" s="2">
        <v>50.0</v>
      </c>
      <c r="G1349" s="2">
        <v>38.0</v>
      </c>
      <c r="H1349" s="2">
        <v>32.0</v>
      </c>
      <c r="I1349" s="2">
        <v>6.0</v>
      </c>
      <c r="J1349" s="2">
        <v>0.0</v>
      </c>
      <c r="K1349" s="2">
        <v>0.0</v>
      </c>
      <c r="L1349" s="2">
        <v>0.0</v>
      </c>
      <c r="M1349" s="2">
        <v>18.0</v>
      </c>
      <c r="N1349" s="2"/>
      <c r="O1349" s="2"/>
      <c r="P1349" s="2" t="s">
        <v>92</v>
      </c>
    </row>
    <row r="1350">
      <c r="A1350" s="3" t="s">
        <v>44</v>
      </c>
      <c r="B1350" s="2" t="s">
        <v>17</v>
      </c>
      <c r="C1350" s="2" t="s">
        <v>18</v>
      </c>
      <c r="D1350" s="2" t="s">
        <v>19</v>
      </c>
      <c r="E1350" s="2" t="s">
        <v>263</v>
      </c>
      <c r="F1350" s="2">
        <v>50.0</v>
      </c>
      <c r="G1350" s="2">
        <v>58.0</v>
      </c>
      <c r="H1350" s="2">
        <v>41.0</v>
      </c>
      <c r="I1350" s="2">
        <v>17.0</v>
      </c>
      <c r="J1350" s="2">
        <v>0.0</v>
      </c>
      <c r="K1350" s="2">
        <v>0.0</v>
      </c>
      <c r="L1350" s="2">
        <v>0.0</v>
      </c>
      <c r="M1350" s="2">
        <v>9.0</v>
      </c>
      <c r="N1350" s="2"/>
      <c r="O1350" s="2"/>
      <c r="P1350" s="2" t="s">
        <v>92</v>
      </c>
    </row>
    <row r="1351">
      <c r="A1351" s="3" t="s">
        <v>45</v>
      </c>
      <c r="B1351" s="2" t="s">
        <v>17</v>
      </c>
      <c r="C1351" s="2" t="s">
        <v>18</v>
      </c>
      <c r="D1351" s="2" t="s">
        <v>23</v>
      </c>
      <c r="E1351" s="2" t="s">
        <v>262</v>
      </c>
      <c r="F1351" s="2">
        <v>118.0</v>
      </c>
      <c r="G1351" s="2">
        <v>175.0</v>
      </c>
      <c r="H1351" s="2">
        <v>127.0</v>
      </c>
      <c r="I1351" s="2">
        <v>48.0</v>
      </c>
      <c r="J1351" s="2">
        <v>0.0</v>
      </c>
      <c r="K1351" s="2">
        <v>0.0</v>
      </c>
      <c r="L1351" s="2">
        <v>0.0</v>
      </c>
      <c r="M1351" s="2">
        <v>-9.0</v>
      </c>
      <c r="N1351" s="2">
        <v>-72.0</v>
      </c>
      <c r="O1351" s="2">
        <v>-136.0</v>
      </c>
      <c r="P1351" s="2" t="s">
        <v>92</v>
      </c>
    </row>
    <row r="1352">
      <c r="A1352" s="3" t="s">
        <v>16</v>
      </c>
      <c r="B1352" s="2" t="s">
        <v>17</v>
      </c>
      <c r="C1352" s="2" t="s">
        <v>18</v>
      </c>
      <c r="D1352" s="2" t="s">
        <v>23</v>
      </c>
      <c r="E1352" s="2" t="s">
        <v>263</v>
      </c>
      <c r="F1352" s="2">
        <v>117.0</v>
      </c>
      <c r="G1352" s="2">
        <v>165.0</v>
      </c>
      <c r="H1352" s="2">
        <v>108.0</v>
      </c>
      <c r="I1352" s="2">
        <v>57.0</v>
      </c>
      <c r="J1352" s="2">
        <v>0.0</v>
      </c>
      <c r="K1352" s="2">
        <v>0.0</v>
      </c>
      <c r="L1352" s="2">
        <v>0.0</v>
      </c>
      <c r="M1352" s="2">
        <v>9.0</v>
      </c>
      <c r="N1352" s="2">
        <v>-53.0</v>
      </c>
      <c r="O1352" s="2">
        <v>-99.0</v>
      </c>
      <c r="P1352" s="2" t="s">
        <v>92</v>
      </c>
    </row>
    <row r="1353">
      <c r="A1353" s="3" t="s">
        <v>47</v>
      </c>
      <c r="B1353" s="4">
        <v>45232.25</v>
      </c>
      <c r="C1353" s="2" t="s">
        <v>18</v>
      </c>
      <c r="D1353" s="2" t="s">
        <v>79</v>
      </c>
      <c r="E1353" s="2" t="s">
        <v>262</v>
      </c>
      <c r="F1353" s="2"/>
      <c r="G1353" s="2">
        <v>0.0</v>
      </c>
      <c r="H1353" s="2">
        <v>0.0</v>
      </c>
      <c r="I1353" s="2">
        <v>0.0</v>
      </c>
      <c r="J1353" s="2">
        <v>0.0</v>
      </c>
      <c r="K1353" s="2">
        <v>0.0</v>
      </c>
      <c r="L1353" s="2">
        <v>0.0</v>
      </c>
      <c r="M1353" s="2"/>
      <c r="N1353" s="2"/>
      <c r="O1353" s="2"/>
      <c r="P1353" s="2" t="s">
        <v>92</v>
      </c>
    </row>
    <row r="1354">
      <c r="A1354" s="3" t="s">
        <v>48</v>
      </c>
      <c r="B1354" s="4">
        <v>45234.25</v>
      </c>
      <c r="C1354" s="2" t="s">
        <v>18</v>
      </c>
      <c r="D1354" s="2" t="s">
        <v>79</v>
      </c>
      <c r="E1354" s="2" t="s">
        <v>263</v>
      </c>
      <c r="F1354" s="2"/>
      <c r="G1354" s="2">
        <v>1.0</v>
      </c>
      <c r="H1354" s="2">
        <v>1.0</v>
      </c>
      <c r="I1354" s="2">
        <v>0.0</v>
      </c>
      <c r="J1354" s="2">
        <v>0.0</v>
      </c>
      <c r="K1354" s="2">
        <v>0.0</v>
      </c>
      <c r="L1354" s="2">
        <v>0.0</v>
      </c>
      <c r="M1354" s="2"/>
      <c r="N1354" s="2"/>
      <c r="O1354" s="2"/>
      <c r="P1354" s="2" t="s">
        <v>92</v>
      </c>
    </row>
    <row r="1355">
      <c r="A1355" s="3" t="s">
        <v>49</v>
      </c>
      <c r="B1355" s="4">
        <v>45235.25</v>
      </c>
      <c r="C1355" s="2" t="s">
        <v>18</v>
      </c>
      <c r="D1355" s="2" t="s">
        <v>33</v>
      </c>
      <c r="E1355" s="2" t="s">
        <v>262</v>
      </c>
      <c r="F1355" s="2"/>
      <c r="G1355" s="2">
        <v>3.0</v>
      </c>
      <c r="H1355" s="2">
        <v>3.0</v>
      </c>
      <c r="I1355" s="2">
        <v>0.0</v>
      </c>
      <c r="J1355" s="2">
        <v>0.0</v>
      </c>
      <c r="K1355" s="2">
        <v>0.0</v>
      </c>
      <c r="L1355" s="2">
        <v>0.0</v>
      </c>
      <c r="M1355" s="2"/>
      <c r="N1355" s="2"/>
      <c r="O1355" s="2"/>
      <c r="P1355" s="2" t="s">
        <v>92</v>
      </c>
    </row>
    <row r="1356">
      <c r="A1356" s="3" t="s">
        <v>51</v>
      </c>
      <c r="B1356" s="4">
        <v>45236.29166666667</v>
      </c>
      <c r="C1356" s="2" t="s">
        <v>18</v>
      </c>
      <c r="D1356" s="2" t="s">
        <v>33</v>
      </c>
      <c r="E1356" s="2" t="s">
        <v>263</v>
      </c>
      <c r="F1356" s="2"/>
      <c r="G1356" s="2">
        <v>2.0</v>
      </c>
      <c r="H1356" s="2">
        <v>2.0</v>
      </c>
      <c r="I1356" s="2">
        <v>0.0</v>
      </c>
      <c r="J1356" s="2">
        <v>0.0</v>
      </c>
      <c r="K1356" s="2">
        <v>0.0</v>
      </c>
      <c r="L1356" s="2">
        <v>0.0</v>
      </c>
      <c r="M1356" s="2"/>
      <c r="N1356" s="2"/>
      <c r="O1356" s="2"/>
      <c r="P1356" s="2" t="s">
        <v>92</v>
      </c>
    </row>
    <row r="1357">
      <c r="A1357" s="3" t="s">
        <v>52</v>
      </c>
      <c r="B1357" s="4">
        <v>45235.25</v>
      </c>
      <c r="C1357" s="2" t="s">
        <v>18</v>
      </c>
      <c r="D1357" s="2" t="s">
        <v>109</v>
      </c>
      <c r="E1357" s="2" t="s">
        <v>262</v>
      </c>
      <c r="F1357" s="2"/>
      <c r="G1357" s="2">
        <v>23.0</v>
      </c>
      <c r="H1357" s="2">
        <v>17.0</v>
      </c>
      <c r="I1357" s="2">
        <v>6.0</v>
      </c>
      <c r="J1357" s="2">
        <v>0.0</v>
      </c>
      <c r="K1357" s="2">
        <v>0.0</v>
      </c>
      <c r="L1357" s="2">
        <v>0.0</v>
      </c>
      <c r="M1357" s="2"/>
      <c r="N1357" s="2"/>
      <c r="O1357" s="2"/>
      <c r="P1357" s="2" t="s">
        <v>92</v>
      </c>
    </row>
    <row r="1358">
      <c r="A1358" s="3" t="s">
        <v>53</v>
      </c>
      <c r="B1358" s="4">
        <v>45236.29166666667</v>
      </c>
      <c r="C1358" s="2" t="s">
        <v>18</v>
      </c>
      <c r="D1358" s="2" t="s">
        <v>109</v>
      </c>
      <c r="E1358" s="2" t="s">
        <v>263</v>
      </c>
      <c r="F1358" s="2"/>
      <c r="G1358" s="2">
        <v>6.0</v>
      </c>
      <c r="H1358" s="2">
        <v>3.0</v>
      </c>
      <c r="I1358" s="2">
        <v>3.0</v>
      </c>
      <c r="J1358" s="2">
        <v>0.0</v>
      </c>
      <c r="K1358" s="2">
        <v>0.0</v>
      </c>
      <c r="L1358" s="2">
        <v>0.0</v>
      </c>
      <c r="M1358" s="2"/>
      <c r="N1358" s="2"/>
      <c r="O1358" s="2"/>
      <c r="P1358" s="2" t="s">
        <v>92</v>
      </c>
    </row>
    <row r="1359">
      <c r="A1359" s="3" t="s">
        <v>54</v>
      </c>
      <c r="B1359" s="4">
        <v>45237.29166666667</v>
      </c>
      <c r="C1359" s="2" t="s">
        <v>18</v>
      </c>
      <c r="D1359" s="2" t="s">
        <v>19</v>
      </c>
      <c r="E1359" s="2" t="s">
        <v>262</v>
      </c>
      <c r="F1359" s="2"/>
      <c r="G1359" s="2">
        <v>18.0</v>
      </c>
      <c r="H1359" s="2">
        <v>15.0</v>
      </c>
      <c r="I1359" s="2">
        <v>3.0</v>
      </c>
      <c r="J1359" s="2">
        <v>0.0</v>
      </c>
      <c r="K1359" s="2">
        <v>0.0</v>
      </c>
      <c r="L1359" s="2">
        <v>0.0</v>
      </c>
      <c r="M1359" s="2"/>
      <c r="N1359" s="2"/>
      <c r="O1359" s="2"/>
      <c r="P1359" s="2" t="s">
        <v>92</v>
      </c>
    </row>
    <row r="1360">
      <c r="A1360" s="3" t="s">
        <v>55</v>
      </c>
      <c r="B1360" s="4">
        <v>45238.29166666667</v>
      </c>
      <c r="C1360" s="2" t="s">
        <v>18</v>
      </c>
      <c r="D1360" s="2" t="s">
        <v>19</v>
      </c>
      <c r="E1360" s="2" t="s">
        <v>263</v>
      </c>
      <c r="F1360" s="2"/>
      <c r="G1360" s="2">
        <v>32.0</v>
      </c>
      <c r="H1360" s="2">
        <v>23.0</v>
      </c>
      <c r="I1360" s="2">
        <v>9.0</v>
      </c>
      <c r="J1360" s="2">
        <v>0.0</v>
      </c>
      <c r="K1360" s="2">
        <v>0.0</v>
      </c>
      <c r="L1360" s="2">
        <v>0.0</v>
      </c>
      <c r="M1360" s="2"/>
      <c r="N1360" s="2"/>
      <c r="O1360" s="2"/>
      <c r="P1360" s="2" t="s">
        <v>92</v>
      </c>
    </row>
    <row r="1361">
      <c r="A1361" s="3" t="s">
        <v>56</v>
      </c>
      <c r="B1361" s="4">
        <v>45262.29166666667</v>
      </c>
      <c r="C1361" s="2" t="s">
        <v>18</v>
      </c>
      <c r="D1361" s="2" t="s">
        <v>79</v>
      </c>
      <c r="E1361" s="2" t="s">
        <v>262</v>
      </c>
      <c r="F1361" s="2"/>
      <c r="G1361" s="2">
        <v>2.0</v>
      </c>
      <c r="H1361" s="2">
        <v>2.0</v>
      </c>
      <c r="I1361" s="2">
        <v>0.0</v>
      </c>
      <c r="J1361" s="2">
        <v>0.0</v>
      </c>
      <c r="K1361" s="2">
        <v>0.0</v>
      </c>
      <c r="L1361" s="2">
        <v>0.0</v>
      </c>
      <c r="M1361" s="2"/>
      <c r="N1361" s="2"/>
      <c r="O1361" s="2"/>
      <c r="P1361" s="2" t="s">
        <v>92</v>
      </c>
    </row>
    <row r="1362">
      <c r="A1362" s="3" t="s">
        <v>59</v>
      </c>
      <c r="B1362" s="4">
        <v>45263.29166666667</v>
      </c>
      <c r="C1362" s="2" t="s">
        <v>18</v>
      </c>
      <c r="D1362" s="2" t="s">
        <v>79</v>
      </c>
      <c r="E1362" s="2" t="s">
        <v>263</v>
      </c>
      <c r="F1362" s="2"/>
      <c r="G1362" s="2">
        <v>4.0</v>
      </c>
      <c r="H1362" s="2">
        <v>2.0</v>
      </c>
      <c r="I1362" s="2">
        <v>2.0</v>
      </c>
      <c r="J1362" s="2">
        <v>0.0</v>
      </c>
      <c r="K1362" s="2">
        <v>0.0</v>
      </c>
      <c r="L1362" s="2">
        <v>0.0</v>
      </c>
      <c r="M1362" s="2"/>
      <c r="N1362" s="2"/>
      <c r="O1362" s="2"/>
      <c r="P1362" s="2" t="s">
        <v>92</v>
      </c>
    </row>
    <row r="1363">
      <c r="A1363" s="3" t="s">
        <v>60</v>
      </c>
      <c r="B1363" s="4">
        <v>45264.29166666667</v>
      </c>
      <c r="C1363" s="2" t="s">
        <v>18</v>
      </c>
      <c r="D1363" s="2" t="s">
        <v>33</v>
      </c>
      <c r="E1363" s="2" t="s">
        <v>262</v>
      </c>
      <c r="F1363" s="2"/>
      <c r="G1363" s="2">
        <v>1.0</v>
      </c>
      <c r="H1363" s="2">
        <v>1.0</v>
      </c>
      <c r="I1363" s="2">
        <v>0.0</v>
      </c>
      <c r="J1363" s="2">
        <v>0.0</v>
      </c>
      <c r="K1363" s="2">
        <v>0.0</v>
      </c>
      <c r="L1363" s="2">
        <v>0.0</v>
      </c>
      <c r="M1363" s="2"/>
      <c r="N1363" s="2"/>
      <c r="O1363" s="2"/>
      <c r="P1363" s="2" t="s">
        <v>92</v>
      </c>
    </row>
    <row r="1364">
      <c r="A1364" s="3" t="s">
        <v>61</v>
      </c>
      <c r="B1364" s="4">
        <v>45265.29166666667</v>
      </c>
      <c r="C1364" s="2" t="s">
        <v>18</v>
      </c>
      <c r="D1364" s="2" t="s">
        <v>33</v>
      </c>
      <c r="E1364" s="2" t="s">
        <v>263</v>
      </c>
      <c r="F1364" s="2"/>
      <c r="G1364" s="2">
        <v>0.0</v>
      </c>
      <c r="H1364" s="2">
        <v>0.0</v>
      </c>
      <c r="I1364" s="2">
        <v>0.0</v>
      </c>
      <c r="J1364" s="2">
        <v>0.0</v>
      </c>
      <c r="K1364" s="2">
        <v>0.0</v>
      </c>
      <c r="L1364" s="2">
        <v>0.0</v>
      </c>
      <c r="M1364" s="2"/>
      <c r="N1364" s="2"/>
      <c r="O1364" s="2"/>
      <c r="P1364" s="2" t="s">
        <v>92</v>
      </c>
    </row>
    <row r="1365">
      <c r="A1365" s="3" t="s">
        <v>62</v>
      </c>
      <c r="B1365" s="4">
        <v>45266.29166666667</v>
      </c>
      <c r="C1365" s="2" t="s">
        <v>18</v>
      </c>
      <c r="D1365" s="2" t="s">
        <v>109</v>
      </c>
      <c r="E1365" s="2" t="s">
        <v>262</v>
      </c>
      <c r="F1365" s="2"/>
      <c r="G1365" s="2">
        <v>34.0</v>
      </c>
      <c r="H1365" s="2">
        <v>18.0</v>
      </c>
      <c r="I1365" s="2">
        <v>16.0</v>
      </c>
      <c r="J1365" s="2">
        <v>0.0</v>
      </c>
      <c r="K1365" s="2">
        <v>0.0</v>
      </c>
      <c r="L1365" s="2">
        <v>0.0</v>
      </c>
      <c r="M1365" s="2"/>
      <c r="N1365" s="2"/>
      <c r="O1365" s="2"/>
      <c r="P1365" s="2" t="s">
        <v>92</v>
      </c>
    </row>
    <row r="1366">
      <c r="A1366" s="3" t="s">
        <v>63</v>
      </c>
      <c r="B1366" s="4">
        <v>45267.29166666667</v>
      </c>
      <c r="C1366" s="2" t="s">
        <v>18</v>
      </c>
      <c r="D1366" s="2" t="s">
        <v>109</v>
      </c>
      <c r="E1366" s="2" t="s">
        <v>263</v>
      </c>
      <c r="F1366" s="2"/>
      <c r="G1366" s="2">
        <v>22.0</v>
      </c>
      <c r="H1366" s="2">
        <v>12.0</v>
      </c>
      <c r="I1366" s="2">
        <v>10.0</v>
      </c>
      <c r="J1366" s="2">
        <v>0.0</v>
      </c>
      <c r="K1366" s="2">
        <v>0.0</v>
      </c>
      <c r="L1366" s="2">
        <v>0.0</v>
      </c>
      <c r="M1366" s="2"/>
      <c r="N1366" s="2"/>
      <c r="O1366" s="2"/>
      <c r="P1366" s="2" t="s">
        <v>92</v>
      </c>
    </row>
    <row r="1367">
      <c r="A1367" s="3" t="s">
        <v>64</v>
      </c>
      <c r="B1367" s="4">
        <v>45268.29166666667</v>
      </c>
      <c r="C1367" s="2" t="s">
        <v>18</v>
      </c>
      <c r="D1367" s="2" t="s">
        <v>157</v>
      </c>
      <c r="E1367" s="2" t="s">
        <v>262</v>
      </c>
      <c r="F1367" s="2"/>
      <c r="G1367" s="2">
        <v>74.0</v>
      </c>
      <c r="H1367" s="2">
        <v>54.0</v>
      </c>
      <c r="I1367" s="2">
        <v>20.0</v>
      </c>
      <c r="J1367" s="2">
        <v>0.0</v>
      </c>
      <c r="K1367" s="2">
        <v>0.0</v>
      </c>
      <c r="L1367" s="2">
        <v>0.0</v>
      </c>
      <c r="M1367" s="2"/>
      <c r="N1367" s="2"/>
      <c r="O1367" s="2"/>
      <c r="P1367" s="2" t="s">
        <v>92</v>
      </c>
    </row>
    <row r="1368">
      <c r="A1368" s="3" t="s">
        <v>65</v>
      </c>
      <c r="B1368" s="4">
        <v>45269.29166666667</v>
      </c>
      <c r="C1368" s="2" t="s">
        <v>18</v>
      </c>
      <c r="D1368" s="2" t="s">
        <v>157</v>
      </c>
      <c r="E1368" s="2" t="s">
        <v>263</v>
      </c>
      <c r="F1368" s="2"/>
      <c r="G1368" s="2">
        <v>72.0</v>
      </c>
      <c r="H1368" s="2">
        <v>47.0</v>
      </c>
      <c r="I1368" s="2">
        <v>25.0</v>
      </c>
      <c r="J1368" s="2">
        <v>0.0</v>
      </c>
      <c r="K1368" s="2">
        <v>0.0</v>
      </c>
      <c r="L1368" s="2">
        <v>0.0</v>
      </c>
      <c r="M1368" s="2"/>
      <c r="N1368" s="2"/>
      <c r="O1368" s="2"/>
      <c r="P1368" s="2" t="s">
        <v>92</v>
      </c>
    </row>
    <row r="1369">
      <c r="A1369" s="3" t="s">
        <v>66</v>
      </c>
      <c r="B1369" s="4">
        <v>45270.29166666667</v>
      </c>
      <c r="C1369" s="2" t="s">
        <v>18</v>
      </c>
      <c r="D1369" s="2" t="s">
        <v>19</v>
      </c>
      <c r="E1369" s="2" t="s">
        <v>262</v>
      </c>
      <c r="F1369" s="2"/>
      <c r="G1369" s="2">
        <v>20.0</v>
      </c>
      <c r="H1369" s="2">
        <v>17.0</v>
      </c>
      <c r="I1369" s="2">
        <v>3.0</v>
      </c>
      <c r="J1369" s="2">
        <v>0.0</v>
      </c>
      <c r="K1369" s="2">
        <v>0.0</v>
      </c>
      <c r="L1369" s="2">
        <v>0.0</v>
      </c>
      <c r="M1369" s="2"/>
      <c r="N1369" s="2"/>
      <c r="O1369" s="2"/>
      <c r="P1369" s="2" t="s">
        <v>92</v>
      </c>
    </row>
    <row r="1370">
      <c r="A1370" s="3" t="s">
        <v>68</v>
      </c>
      <c r="B1370" s="4">
        <v>45271.29166666667</v>
      </c>
      <c r="C1370" s="2" t="s">
        <v>18</v>
      </c>
      <c r="D1370" s="2" t="s">
        <v>19</v>
      </c>
      <c r="E1370" s="2" t="s">
        <v>263</v>
      </c>
      <c r="F1370" s="2"/>
      <c r="G1370" s="2">
        <v>26.0</v>
      </c>
      <c r="H1370" s="2">
        <v>18.0</v>
      </c>
      <c r="I1370" s="2">
        <v>8.0</v>
      </c>
      <c r="J1370" s="2">
        <v>0.0</v>
      </c>
      <c r="K1370" s="2">
        <v>0.0</v>
      </c>
      <c r="L1370" s="2">
        <v>0.0</v>
      </c>
      <c r="M1370" s="2"/>
      <c r="N1370" s="2"/>
      <c r="O1370" s="2"/>
      <c r="P1370" s="2" t="s">
        <v>92</v>
      </c>
    </row>
    <row r="1371">
      <c r="A1371" s="3" t="s">
        <v>70</v>
      </c>
      <c r="B1371" s="2" t="s">
        <v>17</v>
      </c>
      <c r="C1371" s="2" t="s">
        <v>18</v>
      </c>
      <c r="D1371" s="2" t="s">
        <v>19</v>
      </c>
      <c r="E1371" s="2" t="s">
        <v>125</v>
      </c>
      <c r="F1371" s="2">
        <v>33.0</v>
      </c>
      <c r="G1371" s="2">
        <v>68.0</v>
      </c>
      <c r="H1371" s="2">
        <v>24.0</v>
      </c>
      <c r="I1371" s="2">
        <v>35.0</v>
      </c>
      <c r="J1371" s="2">
        <v>9.0</v>
      </c>
      <c r="K1371" s="2">
        <v>0.0</v>
      </c>
      <c r="L1371" s="2">
        <v>0.0</v>
      </c>
      <c r="M1371" s="2">
        <v>9.0</v>
      </c>
      <c r="N1371" s="2"/>
      <c r="O1371" s="2"/>
      <c r="P1371" s="2" t="s">
        <v>195</v>
      </c>
    </row>
    <row r="1372">
      <c r="A1372" s="3" t="s">
        <v>16</v>
      </c>
      <c r="B1372" s="2" t="s">
        <v>17</v>
      </c>
      <c r="C1372" s="2" t="s">
        <v>18</v>
      </c>
      <c r="D1372" s="2" t="s">
        <v>19</v>
      </c>
      <c r="E1372" s="2" t="s">
        <v>31</v>
      </c>
      <c r="F1372" s="2">
        <v>8.0</v>
      </c>
      <c r="G1372" s="2">
        <v>37.0</v>
      </c>
      <c r="H1372" s="2">
        <v>16.0</v>
      </c>
      <c r="I1372" s="2">
        <v>19.0</v>
      </c>
      <c r="J1372" s="2">
        <v>2.0</v>
      </c>
      <c r="K1372" s="2">
        <v>0.0</v>
      </c>
      <c r="L1372" s="2">
        <v>0.0</v>
      </c>
      <c r="M1372" s="2">
        <v>-8.0</v>
      </c>
      <c r="N1372" s="2"/>
      <c r="O1372" s="2"/>
      <c r="P1372" s="2" t="s">
        <v>195</v>
      </c>
    </row>
    <row r="1373">
      <c r="A1373" s="3" t="s">
        <v>71</v>
      </c>
      <c r="B1373" s="2" t="s">
        <v>17</v>
      </c>
      <c r="C1373" s="2" t="s">
        <v>18</v>
      </c>
      <c r="D1373" s="2" t="s">
        <v>19</v>
      </c>
      <c r="E1373" s="2" t="s">
        <v>264</v>
      </c>
      <c r="F1373" s="2">
        <v>5.0</v>
      </c>
      <c r="G1373" s="2">
        <v>22.0</v>
      </c>
      <c r="H1373" s="2">
        <v>8.0</v>
      </c>
      <c r="I1373" s="2">
        <v>13.0</v>
      </c>
      <c r="J1373" s="2">
        <v>1.0</v>
      </c>
      <c r="K1373" s="2">
        <v>0.0</v>
      </c>
      <c r="L1373" s="2">
        <v>0.0</v>
      </c>
      <c r="M1373" s="2">
        <v>-3.0</v>
      </c>
      <c r="N1373" s="2"/>
      <c r="O1373" s="2"/>
      <c r="P1373" s="2" t="s">
        <v>195</v>
      </c>
    </row>
    <row r="1374">
      <c r="A1374" s="3" t="s">
        <v>72</v>
      </c>
      <c r="B1374" s="2" t="s">
        <v>17</v>
      </c>
      <c r="C1374" s="2" t="s">
        <v>18</v>
      </c>
      <c r="D1374" s="2" t="s">
        <v>19</v>
      </c>
      <c r="E1374" s="2" t="s">
        <v>265</v>
      </c>
      <c r="F1374" s="2">
        <v>2.0</v>
      </c>
      <c r="G1374" s="2">
        <v>4.0</v>
      </c>
      <c r="H1374" s="2">
        <v>2.0</v>
      </c>
      <c r="I1374" s="2">
        <v>2.0</v>
      </c>
      <c r="J1374" s="2">
        <v>0.0</v>
      </c>
      <c r="K1374" s="2">
        <v>0.0</v>
      </c>
      <c r="L1374" s="2">
        <v>0.0</v>
      </c>
      <c r="M1374" s="2">
        <v>0.0</v>
      </c>
      <c r="N1374" s="2"/>
      <c r="O1374" s="2"/>
      <c r="P1374" s="2" t="s">
        <v>195</v>
      </c>
    </row>
    <row r="1375">
      <c r="A1375" s="3" t="s">
        <v>73</v>
      </c>
      <c r="B1375" s="2" t="s">
        <v>17</v>
      </c>
      <c r="C1375" s="2" t="s">
        <v>18</v>
      </c>
      <c r="D1375" s="2" t="s">
        <v>127</v>
      </c>
      <c r="E1375" s="2" t="s">
        <v>125</v>
      </c>
      <c r="F1375" s="2">
        <v>10.0</v>
      </c>
      <c r="G1375" s="2">
        <v>14.0</v>
      </c>
      <c r="H1375" s="2">
        <v>8.0</v>
      </c>
      <c r="I1375" s="2">
        <v>6.0</v>
      </c>
      <c r="J1375" s="2">
        <v>0.0</v>
      </c>
      <c r="K1375" s="2">
        <v>0.0</v>
      </c>
      <c r="L1375" s="2">
        <v>0.0</v>
      </c>
      <c r="M1375" s="2">
        <v>2.0</v>
      </c>
      <c r="N1375" s="2"/>
      <c r="O1375" s="2"/>
      <c r="P1375" s="2" t="s">
        <v>195</v>
      </c>
    </row>
    <row r="1376">
      <c r="A1376" s="3" t="s">
        <v>74</v>
      </c>
      <c r="B1376" s="2" t="s">
        <v>17</v>
      </c>
      <c r="C1376" s="2" t="s">
        <v>18</v>
      </c>
      <c r="D1376" s="2" t="s">
        <v>127</v>
      </c>
      <c r="E1376" s="2" t="s">
        <v>264</v>
      </c>
      <c r="F1376" s="2">
        <v>8.0</v>
      </c>
      <c r="G1376" s="2">
        <v>12.0</v>
      </c>
      <c r="H1376" s="2">
        <v>6.0</v>
      </c>
      <c r="I1376" s="2">
        <v>6.0</v>
      </c>
      <c r="J1376" s="2">
        <v>0.0</v>
      </c>
      <c r="K1376" s="2">
        <v>0.0</v>
      </c>
      <c r="L1376" s="2">
        <v>0.0</v>
      </c>
      <c r="M1376" s="2">
        <v>2.0</v>
      </c>
      <c r="N1376" s="2"/>
      <c r="O1376" s="2"/>
      <c r="P1376" s="2" t="s">
        <v>195</v>
      </c>
    </row>
    <row r="1377">
      <c r="A1377" s="3" t="s">
        <v>75</v>
      </c>
      <c r="B1377" s="2" t="s">
        <v>17</v>
      </c>
      <c r="C1377" s="2" t="s">
        <v>18</v>
      </c>
      <c r="D1377" s="2" t="s">
        <v>127</v>
      </c>
      <c r="E1377" s="2" t="s">
        <v>265</v>
      </c>
      <c r="F1377" s="2">
        <v>7.0</v>
      </c>
      <c r="G1377" s="2">
        <v>10.0</v>
      </c>
      <c r="H1377" s="2">
        <v>7.0</v>
      </c>
      <c r="I1377" s="2">
        <v>3.0</v>
      </c>
      <c r="J1377" s="2">
        <v>0.0</v>
      </c>
      <c r="K1377" s="2">
        <v>0.0</v>
      </c>
      <c r="L1377" s="2">
        <v>0.0</v>
      </c>
      <c r="M1377" s="2">
        <v>0.0</v>
      </c>
      <c r="N1377" s="2"/>
      <c r="O1377" s="2"/>
      <c r="P1377" s="2" t="s">
        <v>195</v>
      </c>
    </row>
    <row r="1378">
      <c r="A1378" s="3" t="s">
        <v>16</v>
      </c>
      <c r="B1378" s="2" t="s">
        <v>17</v>
      </c>
      <c r="C1378" s="2" t="s">
        <v>18</v>
      </c>
      <c r="D1378" s="2" t="s">
        <v>23</v>
      </c>
      <c r="E1378" s="2" t="s">
        <v>125</v>
      </c>
      <c r="F1378" s="2">
        <v>33.0</v>
      </c>
      <c r="G1378" s="2">
        <v>82.0</v>
      </c>
      <c r="H1378" s="2">
        <v>32.0</v>
      </c>
      <c r="I1378" s="2">
        <v>41.0</v>
      </c>
      <c r="J1378" s="2">
        <v>9.0</v>
      </c>
      <c r="K1378" s="2">
        <v>0.0</v>
      </c>
      <c r="L1378" s="2">
        <v>0.0</v>
      </c>
      <c r="M1378" s="2">
        <v>1.0</v>
      </c>
      <c r="N1378" s="2">
        <v>-10.0</v>
      </c>
      <c r="O1378" s="2">
        <v>-31.0</v>
      </c>
      <c r="P1378" s="2" t="s">
        <v>195</v>
      </c>
    </row>
    <row r="1379">
      <c r="A1379" s="3" t="s">
        <v>22</v>
      </c>
      <c r="B1379" s="2" t="s">
        <v>17</v>
      </c>
      <c r="C1379" s="2" t="s">
        <v>18</v>
      </c>
      <c r="D1379" s="2" t="s">
        <v>23</v>
      </c>
      <c r="E1379" s="2" t="s">
        <v>31</v>
      </c>
      <c r="F1379" s="2">
        <v>16.0</v>
      </c>
      <c r="G1379" s="2">
        <v>37.0</v>
      </c>
      <c r="H1379" s="2">
        <v>16.0</v>
      </c>
      <c r="I1379" s="2">
        <v>19.0</v>
      </c>
      <c r="J1379" s="2">
        <v>2.0</v>
      </c>
      <c r="K1379" s="2">
        <v>0.0</v>
      </c>
      <c r="L1379" s="2">
        <v>0.0</v>
      </c>
      <c r="M1379" s="2">
        <v>0.0</v>
      </c>
      <c r="N1379" s="2">
        <v>8.0</v>
      </c>
      <c r="O1379" s="2">
        <v>-16.0</v>
      </c>
      <c r="P1379" s="2" t="s">
        <v>195</v>
      </c>
    </row>
    <row r="1380">
      <c r="A1380" s="3" t="s">
        <v>24</v>
      </c>
      <c r="B1380" s="2" t="s">
        <v>17</v>
      </c>
      <c r="C1380" s="2" t="s">
        <v>18</v>
      </c>
      <c r="D1380" s="2" t="s">
        <v>23</v>
      </c>
      <c r="E1380" s="2" t="s">
        <v>264</v>
      </c>
      <c r="F1380" s="2">
        <v>16.0</v>
      </c>
      <c r="G1380" s="2">
        <v>34.0</v>
      </c>
      <c r="H1380" s="2">
        <v>14.0</v>
      </c>
      <c r="I1380" s="2">
        <v>19.0</v>
      </c>
      <c r="J1380" s="2">
        <v>1.0</v>
      </c>
      <c r="K1380" s="2">
        <v>0.0</v>
      </c>
      <c r="L1380" s="2">
        <v>0.0</v>
      </c>
      <c r="M1380" s="2">
        <v>2.0</v>
      </c>
      <c r="N1380" s="2">
        <v>3.0</v>
      </c>
      <c r="O1380" s="2">
        <v>-12.0</v>
      </c>
      <c r="P1380" s="2" t="s">
        <v>195</v>
      </c>
    </row>
    <row r="1381">
      <c r="A1381" s="3" t="s">
        <v>25</v>
      </c>
      <c r="B1381" s="2" t="s">
        <v>17</v>
      </c>
      <c r="C1381" s="2" t="s">
        <v>18</v>
      </c>
      <c r="D1381" s="2" t="s">
        <v>23</v>
      </c>
      <c r="E1381" s="2" t="s">
        <v>265</v>
      </c>
      <c r="F1381" s="2">
        <v>9.0</v>
      </c>
      <c r="G1381" s="2">
        <v>14.0</v>
      </c>
      <c r="H1381" s="2">
        <v>9.0</v>
      </c>
      <c r="I1381" s="2">
        <v>5.0</v>
      </c>
      <c r="J1381" s="2">
        <v>0.0</v>
      </c>
      <c r="K1381" s="2">
        <v>0.0</v>
      </c>
      <c r="L1381" s="2">
        <v>0.0</v>
      </c>
      <c r="M1381" s="2">
        <v>0.0</v>
      </c>
      <c r="N1381" s="2">
        <v>0.0</v>
      </c>
      <c r="O1381" s="2">
        <v>-9.0</v>
      </c>
      <c r="P1381" s="2" t="s">
        <v>195</v>
      </c>
    </row>
    <row r="1382">
      <c r="A1382" s="3" t="s">
        <v>26</v>
      </c>
      <c r="B1382" s="4">
        <v>45261.29166666667</v>
      </c>
      <c r="C1382" s="2" t="s">
        <v>18</v>
      </c>
      <c r="D1382" s="2" t="s">
        <v>19</v>
      </c>
      <c r="E1382" s="2" t="s">
        <v>125</v>
      </c>
      <c r="F1382" s="2"/>
      <c r="G1382" s="2">
        <v>62.0</v>
      </c>
      <c r="H1382" s="2">
        <v>21.0</v>
      </c>
      <c r="I1382" s="2">
        <v>32.0</v>
      </c>
      <c r="J1382" s="2">
        <v>9.0</v>
      </c>
      <c r="K1382" s="2">
        <v>0.0</v>
      </c>
      <c r="L1382" s="2">
        <v>0.0</v>
      </c>
      <c r="M1382" s="2"/>
      <c r="N1382" s="2"/>
      <c r="O1382" s="2"/>
      <c r="P1382" s="2" t="s">
        <v>195</v>
      </c>
    </row>
    <row r="1383">
      <c r="A1383" s="3" t="s">
        <v>28</v>
      </c>
      <c r="B1383" s="4">
        <v>45262.29166666667</v>
      </c>
      <c r="C1383" s="2" t="s">
        <v>18</v>
      </c>
      <c r="D1383" s="2" t="s">
        <v>19</v>
      </c>
      <c r="E1383" s="2" t="s">
        <v>31</v>
      </c>
      <c r="F1383" s="2"/>
      <c r="G1383" s="2">
        <v>37.0</v>
      </c>
      <c r="H1383" s="2">
        <v>16.0</v>
      </c>
      <c r="I1383" s="2">
        <v>19.0</v>
      </c>
      <c r="J1383" s="2">
        <v>2.0</v>
      </c>
      <c r="K1383" s="2">
        <v>0.0</v>
      </c>
      <c r="L1383" s="2">
        <v>0.0</v>
      </c>
      <c r="M1383" s="2"/>
      <c r="N1383" s="2"/>
      <c r="O1383" s="2"/>
      <c r="P1383" s="2" t="s">
        <v>195</v>
      </c>
    </row>
    <row r="1384">
      <c r="A1384" s="3" t="s">
        <v>29</v>
      </c>
      <c r="B1384" s="4">
        <v>45263.29166666667</v>
      </c>
      <c r="C1384" s="2" t="s">
        <v>18</v>
      </c>
      <c r="D1384" s="2" t="s">
        <v>19</v>
      </c>
      <c r="E1384" s="2" t="s">
        <v>264</v>
      </c>
      <c r="F1384" s="2"/>
      <c r="G1384" s="2">
        <v>22.0</v>
      </c>
      <c r="H1384" s="2">
        <v>8.0</v>
      </c>
      <c r="I1384" s="2">
        <v>13.0</v>
      </c>
      <c r="J1384" s="2">
        <v>1.0</v>
      </c>
      <c r="K1384" s="2">
        <v>0.0</v>
      </c>
      <c r="L1384" s="2">
        <v>0.0</v>
      </c>
      <c r="M1384" s="2"/>
      <c r="N1384" s="2"/>
      <c r="O1384" s="2"/>
      <c r="P1384" s="2" t="s">
        <v>195</v>
      </c>
    </row>
    <row r="1385">
      <c r="A1385" s="3" t="s">
        <v>32</v>
      </c>
      <c r="B1385" s="4">
        <v>45264.29166666667</v>
      </c>
      <c r="C1385" s="2" t="s">
        <v>18</v>
      </c>
      <c r="D1385" s="2" t="s">
        <v>19</v>
      </c>
      <c r="E1385" s="2" t="s">
        <v>265</v>
      </c>
      <c r="F1385" s="2"/>
      <c r="G1385" s="2">
        <v>4.0</v>
      </c>
      <c r="H1385" s="2">
        <v>2.0</v>
      </c>
      <c r="I1385" s="2">
        <v>2.0</v>
      </c>
      <c r="J1385" s="2">
        <v>0.0</v>
      </c>
      <c r="K1385" s="2">
        <v>0.0</v>
      </c>
      <c r="L1385" s="2">
        <v>0.0</v>
      </c>
      <c r="M1385" s="2"/>
      <c r="N1385" s="2"/>
      <c r="O1385" s="2"/>
      <c r="P1385" s="2" t="s">
        <v>195</v>
      </c>
    </row>
    <row r="1386">
      <c r="A1386" s="3" t="s">
        <v>34</v>
      </c>
      <c r="B1386" s="4">
        <v>45293.29166666667</v>
      </c>
      <c r="C1386" s="2" t="s">
        <v>18</v>
      </c>
      <c r="D1386" s="2" t="s">
        <v>19</v>
      </c>
      <c r="E1386" s="2" t="s">
        <v>125</v>
      </c>
      <c r="F1386" s="2"/>
      <c r="G1386" s="2">
        <v>6.0</v>
      </c>
      <c r="H1386" s="2">
        <v>3.0</v>
      </c>
      <c r="I1386" s="2">
        <v>3.0</v>
      </c>
      <c r="J1386" s="2">
        <v>0.0</v>
      </c>
      <c r="K1386" s="2">
        <v>0.0</v>
      </c>
      <c r="L1386" s="2">
        <v>0.0</v>
      </c>
      <c r="M1386" s="2"/>
      <c r="N1386" s="2"/>
      <c r="O1386" s="2"/>
      <c r="P1386" s="2" t="s">
        <v>195</v>
      </c>
    </row>
    <row r="1387">
      <c r="A1387" s="3" t="s">
        <v>35</v>
      </c>
      <c r="B1387" s="4">
        <v>45293.29166666667</v>
      </c>
      <c r="C1387" s="2" t="s">
        <v>18</v>
      </c>
      <c r="D1387" s="2" t="s">
        <v>19</v>
      </c>
      <c r="E1387" s="2" t="s">
        <v>264</v>
      </c>
      <c r="F1387" s="2"/>
      <c r="G1387" s="2">
        <v>0.0</v>
      </c>
      <c r="H1387" s="2">
        <v>0.0</v>
      </c>
      <c r="I1387" s="2">
        <v>0.0</v>
      </c>
      <c r="J1387" s="2">
        <v>0.0</v>
      </c>
      <c r="K1387" s="2">
        <v>0.0</v>
      </c>
      <c r="L1387" s="2">
        <v>0.0</v>
      </c>
      <c r="M1387" s="2"/>
      <c r="N1387" s="2"/>
      <c r="O1387" s="2"/>
      <c r="P1387" s="2" t="s">
        <v>195</v>
      </c>
    </row>
    <row r="1388">
      <c r="A1388" s="3" t="s">
        <v>36</v>
      </c>
      <c r="B1388" s="4">
        <v>45293.29166666667</v>
      </c>
      <c r="C1388" s="2" t="s">
        <v>18</v>
      </c>
      <c r="D1388" s="2" t="s">
        <v>19</v>
      </c>
      <c r="E1388" s="2" t="s">
        <v>265</v>
      </c>
      <c r="F1388" s="2"/>
      <c r="G1388" s="2">
        <v>0.0</v>
      </c>
      <c r="H1388" s="2">
        <v>0.0</v>
      </c>
      <c r="I1388" s="2">
        <v>0.0</v>
      </c>
      <c r="J1388" s="2">
        <v>0.0</v>
      </c>
      <c r="K1388" s="2">
        <v>0.0</v>
      </c>
      <c r="L1388" s="2">
        <v>0.0</v>
      </c>
      <c r="M1388" s="2"/>
      <c r="N1388" s="2"/>
      <c r="O1388" s="2"/>
      <c r="P1388" s="2" t="s">
        <v>195</v>
      </c>
    </row>
    <row r="1389">
      <c r="A1389" s="3" t="s">
        <v>37</v>
      </c>
      <c r="B1389" s="4">
        <v>45294.29166666667</v>
      </c>
      <c r="C1389" s="2" t="s">
        <v>18</v>
      </c>
      <c r="D1389" s="2" t="s">
        <v>127</v>
      </c>
      <c r="E1389" s="2" t="s">
        <v>125</v>
      </c>
      <c r="F1389" s="2"/>
      <c r="G1389" s="2">
        <v>14.0</v>
      </c>
      <c r="H1389" s="2">
        <v>8.0</v>
      </c>
      <c r="I1389" s="2">
        <v>6.0</v>
      </c>
      <c r="J1389" s="2">
        <v>0.0</v>
      </c>
      <c r="K1389" s="2">
        <v>0.0</v>
      </c>
      <c r="L1389" s="2">
        <v>0.0</v>
      </c>
      <c r="M1389" s="2"/>
      <c r="N1389" s="2"/>
      <c r="O1389" s="2"/>
      <c r="P1389" s="2" t="s">
        <v>195</v>
      </c>
    </row>
    <row r="1390">
      <c r="A1390" s="3" t="s">
        <v>38</v>
      </c>
      <c r="B1390" s="4">
        <v>45295.29166666667</v>
      </c>
      <c r="C1390" s="2" t="s">
        <v>18</v>
      </c>
      <c r="D1390" s="2" t="s">
        <v>127</v>
      </c>
      <c r="E1390" s="2" t="s">
        <v>264</v>
      </c>
      <c r="F1390" s="2"/>
      <c r="G1390" s="2">
        <v>12.0</v>
      </c>
      <c r="H1390" s="2">
        <v>6.0</v>
      </c>
      <c r="I1390" s="2">
        <v>6.0</v>
      </c>
      <c r="J1390" s="2">
        <v>0.0</v>
      </c>
      <c r="K1390" s="2">
        <v>0.0</v>
      </c>
      <c r="L1390" s="2">
        <v>0.0</v>
      </c>
      <c r="M1390" s="2"/>
      <c r="N1390" s="2"/>
      <c r="O1390" s="2"/>
      <c r="P1390" s="2" t="s">
        <v>195</v>
      </c>
    </row>
    <row r="1391">
      <c r="A1391" s="3" t="s">
        <v>39</v>
      </c>
      <c r="B1391" s="4">
        <v>45296.29166666667</v>
      </c>
      <c r="C1391" s="2" t="s">
        <v>18</v>
      </c>
      <c r="D1391" s="2" t="s">
        <v>127</v>
      </c>
      <c r="E1391" s="2" t="s">
        <v>265</v>
      </c>
      <c r="F1391" s="2"/>
      <c r="G1391" s="2">
        <v>10.0</v>
      </c>
      <c r="H1391" s="2">
        <v>7.0</v>
      </c>
      <c r="I1391" s="2">
        <v>3.0</v>
      </c>
      <c r="J1391" s="2">
        <v>0.0</v>
      </c>
      <c r="K1391" s="2">
        <v>0.0</v>
      </c>
      <c r="L1391" s="2">
        <v>0.0</v>
      </c>
      <c r="M1391" s="2"/>
      <c r="N1391" s="2"/>
      <c r="O1391" s="2"/>
      <c r="P1391" s="2" t="s">
        <v>195</v>
      </c>
    </row>
    <row r="1392">
      <c r="A1392" s="3" t="s">
        <v>40</v>
      </c>
      <c r="B1392" s="2" t="s">
        <v>17</v>
      </c>
      <c r="C1392" s="2" t="s">
        <v>18</v>
      </c>
      <c r="D1392" s="2" t="s">
        <v>157</v>
      </c>
      <c r="E1392" s="2" t="s">
        <v>266</v>
      </c>
      <c r="F1392" s="2">
        <v>38.0</v>
      </c>
      <c r="G1392" s="2">
        <v>54.0</v>
      </c>
      <c r="H1392" s="2">
        <v>36.0</v>
      </c>
      <c r="I1392" s="2">
        <v>18.0</v>
      </c>
      <c r="J1392" s="2">
        <v>0.0</v>
      </c>
      <c r="K1392" s="2">
        <v>0.0</v>
      </c>
      <c r="L1392" s="2">
        <v>19.0</v>
      </c>
      <c r="M1392" s="2">
        <v>2.0</v>
      </c>
      <c r="N1392" s="2"/>
      <c r="O1392" s="2"/>
      <c r="P1392" s="2" t="s">
        <v>92</v>
      </c>
    </row>
    <row r="1393">
      <c r="A1393" s="3" t="s">
        <v>41</v>
      </c>
      <c r="B1393" s="2" t="s">
        <v>17</v>
      </c>
      <c r="C1393" s="2" t="s">
        <v>18</v>
      </c>
      <c r="D1393" s="2" t="s">
        <v>157</v>
      </c>
      <c r="E1393" s="2" t="s">
        <v>267</v>
      </c>
      <c r="F1393" s="2">
        <v>19.0</v>
      </c>
      <c r="G1393" s="2">
        <v>29.0</v>
      </c>
      <c r="H1393" s="2">
        <v>19.0</v>
      </c>
      <c r="I1393" s="2">
        <v>10.0</v>
      </c>
      <c r="J1393" s="2">
        <v>0.0</v>
      </c>
      <c r="K1393" s="2">
        <v>0.0</v>
      </c>
      <c r="L1393" s="2">
        <v>12.0</v>
      </c>
      <c r="M1393" s="2">
        <v>0.0</v>
      </c>
      <c r="N1393" s="2"/>
      <c r="O1393" s="2"/>
      <c r="P1393" s="2" t="s">
        <v>92</v>
      </c>
    </row>
    <row r="1394">
      <c r="A1394" s="3" t="s">
        <v>42</v>
      </c>
      <c r="B1394" s="2" t="s">
        <v>17</v>
      </c>
      <c r="C1394" s="2" t="s">
        <v>148</v>
      </c>
      <c r="D1394" s="2" t="s">
        <v>19</v>
      </c>
      <c r="E1394" s="2" t="s">
        <v>266</v>
      </c>
      <c r="F1394" s="2">
        <v>15.0</v>
      </c>
      <c r="G1394" s="2">
        <v>0.0</v>
      </c>
      <c r="H1394" s="2">
        <v>0.0</v>
      </c>
      <c r="I1394" s="2">
        <v>0.0</v>
      </c>
      <c r="J1394" s="2">
        <v>0.0</v>
      </c>
      <c r="K1394" s="2">
        <v>0.0</v>
      </c>
      <c r="L1394" s="2">
        <v>0.0</v>
      </c>
      <c r="M1394" s="2">
        <v>15.0</v>
      </c>
      <c r="N1394" s="2"/>
      <c r="O1394" s="2"/>
      <c r="P1394" s="2" t="s">
        <v>92</v>
      </c>
    </row>
    <row r="1395">
      <c r="A1395" s="3" t="s">
        <v>43</v>
      </c>
      <c r="B1395" s="2" t="s">
        <v>17</v>
      </c>
      <c r="C1395" s="2" t="s">
        <v>148</v>
      </c>
      <c r="D1395" s="2" t="s">
        <v>19</v>
      </c>
      <c r="E1395" s="2" t="s">
        <v>267</v>
      </c>
      <c r="F1395" s="2">
        <v>20.0</v>
      </c>
      <c r="G1395" s="2">
        <v>3.0</v>
      </c>
      <c r="H1395" s="2">
        <v>2.0</v>
      </c>
      <c r="I1395" s="2">
        <v>1.0</v>
      </c>
      <c r="J1395" s="2">
        <v>0.0</v>
      </c>
      <c r="K1395" s="2">
        <v>0.0</v>
      </c>
      <c r="L1395" s="2">
        <v>0.0</v>
      </c>
      <c r="M1395" s="2">
        <v>18.0</v>
      </c>
      <c r="N1395" s="2"/>
      <c r="O1395" s="2"/>
      <c r="P1395" s="2" t="s">
        <v>92</v>
      </c>
    </row>
    <row r="1396">
      <c r="A1396" s="3" t="s">
        <v>44</v>
      </c>
      <c r="B1396" s="2" t="s">
        <v>17</v>
      </c>
      <c r="C1396" s="2" t="s">
        <v>18</v>
      </c>
      <c r="D1396" s="2" t="s">
        <v>23</v>
      </c>
      <c r="E1396" s="2" t="s">
        <v>266</v>
      </c>
      <c r="F1396" s="2">
        <v>38.0</v>
      </c>
      <c r="G1396" s="2">
        <v>32.0</v>
      </c>
      <c r="H1396" s="2">
        <v>21.0</v>
      </c>
      <c r="I1396" s="2">
        <v>11.0</v>
      </c>
      <c r="J1396" s="2">
        <v>0.0</v>
      </c>
      <c r="K1396" s="2">
        <v>0.0</v>
      </c>
      <c r="L1396" s="2">
        <v>12.0</v>
      </c>
      <c r="M1396" s="2">
        <v>17.0</v>
      </c>
      <c r="N1396" s="2">
        <v>-1.0</v>
      </c>
      <c r="O1396" s="2">
        <v>2.0</v>
      </c>
      <c r="P1396" s="2" t="s">
        <v>92</v>
      </c>
    </row>
    <row r="1397">
      <c r="A1397" s="3" t="s">
        <v>45</v>
      </c>
      <c r="B1397" s="2" t="s">
        <v>17</v>
      </c>
      <c r="C1397" s="2" t="s">
        <v>18</v>
      </c>
      <c r="D1397" s="2" t="s">
        <v>23</v>
      </c>
      <c r="E1397" s="2" t="s">
        <v>267</v>
      </c>
      <c r="F1397" s="2">
        <v>21.0</v>
      </c>
      <c r="G1397" s="2">
        <v>54.0</v>
      </c>
      <c r="H1397" s="2">
        <v>36.0</v>
      </c>
      <c r="I1397" s="2">
        <v>18.0</v>
      </c>
      <c r="J1397" s="2">
        <v>0.0</v>
      </c>
      <c r="K1397" s="2">
        <v>0.0</v>
      </c>
      <c r="L1397" s="2">
        <v>19.0</v>
      </c>
      <c r="M1397" s="2">
        <v>-15.0</v>
      </c>
      <c r="N1397" s="2">
        <v>-32.0</v>
      </c>
      <c r="O1397" s="2">
        <v>-45.0</v>
      </c>
      <c r="P1397" s="2" t="s">
        <v>92</v>
      </c>
    </row>
    <row r="1398">
      <c r="A1398" s="3" t="s">
        <v>16</v>
      </c>
      <c r="B1398" s="4">
        <v>45232.25</v>
      </c>
      <c r="C1398" s="2" t="s">
        <v>18</v>
      </c>
      <c r="D1398" s="2" t="s">
        <v>19</v>
      </c>
      <c r="E1398" s="2" t="s">
        <v>266</v>
      </c>
      <c r="F1398" s="2"/>
      <c r="G1398" s="2">
        <v>0.0</v>
      </c>
      <c r="H1398" s="2">
        <v>0.0</v>
      </c>
      <c r="I1398" s="2">
        <v>0.0</v>
      </c>
      <c r="J1398" s="2">
        <v>0.0</v>
      </c>
      <c r="K1398" s="2">
        <v>0.0</v>
      </c>
      <c r="L1398" s="2">
        <v>0.0</v>
      </c>
      <c r="M1398" s="2"/>
      <c r="N1398" s="2"/>
      <c r="O1398" s="2"/>
      <c r="P1398" s="2" t="s">
        <v>92</v>
      </c>
    </row>
    <row r="1399">
      <c r="A1399" s="3" t="s">
        <v>47</v>
      </c>
      <c r="B1399" s="4">
        <v>45233.25</v>
      </c>
      <c r="C1399" s="2" t="s">
        <v>18</v>
      </c>
      <c r="D1399" s="2" t="s">
        <v>19</v>
      </c>
      <c r="E1399" s="2" t="s">
        <v>267</v>
      </c>
      <c r="F1399" s="2"/>
      <c r="G1399" s="2">
        <v>3.0</v>
      </c>
      <c r="H1399" s="2">
        <v>2.0</v>
      </c>
      <c r="I1399" s="2">
        <v>1.0</v>
      </c>
      <c r="J1399" s="2">
        <v>0.0</v>
      </c>
      <c r="K1399" s="2">
        <v>0.0</v>
      </c>
      <c r="L1399" s="2">
        <v>0.0</v>
      </c>
      <c r="M1399" s="2"/>
      <c r="N1399" s="2"/>
      <c r="O1399" s="2"/>
      <c r="P1399" s="2" t="s">
        <v>92</v>
      </c>
    </row>
    <row r="1400">
      <c r="A1400" s="3" t="s">
        <v>48</v>
      </c>
      <c r="B1400" s="4">
        <v>45233.25</v>
      </c>
      <c r="C1400" s="2" t="s">
        <v>18</v>
      </c>
      <c r="D1400" s="2" t="s">
        <v>157</v>
      </c>
      <c r="E1400" s="2" t="s">
        <v>266</v>
      </c>
      <c r="F1400" s="2"/>
      <c r="G1400" s="2">
        <v>0.0</v>
      </c>
      <c r="H1400" s="2">
        <v>0.0</v>
      </c>
      <c r="I1400" s="2">
        <v>0.0</v>
      </c>
      <c r="J1400" s="2">
        <v>0.0</v>
      </c>
      <c r="K1400" s="2">
        <v>0.0</v>
      </c>
      <c r="L1400" s="2">
        <v>0.0</v>
      </c>
      <c r="M1400" s="2"/>
      <c r="N1400" s="2"/>
      <c r="O1400" s="2"/>
      <c r="P1400" s="2" t="s">
        <v>92</v>
      </c>
    </row>
    <row r="1401">
      <c r="A1401" s="3" t="s">
        <v>49</v>
      </c>
      <c r="B1401" s="4">
        <v>45233.25</v>
      </c>
      <c r="C1401" s="2" t="s">
        <v>18</v>
      </c>
      <c r="D1401" s="2" t="s">
        <v>157</v>
      </c>
      <c r="E1401" s="2" t="s">
        <v>267</v>
      </c>
      <c r="F1401" s="2"/>
      <c r="G1401" s="2">
        <v>0.0</v>
      </c>
      <c r="H1401" s="2">
        <v>0.0</v>
      </c>
      <c r="I1401" s="2">
        <v>0.0</v>
      </c>
      <c r="J1401" s="2">
        <v>0.0</v>
      </c>
      <c r="K1401" s="2">
        <v>0.0</v>
      </c>
      <c r="L1401" s="2">
        <v>0.0</v>
      </c>
      <c r="M1401" s="2"/>
      <c r="N1401" s="2"/>
      <c r="O1401" s="2"/>
      <c r="P1401" s="2" t="s">
        <v>92</v>
      </c>
    </row>
    <row r="1402">
      <c r="A1402" s="3" t="s">
        <v>51</v>
      </c>
      <c r="B1402" s="4">
        <v>45262.29166666667</v>
      </c>
      <c r="C1402" s="2" t="s">
        <v>18</v>
      </c>
      <c r="D1402" s="2" t="s">
        <v>19</v>
      </c>
      <c r="E1402" s="2" t="s">
        <v>266</v>
      </c>
      <c r="F1402" s="2"/>
      <c r="G1402" s="2">
        <v>0.0</v>
      </c>
      <c r="H1402" s="2">
        <v>0.0</v>
      </c>
      <c r="I1402" s="2">
        <v>0.0</v>
      </c>
      <c r="J1402" s="2">
        <v>0.0</v>
      </c>
      <c r="K1402" s="2">
        <v>0.0</v>
      </c>
      <c r="L1402" s="2">
        <v>0.0</v>
      </c>
      <c r="M1402" s="2"/>
      <c r="N1402" s="2"/>
      <c r="O1402" s="2"/>
      <c r="P1402" s="2" t="s">
        <v>92</v>
      </c>
    </row>
    <row r="1403">
      <c r="A1403" s="3" t="s">
        <v>52</v>
      </c>
      <c r="B1403" s="4">
        <v>45262.29166666667</v>
      </c>
      <c r="C1403" s="2" t="s">
        <v>18</v>
      </c>
      <c r="D1403" s="2" t="s">
        <v>19</v>
      </c>
      <c r="E1403" s="2" t="s">
        <v>267</v>
      </c>
      <c r="F1403" s="2"/>
      <c r="G1403" s="2">
        <v>0.0</v>
      </c>
      <c r="H1403" s="2">
        <v>0.0</v>
      </c>
      <c r="I1403" s="2">
        <v>0.0</v>
      </c>
      <c r="J1403" s="2">
        <v>0.0</v>
      </c>
      <c r="K1403" s="2">
        <v>0.0</v>
      </c>
      <c r="L1403" s="2">
        <v>0.0</v>
      </c>
      <c r="M1403" s="2"/>
      <c r="N1403" s="2"/>
      <c r="O1403" s="2"/>
      <c r="P1403" s="2" t="s">
        <v>92</v>
      </c>
    </row>
    <row r="1404">
      <c r="A1404" s="3" t="s">
        <v>53</v>
      </c>
      <c r="B1404" s="4">
        <v>45263.29166666667</v>
      </c>
      <c r="C1404" s="2" t="s">
        <v>18</v>
      </c>
      <c r="D1404" s="2" t="s">
        <v>157</v>
      </c>
      <c r="E1404" s="2" t="s">
        <v>266</v>
      </c>
      <c r="F1404" s="2"/>
      <c r="G1404" s="2">
        <v>29.0</v>
      </c>
      <c r="H1404" s="2">
        <v>24.0</v>
      </c>
      <c r="I1404" s="2">
        <v>5.0</v>
      </c>
      <c r="J1404" s="2">
        <v>0.0</v>
      </c>
      <c r="K1404" s="2">
        <v>0.0</v>
      </c>
      <c r="L1404" s="2">
        <v>0.0</v>
      </c>
      <c r="M1404" s="2"/>
      <c r="N1404" s="2"/>
      <c r="O1404" s="2"/>
      <c r="P1404" s="2" t="s">
        <v>92</v>
      </c>
    </row>
    <row r="1405">
      <c r="A1405" s="3" t="s">
        <v>54</v>
      </c>
      <c r="B1405" s="4">
        <v>45264.29166666667</v>
      </c>
      <c r="C1405" s="2" t="s">
        <v>18</v>
      </c>
      <c r="D1405" s="2" t="s">
        <v>157</v>
      </c>
      <c r="E1405" s="2" t="s">
        <v>267</v>
      </c>
      <c r="F1405" s="2"/>
      <c r="G1405" s="2">
        <v>13.0</v>
      </c>
      <c r="H1405" s="2">
        <v>10.0</v>
      </c>
      <c r="I1405" s="2">
        <v>3.0</v>
      </c>
      <c r="J1405" s="2">
        <v>0.0</v>
      </c>
      <c r="K1405" s="2">
        <v>0.0</v>
      </c>
      <c r="L1405" s="2">
        <v>0.0</v>
      </c>
      <c r="M1405" s="2"/>
      <c r="N1405" s="2"/>
      <c r="O1405" s="2"/>
      <c r="P1405" s="2" t="s">
        <v>92</v>
      </c>
    </row>
    <row r="1406">
      <c r="A1406" s="3" t="s">
        <v>55</v>
      </c>
      <c r="B1406" s="4">
        <v>45293.29166666667</v>
      </c>
      <c r="C1406" s="2" t="s">
        <v>18</v>
      </c>
      <c r="D1406" s="2" t="s">
        <v>157</v>
      </c>
      <c r="E1406" s="2" t="s">
        <v>266</v>
      </c>
      <c r="F1406" s="2"/>
      <c r="G1406" s="2">
        <v>14.0</v>
      </c>
      <c r="H1406" s="2">
        <v>6.0</v>
      </c>
      <c r="I1406" s="2">
        <v>8.0</v>
      </c>
      <c r="J1406" s="2">
        <v>0.0</v>
      </c>
      <c r="K1406" s="2">
        <v>0.0</v>
      </c>
      <c r="L1406" s="2">
        <v>8.0</v>
      </c>
      <c r="M1406" s="2"/>
      <c r="N1406" s="2"/>
      <c r="O1406" s="2"/>
      <c r="P1406" s="2" t="s">
        <v>92</v>
      </c>
    </row>
    <row r="1407">
      <c r="A1407" s="3" t="s">
        <v>56</v>
      </c>
      <c r="B1407" s="4">
        <v>45293.29166666667</v>
      </c>
      <c r="C1407" s="2" t="s">
        <v>18</v>
      </c>
      <c r="D1407" s="2" t="s">
        <v>157</v>
      </c>
      <c r="E1407" s="2" t="s">
        <v>267</v>
      </c>
      <c r="F1407" s="2"/>
      <c r="G1407" s="2">
        <v>5.0</v>
      </c>
      <c r="H1407" s="2">
        <v>3.0</v>
      </c>
      <c r="I1407" s="2">
        <v>2.0</v>
      </c>
      <c r="J1407" s="2">
        <v>0.0</v>
      </c>
      <c r="K1407" s="2">
        <v>0.0</v>
      </c>
      <c r="L1407" s="2">
        <v>1.0</v>
      </c>
      <c r="M1407" s="2"/>
      <c r="N1407" s="2"/>
      <c r="O1407" s="2"/>
      <c r="P1407" s="2" t="s">
        <v>92</v>
      </c>
    </row>
    <row r="1408">
      <c r="A1408" s="3" t="s">
        <v>59</v>
      </c>
      <c r="B1408" s="2" t="s">
        <v>17</v>
      </c>
      <c r="C1408" s="2" t="s">
        <v>18</v>
      </c>
      <c r="D1408" s="2" t="s">
        <v>164</v>
      </c>
      <c r="E1408" s="2" t="s">
        <v>168</v>
      </c>
      <c r="F1408" s="2">
        <v>25.0</v>
      </c>
      <c r="G1408" s="2">
        <v>52.0</v>
      </c>
      <c r="H1408" s="2">
        <v>25.0</v>
      </c>
      <c r="I1408" s="2">
        <v>27.0</v>
      </c>
      <c r="J1408" s="2">
        <v>0.0</v>
      </c>
      <c r="K1408" s="2">
        <v>0.0</v>
      </c>
      <c r="L1408" s="2">
        <v>0.0</v>
      </c>
      <c r="M1408" s="2">
        <v>0.0</v>
      </c>
      <c r="N1408" s="2"/>
      <c r="O1408" s="2"/>
      <c r="P1408" s="2" t="s">
        <v>166</v>
      </c>
    </row>
    <row r="1409">
      <c r="A1409" s="3" t="s">
        <v>60</v>
      </c>
      <c r="B1409" s="2" t="s">
        <v>17</v>
      </c>
      <c r="C1409" s="2" t="s">
        <v>18</v>
      </c>
      <c r="D1409" s="2" t="s">
        <v>23</v>
      </c>
      <c r="E1409" s="2" t="s">
        <v>168</v>
      </c>
      <c r="F1409" s="2">
        <v>25.0</v>
      </c>
      <c r="G1409" s="2">
        <v>52.0</v>
      </c>
      <c r="H1409" s="2">
        <v>25.0</v>
      </c>
      <c r="I1409" s="2">
        <v>27.0</v>
      </c>
      <c r="J1409" s="2">
        <v>0.0</v>
      </c>
      <c r="K1409" s="2">
        <v>0.0</v>
      </c>
      <c r="L1409" s="2">
        <v>0.0</v>
      </c>
      <c r="M1409" s="2">
        <v>0.0</v>
      </c>
      <c r="N1409" s="2">
        <v>0.0</v>
      </c>
      <c r="O1409" s="2">
        <v>-25.0</v>
      </c>
      <c r="P1409" s="2" t="s">
        <v>166</v>
      </c>
    </row>
    <row r="1410">
      <c r="A1410" s="3" t="s">
        <v>61</v>
      </c>
      <c r="B1410" s="4">
        <v>45294.29166666667</v>
      </c>
      <c r="C1410" s="2" t="s">
        <v>18</v>
      </c>
      <c r="D1410" s="2" t="s">
        <v>164</v>
      </c>
      <c r="E1410" s="2" t="s">
        <v>168</v>
      </c>
      <c r="F1410" s="2"/>
      <c r="G1410" s="2">
        <v>52.0</v>
      </c>
      <c r="H1410" s="2">
        <v>25.0</v>
      </c>
      <c r="I1410" s="2">
        <v>27.0</v>
      </c>
      <c r="J1410" s="2">
        <v>0.0</v>
      </c>
      <c r="K1410" s="2">
        <v>0.0</v>
      </c>
      <c r="L1410" s="2">
        <v>0.0</v>
      </c>
      <c r="M1410" s="2"/>
      <c r="N1410" s="2"/>
      <c r="O1410" s="2"/>
      <c r="P1410" s="2" t="s">
        <v>166</v>
      </c>
    </row>
    <row r="1411">
      <c r="A1411" s="3" t="s">
        <v>62</v>
      </c>
      <c r="B1411" s="2" t="s">
        <v>17</v>
      </c>
      <c r="C1411" s="2" t="s">
        <v>18</v>
      </c>
      <c r="D1411" s="2" t="s">
        <v>231</v>
      </c>
      <c r="E1411" s="2" t="s">
        <v>174</v>
      </c>
      <c r="F1411" s="2">
        <v>50.0</v>
      </c>
      <c r="G1411" s="2">
        <v>0.0</v>
      </c>
      <c r="H1411" s="2">
        <v>0.0</v>
      </c>
      <c r="I1411" s="2">
        <v>0.0</v>
      </c>
      <c r="J1411" s="2">
        <v>0.0</v>
      </c>
      <c r="K1411" s="2">
        <v>0.0</v>
      </c>
      <c r="L1411" s="2">
        <v>0.0</v>
      </c>
      <c r="M1411" s="2">
        <v>50.0</v>
      </c>
      <c r="N1411" s="2"/>
      <c r="O1411" s="2"/>
      <c r="P1411" s="2" t="s">
        <v>92</v>
      </c>
    </row>
    <row r="1412">
      <c r="A1412" s="3" t="s">
        <v>63</v>
      </c>
      <c r="B1412" s="2" t="s">
        <v>17</v>
      </c>
      <c r="C1412" s="2" t="s">
        <v>18</v>
      </c>
      <c r="D1412" s="2" t="s">
        <v>30</v>
      </c>
      <c r="E1412" s="2" t="s">
        <v>174</v>
      </c>
      <c r="F1412" s="2">
        <v>35.0</v>
      </c>
      <c r="G1412" s="2">
        <v>46.0</v>
      </c>
      <c r="H1412" s="2">
        <v>9.0</v>
      </c>
      <c r="I1412" s="2">
        <v>29.0</v>
      </c>
      <c r="J1412" s="2">
        <v>8.0</v>
      </c>
      <c r="K1412" s="2">
        <v>0.0</v>
      </c>
      <c r="L1412" s="2">
        <v>35.0</v>
      </c>
      <c r="M1412" s="2">
        <v>26.0</v>
      </c>
      <c r="N1412" s="2"/>
      <c r="O1412" s="2"/>
      <c r="P1412" s="2" t="s">
        <v>92</v>
      </c>
    </row>
    <row r="1413">
      <c r="A1413" s="3" t="s">
        <v>64</v>
      </c>
      <c r="B1413" s="2" t="s">
        <v>17</v>
      </c>
      <c r="C1413" s="2" t="s">
        <v>18</v>
      </c>
      <c r="D1413" s="2" t="s">
        <v>157</v>
      </c>
      <c r="E1413" s="2" t="s">
        <v>174</v>
      </c>
      <c r="F1413" s="2">
        <v>50.0</v>
      </c>
      <c r="G1413" s="2">
        <v>59.0</v>
      </c>
      <c r="H1413" s="2">
        <v>12.0</v>
      </c>
      <c r="I1413" s="2">
        <v>43.0</v>
      </c>
      <c r="J1413" s="2">
        <v>4.0</v>
      </c>
      <c r="K1413" s="2">
        <v>0.0</v>
      </c>
      <c r="L1413" s="2">
        <v>58.0</v>
      </c>
      <c r="M1413" s="2">
        <v>38.0</v>
      </c>
      <c r="N1413" s="2"/>
      <c r="O1413" s="2"/>
      <c r="P1413" s="2" t="s">
        <v>92</v>
      </c>
    </row>
    <row r="1414">
      <c r="A1414" s="3" t="s">
        <v>65</v>
      </c>
      <c r="B1414" s="2" t="s">
        <v>17</v>
      </c>
      <c r="C1414" s="2" t="s">
        <v>113</v>
      </c>
      <c r="D1414" s="2" t="s">
        <v>19</v>
      </c>
      <c r="E1414" s="2" t="s">
        <v>174</v>
      </c>
      <c r="F1414" s="2">
        <v>50.0</v>
      </c>
      <c r="G1414" s="2">
        <v>31.0</v>
      </c>
      <c r="H1414" s="2">
        <v>8.0</v>
      </c>
      <c r="I1414" s="2">
        <v>17.0</v>
      </c>
      <c r="J1414" s="2">
        <v>6.0</v>
      </c>
      <c r="K1414" s="2">
        <v>0.0</v>
      </c>
      <c r="L1414" s="2">
        <v>4.0</v>
      </c>
      <c r="M1414" s="2">
        <v>42.0</v>
      </c>
      <c r="N1414" s="2"/>
      <c r="O1414" s="2"/>
      <c r="P1414" s="2" t="s">
        <v>92</v>
      </c>
    </row>
    <row r="1415">
      <c r="A1415" s="3" t="s">
        <v>66</v>
      </c>
      <c r="B1415" s="2" t="s">
        <v>17</v>
      </c>
      <c r="C1415" s="2" t="s">
        <v>18</v>
      </c>
      <c r="D1415" s="2" t="s">
        <v>23</v>
      </c>
      <c r="E1415" s="2" t="s">
        <v>174</v>
      </c>
      <c r="F1415" s="2">
        <v>100.0</v>
      </c>
      <c r="G1415" s="2">
        <v>136.0</v>
      </c>
      <c r="H1415" s="2">
        <v>29.0</v>
      </c>
      <c r="I1415" s="2">
        <v>89.0</v>
      </c>
      <c r="J1415" s="2">
        <v>18.0</v>
      </c>
      <c r="K1415" s="2">
        <v>0.0</v>
      </c>
      <c r="L1415" s="2">
        <v>97.0</v>
      </c>
      <c r="M1415" s="2">
        <v>71.0</v>
      </c>
      <c r="N1415" s="2">
        <v>-85.0</v>
      </c>
      <c r="O1415" s="2">
        <v>42.0</v>
      </c>
      <c r="P1415" s="2" t="s">
        <v>92</v>
      </c>
    </row>
    <row r="1416">
      <c r="A1416" s="3" t="s">
        <v>68</v>
      </c>
      <c r="B1416" s="4">
        <v>45263.29166666667</v>
      </c>
      <c r="C1416" s="2" t="s">
        <v>18</v>
      </c>
      <c r="D1416" s="2" t="s">
        <v>19</v>
      </c>
      <c r="E1416" s="2" t="s">
        <v>174</v>
      </c>
      <c r="F1416" s="2"/>
      <c r="G1416" s="2">
        <v>9.0</v>
      </c>
      <c r="H1416" s="2">
        <v>2.0</v>
      </c>
      <c r="I1416" s="2">
        <v>6.0</v>
      </c>
      <c r="J1416" s="2">
        <v>1.0</v>
      </c>
      <c r="K1416" s="2">
        <v>0.0</v>
      </c>
      <c r="L1416" s="2">
        <v>0.0</v>
      </c>
      <c r="M1416" s="2"/>
      <c r="N1416" s="2"/>
      <c r="O1416" s="2"/>
      <c r="P1416" s="2" t="s">
        <v>92</v>
      </c>
    </row>
    <row r="1417">
      <c r="A1417" s="3" t="s">
        <v>70</v>
      </c>
      <c r="B1417" s="17">
        <v>45294.29166666667</v>
      </c>
      <c r="C1417" s="2" t="s">
        <v>18</v>
      </c>
      <c r="D1417" s="2" t="s">
        <v>231</v>
      </c>
      <c r="E1417" s="2" t="s">
        <v>174</v>
      </c>
      <c r="F1417" s="2"/>
      <c r="G1417" s="2">
        <v>0.0</v>
      </c>
      <c r="H1417" s="2">
        <v>0.0</v>
      </c>
      <c r="I1417" s="2">
        <v>0.0</v>
      </c>
      <c r="J1417" s="2">
        <v>0.0</v>
      </c>
      <c r="K1417" s="2">
        <v>0.0</v>
      </c>
      <c r="L1417" s="2">
        <v>0.0</v>
      </c>
      <c r="M1417" s="2"/>
      <c r="N1417" s="2"/>
      <c r="O1417" s="2"/>
      <c r="P1417" s="2" t="s">
        <v>92</v>
      </c>
    </row>
    <row r="1418">
      <c r="A1418" s="3" t="s">
        <v>16</v>
      </c>
      <c r="B1418" s="17">
        <v>45295.29166666667</v>
      </c>
      <c r="C1418" s="2" t="s">
        <v>18</v>
      </c>
      <c r="D1418" s="2" t="s">
        <v>30</v>
      </c>
      <c r="E1418" s="2" t="s">
        <v>174</v>
      </c>
      <c r="F1418" s="2"/>
      <c r="G1418" s="2">
        <v>46.0</v>
      </c>
      <c r="H1418" s="2">
        <v>9.0</v>
      </c>
      <c r="I1418" s="2">
        <v>29.0</v>
      </c>
      <c r="J1418" s="2">
        <v>8.0</v>
      </c>
      <c r="K1418" s="2">
        <v>0.0</v>
      </c>
      <c r="L1418" s="2">
        <v>35.0</v>
      </c>
      <c r="M1418" s="2"/>
      <c r="N1418" s="2"/>
      <c r="O1418" s="2"/>
      <c r="P1418" s="2" t="s">
        <v>92</v>
      </c>
    </row>
    <row r="1419">
      <c r="A1419" s="3" t="s">
        <v>71</v>
      </c>
      <c r="B1419" s="4">
        <v>45296.29166666667</v>
      </c>
      <c r="C1419" s="2" t="s">
        <v>18</v>
      </c>
      <c r="D1419" s="2" t="s">
        <v>157</v>
      </c>
      <c r="E1419" s="2" t="s">
        <v>174</v>
      </c>
      <c r="F1419" s="2"/>
      <c r="G1419" s="2">
        <v>59.0</v>
      </c>
      <c r="H1419" s="2">
        <v>12.0</v>
      </c>
      <c r="I1419" s="2">
        <v>43.0</v>
      </c>
      <c r="J1419" s="2">
        <v>4.0</v>
      </c>
      <c r="K1419" s="2">
        <v>0.0</v>
      </c>
      <c r="L1419" s="2">
        <v>58.0</v>
      </c>
      <c r="M1419" s="2"/>
      <c r="N1419" s="2"/>
      <c r="O1419" s="2"/>
      <c r="P1419" s="2" t="s">
        <v>92</v>
      </c>
    </row>
    <row r="1420">
      <c r="A1420" s="3" t="s">
        <v>72</v>
      </c>
      <c r="B1420" s="4">
        <v>45297.29166666667</v>
      </c>
      <c r="C1420" s="2" t="s">
        <v>18</v>
      </c>
      <c r="D1420" s="2" t="s">
        <v>19</v>
      </c>
      <c r="E1420" s="2" t="s">
        <v>174</v>
      </c>
      <c r="F1420" s="2"/>
      <c r="G1420" s="2">
        <v>22.0</v>
      </c>
      <c r="H1420" s="2">
        <v>6.0</v>
      </c>
      <c r="I1420" s="2">
        <v>11.0</v>
      </c>
      <c r="J1420" s="2">
        <v>5.0</v>
      </c>
      <c r="K1420" s="2">
        <v>0.0</v>
      </c>
      <c r="L1420" s="2">
        <v>4.0</v>
      </c>
      <c r="M1420" s="2"/>
      <c r="N1420" s="2"/>
      <c r="O1420" s="2"/>
      <c r="P1420" s="2" t="s">
        <v>92</v>
      </c>
    </row>
    <row r="1421">
      <c r="A1421" s="3" t="s">
        <v>73</v>
      </c>
      <c r="B1421" s="2" t="s">
        <v>17</v>
      </c>
      <c r="C1421" s="2" t="s">
        <v>18</v>
      </c>
      <c r="D1421" s="2" t="s">
        <v>19</v>
      </c>
      <c r="E1421" s="2" t="s">
        <v>155</v>
      </c>
      <c r="F1421" s="2">
        <v>30.0</v>
      </c>
      <c r="G1421" s="2">
        <v>41.0</v>
      </c>
      <c r="H1421" s="2">
        <v>36.0</v>
      </c>
      <c r="I1421" s="2">
        <v>5.0</v>
      </c>
      <c r="J1421" s="2">
        <v>0.0</v>
      </c>
      <c r="K1421" s="2">
        <v>0.0</v>
      </c>
      <c r="L1421" s="2">
        <v>0.0</v>
      </c>
      <c r="M1421" s="2">
        <v>-6.0</v>
      </c>
      <c r="N1421" s="2"/>
      <c r="O1421" s="2"/>
      <c r="P1421" s="2" t="s">
        <v>153</v>
      </c>
    </row>
    <row r="1422">
      <c r="A1422" s="3" t="s">
        <v>74</v>
      </c>
      <c r="B1422" s="2" t="s">
        <v>17</v>
      </c>
      <c r="C1422" s="2" t="s">
        <v>18</v>
      </c>
      <c r="D1422" s="2" t="s">
        <v>23</v>
      </c>
      <c r="E1422" s="2" t="s">
        <v>155</v>
      </c>
      <c r="F1422" s="2">
        <v>30.0</v>
      </c>
      <c r="G1422" s="2">
        <v>41.0</v>
      </c>
      <c r="H1422" s="2">
        <v>36.0</v>
      </c>
      <c r="I1422" s="2">
        <v>5.0</v>
      </c>
      <c r="J1422" s="2">
        <v>0.0</v>
      </c>
      <c r="K1422" s="2">
        <v>0.0</v>
      </c>
      <c r="L1422" s="2">
        <v>0.0</v>
      </c>
      <c r="M1422" s="2">
        <v>-6.0</v>
      </c>
      <c r="N1422" s="2">
        <v>0.0</v>
      </c>
      <c r="O1422" s="2">
        <v>-42.0</v>
      </c>
      <c r="P1422" s="2" t="s">
        <v>153</v>
      </c>
    </row>
    <row r="1423">
      <c r="A1423" s="3" t="s">
        <v>75</v>
      </c>
      <c r="B1423" s="4">
        <v>45293.29166666667</v>
      </c>
      <c r="C1423" s="2" t="s">
        <v>18</v>
      </c>
      <c r="D1423" s="2" t="s">
        <v>19</v>
      </c>
      <c r="E1423" s="2" t="s">
        <v>155</v>
      </c>
      <c r="F1423" s="2"/>
      <c r="G1423" s="2">
        <v>27.0</v>
      </c>
      <c r="H1423" s="2">
        <v>22.0</v>
      </c>
      <c r="I1423" s="2">
        <v>5.0</v>
      </c>
      <c r="J1423" s="2">
        <v>0.0</v>
      </c>
      <c r="K1423" s="2">
        <v>0.0</v>
      </c>
      <c r="L1423" s="2">
        <v>0.0</v>
      </c>
      <c r="M1423" s="2"/>
      <c r="N1423" s="2"/>
      <c r="O1423" s="2"/>
      <c r="P1423" s="2" t="s">
        <v>153</v>
      </c>
    </row>
    <row r="1424">
      <c r="A1424" s="3" t="s">
        <v>76</v>
      </c>
      <c r="B1424" s="4">
        <v>45324.29166666667</v>
      </c>
      <c r="C1424" s="2" t="s">
        <v>18</v>
      </c>
      <c r="D1424" s="2" t="s">
        <v>19</v>
      </c>
      <c r="E1424" s="2" t="s">
        <v>155</v>
      </c>
      <c r="F1424" s="2"/>
      <c r="G1424" s="2">
        <v>14.0</v>
      </c>
      <c r="H1424" s="2">
        <v>14.0</v>
      </c>
      <c r="I1424" s="2">
        <v>0.0</v>
      </c>
      <c r="J1424" s="2">
        <v>0.0</v>
      </c>
      <c r="K1424" s="2">
        <v>0.0</v>
      </c>
      <c r="L1424" s="2">
        <v>0.0</v>
      </c>
      <c r="M1424" s="2"/>
      <c r="N1424" s="2"/>
      <c r="O1424" s="2"/>
      <c r="P1424" s="2" t="s">
        <v>153</v>
      </c>
    </row>
    <row r="1425">
      <c r="A1425" s="3" t="s">
        <v>77</v>
      </c>
      <c r="B1425" s="2" t="s">
        <v>17</v>
      </c>
      <c r="C1425" s="2" t="s">
        <v>57</v>
      </c>
      <c r="D1425" s="2" t="s">
        <v>91</v>
      </c>
      <c r="E1425" s="2" t="s">
        <v>155</v>
      </c>
      <c r="F1425" s="2">
        <v>30.0</v>
      </c>
      <c r="G1425" s="2">
        <v>34.0</v>
      </c>
      <c r="H1425" s="2">
        <v>20.0</v>
      </c>
      <c r="I1425" s="2">
        <v>14.0</v>
      </c>
      <c r="J1425" s="2">
        <v>0.0</v>
      </c>
      <c r="K1425" s="2">
        <v>0.0</v>
      </c>
      <c r="L1425" s="2">
        <v>0.0</v>
      </c>
      <c r="M1425" s="2">
        <v>10.0</v>
      </c>
      <c r="N1425" s="2"/>
      <c r="O1425" s="2"/>
      <c r="P1425" s="2" t="s">
        <v>153</v>
      </c>
    </row>
    <row r="1426">
      <c r="A1426" s="3" t="s">
        <v>78</v>
      </c>
      <c r="B1426" s="2" t="s">
        <v>17</v>
      </c>
      <c r="C1426" s="2" t="s">
        <v>57</v>
      </c>
      <c r="D1426" s="2" t="s">
        <v>91</v>
      </c>
      <c r="E1426" s="2" t="s">
        <v>27</v>
      </c>
      <c r="F1426" s="2">
        <v>30.0</v>
      </c>
      <c r="G1426" s="2">
        <v>36.0</v>
      </c>
      <c r="H1426" s="2">
        <v>28.0</v>
      </c>
      <c r="I1426" s="2">
        <v>8.0</v>
      </c>
      <c r="J1426" s="2">
        <v>0.0</v>
      </c>
      <c r="K1426" s="2">
        <v>0.0</v>
      </c>
      <c r="L1426" s="2">
        <v>0.0</v>
      </c>
      <c r="M1426" s="2">
        <v>2.0</v>
      </c>
      <c r="N1426" s="2"/>
      <c r="O1426" s="2"/>
      <c r="P1426" s="2" t="s">
        <v>153</v>
      </c>
    </row>
    <row r="1427">
      <c r="A1427" s="3" t="s">
        <v>81</v>
      </c>
      <c r="B1427" s="2" t="s">
        <v>17</v>
      </c>
      <c r="C1427" s="2" t="s">
        <v>18</v>
      </c>
      <c r="D1427" s="2" t="s">
        <v>127</v>
      </c>
      <c r="E1427" s="2" t="s">
        <v>155</v>
      </c>
      <c r="F1427" s="2">
        <v>35.0</v>
      </c>
      <c r="G1427" s="2">
        <v>49.0</v>
      </c>
      <c r="H1427" s="2">
        <v>35.0</v>
      </c>
      <c r="I1427" s="2">
        <v>14.0</v>
      </c>
      <c r="J1427" s="2">
        <v>0.0</v>
      </c>
      <c r="K1427" s="2">
        <v>0.0</v>
      </c>
      <c r="L1427" s="2">
        <v>0.0</v>
      </c>
      <c r="M1427" s="2">
        <v>0.0</v>
      </c>
      <c r="N1427" s="2"/>
      <c r="O1427" s="2"/>
      <c r="P1427" s="2" t="s">
        <v>153</v>
      </c>
    </row>
    <row r="1428">
      <c r="A1428" s="3" t="s">
        <v>82</v>
      </c>
      <c r="B1428" s="2" t="s">
        <v>17</v>
      </c>
      <c r="C1428" s="2" t="s">
        <v>57</v>
      </c>
      <c r="D1428" s="2" t="s">
        <v>127</v>
      </c>
      <c r="E1428" s="2" t="s">
        <v>27</v>
      </c>
      <c r="F1428" s="2">
        <v>78.0</v>
      </c>
      <c r="G1428" s="2">
        <v>101.0</v>
      </c>
      <c r="H1428" s="2">
        <v>78.0</v>
      </c>
      <c r="I1428" s="2">
        <v>23.0</v>
      </c>
      <c r="J1428" s="2">
        <v>0.0</v>
      </c>
      <c r="K1428" s="2">
        <v>0.0</v>
      </c>
      <c r="L1428" s="2">
        <v>0.0</v>
      </c>
      <c r="M1428" s="2">
        <v>0.0</v>
      </c>
      <c r="N1428" s="2"/>
      <c r="O1428" s="2"/>
      <c r="P1428" s="2" t="s">
        <v>153</v>
      </c>
    </row>
    <row r="1429">
      <c r="A1429" s="3" t="s">
        <v>83</v>
      </c>
      <c r="B1429" s="2" t="s">
        <v>17</v>
      </c>
      <c r="C1429" s="2" t="s">
        <v>18</v>
      </c>
      <c r="D1429" s="2" t="s">
        <v>23</v>
      </c>
      <c r="E1429" s="2" t="s">
        <v>155</v>
      </c>
      <c r="F1429" s="2">
        <v>55.0</v>
      </c>
      <c r="G1429" s="2">
        <v>83.0</v>
      </c>
      <c r="H1429" s="2">
        <v>55.0</v>
      </c>
      <c r="I1429" s="2">
        <v>28.0</v>
      </c>
      <c r="J1429" s="2">
        <v>0.0</v>
      </c>
      <c r="K1429" s="2">
        <v>0.0</v>
      </c>
      <c r="L1429" s="2">
        <v>0.0</v>
      </c>
      <c r="M1429" s="2">
        <v>0.0</v>
      </c>
      <c r="N1429" s="2">
        <v>-10.0</v>
      </c>
      <c r="O1429" s="2">
        <v>-55.0</v>
      </c>
      <c r="P1429" s="2" t="s">
        <v>153</v>
      </c>
    </row>
    <row r="1430">
      <c r="A1430" s="3" t="s">
        <v>84</v>
      </c>
      <c r="B1430" s="2" t="s">
        <v>17</v>
      </c>
      <c r="C1430" s="2" t="s">
        <v>57</v>
      </c>
      <c r="D1430" s="2" t="s">
        <v>23</v>
      </c>
      <c r="E1430" s="2" t="s">
        <v>27</v>
      </c>
      <c r="F1430" s="2">
        <v>105.0</v>
      </c>
      <c r="G1430" s="2">
        <v>137.0</v>
      </c>
      <c r="H1430" s="2">
        <v>106.0</v>
      </c>
      <c r="I1430" s="2">
        <v>31.0</v>
      </c>
      <c r="J1430" s="2">
        <v>0.0</v>
      </c>
      <c r="K1430" s="2">
        <v>0.0</v>
      </c>
      <c r="L1430" s="2">
        <v>0.0</v>
      </c>
      <c r="M1430" s="2">
        <v>-1.0</v>
      </c>
      <c r="N1430" s="2">
        <v>-3.0</v>
      </c>
      <c r="O1430" s="2">
        <v>-107.0</v>
      </c>
      <c r="P1430" s="2" t="s">
        <v>153</v>
      </c>
    </row>
    <row r="1431">
      <c r="A1431" s="3" t="s">
        <v>85</v>
      </c>
      <c r="B1431" s="4">
        <v>45294.29166666667</v>
      </c>
      <c r="C1431" s="2" t="s">
        <v>18</v>
      </c>
      <c r="D1431" s="2" t="s">
        <v>91</v>
      </c>
      <c r="E1431" s="2" t="s">
        <v>155</v>
      </c>
      <c r="F1431" s="2"/>
      <c r="G1431" s="2">
        <v>34.0</v>
      </c>
      <c r="H1431" s="2">
        <v>20.0</v>
      </c>
      <c r="I1431" s="2">
        <v>14.0</v>
      </c>
      <c r="J1431" s="2">
        <v>0.0</v>
      </c>
      <c r="K1431" s="2">
        <v>0.0</v>
      </c>
      <c r="L1431" s="2">
        <v>0.0</v>
      </c>
      <c r="M1431" s="2"/>
      <c r="N1431" s="2"/>
      <c r="O1431" s="2"/>
      <c r="P1431" s="2" t="s">
        <v>153</v>
      </c>
    </row>
    <row r="1432">
      <c r="A1432" s="3" t="s">
        <v>86</v>
      </c>
      <c r="B1432" s="4">
        <v>45295.29166666667</v>
      </c>
      <c r="C1432" s="2" t="s">
        <v>18</v>
      </c>
      <c r="D1432" s="2" t="s">
        <v>91</v>
      </c>
      <c r="E1432" s="2" t="s">
        <v>27</v>
      </c>
      <c r="F1432" s="2"/>
      <c r="G1432" s="2">
        <v>36.0</v>
      </c>
      <c r="H1432" s="2">
        <v>28.0</v>
      </c>
      <c r="I1432" s="2">
        <v>8.0</v>
      </c>
      <c r="J1432" s="2">
        <v>0.0</v>
      </c>
      <c r="K1432" s="2">
        <v>0.0</v>
      </c>
      <c r="L1432" s="2">
        <v>0.0</v>
      </c>
      <c r="M1432" s="2"/>
      <c r="N1432" s="2"/>
      <c r="O1432" s="2"/>
      <c r="P1432" s="2" t="s">
        <v>153</v>
      </c>
    </row>
    <row r="1433">
      <c r="A1433" s="3" t="s">
        <v>87</v>
      </c>
      <c r="B1433" s="4">
        <v>45296.29166666667</v>
      </c>
      <c r="C1433" s="2" t="s">
        <v>18</v>
      </c>
      <c r="D1433" s="2" t="s">
        <v>127</v>
      </c>
      <c r="E1433" s="2" t="s">
        <v>155</v>
      </c>
      <c r="F1433" s="2"/>
      <c r="G1433" s="2">
        <v>49.0</v>
      </c>
      <c r="H1433" s="2">
        <v>35.0</v>
      </c>
      <c r="I1433" s="2">
        <v>14.0</v>
      </c>
      <c r="J1433" s="2">
        <v>0.0</v>
      </c>
      <c r="K1433" s="2">
        <v>0.0</v>
      </c>
      <c r="L1433" s="2">
        <v>0.0</v>
      </c>
      <c r="M1433" s="2"/>
      <c r="N1433" s="2"/>
      <c r="O1433" s="2"/>
      <c r="P1433" s="2" t="s">
        <v>153</v>
      </c>
    </row>
    <row r="1434">
      <c r="A1434" s="3" t="s">
        <v>88</v>
      </c>
      <c r="B1434" s="4">
        <v>45297.29166666667</v>
      </c>
      <c r="C1434" s="2" t="s">
        <v>18</v>
      </c>
      <c r="D1434" s="2" t="s">
        <v>127</v>
      </c>
      <c r="E1434" s="2" t="s">
        <v>27</v>
      </c>
      <c r="F1434" s="2"/>
      <c r="G1434" s="2">
        <v>101.0</v>
      </c>
      <c r="H1434" s="2">
        <v>78.0</v>
      </c>
      <c r="I1434" s="2">
        <v>23.0</v>
      </c>
      <c r="J1434" s="2">
        <v>0.0</v>
      </c>
      <c r="K1434" s="2">
        <v>0.0</v>
      </c>
      <c r="L1434" s="2">
        <v>0.0</v>
      </c>
      <c r="M1434" s="2"/>
      <c r="N1434" s="2"/>
      <c r="O1434" s="2"/>
      <c r="P1434" s="2" t="s">
        <v>153</v>
      </c>
    </row>
    <row r="1435">
      <c r="A1435" s="3" t="s">
        <v>89</v>
      </c>
      <c r="B1435" s="2" t="s">
        <v>17</v>
      </c>
      <c r="C1435" s="2" t="s">
        <v>18</v>
      </c>
      <c r="D1435" s="2" t="s">
        <v>30</v>
      </c>
      <c r="E1435" s="2" t="s">
        <v>27</v>
      </c>
      <c r="F1435" s="2">
        <v>32.0</v>
      </c>
      <c r="G1435" s="2">
        <v>35.0</v>
      </c>
      <c r="H1435" s="2">
        <v>15.0</v>
      </c>
      <c r="I1435" s="2">
        <v>20.0</v>
      </c>
      <c r="J1435" s="2">
        <v>0.0</v>
      </c>
      <c r="K1435" s="2">
        <v>0.0</v>
      </c>
      <c r="L1435" s="2">
        <v>0.0</v>
      </c>
      <c r="M1435" s="2">
        <v>17.0</v>
      </c>
      <c r="N1435" s="2"/>
      <c r="O1435" s="2"/>
      <c r="P1435" s="2" t="s">
        <v>92</v>
      </c>
    </row>
    <row r="1436">
      <c r="A1436" s="3" t="s">
        <v>90</v>
      </c>
      <c r="B1436" s="2" t="s">
        <v>17</v>
      </c>
      <c r="C1436" s="2" t="s">
        <v>57</v>
      </c>
      <c r="D1436" s="2" t="s">
        <v>30</v>
      </c>
      <c r="E1436" s="2" t="s">
        <v>96</v>
      </c>
      <c r="F1436" s="2">
        <v>43.0</v>
      </c>
      <c r="G1436" s="2">
        <v>67.0</v>
      </c>
      <c r="H1436" s="2">
        <v>24.0</v>
      </c>
      <c r="I1436" s="2">
        <v>43.0</v>
      </c>
      <c r="J1436" s="2">
        <v>0.0</v>
      </c>
      <c r="K1436" s="2">
        <v>0.0</v>
      </c>
      <c r="L1436" s="2">
        <v>0.0</v>
      </c>
      <c r="M1436" s="2">
        <v>19.0</v>
      </c>
      <c r="N1436" s="2"/>
      <c r="O1436" s="2"/>
      <c r="P1436" s="2" t="s">
        <v>92</v>
      </c>
    </row>
    <row r="1437">
      <c r="A1437" s="3" t="s">
        <v>93</v>
      </c>
      <c r="B1437" s="2" t="s">
        <v>17</v>
      </c>
      <c r="C1437" s="2" t="s">
        <v>113</v>
      </c>
      <c r="D1437" s="2" t="s">
        <v>30</v>
      </c>
      <c r="E1437" s="2" t="s">
        <v>50</v>
      </c>
      <c r="F1437" s="2">
        <v>10.0</v>
      </c>
      <c r="G1437" s="2">
        <v>5.0</v>
      </c>
      <c r="H1437" s="2">
        <v>3.0</v>
      </c>
      <c r="I1437" s="2">
        <v>2.0</v>
      </c>
      <c r="J1437" s="2">
        <v>0.0</v>
      </c>
      <c r="K1437" s="2">
        <v>0.0</v>
      </c>
      <c r="L1437" s="2">
        <v>0.0</v>
      </c>
      <c r="M1437" s="2">
        <v>7.0</v>
      </c>
      <c r="N1437" s="2"/>
      <c r="O1437" s="2"/>
      <c r="P1437" s="2" t="s">
        <v>92</v>
      </c>
    </row>
    <row r="1438">
      <c r="A1438" s="3" t="s">
        <v>16</v>
      </c>
      <c r="B1438" s="2" t="s">
        <v>17</v>
      </c>
      <c r="C1438" s="2" t="s">
        <v>57</v>
      </c>
      <c r="D1438" s="2" t="s">
        <v>19</v>
      </c>
      <c r="E1438" s="2" t="s">
        <v>27</v>
      </c>
      <c r="F1438" s="2">
        <v>66.0</v>
      </c>
      <c r="G1438" s="2">
        <v>0.0</v>
      </c>
      <c r="H1438" s="2">
        <v>0.0</v>
      </c>
      <c r="I1438" s="2">
        <v>0.0</v>
      </c>
      <c r="J1438" s="2">
        <v>0.0</v>
      </c>
      <c r="K1438" s="2">
        <v>0.0</v>
      </c>
      <c r="L1438" s="2">
        <v>0.0</v>
      </c>
      <c r="M1438" s="2">
        <v>66.0</v>
      </c>
      <c r="N1438" s="2"/>
      <c r="O1438" s="2"/>
      <c r="P1438" s="2" t="s">
        <v>92</v>
      </c>
    </row>
    <row r="1439">
      <c r="A1439" s="3" t="s">
        <v>94</v>
      </c>
      <c r="B1439" s="2" t="s">
        <v>17</v>
      </c>
      <c r="C1439" s="2" t="s">
        <v>57</v>
      </c>
      <c r="D1439" s="2" t="s">
        <v>19</v>
      </c>
      <c r="E1439" s="2" t="s">
        <v>96</v>
      </c>
      <c r="F1439" s="2">
        <v>36.0</v>
      </c>
      <c r="G1439" s="2">
        <v>13.0</v>
      </c>
      <c r="H1439" s="2">
        <v>10.0</v>
      </c>
      <c r="I1439" s="2">
        <v>3.0</v>
      </c>
      <c r="J1439" s="2">
        <v>0.0</v>
      </c>
      <c r="K1439" s="2">
        <v>0.0</v>
      </c>
      <c r="L1439" s="2">
        <v>0.0</v>
      </c>
      <c r="M1439" s="2">
        <v>26.0</v>
      </c>
      <c r="N1439" s="2"/>
      <c r="O1439" s="2"/>
      <c r="P1439" s="2" t="s">
        <v>92</v>
      </c>
    </row>
    <row r="1440">
      <c r="A1440" s="3" t="s">
        <v>95</v>
      </c>
      <c r="B1440" s="2" t="s">
        <v>17</v>
      </c>
      <c r="C1440" s="2" t="s">
        <v>113</v>
      </c>
      <c r="D1440" s="2" t="s">
        <v>19</v>
      </c>
      <c r="E1440" s="2" t="s">
        <v>50</v>
      </c>
      <c r="F1440" s="2">
        <v>32.0</v>
      </c>
      <c r="G1440" s="2">
        <v>60.0</v>
      </c>
      <c r="H1440" s="2">
        <v>28.0</v>
      </c>
      <c r="I1440" s="2">
        <v>32.0</v>
      </c>
      <c r="J1440" s="2">
        <v>0.0</v>
      </c>
      <c r="K1440" s="2">
        <v>0.0</v>
      </c>
      <c r="L1440" s="2">
        <v>0.0</v>
      </c>
      <c r="M1440" s="2">
        <v>4.0</v>
      </c>
      <c r="N1440" s="2"/>
      <c r="O1440" s="2"/>
      <c r="P1440" s="2" t="s">
        <v>92</v>
      </c>
    </row>
    <row r="1441">
      <c r="A1441" s="3" t="s">
        <v>97</v>
      </c>
      <c r="B1441" s="2" t="s">
        <v>17</v>
      </c>
      <c r="C1441" s="2" t="s">
        <v>18</v>
      </c>
      <c r="D1441" s="2" t="s">
        <v>23</v>
      </c>
      <c r="E1441" s="2" t="s">
        <v>27</v>
      </c>
      <c r="F1441" s="2">
        <v>32.0</v>
      </c>
      <c r="G1441" s="2">
        <v>35.0</v>
      </c>
      <c r="H1441" s="2">
        <v>15.0</v>
      </c>
      <c r="I1441" s="2">
        <v>20.0</v>
      </c>
      <c r="J1441" s="2">
        <v>0.0</v>
      </c>
      <c r="K1441" s="2">
        <v>0.0</v>
      </c>
      <c r="L1441" s="2">
        <v>0.0</v>
      </c>
      <c r="M1441" s="2">
        <v>17.0</v>
      </c>
      <c r="N1441" s="2">
        <v>-66.0</v>
      </c>
      <c r="O1441" s="2">
        <v>2.0</v>
      </c>
      <c r="P1441" s="2" t="s">
        <v>92</v>
      </c>
    </row>
    <row r="1442">
      <c r="A1442" s="3" t="s">
        <v>98</v>
      </c>
      <c r="B1442" s="2" t="s">
        <v>17</v>
      </c>
      <c r="C1442" s="2" t="s">
        <v>57</v>
      </c>
      <c r="D1442" s="2" t="s">
        <v>23</v>
      </c>
      <c r="E1442" s="2" t="s">
        <v>96</v>
      </c>
      <c r="F1442" s="2">
        <v>43.0</v>
      </c>
      <c r="G1442" s="2">
        <v>80.0</v>
      </c>
      <c r="H1442" s="2">
        <v>34.0</v>
      </c>
      <c r="I1442" s="2">
        <v>46.0</v>
      </c>
      <c r="J1442" s="2">
        <v>0.0</v>
      </c>
      <c r="K1442" s="2">
        <v>0.0</v>
      </c>
      <c r="L1442" s="2">
        <v>0.0</v>
      </c>
      <c r="M1442" s="2">
        <v>9.0</v>
      </c>
      <c r="N1442" s="2">
        <v>-36.0</v>
      </c>
      <c r="O1442" s="2">
        <v>-25.0</v>
      </c>
      <c r="P1442" s="2" t="s">
        <v>92</v>
      </c>
    </row>
    <row r="1443">
      <c r="A1443" s="3" t="s">
        <v>99</v>
      </c>
      <c r="B1443" s="2" t="s">
        <v>17</v>
      </c>
      <c r="C1443" s="2" t="s">
        <v>18</v>
      </c>
      <c r="D1443" s="2" t="s">
        <v>23</v>
      </c>
      <c r="E1443" s="2" t="s">
        <v>50</v>
      </c>
      <c r="F1443" s="2">
        <v>32.0</v>
      </c>
      <c r="G1443" s="2">
        <v>65.0</v>
      </c>
      <c r="H1443" s="2">
        <v>31.0</v>
      </c>
      <c r="I1443" s="2">
        <v>34.0</v>
      </c>
      <c r="J1443" s="2">
        <v>0.0</v>
      </c>
      <c r="K1443" s="2">
        <v>0.0</v>
      </c>
      <c r="L1443" s="2">
        <v>0.0</v>
      </c>
      <c r="M1443" s="2">
        <v>1.0</v>
      </c>
      <c r="N1443" s="2">
        <v>-10.0</v>
      </c>
      <c r="O1443" s="2">
        <v>-30.0</v>
      </c>
      <c r="P1443" s="2" t="s">
        <v>92</v>
      </c>
    </row>
    <row r="1444">
      <c r="A1444" s="3" t="s">
        <v>100</v>
      </c>
      <c r="B1444" s="4">
        <v>45232.25</v>
      </c>
      <c r="C1444" s="2" t="s">
        <v>18</v>
      </c>
      <c r="D1444" s="2" t="s">
        <v>30</v>
      </c>
      <c r="E1444" s="2" t="s">
        <v>27</v>
      </c>
      <c r="F1444" s="2"/>
      <c r="G1444" s="2">
        <v>0.0</v>
      </c>
      <c r="H1444" s="2">
        <v>0.0</v>
      </c>
      <c r="I1444" s="2">
        <v>0.0</v>
      </c>
      <c r="J1444" s="2">
        <v>0.0</v>
      </c>
      <c r="K1444" s="2">
        <v>0.0</v>
      </c>
      <c r="L1444" s="2">
        <v>0.0</v>
      </c>
      <c r="M1444" s="2"/>
      <c r="N1444" s="2"/>
      <c r="O1444" s="2"/>
      <c r="P1444" s="2" t="s">
        <v>92</v>
      </c>
    </row>
    <row r="1445">
      <c r="A1445" s="3" t="s">
        <v>101</v>
      </c>
      <c r="B1445" s="4">
        <v>45233.25</v>
      </c>
      <c r="C1445" s="2" t="s">
        <v>18</v>
      </c>
      <c r="D1445" s="2" t="s">
        <v>30</v>
      </c>
      <c r="E1445" s="2" t="s">
        <v>96</v>
      </c>
      <c r="F1445" s="2"/>
      <c r="G1445" s="2">
        <v>10.0</v>
      </c>
      <c r="H1445" s="2">
        <v>6.0</v>
      </c>
      <c r="I1445" s="2">
        <v>4.0</v>
      </c>
      <c r="J1445" s="2">
        <v>0.0</v>
      </c>
      <c r="K1445" s="2">
        <v>0.0</v>
      </c>
      <c r="L1445" s="2">
        <v>0.0</v>
      </c>
      <c r="M1445" s="2"/>
      <c r="N1445" s="2"/>
      <c r="O1445" s="2"/>
      <c r="P1445" s="2" t="s">
        <v>92</v>
      </c>
    </row>
    <row r="1446">
      <c r="A1446" s="3" t="s">
        <v>102</v>
      </c>
      <c r="B1446" s="4">
        <v>45234.25</v>
      </c>
      <c r="C1446" s="2" t="s">
        <v>18</v>
      </c>
      <c r="D1446" s="2" t="s">
        <v>30</v>
      </c>
      <c r="E1446" s="2" t="s">
        <v>50</v>
      </c>
      <c r="F1446" s="2"/>
      <c r="G1446" s="2">
        <v>0.0</v>
      </c>
      <c r="H1446" s="2">
        <v>0.0</v>
      </c>
      <c r="I1446" s="2">
        <v>0.0</v>
      </c>
      <c r="J1446" s="2">
        <v>0.0</v>
      </c>
      <c r="K1446" s="2">
        <v>0.0</v>
      </c>
      <c r="L1446" s="2">
        <v>0.0</v>
      </c>
      <c r="M1446" s="2"/>
      <c r="N1446" s="2"/>
      <c r="O1446" s="2"/>
      <c r="P1446" s="2" t="s">
        <v>92</v>
      </c>
    </row>
    <row r="1447">
      <c r="A1447" s="3" t="s">
        <v>103</v>
      </c>
      <c r="B1447" s="4">
        <v>45235.25</v>
      </c>
      <c r="C1447" s="2" t="s">
        <v>18</v>
      </c>
      <c r="D1447" s="2" t="s">
        <v>19</v>
      </c>
      <c r="E1447" s="2" t="s">
        <v>27</v>
      </c>
      <c r="F1447" s="2"/>
      <c r="G1447" s="2">
        <v>0.0</v>
      </c>
      <c r="H1447" s="2">
        <v>0.0</v>
      </c>
      <c r="I1447" s="2">
        <v>0.0</v>
      </c>
      <c r="J1447" s="2">
        <v>0.0</v>
      </c>
      <c r="K1447" s="2">
        <v>0.0</v>
      </c>
      <c r="L1447" s="2">
        <v>0.0</v>
      </c>
      <c r="M1447" s="2"/>
      <c r="N1447" s="2"/>
      <c r="O1447" s="2"/>
      <c r="P1447" s="2" t="s">
        <v>92</v>
      </c>
    </row>
    <row r="1448">
      <c r="A1448" s="3" t="s">
        <v>104</v>
      </c>
      <c r="B1448" s="4">
        <v>45236.29166666667</v>
      </c>
      <c r="C1448" s="2" t="s">
        <v>18</v>
      </c>
      <c r="D1448" s="2" t="s">
        <v>19</v>
      </c>
      <c r="E1448" s="2" t="s">
        <v>96</v>
      </c>
      <c r="F1448" s="2"/>
      <c r="G1448" s="2">
        <v>1.0</v>
      </c>
      <c r="H1448" s="2">
        <v>1.0</v>
      </c>
      <c r="I1448" s="2">
        <v>0.0</v>
      </c>
      <c r="J1448" s="2">
        <v>0.0</v>
      </c>
      <c r="K1448" s="2">
        <v>0.0</v>
      </c>
      <c r="L1448" s="2">
        <v>0.0</v>
      </c>
      <c r="M1448" s="2"/>
      <c r="N1448" s="2"/>
      <c r="O1448" s="2"/>
      <c r="P1448" s="2" t="s">
        <v>92</v>
      </c>
    </row>
    <row r="1449">
      <c r="A1449" s="3" t="s">
        <v>105</v>
      </c>
      <c r="B1449" s="4">
        <v>45237.29166666667</v>
      </c>
      <c r="C1449" s="2" t="s">
        <v>18</v>
      </c>
      <c r="D1449" s="2" t="s">
        <v>19</v>
      </c>
      <c r="E1449" s="2" t="s">
        <v>50</v>
      </c>
      <c r="F1449" s="2"/>
      <c r="G1449" s="2">
        <v>6.0</v>
      </c>
      <c r="H1449" s="2">
        <v>4.0</v>
      </c>
      <c r="I1449" s="2">
        <v>2.0</v>
      </c>
      <c r="J1449" s="2">
        <v>0.0</v>
      </c>
      <c r="K1449" s="2">
        <v>0.0</v>
      </c>
      <c r="L1449" s="2">
        <v>0.0</v>
      </c>
      <c r="M1449" s="2"/>
      <c r="N1449" s="2"/>
      <c r="O1449" s="2"/>
      <c r="P1449" s="2" t="s">
        <v>92</v>
      </c>
    </row>
    <row r="1450">
      <c r="A1450" s="3" t="s">
        <v>106</v>
      </c>
      <c r="B1450" s="4">
        <v>45262.29166666667</v>
      </c>
      <c r="C1450" s="2" t="s">
        <v>18</v>
      </c>
      <c r="D1450" s="2" t="s">
        <v>30</v>
      </c>
      <c r="E1450" s="2" t="s">
        <v>27</v>
      </c>
      <c r="F1450" s="2"/>
      <c r="G1450" s="2">
        <v>35.0</v>
      </c>
      <c r="H1450" s="2">
        <v>15.0</v>
      </c>
      <c r="I1450" s="2">
        <v>20.0</v>
      </c>
      <c r="J1450" s="2">
        <v>0.0</v>
      </c>
      <c r="K1450" s="2">
        <v>0.0</v>
      </c>
      <c r="L1450" s="2">
        <v>0.0</v>
      </c>
      <c r="M1450" s="2"/>
      <c r="N1450" s="2"/>
      <c r="O1450" s="2"/>
      <c r="P1450" s="2" t="s">
        <v>92</v>
      </c>
    </row>
    <row r="1451">
      <c r="A1451" s="3" t="s">
        <v>107</v>
      </c>
      <c r="B1451" s="4">
        <v>45263.29166666667</v>
      </c>
      <c r="C1451" s="2" t="s">
        <v>18</v>
      </c>
      <c r="D1451" s="2" t="s">
        <v>30</v>
      </c>
      <c r="E1451" s="2" t="s">
        <v>96</v>
      </c>
      <c r="F1451" s="2"/>
      <c r="G1451" s="2">
        <v>57.0</v>
      </c>
      <c r="H1451" s="2">
        <v>18.0</v>
      </c>
      <c r="I1451" s="2">
        <v>39.0</v>
      </c>
      <c r="J1451" s="2">
        <v>0.0</v>
      </c>
      <c r="K1451" s="2">
        <v>0.0</v>
      </c>
      <c r="L1451" s="2">
        <v>0.0</v>
      </c>
      <c r="M1451" s="2"/>
      <c r="N1451" s="2"/>
      <c r="O1451" s="2"/>
      <c r="P1451" s="2" t="s">
        <v>92</v>
      </c>
    </row>
    <row r="1452">
      <c r="A1452" s="3" t="s">
        <v>108</v>
      </c>
      <c r="B1452" s="4">
        <v>45264.29166666667</v>
      </c>
      <c r="C1452" s="2" t="s">
        <v>18</v>
      </c>
      <c r="D1452" s="2" t="s">
        <v>30</v>
      </c>
      <c r="E1452" s="2" t="s">
        <v>50</v>
      </c>
      <c r="F1452" s="2"/>
      <c r="G1452" s="2">
        <v>5.0</v>
      </c>
      <c r="H1452" s="2">
        <v>3.0</v>
      </c>
      <c r="I1452" s="2">
        <v>2.0</v>
      </c>
      <c r="J1452" s="2">
        <v>0.0</v>
      </c>
      <c r="K1452" s="2">
        <v>0.0</v>
      </c>
      <c r="L1452" s="2">
        <v>0.0</v>
      </c>
      <c r="M1452" s="2"/>
      <c r="N1452" s="2"/>
      <c r="O1452" s="2"/>
      <c r="P1452" s="2" t="s">
        <v>92</v>
      </c>
    </row>
    <row r="1453">
      <c r="A1453" s="3" t="s">
        <v>112</v>
      </c>
      <c r="B1453" s="4">
        <v>45265.29166666667</v>
      </c>
      <c r="C1453" s="2" t="s">
        <v>18</v>
      </c>
      <c r="D1453" s="2" t="s">
        <v>19</v>
      </c>
      <c r="E1453" s="2" t="s">
        <v>27</v>
      </c>
      <c r="F1453" s="2"/>
      <c r="G1453" s="2">
        <v>0.0</v>
      </c>
      <c r="H1453" s="2">
        <v>0.0</v>
      </c>
      <c r="I1453" s="2">
        <v>0.0</v>
      </c>
      <c r="J1453" s="2">
        <v>0.0</v>
      </c>
      <c r="K1453" s="2">
        <v>0.0</v>
      </c>
      <c r="L1453" s="2">
        <v>0.0</v>
      </c>
      <c r="M1453" s="2"/>
      <c r="N1453" s="2"/>
      <c r="O1453" s="2"/>
      <c r="P1453" s="2" t="s">
        <v>92</v>
      </c>
    </row>
    <row r="1454">
      <c r="A1454" s="3" t="s">
        <v>115</v>
      </c>
      <c r="B1454" s="4">
        <v>45266.29166666667</v>
      </c>
      <c r="C1454" s="2" t="s">
        <v>18</v>
      </c>
      <c r="D1454" s="2" t="s">
        <v>19</v>
      </c>
      <c r="E1454" s="2" t="s">
        <v>96</v>
      </c>
      <c r="F1454" s="2"/>
      <c r="G1454" s="2">
        <v>12.0</v>
      </c>
      <c r="H1454" s="2">
        <v>9.0</v>
      </c>
      <c r="I1454" s="2">
        <v>3.0</v>
      </c>
      <c r="J1454" s="2">
        <v>0.0</v>
      </c>
      <c r="K1454" s="2">
        <v>0.0</v>
      </c>
      <c r="L1454" s="2">
        <v>0.0</v>
      </c>
      <c r="M1454" s="2"/>
      <c r="N1454" s="2"/>
      <c r="O1454" s="2"/>
      <c r="P1454" s="2" t="s">
        <v>92</v>
      </c>
    </row>
    <row r="1455">
      <c r="A1455" s="3" t="s">
        <v>117</v>
      </c>
      <c r="B1455" s="4">
        <v>45267.29166666667</v>
      </c>
      <c r="C1455" s="2" t="s">
        <v>18</v>
      </c>
      <c r="D1455" s="2" t="s">
        <v>19</v>
      </c>
      <c r="E1455" s="2" t="s">
        <v>50</v>
      </c>
      <c r="F1455" s="2"/>
      <c r="G1455" s="2">
        <v>54.0</v>
      </c>
      <c r="H1455" s="2">
        <v>24.0</v>
      </c>
      <c r="I1455" s="2">
        <v>30.0</v>
      </c>
      <c r="J1455" s="2">
        <v>0.0</v>
      </c>
      <c r="K1455" s="2">
        <v>0.0</v>
      </c>
      <c r="L1455" s="2">
        <v>0.0</v>
      </c>
      <c r="M1455" s="2"/>
      <c r="N1455" s="2"/>
      <c r="O1455" s="2"/>
      <c r="P1455" s="2" t="s">
        <v>92</v>
      </c>
    </row>
    <row r="1456">
      <c r="A1456" s="3" t="s">
        <v>119</v>
      </c>
      <c r="B1456" s="2" t="s">
        <v>17</v>
      </c>
      <c r="C1456" s="2" t="s">
        <v>18</v>
      </c>
      <c r="D1456" s="2" t="s">
        <v>19</v>
      </c>
      <c r="E1456" s="2" t="s">
        <v>268</v>
      </c>
      <c r="F1456" s="2">
        <v>59.0</v>
      </c>
      <c r="G1456" s="2">
        <v>107.0</v>
      </c>
      <c r="H1456" s="2">
        <v>65.0</v>
      </c>
      <c r="I1456" s="2">
        <v>25.0</v>
      </c>
      <c r="J1456" s="2">
        <v>17.0</v>
      </c>
      <c r="K1456" s="2">
        <v>0.0</v>
      </c>
      <c r="L1456" s="2">
        <v>52.0</v>
      </c>
      <c r="M1456" s="2">
        <v>-6.0</v>
      </c>
      <c r="N1456" s="2"/>
      <c r="O1456" s="2"/>
      <c r="P1456" s="2" t="s">
        <v>175</v>
      </c>
    </row>
    <row r="1457">
      <c r="A1457" s="3" t="s">
        <v>121</v>
      </c>
      <c r="B1457" s="2" t="s">
        <v>17</v>
      </c>
      <c r="C1457" s="2" t="s">
        <v>57</v>
      </c>
      <c r="D1457" s="2" t="s">
        <v>19</v>
      </c>
      <c r="E1457" s="2" t="s">
        <v>269</v>
      </c>
      <c r="F1457" s="2">
        <v>33.0</v>
      </c>
      <c r="G1457" s="2">
        <v>42.0</v>
      </c>
      <c r="H1457" s="2">
        <v>33.0</v>
      </c>
      <c r="I1457" s="2">
        <v>8.0</v>
      </c>
      <c r="J1457" s="2">
        <v>1.0</v>
      </c>
      <c r="K1457" s="2">
        <v>0.0</v>
      </c>
      <c r="L1457" s="2">
        <v>27.0</v>
      </c>
      <c r="M1457" s="2">
        <v>0.0</v>
      </c>
      <c r="N1457" s="2"/>
      <c r="O1457" s="2"/>
      <c r="P1457" s="2" t="s">
        <v>175</v>
      </c>
    </row>
    <row r="1458">
      <c r="A1458" s="3" t="s">
        <v>16</v>
      </c>
      <c r="B1458" s="2" t="s">
        <v>17</v>
      </c>
      <c r="C1458" s="2" t="s">
        <v>57</v>
      </c>
      <c r="D1458" s="2" t="s">
        <v>19</v>
      </c>
      <c r="E1458" s="2" t="s">
        <v>270</v>
      </c>
      <c r="F1458" s="2">
        <v>45.0</v>
      </c>
      <c r="G1458" s="2">
        <v>64.0</v>
      </c>
      <c r="H1458" s="2">
        <v>48.0</v>
      </c>
      <c r="I1458" s="2">
        <v>16.0</v>
      </c>
      <c r="J1458" s="2">
        <v>0.0</v>
      </c>
      <c r="K1458" s="2">
        <v>0.0</v>
      </c>
      <c r="L1458" s="2">
        <v>40.0</v>
      </c>
      <c r="M1458" s="2">
        <v>-3.0</v>
      </c>
      <c r="N1458" s="2"/>
      <c r="O1458" s="2"/>
      <c r="P1458" s="2" t="s">
        <v>175</v>
      </c>
    </row>
    <row r="1459">
      <c r="A1459" s="3" t="s">
        <v>124</v>
      </c>
      <c r="B1459" s="2" t="s">
        <v>17</v>
      </c>
      <c r="C1459" s="2" t="s">
        <v>57</v>
      </c>
      <c r="D1459" s="2" t="s">
        <v>19</v>
      </c>
      <c r="E1459" s="2" t="s">
        <v>271</v>
      </c>
      <c r="F1459" s="2">
        <v>11.0</v>
      </c>
      <c r="G1459" s="2">
        <v>12.0</v>
      </c>
      <c r="H1459" s="2">
        <v>4.0</v>
      </c>
      <c r="I1459" s="2">
        <v>7.0</v>
      </c>
      <c r="J1459" s="2">
        <v>1.0</v>
      </c>
      <c r="K1459" s="2">
        <v>0.0</v>
      </c>
      <c r="L1459" s="2">
        <v>4.0</v>
      </c>
      <c r="M1459" s="2">
        <v>7.0</v>
      </c>
      <c r="N1459" s="2"/>
      <c r="O1459" s="2"/>
      <c r="P1459" s="2" t="s">
        <v>175</v>
      </c>
    </row>
    <row r="1460">
      <c r="A1460" s="3" t="s">
        <v>126</v>
      </c>
      <c r="B1460" s="2" t="s">
        <v>17</v>
      </c>
      <c r="C1460" s="2" t="s">
        <v>18</v>
      </c>
      <c r="D1460" s="2" t="s">
        <v>19</v>
      </c>
      <c r="E1460" s="2" t="s">
        <v>272</v>
      </c>
      <c r="F1460" s="2">
        <v>5.0</v>
      </c>
      <c r="G1460" s="2">
        <v>14.0</v>
      </c>
      <c r="H1460" s="2">
        <v>3.0</v>
      </c>
      <c r="I1460" s="2">
        <v>10.0</v>
      </c>
      <c r="J1460" s="2">
        <v>1.0</v>
      </c>
      <c r="K1460" s="2">
        <v>0.0</v>
      </c>
      <c r="L1460" s="2">
        <v>7.0</v>
      </c>
      <c r="M1460" s="2">
        <v>2.0</v>
      </c>
      <c r="N1460" s="2"/>
      <c r="O1460" s="2"/>
      <c r="P1460" s="2" t="s">
        <v>175</v>
      </c>
    </row>
    <row r="1461">
      <c r="A1461" s="3" t="s">
        <v>128</v>
      </c>
      <c r="B1461" s="2" t="s">
        <v>17</v>
      </c>
      <c r="C1461" s="2" t="s">
        <v>57</v>
      </c>
      <c r="D1461" s="2" t="s">
        <v>19</v>
      </c>
      <c r="E1461" s="2" t="s">
        <v>273</v>
      </c>
      <c r="F1461" s="2">
        <v>0.0</v>
      </c>
      <c r="G1461" s="2">
        <v>0.0</v>
      </c>
      <c r="H1461" s="2">
        <v>0.0</v>
      </c>
      <c r="I1461" s="2">
        <v>0.0</v>
      </c>
      <c r="J1461" s="2">
        <v>0.0</v>
      </c>
      <c r="K1461" s="2">
        <v>0.0</v>
      </c>
      <c r="L1461" s="2">
        <v>0.0</v>
      </c>
      <c r="M1461" s="2">
        <v>0.0</v>
      </c>
      <c r="N1461" s="2"/>
      <c r="O1461" s="2"/>
      <c r="P1461" s="2" t="s">
        <v>175</v>
      </c>
    </row>
    <row r="1462">
      <c r="A1462" s="3" t="s">
        <v>129</v>
      </c>
      <c r="B1462" s="2" t="s">
        <v>17</v>
      </c>
      <c r="C1462" s="2" t="s">
        <v>18</v>
      </c>
      <c r="D1462" s="2" t="s">
        <v>23</v>
      </c>
      <c r="E1462" s="2" t="s">
        <v>268</v>
      </c>
      <c r="F1462" s="2">
        <v>59.0</v>
      </c>
      <c r="G1462" s="2">
        <v>107.0</v>
      </c>
      <c r="H1462" s="2">
        <v>65.0</v>
      </c>
      <c r="I1462" s="2">
        <v>25.0</v>
      </c>
      <c r="J1462" s="2">
        <v>17.0</v>
      </c>
      <c r="K1462" s="2">
        <v>0.0</v>
      </c>
      <c r="L1462" s="2">
        <v>52.0</v>
      </c>
      <c r="M1462" s="2">
        <v>-6.0</v>
      </c>
      <c r="N1462" s="2">
        <v>0.0</v>
      </c>
      <c r="O1462" s="2">
        <v>-71.0</v>
      </c>
      <c r="P1462" s="2" t="s">
        <v>175</v>
      </c>
    </row>
    <row r="1463">
      <c r="A1463" s="3" t="s">
        <v>130</v>
      </c>
      <c r="B1463" s="2" t="s">
        <v>17</v>
      </c>
      <c r="C1463" s="2" t="s">
        <v>113</v>
      </c>
      <c r="D1463" s="2" t="s">
        <v>23</v>
      </c>
      <c r="E1463" s="2" t="s">
        <v>269</v>
      </c>
      <c r="F1463" s="2">
        <v>33.0</v>
      </c>
      <c r="G1463" s="2">
        <v>42.0</v>
      </c>
      <c r="H1463" s="2">
        <v>33.0</v>
      </c>
      <c r="I1463" s="2">
        <v>8.0</v>
      </c>
      <c r="J1463" s="2">
        <v>1.0</v>
      </c>
      <c r="K1463" s="2">
        <v>0.0</v>
      </c>
      <c r="L1463" s="2">
        <v>27.0</v>
      </c>
      <c r="M1463" s="2">
        <v>0.0</v>
      </c>
      <c r="N1463" s="2">
        <v>0.0</v>
      </c>
      <c r="O1463" s="2">
        <v>-33.0</v>
      </c>
      <c r="P1463" s="2" t="s">
        <v>175</v>
      </c>
    </row>
    <row r="1464">
      <c r="A1464" s="3" t="s">
        <v>131</v>
      </c>
      <c r="B1464" s="2" t="s">
        <v>17</v>
      </c>
      <c r="C1464" s="2" t="s">
        <v>148</v>
      </c>
      <c r="D1464" s="2" t="s">
        <v>23</v>
      </c>
      <c r="E1464" s="2" t="s">
        <v>270</v>
      </c>
      <c r="F1464" s="2">
        <v>45.0</v>
      </c>
      <c r="G1464" s="2">
        <v>64.0</v>
      </c>
      <c r="H1464" s="2">
        <v>48.0</v>
      </c>
      <c r="I1464" s="2">
        <v>16.0</v>
      </c>
      <c r="J1464" s="2">
        <v>0.0</v>
      </c>
      <c r="K1464" s="2">
        <v>0.0</v>
      </c>
      <c r="L1464" s="2">
        <v>40.0</v>
      </c>
      <c r="M1464" s="2">
        <v>-3.0</v>
      </c>
      <c r="N1464" s="2">
        <v>0.0</v>
      </c>
      <c r="O1464" s="2">
        <v>-51.0</v>
      </c>
      <c r="P1464" s="2" t="s">
        <v>175</v>
      </c>
    </row>
    <row r="1465">
      <c r="A1465" s="3" t="s">
        <v>132</v>
      </c>
      <c r="B1465" s="2" t="s">
        <v>17</v>
      </c>
      <c r="C1465" s="2" t="s">
        <v>18</v>
      </c>
      <c r="D1465" s="2" t="s">
        <v>23</v>
      </c>
      <c r="E1465" s="2" t="s">
        <v>271</v>
      </c>
      <c r="F1465" s="2">
        <v>11.0</v>
      </c>
      <c r="G1465" s="2">
        <v>12.0</v>
      </c>
      <c r="H1465" s="2">
        <v>4.0</v>
      </c>
      <c r="I1465" s="2">
        <v>7.0</v>
      </c>
      <c r="J1465" s="2">
        <v>1.0</v>
      </c>
      <c r="K1465" s="2">
        <v>0.0</v>
      </c>
      <c r="L1465" s="2">
        <v>4.0</v>
      </c>
      <c r="M1465" s="2">
        <v>7.0</v>
      </c>
      <c r="N1465" s="2">
        <v>0.0</v>
      </c>
      <c r="O1465" s="2">
        <v>3.0</v>
      </c>
      <c r="P1465" s="2" t="s">
        <v>175</v>
      </c>
    </row>
    <row r="1466">
      <c r="A1466" s="3" t="s">
        <v>133</v>
      </c>
      <c r="B1466" s="2" t="s">
        <v>17</v>
      </c>
      <c r="C1466" s="2" t="s">
        <v>18</v>
      </c>
      <c r="D1466" s="2" t="s">
        <v>23</v>
      </c>
      <c r="E1466" s="2" t="s">
        <v>272</v>
      </c>
      <c r="F1466" s="2">
        <v>5.0</v>
      </c>
      <c r="G1466" s="2">
        <v>14.0</v>
      </c>
      <c r="H1466" s="2">
        <v>3.0</v>
      </c>
      <c r="I1466" s="2">
        <v>10.0</v>
      </c>
      <c r="J1466" s="2">
        <v>1.0</v>
      </c>
      <c r="K1466" s="2">
        <v>0.0</v>
      </c>
      <c r="L1466" s="2">
        <v>7.0</v>
      </c>
      <c r="M1466" s="2">
        <v>2.0</v>
      </c>
      <c r="N1466" s="2">
        <v>0.0</v>
      </c>
      <c r="O1466" s="2">
        <v>-1.0</v>
      </c>
      <c r="P1466" s="2" t="s">
        <v>175</v>
      </c>
    </row>
    <row r="1467">
      <c r="A1467" s="3" t="s">
        <v>134</v>
      </c>
      <c r="B1467" s="2" t="s">
        <v>17</v>
      </c>
      <c r="C1467" s="2" t="s">
        <v>148</v>
      </c>
      <c r="D1467" s="2" t="s">
        <v>23</v>
      </c>
      <c r="E1467" s="2" t="s">
        <v>273</v>
      </c>
      <c r="F1467" s="2">
        <v>0.0</v>
      </c>
      <c r="G1467" s="2">
        <v>0.0</v>
      </c>
      <c r="H1467" s="2">
        <v>0.0</v>
      </c>
      <c r="I1467" s="2">
        <v>0.0</v>
      </c>
      <c r="J1467" s="2">
        <v>0.0</v>
      </c>
      <c r="K1467" s="2">
        <v>0.0</v>
      </c>
      <c r="L1467" s="2">
        <v>0.0</v>
      </c>
      <c r="M1467" s="2">
        <v>0.0</v>
      </c>
      <c r="N1467" s="2">
        <v>0.0</v>
      </c>
      <c r="O1467" s="2">
        <v>0.0</v>
      </c>
      <c r="P1467" s="2" t="s">
        <v>175</v>
      </c>
    </row>
    <row r="1468">
      <c r="A1468" s="3" t="s">
        <v>136</v>
      </c>
      <c r="B1468" s="4">
        <v>45262.29166666667</v>
      </c>
      <c r="C1468" s="2" t="s">
        <v>18</v>
      </c>
      <c r="D1468" s="2" t="s">
        <v>19</v>
      </c>
      <c r="E1468" s="2" t="s">
        <v>268</v>
      </c>
      <c r="F1468" s="2"/>
      <c r="G1468" s="2">
        <v>55.0</v>
      </c>
      <c r="H1468" s="2">
        <v>24.0</v>
      </c>
      <c r="I1468" s="2">
        <v>14.0</v>
      </c>
      <c r="J1468" s="2">
        <v>17.0</v>
      </c>
      <c r="K1468" s="2">
        <v>0.0</v>
      </c>
      <c r="L1468" s="2">
        <v>0.0</v>
      </c>
      <c r="M1468" s="2"/>
      <c r="N1468" s="2"/>
      <c r="O1468" s="2"/>
      <c r="P1468" s="2" t="s">
        <v>175</v>
      </c>
    </row>
    <row r="1469">
      <c r="A1469" s="3" t="s">
        <v>137</v>
      </c>
      <c r="B1469" s="4">
        <v>45263.29166666667</v>
      </c>
      <c r="C1469" s="2" t="s">
        <v>18</v>
      </c>
      <c r="D1469" s="2" t="s">
        <v>19</v>
      </c>
      <c r="E1469" s="2" t="s">
        <v>269</v>
      </c>
      <c r="F1469" s="2"/>
      <c r="G1469" s="2">
        <v>15.0</v>
      </c>
      <c r="H1469" s="2">
        <v>10.0</v>
      </c>
      <c r="I1469" s="2">
        <v>4.0</v>
      </c>
      <c r="J1469" s="2">
        <v>1.0</v>
      </c>
      <c r="K1469" s="2">
        <v>0.0</v>
      </c>
      <c r="L1469" s="2">
        <v>0.0</v>
      </c>
      <c r="M1469" s="2"/>
      <c r="N1469" s="2"/>
      <c r="O1469" s="2"/>
      <c r="P1469" s="2" t="s">
        <v>175</v>
      </c>
    </row>
    <row r="1470">
      <c r="A1470" s="3" t="s">
        <v>138</v>
      </c>
      <c r="B1470" s="4">
        <v>45264.29166666667</v>
      </c>
      <c r="C1470" s="2" t="s">
        <v>18</v>
      </c>
      <c r="D1470" s="2" t="s">
        <v>19</v>
      </c>
      <c r="E1470" s="2" t="s">
        <v>270</v>
      </c>
      <c r="F1470" s="2"/>
      <c r="G1470" s="2">
        <v>24.0</v>
      </c>
      <c r="H1470" s="2">
        <v>19.0</v>
      </c>
      <c r="I1470" s="2">
        <v>5.0</v>
      </c>
      <c r="J1470" s="2">
        <v>0.0</v>
      </c>
      <c r="K1470" s="2">
        <v>0.0</v>
      </c>
      <c r="L1470" s="2">
        <v>0.0</v>
      </c>
      <c r="M1470" s="2"/>
      <c r="N1470" s="2"/>
      <c r="O1470" s="2"/>
      <c r="P1470" s="2" t="s">
        <v>175</v>
      </c>
    </row>
    <row r="1471">
      <c r="A1471" s="3" t="s">
        <v>139</v>
      </c>
      <c r="B1471" s="4">
        <v>45265.29166666667</v>
      </c>
      <c r="C1471" s="2" t="s">
        <v>18</v>
      </c>
      <c r="D1471" s="2" t="s">
        <v>19</v>
      </c>
      <c r="E1471" s="2" t="s">
        <v>271</v>
      </c>
      <c r="F1471" s="2"/>
      <c r="G1471" s="2">
        <v>8.0</v>
      </c>
      <c r="H1471" s="2">
        <v>2.0</v>
      </c>
      <c r="I1471" s="2">
        <v>5.0</v>
      </c>
      <c r="J1471" s="2">
        <v>1.0</v>
      </c>
      <c r="K1471" s="2">
        <v>0.0</v>
      </c>
      <c r="L1471" s="2">
        <v>0.0</v>
      </c>
      <c r="M1471" s="2"/>
      <c r="N1471" s="2"/>
      <c r="O1471" s="2"/>
      <c r="P1471" s="2" t="s">
        <v>175</v>
      </c>
    </row>
    <row r="1472">
      <c r="A1472" s="3" t="s">
        <v>140</v>
      </c>
      <c r="B1472" s="4">
        <v>45266.29166666667</v>
      </c>
      <c r="C1472" s="2" t="s">
        <v>18</v>
      </c>
      <c r="D1472" s="2" t="s">
        <v>19</v>
      </c>
      <c r="E1472" s="2" t="s">
        <v>272</v>
      </c>
      <c r="F1472" s="2"/>
      <c r="G1472" s="2">
        <v>7.0</v>
      </c>
      <c r="H1472" s="2">
        <v>3.0</v>
      </c>
      <c r="I1472" s="2">
        <v>3.0</v>
      </c>
      <c r="J1472" s="2">
        <v>1.0</v>
      </c>
      <c r="K1472" s="2">
        <v>0.0</v>
      </c>
      <c r="L1472" s="2">
        <v>0.0</v>
      </c>
      <c r="M1472" s="2"/>
      <c r="N1472" s="2"/>
      <c r="O1472" s="2"/>
      <c r="P1472" s="2" t="s">
        <v>175</v>
      </c>
    </row>
    <row r="1473">
      <c r="A1473" s="3" t="s">
        <v>141</v>
      </c>
      <c r="B1473" s="4">
        <v>45292.29166666667</v>
      </c>
      <c r="C1473" s="2" t="s">
        <v>18</v>
      </c>
      <c r="D1473" s="2" t="s">
        <v>19</v>
      </c>
      <c r="E1473" s="2" t="s">
        <v>268</v>
      </c>
      <c r="F1473" s="2"/>
      <c r="G1473" s="2">
        <v>44.0</v>
      </c>
      <c r="H1473" s="2">
        <v>33.0</v>
      </c>
      <c r="I1473" s="2">
        <v>11.0</v>
      </c>
      <c r="J1473" s="2">
        <v>0.0</v>
      </c>
      <c r="K1473" s="2">
        <v>0.0</v>
      </c>
      <c r="L1473" s="2">
        <v>44.0</v>
      </c>
      <c r="M1473" s="2"/>
      <c r="N1473" s="2"/>
      <c r="O1473" s="2"/>
      <c r="P1473" s="2" t="s">
        <v>175</v>
      </c>
    </row>
    <row r="1474">
      <c r="A1474" s="3" t="s">
        <v>142</v>
      </c>
      <c r="B1474" s="4">
        <v>45292.29166666667</v>
      </c>
      <c r="C1474" s="2" t="s">
        <v>18</v>
      </c>
      <c r="D1474" s="2" t="s">
        <v>19</v>
      </c>
      <c r="E1474" s="2" t="s">
        <v>269</v>
      </c>
      <c r="F1474" s="2"/>
      <c r="G1474" s="2">
        <v>27.0</v>
      </c>
      <c r="H1474" s="2">
        <v>23.0</v>
      </c>
      <c r="I1474" s="2">
        <v>4.0</v>
      </c>
      <c r="J1474" s="2">
        <v>0.0</v>
      </c>
      <c r="K1474" s="2">
        <v>0.0</v>
      </c>
      <c r="L1474" s="2">
        <v>27.0</v>
      </c>
      <c r="M1474" s="2"/>
      <c r="N1474" s="2"/>
      <c r="O1474" s="2"/>
      <c r="P1474" s="2" t="s">
        <v>175</v>
      </c>
    </row>
    <row r="1475">
      <c r="A1475" s="3" t="s">
        <v>143</v>
      </c>
      <c r="B1475" s="4">
        <v>45292.29166666667</v>
      </c>
      <c r="C1475" s="2" t="s">
        <v>18</v>
      </c>
      <c r="D1475" s="2" t="s">
        <v>19</v>
      </c>
      <c r="E1475" s="2" t="s">
        <v>270</v>
      </c>
      <c r="F1475" s="2"/>
      <c r="G1475" s="2">
        <v>40.0</v>
      </c>
      <c r="H1475" s="2">
        <v>29.0</v>
      </c>
      <c r="I1475" s="2">
        <v>11.0</v>
      </c>
      <c r="J1475" s="2">
        <v>0.0</v>
      </c>
      <c r="K1475" s="2">
        <v>0.0</v>
      </c>
      <c r="L1475" s="2">
        <v>40.0</v>
      </c>
      <c r="M1475" s="2"/>
      <c r="N1475" s="2"/>
      <c r="O1475" s="2"/>
      <c r="P1475" s="2" t="s">
        <v>175</v>
      </c>
    </row>
    <row r="1476">
      <c r="A1476" s="3" t="s">
        <v>144</v>
      </c>
      <c r="B1476" s="4">
        <v>45292.29166666667</v>
      </c>
      <c r="C1476" s="2" t="s">
        <v>18</v>
      </c>
      <c r="D1476" s="2" t="s">
        <v>19</v>
      </c>
      <c r="E1476" s="2" t="s">
        <v>271</v>
      </c>
      <c r="F1476" s="2"/>
      <c r="G1476" s="2">
        <v>1.0</v>
      </c>
      <c r="H1476" s="2">
        <v>1.0</v>
      </c>
      <c r="I1476" s="2">
        <v>0.0</v>
      </c>
      <c r="J1476" s="2">
        <v>0.0</v>
      </c>
      <c r="K1476" s="2">
        <v>0.0</v>
      </c>
      <c r="L1476" s="2">
        <v>1.0</v>
      </c>
      <c r="M1476" s="2"/>
      <c r="N1476" s="2"/>
      <c r="O1476" s="2"/>
      <c r="P1476" s="2" t="s">
        <v>175</v>
      </c>
    </row>
    <row r="1477">
      <c r="A1477" s="3" t="s">
        <v>145</v>
      </c>
      <c r="B1477" s="4">
        <v>45292.29166666667</v>
      </c>
      <c r="C1477" s="2" t="s">
        <v>18</v>
      </c>
      <c r="D1477" s="2" t="s">
        <v>19</v>
      </c>
      <c r="E1477" s="2" t="s">
        <v>272</v>
      </c>
      <c r="F1477" s="2"/>
      <c r="G1477" s="2">
        <v>3.0</v>
      </c>
      <c r="H1477" s="2">
        <v>0.0</v>
      </c>
      <c r="I1477" s="2">
        <v>3.0</v>
      </c>
      <c r="J1477" s="2">
        <v>0.0</v>
      </c>
      <c r="K1477" s="2">
        <v>0.0</v>
      </c>
      <c r="L1477" s="2">
        <v>3.0</v>
      </c>
      <c r="M1477" s="2"/>
      <c r="N1477" s="2"/>
      <c r="O1477" s="2"/>
      <c r="P1477" s="2" t="s">
        <v>175</v>
      </c>
    </row>
    <row r="1478">
      <c r="A1478" s="3" t="s">
        <v>16</v>
      </c>
      <c r="B1478" s="4">
        <v>45292.29166666667</v>
      </c>
      <c r="C1478" s="2" t="s">
        <v>18</v>
      </c>
      <c r="D1478" s="2" t="s">
        <v>19</v>
      </c>
      <c r="E1478" s="2" t="s">
        <v>273</v>
      </c>
      <c r="F1478" s="2"/>
      <c r="G1478" s="2">
        <v>0.0</v>
      </c>
      <c r="H1478" s="2">
        <v>0.0</v>
      </c>
      <c r="I1478" s="2">
        <v>0.0</v>
      </c>
      <c r="J1478" s="2">
        <v>0.0</v>
      </c>
      <c r="K1478" s="2">
        <v>0.0</v>
      </c>
      <c r="L1478" s="2">
        <v>0.0</v>
      </c>
      <c r="M1478" s="2"/>
      <c r="N1478" s="2"/>
      <c r="O1478" s="2"/>
      <c r="P1478" s="2" t="s">
        <v>175</v>
      </c>
    </row>
    <row r="1479">
      <c r="A1479" s="3" t="s">
        <v>22</v>
      </c>
      <c r="B1479" s="4">
        <v>45324.29166666667</v>
      </c>
      <c r="C1479" s="2" t="s">
        <v>18</v>
      </c>
      <c r="D1479" s="2" t="s">
        <v>19</v>
      </c>
      <c r="E1479" s="2" t="s">
        <v>268</v>
      </c>
      <c r="F1479" s="2"/>
      <c r="G1479" s="2">
        <v>8.0</v>
      </c>
      <c r="H1479" s="2">
        <v>8.0</v>
      </c>
      <c r="I1479" s="2">
        <v>0.0</v>
      </c>
      <c r="J1479" s="2">
        <v>0.0</v>
      </c>
      <c r="K1479" s="2">
        <v>0.0</v>
      </c>
      <c r="L1479" s="2">
        <v>8.0</v>
      </c>
      <c r="M1479" s="2"/>
      <c r="N1479" s="2"/>
      <c r="O1479" s="2"/>
      <c r="P1479" s="2" t="s">
        <v>175</v>
      </c>
    </row>
    <row r="1480">
      <c r="A1480" s="3" t="s">
        <v>24</v>
      </c>
      <c r="B1480" s="4">
        <v>45324.29166666667</v>
      </c>
      <c r="C1480" s="2" t="s">
        <v>18</v>
      </c>
      <c r="D1480" s="2" t="s">
        <v>19</v>
      </c>
      <c r="E1480" s="2" t="s">
        <v>271</v>
      </c>
      <c r="F1480" s="2"/>
      <c r="G1480" s="2">
        <v>3.0</v>
      </c>
      <c r="H1480" s="2">
        <v>1.0</v>
      </c>
      <c r="I1480" s="2">
        <v>2.0</v>
      </c>
      <c r="J1480" s="2">
        <v>0.0</v>
      </c>
      <c r="K1480" s="2">
        <v>0.0</v>
      </c>
      <c r="L1480" s="2">
        <v>3.0</v>
      </c>
      <c r="M1480" s="2"/>
      <c r="N1480" s="2"/>
      <c r="O1480" s="2"/>
      <c r="P1480" s="2" t="s">
        <v>175</v>
      </c>
    </row>
    <row r="1481">
      <c r="A1481" s="3" t="s">
        <v>25</v>
      </c>
      <c r="B1481" s="4">
        <v>45324.29166666667</v>
      </c>
      <c r="C1481" s="2" t="s">
        <v>18</v>
      </c>
      <c r="D1481" s="2" t="s">
        <v>19</v>
      </c>
      <c r="E1481" s="2" t="s">
        <v>272</v>
      </c>
      <c r="F1481" s="2"/>
      <c r="G1481" s="2">
        <v>4.0</v>
      </c>
      <c r="H1481" s="2">
        <v>0.0</v>
      </c>
      <c r="I1481" s="2">
        <v>4.0</v>
      </c>
      <c r="J1481" s="2">
        <v>0.0</v>
      </c>
      <c r="K1481" s="2">
        <v>0.0</v>
      </c>
      <c r="L1481" s="2">
        <v>4.0</v>
      </c>
      <c r="M1481" s="2"/>
      <c r="N1481" s="2"/>
      <c r="O1481" s="2"/>
      <c r="P1481" s="2" t="s">
        <v>175</v>
      </c>
    </row>
    <row r="1482">
      <c r="A1482" s="3" t="s">
        <v>26</v>
      </c>
      <c r="B1482" s="2" t="s">
        <v>17</v>
      </c>
      <c r="C1482" s="2" t="s">
        <v>57</v>
      </c>
      <c r="D1482" s="2" t="s">
        <v>33</v>
      </c>
      <c r="E1482" s="2" t="s">
        <v>58</v>
      </c>
      <c r="F1482" s="2">
        <v>1.0</v>
      </c>
      <c r="G1482" s="2">
        <v>6.0</v>
      </c>
      <c r="H1482" s="2">
        <v>2.0</v>
      </c>
      <c r="I1482" s="2">
        <v>1.0</v>
      </c>
      <c r="J1482" s="2">
        <v>3.0</v>
      </c>
      <c r="K1482" s="2">
        <v>0.0</v>
      </c>
      <c r="L1482" s="2">
        <v>0.0</v>
      </c>
      <c r="M1482" s="2">
        <v>-1.0</v>
      </c>
      <c r="N1482" s="2"/>
      <c r="O1482" s="2"/>
      <c r="P1482" s="2" t="s">
        <v>21</v>
      </c>
    </row>
    <row r="1483">
      <c r="A1483" s="3" t="s">
        <v>28</v>
      </c>
      <c r="B1483" s="2" t="s">
        <v>17</v>
      </c>
      <c r="C1483" s="2" t="s">
        <v>18</v>
      </c>
      <c r="D1483" s="2" t="s">
        <v>19</v>
      </c>
      <c r="E1483" s="2" t="s">
        <v>58</v>
      </c>
      <c r="F1483" s="2">
        <v>3.0</v>
      </c>
      <c r="G1483" s="2">
        <v>16.0</v>
      </c>
      <c r="H1483" s="2">
        <v>1.0</v>
      </c>
      <c r="I1483" s="2">
        <v>5.0</v>
      </c>
      <c r="J1483" s="2">
        <v>5.0</v>
      </c>
      <c r="K1483" s="2">
        <v>5.0</v>
      </c>
      <c r="L1483" s="2">
        <v>2.0</v>
      </c>
      <c r="M1483" s="2">
        <v>2.0</v>
      </c>
      <c r="N1483" s="2"/>
      <c r="O1483" s="2"/>
      <c r="P1483" s="2" t="s">
        <v>21</v>
      </c>
    </row>
    <row r="1484">
      <c r="A1484" s="3" t="s">
        <v>29</v>
      </c>
      <c r="B1484" s="2" t="s">
        <v>17</v>
      </c>
      <c r="C1484" s="2" t="s">
        <v>18</v>
      </c>
      <c r="D1484" s="2" t="s">
        <v>23</v>
      </c>
      <c r="E1484" s="2" t="s">
        <v>58</v>
      </c>
      <c r="F1484" s="2">
        <v>4.0</v>
      </c>
      <c r="G1484" s="2">
        <v>22.0</v>
      </c>
      <c r="H1484" s="2">
        <v>3.0</v>
      </c>
      <c r="I1484" s="2">
        <v>6.0</v>
      </c>
      <c r="J1484" s="2">
        <v>8.0</v>
      </c>
      <c r="K1484" s="2">
        <v>5.0</v>
      </c>
      <c r="L1484" s="2">
        <v>2.0</v>
      </c>
      <c r="M1484" s="2">
        <v>1.0</v>
      </c>
      <c r="N1484" s="2">
        <v>0.0</v>
      </c>
      <c r="O1484" s="2">
        <v>-2.0</v>
      </c>
      <c r="P1484" s="2" t="s">
        <v>21</v>
      </c>
    </row>
    <row r="1485">
      <c r="A1485" s="3" t="s">
        <v>32</v>
      </c>
      <c r="B1485" s="4">
        <v>45171.29166666667</v>
      </c>
      <c r="C1485" s="2" t="s">
        <v>18</v>
      </c>
      <c r="D1485" s="2" t="s">
        <v>33</v>
      </c>
      <c r="E1485" s="2" t="s">
        <v>58</v>
      </c>
      <c r="F1485" s="2"/>
      <c r="G1485" s="2">
        <v>2.0</v>
      </c>
      <c r="H1485" s="2">
        <v>1.0</v>
      </c>
      <c r="I1485" s="2">
        <v>0.0</v>
      </c>
      <c r="J1485" s="2">
        <v>1.0</v>
      </c>
      <c r="K1485" s="2">
        <v>0.0</v>
      </c>
      <c r="L1485" s="2">
        <v>0.0</v>
      </c>
      <c r="M1485" s="2"/>
      <c r="N1485" s="2"/>
      <c r="O1485" s="2"/>
      <c r="P1485" s="2" t="s">
        <v>21</v>
      </c>
    </row>
    <row r="1486">
      <c r="A1486" s="3" t="s">
        <v>34</v>
      </c>
      <c r="B1486" s="4">
        <v>45202.29166666667</v>
      </c>
      <c r="C1486" s="2" t="s">
        <v>18</v>
      </c>
      <c r="D1486" s="2" t="s">
        <v>33</v>
      </c>
      <c r="E1486" s="2" t="s">
        <v>58</v>
      </c>
      <c r="F1486" s="2"/>
      <c r="G1486" s="2">
        <v>4.0</v>
      </c>
      <c r="H1486" s="2">
        <v>1.0</v>
      </c>
      <c r="I1486" s="2">
        <v>1.0</v>
      </c>
      <c r="J1486" s="2">
        <v>2.0</v>
      </c>
      <c r="K1486" s="2">
        <v>0.0</v>
      </c>
      <c r="L1486" s="2">
        <v>0.0</v>
      </c>
      <c r="M1486" s="2"/>
      <c r="N1486" s="2"/>
      <c r="O1486" s="2"/>
      <c r="P1486" s="2" t="s">
        <v>21</v>
      </c>
    </row>
    <row r="1487">
      <c r="A1487" s="3" t="s">
        <v>35</v>
      </c>
      <c r="B1487" s="4">
        <v>45203.29166666667</v>
      </c>
      <c r="C1487" s="2" t="s">
        <v>18</v>
      </c>
      <c r="D1487" s="2" t="s">
        <v>19</v>
      </c>
      <c r="E1487" s="2" t="s">
        <v>58</v>
      </c>
      <c r="F1487" s="2"/>
      <c r="G1487" s="2">
        <v>0.0</v>
      </c>
      <c r="H1487" s="2">
        <v>0.0</v>
      </c>
      <c r="I1487" s="2">
        <v>0.0</v>
      </c>
      <c r="J1487" s="2">
        <v>0.0</v>
      </c>
      <c r="K1487" s="2">
        <v>0.0</v>
      </c>
      <c r="L1487" s="2">
        <v>0.0</v>
      </c>
      <c r="M1487" s="2"/>
      <c r="N1487" s="2"/>
      <c r="O1487" s="2"/>
      <c r="P1487" s="2" t="s">
        <v>21</v>
      </c>
    </row>
    <row r="1488">
      <c r="A1488" s="3" t="s">
        <v>36</v>
      </c>
      <c r="B1488" s="4">
        <v>45264.29166666667</v>
      </c>
      <c r="C1488" s="2" t="s">
        <v>18</v>
      </c>
      <c r="D1488" s="2" t="s">
        <v>19</v>
      </c>
      <c r="E1488" s="2" t="s">
        <v>58</v>
      </c>
      <c r="F1488" s="2"/>
      <c r="G1488" s="2">
        <v>7.0</v>
      </c>
      <c r="H1488" s="2">
        <v>0.0</v>
      </c>
      <c r="I1488" s="2">
        <v>2.0</v>
      </c>
      <c r="J1488" s="2">
        <v>5.0</v>
      </c>
      <c r="K1488" s="2">
        <v>0.0</v>
      </c>
      <c r="L1488" s="2">
        <v>0.0</v>
      </c>
      <c r="M1488" s="2"/>
      <c r="N1488" s="2"/>
      <c r="O1488" s="2"/>
      <c r="P1488" s="2" t="s">
        <v>21</v>
      </c>
    </row>
    <row r="1489">
      <c r="A1489" s="3" t="s">
        <v>37</v>
      </c>
      <c r="B1489" s="4">
        <v>45293.29166666667</v>
      </c>
      <c r="C1489" s="2" t="s">
        <v>18</v>
      </c>
      <c r="D1489" s="2" t="s">
        <v>19</v>
      </c>
      <c r="E1489" s="2" t="s">
        <v>58</v>
      </c>
      <c r="F1489" s="2"/>
      <c r="G1489" s="2">
        <v>7.0</v>
      </c>
      <c r="H1489" s="2">
        <v>1.0</v>
      </c>
      <c r="I1489" s="2">
        <v>3.0</v>
      </c>
      <c r="J1489" s="2">
        <v>0.0</v>
      </c>
      <c r="K1489" s="2">
        <v>3.0</v>
      </c>
      <c r="L1489" s="2">
        <v>2.0</v>
      </c>
      <c r="M1489" s="2"/>
      <c r="N1489" s="2"/>
      <c r="O1489" s="2"/>
      <c r="P1489" s="2" t="s">
        <v>21</v>
      </c>
    </row>
    <row r="1490">
      <c r="A1490" s="3" t="s">
        <v>38</v>
      </c>
      <c r="B1490" s="2" t="s">
        <v>17</v>
      </c>
      <c r="C1490" s="2" t="s">
        <v>18</v>
      </c>
      <c r="D1490" s="2" t="s">
        <v>19</v>
      </c>
      <c r="E1490" s="2" t="s">
        <v>151</v>
      </c>
      <c r="F1490" s="2">
        <v>15.0</v>
      </c>
      <c r="G1490" s="2">
        <v>26.0</v>
      </c>
      <c r="H1490" s="2">
        <v>19.0</v>
      </c>
      <c r="I1490" s="2">
        <v>4.0</v>
      </c>
      <c r="J1490" s="2">
        <v>3.0</v>
      </c>
      <c r="K1490" s="2">
        <v>0.0</v>
      </c>
      <c r="L1490" s="2">
        <v>0.0</v>
      </c>
      <c r="M1490" s="2">
        <v>-4.0</v>
      </c>
      <c r="N1490" s="2"/>
      <c r="O1490" s="2"/>
      <c r="P1490" s="2" t="s">
        <v>195</v>
      </c>
    </row>
    <row r="1491">
      <c r="A1491" s="3" t="s">
        <v>39</v>
      </c>
      <c r="B1491" s="2" t="s">
        <v>17</v>
      </c>
      <c r="C1491" s="2" t="s">
        <v>18</v>
      </c>
      <c r="D1491" s="2" t="s">
        <v>23</v>
      </c>
      <c r="E1491" s="2" t="s">
        <v>151</v>
      </c>
      <c r="F1491" s="2">
        <v>15.0</v>
      </c>
      <c r="G1491" s="2">
        <v>26.0</v>
      </c>
      <c r="H1491" s="2">
        <v>19.0</v>
      </c>
      <c r="I1491" s="2">
        <v>4.0</v>
      </c>
      <c r="J1491" s="2">
        <v>3.0</v>
      </c>
      <c r="K1491" s="2">
        <v>0.0</v>
      </c>
      <c r="L1491" s="2">
        <v>0.0</v>
      </c>
      <c r="M1491" s="2">
        <v>-4.0</v>
      </c>
      <c r="N1491" s="2">
        <v>0.0</v>
      </c>
      <c r="O1491" s="2">
        <v>-23.0</v>
      </c>
      <c r="P1491" s="2" t="s">
        <v>195</v>
      </c>
    </row>
    <row r="1492">
      <c r="A1492" s="3" t="s">
        <v>40</v>
      </c>
      <c r="B1492" s="4">
        <v>45232.25</v>
      </c>
      <c r="C1492" s="2" t="s">
        <v>18</v>
      </c>
      <c r="D1492" s="2" t="s">
        <v>19</v>
      </c>
      <c r="E1492" s="2" t="s">
        <v>151</v>
      </c>
      <c r="F1492" s="2"/>
      <c r="G1492" s="2">
        <v>19.0</v>
      </c>
      <c r="H1492" s="2">
        <v>13.0</v>
      </c>
      <c r="I1492" s="2">
        <v>3.0</v>
      </c>
      <c r="J1492" s="2">
        <v>3.0</v>
      </c>
      <c r="K1492" s="2">
        <v>0.0</v>
      </c>
      <c r="L1492" s="2">
        <v>0.0</v>
      </c>
      <c r="M1492" s="2"/>
      <c r="N1492" s="2"/>
      <c r="O1492" s="2"/>
      <c r="P1492" s="2" t="s">
        <v>195</v>
      </c>
    </row>
    <row r="1493">
      <c r="A1493" s="3" t="s">
        <v>41</v>
      </c>
      <c r="B1493" s="4">
        <v>45294.29166666667</v>
      </c>
      <c r="C1493" s="2" t="s">
        <v>18</v>
      </c>
      <c r="D1493" s="2" t="s">
        <v>19</v>
      </c>
      <c r="E1493" s="2" t="s">
        <v>151</v>
      </c>
      <c r="F1493" s="2"/>
      <c r="G1493" s="2">
        <v>7.0</v>
      </c>
      <c r="H1493" s="2">
        <v>6.0</v>
      </c>
      <c r="I1493" s="2">
        <v>1.0</v>
      </c>
      <c r="J1493" s="2">
        <v>0.0</v>
      </c>
      <c r="K1493" s="2">
        <v>0.0</v>
      </c>
      <c r="L1493" s="2">
        <v>0.0</v>
      </c>
      <c r="M1493" s="2"/>
      <c r="N1493" s="2"/>
      <c r="O1493" s="2"/>
      <c r="P1493" s="2" t="s">
        <v>195</v>
      </c>
    </row>
    <row r="1494">
      <c r="A1494" s="3" t="s">
        <v>42</v>
      </c>
      <c r="B1494" s="2" t="s">
        <v>17</v>
      </c>
      <c r="C1494" s="2" t="s">
        <v>18</v>
      </c>
      <c r="D1494" s="2" t="s">
        <v>19</v>
      </c>
      <c r="E1494" s="2" t="s">
        <v>274</v>
      </c>
      <c r="F1494" s="2">
        <v>15.0</v>
      </c>
      <c r="G1494" s="2">
        <v>23.0</v>
      </c>
      <c r="H1494" s="2">
        <v>16.0</v>
      </c>
      <c r="I1494" s="2">
        <v>3.0</v>
      </c>
      <c r="J1494" s="2">
        <v>4.0</v>
      </c>
      <c r="K1494" s="2">
        <v>0.0</v>
      </c>
      <c r="L1494" s="2">
        <v>0.0</v>
      </c>
      <c r="M1494" s="2">
        <v>-1.0</v>
      </c>
      <c r="N1494" s="2"/>
      <c r="O1494" s="2"/>
      <c r="P1494" s="2" t="s">
        <v>195</v>
      </c>
    </row>
    <row r="1495">
      <c r="A1495" s="3" t="s">
        <v>43</v>
      </c>
      <c r="B1495" s="2" t="s">
        <v>17</v>
      </c>
      <c r="C1495" s="2" t="s">
        <v>18</v>
      </c>
      <c r="D1495" s="2" t="s">
        <v>23</v>
      </c>
      <c r="E1495" s="2" t="s">
        <v>274</v>
      </c>
      <c r="F1495" s="2">
        <v>15.0</v>
      </c>
      <c r="G1495" s="2">
        <v>23.0</v>
      </c>
      <c r="H1495" s="2">
        <v>16.0</v>
      </c>
      <c r="I1495" s="2">
        <v>3.0</v>
      </c>
      <c r="J1495" s="2">
        <v>4.0</v>
      </c>
      <c r="K1495" s="2">
        <v>0.0</v>
      </c>
      <c r="L1495" s="2">
        <v>0.0</v>
      </c>
      <c r="M1495" s="2">
        <v>-1.0</v>
      </c>
      <c r="N1495" s="2">
        <v>0.0</v>
      </c>
      <c r="O1495" s="2">
        <v>-17.0</v>
      </c>
      <c r="P1495" s="2" t="s">
        <v>195</v>
      </c>
    </row>
    <row r="1496">
      <c r="A1496" s="3" t="s">
        <v>44</v>
      </c>
      <c r="B1496" s="4">
        <v>45232.25</v>
      </c>
      <c r="C1496" s="2" t="s">
        <v>18</v>
      </c>
      <c r="D1496" s="2" t="s">
        <v>19</v>
      </c>
      <c r="E1496" s="2" t="s">
        <v>274</v>
      </c>
      <c r="F1496" s="2"/>
      <c r="G1496" s="2">
        <v>20.0</v>
      </c>
      <c r="H1496" s="2">
        <v>13.0</v>
      </c>
      <c r="I1496" s="2">
        <v>3.0</v>
      </c>
      <c r="J1496" s="2">
        <v>4.0</v>
      </c>
      <c r="K1496" s="2">
        <v>0.0</v>
      </c>
      <c r="L1496" s="2">
        <v>0.0</v>
      </c>
      <c r="M1496" s="2"/>
      <c r="N1496" s="2"/>
      <c r="O1496" s="2"/>
      <c r="P1496" s="2" t="s">
        <v>195</v>
      </c>
    </row>
    <row r="1497">
      <c r="A1497" s="3" t="s">
        <v>45</v>
      </c>
      <c r="B1497" s="4">
        <v>45293.29166666667</v>
      </c>
      <c r="C1497" s="2" t="s">
        <v>18</v>
      </c>
      <c r="D1497" s="2" t="s">
        <v>19</v>
      </c>
      <c r="E1497" s="2" t="s">
        <v>274</v>
      </c>
      <c r="F1497" s="2"/>
      <c r="G1497" s="2">
        <v>1.0</v>
      </c>
      <c r="H1497" s="2">
        <v>1.0</v>
      </c>
      <c r="I1497" s="2">
        <v>0.0</v>
      </c>
      <c r="J1497" s="2">
        <v>0.0</v>
      </c>
      <c r="K1497" s="2">
        <v>0.0</v>
      </c>
      <c r="L1497" s="2">
        <v>0.0</v>
      </c>
      <c r="M1497" s="2"/>
      <c r="N1497" s="2"/>
      <c r="O1497" s="2"/>
      <c r="P1497" s="2" t="s">
        <v>195</v>
      </c>
    </row>
    <row r="1498">
      <c r="A1498" s="3" t="s">
        <v>16</v>
      </c>
      <c r="B1498" s="4">
        <v>45324.29166666667</v>
      </c>
      <c r="C1498" s="2" t="s">
        <v>18</v>
      </c>
      <c r="D1498" s="2" t="s">
        <v>19</v>
      </c>
      <c r="E1498" s="2" t="s">
        <v>274</v>
      </c>
      <c r="F1498" s="2"/>
      <c r="G1498" s="2">
        <v>2.0</v>
      </c>
      <c r="H1498" s="2">
        <v>2.0</v>
      </c>
      <c r="I1498" s="2">
        <v>0.0</v>
      </c>
      <c r="J1498" s="2">
        <v>0.0</v>
      </c>
      <c r="K1498" s="2">
        <v>0.0</v>
      </c>
      <c r="L1498" s="2">
        <v>0.0</v>
      </c>
      <c r="M1498" s="2"/>
      <c r="N1498" s="2"/>
      <c r="O1498" s="2"/>
      <c r="P1498" s="2" t="s">
        <v>195</v>
      </c>
    </row>
    <row r="1499">
      <c r="A1499" s="3" t="s">
        <v>47</v>
      </c>
      <c r="B1499" s="2" t="s">
        <v>17</v>
      </c>
      <c r="C1499" s="2" t="s">
        <v>18</v>
      </c>
      <c r="D1499" s="2" t="s">
        <v>109</v>
      </c>
      <c r="E1499" s="2" t="s">
        <v>27</v>
      </c>
      <c r="F1499" s="2">
        <v>40.0</v>
      </c>
      <c r="G1499" s="2">
        <v>60.0</v>
      </c>
      <c r="H1499" s="2">
        <v>42.0</v>
      </c>
      <c r="I1499" s="2">
        <v>18.0</v>
      </c>
      <c r="J1499" s="2">
        <v>0.0</v>
      </c>
      <c r="K1499" s="2">
        <v>0.0</v>
      </c>
      <c r="L1499" s="2">
        <v>0.0</v>
      </c>
      <c r="M1499" s="2">
        <v>-2.0</v>
      </c>
      <c r="N1499" s="2"/>
      <c r="O1499" s="2"/>
      <c r="P1499" s="2" t="s">
        <v>111</v>
      </c>
    </row>
    <row r="1500">
      <c r="A1500" s="3" t="s">
        <v>48</v>
      </c>
      <c r="B1500" s="2" t="s">
        <v>17</v>
      </c>
      <c r="C1500" s="2" t="s">
        <v>18</v>
      </c>
      <c r="D1500" s="2" t="s">
        <v>91</v>
      </c>
      <c r="E1500" s="2" t="s">
        <v>27</v>
      </c>
      <c r="F1500" s="2">
        <v>150.0</v>
      </c>
      <c r="G1500" s="2">
        <v>192.0</v>
      </c>
      <c r="H1500" s="2">
        <v>138.0</v>
      </c>
      <c r="I1500" s="2">
        <v>54.0</v>
      </c>
      <c r="J1500" s="2">
        <v>0.0</v>
      </c>
      <c r="K1500" s="2">
        <v>0.0</v>
      </c>
      <c r="L1500" s="2">
        <v>0.0</v>
      </c>
      <c r="M1500" s="2">
        <v>12.0</v>
      </c>
      <c r="N1500" s="2"/>
      <c r="O1500" s="2"/>
      <c r="P1500" s="2" t="s">
        <v>111</v>
      </c>
    </row>
    <row r="1501">
      <c r="A1501" s="3" t="s">
        <v>49</v>
      </c>
      <c r="B1501" s="2" t="s">
        <v>17</v>
      </c>
      <c r="C1501" s="2" t="s">
        <v>18</v>
      </c>
      <c r="D1501" s="2" t="s">
        <v>19</v>
      </c>
      <c r="E1501" s="2" t="s">
        <v>27</v>
      </c>
      <c r="F1501" s="2">
        <v>30.0</v>
      </c>
      <c r="G1501" s="2">
        <v>45.0</v>
      </c>
      <c r="H1501" s="2">
        <v>32.0</v>
      </c>
      <c r="I1501" s="2">
        <v>13.0</v>
      </c>
      <c r="J1501" s="2">
        <v>0.0</v>
      </c>
      <c r="K1501" s="2">
        <v>0.0</v>
      </c>
      <c r="L1501" s="2">
        <v>0.0</v>
      </c>
      <c r="M1501" s="2">
        <v>-2.0</v>
      </c>
      <c r="N1501" s="2"/>
      <c r="O1501" s="2"/>
      <c r="P1501" s="2" t="s">
        <v>111</v>
      </c>
    </row>
    <row r="1502">
      <c r="A1502" s="3" t="s">
        <v>51</v>
      </c>
      <c r="B1502" s="2" t="s">
        <v>17</v>
      </c>
      <c r="C1502" s="2" t="s">
        <v>18</v>
      </c>
      <c r="D1502" s="2" t="s">
        <v>69</v>
      </c>
      <c r="E1502" s="2" t="s">
        <v>27</v>
      </c>
      <c r="F1502" s="2">
        <v>50.0</v>
      </c>
      <c r="G1502" s="2">
        <v>2.0</v>
      </c>
      <c r="H1502" s="2">
        <v>2.0</v>
      </c>
      <c r="I1502" s="2">
        <v>0.0</v>
      </c>
      <c r="J1502" s="2">
        <v>0.0</v>
      </c>
      <c r="K1502" s="2">
        <v>0.0</v>
      </c>
      <c r="L1502" s="2">
        <v>0.0</v>
      </c>
      <c r="M1502" s="2">
        <v>48.0</v>
      </c>
      <c r="N1502" s="2"/>
      <c r="O1502" s="2"/>
      <c r="P1502" s="2" t="s">
        <v>111</v>
      </c>
    </row>
    <row r="1503">
      <c r="A1503" s="3" t="s">
        <v>52</v>
      </c>
      <c r="B1503" s="2" t="s">
        <v>17</v>
      </c>
      <c r="C1503" s="2" t="s">
        <v>18</v>
      </c>
      <c r="D1503" s="2" t="s">
        <v>23</v>
      </c>
      <c r="E1503" s="2" t="s">
        <v>27</v>
      </c>
      <c r="F1503" s="2">
        <v>208.0</v>
      </c>
      <c r="G1503" s="2">
        <v>299.0</v>
      </c>
      <c r="H1503" s="2">
        <v>214.0</v>
      </c>
      <c r="I1503" s="2">
        <v>85.0</v>
      </c>
      <c r="J1503" s="2">
        <v>0.0</v>
      </c>
      <c r="K1503" s="2">
        <v>0.0</v>
      </c>
      <c r="L1503" s="2">
        <v>0.0</v>
      </c>
      <c r="M1503" s="2">
        <v>-6.0</v>
      </c>
      <c r="N1503" s="2">
        <v>-62.0</v>
      </c>
      <c r="O1503" s="2">
        <v>-220.0</v>
      </c>
      <c r="P1503" s="2" t="s">
        <v>111</v>
      </c>
    </row>
    <row r="1504">
      <c r="A1504" s="3" t="s">
        <v>53</v>
      </c>
      <c r="B1504" s="4">
        <v>45262.29166666667</v>
      </c>
      <c r="C1504" s="2" t="s">
        <v>18</v>
      </c>
      <c r="D1504" s="2" t="s">
        <v>109</v>
      </c>
      <c r="E1504" s="2" t="s">
        <v>27</v>
      </c>
      <c r="F1504" s="2"/>
      <c r="G1504" s="2">
        <v>41.0</v>
      </c>
      <c r="H1504" s="2">
        <v>28.0</v>
      </c>
      <c r="I1504" s="2">
        <v>13.0</v>
      </c>
      <c r="J1504" s="2">
        <v>0.0</v>
      </c>
      <c r="K1504" s="2">
        <v>0.0</v>
      </c>
      <c r="L1504" s="2">
        <v>0.0</v>
      </c>
      <c r="M1504" s="2"/>
      <c r="N1504" s="2"/>
      <c r="O1504" s="2"/>
      <c r="P1504" s="2" t="s">
        <v>111</v>
      </c>
    </row>
    <row r="1505">
      <c r="A1505" s="3" t="s">
        <v>54</v>
      </c>
      <c r="B1505" s="4">
        <v>45263.29166666667</v>
      </c>
      <c r="C1505" s="2" t="s">
        <v>18</v>
      </c>
      <c r="D1505" s="2" t="s">
        <v>91</v>
      </c>
      <c r="E1505" s="2" t="s">
        <v>27</v>
      </c>
      <c r="F1505" s="2"/>
      <c r="G1505" s="2">
        <v>166.0</v>
      </c>
      <c r="H1505" s="2">
        <v>120.0</v>
      </c>
      <c r="I1505" s="2">
        <v>46.0</v>
      </c>
      <c r="J1505" s="2">
        <v>0.0</v>
      </c>
      <c r="K1505" s="2">
        <v>0.0</v>
      </c>
      <c r="L1505" s="2">
        <v>0.0</v>
      </c>
      <c r="M1505" s="2"/>
      <c r="N1505" s="2"/>
      <c r="O1505" s="2"/>
      <c r="P1505" s="2" t="s">
        <v>111</v>
      </c>
    </row>
    <row r="1506">
      <c r="A1506" s="3" t="s">
        <v>55</v>
      </c>
      <c r="B1506" s="4">
        <v>45264.29166666667</v>
      </c>
      <c r="C1506" s="2" t="s">
        <v>18</v>
      </c>
      <c r="D1506" s="2" t="s">
        <v>19</v>
      </c>
      <c r="E1506" s="2" t="s">
        <v>27</v>
      </c>
      <c r="F1506" s="2"/>
      <c r="G1506" s="2">
        <v>19.0</v>
      </c>
      <c r="H1506" s="2">
        <v>11.0</v>
      </c>
      <c r="I1506" s="2">
        <v>8.0</v>
      </c>
      <c r="J1506" s="2">
        <v>0.0</v>
      </c>
      <c r="K1506" s="2">
        <v>0.0</v>
      </c>
      <c r="L1506" s="2">
        <v>0.0</v>
      </c>
      <c r="M1506" s="2"/>
      <c r="N1506" s="2"/>
      <c r="O1506" s="2"/>
      <c r="P1506" s="2" t="s">
        <v>111</v>
      </c>
    </row>
    <row r="1507">
      <c r="A1507" s="3" t="s">
        <v>56</v>
      </c>
      <c r="B1507" s="4">
        <v>45265.29166666667</v>
      </c>
      <c r="C1507" s="2" t="s">
        <v>18</v>
      </c>
      <c r="D1507" s="2" t="s">
        <v>69</v>
      </c>
      <c r="E1507" s="2" t="s">
        <v>27</v>
      </c>
      <c r="F1507" s="2"/>
      <c r="G1507" s="2">
        <v>2.0</v>
      </c>
      <c r="H1507" s="2">
        <v>2.0</v>
      </c>
      <c r="I1507" s="2">
        <v>0.0</v>
      </c>
      <c r="J1507" s="2">
        <v>0.0</v>
      </c>
      <c r="K1507" s="2">
        <v>0.0</v>
      </c>
      <c r="L1507" s="2">
        <v>0.0</v>
      </c>
      <c r="M1507" s="2"/>
      <c r="N1507" s="2"/>
      <c r="O1507" s="2"/>
      <c r="P1507" s="2" t="s">
        <v>111</v>
      </c>
    </row>
    <row r="1508">
      <c r="A1508" s="3" t="s">
        <v>59</v>
      </c>
      <c r="B1508" s="4">
        <v>45293.29166666667</v>
      </c>
      <c r="C1508" s="2" t="s">
        <v>18</v>
      </c>
      <c r="D1508" s="2" t="s">
        <v>109</v>
      </c>
      <c r="E1508" s="2" t="s">
        <v>27</v>
      </c>
      <c r="F1508" s="2"/>
      <c r="G1508" s="2">
        <v>19.0</v>
      </c>
      <c r="H1508" s="2">
        <v>14.0</v>
      </c>
      <c r="I1508" s="2">
        <v>5.0</v>
      </c>
      <c r="J1508" s="2">
        <v>0.0</v>
      </c>
      <c r="K1508" s="2">
        <v>0.0</v>
      </c>
      <c r="L1508" s="2">
        <v>0.0</v>
      </c>
      <c r="M1508" s="2"/>
      <c r="N1508" s="2"/>
      <c r="O1508" s="2"/>
      <c r="P1508" s="2" t="s">
        <v>111</v>
      </c>
    </row>
    <row r="1509">
      <c r="A1509" s="3" t="s">
        <v>60</v>
      </c>
      <c r="B1509" s="4">
        <v>45294.29166666667</v>
      </c>
      <c r="C1509" s="2" t="s">
        <v>18</v>
      </c>
      <c r="D1509" s="2" t="s">
        <v>91</v>
      </c>
      <c r="E1509" s="2" t="s">
        <v>27</v>
      </c>
      <c r="F1509" s="2"/>
      <c r="G1509" s="2">
        <v>26.0</v>
      </c>
      <c r="H1509" s="2">
        <v>18.0</v>
      </c>
      <c r="I1509" s="2">
        <v>8.0</v>
      </c>
      <c r="J1509" s="2">
        <v>0.0</v>
      </c>
      <c r="K1509" s="2">
        <v>0.0</v>
      </c>
      <c r="L1509" s="2">
        <v>0.0</v>
      </c>
      <c r="M1509" s="2"/>
      <c r="N1509" s="2"/>
      <c r="O1509" s="2"/>
      <c r="P1509" s="2" t="s">
        <v>111</v>
      </c>
    </row>
    <row r="1510">
      <c r="A1510" s="3" t="s">
        <v>61</v>
      </c>
      <c r="B1510" s="4">
        <v>45295.29166666667</v>
      </c>
      <c r="C1510" s="2" t="s">
        <v>18</v>
      </c>
      <c r="D1510" s="2" t="s">
        <v>19</v>
      </c>
      <c r="E1510" s="2" t="s">
        <v>27</v>
      </c>
      <c r="F1510" s="2"/>
      <c r="G1510" s="2">
        <v>26.0</v>
      </c>
      <c r="H1510" s="2">
        <v>21.0</v>
      </c>
      <c r="I1510" s="2">
        <v>5.0</v>
      </c>
      <c r="J1510" s="2">
        <v>0.0</v>
      </c>
      <c r="K1510" s="2">
        <v>0.0</v>
      </c>
      <c r="L1510" s="2">
        <v>0.0</v>
      </c>
      <c r="M1510" s="2"/>
      <c r="N1510" s="2"/>
      <c r="O1510" s="2"/>
      <c r="P1510" s="2" t="s">
        <v>111</v>
      </c>
    </row>
    <row r="1511">
      <c r="A1511" s="3" t="s">
        <v>62</v>
      </c>
      <c r="B1511" s="4">
        <v>45296.29166666667</v>
      </c>
      <c r="C1511" s="2" t="s">
        <v>18</v>
      </c>
      <c r="D1511" s="2" t="s">
        <v>69</v>
      </c>
      <c r="E1511" s="2" t="s">
        <v>27</v>
      </c>
      <c r="F1511" s="2"/>
      <c r="G1511" s="2">
        <v>0.0</v>
      </c>
      <c r="H1511" s="2">
        <v>0.0</v>
      </c>
      <c r="I1511" s="2">
        <v>0.0</v>
      </c>
      <c r="J1511" s="2">
        <v>0.0</v>
      </c>
      <c r="K1511" s="2">
        <v>0.0</v>
      </c>
      <c r="L1511" s="2">
        <v>0.0</v>
      </c>
      <c r="M1511" s="2"/>
      <c r="N1511" s="2"/>
      <c r="O1511" s="2"/>
      <c r="P1511" s="2" t="s">
        <v>111</v>
      </c>
    </row>
    <row r="1512">
      <c r="A1512" s="3" t="s">
        <v>63</v>
      </c>
      <c r="B1512" s="2" t="s">
        <v>17</v>
      </c>
      <c r="C1512" s="2" t="s">
        <v>18</v>
      </c>
      <c r="D1512" s="2" t="s">
        <v>19</v>
      </c>
      <c r="E1512" s="2" t="s">
        <v>198</v>
      </c>
      <c r="F1512" s="2">
        <v>140.0</v>
      </c>
      <c r="G1512" s="2">
        <v>215.0</v>
      </c>
      <c r="H1512" s="2">
        <v>149.0</v>
      </c>
      <c r="I1512" s="2">
        <v>64.0</v>
      </c>
      <c r="J1512" s="2">
        <v>2.0</v>
      </c>
      <c r="K1512" s="2">
        <v>0.0</v>
      </c>
      <c r="L1512" s="2">
        <v>0.0</v>
      </c>
      <c r="M1512" s="2">
        <v>-9.0</v>
      </c>
      <c r="N1512" s="2"/>
      <c r="O1512" s="2"/>
      <c r="P1512" s="2" t="s">
        <v>146</v>
      </c>
    </row>
    <row r="1513">
      <c r="A1513" s="3" t="s">
        <v>64</v>
      </c>
      <c r="B1513" s="2" t="s">
        <v>17</v>
      </c>
      <c r="C1513" s="2" t="s">
        <v>18</v>
      </c>
      <c r="D1513" s="2" t="s">
        <v>23</v>
      </c>
      <c r="E1513" s="2" t="s">
        <v>198</v>
      </c>
      <c r="F1513" s="2">
        <v>140.0</v>
      </c>
      <c r="G1513" s="2">
        <v>215.0</v>
      </c>
      <c r="H1513" s="2">
        <v>149.0</v>
      </c>
      <c r="I1513" s="2">
        <v>64.0</v>
      </c>
      <c r="J1513" s="2">
        <v>2.0</v>
      </c>
      <c r="K1513" s="2">
        <v>0.0</v>
      </c>
      <c r="L1513" s="2">
        <v>0.0</v>
      </c>
      <c r="M1513" s="2">
        <v>-9.0</v>
      </c>
      <c r="N1513" s="2">
        <v>0.0</v>
      </c>
      <c r="O1513" s="2">
        <v>-158.0</v>
      </c>
      <c r="P1513" s="2" t="s">
        <v>146</v>
      </c>
    </row>
    <row r="1514">
      <c r="A1514" s="3" t="s">
        <v>65</v>
      </c>
      <c r="B1514" s="4">
        <v>45201.29166666667</v>
      </c>
      <c r="C1514" s="2" t="s">
        <v>18</v>
      </c>
      <c r="D1514" s="2" t="s">
        <v>19</v>
      </c>
      <c r="E1514" s="2" t="s">
        <v>198</v>
      </c>
      <c r="F1514" s="2"/>
      <c r="G1514" s="2">
        <v>36.0</v>
      </c>
      <c r="H1514" s="2">
        <v>20.0</v>
      </c>
      <c r="I1514" s="2">
        <v>15.0</v>
      </c>
      <c r="J1514" s="2">
        <v>1.0</v>
      </c>
      <c r="K1514" s="2">
        <v>0.0</v>
      </c>
      <c r="L1514" s="2">
        <v>0.0</v>
      </c>
      <c r="M1514" s="2"/>
      <c r="N1514" s="2"/>
      <c r="O1514" s="2"/>
      <c r="P1514" s="2" t="s">
        <v>146</v>
      </c>
    </row>
    <row r="1515">
      <c r="A1515" s="3" t="s">
        <v>66</v>
      </c>
      <c r="B1515" s="4">
        <v>45232.25</v>
      </c>
      <c r="C1515" s="2" t="s">
        <v>18</v>
      </c>
      <c r="D1515" s="2" t="s">
        <v>19</v>
      </c>
      <c r="E1515" s="2" t="s">
        <v>198</v>
      </c>
      <c r="F1515" s="2"/>
      <c r="G1515" s="2">
        <v>96.0</v>
      </c>
      <c r="H1515" s="2">
        <v>69.0</v>
      </c>
      <c r="I1515" s="2">
        <v>26.0</v>
      </c>
      <c r="J1515" s="2">
        <v>1.0</v>
      </c>
      <c r="K1515" s="2">
        <v>0.0</v>
      </c>
      <c r="L1515" s="2">
        <v>0.0</v>
      </c>
      <c r="M1515" s="2"/>
      <c r="N1515" s="2"/>
      <c r="O1515" s="2"/>
      <c r="P1515" s="2" t="s">
        <v>146</v>
      </c>
    </row>
    <row r="1516">
      <c r="A1516" s="3" t="s">
        <v>68</v>
      </c>
      <c r="B1516" s="4">
        <v>45293.29166666667</v>
      </c>
      <c r="C1516" s="2" t="s">
        <v>18</v>
      </c>
      <c r="D1516" s="2" t="s">
        <v>19</v>
      </c>
      <c r="E1516" s="2" t="s">
        <v>198</v>
      </c>
      <c r="F1516" s="2"/>
      <c r="G1516" s="2">
        <v>83.0</v>
      </c>
      <c r="H1516" s="2">
        <v>60.0</v>
      </c>
      <c r="I1516" s="2">
        <v>23.0</v>
      </c>
      <c r="J1516" s="2">
        <v>0.0</v>
      </c>
      <c r="K1516" s="2">
        <v>0.0</v>
      </c>
      <c r="L1516" s="2">
        <v>0.0</v>
      </c>
      <c r="M1516" s="2"/>
      <c r="N1516" s="2"/>
      <c r="O1516" s="2"/>
      <c r="P1516" s="2" t="s">
        <v>146</v>
      </c>
    </row>
    <row r="1517">
      <c r="A1517" s="3" t="s">
        <v>70</v>
      </c>
      <c r="B1517" s="2" t="s">
        <v>17</v>
      </c>
      <c r="C1517" s="2" t="s">
        <v>18</v>
      </c>
      <c r="D1517" s="2" t="s">
        <v>19</v>
      </c>
      <c r="E1517" s="2" t="s">
        <v>275</v>
      </c>
      <c r="F1517" s="2">
        <v>5.0</v>
      </c>
      <c r="G1517" s="2">
        <v>3.0</v>
      </c>
      <c r="H1517" s="2">
        <v>1.0</v>
      </c>
      <c r="I1517" s="2">
        <v>2.0</v>
      </c>
      <c r="J1517" s="2">
        <v>0.0</v>
      </c>
      <c r="K1517" s="2">
        <v>0.0</v>
      </c>
      <c r="L1517" s="2">
        <v>0.0</v>
      </c>
      <c r="M1517" s="2">
        <v>4.0</v>
      </c>
      <c r="N1517" s="2"/>
      <c r="O1517" s="2"/>
      <c r="P1517" s="2" t="s">
        <v>111</v>
      </c>
    </row>
    <row r="1518">
      <c r="A1518" s="3" t="s">
        <v>16</v>
      </c>
      <c r="B1518" s="2" t="s">
        <v>17</v>
      </c>
      <c r="C1518" s="2" t="s">
        <v>18</v>
      </c>
      <c r="D1518" s="2" t="s">
        <v>19</v>
      </c>
      <c r="E1518" s="2" t="s">
        <v>276</v>
      </c>
      <c r="F1518" s="2">
        <v>5.0</v>
      </c>
      <c r="G1518" s="2">
        <v>0.0</v>
      </c>
      <c r="H1518" s="2">
        <v>0.0</v>
      </c>
      <c r="I1518" s="2">
        <v>0.0</v>
      </c>
      <c r="J1518" s="2">
        <v>0.0</v>
      </c>
      <c r="K1518" s="2">
        <v>0.0</v>
      </c>
      <c r="L1518" s="2">
        <v>0.0</v>
      </c>
      <c r="M1518" s="2">
        <v>5.0</v>
      </c>
      <c r="N1518" s="2"/>
      <c r="O1518" s="2"/>
      <c r="P1518" s="2" t="s">
        <v>111</v>
      </c>
    </row>
    <row r="1519">
      <c r="A1519" s="3" t="s">
        <v>71</v>
      </c>
      <c r="B1519" s="2" t="s">
        <v>17</v>
      </c>
      <c r="C1519" s="2" t="s">
        <v>148</v>
      </c>
      <c r="D1519" s="2" t="s">
        <v>19</v>
      </c>
      <c r="E1519" s="2" t="s">
        <v>277</v>
      </c>
      <c r="F1519" s="2">
        <v>2.0</v>
      </c>
      <c r="G1519" s="2">
        <v>6.0</v>
      </c>
      <c r="H1519" s="2">
        <v>3.0</v>
      </c>
      <c r="I1519" s="2">
        <v>3.0</v>
      </c>
      <c r="J1519" s="2">
        <v>0.0</v>
      </c>
      <c r="K1519" s="2">
        <v>0.0</v>
      </c>
      <c r="L1519" s="2">
        <v>0.0</v>
      </c>
      <c r="M1519" s="2">
        <v>-1.0</v>
      </c>
      <c r="N1519" s="2"/>
      <c r="O1519" s="2"/>
      <c r="P1519" s="2" t="s">
        <v>111</v>
      </c>
    </row>
    <row r="1520">
      <c r="A1520" s="3" t="s">
        <v>72</v>
      </c>
      <c r="B1520" s="2" t="s">
        <v>17</v>
      </c>
      <c r="C1520" s="2" t="s">
        <v>18</v>
      </c>
      <c r="D1520" s="2" t="s">
        <v>19</v>
      </c>
      <c r="E1520" s="2" t="s">
        <v>278</v>
      </c>
      <c r="F1520" s="2">
        <v>2.0</v>
      </c>
      <c r="G1520" s="2">
        <v>1.0</v>
      </c>
      <c r="H1520" s="2">
        <v>1.0</v>
      </c>
      <c r="I1520" s="2">
        <v>0.0</v>
      </c>
      <c r="J1520" s="2">
        <v>0.0</v>
      </c>
      <c r="K1520" s="2">
        <v>0.0</v>
      </c>
      <c r="L1520" s="2">
        <v>0.0</v>
      </c>
      <c r="M1520" s="2">
        <v>1.0</v>
      </c>
      <c r="N1520" s="2"/>
      <c r="O1520" s="2"/>
      <c r="P1520" s="2" t="s">
        <v>111</v>
      </c>
    </row>
    <row r="1521">
      <c r="A1521" s="3" t="s">
        <v>73</v>
      </c>
      <c r="B1521" s="2" t="s">
        <v>17</v>
      </c>
      <c r="C1521" s="2" t="s">
        <v>18</v>
      </c>
      <c r="D1521" s="2" t="s">
        <v>19</v>
      </c>
      <c r="E1521" s="2" t="s">
        <v>279</v>
      </c>
      <c r="F1521" s="2">
        <v>2.0</v>
      </c>
      <c r="G1521" s="2">
        <v>2.0</v>
      </c>
      <c r="H1521" s="2">
        <v>1.0</v>
      </c>
      <c r="I1521" s="2">
        <v>1.0</v>
      </c>
      <c r="J1521" s="2">
        <v>0.0</v>
      </c>
      <c r="K1521" s="2">
        <v>0.0</v>
      </c>
      <c r="L1521" s="2">
        <v>0.0</v>
      </c>
      <c r="M1521" s="2">
        <v>1.0</v>
      </c>
      <c r="N1521" s="2"/>
      <c r="O1521" s="2"/>
      <c r="P1521" s="2" t="s">
        <v>111</v>
      </c>
    </row>
    <row r="1522">
      <c r="A1522" s="3" t="s">
        <v>74</v>
      </c>
      <c r="B1522" s="2" t="s">
        <v>17</v>
      </c>
      <c r="C1522" s="2" t="s">
        <v>18</v>
      </c>
      <c r="D1522" s="2" t="s">
        <v>19</v>
      </c>
      <c r="E1522" s="2" t="s">
        <v>280</v>
      </c>
      <c r="F1522" s="2">
        <v>2.0</v>
      </c>
      <c r="G1522" s="2">
        <v>2.0</v>
      </c>
      <c r="H1522" s="2">
        <v>1.0</v>
      </c>
      <c r="I1522" s="2">
        <v>1.0</v>
      </c>
      <c r="J1522" s="2">
        <v>0.0</v>
      </c>
      <c r="K1522" s="2">
        <v>0.0</v>
      </c>
      <c r="L1522" s="2">
        <v>0.0</v>
      </c>
      <c r="M1522" s="2">
        <v>1.0</v>
      </c>
      <c r="N1522" s="2"/>
      <c r="O1522" s="2"/>
      <c r="P1522" s="2" t="s">
        <v>111</v>
      </c>
    </row>
    <row r="1523">
      <c r="A1523" s="3" t="s">
        <v>75</v>
      </c>
      <c r="B1523" s="2" t="s">
        <v>17</v>
      </c>
      <c r="C1523" s="2" t="s">
        <v>148</v>
      </c>
      <c r="D1523" s="2" t="s">
        <v>19</v>
      </c>
      <c r="E1523" s="2" t="s">
        <v>281</v>
      </c>
      <c r="F1523" s="2">
        <v>3.0</v>
      </c>
      <c r="G1523" s="2">
        <v>5.0</v>
      </c>
      <c r="H1523" s="2">
        <v>4.0</v>
      </c>
      <c r="I1523" s="2">
        <v>1.0</v>
      </c>
      <c r="J1523" s="2">
        <v>0.0</v>
      </c>
      <c r="K1523" s="2">
        <v>0.0</v>
      </c>
      <c r="L1523" s="2">
        <v>0.0</v>
      </c>
      <c r="M1523" s="2">
        <v>-1.0</v>
      </c>
      <c r="N1523" s="2"/>
      <c r="O1523" s="2"/>
      <c r="P1523" s="2" t="s">
        <v>111</v>
      </c>
    </row>
    <row r="1524">
      <c r="A1524" s="3" t="s">
        <v>76</v>
      </c>
      <c r="B1524" s="2" t="s">
        <v>17</v>
      </c>
      <c r="C1524" s="2" t="s">
        <v>148</v>
      </c>
      <c r="D1524" s="2" t="s">
        <v>19</v>
      </c>
      <c r="E1524" s="2" t="s">
        <v>282</v>
      </c>
      <c r="F1524" s="2">
        <v>2.0</v>
      </c>
      <c r="G1524" s="2">
        <v>1.0</v>
      </c>
      <c r="H1524" s="2">
        <v>0.0</v>
      </c>
      <c r="I1524" s="2">
        <v>1.0</v>
      </c>
      <c r="J1524" s="2">
        <v>0.0</v>
      </c>
      <c r="K1524" s="2">
        <v>0.0</v>
      </c>
      <c r="L1524" s="2">
        <v>0.0</v>
      </c>
      <c r="M1524" s="2">
        <v>2.0</v>
      </c>
      <c r="N1524" s="2"/>
      <c r="O1524" s="2"/>
      <c r="P1524" s="2" t="s">
        <v>111</v>
      </c>
    </row>
    <row r="1525">
      <c r="A1525" s="3" t="s">
        <v>77</v>
      </c>
      <c r="B1525" s="2" t="s">
        <v>17</v>
      </c>
      <c r="C1525" s="2" t="s">
        <v>18</v>
      </c>
      <c r="D1525" s="2" t="s">
        <v>127</v>
      </c>
      <c r="E1525" s="2" t="s">
        <v>275</v>
      </c>
      <c r="F1525" s="2">
        <v>5.0</v>
      </c>
      <c r="G1525" s="2">
        <v>4.0</v>
      </c>
      <c r="H1525" s="2">
        <v>3.0</v>
      </c>
      <c r="I1525" s="2">
        <v>1.0</v>
      </c>
      <c r="J1525" s="2">
        <v>0.0</v>
      </c>
      <c r="K1525" s="2">
        <v>0.0</v>
      </c>
      <c r="L1525" s="2">
        <v>0.0</v>
      </c>
      <c r="M1525" s="2">
        <v>2.0</v>
      </c>
      <c r="N1525" s="2"/>
      <c r="O1525" s="2"/>
      <c r="P1525" s="2" t="s">
        <v>111</v>
      </c>
    </row>
    <row r="1526">
      <c r="A1526" s="3" t="s">
        <v>78</v>
      </c>
      <c r="B1526" s="2" t="s">
        <v>17</v>
      </c>
      <c r="C1526" s="2" t="s">
        <v>18</v>
      </c>
      <c r="D1526" s="2" t="s">
        <v>127</v>
      </c>
      <c r="E1526" s="2" t="s">
        <v>276</v>
      </c>
      <c r="F1526" s="2">
        <v>5.0</v>
      </c>
      <c r="G1526" s="2">
        <v>1.0</v>
      </c>
      <c r="H1526" s="2">
        <v>1.0</v>
      </c>
      <c r="I1526" s="2">
        <v>0.0</v>
      </c>
      <c r="J1526" s="2">
        <v>0.0</v>
      </c>
      <c r="K1526" s="2">
        <v>0.0</v>
      </c>
      <c r="L1526" s="2">
        <v>0.0</v>
      </c>
      <c r="M1526" s="2">
        <v>4.0</v>
      </c>
      <c r="N1526" s="2"/>
      <c r="O1526" s="2"/>
      <c r="P1526" s="2" t="s">
        <v>111</v>
      </c>
    </row>
    <row r="1527">
      <c r="A1527" s="3" t="s">
        <v>81</v>
      </c>
      <c r="B1527" s="2" t="s">
        <v>17</v>
      </c>
      <c r="C1527" s="2" t="s">
        <v>148</v>
      </c>
      <c r="D1527" s="2" t="s">
        <v>127</v>
      </c>
      <c r="E1527" s="2" t="s">
        <v>277</v>
      </c>
      <c r="F1527" s="2">
        <v>3.0</v>
      </c>
      <c r="G1527" s="2">
        <v>0.0</v>
      </c>
      <c r="H1527" s="2">
        <v>0.0</v>
      </c>
      <c r="I1527" s="2">
        <v>0.0</v>
      </c>
      <c r="J1527" s="2">
        <v>0.0</v>
      </c>
      <c r="K1527" s="2">
        <v>0.0</v>
      </c>
      <c r="L1527" s="2">
        <v>0.0</v>
      </c>
      <c r="M1527" s="2">
        <v>3.0</v>
      </c>
      <c r="N1527" s="2"/>
      <c r="O1527" s="2"/>
      <c r="P1527" s="2" t="s">
        <v>111</v>
      </c>
    </row>
    <row r="1528">
      <c r="A1528" s="3" t="s">
        <v>82</v>
      </c>
      <c r="B1528" s="2" t="s">
        <v>17</v>
      </c>
      <c r="C1528" s="2" t="s">
        <v>18</v>
      </c>
      <c r="D1528" s="2" t="s">
        <v>127</v>
      </c>
      <c r="E1528" s="2" t="s">
        <v>278</v>
      </c>
      <c r="F1528" s="2">
        <v>3.0</v>
      </c>
      <c r="G1528" s="2">
        <v>0.0</v>
      </c>
      <c r="H1528" s="2">
        <v>0.0</v>
      </c>
      <c r="I1528" s="2">
        <v>0.0</v>
      </c>
      <c r="J1528" s="2">
        <v>0.0</v>
      </c>
      <c r="K1528" s="2">
        <v>0.0</v>
      </c>
      <c r="L1528" s="2">
        <v>0.0</v>
      </c>
      <c r="M1528" s="2">
        <v>3.0</v>
      </c>
      <c r="N1528" s="2"/>
      <c r="O1528" s="2"/>
      <c r="P1528" s="2" t="s">
        <v>111</v>
      </c>
    </row>
    <row r="1529">
      <c r="A1529" s="3" t="s">
        <v>83</v>
      </c>
      <c r="B1529" s="2" t="s">
        <v>17</v>
      </c>
      <c r="C1529" s="2" t="s">
        <v>18</v>
      </c>
      <c r="D1529" s="2" t="s">
        <v>127</v>
      </c>
      <c r="E1529" s="2" t="s">
        <v>279</v>
      </c>
      <c r="F1529" s="2">
        <v>3.0</v>
      </c>
      <c r="G1529" s="2">
        <v>0.0</v>
      </c>
      <c r="H1529" s="2">
        <v>0.0</v>
      </c>
      <c r="I1529" s="2">
        <v>0.0</v>
      </c>
      <c r="J1529" s="2">
        <v>0.0</v>
      </c>
      <c r="K1529" s="2">
        <v>0.0</v>
      </c>
      <c r="L1529" s="2">
        <v>0.0</v>
      </c>
      <c r="M1529" s="2">
        <v>3.0</v>
      </c>
      <c r="N1529" s="2"/>
      <c r="O1529" s="2"/>
      <c r="P1529" s="2" t="s">
        <v>111</v>
      </c>
    </row>
    <row r="1530">
      <c r="A1530" s="3" t="s">
        <v>84</v>
      </c>
      <c r="B1530" s="2" t="s">
        <v>17</v>
      </c>
      <c r="C1530" s="2" t="s">
        <v>18</v>
      </c>
      <c r="D1530" s="2" t="s">
        <v>127</v>
      </c>
      <c r="E1530" s="2" t="s">
        <v>280</v>
      </c>
      <c r="F1530" s="2">
        <v>3.0</v>
      </c>
      <c r="G1530" s="2">
        <v>0.0</v>
      </c>
      <c r="H1530" s="2">
        <v>0.0</v>
      </c>
      <c r="I1530" s="2">
        <v>0.0</v>
      </c>
      <c r="J1530" s="2">
        <v>0.0</v>
      </c>
      <c r="K1530" s="2">
        <v>0.0</v>
      </c>
      <c r="L1530" s="2">
        <v>0.0</v>
      </c>
      <c r="M1530" s="2">
        <v>3.0</v>
      </c>
      <c r="N1530" s="2"/>
      <c r="O1530" s="2"/>
      <c r="P1530" s="2" t="s">
        <v>111</v>
      </c>
    </row>
    <row r="1531">
      <c r="A1531" s="3" t="s">
        <v>85</v>
      </c>
      <c r="B1531" s="2" t="s">
        <v>17</v>
      </c>
      <c r="C1531" s="2" t="s">
        <v>148</v>
      </c>
      <c r="D1531" s="2" t="s">
        <v>127</v>
      </c>
      <c r="E1531" s="2" t="s">
        <v>281</v>
      </c>
      <c r="F1531" s="2">
        <v>2.0</v>
      </c>
      <c r="G1531" s="2">
        <v>2.0</v>
      </c>
      <c r="H1531" s="2">
        <v>1.0</v>
      </c>
      <c r="I1531" s="2">
        <v>1.0</v>
      </c>
      <c r="J1531" s="2">
        <v>0.0</v>
      </c>
      <c r="K1531" s="2">
        <v>0.0</v>
      </c>
      <c r="L1531" s="2">
        <v>0.0</v>
      </c>
      <c r="M1531" s="2">
        <v>1.0</v>
      </c>
      <c r="N1531" s="2"/>
      <c r="O1531" s="2"/>
      <c r="P1531" s="2" t="s">
        <v>111</v>
      </c>
    </row>
    <row r="1532">
      <c r="A1532" s="3" t="s">
        <v>86</v>
      </c>
      <c r="B1532" s="2" t="s">
        <v>17</v>
      </c>
      <c r="C1532" s="2" t="s">
        <v>148</v>
      </c>
      <c r="D1532" s="2" t="s">
        <v>127</v>
      </c>
      <c r="E1532" s="2" t="s">
        <v>282</v>
      </c>
      <c r="F1532" s="2">
        <v>3.0</v>
      </c>
      <c r="G1532" s="2">
        <v>0.0</v>
      </c>
      <c r="H1532" s="2">
        <v>0.0</v>
      </c>
      <c r="I1532" s="2">
        <v>0.0</v>
      </c>
      <c r="J1532" s="2">
        <v>0.0</v>
      </c>
      <c r="K1532" s="2">
        <v>0.0</v>
      </c>
      <c r="L1532" s="2">
        <v>0.0</v>
      </c>
      <c r="M1532" s="2">
        <v>3.0</v>
      </c>
      <c r="N1532" s="2"/>
      <c r="O1532" s="2"/>
      <c r="P1532" s="2" t="s">
        <v>111</v>
      </c>
    </row>
    <row r="1533">
      <c r="A1533" s="3" t="s">
        <v>87</v>
      </c>
      <c r="B1533" s="2" t="s">
        <v>17</v>
      </c>
      <c r="C1533" s="2" t="s">
        <v>18</v>
      </c>
      <c r="D1533" s="2" t="s">
        <v>23</v>
      </c>
      <c r="E1533" s="2" t="s">
        <v>275</v>
      </c>
      <c r="F1533" s="2">
        <v>5.0</v>
      </c>
      <c r="G1533" s="2">
        <v>7.0</v>
      </c>
      <c r="H1533" s="2">
        <v>4.0</v>
      </c>
      <c r="I1533" s="2">
        <v>3.0</v>
      </c>
      <c r="J1533" s="2">
        <v>0.0</v>
      </c>
      <c r="K1533" s="2">
        <v>0.0</v>
      </c>
      <c r="L1533" s="2">
        <v>0.0</v>
      </c>
      <c r="M1533" s="2">
        <v>1.0</v>
      </c>
      <c r="N1533" s="2">
        <v>-5.0</v>
      </c>
      <c r="O1533" s="2">
        <v>-3.0</v>
      </c>
      <c r="P1533" s="2" t="s">
        <v>111</v>
      </c>
    </row>
    <row r="1534">
      <c r="A1534" s="3" t="s">
        <v>88</v>
      </c>
      <c r="B1534" s="2" t="s">
        <v>17</v>
      </c>
      <c r="C1534" s="2" t="s">
        <v>57</v>
      </c>
      <c r="D1534" s="2" t="s">
        <v>23</v>
      </c>
      <c r="E1534" s="2" t="s">
        <v>276</v>
      </c>
      <c r="F1534" s="2">
        <v>1.0</v>
      </c>
      <c r="G1534" s="2">
        <v>1.0</v>
      </c>
      <c r="H1534" s="2">
        <v>1.0</v>
      </c>
      <c r="I1534" s="2">
        <v>0.0</v>
      </c>
      <c r="J1534" s="2">
        <v>0.0</v>
      </c>
      <c r="K1534" s="2">
        <v>0.0</v>
      </c>
      <c r="L1534" s="2">
        <v>0.0</v>
      </c>
      <c r="M1534" s="2">
        <v>0.0</v>
      </c>
      <c r="N1534" s="2">
        <v>-9.0</v>
      </c>
      <c r="O1534" s="2">
        <v>-1.0</v>
      </c>
      <c r="P1534" s="2" t="s">
        <v>111</v>
      </c>
    </row>
    <row r="1535">
      <c r="A1535" s="3" t="s">
        <v>89</v>
      </c>
      <c r="B1535" s="2" t="s">
        <v>17</v>
      </c>
      <c r="C1535" s="2" t="s">
        <v>148</v>
      </c>
      <c r="D1535" s="2" t="s">
        <v>23</v>
      </c>
      <c r="E1535" s="2" t="s">
        <v>277</v>
      </c>
      <c r="F1535" s="2">
        <v>3.0</v>
      </c>
      <c r="G1535" s="2">
        <v>6.0</v>
      </c>
      <c r="H1535" s="2">
        <v>3.0</v>
      </c>
      <c r="I1535" s="2">
        <v>3.0</v>
      </c>
      <c r="J1535" s="2">
        <v>0.0</v>
      </c>
      <c r="K1535" s="2">
        <v>0.0</v>
      </c>
      <c r="L1535" s="2">
        <v>0.0</v>
      </c>
      <c r="M1535" s="2">
        <v>0.0</v>
      </c>
      <c r="N1535" s="2">
        <v>-2.0</v>
      </c>
      <c r="O1535" s="2">
        <v>-3.0</v>
      </c>
      <c r="P1535" s="2" t="s">
        <v>111</v>
      </c>
    </row>
    <row r="1536">
      <c r="A1536" s="3" t="s">
        <v>90</v>
      </c>
      <c r="B1536" s="2" t="s">
        <v>17</v>
      </c>
      <c r="C1536" s="2" t="s">
        <v>18</v>
      </c>
      <c r="D1536" s="2" t="s">
        <v>23</v>
      </c>
      <c r="E1536" s="2" t="s">
        <v>278</v>
      </c>
      <c r="F1536" s="2">
        <v>2.0</v>
      </c>
      <c r="G1536" s="2">
        <v>1.0</v>
      </c>
      <c r="H1536" s="2">
        <v>1.0</v>
      </c>
      <c r="I1536" s="2">
        <v>0.0</v>
      </c>
      <c r="J1536" s="2">
        <v>0.0</v>
      </c>
      <c r="K1536" s="2">
        <v>0.0</v>
      </c>
      <c r="L1536" s="2">
        <v>0.0</v>
      </c>
      <c r="M1536" s="2">
        <v>1.0</v>
      </c>
      <c r="N1536" s="2">
        <v>-3.0</v>
      </c>
      <c r="O1536" s="2">
        <v>0.0</v>
      </c>
      <c r="P1536" s="2" t="s">
        <v>111</v>
      </c>
    </row>
    <row r="1537">
      <c r="A1537" s="3" t="s">
        <v>93</v>
      </c>
      <c r="B1537" s="2" t="s">
        <v>17</v>
      </c>
      <c r="C1537" s="2" t="s">
        <v>148</v>
      </c>
      <c r="D1537" s="2" t="s">
        <v>23</v>
      </c>
      <c r="E1537" s="2" t="s">
        <v>279</v>
      </c>
      <c r="F1537" s="2">
        <v>4.0</v>
      </c>
      <c r="G1537" s="2">
        <v>2.0</v>
      </c>
      <c r="H1537" s="2">
        <v>1.0</v>
      </c>
      <c r="I1537" s="2">
        <v>1.0</v>
      </c>
      <c r="J1537" s="2">
        <v>0.0</v>
      </c>
      <c r="K1537" s="2">
        <v>0.0</v>
      </c>
      <c r="L1537" s="2">
        <v>0.0</v>
      </c>
      <c r="M1537" s="2">
        <v>3.0</v>
      </c>
      <c r="N1537" s="2">
        <v>-1.0</v>
      </c>
      <c r="O1537" s="2">
        <v>2.0</v>
      </c>
      <c r="P1537" s="2" t="s">
        <v>111</v>
      </c>
    </row>
    <row r="1538">
      <c r="A1538" s="3" t="s">
        <v>16</v>
      </c>
      <c r="B1538" s="2" t="s">
        <v>17</v>
      </c>
      <c r="C1538" s="2" t="s">
        <v>57</v>
      </c>
      <c r="D1538" s="2" t="s">
        <v>23</v>
      </c>
      <c r="E1538" s="2" t="s">
        <v>280</v>
      </c>
      <c r="F1538" s="2">
        <v>1.0</v>
      </c>
      <c r="G1538" s="2">
        <v>2.0</v>
      </c>
      <c r="H1538" s="2">
        <v>1.0</v>
      </c>
      <c r="I1538" s="2">
        <v>1.0</v>
      </c>
      <c r="J1538" s="2">
        <v>0.0</v>
      </c>
      <c r="K1538" s="2">
        <v>0.0</v>
      </c>
      <c r="L1538" s="2">
        <v>0.0</v>
      </c>
      <c r="M1538" s="2">
        <v>0.0</v>
      </c>
      <c r="N1538" s="2">
        <v>-4.0</v>
      </c>
      <c r="O1538" s="2">
        <v>-1.0</v>
      </c>
      <c r="P1538" s="2" t="s">
        <v>111</v>
      </c>
    </row>
    <row r="1539">
      <c r="A1539" s="3" t="s">
        <v>94</v>
      </c>
      <c r="B1539" s="2" t="s">
        <v>17</v>
      </c>
      <c r="C1539" s="2" t="s">
        <v>148</v>
      </c>
      <c r="D1539" s="2" t="s">
        <v>23</v>
      </c>
      <c r="E1539" s="2" t="s">
        <v>281</v>
      </c>
      <c r="F1539" s="2">
        <v>5.0</v>
      </c>
      <c r="G1539" s="2">
        <v>7.0</v>
      </c>
      <c r="H1539" s="2">
        <v>5.0</v>
      </c>
      <c r="I1539" s="2">
        <v>2.0</v>
      </c>
      <c r="J1539" s="2">
        <v>0.0</v>
      </c>
      <c r="K1539" s="2">
        <v>0.0</v>
      </c>
      <c r="L1539" s="2">
        <v>0.0</v>
      </c>
      <c r="M1539" s="2">
        <v>0.0</v>
      </c>
      <c r="N1539" s="2">
        <v>0.0</v>
      </c>
      <c r="O1539" s="2">
        <v>-5.0</v>
      </c>
      <c r="P1539" s="2" t="s">
        <v>111</v>
      </c>
    </row>
    <row r="1540">
      <c r="A1540" s="3" t="s">
        <v>95</v>
      </c>
      <c r="B1540" s="2" t="s">
        <v>17</v>
      </c>
      <c r="C1540" s="2" t="s">
        <v>148</v>
      </c>
      <c r="D1540" s="2" t="s">
        <v>23</v>
      </c>
      <c r="E1540" s="2" t="s">
        <v>282</v>
      </c>
      <c r="F1540" s="2">
        <v>0.0</v>
      </c>
      <c r="G1540" s="2">
        <v>1.0</v>
      </c>
      <c r="H1540" s="2">
        <v>0.0</v>
      </c>
      <c r="I1540" s="2">
        <v>1.0</v>
      </c>
      <c r="J1540" s="2">
        <v>0.0</v>
      </c>
      <c r="K1540" s="2">
        <v>0.0</v>
      </c>
      <c r="L1540" s="2">
        <v>0.0</v>
      </c>
      <c r="M1540" s="2">
        <v>0.0</v>
      </c>
      <c r="N1540" s="2">
        <v>-5.0</v>
      </c>
      <c r="O1540" s="2">
        <v>0.0</v>
      </c>
      <c r="P1540" s="2" t="s">
        <v>111</v>
      </c>
    </row>
    <row r="1541">
      <c r="A1541" s="3" t="s">
        <v>97</v>
      </c>
      <c r="B1541" s="4">
        <v>45262.29166666667</v>
      </c>
      <c r="C1541" s="2" t="s">
        <v>18</v>
      </c>
      <c r="D1541" s="2" t="s">
        <v>19</v>
      </c>
      <c r="E1541" s="2" t="s">
        <v>275</v>
      </c>
      <c r="F1541" s="2"/>
      <c r="G1541" s="2">
        <v>2.0</v>
      </c>
      <c r="H1541" s="2">
        <v>0.0</v>
      </c>
      <c r="I1541" s="2">
        <v>2.0</v>
      </c>
      <c r="J1541" s="2">
        <v>0.0</v>
      </c>
      <c r="K1541" s="2">
        <v>0.0</v>
      </c>
      <c r="L1541" s="2">
        <v>0.0</v>
      </c>
      <c r="M1541" s="2"/>
      <c r="N1541" s="2"/>
      <c r="O1541" s="2"/>
      <c r="P1541" s="2" t="s">
        <v>111</v>
      </c>
    </row>
    <row r="1542">
      <c r="A1542" s="3" t="s">
        <v>98</v>
      </c>
      <c r="B1542" s="4">
        <v>45263.29166666667</v>
      </c>
      <c r="C1542" s="2" t="s">
        <v>18</v>
      </c>
      <c r="D1542" s="2" t="s">
        <v>19</v>
      </c>
      <c r="E1542" s="2" t="s">
        <v>276</v>
      </c>
      <c r="F1542" s="2"/>
      <c r="G1542" s="2">
        <v>0.0</v>
      </c>
      <c r="H1542" s="2">
        <v>0.0</v>
      </c>
      <c r="I1542" s="2">
        <v>0.0</v>
      </c>
      <c r="J1542" s="2">
        <v>0.0</v>
      </c>
      <c r="K1542" s="2">
        <v>0.0</v>
      </c>
      <c r="L1542" s="2">
        <v>0.0</v>
      </c>
      <c r="M1542" s="2"/>
      <c r="N1542" s="2"/>
      <c r="O1542" s="2"/>
      <c r="P1542" s="2" t="s">
        <v>111</v>
      </c>
    </row>
    <row r="1543">
      <c r="A1543" s="3" t="s">
        <v>99</v>
      </c>
      <c r="B1543" s="4">
        <v>45264.29166666667</v>
      </c>
      <c r="C1543" s="2" t="s">
        <v>18</v>
      </c>
      <c r="D1543" s="2" t="s">
        <v>19</v>
      </c>
      <c r="E1543" s="2" t="s">
        <v>277</v>
      </c>
      <c r="F1543" s="2"/>
      <c r="G1543" s="2">
        <v>1.0</v>
      </c>
      <c r="H1543" s="2">
        <v>0.0</v>
      </c>
      <c r="I1543" s="2">
        <v>1.0</v>
      </c>
      <c r="J1543" s="2">
        <v>0.0</v>
      </c>
      <c r="K1543" s="2">
        <v>0.0</v>
      </c>
      <c r="L1543" s="2">
        <v>0.0</v>
      </c>
      <c r="M1543" s="2"/>
      <c r="N1543" s="2"/>
      <c r="O1543" s="2"/>
      <c r="P1543" s="2" t="s">
        <v>111</v>
      </c>
    </row>
    <row r="1544">
      <c r="A1544" s="3" t="s">
        <v>100</v>
      </c>
      <c r="B1544" s="4">
        <v>45265.29166666667</v>
      </c>
      <c r="C1544" s="2" t="s">
        <v>18</v>
      </c>
      <c r="D1544" s="2" t="s">
        <v>19</v>
      </c>
      <c r="E1544" s="2" t="s">
        <v>278</v>
      </c>
      <c r="F1544" s="2"/>
      <c r="G1544" s="2">
        <v>0.0</v>
      </c>
      <c r="H1544" s="2">
        <v>0.0</v>
      </c>
      <c r="I1544" s="2">
        <v>0.0</v>
      </c>
      <c r="J1544" s="2">
        <v>0.0</v>
      </c>
      <c r="K1544" s="2">
        <v>0.0</v>
      </c>
      <c r="L1544" s="2">
        <v>0.0</v>
      </c>
      <c r="M1544" s="2"/>
      <c r="N1544" s="2"/>
      <c r="O1544" s="2"/>
      <c r="P1544" s="2" t="s">
        <v>111</v>
      </c>
    </row>
    <row r="1545">
      <c r="A1545" s="3" t="s">
        <v>101</v>
      </c>
      <c r="B1545" s="4">
        <v>45266.29166666667</v>
      </c>
      <c r="C1545" s="2" t="s">
        <v>18</v>
      </c>
      <c r="D1545" s="2" t="s">
        <v>19</v>
      </c>
      <c r="E1545" s="2" t="s">
        <v>279</v>
      </c>
      <c r="F1545" s="2"/>
      <c r="G1545" s="2">
        <v>0.0</v>
      </c>
      <c r="H1545" s="2">
        <v>0.0</v>
      </c>
      <c r="I1545" s="2">
        <v>0.0</v>
      </c>
      <c r="J1545" s="2">
        <v>0.0</v>
      </c>
      <c r="K1545" s="2">
        <v>0.0</v>
      </c>
      <c r="L1545" s="2">
        <v>0.0</v>
      </c>
      <c r="M1545" s="2"/>
      <c r="N1545" s="2"/>
      <c r="O1545" s="2"/>
      <c r="P1545" s="2" t="s">
        <v>111</v>
      </c>
    </row>
    <row r="1546">
      <c r="A1546" s="3" t="s">
        <v>102</v>
      </c>
      <c r="B1546" s="4">
        <v>45267.29166666667</v>
      </c>
      <c r="C1546" s="2" t="s">
        <v>18</v>
      </c>
      <c r="D1546" s="2" t="s">
        <v>19</v>
      </c>
      <c r="E1546" s="2" t="s">
        <v>280</v>
      </c>
      <c r="F1546" s="2"/>
      <c r="G1546" s="2">
        <v>1.0</v>
      </c>
      <c r="H1546" s="2">
        <v>1.0</v>
      </c>
      <c r="I1546" s="2">
        <v>0.0</v>
      </c>
      <c r="J1546" s="2">
        <v>0.0</v>
      </c>
      <c r="K1546" s="2">
        <v>0.0</v>
      </c>
      <c r="L1546" s="2">
        <v>0.0</v>
      </c>
      <c r="M1546" s="2"/>
      <c r="N1546" s="2"/>
      <c r="O1546" s="2"/>
      <c r="P1546" s="2" t="s">
        <v>111</v>
      </c>
    </row>
    <row r="1547">
      <c r="A1547" s="3" t="s">
        <v>103</v>
      </c>
      <c r="B1547" s="4">
        <v>45268.29166666667</v>
      </c>
      <c r="C1547" s="2" t="s">
        <v>18</v>
      </c>
      <c r="D1547" s="2" t="s">
        <v>19</v>
      </c>
      <c r="E1547" s="2" t="s">
        <v>281</v>
      </c>
      <c r="F1547" s="2"/>
      <c r="G1547" s="2">
        <v>3.0</v>
      </c>
      <c r="H1547" s="2">
        <v>2.0</v>
      </c>
      <c r="I1547" s="2">
        <v>1.0</v>
      </c>
      <c r="J1547" s="2">
        <v>0.0</v>
      </c>
      <c r="K1547" s="2">
        <v>0.0</v>
      </c>
      <c r="L1547" s="2">
        <v>0.0</v>
      </c>
      <c r="M1547" s="2"/>
      <c r="N1547" s="2"/>
      <c r="O1547" s="2"/>
      <c r="P1547" s="2" t="s">
        <v>111</v>
      </c>
    </row>
    <row r="1548">
      <c r="A1548" s="3" t="s">
        <v>104</v>
      </c>
      <c r="B1548" s="4">
        <v>45269.29166666667</v>
      </c>
      <c r="C1548" s="2" t="s">
        <v>18</v>
      </c>
      <c r="D1548" s="2" t="s">
        <v>19</v>
      </c>
      <c r="E1548" s="2" t="s">
        <v>282</v>
      </c>
      <c r="F1548" s="2"/>
      <c r="G1548" s="2">
        <v>0.0</v>
      </c>
      <c r="H1548" s="2">
        <v>0.0</v>
      </c>
      <c r="I1548" s="2">
        <v>0.0</v>
      </c>
      <c r="J1548" s="2">
        <v>0.0</v>
      </c>
      <c r="K1548" s="2">
        <v>0.0</v>
      </c>
      <c r="L1548" s="2">
        <v>0.0</v>
      </c>
      <c r="M1548" s="2"/>
      <c r="N1548" s="2"/>
      <c r="O1548" s="2"/>
      <c r="P1548" s="2" t="s">
        <v>111</v>
      </c>
    </row>
    <row r="1549">
      <c r="A1549" s="3" t="s">
        <v>105</v>
      </c>
      <c r="B1549" s="4">
        <v>45293.29166666667</v>
      </c>
      <c r="C1549" s="2" t="s">
        <v>18</v>
      </c>
      <c r="D1549" s="2" t="s">
        <v>127</v>
      </c>
      <c r="E1549" s="2" t="s">
        <v>275</v>
      </c>
      <c r="F1549" s="2"/>
      <c r="G1549" s="2">
        <v>4.0</v>
      </c>
      <c r="H1549" s="2">
        <v>3.0</v>
      </c>
      <c r="I1549" s="2">
        <v>1.0</v>
      </c>
      <c r="J1549" s="2">
        <v>0.0</v>
      </c>
      <c r="K1549" s="2">
        <v>0.0</v>
      </c>
      <c r="L1549" s="2">
        <v>0.0</v>
      </c>
      <c r="M1549" s="2"/>
      <c r="N1549" s="2"/>
      <c r="O1549" s="2"/>
      <c r="P1549" s="2" t="s">
        <v>111</v>
      </c>
    </row>
    <row r="1550">
      <c r="A1550" s="3" t="s">
        <v>106</v>
      </c>
      <c r="B1550" s="4">
        <v>45293.29166666667</v>
      </c>
      <c r="C1550" s="2" t="s">
        <v>18</v>
      </c>
      <c r="D1550" s="2" t="s">
        <v>127</v>
      </c>
      <c r="E1550" s="2" t="s">
        <v>276</v>
      </c>
      <c r="F1550" s="2"/>
      <c r="G1550" s="2">
        <v>1.0</v>
      </c>
      <c r="H1550" s="2">
        <v>1.0</v>
      </c>
      <c r="I1550" s="2">
        <v>0.0</v>
      </c>
      <c r="J1550" s="2">
        <v>0.0</v>
      </c>
      <c r="K1550" s="2">
        <v>0.0</v>
      </c>
      <c r="L1550" s="2">
        <v>0.0</v>
      </c>
      <c r="M1550" s="2"/>
      <c r="N1550" s="2"/>
      <c r="O1550" s="2"/>
      <c r="P1550" s="2" t="s">
        <v>111</v>
      </c>
    </row>
    <row r="1551">
      <c r="A1551" s="3" t="s">
        <v>107</v>
      </c>
      <c r="B1551" s="4">
        <v>45293.29166666667</v>
      </c>
      <c r="C1551" s="2" t="s">
        <v>18</v>
      </c>
      <c r="D1551" s="2" t="s">
        <v>127</v>
      </c>
      <c r="E1551" s="2" t="s">
        <v>277</v>
      </c>
      <c r="F1551" s="2"/>
      <c r="G1551" s="2">
        <v>0.0</v>
      </c>
      <c r="H1551" s="2">
        <v>0.0</v>
      </c>
      <c r="I1551" s="2">
        <v>0.0</v>
      </c>
      <c r="J1551" s="2">
        <v>0.0</v>
      </c>
      <c r="K1551" s="2">
        <v>0.0</v>
      </c>
      <c r="L1551" s="2">
        <v>0.0</v>
      </c>
      <c r="M1551" s="2"/>
      <c r="N1551" s="2"/>
      <c r="O1551" s="2"/>
      <c r="P1551" s="2" t="s">
        <v>111</v>
      </c>
    </row>
    <row r="1552">
      <c r="A1552" s="3" t="s">
        <v>108</v>
      </c>
      <c r="B1552" s="4">
        <v>45293.29166666667</v>
      </c>
      <c r="C1552" s="2" t="s">
        <v>18</v>
      </c>
      <c r="D1552" s="2" t="s">
        <v>127</v>
      </c>
      <c r="E1552" s="2" t="s">
        <v>278</v>
      </c>
      <c r="F1552" s="2"/>
      <c r="G1552" s="2">
        <v>0.0</v>
      </c>
      <c r="H1552" s="2">
        <v>0.0</v>
      </c>
      <c r="I1552" s="2">
        <v>0.0</v>
      </c>
      <c r="J1552" s="2">
        <v>0.0</v>
      </c>
      <c r="K1552" s="2">
        <v>0.0</v>
      </c>
      <c r="L1552" s="2">
        <v>0.0</v>
      </c>
      <c r="M1552" s="2"/>
      <c r="N1552" s="2"/>
      <c r="O1552" s="2"/>
      <c r="P1552" s="2" t="s">
        <v>111</v>
      </c>
    </row>
    <row r="1553">
      <c r="A1553" s="3" t="s">
        <v>112</v>
      </c>
      <c r="B1553" s="4">
        <v>45293.29166666667</v>
      </c>
      <c r="C1553" s="2" t="s">
        <v>18</v>
      </c>
      <c r="D1553" s="2" t="s">
        <v>127</v>
      </c>
      <c r="E1553" s="2" t="s">
        <v>279</v>
      </c>
      <c r="F1553" s="2"/>
      <c r="G1553" s="2">
        <v>0.0</v>
      </c>
      <c r="H1553" s="2">
        <v>0.0</v>
      </c>
      <c r="I1553" s="2">
        <v>0.0</v>
      </c>
      <c r="J1553" s="2">
        <v>0.0</v>
      </c>
      <c r="K1553" s="2">
        <v>0.0</v>
      </c>
      <c r="L1553" s="2">
        <v>0.0</v>
      </c>
      <c r="M1553" s="2"/>
      <c r="N1553" s="2"/>
      <c r="O1553" s="2"/>
      <c r="P1553" s="2" t="s">
        <v>111</v>
      </c>
    </row>
    <row r="1554">
      <c r="A1554" s="3" t="s">
        <v>115</v>
      </c>
      <c r="B1554" s="4">
        <v>45293.29166666667</v>
      </c>
      <c r="C1554" s="2" t="s">
        <v>18</v>
      </c>
      <c r="D1554" s="2" t="s">
        <v>127</v>
      </c>
      <c r="E1554" s="2" t="s">
        <v>280</v>
      </c>
      <c r="F1554" s="2"/>
      <c r="G1554" s="2">
        <v>0.0</v>
      </c>
      <c r="H1554" s="2">
        <v>0.0</v>
      </c>
      <c r="I1554" s="2">
        <v>0.0</v>
      </c>
      <c r="J1554" s="2">
        <v>0.0</v>
      </c>
      <c r="K1554" s="2">
        <v>0.0</v>
      </c>
      <c r="L1554" s="2">
        <v>0.0</v>
      </c>
      <c r="M1554" s="2"/>
      <c r="N1554" s="2"/>
      <c r="O1554" s="2"/>
      <c r="P1554" s="2" t="s">
        <v>111</v>
      </c>
    </row>
    <row r="1555">
      <c r="A1555" s="3" t="s">
        <v>117</v>
      </c>
      <c r="B1555" s="4">
        <v>45293.29166666667</v>
      </c>
      <c r="C1555" s="2" t="s">
        <v>18</v>
      </c>
      <c r="D1555" s="2" t="s">
        <v>127</v>
      </c>
      <c r="E1555" s="2" t="s">
        <v>281</v>
      </c>
      <c r="F1555" s="2"/>
      <c r="G1555" s="2">
        <v>2.0</v>
      </c>
      <c r="H1555" s="2">
        <v>1.0</v>
      </c>
      <c r="I1555" s="2">
        <v>1.0</v>
      </c>
      <c r="J1555" s="2">
        <v>0.0</v>
      </c>
      <c r="K1555" s="2">
        <v>0.0</v>
      </c>
      <c r="L1555" s="2">
        <v>0.0</v>
      </c>
      <c r="M1555" s="2"/>
      <c r="N1555" s="2"/>
      <c r="O1555" s="2"/>
      <c r="P1555" s="2" t="s">
        <v>111</v>
      </c>
    </row>
    <row r="1556">
      <c r="A1556" s="3" t="s">
        <v>119</v>
      </c>
      <c r="B1556" s="4">
        <v>45293.29166666667</v>
      </c>
      <c r="C1556" s="2" t="s">
        <v>18</v>
      </c>
      <c r="D1556" s="2" t="s">
        <v>127</v>
      </c>
      <c r="E1556" s="2" t="s">
        <v>282</v>
      </c>
      <c r="F1556" s="2"/>
      <c r="G1556" s="2">
        <v>0.0</v>
      </c>
      <c r="H1556" s="2">
        <v>0.0</v>
      </c>
      <c r="I1556" s="2">
        <v>0.0</v>
      </c>
      <c r="J1556" s="2">
        <v>0.0</v>
      </c>
      <c r="K1556" s="2">
        <v>0.0</v>
      </c>
      <c r="L1556" s="2">
        <v>0.0</v>
      </c>
      <c r="M1556" s="2"/>
      <c r="N1556" s="2"/>
      <c r="O1556" s="2"/>
      <c r="P1556" s="2" t="s">
        <v>111</v>
      </c>
    </row>
    <row r="1557">
      <c r="A1557" s="3" t="s">
        <v>121</v>
      </c>
      <c r="B1557" s="4">
        <v>45294.29166666667</v>
      </c>
      <c r="C1557" s="2" t="s">
        <v>18</v>
      </c>
      <c r="D1557" s="2" t="s">
        <v>19</v>
      </c>
      <c r="E1557" s="2" t="s">
        <v>275</v>
      </c>
      <c r="F1557" s="2"/>
      <c r="G1557" s="2">
        <v>1.0</v>
      </c>
      <c r="H1557" s="2">
        <v>1.0</v>
      </c>
      <c r="I1557" s="2">
        <v>0.0</v>
      </c>
      <c r="J1557" s="2">
        <v>0.0</v>
      </c>
      <c r="K1557" s="2">
        <v>0.0</v>
      </c>
      <c r="L1557" s="2">
        <v>0.0</v>
      </c>
      <c r="M1557" s="2"/>
      <c r="N1557" s="2"/>
      <c r="O1557" s="2"/>
      <c r="P1557" s="2" t="s">
        <v>111</v>
      </c>
    </row>
    <row r="1558">
      <c r="A1558" s="3" t="s">
        <v>16</v>
      </c>
      <c r="B1558" s="4">
        <v>45295.29166666667</v>
      </c>
      <c r="C1558" s="2" t="s">
        <v>18</v>
      </c>
      <c r="D1558" s="2" t="s">
        <v>19</v>
      </c>
      <c r="E1558" s="2" t="s">
        <v>276</v>
      </c>
      <c r="F1558" s="2"/>
      <c r="G1558" s="2">
        <v>0.0</v>
      </c>
      <c r="H1558" s="2">
        <v>0.0</v>
      </c>
      <c r="I1558" s="2">
        <v>0.0</v>
      </c>
      <c r="J1558" s="2">
        <v>0.0</v>
      </c>
      <c r="K1558" s="2">
        <v>0.0</v>
      </c>
      <c r="L1558" s="2">
        <v>0.0</v>
      </c>
      <c r="M1558" s="2"/>
      <c r="N1558" s="2"/>
      <c r="O1558" s="2"/>
      <c r="P1558" s="2" t="s">
        <v>111</v>
      </c>
    </row>
    <row r="1559">
      <c r="A1559" s="3" t="s">
        <v>124</v>
      </c>
      <c r="B1559" s="4">
        <v>45296.29166666667</v>
      </c>
      <c r="C1559" s="2" t="s">
        <v>18</v>
      </c>
      <c r="D1559" s="2" t="s">
        <v>19</v>
      </c>
      <c r="E1559" s="2" t="s">
        <v>277</v>
      </c>
      <c r="F1559" s="2"/>
      <c r="G1559" s="2">
        <v>5.0</v>
      </c>
      <c r="H1559" s="2">
        <v>3.0</v>
      </c>
      <c r="I1559" s="2">
        <v>2.0</v>
      </c>
      <c r="J1559" s="2">
        <v>0.0</v>
      </c>
      <c r="K1559" s="2">
        <v>0.0</v>
      </c>
      <c r="L1559" s="2">
        <v>0.0</v>
      </c>
      <c r="M1559" s="2"/>
      <c r="N1559" s="2"/>
      <c r="O1559" s="2"/>
      <c r="P1559" s="2" t="s">
        <v>111</v>
      </c>
    </row>
    <row r="1560">
      <c r="A1560" s="3" t="s">
        <v>126</v>
      </c>
      <c r="B1560" s="4">
        <v>45297.29166666667</v>
      </c>
      <c r="C1560" s="2" t="s">
        <v>18</v>
      </c>
      <c r="D1560" s="2" t="s">
        <v>19</v>
      </c>
      <c r="E1560" s="2" t="s">
        <v>278</v>
      </c>
      <c r="F1560" s="2"/>
      <c r="G1560" s="2">
        <v>1.0</v>
      </c>
      <c r="H1560" s="2">
        <v>1.0</v>
      </c>
      <c r="I1560" s="2">
        <v>0.0</v>
      </c>
      <c r="J1560" s="2">
        <v>0.0</v>
      </c>
      <c r="K1560" s="2">
        <v>0.0</v>
      </c>
      <c r="L1560" s="2">
        <v>0.0</v>
      </c>
      <c r="M1560" s="2"/>
      <c r="N1560" s="2"/>
      <c r="O1560" s="2"/>
      <c r="P1560" s="2" t="s">
        <v>111</v>
      </c>
    </row>
    <row r="1561">
      <c r="A1561" s="3" t="s">
        <v>128</v>
      </c>
      <c r="B1561" s="4">
        <v>45298.29166666667</v>
      </c>
      <c r="C1561" s="2" t="s">
        <v>18</v>
      </c>
      <c r="D1561" s="2" t="s">
        <v>19</v>
      </c>
      <c r="E1561" s="2" t="s">
        <v>279</v>
      </c>
      <c r="F1561" s="2"/>
      <c r="G1561" s="2">
        <v>2.0</v>
      </c>
      <c r="H1561" s="2">
        <v>1.0</v>
      </c>
      <c r="I1561" s="2">
        <v>1.0</v>
      </c>
      <c r="J1561" s="2">
        <v>0.0</v>
      </c>
      <c r="K1561" s="2">
        <v>0.0</v>
      </c>
      <c r="L1561" s="2">
        <v>0.0</v>
      </c>
      <c r="M1561" s="2"/>
      <c r="N1561" s="2"/>
      <c r="O1561" s="2"/>
      <c r="P1561" s="2" t="s">
        <v>111</v>
      </c>
    </row>
    <row r="1562">
      <c r="A1562" s="3" t="s">
        <v>129</v>
      </c>
      <c r="B1562" s="4">
        <v>45299.29166666667</v>
      </c>
      <c r="C1562" s="2" t="s">
        <v>18</v>
      </c>
      <c r="D1562" s="2" t="s">
        <v>19</v>
      </c>
      <c r="E1562" s="2" t="s">
        <v>280</v>
      </c>
      <c r="F1562" s="2"/>
      <c r="G1562" s="2">
        <v>1.0</v>
      </c>
      <c r="H1562" s="2">
        <v>0.0</v>
      </c>
      <c r="I1562" s="2">
        <v>1.0</v>
      </c>
      <c r="J1562" s="2">
        <v>0.0</v>
      </c>
      <c r="K1562" s="2">
        <v>0.0</v>
      </c>
      <c r="L1562" s="2">
        <v>0.0</v>
      </c>
      <c r="M1562" s="2"/>
      <c r="N1562" s="2"/>
      <c r="O1562" s="2"/>
      <c r="P1562" s="2" t="s">
        <v>111</v>
      </c>
    </row>
    <row r="1563">
      <c r="A1563" s="3" t="s">
        <v>130</v>
      </c>
      <c r="B1563" s="4">
        <v>45300.29166666667</v>
      </c>
      <c r="C1563" s="2" t="s">
        <v>18</v>
      </c>
      <c r="D1563" s="2" t="s">
        <v>19</v>
      </c>
      <c r="E1563" s="2" t="s">
        <v>281</v>
      </c>
      <c r="F1563" s="2"/>
      <c r="G1563" s="2">
        <v>2.0</v>
      </c>
      <c r="H1563" s="2">
        <v>2.0</v>
      </c>
      <c r="I1563" s="2">
        <v>0.0</v>
      </c>
      <c r="J1563" s="2">
        <v>0.0</v>
      </c>
      <c r="K1563" s="2">
        <v>0.0</v>
      </c>
      <c r="L1563" s="2">
        <v>0.0</v>
      </c>
      <c r="M1563" s="2"/>
      <c r="N1563" s="2"/>
      <c r="O1563" s="2"/>
      <c r="P1563" s="2" t="s">
        <v>111</v>
      </c>
    </row>
    <row r="1564">
      <c r="A1564" s="3" t="s">
        <v>131</v>
      </c>
      <c r="B1564" s="4">
        <v>45301.29166666667</v>
      </c>
      <c r="C1564" s="2" t="s">
        <v>18</v>
      </c>
      <c r="D1564" s="2" t="s">
        <v>19</v>
      </c>
      <c r="E1564" s="2" t="s">
        <v>282</v>
      </c>
      <c r="F1564" s="2"/>
      <c r="G1564" s="2">
        <v>1.0</v>
      </c>
      <c r="H1564" s="2">
        <v>0.0</v>
      </c>
      <c r="I1564" s="2">
        <v>1.0</v>
      </c>
      <c r="J1564" s="2">
        <v>0.0</v>
      </c>
      <c r="K1564" s="2">
        <v>0.0</v>
      </c>
      <c r="L1564" s="2">
        <v>0.0</v>
      </c>
      <c r="M1564" s="2"/>
      <c r="N1564" s="2"/>
      <c r="O1564" s="2"/>
      <c r="P1564" s="2" t="s">
        <v>111</v>
      </c>
    </row>
    <row r="1565">
      <c r="A1565" s="3" t="s">
        <v>132</v>
      </c>
      <c r="B1565" s="2" t="s">
        <v>17</v>
      </c>
      <c r="C1565" s="2" t="s">
        <v>18</v>
      </c>
      <c r="D1565" s="2" t="s">
        <v>19</v>
      </c>
      <c r="E1565" s="2" t="s">
        <v>125</v>
      </c>
      <c r="F1565" s="2">
        <v>93.0</v>
      </c>
      <c r="G1565" s="2">
        <v>125.0</v>
      </c>
      <c r="H1565" s="2">
        <v>94.0</v>
      </c>
      <c r="I1565" s="2">
        <v>31.0</v>
      </c>
      <c r="J1565" s="2">
        <v>0.0</v>
      </c>
      <c r="K1565" s="2">
        <v>0.0</v>
      </c>
      <c r="L1565" s="2">
        <v>31.0</v>
      </c>
      <c r="M1565" s="2">
        <v>-1.0</v>
      </c>
      <c r="N1565" s="2"/>
      <c r="O1565" s="2"/>
      <c r="P1565" s="2" t="s">
        <v>195</v>
      </c>
    </row>
    <row r="1566">
      <c r="A1566" s="3" t="s">
        <v>133</v>
      </c>
      <c r="B1566" s="2" t="s">
        <v>17</v>
      </c>
      <c r="C1566" s="2" t="s">
        <v>57</v>
      </c>
      <c r="D1566" s="2" t="s">
        <v>19</v>
      </c>
      <c r="E1566" s="2" t="s">
        <v>283</v>
      </c>
      <c r="F1566" s="2">
        <v>10.0</v>
      </c>
      <c r="G1566" s="2">
        <v>17.0</v>
      </c>
      <c r="H1566" s="2">
        <v>13.0</v>
      </c>
      <c r="I1566" s="2">
        <v>4.0</v>
      </c>
      <c r="J1566" s="2">
        <v>0.0</v>
      </c>
      <c r="K1566" s="2">
        <v>0.0</v>
      </c>
      <c r="L1566" s="2">
        <v>0.0</v>
      </c>
      <c r="M1566" s="2">
        <v>-3.0</v>
      </c>
      <c r="N1566" s="2"/>
      <c r="O1566" s="2"/>
      <c r="P1566" s="2" t="s">
        <v>195</v>
      </c>
    </row>
    <row r="1567">
      <c r="A1567" s="3" t="s">
        <v>134</v>
      </c>
      <c r="B1567" s="2" t="s">
        <v>17</v>
      </c>
      <c r="C1567" s="2" t="s">
        <v>18</v>
      </c>
      <c r="D1567" s="2" t="s">
        <v>19</v>
      </c>
      <c r="E1567" s="2" t="s">
        <v>284</v>
      </c>
      <c r="F1567" s="2">
        <v>37.0</v>
      </c>
      <c r="G1567" s="2">
        <v>35.0</v>
      </c>
      <c r="H1567" s="2">
        <v>22.0</v>
      </c>
      <c r="I1567" s="2">
        <v>13.0</v>
      </c>
      <c r="J1567" s="2">
        <v>0.0</v>
      </c>
      <c r="K1567" s="2">
        <v>0.0</v>
      </c>
      <c r="L1567" s="2">
        <v>9.0</v>
      </c>
      <c r="M1567" s="2">
        <v>15.0</v>
      </c>
      <c r="N1567" s="2"/>
      <c r="O1567" s="2"/>
      <c r="P1567" s="2" t="s">
        <v>195</v>
      </c>
    </row>
    <row r="1568">
      <c r="A1568" s="3" t="s">
        <v>136</v>
      </c>
      <c r="B1568" s="2" t="s">
        <v>17</v>
      </c>
      <c r="C1568" s="2" t="s">
        <v>57</v>
      </c>
      <c r="D1568" s="2" t="s">
        <v>19</v>
      </c>
      <c r="E1568" s="2" t="s">
        <v>285</v>
      </c>
      <c r="F1568" s="2">
        <v>39.0</v>
      </c>
      <c r="G1568" s="2">
        <v>60.0</v>
      </c>
      <c r="H1568" s="2">
        <v>46.0</v>
      </c>
      <c r="I1568" s="2">
        <v>14.0</v>
      </c>
      <c r="J1568" s="2">
        <v>0.0</v>
      </c>
      <c r="K1568" s="2">
        <v>0.0</v>
      </c>
      <c r="L1568" s="2">
        <v>0.0</v>
      </c>
      <c r="M1568" s="2">
        <v>-7.0</v>
      </c>
      <c r="N1568" s="2"/>
      <c r="O1568" s="2"/>
      <c r="P1568" s="2" t="s">
        <v>195</v>
      </c>
    </row>
    <row r="1569">
      <c r="A1569" s="3" t="s">
        <v>137</v>
      </c>
      <c r="B1569" s="2" t="s">
        <v>17</v>
      </c>
      <c r="C1569" s="2" t="s">
        <v>18</v>
      </c>
      <c r="D1569" s="2" t="s">
        <v>19</v>
      </c>
      <c r="E1569" s="2" t="s">
        <v>169</v>
      </c>
      <c r="F1569" s="2">
        <v>6.0</v>
      </c>
      <c r="G1569" s="2">
        <v>8.0</v>
      </c>
      <c r="H1569" s="2">
        <v>6.0</v>
      </c>
      <c r="I1569" s="2">
        <v>2.0</v>
      </c>
      <c r="J1569" s="2">
        <v>0.0</v>
      </c>
      <c r="K1569" s="2">
        <v>0.0</v>
      </c>
      <c r="L1569" s="2">
        <v>0.0</v>
      </c>
      <c r="M1569" s="2">
        <v>0.0</v>
      </c>
      <c r="N1569" s="2"/>
      <c r="O1569" s="2"/>
      <c r="P1569" s="2" t="s">
        <v>195</v>
      </c>
    </row>
    <row r="1570">
      <c r="A1570" s="3" t="s">
        <v>138</v>
      </c>
      <c r="B1570" s="2" t="s">
        <v>17</v>
      </c>
      <c r="C1570" s="2" t="s">
        <v>18</v>
      </c>
      <c r="D1570" s="2" t="s">
        <v>19</v>
      </c>
      <c r="E1570" s="2" t="s">
        <v>286</v>
      </c>
      <c r="F1570" s="2">
        <v>49.0</v>
      </c>
      <c r="G1570" s="2">
        <v>62.0</v>
      </c>
      <c r="H1570" s="2">
        <v>37.0</v>
      </c>
      <c r="I1570" s="2">
        <v>25.0</v>
      </c>
      <c r="J1570" s="2">
        <v>0.0</v>
      </c>
      <c r="K1570" s="2">
        <v>0.0</v>
      </c>
      <c r="L1570" s="2">
        <v>31.0</v>
      </c>
      <c r="M1570" s="2">
        <v>12.0</v>
      </c>
      <c r="N1570" s="2"/>
      <c r="O1570" s="2"/>
      <c r="P1570" s="2" t="s">
        <v>195</v>
      </c>
    </row>
    <row r="1571">
      <c r="A1571" s="3" t="s">
        <v>139</v>
      </c>
      <c r="B1571" s="2" t="s">
        <v>17</v>
      </c>
      <c r="C1571" s="2" t="s">
        <v>18</v>
      </c>
      <c r="D1571" s="2" t="s">
        <v>23</v>
      </c>
      <c r="E1571" s="2" t="s">
        <v>125</v>
      </c>
      <c r="F1571" s="2">
        <v>93.0</v>
      </c>
      <c r="G1571" s="2">
        <v>125.0</v>
      </c>
      <c r="H1571" s="2">
        <v>94.0</v>
      </c>
      <c r="I1571" s="2">
        <v>31.0</v>
      </c>
      <c r="J1571" s="2">
        <v>0.0</v>
      </c>
      <c r="K1571" s="2">
        <v>0.0</v>
      </c>
      <c r="L1571" s="2">
        <v>31.0</v>
      </c>
      <c r="M1571" s="2">
        <v>-1.0</v>
      </c>
      <c r="N1571" s="2">
        <v>0.0</v>
      </c>
      <c r="O1571" s="2">
        <v>-95.0</v>
      </c>
      <c r="P1571" s="2" t="s">
        <v>195</v>
      </c>
    </row>
    <row r="1572">
      <c r="A1572" s="3" t="s">
        <v>140</v>
      </c>
      <c r="B1572" s="2" t="s">
        <v>17</v>
      </c>
      <c r="C1572" s="2" t="s">
        <v>57</v>
      </c>
      <c r="D1572" s="2" t="s">
        <v>23</v>
      </c>
      <c r="E1572" s="2" t="s">
        <v>283</v>
      </c>
      <c r="F1572" s="2">
        <v>13.0</v>
      </c>
      <c r="G1572" s="2">
        <v>17.0</v>
      </c>
      <c r="H1572" s="2">
        <v>13.0</v>
      </c>
      <c r="I1572" s="2">
        <v>4.0</v>
      </c>
      <c r="J1572" s="2">
        <v>0.0</v>
      </c>
      <c r="K1572" s="2">
        <v>0.0</v>
      </c>
      <c r="L1572" s="2">
        <v>0.0</v>
      </c>
      <c r="M1572" s="2">
        <v>0.0</v>
      </c>
      <c r="N1572" s="2">
        <v>3.0</v>
      </c>
      <c r="O1572" s="2">
        <v>-13.0</v>
      </c>
      <c r="P1572" s="2" t="s">
        <v>195</v>
      </c>
    </row>
    <row r="1573">
      <c r="A1573" s="3" t="s">
        <v>141</v>
      </c>
      <c r="B1573" s="2" t="s">
        <v>17</v>
      </c>
      <c r="C1573" s="2" t="s">
        <v>57</v>
      </c>
      <c r="D1573" s="2" t="s">
        <v>23</v>
      </c>
      <c r="E1573" s="2" t="s">
        <v>284</v>
      </c>
      <c r="F1573" s="2">
        <v>21.0</v>
      </c>
      <c r="G1573" s="2">
        <v>35.0</v>
      </c>
      <c r="H1573" s="2">
        <v>22.0</v>
      </c>
      <c r="I1573" s="2">
        <v>13.0</v>
      </c>
      <c r="J1573" s="2">
        <v>0.0</v>
      </c>
      <c r="K1573" s="2">
        <v>0.0</v>
      </c>
      <c r="L1573" s="2">
        <v>9.0</v>
      </c>
      <c r="M1573" s="2">
        <v>-1.0</v>
      </c>
      <c r="N1573" s="2">
        <v>-16.0</v>
      </c>
      <c r="O1573" s="2">
        <v>-23.0</v>
      </c>
      <c r="P1573" s="2" t="s">
        <v>195</v>
      </c>
    </row>
    <row r="1574">
      <c r="A1574" s="3" t="s">
        <v>142</v>
      </c>
      <c r="B1574" s="2" t="s">
        <v>17</v>
      </c>
      <c r="C1574" s="2" t="s">
        <v>57</v>
      </c>
      <c r="D1574" s="2" t="s">
        <v>23</v>
      </c>
      <c r="E1574" s="2" t="s">
        <v>285</v>
      </c>
      <c r="F1574" s="2">
        <v>46.0</v>
      </c>
      <c r="G1574" s="2">
        <v>60.0</v>
      </c>
      <c r="H1574" s="2">
        <v>46.0</v>
      </c>
      <c r="I1574" s="2">
        <v>14.0</v>
      </c>
      <c r="J1574" s="2">
        <v>0.0</v>
      </c>
      <c r="K1574" s="2">
        <v>0.0</v>
      </c>
      <c r="L1574" s="2">
        <v>0.0</v>
      </c>
      <c r="M1574" s="2">
        <v>0.0</v>
      </c>
      <c r="N1574" s="2">
        <v>7.0</v>
      </c>
      <c r="O1574" s="2">
        <v>-46.0</v>
      </c>
      <c r="P1574" s="2" t="s">
        <v>195</v>
      </c>
    </row>
    <row r="1575">
      <c r="A1575" s="3" t="s">
        <v>143</v>
      </c>
      <c r="B1575" s="2" t="s">
        <v>17</v>
      </c>
      <c r="C1575" s="2" t="s">
        <v>57</v>
      </c>
      <c r="D1575" s="2" t="s">
        <v>23</v>
      </c>
      <c r="E1575" s="2" t="s">
        <v>169</v>
      </c>
      <c r="F1575" s="2">
        <v>6.0</v>
      </c>
      <c r="G1575" s="2">
        <v>8.0</v>
      </c>
      <c r="H1575" s="2">
        <v>6.0</v>
      </c>
      <c r="I1575" s="2">
        <v>2.0</v>
      </c>
      <c r="J1575" s="2">
        <v>0.0</v>
      </c>
      <c r="K1575" s="2">
        <v>0.0</v>
      </c>
      <c r="L1575" s="2">
        <v>0.0</v>
      </c>
      <c r="M1575" s="2">
        <v>0.0</v>
      </c>
      <c r="N1575" s="2">
        <v>0.0</v>
      </c>
      <c r="O1575" s="2">
        <v>-6.0</v>
      </c>
      <c r="P1575" s="2" t="s">
        <v>195</v>
      </c>
    </row>
    <row r="1576">
      <c r="A1576" s="3" t="s">
        <v>144</v>
      </c>
      <c r="B1576" s="2" t="s">
        <v>17</v>
      </c>
      <c r="C1576" s="2" t="s">
        <v>57</v>
      </c>
      <c r="D1576" s="2" t="s">
        <v>23</v>
      </c>
      <c r="E1576" s="2" t="s">
        <v>286</v>
      </c>
      <c r="F1576" s="2">
        <v>23.0</v>
      </c>
      <c r="G1576" s="2">
        <v>62.0</v>
      </c>
      <c r="H1576" s="2">
        <v>37.0</v>
      </c>
      <c r="I1576" s="2">
        <v>25.0</v>
      </c>
      <c r="J1576" s="2">
        <v>0.0</v>
      </c>
      <c r="K1576" s="2">
        <v>0.0</v>
      </c>
      <c r="L1576" s="2">
        <v>31.0</v>
      </c>
      <c r="M1576" s="2">
        <v>-14.0</v>
      </c>
      <c r="N1576" s="2">
        <v>-26.0</v>
      </c>
      <c r="O1576" s="2">
        <v>-51.0</v>
      </c>
      <c r="P1576" s="2" t="s">
        <v>195</v>
      </c>
    </row>
    <row r="1577">
      <c r="A1577" s="3" t="s">
        <v>145</v>
      </c>
      <c r="B1577" s="4">
        <v>45262.29166666667</v>
      </c>
      <c r="C1577" s="2" t="s">
        <v>18</v>
      </c>
      <c r="D1577" s="2" t="s">
        <v>19</v>
      </c>
      <c r="E1577" s="2" t="s">
        <v>125</v>
      </c>
      <c r="F1577" s="2"/>
      <c r="G1577" s="2">
        <v>103.0</v>
      </c>
      <c r="H1577" s="2">
        <v>79.0</v>
      </c>
      <c r="I1577" s="2">
        <v>24.0</v>
      </c>
      <c r="J1577" s="2">
        <v>0.0</v>
      </c>
      <c r="K1577" s="2">
        <v>0.0</v>
      </c>
      <c r="L1577" s="2">
        <v>9.0</v>
      </c>
      <c r="M1577" s="2"/>
      <c r="N1577" s="2"/>
      <c r="O1577" s="2"/>
      <c r="P1577" s="2" t="s">
        <v>195</v>
      </c>
    </row>
    <row r="1578">
      <c r="A1578" s="3" t="s">
        <v>16</v>
      </c>
      <c r="B1578" s="4">
        <v>45263.29166666667</v>
      </c>
      <c r="C1578" s="2" t="s">
        <v>18</v>
      </c>
      <c r="D1578" s="2" t="s">
        <v>19</v>
      </c>
      <c r="E1578" s="2" t="s">
        <v>283</v>
      </c>
      <c r="F1578" s="2"/>
      <c r="G1578" s="2">
        <v>17.0</v>
      </c>
      <c r="H1578" s="2">
        <v>13.0</v>
      </c>
      <c r="I1578" s="2">
        <v>4.0</v>
      </c>
      <c r="J1578" s="2">
        <v>0.0</v>
      </c>
      <c r="K1578" s="2">
        <v>0.0</v>
      </c>
      <c r="L1578" s="2">
        <v>0.0</v>
      </c>
      <c r="M1578" s="2"/>
      <c r="N1578" s="2"/>
      <c r="O1578" s="2"/>
      <c r="P1578" s="2" t="s">
        <v>195</v>
      </c>
    </row>
    <row r="1579">
      <c r="A1579" s="3" t="s">
        <v>22</v>
      </c>
      <c r="B1579" s="4">
        <v>45264.29166666667</v>
      </c>
      <c r="C1579" s="2" t="s">
        <v>18</v>
      </c>
      <c r="D1579" s="2" t="s">
        <v>19</v>
      </c>
      <c r="E1579" s="2" t="s">
        <v>284</v>
      </c>
      <c r="F1579" s="2"/>
      <c r="G1579" s="2">
        <v>26.0</v>
      </c>
      <c r="H1579" s="2">
        <v>18.0</v>
      </c>
      <c r="I1579" s="2">
        <v>8.0</v>
      </c>
      <c r="J1579" s="2">
        <v>0.0</v>
      </c>
      <c r="K1579" s="2">
        <v>0.0</v>
      </c>
      <c r="L1579" s="2">
        <v>0.0</v>
      </c>
      <c r="M1579" s="2"/>
      <c r="N1579" s="2"/>
      <c r="O1579" s="2"/>
      <c r="P1579" s="2" t="s">
        <v>195</v>
      </c>
    </row>
    <row r="1580">
      <c r="A1580" s="3" t="s">
        <v>24</v>
      </c>
      <c r="B1580" s="4">
        <v>45265.29166666667</v>
      </c>
      <c r="C1580" s="2" t="s">
        <v>18</v>
      </c>
      <c r="D1580" s="2" t="s">
        <v>19</v>
      </c>
      <c r="E1580" s="2" t="s">
        <v>285</v>
      </c>
      <c r="F1580" s="2"/>
      <c r="G1580" s="2">
        <v>60.0</v>
      </c>
      <c r="H1580" s="2">
        <v>46.0</v>
      </c>
      <c r="I1580" s="2">
        <v>14.0</v>
      </c>
      <c r="J1580" s="2">
        <v>0.0</v>
      </c>
      <c r="K1580" s="2">
        <v>0.0</v>
      </c>
      <c r="L1580" s="2">
        <v>0.0</v>
      </c>
      <c r="M1580" s="2"/>
      <c r="N1580" s="2"/>
      <c r="O1580" s="2"/>
      <c r="P1580" s="2" t="s">
        <v>195</v>
      </c>
    </row>
    <row r="1581">
      <c r="A1581" s="3" t="s">
        <v>25</v>
      </c>
      <c r="B1581" s="4">
        <v>45266.29166666667</v>
      </c>
      <c r="C1581" s="2" t="s">
        <v>18</v>
      </c>
      <c r="D1581" s="2" t="s">
        <v>19</v>
      </c>
      <c r="E1581" s="2" t="s">
        <v>169</v>
      </c>
      <c r="F1581" s="2"/>
      <c r="G1581" s="2">
        <v>8.0</v>
      </c>
      <c r="H1581" s="2">
        <v>6.0</v>
      </c>
      <c r="I1581" s="2">
        <v>2.0</v>
      </c>
      <c r="J1581" s="2">
        <v>0.0</v>
      </c>
      <c r="K1581" s="2">
        <v>0.0</v>
      </c>
      <c r="L1581" s="2">
        <v>0.0</v>
      </c>
      <c r="M1581" s="2"/>
      <c r="N1581" s="2"/>
      <c r="O1581" s="2"/>
      <c r="P1581" s="2" t="s">
        <v>195</v>
      </c>
    </row>
    <row r="1582">
      <c r="A1582" s="3" t="s">
        <v>26</v>
      </c>
      <c r="B1582" s="4">
        <v>45267.29166666667</v>
      </c>
      <c r="C1582" s="2" t="s">
        <v>18</v>
      </c>
      <c r="D1582" s="2" t="s">
        <v>19</v>
      </c>
      <c r="E1582" s="2" t="s">
        <v>286</v>
      </c>
      <c r="F1582" s="2"/>
      <c r="G1582" s="2">
        <v>32.0</v>
      </c>
      <c r="H1582" s="2">
        <v>15.0</v>
      </c>
      <c r="I1582" s="2">
        <v>17.0</v>
      </c>
      <c r="J1582" s="2">
        <v>0.0</v>
      </c>
      <c r="K1582" s="2">
        <v>0.0</v>
      </c>
      <c r="L1582" s="2">
        <v>1.0</v>
      </c>
      <c r="M1582" s="2"/>
      <c r="N1582" s="2"/>
      <c r="O1582" s="2"/>
      <c r="P1582" s="2" t="s">
        <v>195</v>
      </c>
    </row>
    <row r="1583">
      <c r="A1583" s="3" t="s">
        <v>28</v>
      </c>
      <c r="B1583" s="4">
        <v>45293.29166666667</v>
      </c>
      <c r="C1583" s="2" t="s">
        <v>18</v>
      </c>
      <c r="D1583" s="2" t="s">
        <v>19</v>
      </c>
      <c r="E1583" s="2" t="s">
        <v>125</v>
      </c>
      <c r="F1583" s="2"/>
      <c r="G1583" s="2">
        <v>22.0</v>
      </c>
      <c r="H1583" s="2">
        <v>15.0</v>
      </c>
      <c r="I1583" s="2">
        <v>7.0</v>
      </c>
      <c r="J1583" s="2">
        <v>0.0</v>
      </c>
      <c r="K1583" s="2">
        <v>0.0</v>
      </c>
      <c r="L1583" s="2">
        <v>22.0</v>
      </c>
      <c r="M1583" s="2"/>
      <c r="N1583" s="2"/>
      <c r="O1583" s="2"/>
      <c r="P1583" s="2" t="s">
        <v>195</v>
      </c>
    </row>
    <row r="1584">
      <c r="A1584" s="3" t="s">
        <v>29</v>
      </c>
      <c r="B1584" s="4">
        <v>45293.29166666667</v>
      </c>
      <c r="C1584" s="2" t="s">
        <v>18</v>
      </c>
      <c r="D1584" s="2" t="s">
        <v>19</v>
      </c>
      <c r="E1584" s="2" t="s">
        <v>284</v>
      </c>
      <c r="F1584" s="2"/>
      <c r="G1584" s="2">
        <v>9.0</v>
      </c>
      <c r="H1584" s="2">
        <v>4.0</v>
      </c>
      <c r="I1584" s="2">
        <v>5.0</v>
      </c>
      <c r="J1584" s="2">
        <v>0.0</v>
      </c>
      <c r="K1584" s="2">
        <v>0.0</v>
      </c>
      <c r="L1584" s="2">
        <v>9.0</v>
      </c>
      <c r="M1584" s="2"/>
      <c r="N1584" s="2"/>
      <c r="O1584" s="2"/>
      <c r="P1584" s="2" t="s">
        <v>195</v>
      </c>
    </row>
    <row r="1585">
      <c r="A1585" s="3" t="s">
        <v>32</v>
      </c>
      <c r="B1585" s="4">
        <v>45293.29166666667</v>
      </c>
      <c r="C1585" s="2" t="s">
        <v>18</v>
      </c>
      <c r="D1585" s="2" t="s">
        <v>19</v>
      </c>
      <c r="E1585" s="2" t="s">
        <v>169</v>
      </c>
      <c r="F1585" s="2"/>
      <c r="G1585" s="2">
        <v>0.0</v>
      </c>
      <c r="H1585" s="2">
        <v>0.0</v>
      </c>
      <c r="I1585" s="2">
        <v>0.0</v>
      </c>
      <c r="J1585" s="2">
        <v>0.0</v>
      </c>
      <c r="K1585" s="2">
        <v>0.0</v>
      </c>
      <c r="L1585" s="2">
        <v>0.0</v>
      </c>
      <c r="M1585" s="2"/>
      <c r="N1585" s="2"/>
      <c r="O1585" s="2"/>
      <c r="P1585" s="2" t="s">
        <v>195</v>
      </c>
    </row>
    <row r="1586">
      <c r="A1586" s="3" t="s">
        <v>34</v>
      </c>
      <c r="B1586" s="12">
        <v>45293.29166666667</v>
      </c>
      <c r="C1586" s="5" t="s">
        <v>18</v>
      </c>
      <c r="D1586" s="5" t="s">
        <v>19</v>
      </c>
      <c r="E1586" s="5" t="s">
        <v>286</v>
      </c>
      <c r="F1586" s="5"/>
      <c r="G1586" s="5">
        <v>30.0</v>
      </c>
      <c r="H1586" s="5">
        <v>22.0</v>
      </c>
      <c r="I1586" s="5">
        <v>8.0</v>
      </c>
      <c r="J1586" s="5">
        <v>0.0</v>
      </c>
      <c r="K1586" s="5">
        <v>0.0</v>
      </c>
      <c r="L1586" s="5">
        <v>30.0</v>
      </c>
      <c r="M1586" s="5"/>
      <c r="N1586" s="5"/>
      <c r="O1586" s="5"/>
      <c r="P1586" s="5" t="s">
        <v>195</v>
      </c>
    </row>
    <row r="1587">
      <c r="A1587" s="3" t="s">
        <v>35</v>
      </c>
      <c r="B1587" s="2" t="s">
        <v>17</v>
      </c>
      <c r="C1587" s="2" t="s">
        <v>18</v>
      </c>
      <c r="D1587" s="2" t="s">
        <v>30</v>
      </c>
      <c r="E1587" s="2" t="s">
        <v>147</v>
      </c>
      <c r="F1587" s="2">
        <v>40.0</v>
      </c>
      <c r="G1587" s="2">
        <v>86.0</v>
      </c>
      <c r="H1587" s="2">
        <v>43.0</v>
      </c>
      <c r="I1587" s="2">
        <v>43.0</v>
      </c>
      <c r="J1587" s="2">
        <v>0.0</v>
      </c>
      <c r="K1587" s="2">
        <v>0.0</v>
      </c>
      <c r="L1587" s="2">
        <v>0.0</v>
      </c>
      <c r="M1587" s="2">
        <v>-3.0</v>
      </c>
      <c r="N1587" s="2"/>
      <c r="O1587" s="2"/>
      <c r="P1587" s="2" t="s">
        <v>67</v>
      </c>
    </row>
    <row r="1588">
      <c r="A1588" s="3" t="s">
        <v>36</v>
      </c>
      <c r="B1588" s="2" t="s">
        <v>17</v>
      </c>
      <c r="C1588" s="2" t="s">
        <v>18</v>
      </c>
      <c r="D1588" s="2" t="s">
        <v>19</v>
      </c>
      <c r="E1588" s="2" t="s">
        <v>147</v>
      </c>
      <c r="F1588" s="2">
        <v>40.0</v>
      </c>
      <c r="G1588" s="2">
        <v>62.0</v>
      </c>
      <c r="H1588" s="2">
        <v>41.0</v>
      </c>
      <c r="I1588" s="2">
        <v>21.0</v>
      </c>
      <c r="J1588" s="2">
        <v>0.0</v>
      </c>
      <c r="K1588" s="2">
        <v>0.0</v>
      </c>
      <c r="L1588" s="2">
        <v>0.0</v>
      </c>
      <c r="M1588" s="2">
        <v>-1.0</v>
      </c>
      <c r="N1588" s="2"/>
      <c r="O1588" s="2"/>
      <c r="P1588" s="2" t="s">
        <v>67</v>
      </c>
    </row>
    <row r="1589">
      <c r="A1589" s="3" t="s">
        <v>37</v>
      </c>
      <c r="B1589" s="2" t="s">
        <v>17</v>
      </c>
      <c r="C1589" s="2" t="s">
        <v>18</v>
      </c>
      <c r="D1589" s="2" t="s">
        <v>23</v>
      </c>
      <c r="E1589" s="2" t="s">
        <v>147</v>
      </c>
      <c r="F1589" s="2">
        <v>80.0</v>
      </c>
      <c r="G1589" s="2">
        <v>148.0</v>
      </c>
      <c r="H1589" s="2">
        <v>84.0</v>
      </c>
      <c r="I1589" s="2">
        <v>64.0</v>
      </c>
      <c r="J1589" s="2">
        <v>0.0</v>
      </c>
      <c r="K1589" s="2">
        <v>0.0</v>
      </c>
      <c r="L1589" s="2">
        <v>0.0</v>
      </c>
      <c r="M1589" s="2">
        <v>-4.0</v>
      </c>
      <c r="N1589" s="2">
        <v>0.0</v>
      </c>
      <c r="O1589" s="2">
        <v>-88.0</v>
      </c>
      <c r="P1589" s="2" t="s">
        <v>67</v>
      </c>
    </row>
    <row r="1590">
      <c r="A1590" s="3" t="s">
        <v>38</v>
      </c>
      <c r="B1590" s="4">
        <v>45262.29166666667</v>
      </c>
      <c r="C1590" s="2" t="s">
        <v>18</v>
      </c>
      <c r="D1590" s="2" t="s">
        <v>30</v>
      </c>
      <c r="E1590" s="2" t="s">
        <v>147</v>
      </c>
      <c r="F1590" s="2"/>
      <c r="G1590" s="2">
        <v>55.0</v>
      </c>
      <c r="H1590" s="2">
        <v>25.0</v>
      </c>
      <c r="I1590" s="2">
        <v>30.0</v>
      </c>
      <c r="J1590" s="2">
        <v>0.0</v>
      </c>
      <c r="K1590" s="2">
        <v>0.0</v>
      </c>
      <c r="L1590" s="2">
        <v>0.0</v>
      </c>
      <c r="M1590" s="2"/>
      <c r="N1590" s="2"/>
      <c r="O1590" s="2"/>
      <c r="P1590" s="2" t="s">
        <v>67</v>
      </c>
    </row>
    <row r="1591">
      <c r="A1591" s="3" t="s">
        <v>39</v>
      </c>
      <c r="B1591" s="4">
        <v>45263.29166666667</v>
      </c>
      <c r="C1591" s="2" t="s">
        <v>18</v>
      </c>
      <c r="D1591" s="2" t="s">
        <v>19</v>
      </c>
      <c r="E1591" s="2" t="s">
        <v>147</v>
      </c>
      <c r="F1591" s="2"/>
      <c r="G1591" s="2">
        <v>19.0</v>
      </c>
      <c r="H1591" s="2">
        <v>13.0</v>
      </c>
      <c r="I1591" s="2">
        <v>6.0</v>
      </c>
      <c r="J1591" s="2">
        <v>0.0</v>
      </c>
      <c r="K1591" s="2">
        <v>0.0</v>
      </c>
      <c r="L1591" s="2">
        <v>0.0</v>
      </c>
      <c r="M1591" s="2"/>
      <c r="N1591" s="2"/>
      <c r="O1591" s="2"/>
      <c r="P1591" s="2" t="s">
        <v>67</v>
      </c>
    </row>
    <row r="1592">
      <c r="A1592" s="3" t="s">
        <v>40</v>
      </c>
      <c r="B1592" s="4">
        <v>45293.29166666667</v>
      </c>
      <c r="C1592" s="2" t="s">
        <v>18</v>
      </c>
      <c r="D1592" s="2" t="s">
        <v>30</v>
      </c>
      <c r="E1592" s="2" t="s">
        <v>147</v>
      </c>
      <c r="F1592" s="2"/>
      <c r="G1592" s="2">
        <v>31.0</v>
      </c>
      <c r="H1592" s="2">
        <v>18.0</v>
      </c>
      <c r="I1592" s="2">
        <v>13.0</v>
      </c>
      <c r="J1592" s="2">
        <v>0.0</v>
      </c>
      <c r="K1592" s="2">
        <v>0.0</v>
      </c>
      <c r="L1592" s="2">
        <v>0.0</v>
      </c>
      <c r="M1592" s="2"/>
      <c r="N1592" s="2"/>
      <c r="O1592" s="2"/>
      <c r="P1592" s="2" t="s">
        <v>67</v>
      </c>
    </row>
    <row r="1593">
      <c r="A1593" s="3" t="s">
        <v>41</v>
      </c>
      <c r="B1593" s="4">
        <v>45294.29166666667</v>
      </c>
      <c r="C1593" s="2" t="s">
        <v>18</v>
      </c>
      <c r="D1593" s="2" t="s">
        <v>19</v>
      </c>
      <c r="E1593" s="2" t="s">
        <v>147</v>
      </c>
      <c r="F1593" s="2"/>
      <c r="G1593" s="2">
        <v>43.0</v>
      </c>
      <c r="H1593" s="2">
        <v>28.0</v>
      </c>
      <c r="I1593" s="2">
        <v>15.0</v>
      </c>
      <c r="J1593" s="2">
        <v>0.0</v>
      </c>
      <c r="K1593" s="2">
        <v>0.0</v>
      </c>
      <c r="L1593" s="2">
        <v>0.0</v>
      </c>
      <c r="M1593" s="2"/>
      <c r="N1593" s="2"/>
      <c r="O1593" s="2"/>
      <c r="P1593" s="2" t="s">
        <v>67</v>
      </c>
    </row>
    <row r="1594">
      <c r="A1594" s="3" t="s">
        <v>42</v>
      </c>
      <c r="B1594" s="2" t="s">
        <v>17</v>
      </c>
      <c r="C1594" s="2" t="s">
        <v>18</v>
      </c>
      <c r="D1594" s="2" t="s">
        <v>127</v>
      </c>
      <c r="E1594" s="2" t="s">
        <v>27</v>
      </c>
      <c r="F1594" s="2">
        <v>165.0</v>
      </c>
      <c r="G1594" s="2">
        <v>221.0</v>
      </c>
      <c r="H1594" s="2">
        <v>165.0</v>
      </c>
      <c r="I1594" s="2">
        <v>56.0</v>
      </c>
      <c r="J1594" s="2">
        <v>0.0</v>
      </c>
      <c r="K1594" s="2">
        <v>0.0</v>
      </c>
      <c r="L1594" s="2">
        <v>0.0</v>
      </c>
      <c r="M1594" s="2">
        <v>0.0</v>
      </c>
      <c r="N1594" s="2"/>
      <c r="O1594" s="2"/>
      <c r="P1594" s="2" t="s">
        <v>175</v>
      </c>
    </row>
    <row r="1595">
      <c r="A1595" s="3" t="s">
        <v>43</v>
      </c>
      <c r="B1595" s="2" t="s">
        <v>17</v>
      </c>
      <c r="C1595" s="2" t="s">
        <v>18</v>
      </c>
      <c r="D1595" s="2" t="s">
        <v>30</v>
      </c>
      <c r="E1595" s="2" t="s">
        <v>27</v>
      </c>
      <c r="F1595" s="2">
        <v>103.0</v>
      </c>
      <c r="G1595" s="2">
        <v>167.0</v>
      </c>
      <c r="H1595" s="2">
        <v>103.0</v>
      </c>
      <c r="I1595" s="2">
        <v>64.0</v>
      </c>
      <c r="J1595" s="2">
        <v>0.0</v>
      </c>
      <c r="K1595" s="2">
        <v>0.0</v>
      </c>
      <c r="L1595" s="2">
        <v>0.0</v>
      </c>
      <c r="M1595" s="2">
        <v>0.0</v>
      </c>
      <c r="N1595" s="2"/>
      <c r="O1595" s="2"/>
      <c r="P1595" s="2" t="s">
        <v>175</v>
      </c>
    </row>
    <row r="1596">
      <c r="A1596" s="3" t="s">
        <v>44</v>
      </c>
      <c r="B1596" s="2" t="s">
        <v>17</v>
      </c>
      <c r="C1596" s="2" t="s">
        <v>18</v>
      </c>
      <c r="D1596" s="2" t="s">
        <v>23</v>
      </c>
      <c r="E1596" s="2" t="s">
        <v>27</v>
      </c>
      <c r="F1596" s="2">
        <v>267.0</v>
      </c>
      <c r="G1596" s="2">
        <v>388.0</v>
      </c>
      <c r="H1596" s="2">
        <v>268.0</v>
      </c>
      <c r="I1596" s="2">
        <v>120.0</v>
      </c>
      <c r="J1596" s="2">
        <v>0.0</v>
      </c>
      <c r="K1596" s="2">
        <v>0.0</v>
      </c>
      <c r="L1596" s="2">
        <v>0.0</v>
      </c>
      <c r="M1596" s="2">
        <v>-1.0</v>
      </c>
      <c r="N1596" s="2">
        <v>-1.0</v>
      </c>
      <c r="O1596" s="2">
        <v>-269.0</v>
      </c>
      <c r="P1596" s="2" t="s">
        <v>175</v>
      </c>
    </row>
    <row r="1597">
      <c r="A1597" s="3" t="s">
        <v>45</v>
      </c>
      <c r="B1597" s="4">
        <v>45262.29166666667</v>
      </c>
      <c r="C1597" s="2" t="s">
        <v>18</v>
      </c>
      <c r="D1597" s="2" t="s">
        <v>127</v>
      </c>
      <c r="E1597" s="2" t="s">
        <v>27</v>
      </c>
      <c r="F1597" s="2"/>
      <c r="G1597" s="2">
        <v>221.0</v>
      </c>
      <c r="H1597" s="2">
        <v>165.0</v>
      </c>
      <c r="I1597" s="2">
        <v>56.0</v>
      </c>
      <c r="J1597" s="2">
        <v>0.0</v>
      </c>
      <c r="K1597" s="2">
        <v>0.0</v>
      </c>
      <c r="L1597" s="2">
        <v>0.0</v>
      </c>
      <c r="M1597" s="2"/>
      <c r="N1597" s="2"/>
      <c r="O1597" s="2"/>
      <c r="P1597" s="2" t="s">
        <v>175</v>
      </c>
    </row>
    <row r="1598">
      <c r="A1598" s="3" t="s">
        <v>16</v>
      </c>
      <c r="B1598" s="4">
        <v>45263.29166666667</v>
      </c>
      <c r="C1598" s="2" t="s">
        <v>18</v>
      </c>
      <c r="D1598" s="2" t="s">
        <v>30</v>
      </c>
      <c r="E1598" s="2" t="s">
        <v>27</v>
      </c>
      <c r="F1598" s="2"/>
      <c r="G1598" s="2">
        <v>152.0</v>
      </c>
      <c r="H1598" s="2">
        <v>97.0</v>
      </c>
      <c r="I1598" s="2">
        <v>55.0</v>
      </c>
      <c r="J1598" s="2">
        <v>0.0</v>
      </c>
      <c r="K1598" s="2">
        <v>0.0</v>
      </c>
      <c r="L1598" s="2">
        <v>0.0</v>
      </c>
      <c r="M1598" s="2"/>
      <c r="N1598" s="2"/>
      <c r="O1598" s="2"/>
      <c r="P1598" s="2" t="s">
        <v>175</v>
      </c>
    </row>
    <row r="1599">
      <c r="A1599" s="3" t="s">
        <v>47</v>
      </c>
      <c r="B1599" s="4">
        <v>45292.29166666667</v>
      </c>
      <c r="C1599" s="2" t="s">
        <v>18</v>
      </c>
      <c r="D1599" s="2" t="s">
        <v>30</v>
      </c>
      <c r="E1599" s="2" t="s">
        <v>27</v>
      </c>
      <c r="F1599" s="2"/>
      <c r="G1599" s="2">
        <v>15.0</v>
      </c>
      <c r="H1599" s="2">
        <v>6.0</v>
      </c>
      <c r="I1599" s="2">
        <v>9.0</v>
      </c>
      <c r="J1599" s="2">
        <v>0.0</v>
      </c>
      <c r="K1599" s="2">
        <v>0.0</v>
      </c>
      <c r="L1599" s="2">
        <v>0.0</v>
      </c>
      <c r="M1599" s="2"/>
      <c r="N1599" s="2"/>
      <c r="O1599" s="2"/>
      <c r="P1599" s="2" t="s">
        <v>175</v>
      </c>
    </row>
    <row r="1600">
      <c r="A1600" s="3" t="s">
        <v>48</v>
      </c>
      <c r="B1600" s="2" t="s">
        <v>17</v>
      </c>
      <c r="C1600" s="2" t="s">
        <v>18</v>
      </c>
      <c r="D1600" s="2" t="s">
        <v>19</v>
      </c>
      <c r="E1600" s="2" t="s">
        <v>169</v>
      </c>
      <c r="F1600" s="2">
        <v>14.0</v>
      </c>
      <c r="G1600" s="2">
        <v>0.0</v>
      </c>
      <c r="H1600" s="2">
        <v>0.0</v>
      </c>
      <c r="I1600" s="2">
        <v>0.0</v>
      </c>
      <c r="J1600" s="2">
        <v>0.0</v>
      </c>
      <c r="K1600" s="2">
        <v>0.0</v>
      </c>
      <c r="L1600" s="2">
        <v>0.0</v>
      </c>
      <c r="M1600" s="2">
        <v>14.0</v>
      </c>
      <c r="N1600" s="2"/>
      <c r="O1600" s="2"/>
      <c r="P1600" s="2" t="s">
        <v>80</v>
      </c>
    </row>
    <row r="1601">
      <c r="A1601" s="3" t="s">
        <v>49</v>
      </c>
      <c r="B1601" s="2" t="s">
        <v>17</v>
      </c>
      <c r="C1601" s="2" t="s">
        <v>18</v>
      </c>
      <c r="D1601" s="2" t="s">
        <v>19</v>
      </c>
      <c r="E1601" s="2" t="s">
        <v>180</v>
      </c>
      <c r="F1601" s="2">
        <v>14.0</v>
      </c>
      <c r="G1601" s="2">
        <v>0.0</v>
      </c>
      <c r="H1601" s="2">
        <v>0.0</v>
      </c>
      <c r="I1601" s="2">
        <v>0.0</v>
      </c>
      <c r="J1601" s="2">
        <v>0.0</v>
      </c>
      <c r="K1601" s="2">
        <v>0.0</v>
      </c>
      <c r="L1601" s="2">
        <v>0.0</v>
      </c>
      <c r="M1601" s="2">
        <v>14.0</v>
      </c>
      <c r="N1601" s="2"/>
      <c r="O1601" s="2"/>
      <c r="P1601" s="2" t="s">
        <v>80</v>
      </c>
    </row>
    <row r="1602">
      <c r="A1602" s="3" t="s">
        <v>51</v>
      </c>
      <c r="B1602" s="2" t="s">
        <v>17</v>
      </c>
      <c r="C1602" s="2" t="s">
        <v>18</v>
      </c>
      <c r="D1602" s="2" t="s">
        <v>19</v>
      </c>
      <c r="E1602" s="2" t="s">
        <v>287</v>
      </c>
      <c r="F1602" s="2">
        <v>14.0</v>
      </c>
      <c r="G1602" s="2">
        <v>0.0</v>
      </c>
      <c r="H1602" s="2">
        <v>0.0</v>
      </c>
      <c r="I1602" s="2">
        <v>0.0</v>
      </c>
      <c r="J1602" s="2">
        <v>0.0</v>
      </c>
      <c r="K1602" s="2">
        <v>0.0</v>
      </c>
      <c r="L1602" s="2">
        <v>0.0</v>
      </c>
      <c r="M1602" s="2">
        <v>14.0</v>
      </c>
      <c r="N1602" s="2"/>
      <c r="O1602" s="2"/>
      <c r="P1602" s="2" t="s">
        <v>80</v>
      </c>
    </row>
    <row r="1603">
      <c r="A1603" s="3" t="s">
        <v>52</v>
      </c>
      <c r="B1603" s="2" t="s">
        <v>17</v>
      </c>
      <c r="C1603" s="2" t="s">
        <v>18</v>
      </c>
      <c r="D1603" s="2" t="s">
        <v>91</v>
      </c>
      <c r="E1603" s="2" t="s">
        <v>169</v>
      </c>
      <c r="F1603" s="2">
        <v>14.0</v>
      </c>
      <c r="G1603" s="2">
        <v>17.0</v>
      </c>
      <c r="H1603" s="2">
        <v>17.0</v>
      </c>
      <c r="I1603" s="2">
        <v>0.0</v>
      </c>
      <c r="J1603" s="2">
        <v>0.0</v>
      </c>
      <c r="K1603" s="2">
        <v>0.0</v>
      </c>
      <c r="L1603" s="2">
        <v>0.0</v>
      </c>
      <c r="M1603" s="2">
        <v>-3.0</v>
      </c>
      <c r="N1603" s="2"/>
      <c r="O1603" s="2"/>
      <c r="P1603" s="2" t="s">
        <v>80</v>
      </c>
    </row>
    <row r="1604">
      <c r="A1604" s="3" t="s">
        <v>53</v>
      </c>
      <c r="B1604" s="2" t="s">
        <v>17</v>
      </c>
      <c r="C1604" s="2" t="s">
        <v>18</v>
      </c>
      <c r="D1604" s="2" t="s">
        <v>91</v>
      </c>
      <c r="E1604" s="2" t="s">
        <v>180</v>
      </c>
      <c r="F1604" s="2">
        <v>14.0</v>
      </c>
      <c r="G1604" s="2">
        <v>24.0</v>
      </c>
      <c r="H1604" s="2">
        <v>17.0</v>
      </c>
      <c r="I1604" s="2">
        <v>6.0</v>
      </c>
      <c r="J1604" s="2">
        <v>1.0</v>
      </c>
      <c r="K1604" s="2">
        <v>0.0</v>
      </c>
      <c r="L1604" s="2">
        <v>0.0</v>
      </c>
      <c r="M1604" s="2">
        <v>-3.0</v>
      </c>
      <c r="N1604" s="2"/>
      <c r="O1604" s="2"/>
      <c r="P1604" s="2" t="s">
        <v>80</v>
      </c>
    </row>
    <row r="1605">
      <c r="A1605" s="3" t="s">
        <v>54</v>
      </c>
      <c r="B1605" s="2" t="s">
        <v>17</v>
      </c>
      <c r="C1605" s="2" t="s">
        <v>18</v>
      </c>
      <c r="D1605" s="2" t="s">
        <v>91</v>
      </c>
      <c r="E1605" s="2" t="s">
        <v>287</v>
      </c>
      <c r="F1605" s="2">
        <v>14.0</v>
      </c>
      <c r="G1605" s="2">
        <v>13.0</v>
      </c>
      <c r="H1605" s="2">
        <v>9.0</v>
      </c>
      <c r="I1605" s="2">
        <v>3.0</v>
      </c>
      <c r="J1605" s="2">
        <v>1.0</v>
      </c>
      <c r="K1605" s="2">
        <v>0.0</v>
      </c>
      <c r="L1605" s="2">
        <v>0.0</v>
      </c>
      <c r="M1605" s="2">
        <v>5.0</v>
      </c>
      <c r="N1605" s="2"/>
      <c r="O1605" s="2"/>
      <c r="P1605" s="2" t="s">
        <v>80</v>
      </c>
    </row>
    <row r="1606">
      <c r="A1606" s="3" t="s">
        <v>55</v>
      </c>
      <c r="B1606" s="5" t="s">
        <v>17</v>
      </c>
      <c r="C1606" s="5" t="s">
        <v>18</v>
      </c>
      <c r="D1606" s="5" t="s">
        <v>23</v>
      </c>
      <c r="E1606" s="5" t="s">
        <v>169</v>
      </c>
      <c r="F1606" s="5">
        <v>14.0</v>
      </c>
      <c r="G1606" s="5">
        <v>17.0</v>
      </c>
      <c r="H1606" s="5">
        <v>17.0</v>
      </c>
      <c r="I1606" s="5">
        <v>0.0</v>
      </c>
      <c r="J1606" s="5">
        <v>0.0</v>
      </c>
      <c r="K1606" s="5">
        <v>0.0</v>
      </c>
      <c r="L1606" s="5">
        <v>0.0</v>
      </c>
      <c r="M1606" s="5">
        <v>-3.0</v>
      </c>
      <c r="N1606" s="5">
        <v>-14.0</v>
      </c>
      <c r="O1606" s="5">
        <v>-20.0</v>
      </c>
      <c r="P1606" s="5" t="s">
        <v>80</v>
      </c>
    </row>
    <row r="1607">
      <c r="A1607" s="3" t="s">
        <v>56</v>
      </c>
      <c r="B1607" s="2" t="s">
        <v>17</v>
      </c>
      <c r="C1607" s="2" t="s">
        <v>18</v>
      </c>
      <c r="D1607" s="2" t="s">
        <v>23</v>
      </c>
      <c r="E1607" s="2" t="s">
        <v>180</v>
      </c>
      <c r="F1607" s="2">
        <v>14.0</v>
      </c>
      <c r="G1607" s="2">
        <v>24.0</v>
      </c>
      <c r="H1607" s="2">
        <v>17.0</v>
      </c>
      <c r="I1607" s="2">
        <v>6.0</v>
      </c>
      <c r="J1607" s="2">
        <v>1.0</v>
      </c>
      <c r="K1607" s="2">
        <v>0.0</v>
      </c>
      <c r="L1607" s="2">
        <v>0.0</v>
      </c>
      <c r="M1607" s="2">
        <v>-3.0</v>
      </c>
      <c r="N1607" s="2">
        <v>-14.0</v>
      </c>
      <c r="O1607" s="2">
        <v>-20.0</v>
      </c>
      <c r="P1607" s="2" t="s">
        <v>80</v>
      </c>
    </row>
    <row r="1608">
      <c r="A1608" s="3" t="s">
        <v>59</v>
      </c>
      <c r="B1608" s="2" t="s">
        <v>17</v>
      </c>
      <c r="C1608" s="2" t="s">
        <v>18</v>
      </c>
      <c r="D1608" s="2" t="s">
        <v>23</v>
      </c>
      <c r="E1608" s="2" t="s">
        <v>287</v>
      </c>
      <c r="F1608" s="2">
        <v>14.0</v>
      </c>
      <c r="G1608" s="2">
        <v>13.0</v>
      </c>
      <c r="H1608" s="2">
        <v>9.0</v>
      </c>
      <c r="I1608" s="2">
        <v>3.0</v>
      </c>
      <c r="J1608" s="2">
        <v>1.0</v>
      </c>
      <c r="K1608" s="2">
        <v>0.0</v>
      </c>
      <c r="L1608" s="2">
        <v>0.0</v>
      </c>
      <c r="M1608" s="2">
        <v>5.0</v>
      </c>
      <c r="N1608" s="2">
        <v>-14.0</v>
      </c>
      <c r="O1608" s="2">
        <v>-4.0</v>
      </c>
      <c r="P1608" s="2" t="s">
        <v>80</v>
      </c>
    </row>
    <row r="1609">
      <c r="A1609" s="3" t="s">
        <v>60</v>
      </c>
      <c r="B1609" s="4">
        <v>45263.29166666667</v>
      </c>
      <c r="C1609" s="2" t="s">
        <v>18</v>
      </c>
      <c r="D1609" s="2" t="s">
        <v>91</v>
      </c>
      <c r="E1609" s="2" t="s">
        <v>169</v>
      </c>
      <c r="F1609" s="2"/>
      <c r="G1609" s="2">
        <v>14.0</v>
      </c>
      <c r="H1609" s="2">
        <v>14.0</v>
      </c>
      <c r="I1609" s="2">
        <v>0.0</v>
      </c>
      <c r="J1609" s="2">
        <v>0.0</v>
      </c>
      <c r="K1609" s="2">
        <v>0.0</v>
      </c>
      <c r="L1609" s="2">
        <v>0.0</v>
      </c>
      <c r="M1609" s="2"/>
      <c r="N1609" s="2"/>
      <c r="O1609" s="2"/>
      <c r="P1609" s="2" t="s">
        <v>80</v>
      </c>
    </row>
    <row r="1610">
      <c r="A1610" s="3" t="s">
        <v>61</v>
      </c>
      <c r="B1610" s="4">
        <v>45264.29166666667</v>
      </c>
      <c r="C1610" s="2" t="s">
        <v>18</v>
      </c>
      <c r="D1610" s="2" t="s">
        <v>91</v>
      </c>
      <c r="E1610" s="2" t="s">
        <v>180</v>
      </c>
      <c r="F1610" s="2"/>
      <c r="G1610" s="2">
        <v>20.0</v>
      </c>
      <c r="H1610" s="2">
        <v>13.0</v>
      </c>
      <c r="I1610" s="2">
        <v>6.0</v>
      </c>
      <c r="J1610" s="2">
        <v>1.0</v>
      </c>
      <c r="K1610" s="2">
        <v>0.0</v>
      </c>
      <c r="L1610" s="2">
        <v>0.0</v>
      </c>
      <c r="M1610" s="2"/>
      <c r="N1610" s="2"/>
      <c r="O1610" s="2"/>
      <c r="P1610" s="2" t="s">
        <v>80</v>
      </c>
    </row>
    <row r="1611">
      <c r="A1611" s="3" t="s">
        <v>62</v>
      </c>
      <c r="B1611" s="4">
        <v>45265.29166666667</v>
      </c>
      <c r="C1611" s="2" t="s">
        <v>18</v>
      </c>
      <c r="D1611" s="2" t="s">
        <v>91</v>
      </c>
      <c r="E1611" s="2" t="s">
        <v>287</v>
      </c>
      <c r="F1611" s="2"/>
      <c r="G1611" s="2">
        <v>13.0</v>
      </c>
      <c r="H1611" s="2">
        <v>9.0</v>
      </c>
      <c r="I1611" s="2">
        <v>3.0</v>
      </c>
      <c r="J1611" s="2">
        <v>1.0</v>
      </c>
      <c r="K1611" s="2">
        <v>0.0</v>
      </c>
      <c r="L1611" s="2">
        <v>0.0</v>
      </c>
      <c r="M1611" s="2"/>
      <c r="N1611" s="2"/>
      <c r="O1611" s="2"/>
      <c r="P1611" s="2" t="s">
        <v>80</v>
      </c>
    </row>
    <row r="1612">
      <c r="A1612" s="3" t="s">
        <v>63</v>
      </c>
      <c r="B1612" s="4">
        <v>45293.29166666667</v>
      </c>
      <c r="C1612" s="2" t="s">
        <v>18</v>
      </c>
      <c r="D1612" s="2" t="s">
        <v>91</v>
      </c>
      <c r="E1612" s="2" t="s">
        <v>169</v>
      </c>
      <c r="F1612" s="2"/>
      <c r="G1612" s="2">
        <v>3.0</v>
      </c>
      <c r="H1612" s="2">
        <v>3.0</v>
      </c>
      <c r="I1612" s="2">
        <v>0.0</v>
      </c>
      <c r="J1612" s="2">
        <v>0.0</v>
      </c>
      <c r="K1612" s="2">
        <v>0.0</v>
      </c>
      <c r="L1612" s="2">
        <v>0.0</v>
      </c>
      <c r="M1612" s="2"/>
      <c r="N1612" s="2"/>
      <c r="O1612" s="2"/>
      <c r="P1612" s="2" t="s">
        <v>80</v>
      </c>
    </row>
    <row r="1613">
      <c r="A1613" s="3" t="s">
        <v>64</v>
      </c>
      <c r="B1613" s="4">
        <v>45293.29166666667</v>
      </c>
      <c r="C1613" s="2" t="s">
        <v>18</v>
      </c>
      <c r="D1613" s="2" t="s">
        <v>91</v>
      </c>
      <c r="E1613" s="2" t="s">
        <v>180</v>
      </c>
      <c r="F1613" s="2"/>
      <c r="G1613" s="2">
        <v>4.0</v>
      </c>
      <c r="H1613" s="2">
        <v>4.0</v>
      </c>
      <c r="I1613" s="2">
        <v>0.0</v>
      </c>
      <c r="J1613" s="2">
        <v>0.0</v>
      </c>
      <c r="K1613" s="2">
        <v>0.0</v>
      </c>
      <c r="L1613" s="2">
        <v>0.0</v>
      </c>
      <c r="M1613" s="2"/>
      <c r="N1613" s="2"/>
      <c r="O1613" s="2"/>
      <c r="P1613" s="2" t="s">
        <v>80</v>
      </c>
    </row>
    <row r="1614">
      <c r="A1614" s="3" t="s">
        <v>65</v>
      </c>
      <c r="B1614" s="2" t="s">
        <v>17</v>
      </c>
      <c r="C1614" s="2" t="s">
        <v>18</v>
      </c>
      <c r="D1614" s="2" t="s">
        <v>164</v>
      </c>
      <c r="E1614" s="2" t="s">
        <v>165</v>
      </c>
      <c r="F1614" s="2">
        <v>50.0</v>
      </c>
      <c r="G1614" s="2">
        <v>66.0</v>
      </c>
      <c r="H1614" s="2">
        <v>39.0</v>
      </c>
      <c r="I1614" s="2">
        <v>27.0</v>
      </c>
      <c r="J1614" s="2">
        <v>0.0</v>
      </c>
      <c r="K1614" s="2">
        <v>0.0</v>
      </c>
      <c r="L1614" s="2">
        <v>0.0</v>
      </c>
      <c r="M1614" s="2">
        <v>11.0</v>
      </c>
      <c r="N1614" s="2"/>
      <c r="O1614" s="2"/>
      <c r="P1614" s="2" t="s">
        <v>166</v>
      </c>
    </row>
    <row r="1615">
      <c r="A1615" s="3" t="s">
        <v>66</v>
      </c>
      <c r="B1615" s="2" t="s">
        <v>17</v>
      </c>
      <c r="C1615" s="2" t="s">
        <v>18</v>
      </c>
      <c r="D1615" s="2" t="s">
        <v>23</v>
      </c>
      <c r="E1615" s="2" t="s">
        <v>165</v>
      </c>
      <c r="F1615" s="2">
        <v>200.0</v>
      </c>
      <c r="G1615" s="2">
        <v>66.0</v>
      </c>
      <c r="H1615" s="2">
        <v>39.0</v>
      </c>
      <c r="I1615" s="2">
        <v>27.0</v>
      </c>
      <c r="J1615" s="2">
        <v>0.0</v>
      </c>
      <c r="K1615" s="2">
        <v>0.0</v>
      </c>
      <c r="L1615" s="2">
        <v>0.0</v>
      </c>
      <c r="M1615" s="2">
        <v>161.0</v>
      </c>
      <c r="N1615" s="2">
        <v>150.0</v>
      </c>
      <c r="O1615" s="2">
        <v>122.0</v>
      </c>
      <c r="P1615" s="2" t="s">
        <v>166</v>
      </c>
    </row>
    <row r="1616">
      <c r="A1616" s="3" t="s">
        <v>68</v>
      </c>
      <c r="B1616" s="4">
        <v>45262.29166666667</v>
      </c>
      <c r="C1616" s="2" t="s">
        <v>18</v>
      </c>
      <c r="D1616" s="2" t="s">
        <v>164</v>
      </c>
      <c r="E1616" s="2" t="s">
        <v>165</v>
      </c>
      <c r="F1616" s="2"/>
      <c r="G1616" s="2">
        <v>66.0</v>
      </c>
      <c r="H1616" s="2">
        <v>39.0</v>
      </c>
      <c r="I1616" s="2">
        <v>27.0</v>
      </c>
      <c r="J1616" s="2">
        <v>0.0</v>
      </c>
      <c r="K1616" s="2">
        <v>0.0</v>
      </c>
      <c r="L1616" s="2">
        <v>0.0</v>
      </c>
      <c r="M1616" s="2"/>
      <c r="N1616" s="2"/>
      <c r="O1616" s="2"/>
      <c r="P1616" s="2" t="s">
        <v>166</v>
      </c>
    </row>
    <row r="1617">
      <c r="A1617" s="3" t="s">
        <v>70</v>
      </c>
      <c r="B1617" s="2" t="s">
        <v>17</v>
      </c>
      <c r="C1617" s="2" t="s">
        <v>18</v>
      </c>
      <c r="D1617" s="2" t="s">
        <v>164</v>
      </c>
      <c r="E1617" s="2" t="s">
        <v>288</v>
      </c>
      <c r="F1617" s="2">
        <v>470.0</v>
      </c>
      <c r="G1617" s="2">
        <v>12.0</v>
      </c>
      <c r="H1617" s="2">
        <v>2.0</v>
      </c>
      <c r="I1617" s="2">
        <v>10.0</v>
      </c>
      <c r="J1617" s="2">
        <v>0.0</v>
      </c>
      <c r="K1617" s="2">
        <v>0.0</v>
      </c>
      <c r="L1617" s="2">
        <v>0.0</v>
      </c>
      <c r="M1617" s="2">
        <v>468.0</v>
      </c>
      <c r="N1617" s="2"/>
      <c r="O1617" s="2"/>
      <c r="P1617" s="2" t="s">
        <v>166</v>
      </c>
    </row>
    <row r="1618">
      <c r="A1618" s="3" t="s">
        <v>16</v>
      </c>
      <c r="B1618" s="2" t="s">
        <v>17</v>
      </c>
      <c r="C1618" s="2" t="s">
        <v>18</v>
      </c>
      <c r="D1618" s="2" t="s">
        <v>164</v>
      </c>
      <c r="E1618" s="2" t="s">
        <v>289</v>
      </c>
      <c r="F1618" s="2">
        <v>478.0</v>
      </c>
      <c r="G1618" s="2">
        <v>38.0</v>
      </c>
      <c r="H1618" s="2">
        <v>28.0</v>
      </c>
      <c r="I1618" s="2">
        <v>10.0</v>
      </c>
      <c r="J1618" s="2">
        <v>0.0</v>
      </c>
      <c r="K1618" s="2">
        <v>0.0</v>
      </c>
      <c r="L1618" s="2">
        <v>0.0</v>
      </c>
      <c r="M1618" s="2">
        <v>450.0</v>
      </c>
      <c r="N1618" s="2"/>
      <c r="O1618" s="2"/>
      <c r="P1618" s="2" t="s">
        <v>166</v>
      </c>
    </row>
    <row r="1619">
      <c r="A1619" s="3" t="s">
        <v>71</v>
      </c>
      <c r="B1619" s="2" t="s">
        <v>17</v>
      </c>
      <c r="C1619" s="2" t="s">
        <v>18</v>
      </c>
      <c r="D1619" s="2" t="s">
        <v>23</v>
      </c>
      <c r="E1619" s="2" t="s">
        <v>288</v>
      </c>
      <c r="F1619" s="2">
        <v>470.0</v>
      </c>
      <c r="G1619" s="2">
        <v>12.0</v>
      </c>
      <c r="H1619" s="2">
        <v>2.0</v>
      </c>
      <c r="I1619" s="2">
        <v>10.0</v>
      </c>
      <c r="J1619" s="2">
        <v>0.0</v>
      </c>
      <c r="K1619" s="2">
        <v>0.0</v>
      </c>
      <c r="L1619" s="2">
        <v>0.0</v>
      </c>
      <c r="M1619" s="2">
        <v>468.0</v>
      </c>
      <c r="N1619" s="2">
        <v>0.0</v>
      </c>
      <c r="O1619" s="2">
        <v>466.0</v>
      </c>
      <c r="P1619" s="2" t="s">
        <v>166</v>
      </c>
    </row>
    <row r="1620">
      <c r="A1620" s="3" t="s">
        <v>72</v>
      </c>
      <c r="B1620" s="2" t="s">
        <v>17</v>
      </c>
      <c r="C1620" s="2" t="s">
        <v>18</v>
      </c>
      <c r="D1620" s="2" t="s">
        <v>23</v>
      </c>
      <c r="E1620" s="2" t="s">
        <v>289</v>
      </c>
      <c r="F1620" s="2">
        <v>478.0</v>
      </c>
      <c r="G1620" s="2">
        <v>38.0</v>
      </c>
      <c r="H1620" s="2">
        <v>28.0</v>
      </c>
      <c r="I1620" s="2">
        <v>10.0</v>
      </c>
      <c r="J1620" s="2">
        <v>0.0</v>
      </c>
      <c r="K1620" s="2">
        <v>0.0</v>
      </c>
      <c r="L1620" s="2">
        <v>0.0</v>
      </c>
      <c r="M1620" s="2">
        <v>450.0</v>
      </c>
      <c r="N1620" s="2">
        <v>0.0</v>
      </c>
      <c r="O1620" s="2">
        <v>422.0</v>
      </c>
      <c r="P1620" s="2" t="s">
        <v>166</v>
      </c>
    </row>
    <row r="1621">
      <c r="A1621" s="3" t="s">
        <v>73</v>
      </c>
      <c r="B1621" s="4">
        <v>45232.25</v>
      </c>
      <c r="C1621" s="2" t="s">
        <v>18</v>
      </c>
      <c r="D1621" s="2" t="s">
        <v>164</v>
      </c>
      <c r="E1621" s="2" t="s">
        <v>288</v>
      </c>
      <c r="F1621" s="2"/>
      <c r="G1621" s="2">
        <v>12.0</v>
      </c>
      <c r="H1621" s="2">
        <v>2.0</v>
      </c>
      <c r="I1621" s="2">
        <v>10.0</v>
      </c>
      <c r="J1621" s="2">
        <v>0.0</v>
      </c>
      <c r="K1621" s="2">
        <v>0.0</v>
      </c>
      <c r="L1621" s="2">
        <v>0.0</v>
      </c>
      <c r="M1621" s="2"/>
      <c r="N1621" s="2"/>
      <c r="O1621" s="2"/>
      <c r="P1621" s="2" t="s">
        <v>166</v>
      </c>
    </row>
    <row r="1622">
      <c r="A1622" s="3" t="s">
        <v>74</v>
      </c>
      <c r="B1622" s="4">
        <v>45233.25</v>
      </c>
      <c r="C1622" s="2" t="s">
        <v>18</v>
      </c>
      <c r="D1622" s="2" t="s">
        <v>164</v>
      </c>
      <c r="E1622" s="2" t="s">
        <v>289</v>
      </c>
      <c r="F1622" s="2"/>
      <c r="G1622" s="2">
        <v>30.0</v>
      </c>
      <c r="H1622" s="2">
        <v>21.0</v>
      </c>
      <c r="I1622" s="2">
        <v>9.0</v>
      </c>
      <c r="J1622" s="2">
        <v>0.0</v>
      </c>
      <c r="K1622" s="2">
        <v>0.0</v>
      </c>
      <c r="L1622" s="2">
        <v>0.0</v>
      </c>
      <c r="M1622" s="2"/>
      <c r="N1622" s="2"/>
      <c r="O1622" s="2"/>
      <c r="P1622" s="2" t="s">
        <v>166</v>
      </c>
    </row>
    <row r="1623">
      <c r="A1623" s="3" t="s">
        <v>75</v>
      </c>
      <c r="B1623" s="4">
        <v>45292.29166666667</v>
      </c>
      <c r="C1623" s="2" t="s">
        <v>18</v>
      </c>
      <c r="D1623" s="2" t="s">
        <v>164</v>
      </c>
      <c r="E1623" s="2" t="s">
        <v>289</v>
      </c>
      <c r="F1623" s="2"/>
      <c r="G1623" s="2">
        <v>8.0</v>
      </c>
      <c r="H1623" s="2">
        <v>7.0</v>
      </c>
      <c r="I1623" s="2">
        <v>1.0</v>
      </c>
      <c r="J1623" s="2">
        <v>0.0</v>
      </c>
      <c r="K1623" s="2">
        <v>0.0</v>
      </c>
      <c r="L1623" s="2">
        <v>0.0</v>
      </c>
      <c r="M1623" s="2"/>
      <c r="N1623" s="2"/>
      <c r="O1623" s="2"/>
      <c r="P1623" s="2" t="s">
        <v>166</v>
      </c>
    </row>
    <row r="1624">
      <c r="A1624" s="3" t="s">
        <v>76</v>
      </c>
      <c r="B1624" s="2" t="s">
        <v>17</v>
      </c>
      <c r="C1624" s="2" t="s">
        <v>18</v>
      </c>
      <c r="D1624" s="2" t="s">
        <v>164</v>
      </c>
      <c r="E1624" s="2" t="s">
        <v>165</v>
      </c>
      <c r="F1624" s="2">
        <v>20.0</v>
      </c>
      <c r="G1624" s="2">
        <v>25.0</v>
      </c>
      <c r="H1624" s="2">
        <v>20.0</v>
      </c>
      <c r="I1624" s="2">
        <v>5.0</v>
      </c>
      <c r="J1624" s="2">
        <v>0.0</v>
      </c>
      <c r="K1624" s="2">
        <v>0.0</v>
      </c>
      <c r="L1624" s="2">
        <v>0.0</v>
      </c>
      <c r="M1624" s="2">
        <v>0.0</v>
      </c>
      <c r="N1624" s="2"/>
      <c r="O1624" s="2"/>
      <c r="P1624" s="2" t="s">
        <v>175</v>
      </c>
    </row>
    <row r="1625">
      <c r="A1625" s="3" t="s">
        <v>77</v>
      </c>
      <c r="B1625" s="2" t="s">
        <v>17</v>
      </c>
      <c r="C1625" s="2" t="s">
        <v>18</v>
      </c>
      <c r="D1625" s="2" t="s">
        <v>23</v>
      </c>
      <c r="E1625" s="2" t="s">
        <v>165</v>
      </c>
      <c r="F1625" s="2">
        <v>20.0</v>
      </c>
      <c r="G1625" s="2">
        <v>25.0</v>
      </c>
      <c r="H1625" s="2">
        <v>20.0</v>
      </c>
      <c r="I1625" s="2">
        <v>5.0</v>
      </c>
      <c r="J1625" s="2">
        <v>0.0</v>
      </c>
      <c r="K1625" s="2">
        <v>0.0</v>
      </c>
      <c r="L1625" s="2">
        <v>0.0</v>
      </c>
      <c r="M1625" s="2">
        <v>0.0</v>
      </c>
      <c r="N1625" s="2">
        <v>0.0</v>
      </c>
      <c r="O1625" s="2">
        <v>-20.0</v>
      </c>
      <c r="P1625" s="2" t="s">
        <v>175</v>
      </c>
    </row>
    <row r="1626">
      <c r="A1626" s="3" t="s">
        <v>78</v>
      </c>
      <c r="B1626" s="4">
        <v>45294.29166666667</v>
      </c>
      <c r="C1626" s="2" t="s">
        <v>18</v>
      </c>
      <c r="D1626" s="2" t="s">
        <v>164</v>
      </c>
      <c r="E1626" s="2" t="s">
        <v>165</v>
      </c>
      <c r="F1626" s="2"/>
      <c r="G1626" s="2">
        <v>25.0</v>
      </c>
      <c r="H1626" s="2">
        <v>20.0</v>
      </c>
      <c r="I1626" s="2">
        <v>5.0</v>
      </c>
      <c r="J1626" s="2">
        <v>0.0</v>
      </c>
      <c r="K1626" s="2">
        <v>0.0</v>
      </c>
      <c r="L1626" s="2">
        <v>0.0</v>
      </c>
      <c r="M1626" s="2"/>
      <c r="N1626" s="2"/>
      <c r="O1626" s="2"/>
      <c r="P1626" s="2" t="s">
        <v>175</v>
      </c>
    </row>
    <row r="1627">
      <c r="A1627" s="3" t="s">
        <v>81</v>
      </c>
      <c r="B1627" s="2" t="s">
        <v>17</v>
      </c>
      <c r="C1627" s="2" t="s">
        <v>18</v>
      </c>
      <c r="D1627" s="2" t="s">
        <v>164</v>
      </c>
      <c r="E1627" s="2" t="s">
        <v>165</v>
      </c>
      <c r="F1627" s="2">
        <v>55.0</v>
      </c>
      <c r="G1627" s="2">
        <v>39.0</v>
      </c>
      <c r="H1627" s="2">
        <v>32.0</v>
      </c>
      <c r="I1627" s="2">
        <v>7.0</v>
      </c>
      <c r="J1627" s="2">
        <v>0.0</v>
      </c>
      <c r="K1627" s="2">
        <v>0.0</v>
      </c>
      <c r="L1627" s="2">
        <v>0.0</v>
      </c>
      <c r="M1627" s="2">
        <v>23.0</v>
      </c>
      <c r="N1627" s="2"/>
      <c r="O1627" s="2"/>
      <c r="P1627" s="2" t="s">
        <v>166</v>
      </c>
    </row>
    <row r="1628">
      <c r="A1628" s="3" t="s">
        <v>82</v>
      </c>
      <c r="B1628" s="2" t="s">
        <v>17</v>
      </c>
      <c r="C1628" s="2" t="s">
        <v>18</v>
      </c>
      <c r="D1628" s="2" t="s">
        <v>23</v>
      </c>
      <c r="E1628" s="2" t="s">
        <v>165</v>
      </c>
      <c r="F1628" s="2">
        <v>55.0</v>
      </c>
      <c r="G1628" s="2">
        <v>39.0</v>
      </c>
      <c r="H1628" s="2">
        <v>32.0</v>
      </c>
      <c r="I1628" s="2">
        <v>7.0</v>
      </c>
      <c r="J1628" s="2">
        <v>0.0</v>
      </c>
      <c r="K1628" s="2">
        <v>0.0</v>
      </c>
      <c r="L1628" s="2">
        <v>0.0</v>
      </c>
      <c r="M1628" s="2">
        <v>23.0</v>
      </c>
      <c r="N1628" s="2">
        <v>0.0</v>
      </c>
      <c r="O1628" s="2">
        <v>-9.0</v>
      </c>
      <c r="P1628" s="2" t="s">
        <v>166</v>
      </c>
    </row>
    <row r="1629">
      <c r="A1629" s="3" t="s">
        <v>83</v>
      </c>
      <c r="B1629" s="4">
        <v>45294.29166666667</v>
      </c>
      <c r="C1629" s="2" t="s">
        <v>18</v>
      </c>
      <c r="D1629" s="2" t="s">
        <v>164</v>
      </c>
      <c r="E1629" s="2" t="s">
        <v>165</v>
      </c>
      <c r="F1629" s="2"/>
      <c r="G1629" s="2">
        <v>39.0</v>
      </c>
      <c r="H1629" s="2">
        <v>32.0</v>
      </c>
      <c r="I1629" s="2">
        <v>7.0</v>
      </c>
      <c r="J1629" s="2">
        <v>0.0</v>
      </c>
      <c r="K1629" s="2">
        <v>0.0</v>
      </c>
      <c r="L1629" s="2">
        <v>0.0</v>
      </c>
      <c r="M1629" s="2"/>
      <c r="N1629" s="2"/>
      <c r="O1629" s="2"/>
      <c r="P1629" s="2" t="s">
        <v>166</v>
      </c>
    </row>
    <row r="1630">
      <c r="A1630" s="3" t="s">
        <v>84</v>
      </c>
      <c r="B1630" s="2" t="s">
        <v>17</v>
      </c>
      <c r="C1630" s="2" t="s">
        <v>18</v>
      </c>
      <c r="D1630" s="2" t="s">
        <v>91</v>
      </c>
      <c r="E1630" s="2" t="s">
        <v>27</v>
      </c>
      <c r="F1630" s="2">
        <v>38.0</v>
      </c>
      <c r="G1630" s="2">
        <v>53.0</v>
      </c>
      <c r="H1630" s="2">
        <v>40.0</v>
      </c>
      <c r="I1630" s="2">
        <v>13.0</v>
      </c>
      <c r="J1630" s="2">
        <v>0.0</v>
      </c>
      <c r="K1630" s="2">
        <v>0.0</v>
      </c>
      <c r="L1630" s="2">
        <v>0.0</v>
      </c>
      <c r="M1630" s="2">
        <v>-2.0</v>
      </c>
      <c r="N1630" s="2"/>
      <c r="O1630" s="2"/>
      <c r="P1630" s="2" t="s">
        <v>146</v>
      </c>
    </row>
    <row r="1631">
      <c r="A1631" s="3" t="s">
        <v>85</v>
      </c>
      <c r="B1631" s="2" t="s">
        <v>17</v>
      </c>
      <c r="C1631" s="2" t="s">
        <v>18</v>
      </c>
      <c r="D1631" s="2" t="s">
        <v>19</v>
      </c>
      <c r="E1631" s="2" t="s">
        <v>27</v>
      </c>
      <c r="F1631" s="2">
        <v>28.0</v>
      </c>
      <c r="G1631" s="2">
        <v>33.0</v>
      </c>
      <c r="H1631" s="2">
        <v>26.0</v>
      </c>
      <c r="I1631" s="2">
        <v>7.0</v>
      </c>
      <c r="J1631" s="2">
        <v>0.0</v>
      </c>
      <c r="K1631" s="2">
        <v>0.0</v>
      </c>
      <c r="L1631" s="2">
        <v>0.0</v>
      </c>
      <c r="M1631" s="2">
        <v>2.0</v>
      </c>
      <c r="N1631" s="2"/>
      <c r="O1631" s="2"/>
      <c r="P1631" s="2" t="s">
        <v>146</v>
      </c>
    </row>
    <row r="1632">
      <c r="A1632" s="3" t="s">
        <v>86</v>
      </c>
      <c r="B1632" s="2" t="s">
        <v>17</v>
      </c>
      <c r="C1632" s="2" t="s">
        <v>18</v>
      </c>
      <c r="D1632" s="2" t="s">
        <v>23</v>
      </c>
      <c r="E1632" s="2" t="s">
        <v>27</v>
      </c>
      <c r="F1632" s="2">
        <v>59.0</v>
      </c>
      <c r="G1632" s="2">
        <v>86.0</v>
      </c>
      <c r="H1632" s="2">
        <v>66.0</v>
      </c>
      <c r="I1632" s="2">
        <v>20.0</v>
      </c>
      <c r="J1632" s="2">
        <v>0.0</v>
      </c>
      <c r="K1632" s="2">
        <v>0.0</v>
      </c>
      <c r="L1632" s="2">
        <v>0.0</v>
      </c>
      <c r="M1632" s="2">
        <v>-7.0</v>
      </c>
      <c r="N1632" s="2">
        <v>-7.0</v>
      </c>
      <c r="O1632" s="2">
        <v>-73.0</v>
      </c>
      <c r="P1632" s="2" t="s">
        <v>146</v>
      </c>
    </row>
    <row r="1633">
      <c r="A1633" s="3" t="s">
        <v>87</v>
      </c>
      <c r="B1633" s="4">
        <v>45262.29166666667</v>
      </c>
      <c r="C1633" s="2" t="s">
        <v>18</v>
      </c>
      <c r="D1633" s="2" t="s">
        <v>19</v>
      </c>
      <c r="E1633" s="2" t="s">
        <v>27</v>
      </c>
      <c r="F1633" s="2"/>
      <c r="G1633" s="2">
        <v>19.0</v>
      </c>
      <c r="H1633" s="2">
        <v>13.0</v>
      </c>
      <c r="I1633" s="2">
        <v>6.0</v>
      </c>
      <c r="J1633" s="2">
        <v>0.0</v>
      </c>
      <c r="K1633" s="2">
        <v>0.0</v>
      </c>
      <c r="L1633" s="2">
        <v>0.0</v>
      </c>
      <c r="M1633" s="2"/>
      <c r="N1633" s="2"/>
      <c r="O1633" s="2"/>
      <c r="P1633" s="2" t="s">
        <v>146</v>
      </c>
    </row>
    <row r="1634">
      <c r="A1634" s="3" t="s">
        <v>88</v>
      </c>
      <c r="B1634" s="4">
        <v>45293.29166666667</v>
      </c>
      <c r="C1634" s="2" t="s">
        <v>18</v>
      </c>
      <c r="D1634" s="2" t="s">
        <v>91</v>
      </c>
      <c r="E1634" s="2" t="s">
        <v>27</v>
      </c>
      <c r="F1634" s="2"/>
      <c r="G1634" s="2">
        <v>53.0</v>
      </c>
      <c r="H1634" s="2">
        <v>40.0</v>
      </c>
      <c r="I1634" s="2">
        <v>13.0</v>
      </c>
      <c r="J1634" s="2">
        <v>0.0</v>
      </c>
      <c r="K1634" s="2">
        <v>0.0</v>
      </c>
      <c r="L1634" s="2">
        <v>0.0</v>
      </c>
      <c r="M1634" s="2"/>
      <c r="N1634" s="2"/>
      <c r="O1634" s="2"/>
      <c r="P1634" s="2" t="s">
        <v>146</v>
      </c>
    </row>
    <row r="1635">
      <c r="A1635" s="3" t="s">
        <v>89</v>
      </c>
      <c r="B1635" s="4">
        <v>45294.29166666667</v>
      </c>
      <c r="C1635" s="2" t="s">
        <v>18</v>
      </c>
      <c r="D1635" s="2" t="s">
        <v>19</v>
      </c>
      <c r="E1635" s="2" t="s">
        <v>27</v>
      </c>
      <c r="F1635" s="2"/>
      <c r="G1635" s="2">
        <v>14.0</v>
      </c>
      <c r="H1635" s="2">
        <v>13.0</v>
      </c>
      <c r="I1635" s="2">
        <v>1.0</v>
      </c>
      <c r="J1635" s="2">
        <v>0.0</v>
      </c>
      <c r="K1635" s="2">
        <v>0.0</v>
      </c>
      <c r="L1635" s="2">
        <v>0.0</v>
      </c>
      <c r="M1635" s="2"/>
      <c r="N1635" s="2"/>
      <c r="O1635" s="2"/>
      <c r="P1635" s="2" t="s">
        <v>146</v>
      </c>
    </row>
    <row r="1636">
      <c r="A1636" s="3" t="s">
        <v>90</v>
      </c>
      <c r="B1636" s="2" t="s">
        <v>17</v>
      </c>
      <c r="C1636" s="2" t="s">
        <v>18</v>
      </c>
      <c r="D1636" s="2" t="s">
        <v>19</v>
      </c>
      <c r="E1636" s="2" t="s">
        <v>162</v>
      </c>
      <c r="F1636" s="2">
        <v>52.0</v>
      </c>
      <c r="G1636" s="2">
        <v>69.0</v>
      </c>
      <c r="H1636" s="2">
        <v>54.0</v>
      </c>
      <c r="I1636" s="2">
        <v>14.0</v>
      </c>
      <c r="J1636" s="2">
        <v>1.0</v>
      </c>
      <c r="K1636" s="2">
        <v>0.0</v>
      </c>
      <c r="L1636" s="2">
        <v>0.0</v>
      </c>
      <c r="M1636" s="2">
        <v>-2.0</v>
      </c>
      <c r="N1636" s="2"/>
      <c r="O1636" s="2"/>
      <c r="P1636" s="2" t="s">
        <v>92</v>
      </c>
    </row>
    <row r="1637">
      <c r="A1637" s="3" t="s">
        <v>93</v>
      </c>
      <c r="B1637" s="2" t="s">
        <v>17</v>
      </c>
      <c r="C1637" s="2" t="s">
        <v>18</v>
      </c>
      <c r="D1637" s="2" t="s">
        <v>23</v>
      </c>
      <c r="E1637" s="2" t="s">
        <v>162</v>
      </c>
      <c r="F1637" s="2">
        <v>52.0</v>
      </c>
      <c r="G1637" s="2">
        <v>69.0</v>
      </c>
      <c r="H1637" s="2">
        <v>54.0</v>
      </c>
      <c r="I1637" s="2">
        <v>14.0</v>
      </c>
      <c r="J1637" s="2">
        <v>1.0</v>
      </c>
      <c r="K1637" s="2">
        <v>0.0</v>
      </c>
      <c r="L1637" s="2">
        <v>0.0</v>
      </c>
      <c r="M1637" s="2">
        <v>-2.0</v>
      </c>
      <c r="N1637" s="2">
        <v>0.0</v>
      </c>
      <c r="O1637" s="2">
        <v>-56.0</v>
      </c>
      <c r="P1637" s="2" t="s">
        <v>92</v>
      </c>
    </row>
    <row r="1638">
      <c r="A1638" s="3" t="s">
        <v>16</v>
      </c>
      <c r="B1638" s="4">
        <v>45232.25</v>
      </c>
      <c r="C1638" s="2" t="s">
        <v>18</v>
      </c>
      <c r="D1638" s="2" t="s">
        <v>19</v>
      </c>
      <c r="E1638" s="2" t="s">
        <v>162</v>
      </c>
      <c r="F1638" s="2"/>
      <c r="G1638" s="2">
        <v>66.0</v>
      </c>
      <c r="H1638" s="2">
        <v>52.0</v>
      </c>
      <c r="I1638" s="2">
        <v>13.0</v>
      </c>
      <c r="J1638" s="2">
        <v>1.0</v>
      </c>
      <c r="K1638" s="2">
        <v>0.0</v>
      </c>
      <c r="L1638" s="2">
        <v>0.0</v>
      </c>
      <c r="M1638" s="2"/>
      <c r="N1638" s="2"/>
      <c r="O1638" s="2"/>
      <c r="P1638" s="2" t="s">
        <v>92</v>
      </c>
    </row>
    <row r="1639">
      <c r="A1639" s="3" t="s">
        <v>94</v>
      </c>
      <c r="B1639" s="4">
        <v>45294.29166666667</v>
      </c>
      <c r="C1639" s="2" t="s">
        <v>18</v>
      </c>
      <c r="D1639" s="2" t="s">
        <v>19</v>
      </c>
      <c r="E1639" s="2" t="s">
        <v>162</v>
      </c>
      <c r="F1639" s="2"/>
      <c r="G1639" s="2">
        <v>3.0</v>
      </c>
      <c r="H1639" s="2">
        <v>2.0</v>
      </c>
      <c r="I1639" s="2">
        <v>1.0</v>
      </c>
      <c r="J1639" s="2">
        <v>0.0</v>
      </c>
      <c r="K1639" s="2">
        <v>0.0</v>
      </c>
      <c r="L1639" s="2">
        <v>0.0</v>
      </c>
      <c r="M1639" s="2"/>
      <c r="N1639" s="2"/>
      <c r="O1639" s="2"/>
      <c r="P1639" s="2" t="s">
        <v>92</v>
      </c>
    </row>
    <row r="1640">
      <c r="A1640" s="3" t="s">
        <v>95</v>
      </c>
      <c r="B1640" s="2" t="s">
        <v>17</v>
      </c>
      <c r="C1640" s="2" t="s">
        <v>18</v>
      </c>
      <c r="D1640" s="2" t="s">
        <v>19</v>
      </c>
      <c r="E1640" s="2" t="s">
        <v>27</v>
      </c>
      <c r="F1640" s="2">
        <v>24.0</v>
      </c>
      <c r="G1640" s="2">
        <v>12.0</v>
      </c>
      <c r="H1640" s="2">
        <v>7.0</v>
      </c>
      <c r="I1640" s="2">
        <v>5.0</v>
      </c>
      <c r="J1640" s="2">
        <v>0.0</v>
      </c>
      <c r="K1640" s="2">
        <v>0.0</v>
      </c>
      <c r="L1640" s="2">
        <v>0.0</v>
      </c>
      <c r="M1640" s="2">
        <v>17.0</v>
      </c>
      <c r="N1640" s="2"/>
      <c r="O1640" s="2"/>
      <c r="P1640" s="2" t="s">
        <v>67</v>
      </c>
    </row>
    <row r="1641">
      <c r="A1641" s="3" t="s">
        <v>97</v>
      </c>
      <c r="B1641" s="2" t="s">
        <v>17</v>
      </c>
      <c r="C1641" s="2" t="s">
        <v>18</v>
      </c>
      <c r="D1641" s="2" t="s">
        <v>23</v>
      </c>
      <c r="E1641" s="2" t="s">
        <v>27</v>
      </c>
      <c r="F1641" s="2">
        <v>41.0</v>
      </c>
      <c r="G1641" s="2">
        <v>12.0</v>
      </c>
      <c r="H1641" s="2">
        <v>7.0</v>
      </c>
      <c r="I1641" s="2">
        <v>5.0</v>
      </c>
      <c r="J1641" s="2">
        <v>0.0</v>
      </c>
      <c r="K1641" s="2">
        <v>0.0</v>
      </c>
      <c r="L1641" s="2">
        <v>0.0</v>
      </c>
      <c r="M1641" s="2">
        <v>34.0</v>
      </c>
      <c r="N1641" s="2">
        <v>17.0</v>
      </c>
      <c r="O1641" s="2">
        <v>27.0</v>
      </c>
      <c r="P1641" s="2" t="s">
        <v>67</v>
      </c>
    </row>
    <row r="1642">
      <c r="A1642" s="3" t="s">
        <v>98</v>
      </c>
      <c r="B1642" s="4">
        <v>45294.29166666667</v>
      </c>
      <c r="C1642" s="2" t="s">
        <v>18</v>
      </c>
      <c r="D1642" s="2" t="s">
        <v>19</v>
      </c>
      <c r="E1642" s="2" t="s">
        <v>27</v>
      </c>
      <c r="F1642" s="2"/>
      <c r="G1642" s="2">
        <v>12.0</v>
      </c>
      <c r="H1642" s="2">
        <v>7.0</v>
      </c>
      <c r="I1642" s="2">
        <v>5.0</v>
      </c>
      <c r="J1642" s="2">
        <v>0.0</v>
      </c>
      <c r="K1642" s="2">
        <v>0.0</v>
      </c>
      <c r="L1642" s="2">
        <v>0.0</v>
      </c>
      <c r="M1642" s="2"/>
      <c r="N1642" s="2"/>
      <c r="O1642" s="2"/>
      <c r="P1642" s="2" t="s">
        <v>67</v>
      </c>
    </row>
    <row r="1643">
      <c r="A1643" s="3" t="s">
        <v>99</v>
      </c>
      <c r="B1643" s="2" t="s">
        <v>17</v>
      </c>
      <c r="C1643" s="2" t="s">
        <v>18</v>
      </c>
      <c r="D1643" s="2" t="s">
        <v>164</v>
      </c>
      <c r="E1643" s="2" t="s">
        <v>165</v>
      </c>
      <c r="F1643" s="2">
        <v>30.0</v>
      </c>
      <c r="G1643" s="2">
        <v>61.0</v>
      </c>
      <c r="H1643" s="2">
        <v>30.0</v>
      </c>
      <c r="I1643" s="2">
        <v>31.0</v>
      </c>
      <c r="J1643" s="2">
        <v>0.0</v>
      </c>
      <c r="K1643" s="2">
        <v>0.0</v>
      </c>
      <c r="L1643" s="2">
        <v>0.0</v>
      </c>
      <c r="M1643" s="2">
        <v>0.0</v>
      </c>
      <c r="N1643" s="2"/>
      <c r="O1643" s="2"/>
      <c r="P1643" s="2" t="s">
        <v>166</v>
      </c>
    </row>
    <row r="1644">
      <c r="A1644" s="3" t="s">
        <v>100</v>
      </c>
      <c r="B1644" s="2" t="s">
        <v>17</v>
      </c>
      <c r="C1644" s="2" t="s">
        <v>18</v>
      </c>
      <c r="D1644" s="2" t="s">
        <v>23</v>
      </c>
      <c r="E1644" s="2" t="s">
        <v>165</v>
      </c>
      <c r="F1644" s="2">
        <v>30.0</v>
      </c>
      <c r="G1644" s="2">
        <v>61.0</v>
      </c>
      <c r="H1644" s="2">
        <v>30.0</v>
      </c>
      <c r="I1644" s="2">
        <v>31.0</v>
      </c>
      <c r="J1644" s="2">
        <v>0.0</v>
      </c>
      <c r="K1644" s="2">
        <v>0.0</v>
      </c>
      <c r="L1644" s="2">
        <v>0.0</v>
      </c>
      <c r="M1644" s="2">
        <v>0.0</v>
      </c>
      <c r="N1644" s="2">
        <v>0.0</v>
      </c>
      <c r="O1644" s="2">
        <v>-30.0</v>
      </c>
      <c r="P1644" s="2" t="s">
        <v>166</v>
      </c>
    </row>
    <row r="1645">
      <c r="A1645" s="3" t="s">
        <v>101</v>
      </c>
      <c r="B1645" s="4">
        <v>45294.29166666667</v>
      </c>
      <c r="C1645" s="2" t="s">
        <v>18</v>
      </c>
      <c r="D1645" s="2" t="s">
        <v>164</v>
      </c>
      <c r="E1645" s="2" t="s">
        <v>165</v>
      </c>
      <c r="F1645" s="2"/>
      <c r="G1645" s="2">
        <v>61.0</v>
      </c>
      <c r="H1645" s="2">
        <v>30.0</v>
      </c>
      <c r="I1645" s="2">
        <v>31.0</v>
      </c>
      <c r="J1645" s="2">
        <v>0.0</v>
      </c>
      <c r="K1645" s="2">
        <v>0.0</v>
      </c>
      <c r="L1645" s="2">
        <v>0.0</v>
      </c>
      <c r="M1645" s="2"/>
      <c r="N1645" s="2"/>
      <c r="O1645" s="2"/>
      <c r="P1645" s="2" t="s">
        <v>166</v>
      </c>
    </row>
    <row r="1646">
      <c r="A1646" s="3" t="s">
        <v>102</v>
      </c>
      <c r="B1646" s="2" t="s">
        <v>17</v>
      </c>
      <c r="C1646" s="2" t="s">
        <v>18</v>
      </c>
      <c r="D1646" s="2" t="s">
        <v>164</v>
      </c>
      <c r="E1646" s="2" t="s">
        <v>290</v>
      </c>
      <c r="F1646" s="2">
        <v>42.0</v>
      </c>
      <c r="G1646" s="2">
        <v>91.0</v>
      </c>
      <c r="H1646" s="2">
        <v>31.0</v>
      </c>
      <c r="I1646" s="2">
        <v>60.0</v>
      </c>
      <c r="J1646" s="2">
        <v>0.0</v>
      </c>
      <c r="K1646" s="2">
        <v>0.0</v>
      </c>
      <c r="L1646" s="2">
        <v>0.0</v>
      </c>
      <c r="M1646" s="2">
        <v>11.0</v>
      </c>
      <c r="N1646" s="2"/>
      <c r="O1646" s="2"/>
      <c r="P1646" s="2" t="s">
        <v>166</v>
      </c>
    </row>
    <row r="1647">
      <c r="A1647" s="3" t="s">
        <v>103</v>
      </c>
      <c r="B1647" s="2" t="s">
        <v>17</v>
      </c>
      <c r="C1647" s="2" t="s">
        <v>18</v>
      </c>
      <c r="D1647" s="2" t="s">
        <v>164</v>
      </c>
      <c r="E1647" s="2" t="s">
        <v>291</v>
      </c>
      <c r="F1647" s="2">
        <v>49.0</v>
      </c>
      <c r="G1647" s="2">
        <v>121.0</v>
      </c>
      <c r="H1647" s="2">
        <v>60.0</v>
      </c>
      <c r="I1647" s="2">
        <v>61.0</v>
      </c>
      <c r="J1647" s="2">
        <v>0.0</v>
      </c>
      <c r="K1647" s="2">
        <v>0.0</v>
      </c>
      <c r="L1647" s="2">
        <v>0.0</v>
      </c>
      <c r="M1647" s="2">
        <v>-11.0</v>
      </c>
      <c r="N1647" s="2"/>
      <c r="O1647" s="2"/>
      <c r="P1647" s="2" t="s">
        <v>166</v>
      </c>
    </row>
    <row r="1648">
      <c r="A1648" s="3" t="s">
        <v>104</v>
      </c>
      <c r="B1648" s="2" t="s">
        <v>17</v>
      </c>
      <c r="C1648" s="2" t="s">
        <v>18</v>
      </c>
      <c r="D1648" s="2" t="s">
        <v>23</v>
      </c>
      <c r="E1648" s="2" t="s">
        <v>290</v>
      </c>
      <c r="F1648" s="2">
        <v>42.0</v>
      </c>
      <c r="G1648" s="2">
        <v>91.0</v>
      </c>
      <c r="H1648" s="2">
        <v>31.0</v>
      </c>
      <c r="I1648" s="2">
        <v>60.0</v>
      </c>
      <c r="J1648" s="2">
        <v>0.0</v>
      </c>
      <c r="K1648" s="2">
        <v>0.0</v>
      </c>
      <c r="L1648" s="2">
        <v>0.0</v>
      </c>
      <c r="M1648" s="2">
        <v>11.0</v>
      </c>
      <c r="N1648" s="2">
        <v>0.0</v>
      </c>
      <c r="O1648" s="2">
        <v>-20.0</v>
      </c>
      <c r="P1648" s="2" t="s">
        <v>166</v>
      </c>
    </row>
    <row r="1649">
      <c r="A1649" s="3" t="s">
        <v>105</v>
      </c>
      <c r="B1649" s="2" t="s">
        <v>17</v>
      </c>
      <c r="C1649" s="2" t="s">
        <v>18</v>
      </c>
      <c r="D1649" s="2" t="s">
        <v>23</v>
      </c>
      <c r="E1649" s="2" t="s">
        <v>291</v>
      </c>
      <c r="F1649" s="2">
        <v>49.0</v>
      </c>
      <c r="G1649" s="2">
        <v>121.0</v>
      </c>
      <c r="H1649" s="2">
        <v>60.0</v>
      </c>
      <c r="I1649" s="2">
        <v>61.0</v>
      </c>
      <c r="J1649" s="2">
        <v>0.0</v>
      </c>
      <c r="K1649" s="2">
        <v>0.0</v>
      </c>
      <c r="L1649" s="2">
        <v>0.0</v>
      </c>
      <c r="M1649" s="2">
        <v>-11.0</v>
      </c>
      <c r="N1649" s="2">
        <v>0.0</v>
      </c>
      <c r="O1649" s="2">
        <v>-71.0</v>
      </c>
      <c r="P1649" s="2" t="s">
        <v>166</v>
      </c>
    </row>
    <row r="1650">
      <c r="A1650" s="3" t="s">
        <v>106</v>
      </c>
      <c r="B1650" s="4">
        <v>45262.29166666667</v>
      </c>
      <c r="C1650" s="2" t="s">
        <v>18</v>
      </c>
      <c r="D1650" s="2" t="s">
        <v>164</v>
      </c>
      <c r="E1650" s="2" t="s">
        <v>290</v>
      </c>
      <c r="F1650" s="2"/>
      <c r="G1650" s="2">
        <v>80.0</v>
      </c>
      <c r="H1650" s="2">
        <v>25.0</v>
      </c>
      <c r="I1650" s="2">
        <v>55.0</v>
      </c>
      <c r="J1650" s="2">
        <v>0.0</v>
      </c>
      <c r="K1650" s="2">
        <v>0.0</v>
      </c>
      <c r="L1650" s="2">
        <v>0.0</v>
      </c>
      <c r="M1650" s="2"/>
      <c r="N1650" s="2"/>
      <c r="O1650" s="2"/>
      <c r="P1650" s="2" t="s">
        <v>166</v>
      </c>
    </row>
    <row r="1651">
      <c r="A1651" s="3" t="s">
        <v>107</v>
      </c>
      <c r="B1651" s="4">
        <v>45263.29166666667</v>
      </c>
      <c r="C1651" s="2" t="s">
        <v>18</v>
      </c>
      <c r="D1651" s="2" t="s">
        <v>164</v>
      </c>
      <c r="E1651" s="2" t="s">
        <v>291</v>
      </c>
      <c r="F1651" s="2"/>
      <c r="G1651" s="2">
        <v>101.0</v>
      </c>
      <c r="H1651" s="2">
        <v>49.0</v>
      </c>
      <c r="I1651" s="2">
        <v>52.0</v>
      </c>
      <c r="J1651" s="2">
        <v>0.0</v>
      </c>
      <c r="K1651" s="2">
        <v>0.0</v>
      </c>
      <c r="L1651" s="2">
        <v>0.0</v>
      </c>
      <c r="M1651" s="2"/>
      <c r="N1651" s="2"/>
      <c r="O1651" s="2"/>
      <c r="P1651" s="2" t="s">
        <v>166</v>
      </c>
    </row>
    <row r="1652">
      <c r="A1652" s="3" t="s">
        <v>108</v>
      </c>
      <c r="B1652" s="4">
        <v>45292.29166666667</v>
      </c>
      <c r="C1652" s="2" t="s">
        <v>18</v>
      </c>
      <c r="D1652" s="2" t="s">
        <v>164</v>
      </c>
      <c r="E1652" s="2" t="s">
        <v>290</v>
      </c>
      <c r="F1652" s="2"/>
      <c r="G1652" s="2">
        <v>11.0</v>
      </c>
      <c r="H1652" s="2">
        <v>6.0</v>
      </c>
      <c r="I1652" s="2">
        <v>5.0</v>
      </c>
      <c r="J1652" s="2">
        <v>0.0</v>
      </c>
      <c r="K1652" s="2">
        <v>0.0</v>
      </c>
      <c r="L1652" s="2">
        <v>0.0</v>
      </c>
      <c r="M1652" s="2"/>
      <c r="N1652" s="2"/>
      <c r="O1652" s="2"/>
      <c r="P1652" s="2" t="s">
        <v>166</v>
      </c>
    </row>
    <row r="1653">
      <c r="A1653" s="3" t="s">
        <v>112</v>
      </c>
      <c r="B1653" s="4">
        <v>45293.29166666667</v>
      </c>
      <c r="C1653" s="2" t="s">
        <v>18</v>
      </c>
      <c r="D1653" s="2" t="s">
        <v>164</v>
      </c>
      <c r="E1653" s="2" t="s">
        <v>291</v>
      </c>
      <c r="F1653" s="2"/>
      <c r="G1653" s="2">
        <v>20.0</v>
      </c>
      <c r="H1653" s="2">
        <v>11.0</v>
      </c>
      <c r="I1653" s="2">
        <v>9.0</v>
      </c>
      <c r="J1653" s="2">
        <v>0.0</v>
      </c>
      <c r="K1653" s="2">
        <v>0.0</v>
      </c>
      <c r="L1653" s="2">
        <v>0.0</v>
      </c>
      <c r="M1653" s="2"/>
      <c r="N1653" s="2"/>
      <c r="O1653" s="2"/>
      <c r="P1653" s="2" t="s">
        <v>166</v>
      </c>
    </row>
    <row r="1654">
      <c r="A1654" s="3" t="s">
        <v>115</v>
      </c>
      <c r="B1654" s="2" t="s">
        <v>17</v>
      </c>
      <c r="C1654" s="2" t="s">
        <v>18</v>
      </c>
      <c r="D1654" s="2" t="s">
        <v>79</v>
      </c>
      <c r="E1654" s="2" t="s">
        <v>165</v>
      </c>
      <c r="F1654" s="2">
        <v>400.0</v>
      </c>
      <c r="G1654" s="2">
        <v>283.0</v>
      </c>
      <c r="H1654" s="2">
        <v>200.0</v>
      </c>
      <c r="I1654" s="2">
        <v>83.0</v>
      </c>
      <c r="J1654" s="2">
        <v>0.0</v>
      </c>
      <c r="K1654" s="2">
        <v>0.0</v>
      </c>
      <c r="L1654" s="2">
        <v>0.0</v>
      </c>
      <c r="M1654" s="2">
        <v>200.0</v>
      </c>
      <c r="N1654" s="2"/>
      <c r="O1654" s="2"/>
      <c r="P1654" s="2" t="s">
        <v>166</v>
      </c>
    </row>
    <row r="1655">
      <c r="A1655" s="3" t="s">
        <v>117</v>
      </c>
      <c r="B1655" s="2" t="s">
        <v>17</v>
      </c>
      <c r="C1655" s="2" t="s">
        <v>18</v>
      </c>
      <c r="D1655" s="2" t="s">
        <v>23</v>
      </c>
      <c r="E1655" s="2" t="s">
        <v>165</v>
      </c>
      <c r="F1655" s="2">
        <v>400.0</v>
      </c>
      <c r="G1655" s="2">
        <v>283.0</v>
      </c>
      <c r="H1655" s="2">
        <v>200.0</v>
      </c>
      <c r="I1655" s="2">
        <v>83.0</v>
      </c>
      <c r="J1655" s="2">
        <v>0.0</v>
      </c>
      <c r="K1655" s="2">
        <v>0.0</v>
      </c>
      <c r="L1655" s="2">
        <v>0.0</v>
      </c>
      <c r="M1655" s="2">
        <v>200.0</v>
      </c>
      <c r="N1655" s="2">
        <v>0.0</v>
      </c>
      <c r="O1655" s="2">
        <v>0.0</v>
      </c>
      <c r="P1655" s="2" t="s">
        <v>166</v>
      </c>
    </row>
    <row r="1656">
      <c r="A1656" s="3" t="s">
        <v>119</v>
      </c>
      <c r="B1656" s="4">
        <v>45262.29166666667</v>
      </c>
      <c r="C1656" s="2" t="s">
        <v>18</v>
      </c>
      <c r="D1656" s="2" t="s">
        <v>79</v>
      </c>
      <c r="E1656" s="2" t="s">
        <v>165</v>
      </c>
      <c r="F1656" s="2"/>
      <c r="G1656" s="2">
        <v>243.0</v>
      </c>
      <c r="H1656" s="2">
        <v>172.0</v>
      </c>
      <c r="I1656" s="2">
        <v>71.0</v>
      </c>
      <c r="J1656" s="2">
        <v>0.0</v>
      </c>
      <c r="K1656" s="2">
        <v>0.0</v>
      </c>
      <c r="L1656" s="2">
        <v>0.0</v>
      </c>
      <c r="M1656" s="2"/>
      <c r="N1656" s="2"/>
      <c r="O1656" s="2"/>
      <c r="P1656" s="2" t="s">
        <v>166</v>
      </c>
    </row>
    <row r="1657">
      <c r="A1657" s="3" t="s">
        <v>121</v>
      </c>
      <c r="B1657" s="4">
        <v>45292.29166666667</v>
      </c>
      <c r="C1657" s="2" t="s">
        <v>18</v>
      </c>
      <c r="D1657" s="2" t="s">
        <v>79</v>
      </c>
      <c r="E1657" s="2" t="s">
        <v>165</v>
      </c>
      <c r="F1657" s="2"/>
      <c r="G1657" s="2">
        <v>40.0</v>
      </c>
      <c r="H1657" s="2">
        <v>28.0</v>
      </c>
      <c r="I1657" s="2">
        <v>12.0</v>
      </c>
      <c r="J1657" s="2">
        <v>0.0</v>
      </c>
      <c r="K1657" s="2">
        <v>0.0</v>
      </c>
      <c r="L1657" s="2">
        <v>0.0</v>
      </c>
      <c r="M1657" s="2"/>
      <c r="N1657" s="2"/>
      <c r="O1657" s="2"/>
      <c r="P1657" s="2" t="s">
        <v>166</v>
      </c>
    </row>
    <row r="1658">
      <c r="A1658" s="3" t="s">
        <v>16</v>
      </c>
      <c r="B1658" s="2" t="s">
        <v>17</v>
      </c>
      <c r="C1658" s="2" t="s">
        <v>18</v>
      </c>
      <c r="D1658" s="2" t="s">
        <v>19</v>
      </c>
      <c r="E1658" s="2" t="s">
        <v>292</v>
      </c>
      <c r="F1658" s="2">
        <v>40.0</v>
      </c>
      <c r="G1658" s="2">
        <v>70.0</v>
      </c>
      <c r="H1658" s="2">
        <v>45.0</v>
      </c>
      <c r="I1658" s="2">
        <v>13.0</v>
      </c>
      <c r="J1658" s="2">
        <v>12.0</v>
      </c>
      <c r="K1658" s="2">
        <v>0.0</v>
      </c>
      <c r="L1658" s="2">
        <v>0.0</v>
      </c>
      <c r="M1658" s="2">
        <v>-5.0</v>
      </c>
      <c r="N1658" s="2"/>
      <c r="O1658" s="2"/>
      <c r="P1658" s="2" t="s">
        <v>146</v>
      </c>
    </row>
    <row r="1659">
      <c r="A1659" s="3" t="s">
        <v>124</v>
      </c>
      <c r="B1659" s="2" t="s">
        <v>17</v>
      </c>
      <c r="C1659" s="2" t="s">
        <v>18</v>
      </c>
      <c r="D1659" s="2" t="s">
        <v>23</v>
      </c>
      <c r="E1659" s="2" t="s">
        <v>292</v>
      </c>
      <c r="F1659" s="2">
        <v>40.0</v>
      </c>
      <c r="G1659" s="2">
        <v>70.0</v>
      </c>
      <c r="H1659" s="2">
        <v>45.0</v>
      </c>
      <c r="I1659" s="2">
        <v>13.0</v>
      </c>
      <c r="J1659" s="2">
        <v>12.0</v>
      </c>
      <c r="K1659" s="2">
        <v>0.0</v>
      </c>
      <c r="L1659" s="2">
        <v>0.0</v>
      </c>
      <c r="M1659" s="2">
        <v>-5.0</v>
      </c>
      <c r="N1659" s="2">
        <v>0.0</v>
      </c>
      <c r="O1659" s="2">
        <v>-50.0</v>
      </c>
      <c r="P1659" s="2" t="s">
        <v>146</v>
      </c>
    </row>
    <row r="1660">
      <c r="A1660" s="3" t="s">
        <v>126</v>
      </c>
      <c r="B1660" s="4">
        <v>45262.29166666667</v>
      </c>
      <c r="C1660" s="2" t="s">
        <v>18</v>
      </c>
      <c r="D1660" s="2" t="s">
        <v>19</v>
      </c>
      <c r="E1660" s="2" t="s">
        <v>292</v>
      </c>
      <c r="F1660" s="2"/>
      <c r="G1660" s="2">
        <v>51.0</v>
      </c>
      <c r="H1660" s="2">
        <v>28.0</v>
      </c>
      <c r="I1660" s="2">
        <v>11.0</v>
      </c>
      <c r="J1660" s="2">
        <v>12.0</v>
      </c>
      <c r="K1660" s="2">
        <v>0.0</v>
      </c>
      <c r="L1660" s="2">
        <v>0.0</v>
      </c>
      <c r="M1660" s="2"/>
      <c r="N1660" s="2"/>
      <c r="O1660" s="2"/>
      <c r="P1660" s="2" t="s">
        <v>146</v>
      </c>
    </row>
    <row r="1661">
      <c r="A1661" s="3" t="s">
        <v>128</v>
      </c>
      <c r="B1661" s="4">
        <v>45293.29166666667</v>
      </c>
      <c r="C1661" s="2" t="s">
        <v>18</v>
      </c>
      <c r="D1661" s="2" t="s">
        <v>19</v>
      </c>
      <c r="E1661" s="2" t="s">
        <v>292</v>
      </c>
      <c r="F1661" s="2"/>
      <c r="G1661" s="2">
        <v>13.0</v>
      </c>
      <c r="H1661" s="2">
        <v>11.0</v>
      </c>
      <c r="I1661" s="2">
        <v>2.0</v>
      </c>
      <c r="J1661" s="2">
        <v>0.0</v>
      </c>
      <c r="K1661" s="2">
        <v>0.0</v>
      </c>
      <c r="L1661" s="2">
        <v>0.0</v>
      </c>
      <c r="M1661" s="2"/>
      <c r="N1661" s="2"/>
      <c r="O1661" s="2"/>
      <c r="P1661" s="2" t="s">
        <v>146</v>
      </c>
    </row>
    <row r="1662">
      <c r="A1662" s="3" t="s">
        <v>129</v>
      </c>
      <c r="B1662" s="4">
        <v>45324.29166666667</v>
      </c>
      <c r="C1662" s="2" t="s">
        <v>18</v>
      </c>
      <c r="D1662" s="2" t="s">
        <v>19</v>
      </c>
      <c r="E1662" s="2" t="s">
        <v>292</v>
      </c>
      <c r="F1662" s="2"/>
      <c r="G1662" s="2">
        <v>6.0</v>
      </c>
      <c r="H1662" s="2">
        <v>6.0</v>
      </c>
      <c r="I1662" s="2">
        <v>0.0</v>
      </c>
      <c r="J1662" s="2">
        <v>0.0</v>
      </c>
      <c r="K1662" s="2">
        <v>0.0</v>
      </c>
      <c r="L1662" s="2">
        <v>0.0</v>
      </c>
      <c r="M1662" s="2"/>
      <c r="N1662" s="2"/>
      <c r="O1662" s="2"/>
      <c r="P1662" s="2" t="s">
        <v>146</v>
      </c>
    </row>
    <row r="1663">
      <c r="A1663" s="3" t="s">
        <v>130</v>
      </c>
      <c r="B1663" s="2" t="s">
        <v>17</v>
      </c>
      <c r="C1663" s="2" t="s">
        <v>18</v>
      </c>
      <c r="D1663" s="2" t="s">
        <v>164</v>
      </c>
      <c r="E1663" s="2" t="s">
        <v>165</v>
      </c>
      <c r="F1663" s="2">
        <v>210.0</v>
      </c>
      <c r="G1663" s="2">
        <v>333.0</v>
      </c>
      <c r="H1663" s="2">
        <v>219.0</v>
      </c>
      <c r="I1663" s="2">
        <v>114.0</v>
      </c>
      <c r="J1663" s="2">
        <v>0.0</v>
      </c>
      <c r="K1663" s="2">
        <v>0.0</v>
      </c>
      <c r="L1663" s="2">
        <v>0.0</v>
      </c>
      <c r="M1663" s="2">
        <v>-9.0</v>
      </c>
      <c r="N1663" s="2"/>
      <c r="O1663" s="2"/>
      <c r="P1663" s="2" t="s">
        <v>166</v>
      </c>
    </row>
    <row r="1664">
      <c r="A1664" s="3" t="s">
        <v>131</v>
      </c>
      <c r="B1664" s="2" t="s">
        <v>17</v>
      </c>
      <c r="C1664" s="2" t="s">
        <v>18</v>
      </c>
      <c r="D1664" s="2" t="s">
        <v>23</v>
      </c>
      <c r="E1664" s="2" t="s">
        <v>165</v>
      </c>
      <c r="F1664" s="2">
        <v>210.0</v>
      </c>
      <c r="G1664" s="2">
        <v>333.0</v>
      </c>
      <c r="H1664" s="2">
        <v>219.0</v>
      </c>
      <c r="I1664" s="2">
        <v>114.0</v>
      </c>
      <c r="J1664" s="2">
        <v>0.0</v>
      </c>
      <c r="K1664" s="2">
        <v>0.0</v>
      </c>
      <c r="L1664" s="2">
        <v>0.0</v>
      </c>
      <c r="M1664" s="2">
        <v>-9.0</v>
      </c>
      <c r="N1664" s="2">
        <v>0.0</v>
      </c>
      <c r="O1664" s="2">
        <v>-228.0</v>
      </c>
      <c r="P1664" s="2" t="s">
        <v>166</v>
      </c>
    </row>
    <row r="1665">
      <c r="A1665" s="3" t="s">
        <v>132</v>
      </c>
      <c r="B1665" s="4">
        <v>45294.29166666667</v>
      </c>
      <c r="C1665" s="2" t="s">
        <v>18</v>
      </c>
      <c r="D1665" s="2" t="s">
        <v>164</v>
      </c>
      <c r="E1665" s="2" t="s">
        <v>165</v>
      </c>
      <c r="F1665" s="2"/>
      <c r="G1665" s="2">
        <v>333.0</v>
      </c>
      <c r="H1665" s="2">
        <v>219.0</v>
      </c>
      <c r="I1665" s="2">
        <v>114.0</v>
      </c>
      <c r="J1665" s="2">
        <v>0.0</v>
      </c>
      <c r="K1665" s="2">
        <v>0.0</v>
      </c>
      <c r="L1665" s="2">
        <v>0.0</v>
      </c>
      <c r="M1665" s="2"/>
      <c r="N1665" s="2"/>
      <c r="O1665" s="2"/>
      <c r="P1665" s="2" t="s">
        <v>166</v>
      </c>
    </row>
    <row r="1666">
      <c r="A1666" s="3" t="s">
        <v>133</v>
      </c>
      <c r="B1666" s="2" t="s">
        <v>17</v>
      </c>
      <c r="C1666" s="2" t="s">
        <v>18</v>
      </c>
      <c r="D1666" s="2" t="s">
        <v>164</v>
      </c>
      <c r="E1666" s="2" t="s">
        <v>165</v>
      </c>
      <c r="F1666" s="2">
        <v>58.0</v>
      </c>
      <c r="G1666" s="2">
        <v>83.0</v>
      </c>
      <c r="H1666" s="2">
        <v>18.0</v>
      </c>
      <c r="I1666" s="2">
        <v>65.0</v>
      </c>
      <c r="J1666" s="2">
        <v>0.0</v>
      </c>
      <c r="K1666" s="2">
        <v>0.0</v>
      </c>
      <c r="L1666" s="2">
        <v>0.0</v>
      </c>
      <c r="M1666" s="2">
        <v>40.0</v>
      </c>
      <c r="N1666" s="2"/>
      <c r="O1666" s="2"/>
      <c r="P1666" s="2" t="s">
        <v>166</v>
      </c>
    </row>
    <row r="1667">
      <c r="A1667" s="3" t="s">
        <v>134</v>
      </c>
      <c r="B1667" s="2" t="s">
        <v>17</v>
      </c>
      <c r="C1667" s="2" t="s">
        <v>18</v>
      </c>
      <c r="D1667" s="2" t="s">
        <v>23</v>
      </c>
      <c r="E1667" s="2" t="s">
        <v>165</v>
      </c>
      <c r="F1667" s="2">
        <v>58.0</v>
      </c>
      <c r="G1667" s="2">
        <v>83.0</v>
      </c>
      <c r="H1667" s="2">
        <v>18.0</v>
      </c>
      <c r="I1667" s="2">
        <v>65.0</v>
      </c>
      <c r="J1667" s="2">
        <v>0.0</v>
      </c>
      <c r="K1667" s="2">
        <v>0.0</v>
      </c>
      <c r="L1667" s="2">
        <v>0.0</v>
      </c>
      <c r="M1667" s="2">
        <v>40.0</v>
      </c>
      <c r="N1667" s="2">
        <v>0.0</v>
      </c>
      <c r="O1667" s="2">
        <v>22.0</v>
      </c>
      <c r="P1667" s="2" t="s">
        <v>166</v>
      </c>
    </row>
    <row r="1668">
      <c r="A1668" s="3" t="s">
        <v>136</v>
      </c>
      <c r="B1668" s="4">
        <v>45232.25</v>
      </c>
      <c r="C1668" s="2" t="s">
        <v>18</v>
      </c>
      <c r="D1668" s="2" t="s">
        <v>164</v>
      </c>
      <c r="E1668" s="2" t="s">
        <v>165</v>
      </c>
      <c r="F1668" s="2"/>
      <c r="G1668" s="2">
        <v>77.0</v>
      </c>
      <c r="H1668" s="2">
        <v>18.0</v>
      </c>
      <c r="I1668" s="2">
        <v>59.0</v>
      </c>
      <c r="J1668" s="2">
        <v>0.0</v>
      </c>
      <c r="K1668" s="2">
        <v>0.0</v>
      </c>
      <c r="L1668" s="2">
        <v>0.0</v>
      </c>
      <c r="M1668" s="2"/>
      <c r="N1668" s="2"/>
      <c r="O1668" s="2"/>
      <c r="P1668" s="2" t="s">
        <v>166</v>
      </c>
    </row>
    <row r="1669">
      <c r="A1669" s="3" t="s">
        <v>137</v>
      </c>
      <c r="B1669" s="4">
        <v>45261.29166666667</v>
      </c>
      <c r="C1669" s="2" t="s">
        <v>18</v>
      </c>
      <c r="D1669" s="2" t="s">
        <v>164</v>
      </c>
      <c r="E1669" s="2" t="s">
        <v>165</v>
      </c>
      <c r="F1669" s="2"/>
      <c r="G1669" s="2">
        <v>0.0</v>
      </c>
      <c r="H1669" s="2">
        <v>0.0</v>
      </c>
      <c r="I1669" s="2">
        <v>0.0</v>
      </c>
      <c r="J1669" s="2">
        <v>0.0</v>
      </c>
      <c r="K1669" s="2">
        <v>0.0</v>
      </c>
      <c r="L1669" s="2">
        <v>0.0</v>
      </c>
      <c r="M1669" s="2"/>
      <c r="N1669" s="2"/>
      <c r="O1669" s="2"/>
      <c r="P1669" s="2" t="s">
        <v>166</v>
      </c>
    </row>
    <row r="1670">
      <c r="A1670" s="3" t="s">
        <v>138</v>
      </c>
      <c r="B1670" s="4">
        <v>45292.29166666667</v>
      </c>
      <c r="C1670" s="2" t="s">
        <v>18</v>
      </c>
      <c r="D1670" s="2" t="s">
        <v>164</v>
      </c>
      <c r="E1670" s="2" t="s">
        <v>165</v>
      </c>
      <c r="F1670" s="2"/>
      <c r="G1670" s="2">
        <v>6.0</v>
      </c>
      <c r="H1670" s="2">
        <v>0.0</v>
      </c>
      <c r="I1670" s="2">
        <v>6.0</v>
      </c>
      <c r="J1670" s="2">
        <v>0.0</v>
      </c>
      <c r="K1670" s="2">
        <v>0.0</v>
      </c>
      <c r="L1670" s="2">
        <v>0.0</v>
      </c>
      <c r="M1670" s="2"/>
      <c r="N1670" s="2"/>
      <c r="O1670" s="2"/>
      <c r="P1670" s="2" t="s">
        <v>166</v>
      </c>
    </row>
    <row r="1671">
      <c r="A1671" s="3" t="s">
        <v>139</v>
      </c>
      <c r="B1671" s="4">
        <v>45017.29166666667</v>
      </c>
      <c r="C1671" s="2" t="s">
        <v>18</v>
      </c>
      <c r="D1671" s="2" t="s">
        <v>127</v>
      </c>
      <c r="E1671" s="2" t="s">
        <v>31</v>
      </c>
      <c r="F1671" s="2"/>
      <c r="G1671" s="2">
        <v>12.0</v>
      </c>
      <c r="H1671" s="2">
        <v>6.0</v>
      </c>
      <c r="I1671" s="2">
        <v>6.0</v>
      </c>
      <c r="J1671" s="2">
        <v>0.0</v>
      </c>
      <c r="K1671" s="2">
        <v>0.0</v>
      </c>
      <c r="L1671" s="2">
        <v>0.0</v>
      </c>
      <c r="M1671" s="2"/>
      <c r="N1671" s="2"/>
      <c r="O1671" s="2"/>
      <c r="P1671" s="2" t="s">
        <v>293</v>
      </c>
    </row>
    <row r="1672">
      <c r="A1672" s="3" t="s">
        <v>140</v>
      </c>
      <c r="B1672" s="2" t="s">
        <v>17</v>
      </c>
      <c r="C1672" s="2" t="s">
        <v>18</v>
      </c>
      <c r="D1672" s="2" t="s">
        <v>157</v>
      </c>
      <c r="E1672" s="2" t="s">
        <v>96</v>
      </c>
      <c r="F1672" s="2">
        <v>120.0</v>
      </c>
      <c r="G1672" s="2">
        <v>144.0</v>
      </c>
      <c r="H1672" s="2">
        <v>106.0</v>
      </c>
      <c r="I1672" s="2">
        <v>38.0</v>
      </c>
      <c r="J1672" s="2">
        <v>0.0</v>
      </c>
      <c r="K1672" s="2">
        <v>0.0</v>
      </c>
      <c r="L1672" s="2">
        <v>0.0</v>
      </c>
      <c r="M1672" s="2">
        <v>14.0</v>
      </c>
      <c r="N1672" s="2"/>
      <c r="O1672" s="2"/>
      <c r="P1672" s="2" t="s">
        <v>92</v>
      </c>
    </row>
    <row r="1673">
      <c r="A1673" s="3" t="s">
        <v>141</v>
      </c>
      <c r="B1673" s="2" t="s">
        <v>17</v>
      </c>
      <c r="C1673" s="2" t="s">
        <v>18</v>
      </c>
      <c r="D1673" s="2" t="s">
        <v>19</v>
      </c>
      <c r="E1673" s="2" t="s">
        <v>96</v>
      </c>
      <c r="F1673" s="2">
        <v>110.0</v>
      </c>
      <c r="G1673" s="2">
        <v>137.0</v>
      </c>
      <c r="H1673" s="2">
        <v>112.0</v>
      </c>
      <c r="I1673" s="2">
        <v>25.0</v>
      </c>
      <c r="J1673" s="2">
        <v>0.0</v>
      </c>
      <c r="K1673" s="2">
        <v>0.0</v>
      </c>
      <c r="L1673" s="2">
        <v>16.0</v>
      </c>
      <c r="M1673" s="2">
        <v>-2.0</v>
      </c>
      <c r="N1673" s="2"/>
      <c r="O1673" s="2"/>
      <c r="P1673" s="2" t="s">
        <v>92</v>
      </c>
    </row>
    <row r="1674">
      <c r="A1674" s="3" t="s">
        <v>142</v>
      </c>
      <c r="B1674" s="2" t="s">
        <v>17</v>
      </c>
      <c r="C1674" s="2" t="s">
        <v>18</v>
      </c>
      <c r="D1674" s="2" t="s">
        <v>127</v>
      </c>
      <c r="E1674" s="2" t="s">
        <v>96</v>
      </c>
      <c r="F1674" s="2">
        <v>312.0</v>
      </c>
      <c r="G1674" s="2">
        <v>499.0</v>
      </c>
      <c r="H1674" s="2">
        <v>312.0</v>
      </c>
      <c r="I1674" s="2">
        <v>187.0</v>
      </c>
      <c r="J1674" s="2">
        <v>0.0</v>
      </c>
      <c r="K1674" s="2">
        <v>0.0</v>
      </c>
      <c r="L1674" s="2">
        <v>236.0</v>
      </c>
      <c r="M1674" s="2">
        <v>0.0</v>
      </c>
      <c r="N1674" s="2"/>
      <c r="O1674" s="2"/>
      <c r="P1674" s="2" t="s">
        <v>92</v>
      </c>
    </row>
    <row r="1675">
      <c r="A1675" s="3" t="s">
        <v>143</v>
      </c>
      <c r="B1675" s="2" t="s">
        <v>17</v>
      </c>
      <c r="C1675" s="2" t="s">
        <v>18</v>
      </c>
      <c r="D1675" s="2" t="s">
        <v>23</v>
      </c>
      <c r="E1675" s="2" t="s">
        <v>96</v>
      </c>
      <c r="F1675" s="2">
        <v>521.0</v>
      </c>
      <c r="G1675" s="2">
        <v>780.0</v>
      </c>
      <c r="H1675" s="2">
        <v>530.0</v>
      </c>
      <c r="I1675" s="2">
        <v>250.0</v>
      </c>
      <c r="J1675" s="2">
        <v>0.0</v>
      </c>
      <c r="K1675" s="2">
        <v>0.0</v>
      </c>
      <c r="L1675" s="2">
        <v>252.0</v>
      </c>
      <c r="M1675" s="2">
        <v>-9.0</v>
      </c>
      <c r="N1675" s="2">
        <v>-21.0</v>
      </c>
      <c r="O1675" s="2">
        <v>-539.0</v>
      </c>
      <c r="P1675" s="2" t="s">
        <v>92</v>
      </c>
    </row>
    <row r="1676">
      <c r="A1676" s="3" t="s">
        <v>144</v>
      </c>
      <c r="B1676" s="4">
        <v>45294.29166666667</v>
      </c>
      <c r="C1676" s="2" t="s">
        <v>18</v>
      </c>
      <c r="D1676" s="2" t="s">
        <v>157</v>
      </c>
      <c r="E1676" s="2" t="s">
        <v>96</v>
      </c>
      <c r="F1676" s="2"/>
      <c r="G1676" s="2">
        <v>144.0</v>
      </c>
      <c r="H1676" s="2">
        <v>106.0</v>
      </c>
      <c r="I1676" s="2">
        <v>38.0</v>
      </c>
      <c r="J1676" s="2">
        <v>0.0</v>
      </c>
      <c r="K1676" s="2">
        <v>0.0</v>
      </c>
      <c r="L1676" s="2">
        <v>0.0</v>
      </c>
      <c r="M1676" s="2"/>
      <c r="N1676" s="2"/>
      <c r="O1676" s="2"/>
      <c r="P1676" s="2" t="s">
        <v>92</v>
      </c>
    </row>
    <row r="1677">
      <c r="A1677" s="3" t="s">
        <v>145</v>
      </c>
      <c r="B1677" s="4">
        <v>45295.29166666667</v>
      </c>
      <c r="C1677" s="2" t="s">
        <v>18</v>
      </c>
      <c r="D1677" s="2" t="s">
        <v>19</v>
      </c>
      <c r="E1677" s="2" t="s">
        <v>96</v>
      </c>
      <c r="F1677" s="2"/>
      <c r="G1677" s="2">
        <v>137.0</v>
      </c>
      <c r="H1677" s="2">
        <v>112.0</v>
      </c>
      <c r="I1677" s="2">
        <v>25.0</v>
      </c>
      <c r="J1677" s="2">
        <v>0.0</v>
      </c>
      <c r="K1677" s="2">
        <v>0.0</v>
      </c>
      <c r="L1677" s="2">
        <v>16.0</v>
      </c>
      <c r="M1677" s="2"/>
      <c r="N1677" s="2"/>
      <c r="O1677" s="2"/>
      <c r="P1677" s="2" t="s">
        <v>92</v>
      </c>
    </row>
    <row r="1678">
      <c r="A1678" s="3" t="s">
        <v>16</v>
      </c>
      <c r="B1678" s="4">
        <v>45296.29166666667</v>
      </c>
      <c r="C1678" s="2" t="s">
        <v>18</v>
      </c>
      <c r="D1678" s="2" t="s">
        <v>127</v>
      </c>
      <c r="E1678" s="2" t="s">
        <v>96</v>
      </c>
      <c r="F1678" s="2"/>
      <c r="G1678" s="2">
        <v>499.0</v>
      </c>
      <c r="H1678" s="2">
        <v>312.0</v>
      </c>
      <c r="I1678" s="2">
        <v>187.0</v>
      </c>
      <c r="J1678" s="2">
        <v>0.0</v>
      </c>
      <c r="K1678" s="2">
        <v>0.0</v>
      </c>
      <c r="L1678" s="2">
        <v>236.0</v>
      </c>
      <c r="M1678" s="2"/>
      <c r="N1678" s="2"/>
      <c r="O1678" s="2"/>
      <c r="P1678" s="2" t="s">
        <v>92</v>
      </c>
    </row>
    <row r="1679">
      <c r="A1679" s="3" t="s">
        <v>22</v>
      </c>
      <c r="B1679" s="2" t="s">
        <v>17</v>
      </c>
      <c r="C1679" s="2" t="s">
        <v>18</v>
      </c>
      <c r="D1679" s="2" t="s">
        <v>79</v>
      </c>
      <c r="E1679" s="2" t="s">
        <v>165</v>
      </c>
      <c r="F1679" s="2">
        <v>259.0</v>
      </c>
      <c r="G1679" s="2">
        <v>437.0</v>
      </c>
      <c r="H1679" s="2">
        <v>98.0</v>
      </c>
      <c r="I1679" s="2">
        <v>133.0</v>
      </c>
      <c r="J1679" s="2">
        <v>0.0</v>
      </c>
      <c r="K1679" s="2">
        <v>206.0</v>
      </c>
      <c r="L1679" s="2">
        <v>0.0</v>
      </c>
      <c r="M1679" s="2">
        <v>161.0</v>
      </c>
      <c r="N1679" s="2"/>
      <c r="O1679" s="2"/>
      <c r="P1679" s="2" t="s">
        <v>166</v>
      </c>
    </row>
    <row r="1680">
      <c r="A1680" s="3" t="s">
        <v>24</v>
      </c>
      <c r="B1680" s="2" t="s">
        <v>17</v>
      </c>
      <c r="C1680" s="2" t="s">
        <v>18</v>
      </c>
      <c r="D1680" s="2" t="s">
        <v>23</v>
      </c>
      <c r="E1680" s="2" t="s">
        <v>165</v>
      </c>
      <c r="F1680" s="2">
        <v>259.0</v>
      </c>
      <c r="G1680" s="2">
        <v>437.0</v>
      </c>
      <c r="H1680" s="2">
        <v>98.0</v>
      </c>
      <c r="I1680" s="2">
        <v>133.0</v>
      </c>
      <c r="J1680" s="2">
        <v>0.0</v>
      </c>
      <c r="K1680" s="2">
        <v>206.0</v>
      </c>
      <c r="L1680" s="2">
        <v>0.0</v>
      </c>
      <c r="M1680" s="2">
        <v>161.0</v>
      </c>
      <c r="N1680" s="2">
        <v>0.0</v>
      </c>
      <c r="O1680" s="2">
        <v>63.0</v>
      </c>
      <c r="P1680" s="2" t="s">
        <v>166</v>
      </c>
    </row>
    <row r="1681">
      <c r="A1681" s="3" t="s">
        <v>25</v>
      </c>
      <c r="B1681" s="4">
        <v>45294.29166666667</v>
      </c>
      <c r="C1681" s="2" t="s">
        <v>18</v>
      </c>
      <c r="D1681" s="2" t="s">
        <v>79</v>
      </c>
      <c r="E1681" s="2" t="s">
        <v>165</v>
      </c>
      <c r="F1681" s="2"/>
      <c r="G1681" s="2">
        <v>258.0</v>
      </c>
      <c r="H1681" s="2">
        <v>98.0</v>
      </c>
      <c r="I1681" s="2">
        <v>133.0</v>
      </c>
      <c r="J1681" s="2">
        <v>0.0</v>
      </c>
      <c r="K1681" s="2">
        <v>27.0</v>
      </c>
      <c r="L1681" s="2">
        <v>0.0</v>
      </c>
      <c r="M1681" s="2"/>
      <c r="N1681" s="2"/>
      <c r="O1681" s="2"/>
      <c r="P1681" s="2" t="s">
        <v>166</v>
      </c>
    </row>
    <row r="1682">
      <c r="A1682" s="3" t="s">
        <v>26</v>
      </c>
      <c r="B1682" s="4">
        <v>45323.29166666667</v>
      </c>
      <c r="C1682" s="2" t="s">
        <v>18</v>
      </c>
      <c r="D1682" s="2" t="s">
        <v>79</v>
      </c>
      <c r="E1682" s="2" t="s">
        <v>165</v>
      </c>
      <c r="F1682" s="2"/>
      <c r="G1682" s="2">
        <v>179.0</v>
      </c>
      <c r="H1682" s="2">
        <v>0.0</v>
      </c>
      <c r="I1682" s="2">
        <v>0.0</v>
      </c>
      <c r="J1682" s="2">
        <v>0.0</v>
      </c>
      <c r="K1682" s="2">
        <v>179.0</v>
      </c>
      <c r="L1682" s="2">
        <v>0.0</v>
      </c>
      <c r="M1682" s="2"/>
      <c r="N1682" s="2"/>
      <c r="O1682" s="2"/>
      <c r="P1682" s="2" t="s">
        <v>166</v>
      </c>
    </row>
    <row r="1683">
      <c r="A1683" s="3" t="s">
        <v>28</v>
      </c>
      <c r="B1683" s="4">
        <v>45352.29166666667</v>
      </c>
      <c r="C1683" s="2" t="s">
        <v>18</v>
      </c>
      <c r="D1683" s="2" t="s">
        <v>79</v>
      </c>
      <c r="E1683" s="2" t="s">
        <v>165</v>
      </c>
      <c r="F1683" s="2"/>
      <c r="G1683" s="2">
        <v>0.0</v>
      </c>
      <c r="H1683" s="2">
        <v>0.0</v>
      </c>
      <c r="I1683" s="2">
        <v>0.0</v>
      </c>
      <c r="J1683" s="2">
        <v>0.0</v>
      </c>
      <c r="K1683" s="2">
        <v>0.0</v>
      </c>
      <c r="L1683" s="2">
        <v>0.0</v>
      </c>
      <c r="M1683" s="2"/>
      <c r="N1683" s="2"/>
      <c r="O1683" s="2"/>
      <c r="P1683" s="2" t="s">
        <v>166</v>
      </c>
    </row>
    <row r="1684">
      <c r="A1684" s="3" t="s">
        <v>29</v>
      </c>
      <c r="B1684" s="2" t="s">
        <v>17</v>
      </c>
      <c r="C1684" s="2" t="s">
        <v>18</v>
      </c>
      <c r="D1684" s="2" t="s">
        <v>127</v>
      </c>
      <c r="E1684" s="2" t="s">
        <v>50</v>
      </c>
      <c r="F1684" s="2">
        <v>277.0</v>
      </c>
      <c r="G1684" s="2">
        <v>450.0</v>
      </c>
      <c r="H1684" s="2">
        <v>190.0</v>
      </c>
      <c r="I1684" s="2">
        <v>260.0</v>
      </c>
      <c r="J1684" s="2">
        <v>0.0</v>
      </c>
      <c r="K1684" s="2">
        <v>0.0</v>
      </c>
      <c r="L1684" s="2">
        <v>1.0</v>
      </c>
      <c r="M1684" s="2">
        <v>87.0</v>
      </c>
      <c r="N1684" s="2"/>
      <c r="O1684" s="2"/>
      <c r="P1684" s="2" t="s">
        <v>92</v>
      </c>
    </row>
    <row r="1685">
      <c r="A1685" s="3" t="s">
        <v>32</v>
      </c>
      <c r="B1685" s="2" t="s">
        <v>17</v>
      </c>
      <c r="C1685" s="2" t="s">
        <v>148</v>
      </c>
      <c r="D1685" s="2" t="s">
        <v>19</v>
      </c>
      <c r="E1685" s="2" t="s">
        <v>50</v>
      </c>
      <c r="F1685" s="2">
        <v>1.0</v>
      </c>
      <c r="G1685" s="2">
        <v>1.0</v>
      </c>
      <c r="H1685" s="2">
        <v>1.0</v>
      </c>
      <c r="I1685" s="2">
        <v>0.0</v>
      </c>
      <c r="J1685" s="2">
        <v>0.0</v>
      </c>
      <c r="K1685" s="2">
        <v>0.0</v>
      </c>
      <c r="L1685" s="2">
        <v>0.0</v>
      </c>
      <c r="M1685" s="2">
        <v>0.0</v>
      </c>
      <c r="N1685" s="2"/>
      <c r="O1685" s="2"/>
      <c r="P1685" s="2" t="s">
        <v>92</v>
      </c>
    </row>
    <row r="1686">
      <c r="A1686" s="3" t="s">
        <v>34</v>
      </c>
      <c r="B1686" s="2" t="s">
        <v>17</v>
      </c>
      <c r="C1686" s="2" t="s">
        <v>18</v>
      </c>
      <c r="D1686" s="2" t="s">
        <v>23</v>
      </c>
      <c r="E1686" s="2" t="s">
        <v>50</v>
      </c>
      <c r="F1686" s="2">
        <v>278.0</v>
      </c>
      <c r="G1686" s="2">
        <v>451.0</v>
      </c>
      <c r="H1686" s="2">
        <v>191.0</v>
      </c>
      <c r="I1686" s="2">
        <v>260.0</v>
      </c>
      <c r="J1686" s="2">
        <v>0.0</v>
      </c>
      <c r="K1686" s="2">
        <v>0.0</v>
      </c>
      <c r="L1686" s="2">
        <v>1.0</v>
      </c>
      <c r="M1686" s="2">
        <v>87.0</v>
      </c>
      <c r="N1686" s="2">
        <v>0.0</v>
      </c>
      <c r="O1686" s="2">
        <v>-104.0</v>
      </c>
      <c r="P1686" s="2" t="s">
        <v>92</v>
      </c>
    </row>
    <row r="1687">
      <c r="A1687" s="3" t="s">
        <v>35</v>
      </c>
      <c r="B1687" s="4">
        <v>45140.29166666667</v>
      </c>
      <c r="C1687" s="2" t="s">
        <v>18</v>
      </c>
      <c r="D1687" s="2" t="s">
        <v>19</v>
      </c>
      <c r="E1687" s="2" t="s">
        <v>50</v>
      </c>
      <c r="F1687" s="2"/>
      <c r="G1687" s="2">
        <v>1.0</v>
      </c>
      <c r="H1687" s="2">
        <v>1.0</v>
      </c>
      <c r="I1687" s="2">
        <v>0.0</v>
      </c>
      <c r="J1687" s="2">
        <v>0.0</v>
      </c>
      <c r="K1687" s="2">
        <v>0.0</v>
      </c>
      <c r="L1687" s="2">
        <v>0.0</v>
      </c>
      <c r="M1687" s="2"/>
      <c r="N1687" s="2"/>
      <c r="O1687" s="2"/>
      <c r="P1687" s="2" t="s">
        <v>92</v>
      </c>
    </row>
    <row r="1688">
      <c r="A1688" s="3" t="s">
        <v>36</v>
      </c>
      <c r="B1688" s="4">
        <v>45141.29166666667</v>
      </c>
      <c r="C1688" s="2" t="s">
        <v>18</v>
      </c>
      <c r="D1688" s="2" t="s">
        <v>127</v>
      </c>
      <c r="E1688" s="2" t="s">
        <v>50</v>
      </c>
      <c r="F1688" s="2"/>
      <c r="G1688" s="2">
        <v>38.0</v>
      </c>
      <c r="H1688" s="2">
        <v>24.0</v>
      </c>
      <c r="I1688" s="2">
        <v>14.0</v>
      </c>
      <c r="J1688" s="2">
        <v>0.0</v>
      </c>
      <c r="K1688" s="2">
        <v>0.0</v>
      </c>
      <c r="L1688" s="2">
        <v>0.0</v>
      </c>
      <c r="M1688" s="2"/>
      <c r="N1688" s="2"/>
      <c r="O1688" s="2"/>
      <c r="P1688" s="2" t="s">
        <v>92</v>
      </c>
    </row>
    <row r="1689">
      <c r="A1689" s="3" t="s">
        <v>37</v>
      </c>
      <c r="B1689" s="4">
        <v>45172.29166666667</v>
      </c>
      <c r="C1689" s="2" t="s">
        <v>18</v>
      </c>
      <c r="D1689" s="2" t="s">
        <v>127</v>
      </c>
      <c r="E1689" s="2" t="s">
        <v>50</v>
      </c>
      <c r="F1689" s="2"/>
      <c r="G1689" s="2">
        <v>68.0</v>
      </c>
      <c r="H1689" s="2">
        <v>35.0</v>
      </c>
      <c r="I1689" s="2">
        <v>33.0</v>
      </c>
      <c r="J1689" s="2">
        <v>0.0</v>
      </c>
      <c r="K1689" s="2">
        <v>0.0</v>
      </c>
      <c r="L1689" s="2">
        <v>1.0</v>
      </c>
      <c r="M1689" s="2"/>
      <c r="N1689" s="2"/>
      <c r="O1689" s="2"/>
      <c r="P1689" s="2" t="s">
        <v>92</v>
      </c>
    </row>
    <row r="1690">
      <c r="A1690" s="3" t="s">
        <v>38</v>
      </c>
      <c r="B1690" s="4">
        <v>45201.29166666667</v>
      </c>
      <c r="C1690" s="2" t="s">
        <v>18</v>
      </c>
      <c r="D1690" s="2" t="s">
        <v>127</v>
      </c>
      <c r="E1690" s="2" t="s">
        <v>50</v>
      </c>
      <c r="F1690" s="2"/>
      <c r="G1690" s="2">
        <v>269.0</v>
      </c>
      <c r="H1690" s="2">
        <v>113.0</v>
      </c>
      <c r="I1690" s="2">
        <v>156.0</v>
      </c>
      <c r="J1690" s="2">
        <v>0.0</v>
      </c>
      <c r="K1690" s="2">
        <v>0.0</v>
      </c>
      <c r="L1690" s="2">
        <v>0.0</v>
      </c>
      <c r="M1690" s="2"/>
      <c r="N1690" s="2"/>
      <c r="O1690" s="2"/>
      <c r="P1690" s="2" t="s">
        <v>92</v>
      </c>
    </row>
    <row r="1691">
      <c r="A1691" s="3" t="s">
        <v>39</v>
      </c>
      <c r="B1691" s="4">
        <v>45232.25</v>
      </c>
      <c r="C1691" s="2" t="s">
        <v>18</v>
      </c>
      <c r="D1691" s="2" t="s">
        <v>127</v>
      </c>
      <c r="E1691" s="2" t="s">
        <v>50</v>
      </c>
      <c r="F1691" s="2"/>
      <c r="G1691" s="2">
        <v>75.0</v>
      </c>
      <c r="H1691" s="2">
        <v>18.0</v>
      </c>
      <c r="I1691" s="2">
        <v>57.0</v>
      </c>
      <c r="J1691" s="2">
        <v>0.0</v>
      </c>
      <c r="K1691" s="2">
        <v>0.0</v>
      </c>
      <c r="L1691" s="2">
        <v>0.0</v>
      </c>
      <c r="M1691" s="2"/>
      <c r="N1691" s="2"/>
      <c r="O1691" s="2"/>
      <c r="P1691" s="2" t="s">
        <v>92</v>
      </c>
    </row>
    <row r="1692">
      <c r="A1692" s="3" t="s">
        <v>40</v>
      </c>
      <c r="B1692" s="2" t="s">
        <v>17</v>
      </c>
      <c r="C1692" s="2" t="s">
        <v>18</v>
      </c>
      <c r="D1692" s="2" t="s">
        <v>19</v>
      </c>
      <c r="E1692" s="2" t="s">
        <v>149</v>
      </c>
      <c r="F1692" s="2">
        <v>35.0</v>
      </c>
      <c r="G1692" s="2">
        <v>1.0</v>
      </c>
      <c r="H1692" s="2">
        <v>0.0</v>
      </c>
      <c r="I1692" s="2">
        <v>1.0</v>
      </c>
      <c r="J1692" s="2">
        <v>0.0</v>
      </c>
      <c r="K1692" s="2">
        <v>0.0</v>
      </c>
      <c r="L1692" s="2">
        <v>0.0</v>
      </c>
      <c r="M1692" s="2">
        <v>35.0</v>
      </c>
      <c r="N1692" s="2"/>
      <c r="O1692" s="2"/>
      <c r="P1692" s="2" t="s">
        <v>92</v>
      </c>
    </row>
    <row r="1693">
      <c r="A1693" s="3" t="s">
        <v>41</v>
      </c>
      <c r="B1693" s="2" t="s">
        <v>17</v>
      </c>
      <c r="C1693" s="2" t="s">
        <v>18</v>
      </c>
      <c r="D1693" s="2" t="s">
        <v>23</v>
      </c>
      <c r="E1693" s="2" t="s">
        <v>149</v>
      </c>
      <c r="F1693" s="2">
        <v>35.0</v>
      </c>
      <c r="G1693" s="2">
        <v>1.0</v>
      </c>
      <c r="H1693" s="2">
        <v>0.0</v>
      </c>
      <c r="I1693" s="2">
        <v>1.0</v>
      </c>
      <c r="J1693" s="2">
        <v>0.0</v>
      </c>
      <c r="K1693" s="2">
        <v>0.0</v>
      </c>
      <c r="L1693" s="2">
        <v>0.0</v>
      </c>
      <c r="M1693" s="2">
        <v>35.0</v>
      </c>
      <c r="N1693" s="2">
        <v>0.0</v>
      </c>
      <c r="O1693" s="2">
        <v>35.0</v>
      </c>
      <c r="P1693" s="2" t="s">
        <v>92</v>
      </c>
    </row>
    <row r="1694">
      <c r="A1694" s="3" t="s">
        <v>42</v>
      </c>
      <c r="B1694" s="4">
        <v>45262.29166666667</v>
      </c>
      <c r="C1694" s="2" t="s">
        <v>18</v>
      </c>
      <c r="D1694" s="2" t="s">
        <v>19</v>
      </c>
      <c r="E1694" s="2" t="s">
        <v>149</v>
      </c>
      <c r="F1694" s="2"/>
      <c r="G1694" s="2">
        <v>1.0</v>
      </c>
      <c r="H1694" s="2">
        <v>0.0</v>
      </c>
      <c r="I1694" s="2">
        <v>1.0</v>
      </c>
      <c r="J1694" s="2">
        <v>0.0</v>
      </c>
      <c r="K1694" s="2">
        <v>0.0</v>
      </c>
      <c r="L1694" s="2">
        <v>0.0</v>
      </c>
      <c r="M1694" s="2"/>
      <c r="N1694" s="2"/>
      <c r="O1694" s="2"/>
      <c r="P1694" s="2" t="s">
        <v>92</v>
      </c>
    </row>
    <row r="1695">
      <c r="A1695" s="3" t="s">
        <v>43</v>
      </c>
      <c r="B1695" s="4">
        <v>45294.29166666667</v>
      </c>
      <c r="C1695" s="2" t="s">
        <v>18</v>
      </c>
      <c r="D1695" s="2" t="s">
        <v>19</v>
      </c>
      <c r="E1695" s="2" t="s">
        <v>149</v>
      </c>
      <c r="F1695" s="2"/>
      <c r="G1695" s="2">
        <v>0.0</v>
      </c>
      <c r="H1695" s="2">
        <v>0.0</v>
      </c>
      <c r="I1695" s="2">
        <v>0.0</v>
      </c>
      <c r="J1695" s="2">
        <v>0.0</v>
      </c>
      <c r="K1695" s="2">
        <v>0.0</v>
      </c>
      <c r="L1695" s="2">
        <v>0.0</v>
      </c>
      <c r="M1695" s="2"/>
      <c r="N1695" s="2"/>
      <c r="O1695" s="2"/>
      <c r="P1695" s="2" t="s">
        <v>92</v>
      </c>
    </row>
    <row r="1696">
      <c r="A1696" s="3" t="s">
        <v>44</v>
      </c>
      <c r="B1696" s="2" t="s">
        <v>17</v>
      </c>
      <c r="C1696" s="2" t="s">
        <v>18</v>
      </c>
      <c r="D1696" s="2" t="s">
        <v>127</v>
      </c>
      <c r="E1696" s="2" t="s">
        <v>50</v>
      </c>
      <c r="F1696" s="2">
        <v>290.0</v>
      </c>
      <c r="G1696" s="2">
        <v>238.0</v>
      </c>
      <c r="H1696" s="2">
        <v>133.0</v>
      </c>
      <c r="I1696" s="2">
        <v>105.0</v>
      </c>
      <c r="J1696" s="2">
        <v>0.0</v>
      </c>
      <c r="K1696" s="2">
        <v>0.0</v>
      </c>
      <c r="L1696" s="2">
        <v>0.0</v>
      </c>
      <c r="M1696" s="2">
        <v>157.0</v>
      </c>
      <c r="N1696" s="2"/>
      <c r="O1696" s="2"/>
      <c r="P1696" s="2" t="s">
        <v>92</v>
      </c>
    </row>
    <row r="1697">
      <c r="A1697" s="3" t="s">
        <v>45</v>
      </c>
      <c r="B1697" s="2" t="s">
        <v>17</v>
      </c>
      <c r="C1697" s="2" t="s">
        <v>148</v>
      </c>
      <c r="D1697" s="2" t="s">
        <v>19</v>
      </c>
      <c r="E1697" s="2" t="s">
        <v>50</v>
      </c>
      <c r="F1697" s="2">
        <v>0.0</v>
      </c>
      <c r="G1697" s="2">
        <v>0.0</v>
      </c>
      <c r="H1697" s="2">
        <v>0.0</v>
      </c>
      <c r="I1697" s="2">
        <v>0.0</v>
      </c>
      <c r="J1697" s="2">
        <v>0.0</v>
      </c>
      <c r="K1697" s="2">
        <v>0.0</v>
      </c>
      <c r="L1697" s="2">
        <v>0.0</v>
      </c>
      <c r="M1697" s="2">
        <v>0.0</v>
      </c>
      <c r="N1697" s="2"/>
      <c r="O1697" s="2"/>
      <c r="P1697" s="2" t="s">
        <v>92</v>
      </c>
    </row>
    <row r="1698">
      <c r="A1698" s="3" t="s">
        <v>16</v>
      </c>
      <c r="B1698" s="2" t="s">
        <v>17</v>
      </c>
      <c r="C1698" s="2" t="s">
        <v>18</v>
      </c>
      <c r="D1698" s="2" t="s">
        <v>23</v>
      </c>
      <c r="E1698" s="2" t="s">
        <v>50</v>
      </c>
      <c r="F1698" s="2">
        <v>290.0</v>
      </c>
      <c r="G1698" s="2">
        <v>238.0</v>
      </c>
      <c r="H1698" s="2">
        <v>133.0</v>
      </c>
      <c r="I1698" s="2">
        <v>105.0</v>
      </c>
      <c r="J1698" s="2">
        <v>0.0</v>
      </c>
      <c r="K1698" s="2">
        <v>0.0</v>
      </c>
      <c r="L1698" s="2">
        <v>0.0</v>
      </c>
      <c r="M1698" s="2">
        <v>157.0</v>
      </c>
      <c r="N1698" s="2">
        <v>0.0</v>
      </c>
      <c r="O1698" s="2">
        <v>24.0</v>
      </c>
      <c r="P1698" s="2" t="s">
        <v>92</v>
      </c>
    </row>
    <row r="1699">
      <c r="A1699" s="3" t="s">
        <v>47</v>
      </c>
      <c r="B1699" s="4">
        <v>45172.29166666667</v>
      </c>
      <c r="C1699" s="2" t="s">
        <v>18</v>
      </c>
      <c r="D1699" s="2" t="s">
        <v>127</v>
      </c>
      <c r="E1699" s="2" t="s">
        <v>50</v>
      </c>
      <c r="F1699" s="2"/>
      <c r="G1699" s="2">
        <v>73.0</v>
      </c>
      <c r="H1699" s="2">
        <v>55.0</v>
      </c>
      <c r="I1699" s="2">
        <v>18.0</v>
      </c>
      <c r="J1699" s="2">
        <v>0.0</v>
      </c>
      <c r="K1699" s="2">
        <v>0.0</v>
      </c>
      <c r="L1699" s="2">
        <v>0.0</v>
      </c>
      <c r="M1699" s="2"/>
      <c r="N1699" s="2"/>
      <c r="O1699" s="2"/>
      <c r="P1699" s="2" t="s">
        <v>92</v>
      </c>
    </row>
    <row r="1700">
      <c r="A1700" s="3" t="s">
        <v>48</v>
      </c>
      <c r="B1700" s="4">
        <v>45201.29166666667</v>
      </c>
      <c r="C1700" s="2" t="s">
        <v>18</v>
      </c>
      <c r="D1700" s="2" t="s">
        <v>127</v>
      </c>
      <c r="E1700" s="2" t="s">
        <v>50</v>
      </c>
      <c r="F1700" s="2"/>
      <c r="G1700" s="2">
        <v>74.0</v>
      </c>
      <c r="H1700" s="2">
        <v>23.0</v>
      </c>
      <c r="I1700" s="2">
        <v>51.0</v>
      </c>
      <c r="J1700" s="2">
        <v>0.0</v>
      </c>
      <c r="K1700" s="2">
        <v>0.0</v>
      </c>
      <c r="L1700" s="2">
        <v>0.0</v>
      </c>
      <c r="M1700" s="2"/>
      <c r="N1700" s="2"/>
      <c r="O1700" s="2"/>
      <c r="P1700" s="2" t="s">
        <v>92</v>
      </c>
    </row>
    <row r="1701">
      <c r="A1701" s="3" t="s">
        <v>49</v>
      </c>
      <c r="B1701" s="4">
        <v>45232.25</v>
      </c>
      <c r="C1701" s="2" t="s">
        <v>18</v>
      </c>
      <c r="D1701" s="2" t="s">
        <v>127</v>
      </c>
      <c r="E1701" s="2" t="s">
        <v>50</v>
      </c>
      <c r="F1701" s="2"/>
      <c r="G1701" s="2">
        <v>91.0</v>
      </c>
      <c r="H1701" s="2">
        <v>55.0</v>
      </c>
      <c r="I1701" s="2">
        <v>36.0</v>
      </c>
      <c r="J1701" s="2">
        <v>0.0</v>
      </c>
      <c r="K1701" s="2">
        <v>0.0</v>
      </c>
      <c r="L1701" s="2">
        <v>0.0</v>
      </c>
      <c r="M1701" s="2"/>
      <c r="N1701" s="2"/>
      <c r="O1701" s="2"/>
      <c r="P1701" s="2" t="s">
        <v>92</v>
      </c>
    </row>
    <row r="1702">
      <c r="A1702" s="3" t="s">
        <v>51</v>
      </c>
      <c r="B1702" s="2" t="s">
        <v>17</v>
      </c>
      <c r="C1702" s="2" t="s">
        <v>18</v>
      </c>
      <c r="D1702" s="2" t="s">
        <v>19</v>
      </c>
      <c r="E1702" s="2" t="s">
        <v>294</v>
      </c>
      <c r="F1702" s="2">
        <v>15.0</v>
      </c>
      <c r="G1702" s="2">
        <v>12.0</v>
      </c>
      <c r="H1702" s="2">
        <v>10.0</v>
      </c>
      <c r="I1702" s="2">
        <v>2.0</v>
      </c>
      <c r="J1702" s="2">
        <v>0.0</v>
      </c>
      <c r="K1702" s="2">
        <v>0.0</v>
      </c>
      <c r="L1702" s="2">
        <v>0.0</v>
      </c>
      <c r="M1702" s="2">
        <v>5.0</v>
      </c>
      <c r="N1702" s="2"/>
      <c r="O1702" s="2"/>
      <c r="P1702" s="2" t="s">
        <v>92</v>
      </c>
    </row>
    <row r="1703">
      <c r="A1703" s="3" t="s">
        <v>52</v>
      </c>
      <c r="B1703" s="2" t="s">
        <v>17</v>
      </c>
      <c r="C1703" s="2" t="s">
        <v>18</v>
      </c>
      <c r="D1703" s="2" t="s">
        <v>19</v>
      </c>
      <c r="E1703" s="2" t="s">
        <v>295</v>
      </c>
      <c r="F1703" s="2">
        <v>7.0</v>
      </c>
      <c r="G1703" s="2">
        <v>12.0</v>
      </c>
      <c r="H1703" s="2">
        <v>9.0</v>
      </c>
      <c r="I1703" s="2">
        <v>3.0</v>
      </c>
      <c r="J1703" s="2">
        <v>0.0</v>
      </c>
      <c r="K1703" s="2">
        <v>0.0</v>
      </c>
      <c r="L1703" s="2">
        <v>0.0</v>
      </c>
      <c r="M1703" s="2">
        <v>-2.0</v>
      </c>
      <c r="N1703" s="2"/>
      <c r="O1703" s="2"/>
      <c r="P1703" s="2" t="s">
        <v>92</v>
      </c>
    </row>
    <row r="1704">
      <c r="A1704" s="3" t="s">
        <v>53</v>
      </c>
      <c r="B1704" s="2" t="s">
        <v>17</v>
      </c>
      <c r="C1704" s="2" t="s">
        <v>18</v>
      </c>
      <c r="D1704" s="2" t="s">
        <v>19</v>
      </c>
      <c r="E1704" s="2" t="s">
        <v>296</v>
      </c>
      <c r="F1704" s="2">
        <v>16.0</v>
      </c>
      <c r="G1704" s="2">
        <v>23.0</v>
      </c>
      <c r="H1704" s="2">
        <v>18.0</v>
      </c>
      <c r="I1704" s="2">
        <v>5.0</v>
      </c>
      <c r="J1704" s="2">
        <v>0.0</v>
      </c>
      <c r="K1704" s="2">
        <v>0.0</v>
      </c>
      <c r="L1704" s="2">
        <v>0.0</v>
      </c>
      <c r="M1704" s="2">
        <v>-2.0</v>
      </c>
      <c r="N1704" s="2"/>
      <c r="O1704" s="2"/>
      <c r="P1704" s="2" t="s">
        <v>92</v>
      </c>
    </row>
    <row r="1705">
      <c r="A1705" s="3" t="s">
        <v>54</v>
      </c>
      <c r="B1705" s="2" t="s">
        <v>17</v>
      </c>
      <c r="C1705" s="2" t="s">
        <v>18</v>
      </c>
      <c r="D1705" s="2" t="s">
        <v>19</v>
      </c>
      <c r="E1705" s="2" t="s">
        <v>297</v>
      </c>
      <c r="F1705" s="2">
        <v>7.0</v>
      </c>
      <c r="G1705" s="2">
        <v>14.0</v>
      </c>
      <c r="H1705" s="2">
        <v>11.0</v>
      </c>
      <c r="I1705" s="2">
        <v>3.0</v>
      </c>
      <c r="J1705" s="2">
        <v>0.0</v>
      </c>
      <c r="K1705" s="2">
        <v>0.0</v>
      </c>
      <c r="L1705" s="2">
        <v>0.0</v>
      </c>
      <c r="M1705" s="2">
        <v>-4.0</v>
      </c>
      <c r="N1705" s="2"/>
      <c r="O1705" s="2"/>
      <c r="P1705" s="2" t="s">
        <v>92</v>
      </c>
    </row>
    <row r="1706">
      <c r="A1706" s="3" t="s">
        <v>55</v>
      </c>
      <c r="B1706" s="2" t="s">
        <v>17</v>
      </c>
      <c r="C1706" s="2" t="s">
        <v>18</v>
      </c>
      <c r="D1706" s="2" t="s">
        <v>19</v>
      </c>
      <c r="E1706" s="2" t="s">
        <v>298</v>
      </c>
      <c r="F1706" s="2">
        <v>7.0</v>
      </c>
      <c r="G1706" s="2">
        <v>18.0</v>
      </c>
      <c r="H1706" s="2">
        <v>12.0</v>
      </c>
      <c r="I1706" s="2">
        <v>6.0</v>
      </c>
      <c r="J1706" s="2">
        <v>0.0</v>
      </c>
      <c r="K1706" s="2">
        <v>0.0</v>
      </c>
      <c r="L1706" s="2">
        <v>0.0</v>
      </c>
      <c r="M1706" s="2">
        <v>-5.0</v>
      </c>
      <c r="N1706" s="2"/>
      <c r="O1706" s="2"/>
      <c r="P1706" s="2" t="s">
        <v>92</v>
      </c>
    </row>
    <row r="1707">
      <c r="A1707" s="3" t="s">
        <v>56</v>
      </c>
      <c r="B1707" s="10" t="s">
        <v>17</v>
      </c>
      <c r="C1707" s="2" t="s">
        <v>18</v>
      </c>
      <c r="D1707" s="15" t="s">
        <v>19</v>
      </c>
      <c r="E1707" s="2" t="s">
        <v>299</v>
      </c>
      <c r="F1707" s="2">
        <v>13.0</v>
      </c>
      <c r="G1707" s="2">
        <v>14.0</v>
      </c>
      <c r="H1707" s="2">
        <v>13.0</v>
      </c>
      <c r="I1707" s="2">
        <v>1.0</v>
      </c>
      <c r="J1707" s="2">
        <v>0.0</v>
      </c>
      <c r="K1707" s="2">
        <v>0.0</v>
      </c>
      <c r="L1707" s="2">
        <v>0.0</v>
      </c>
      <c r="M1707" s="2">
        <v>0.0</v>
      </c>
      <c r="N1707" s="2"/>
      <c r="O1707" s="2"/>
      <c r="P1707" s="2" t="s">
        <v>92</v>
      </c>
    </row>
    <row r="1708">
      <c r="A1708" s="3" t="s">
        <v>59</v>
      </c>
      <c r="B1708" s="2" t="s">
        <v>17</v>
      </c>
      <c r="C1708" s="2" t="s">
        <v>18</v>
      </c>
      <c r="D1708" s="2" t="s">
        <v>19</v>
      </c>
      <c r="E1708" s="2" t="s">
        <v>300</v>
      </c>
      <c r="F1708" s="2">
        <v>7.0</v>
      </c>
      <c r="G1708" s="2">
        <v>10.0</v>
      </c>
      <c r="H1708" s="2">
        <v>9.0</v>
      </c>
      <c r="I1708" s="2">
        <v>1.0</v>
      </c>
      <c r="J1708" s="2">
        <v>0.0</v>
      </c>
      <c r="K1708" s="2">
        <v>0.0</v>
      </c>
      <c r="L1708" s="2">
        <v>0.0</v>
      </c>
      <c r="M1708" s="2">
        <v>-2.0</v>
      </c>
      <c r="N1708" s="2"/>
      <c r="O1708" s="2"/>
      <c r="P1708" s="2" t="s">
        <v>92</v>
      </c>
    </row>
    <row r="1709">
      <c r="A1709" s="3" t="s">
        <v>60</v>
      </c>
      <c r="B1709" s="2" t="s">
        <v>17</v>
      </c>
      <c r="C1709" s="2" t="s">
        <v>18</v>
      </c>
      <c r="D1709" s="2" t="s">
        <v>19</v>
      </c>
      <c r="E1709" s="2" t="s">
        <v>301</v>
      </c>
      <c r="F1709" s="2">
        <v>20.0</v>
      </c>
      <c r="G1709" s="2">
        <v>24.0</v>
      </c>
      <c r="H1709" s="2">
        <v>19.0</v>
      </c>
      <c r="I1709" s="2">
        <v>5.0</v>
      </c>
      <c r="J1709" s="2">
        <v>0.0</v>
      </c>
      <c r="K1709" s="2">
        <v>0.0</v>
      </c>
      <c r="L1709" s="2">
        <v>0.0</v>
      </c>
      <c r="M1709" s="2">
        <v>1.0</v>
      </c>
      <c r="N1709" s="2"/>
      <c r="O1709" s="2"/>
      <c r="P1709" s="2" t="s">
        <v>92</v>
      </c>
    </row>
    <row r="1710">
      <c r="A1710" s="3" t="s">
        <v>61</v>
      </c>
      <c r="B1710" s="2" t="s">
        <v>17</v>
      </c>
      <c r="C1710" s="2" t="s">
        <v>18</v>
      </c>
      <c r="D1710" s="2" t="s">
        <v>19</v>
      </c>
      <c r="E1710" s="2" t="s">
        <v>302</v>
      </c>
      <c r="F1710" s="2">
        <v>7.0</v>
      </c>
      <c r="G1710" s="2">
        <v>21.0</v>
      </c>
      <c r="H1710" s="2">
        <v>7.0</v>
      </c>
      <c r="I1710" s="2">
        <v>14.0</v>
      </c>
      <c r="J1710" s="2">
        <v>0.0</v>
      </c>
      <c r="K1710" s="2">
        <v>0.0</v>
      </c>
      <c r="L1710" s="2">
        <v>0.0</v>
      </c>
      <c r="M1710" s="2">
        <v>0.0</v>
      </c>
      <c r="N1710" s="2"/>
      <c r="O1710" s="2"/>
      <c r="P1710" s="2" t="s">
        <v>92</v>
      </c>
    </row>
    <row r="1711">
      <c r="A1711" s="3" t="s">
        <v>62</v>
      </c>
      <c r="B1711" s="2" t="s">
        <v>17</v>
      </c>
      <c r="C1711" s="2" t="s">
        <v>18</v>
      </c>
      <c r="D1711" s="2" t="s">
        <v>19</v>
      </c>
      <c r="E1711" s="2" t="s">
        <v>303</v>
      </c>
      <c r="F1711" s="2">
        <v>7.0</v>
      </c>
      <c r="G1711" s="2">
        <v>17.0</v>
      </c>
      <c r="H1711" s="2">
        <v>11.0</v>
      </c>
      <c r="I1711" s="2">
        <v>6.0</v>
      </c>
      <c r="J1711" s="2">
        <v>0.0</v>
      </c>
      <c r="K1711" s="2">
        <v>0.0</v>
      </c>
      <c r="L1711" s="2">
        <v>0.0</v>
      </c>
      <c r="M1711" s="2">
        <v>-4.0</v>
      </c>
      <c r="N1711" s="2"/>
      <c r="O1711" s="2"/>
      <c r="P1711" s="2" t="s">
        <v>92</v>
      </c>
    </row>
    <row r="1712">
      <c r="A1712" s="3" t="s">
        <v>63</v>
      </c>
      <c r="B1712" s="2" t="s">
        <v>17</v>
      </c>
      <c r="C1712" s="2" t="s">
        <v>18</v>
      </c>
      <c r="D1712" s="2" t="s">
        <v>19</v>
      </c>
      <c r="E1712" s="2" t="s">
        <v>304</v>
      </c>
      <c r="F1712" s="2">
        <v>9.0</v>
      </c>
      <c r="G1712" s="2">
        <v>13.0</v>
      </c>
      <c r="H1712" s="2">
        <v>12.0</v>
      </c>
      <c r="I1712" s="2">
        <v>1.0</v>
      </c>
      <c r="J1712" s="2">
        <v>0.0</v>
      </c>
      <c r="K1712" s="2">
        <v>0.0</v>
      </c>
      <c r="L1712" s="2">
        <v>0.0</v>
      </c>
      <c r="M1712" s="2">
        <v>-3.0</v>
      </c>
      <c r="N1712" s="2"/>
      <c r="O1712" s="2"/>
      <c r="P1712" s="2" t="s">
        <v>92</v>
      </c>
    </row>
    <row r="1713">
      <c r="A1713" s="3" t="s">
        <v>64</v>
      </c>
      <c r="B1713" s="2" t="s">
        <v>17</v>
      </c>
      <c r="C1713" s="2" t="s">
        <v>18</v>
      </c>
      <c r="D1713" s="2" t="s">
        <v>19</v>
      </c>
      <c r="E1713" s="2" t="s">
        <v>305</v>
      </c>
      <c r="F1713" s="2">
        <v>8.0</v>
      </c>
      <c r="G1713" s="2">
        <v>14.0</v>
      </c>
      <c r="H1713" s="2">
        <v>9.0</v>
      </c>
      <c r="I1713" s="2">
        <v>5.0</v>
      </c>
      <c r="J1713" s="2">
        <v>0.0</v>
      </c>
      <c r="K1713" s="2">
        <v>0.0</v>
      </c>
      <c r="L1713" s="2">
        <v>0.0</v>
      </c>
      <c r="M1713" s="2">
        <v>-1.0</v>
      </c>
      <c r="N1713" s="2"/>
      <c r="O1713" s="2"/>
      <c r="P1713" s="2" t="s">
        <v>92</v>
      </c>
    </row>
    <row r="1714">
      <c r="A1714" s="3" t="s">
        <v>65</v>
      </c>
      <c r="B1714" s="2" t="s">
        <v>17</v>
      </c>
      <c r="C1714" s="2" t="s">
        <v>18</v>
      </c>
      <c r="D1714" s="2" t="s">
        <v>19</v>
      </c>
      <c r="E1714" s="2" t="s">
        <v>306</v>
      </c>
      <c r="F1714" s="2">
        <v>6.0</v>
      </c>
      <c r="G1714" s="2">
        <v>8.0</v>
      </c>
      <c r="H1714" s="2">
        <v>6.0</v>
      </c>
      <c r="I1714" s="2">
        <v>2.0</v>
      </c>
      <c r="J1714" s="2">
        <v>0.0</v>
      </c>
      <c r="K1714" s="2">
        <v>0.0</v>
      </c>
      <c r="L1714" s="2">
        <v>0.0</v>
      </c>
      <c r="M1714" s="2">
        <v>0.0</v>
      </c>
      <c r="N1714" s="2"/>
      <c r="O1714" s="2"/>
      <c r="P1714" s="2" t="s">
        <v>92</v>
      </c>
    </row>
    <row r="1715">
      <c r="A1715" s="3" t="s">
        <v>66</v>
      </c>
      <c r="B1715" s="2" t="s">
        <v>17</v>
      </c>
      <c r="C1715" s="2" t="s">
        <v>18</v>
      </c>
      <c r="D1715" s="2" t="s">
        <v>19</v>
      </c>
      <c r="E1715" s="2" t="s">
        <v>307</v>
      </c>
      <c r="F1715" s="2">
        <v>7.0</v>
      </c>
      <c r="G1715" s="2">
        <v>10.0</v>
      </c>
      <c r="H1715" s="2">
        <v>7.0</v>
      </c>
      <c r="I1715" s="2">
        <v>3.0</v>
      </c>
      <c r="J1715" s="2">
        <v>0.0</v>
      </c>
      <c r="K1715" s="2">
        <v>0.0</v>
      </c>
      <c r="L1715" s="2">
        <v>0.0</v>
      </c>
      <c r="M1715" s="2">
        <v>0.0</v>
      </c>
      <c r="N1715" s="2"/>
      <c r="O1715" s="2"/>
      <c r="P1715" s="2" t="s">
        <v>92</v>
      </c>
    </row>
    <row r="1716">
      <c r="A1716" s="3" t="s">
        <v>68</v>
      </c>
      <c r="B1716" s="2" t="s">
        <v>17</v>
      </c>
      <c r="C1716" s="2" t="s">
        <v>18</v>
      </c>
      <c r="D1716" s="2" t="s">
        <v>19</v>
      </c>
      <c r="E1716" s="2" t="s">
        <v>308</v>
      </c>
      <c r="F1716" s="2">
        <v>16.0</v>
      </c>
      <c r="G1716" s="2">
        <v>21.0</v>
      </c>
      <c r="H1716" s="2">
        <v>16.0</v>
      </c>
      <c r="I1716" s="2">
        <v>5.0</v>
      </c>
      <c r="J1716" s="2">
        <v>0.0</v>
      </c>
      <c r="K1716" s="2">
        <v>0.0</v>
      </c>
      <c r="L1716" s="2">
        <v>0.0</v>
      </c>
      <c r="M1716" s="2">
        <v>0.0</v>
      </c>
      <c r="N1716" s="2"/>
      <c r="O1716" s="2"/>
      <c r="P1716" s="2" t="s">
        <v>92</v>
      </c>
    </row>
    <row r="1717">
      <c r="A1717" s="3" t="s">
        <v>70</v>
      </c>
      <c r="B1717" s="2" t="s">
        <v>17</v>
      </c>
      <c r="C1717" s="2" t="s">
        <v>18</v>
      </c>
      <c r="D1717" s="2" t="s">
        <v>19</v>
      </c>
      <c r="E1717" s="2" t="s">
        <v>309</v>
      </c>
      <c r="F1717" s="2">
        <v>10.0</v>
      </c>
      <c r="G1717" s="2">
        <v>0.0</v>
      </c>
      <c r="H1717" s="2">
        <v>12.0</v>
      </c>
      <c r="I1717" s="2">
        <v>5.0</v>
      </c>
      <c r="J1717" s="2">
        <v>0.0</v>
      </c>
      <c r="K1717" s="2">
        <v>0.0</v>
      </c>
      <c r="L1717" s="2">
        <v>0.0</v>
      </c>
      <c r="M1717" s="2">
        <v>-2.0</v>
      </c>
      <c r="N1717" s="2"/>
      <c r="O1717" s="2"/>
      <c r="P1717" s="2" t="s">
        <v>92</v>
      </c>
    </row>
    <row r="1718">
      <c r="A1718" s="3" t="s">
        <v>16</v>
      </c>
      <c r="B1718" s="2" t="s">
        <v>17</v>
      </c>
      <c r="C1718" s="2" t="s">
        <v>18</v>
      </c>
      <c r="D1718" s="2" t="s">
        <v>19</v>
      </c>
      <c r="E1718" s="2" t="s">
        <v>310</v>
      </c>
      <c r="F1718" s="2">
        <v>6.0</v>
      </c>
      <c r="G1718" s="2">
        <v>12.0</v>
      </c>
      <c r="H1718" s="2">
        <v>8.0</v>
      </c>
      <c r="I1718" s="2">
        <v>4.0</v>
      </c>
      <c r="J1718" s="2">
        <v>0.0</v>
      </c>
      <c r="K1718" s="2">
        <v>0.0</v>
      </c>
      <c r="L1718" s="2">
        <v>0.0</v>
      </c>
      <c r="M1718" s="2">
        <v>-2.0</v>
      </c>
      <c r="N1718" s="2"/>
      <c r="O1718" s="2"/>
      <c r="P1718" s="2" t="s">
        <v>92</v>
      </c>
    </row>
    <row r="1719">
      <c r="A1719" s="3" t="s">
        <v>71</v>
      </c>
      <c r="B1719" s="2" t="s">
        <v>17</v>
      </c>
      <c r="C1719" s="2" t="s">
        <v>18</v>
      </c>
      <c r="D1719" s="2" t="s">
        <v>30</v>
      </c>
      <c r="E1719" s="2" t="s">
        <v>294</v>
      </c>
      <c r="F1719" s="2">
        <v>7.0</v>
      </c>
      <c r="G1719" s="2">
        <v>10.0</v>
      </c>
      <c r="H1719" s="2">
        <v>8.0</v>
      </c>
      <c r="I1719" s="2">
        <v>2.0</v>
      </c>
      <c r="J1719" s="2">
        <v>0.0</v>
      </c>
      <c r="K1719" s="2">
        <v>0.0</v>
      </c>
      <c r="L1719" s="2">
        <v>0.0</v>
      </c>
      <c r="M1719" s="2">
        <v>-1.0</v>
      </c>
      <c r="N1719" s="2"/>
      <c r="O1719" s="2"/>
      <c r="P1719" s="2" t="s">
        <v>92</v>
      </c>
    </row>
    <row r="1720">
      <c r="A1720" s="3" t="s">
        <v>72</v>
      </c>
      <c r="B1720" s="2" t="s">
        <v>17</v>
      </c>
      <c r="C1720" s="2" t="s">
        <v>18</v>
      </c>
      <c r="D1720" s="2" t="s">
        <v>30</v>
      </c>
      <c r="E1720" s="2" t="s">
        <v>297</v>
      </c>
      <c r="F1720" s="2">
        <v>2.0</v>
      </c>
      <c r="G1720" s="2">
        <v>6.0</v>
      </c>
      <c r="H1720" s="2">
        <v>5.0</v>
      </c>
      <c r="I1720" s="2">
        <v>1.0</v>
      </c>
      <c r="J1720" s="2">
        <v>0.0</v>
      </c>
      <c r="K1720" s="2">
        <v>0.0</v>
      </c>
      <c r="L1720" s="2">
        <v>0.0</v>
      </c>
      <c r="M1720" s="2">
        <v>-3.0</v>
      </c>
      <c r="N1720" s="2"/>
      <c r="O1720" s="2"/>
      <c r="P1720" s="2" t="s">
        <v>92</v>
      </c>
    </row>
    <row r="1721">
      <c r="A1721" s="3" t="s">
        <v>73</v>
      </c>
      <c r="B1721" s="2" t="s">
        <v>17</v>
      </c>
      <c r="C1721" s="2" t="s">
        <v>18</v>
      </c>
      <c r="D1721" s="2" t="s">
        <v>23</v>
      </c>
      <c r="E1721" s="2" t="s">
        <v>306</v>
      </c>
      <c r="F1721" s="2">
        <v>7.0</v>
      </c>
      <c r="G1721" s="2">
        <v>8.0</v>
      </c>
      <c r="H1721" s="2">
        <v>6.0</v>
      </c>
      <c r="I1721" s="2">
        <v>2.0</v>
      </c>
      <c r="J1721" s="2">
        <v>0.0</v>
      </c>
      <c r="K1721" s="2">
        <v>0.0</v>
      </c>
      <c r="L1721" s="2">
        <v>0.0</v>
      </c>
      <c r="M1721" s="2">
        <v>1.0</v>
      </c>
      <c r="N1721" s="2">
        <v>1.0</v>
      </c>
      <c r="O1721" s="2">
        <v>-5.0</v>
      </c>
      <c r="P1721" s="2" t="s">
        <v>92</v>
      </c>
    </row>
    <row r="1722">
      <c r="A1722" s="3" t="s">
        <v>74</v>
      </c>
      <c r="B1722" s="2" t="s">
        <v>17</v>
      </c>
      <c r="C1722" s="2" t="s">
        <v>18</v>
      </c>
      <c r="D1722" s="2" t="s">
        <v>23</v>
      </c>
      <c r="E1722" s="2" t="s">
        <v>305</v>
      </c>
      <c r="F1722" s="2">
        <v>10.0</v>
      </c>
      <c r="G1722" s="2">
        <v>14.0</v>
      </c>
      <c r="H1722" s="2">
        <v>9.0</v>
      </c>
      <c r="I1722" s="2">
        <v>5.0</v>
      </c>
      <c r="J1722" s="2">
        <v>0.0</v>
      </c>
      <c r="K1722" s="2">
        <v>0.0</v>
      </c>
      <c r="L1722" s="2">
        <v>0.0</v>
      </c>
      <c r="M1722" s="2">
        <v>1.0</v>
      </c>
      <c r="N1722" s="2">
        <v>2.0</v>
      </c>
      <c r="O1722" s="2">
        <v>-8.0</v>
      </c>
      <c r="P1722" s="2" t="s">
        <v>92</v>
      </c>
    </row>
    <row r="1723">
      <c r="A1723" s="3" t="s">
        <v>75</v>
      </c>
      <c r="B1723" s="2" t="s">
        <v>17</v>
      </c>
      <c r="C1723" s="2" t="s">
        <v>57</v>
      </c>
      <c r="D1723" s="2" t="s">
        <v>23</v>
      </c>
      <c r="E1723" s="2" t="s">
        <v>295</v>
      </c>
      <c r="F1723" s="2">
        <v>9.0</v>
      </c>
      <c r="G1723" s="2">
        <v>12.0</v>
      </c>
      <c r="H1723" s="2">
        <v>9.0</v>
      </c>
      <c r="I1723" s="2">
        <v>3.0</v>
      </c>
      <c r="J1723" s="2">
        <v>0.0</v>
      </c>
      <c r="K1723" s="2">
        <v>0.0</v>
      </c>
      <c r="L1723" s="2">
        <v>0.0</v>
      </c>
      <c r="M1723" s="2">
        <v>0.0</v>
      </c>
      <c r="N1723" s="2">
        <v>2.0</v>
      </c>
      <c r="O1723" s="2">
        <v>-9.0</v>
      </c>
      <c r="P1723" s="2" t="s">
        <v>92</v>
      </c>
    </row>
    <row r="1724">
      <c r="A1724" s="3" t="s">
        <v>76</v>
      </c>
      <c r="B1724" s="2" t="s">
        <v>17</v>
      </c>
      <c r="C1724" s="2" t="s">
        <v>57</v>
      </c>
      <c r="D1724" s="2" t="s">
        <v>23</v>
      </c>
      <c r="E1724" s="2" t="s">
        <v>296</v>
      </c>
      <c r="F1724" s="2">
        <v>18.0</v>
      </c>
      <c r="G1724" s="2">
        <v>23.0</v>
      </c>
      <c r="H1724" s="2">
        <v>18.0</v>
      </c>
      <c r="I1724" s="2">
        <v>5.0</v>
      </c>
      <c r="J1724" s="2">
        <v>0.0</v>
      </c>
      <c r="K1724" s="2">
        <v>0.0</v>
      </c>
      <c r="L1724" s="2">
        <v>0.0</v>
      </c>
      <c r="M1724" s="2">
        <v>0.0</v>
      </c>
      <c r="N1724" s="2">
        <v>2.0</v>
      </c>
      <c r="O1724" s="2">
        <v>-18.0</v>
      </c>
      <c r="P1724" s="2" t="s">
        <v>92</v>
      </c>
    </row>
    <row r="1725">
      <c r="A1725" s="3" t="s">
        <v>77</v>
      </c>
      <c r="B1725" s="2" t="s">
        <v>17</v>
      </c>
      <c r="C1725" s="2" t="s">
        <v>57</v>
      </c>
      <c r="D1725" s="2" t="s">
        <v>23</v>
      </c>
      <c r="E1725" s="2" t="s">
        <v>300</v>
      </c>
      <c r="F1725" s="2">
        <v>9.0</v>
      </c>
      <c r="G1725" s="2">
        <v>10.0</v>
      </c>
      <c r="H1725" s="2">
        <v>9.0</v>
      </c>
      <c r="I1725" s="2">
        <v>1.0</v>
      </c>
      <c r="J1725" s="2">
        <v>0.0</v>
      </c>
      <c r="K1725" s="2">
        <v>0.0</v>
      </c>
      <c r="L1725" s="2">
        <v>0.0</v>
      </c>
      <c r="M1725" s="2">
        <v>0.0</v>
      </c>
      <c r="N1725" s="2">
        <v>2.0</v>
      </c>
      <c r="O1725" s="2">
        <v>-9.0</v>
      </c>
      <c r="P1725" s="2" t="s">
        <v>92</v>
      </c>
    </row>
    <row r="1726">
      <c r="A1726" s="3" t="s">
        <v>78</v>
      </c>
      <c r="B1726" s="2" t="s">
        <v>17</v>
      </c>
      <c r="C1726" s="2" t="s">
        <v>57</v>
      </c>
      <c r="D1726" s="2" t="s">
        <v>23</v>
      </c>
      <c r="E1726" s="2" t="s">
        <v>309</v>
      </c>
      <c r="F1726" s="2">
        <v>12.0</v>
      </c>
      <c r="G1726" s="2">
        <v>17.0</v>
      </c>
      <c r="H1726" s="2">
        <v>12.0</v>
      </c>
      <c r="I1726" s="2">
        <v>5.0</v>
      </c>
      <c r="J1726" s="2">
        <v>0.0</v>
      </c>
      <c r="K1726" s="2">
        <v>0.0</v>
      </c>
      <c r="L1726" s="2">
        <v>0.0</v>
      </c>
      <c r="M1726" s="2">
        <v>0.0</v>
      </c>
      <c r="N1726" s="2">
        <v>2.0</v>
      </c>
      <c r="O1726" s="2">
        <v>-12.0</v>
      </c>
      <c r="P1726" s="2" t="s">
        <v>92</v>
      </c>
    </row>
    <row r="1727">
      <c r="A1727" s="3" t="s">
        <v>81</v>
      </c>
      <c r="B1727" s="2" t="s">
        <v>17</v>
      </c>
      <c r="C1727" s="2" t="s">
        <v>57</v>
      </c>
      <c r="D1727" s="2" t="s">
        <v>23</v>
      </c>
      <c r="E1727" s="2" t="s">
        <v>307</v>
      </c>
      <c r="F1727" s="2">
        <v>7.0</v>
      </c>
      <c r="G1727" s="2">
        <v>10.0</v>
      </c>
      <c r="H1727" s="2">
        <v>7.0</v>
      </c>
      <c r="I1727" s="2">
        <v>3.0</v>
      </c>
      <c r="J1727" s="2">
        <v>0.0</v>
      </c>
      <c r="K1727" s="2">
        <v>0.0</v>
      </c>
      <c r="L1727" s="2">
        <v>0.0</v>
      </c>
      <c r="M1727" s="2">
        <v>0.0</v>
      </c>
      <c r="N1727" s="2">
        <v>0.0</v>
      </c>
      <c r="O1727" s="2">
        <v>-7.0</v>
      </c>
      <c r="P1727" s="2" t="s">
        <v>92</v>
      </c>
    </row>
    <row r="1728">
      <c r="A1728" s="3" t="s">
        <v>82</v>
      </c>
      <c r="B1728" s="2" t="s">
        <v>17</v>
      </c>
      <c r="C1728" s="2" t="s">
        <v>57</v>
      </c>
      <c r="D1728" s="2" t="s">
        <v>23</v>
      </c>
      <c r="E1728" s="2" t="s">
        <v>294</v>
      </c>
      <c r="F1728" s="2">
        <v>18.0</v>
      </c>
      <c r="G1728" s="2">
        <v>22.0</v>
      </c>
      <c r="H1728" s="2">
        <v>18.0</v>
      </c>
      <c r="I1728" s="2">
        <v>4.0</v>
      </c>
      <c r="J1728" s="2">
        <v>0.0</v>
      </c>
      <c r="K1728" s="2">
        <v>0.0</v>
      </c>
      <c r="L1728" s="2">
        <v>0.0</v>
      </c>
      <c r="M1728" s="2">
        <v>0.0</v>
      </c>
      <c r="N1728" s="2">
        <v>-4.0</v>
      </c>
      <c r="O1728" s="2">
        <v>-18.0</v>
      </c>
      <c r="P1728" s="2" t="s">
        <v>92</v>
      </c>
    </row>
    <row r="1729">
      <c r="A1729" s="3" t="s">
        <v>83</v>
      </c>
      <c r="B1729" s="2" t="s">
        <v>17</v>
      </c>
      <c r="C1729" s="2" t="s">
        <v>57</v>
      </c>
      <c r="D1729" s="2" t="s">
        <v>23</v>
      </c>
      <c r="E1729" s="2" t="s">
        <v>297</v>
      </c>
      <c r="F1729" s="2">
        <v>16.0</v>
      </c>
      <c r="G1729" s="2">
        <v>20.0</v>
      </c>
      <c r="H1729" s="2">
        <v>16.0</v>
      </c>
      <c r="I1729" s="2">
        <v>4.0</v>
      </c>
      <c r="J1729" s="2">
        <v>0.0</v>
      </c>
      <c r="K1729" s="2">
        <v>0.0</v>
      </c>
      <c r="L1729" s="2">
        <v>0.0</v>
      </c>
      <c r="M1729" s="2">
        <v>0.0</v>
      </c>
      <c r="N1729" s="2">
        <v>7.0</v>
      </c>
      <c r="O1729" s="2">
        <v>-16.0</v>
      </c>
      <c r="P1729" s="2" t="s">
        <v>92</v>
      </c>
    </row>
    <row r="1730">
      <c r="A1730" s="3" t="s">
        <v>84</v>
      </c>
      <c r="B1730" s="2" t="s">
        <v>17</v>
      </c>
      <c r="C1730" s="2" t="s">
        <v>57</v>
      </c>
      <c r="D1730" s="2" t="s">
        <v>23</v>
      </c>
      <c r="E1730" s="2" t="s">
        <v>298</v>
      </c>
      <c r="F1730" s="2">
        <v>12.0</v>
      </c>
      <c r="G1730" s="2">
        <v>18.0</v>
      </c>
      <c r="H1730" s="2">
        <v>12.0</v>
      </c>
      <c r="I1730" s="2">
        <v>6.0</v>
      </c>
      <c r="J1730" s="2">
        <v>0.0</v>
      </c>
      <c r="K1730" s="2">
        <v>0.0</v>
      </c>
      <c r="L1730" s="2">
        <v>0.0</v>
      </c>
      <c r="M1730" s="2">
        <v>0.0</v>
      </c>
      <c r="N1730" s="2">
        <v>5.0</v>
      </c>
      <c r="O1730" s="2">
        <v>-12.0</v>
      </c>
      <c r="P1730" s="2" t="s">
        <v>92</v>
      </c>
    </row>
    <row r="1731">
      <c r="A1731" s="3" t="s">
        <v>85</v>
      </c>
      <c r="B1731" s="2" t="s">
        <v>17</v>
      </c>
      <c r="C1731" s="2" t="s">
        <v>57</v>
      </c>
      <c r="D1731" s="2" t="s">
        <v>23</v>
      </c>
      <c r="E1731" s="2" t="s">
        <v>302</v>
      </c>
      <c r="F1731" s="2">
        <v>7.0</v>
      </c>
      <c r="G1731" s="2">
        <v>21.0</v>
      </c>
      <c r="H1731" s="2">
        <v>7.0</v>
      </c>
      <c r="I1731" s="2">
        <v>14.0</v>
      </c>
      <c r="J1731" s="2">
        <v>0.0</v>
      </c>
      <c r="K1731" s="2">
        <v>0.0</v>
      </c>
      <c r="L1731" s="2">
        <v>0.0</v>
      </c>
      <c r="M1731" s="2">
        <v>0.0</v>
      </c>
      <c r="N1731" s="2">
        <v>0.0</v>
      </c>
      <c r="O1731" s="2">
        <v>-7.0</v>
      </c>
      <c r="P1731" s="2" t="s">
        <v>92</v>
      </c>
    </row>
    <row r="1732">
      <c r="A1732" s="3" t="s">
        <v>86</v>
      </c>
      <c r="B1732" s="2" t="s">
        <v>17</v>
      </c>
      <c r="C1732" s="2" t="s">
        <v>57</v>
      </c>
      <c r="D1732" s="2" t="s">
        <v>23</v>
      </c>
      <c r="E1732" s="2" t="s">
        <v>303</v>
      </c>
      <c r="F1732" s="2">
        <v>11.0</v>
      </c>
      <c r="G1732" s="2">
        <v>17.0</v>
      </c>
      <c r="H1732" s="2">
        <v>11.0</v>
      </c>
      <c r="I1732" s="2">
        <v>6.0</v>
      </c>
      <c r="J1732" s="2">
        <v>0.0</v>
      </c>
      <c r="K1732" s="2">
        <v>0.0</v>
      </c>
      <c r="L1732" s="2">
        <v>0.0</v>
      </c>
      <c r="M1732" s="2">
        <v>0.0</v>
      </c>
      <c r="N1732" s="2">
        <v>4.0</v>
      </c>
      <c r="O1732" s="2">
        <v>-11.0</v>
      </c>
      <c r="P1732" s="2" t="s">
        <v>92</v>
      </c>
    </row>
    <row r="1733">
      <c r="A1733" s="3" t="s">
        <v>87</v>
      </c>
      <c r="B1733" s="2" t="s">
        <v>17</v>
      </c>
      <c r="C1733" s="2" t="s">
        <v>57</v>
      </c>
      <c r="D1733" s="2" t="s">
        <v>23</v>
      </c>
      <c r="E1733" s="2" t="s">
        <v>299</v>
      </c>
      <c r="F1733" s="2">
        <v>13.0</v>
      </c>
      <c r="G1733" s="2">
        <v>14.0</v>
      </c>
      <c r="H1733" s="2">
        <v>13.0</v>
      </c>
      <c r="I1733" s="2">
        <v>1.0</v>
      </c>
      <c r="J1733" s="2">
        <v>0.0</v>
      </c>
      <c r="K1733" s="2">
        <v>0.0</v>
      </c>
      <c r="L1733" s="2">
        <v>0.0</v>
      </c>
      <c r="M1733" s="2">
        <v>0.0</v>
      </c>
      <c r="N1733" s="2">
        <v>0.0</v>
      </c>
      <c r="O1733" s="2">
        <v>-13.0</v>
      </c>
      <c r="P1733" s="2" t="s">
        <v>92</v>
      </c>
    </row>
    <row r="1734">
      <c r="A1734" s="3" t="s">
        <v>88</v>
      </c>
      <c r="B1734" s="2" t="s">
        <v>17</v>
      </c>
      <c r="C1734" s="2" t="s">
        <v>57</v>
      </c>
      <c r="D1734" s="2" t="s">
        <v>23</v>
      </c>
      <c r="E1734" s="2" t="s">
        <v>301</v>
      </c>
      <c r="F1734" s="2">
        <v>19.0</v>
      </c>
      <c r="G1734" s="2">
        <v>24.0</v>
      </c>
      <c r="H1734" s="2">
        <v>19.0</v>
      </c>
      <c r="I1734" s="2">
        <v>5.0</v>
      </c>
      <c r="J1734" s="2">
        <v>0.0</v>
      </c>
      <c r="K1734" s="2">
        <v>0.0</v>
      </c>
      <c r="L1734" s="2">
        <v>0.0</v>
      </c>
      <c r="M1734" s="2">
        <v>0.0</v>
      </c>
      <c r="N1734" s="2">
        <v>-1.0</v>
      </c>
      <c r="O1734" s="2">
        <v>-19.0</v>
      </c>
      <c r="P1734" s="2" t="s">
        <v>92</v>
      </c>
    </row>
    <row r="1735">
      <c r="A1735" s="3" t="s">
        <v>89</v>
      </c>
      <c r="B1735" s="2" t="s">
        <v>17</v>
      </c>
      <c r="C1735" s="2" t="s">
        <v>57</v>
      </c>
      <c r="D1735" s="2" t="s">
        <v>23</v>
      </c>
      <c r="E1735" s="2" t="s">
        <v>304</v>
      </c>
      <c r="F1735" s="2">
        <v>12.0</v>
      </c>
      <c r="G1735" s="2">
        <v>13.0</v>
      </c>
      <c r="H1735" s="2">
        <v>12.0</v>
      </c>
      <c r="I1735" s="2">
        <v>1.0</v>
      </c>
      <c r="J1735" s="2">
        <v>0.0</v>
      </c>
      <c r="K1735" s="2">
        <v>0.0</v>
      </c>
      <c r="L1735" s="2">
        <v>0.0</v>
      </c>
      <c r="M1735" s="2">
        <v>0.0</v>
      </c>
      <c r="N1735" s="2">
        <v>3.0</v>
      </c>
      <c r="O1735" s="2">
        <v>-12.0</v>
      </c>
      <c r="P1735" s="2" t="s">
        <v>92</v>
      </c>
    </row>
    <row r="1736">
      <c r="A1736" s="3" t="s">
        <v>90</v>
      </c>
      <c r="B1736" s="2" t="s">
        <v>17</v>
      </c>
      <c r="C1736" s="2" t="s">
        <v>57</v>
      </c>
      <c r="D1736" s="2" t="s">
        <v>23</v>
      </c>
      <c r="E1736" s="2" t="s">
        <v>308</v>
      </c>
      <c r="F1736" s="2">
        <v>16.0</v>
      </c>
      <c r="G1736" s="2">
        <v>21.0</v>
      </c>
      <c r="H1736" s="2">
        <v>16.0</v>
      </c>
      <c r="I1736" s="2">
        <v>5.0</v>
      </c>
      <c r="J1736" s="2">
        <v>0.0</v>
      </c>
      <c r="K1736" s="2">
        <v>0.0</v>
      </c>
      <c r="L1736" s="2">
        <v>0.0</v>
      </c>
      <c r="M1736" s="2">
        <v>0.0</v>
      </c>
      <c r="N1736" s="2">
        <v>0.0</v>
      </c>
      <c r="O1736" s="2">
        <v>-16.0</v>
      </c>
      <c r="P1736" s="2" t="s">
        <v>92</v>
      </c>
    </row>
    <row r="1737">
      <c r="A1737" s="3" t="s">
        <v>93</v>
      </c>
      <c r="B1737" s="2" t="s">
        <v>17</v>
      </c>
      <c r="C1737" s="2" t="s">
        <v>57</v>
      </c>
      <c r="D1737" s="2" t="s">
        <v>23</v>
      </c>
      <c r="E1737" s="2" t="s">
        <v>310</v>
      </c>
      <c r="F1737" s="2">
        <v>8.0</v>
      </c>
      <c r="G1737" s="2">
        <v>12.0</v>
      </c>
      <c r="H1737" s="2">
        <v>8.0</v>
      </c>
      <c r="I1737" s="2">
        <v>4.0</v>
      </c>
      <c r="J1737" s="2">
        <v>0.0</v>
      </c>
      <c r="K1737" s="2">
        <v>0.0</v>
      </c>
      <c r="L1737" s="2">
        <v>0.0</v>
      </c>
      <c r="M1737" s="2">
        <v>0.0</v>
      </c>
      <c r="N1737" s="2">
        <v>2.0</v>
      </c>
      <c r="O1737" s="2">
        <v>-8.0</v>
      </c>
      <c r="P1737" s="2" t="s">
        <v>92</v>
      </c>
    </row>
    <row r="1738">
      <c r="A1738" s="3" t="s">
        <v>16</v>
      </c>
      <c r="B1738" s="4">
        <v>45232.25</v>
      </c>
      <c r="C1738" s="2" t="s">
        <v>18</v>
      </c>
      <c r="D1738" s="2" t="s">
        <v>19</v>
      </c>
      <c r="E1738" s="2" t="s">
        <v>294</v>
      </c>
      <c r="F1738" s="2"/>
      <c r="G1738" s="2">
        <v>5.0</v>
      </c>
      <c r="H1738" s="2">
        <v>4.0</v>
      </c>
      <c r="I1738" s="2">
        <v>1.0</v>
      </c>
      <c r="J1738" s="2">
        <v>0.0</v>
      </c>
      <c r="K1738" s="2">
        <v>0.0</v>
      </c>
      <c r="L1738" s="2">
        <v>0.0</v>
      </c>
      <c r="M1738" s="2"/>
      <c r="N1738" s="2"/>
      <c r="O1738" s="2"/>
      <c r="P1738" s="2" t="s">
        <v>92</v>
      </c>
    </row>
    <row r="1739">
      <c r="A1739" s="3" t="s">
        <v>94</v>
      </c>
      <c r="B1739" s="4">
        <v>45233.25</v>
      </c>
      <c r="C1739" s="2" t="s">
        <v>18</v>
      </c>
      <c r="D1739" s="2" t="s">
        <v>19</v>
      </c>
      <c r="E1739" s="2" t="s">
        <v>295</v>
      </c>
      <c r="F1739" s="2"/>
      <c r="G1739" s="2">
        <v>3.0</v>
      </c>
      <c r="H1739" s="2">
        <v>2.0</v>
      </c>
      <c r="I1739" s="2">
        <v>1.0</v>
      </c>
      <c r="J1739" s="2">
        <v>0.0</v>
      </c>
      <c r="K1739" s="2">
        <v>0.0</v>
      </c>
      <c r="L1739" s="2">
        <v>0.0</v>
      </c>
      <c r="M1739" s="2"/>
      <c r="N1739" s="2"/>
      <c r="O1739" s="2"/>
      <c r="P1739" s="2" t="s">
        <v>92</v>
      </c>
    </row>
    <row r="1740">
      <c r="A1740" s="3" t="s">
        <v>95</v>
      </c>
      <c r="B1740" s="4">
        <v>45234.25</v>
      </c>
      <c r="C1740" s="2" t="s">
        <v>18</v>
      </c>
      <c r="D1740" s="2" t="s">
        <v>19</v>
      </c>
      <c r="E1740" s="2" t="s">
        <v>296</v>
      </c>
      <c r="F1740" s="2"/>
      <c r="G1740" s="2">
        <v>18.0</v>
      </c>
      <c r="H1740" s="2">
        <v>14.0</v>
      </c>
      <c r="I1740" s="2">
        <v>4.0</v>
      </c>
      <c r="J1740" s="2">
        <v>0.0</v>
      </c>
      <c r="K1740" s="2">
        <v>0.0</v>
      </c>
      <c r="L1740" s="2">
        <v>0.0</v>
      </c>
      <c r="M1740" s="2"/>
      <c r="N1740" s="2"/>
      <c r="O1740" s="2"/>
      <c r="P1740" s="2" t="s">
        <v>92</v>
      </c>
    </row>
    <row r="1741">
      <c r="A1741" s="3" t="s">
        <v>97</v>
      </c>
      <c r="B1741" s="4">
        <v>45235.25</v>
      </c>
      <c r="C1741" s="2" t="s">
        <v>18</v>
      </c>
      <c r="D1741" s="2" t="s">
        <v>19</v>
      </c>
      <c r="E1741" s="2" t="s">
        <v>297</v>
      </c>
      <c r="F1741" s="2"/>
      <c r="G1741" s="2">
        <v>9.0</v>
      </c>
      <c r="H1741" s="2">
        <v>6.0</v>
      </c>
      <c r="I1741" s="2">
        <v>3.0</v>
      </c>
      <c r="J1741" s="2">
        <v>0.0</v>
      </c>
      <c r="K1741" s="2">
        <v>0.0</v>
      </c>
      <c r="L1741" s="2">
        <v>0.0</v>
      </c>
      <c r="M1741" s="2"/>
      <c r="N1741" s="2"/>
      <c r="O1741" s="2"/>
      <c r="P1741" s="2" t="s">
        <v>92</v>
      </c>
    </row>
    <row r="1742">
      <c r="A1742" s="3" t="s">
        <v>98</v>
      </c>
      <c r="B1742" s="4">
        <v>45236.29166666667</v>
      </c>
      <c r="C1742" s="2" t="s">
        <v>18</v>
      </c>
      <c r="D1742" s="2" t="s">
        <v>19</v>
      </c>
      <c r="E1742" s="2" t="s">
        <v>298</v>
      </c>
      <c r="F1742" s="2"/>
      <c r="G1742" s="2">
        <v>6.0</v>
      </c>
      <c r="H1742" s="2">
        <v>3.0</v>
      </c>
      <c r="I1742" s="2">
        <v>3.0</v>
      </c>
      <c r="J1742" s="2">
        <v>0.0</v>
      </c>
      <c r="K1742" s="2">
        <v>0.0</v>
      </c>
      <c r="L1742" s="2">
        <v>0.0</v>
      </c>
      <c r="M1742" s="2"/>
      <c r="N1742" s="2"/>
      <c r="O1742" s="2"/>
      <c r="P1742" s="2" t="s">
        <v>92</v>
      </c>
    </row>
    <row r="1743">
      <c r="A1743" s="3" t="s">
        <v>99</v>
      </c>
      <c r="B1743" s="4">
        <v>45237.29166666667</v>
      </c>
      <c r="C1743" s="2" t="s">
        <v>18</v>
      </c>
      <c r="D1743" s="2" t="s">
        <v>19</v>
      </c>
      <c r="E1743" s="2" t="s">
        <v>299</v>
      </c>
      <c r="F1743" s="2"/>
      <c r="G1743" s="2">
        <v>14.0</v>
      </c>
      <c r="H1743" s="2">
        <v>13.0</v>
      </c>
      <c r="I1743" s="2">
        <v>1.0</v>
      </c>
      <c r="J1743" s="2">
        <v>0.0</v>
      </c>
      <c r="K1743" s="2">
        <v>0.0</v>
      </c>
      <c r="L1743" s="2">
        <v>0.0</v>
      </c>
      <c r="M1743" s="2"/>
      <c r="N1743" s="2"/>
      <c r="O1743" s="2"/>
      <c r="P1743" s="2" t="s">
        <v>92</v>
      </c>
    </row>
    <row r="1744">
      <c r="A1744" s="3" t="s">
        <v>100</v>
      </c>
      <c r="B1744" s="4">
        <v>45238.29166666667</v>
      </c>
      <c r="C1744" s="2" t="s">
        <v>18</v>
      </c>
      <c r="D1744" s="2" t="s">
        <v>19</v>
      </c>
      <c r="E1744" s="2" t="s">
        <v>300</v>
      </c>
      <c r="F1744" s="2"/>
      <c r="G1744" s="2">
        <v>8.0</v>
      </c>
      <c r="H1744" s="2">
        <v>7.0</v>
      </c>
      <c r="I1744" s="2">
        <v>1.0</v>
      </c>
      <c r="J1744" s="2">
        <v>0.0</v>
      </c>
      <c r="K1744" s="2">
        <v>0.0</v>
      </c>
      <c r="L1744" s="2">
        <v>0.0</v>
      </c>
      <c r="M1744" s="2"/>
      <c r="N1744" s="2"/>
      <c r="O1744" s="2"/>
      <c r="P1744" s="2" t="s">
        <v>92</v>
      </c>
    </row>
    <row r="1745">
      <c r="A1745" s="3" t="s">
        <v>101</v>
      </c>
      <c r="B1745" s="4">
        <v>45239.29166666667</v>
      </c>
      <c r="C1745" s="2" t="s">
        <v>18</v>
      </c>
      <c r="D1745" s="2" t="s">
        <v>19</v>
      </c>
      <c r="E1745" s="2" t="s">
        <v>301</v>
      </c>
      <c r="F1745" s="2"/>
      <c r="G1745" s="2">
        <v>24.0</v>
      </c>
      <c r="H1745" s="2">
        <v>19.0</v>
      </c>
      <c r="I1745" s="2">
        <v>5.0</v>
      </c>
      <c r="J1745" s="2">
        <v>0.0</v>
      </c>
      <c r="K1745" s="2">
        <v>0.0</v>
      </c>
      <c r="L1745" s="2">
        <v>0.0</v>
      </c>
      <c r="M1745" s="2"/>
      <c r="N1745" s="2"/>
      <c r="O1745" s="2"/>
      <c r="P1745" s="2" t="s">
        <v>92</v>
      </c>
    </row>
    <row r="1746">
      <c r="A1746" s="3" t="s">
        <v>102</v>
      </c>
      <c r="B1746" s="4">
        <v>45240.29166666667</v>
      </c>
      <c r="C1746" s="2" t="s">
        <v>18</v>
      </c>
      <c r="D1746" s="2" t="s">
        <v>19</v>
      </c>
      <c r="E1746" s="2" t="s">
        <v>302</v>
      </c>
      <c r="F1746" s="2"/>
      <c r="G1746" s="2">
        <v>13.0</v>
      </c>
      <c r="H1746" s="2">
        <v>4.0</v>
      </c>
      <c r="I1746" s="2">
        <v>9.0</v>
      </c>
      <c r="J1746" s="2">
        <v>0.0</v>
      </c>
      <c r="K1746" s="2">
        <v>0.0</v>
      </c>
      <c r="L1746" s="2">
        <v>0.0</v>
      </c>
      <c r="M1746" s="2"/>
      <c r="N1746" s="2"/>
      <c r="O1746" s="2"/>
      <c r="P1746" s="2" t="s">
        <v>92</v>
      </c>
    </row>
    <row r="1747">
      <c r="A1747" s="3" t="s">
        <v>103</v>
      </c>
      <c r="B1747" s="4">
        <v>45241.29166666667</v>
      </c>
      <c r="C1747" s="2" t="s">
        <v>18</v>
      </c>
      <c r="D1747" s="2" t="s">
        <v>19</v>
      </c>
      <c r="E1747" s="2" t="s">
        <v>303</v>
      </c>
      <c r="F1747" s="2"/>
      <c r="G1747" s="2">
        <v>11.0</v>
      </c>
      <c r="H1747" s="2">
        <v>7.0</v>
      </c>
      <c r="I1747" s="2">
        <v>4.0</v>
      </c>
      <c r="J1747" s="2">
        <v>0.0</v>
      </c>
      <c r="K1747" s="2">
        <v>0.0</v>
      </c>
      <c r="L1747" s="2">
        <v>0.0</v>
      </c>
      <c r="M1747" s="2"/>
      <c r="N1747" s="2"/>
      <c r="O1747" s="2"/>
      <c r="P1747" s="2" t="s">
        <v>92</v>
      </c>
    </row>
    <row r="1748">
      <c r="A1748" s="3" t="s">
        <v>104</v>
      </c>
      <c r="B1748" s="4">
        <v>45242.29166666667</v>
      </c>
      <c r="C1748" s="2" t="s">
        <v>18</v>
      </c>
      <c r="D1748" s="2" t="s">
        <v>19</v>
      </c>
      <c r="E1748" s="2" t="s">
        <v>304</v>
      </c>
      <c r="F1748" s="2"/>
      <c r="G1748" s="2">
        <v>10.0</v>
      </c>
      <c r="H1748" s="2">
        <v>9.0</v>
      </c>
      <c r="I1748" s="2">
        <v>1.0</v>
      </c>
      <c r="J1748" s="2">
        <v>0.0</v>
      </c>
      <c r="K1748" s="2">
        <v>0.0</v>
      </c>
      <c r="L1748" s="2">
        <v>0.0</v>
      </c>
      <c r="M1748" s="2"/>
      <c r="N1748" s="2"/>
      <c r="O1748" s="2"/>
      <c r="P1748" s="2" t="s">
        <v>92</v>
      </c>
    </row>
    <row r="1749">
      <c r="A1749" s="3" t="s">
        <v>105</v>
      </c>
      <c r="B1749" s="4">
        <v>45243.29166666667</v>
      </c>
      <c r="C1749" s="2" t="s">
        <v>18</v>
      </c>
      <c r="D1749" s="2" t="s">
        <v>19</v>
      </c>
      <c r="E1749" s="2" t="s">
        <v>305</v>
      </c>
      <c r="F1749" s="2"/>
      <c r="G1749" s="2">
        <v>12.0</v>
      </c>
      <c r="H1749" s="2">
        <v>8.0</v>
      </c>
      <c r="I1749" s="2">
        <v>4.0</v>
      </c>
      <c r="J1749" s="2">
        <v>0.0</v>
      </c>
      <c r="K1749" s="2">
        <v>0.0</v>
      </c>
      <c r="L1749" s="2">
        <v>0.0</v>
      </c>
      <c r="M1749" s="2"/>
      <c r="N1749" s="2"/>
      <c r="O1749" s="2"/>
      <c r="P1749" s="2" t="s">
        <v>92</v>
      </c>
    </row>
    <row r="1750">
      <c r="A1750" s="3" t="s">
        <v>106</v>
      </c>
      <c r="B1750" s="4">
        <v>45244.29166666667</v>
      </c>
      <c r="C1750" s="2" t="s">
        <v>18</v>
      </c>
      <c r="D1750" s="2" t="s">
        <v>19</v>
      </c>
      <c r="E1750" s="2" t="s">
        <v>306</v>
      </c>
      <c r="F1750" s="2"/>
      <c r="G1750" s="2">
        <v>3.0</v>
      </c>
      <c r="H1750" s="2">
        <v>2.0</v>
      </c>
      <c r="I1750" s="2">
        <v>1.0</v>
      </c>
      <c r="J1750" s="2">
        <v>0.0</v>
      </c>
      <c r="K1750" s="2">
        <v>0.0</v>
      </c>
      <c r="L1750" s="2">
        <v>0.0</v>
      </c>
      <c r="M1750" s="2"/>
      <c r="N1750" s="2"/>
      <c r="O1750" s="2"/>
      <c r="P1750" s="2" t="s">
        <v>92</v>
      </c>
    </row>
    <row r="1751">
      <c r="A1751" s="3" t="s">
        <v>107</v>
      </c>
      <c r="B1751" s="4">
        <v>45245.29166666667</v>
      </c>
      <c r="C1751" s="2" t="s">
        <v>18</v>
      </c>
      <c r="D1751" s="2" t="s">
        <v>19</v>
      </c>
      <c r="E1751" s="2" t="s">
        <v>307</v>
      </c>
      <c r="F1751" s="2"/>
      <c r="G1751" s="2">
        <v>10.0</v>
      </c>
      <c r="H1751" s="2">
        <v>7.0</v>
      </c>
      <c r="I1751" s="2">
        <v>3.0</v>
      </c>
      <c r="J1751" s="2">
        <v>0.0</v>
      </c>
      <c r="K1751" s="2">
        <v>0.0</v>
      </c>
      <c r="L1751" s="2">
        <v>0.0</v>
      </c>
      <c r="M1751" s="2"/>
      <c r="N1751" s="2"/>
      <c r="O1751" s="2"/>
      <c r="P1751" s="2" t="s">
        <v>92</v>
      </c>
    </row>
    <row r="1752">
      <c r="A1752" s="3" t="s">
        <v>108</v>
      </c>
      <c r="B1752" s="4">
        <v>45246.29166666667</v>
      </c>
      <c r="C1752" s="2" t="s">
        <v>18</v>
      </c>
      <c r="D1752" s="2" t="s">
        <v>19</v>
      </c>
      <c r="E1752" s="2" t="s">
        <v>308</v>
      </c>
      <c r="F1752" s="2"/>
      <c r="G1752" s="2">
        <v>20.0</v>
      </c>
      <c r="H1752" s="2">
        <v>15.0</v>
      </c>
      <c r="I1752" s="2">
        <v>5.0</v>
      </c>
      <c r="J1752" s="2">
        <v>0.0</v>
      </c>
      <c r="K1752" s="2">
        <v>0.0</v>
      </c>
      <c r="L1752" s="2">
        <v>0.0</v>
      </c>
      <c r="M1752" s="2"/>
      <c r="N1752" s="2"/>
      <c r="O1752" s="2"/>
      <c r="P1752" s="2" t="s">
        <v>92</v>
      </c>
    </row>
    <row r="1753">
      <c r="A1753" s="3" t="s">
        <v>112</v>
      </c>
      <c r="B1753" s="4">
        <v>45247.29166666667</v>
      </c>
      <c r="C1753" s="2" t="s">
        <v>18</v>
      </c>
      <c r="D1753" s="2" t="s">
        <v>19</v>
      </c>
      <c r="E1753" s="2" t="s">
        <v>309</v>
      </c>
      <c r="F1753" s="2"/>
      <c r="G1753" s="2">
        <v>15.0</v>
      </c>
      <c r="H1753" s="2">
        <v>10.0</v>
      </c>
      <c r="I1753" s="2">
        <v>5.0</v>
      </c>
      <c r="J1753" s="2">
        <v>0.0</v>
      </c>
      <c r="K1753" s="2">
        <v>0.0</v>
      </c>
      <c r="L1753" s="2">
        <v>0.0</v>
      </c>
      <c r="M1753" s="2"/>
      <c r="N1753" s="2"/>
      <c r="O1753" s="2"/>
      <c r="P1753" s="2" t="s">
        <v>92</v>
      </c>
    </row>
    <row r="1754">
      <c r="A1754" s="3" t="s">
        <v>115</v>
      </c>
      <c r="B1754" s="4">
        <v>45248.29166666667</v>
      </c>
      <c r="C1754" s="2" t="s">
        <v>18</v>
      </c>
      <c r="D1754" s="2" t="s">
        <v>19</v>
      </c>
      <c r="E1754" s="2" t="s">
        <v>310</v>
      </c>
      <c r="F1754" s="2"/>
      <c r="G1754" s="2">
        <v>12.0</v>
      </c>
      <c r="H1754" s="2">
        <v>8.0</v>
      </c>
      <c r="I1754" s="2">
        <v>4.0</v>
      </c>
      <c r="J1754" s="2">
        <v>0.0</v>
      </c>
      <c r="K1754" s="2">
        <v>0.0</v>
      </c>
      <c r="L1754" s="2">
        <v>0.0</v>
      </c>
      <c r="M1754" s="2"/>
      <c r="N1754" s="2"/>
      <c r="O1754" s="2"/>
      <c r="P1754" s="2" t="s">
        <v>92</v>
      </c>
    </row>
    <row r="1755">
      <c r="A1755" s="3" t="s">
        <v>117</v>
      </c>
      <c r="B1755" s="4">
        <v>45261.29166666667</v>
      </c>
      <c r="C1755" s="2" t="s">
        <v>18</v>
      </c>
      <c r="D1755" s="2" t="s">
        <v>19</v>
      </c>
      <c r="E1755" s="2" t="s">
        <v>294</v>
      </c>
      <c r="F1755" s="2"/>
      <c r="G1755" s="2">
        <v>7.0</v>
      </c>
      <c r="H1755" s="2">
        <v>6.0</v>
      </c>
      <c r="I1755" s="2">
        <v>1.0</v>
      </c>
      <c r="J1755" s="2">
        <v>0.0</v>
      </c>
      <c r="K1755" s="2">
        <v>0.0</v>
      </c>
      <c r="L1755" s="2">
        <v>0.0</v>
      </c>
      <c r="M1755" s="2"/>
      <c r="N1755" s="2"/>
      <c r="O1755" s="2"/>
      <c r="P1755" s="2" t="s">
        <v>92</v>
      </c>
    </row>
    <row r="1756">
      <c r="A1756" s="3" t="s">
        <v>119</v>
      </c>
      <c r="B1756" s="4">
        <v>45261.29166666667</v>
      </c>
      <c r="C1756" s="2" t="s">
        <v>18</v>
      </c>
      <c r="D1756" s="2" t="s">
        <v>19</v>
      </c>
      <c r="E1756" s="2" t="s">
        <v>295</v>
      </c>
      <c r="F1756" s="2"/>
      <c r="G1756" s="2">
        <v>9.0</v>
      </c>
      <c r="H1756" s="2">
        <v>7.0</v>
      </c>
      <c r="I1756" s="2">
        <v>2.0</v>
      </c>
      <c r="J1756" s="2">
        <v>0.0</v>
      </c>
      <c r="K1756" s="2">
        <v>0.0</v>
      </c>
      <c r="L1756" s="2">
        <v>0.0</v>
      </c>
      <c r="M1756" s="2"/>
      <c r="N1756" s="2"/>
      <c r="O1756" s="2"/>
      <c r="P1756" s="2" t="s">
        <v>92</v>
      </c>
    </row>
    <row r="1757">
      <c r="A1757" s="3" t="s">
        <v>121</v>
      </c>
      <c r="B1757" s="4">
        <v>45261.29166666667</v>
      </c>
      <c r="C1757" s="2" t="s">
        <v>18</v>
      </c>
      <c r="D1757" s="2" t="s">
        <v>19</v>
      </c>
      <c r="E1757" s="2" t="s">
        <v>296</v>
      </c>
      <c r="F1757" s="2"/>
      <c r="G1757" s="2">
        <v>5.0</v>
      </c>
      <c r="H1757" s="2">
        <v>4.0</v>
      </c>
      <c r="I1757" s="2">
        <v>1.0</v>
      </c>
      <c r="J1757" s="2">
        <v>0.0</v>
      </c>
      <c r="K1757" s="2">
        <v>0.0</v>
      </c>
      <c r="L1757" s="2">
        <v>0.0</v>
      </c>
      <c r="M1757" s="2"/>
      <c r="N1757" s="2"/>
      <c r="O1757" s="2"/>
      <c r="P1757" s="2" t="s">
        <v>92</v>
      </c>
    </row>
    <row r="1758">
      <c r="A1758" s="3" t="s">
        <v>16</v>
      </c>
      <c r="B1758" s="4">
        <v>45261.29166666667</v>
      </c>
      <c r="C1758" s="2" t="s">
        <v>18</v>
      </c>
      <c r="D1758" s="2" t="s">
        <v>19</v>
      </c>
      <c r="E1758" s="2" t="s">
        <v>297</v>
      </c>
      <c r="F1758" s="2"/>
      <c r="G1758" s="2">
        <v>5.0</v>
      </c>
      <c r="H1758" s="2">
        <v>5.0</v>
      </c>
      <c r="I1758" s="2">
        <v>0.0</v>
      </c>
      <c r="J1758" s="2">
        <v>0.0</v>
      </c>
      <c r="K1758" s="2">
        <v>0.0</v>
      </c>
      <c r="L1758" s="2">
        <v>0.0</v>
      </c>
      <c r="M1758" s="2"/>
      <c r="N1758" s="2"/>
      <c r="O1758" s="2"/>
      <c r="P1758" s="2" t="s">
        <v>92</v>
      </c>
    </row>
    <row r="1759">
      <c r="A1759" s="3" t="s">
        <v>124</v>
      </c>
      <c r="B1759" s="4">
        <v>45261.29166666667</v>
      </c>
      <c r="C1759" s="2" t="s">
        <v>18</v>
      </c>
      <c r="D1759" s="2" t="s">
        <v>19</v>
      </c>
      <c r="E1759" s="2" t="s">
        <v>298</v>
      </c>
      <c r="F1759" s="2"/>
      <c r="G1759" s="2">
        <v>12.0</v>
      </c>
      <c r="H1759" s="2">
        <v>9.0</v>
      </c>
      <c r="I1759" s="2">
        <v>3.0</v>
      </c>
      <c r="J1759" s="2">
        <v>0.0</v>
      </c>
      <c r="K1759" s="2">
        <v>0.0</v>
      </c>
      <c r="L1759" s="2">
        <v>0.0</v>
      </c>
      <c r="M1759" s="2"/>
      <c r="N1759" s="2"/>
      <c r="O1759" s="2"/>
      <c r="P1759" s="2" t="s">
        <v>92</v>
      </c>
    </row>
    <row r="1760">
      <c r="A1760" s="3" t="s">
        <v>126</v>
      </c>
      <c r="B1760" s="4">
        <v>45261.29166666667</v>
      </c>
      <c r="C1760" s="2" t="s">
        <v>18</v>
      </c>
      <c r="D1760" s="2" t="s">
        <v>19</v>
      </c>
      <c r="E1760" s="2" t="s">
        <v>300</v>
      </c>
      <c r="F1760" s="2"/>
      <c r="G1760" s="2">
        <v>2.0</v>
      </c>
      <c r="H1760" s="2">
        <v>2.0</v>
      </c>
      <c r="I1760" s="2">
        <v>0.0</v>
      </c>
      <c r="J1760" s="2">
        <v>0.0</v>
      </c>
      <c r="K1760" s="2">
        <v>0.0</v>
      </c>
      <c r="L1760" s="2">
        <v>0.0</v>
      </c>
      <c r="M1760" s="2"/>
      <c r="N1760" s="2"/>
      <c r="O1760" s="2"/>
      <c r="P1760" s="2" t="s">
        <v>92</v>
      </c>
    </row>
    <row r="1761">
      <c r="A1761" s="3" t="s">
        <v>128</v>
      </c>
      <c r="B1761" s="4">
        <v>45261.29166666667</v>
      </c>
      <c r="C1761" s="2" t="s">
        <v>18</v>
      </c>
      <c r="D1761" s="2" t="s">
        <v>19</v>
      </c>
      <c r="E1761" s="2" t="s">
        <v>302</v>
      </c>
      <c r="F1761" s="2"/>
      <c r="G1761" s="2">
        <v>8.0</v>
      </c>
      <c r="H1761" s="2">
        <v>3.0</v>
      </c>
      <c r="I1761" s="2">
        <v>5.0</v>
      </c>
      <c r="J1761" s="2">
        <v>0.0</v>
      </c>
      <c r="K1761" s="2">
        <v>0.0</v>
      </c>
      <c r="L1761" s="2">
        <v>0.0</v>
      </c>
      <c r="M1761" s="2"/>
      <c r="N1761" s="2"/>
      <c r="O1761" s="2"/>
      <c r="P1761" s="2" t="s">
        <v>92</v>
      </c>
    </row>
    <row r="1762">
      <c r="A1762" s="3" t="s">
        <v>129</v>
      </c>
      <c r="B1762" s="4">
        <v>45261.29166666667</v>
      </c>
      <c r="C1762" s="2" t="s">
        <v>18</v>
      </c>
      <c r="D1762" s="2" t="s">
        <v>19</v>
      </c>
      <c r="E1762" s="2" t="s">
        <v>303</v>
      </c>
      <c r="F1762" s="2"/>
      <c r="G1762" s="2">
        <v>6.0</v>
      </c>
      <c r="H1762" s="2">
        <v>4.0</v>
      </c>
      <c r="I1762" s="2">
        <v>2.0</v>
      </c>
      <c r="J1762" s="2">
        <v>0.0</v>
      </c>
      <c r="K1762" s="2">
        <v>0.0</v>
      </c>
      <c r="L1762" s="2">
        <v>0.0</v>
      </c>
      <c r="M1762" s="2"/>
      <c r="N1762" s="2"/>
      <c r="O1762" s="2"/>
      <c r="P1762" s="2" t="s">
        <v>92</v>
      </c>
    </row>
    <row r="1763">
      <c r="A1763" s="3" t="s">
        <v>16</v>
      </c>
      <c r="B1763" s="4">
        <v>45261.29166666667</v>
      </c>
      <c r="C1763" s="2" t="s">
        <v>18</v>
      </c>
      <c r="D1763" s="2" t="s">
        <v>19</v>
      </c>
      <c r="E1763" s="2" t="s">
        <v>306</v>
      </c>
      <c r="F1763" s="2"/>
      <c r="G1763" s="2">
        <v>5.0</v>
      </c>
      <c r="H1763" s="2">
        <v>4.0</v>
      </c>
      <c r="I1763" s="2">
        <v>1.0</v>
      </c>
      <c r="J1763" s="2">
        <v>0.0</v>
      </c>
      <c r="K1763" s="2">
        <v>0.0</v>
      </c>
      <c r="L1763" s="2">
        <v>0.0</v>
      </c>
      <c r="M1763" s="2"/>
      <c r="N1763" s="2"/>
      <c r="O1763" s="2"/>
      <c r="P1763" s="2" t="s">
        <v>92</v>
      </c>
    </row>
    <row r="1764">
      <c r="A1764" s="3" t="s">
        <v>22</v>
      </c>
      <c r="B1764" s="4">
        <v>45261.29166666667</v>
      </c>
      <c r="C1764" s="2" t="s">
        <v>57</v>
      </c>
      <c r="D1764" s="2" t="s">
        <v>19</v>
      </c>
      <c r="E1764" s="2" t="s">
        <v>299</v>
      </c>
      <c r="F1764" s="2"/>
      <c r="G1764" s="2">
        <v>0.0</v>
      </c>
      <c r="H1764" s="2">
        <v>0.0</v>
      </c>
      <c r="I1764" s="2">
        <v>0.0</v>
      </c>
      <c r="J1764" s="2">
        <v>0.0</v>
      </c>
      <c r="K1764" s="2">
        <v>0.0</v>
      </c>
      <c r="L1764" s="2">
        <v>0.0</v>
      </c>
      <c r="M1764" s="2"/>
      <c r="N1764" s="2"/>
      <c r="O1764" s="2"/>
      <c r="P1764" s="2" t="s">
        <v>92</v>
      </c>
    </row>
    <row r="1765">
      <c r="A1765" s="3" t="s">
        <v>24</v>
      </c>
      <c r="B1765" s="4">
        <v>45261.29166666667</v>
      </c>
      <c r="C1765" s="2" t="s">
        <v>57</v>
      </c>
      <c r="D1765" s="2" t="s">
        <v>19</v>
      </c>
      <c r="E1765" s="2" t="s">
        <v>301</v>
      </c>
      <c r="F1765" s="2"/>
      <c r="G1765" s="2">
        <v>0.0</v>
      </c>
      <c r="H1765" s="2">
        <v>0.0</v>
      </c>
      <c r="I1765" s="2">
        <v>0.0</v>
      </c>
      <c r="J1765" s="2">
        <v>0.0</v>
      </c>
      <c r="K1765" s="2">
        <v>0.0</v>
      </c>
      <c r="L1765" s="2">
        <v>0.0</v>
      </c>
      <c r="M1765" s="2"/>
      <c r="N1765" s="2"/>
      <c r="O1765" s="2"/>
      <c r="P1765" s="2" t="s">
        <v>92</v>
      </c>
    </row>
    <row r="1766">
      <c r="A1766" s="3" t="s">
        <v>25</v>
      </c>
      <c r="B1766" s="4">
        <v>45261.29166666667</v>
      </c>
      <c r="C1766" s="2" t="s">
        <v>57</v>
      </c>
      <c r="D1766" s="2" t="s">
        <v>19</v>
      </c>
      <c r="E1766" s="2" t="s">
        <v>304</v>
      </c>
      <c r="F1766" s="2"/>
      <c r="G1766" s="2">
        <v>3.0</v>
      </c>
      <c r="H1766" s="2">
        <v>3.0</v>
      </c>
      <c r="I1766" s="2">
        <v>0.0</v>
      </c>
      <c r="J1766" s="2">
        <v>0.0</v>
      </c>
      <c r="K1766" s="2">
        <v>0.0</v>
      </c>
      <c r="L1766" s="2">
        <v>0.0</v>
      </c>
      <c r="M1766" s="2"/>
      <c r="N1766" s="2"/>
      <c r="O1766" s="2"/>
      <c r="P1766" s="2" t="s">
        <v>92</v>
      </c>
    </row>
    <row r="1767">
      <c r="A1767" s="3" t="s">
        <v>26</v>
      </c>
      <c r="B1767" s="4">
        <v>45261.29166666667</v>
      </c>
      <c r="C1767" s="2" t="s">
        <v>57</v>
      </c>
      <c r="D1767" s="2" t="s">
        <v>19</v>
      </c>
      <c r="E1767" s="2" t="s">
        <v>305</v>
      </c>
      <c r="F1767" s="2"/>
      <c r="G1767" s="2">
        <v>2.0</v>
      </c>
      <c r="H1767" s="2">
        <v>1.0</v>
      </c>
      <c r="I1767" s="2">
        <v>1.0</v>
      </c>
      <c r="J1767" s="2">
        <v>0.0</v>
      </c>
      <c r="K1767" s="2">
        <v>0.0</v>
      </c>
      <c r="L1767" s="2">
        <v>0.0</v>
      </c>
      <c r="M1767" s="2"/>
      <c r="N1767" s="2"/>
      <c r="O1767" s="2"/>
      <c r="P1767" s="2" t="s">
        <v>92</v>
      </c>
    </row>
    <row r="1768">
      <c r="A1768" s="3" t="s">
        <v>28</v>
      </c>
      <c r="B1768" s="4">
        <v>45261.29166666667</v>
      </c>
      <c r="C1768" s="2" t="s">
        <v>57</v>
      </c>
      <c r="D1768" s="2" t="s">
        <v>19</v>
      </c>
      <c r="E1768" s="2" t="s">
        <v>307</v>
      </c>
      <c r="F1768" s="2"/>
      <c r="G1768" s="2">
        <v>0.0</v>
      </c>
      <c r="H1768" s="2">
        <v>0.0</v>
      </c>
      <c r="I1768" s="2">
        <v>0.0</v>
      </c>
      <c r="J1768" s="2">
        <v>0.0</v>
      </c>
      <c r="K1768" s="2">
        <v>0.0</v>
      </c>
      <c r="L1768" s="2">
        <v>0.0</v>
      </c>
      <c r="M1768" s="2"/>
      <c r="N1768" s="2"/>
      <c r="O1768" s="2"/>
      <c r="P1768" s="2" t="s">
        <v>92</v>
      </c>
    </row>
    <row r="1769">
      <c r="A1769" s="3" t="s">
        <v>29</v>
      </c>
      <c r="B1769" s="4">
        <v>45261.29166666667</v>
      </c>
      <c r="C1769" s="2" t="s">
        <v>57</v>
      </c>
      <c r="D1769" s="2" t="s">
        <v>19</v>
      </c>
      <c r="E1769" s="2" t="s">
        <v>308</v>
      </c>
      <c r="F1769" s="2"/>
      <c r="G1769" s="2">
        <v>1.0</v>
      </c>
      <c r="H1769" s="2">
        <v>1.0</v>
      </c>
      <c r="I1769" s="2">
        <v>0.0</v>
      </c>
      <c r="J1769" s="2">
        <v>0.0</v>
      </c>
      <c r="K1769" s="2">
        <v>0.0</v>
      </c>
      <c r="L1769" s="2">
        <v>0.0</v>
      </c>
      <c r="M1769" s="2"/>
      <c r="N1769" s="2"/>
      <c r="O1769" s="2"/>
      <c r="P1769" s="2" t="s">
        <v>92</v>
      </c>
    </row>
    <row r="1770">
      <c r="A1770" s="3" t="s">
        <v>32</v>
      </c>
      <c r="B1770" s="4">
        <v>45261.29166666667</v>
      </c>
      <c r="C1770" s="2" t="s">
        <v>57</v>
      </c>
      <c r="D1770" s="2" t="s">
        <v>19</v>
      </c>
      <c r="E1770" s="2" t="s">
        <v>309</v>
      </c>
      <c r="F1770" s="2"/>
      <c r="G1770" s="2">
        <v>2.0</v>
      </c>
      <c r="H1770" s="2">
        <v>2.0</v>
      </c>
      <c r="I1770" s="2">
        <v>0.0</v>
      </c>
      <c r="J1770" s="2">
        <v>0.0</v>
      </c>
      <c r="K1770" s="2">
        <v>0.0</v>
      </c>
      <c r="L1770" s="2">
        <v>0.0</v>
      </c>
      <c r="M1770" s="2"/>
      <c r="N1770" s="2"/>
      <c r="O1770" s="2"/>
      <c r="P1770" s="2" t="s">
        <v>92</v>
      </c>
    </row>
    <row r="1771">
      <c r="A1771" s="3" t="s">
        <v>34</v>
      </c>
      <c r="B1771" s="4">
        <v>45261.29166666667</v>
      </c>
      <c r="C1771" s="2" t="s">
        <v>57</v>
      </c>
      <c r="D1771" s="2" t="s">
        <v>19</v>
      </c>
      <c r="E1771" s="2" t="s">
        <v>310</v>
      </c>
      <c r="F1771" s="2"/>
      <c r="G1771" s="2">
        <v>0.0</v>
      </c>
      <c r="H1771" s="2">
        <v>0.0</v>
      </c>
      <c r="I1771" s="2">
        <v>0.0</v>
      </c>
      <c r="J1771" s="2">
        <v>0.0</v>
      </c>
      <c r="K1771" s="2">
        <v>0.0</v>
      </c>
      <c r="L1771" s="2">
        <v>0.0</v>
      </c>
      <c r="M1771" s="2"/>
      <c r="N1771" s="2"/>
      <c r="O1771" s="2"/>
      <c r="P1771" s="2" t="s">
        <v>92</v>
      </c>
    </row>
    <row r="1772">
      <c r="A1772" s="3" t="s">
        <v>35</v>
      </c>
      <c r="B1772" s="4">
        <v>45261.29166666667</v>
      </c>
      <c r="C1772" s="2" t="s">
        <v>18</v>
      </c>
      <c r="D1772" s="2" t="s">
        <v>30</v>
      </c>
      <c r="E1772" s="2" t="s">
        <v>294</v>
      </c>
      <c r="F1772" s="2"/>
      <c r="G1772" s="2">
        <v>10.0</v>
      </c>
      <c r="H1772" s="2">
        <v>8.0</v>
      </c>
      <c r="I1772" s="2">
        <v>2.0</v>
      </c>
      <c r="J1772" s="2">
        <v>0.0</v>
      </c>
      <c r="K1772" s="2">
        <v>0.0</v>
      </c>
      <c r="L1772" s="2">
        <v>0.0</v>
      </c>
      <c r="M1772" s="2"/>
      <c r="N1772" s="2"/>
      <c r="O1772" s="2"/>
      <c r="P1772" s="2" t="s">
        <v>92</v>
      </c>
    </row>
    <row r="1773">
      <c r="A1773" s="3" t="s">
        <v>36</v>
      </c>
      <c r="B1773" s="4">
        <v>45261.29166666667</v>
      </c>
      <c r="C1773" s="2" t="s">
        <v>18</v>
      </c>
      <c r="D1773" s="2" t="s">
        <v>30</v>
      </c>
      <c r="E1773" s="2" t="s">
        <v>297</v>
      </c>
      <c r="F1773" s="2"/>
      <c r="G1773" s="2">
        <v>6.0</v>
      </c>
      <c r="H1773" s="2">
        <v>5.0</v>
      </c>
      <c r="I1773" s="2">
        <v>1.0</v>
      </c>
      <c r="J1773" s="2">
        <v>0.0</v>
      </c>
      <c r="K1773" s="2">
        <v>0.0</v>
      </c>
      <c r="L1773" s="2">
        <v>0.0</v>
      </c>
      <c r="M1773" s="2"/>
      <c r="N1773" s="2"/>
      <c r="O1773" s="2"/>
      <c r="P1773" s="2" t="s">
        <v>92</v>
      </c>
    </row>
    <row r="1774">
      <c r="A1774" s="3" t="s">
        <v>37</v>
      </c>
      <c r="B1774" s="2" t="s">
        <v>17</v>
      </c>
      <c r="C1774" s="2" t="s">
        <v>18</v>
      </c>
      <c r="D1774" s="2" t="s">
        <v>30</v>
      </c>
      <c r="E1774" s="2" t="s">
        <v>311</v>
      </c>
      <c r="F1774" s="2">
        <v>19.0</v>
      </c>
      <c r="G1774" s="2">
        <v>5.0</v>
      </c>
      <c r="H1774" s="2">
        <v>3.0</v>
      </c>
      <c r="I1774" s="2">
        <v>2.0</v>
      </c>
      <c r="J1774" s="2">
        <v>0.0</v>
      </c>
      <c r="K1774" s="2">
        <v>0.0</v>
      </c>
      <c r="L1774" s="2">
        <v>0.0</v>
      </c>
      <c r="M1774" s="2">
        <v>16.0</v>
      </c>
      <c r="N1774" s="2"/>
      <c r="O1774" s="2"/>
      <c r="P1774" s="2" t="s">
        <v>146</v>
      </c>
    </row>
    <row r="1775">
      <c r="A1775" s="3" t="s">
        <v>38</v>
      </c>
      <c r="B1775" s="2" t="s">
        <v>17</v>
      </c>
      <c r="C1775" s="2" t="s">
        <v>18</v>
      </c>
      <c r="D1775" s="2" t="s">
        <v>30</v>
      </c>
      <c r="E1775" s="2" t="s">
        <v>312</v>
      </c>
      <c r="F1775" s="2">
        <v>8.0</v>
      </c>
      <c r="G1775" s="2">
        <v>6.0</v>
      </c>
      <c r="H1775" s="2">
        <v>6.0</v>
      </c>
      <c r="I1775" s="2">
        <v>0.0</v>
      </c>
      <c r="J1775" s="2">
        <v>0.0</v>
      </c>
      <c r="K1775" s="2">
        <v>0.0</v>
      </c>
      <c r="L1775" s="2">
        <v>0.0</v>
      </c>
      <c r="M1775" s="2">
        <v>2.0</v>
      </c>
      <c r="N1775" s="2"/>
      <c r="O1775" s="2"/>
      <c r="P1775" s="2" t="s">
        <v>146</v>
      </c>
    </row>
    <row r="1776">
      <c r="A1776" s="3" t="s">
        <v>39</v>
      </c>
      <c r="B1776" s="2" t="s">
        <v>17</v>
      </c>
      <c r="C1776" s="2" t="s">
        <v>18</v>
      </c>
      <c r="D1776" s="2" t="s">
        <v>19</v>
      </c>
      <c r="E1776" s="2" t="s">
        <v>311</v>
      </c>
      <c r="F1776" s="2">
        <v>18.0</v>
      </c>
      <c r="G1776" s="2">
        <v>9.0</v>
      </c>
      <c r="H1776" s="2">
        <v>5.0</v>
      </c>
      <c r="I1776" s="2">
        <v>4.0</v>
      </c>
      <c r="J1776" s="2">
        <v>0.0</v>
      </c>
      <c r="K1776" s="2">
        <v>0.0</v>
      </c>
      <c r="L1776" s="2">
        <v>0.0</v>
      </c>
      <c r="M1776" s="2">
        <v>13.0</v>
      </c>
      <c r="N1776" s="2"/>
      <c r="O1776" s="2"/>
      <c r="P1776" s="2" t="s">
        <v>146</v>
      </c>
    </row>
    <row r="1777">
      <c r="A1777" s="3" t="s">
        <v>40</v>
      </c>
      <c r="B1777" s="2" t="s">
        <v>17</v>
      </c>
      <c r="C1777" s="2" t="s">
        <v>18</v>
      </c>
      <c r="D1777" s="2" t="s">
        <v>19</v>
      </c>
      <c r="E1777" s="2" t="s">
        <v>312</v>
      </c>
      <c r="F1777" s="2">
        <v>8.0</v>
      </c>
      <c r="G1777" s="2">
        <v>8.0</v>
      </c>
      <c r="H1777" s="2">
        <v>6.0</v>
      </c>
      <c r="I1777" s="2">
        <v>2.0</v>
      </c>
      <c r="J1777" s="2">
        <v>0.0</v>
      </c>
      <c r="K1777" s="2">
        <v>0.0</v>
      </c>
      <c r="L1777" s="2">
        <v>0.0</v>
      </c>
      <c r="M1777" s="2">
        <v>2.0</v>
      </c>
      <c r="N1777" s="2"/>
      <c r="O1777" s="2"/>
      <c r="P1777" s="2" t="s">
        <v>146</v>
      </c>
    </row>
    <row r="1778">
      <c r="A1778" s="3" t="s">
        <v>41</v>
      </c>
      <c r="B1778" s="2" t="s">
        <v>17</v>
      </c>
      <c r="C1778" s="2" t="s">
        <v>18</v>
      </c>
      <c r="D1778" s="2" t="s">
        <v>23</v>
      </c>
      <c r="E1778" s="2" t="s">
        <v>311</v>
      </c>
      <c r="F1778" s="2">
        <v>37.0</v>
      </c>
      <c r="G1778" s="2">
        <v>14.0</v>
      </c>
      <c r="H1778" s="2">
        <v>8.0</v>
      </c>
      <c r="I1778" s="2">
        <v>6.0</v>
      </c>
      <c r="J1778" s="2">
        <v>0.0</v>
      </c>
      <c r="K1778" s="2">
        <v>0.0</v>
      </c>
      <c r="L1778" s="2">
        <v>0.0</v>
      </c>
      <c r="M1778" s="2">
        <v>29.0</v>
      </c>
      <c r="N1778" s="2">
        <v>0.0</v>
      </c>
      <c r="O1778" s="2">
        <v>21.0</v>
      </c>
      <c r="P1778" s="2" t="s">
        <v>146</v>
      </c>
    </row>
    <row r="1779">
      <c r="A1779" s="3" t="s">
        <v>42</v>
      </c>
      <c r="B1779" s="2" t="s">
        <v>17</v>
      </c>
      <c r="C1779" s="2" t="s">
        <v>18</v>
      </c>
      <c r="D1779" s="2" t="s">
        <v>23</v>
      </c>
      <c r="E1779" s="2" t="s">
        <v>312</v>
      </c>
      <c r="F1779" s="2">
        <v>16.0</v>
      </c>
      <c r="G1779" s="2">
        <v>14.0</v>
      </c>
      <c r="H1779" s="2">
        <v>12.0</v>
      </c>
      <c r="I1779" s="2">
        <v>2.0</v>
      </c>
      <c r="J1779" s="2">
        <v>0.0</v>
      </c>
      <c r="K1779" s="2">
        <v>0.0</v>
      </c>
      <c r="L1779" s="2">
        <v>0.0</v>
      </c>
      <c r="M1779" s="2">
        <v>4.0</v>
      </c>
      <c r="N1779" s="2">
        <v>0.0</v>
      </c>
      <c r="O1779" s="2">
        <v>-8.0</v>
      </c>
      <c r="P1779" s="2" t="s">
        <v>146</v>
      </c>
    </row>
    <row r="1780">
      <c r="A1780" s="3" t="s">
        <v>43</v>
      </c>
      <c r="B1780" s="4">
        <v>45262.29166666667</v>
      </c>
      <c r="C1780" s="2" t="s">
        <v>18</v>
      </c>
      <c r="D1780" s="2" t="s">
        <v>30</v>
      </c>
      <c r="E1780" s="2" t="s">
        <v>311</v>
      </c>
      <c r="F1780" s="2"/>
      <c r="G1780" s="2">
        <v>5.0</v>
      </c>
      <c r="H1780" s="2">
        <v>3.0</v>
      </c>
      <c r="I1780" s="2">
        <v>2.0</v>
      </c>
      <c r="J1780" s="2">
        <v>0.0</v>
      </c>
      <c r="K1780" s="2">
        <v>0.0</v>
      </c>
      <c r="L1780" s="2">
        <v>0.0</v>
      </c>
      <c r="M1780" s="2"/>
      <c r="N1780" s="2"/>
      <c r="O1780" s="2"/>
      <c r="P1780" s="2" t="s">
        <v>146</v>
      </c>
    </row>
    <row r="1781">
      <c r="A1781" s="3" t="s">
        <v>44</v>
      </c>
      <c r="B1781" s="4">
        <v>45263.29166666667</v>
      </c>
      <c r="C1781" s="2" t="s">
        <v>18</v>
      </c>
      <c r="D1781" s="2" t="s">
        <v>30</v>
      </c>
      <c r="E1781" s="2" t="s">
        <v>312</v>
      </c>
      <c r="F1781" s="2"/>
      <c r="G1781" s="2">
        <v>6.0</v>
      </c>
      <c r="H1781" s="2">
        <v>6.0</v>
      </c>
      <c r="I1781" s="2">
        <v>0.0</v>
      </c>
      <c r="J1781" s="2">
        <v>0.0</v>
      </c>
      <c r="K1781" s="2">
        <v>0.0</v>
      </c>
      <c r="L1781" s="2">
        <v>0.0</v>
      </c>
      <c r="M1781" s="2"/>
      <c r="N1781" s="2"/>
      <c r="O1781" s="2"/>
      <c r="P1781" s="2" t="s">
        <v>146</v>
      </c>
    </row>
    <row r="1782">
      <c r="A1782" s="3" t="s">
        <v>45</v>
      </c>
      <c r="B1782" s="4">
        <v>45264.29166666667</v>
      </c>
      <c r="C1782" s="2" t="s">
        <v>18</v>
      </c>
      <c r="D1782" s="2" t="s">
        <v>19</v>
      </c>
      <c r="E1782" s="2" t="s">
        <v>311</v>
      </c>
      <c r="F1782" s="2"/>
      <c r="G1782" s="2">
        <v>9.0</v>
      </c>
      <c r="H1782" s="2">
        <v>5.0</v>
      </c>
      <c r="I1782" s="2">
        <v>4.0</v>
      </c>
      <c r="J1782" s="2">
        <v>0.0</v>
      </c>
      <c r="K1782" s="2">
        <v>0.0</v>
      </c>
      <c r="L1782" s="2">
        <v>0.0</v>
      </c>
      <c r="M1782" s="2"/>
      <c r="N1782" s="2"/>
      <c r="O1782" s="2"/>
      <c r="P1782" s="2" t="s">
        <v>146</v>
      </c>
    </row>
    <row r="1783">
      <c r="A1783" s="3" t="s">
        <v>16</v>
      </c>
      <c r="B1783" s="4">
        <v>45265.29166666667</v>
      </c>
      <c r="C1783" s="2" t="s">
        <v>18</v>
      </c>
      <c r="D1783" s="2" t="s">
        <v>19</v>
      </c>
      <c r="E1783" s="2" t="s">
        <v>312</v>
      </c>
      <c r="F1783" s="2"/>
      <c r="G1783" s="2">
        <v>8.0</v>
      </c>
      <c r="H1783" s="2">
        <v>6.0</v>
      </c>
      <c r="I1783" s="2">
        <v>2.0</v>
      </c>
      <c r="J1783" s="2">
        <v>0.0</v>
      </c>
      <c r="K1783" s="2">
        <v>0.0</v>
      </c>
      <c r="L1783" s="2">
        <v>0.0</v>
      </c>
      <c r="M1783" s="2"/>
      <c r="N1783" s="2"/>
      <c r="O1783" s="2"/>
      <c r="P1783" s="2" t="s">
        <v>146</v>
      </c>
    </row>
    <row r="1784">
      <c r="A1784" s="3" t="s">
        <v>47</v>
      </c>
      <c r="B1784" s="2" t="s">
        <v>17</v>
      </c>
      <c r="C1784" s="2" t="s">
        <v>18</v>
      </c>
      <c r="D1784" s="2" t="s">
        <v>313</v>
      </c>
      <c r="E1784" s="2" t="s">
        <v>165</v>
      </c>
      <c r="F1784" s="2">
        <v>100.0</v>
      </c>
      <c r="G1784" s="2">
        <v>249.0</v>
      </c>
      <c r="H1784" s="2">
        <v>100.0</v>
      </c>
      <c r="I1784" s="2">
        <v>149.0</v>
      </c>
      <c r="J1784" s="2">
        <v>0.0</v>
      </c>
      <c r="K1784" s="2">
        <v>0.0</v>
      </c>
      <c r="L1784" s="2">
        <v>0.0</v>
      </c>
      <c r="M1784" s="2">
        <v>0.0</v>
      </c>
      <c r="N1784" s="2"/>
      <c r="O1784" s="2"/>
      <c r="P1784" s="2" t="s">
        <v>166</v>
      </c>
    </row>
    <row r="1785">
      <c r="A1785" s="3" t="s">
        <v>48</v>
      </c>
      <c r="B1785" s="2" t="s">
        <v>17</v>
      </c>
      <c r="C1785" s="2" t="s">
        <v>18</v>
      </c>
      <c r="D1785" s="2" t="s">
        <v>23</v>
      </c>
      <c r="E1785" s="2" t="s">
        <v>165</v>
      </c>
      <c r="F1785" s="2">
        <v>100.0</v>
      </c>
      <c r="G1785" s="2">
        <v>249.0</v>
      </c>
      <c r="H1785" s="2">
        <v>100.0</v>
      </c>
      <c r="I1785" s="2">
        <v>149.0</v>
      </c>
      <c r="J1785" s="2">
        <v>0.0</v>
      </c>
      <c r="K1785" s="2">
        <v>0.0</v>
      </c>
      <c r="L1785" s="2">
        <v>0.0</v>
      </c>
      <c r="M1785" s="2">
        <v>0.0</v>
      </c>
      <c r="N1785" s="2">
        <v>0.0</v>
      </c>
      <c r="O1785" s="2">
        <v>-100.0</v>
      </c>
      <c r="P1785" s="2" t="s">
        <v>166</v>
      </c>
    </row>
    <row r="1786">
      <c r="A1786" s="3" t="s">
        <v>49</v>
      </c>
      <c r="B1786" s="4">
        <v>44959.29166666667</v>
      </c>
      <c r="C1786" s="2" t="s">
        <v>18</v>
      </c>
      <c r="D1786" s="2" t="s">
        <v>313</v>
      </c>
      <c r="E1786" s="2" t="s">
        <v>165</v>
      </c>
      <c r="F1786" s="2"/>
      <c r="G1786" s="2">
        <v>15.0</v>
      </c>
      <c r="H1786" s="2">
        <v>5.0</v>
      </c>
      <c r="I1786" s="2">
        <v>10.0</v>
      </c>
      <c r="J1786" s="2">
        <v>0.0</v>
      </c>
      <c r="K1786" s="2">
        <v>0.0</v>
      </c>
      <c r="L1786" s="2">
        <v>0.0</v>
      </c>
      <c r="M1786" s="2"/>
      <c r="N1786" s="2"/>
      <c r="O1786" s="2"/>
      <c r="P1786" s="2" t="s">
        <v>166</v>
      </c>
    </row>
    <row r="1787">
      <c r="A1787" s="3" t="s">
        <v>51</v>
      </c>
      <c r="B1787" s="4">
        <v>44986.29166666667</v>
      </c>
      <c r="C1787" s="2" t="s">
        <v>18</v>
      </c>
      <c r="D1787" s="2" t="s">
        <v>313</v>
      </c>
      <c r="E1787" s="2" t="s">
        <v>165</v>
      </c>
      <c r="F1787" s="2"/>
      <c r="G1787" s="2">
        <v>170.0</v>
      </c>
      <c r="H1787" s="2">
        <v>78.0</v>
      </c>
      <c r="I1787" s="2">
        <v>92.0</v>
      </c>
      <c r="J1787" s="2">
        <v>0.0</v>
      </c>
      <c r="K1787" s="2">
        <v>0.0</v>
      </c>
      <c r="L1787" s="2">
        <v>0.0</v>
      </c>
      <c r="M1787" s="2"/>
      <c r="N1787" s="2"/>
      <c r="O1787" s="2"/>
      <c r="P1787" s="2" t="s">
        <v>166</v>
      </c>
    </row>
    <row r="1788">
      <c r="A1788" s="3" t="s">
        <v>52</v>
      </c>
      <c r="B1788" s="4">
        <v>45017.29166666667</v>
      </c>
      <c r="C1788" s="2" t="s">
        <v>18</v>
      </c>
      <c r="D1788" s="2" t="s">
        <v>313</v>
      </c>
      <c r="E1788" s="2" t="s">
        <v>165</v>
      </c>
      <c r="F1788" s="2"/>
      <c r="G1788" s="2">
        <v>64.0</v>
      </c>
      <c r="H1788" s="2">
        <v>17.0</v>
      </c>
      <c r="I1788" s="2">
        <v>47.0</v>
      </c>
      <c r="J1788" s="2">
        <v>0.0</v>
      </c>
      <c r="K1788" s="2">
        <v>0.0</v>
      </c>
      <c r="L1788" s="2">
        <v>0.0</v>
      </c>
      <c r="M1788" s="2"/>
      <c r="N1788" s="2"/>
      <c r="O1788" s="2"/>
      <c r="P1788" s="2" t="s">
        <v>166</v>
      </c>
    </row>
    <row r="1789">
      <c r="A1789" s="3" t="s">
        <v>53</v>
      </c>
      <c r="B1789" s="2" t="s">
        <v>17</v>
      </c>
      <c r="C1789" s="2" t="s">
        <v>18</v>
      </c>
      <c r="D1789" s="2" t="s">
        <v>79</v>
      </c>
      <c r="E1789" s="2" t="s">
        <v>165</v>
      </c>
      <c r="F1789" s="2">
        <v>20.0</v>
      </c>
      <c r="G1789" s="2">
        <v>36.0</v>
      </c>
      <c r="H1789" s="2">
        <v>22.0</v>
      </c>
      <c r="I1789" s="2">
        <v>14.0</v>
      </c>
      <c r="J1789" s="2">
        <v>0.0</v>
      </c>
      <c r="K1789" s="2">
        <v>0.0</v>
      </c>
      <c r="L1789" s="2">
        <v>0.0</v>
      </c>
      <c r="M1789" s="2">
        <v>-2.0</v>
      </c>
      <c r="N1789" s="2"/>
      <c r="O1789" s="2"/>
      <c r="P1789" s="2" t="s">
        <v>166</v>
      </c>
    </row>
    <row r="1790">
      <c r="A1790" s="3" t="s">
        <v>54</v>
      </c>
      <c r="B1790" s="2" t="s">
        <v>17</v>
      </c>
      <c r="C1790" s="2" t="s">
        <v>18</v>
      </c>
      <c r="D1790" s="2" t="s">
        <v>23</v>
      </c>
      <c r="E1790" s="2" t="s">
        <v>165</v>
      </c>
      <c r="F1790" s="2">
        <v>20.0</v>
      </c>
      <c r="G1790" s="2">
        <v>36.0</v>
      </c>
      <c r="H1790" s="2">
        <v>22.0</v>
      </c>
      <c r="I1790" s="2">
        <v>14.0</v>
      </c>
      <c r="J1790" s="2">
        <v>0.0</v>
      </c>
      <c r="K1790" s="2">
        <v>0.0</v>
      </c>
      <c r="L1790" s="2">
        <v>0.0</v>
      </c>
      <c r="M1790" s="2">
        <v>-2.0</v>
      </c>
      <c r="N1790" s="2">
        <v>0.0</v>
      </c>
      <c r="O1790" s="2">
        <v>-24.0</v>
      </c>
      <c r="P1790" s="2" t="s">
        <v>166</v>
      </c>
    </row>
    <row r="1791">
      <c r="A1791" s="3" t="s">
        <v>55</v>
      </c>
      <c r="B1791" s="4">
        <v>45262.29166666667</v>
      </c>
      <c r="C1791" s="2" t="s">
        <v>18</v>
      </c>
      <c r="D1791" s="2" t="s">
        <v>79</v>
      </c>
      <c r="E1791" s="2" t="s">
        <v>165</v>
      </c>
      <c r="F1791" s="2"/>
      <c r="G1791" s="2">
        <v>36.0</v>
      </c>
      <c r="H1791" s="2">
        <v>22.0</v>
      </c>
      <c r="I1791" s="2">
        <v>14.0</v>
      </c>
      <c r="J1791" s="2">
        <v>0.0</v>
      </c>
      <c r="K1791" s="2">
        <v>0.0</v>
      </c>
      <c r="L1791" s="2">
        <v>0.0</v>
      </c>
      <c r="M1791" s="2"/>
      <c r="N1791" s="2"/>
      <c r="O1791" s="2"/>
      <c r="P1791" s="2" t="s">
        <v>166</v>
      </c>
    </row>
    <row r="1792">
      <c r="A1792" s="3" t="s">
        <v>56</v>
      </c>
      <c r="B1792" s="2" t="s">
        <v>17</v>
      </c>
      <c r="C1792" s="2" t="s">
        <v>18</v>
      </c>
      <c r="D1792" s="2" t="s">
        <v>157</v>
      </c>
      <c r="E1792" s="2" t="s">
        <v>177</v>
      </c>
      <c r="F1792" s="2">
        <v>446.0</v>
      </c>
      <c r="G1792" s="2">
        <v>924.0</v>
      </c>
      <c r="H1792" s="2">
        <v>415.0</v>
      </c>
      <c r="I1792" s="2">
        <v>500.0</v>
      </c>
      <c r="J1792" s="2">
        <v>9.0</v>
      </c>
      <c r="K1792" s="2">
        <v>0.0</v>
      </c>
      <c r="L1792" s="2">
        <v>0.0</v>
      </c>
      <c r="M1792" s="2">
        <v>31.0</v>
      </c>
      <c r="N1792" s="2"/>
      <c r="O1792" s="2"/>
      <c r="P1792" s="2" t="s">
        <v>92</v>
      </c>
    </row>
    <row r="1793">
      <c r="A1793" s="3" t="s">
        <v>59</v>
      </c>
      <c r="B1793" s="2" t="s">
        <v>17</v>
      </c>
      <c r="C1793" s="2" t="s">
        <v>148</v>
      </c>
      <c r="D1793" s="2" t="s">
        <v>19</v>
      </c>
      <c r="E1793" s="2" t="s">
        <v>177</v>
      </c>
      <c r="F1793" s="2">
        <v>1.0</v>
      </c>
      <c r="G1793" s="2">
        <v>1.0</v>
      </c>
      <c r="H1793" s="2">
        <v>1.0</v>
      </c>
      <c r="I1793" s="2">
        <v>0.0</v>
      </c>
      <c r="J1793" s="2">
        <v>0.0</v>
      </c>
      <c r="K1793" s="2">
        <v>0.0</v>
      </c>
      <c r="L1793" s="2">
        <v>0.0</v>
      </c>
      <c r="M1793" s="2">
        <v>0.0</v>
      </c>
      <c r="N1793" s="2"/>
      <c r="O1793" s="2"/>
      <c r="P1793" s="2" t="s">
        <v>92</v>
      </c>
    </row>
    <row r="1794">
      <c r="A1794" s="3" t="s">
        <v>60</v>
      </c>
      <c r="B1794" s="2" t="s">
        <v>17</v>
      </c>
      <c r="C1794" s="2" t="s">
        <v>18</v>
      </c>
      <c r="D1794" s="2" t="s">
        <v>23</v>
      </c>
      <c r="E1794" s="2" t="s">
        <v>177</v>
      </c>
      <c r="F1794" s="2">
        <v>447.0</v>
      </c>
      <c r="G1794" s="2">
        <v>925.0</v>
      </c>
      <c r="H1794" s="2">
        <v>416.0</v>
      </c>
      <c r="I1794" s="2">
        <v>500.0</v>
      </c>
      <c r="J1794" s="2">
        <v>9.0</v>
      </c>
      <c r="K1794" s="2">
        <v>0.0</v>
      </c>
      <c r="L1794" s="2">
        <v>0.0</v>
      </c>
      <c r="M1794" s="2">
        <v>31.0</v>
      </c>
      <c r="N1794" s="2">
        <v>0.0</v>
      </c>
      <c r="O1794" s="2">
        <v>-385.0</v>
      </c>
      <c r="P1794" s="2" t="s">
        <v>92</v>
      </c>
    </row>
    <row r="1795">
      <c r="A1795" s="3" t="s">
        <v>61</v>
      </c>
      <c r="B1795" s="4">
        <v>45079.29166666667</v>
      </c>
      <c r="C1795" s="2" t="s">
        <v>18</v>
      </c>
      <c r="D1795" s="2" t="s">
        <v>157</v>
      </c>
      <c r="E1795" s="2" t="s">
        <v>177</v>
      </c>
      <c r="F1795" s="2"/>
      <c r="G1795" s="2">
        <v>96.0</v>
      </c>
      <c r="H1795" s="2">
        <v>49.0</v>
      </c>
      <c r="I1795" s="2">
        <v>38.0</v>
      </c>
      <c r="J1795" s="2">
        <v>9.0</v>
      </c>
      <c r="K1795" s="2">
        <v>0.0</v>
      </c>
      <c r="L1795" s="2">
        <v>0.0</v>
      </c>
      <c r="M1795" s="2"/>
      <c r="N1795" s="2"/>
      <c r="O1795" s="2"/>
      <c r="P1795" s="2" t="s">
        <v>92</v>
      </c>
    </row>
    <row r="1796">
      <c r="A1796" s="3" t="s">
        <v>62</v>
      </c>
      <c r="B1796" s="4">
        <v>45080.29166666667</v>
      </c>
      <c r="C1796" s="2" t="s">
        <v>18</v>
      </c>
      <c r="D1796" s="2" t="s">
        <v>19</v>
      </c>
      <c r="E1796" s="2" t="s">
        <v>177</v>
      </c>
      <c r="F1796" s="2"/>
      <c r="G1796" s="2">
        <v>1.0</v>
      </c>
      <c r="H1796" s="2">
        <v>1.0</v>
      </c>
      <c r="I1796" s="2">
        <v>0.0</v>
      </c>
      <c r="J1796" s="2">
        <v>0.0</v>
      </c>
      <c r="K1796" s="2">
        <v>0.0</v>
      </c>
      <c r="L1796" s="2">
        <v>0.0</v>
      </c>
      <c r="M1796" s="2"/>
      <c r="N1796" s="2"/>
      <c r="O1796" s="2"/>
      <c r="P1796" s="2" t="s">
        <v>92</v>
      </c>
    </row>
    <row r="1797">
      <c r="A1797" s="3" t="s">
        <v>63</v>
      </c>
      <c r="B1797" s="4">
        <v>45110.29166666667</v>
      </c>
      <c r="C1797" s="2" t="s">
        <v>18</v>
      </c>
      <c r="D1797" s="2" t="s">
        <v>157</v>
      </c>
      <c r="E1797" s="2" t="s">
        <v>177</v>
      </c>
      <c r="F1797" s="2"/>
      <c r="G1797" s="2">
        <v>294.0</v>
      </c>
      <c r="H1797" s="2">
        <v>110.0</v>
      </c>
      <c r="I1797" s="2">
        <v>184.0</v>
      </c>
      <c r="J1797" s="2">
        <v>0.0</v>
      </c>
      <c r="K1797" s="2">
        <v>0.0</v>
      </c>
      <c r="L1797" s="2">
        <v>0.0</v>
      </c>
      <c r="M1797" s="2"/>
      <c r="N1797" s="2"/>
      <c r="O1797" s="2"/>
      <c r="P1797" s="2" t="s">
        <v>92</v>
      </c>
    </row>
    <row r="1798">
      <c r="A1798" s="3" t="s">
        <v>64</v>
      </c>
      <c r="B1798" s="4">
        <v>45111.29166666667</v>
      </c>
      <c r="C1798" s="2" t="s">
        <v>18</v>
      </c>
      <c r="D1798" s="2" t="s">
        <v>19</v>
      </c>
      <c r="E1798" s="2" t="s">
        <v>177</v>
      </c>
      <c r="F1798" s="2"/>
      <c r="G1798" s="2">
        <v>0.0</v>
      </c>
      <c r="H1798" s="2">
        <v>0.0</v>
      </c>
      <c r="I1798" s="2">
        <v>0.0</v>
      </c>
      <c r="J1798" s="2">
        <v>0.0</v>
      </c>
      <c r="K1798" s="2">
        <v>0.0</v>
      </c>
      <c r="L1798" s="2">
        <v>0.0</v>
      </c>
      <c r="M1798" s="2"/>
      <c r="N1798" s="2"/>
      <c r="O1798" s="2"/>
      <c r="P1798" s="2" t="s">
        <v>92</v>
      </c>
    </row>
    <row r="1799">
      <c r="A1799" s="3" t="s">
        <v>65</v>
      </c>
      <c r="B1799" s="4">
        <v>45140.29166666667</v>
      </c>
      <c r="C1799" s="2" t="s">
        <v>18</v>
      </c>
      <c r="D1799" s="2" t="s">
        <v>157</v>
      </c>
      <c r="E1799" s="2" t="s">
        <v>177</v>
      </c>
      <c r="F1799" s="2"/>
      <c r="G1799" s="2">
        <v>314.0</v>
      </c>
      <c r="H1799" s="2">
        <v>144.0</v>
      </c>
      <c r="I1799" s="2">
        <v>170.0</v>
      </c>
      <c r="J1799" s="2">
        <v>0.0</v>
      </c>
      <c r="K1799" s="2">
        <v>0.0</v>
      </c>
      <c r="L1799" s="2">
        <v>0.0</v>
      </c>
      <c r="M1799" s="2"/>
      <c r="N1799" s="2"/>
      <c r="O1799" s="2"/>
      <c r="P1799" s="2" t="s">
        <v>92</v>
      </c>
    </row>
    <row r="1800">
      <c r="A1800" s="3" t="s">
        <v>66</v>
      </c>
      <c r="B1800" s="4">
        <v>45171.29166666667</v>
      </c>
      <c r="C1800" s="2" t="s">
        <v>18</v>
      </c>
      <c r="D1800" s="2" t="s">
        <v>157</v>
      </c>
      <c r="E1800" s="2" t="s">
        <v>177</v>
      </c>
      <c r="F1800" s="2"/>
      <c r="G1800" s="2">
        <v>68.0</v>
      </c>
      <c r="H1800" s="2">
        <v>40.0</v>
      </c>
      <c r="I1800" s="2">
        <v>28.0</v>
      </c>
      <c r="J1800" s="2">
        <v>0.0</v>
      </c>
      <c r="K1800" s="2">
        <v>0.0</v>
      </c>
      <c r="L1800" s="2">
        <v>0.0</v>
      </c>
      <c r="M1800" s="2"/>
      <c r="N1800" s="2"/>
      <c r="O1800" s="2"/>
      <c r="P1800" s="2" t="s">
        <v>92</v>
      </c>
    </row>
    <row r="1801">
      <c r="A1801" s="3" t="s">
        <v>68</v>
      </c>
      <c r="B1801" s="4">
        <v>45202.29166666667</v>
      </c>
      <c r="C1801" s="2" t="s">
        <v>18</v>
      </c>
      <c r="D1801" s="2" t="s">
        <v>157</v>
      </c>
      <c r="E1801" s="2" t="s">
        <v>177</v>
      </c>
      <c r="F1801" s="2"/>
      <c r="G1801" s="2">
        <v>73.0</v>
      </c>
      <c r="H1801" s="2">
        <v>32.0</v>
      </c>
      <c r="I1801" s="2">
        <v>41.0</v>
      </c>
      <c r="J1801" s="2">
        <v>0.0</v>
      </c>
      <c r="K1801" s="2">
        <v>0.0</v>
      </c>
      <c r="L1801" s="2">
        <v>0.0</v>
      </c>
      <c r="M1801" s="2"/>
      <c r="N1801" s="2"/>
      <c r="O1801" s="2"/>
      <c r="P1801" s="2" t="s">
        <v>92</v>
      </c>
    </row>
    <row r="1802">
      <c r="A1802" s="3" t="s">
        <v>70</v>
      </c>
      <c r="B1802" s="4">
        <v>45232.25</v>
      </c>
      <c r="C1802" s="2" t="s">
        <v>18</v>
      </c>
      <c r="D1802" s="2" t="s">
        <v>157</v>
      </c>
      <c r="E1802" s="2" t="s">
        <v>177</v>
      </c>
      <c r="F1802" s="2"/>
      <c r="G1802" s="2">
        <v>12.0</v>
      </c>
      <c r="H1802" s="2">
        <v>7.0</v>
      </c>
      <c r="I1802" s="2">
        <v>5.0</v>
      </c>
      <c r="J1802" s="2">
        <v>0.0</v>
      </c>
      <c r="K1802" s="2">
        <v>0.0</v>
      </c>
      <c r="L1802" s="2">
        <v>0.0</v>
      </c>
      <c r="M1802" s="2"/>
      <c r="N1802" s="2"/>
      <c r="O1802" s="2"/>
      <c r="P1802" s="2" t="s">
        <v>92</v>
      </c>
    </row>
    <row r="1803">
      <c r="A1803" s="3" t="s">
        <v>16</v>
      </c>
      <c r="B1803" s="4">
        <v>45262.29166666667</v>
      </c>
      <c r="C1803" s="2" t="s">
        <v>18</v>
      </c>
      <c r="D1803" s="2" t="s">
        <v>157</v>
      </c>
      <c r="E1803" s="2" t="s">
        <v>177</v>
      </c>
      <c r="F1803" s="2"/>
      <c r="G1803" s="2">
        <v>67.0</v>
      </c>
      <c r="H1803" s="2">
        <v>33.0</v>
      </c>
      <c r="I1803" s="2">
        <v>34.0</v>
      </c>
      <c r="J1803" s="2">
        <v>0.0</v>
      </c>
      <c r="K1803" s="2">
        <v>0.0</v>
      </c>
      <c r="L1803" s="2">
        <v>0.0</v>
      </c>
      <c r="M1803" s="2"/>
      <c r="N1803" s="2"/>
      <c r="O1803" s="2"/>
      <c r="P1803" s="2" t="s">
        <v>92</v>
      </c>
    </row>
    <row r="1804">
      <c r="A1804" s="3" t="s">
        <v>71</v>
      </c>
      <c r="B1804" s="2" t="s">
        <v>17</v>
      </c>
      <c r="C1804" s="2" t="s">
        <v>18</v>
      </c>
      <c r="D1804" s="2" t="s">
        <v>19</v>
      </c>
      <c r="E1804" s="2" t="s">
        <v>27</v>
      </c>
      <c r="F1804" s="2">
        <v>15.0</v>
      </c>
      <c r="G1804" s="2">
        <v>22.0</v>
      </c>
      <c r="H1804" s="2">
        <v>14.0</v>
      </c>
      <c r="I1804" s="2">
        <v>8.0</v>
      </c>
      <c r="J1804" s="2">
        <v>0.0</v>
      </c>
      <c r="K1804" s="2">
        <v>0.0</v>
      </c>
      <c r="L1804" s="2">
        <v>0.0</v>
      </c>
      <c r="M1804" s="2">
        <v>1.0</v>
      </c>
      <c r="N1804" s="2"/>
      <c r="O1804" s="2"/>
      <c r="P1804" s="2" t="s">
        <v>92</v>
      </c>
    </row>
    <row r="1805">
      <c r="A1805" s="3" t="s">
        <v>72</v>
      </c>
      <c r="B1805" s="2" t="s">
        <v>17</v>
      </c>
      <c r="C1805" s="2" t="s">
        <v>18</v>
      </c>
      <c r="D1805" s="2" t="s">
        <v>69</v>
      </c>
      <c r="E1805" s="2" t="s">
        <v>27</v>
      </c>
      <c r="F1805" s="2">
        <v>5.0</v>
      </c>
      <c r="G1805" s="2">
        <v>23.0</v>
      </c>
      <c r="H1805" s="2">
        <v>9.0</v>
      </c>
      <c r="I1805" s="2">
        <v>14.0</v>
      </c>
      <c r="J1805" s="2">
        <v>0.0</v>
      </c>
      <c r="K1805" s="2">
        <v>0.0</v>
      </c>
      <c r="L1805" s="2">
        <v>0.0</v>
      </c>
      <c r="M1805" s="2">
        <v>-4.0</v>
      </c>
      <c r="N1805" s="2"/>
      <c r="O1805" s="2"/>
      <c r="P1805" s="2" t="s">
        <v>92</v>
      </c>
    </row>
    <row r="1806">
      <c r="A1806" s="3" t="s">
        <v>73</v>
      </c>
      <c r="B1806" s="2" t="s">
        <v>17</v>
      </c>
      <c r="C1806" s="2" t="s">
        <v>18</v>
      </c>
      <c r="D1806" s="2" t="s">
        <v>23</v>
      </c>
      <c r="E1806" s="2" t="s">
        <v>27</v>
      </c>
      <c r="F1806" s="2">
        <v>18.0</v>
      </c>
      <c r="G1806" s="2">
        <v>45.0</v>
      </c>
      <c r="H1806" s="2">
        <v>23.0</v>
      </c>
      <c r="I1806" s="2">
        <v>22.0</v>
      </c>
      <c r="J1806" s="2">
        <v>0.0</v>
      </c>
      <c r="K1806" s="2">
        <v>0.0</v>
      </c>
      <c r="L1806" s="2">
        <v>0.0</v>
      </c>
      <c r="M1806" s="2">
        <v>-5.0</v>
      </c>
      <c r="N1806" s="2">
        <v>-2.0</v>
      </c>
      <c r="O1806" s="2">
        <v>-28.0</v>
      </c>
      <c r="P1806" s="2" t="s">
        <v>92</v>
      </c>
    </row>
    <row r="1807">
      <c r="A1807" s="3" t="s">
        <v>74</v>
      </c>
      <c r="B1807" s="4">
        <v>45262.29166666667</v>
      </c>
      <c r="C1807" s="2" t="s">
        <v>18</v>
      </c>
      <c r="D1807" s="2" t="s">
        <v>19</v>
      </c>
      <c r="E1807" s="2" t="s">
        <v>27</v>
      </c>
      <c r="F1807" s="2"/>
      <c r="G1807" s="2">
        <v>22.0</v>
      </c>
      <c r="H1807" s="2">
        <v>14.0</v>
      </c>
      <c r="I1807" s="2">
        <v>8.0</v>
      </c>
      <c r="J1807" s="2">
        <v>0.0</v>
      </c>
      <c r="K1807" s="2">
        <v>0.0</v>
      </c>
      <c r="L1807" s="2">
        <v>0.0</v>
      </c>
      <c r="M1807" s="2"/>
      <c r="N1807" s="2"/>
      <c r="O1807" s="2"/>
      <c r="P1807" s="2" t="s">
        <v>92</v>
      </c>
    </row>
    <row r="1808">
      <c r="A1808" s="3" t="s">
        <v>75</v>
      </c>
      <c r="B1808" s="4">
        <v>45263.29166666667</v>
      </c>
      <c r="C1808" s="2" t="s">
        <v>18</v>
      </c>
      <c r="D1808" s="2" t="s">
        <v>69</v>
      </c>
      <c r="E1808" s="2" t="s">
        <v>27</v>
      </c>
      <c r="F1808" s="2"/>
      <c r="G1808" s="2">
        <v>23.0</v>
      </c>
      <c r="H1808" s="2">
        <v>9.0</v>
      </c>
      <c r="I1808" s="2">
        <v>14.0</v>
      </c>
      <c r="J1808" s="2">
        <v>0.0</v>
      </c>
      <c r="K1808" s="2">
        <v>0.0</v>
      </c>
      <c r="L1808" s="2">
        <v>0.0</v>
      </c>
      <c r="M1808" s="2"/>
      <c r="N1808" s="2"/>
      <c r="O1808" s="2"/>
      <c r="P1808" s="2" t="s">
        <v>92</v>
      </c>
    </row>
    <row r="1809">
      <c r="A1809" s="3" t="s">
        <v>76</v>
      </c>
      <c r="B1809" s="5" t="s">
        <v>17</v>
      </c>
      <c r="C1809" s="5" t="s">
        <v>18</v>
      </c>
      <c r="D1809" s="5" t="s">
        <v>30</v>
      </c>
      <c r="E1809" s="5" t="s">
        <v>169</v>
      </c>
      <c r="F1809" s="5">
        <v>32.0</v>
      </c>
      <c r="G1809" s="5">
        <v>30.0</v>
      </c>
      <c r="H1809" s="5">
        <v>23.0</v>
      </c>
      <c r="I1809" s="5">
        <v>7.0</v>
      </c>
      <c r="J1809" s="5">
        <v>0.0</v>
      </c>
      <c r="K1809" s="5">
        <v>0.0</v>
      </c>
      <c r="L1809" s="5">
        <v>0.0</v>
      </c>
      <c r="M1809" s="5">
        <v>9.0</v>
      </c>
      <c r="N1809" s="5"/>
      <c r="O1809" s="5"/>
      <c r="P1809" s="5" t="s">
        <v>153</v>
      </c>
    </row>
    <row r="1810">
      <c r="A1810" s="3" t="s">
        <v>77</v>
      </c>
      <c r="B1810" s="2" t="s">
        <v>17</v>
      </c>
      <c r="C1810" s="2" t="s">
        <v>18</v>
      </c>
      <c r="D1810" s="2" t="s">
        <v>30</v>
      </c>
      <c r="E1810" s="2" t="s">
        <v>197</v>
      </c>
      <c r="F1810" s="2">
        <v>34.0</v>
      </c>
      <c r="G1810" s="2">
        <v>10.0</v>
      </c>
      <c r="H1810" s="2">
        <v>5.0</v>
      </c>
      <c r="I1810" s="2">
        <v>5.0</v>
      </c>
      <c r="J1810" s="2">
        <v>0.0</v>
      </c>
      <c r="K1810" s="2">
        <v>0.0</v>
      </c>
      <c r="L1810" s="2">
        <v>0.0</v>
      </c>
      <c r="M1810" s="2">
        <v>29.0</v>
      </c>
      <c r="N1810" s="2"/>
      <c r="O1810" s="2"/>
      <c r="P1810" s="2" t="s">
        <v>153</v>
      </c>
    </row>
    <row r="1811">
      <c r="A1811" s="3" t="s">
        <v>78</v>
      </c>
      <c r="B1811" s="2" t="s">
        <v>17</v>
      </c>
      <c r="C1811" s="2" t="s">
        <v>18</v>
      </c>
      <c r="D1811" s="2" t="s">
        <v>30</v>
      </c>
      <c r="E1811" s="2" t="s">
        <v>193</v>
      </c>
      <c r="F1811" s="2">
        <v>32.0</v>
      </c>
      <c r="G1811" s="2">
        <v>28.0</v>
      </c>
      <c r="H1811" s="2">
        <v>20.0</v>
      </c>
      <c r="I1811" s="2">
        <v>8.0</v>
      </c>
      <c r="J1811" s="2">
        <v>0.0</v>
      </c>
      <c r="K1811" s="2">
        <v>0.0</v>
      </c>
      <c r="L1811" s="2">
        <v>0.0</v>
      </c>
      <c r="M1811" s="2">
        <v>12.0</v>
      </c>
      <c r="N1811" s="2"/>
      <c r="O1811" s="2"/>
      <c r="P1811" s="2" t="s">
        <v>153</v>
      </c>
    </row>
    <row r="1812">
      <c r="A1812" s="3" t="s">
        <v>81</v>
      </c>
      <c r="B1812" s="2" t="s">
        <v>17</v>
      </c>
      <c r="C1812" s="2" t="s">
        <v>18</v>
      </c>
      <c r="D1812" s="2" t="s">
        <v>30</v>
      </c>
      <c r="E1812" s="2" t="s">
        <v>192</v>
      </c>
      <c r="F1812" s="2">
        <v>32.0</v>
      </c>
      <c r="G1812" s="2">
        <v>14.0</v>
      </c>
      <c r="H1812" s="2">
        <v>10.0</v>
      </c>
      <c r="I1812" s="2">
        <v>4.0</v>
      </c>
      <c r="J1812" s="2">
        <v>0.0</v>
      </c>
      <c r="K1812" s="2">
        <v>0.0</v>
      </c>
      <c r="L1812" s="2">
        <v>0.0</v>
      </c>
      <c r="M1812" s="2">
        <v>22.0</v>
      </c>
      <c r="N1812" s="2"/>
      <c r="O1812" s="2"/>
      <c r="P1812" s="2" t="s">
        <v>153</v>
      </c>
    </row>
    <row r="1813">
      <c r="A1813" s="3" t="s">
        <v>82</v>
      </c>
      <c r="B1813" s="2" t="s">
        <v>17</v>
      </c>
      <c r="C1813" s="2" t="s">
        <v>18</v>
      </c>
      <c r="D1813" s="2" t="s">
        <v>30</v>
      </c>
      <c r="E1813" s="2" t="s">
        <v>188</v>
      </c>
      <c r="F1813" s="2">
        <v>32.0</v>
      </c>
      <c r="G1813" s="2">
        <v>36.0</v>
      </c>
      <c r="H1813" s="2">
        <v>23.0</v>
      </c>
      <c r="I1813" s="2">
        <v>13.0</v>
      </c>
      <c r="J1813" s="2">
        <v>0.0</v>
      </c>
      <c r="K1813" s="2">
        <v>0.0</v>
      </c>
      <c r="L1813" s="2">
        <v>0.0</v>
      </c>
      <c r="M1813" s="2">
        <v>9.0</v>
      </c>
      <c r="N1813" s="2"/>
      <c r="O1813" s="2"/>
      <c r="P1813" s="2" t="s">
        <v>153</v>
      </c>
    </row>
    <row r="1814">
      <c r="A1814" s="3" t="s">
        <v>83</v>
      </c>
      <c r="B1814" s="2" t="s">
        <v>17</v>
      </c>
      <c r="C1814" s="2" t="s">
        <v>18</v>
      </c>
      <c r="D1814" s="2" t="s">
        <v>30</v>
      </c>
      <c r="E1814" s="2" t="s">
        <v>314</v>
      </c>
      <c r="F1814" s="2">
        <v>30.0</v>
      </c>
      <c r="G1814" s="2">
        <v>4.0</v>
      </c>
      <c r="H1814" s="2">
        <v>2.0</v>
      </c>
      <c r="I1814" s="2">
        <v>2.0</v>
      </c>
      <c r="J1814" s="2">
        <v>0.0</v>
      </c>
      <c r="K1814" s="2">
        <v>0.0</v>
      </c>
      <c r="L1814" s="2">
        <v>0.0</v>
      </c>
      <c r="M1814" s="2">
        <v>28.0</v>
      </c>
      <c r="N1814" s="2"/>
      <c r="O1814" s="2"/>
      <c r="P1814" s="2" t="s">
        <v>153</v>
      </c>
    </row>
    <row r="1815">
      <c r="A1815" s="3" t="s">
        <v>84</v>
      </c>
      <c r="B1815" s="2" t="s">
        <v>17</v>
      </c>
      <c r="C1815" s="2" t="s">
        <v>18</v>
      </c>
      <c r="D1815" s="2" t="s">
        <v>30</v>
      </c>
      <c r="E1815" s="2" t="s">
        <v>179</v>
      </c>
      <c r="F1815" s="2">
        <v>32.0</v>
      </c>
      <c r="G1815" s="2">
        <v>30.0</v>
      </c>
      <c r="H1815" s="2">
        <v>18.0</v>
      </c>
      <c r="I1815" s="2">
        <v>12.0</v>
      </c>
      <c r="J1815" s="2">
        <v>0.0</v>
      </c>
      <c r="K1815" s="2">
        <v>0.0</v>
      </c>
      <c r="L1815" s="2">
        <v>0.0</v>
      </c>
      <c r="M1815" s="2">
        <v>14.0</v>
      </c>
      <c r="N1815" s="2"/>
      <c r="O1815" s="2"/>
      <c r="P1815" s="2" t="s">
        <v>153</v>
      </c>
    </row>
    <row r="1816">
      <c r="A1816" s="3" t="s">
        <v>85</v>
      </c>
      <c r="B1816" s="2" t="s">
        <v>17</v>
      </c>
      <c r="C1816" s="2" t="s">
        <v>18</v>
      </c>
      <c r="D1816" s="2" t="s">
        <v>30</v>
      </c>
      <c r="E1816" s="2" t="s">
        <v>315</v>
      </c>
      <c r="F1816" s="2">
        <v>32.0</v>
      </c>
      <c r="G1816" s="2">
        <v>30.0</v>
      </c>
      <c r="H1816" s="2">
        <v>18.0</v>
      </c>
      <c r="I1816" s="2">
        <v>12.0</v>
      </c>
      <c r="J1816" s="2">
        <v>0.0</v>
      </c>
      <c r="K1816" s="2">
        <v>0.0</v>
      </c>
      <c r="L1816" s="2">
        <v>0.0</v>
      </c>
      <c r="M1816" s="2">
        <v>14.0</v>
      </c>
      <c r="N1816" s="2"/>
      <c r="O1816" s="2"/>
      <c r="P1816" s="2" t="s">
        <v>153</v>
      </c>
    </row>
    <row r="1817">
      <c r="A1817" s="3" t="s">
        <v>86</v>
      </c>
      <c r="B1817" s="2" t="s">
        <v>17</v>
      </c>
      <c r="C1817" s="2" t="s">
        <v>18</v>
      </c>
      <c r="D1817" s="2" t="s">
        <v>30</v>
      </c>
      <c r="E1817" s="2" t="s">
        <v>191</v>
      </c>
      <c r="F1817" s="2">
        <v>32.0</v>
      </c>
      <c r="G1817" s="2">
        <v>3.0</v>
      </c>
      <c r="H1817" s="2">
        <v>2.0</v>
      </c>
      <c r="I1817" s="2">
        <v>1.0</v>
      </c>
      <c r="J1817" s="2">
        <v>0.0</v>
      </c>
      <c r="K1817" s="2">
        <v>0.0</v>
      </c>
      <c r="L1817" s="2">
        <v>0.0</v>
      </c>
      <c r="M1817" s="2">
        <v>30.0</v>
      </c>
      <c r="N1817" s="2"/>
      <c r="O1817" s="2"/>
      <c r="P1817" s="2" t="s">
        <v>153</v>
      </c>
    </row>
    <row r="1818">
      <c r="A1818" s="3" t="s">
        <v>87</v>
      </c>
      <c r="B1818" s="2" t="s">
        <v>17</v>
      </c>
      <c r="C1818" s="2" t="s">
        <v>18</v>
      </c>
      <c r="D1818" s="2" t="s">
        <v>30</v>
      </c>
      <c r="E1818" s="2" t="s">
        <v>189</v>
      </c>
      <c r="F1818" s="2">
        <v>32.0</v>
      </c>
      <c r="G1818" s="2">
        <v>23.0</v>
      </c>
      <c r="H1818" s="2">
        <v>19.0</v>
      </c>
      <c r="I1818" s="2">
        <v>4.0</v>
      </c>
      <c r="J1818" s="2">
        <v>0.0</v>
      </c>
      <c r="K1818" s="2">
        <v>0.0</v>
      </c>
      <c r="L1818" s="2">
        <v>0.0</v>
      </c>
      <c r="M1818" s="2">
        <v>13.0</v>
      </c>
      <c r="N1818" s="2"/>
      <c r="O1818" s="2"/>
      <c r="P1818" s="2" t="s">
        <v>153</v>
      </c>
    </row>
    <row r="1819">
      <c r="A1819" s="3" t="s">
        <v>88</v>
      </c>
      <c r="B1819" s="2" t="s">
        <v>17</v>
      </c>
      <c r="C1819" s="2" t="s">
        <v>18</v>
      </c>
      <c r="D1819" s="2" t="s">
        <v>23</v>
      </c>
      <c r="E1819" s="2" t="s">
        <v>188</v>
      </c>
      <c r="F1819" s="2">
        <v>20.0</v>
      </c>
      <c r="G1819" s="2">
        <v>36.0</v>
      </c>
      <c r="H1819" s="2">
        <v>23.0</v>
      </c>
      <c r="I1819" s="2">
        <v>13.0</v>
      </c>
      <c r="J1819" s="2">
        <v>0.0</v>
      </c>
      <c r="K1819" s="2">
        <v>0.0</v>
      </c>
      <c r="L1819" s="2">
        <v>0.0</v>
      </c>
      <c r="M1819" s="2">
        <v>-3.0</v>
      </c>
      <c r="N1819" s="2">
        <v>-12.0</v>
      </c>
      <c r="O1819" s="2">
        <v>-26.0</v>
      </c>
      <c r="P1819" s="2" t="s">
        <v>153</v>
      </c>
    </row>
    <row r="1820">
      <c r="A1820" s="3" t="s">
        <v>89</v>
      </c>
      <c r="B1820" s="2" t="s">
        <v>17</v>
      </c>
      <c r="C1820" s="2" t="s">
        <v>18</v>
      </c>
      <c r="D1820" s="2" t="s">
        <v>23</v>
      </c>
      <c r="E1820" s="2" t="s">
        <v>314</v>
      </c>
      <c r="F1820" s="2">
        <v>25.0</v>
      </c>
      <c r="G1820" s="2">
        <v>4.0</v>
      </c>
      <c r="H1820" s="2">
        <v>2.0</v>
      </c>
      <c r="I1820" s="2">
        <v>2.0</v>
      </c>
      <c r="J1820" s="2">
        <v>0.0</v>
      </c>
      <c r="K1820" s="2">
        <v>0.0</v>
      </c>
      <c r="L1820" s="2">
        <v>0.0</v>
      </c>
      <c r="M1820" s="2">
        <v>23.0</v>
      </c>
      <c r="N1820" s="2">
        <v>-5.0</v>
      </c>
      <c r="O1820" s="2">
        <v>21.0</v>
      </c>
      <c r="P1820" s="2" t="s">
        <v>153</v>
      </c>
    </row>
    <row r="1821">
      <c r="A1821" s="3" t="s">
        <v>90</v>
      </c>
      <c r="B1821" s="2" t="s">
        <v>17</v>
      </c>
      <c r="C1821" s="2" t="s">
        <v>18</v>
      </c>
      <c r="D1821" s="2" t="s">
        <v>23</v>
      </c>
      <c r="E1821" s="2" t="s">
        <v>179</v>
      </c>
      <c r="F1821" s="2">
        <v>24.0</v>
      </c>
      <c r="G1821" s="2">
        <v>30.0</v>
      </c>
      <c r="H1821" s="2">
        <v>18.0</v>
      </c>
      <c r="I1821" s="2">
        <v>12.0</v>
      </c>
      <c r="J1821" s="2">
        <v>0.0</v>
      </c>
      <c r="K1821" s="2">
        <v>0.0</v>
      </c>
      <c r="L1821" s="2">
        <v>0.0</v>
      </c>
      <c r="M1821" s="2">
        <v>6.0</v>
      </c>
      <c r="N1821" s="2">
        <v>-8.0</v>
      </c>
      <c r="O1821" s="2">
        <v>-12.0</v>
      </c>
      <c r="P1821" s="2" t="s">
        <v>153</v>
      </c>
    </row>
    <row r="1822">
      <c r="A1822" s="3" t="s">
        <v>93</v>
      </c>
      <c r="B1822" s="2" t="s">
        <v>17</v>
      </c>
      <c r="C1822" s="2" t="s">
        <v>18</v>
      </c>
      <c r="D1822" s="2" t="s">
        <v>23</v>
      </c>
      <c r="E1822" s="2" t="s">
        <v>315</v>
      </c>
      <c r="F1822" s="2">
        <v>31.0</v>
      </c>
      <c r="G1822" s="2">
        <v>30.0</v>
      </c>
      <c r="H1822" s="2">
        <v>18.0</v>
      </c>
      <c r="I1822" s="2">
        <v>12.0</v>
      </c>
      <c r="J1822" s="2">
        <v>0.0</v>
      </c>
      <c r="K1822" s="2">
        <v>0.0</v>
      </c>
      <c r="L1822" s="2">
        <v>0.0</v>
      </c>
      <c r="M1822" s="2">
        <v>13.0</v>
      </c>
      <c r="N1822" s="2">
        <v>-1.0</v>
      </c>
      <c r="O1822" s="2">
        <v>-5.0</v>
      </c>
      <c r="P1822" s="2" t="s">
        <v>153</v>
      </c>
    </row>
    <row r="1823">
      <c r="A1823" s="3" t="s">
        <v>16</v>
      </c>
      <c r="B1823" s="2" t="s">
        <v>17</v>
      </c>
      <c r="C1823" s="2" t="s">
        <v>18</v>
      </c>
      <c r="D1823" s="2" t="s">
        <v>23</v>
      </c>
      <c r="E1823" s="2" t="s">
        <v>189</v>
      </c>
      <c r="F1823" s="2">
        <v>18.0</v>
      </c>
      <c r="G1823" s="2">
        <v>23.0</v>
      </c>
      <c r="H1823" s="2">
        <v>19.0</v>
      </c>
      <c r="I1823" s="2">
        <v>4.0</v>
      </c>
      <c r="J1823" s="2">
        <v>0.0</v>
      </c>
      <c r="K1823" s="2">
        <v>0.0</v>
      </c>
      <c r="L1823" s="2">
        <v>0.0</v>
      </c>
      <c r="M1823" s="2">
        <v>-1.0</v>
      </c>
      <c r="N1823" s="2">
        <v>-14.0</v>
      </c>
      <c r="O1823" s="2">
        <v>-20.0</v>
      </c>
      <c r="P1823" s="2" t="s">
        <v>153</v>
      </c>
    </row>
    <row r="1824">
      <c r="A1824" s="3" t="s">
        <v>94</v>
      </c>
      <c r="B1824" s="2" t="s">
        <v>17</v>
      </c>
      <c r="C1824" s="2" t="s">
        <v>113</v>
      </c>
      <c r="D1824" s="2" t="s">
        <v>23</v>
      </c>
      <c r="E1824" s="2" t="s">
        <v>169</v>
      </c>
      <c r="F1824" s="2">
        <v>23.0</v>
      </c>
      <c r="G1824" s="2">
        <v>0.0</v>
      </c>
      <c r="H1824" s="2">
        <v>23.0</v>
      </c>
      <c r="I1824" s="2">
        <v>7.0</v>
      </c>
      <c r="J1824" s="2">
        <v>0.0</v>
      </c>
      <c r="K1824" s="2">
        <v>0.0</v>
      </c>
      <c r="L1824" s="2">
        <v>0.0</v>
      </c>
      <c r="M1824" s="2">
        <v>0.0</v>
      </c>
      <c r="N1824" s="2">
        <v>-9.0</v>
      </c>
      <c r="O1824" s="2">
        <v>-23.0</v>
      </c>
      <c r="P1824" s="2" t="s">
        <v>153</v>
      </c>
    </row>
    <row r="1825">
      <c r="A1825" s="3" t="s">
        <v>95</v>
      </c>
      <c r="B1825" s="2" t="s">
        <v>17</v>
      </c>
      <c r="C1825" s="2" t="s">
        <v>113</v>
      </c>
      <c r="D1825" s="2" t="s">
        <v>23</v>
      </c>
      <c r="E1825" s="2" t="s">
        <v>197</v>
      </c>
      <c r="F1825" s="2">
        <v>6.0</v>
      </c>
      <c r="G1825" s="2">
        <v>0.0</v>
      </c>
      <c r="H1825" s="2">
        <v>5.0</v>
      </c>
      <c r="I1825" s="2">
        <v>5.0</v>
      </c>
      <c r="J1825" s="2">
        <v>0.0</v>
      </c>
      <c r="K1825" s="2">
        <v>0.0</v>
      </c>
      <c r="L1825" s="2">
        <v>0.0</v>
      </c>
      <c r="M1825" s="2">
        <v>1.0</v>
      </c>
      <c r="N1825" s="2">
        <v>-28.0</v>
      </c>
      <c r="O1825" s="2">
        <v>-4.0</v>
      </c>
      <c r="P1825" s="2" t="s">
        <v>153</v>
      </c>
    </row>
    <row r="1826">
      <c r="A1826" s="3" t="s">
        <v>97</v>
      </c>
      <c r="B1826" s="2" t="s">
        <v>17</v>
      </c>
      <c r="C1826" s="2" t="s">
        <v>113</v>
      </c>
      <c r="D1826" s="2" t="s">
        <v>23</v>
      </c>
      <c r="E1826" s="2" t="s">
        <v>193</v>
      </c>
      <c r="F1826" s="2">
        <v>20.0</v>
      </c>
      <c r="G1826" s="2">
        <v>28.0</v>
      </c>
      <c r="H1826" s="2">
        <v>20.0</v>
      </c>
      <c r="I1826" s="2">
        <v>8.0</v>
      </c>
      <c r="J1826" s="2">
        <v>0.0</v>
      </c>
      <c r="K1826" s="2">
        <v>0.0</v>
      </c>
      <c r="L1826" s="2">
        <v>0.0</v>
      </c>
      <c r="M1826" s="2">
        <v>0.0</v>
      </c>
      <c r="N1826" s="2">
        <v>-12.0</v>
      </c>
      <c r="O1826" s="2">
        <v>-20.0</v>
      </c>
      <c r="P1826" s="2" t="s">
        <v>153</v>
      </c>
    </row>
    <row r="1827">
      <c r="A1827" s="3" t="s">
        <v>98</v>
      </c>
      <c r="B1827" s="2" t="s">
        <v>17</v>
      </c>
      <c r="C1827" s="2" t="s">
        <v>113</v>
      </c>
      <c r="D1827" s="2" t="s">
        <v>23</v>
      </c>
      <c r="E1827" s="2" t="s">
        <v>192</v>
      </c>
      <c r="F1827" s="2">
        <v>12.0</v>
      </c>
      <c r="G1827" s="2">
        <v>14.0</v>
      </c>
      <c r="H1827" s="2">
        <v>10.0</v>
      </c>
      <c r="I1827" s="2">
        <v>4.0</v>
      </c>
      <c r="J1827" s="2">
        <v>0.0</v>
      </c>
      <c r="K1827" s="2">
        <v>0.0</v>
      </c>
      <c r="L1827" s="2">
        <v>0.0</v>
      </c>
      <c r="M1827" s="2">
        <v>2.0</v>
      </c>
      <c r="N1827" s="2">
        <v>-20.0</v>
      </c>
      <c r="O1827" s="2">
        <v>-8.0</v>
      </c>
      <c r="P1827" s="2" t="s">
        <v>153</v>
      </c>
    </row>
    <row r="1828">
      <c r="A1828" s="3" t="s">
        <v>99</v>
      </c>
      <c r="B1828" s="2" t="s">
        <v>17</v>
      </c>
      <c r="C1828" s="2" t="s">
        <v>113</v>
      </c>
      <c r="D1828" s="2" t="s">
        <v>23</v>
      </c>
      <c r="E1828" s="2" t="s">
        <v>191</v>
      </c>
      <c r="F1828" s="2">
        <v>2.0</v>
      </c>
      <c r="G1828" s="2">
        <v>3.0</v>
      </c>
      <c r="H1828" s="2">
        <v>2.0</v>
      </c>
      <c r="I1828" s="2">
        <v>1.0</v>
      </c>
      <c r="J1828" s="2">
        <v>0.0</v>
      </c>
      <c r="K1828" s="2">
        <v>0.0</v>
      </c>
      <c r="L1828" s="2">
        <v>0.0</v>
      </c>
      <c r="M1828" s="2">
        <v>0.0</v>
      </c>
      <c r="N1828" s="2">
        <v>-30.0</v>
      </c>
      <c r="O1828" s="2">
        <v>-2.0</v>
      </c>
      <c r="P1828" s="2" t="s">
        <v>153</v>
      </c>
    </row>
    <row r="1829">
      <c r="A1829" s="3" t="s">
        <v>100</v>
      </c>
      <c r="B1829" s="4">
        <v>45232.25</v>
      </c>
      <c r="C1829" s="2" t="s">
        <v>18</v>
      </c>
      <c r="D1829" s="2" t="s">
        <v>30</v>
      </c>
      <c r="E1829" s="2" t="s">
        <v>169</v>
      </c>
      <c r="F1829" s="2"/>
      <c r="G1829" s="2">
        <v>19.0</v>
      </c>
      <c r="H1829" s="2">
        <v>15.0</v>
      </c>
      <c r="I1829" s="2">
        <v>4.0</v>
      </c>
      <c r="J1829" s="2">
        <v>0.0</v>
      </c>
      <c r="K1829" s="2">
        <v>0.0</v>
      </c>
      <c r="L1829" s="2">
        <v>0.0</v>
      </c>
      <c r="M1829" s="2"/>
      <c r="N1829" s="2"/>
      <c r="O1829" s="2"/>
      <c r="P1829" s="2" t="s">
        <v>153</v>
      </c>
    </row>
    <row r="1830">
      <c r="A1830" s="3" t="s">
        <v>101</v>
      </c>
      <c r="B1830" s="4">
        <v>45232.25</v>
      </c>
      <c r="C1830" s="2" t="s">
        <v>18</v>
      </c>
      <c r="D1830" s="2" t="s">
        <v>30</v>
      </c>
      <c r="E1830" s="2" t="s">
        <v>197</v>
      </c>
      <c r="F1830" s="2"/>
      <c r="G1830" s="2">
        <v>6.0</v>
      </c>
      <c r="H1830" s="2">
        <v>3.0</v>
      </c>
      <c r="I1830" s="2">
        <v>3.0</v>
      </c>
      <c r="J1830" s="2">
        <v>0.0</v>
      </c>
      <c r="K1830" s="2">
        <v>0.0</v>
      </c>
      <c r="L1830" s="2">
        <v>0.0</v>
      </c>
      <c r="M1830" s="2"/>
      <c r="N1830" s="2"/>
      <c r="O1830" s="2"/>
      <c r="P1830" s="2" t="s">
        <v>153</v>
      </c>
    </row>
    <row r="1831">
      <c r="A1831" s="3" t="s">
        <v>102</v>
      </c>
      <c r="B1831" s="4">
        <v>45232.25</v>
      </c>
      <c r="C1831" s="2" t="s">
        <v>18</v>
      </c>
      <c r="D1831" s="2" t="s">
        <v>30</v>
      </c>
      <c r="E1831" s="2" t="s">
        <v>193</v>
      </c>
      <c r="F1831" s="2"/>
      <c r="G1831" s="2">
        <v>15.0</v>
      </c>
      <c r="H1831" s="2">
        <v>12.0</v>
      </c>
      <c r="I1831" s="2">
        <v>3.0</v>
      </c>
      <c r="J1831" s="2">
        <v>0.0</v>
      </c>
      <c r="K1831" s="2">
        <v>0.0</v>
      </c>
      <c r="L1831" s="2">
        <v>0.0</v>
      </c>
      <c r="M1831" s="2"/>
      <c r="N1831" s="2"/>
      <c r="O1831" s="2"/>
      <c r="P1831" s="2" t="s">
        <v>153</v>
      </c>
    </row>
    <row r="1832">
      <c r="A1832" s="3" t="s">
        <v>16</v>
      </c>
      <c r="B1832" s="4">
        <v>45232.25</v>
      </c>
      <c r="C1832" s="2" t="s">
        <v>18</v>
      </c>
      <c r="D1832" s="2" t="s">
        <v>30</v>
      </c>
      <c r="E1832" s="2" t="s">
        <v>192</v>
      </c>
      <c r="F1832" s="2"/>
      <c r="G1832" s="2">
        <v>13.0</v>
      </c>
      <c r="H1832" s="2">
        <v>9.0</v>
      </c>
      <c r="I1832" s="2">
        <v>4.0</v>
      </c>
      <c r="J1832" s="2">
        <v>0.0</v>
      </c>
      <c r="K1832" s="2">
        <v>0.0</v>
      </c>
      <c r="L1832" s="2">
        <v>0.0</v>
      </c>
      <c r="M1832" s="2"/>
      <c r="N1832" s="2"/>
      <c r="O1832" s="2"/>
      <c r="P1832" s="2" t="s">
        <v>153</v>
      </c>
    </row>
    <row r="1833">
      <c r="A1833" s="3" t="s">
        <v>22</v>
      </c>
      <c r="B1833" s="4">
        <v>45232.25</v>
      </c>
      <c r="C1833" s="2" t="s">
        <v>18</v>
      </c>
      <c r="D1833" s="2" t="s">
        <v>30</v>
      </c>
      <c r="E1833" s="2" t="s">
        <v>188</v>
      </c>
      <c r="F1833" s="2"/>
      <c r="G1833" s="2">
        <v>9.0</v>
      </c>
      <c r="H1833" s="2">
        <v>6.0</v>
      </c>
      <c r="I1833" s="2">
        <v>3.0</v>
      </c>
      <c r="J1833" s="2">
        <v>0.0</v>
      </c>
      <c r="K1833" s="2">
        <v>0.0</v>
      </c>
      <c r="L1833" s="2">
        <v>0.0</v>
      </c>
      <c r="M1833" s="2"/>
      <c r="N1833" s="2"/>
      <c r="O1833" s="2"/>
      <c r="P1833" s="2" t="s">
        <v>153</v>
      </c>
    </row>
    <row r="1834">
      <c r="A1834" s="3" t="s">
        <v>24</v>
      </c>
      <c r="B1834" s="4">
        <v>45232.25</v>
      </c>
      <c r="C1834" s="2" t="s">
        <v>18</v>
      </c>
      <c r="D1834" s="2" t="s">
        <v>30</v>
      </c>
      <c r="E1834" s="2" t="s">
        <v>314</v>
      </c>
      <c r="F1834" s="2"/>
      <c r="G1834" s="2">
        <v>0.0</v>
      </c>
      <c r="H1834" s="2">
        <v>0.0</v>
      </c>
      <c r="I1834" s="2">
        <v>0.0</v>
      </c>
      <c r="J1834" s="2">
        <v>0.0</v>
      </c>
      <c r="K1834" s="2">
        <v>0.0</v>
      </c>
      <c r="L1834" s="2">
        <v>0.0</v>
      </c>
      <c r="M1834" s="2"/>
      <c r="N1834" s="2"/>
      <c r="O1834" s="2"/>
      <c r="P1834" s="2" t="s">
        <v>153</v>
      </c>
    </row>
    <row r="1835">
      <c r="A1835" s="3" t="s">
        <v>25</v>
      </c>
      <c r="B1835" s="4">
        <v>45232.25</v>
      </c>
      <c r="C1835" s="2" t="s">
        <v>18</v>
      </c>
      <c r="D1835" s="2" t="s">
        <v>30</v>
      </c>
      <c r="E1835" s="2" t="s">
        <v>179</v>
      </c>
      <c r="F1835" s="2"/>
      <c r="G1835" s="2">
        <v>2.0</v>
      </c>
      <c r="H1835" s="2">
        <v>1.0</v>
      </c>
      <c r="I1835" s="2">
        <v>1.0</v>
      </c>
      <c r="J1835" s="2">
        <v>0.0</v>
      </c>
      <c r="K1835" s="2">
        <v>0.0</v>
      </c>
      <c r="L1835" s="2">
        <v>0.0</v>
      </c>
      <c r="M1835" s="2"/>
      <c r="N1835" s="2"/>
      <c r="O1835" s="2"/>
      <c r="P1835" s="2" t="s">
        <v>153</v>
      </c>
    </row>
    <row r="1836">
      <c r="A1836" s="3" t="s">
        <v>26</v>
      </c>
      <c r="B1836" s="4">
        <v>45232.25</v>
      </c>
      <c r="C1836" s="2" t="s">
        <v>18</v>
      </c>
      <c r="D1836" s="2" t="s">
        <v>30</v>
      </c>
      <c r="E1836" s="2" t="s">
        <v>315</v>
      </c>
      <c r="F1836" s="2"/>
      <c r="G1836" s="2">
        <v>12.0</v>
      </c>
      <c r="H1836" s="2">
        <v>8.0</v>
      </c>
      <c r="I1836" s="2">
        <v>4.0</v>
      </c>
      <c r="J1836" s="2">
        <v>0.0</v>
      </c>
      <c r="K1836" s="2">
        <v>0.0</v>
      </c>
      <c r="L1836" s="2">
        <v>0.0</v>
      </c>
      <c r="M1836" s="2"/>
      <c r="N1836" s="2"/>
      <c r="O1836" s="2"/>
      <c r="P1836" s="2" t="s">
        <v>153</v>
      </c>
    </row>
    <row r="1837">
      <c r="A1837" s="3" t="s">
        <v>28</v>
      </c>
      <c r="B1837" s="4">
        <v>45232.25</v>
      </c>
      <c r="C1837" s="2" t="s">
        <v>18</v>
      </c>
      <c r="D1837" s="2" t="s">
        <v>30</v>
      </c>
      <c r="E1837" s="2" t="s">
        <v>191</v>
      </c>
      <c r="F1837" s="2"/>
      <c r="G1837" s="2">
        <v>3.0</v>
      </c>
      <c r="H1837" s="2">
        <v>2.0</v>
      </c>
      <c r="I1837" s="2">
        <v>1.0</v>
      </c>
      <c r="J1837" s="2">
        <v>0.0</v>
      </c>
      <c r="K1837" s="2">
        <v>0.0</v>
      </c>
      <c r="L1837" s="2">
        <v>0.0</v>
      </c>
      <c r="M1837" s="2"/>
      <c r="N1837" s="2"/>
      <c r="O1837" s="2"/>
      <c r="P1837" s="2" t="s">
        <v>153</v>
      </c>
    </row>
    <row r="1838">
      <c r="A1838" s="3" t="s">
        <v>29</v>
      </c>
      <c r="B1838" s="4">
        <v>45232.25</v>
      </c>
      <c r="C1838" s="2" t="s">
        <v>18</v>
      </c>
      <c r="D1838" s="2" t="s">
        <v>30</v>
      </c>
      <c r="E1838" s="2" t="s">
        <v>189</v>
      </c>
      <c r="F1838" s="2"/>
      <c r="G1838" s="2">
        <v>12.0</v>
      </c>
      <c r="H1838" s="2">
        <v>8.0</v>
      </c>
      <c r="I1838" s="2">
        <v>4.0</v>
      </c>
      <c r="J1838" s="2">
        <v>0.0</v>
      </c>
      <c r="K1838" s="2">
        <v>0.0</v>
      </c>
      <c r="L1838" s="2">
        <v>0.0</v>
      </c>
      <c r="M1838" s="2"/>
      <c r="N1838" s="2"/>
      <c r="O1838" s="2"/>
      <c r="P1838" s="2" t="s">
        <v>153</v>
      </c>
    </row>
    <row r="1839">
      <c r="A1839" s="3" t="s">
        <v>32</v>
      </c>
      <c r="B1839" s="4">
        <v>45261.29166666667</v>
      </c>
      <c r="C1839" s="2" t="s">
        <v>18</v>
      </c>
      <c r="D1839" s="2" t="s">
        <v>30</v>
      </c>
      <c r="E1839" s="2" t="s">
        <v>169</v>
      </c>
      <c r="F1839" s="2"/>
      <c r="G1839" s="2">
        <v>11.0</v>
      </c>
      <c r="H1839" s="2">
        <v>8.0</v>
      </c>
      <c r="I1839" s="2">
        <v>3.0</v>
      </c>
      <c r="J1839" s="2">
        <v>0.0</v>
      </c>
      <c r="K1839" s="2">
        <v>0.0</v>
      </c>
      <c r="L1839" s="2">
        <v>0.0</v>
      </c>
      <c r="M1839" s="2"/>
      <c r="N1839" s="2"/>
      <c r="O1839" s="2"/>
      <c r="P1839" s="2" t="s">
        <v>153</v>
      </c>
    </row>
    <row r="1840">
      <c r="A1840" s="3" t="s">
        <v>34</v>
      </c>
      <c r="B1840" s="4">
        <v>45262.29166666667</v>
      </c>
      <c r="C1840" s="2" t="s">
        <v>18</v>
      </c>
      <c r="D1840" s="2" t="s">
        <v>30</v>
      </c>
      <c r="E1840" s="2" t="s">
        <v>197</v>
      </c>
      <c r="F1840" s="2"/>
      <c r="G1840" s="2">
        <v>4.0</v>
      </c>
      <c r="H1840" s="2">
        <v>2.0</v>
      </c>
      <c r="I1840" s="2">
        <v>2.0</v>
      </c>
      <c r="J1840" s="2">
        <v>0.0</v>
      </c>
      <c r="K1840" s="2">
        <v>0.0</v>
      </c>
      <c r="L1840" s="2">
        <v>0.0</v>
      </c>
      <c r="M1840" s="2"/>
      <c r="N1840" s="2"/>
      <c r="O1840" s="2"/>
      <c r="P1840" s="2" t="s">
        <v>153</v>
      </c>
    </row>
    <row r="1841">
      <c r="A1841" s="3" t="s">
        <v>35</v>
      </c>
      <c r="B1841" s="4">
        <v>45263.29166666667</v>
      </c>
      <c r="C1841" s="2" t="s">
        <v>18</v>
      </c>
      <c r="D1841" s="2" t="s">
        <v>30</v>
      </c>
      <c r="E1841" s="2" t="s">
        <v>193</v>
      </c>
      <c r="F1841" s="2"/>
      <c r="G1841" s="2">
        <v>13.0</v>
      </c>
      <c r="H1841" s="2">
        <v>8.0</v>
      </c>
      <c r="I1841" s="2">
        <v>5.0</v>
      </c>
      <c r="J1841" s="2">
        <v>0.0</v>
      </c>
      <c r="K1841" s="2">
        <v>0.0</v>
      </c>
      <c r="L1841" s="2">
        <v>0.0</v>
      </c>
      <c r="M1841" s="2"/>
      <c r="N1841" s="2"/>
      <c r="O1841" s="2"/>
      <c r="P1841" s="2" t="s">
        <v>153</v>
      </c>
    </row>
    <row r="1842">
      <c r="A1842" s="3" t="s">
        <v>36</v>
      </c>
      <c r="B1842" s="4">
        <v>45264.29166666667</v>
      </c>
      <c r="C1842" s="2" t="s">
        <v>18</v>
      </c>
      <c r="D1842" s="2" t="s">
        <v>30</v>
      </c>
      <c r="E1842" s="2" t="s">
        <v>192</v>
      </c>
      <c r="F1842" s="2"/>
      <c r="G1842" s="2">
        <v>1.0</v>
      </c>
      <c r="H1842" s="2">
        <v>1.0</v>
      </c>
      <c r="I1842" s="2">
        <v>0.0</v>
      </c>
      <c r="J1842" s="2">
        <v>0.0</v>
      </c>
      <c r="K1842" s="2">
        <v>0.0</v>
      </c>
      <c r="L1842" s="2">
        <v>0.0</v>
      </c>
      <c r="M1842" s="2"/>
      <c r="N1842" s="2"/>
      <c r="O1842" s="2"/>
      <c r="P1842" s="2" t="s">
        <v>153</v>
      </c>
    </row>
    <row r="1843">
      <c r="A1843" s="3" t="s">
        <v>37</v>
      </c>
      <c r="B1843" s="4">
        <v>45265.29166666667</v>
      </c>
      <c r="C1843" s="2" t="s">
        <v>18</v>
      </c>
      <c r="D1843" s="2" t="s">
        <v>30</v>
      </c>
      <c r="E1843" s="2" t="s">
        <v>188</v>
      </c>
      <c r="F1843" s="2"/>
      <c r="G1843" s="2">
        <v>27.0</v>
      </c>
      <c r="H1843" s="2">
        <v>17.0</v>
      </c>
      <c r="I1843" s="2">
        <v>10.0</v>
      </c>
      <c r="J1843" s="2">
        <v>0.0</v>
      </c>
      <c r="K1843" s="2">
        <v>0.0</v>
      </c>
      <c r="L1843" s="2">
        <v>0.0</v>
      </c>
      <c r="M1843" s="2"/>
      <c r="N1843" s="2"/>
      <c r="O1843" s="2"/>
      <c r="P1843" s="2" t="s">
        <v>153</v>
      </c>
    </row>
    <row r="1844">
      <c r="A1844" s="3" t="s">
        <v>38</v>
      </c>
      <c r="B1844" s="4">
        <v>45266.29166666667</v>
      </c>
      <c r="C1844" s="2" t="s">
        <v>18</v>
      </c>
      <c r="D1844" s="2" t="s">
        <v>30</v>
      </c>
      <c r="E1844" s="2" t="s">
        <v>314</v>
      </c>
      <c r="F1844" s="2"/>
      <c r="G1844" s="2">
        <v>4.0</v>
      </c>
      <c r="H1844" s="2">
        <v>2.0</v>
      </c>
      <c r="I1844" s="2">
        <v>2.0</v>
      </c>
      <c r="J1844" s="2">
        <v>0.0</v>
      </c>
      <c r="K1844" s="2">
        <v>0.0</v>
      </c>
      <c r="L1844" s="2">
        <v>0.0</v>
      </c>
      <c r="M1844" s="2"/>
      <c r="N1844" s="2"/>
      <c r="O1844" s="2"/>
      <c r="P1844" s="2" t="s">
        <v>153</v>
      </c>
    </row>
    <row r="1845">
      <c r="A1845" s="3" t="s">
        <v>39</v>
      </c>
      <c r="B1845" s="4">
        <v>45267.29166666667</v>
      </c>
      <c r="C1845" s="2" t="s">
        <v>18</v>
      </c>
      <c r="D1845" s="2" t="s">
        <v>30</v>
      </c>
      <c r="E1845" s="2" t="s">
        <v>179</v>
      </c>
      <c r="F1845" s="2"/>
      <c r="G1845" s="2">
        <v>28.0</v>
      </c>
      <c r="H1845" s="2">
        <v>17.0</v>
      </c>
      <c r="I1845" s="2">
        <v>11.0</v>
      </c>
      <c r="J1845" s="2">
        <v>0.0</v>
      </c>
      <c r="K1845" s="2">
        <v>0.0</v>
      </c>
      <c r="L1845" s="2">
        <v>0.0</v>
      </c>
      <c r="M1845" s="2"/>
      <c r="N1845" s="2"/>
      <c r="O1845" s="2"/>
      <c r="P1845" s="2" t="s">
        <v>153</v>
      </c>
    </row>
    <row r="1846">
      <c r="A1846" s="3" t="s">
        <v>40</v>
      </c>
      <c r="B1846" s="4">
        <v>45268.29166666667</v>
      </c>
      <c r="C1846" s="2" t="s">
        <v>18</v>
      </c>
      <c r="D1846" s="2" t="s">
        <v>30</v>
      </c>
      <c r="E1846" s="2" t="s">
        <v>315</v>
      </c>
      <c r="F1846" s="2"/>
      <c r="G1846" s="2">
        <v>18.0</v>
      </c>
      <c r="H1846" s="2">
        <v>10.0</v>
      </c>
      <c r="I1846" s="2">
        <v>8.0</v>
      </c>
      <c r="J1846" s="2">
        <v>0.0</v>
      </c>
      <c r="K1846" s="2">
        <v>0.0</v>
      </c>
      <c r="L1846" s="2">
        <v>0.0</v>
      </c>
      <c r="M1846" s="2"/>
      <c r="N1846" s="2"/>
      <c r="O1846" s="2"/>
      <c r="P1846" s="2" t="s">
        <v>153</v>
      </c>
    </row>
    <row r="1847">
      <c r="A1847" s="3" t="s">
        <v>41</v>
      </c>
      <c r="B1847" s="4">
        <v>45269.29166666667</v>
      </c>
      <c r="C1847" s="2" t="s">
        <v>18</v>
      </c>
      <c r="D1847" s="2" t="s">
        <v>30</v>
      </c>
      <c r="E1847" s="2" t="s">
        <v>191</v>
      </c>
      <c r="F1847" s="2"/>
      <c r="G1847" s="2">
        <v>0.0</v>
      </c>
      <c r="H1847" s="2">
        <v>0.0</v>
      </c>
      <c r="I1847" s="2">
        <v>0.0</v>
      </c>
      <c r="J1847" s="2">
        <v>0.0</v>
      </c>
      <c r="K1847" s="2">
        <v>0.0</v>
      </c>
      <c r="L1847" s="2">
        <v>0.0</v>
      </c>
      <c r="M1847" s="2"/>
      <c r="N1847" s="2"/>
      <c r="O1847" s="2"/>
      <c r="P1847" s="2" t="s">
        <v>153</v>
      </c>
    </row>
    <row r="1848">
      <c r="A1848" s="3" t="s">
        <v>42</v>
      </c>
      <c r="B1848" s="4">
        <v>45270.29166666667</v>
      </c>
      <c r="C1848" s="2" t="s">
        <v>18</v>
      </c>
      <c r="D1848" s="2" t="s">
        <v>30</v>
      </c>
      <c r="E1848" s="2" t="s">
        <v>189</v>
      </c>
      <c r="F1848" s="2"/>
      <c r="G1848" s="2">
        <v>11.0</v>
      </c>
      <c r="H1848" s="2">
        <v>11.0</v>
      </c>
      <c r="I1848" s="2">
        <v>0.0</v>
      </c>
      <c r="J1848" s="2">
        <v>0.0</v>
      </c>
      <c r="K1848" s="2">
        <v>0.0</v>
      </c>
      <c r="L1848" s="2">
        <v>0.0</v>
      </c>
      <c r="M1848" s="2"/>
      <c r="N1848" s="2"/>
      <c r="O1848" s="2"/>
      <c r="P1848" s="2" t="s">
        <v>153</v>
      </c>
    </row>
    <row r="1849">
      <c r="A1849" s="3" t="s">
        <v>43</v>
      </c>
      <c r="B1849" s="2" t="s">
        <v>17</v>
      </c>
      <c r="C1849" s="2" t="s">
        <v>18</v>
      </c>
      <c r="D1849" s="2" t="s">
        <v>79</v>
      </c>
      <c r="E1849" s="2" t="s">
        <v>165</v>
      </c>
      <c r="F1849" s="2">
        <v>10.0</v>
      </c>
      <c r="G1849" s="2">
        <v>27.0</v>
      </c>
      <c r="H1849" s="2">
        <v>20.0</v>
      </c>
      <c r="I1849" s="2">
        <v>7.0</v>
      </c>
      <c r="J1849" s="2">
        <v>0.0</v>
      </c>
      <c r="K1849" s="2">
        <v>0.0</v>
      </c>
      <c r="L1849" s="2">
        <v>0.0</v>
      </c>
      <c r="M1849" s="2">
        <v>-10.0</v>
      </c>
      <c r="N1849" s="2"/>
      <c r="O1849" s="2"/>
      <c r="P1849" s="2" t="s">
        <v>166</v>
      </c>
    </row>
    <row r="1850">
      <c r="A1850" s="3" t="s">
        <v>44</v>
      </c>
      <c r="B1850" s="2" t="s">
        <v>17</v>
      </c>
      <c r="C1850" s="2" t="s">
        <v>18</v>
      </c>
      <c r="D1850" s="2" t="s">
        <v>23</v>
      </c>
      <c r="E1850" s="2" t="s">
        <v>165</v>
      </c>
      <c r="F1850" s="2">
        <v>10.0</v>
      </c>
      <c r="G1850" s="2">
        <v>27.0</v>
      </c>
      <c r="H1850" s="2">
        <v>20.0</v>
      </c>
      <c r="I1850" s="2">
        <v>7.0</v>
      </c>
      <c r="J1850" s="2">
        <v>0.0</v>
      </c>
      <c r="K1850" s="2">
        <v>0.0</v>
      </c>
      <c r="L1850" s="2">
        <v>0.0</v>
      </c>
      <c r="M1850" s="2">
        <v>-10.0</v>
      </c>
      <c r="N1850" s="2">
        <v>0.0</v>
      </c>
      <c r="O1850" s="2">
        <v>-30.0</v>
      </c>
      <c r="P1850" s="2" t="s">
        <v>166</v>
      </c>
    </row>
    <row r="1851">
      <c r="A1851" s="3" t="s">
        <v>45</v>
      </c>
      <c r="B1851" s="4">
        <v>45262.29166666667</v>
      </c>
      <c r="C1851" s="2" t="s">
        <v>18</v>
      </c>
      <c r="D1851" s="2" t="s">
        <v>79</v>
      </c>
      <c r="E1851" s="2" t="s">
        <v>165</v>
      </c>
      <c r="F1851" s="2"/>
      <c r="G1851" s="2">
        <v>27.0</v>
      </c>
      <c r="H1851" s="2">
        <v>20.0</v>
      </c>
      <c r="I1851" s="2">
        <v>7.0</v>
      </c>
      <c r="J1851" s="2">
        <v>0.0</v>
      </c>
      <c r="K1851" s="2">
        <v>0.0</v>
      </c>
      <c r="L1851" s="2">
        <v>0.0</v>
      </c>
      <c r="M1851" s="2"/>
      <c r="N1851" s="2"/>
      <c r="O1851" s="2"/>
      <c r="P1851" s="2" t="s">
        <v>166</v>
      </c>
    </row>
    <row r="1852">
      <c r="A1852" s="3" t="s">
        <v>16</v>
      </c>
      <c r="B1852" s="2" t="s">
        <v>17</v>
      </c>
      <c r="C1852" s="2" t="s">
        <v>18</v>
      </c>
      <c r="D1852" s="2" t="s">
        <v>157</v>
      </c>
      <c r="E1852" s="2" t="s">
        <v>31</v>
      </c>
      <c r="F1852" s="2">
        <v>34.0</v>
      </c>
      <c r="G1852" s="2">
        <v>49.0</v>
      </c>
      <c r="H1852" s="2">
        <v>32.0</v>
      </c>
      <c r="I1852" s="2">
        <v>17.0</v>
      </c>
      <c r="J1852" s="2">
        <v>0.0</v>
      </c>
      <c r="K1852" s="2">
        <v>0.0</v>
      </c>
      <c r="L1852" s="2">
        <v>0.0</v>
      </c>
      <c r="M1852" s="2">
        <v>2.0</v>
      </c>
      <c r="N1852" s="2"/>
      <c r="O1852" s="2"/>
      <c r="P1852" s="2" t="s">
        <v>67</v>
      </c>
    </row>
    <row r="1853">
      <c r="A1853" s="3" t="s">
        <v>47</v>
      </c>
      <c r="B1853" s="2" t="s">
        <v>17</v>
      </c>
      <c r="C1853" s="2" t="s">
        <v>18</v>
      </c>
      <c r="D1853" s="2" t="s">
        <v>19</v>
      </c>
      <c r="E1853" s="2" t="s">
        <v>31</v>
      </c>
      <c r="F1853" s="2">
        <v>44.0</v>
      </c>
      <c r="G1853" s="2">
        <v>59.0</v>
      </c>
      <c r="H1853" s="2">
        <v>42.0</v>
      </c>
      <c r="I1853" s="2">
        <v>17.0</v>
      </c>
      <c r="J1853" s="2">
        <v>0.0</v>
      </c>
      <c r="K1853" s="2">
        <v>0.0</v>
      </c>
      <c r="L1853" s="2">
        <v>0.0</v>
      </c>
      <c r="M1853" s="2">
        <v>2.0</v>
      </c>
      <c r="N1853" s="2"/>
      <c r="O1853" s="2"/>
      <c r="P1853" s="2" t="s">
        <v>67</v>
      </c>
    </row>
    <row r="1854">
      <c r="A1854" s="3" t="s">
        <v>48</v>
      </c>
      <c r="B1854" s="2" t="s">
        <v>17</v>
      </c>
      <c r="C1854" s="2" t="s">
        <v>18</v>
      </c>
      <c r="D1854" s="2" t="s">
        <v>23</v>
      </c>
      <c r="E1854" s="2" t="s">
        <v>31</v>
      </c>
      <c r="F1854" s="2">
        <v>73.0</v>
      </c>
      <c r="G1854" s="2">
        <v>108.0</v>
      </c>
      <c r="H1854" s="2">
        <v>74.0</v>
      </c>
      <c r="I1854" s="2">
        <v>34.0</v>
      </c>
      <c r="J1854" s="2">
        <v>0.0</v>
      </c>
      <c r="K1854" s="2">
        <v>0.0</v>
      </c>
      <c r="L1854" s="2">
        <v>0.0</v>
      </c>
      <c r="M1854" s="2">
        <v>-1.0</v>
      </c>
      <c r="N1854" s="2">
        <v>-5.0</v>
      </c>
      <c r="O1854" s="2">
        <v>-75.0</v>
      </c>
      <c r="P1854" s="2" t="s">
        <v>67</v>
      </c>
    </row>
    <row r="1855">
      <c r="A1855" s="3" t="s">
        <v>49</v>
      </c>
      <c r="B1855" s="4">
        <v>45262.29166666667</v>
      </c>
      <c r="C1855" s="2" t="s">
        <v>18</v>
      </c>
      <c r="D1855" s="2" t="s">
        <v>157</v>
      </c>
      <c r="E1855" s="2" t="s">
        <v>31</v>
      </c>
      <c r="F1855" s="2"/>
      <c r="G1855" s="2">
        <v>49.0</v>
      </c>
      <c r="H1855" s="2">
        <v>32.0</v>
      </c>
      <c r="I1855" s="2">
        <v>17.0</v>
      </c>
      <c r="J1855" s="2">
        <v>0.0</v>
      </c>
      <c r="K1855" s="2">
        <v>0.0</v>
      </c>
      <c r="L1855" s="2">
        <v>0.0</v>
      </c>
      <c r="M1855" s="2"/>
      <c r="N1855" s="2"/>
      <c r="O1855" s="2"/>
      <c r="P1855" s="2" t="s">
        <v>67</v>
      </c>
    </row>
    <row r="1856">
      <c r="A1856" s="3" t="s">
        <v>51</v>
      </c>
      <c r="B1856" s="4">
        <v>45263.29166666667</v>
      </c>
      <c r="C1856" s="2" t="s">
        <v>18</v>
      </c>
      <c r="D1856" s="2" t="s">
        <v>19</v>
      </c>
      <c r="E1856" s="2" t="s">
        <v>31</v>
      </c>
      <c r="F1856" s="2"/>
      <c r="G1856" s="2">
        <v>59.0</v>
      </c>
      <c r="H1856" s="2">
        <v>42.0</v>
      </c>
      <c r="I1856" s="2">
        <v>17.0</v>
      </c>
      <c r="J1856" s="2">
        <v>0.0</v>
      </c>
      <c r="K1856" s="2">
        <v>0.0</v>
      </c>
      <c r="L1856" s="2">
        <v>0.0</v>
      </c>
      <c r="M1856" s="2"/>
      <c r="N1856" s="2"/>
      <c r="O1856" s="2"/>
      <c r="P1856" s="2" t="s">
        <v>67</v>
      </c>
    </row>
    <row r="1857">
      <c r="A1857" s="3" t="s">
        <v>52</v>
      </c>
      <c r="B1857" s="2" t="s">
        <v>17</v>
      </c>
      <c r="C1857" s="2" t="s">
        <v>18</v>
      </c>
      <c r="D1857" s="2" t="s">
        <v>79</v>
      </c>
      <c r="E1857" s="2" t="s">
        <v>165</v>
      </c>
      <c r="F1857" s="2">
        <v>525.0</v>
      </c>
      <c r="G1857" s="2">
        <v>685.0</v>
      </c>
      <c r="H1857" s="2">
        <v>380.0</v>
      </c>
      <c r="I1857" s="2">
        <v>305.0</v>
      </c>
      <c r="J1857" s="2">
        <v>0.0</v>
      </c>
      <c r="K1857" s="2">
        <v>0.0</v>
      </c>
      <c r="L1857" s="2">
        <v>0.0</v>
      </c>
      <c r="M1857" s="2">
        <v>145.0</v>
      </c>
      <c r="N1857" s="2"/>
      <c r="O1857" s="2"/>
      <c r="P1857" s="2" t="s">
        <v>166</v>
      </c>
    </row>
    <row r="1858">
      <c r="A1858" s="3" t="s">
        <v>53</v>
      </c>
      <c r="B1858" s="2" t="s">
        <v>17</v>
      </c>
      <c r="C1858" s="2" t="s">
        <v>18</v>
      </c>
      <c r="D1858" s="2" t="s">
        <v>23</v>
      </c>
      <c r="E1858" s="2" t="s">
        <v>165</v>
      </c>
      <c r="F1858" s="2">
        <v>525.0</v>
      </c>
      <c r="G1858" s="2">
        <v>685.0</v>
      </c>
      <c r="H1858" s="2">
        <v>380.0</v>
      </c>
      <c r="I1858" s="2">
        <v>305.0</v>
      </c>
      <c r="J1858" s="2">
        <v>0.0</v>
      </c>
      <c r="K1858" s="2">
        <v>0.0</v>
      </c>
      <c r="L1858" s="2">
        <v>0.0</v>
      </c>
      <c r="M1858" s="2">
        <v>145.0</v>
      </c>
      <c r="N1858" s="2">
        <v>0.0</v>
      </c>
      <c r="O1858" s="2">
        <v>-235.0</v>
      </c>
      <c r="P1858" s="2" t="s">
        <v>166</v>
      </c>
    </row>
    <row r="1859">
      <c r="A1859" s="3" t="s">
        <v>54</v>
      </c>
      <c r="B1859" s="4">
        <v>45201.29166666667</v>
      </c>
      <c r="C1859" s="2" t="s">
        <v>18</v>
      </c>
      <c r="D1859" s="2" t="s">
        <v>79</v>
      </c>
      <c r="E1859" s="2" t="s">
        <v>165</v>
      </c>
      <c r="F1859" s="2"/>
      <c r="G1859" s="2">
        <v>138.0</v>
      </c>
      <c r="H1859" s="2">
        <v>69.0</v>
      </c>
      <c r="I1859" s="2">
        <v>69.0</v>
      </c>
      <c r="J1859" s="2">
        <v>0.0</v>
      </c>
      <c r="K1859" s="2">
        <v>0.0</v>
      </c>
      <c r="L1859" s="2">
        <v>0.0</v>
      </c>
      <c r="M1859" s="2"/>
      <c r="N1859" s="2"/>
      <c r="O1859" s="2"/>
      <c r="P1859" s="2" t="s">
        <v>166</v>
      </c>
    </row>
    <row r="1860">
      <c r="A1860" s="3" t="s">
        <v>55</v>
      </c>
      <c r="B1860" s="4">
        <v>45231.25</v>
      </c>
      <c r="C1860" s="2" t="s">
        <v>18</v>
      </c>
      <c r="D1860" s="2" t="s">
        <v>79</v>
      </c>
      <c r="E1860" s="2" t="s">
        <v>165</v>
      </c>
      <c r="F1860" s="2"/>
      <c r="G1860" s="2">
        <v>473.0</v>
      </c>
      <c r="H1860" s="2">
        <v>276.0</v>
      </c>
      <c r="I1860" s="2">
        <v>197.0</v>
      </c>
      <c r="J1860" s="2">
        <v>0.0</v>
      </c>
      <c r="K1860" s="2">
        <v>0.0</v>
      </c>
      <c r="L1860" s="2">
        <v>0.0</v>
      </c>
      <c r="M1860" s="2"/>
      <c r="N1860" s="2"/>
      <c r="O1860" s="2"/>
      <c r="P1860" s="2" t="s">
        <v>166</v>
      </c>
    </row>
    <row r="1861">
      <c r="A1861" s="3" t="s">
        <v>56</v>
      </c>
      <c r="B1861" s="4">
        <v>45261.29166666667</v>
      </c>
      <c r="C1861" s="2" t="s">
        <v>18</v>
      </c>
      <c r="D1861" s="2" t="s">
        <v>79</v>
      </c>
      <c r="E1861" s="2" t="s">
        <v>165</v>
      </c>
      <c r="F1861" s="2"/>
      <c r="G1861" s="2">
        <v>74.0</v>
      </c>
      <c r="H1861" s="2">
        <v>35.0</v>
      </c>
      <c r="I1861" s="2">
        <v>39.0</v>
      </c>
      <c r="J1861" s="2">
        <v>0.0</v>
      </c>
      <c r="K1861" s="2">
        <v>0.0</v>
      </c>
      <c r="L1861" s="2">
        <v>0.0</v>
      </c>
      <c r="M1861" s="2"/>
      <c r="N1861" s="2"/>
      <c r="O1861" s="2"/>
      <c r="P1861" s="2" t="s">
        <v>166</v>
      </c>
    </row>
    <row r="1862">
      <c r="A1862" s="3" t="s">
        <v>59</v>
      </c>
      <c r="B1862" s="2" t="s">
        <v>17</v>
      </c>
      <c r="C1862" s="2" t="s">
        <v>18</v>
      </c>
      <c r="D1862" s="2" t="s">
        <v>157</v>
      </c>
      <c r="E1862" s="2" t="s">
        <v>169</v>
      </c>
      <c r="F1862" s="2">
        <v>15.0</v>
      </c>
      <c r="G1862" s="2">
        <v>6.0</v>
      </c>
      <c r="H1862" s="2">
        <v>4.0</v>
      </c>
      <c r="I1862" s="2">
        <v>2.0</v>
      </c>
      <c r="J1862" s="2">
        <v>0.0</v>
      </c>
      <c r="K1862" s="2">
        <v>0.0</v>
      </c>
      <c r="L1862" s="2">
        <v>0.0</v>
      </c>
      <c r="M1862" s="2">
        <v>11.0</v>
      </c>
      <c r="N1862" s="2"/>
      <c r="O1862" s="2"/>
      <c r="P1862" s="2" t="s">
        <v>153</v>
      </c>
    </row>
    <row r="1863">
      <c r="A1863" s="3" t="s">
        <v>60</v>
      </c>
      <c r="B1863" s="2" t="s">
        <v>17</v>
      </c>
      <c r="C1863" s="2" t="s">
        <v>18</v>
      </c>
      <c r="D1863" s="2" t="s">
        <v>157</v>
      </c>
      <c r="E1863" s="2" t="s">
        <v>197</v>
      </c>
      <c r="F1863" s="2">
        <v>15.0</v>
      </c>
      <c r="G1863" s="2">
        <v>16.0</v>
      </c>
      <c r="H1863" s="2">
        <v>11.0</v>
      </c>
      <c r="I1863" s="2">
        <v>5.0</v>
      </c>
      <c r="J1863" s="2">
        <v>0.0</v>
      </c>
      <c r="K1863" s="2">
        <v>0.0</v>
      </c>
      <c r="L1863" s="2">
        <v>0.0</v>
      </c>
      <c r="M1863" s="2">
        <v>4.0</v>
      </c>
      <c r="N1863" s="2"/>
      <c r="O1863" s="2"/>
      <c r="P1863" s="2" t="s">
        <v>153</v>
      </c>
    </row>
    <row r="1864">
      <c r="A1864" s="3" t="s">
        <v>61</v>
      </c>
      <c r="B1864" s="2" t="s">
        <v>17</v>
      </c>
      <c r="C1864" s="2" t="s">
        <v>18</v>
      </c>
      <c r="D1864" s="2" t="s">
        <v>157</v>
      </c>
      <c r="E1864" s="2" t="s">
        <v>193</v>
      </c>
      <c r="F1864" s="2">
        <v>12.0</v>
      </c>
      <c r="G1864" s="2">
        <v>1.0</v>
      </c>
      <c r="H1864" s="2">
        <v>1.0</v>
      </c>
      <c r="I1864" s="2">
        <v>0.0</v>
      </c>
      <c r="J1864" s="2">
        <v>0.0</v>
      </c>
      <c r="K1864" s="2">
        <v>0.0</v>
      </c>
      <c r="L1864" s="2">
        <v>0.0</v>
      </c>
      <c r="M1864" s="2">
        <v>11.0</v>
      </c>
      <c r="N1864" s="2"/>
      <c r="O1864" s="2"/>
      <c r="P1864" s="2" t="s">
        <v>153</v>
      </c>
    </row>
    <row r="1865">
      <c r="A1865" s="3" t="s">
        <v>62</v>
      </c>
      <c r="B1865" s="2" t="s">
        <v>17</v>
      </c>
      <c r="C1865" s="2" t="s">
        <v>18</v>
      </c>
      <c r="D1865" s="2" t="s">
        <v>157</v>
      </c>
      <c r="E1865" s="2" t="s">
        <v>192</v>
      </c>
      <c r="F1865" s="2">
        <v>8.0</v>
      </c>
      <c r="G1865" s="2">
        <v>8.0</v>
      </c>
      <c r="H1865" s="2">
        <v>5.0</v>
      </c>
      <c r="I1865" s="2">
        <v>3.0</v>
      </c>
      <c r="J1865" s="2">
        <v>0.0</v>
      </c>
      <c r="K1865" s="2">
        <v>0.0</v>
      </c>
      <c r="L1865" s="2">
        <v>0.0</v>
      </c>
      <c r="M1865" s="2">
        <v>3.0</v>
      </c>
      <c r="N1865" s="2"/>
      <c r="O1865" s="2"/>
      <c r="P1865" s="2" t="s">
        <v>153</v>
      </c>
    </row>
    <row r="1866">
      <c r="A1866" s="3" t="s">
        <v>63</v>
      </c>
      <c r="B1866" s="2" t="s">
        <v>17</v>
      </c>
      <c r="C1866" s="2" t="s">
        <v>18</v>
      </c>
      <c r="D1866" s="2" t="s">
        <v>157</v>
      </c>
      <c r="E1866" s="2" t="s">
        <v>316</v>
      </c>
      <c r="F1866" s="2">
        <v>8.0</v>
      </c>
      <c r="G1866" s="2">
        <v>18.0</v>
      </c>
      <c r="H1866" s="2">
        <v>9.0</v>
      </c>
      <c r="I1866" s="2">
        <v>9.0</v>
      </c>
      <c r="J1866" s="2">
        <v>0.0</v>
      </c>
      <c r="K1866" s="2">
        <v>0.0</v>
      </c>
      <c r="L1866" s="2">
        <v>0.0</v>
      </c>
      <c r="M1866" s="2">
        <v>-1.0</v>
      </c>
      <c r="N1866" s="2"/>
      <c r="O1866" s="2"/>
      <c r="P1866" s="2" t="s">
        <v>153</v>
      </c>
    </row>
    <row r="1867">
      <c r="A1867" s="3" t="s">
        <v>64</v>
      </c>
      <c r="B1867" s="2" t="s">
        <v>17</v>
      </c>
      <c r="C1867" s="2" t="s">
        <v>18</v>
      </c>
      <c r="D1867" s="2" t="s">
        <v>157</v>
      </c>
      <c r="E1867" s="2" t="s">
        <v>314</v>
      </c>
      <c r="F1867" s="2">
        <v>7.0</v>
      </c>
      <c r="G1867" s="2">
        <v>4.0</v>
      </c>
      <c r="H1867" s="2">
        <v>3.0</v>
      </c>
      <c r="I1867" s="2">
        <v>1.0</v>
      </c>
      <c r="J1867" s="2">
        <v>0.0</v>
      </c>
      <c r="K1867" s="2">
        <v>0.0</v>
      </c>
      <c r="L1867" s="2">
        <v>0.0</v>
      </c>
      <c r="M1867" s="2">
        <v>4.0</v>
      </c>
      <c r="N1867" s="2"/>
      <c r="O1867" s="2"/>
      <c r="P1867" s="2" t="s">
        <v>153</v>
      </c>
    </row>
    <row r="1868">
      <c r="A1868" s="3" t="s">
        <v>65</v>
      </c>
      <c r="B1868" s="2" t="s">
        <v>17</v>
      </c>
      <c r="C1868" s="2" t="s">
        <v>18</v>
      </c>
      <c r="D1868" s="2" t="s">
        <v>157</v>
      </c>
      <c r="E1868" s="2" t="s">
        <v>179</v>
      </c>
      <c r="F1868" s="2">
        <v>8.0</v>
      </c>
      <c r="G1868" s="2">
        <v>1.0</v>
      </c>
      <c r="H1868" s="2">
        <v>1.0</v>
      </c>
      <c r="I1868" s="2">
        <v>0.0</v>
      </c>
      <c r="J1868" s="2">
        <v>0.0</v>
      </c>
      <c r="K1868" s="2">
        <v>0.0</v>
      </c>
      <c r="L1868" s="2">
        <v>0.0</v>
      </c>
      <c r="M1868" s="2">
        <v>7.0</v>
      </c>
      <c r="N1868" s="2"/>
      <c r="O1868" s="2"/>
      <c r="P1868" s="2" t="s">
        <v>153</v>
      </c>
    </row>
    <row r="1869">
      <c r="A1869" s="3" t="s">
        <v>66</v>
      </c>
      <c r="B1869" s="2" t="s">
        <v>17</v>
      </c>
      <c r="C1869" s="2" t="s">
        <v>18</v>
      </c>
      <c r="D1869" s="2" t="s">
        <v>157</v>
      </c>
      <c r="E1869" s="2" t="s">
        <v>315</v>
      </c>
      <c r="F1869" s="2">
        <v>8.0</v>
      </c>
      <c r="G1869" s="2">
        <v>2.0</v>
      </c>
      <c r="H1869" s="2">
        <v>1.0</v>
      </c>
      <c r="I1869" s="2">
        <v>1.0</v>
      </c>
      <c r="J1869" s="2">
        <v>0.0</v>
      </c>
      <c r="K1869" s="2">
        <v>0.0</v>
      </c>
      <c r="L1869" s="2">
        <v>0.0</v>
      </c>
      <c r="M1869" s="2">
        <v>7.0</v>
      </c>
      <c r="N1869" s="2"/>
      <c r="O1869" s="2"/>
      <c r="P1869" s="2" t="s">
        <v>153</v>
      </c>
    </row>
    <row r="1870">
      <c r="A1870" s="3" t="s">
        <v>68</v>
      </c>
      <c r="B1870" s="2" t="s">
        <v>17</v>
      </c>
      <c r="C1870" s="2" t="s">
        <v>18</v>
      </c>
      <c r="D1870" s="2" t="s">
        <v>23</v>
      </c>
      <c r="E1870" s="2" t="s">
        <v>169</v>
      </c>
      <c r="F1870" s="2">
        <v>4.0</v>
      </c>
      <c r="G1870" s="2">
        <v>6.0</v>
      </c>
      <c r="H1870" s="2">
        <v>4.0</v>
      </c>
      <c r="I1870" s="2">
        <v>2.0</v>
      </c>
      <c r="J1870" s="2">
        <v>0.0</v>
      </c>
      <c r="K1870" s="2">
        <v>0.0</v>
      </c>
      <c r="L1870" s="2">
        <v>0.0</v>
      </c>
      <c r="M1870" s="2">
        <v>0.0</v>
      </c>
      <c r="N1870" s="2">
        <v>-11.0</v>
      </c>
      <c r="O1870" s="2">
        <v>-4.0</v>
      </c>
      <c r="P1870" s="2" t="s">
        <v>153</v>
      </c>
    </row>
    <row r="1871">
      <c r="A1871" s="3" t="s">
        <v>70</v>
      </c>
      <c r="B1871" s="2" t="s">
        <v>17</v>
      </c>
      <c r="C1871" s="2" t="s">
        <v>18</v>
      </c>
      <c r="D1871" s="2" t="s">
        <v>23</v>
      </c>
      <c r="E1871" s="2" t="s">
        <v>197</v>
      </c>
      <c r="F1871" s="2">
        <v>11.0</v>
      </c>
      <c r="G1871" s="2">
        <v>16.0</v>
      </c>
      <c r="H1871" s="2">
        <v>11.0</v>
      </c>
      <c r="I1871" s="2">
        <v>5.0</v>
      </c>
      <c r="J1871" s="2">
        <v>0.0</v>
      </c>
      <c r="K1871" s="2">
        <v>0.0</v>
      </c>
      <c r="L1871" s="2">
        <v>0.0</v>
      </c>
      <c r="M1871" s="2">
        <v>0.0</v>
      </c>
      <c r="N1871" s="2">
        <v>-4.0</v>
      </c>
      <c r="O1871" s="2">
        <v>-11.0</v>
      </c>
      <c r="P1871" s="2" t="s">
        <v>153</v>
      </c>
    </row>
    <row r="1872">
      <c r="A1872" s="3" t="s">
        <v>16</v>
      </c>
      <c r="B1872" s="2" t="s">
        <v>17</v>
      </c>
      <c r="C1872" s="2" t="s">
        <v>18</v>
      </c>
      <c r="D1872" s="2" t="s">
        <v>23</v>
      </c>
      <c r="E1872" s="2" t="s">
        <v>193</v>
      </c>
      <c r="F1872" s="2">
        <v>7.0</v>
      </c>
      <c r="G1872" s="2">
        <v>1.0</v>
      </c>
      <c r="H1872" s="2">
        <v>1.0</v>
      </c>
      <c r="I1872" s="2">
        <v>0.0</v>
      </c>
      <c r="J1872" s="2">
        <v>0.0</v>
      </c>
      <c r="K1872" s="2">
        <v>0.0</v>
      </c>
      <c r="L1872" s="2">
        <v>0.0</v>
      </c>
      <c r="M1872" s="2">
        <v>6.0</v>
      </c>
      <c r="N1872" s="2">
        <v>-5.0</v>
      </c>
      <c r="O1872" s="2">
        <v>5.0</v>
      </c>
      <c r="P1872" s="2" t="s">
        <v>153</v>
      </c>
    </row>
    <row r="1873">
      <c r="A1873" s="3" t="s">
        <v>71</v>
      </c>
      <c r="B1873" s="2" t="s">
        <v>17</v>
      </c>
      <c r="C1873" s="2" t="s">
        <v>18</v>
      </c>
      <c r="D1873" s="2" t="s">
        <v>23</v>
      </c>
      <c r="E1873" s="2" t="s">
        <v>192</v>
      </c>
      <c r="F1873" s="2">
        <v>5.0</v>
      </c>
      <c r="G1873" s="2">
        <v>8.0</v>
      </c>
      <c r="H1873" s="2">
        <v>5.0</v>
      </c>
      <c r="I1873" s="2">
        <v>3.0</v>
      </c>
      <c r="J1873" s="2">
        <v>0.0</v>
      </c>
      <c r="K1873" s="2">
        <v>0.0</v>
      </c>
      <c r="L1873" s="2">
        <v>0.0</v>
      </c>
      <c r="M1873" s="2">
        <v>0.0</v>
      </c>
      <c r="N1873" s="2">
        <v>-3.0</v>
      </c>
      <c r="O1873" s="2">
        <v>-5.0</v>
      </c>
      <c r="P1873" s="2" t="s">
        <v>153</v>
      </c>
    </row>
    <row r="1874">
      <c r="A1874" s="3" t="s">
        <v>72</v>
      </c>
      <c r="B1874" s="2" t="s">
        <v>17</v>
      </c>
      <c r="C1874" s="2" t="s">
        <v>18</v>
      </c>
      <c r="D1874" s="2" t="s">
        <v>23</v>
      </c>
      <c r="E1874" s="2" t="s">
        <v>316</v>
      </c>
      <c r="F1874" s="2">
        <v>8.0</v>
      </c>
      <c r="G1874" s="2">
        <v>18.0</v>
      </c>
      <c r="H1874" s="2">
        <v>9.0</v>
      </c>
      <c r="I1874" s="2">
        <v>9.0</v>
      </c>
      <c r="J1874" s="2">
        <v>0.0</v>
      </c>
      <c r="K1874" s="2">
        <v>0.0</v>
      </c>
      <c r="L1874" s="2">
        <v>0.0</v>
      </c>
      <c r="M1874" s="2">
        <v>-1.0</v>
      </c>
      <c r="N1874" s="2">
        <v>0.0</v>
      </c>
      <c r="O1874" s="2">
        <v>-10.0</v>
      </c>
      <c r="P1874" s="2" t="s">
        <v>153</v>
      </c>
    </row>
    <row r="1875">
      <c r="A1875" s="3" t="s">
        <v>73</v>
      </c>
      <c r="B1875" s="2" t="s">
        <v>17</v>
      </c>
      <c r="C1875" s="2" t="s">
        <v>18</v>
      </c>
      <c r="D1875" s="2" t="s">
        <v>23</v>
      </c>
      <c r="E1875" s="2" t="s">
        <v>314</v>
      </c>
      <c r="F1875" s="2">
        <v>3.0</v>
      </c>
      <c r="G1875" s="2">
        <v>4.0</v>
      </c>
      <c r="H1875" s="2">
        <v>3.0</v>
      </c>
      <c r="I1875" s="2">
        <v>1.0</v>
      </c>
      <c r="J1875" s="2">
        <v>0.0</v>
      </c>
      <c r="K1875" s="2">
        <v>0.0</v>
      </c>
      <c r="L1875" s="2">
        <v>0.0</v>
      </c>
      <c r="M1875" s="2">
        <v>0.0</v>
      </c>
      <c r="N1875" s="2">
        <v>-4.0</v>
      </c>
      <c r="O1875" s="2">
        <v>-3.0</v>
      </c>
      <c r="P1875" s="2" t="s">
        <v>153</v>
      </c>
    </row>
    <row r="1876">
      <c r="A1876" s="3" t="s">
        <v>74</v>
      </c>
      <c r="B1876" s="2" t="s">
        <v>17</v>
      </c>
      <c r="C1876" s="2" t="s">
        <v>18</v>
      </c>
      <c r="D1876" s="2" t="s">
        <v>23</v>
      </c>
      <c r="E1876" s="2" t="s">
        <v>179</v>
      </c>
      <c r="F1876" s="2">
        <v>1.0</v>
      </c>
      <c r="G1876" s="2">
        <v>1.0</v>
      </c>
      <c r="H1876" s="2">
        <v>1.0</v>
      </c>
      <c r="I1876" s="2">
        <v>0.0</v>
      </c>
      <c r="J1876" s="2">
        <v>0.0</v>
      </c>
      <c r="K1876" s="2">
        <v>0.0</v>
      </c>
      <c r="L1876" s="2">
        <v>0.0</v>
      </c>
      <c r="M1876" s="2">
        <v>0.0</v>
      </c>
      <c r="N1876" s="2">
        <v>-7.0</v>
      </c>
      <c r="O1876" s="2">
        <v>-1.0</v>
      </c>
      <c r="P1876" s="2" t="s">
        <v>153</v>
      </c>
    </row>
    <row r="1877">
      <c r="A1877" s="3" t="s">
        <v>75</v>
      </c>
      <c r="B1877" s="2" t="s">
        <v>17</v>
      </c>
      <c r="C1877" s="2" t="s">
        <v>18</v>
      </c>
      <c r="D1877" s="2" t="s">
        <v>23</v>
      </c>
      <c r="E1877" s="2" t="s">
        <v>315</v>
      </c>
      <c r="F1877" s="2">
        <v>2.0</v>
      </c>
      <c r="G1877" s="2">
        <v>2.0</v>
      </c>
      <c r="H1877" s="2">
        <v>1.0</v>
      </c>
      <c r="I1877" s="2">
        <v>1.0</v>
      </c>
      <c r="J1877" s="2">
        <v>0.0</v>
      </c>
      <c r="K1877" s="2">
        <v>0.0</v>
      </c>
      <c r="L1877" s="2">
        <v>0.0</v>
      </c>
      <c r="M1877" s="2">
        <v>1.0</v>
      </c>
      <c r="N1877" s="2">
        <v>-6.0</v>
      </c>
      <c r="O1877" s="2">
        <v>0.0</v>
      </c>
      <c r="P1877" s="2" t="s">
        <v>153</v>
      </c>
    </row>
    <row r="1878">
      <c r="A1878" s="3" t="s">
        <v>76</v>
      </c>
      <c r="B1878" s="4">
        <v>45232.25</v>
      </c>
      <c r="C1878" s="2" t="s">
        <v>18</v>
      </c>
      <c r="D1878" s="2" t="s">
        <v>157</v>
      </c>
      <c r="E1878" s="2" t="s">
        <v>169</v>
      </c>
      <c r="F1878" s="2"/>
      <c r="G1878" s="2">
        <v>4.0</v>
      </c>
      <c r="H1878" s="2">
        <v>3.0</v>
      </c>
      <c r="I1878" s="2">
        <v>1.0</v>
      </c>
      <c r="J1878" s="2">
        <v>0.0</v>
      </c>
      <c r="K1878" s="2">
        <v>0.0</v>
      </c>
      <c r="L1878" s="2">
        <v>0.0</v>
      </c>
      <c r="M1878" s="2"/>
      <c r="N1878" s="2"/>
      <c r="O1878" s="2"/>
      <c r="P1878" s="2" t="s">
        <v>153</v>
      </c>
    </row>
    <row r="1879">
      <c r="A1879" s="3" t="s">
        <v>77</v>
      </c>
      <c r="B1879" s="4">
        <v>45233.25</v>
      </c>
      <c r="C1879" s="2" t="s">
        <v>18</v>
      </c>
      <c r="D1879" s="2" t="s">
        <v>157</v>
      </c>
      <c r="E1879" s="2" t="s">
        <v>197</v>
      </c>
      <c r="F1879" s="2"/>
      <c r="G1879" s="2">
        <v>5.0</v>
      </c>
      <c r="H1879" s="2">
        <v>5.0</v>
      </c>
      <c r="I1879" s="2">
        <v>0.0</v>
      </c>
      <c r="J1879" s="2">
        <v>0.0</v>
      </c>
      <c r="K1879" s="2">
        <v>0.0</v>
      </c>
      <c r="L1879" s="2">
        <v>0.0</v>
      </c>
      <c r="M1879" s="2"/>
      <c r="N1879" s="2"/>
      <c r="O1879" s="2"/>
      <c r="P1879" s="2" t="s">
        <v>153</v>
      </c>
    </row>
    <row r="1880">
      <c r="A1880" s="3" t="s">
        <v>78</v>
      </c>
      <c r="B1880" s="4">
        <v>45234.25</v>
      </c>
      <c r="C1880" s="2" t="s">
        <v>18</v>
      </c>
      <c r="D1880" s="2" t="s">
        <v>157</v>
      </c>
      <c r="E1880" s="2" t="s">
        <v>193</v>
      </c>
      <c r="F1880" s="2"/>
      <c r="G1880" s="2">
        <v>0.0</v>
      </c>
      <c r="H1880" s="2">
        <v>0.0</v>
      </c>
      <c r="I1880" s="2">
        <v>0.0</v>
      </c>
      <c r="J1880" s="2">
        <v>0.0</v>
      </c>
      <c r="K1880" s="2">
        <v>0.0</v>
      </c>
      <c r="L1880" s="2">
        <v>0.0</v>
      </c>
      <c r="M1880" s="2"/>
      <c r="N1880" s="2"/>
      <c r="O1880" s="2"/>
      <c r="P1880" s="2" t="s">
        <v>153</v>
      </c>
    </row>
    <row r="1881">
      <c r="A1881" s="3" t="s">
        <v>81</v>
      </c>
      <c r="B1881" s="4">
        <v>45235.25</v>
      </c>
      <c r="C1881" s="2" t="s">
        <v>18</v>
      </c>
      <c r="D1881" s="2" t="s">
        <v>157</v>
      </c>
      <c r="E1881" s="2" t="s">
        <v>192</v>
      </c>
      <c r="F1881" s="2"/>
      <c r="G1881" s="2">
        <v>3.0</v>
      </c>
      <c r="H1881" s="2">
        <v>3.0</v>
      </c>
      <c r="I1881" s="2">
        <v>0.0</v>
      </c>
      <c r="J1881" s="2">
        <v>0.0</v>
      </c>
      <c r="K1881" s="2">
        <v>0.0</v>
      </c>
      <c r="L1881" s="2">
        <v>0.0</v>
      </c>
      <c r="M1881" s="2"/>
      <c r="N1881" s="2"/>
      <c r="O1881" s="2"/>
      <c r="P1881" s="2" t="s">
        <v>153</v>
      </c>
    </row>
    <row r="1882">
      <c r="A1882" s="3" t="s">
        <v>82</v>
      </c>
      <c r="B1882" s="4">
        <v>45236.29166666667</v>
      </c>
      <c r="C1882" s="2" t="s">
        <v>18</v>
      </c>
      <c r="D1882" s="2" t="s">
        <v>157</v>
      </c>
      <c r="E1882" s="2" t="s">
        <v>316</v>
      </c>
      <c r="F1882" s="2"/>
      <c r="G1882" s="2">
        <v>8.0</v>
      </c>
      <c r="H1882" s="2">
        <v>4.0</v>
      </c>
      <c r="I1882" s="2">
        <v>4.0</v>
      </c>
      <c r="J1882" s="2">
        <v>0.0</v>
      </c>
      <c r="K1882" s="2">
        <v>0.0</v>
      </c>
      <c r="L1882" s="2">
        <v>0.0</v>
      </c>
      <c r="M1882" s="2"/>
      <c r="N1882" s="2"/>
      <c r="O1882" s="2"/>
      <c r="P1882" s="2" t="s">
        <v>153</v>
      </c>
    </row>
    <row r="1883">
      <c r="A1883" s="3" t="s">
        <v>83</v>
      </c>
      <c r="B1883" s="4">
        <v>45237.29166666667</v>
      </c>
      <c r="C1883" s="2" t="s">
        <v>18</v>
      </c>
      <c r="D1883" s="2" t="s">
        <v>157</v>
      </c>
      <c r="E1883" s="2" t="s">
        <v>314</v>
      </c>
      <c r="F1883" s="2"/>
      <c r="G1883" s="2">
        <v>0.0</v>
      </c>
      <c r="H1883" s="2">
        <v>0.0</v>
      </c>
      <c r="I1883" s="2">
        <v>0.0</v>
      </c>
      <c r="J1883" s="2">
        <v>0.0</v>
      </c>
      <c r="K1883" s="2">
        <v>0.0</v>
      </c>
      <c r="L1883" s="2">
        <v>0.0</v>
      </c>
      <c r="M1883" s="2"/>
      <c r="N1883" s="2"/>
      <c r="O1883" s="2"/>
      <c r="P1883" s="2" t="s">
        <v>153</v>
      </c>
    </row>
    <row r="1884">
      <c r="A1884" s="3" t="s">
        <v>84</v>
      </c>
      <c r="B1884" s="4">
        <v>45238.29166666667</v>
      </c>
      <c r="C1884" s="2" t="s">
        <v>18</v>
      </c>
      <c r="D1884" s="2" t="s">
        <v>157</v>
      </c>
      <c r="E1884" s="2" t="s">
        <v>179</v>
      </c>
      <c r="F1884" s="2"/>
      <c r="G1884" s="2">
        <v>1.0</v>
      </c>
      <c r="H1884" s="2">
        <v>1.0</v>
      </c>
      <c r="I1884" s="2">
        <v>0.0</v>
      </c>
      <c r="J1884" s="2">
        <v>0.0</v>
      </c>
      <c r="K1884" s="2">
        <v>0.0</v>
      </c>
      <c r="L1884" s="2">
        <v>0.0</v>
      </c>
      <c r="M1884" s="2"/>
      <c r="N1884" s="2"/>
      <c r="O1884" s="2"/>
      <c r="P1884" s="2" t="s">
        <v>153</v>
      </c>
    </row>
    <row r="1885">
      <c r="A1885" s="3" t="s">
        <v>85</v>
      </c>
      <c r="B1885" s="4">
        <v>45239.29166666667</v>
      </c>
      <c r="C1885" s="2" t="s">
        <v>18</v>
      </c>
      <c r="D1885" s="2" t="s">
        <v>157</v>
      </c>
      <c r="E1885" s="2" t="s">
        <v>315</v>
      </c>
      <c r="F1885" s="2"/>
      <c r="G1885" s="2">
        <v>0.0</v>
      </c>
      <c r="H1885" s="2">
        <v>0.0</v>
      </c>
      <c r="I1885" s="2">
        <v>0.0</v>
      </c>
      <c r="J1885" s="2">
        <v>0.0</v>
      </c>
      <c r="K1885" s="2">
        <v>0.0</v>
      </c>
      <c r="L1885" s="2">
        <v>0.0</v>
      </c>
      <c r="M1885" s="2"/>
      <c r="N1885" s="2"/>
      <c r="O1885" s="2"/>
      <c r="P1885" s="2" t="s">
        <v>153</v>
      </c>
    </row>
    <row r="1886">
      <c r="A1886" s="3" t="s">
        <v>86</v>
      </c>
      <c r="B1886" s="4">
        <v>45261.29166666667</v>
      </c>
      <c r="C1886" s="2" t="s">
        <v>18</v>
      </c>
      <c r="D1886" s="2" t="s">
        <v>157</v>
      </c>
      <c r="E1886" s="2" t="s">
        <v>169</v>
      </c>
      <c r="F1886" s="2"/>
      <c r="G1886" s="2">
        <v>2.0</v>
      </c>
      <c r="H1886" s="2">
        <v>1.0</v>
      </c>
      <c r="I1886" s="2">
        <v>1.0</v>
      </c>
      <c r="J1886" s="2">
        <v>0.0</v>
      </c>
      <c r="K1886" s="2">
        <v>0.0</v>
      </c>
      <c r="L1886" s="2">
        <v>0.0</v>
      </c>
      <c r="M1886" s="2"/>
      <c r="N1886" s="2"/>
      <c r="O1886" s="2"/>
      <c r="P1886" s="2" t="s">
        <v>153</v>
      </c>
    </row>
    <row r="1887">
      <c r="A1887" s="3" t="s">
        <v>87</v>
      </c>
      <c r="B1887" s="4">
        <v>45261.29166666667</v>
      </c>
      <c r="C1887" s="2" t="s">
        <v>18</v>
      </c>
      <c r="D1887" s="2" t="s">
        <v>157</v>
      </c>
      <c r="E1887" s="2" t="s">
        <v>197</v>
      </c>
      <c r="F1887" s="2"/>
      <c r="G1887" s="2">
        <v>11.0</v>
      </c>
      <c r="H1887" s="2">
        <v>6.0</v>
      </c>
      <c r="I1887" s="2">
        <v>5.0</v>
      </c>
      <c r="J1887" s="2">
        <v>0.0</v>
      </c>
      <c r="K1887" s="2">
        <v>0.0</v>
      </c>
      <c r="L1887" s="2">
        <v>0.0</v>
      </c>
      <c r="M1887" s="2"/>
      <c r="N1887" s="2"/>
      <c r="O1887" s="2"/>
      <c r="P1887" s="2" t="s">
        <v>153</v>
      </c>
    </row>
    <row r="1888">
      <c r="A1888" s="3" t="s">
        <v>88</v>
      </c>
      <c r="B1888" s="4">
        <v>45261.29166666667</v>
      </c>
      <c r="C1888" s="2" t="s">
        <v>18</v>
      </c>
      <c r="D1888" s="2" t="s">
        <v>157</v>
      </c>
      <c r="E1888" s="2" t="s">
        <v>193</v>
      </c>
      <c r="F1888" s="2"/>
      <c r="G1888" s="2">
        <v>1.0</v>
      </c>
      <c r="H1888" s="2">
        <v>1.0</v>
      </c>
      <c r="I1888" s="2">
        <v>0.0</v>
      </c>
      <c r="J1888" s="2">
        <v>0.0</v>
      </c>
      <c r="K1888" s="2">
        <v>0.0</v>
      </c>
      <c r="L1888" s="2">
        <v>0.0</v>
      </c>
      <c r="M1888" s="2"/>
      <c r="N1888" s="2"/>
      <c r="O1888" s="2"/>
      <c r="P1888" s="2" t="s">
        <v>153</v>
      </c>
    </row>
    <row r="1889">
      <c r="A1889" s="3" t="s">
        <v>89</v>
      </c>
      <c r="B1889" s="4">
        <v>45261.29166666667</v>
      </c>
      <c r="C1889" s="2" t="s">
        <v>18</v>
      </c>
      <c r="D1889" s="2" t="s">
        <v>157</v>
      </c>
      <c r="E1889" s="2" t="s">
        <v>192</v>
      </c>
      <c r="F1889" s="2"/>
      <c r="G1889" s="2">
        <v>5.0</v>
      </c>
      <c r="H1889" s="2">
        <v>2.0</v>
      </c>
      <c r="I1889" s="2">
        <v>3.0</v>
      </c>
      <c r="J1889" s="2">
        <v>0.0</v>
      </c>
      <c r="K1889" s="2">
        <v>0.0</v>
      </c>
      <c r="L1889" s="2">
        <v>0.0</v>
      </c>
      <c r="M1889" s="2"/>
      <c r="N1889" s="2"/>
      <c r="O1889" s="2"/>
      <c r="P1889" s="2" t="s">
        <v>153</v>
      </c>
    </row>
    <row r="1890">
      <c r="A1890" s="3" t="s">
        <v>90</v>
      </c>
      <c r="B1890" s="4">
        <v>45261.29166666667</v>
      </c>
      <c r="C1890" s="2" t="s">
        <v>18</v>
      </c>
      <c r="D1890" s="2" t="s">
        <v>157</v>
      </c>
      <c r="E1890" s="2" t="s">
        <v>316</v>
      </c>
      <c r="F1890" s="2"/>
      <c r="G1890" s="2">
        <v>10.0</v>
      </c>
      <c r="H1890" s="2">
        <v>5.0</v>
      </c>
      <c r="I1890" s="2">
        <v>5.0</v>
      </c>
      <c r="J1890" s="2">
        <v>0.0</v>
      </c>
      <c r="K1890" s="2">
        <v>0.0</v>
      </c>
      <c r="L1890" s="2">
        <v>0.0</v>
      </c>
      <c r="M1890" s="2"/>
      <c r="N1890" s="2"/>
      <c r="O1890" s="2"/>
      <c r="P1890" s="2" t="s">
        <v>153</v>
      </c>
    </row>
    <row r="1891">
      <c r="A1891" s="3" t="s">
        <v>93</v>
      </c>
      <c r="B1891" s="4">
        <v>45261.29166666667</v>
      </c>
      <c r="C1891" s="2" t="s">
        <v>18</v>
      </c>
      <c r="D1891" s="2" t="s">
        <v>157</v>
      </c>
      <c r="E1891" s="2" t="s">
        <v>314</v>
      </c>
      <c r="F1891" s="2"/>
      <c r="G1891" s="2">
        <v>4.0</v>
      </c>
      <c r="H1891" s="2">
        <v>3.0</v>
      </c>
      <c r="I1891" s="2">
        <v>1.0</v>
      </c>
      <c r="J1891" s="2">
        <v>0.0</v>
      </c>
      <c r="K1891" s="2">
        <v>0.0</v>
      </c>
      <c r="L1891" s="2">
        <v>0.0</v>
      </c>
      <c r="M1891" s="2"/>
      <c r="N1891" s="2"/>
      <c r="O1891" s="2"/>
      <c r="P1891" s="2" t="s">
        <v>153</v>
      </c>
    </row>
    <row r="1892">
      <c r="A1892" s="3" t="s">
        <v>16</v>
      </c>
      <c r="B1892" s="4">
        <v>45261.29166666667</v>
      </c>
      <c r="C1892" s="2" t="s">
        <v>18</v>
      </c>
      <c r="D1892" s="2" t="s">
        <v>157</v>
      </c>
      <c r="E1892" s="2" t="s">
        <v>179</v>
      </c>
      <c r="F1892" s="2"/>
      <c r="G1892" s="2">
        <v>0.0</v>
      </c>
      <c r="H1892" s="2">
        <v>0.0</v>
      </c>
      <c r="I1892" s="2">
        <v>0.0</v>
      </c>
      <c r="J1892" s="2">
        <v>0.0</v>
      </c>
      <c r="K1892" s="2">
        <v>0.0</v>
      </c>
      <c r="L1892" s="2">
        <v>0.0</v>
      </c>
      <c r="M1892" s="2"/>
      <c r="N1892" s="2"/>
      <c r="O1892" s="2"/>
      <c r="P1892" s="2" t="s">
        <v>153</v>
      </c>
    </row>
    <row r="1893">
      <c r="A1893" s="3" t="s">
        <v>94</v>
      </c>
      <c r="B1893" s="4">
        <v>45261.29166666667</v>
      </c>
      <c r="C1893" s="2" t="s">
        <v>18</v>
      </c>
      <c r="D1893" s="2" t="s">
        <v>157</v>
      </c>
      <c r="E1893" s="2" t="s">
        <v>315</v>
      </c>
      <c r="F1893" s="2"/>
      <c r="G1893" s="2">
        <v>2.0</v>
      </c>
      <c r="H1893" s="2">
        <v>1.0</v>
      </c>
      <c r="I1893" s="2">
        <v>1.0</v>
      </c>
      <c r="J1893" s="2">
        <v>0.0</v>
      </c>
      <c r="K1893" s="2">
        <v>0.0</v>
      </c>
      <c r="L1893" s="2">
        <v>0.0</v>
      </c>
      <c r="M1893" s="2"/>
      <c r="N1893" s="2"/>
      <c r="O1893" s="2"/>
      <c r="P1893" s="2" t="s">
        <v>153</v>
      </c>
    </row>
    <row r="1894">
      <c r="A1894" s="3" t="s">
        <v>95</v>
      </c>
      <c r="B1894" s="2" t="s">
        <v>17</v>
      </c>
      <c r="C1894" s="2" t="s">
        <v>18</v>
      </c>
      <c r="D1894" s="2" t="s">
        <v>164</v>
      </c>
      <c r="E1894" s="2" t="s">
        <v>288</v>
      </c>
      <c r="F1894" s="2">
        <v>178.0</v>
      </c>
      <c r="G1894" s="2">
        <v>53.0</v>
      </c>
      <c r="H1894" s="2">
        <v>23.0</v>
      </c>
      <c r="I1894" s="2">
        <v>30.0</v>
      </c>
      <c r="J1894" s="2">
        <v>0.0</v>
      </c>
      <c r="K1894" s="2">
        <v>0.0</v>
      </c>
      <c r="L1894" s="2">
        <v>0.0</v>
      </c>
      <c r="M1894" s="2">
        <v>155.0</v>
      </c>
      <c r="N1894" s="2"/>
      <c r="O1894" s="2"/>
      <c r="P1894" s="2" t="s">
        <v>166</v>
      </c>
    </row>
    <row r="1895">
      <c r="A1895" s="3" t="s">
        <v>97</v>
      </c>
      <c r="B1895" s="2" t="s">
        <v>17</v>
      </c>
      <c r="C1895" s="2" t="s">
        <v>18</v>
      </c>
      <c r="D1895" s="2" t="s">
        <v>164</v>
      </c>
      <c r="E1895" s="2" t="s">
        <v>289</v>
      </c>
      <c r="F1895" s="2">
        <v>178.0</v>
      </c>
      <c r="G1895" s="2">
        <v>0.0</v>
      </c>
      <c r="H1895" s="2">
        <v>0.0</v>
      </c>
      <c r="I1895" s="2">
        <v>0.0</v>
      </c>
      <c r="J1895" s="2">
        <v>0.0</v>
      </c>
      <c r="K1895" s="2">
        <v>0.0</v>
      </c>
      <c r="L1895" s="2">
        <v>0.0</v>
      </c>
      <c r="M1895" s="2">
        <v>178.0</v>
      </c>
      <c r="N1895" s="2"/>
      <c r="O1895" s="2"/>
      <c r="P1895" s="2" t="s">
        <v>166</v>
      </c>
    </row>
    <row r="1896">
      <c r="A1896" s="3" t="s">
        <v>98</v>
      </c>
      <c r="B1896" s="2" t="s">
        <v>17</v>
      </c>
      <c r="C1896" s="2" t="s">
        <v>18</v>
      </c>
      <c r="D1896" s="2" t="s">
        <v>23</v>
      </c>
      <c r="E1896" s="2" t="s">
        <v>288</v>
      </c>
      <c r="F1896" s="2">
        <v>178.0</v>
      </c>
      <c r="G1896" s="2">
        <v>53.0</v>
      </c>
      <c r="H1896" s="2">
        <v>23.0</v>
      </c>
      <c r="I1896" s="2">
        <v>30.0</v>
      </c>
      <c r="J1896" s="2">
        <v>0.0</v>
      </c>
      <c r="K1896" s="2">
        <v>0.0</v>
      </c>
      <c r="L1896" s="2">
        <v>0.0</v>
      </c>
      <c r="M1896" s="2">
        <v>155.0</v>
      </c>
      <c r="N1896" s="2">
        <v>0.0</v>
      </c>
      <c r="O1896" s="2">
        <v>132.0</v>
      </c>
      <c r="P1896" s="2" t="s">
        <v>166</v>
      </c>
    </row>
    <row r="1897">
      <c r="A1897" s="3" t="s">
        <v>99</v>
      </c>
      <c r="B1897" s="2" t="s">
        <v>17</v>
      </c>
      <c r="C1897" s="2" t="s">
        <v>18</v>
      </c>
      <c r="D1897" s="2" t="s">
        <v>23</v>
      </c>
      <c r="E1897" s="2" t="s">
        <v>289</v>
      </c>
      <c r="F1897" s="2">
        <v>178.0</v>
      </c>
      <c r="G1897" s="2">
        <v>0.0</v>
      </c>
      <c r="H1897" s="2">
        <v>0.0</v>
      </c>
      <c r="I1897" s="2">
        <v>0.0</v>
      </c>
      <c r="J1897" s="2">
        <v>0.0</v>
      </c>
      <c r="K1897" s="2">
        <v>0.0</v>
      </c>
      <c r="L1897" s="2">
        <v>0.0</v>
      </c>
      <c r="M1897" s="2">
        <v>178.0</v>
      </c>
      <c r="N1897" s="2">
        <v>0.0</v>
      </c>
      <c r="O1897" s="2">
        <v>178.0</v>
      </c>
      <c r="P1897" s="2" t="s">
        <v>166</v>
      </c>
    </row>
    <row r="1898">
      <c r="A1898" s="3" t="s">
        <v>100</v>
      </c>
      <c r="B1898" s="4">
        <v>45232.25</v>
      </c>
      <c r="C1898" s="2" t="s">
        <v>18</v>
      </c>
      <c r="D1898" s="2" t="s">
        <v>164</v>
      </c>
      <c r="E1898" s="2" t="s">
        <v>288</v>
      </c>
      <c r="F1898" s="2"/>
      <c r="G1898" s="2">
        <v>5.0</v>
      </c>
      <c r="H1898" s="2">
        <v>4.0</v>
      </c>
      <c r="I1898" s="2">
        <v>1.0</v>
      </c>
      <c r="J1898" s="2">
        <v>0.0</v>
      </c>
      <c r="K1898" s="2">
        <v>0.0</v>
      </c>
      <c r="L1898" s="2">
        <v>0.0</v>
      </c>
      <c r="M1898" s="2"/>
      <c r="N1898" s="2"/>
      <c r="O1898" s="2"/>
      <c r="P1898" s="2" t="s">
        <v>166</v>
      </c>
    </row>
    <row r="1899">
      <c r="A1899" s="3" t="s">
        <v>101</v>
      </c>
      <c r="B1899" s="4">
        <v>45262.29166666667</v>
      </c>
      <c r="C1899" s="2" t="s">
        <v>18</v>
      </c>
      <c r="D1899" s="2" t="s">
        <v>164</v>
      </c>
      <c r="E1899" s="2" t="s">
        <v>288</v>
      </c>
      <c r="F1899" s="2"/>
      <c r="G1899" s="2">
        <v>48.0</v>
      </c>
      <c r="H1899" s="2">
        <v>19.0</v>
      </c>
      <c r="I1899" s="2">
        <v>29.0</v>
      </c>
      <c r="J1899" s="2">
        <v>0.0</v>
      </c>
      <c r="K1899" s="2">
        <v>0.0</v>
      </c>
      <c r="L1899" s="2">
        <v>0.0</v>
      </c>
      <c r="M1899" s="2"/>
      <c r="N1899" s="2"/>
      <c r="O1899" s="2"/>
      <c r="P1899" s="2" t="s">
        <v>166</v>
      </c>
    </row>
    <row r="1900">
      <c r="A1900" s="3" t="s">
        <v>102</v>
      </c>
      <c r="B1900" s="2" t="s">
        <v>17</v>
      </c>
      <c r="C1900" s="2" t="s">
        <v>18</v>
      </c>
      <c r="D1900" s="2" t="s">
        <v>19</v>
      </c>
      <c r="E1900" s="2" t="s">
        <v>169</v>
      </c>
      <c r="F1900" s="2">
        <v>52.0</v>
      </c>
      <c r="G1900" s="2">
        <v>39.0</v>
      </c>
      <c r="H1900" s="2">
        <v>37.0</v>
      </c>
      <c r="I1900" s="2">
        <v>2.0</v>
      </c>
      <c r="J1900" s="2">
        <v>0.0</v>
      </c>
      <c r="K1900" s="2">
        <v>0.0</v>
      </c>
      <c r="L1900" s="2">
        <v>0.0</v>
      </c>
      <c r="M1900" s="2">
        <v>15.0</v>
      </c>
      <c r="N1900" s="2"/>
      <c r="O1900" s="2"/>
      <c r="P1900" s="2" t="s">
        <v>80</v>
      </c>
    </row>
    <row r="1901">
      <c r="A1901" s="3" t="s">
        <v>103</v>
      </c>
      <c r="B1901" s="2" t="s">
        <v>17</v>
      </c>
      <c r="C1901" s="2" t="s">
        <v>18</v>
      </c>
      <c r="D1901" s="2" t="s">
        <v>23</v>
      </c>
      <c r="E1901" s="2" t="s">
        <v>169</v>
      </c>
      <c r="F1901" s="2">
        <v>52.0</v>
      </c>
      <c r="G1901" s="2">
        <v>39.0</v>
      </c>
      <c r="H1901" s="2">
        <v>37.0</v>
      </c>
      <c r="I1901" s="2">
        <v>2.0</v>
      </c>
      <c r="J1901" s="2">
        <v>0.0</v>
      </c>
      <c r="K1901" s="2">
        <v>0.0</v>
      </c>
      <c r="L1901" s="2">
        <v>0.0</v>
      </c>
      <c r="M1901" s="2">
        <v>15.0</v>
      </c>
      <c r="N1901" s="2">
        <v>0.0</v>
      </c>
      <c r="O1901" s="2">
        <v>-22.0</v>
      </c>
      <c r="P1901" s="2" t="s">
        <v>80</v>
      </c>
    </row>
    <row r="1902">
      <c r="A1902" s="3" t="s">
        <v>104</v>
      </c>
      <c r="B1902" s="4">
        <v>45262.29166666667</v>
      </c>
      <c r="C1902" s="2" t="s">
        <v>18</v>
      </c>
      <c r="D1902" s="2" t="s">
        <v>19</v>
      </c>
      <c r="E1902" s="2" t="s">
        <v>169</v>
      </c>
      <c r="F1902" s="2"/>
      <c r="G1902" s="2">
        <v>39.0</v>
      </c>
      <c r="H1902" s="2">
        <v>37.0</v>
      </c>
      <c r="I1902" s="2">
        <v>2.0</v>
      </c>
      <c r="J1902" s="2">
        <v>0.0</v>
      </c>
      <c r="K1902" s="2">
        <v>0.0</v>
      </c>
      <c r="L1902" s="2">
        <v>0.0</v>
      </c>
      <c r="M1902" s="2"/>
      <c r="N1902" s="2"/>
      <c r="O1902" s="2"/>
      <c r="P1902" s="2" t="s">
        <v>80</v>
      </c>
    </row>
    <row r="1903">
      <c r="A1903" s="3" t="s">
        <v>105</v>
      </c>
      <c r="B1903" s="2" t="s">
        <v>17</v>
      </c>
      <c r="C1903" s="2" t="s">
        <v>18</v>
      </c>
      <c r="D1903" s="2" t="s">
        <v>91</v>
      </c>
      <c r="E1903" s="2" t="s">
        <v>96</v>
      </c>
      <c r="F1903" s="2">
        <v>51.0</v>
      </c>
      <c r="G1903" s="2">
        <v>74.0</v>
      </c>
      <c r="H1903" s="2">
        <v>48.0</v>
      </c>
      <c r="I1903" s="2">
        <v>26.0</v>
      </c>
      <c r="J1903" s="2">
        <v>0.0</v>
      </c>
      <c r="K1903" s="2">
        <v>0.0</v>
      </c>
      <c r="L1903" s="2">
        <v>0.0</v>
      </c>
      <c r="M1903" s="2">
        <v>3.0</v>
      </c>
      <c r="N1903" s="2"/>
      <c r="O1903" s="2"/>
      <c r="P1903" s="2" t="s">
        <v>153</v>
      </c>
    </row>
    <row r="1904">
      <c r="A1904" s="3" t="s">
        <v>106</v>
      </c>
      <c r="B1904" s="2" t="s">
        <v>17</v>
      </c>
      <c r="C1904" s="2" t="s">
        <v>18</v>
      </c>
      <c r="D1904" s="2" t="s">
        <v>19</v>
      </c>
      <c r="E1904" s="2" t="s">
        <v>96</v>
      </c>
      <c r="F1904" s="2">
        <v>84.0</v>
      </c>
      <c r="G1904" s="2">
        <v>123.0</v>
      </c>
      <c r="H1904" s="2">
        <v>87.0</v>
      </c>
      <c r="I1904" s="2">
        <v>36.0</v>
      </c>
      <c r="J1904" s="2">
        <v>0.0</v>
      </c>
      <c r="K1904" s="2">
        <v>0.0</v>
      </c>
      <c r="L1904" s="2">
        <v>0.0</v>
      </c>
      <c r="M1904" s="2">
        <v>-3.0</v>
      </c>
      <c r="N1904" s="2"/>
      <c r="O1904" s="2"/>
      <c r="P1904" s="2" t="s">
        <v>153</v>
      </c>
    </row>
    <row r="1905">
      <c r="A1905" s="3" t="s">
        <v>107</v>
      </c>
      <c r="B1905" s="2" t="s">
        <v>17</v>
      </c>
      <c r="C1905" s="2" t="s">
        <v>18</v>
      </c>
      <c r="D1905" s="2" t="s">
        <v>23</v>
      </c>
      <c r="E1905" s="2" t="s">
        <v>96</v>
      </c>
      <c r="F1905" s="2">
        <v>135.0</v>
      </c>
      <c r="G1905" s="2">
        <v>197.0</v>
      </c>
      <c r="H1905" s="2">
        <v>135.0</v>
      </c>
      <c r="I1905" s="2">
        <v>62.0</v>
      </c>
      <c r="J1905" s="2">
        <v>0.0</v>
      </c>
      <c r="K1905" s="2">
        <v>0.0</v>
      </c>
      <c r="L1905" s="2">
        <v>0.0</v>
      </c>
      <c r="M1905" s="2">
        <v>0.0</v>
      </c>
      <c r="N1905" s="2">
        <v>0.0</v>
      </c>
      <c r="O1905" s="2">
        <v>-135.0</v>
      </c>
      <c r="P1905" s="2" t="s">
        <v>153</v>
      </c>
    </row>
    <row r="1906">
      <c r="A1906" s="3" t="s">
        <v>108</v>
      </c>
      <c r="B1906" s="4">
        <v>45111.29166666667</v>
      </c>
      <c r="C1906" s="2" t="s">
        <v>18</v>
      </c>
      <c r="D1906" s="2" t="s">
        <v>19</v>
      </c>
      <c r="E1906" s="2" t="s">
        <v>96</v>
      </c>
      <c r="F1906" s="2"/>
      <c r="G1906" s="2">
        <v>33.0</v>
      </c>
      <c r="H1906" s="2">
        <v>24.0</v>
      </c>
      <c r="I1906" s="2">
        <v>9.0</v>
      </c>
      <c r="J1906" s="2">
        <v>0.0</v>
      </c>
      <c r="K1906" s="2">
        <v>0.0</v>
      </c>
      <c r="L1906" s="2">
        <v>0.0</v>
      </c>
      <c r="M1906" s="2"/>
      <c r="N1906" s="2"/>
      <c r="O1906" s="2"/>
      <c r="P1906" s="2" t="s">
        <v>153</v>
      </c>
    </row>
    <row r="1907">
      <c r="A1907" s="3" t="s">
        <v>112</v>
      </c>
      <c r="B1907" s="4">
        <v>45140.29166666667</v>
      </c>
      <c r="C1907" s="2" t="s">
        <v>18</v>
      </c>
      <c r="D1907" s="2" t="s">
        <v>91</v>
      </c>
      <c r="E1907" s="2" t="s">
        <v>96</v>
      </c>
      <c r="F1907" s="2"/>
      <c r="G1907" s="2">
        <v>45.0</v>
      </c>
      <c r="H1907" s="2">
        <v>24.0</v>
      </c>
      <c r="I1907" s="2">
        <v>21.0</v>
      </c>
      <c r="J1907" s="2">
        <v>0.0</v>
      </c>
      <c r="K1907" s="2">
        <v>0.0</v>
      </c>
      <c r="L1907" s="2">
        <v>0.0</v>
      </c>
      <c r="M1907" s="2"/>
      <c r="N1907" s="2"/>
      <c r="O1907" s="2"/>
      <c r="P1907" s="2" t="s">
        <v>153</v>
      </c>
    </row>
    <row r="1908">
      <c r="A1908" s="3" t="s">
        <v>115</v>
      </c>
      <c r="B1908" s="4">
        <v>45141.29166666667</v>
      </c>
      <c r="C1908" s="2" t="s">
        <v>18</v>
      </c>
      <c r="D1908" s="2" t="s">
        <v>19</v>
      </c>
      <c r="E1908" s="2" t="s">
        <v>96</v>
      </c>
      <c r="F1908" s="2"/>
      <c r="G1908" s="2">
        <v>22.0</v>
      </c>
      <c r="H1908" s="2">
        <v>13.0</v>
      </c>
      <c r="I1908" s="2">
        <v>9.0</v>
      </c>
      <c r="J1908" s="2">
        <v>0.0</v>
      </c>
      <c r="K1908" s="2">
        <v>0.0</v>
      </c>
      <c r="L1908" s="2">
        <v>0.0</v>
      </c>
      <c r="M1908" s="2"/>
      <c r="N1908" s="2"/>
      <c r="O1908" s="2"/>
      <c r="P1908" s="2" t="s">
        <v>153</v>
      </c>
    </row>
    <row r="1909">
      <c r="A1909" s="3" t="s">
        <v>117</v>
      </c>
      <c r="B1909" s="4">
        <v>45171.29166666667</v>
      </c>
      <c r="C1909" s="2" t="s">
        <v>18</v>
      </c>
      <c r="D1909" s="2" t="s">
        <v>91</v>
      </c>
      <c r="E1909" s="2" t="s">
        <v>96</v>
      </c>
      <c r="F1909" s="2"/>
      <c r="G1909" s="2">
        <v>7.0</v>
      </c>
      <c r="H1909" s="2">
        <v>5.0</v>
      </c>
      <c r="I1909" s="2">
        <v>2.0</v>
      </c>
      <c r="J1909" s="2">
        <v>0.0</v>
      </c>
      <c r="K1909" s="2">
        <v>0.0</v>
      </c>
      <c r="L1909" s="2">
        <v>0.0</v>
      </c>
      <c r="M1909" s="2"/>
      <c r="N1909" s="2"/>
      <c r="O1909" s="2"/>
      <c r="P1909" s="2" t="s">
        <v>153</v>
      </c>
    </row>
    <row r="1910">
      <c r="A1910" s="3" t="s">
        <v>119</v>
      </c>
      <c r="B1910" s="4">
        <v>45172.29166666667</v>
      </c>
      <c r="C1910" s="2" t="s">
        <v>18</v>
      </c>
      <c r="D1910" s="2" t="s">
        <v>19</v>
      </c>
      <c r="E1910" s="2" t="s">
        <v>96</v>
      </c>
      <c r="F1910" s="2"/>
      <c r="G1910" s="2">
        <v>64.0</v>
      </c>
      <c r="H1910" s="2">
        <v>47.0</v>
      </c>
      <c r="I1910" s="2">
        <v>17.0</v>
      </c>
      <c r="J1910" s="2">
        <v>0.0</v>
      </c>
      <c r="K1910" s="2">
        <v>0.0</v>
      </c>
      <c r="L1910" s="2">
        <v>0.0</v>
      </c>
      <c r="M1910" s="2"/>
      <c r="N1910" s="2"/>
      <c r="O1910" s="2"/>
      <c r="P1910" s="2" t="s">
        <v>153</v>
      </c>
    </row>
    <row r="1911">
      <c r="A1911" s="3" t="s">
        <v>121</v>
      </c>
      <c r="B1911" s="4">
        <v>45262.29166666667</v>
      </c>
      <c r="C1911" s="2" t="s">
        <v>18</v>
      </c>
      <c r="D1911" s="2" t="s">
        <v>19</v>
      </c>
      <c r="E1911" s="2" t="s">
        <v>96</v>
      </c>
      <c r="F1911" s="2"/>
      <c r="G1911" s="2">
        <v>4.0</v>
      </c>
      <c r="H1911" s="2">
        <v>3.0</v>
      </c>
      <c r="I1911" s="2">
        <v>1.0</v>
      </c>
      <c r="J1911" s="2">
        <v>0.0</v>
      </c>
      <c r="K1911" s="2">
        <v>0.0</v>
      </c>
      <c r="L1911" s="2">
        <v>0.0</v>
      </c>
      <c r="M1911" s="2"/>
      <c r="N1911" s="2"/>
      <c r="O1911" s="2"/>
      <c r="P1911" s="2" t="s">
        <v>153</v>
      </c>
    </row>
    <row r="1912">
      <c r="A1912" s="3" t="s">
        <v>16</v>
      </c>
      <c r="B1912" s="4">
        <v>45263.29166666667</v>
      </c>
      <c r="C1912" s="2" t="s">
        <v>18</v>
      </c>
      <c r="D1912" s="2" t="s">
        <v>91</v>
      </c>
      <c r="E1912" s="2" t="s">
        <v>96</v>
      </c>
      <c r="F1912" s="2"/>
      <c r="G1912" s="2">
        <v>22.0</v>
      </c>
      <c r="H1912" s="2">
        <v>19.0</v>
      </c>
      <c r="I1912" s="2">
        <v>3.0</v>
      </c>
      <c r="J1912" s="2">
        <v>0.0</v>
      </c>
      <c r="K1912" s="2">
        <v>0.0</v>
      </c>
      <c r="L1912" s="2">
        <v>0.0</v>
      </c>
      <c r="M1912" s="2"/>
      <c r="N1912" s="2"/>
      <c r="O1912" s="2"/>
      <c r="P1912" s="2" t="s">
        <v>153</v>
      </c>
    </row>
    <row r="1913">
      <c r="A1913" s="3" t="s">
        <v>124</v>
      </c>
      <c r="B1913" s="2" t="s">
        <v>17</v>
      </c>
      <c r="C1913" s="2" t="s">
        <v>57</v>
      </c>
      <c r="D1913" s="2" t="s">
        <v>127</v>
      </c>
      <c r="E1913" s="2" t="s">
        <v>317</v>
      </c>
      <c r="F1913" s="2">
        <v>53.0</v>
      </c>
      <c r="G1913" s="2">
        <v>117.0</v>
      </c>
      <c r="H1913" s="2">
        <v>53.0</v>
      </c>
      <c r="I1913" s="2">
        <v>64.0</v>
      </c>
      <c r="J1913" s="2">
        <v>0.0</v>
      </c>
      <c r="K1913" s="2">
        <v>0.0</v>
      </c>
      <c r="L1913" s="2">
        <v>0.0</v>
      </c>
      <c r="M1913" s="2">
        <v>0.0</v>
      </c>
      <c r="N1913" s="2"/>
      <c r="O1913" s="2"/>
      <c r="P1913" s="2" t="s">
        <v>67</v>
      </c>
    </row>
    <row r="1914">
      <c r="A1914" s="3" t="s">
        <v>126</v>
      </c>
      <c r="B1914" s="2" t="s">
        <v>17</v>
      </c>
      <c r="C1914" s="2" t="s">
        <v>18</v>
      </c>
      <c r="D1914" s="2" t="s">
        <v>127</v>
      </c>
      <c r="E1914" s="2" t="s">
        <v>318</v>
      </c>
      <c r="F1914" s="2">
        <v>41.0</v>
      </c>
      <c r="G1914" s="2">
        <v>83.0</v>
      </c>
      <c r="H1914" s="2">
        <v>40.0</v>
      </c>
      <c r="I1914" s="2">
        <v>36.0</v>
      </c>
      <c r="J1914" s="2">
        <v>7.0</v>
      </c>
      <c r="K1914" s="2">
        <v>0.0</v>
      </c>
      <c r="L1914" s="2">
        <v>0.0</v>
      </c>
      <c r="M1914" s="2">
        <v>1.0</v>
      </c>
      <c r="N1914" s="2"/>
      <c r="O1914" s="2"/>
      <c r="P1914" s="2" t="s">
        <v>67</v>
      </c>
    </row>
    <row r="1915">
      <c r="A1915" s="3" t="s">
        <v>128</v>
      </c>
      <c r="B1915" s="2" t="s">
        <v>17</v>
      </c>
      <c r="C1915" s="2" t="s">
        <v>18</v>
      </c>
      <c r="D1915" s="2" t="s">
        <v>127</v>
      </c>
      <c r="E1915" s="2" t="s">
        <v>319</v>
      </c>
      <c r="F1915" s="2">
        <v>22.0</v>
      </c>
      <c r="G1915" s="2">
        <v>32.0</v>
      </c>
      <c r="H1915" s="2">
        <v>22.0</v>
      </c>
      <c r="I1915" s="2">
        <v>10.0</v>
      </c>
      <c r="J1915" s="2">
        <v>0.0</v>
      </c>
      <c r="K1915" s="2">
        <v>0.0</v>
      </c>
      <c r="L1915" s="2">
        <v>0.0</v>
      </c>
      <c r="M1915" s="2">
        <v>0.0</v>
      </c>
      <c r="N1915" s="2"/>
      <c r="O1915" s="2"/>
      <c r="P1915" s="2" t="s">
        <v>67</v>
      </c>
    </row>
    <row r="1916">
      <c r="A1916" s="3" t="s">
        <v>129</v>
      </c>
      <c r="B1916" s="2" t="s">
        <v>17</v>
      </c>
      <c r="C1916" s="2" t="s">
        <v>113</v>
      </c>
      <c r="D1916" s="2" t="s">
        <v>30</v>
      </c>
      <c r="E1916" s="2" t="s">
        <v>317</v>
      </c>
      <c r="F1916" s="2">
        <v>8.0</v>
      </c>
      <c r="G1916" s="2">
        <v>14.0</v>
      </c>
      <c r="H1916" s="2">
        <v>8.0</v>
      </c>
      <c r="I1916" s="2">
        <v>6.0</v>
      </c>
      <c r="J1916" s="2">
        <v>0.0</v>
      </c>
      <c r="K1916" s="2">
        <v>0.0</v>
      </c>
      <c r="L1916" s="2">
        <v>0.0</v>
      </c>
      <c r="M1916" s="2">
        <v>0.0</v>
      </c>
      <c r="N1916" s="2"/>
      <c r="O1916" s="2"/>
      <c r="P1916" s="2" t="s">
        <v>67</v>
      </c>
    </row>
    <row r="1917">
      <c r="A1917" s="3" t="s">
        <v>130</v>
      </c>
      <c r="B1917" s="2" t="s">
        <v>17</v>
      </c>
      <c r="C1917" s="2" t="s">
        <v>113</v>
      </c>
      <c r="D1917" s="2" t="s">
        <v>30</v>
      </c>
      <c r="E1917" s="2" t="s">
        <v>318</v>
      </c>
      <c r="F1917" s="2">
        <v>1.0</v>
      </c>
      <c r="G1917" s="2">
        <v>2.0</v>
      </c>
      <c r="H1917" s="2">
        <v>1.0</v>
      </c>
      <c r="I1917" s="2">
        <v>1.0</v>
      </c>
      <c r="J1917" s="2">
        <v>0.0</v>
      </c>
      <c r="K1917" s="2">
        <v>0.0</v>
      </c>
      <c r="L1917" s="2">
        <v>0.0</v>
      </c>
      <c r="M1917" s="2">
        <v>0.0</v>
      </c>
      <c r="N1917" s="2"/>
      <c r="O1917" s="2"/>
      <c r="P1917" s="2" t="s">
        <v>67</v>
      </c>
    </row>
    <row r="1918">
      <c r="A1918" s="3" t="s">
        <v>131</v>
      </c>
      <c r="B1918" s="2" t="s">
        <v>17</v>
      </c>
      <c r="C1918" s="2" t="s">
        <v>113</v>
      </c>
      <c r="D1918" s="2" t="s">
        <v>30</v>
      </c>
      <c r="E1918" s="2" t="s">
        <v>319</v>
      </c>
      <c r="F1918" s="2">
        <v>4.0</v>
      </c>
      <c r="G1918" s="2">
        <v>8.0</v>
      </c>
      <c r="H1918" s="2">
        <v>4.0</v>
      </c>
      <c r="I1918" s="2">
        <v>4.0</v>
      </c>
      <c r="J1918" s="2">
        <v>0.0</v>
      </c>
      <c r="K1918" s="2">
        <v>0.0</v>
      </c>
      <c r="L1918" s="2">
        <v>0.0</v>
      </c>
      <c r="M1918" s="2">
        <v>0.0</v>
      </c>
      <c r="N1918" s="2"/>
      <c r="O1918" s="2"/>
      <c r="P1918" s="2" t="s">
        <v>67</v>
      </c>
    </row>
    <row r="1919">
      <c r="A1919" s="3" t="s">
        <v>132</v>
      </c>
      <c r="B1919" s="2" t="s">
        <v>17</v>
      </c>
      <c r="C1919" s="2" t="s">
        <v>148</v>
      </c>
      <c r="D1919" s="2" t="s">
        <v>19</v>
      </c>
      <c r="E1919" s="2" t="s">
        <v>317</v>
      </c>
      <c r="F1919" s="2">
        <v>6.0</v>
      </c>
      <c r="G1919" s="2">
        <v>6.0</v>
      </c>
      <c r="H1919" s="2">
        <v>3.0</v>
      </c>
      <c r="I1919" s="2">
        <v>3.0</v>
      </c>
      <c r="J1919" s="2">
        <v>0.0</v>
      </c>
      <c r="K1919" s="2">
        <v>0.0</v>
      </c>
      <c r="L1919" s="2">
        <v>0.0</v>
      </c>
      <c r="M1919" s="2">
        <v>3.0</v>
      </c>
      <c r="N1919" s="2"/>
      <c r="O1919" s="2"/>
      <c r="P1919" s="2" t="s">
        <v>67</v>
      </c>
    </row>
    <row r="1920">
      <c r="A1920" s="3" t="s">
        <v>133</v>
      </c>
      <c r="B1920" s="2" t="s">
        <v>17</v>
      </c>
      <c r="C1920" s="2" t="s">
        <v>148</v>
      </c>
      <c r="D1920" s="2" t="s">
        <v>19</v>
      </c>
      <c r="E1920" s="2" t="s">
        <v>318</v>
      </c>
      <c r="F1920" s="2">
        <v>3.0</v>
      </c>
      <c r="G1920" s="2">
        <v>0.0</v>
      </c>
      <c r="H1920" s="2">
        <v>0.0</v>
      </c>
      <c r="I1920" s="2">
        <v>0.0</v>
      </c>
      <c r="J1920" s="2">
        <v>0.0</v>
      </c>
      <c r="K1920" s="2">
        <v>0.0</v>
      </c>
      <c r="L1920" s="2">
        <v>0.0</v>
      </c>
      <c r="M1920" s="2">
        <v>3.0</v>
      </c>
      <c r="N1920" s="2"/>
      <c r="O1920" s="2"/>
      <c r="P1920" s="2" t="s">
        <v>67</v>
      </c>
    </row>
    <row r="1921">
      <c r="A1921" s="3" t="s">
        <v>134</v>
      </c>
      <c r="B1921" s="2" t="s">
        <v>17</v>
      </c>
      <c r="C1921" s="2" t="s">
        <v>148</v>
      </c>
      <c r="D1921" s="2" t="s">
        <v>19</v>
      </c>
      <c r="E1921" s="2" t="s">
        <v>319</v>
      </c>
      <c r="F1921" s="2">
        <v>3.0</v>
      </c>
      <c r="G1921" s="2">
        <v>0.0</v>
      </c>
      <c r="H1921" s="2">
        <v>0.0</v>
      </c>
      <c r="I1921" s="2">
        <v>0.0</v>
      </c>
      <c r="J1921" s="2">
        <v>0.0</v>
      </c>
      <c r="K1921" s="2">
        <v>0.0</v>
      </c>
      <c r="L1921" s="2">
        <v>0.0</v>
      </c>
      <c r="M1921" s="2">
        <v>3.0</v>
      </c>
      <c r="N1921" s="2"/>
      <c r="O1921" s="2"/>
      <c r="P1921" s="2" t="s">
        <v>67</v>
      </c>
    </row>
    <row r="1922">
      <c r="A1922" s="3" t="s">
        <v>136</v>
      </c>
      <c r="B1922" s="2" t="s">
        <v>17</v>
      </c>
      <c r="C1922" s="2" t="s">
        <v>57</v>
      </c>
      <c r="D1922" s="2" t="s">
        <v>23</v>
      </c>
      <c r="E1922" s="2" t="s">
        <v>317</v>
      </c>
      <c r="F1922" s="2">
        <v>64.0</v>
      </c>
      <c r="G1922" s="2">
        <v>137.0</v>
      </c>
      <c r="H1922" s="2">
        <v>64.0</v>
      </c>
      <c r="I1922" s="2">
        <v>73.0</v>
      </c>
      <c r="J1922" s="2">
        <v>0.0</v>
      </c>
      <c r="K1922" s="2">
        <v>0.0</v>
      </c>
      <c r="L1922" s="2">
        <v>0.0</v>
      </c>
      <c r="M1922" s="2">
        <v>0.0</v>
      </c>
      <c r="N1922" s="2">
        <v>-3.0</v>
      </c>
      <c r="O1922" s="2">
        <v>-64.0</v>
      </c>
      <c r="P1922" s="2" t="s">
        <v>67</v>
      </c>
    </row>
    <row r="1923">
      <c r="A1923" s="3" t="s">
        <v>137</v>
      </c>
      <c r="B1923" s="2" t="s">
        <v>17</v>
      </c>
      <c r="C1923" s="2" t="s">
        <v>57</v>
      </c>
      <c r="D1923" s="2" t="s">
        <v>23</v>
      </c>
      <c r="E1923" s="2" t="s">
        <v>318</v>
      </c>
      <c r="F1923" s="2">
        <v>42.0</v>
      </c>
      <c r="G1923" s="2">
        <v>85.0</v>
      </c>
      <c r="H1923" s="2">
        <v>41.0</v>
      </c>
      <c r="I1923" s="2">
        <v>37.0</v>
      </c>
      <c r="J1923" s="2">
        <v>7.0</v>
      </c>
      <c r="K1923" s="2">
        <v>0.0</v>
      </c>
      <c r="L1923" s="2">
        <v>0.0</v>
      </c>
      <c r="M1923" s="2">
        <v>1.0</v>
      </c>
      <c r="N1923" s="2">
        <v>-3.0</v>
      </c>
      <c r="O1923" s="2">
        <v>-40.0</v>
      </c>
      <c r="P1923" s="2" t="s">
        <v>67</v>
      </c>
    </row>
    <row r="1924">
      <c r="A1924" s="3" t="s">
        <v>138</v>
      </c>
      <c r="B1924" s="2" t="s">
        <v>17</v>
      </c>
      <c r="C1924" s="2" t="s">
        <v>57</v>
      </c>
      <c r="D1924" s="2" t="s">
        <v>23</v>
      </c>
      <c r="E1924" s="2" t="s">
        <v>319</v>
      </c>
      <c r="F1924" s="2">
        <v>26.0</v>
      </c>
      <c r="G1924" s="2">
        <v>40.0</v>
      </c>
      <c r="H1924" s="2">
        <v>26.0</v>
      </c>
      <c r="I1924" s="2">
        <v>14.0</v>
      </c>
      <c r="J1924" s="2">
        <v>0.0</v>
      </c>
      <c r="K1924" s="2">
        <v>0.0</v>
      </c>
      <c r="L1924" s="2">
        <v>0.0</v>
      </c>
      <c r="M1924" s="2">
        <v>0.0</v>
      </c>
      <c r="N1924" s="2">
        <v>-3.0</v>
      </c>
      <c r="O1924" s="2">
        <v>-26.0</v>
      </c>
      <c r="P1924" s="2" t="s">
        <v>67</v>
      </c>
    </row>
    <row r="1925">
      <c r="A1925" s="3" t="s">
        <v>139</v>
      </c>
      <c r="B1925" s="4">
        <v>45232.25</v>
      </c>
      <c r="C1925" s="2" t="s">
        <v>18</v>
      </c>
      <c r="D1925" s="2" t="s">
        <v>127</v>
      </c>
      <c r="E1925" s="2" t="s">
        <v>317</v>
      </c>
      <c r="F1925" s="2"/>
      <c r="G1925" s="2">
        <v>117.0</v>
      </c>
      <c r="H1925" s="2">
        <v>53.0</v>
      </c>
      <c r="I1925" s="2">
        <v>64.0</v>
      </c>
      <c r="J1925" s="2">
        <v>0.0</v>
      </c>
      <c r="K1925" s="2">
        <v>0.0</v>
      </c>
      <c r="L1925" s="2">
        <v>0.0</v>
      </c>
      <c r="M1925" s="2"/>
      <c r="N1925" s="2"/>
      <c r="O1925" s="2"/>
      <c r="P1925" s="2" t="s">
        <v>67</v>
      </c>
    </row>
    <row r="1926">
      <c r="A1926" s="3" t="s">
        <v>140</v>
      </c>
      <c r="B1926" s="4">
        <v>45233.25</v>
      </c>
      <c r="C1926" s="2" t="s">
        <v>18</v>
      </c>
      <c r="D1926" s="2" t="s">
        <v>127</v>
      </c>
      <c r="E1926" s="2" t="s">
        <v>318</v>
      </c>
      <c r="F1926" s="2"/>
      <c r="G1926" s="2">
        <v>71.0</v>
      </c>
      <c r="H1926" s="2">
        <v>36.0</v>
      </c>
      <c r="I1926" s="2">
        <v>28.0</v>
      </c>
      <c r="J1926" s="2">
        <v>7.0</v>
      </c>
      <c r="K1926" s="2">
        <v>0.0</v>
      </c>
      <c r="L1926" s="2">
        <v>0.0</v>
      </c>
      <c r="M1926" s="2"/>
      <c r="N1926" s="2"/>
      <c r="O1926" s="2"/>
      <c r="P1926" s="2" t="s">
        <v>67</v>
      </c>
    </row>
    <row r="1927">
      <c r="A1927" s="3" t="s">
        <v>141</v>
      </c>
      <c r="B1927" s="4">
        <v>45234.25</v>
      </c>
      <c r="C1927" s="2" t="s">
        <v>18</v>
      </c>
      <c r="D1927" s="2" t="s">
        <v>127</v>
      </c>
      <c r="E1927" s="2" t="s">
        <v>319</v>
      </c>
      <c r="F1927" s="2"/>
      <c r="G1927" s="2">
        <v>32.0</v>
      </c>
      <c r="H1927" s="2">
        <v>22.0</v>
      </c>
      <c r="I1927" s="2">
        <v>10.0</v>
      </c>
      <c r="J1927" s="2">
        <v>0.0</v>
      </c>
      <c r="K1927" s="2">
        <v>0.0</v>
      </c>
      <c r="L1927" s="2">
        <v>0.0</v>
      </c>
      <c r="M1927" s="2"/>
      <c r="N1927" s="2"/>
      <c r="O1927" s="2"/>
      <c r="P1927" s="2" t="s">
        <v>67</v>
      </c>
    </row>
    <row r="1928">
      <c r="A1928" s="3" t="s">
        <v>142</v>
      </c>
      <c r="B1928" s="4">
        <v>45235.25</v>
      </c>
      <c r="C1928" s="2" t="s">
        <v>18</v>
      </c>
      <c r="D1928" s="2" t="s">
        <v>30</v>
      </c>
      <c r="E1928" s="2" t="s">
        <v>317</v>
      </c>
      <c r="F1928" s="2"/>
      <c r="G1928" s="2">
        <v>14.0</v>
      </c>
      <c r="H1928" s="2">
        <v>8.0</v>
      </c>
      <c r="I1928" s="2">
        <v>6.0</v>
      </c>
      <c r="J1928" s="2">
        <v>0.0</v>
      </c>
      <c r="K1928" s="2">
        <v>0.0</v>
      </c>
      <c r="L1928" s="2">
        <v>0.0</v>
      </c>
      <c r="M1928" s="2"/>
      <c r="N1928" s="2"/>
      <c r="O1928" s="2"/>
      <c r="P1928" s="2" t="s">
        <v>67</v>
      </c>
    </row>
    <row r="1929">
      <c r="A1929" s="3" t="s">
        <v>143</v>
      </c>
      <c r="B1929" s="4">
        <v>45236.29166666667</v>
      </c>
      <c r="C1929" s="2" t="s">
        <v>18</v>
      </c>
      <c r="D1929" s="2" t="s">
        <v>30</v>
      </c>
      <c r="E1929" s="2" t="s">
        <v>318</v>
      </c>
      <c r="F1929" s="2"/>
      <c r="G1929" s="2">
        <v>2.0</v>
      </c>
      <c r="H1929" s="2">
        <v>1.0</v>
      </c>
      <c r="I1929" s="2">
        <v>1.0</v>
      </c>
      <c r="J1929" s="2">
        <v>0.0</v>
      </c>
      <c r="K1929" s="2">
        <v>0.0</v>
      </c>
      <c r="L1929" s="2">
        <v>0.0</v>
      </c>
      <c r="M1929" s="2"/>
      <c r="N1929" s="2"/>
      <c r="O1929" s="2"/>
      <c r="P1929" s="2" t="s">
        <v>67</v>
      </c>
    </row>
    <row r="1930">
      <c r="A1930" s="3" t="s">
        <v>144</v>
      </c>
      <c r="B1930" s="4">
        <v>45237.29166666667</v>
      </c>
      <c r="C1930" s="2" t="s">
        <v>18</v>
      </c>
      <c r="D1930" s="2" t="s">
        <v>30</v>
      </c>
      <c r="E1930" s="2" t="s">
        <v>319</v>
      </c>
      <c r="F1930" s="2"/>
      <c r="G1930" s="2">
        <v>8.0</v>
      </c>
      <c r="H1930" s="2">
        <v>4.0</v>
      </c>
      <c r="I1930" s="2">
        <v>4.0</v>
      </c>
      <c r="J1930" s="2">
        <v>0.0</v>
      </c>
      <c r="K1930" s="2">
        <v>0.0</v>
      </c>
      <c r="L1930" s="2">
        <v>0.0</v>
      </c>
      <c r="M1930" s="2"/>
      <c r="N1930" s="2"/>
      <c r="O1930" s="2"/>
      <c r="P1930" s="2" t="s">
        <v>67</v>
      </c>
    </row>
    <row r="1931">
      <c r="A1931" s="3" t="s">
        <v>145</v>
      </c>
      <c r="B1931" s="4">
        <v>45238.29166666667</v>
      </c>
      <c r="C1931" s="2" t="s">
        <v>18</v>
      </c>
      <c r="D1931" s="2" t="s">
        <v>19</v>
      </c>
      <c r="E1931" s="2" t="s">
        <v>317</v>
      </c>
      <c r="F1931" s="2"/>
      <c r="G1931" s="2">
        <v>6.0</v>
      </c>
      <c r="H1931" s="2">
        <v>3.0</v>
      </c>
      <c r="I1931" s="2">
        <v>3.0</v>
      </c>
      <c r="J1931" s="2">
        <v>0.0</v>
      </c>
      <c r="K1931" s="2">
        <v>0.0</v>
      </c>
      <c r="L1931" s="2">
        <v>0.0</v>
      </c>
      <c r="M1931" s="2"/>
      <c r="N1931" s="2"/>
      <c r="O1931" s="2"/>
      <c r="P1931" s="2" t="s">
        <v>67</v>
      </c>
    </row>
    <row r="1932">
      <c r="A1932" s="3" t="s">
        <v>16</v>
      </c>
      <c r="B1932" s="4">
        <v>45239.29166666667</v>
      </c>
      <c r="C1932" s="2" t="s">
        <v>18</v>
      </c>
      <c r="D1932" s="2" t="s">
        <v>19</v>
      </c>
      <c r="E1932" s="2" t="s">
        <v>318</v>
      </c>
      <c r="F1932" s="2"/>
      <c r="G1932" s="2">
        <v>0.0</v>
      </c>
      <c r="H1932" s="2">
        <v>0.0</v>
      </c>
      <c r="I1932" s="2">
        <v>0.0</v>
      </c>
      <c r="J1932" s="2">
        <v>0.0</v>
      </c>
      <c r="K1932" s="2">
        <v>0.0</v>
      </c>
      <c r="L1932" s="2">
        <v>0.0</v>
      </c>
      <c r="M1932" s="2"/>
      <c r="N1932" s="2"/>
      <c r="O1932" s="2"/>
      <c r="P1932" s="2" t="s">
        <v>67</v>
      </c>
    </row>
    <row r="1933">
      <c r="A1933" s="3" t="s">
        <v>22</v>
      </c>
      <c r="B1933" s="4">
        <v>45240.29166666667</v>
      </c>
      <c r="C1933" s="2" t="s">
        <v>18</v>
      </c>
      <c r="D1933" s="2" t="s">
        <v>19</v>
      </c>
      <c r="E1933" s="2" t="s">
        <v>319</v>
      </c>
      <c r="F1933" s="2"/>
      <c r="G1933" s="2">
        <v>0.0</v>
      </c>
      <c r="H1933" s="2">
        <v>0.0</v>
      </c>
      <c r="I1933" s="2">
        <v>0.0</v>
      </c>
      <c r="J1933" s="2">
        <v>0.0</v>
      </c>
      <c r="K1933" s="2">
        <v>0.0</v>
      </c>
      <c r="L1933" s="2">
        <v>0.0</v>
      </c>
      <c r="M1933" s="2"/>
      <c r="N1933" s="2"/>
      <c r="O1933" s="2"/>
      <c r="P1933" s="2" t="s">
        <v>67</v>
      </c>
    </row>
    <row r="1934">
      <c r="A1934" s="3" t="s">
        <v>24</v>
      </c>
      <c r="B1934" s="4">
        <v>45262.29166666667</v>
      </c>
      <c r="C1934" s="2" t="s">
        <v>18</v>
      </c>
      <c r="D1934" s="2" t="s">
        <v>127</v>
      </c>
      <c r="E1934" s="2" t="s">
        <v>318</v>
      </c>
      <c r="F1934" s="2"/>
      <c r="G1934" s="2">
        <v>12.0</v>
      </c>
      <c r="H1934" s="2">
        <v>4.0</v>
      </c>
      <c r="I1934" s="2">
        <v>8.0</v>
      </c>
      <c r="J1934" s="2">
        <v>0.0</v>
      </c>
      <c r="K1934" s="2">
        <v>0.0</v>
      </c>
      <c r="L1934" s="2">
        <v>0.0</v>
      </c>
      <c r="M1934" s="2"/>
      <c r="N1934" s="2"/>
      <c r="O1934" s="2"/>
      <c r="P1934" s="2" t="s">
        <v>67</v>
      </c>
    </row>
    <row r="1935">
      <c r="A1935" s="3" t="s">
        <v>25</v>
      </c>
      <c r="B1935" s="2" t="s">
        <v>17</v>
      </c>
      <c r="C1935" s="2" t="s">
        <v>18</v>
      </c>
      <c r="D1935" s="2" t="s">
        <v>127</v>
      </c>
      <c r="E1935" s="2" t="s">
        <v>180</v>
      </c>
      <c r="F1935" s="2">
        <v>50.0</v>
      </c>
      <c r="G1935" s="2">
        <v>93.0</v>
      </c>
      <c r="H1935" s="2">
        <v>74.0</v>
      </c>
      <c r="I1935" s="2">
        <v>19.0</v>
      </c>
      <c r="J1935" s="2">
        <v>0.0</v>
      </c>
      <c r="K1935" s="2">
        <v>0.0</v>
      </c>
      <c r="L1935" s="2">
        <v>0.0</v>
      </c>
      <c r="M1935" s="2">
        <v>-24.0</v>
      </c>
      <c r="N1935" s="2"/>
      <c r="O1935" s="2"/>
      <c r="P1935" s="2" t="s">
        <v>92</v>
      </c>
    </row>
    <row r="1936">
      <c r="A1936" s="3" t="s">
        <v>26</v>
      </c>
      <c r="B1936" s="2" t="s">
        <v>17</v>
      </c>
      <c r="C1936" s="2" t="s">
        <v>18</v>
      </c>
      <c r="D1936" s="2" t="s">
        <v>23</v>
      </c>
      <c r="E1936" s="2" t="s">
        <v>180</v>
      </c>
      <c r="F1936" s="2">
        <v>50.0</v>
      </c>
      <c r="G1936" s="2">
        <v>93.0</v>
      </c>
      <c r="H1936" s="2">
        <v>74.0</v>
      </c>
      <c r="I1936" s="2">
        <v>19.0</v>
      </c>
      <c r="J1936" s="2">
        <v>0.0</v>
      </c>
      <c r="K1936" s="2">
        <v>0.0</v>
      </c>
      <c r="L1936" s="2">
        <v>0.0</v>
      </c>
      <c r="M1936" s="2">
        <v>-24.0</v>
      </c>
      <c r="N1936" s="2">
        <v>0.0</v>
      </c>
      <c r="O1936" s="2">
        <v>-98.0</v>
      </c>
      <c r="P1936" s="2" t="s">
        <v>92</v>
      </c>
    </row>
    <row r="1937">
      <c r="A1937" s="3" t="s">
        <v>28</v>
      </c>
      <c r="B1937" s="4">
        <v>45262.29166666667</v>
      </c>
      <c r="C1937" s="2" t="s">
        <v>18</v>
      </c>
      <c r="D1937" s="2" t="s">
        <v>127</v>
      </c>
      <c r="E1937" s="2" t="s">
        <v>180</v>
      </c>
      <c r="F1937" s="2"/>
      <c r="G1937" s="2">
        <v>93.0</v>
      </c>
      <c r="H1937" s="2">
        <v>74.0</v>
      </c>
      <c r="I1937" s="2">
        <v>19.0</v>
      </c>
      <c r="J1937" s="2">
        <v>0.0</v>
      </c>
      <c r="K1937" s="2">
        <v>0.0</v>
      </c>
      <c r="L1937" s="2">
        <v>0.0</v>
      </c>
      <c r="M1937" s="2"/>
      <c r="N1937" s="2"/>
      <c r="O1937" s="2"/>
      <c r="P1937" s="2" t="s">
        <v>92</v>
      </c>
    </row>
    <row r="1938">
      <c r="A1938" s="3" t="s">
        <v>29</v>
      </c>
      <c r="B1938" s="2" t="s">
        <v>17</v>
      </c>
      <c r="C1938" s="2" t="s">
        <v>18</v>
      </c>
      <c r="D1938" s="2" t="s">
        <v>19</v>
      </c>
      <c r="E1938" s="2" t="s">
        <v>162</v>
      </c>
      <c r="F1938" s="2">
        <v>100.0</v>
      </c>
      <c r="G1938" s="2">
        <v>52.0</v>
      </c>
      <c r="H1938" s="2">
        <v>35.0</v>
      </c>
      <c r="I1938" s="2">
        <v>17.0</v>
      </c>
      <c r="J1938" s="2">
        <v>0.0</v>
      </c>
      <c r="K1938" s="2">
        <v>0.0</v>
      </c>
      <c r="L1938" s="2">
        <v>0.0</v>
      </c>
      <c r="M1938" s="2">
        <v>65.0</v>
      </c>
      <c r="N1938" s="2"/>
      <c r="O1938" s="2"/>
      <c r="P1938" s="2" t="s">
        <v>195</v>
      </c>
    </row>
    <row r="1939">
      <c r="A1939" s="3" t="s">
        <v>32</v>
      </c>
      <c r="B1939" s="2" t="s">
        <v>17</v>
      </c>
      <c r="C1939" s="2" t="s">
        <v>18</v>
      </c>
      <c r="D1939" s="2" t="s">
        <v>23</v>
      </c>
      <c r="E1939" s="2" t="s">
        <v>162</v>
      </c>
      <c r="F1939" s="2">
        <v>100.0</v>
      </c>
      <c r="G1939" s="2">
        <v>52.0</v>
      </c>
      <c r="H1939" s="2">
        <v>35.0</v>
      </c>
      <c r="I1939" s="2">
        <v>17.0</v>
      </c>
      <c r="J1939" s="2">
        <v>0.0</v>
      </c>
      <c r="K1939" s="2">
        <v>0.0</v>
      </c>
      <c r="L1939" s="2">
        <v>0.0</v>
      </c>
      <c r="M1939" s="2">
        <v>65.0</v>
      </c>
      <c r="N1939" s="2">
        <v>0.0</v>
      </c>
      <c r="O1939" s="2">
        <v>30.0</v>
      </c>
      <c r="P1939" s="2" t="s">
        <v>195</v>
      </c>
    </row>
    <row r="1940">
      <c r="A1940" s="3" t="s">
        <v>34</v>
      </c>
      <c r="B1940" s="4">
        <v>45232.25</v>
      </c>
      <c r="C1940" s="2" t="s">
        <v>18</v>
      </c>
      <c r="D1940" s="2" t="s">
        <v>19</v>
      </c>
      <c r="E1940" s="2" t="s">
        <v>162</v>
      </c>
      <c r="F1940" s="2"/>
      <c r="G1940" s="2">
        <v>52.0</v>
      </c>
      <c r="H1940" s="2">
        <v>35.0</v>
      </c>
      <c r="I1940" s="2">
        <v>17.0</v>
      </c>
      <c r="J1940" s="2">
        <v>0.0</v>
      </c>
      <c r="K1940" s="2">
        <v>0.0</v>
      </c>
      <c r="L1940" s="2">
        <v>0.0</v>
      </c>
      <c r="M1940" s="2"/>
      <c r="N1940" s="2"/>
      <c r="O1940" s="2"/>
      <c r="P1940" s="2" t="s">
        <v>195</v>
      </c>
    </row>
    <row r="1941">
      <c r="A1941" s="3" t="s">
        <v>35</v>
      </c>
      <c r="B1941" s="2" t="s">
        <v>17</v>
      </c>
      <c r="C1941" s="2" t="s">
        <v>18</v>
      </c>
      <c r="D1941" s="2" t="s">
        <v>79</v>
      </c>
      <c r="E1941" s="2" t="s">
        <v>27</v>
      </c>
      <c r="F1941" s="2">
        <v>12.0</v>
      </c>
      <c r="G1941" s="2">
        <v>14.0</v>
      </c>
      <c r="H1941" s="2">
        <v>8.0</v>
      </c>
      <c r="I1941" s="2">
        <v>6.0</v>
      </c>
      <c r="J1941" s="2">
        <v>0.0</v>
      </c>
      <c r="K1941" s="2">
        <v>0.0</v>
      </c>
      <c r="L1941" s="2">
        <v>0.0</v>
      </c>
      <c r="M1941" s="2">
        <v>4.0</v>
      </c>
      <c r="N1941" s="2"/>
      <c r="O1941" s="2"/>
      <c r="P1941" s="2" t="s">
        <v>146</v>
      </c>
    </row>
    <row r="1942">
      <c r="A1942" s="3" t="s">
        <v>36</v>
      </c>
      <c r="B1942" s="2" t="s">
        <v>17</v>
      </c>
      <c r="C1942" s="2" t="s">
        <v>18</v>
      </c>
      <c r="D1942" s="2" t="s">
        <v>33</v>
      </c>
      <c r="E1942" s="2" t="s">
        <v>27</v>
      </c>
      <c r="F1942" s="2">
        <v>200.0</v>
      </c>
      <c r="G1942" s="2">
        <v>22.0</v>
      </c>
      <c r="H1942" s="2">
        <v>10.0</v>
      </c>
      <c r="I1942" s="2">
        <v>12.0</v>
      </c>
      <c r="J1942" s="2">
        <v>0.0</v>
      </c>
      <c r="K1942" s="2">
        <v>0.0</v>
      </c>
      <c r="L1942" s="2">
        <v>0.0</v>
      </c>
      <c r="M1942" s="2">
        <v>190.0</v>
      </c>
      <c r="N1942" s="2"/>
      <c r="O1942" s="2"/>
      <c r="P1942" s="2" t="s">
        <v>146</v>
      </c>
    </row>
    <row r="1943">
      <c r="A1943" s="3" t="s">
        <v>37</v>
      </c>
      <c r="B1943" s="2" t="s">
        <v>17</v>
      </c>
      <c r="C1943" s="2" t="s">
        <v>18</v>
      </c>
      <c r="D1943" s="2" t="s">
        <v>109</v>
      </c>
      <c r="E1943" s="2" t="s">
        <v>27</v>
      </c>
      <c r="F1943" s="2">
        <v>150.0</v>
      </c>
      <c r="G1943" s="2">
        <v>15.0</v>
      </c>
      <c r="H1943" s="2">
        <v>6.0</v>
      </c>
      <c r="I1943" s="2">
        <v>9.0</v>
      </c>
      <c r="J1943" s="2">
        <v>0.0</v>
      </c>
      <c r="K1943" s="2">
        <v>0.0</v>
      </c>
      <c r="L1943" s="2">
        <v>0.0</v>
      </c>
      <c r="M1943" s="2">
        <v>144.0</v>
      </c>
      <c r="N1943" s="2"/>
      <c r="O1943" s="2"/>
      <c r="P1943" s="2" t="s">
        <v>146</v>
      </c>
    </row>
    <row r="1944">
      <c r="A1944" s="3" t="s">
        <v>38</v>
      </c>
      <c r="B1944" s="2" t="s">
        <v>17</v>
      </c>
      <c r="C1944" s="2" t="s">
        <v>18</v>
      </c>
      <c r="D1944" s="2" t="s">
        <v>19</v>
      </c>
      <c r="E1944" s="2" t="s">
        <v>27</v>
      </c>
      <c r="F1944" s="2">
        <v>100.0</v>
      </c>
      <c r="G1944" s="2">
        <v>29.0</v>
      </c>
      <c r="H1944" s="2">
        <v>21.0</v>
      </c>
      <c r="I1944" s="2">
        <v>8.0</v>
      </c>
      <c r="J1944" s="2">
        <v>0.0</v>
      </c>
      <c r="K1944" s="2">
        <v>0.0</v>
      </c>
      <c r="L1944" s="2">
        <v>0.0</v>
      </c>
      <c r="M1944" s="2">
        <v>79.0</v>
      </c>
      <c r="N1944" s="2"/>
      <c r="O1944" s="2"/>
      <c r="P1944" s="2" t="s">
        <v>146</v>
      </c>
    </row>
    <row r="1945">
      <c r="A1945" s="3" t="s">
        <v>39</v>
      </c>
      <c r="B1945" s="2" t="s">
        <v>17</v>
      </c>
      <c r="C1945" s="2" t="s">
        <v>18</v>
      </c>
      <c r="D1945" s="2" t="s">
        <v>23</v>
      </c>
      <c r="E1945" s="2" t="s">
        <v>27</v>
      </c>
      <c r="F1945" s="2">
        <v>108.0</v>
      </c>
      <c r="G1945" s="2">
        <v>80.0</v>
      </c>
      <c r="H1945" s="2">
        <v>45.0</v>
      </c>
      <c r="I1945" s="2">
        <v>35.0</v>
      </c>
      <c r="J1945" s="2">
        <v>0.0</v>
      </c>
      <c r="K1945" s="2">
        <v>0.0</v>
      </c>
      <c r="L1945" s="2">
        <v>0.0</v>
      </c>
      <c r="M1945" s="2">
        <v>63.0</v>
      </c>
      <c r="N1945" s="2">
        <v>-354.0</v>
      </c>
      <c r="O1945" s="2">
        <v>18.0</v>
      </c>
      <c r="P1945" s="2" t="s">
        <v>146</v>
      </c>
    </row>
    <row r="1946">
      <c r="A1946" s="3" t="s">
        <v>40</v>
      </c>
      <c r="B1946" s="4">
        <v>45201.29166666667</v>
      </c>
      <c r="C1946" s="2" t="s">
        <v>18</v>
      </c>
      <c r="D1946" s="2" t="s">
        <v>79</v>
      </c>
      <c r="E1946" s="2" t="s">
        <v>27</v>
      </c>
      <c r="F1946" s="2"/>
      <c r="G1946" s="2">
        <v>2.0</v>
      </c>
      <c r="H1946" s="2">
        <v>1.0</v>
      </c>
      <c r="I1946" s="2">
        <v>1.0</v>
      </c>
      <c r="J1946" s="2">
        <v>0.0</v>
      </c>
      <c r="K1946" s="2">
        <v>0.0</v>
      </c>
      <c r="L1946" s="2">
        <v>0.0</v>
      </c>
      <c r="M1946" s="2"/>
      <c r="N1946" s="2"/>
      <c r="O1946" s="2"/>
      <c r="P1946" s="2" t="s">
        <v>146</v>
      </c>
    </row>
    <row r="1947">
      <c r="A1947" s="3" t="s">
        <v>41</v>
      </c>
      <c r="B1947" s="4">
        <v>45202.29166666667</v>
      </c>
      <c r="C1947" s="2" t="s">
        <v>18</v>
      </c>
      <c r="D1947" s="2" t="s">
        <v>33</v>
      </c>
      <c r="E1947" s="2" t="s">
        <v>27</v>
      </c>
      <c r="F1947" s="2"/>
      <c r="G1947" s="2">
        <v>18.0</v>
      </c>
      <c r="H1947" s="2">
        <v>8.0</v>
      </c>
      <c r="I1947" s="2">
        <v>10.0</v>
      </c>
      <c r="J1947" s="2">
        <v>0.0</v>
      </c>
      <c r="K1947" s="2">
        <v>0.0</v>
      </c>
      <c r="L1947" s="2">
        <v>0.0</v>
      </c>
      <c r="M1947" s="2"/>
      <c r="N1947" s="2"/>
      <c r="O1947" s="2"/>
      <c r="P1947" s="2" t="s">
        <v>146</v>
      </c>
    </row>
    <row r="1948">
      <c r="A1948" s="3" t="s">
        <v>42</v>
      </c>
      <c r="B1948" s="4">
        <v>45203.29166666667</v>
      </c>
      <c r="C1948" s="2" t="s">
        <v>18</v>
      </c>
      <c r="D1948" s="2" t="s">
        <v>109</v>
      </c>
      <c r="E1948" s="2" t="s">
        <v>27</v>
      </c>
      <c r="F1948" s="2"/>
      <c r="G1948" s="2">
        <v>8.0</v>
      </c>
      <c r="H1948" s="2">
        <v>4.0</v>
      </c>
      <c r="I1948" s="2">
        <v>4.0</v>
      </c>
      <c r="J1948" s="2">
        <v>0.0</v>
      </c>
      <c r="K1948" s="2">
        <v>0.0</v>
      </c>
      <c r="L1948" s="2">
        <v>0.0</v>
      </c>
      <c r="M1948" s="2"/>
      <c r="N1948" s="2"/>
      <c r="O1948" s="2"/>
      <c r="P1948" s="2" t="s">
        <v>146</v>
      </c>
    </row>
    <row r="1949">
      <c r="A1949" s="3" t="s">
        <v>43</v>
      </c>
      <c r="B1949" s="4">
        <v>45204.29166666667</v>
      </c>
      <c r="C1949" s="2" t="s">
        <v>18</v>
      </c>
      <c r="D1949" s="2" t="s">
        <v>19</v>
      </c>
      <c r="E1949" s="2" t="s">
        <v>27</v>
      </c>
      <c r="F1949" s="2"/>
      <c r="G1949" s="2">
        <v>24.0</v>
      </c>
      <c r="H1949" s="2">
        <v>18.0</v>
      </c>
      <c r="I1949" s="2">
        <v>6.0</v>
      </c>
      <c r="J1949" s="2">
        <v>0.0</v>
      </c>
      <c r="K1949" s="2">
        <v>0.0</v>
      </c>
      <c r="L1949" s="2">
        <v>0.0</v>
      </c>
      <c r="M1949" s="2"/>
      <c r="N1949" s="2"/>
      <c r="O1949" s="2"/>
      <c r="P1949" s="2" t="s">
        <v>146</v>
      </c>
    </row>
    <row r="1950">
      <c r="A1950" s="3" t="s">
        <v>44</v>
      </c>
      <c r="B1950" s="4">
        <v>45232.25</v>
      </c>
      <c r="C1950" s="2" t="s">
        <v>18</v>
      </c>
      <c r="D1950" s="2" t="s">
        <v>79</v>
      </c>
      <c r="E1950" s="2" t="s">
        <v>27</v>
      </c>
      <c r="F1950" s="2"/>
      <c r="G1950" s="2">
        <v>10.0</v>
      </c>
      <c r="H1950" s="2">
        <v>7.0</v>
      </c>
      <c r="I1950" s="2">
        <v>3.0</v>
      </c>
      <c r="J1950" s="2">
        <v>0.0</v>
      </c>
      <c r="K1950" s="2">
        <v>0.0</v>
      </c>
      <c r="L1950" s="2">
        <v>0.0</v>
      </c>
      <c r="M1950" s="2"/>
      <c r="N1950" s="2"/>
      <c r="O1950" s="2"/>
      <c r="P1950" s="2" t="s">
        <v>146</v>
      </c>
    </row>
    <row r="1951">
      <c r="A1951" s="3" t="s">
        <v>45</v>
      </c>
      <c r="B1951" s="4">
        <v>45233.25</v>
      </c>
      <c r="C1951" s="2" t="s">
        <v>18</v>
      </c>
      <c r="D1951" s="2" t="s">
        <v>33</v>
      </c>
      <c r="E1951" s="2" t="s">
        <v>27</v>
      </c>
      <c r="F1951" s="2"/>
      <c r="G1951" s="2">
        <v>4.0</v>
      </c>
      <c r="H1951" s="2">
        <v>2.0</v>
      </c>
      <c r="I1951" s="2">
        <v>2.0</v>
      </c>
      <c r="J1951" s="2">
        <v>0.0</v>
      </c>
      <c r="K1951" s="2">
        <v>0.0</v>
      </c>
      <c r="L1951" s="2">
        <v>0.0</v>
      </c>
      <c r="M1951" s="2"/>
      <c r="N1951" s="2"/>
      <c r="O1951" s="2"/>
      <c r="P1951" s="2" t="s">
        <v>146</v>
      </c>
    </row>
    <row r="1952">
      <c r="A1952" s="3" t="s">
        <v>16</v>
      </c>
      <c r="B1952" s="4">
        <v>45234.25</v>
      </c>
      <c r="C1952" s="2" t="s">
        <v>18</v>
      </c>
      <c r="D1952" s="2" t="s">
        <v>109</v>
      </c>
      <c r="E1952" s="2" t="s">
        <v>27</v>
      </c>
      <c r="F1952" s="2"/>
      <c r="G1952" s="2">
        <v>7.0</v>
      </c>
      <c r="H1952" s="2">
        <v>2.0</v>
      </c>
      <c r="I1952" s="2">
        <v>5.0</v>
      </c>
      <c r="J1952" s="2">
        <v>0.0</v>
      </c>
      <c r="K1952" s="2">
        <v>0.0</v>
      </c>
      <c r="L1952" s="2">
        <v>0.0</v>
      </c>
      <c r="M1952" s="2"/>
      <c r="N1952" s="2"/>
      <c r="O1952" s="2"/>
      <c r="P1952" s="2" t="s">
        <v>146</v>
      </c>
    </row>
    <row r="1953">
      <c r="A1953" s="3" t="s">
        <v>47</v>
      </c>
      <c r="B1953" s="4">
        <v>45235.25</v>
      </c>
      <c r="C1953" s="2" t="s">
        <v>18</v>
      </c>
      <c r="D1953" s="2" t="s">
        <v>19</v>
      </c>
      <c r="E1953" s="2" t="s">
        <v>27</v>
      </c>
      <c r="F1953" s="2"/>
      <c r="G1953" s="2">
        <v>5.0</v>
      </c>
      <c r="H1953" s="2">
        <v>3.0</v>
      </c>
      <c r="I1953" s="2">
        <v>2.0</v>
      </c>
      <c r="J1953" s="2">
        <v>0.0</v>
      </c>
      <c r="K1953" s="2">
        <v>0.0</v>
      </c>
      <c r="L1953" s="2">
        <v>0.0</v>
      </c>
      <c r="M1953" s="2"/>
      <c r="N1953" s="2"/>
      <c r="O1953" s="2"/>
      <c r="P1953" s="2" t="s">
        <v>146</v>
      </c>
    </row>
    <row r="1954">
      <c r="A1954" s="3" t="s">
        <v>48</v>
      </c>
      <c r="B1954" s="4">
        <v>45262.29166666667</v>
      </c>
      <c r="C1954" s="2" t="s">
        <v>18</v>
      </c>
      <c r="D1954" s="2" t="s">
        <v>79</v>
      </c>
      <c r="E1954" s="2" t="s">
        <v>27</v>
      </c>
      <c r="F1954" s="2"/>
      <c r="G1954" s="2">
        <v>2.0</v>
      </c>
      <c r="H1954" s="2">
        <v>0.0</v>
      </c>
      <c r="I1954" s="2">
        <v>2.0</v>
      </c>
      <c r="J1954" s="2">
        <v>0.0</v>
      </c>
      <c r="K1954" s="2">
        <v>0.0</v>
      </c>
      <c r="L1954" s="2">
        <v>0.0</v>
      </c>
      <c r="M1954" s="2"/>
      <c r="N1954" s="2"/>
      <c r="O1954" s="2"/>
      <c r="P1954" s="2" t="s">
        <v>146</v>
      </c>
    </row>
    <row r="1955">
      <c r="A1955" s="3" t="s">
        <v>49</v>
      </c>
      <c r="B1955" s="2" t="s">
        <v>17</v>
      </c>
      <c r="C1955" s="2" t="s">
        <v>18</v>
      </c>
      <c r="D1955" s="2" t="s">
        <v>79</v>
      </c>
      <c r="E1955" s="2" t="s">
        <v>27</v>
      </c>
      <c r="F1955" s="2">
        <v>10.0</v>
      </c>
      <c r="G1955" s="2">
        <v>10.0</v>
      </c>
      <c r="H1955" s="2">
        <v>7.0</v>
      </c>
      <c r="I1955" s="2">
        <v>3.0</v>
      </c>
      <c r="J1955" s="2">
        <v>0.0</v>
      </c>
      <c r="K1955" s="2">
        <v>0.0</v>
      </c>
      <c r="L1955" s="2">
        <v>0.0</v>
      </c>
      <c r="M1955" s="2">
        <v>3.0</v>
      </c>
      <c r="N1955" s="2"/>
      <c r="O1955" s="2"/>
      <c r="P1955" s="2" t="s">
        <v>146</v>
      </c>
    </row>
    <row r="1956">
      <c r="A1956" s="3" t="s">
        <v>51</v>
      </c>
      <c r="B1956" s="2" t="s">
        <v>17</v>
      </c>
      <c r="C1956" s="2" t="s">
        <v>18</v>
      </c>
      <c r="D1956" s="2" t="s">
        <v>33</v>
      </c>
      <c r="E1956" s="2" t="s">
        <v>27</v>
      </c>
      <c r="F1956" s="2">
        <v>200.0</v>
      </c>
      <c r="G1956" s="2">
        <v>41.0</v>
      </c>
      <c r="H1956" s="2">
        <v>27.0</v>
      </c>
      <c r="I1956" s="2">
        <v>14.0</v>
      </c>
      <c r="J1956" s="2">
        <v>0.0</v>
      </c>
      <c r="K1956" s="2">
        <v>0.0</v>
      </c>
      <c r="L1956" s="2">
        <v>0.0</v>
      </c>
      <c r="M1956" s="2">
        <v>173.0</v>
      </c>
      <c r="N1956" s="2"/>
      <c r="O1956" s="2"/>
      <c r="P1956" s="2" t="s">
        <v>146</v>
      </c>
    </row>
    <row r="1957">
      <c r="A1957" s="3" t="s">
        <v>52</v>
      </c>
      <c r="B1957" s="2" t="s">
        <v>17</v>
      </c>
      <c r="C1957" s="2" t="s">
        <v>18</v>
      </c>
      <c r="D1957" s="2" t="s">
        <v>69</v>
      </c>
      <c r="E1957" s="2" t="s">
        <v>27</v>
      </c>
      <c r="F1957" s="2">
        <v>100.0</v>
      </c>
      <c r="G1957" s="2">
        <v>26.0</v>
      </c>
      <c r="H1957" s="2">
        <v>13.0</v>
      </c>
      <c r="I1957" s="2">
        <v>13.0</v>
      </c>
      <c r="J1957" s="2">
        <v>0.0</v>
      </c>
      <c r="K1957" s="2">
        <v>0.0</v>
      </c>
      <c r="L1957" s="2">
        <v>0.0</v>
      </c>
      <c r="M1957" s="2">
        <v>87.0</v>
      </c>
      <c r="N1957" s="2"/>
      <c r="O1957" s="2"/>
      <c r="P1957" s="2" t="s">
        <v>146</v>
      </c>
    </row>
    <row r="1958">
      <c r="A1958" s="3" t="s">
        <v>53</v>
      </c>
      <c r="B1958" s="2" t="s">
        <v>17</v>
      </c>
      <c r="C1958" s="2" t="s">
        <v>18</v>
      </c>
      <c r="D1958" s="2" t="s">
        <v>109</v>
      </c>
      <c r="E1958" s="2" t="s">
        <v>27</v>
      </c>
      <c r="F1958" s="2">
        <v>150.0</v>
      </c>
      <c r="G1958" s="2">
        <v>46.0</v>
      </c>
      <c r="H1958" s="2">
        <v>28.0</v>
      </c>
      <c r="I1958" s="2">
        <v>18.0</v>
      </c>
      <c r="J1958" s="2">
        <v>0.0</v>
      </c>
      <c r="K1958" s="2">
        <v>0.0</v>
      </c>
      <c r="L1958" s="2">
        <v>0.0</v>
      </c>
      <c r="M1958" s="2">
        <v>122.0</v>
      </c>
      <c r="N1958" s="2"/>
      <c r="O1958" s="2"/>
      <c r="P1958" s="2" t="s">
        <v>146</v>
      </c>
    </row>
    <row r="1959">
      <c r="A1959" s="3" t="s">
        <v>54</v>
      </c>
      <c r="B1959" s="2" t="s">
        <v>17</v>
      </c>
      <c r="C1959" s="2" t="s">
        <v>18</v>
      </c>
      <c r="D1959" s="2" t="s">
        <v>19</v>
      </c>
      <c r="E1959" s="2" t="s">
        <v>27</v>
      </c>
      <c r="F1959" s="2">
        <v>348.0</v>
      </c>
      <c r="G1959" s="2">
        <v>162.0</v>
      </c>
      <c r="H1959" s="2">
        <v>118.0</v>
      </c>
      <c r="I1959" s="2">
        <v>44.0</v>
      </c>
      <c r="J1959" s="2">
        <v>0.0</v>
      </c>
      <c r="K1959" s="2">
        <v>0.0</v>
      </c>
      <c r="L1959" s="2">
        <v>0.0</v>
      </c>
      <c r="M1959" s="2">
        <v>230.0</v>
      </c>
      <c r="N1959" s="2"/>
      <c r="O1959" s="2"/>
      <c r="P1959" s="2" t="s">
        <v>146</v>
      </c>
    </row>
    <row r="1960">
      <c r="A1960" s="3" t="s">
        <v>55</v>
      </c>
      <c r="B1960" s="2" t="s">
        <v>17</v>
      </c>
      <c r="C1960" s="2" t="s">
        <v>18</v>
      </c>
      <c r="D1960" s="2" t="s">
        <v>23</v>
      </c>
      <c r="E1960" s="2" t="s">
        <v>27</v>
      </c>
      <c r="F1960" s="2">
        <v>297.0</v>
      </c>
      <c r="G1960" s="2">
        <v>285.0</v>
      </c>
      <c r="H1960" s="2">
        <v>193.0</v>
      </c>
      <c r="I1960" s="2">
        <v>92.0</v>
      </c>
      <c r="J1960" s="2">
        <v>0.0</v>
      </c>
      <c r="K1960" s="2">
        <v>0.0</v>
      </c>
      <c r="L1960" s="2">
        <v>0.0</v>
      </c>
      <c r="M1960" s="2">
        <v>104.0</v>
      </c>
      <c r="N1960" s="2">
        <v>-511.0</v>
      </c>
      <c r="O1960" s="2">
        <v>-89.0</v>
      </c>
      <c r="P1960" s="2" t="s">
        <v>146</v>
      </c>
    </row>
    <row r="1961">
      <c r="A1961" s="3" t="s">
        <v>56</v>
      </c>
      <c r="B1961" s="4">
        <v>45201.29166666667</v>
      </c>
      <c r="C1961" s="2" t="s">
        <v>18</v>
      </c>
      <c r="D1961" s="2" t="s">
        <v>79</v>
      </c>
      <c r="E1961" s="2" t="s">
        <v>27</v>
      </c>
      <c r="F1961" s="2"/>
      <c r="G1961" s="2">
        <v>2.0</v>
      </c>
      <c r="H1961" s="2">
        <v>0.0</v>
      </c>
      <c r="I1961" s="2">
        <v>2.0</v>
      </c>
      <c r="J1961" s="2">
        <v>0.0</v>
      </c>
      <c r="K1961" s="2">
        <v>0.0</v>
      </c>
      <c r="L1961" s="2">
        <v>0.0</v>
      </c>
      <c r="M1961" s="2"/>
      <c r="N1961" s="2"/>
      <c r="O1961" s="2"/>
      <c r="P1961" s="2" t="s">
        <v>146</v>
      </c>
    </row>
    <row r="1962">
      <c r="A1962" s="3" t="s">
        <v>59</v>
      </c>
      <c r="B1962" s="4">
        <v>45202.29166666667</v>
      </c>
      <c r="C1962" s="2" t="s">
        <v>18</v>
      </c>
      <c r="D1962" s="2" t="s">
        <v>33</v>
      </c>
      <c r="E1962" s="2" t="s">
        <v>27</v>
      </c>
      <c r="F1962" s="2"/>
      <c r="G1962" s="2">
        <v>24.0</v>
      </c>
      <c r="H1962" s="2">
        <v>20.0</v>
      </c>
      <c r="I1962" s="2">
        <v>4.0</v>
      </c>
      <c r="J1962" s="2">
        <v>0.0</v>
      </c>
      <c r="K1962" s="2">
        <v>0.0</v>
      </c>
      <c r="L1962" s="2">
        <v>0.0</v>
      </c>
      <c r="M1962" s="2"/>
      <c r="N1962" s="2"/>
      <c r="O1962" s="2"/>
      <c r="P1962" s="2" t="s">
        <v>146</v>
      </c>
    </row>
    <row r="1963">
      <c r="A1963" s="3" t="s">
        <v>60</v>
      </c>
      <c r="B1963" s="4">
        <v>45203.29166666667</v>
      </c>
      <c r="C1963" s="2" t="s">
        <v>18</v>
      </c>
      <c r="D1963" s="2" t="s">
        <v>69</v>
      </c>
      <c r="E1963" s="2" t="s">
        <v>27</v>
      </c>
      <c r="F1963" s="2"/>
      <c r="G1963" s="2">
        <v>7.0</v>
      </c>
      <c r="H1963" s="2">
        <v>5.0</v>
      </c>
      <c r="I1963" s="2">
        <v>2.0</v>
      </c>
      <c r="J1963" s="2">
        <v>0.0</v>
      </c>
      <c r="K1963" s="2">
        <v>0.0</v>
      </c>
      <c r="L1963" s="2">
        <v>0.0</v>
      </c>
      <c r="M1963" s="2"/>
      <c r="N1963" s="2"/>
      <c r="O1963" s="2"/>
      <c r="P1963" s="2" t="s">
        <v>146</v>
      </c>
    </row>
    <row r="1964">
      <c r="A1964" s="3" t="s">
        <v>61</v>
      </c>
      <c r="B1964" s="4">
        <v>45204.29166666667</v>
      </c>
      <c r="C1964" s="2" t="s">
        <v>18</v>
      </c>
      <c r="D1964" s="2" t="s">
        <v>109</v>
      </c>
      <c r="E1964" s="2" t="s">
        <v>27</v>
      </c>
      <c r="F1964" s="2"/>
      <c r="G1964" s="2">
        <v>10.0</v>
      </c>
      <c r="H1964" s="2">
        <v>5.0</v>
      </c>
      <c r="I1964" s="2">
        <v>5.0</v>
      </c>
      <c r="J1964" s="2">
        <v>0.0</v>
      </c>
      <c r="K1964" s="2">
        <v>0.0</v>
      </c>
      <c r="L1964" s="2">
        <v>0.0</v>
      </c>
      <c r="M1964" s="2"/>
      <c r="N1964" s="2"/>
      <c r="O1964" s="2"/>
      <c r="P1964" s="2" t="s">
        <v>146</v>
      </c>
    </row>
    <row r="1965">
      <c r="A1965" s="3" t="s">
        <v>62</v>
      </c>
      <c r="B1965" s="4">
        <v>45205.29166666667</v>
      </c>
      <c r="C1965" s="2" t="s">
        <v>18</v>
      </c>
      <c r="D1965" s="2" t="s">
        <v>19</v>
      </c>
      <c r="E1965" s="2" t="s">
        <v>27</v>
      </c>
      <c r="F1965" s="2"/>
      <c r="G1965" s="2">
        <v>146.0</v>
      </c>
      <c r="H1965" s="2">
        <v>106.0</v>
      </c>
      <c r="I1965" s="2">
        <v>40.0</v>
      </c>
      <c r="J1965" s="2">
        <v>0.0</v>
      </c>
      <c r="K1965" s="2">
        <v>0.0</v>
      </c>
      <c r="L1965" s="2">
        <v>0.0</v>
      </c>
      <c r="M1965" s="2"/>
      <c r="N1965" s="2"/>
      <c r="O1965" s="2"/>
      <c r="P1965" s="2" t="s">
        <v>146</v>
      </c>
    </row>
    <row r="1966">
      <c r="A1966" s="3" t="s">
        <v>63</v>
      </c>
      <c r="B1966" s="4">
        <v>45232.25</v>
      </c>
      <c r="C1966" s="2" t="s">
        <v>18</v>
      </c>
      <c r="D1966" s="2" t="s">
        <v>79</v>
      </c>
      <c r="E1966" s="2" t="s">
        <v>27</v>
      </c>
      <c r="F1966" s="2"/>
      <c r="G1966" s="2">
        <v>6.0</v>
      </c>
      <c r="H1966" s="2">
        <v>5.0</v>
      </c>
      <c r="I1966" s="2">
        <v>1.0</v>
      </c>
      <c r="J1966" s="2">
        <v>0.0</v>
      </c>
      <c r="K1966" s="2">
        <v>0.0</v>
      </c>
      <c r="L1966" s="2">
        <v>0.0</v>
      </c>
      <c r="M1966" s="2"/>
      <c r="N1966" s="2"/>
      <c r="O1966" s="2"/>
      <c r="P1966" s="2" t="s">
        <v>146</v>
      </c>
    </row>
    <row r="1967">
      <c r="A1967" s="3" t="s">
        <v>64</v>
      </c>
      <c r="B1967" s="4">
        <v>45233.25</v>
      </c>
      <c r="C1967" s="2" t="s">
        <v>18</v>
      </c>
      <c r="D1967" s="2" t="s">
        <v>33</v>
      </c>
      <c r="E1967" s="2" t="s">
        <v>27</v>
      </c>
      <c r="F1967" s="2"/>
      <c r="G1967" s="2">
        <v>17.0</v>
      </c>
      <c r="H1967" s="2">
        <v>7.0</v>
      </c>
      <c r="I1967" s="2">
        <v>10.0</v>
      </c>
      <c r="J1967" s="2">
        <v>0.0</v>
      </c>
      <c r="K1967" s="2">
        <v>0.0</v>
      </c>
      <c r="L1967" s="2">
        <v>0.0</v>
      </c>
      <c r="M1967" s="2"/>
      <c r="N1967" s="2"/>
      <c r="O1967" s="2"/>
      <c r="P1967" s="2" t="s">
        <v>146</v>
      </c>
    </row>
    <row r="1968">
      <c r="A1968" s="3" t="s">
        <v>65</v>
      </c>
      <c r="B1968" s="4">
        <v>45234.25</v>
      </c>
      <c r="C1968" s="2" t="s">
        <v>18</v>
      </c>
      <c r="D1968" s="2" t="s">
        <v>69</v>
      </c>
      <c r="E1968" s="2" t="s">
        <v>27</v>
      </c>
      <c r="F1968" s="2"/>
      <c r="G1968" s="2">
        <v>16.0</v>
      </c>
      <c r="H1968" s="2">
        <v>8.0</v>
      </c>
      <c r="I1968" s="2">
        <v>8.0</v>
      </c>
      <c r="J1968" s="2">
        <v>0.0</v>
      </c>
      <c r="K1968" s="2">
        <v>0.0</v>
      </c>
      <c r="L1968" s="2">
        <v>0.0</v>
      </c>
      <c r="M1968" s="2"/>
      <c r="N1968" s="2"/>
      <c r="O1968" s="2"/>
      <c r="P1968" s="2" t="s">
        <v>146</v>
      </c>
    </row>
    <row r="1969">
      <c r="A1969" s="3" t="s">
        <v>66</v>
      </c>
      <c r="B1969" s="4">
        <v>45235.25</v>
      </c>
      <c r="C1969" s="2" t="s">
        <v>18</v>
      </c>
      <c r="D1969" s="2" t="s">
        <v>109</v>
      </c>
      <c r="E1969" s="2" t="s">
        <v>27</v>
      </c>
      <c r="F1969" s="2"/>
      <c r="G1969" s="2">
        <v>36.0</v>
      </c>
      <c r="H1969" s="2">
        <v>23.0</v>
      </c>
      <c r="I1969" s="2">
        <v>13.0</v>
      </c>
      <c r="J1969" s="2">
        <v>0.0</v>
      </c>
      <c r="K1969" s="2">
        <v>0.0</v>
      </c>
      <c r="L1969" s="2">
        <v>0.0</v>
      </c>
      <c r="M1969" s="2"/>
      <c r="N1969" s="2"/>
      <c r="O1969" s="2"/>
      <c r="P1969" s="2" t="s">
        <v>146</v>
      </c>
    </row>
    <row r="1970">
      <c r="A1970" s="3" t="s">
        <v>68</v>
      </c>
      <c r="B1970" s="4">
        <v>45236.29166666667</v>
      </c>
      <c r="C1970" s="2" t="s">
        <v>18</v>
      </c>
      <c r="D1970" s="2" t="s">
        <v>19</v>
      </c>
      <c r="E1970" s="2" t="s">
        <v>27</v>
      </c>
      <c r="F1970" s="2"/>
      <c r="G1970" s="2">
        <v>15.0</v>
      </c>
      <c r="H1970" s="2">
        <v>12.0</v>
      </c>
      <c r="I1970" s="2">
        <v>3.0</v>
      </c>
      <c r="J1970" s="2">
        <v>0.0</v>
      </c>
      <c r="K1970" s="2">
        <v>0.0</v>
      </c>
      <c r="L1970" s="2">
        <v>0.0</v>
      </c>
      <c r="M1970" s="2"/>
      <c r="N1970" s="2"/>
      <c r="O1970" s="2"/>
      <c r="P1970" s="2" t="s">
        <v>146</v>
      </c>
    </row>
    <row r="1971">
      <c r="A1971" s="3" t="s">
        <v>70</v>
      </c>
      <c r="B1971" s="4">
        <v>45262.29166666667</v>
      </c>
      <c r="C1971" s="2" t="s">
        <v>18</v>
      </c>
      <c r="D1971" s="2" t="s">
        <v>79</v>
      </c>
      <c r="E1971" s="2" t="s">
        <v>27</v>
      </c>
      <c r="F1971" s="2"/>
      <c r="G1971" s="2">
        <v>2.0</v>
      </c>
      <c r="H1971" s="2">
        <v>2.0</v>
      </c>
      <c r="I1971" s="2">
        <v>0.0</v>
      </c>
      <c r="J1971" s="2">
        <v>0.0</v>
      </c>
      <c r="K1971" s="2">
        <v>0.0</v>
      </c>
      <c r="L1971" s="2">
        <v>0.0</v>
      </c>
      <c r="M1971" s="2"/>
      <c r="N1971" s="2"/>
      <c r="O1971" s="2"/>
      <c r="P1971" s="2" t="s">
        <v>146</v>
      </c>
    </row>
    <row r="1972">
      <c r="A1972" s="3" t="s">
        <v>16</v>
      </c>
      <c r="B1972" s="4">
        <v>45264.29166666667</v>
      </c>
      <c r="C1972" s="2" t="s">
        <v>18</v>
      </c>
      <c r="D1972" s="2" t="s">
        <v>69</v>
      </c>
      <c r="E1972" s="2" t="s">
        <v>27</v>
      </c>
      <c r="F1972" s="2"/>
      <c r="G1972" s="2">
        <v>3.0</v>
      </c>
      <c r="H1972" s="2">
        <v>0.0</v>
      </c>
      <c r="I1972" s="2">
        <v>3.0</v>
      </c>
      <c r="J1972" s="2">
        <v>0.0</v>
      </c>
      <c r="K1972" s="2">
        <v>0.0</v>
      </c>
      <c r="L1972" s="2">
        <v>0.0</v>
      </c>
      <c r="M1972" s="2"/>
      <c r="N1972" s="2"/>
      <c r="O1972" s="2"/>
      <c r="P1972" s="2" t="s">
        <v>146</v>
      </c>
    </row>
    <row r="1973">
      <c r="A1973" s="3" t="s">
        <v>71</v>
      </c>
      <c r="B1973" s="4">
        <v>45266.29166666667</v>
      </c>
      <c r="C1973" s="2" t="s">
        <v>18</v>
      </c>
      <c r="D1973" s="2" t="s">
        <v>19</v>
      </c>
      <c r="E1973" s="2" t="s">
        <v>27</v>
      </c>
      <c r="F1973" s="2"/>
      <c r="G1973" s="2">
        <v>1.0</v>
      </c>
      <c r="H1973" s="2">
        <v>0.0</v>
      </c>
      <c r="I1973" s="2">
        <v>1.0</v>
      </c>
      <c r="J1973" s="2">
        <v>0.0</v>
      </c>
      <c r="K1973" s="2">
        <v>0.0</v>
      </c>
      <c r="L1973" s="2">
        <v>0.0</v>
      </c>
      <c r="M1973" s="2"/>
      <c r="N1973" s="2"/>
      <c r="O1973" s="2"/>
      <c r="P1973" s="2" t="s">
        <v>146</v>
      </c>
    </row>
    <row r="1974">
      <c r="A1974" s="3" t="s">
        <v>72</v>
      </c>
      <c r="B1974" s="2" t="s">
        <v>17</v>
      </c>
      <c r="C1974" s="2" t="s">
        <v>18</v>
      </c>
      <c r="D1974" s="2" t="s">
        <v>19</v>
      </c>
      <c r="E1974" s="2" t="s">
        <v>170</v>
      </c>
      <c r="F1974" s="2">
        <v>14.0</v>
      </c>
      <c r="G1974" s="2">
        <v>17.0</v>
      </c>
      <c r="H1974" s="2">
        <v>13.0</v>
      </c>
      <c r="I1974" s="2">
        <v>4.0</v>
      </c>
      <c r="J1974" s="2">
        <v>0.0</v>
      </c>
      <c r="K1974" s="2">
        <v>0.0</v>
      </c>
      <c r="L1974" s="2">
        <v>0.0</v>
      </c>
      <c r="M1974" s="2">
        <v>1.0</v>
      </c>
      <c r="N1974" s="2"/>
      <c r="O1974" s="2"/>
      <c r="P1974" s="2" t="s">
        <v>92</v>
      </c>
    </row>
    <row r="1975">
      <c r="A1975" s="3" t="s">
        <v>73</v>
      </c>
      <c r="B1975" s="2" t="s">
        <v>17</v>
      </c>
      <c r="C1975" s="2" t="s">
        <v>18</v>
      </c>
      <c r="D1975" s="2" t="s">
        <v>23</v>
      </c>
      <c r="E1975" s="2" t="s">
        <v>170</v>
      </c>
      <c r="F1975" s="2">
        <v>14.0</v>
      </c>
      <c r="G1975" s="2">
        <v>17.0</v>
      </c>
      <c r="H1975" s="2">
        <v>13.0</v>
      </c>
      <c r="I1975" s="2">
        <v>4.0</v>
      </c>
      <c r="J1975" s="2">
        <v>0.0</v>
      </c>
      <c r="K1975" s="2">
        <v>0.0</v>
      </c>
      <c r="L1975" s="2">
        <v>0.0</v>
      </c>
      <c r="M1975" s="2">
        <v>1.0</v>
      </c>
      <c r="N1975" s="2">
        <v>0.0</v>
      </c>
      <c r="O1975" s="2">
        <v>-12.0</v>
      </c>
      <c r="P1975" s="2" t="s">
        <v>92</v>
      </c>
    </row>
    <row r="1976">
      <c r="A1976" s="3" t="s">
        <v>74</v>
      </c>
      <c r="B1976" s="4">
        <v>45232.25</v>
      </c>
      <c r="C1976" s="2" t="s">
        <v>18</v>
      </c>
      <c r="D1976" s="2" t="s">
        <v>19</v>
      </c>
      <c r="E1976" s="2" t="s">
        <v>170</v>
      </c>
      <c r="F1976" s="2"/>
      <c r="G1976" s="2">
        <v>16.0</v>
      </c>
      <c r="H1976" s="2">
        <v>12.0</v>
      </c>
      <c r="I1976" s="2">
        <v>4.0</v>
      </c>
      <c r="J1976" s="2">
        <v>0.0</v>
      </c>
      <c r="K1976" s="2">
        <v>0.0</v>
      </c>
      <c r="L1976" s="2">
        <v>0.0</v>
      </c>
      <c r="M1976" s="2"/>
      <c r="N1976" s="2"/>
      <c r="O1976" s="2"/>
      <c r="P1976" s="2" t="s">
        <v>92</v>
      </c>
    </row>
    <row r="1977">
      <c r="A1977" s="3" t="s">
        <v>75</v>
      </c>
      <c r="B1977" s="4">
        <v>45264.29166666667</v>
      </c>
      <c r="C1977" s="2" t="s">
        <v>18</v>
      </c>
      <c r="D1977" s="2" t="s">
        <v>19</v>
      </c>
      <c r="E1977" s="2" t="s">
        <v>170</v>
      </c>
      <c r="F1977" s="2"/>
      <c r="G1977" s="2">
        <v>1.0</v>
      </c>
      <c r="H1977" s="2">
        <v>1.0</v>
      </c>
      <c r="I1977" s="2">
        <v>0.0</v>
      </c>
      <c r="J1977" s="2">
        <v>0.0</v>
      </c>
      <c r="K1977" s="2">
        <v>0.0</v>
      </c>
      <c r="L1977" s="2">
        <v>0.0</v>
      </c>
      <c r="M1977" s="2"/>
      <c r="N1977" s="2"/>
      <c r="O1977" s="2"/>
      <c r="P1977" s="2" t="s">
        <v>92</v>
      </c>
    </row>
    <row r="1978">
      <c r="A1978" s="3" t="s">
        <v>76</v>
      </c>
      <c r="B1978" s="2" t="s">
        <v>17</v>
      </c>
      <c r="C1978" s="2" t="s">
        <v>18</v>
      </c>
      <c r="D1978" s="2" t="s">
        <v>79</v>
      </c>
      <c r="E1978" s="2" t="s">
        <v>165</v>
      </c>
      <c r="F1978" s="2">
        <v>20.0</v>
      </c>
      <c r="G1978" s="2">
        <v>79.0</v>
      </c>
      <c r="H1978" s="2">
        <v>22.0</v>
      </c>
      <c r="I1978" s="2">
        <v>57.0</v>
      </c>
      <c r="J1978" s="2">
        <v>0.0</v>
      </c>
      <c r="K1978" s="2">
        <v>0.0</v>
      </c>
      <c r="L1978" s="2">
        <v>0.0</v>
      </c>
      <c r="M1978" s="2">
        <v>-2.0</v>
      </c>
      <c r="N1978" s="2"/>
      <c r="O1978" s="2"/>
      <c r="P1978" s="2" t="s">
        <v>166</v>
      </c>
    </row>
    <row r="1979">
      <c r="A1979" s="3" t="s">
        <v>77</v>
      </c>
      <c r="B1979" s="2" t="s">
        <v>17</v>
      </c>
      <c r="C1979" s="2" t="s">
        <v>18</v>
      </c>
      <c r="D1979" s="2" t="s">
        <v>23</v>
      </c>
      <c r="E1979" s="2" t="s">
        <v>165</v>
      </c>
      <c r="F1979" s="2">
        <v>22.0</v>
      </c>
      <c r="G1979" s="2">
        <v>79.0</v>
      </c>
      <c r="H1979" s="2">
        <v>22.0</v>
      </c>
      <c r="I1979" s="2">
        <v>57.0</v>
      </c>
      <c r="J1979" s="2">
        <v>0.0</v>
      </c>
      <c r="K1979" s="2">
        <v>0.0</v>
      </c>
      <c r="L1979" s="2">
        <v>0.0</v>
      </c>
      <c r="M1979" s="2">
        <v>0.0</v>
      </c>
      <c r="N1979" s="2">
        <v>2.0</v>
      </c>
      <c r="O1979" s="2">
        <v>-22.0</v>
      </c>
      <c r="P1979" s="2" t="s">
        <v>166</v>
      </c>
    </row>
    <row r="1980">
      <c r="A1980" s="3" t="s">
        <v>78</v>
      </c>
      <c r="B1980" s="4">
        <v>44987.29166666667</v>
      </c>
      <c r="C1980" s="2" t="s">
        <v>18</v>
      </c>
      <c r="D1980" s="2" t="s">
        <v>79</v>
      </c>
      <c r="E1980" s="2" t="s">
        <v>165</v>
      </c>
      <c r="F1980" s="2"/>
      <c r="G1980" s="2">
        <v>0.0</v>
      </c>
      <c r="H1980" s="2">
        <v>0.0</v>
      </c>
      <c r="I1980" s="2">
        <v>0.0</v>
      </c>
      <c r="J1980" s="2">
        <v>0.0</v>
      </c>
      <c r="K1980" s="2">
        <v>0.0</v>
      </c>
      <c r="L1980" s="2">
        <v>0.0</v>
      </c>
      <c r="M1980" s="2"/>
      <c r="N1980" s="2"/>
      <c r="O1980" s="2"/>
      <c r="P1980" s="2" t="s">
        <v>166</v>
      </c>
    </row>
    <row r="1981">
      <c r="A1981" s="3" t="s">
        <v>81</v>
      </c>
      <c r="B1981" s="4">
        <v>45017.29166666667</v>
      </c>
      <c r="C1981" s="2" t="s">
        <v>18</v>
      </c>
      <c r="D1981" s="2" t="s">
        <v>79</v>
      </c>
      <c r="E1981" s="2" t="s">
        <v>165</v>
      </c>
      <c r="F1981" s="2"/>
      <c r="G1981" s="2">
        <v>69.0</v>
      </c>
      <c r="H1981" s="2">
        <v>20.0</v>
      </c>
      <c r="I1981" s="2">
        <v>49.0</v>
      </c>
      <c r="J1981" s="2">
        <v>0.0</v>
      </c>
      <c r="K1981" s="2">
        <v>0.0</v>
      </c>
      <c r="L1981" s="2">
        <v>0.0</v>
      </c>
      <c r="M1981" s="2"/>
      <c r="N1981" s="2"/>
      <c r="O1981" s="2"/>
      <c r="P1981" s="2" t="s">
        <v>166</v>
      </c>
    </row>
    <row r="1982">
      <c r="A1982" s="3" t="s">
        <v>82</v>
      </c>
      <c r="B1982" s="4">
        <v>45261.29166666667</v>
      </c>
      <c r="C1982" s="2" t="s">
        <v>18</v>
      </c>
      <c r="D1982" s="2" t="s">
        <v>79</v>
      </c>
      <c r="E1982" s="2" t="s">
        <v>165</v>
      </c>
      <c r="F1982" s="2"/>
      <c r="G1982" s="2">
        <v>10.0</v>
      </c>
      <c r="H1982" s="2">
        <v>2.0</v>
      </c>
      <c r="I1982" s="2">
        <v>8.0</v>
      </c>
      <c r="J1982" s="2">
        <v>0.0</v>
      </c>
      <c r="K1982" s="2">
        <v>0.0</v>
      </c>
      <c r="L1982" s="2">
        <v>0.0</v>
      </c>
      <c r="M1982" s="2"/>
      <c r="N1982" s="2"/>
      <c r="O1982" s="2"/>
      <c r="P1982" s="2" t="s">
        <v>166</v>
      </c>
    </row>
    <row r="1983">
      <c r="A1983" s="3" t="s">
        <v>83</v>
      </c>
      <c r="B1983" s="2" t="s">
        <v>17</v>
      </c>
      <c r="C1983" s="2" t="s">
        <v>18</v>
      </c>
      <c r="D1983" s="2" t="s">
        <v>79</v>
      </c>
      <c r="E1983" s="2" t="s">
        <v>165</v>
      </c>
      <c r="F1983" s="2">
        <v>23.0</v>
      </c>
      <c r="G1983" s="2">
        <v>45.0</v>
      </c>
      <c r="H1983" s="2">
        <v>23.0</v>
      </c>
      <c r="I1983" s="2">
        <v>22.0</v>
      </c>
      <c r="J1983" s="2">
        <v>0.0</v>
      </c>
      <c r="K1983" s="2">
        <v>0.0</v>
      </c>
      <c r="L1983" s="2">
        <v>0.0</v>
      </c>
      <c r="M1983" s="2">
        <v>0.0</v>
      </c>
      <c r="N1983" s="2"/>
      <c r="O1983" s="2"/>
      <c r="P1983" s="2" t="s">
        <v>166</v>
      </c>
    </row>
    <row r="1984">
      <c r="A1984" s="3" t="s">
        <v>84</v>
      </c>
      <c r="B1984" s="2" t="s">
        <v>17</v>
      </c>
      <c r="C1984" s="2" t="s">
        <v>18</v>
      </c>
      <c r="D1984" s="2" t="s">
        <v>23</v>
      </c>
      <c r="E1984" s="2" t="s">
        <v>165</v>
      </c>
      <c r="F1984" s="2">
        <v>23.0</v>
      </c>
      <c r="G1984" s="2">
        <v>45.0</v>
      </c>
      <c r="H1984" s="2">
        <v>23.0</v>
      </c>
      <c r="I1984" s="2">
        <v>22.0</v>
      </c>
      <c r="J1984" s="2">
        <v>0.0</v>
      </c>
      <c r="K1984" s="2">
        <v>0.0</v>
      </c>
      <c r="L1984" s="2">
        <v>0.0</v>
      </c>
      <c r="M1984" s="2">
        <v>0.0</v>
      </c>
      <c r="N1984" s="2">
        <v>0.0</v>
      </c>
      <c r="O1984" s="2">
        <v>-20.0</v>
      </c>
      <c r="P1984" s="2" t="s">
        <v>166</v>
      </c>
    </row>
    <row r="1985">
      <c r="A1985" s="3" t="s">
        <v>85</v>
      </c>
      <c r="B1985" s="4">
        <v>44987.29166666667</v>
      </c>
      <c r="C1985" s="2" t="s">
        <v>18</v>
      </c>
      <c r="D1985" s="2" t="s">
        <v>79</v>
      </c>
      <c r="E1985" s="2" t="s">
        <v>165</v>
      </c>
      <c r="F1985" s="2"/>
      <c r="G1985" s="2">
        <v>0.0</v>
      </c>
      <c r="H1985" s="2">
        <v>0.0</v>
      </c>
      <c r="I1985" s="2">
        <v>0.0</v>
      </c>
      <c r="J1985" s="2">
        <v>0.0</v>
      </c>
      <c r="K1985" s="2">
        <v>0.0</v>
      </c>
      <c r="L1985" s="2">
        <v>0.0</v>
      </c>
      <c r="M1985" s="2"/>
      <c r="N1985" s="2"/>
      <c r="O1985" s="2"/>
      <c r="P1985" s="2" t="s">
        <v>166</v>
      </c>
    </row>
    <row r="1986">
      <c r="A1986" s="3" t="s">
        <v>86</v>
      </c>
      <c r="B1986" s="4">
        <v>45017.29166666667</v>
      </c>
      <c r="C1986" s="2" t="s">
        <v>18</v>
      </c>
      <c r="D1986" s="2" t="s">
        <v>79</v>
      </c>
      <c r="E1986" s="2" t="s">
        <v>165</v>
      </c>
      <c r="F1986" s="2"/>
      <c r="G1986" s="2">
        <v>25.0</v>
      </c>
      <c r="H1986" s="2">
        <v>20.0</v>
      </c>
      <c r="I1986" s="2">
        <v>5.0</v>
      </c>
      <c r="J1986" s="2">
        <v>0.0</v>
      </c>
      <c r="K1986" s="2">
        <v>0.0</v>
      </c>
      <c r="L1986" s="2">
        <v>0.0</v>
      </c>
      <c r="M1986" s="2"/>
      <c r="N1986" s="2"/>
      <c r="O1986" s="2"/>
      <c r="P1986" s="2" t="s">
        <v>166</v>
      </c>
    </row>
    <row r="1987">
      <c r="A1987" s="3" t="s">
        <v>87</v>
      </c>
      <c r="B1987" s="4">
        <v>45261.29166666667</v>
      </c>
      <c r="C1987" s="2" t="s">
        <v>18</v>
      </c>
      <c r="D1987" s="2" t="s">
        <v>79</v>
      </c>
      <c r="E1987" s="2" t="s">
        <v>165</v>
      </c>
      <c r="F1987" s="2"/>
      <c r="G1987" s="2">
        <v>20.0</v>
      </c>
      <c r="H1987" s="2"/>
      <c r="I1987" s="2"/>
      <c r="J1987" s="2"/>
      <c r="K1987" s="2"/>
      <c r="L1987" s="2"/>
      <c r="M1987" s="2"/>
      <c r="N1987" s="2"/>
      <c r="O1987" s="2"/>
      <c r="P1987" s="2"/>
    </row>
    <row r="1988">
      <c r="A1988" s="3" t="s">
        <v>88</v>
      </c>
      <c r="B1988" s="2" t="s">
        <v>17</v>
      </c>
      <c r="C1988" s="2" t="s">
        <v>18</v>
      </c>
      <c r="D1988" s="2" t="s">
        <v>164</v>
      </c>
      <c r="E1988" s="2" t="s">
        <v>165</v>
      </c>
      <c r="F1988" s="2">
        <v>17.0</v>
      </c>
      <c r="G1988" s="2">
        <v>51.0</v>
      </c>
      <c r="H1988" s="2">
        <v>22.0</v>
      </c>
      <c r="I1988" s="2">
        <v>29.0</v>
      </c>
      <c r="J1988" s="2">
        <v>0.0</v>
      </c>
      <c r="K1988" s="2">
        <v>0.0</v>
      </c>
      <c r="L1988" s="2">
        <v>0.0</v>
      </c>
      <c r="M1988" s="2">
        <v>-5.0</v>
      </c>
      <c r="N1988" s="2"/>
      <c r="O1988" s="2"/>
      <c r="P1988" s="2" t="s">
        <v>166</v>
      </c>
    </row>
    <row r="1989">
      <c r="A1989" s="3" t="s">
        <v>89</v>
      </c>
      <c r="B1989" s="2" t="s">
        <v>17</v>
      </c>
      <c r="C1989" s="2" t="s">
        <v>18</v>
      </c>
      <c r="D1989" s="2" t="s">
        <v>23</v>
      </c>
      <c r="E1989" s="2" t="s">
        <v>165</v>
      </c>
      <c r="F1989" s="2">
        <v>17.0</v>
      </c>
      <c r="G1989" s="2">
        <v>51.0</v>
      </c>
      <c r="H1989" s="2">
        <v>22.0</v>
      </c>
      <c r="I1989" s="2">
        <v>29.0</v>
      </c>
      <c r="J1989" s="2">
        <v>0.0</v>
      </c>
      <c r="K1989" s="2">
        <v>0.0</v>
      </c>
      <c r="L1989" s="2">
        <v>0.0</v>
      </c>
      <c r="M1989" s="2">
        <v>-5.0</v>
      </c>
      <c r="N1989" s="2">
        <v>0.0</v>
      </c>
      <c r="O1989" s="2">
        <v>-27.0</v>
      </c>
      <c r="P1989" s="2" t="s">
        <v>166</v>
      </c>
    </row>
    <row r="1990">
      <c r="A1990" s="3" t="s">
        <v>90</v>
      </c>
      <c r="B1990" s="4">
        <v>45262.29166666667</v>
      </c>
      <c r="C1990" s="2" t="s">
        <v>18</v>
      </c>
      <c r="D1990" s="2" t="s">
        <v>164</v>
      </c>
      <c r="E1990" s="2" t="s">
        <v>165</v>
      </c>
      <c r="F1990" s="2"/>
      <c r="G1990" s="2">
        <v>51.0</v>
      </c>
      <c r="H1990" s="2">
        <v>22.0</v>
      </c>
      <c r="I1990" s="2">
        <v>29.0</v>
      </c>
      <c r="J1990" s="2">
        <v>0.0</v>
      </c>
      <c r="K1990" s="2">
        <v>0.0</v>
      </c>
      <c r="L1990" s="2">
        <v>0.0</v>
      </c>
      <c r="M1990" s="2"/>
      <c r="N1990" s="2"/>
      <c r="O1990" s="2"/>
      <c r="P1990" s="2" t="s">
        <v>166</v>
      </c>
    </row>
    <row r="1991">
      <c r="A1991" s="3" t="s">
        <v>93</v>
      </c>
      <c r="B1991" s="2" t="s">
        <v>17</v>
      </c>
      <c r="C1991" s="2" t="s">
        <v>18</v>
      </c>
      <c r="D1991" s="2" t="s">
        <v>109</v>
      </c>
      <c r="E1991" s="2" t="s">
        <v>31</v>
      </c>
      <c r="F1991" s="2">
        <v>25.0</v>
      </c>
      <c r="G1991" s="2">
        <v>16.0</v>
      </c>
      <c r="H1991" s="2">
        <v>13.0</v>
      </c>
      <c r="I1991" s="2">
        <v>3.0</v>
      </c>
      <c r="J1991" s="2">
        <v>0.0</v>
      </c>
      <c r="K1991" s="2">
        <v>0.0</v>
      </c>
      <c r="L1991" s="2">
        <v>0.0</v>
      </c>
      <c r="M1991" s="2">
        <v>12.0</v>
      </c>
      <c r="N1991" s="2"/>
      <c r="O1991" s="2"/>
      <c r="P1991" s="2" t="s">
        <v>67</v>
      </c>
    </row>
    <row r="1992">
      <c r="A1992" s="3" t="s">
        <v>16</v>
      </c>
      <c r="B1992" s="2" t="s">
        <v>17</v>
      </c>
      <c r="C1992" s="2" t="s">
        <v>18</v>
      </c>
      <c r="D1992" s="2" t="s">
        <v>157</v>
      </c>
      <c r="E1992" s="2" t="s">
        <v>31</v>
      </c>
      <c r="F1992" s="2">
        <v>50.0</v>
      </c>
      <c r="G1992" s="2">
        <v>53.0</v>
      </c>
      <c r="H1992" s="2">
        <v>40.0</v>
      </c>
      <c r="I1992" s="2">
        <v>13.0</v>
      </c>
      <c r="J1992" s="2">
        <v>0.0</v>
      </c>
      <c r="K1992" s="2">
        <v>0.0</v>
      </c>
      <c r="L1992" s="2">
        <v>0.0</v>
      </c>
      <c r="M1992" s="2">
        <v>10.0</v>
      </c>
      <c r="N1992" s="2"/>
      <c r="O1992" s="2"/>
      <c r="P1992" s="2" t="s">
        <v>67</v>
      </c>
    </row>
    <row r="1993">
      <c r="A1993" s="3" t="s">
        <v>94</v>
      </c>
      <c r="B1993" s="2" t="s">
        <v>17</v>
      </c>
      <c r="C1993" s="2" t="s">
        <v>18</v>
      </c>
      <c r="D1993" s="2" t="s">
        <v>19</v>
      </c>
      <c r="E1993" s="2" t="s">
        <v>31</v>
      </c>
      <c r="F1993" s="2">
        <v>126.0</v>
      </c>
      <c r="G1993" s="2">
        <v>154.0</v>
      </c>
      <c r="H1993" s="2">
        <v>67.0</v>
      </c>
      <c r="I1993" s="2">
        <v>87.0</v>
      </c>
      <c r="J1993" s="2">
        <v>0.0</v>
      </c>
      <c r="K1993" s="2">
        <v>0.0</v>
      </c>
      <c r="L1993" s="2">
        <v>0.0</v>
      </c>
      <c r="M1993" s="2">
        <v>59.0</v>
      </c>
      <c r="N1993" s="2"/>
      <c r="O1993" s="2"/>
      <c r="P1993" s="2" t="s">
        <v>67</v>
      </c>
    </row>
    <row r="1994">
      <c r="A1994" s="3" t="s">
        <v>95</v>
      </c>
      <c r="B1994" s="2" t="s">
        <v>17</v>
      </c>
      <c r="C1994" s="2" t="s">
        <v>18</v>
      </c>
      <c r="D1994" s="2" t="s">
        <v>23</v>
      </c>
      <c r="E1994" s="2" t="s">
        <v>31</v>
      </c>
      <c r="F1994" s="2">
        <v>201.0</v>
      </c>
      <c r="G1994" s="2">
        <v>223.0</v>
      </c>
      <c r="H1994" s="2">
        <v>120.0</v>
      </c>
      <c r="I1994" s="2">
        <v>103.0</v>
      </c>
      <c r="J1994" s="2">
        <v>0.0</v>
      </c>
      <c r="K1994" s="2">
        <v>0.0</v>
      </c>
      <c r="L1994" s="2">
        <v>0.0</v>
      </c>
      <c r="M1994" s="2">
        <v>81.0</v>
      </c>
      <c r="N1994" s="2">
        <v>0.0</v>
      </c>
      <c r="O1994" s="2">
        <v>-39.0</v>
      </c>
      <c r="P1994" s="2" t="s">
        <v>67</v>
      </c>
    </row>
    <row r="1995">
      <c r="A1995" s="3" t="s">
        <v>97</v>
      </c>
      <c r="B1995" s="4">
        <v>45232.25</v>
      </c>
      <c r="C1995" s="2" t="s">
        <v>18</v>
      </c>
      <c r="D1995" s="2" t="s">
        <v>19</v>
      </c>
      <c r="E1995" s="2" t="s">
        <v>31</v>
      </c>
      <c r="F1995" s="2"/>
      <c r="G1995" s="2">
        <v>154.0</v>
      </c>
      <c r="H1995" s="2">
        <v>67.0</v>
      </c>
      <c r="I1995" s="2">
        <v>87.0</v>
      </c>
      <c r="J1995" s="2">
        <v>0.0</v>
      </c>
      <c r="K1995" s="2">
        <v>0.0</v>
      </c>
      <c r="L1995" s="2">
        <v>0.0</v>
      </c>
      <c r="M1995" s="2"/>
      <c r="N1995" s="2"/>
      <c r="O1995" s="2"/>
      <c r="P1995" s="2" t="s">
        <v>67</v>
      </c>
    </row>
    <row r="1996">
      <c r="A1996" s="3" t="s">
        <v>98</v>
      </c>
      <c r="B1996" s="4">
        <v>45233.25</v>
      </c>
      <c r="C1996" s="2" t="s">
        <v>18</v>
      </c>
      <c r="D1996" s="2" t="s">
        <v>109</v>
      </c>
      <c r="E1996" s="2" t="s">
        <v>31</v>
      </c>
      <c r="F1996" s="2"/>
      <c r="G1996" s="2">
        <v>16.0</v>
      </c>
      <c r="H1996" s="2">
        <v>13.0</v>
      </c>
      <c r="I1996" s="2">
        <v>3.0</v>
      </c>
      <c r="J1996" s="2">
        <v>0.0</v>
      </c>
      <c r="K1996" s="2">
        <v>0.0</v>
      </c>
      <c r="L1996" s="2">
        <v>0.0</v>
      </c>
      <c r="M1996" s="2"/>
      <c r="N1996" s="2"/>
      <c r="O1996" s="2"/>
      <c r="P1996" s="2" t="s">
        <v>67</v>
      </c>
    </row>
    <row r="1997">
      <c r="A1997" s="3" t="s">
        <v>99</v>
      </c>
      <c r="B1997" s="4">
        <v>45234.25</v>
      </c>
      <c r="C1997" s="2" t="s">
        <v>18</v>
      </c>
      <c r="D1997" s="2" t="s">
        <v>157</v>
      </c>
      <c r="E1997" s="2" t="s">
        <v>31</v>
      </c>
      <c r="F1997" s="2"/>
      <c r="G1997" s="2">
        <v>53.0</v>
      </c>
      <c r="H1997" s="2">
        <v>40.0</v>
      </c>
      <c r="I1997" s="2">
        <v>13.0</v>
      </c>
      <c r="J1997" s="2">
        <v>0.0</v>
      </c>
      <c r="K1997" s="2">
        <v>0.0</v>
      </c>
      <c r="L1997" s="2">
        <v>0.0</v>
      </c>
      <c r="M1997" s="2"/>
      <c r="N1997" s="2"/>
      <c r="O1997" s="2"/>
      <c r="P1997" s="2" t="s">
        <v>67</v>
      </c>
    </row>
    <row r="1998">
      <c r="A1998" s="3" t="s">
        <v>100</v>
      </c>
      <c r="B1998" s="2" t="s">
        <v>17</v>
      </c>
      <c r="C1998" s="2" t="s">
        <v>18</v>
      </c>
      <c r="D1998" s="2" t="s">
        <v>127</v>
      </c>
      <c r="E1998" s="2" t="s">
        <v>169</v>
      </c>
      <c r="F1998" s="2">
        <v>100.0</v>
      </c>
      <c r="G1998" s="2">
        <v>164.0</v>
      </c>
      <c r="H1998" s="2">
        <v>124.0</v>
      </c>
      <c r="I1998" s="2">
        <v>40.0</v>
      </c>
      <c r="J1998" s="2">
        <v>0.0</v>
      </c>
      <c r="K1998" s="2">
        <v>0.0</v>
      </c>
      <c r="L1998" s="2">
        <v>0.0</v>
      </c>
      <c r="M1998" s="2">
        <v>-24.0</v>
      </c>
      <c r="N1998" s="2"/>
      <c r="O1998" s="2"/>
      <c r="P1998" s="2" t="s">
        <v>92</v>
      </c>
    </row>
    <row r="1999">
      <c r="A1999" s="3" t="s">
        <v>101</v>
      </c>
      <c r="B1999" s="2" t="s">
        <v>17</v>
      </c>
      <c r="C1999" s="2" t="s">
        <v>18</v>
      </c>
      <c r="D1999" s="2" t="s">
        <v>23</v>
      </c>
      <c r="E1999" s="2" t="s">
        <v>169</v>
      </c>
      <c r="F1999" s="2">
        <v>100.0</v>
      </c>
      <c r="G1999" s="2">
        <v>164.0</v>
      </c>
      <c r="H1999" s="2">
        <v>124.0</v>
      </c>
      <c r="I1999" s="2">
        <v>40.0</v>
      </c>
      <c r="J1999" s="2">
        <v>0.0</v>
      </c>
      <c r="K1999" s="2">
        <v>0.0</v>
      </c>
      <c r="L1999" s="2">
        <v>0.0</v>
      </c>
      <c r="M1999" s="2">
        <v>-24.0</v>
      </c>
      <c r="N1999" s="2">
        <v>0.0</v>
      </c>
      <c r="O1999" s="2">
        <v>-148.0</v>
      </c>
      <c r="P1999" s="2" t="s">
        <v>92</v>
      </c>
    </row>
    <row r="2000">
      <c r="A2000" s="3" t="s">
        <v>102</v>
      </c>
      <c r="B2000" s="4">
        <v>45262.29166666667</v>
      </c>
      <c r="C2000" s="2" t="s">
        <v>18</v>
      </c>
      <c r="D2000" s="2" t="s">
        <v>127</v>
      </c>
      <c r="E2000" s="2" t="s">
        <v>169</v>
      </c>
      <c r="F2000" s="2"/>
      <c r="G2000" s="2">
        <v>164.0</v>
      </c>
      <c r="H2000" s="2">
        <v>124.0</v>
      </c>
      <c r="I2000" s="2">
        <v>40.0</v>
      </c>
      <c r="J2000" s="2">
        <v>0.0</v>
      </c>
      <c r="K2000" s="2">
        <v>0.0</v>
      </c>
      <c r="L2000" s="2">
        <v>0.0</v>
      </c>
      <c r="M2000" s="2"/>
      <c r="N2000" s="2"/>
      <c r="O2000" s="2"/>
      <c r="P2000" s="2" t="s">
        <v>92</v>
      </c>
    </row>
    <row r="2001">
      <c r="A2001" s="3" t="s">
        <v>103</v>
      </c>
      <c r="B2001" s="2" t="s">
        <v>17</v>
      </c>
      <c r="C2001" s="2" t="s">
        <v>18</v>
      </c>
      <c r="D2001" s="2" t="s">
        <v>91</v>
      </c>
      <c r="E2001" s="2" t="s">
        <v>27</v>
      </c>
      <c r="F2001" s="2">
        <v>42.0</v>
      </c>
      <c r="G2001" s="2">
        <v>77.0</v>
      </c>
      <c r="H2001" s="2">
        <v>42.0</v>
      </c>
      <c r="I2001" s="2">
        <v>35.0</v>
      </c>
      <c r="J2001" s="2">
        <v>0.0</v>
      </c>
      <c r="K2001" s="2">
        <v>0.0</v>
      </c>
      <c r="L2001" s="2">
        <v>0.0</v>
      </c>
      <c r="M2001" s="2">
        <v>0.0</v>
      </c>
      <c r="N2001" s="2"/>
      <c r="O2001" s="2"/>
      <c r="P2001" s="2" t="s">
        <v>80</v>
      </c>
    </row>
    <row r="2002">
      <c r="A2002" s="3" t="s">
        <v>104</v>
      </c>
      <c r="B2002" s="2" t="s">
        <v>17</v>
      </c>
      <c r="C2002" s="2" t="s">
        <v>18</v>
      </c>
      <c r="D2002" s="2" t="s">
        <v>19</v>
      </c>
      <c r="E2002" s="2" t="s">
        <v>27</v>
      </c>
      <c r="F2002" s="2">
        <v>22.0</v>
      </c>
      <c r="G2002" s="2">
        <v>42.0</v>
      </c>
      <c r="H2002" s="2">
        <v>23.0</v>
      </c>
      <c r="I2002" s="2">
        <v>18.0</v>
      </c>
      <c r="J2002" s="2">
        <v>1.0</v>
      </c>
      <c r="K2002" s="2">
        <v>0.0</v>
      </c>
      <c r="L2002" s="2">
        <v>0.0</v>
      </c>
      <c r="M2002" s="2">
        <v>-1.0</v>
      </c>
      <c r="N2002" s="2"/>
      <c r="O2002" s="2"/>
      <c r="P2002" s="2" t="s">
        <v>80</v>
      </c>
    </row>
    <row r="2003">
      <c r="A2003" s="3" t="s">
        <v>105</v>
      </c>
      <c r="B2003" s="2" t="s">
        <v>17</v>
      </c>
      <c r="C2003" s="2" t="s">
        <v>18</v>
      </c>
      <c r="D2003" s="2" t="s">
        <v>23</v>
      </c>
      <c r="E2003" s="2" t="s">
        <v>27</v>
      </c>
      <c r="F2003" s="2">
        <v>64.0</v>
      </c>
      <c r="G2003" s="2">
        <v>119.0</v>
      </c>
      <c r="H2003" s="2">
        <v>65.0</v>
      </c>
      <c r="I2003" s="2">
        <v>53.0</v>
      </c>
      <c r="J2003" s="2">
        <v>1.0</v>
      </c>
      <c r="K2003" s="2">
        <v>0.0</v>
      </c>
      <c r="L2003" s="2">
        <v>0.0</v>
      </c>
      <c r="M2003" s="2">
        <v>-1.0</v>
      </c>
      <c r="N2003" s="2">
        <v>0.0</v>
      </c>
      <c r="O2003" s="2">
        <v>-66.0</v>
      </c>
      <c r="P2003" s="2" t="s">
        <v>80</v>
      </c>
    </row>
    <row r="2004">
      <c r="A2004" s="3" t="s">
        <v>106</v>
      </c>
      <c r="B2004" s="4">
        <v>45140.29166666667</v>
      </c>
      <c r="C2004" s="2" t="s">
        <v>18</v>
      </c>
      <c r="D2004" s="2" t="s">
        <v>19</v>
      </c>
      <c r="E2004" s="2" t="s">
        <v>27</v>
      </c>
      <c r="F2004" s="2"/>
      <c r="G2004" s="2">
        <v>2.0</v>
      </c>
      <c r="H2004" s="2">
        <v>1.0</v>
      </c>
      <c r="I2004" s="2">
        <v>1.0</v>
      </c>
      <c r="J2004" s="2">
        <v>0.0</v>
      </c>
      <c r="K2004" s="2">
        <v>0.0</v>
      </c>
      <c r="L2004" s="2">
        <v>0.0</v>
      </c>
      <c r="M2004" s="2"/>
      <c r="N2004" s="2"/>
      <c r="O2004" s="2"/>
      <c r="P2004" s="2" t="s">
        <v>80</v>
      </c>
    </row>
    <row r="2005">
      <c r="A2005" s="3" t="s">
        <v>107</v>
      </c>
      <c r="B2005" s="4">
        <v>45171.29166666667</v>
      </c>
      <c r="C2005" s="2" t="s">
        <v>18</v>
      </c>
      <c r="D2005" s="2" t="s">
        <v>91</v>
      </c>
      <c r="E2005" s="2" t="s">
        <v>27</v>
      </c>
      <c r="F2005" s="2"/>
      <c r="G2005" s="2">
        <v>26.0</v>
      </c>
      <c r="H2005" s="2">
        <v>20.0</v>
      </c>
      <c r="I2005" s="2">
        <v>6.0</v>
      </c>
      <c r="J2005" s="2">
        <v>0.0</v>
      </c>
      <c r="K2005" s="2">
        <v>0.0</v>
      </c>
      <c r="L2005" s="2">
        <v>0.0</v>
      </c>
      <c r="M2005" s="2"/>
      <c r="N2005" s="2"/>
      <c r="O2005" s="2"/>
      <c r="P2005" s="2" t="s">
        <v>80</v>
      </c>
    </row>
    <row r="2006">
      <c r="A2006" s="3" t="s">
        <v>108</v>
      </c>
      <c r="B2006" s="4">
        <v>45172.29166666667</v>
      </c>
      <c r="C2006" s="2" t="s">
        <v>18</v>
      </c>
      <c r="D2006" s="2" t="s">
        <v>19</v>
      </c>
      <c r="E2006" s="2" t="s">
        <v>27</v>
      </c>
      <c r="F2006" s="2"/>
      <c r="G2006" s="2">
        <v>29.0</v>
      </c>
      <c r="H2006" s="2">
        <v>17.0</v>
      </c>
      <c r="I2006" s="2">
        <v>11.0</v>
      </c>
      <c r="J2006" s="2">
        <v>1.0</v>
      </c>
      <c r="K2006" s="2">
        <v>0.0</v>
      </c>
      <c r="L2006" s="2">
        <v>0.0</v>
      </c>
      <c r="M2006" s="2"/>
      <c r="N2006" s="2"/>
      <c r="O2006" s="2"/>
      <c r="P2006" s="2" t="s">
        <v>80</v>
      </c>
    </row>
    <row r="2007">
      <c r="A2007" s="3" t="s">
        <v>112</v>
      </c>
      <c r="B2007" s="4">
        <v>45201.29166666667</v>
      </c>
      <c r="C2007" s="2" t="s">
        <v>18</v>
      </c>
      <c r="D2007" s="2" t="s">
        <v>91</v>
      </c>
      <c r="E2007" s="2" t="s">
        <v>27</v>
      </c>
      <c r="F2007" s="2"/>
      <c r="G2007" s="2">
        <v>51.0</v>
      </c>
      <c r="H2007" s="2">
        <v>22.0</v>
      </c>
      <c r="I2007" s="2">
        <v>29.0</v>
      </c>
      <c r="J2007" s="2">
        <v>0.0</v>
      </c>
      <c r="K2007" s="2">
        <v>0.0</v>
      </c>
      <c r="L2007" s="2">
        <v>0.0</v>
      </c>
      <c r="M2007" s="2"/>
      <c r="N2007" s="2"/>
      <c r="O2007" s="2"/>
      <c r="P2007" s="2" t="s">
        <v>80</v>
      </c>
    </row>
    <row r="2008">
      <c r="A2008" s="3" t="s">
        <v>115</v>
      </c>
      <c r="B2008" s="4">
        <v>45202.29166666667</v>
      </c>
      <c r="C2008" s="2" t="s">
        <v>18</v>
      </c>
      <c r="D2008" s="2" t="s">
        <v>19</v>
      </c>
      <c r="E2008" s="2" t="s">
        <v>27</v>
      </c>
      <c r="F2008" s="2"/>
      <c r="G2008" s="2">
        <v>9.0</v>
      </c>
      <c r="H2008" s="2">
        <v>3.0</v>
      </c>
      <c r="I2008" s="2">
        <v>6.0</v>
      </c>
      <c r="J2008" s="2">
        <v>0.0</v>
      </c>
      <c r="K2008" s="2">
        <v>0.0</v>
      </c>
      <c r="L2008" s="2">
        <v>0.0</v>
      </c>
      <c r="M2008" s="2"/>
      <c r="N2008" s="2"/>
      <c r="O2008" s="2"/>
      <c r="P2008" s="2" t="s">
        <v>80</v>
      </c>
    </row>
    <row r="2009">
      <c r="A2009" s="3" t="s">
        <v>117</v>
      </c>
      <c r="B2009" s="4">
        <v>45262.29166666667</v>
      </c>
      <c r="C2009" s="2" t="s">
        <v>18</v>
      </c>
      <c r="D2009" s="2" t="s">
        <v>19</v>
      </c>
      <c r="E2009" s="2" t="s">
        <v>27</v>
      </c>
      <c r="F2009" s="2"/>
      <c r="G2009" s="2">
        <v>2.0</v>
      </c>
      <c r="H2009" s="2">
        <v>2.0</v>
      </c>
      <c r="I2009" s="2">
        <v>0.0</v>
      </c>
      <c r="J2009" s="2">
        <v>0.0</v>
      </c>
      <c r="K2009" s="2">
        <v>0.0</v>
      </c>
      <c r="L2009" s="2">
        <v>0.0</v>
      </c>
      <c r="M2009" s="2"/>
      <c r="N2009" s="2"/>
      <c r="O2009" s="2"/>
      <c r="P2009" s="2" t="s">
        <v>80</v>
      </c>
    </row>
    <row r="2010">
      <c r="A2010" s="3" t="s">
        <v>119</v>
      </c>
      <c r="B2010" s="2" t="s">
        <v>17</v>
      </c>
      <c r="C2010" s="2" t="s">
        <v>18</v>
      </c>
      <c r="D2010" s="2" t="s">
        <v>164</v>
      </c>
      <c r="E2010" s="2" t="s">
        <v>165</v>
      </c>
      <c r="F2010" s="2">
        <v>40.0</v>
      </c>
      <c r="G2010" s="2">
        <v>49.0</v>
      </c>
      <c r="H2010" s="2">
        <v>12.0</v>
      </c>
      <c r="I2010" s="2">
        <v>36.0</v>
      </c>
      <c r="J2010" s="2">
        <v>1.0</v>
      </c>
      <c r="K2010" s="2">
        <v>0.0</v>
      </c>
      <c r="L2010" s="2">
        <v>0.0</v>
      </c>
      <c r="M2010" s="2">
        <v>28.0</v>
      </c>
      <c r="N2010" s="2"/>
      <c r="O2010" s="2"/>
      <c r="P2010" s="2" t="s">
        <v>166</v>
      </c>
    </row>
    <row r="2011">
      <c r="A2011" s="3" t="s">
        <v>121</v>
      </c>
      <c r="B2011" s="2" t="s">
        <v>17</v>
      </c>
      <c r="C2011" s="2" t="s">
        <v>18</v>
      </c>
      <c r="D2011" s="2" t="s">
        <v>23</v>
      </c>
      <c r="E2011" s="2" t="s">
        <v>165</v>
      </c>
      <c r="F2011" s="2">
        <v>40.0</v>
      </c>
      <c r="G2011" s="2">
        <v>49.0</v>
      </c>
      <c r="H2011" s="2">
        <v>12.0</v>
      </c>
      <c r="I2011" s="2">
        <v>36.0</v>
      </c>
      <c r="J2011" s="2">
        <v>1.0</v>
      </c>
      <c r="K2011" s="2">
        <v>0.0</v>
      </c>
      <c r="L2011" s="2">
        <v>0.0</v>
      </c>
      <c r="M2011" s="2">
        <v>28.0</v>
      </c>
      <c r="N2011" s="2">
        <v>0.0</v>
      </c>
      <c r="O2011" s="2">
        <v>16.0</v>
      </c>
      <c r="P2011" s="2" t="s">
        <v>166</v>
      </c>
    </row>
    <row r="2012">
      <c r="A2012" s="3" t="s">
        <v>16</v>
      </c>
      <c r="B2012" s="4">
        <v>45141.29166666667</v>
      </c>
      <c r="C2012" s="2" t="s">
        <v>18</v>
      </c>
      <c r="D2012" s="2" t="s">
        <v>164</v>
      </c>
      <c r="E2012" s="2" t="s">
        <v>165</v>
      </c>
      <c r="F2012" s="2"/>
      <c r="G2012" s="2">
        <v>29.0</v>
      </c>
      <c r="H2012" s="2">
        <v>0.0</v>
      </c>
      <c r="I2012" s="2">
        <v>29.0</v>
      </c>
      <c r="J2012" s="2">
        <v>0.0</v>
      </c>
      <c r="K2012" s="2">
        <v>0.0</v>
      </c>
      <c r="L2012" s="2">
        <v>0.0</v>
      </c>
      <c r="M2012" s="2"/>
      <c r="N2012" s="2"/>
      <c r="O2012" s="2"/>
      <c r="P2012" s="2" t="s">
        <v>166</v>
      </c>
    </row>
    <row r="2013">
      <c r="A2013" s="3" t="s">
        <v>124</v>
      </c>
      <c r="B2013" s="4">
        <v>45170.29166666667</v>
      </c>
      <c r="C2013" s="2" t="s">
        <v>18</v>
      </c>
      <c r="D2013" s="2" t="s">
        <v>164</v>
      </c>
      <c r="E2013" s="2" t="s">
        <v>165</v>
      </c>
      <c r="F2013" s="2"/>
      <c r="G2013" s="2">
        <v>11.0</v>
      </c>
      <c r="H2013" s="2">
        <v>10.0</v>
      </c>
      <c r="I2013" s="2">
        <v>0.0</v>
      </c>
      <c r="J2013" s="2">
        <v>1.0</v>
      </c>
      <c r="K2013" s="2">
        <v>0.0</v>
      </c>
      <c r="L2013" s="2">
        <v>0.0</v>
      </c>
      <c r="M2013" s="2"/>
      <c r="N2013" s="2"/>
      <c r="O2013" s="2"/>
      <c r="P2013" s="2" t="s">
        <v>166</v>
      </c>
    </row>
    <row r="2014">
      <c r="A2014" s="3" t="s">
        <v>126</v>
      </c>
      <c r="B2014" s="4">
        <v>45231.25</v>
      </c>
      <c r="C2014" s="2" t="s">
        <v>18</v>
      </c>
      <c r="D2014" s="2" t="s">
        <v>164</v>
      </c>
      <c r="E2014" s="2" t="s">
        <v>165</v>
      </c>
      <c r="F2014" s="2"/>
      <c r="G2014" s="2">
        <v>0.0</v>
      </c>
      <c r="H2014" s="2">
        <v>0.0</v>
      </c>
      <c r="I2014" s="2">
        <v>0.0</v>
      </c>
      <c r="J2014" s="2">
        <v>0.0</v>
      </c>
      <c r="K2014" s="2">
        <v>0.0</v>
      </c>
      <c r="L2014" s="2">
        <v>0.0</v>
      </c>
      <c r="M2014" s="2"/>
      <c r="N2014" s="2"/>
      <c r="O2014" s="2"/>
      <c r="P2014" s="2" t="s">
        <v>166</v>
      </c>
    </row>
    <row r="2015">
      <c r="A2015" s="3" t="s">
        <v>128</v>
      </c>
      <c r="B2015" s="4">
        <v>45261.29166666667</v>
      </c>
      <c r="C2015" s="2" t="s">
        <v>18</v>
      </c>
      <c r="D2015" s="2" t="s">
        <v>164</v>
      </c>
      <c r="E2015" s="2" t="s">
        <v>165</v>
      </c>
      <c r="F2015" s="2"/>
      <c r="G2015" s="2">
        <v>9.0</v>
      </c>
      <c r="H2015" s="2">
        <v>2.0</v>
      </c>
      <c r="I2015" s="2">
        <v>7.0</v>
      </c>
      <c r="J2015" s="2">
        <v>0.0</v>
      </c>
      <c r="K2015" s="2">
        <v>0.0</v>
      </c>
      <c r="L2015" s="2">
        <v>0.0</v>
      </c>
      <c r="M2015" s="2"/>
      <c r="N2015" s="2"/>
      <c r="O2015" s="2"/>
      <c r="P2015" s="2" t="s">
        <v>166</v>
      </c>
    </row>
    <row r="2016">
      <c r="A2016" s="3" t="s">
        <v>129</v>
      </c>
      <c r="B2016" s="2" t="s">
        <v>17</v>
      </c>
      <c r="C2016" s="2" t="s">
        <v>18</v>
      </c>
      <c r="D2016" s="2" t="s">
        <v>19</v>
      </c>
      <c r="E2016" s="2" t="s">
        <v>96</v>
      </c>
      <c r="F2016" s="2">
        <v>120.0</v>
      </c>
      <c r="G2016" s="2">
        <v>139.0</v>
      </c>
      <c r="H2016" s="2">
        <v>120.0</v>
      </c>
      <c r="I2016" s="2">
        <v>19.0</v>
      </c>
      <c r="J2016" s="2">
        <v>0.0</v>
      </c>
      <c r="K2016" s="2">
        <v>0.0</v>
      </c>
      <c r="L2016" s="2">
        <v>0.0</v>
      </c>
      <c r="M2016" s="2">
        <v>0.0</v>
      </c>
      <c r="N2016" s="2"/>
      <c r="O2016" s="2"/>
      <c r="P2016" s="2" t="s">
        <v>111</v>
      </c>
    </row>
    <row r="2017">
      <c r="A2017" s="3" t="s">
        <v>130</v>
      </c>
      <c r="B2017" s="2" t="s">
        <v>17</v>
      </c>
      <c r="C2017" s="2" t="s">
        <v>18</v>
      </c>
      <c r="D2017" s="2" t="s">
        <v>23</v>
      </c>
      <c r="E2017" s="2" t="s">
        <v>96</v>
      </c>
      <c r="F2017" s="2">
        <v>120.0</v>
      </c>
      <c r="G2017" s="2">
        <v>139.0</v>
      </c>
      <c r="H2017" s="2">
        <v>120.0</v>
      </c>
      <c r="I2017" s="2">
        <v>19.0</v>
      </c>
      <c r="J2017" s="2">
        <v>0.0</v>
      </c>
      <c r="K2017" s="2">
        <v>0.0</v>
      </c>
      <c r="L2017" s="2">
        <v>0.0</v>
      </c>
      <c r="M2017" s="2">
        <v>0.0</v>
      </c>
      <c r="N2017" s="2">
        <v>0.0</v>
      </c>
      <c r="O2017" s="2">
        <v>-120.0</v>
      </c>
      <c r="P2017" s="2" t="s">
        <v>111</v>
      </c>
    </row>
    <row r="2018">
      <c r="A2018" s="3" t="s">
        <v>131</v>
      </c>
      <c r="B2018" s="4">
        <v>45111.29166666667</v>
      </c>
      <c r="C2018" s="2" t="s">
        <v>18</v>
      </c>
      <c r="D2018" s="2" t="s">
        <v>19</v>
      </c>
      <c r="E2018" s="2" t="s">
        <v>96</v>
      </c>
      <c r="F2018" s="2"/>
      <c r="G2018" s="2">
        <v>55.0</v>
      </c>
      <c r="H2018" s="2">
        <v>47.0</v>
      </c>
      <c r="I2018" s="2">
        <v>8.0</v>
      </c>
      <c r="J2018" s="2">
        <v>0.0</v>
      </c>
      <c r="K2018" s="2">
        <v>0.0</v>
      </c>
      <c r="L2018" s="2">
        <v>0.0</v>
      </c>
      <c r="M2018" s="2"/>
      <c r="N2018" s="2"/>
      <c r="O2018" s="2"/>
      <c r="P2018" s="2" t="s">
        <v>111</v>
      </c>
    </row>
    <row r="2019">
      <c r="A2019" s="3" t="s">
        <v>132</v>
      </c>
      <c r="B2019" s="4">
        <v>45141.29166666667</v>
      </c>
      <c r="C2019" s="2" t="s">
        <v>18</v>
      </c>
      <c r="D2019" s="2" t="s">
        <v>19</v>
      </c>
      <c r="E2019" s="2" t="s">
        <v>96</v>
      </c>
      <c r="F2019" s="2"/>
      <c r="G2019" s="2">
        <v>41.0</v>
      </c>
      <c r="H2019" s="2">
        <v>37.0</v>
      </c>
      <c r="I2019" s="2">
        <v>4.0</v>
      </c>
      <c r="J2019" s="2">
        <v>0.0</v>
      </c>
      <c r="K2019" s="2">
        <v>0.0</v>
      </c>
      <c r="L2019" s="2">
        <v>0.0</v>
      </c>
      <c r="M2019" s="2"/>
      <c r="N2019" s="2"/>
      <c r="O2019" s="2"/>
      <c r="P2019" s="2" t="s">
        <v>111</v>
      </c>
    </row>
    <row r="2020">
      <c r="A2020" s="3" t="s">
        <v>133</v>
      </c>
      <c r="B2020" s="4">
        <v>45171.29166666667</v>
      </c>
      <c r="C2020" s="2" t="s">
        <v>18</v>
      </c>
      <c r="D2020" s="2" t="s">
        <v>19</v>
      </c>
      <c r="E2020" s="2" t="s">
        <v>96</v>
      </c>
      <c r="F2020" s="2"/>
      <c r="G2020" s="2">
        <v>41.0</v>
      </c>
      <c r="H2020" s="2">
        <v>34.0</v>
      </c>
      <c r="I2020" s="2">
        <v>7.0</v>
      </c>
      <c r="J2020" s="2">
        <v>0.0</v>
      </c>
      <c r="K2020" s="2">
        <v>0.0</v>
      </c>
      <c r="L2020" s="2">
        <v>0.0</v>
      </c>
      <c r="M2020" s="2"/>
      <c r="N2020" s="2"/>
      <c r="O2020" s="2"/>
      <c r="P2020" s="2" t="s">
        <v>111</v>
      </c>
    </row>
    <row r="2021">
      <c r="A2021" s="3" t="s">
        <v>134</v>
      </c>
      <c r="B2021" s="4">
        <v>45260.29166666667</v>
      </c>
      <c r="C2021" s="2" t="s">
        <v>18</v>
      </c>
      <c r="D2021" s="2" t="s">
        <v>19</v>
      </c>
      <c r="E2021" s="2" t="s">
        <v>96</v>
      </c>
      <c r="F2021" s="2"/>
      <c r="G2021" s="2">
        <v>1.0</v>
      </c>
      <c r="H2021" s="2">
        <v>1.0</v>
      </c>
      <c r="I2021" s="2">
        <v>0.0</v>
      </c>
      <c r="J2021" s="2">
        <v>0.0</v>
      </c>
      <c r="K2021" s="2">
        <v>0.0</v>
      </c>
      <c r="L2021" s="2">
        <v>0.0</v>
      </c>
      <c r="M2021" s="2"/>
      <c r="N2021" s="2"/>
      <c r="O2021" s="2"/>
      <c r="P2021" s="2" t="s">
        <v>111</v>
      </c>
    </row>
    <row r="2022">
      <c r="A2022" s="3" t="s">
        <v>136</v>
      </c>
      <c r="B2022" s="4">
        <v>45261.29166666667</v>
      </c>
      <c r="C2022" s="2" t="s">
        <v>18</v>
      </c>
      <c r="D2022" s="2" t="s">
        <v>19</v>
      </c>
      <c r="E2022" s="2" t="s">
        <v>96</v>
      </c>
      <c r="F2022" s="2"/>
      <c r="G2022" s="2">
        <v>1.0</v>
      </c>
      <c r="H2022" s="2">
        <v>1.0</v>
      </c>
      <c r="I2022" s="2">
        <v>0.0</v>
      </c>
      <c r="J2022" s="2">
        <v>0.0</v>
      </c>
      <c r="K2022" s="2">
        <v>0.0</v>
      </c>
      <c r="L2022" s="2">
        <v>0.0</v>
      </c>
      <c r="M2022" s="2"/>
      <c r="N2022" s="2"/>
      <c r="O2022" s="2"/>
      <c r="P2022" s="2" t="s">
        <v>111</v>
      </c>
    </row>
    <row r="2023">
      <c r="A2023" s="3" t="s">
        <v>137</v>
      </c>
      <c r="B2023" s="2" t="s">
        <v>17</v>
      </c>
      <c r="C2023" s="2" t="s">
        <v>18</v>
      </c>
      <c r="D2023" s="2" t="s">
        <v>79</v>
      </c>
      <c r="E2023" s="2" t="s">
        <v>165</v>
      </c>
      <c r="F2023" s="2">
        <v>200.0</v>
      </c>
      <c r="G2023" s="2">
        <v>277.0</v>
      </c>
      <c r="H2023" s="2">
        <v>178.0</v>
      </c>
      <c r="I2023" s="2">
        <v>99.0</v>
      </c>
      <c r="J2023" s="2">
        <v>0.0</v>
      </c>
      <c r="K2023" s="2">
        <v>0.0</v>
      </c>
      <c r="L2023" s="2">
        <v>0.0</v>
      </c>
      <c r="M2023" s="2">
        <v>22.0</v>
      </c>
      <c r="N2023" s="2"/>
      <c r="O2023" s="2"/>
      <c r="P2023" s="2" t="s">
        <v>166</v>
      </c>
    </row>
    <row r="2024">
      <c r="A2024" s="3" t="s">
        <v>138</v>
      </c>
      <c r="B2024" s="2" t="s">
        <v>17</v>
      </c>
      <c r="C2024" s="2" t="s">
        <v>18</v>
      </c>
      <c r="D2024" s="2" t="s">
        <v>23</v>
      </c>
      <c r="E2024" s="2" t="s">
        <v>165</v>
      </c>
      <c r="F2024" s="2">
        <v>200.0</v>
      </c>
      <c r="G2024" s="2">
        <v>277.0</v>
      </c>
      <c r="H2024" s="2">
        <v>178.0</v>
      </c>
      <c r="I2024" s="2">
        <v>99.0</v>
      </c>
      <c r="J2024" s="2">
        <v>0.0</v>
      </c>
      <c r="K2024" s="2">
        <v>0.0</v>
      </c>
      <c r="L2024" s="2">
        <v>0.0</v>
      </c>
      <c r="M2024" s="2">
        <v>22.0</v>
      </c>
      <c r="N2024" s="2">
        <v>0.0</v>
      </c>
      <c r="O2024" s="2">
        <v>-156.0</v>
      </c>
      <c r="P2024" s="2" t="s">
        <v>166</v>
      </c>
    </row>
    <row r="2025">
      <c r="A2025" s="3" t="s">
        <v>139</v>
      </c>
      <c r="B2025" s="4">
        <v>45079.29166666667</v>
      </c>
      <c r="C2025" s="2" t="s">
        <v>18</v>
      </c>
      <c r="D2025" s="2" t="s">
        <v>79</v>
      </c>
      <c r="E2025" s="2" t="s">
        <v>165</v>
      </c>
      <c r="F2025" s="2"/>
      <c r="G2025" s="2">
        <v>7.0</v>
      </c>
      <c r="H2025" s="2">
        <v>7.0</v>
      </c>
      <c r="I2025" s="2">
        <v>0.0</v>
      </c>
      <c r="J2025" s="2">
        <v>0.0</v>
      </c>
      <c r="K2025" s="2">
        <v>0.0</v>
      </c>
      <c r="L2025" s="2">
        <v>0.0</v>
      </c>
      <c r="M2025" s="2"/>
      <c r="N2025" s="2"/>
      <c r="O2025" s="2"/>
      <c r="P2025" s="2" t="s">
        <v>166</v>
      </c>
    </row>
    <row r="2026">
      <c r="A2026" s="3" t="s">
        <v>140</v>
      </c>
      <c r="B2026" s="4">
        <v>45108.29166666667</v>
      </c>
      <c r="C2026" s="2" t="s">
        <v>18</v>
      </c>
      <c r="D2026" s="2" t="s">
        <v>79</v>
      </c>
      <c r="E2026" s="2" t="s">
        <v>165</v>
      </c>
      <c r="F2026" s="2"/>
      <c r="G2026" s="2">
        <v>30.0</v>
      </c>
      <c r="H2026" s="2">
        <v>26.0</v>
      </c>
      <c r="I2026" s="2">
        <v>4.0</v>
      </c>
      <c r="J2026" s="2">
        <v>0.0</v>
      </c>
      <c r="K2026" s="2">
        <v>0.0</v>
      </c>
      <c r="L2026" s="2">
        <v>0.0</v>
      </c>
      <c r="M2026" s="2"/>
      <c r="N2026" s="2"/>
      <c r="O2026" s="2"/>
      <c r="P2026" s="2" t="s">
        <v>166</v>
      </c>
    </row>
    <row r="2027">
      <c r="A2027" s="3" t="s">
        <v>141</v>
      </c>
      <c r="B2027" s="4">
        <v>45139.29166666667</v>
      </c>
      <c r="C2027" s="2" t="s">
        <v>18</v>
      </c>
      <c r="D2027" s="2" t="s">
        <v>79</v>
      </c>
      <c r="E2027" s="2" t="s">
        <v>165</v>
      </c>
      <c r="F2027" s="2"/>
      <c r="G2027" s="2">
        <v>38.0</v>
      </c>
      <c r="H2027" s="2">
        <v>35.0</v>
      </c>
      <c r="I2027" s="2">
        <v>3.0</v>
      </c>
      <c r="J2027" s="2">
        <v>0.0</v>
      </c>
      <c r="K2027" s="2">
        <v>0.0</v>
      </c>
      <c r="L2027" s="2">
        <v>0.0</v>
      </c>
      <c r="M2027" s="2"/>
      <c r="N2027" s="2"/>
      <c r="O2027" s="2"/>
      <c r="P2027" s="2" t="s">
        <v>166</v>
      </c>
    </row>
    <row r="2028">
      <c r="A2028" s="3" t="s">
        <v>142</v>
      </c>
      <c r="B2028" s="4">
        <v>45170.29166666667</v>
      </c>
      <c r="C2028" s="2" t="s">
        <v>18</v>
      </c>
      <c r="D2028" s="2" t="s">
        <v>79</v>
      </c>
      <c r="E2028" s="2" t="s">
        <v>165</v>
      </c>
      <c r="F2028" s="2"/>
      <c r="G2028" s="2">
        <v>30.0</v>
      </c>
      <c r="H2028" s="2">
        <v>24.0</v>
      </c>
      <c r="I2028" s="2">
        <v>6.0</v>
      </c>
      <c r="J2028" s="2">
        <v>0.0</v>
      </c>
      <c r="K2028" s="2">
        <v>0.0</v>
      </c>
      <c r="L2028" s="2">
        <v>0.0</v>
      </c>
      <c r="M2028" s="2"/>
      <c r="N2028" s="2"/>
      <c r="O2028" s="2"/>
      <c r="P2028" s="2" t="s">
        <v>166</v>
      </c>
    </row>
    <row r="2029">
      <c r="A2029" s="3" t="s">
        <v>143</v>
      </c>
      <c r="B2029" s="4">
        <v>45200.29166666667</v>
      </c>
      <c r="C2029" s="2" t="s">
        <v>18</v>
      </c>
      <c r="D2029" s="2" t="s">
        <v>79</v>
      </c>
      <c r="E2029" s="2" t="s">
        <v>165</v>
      </c>
      <c r="F2029" s="2"/>
      <c r="G2029" s="2">
        <v>58.0</v>
      </c>
      <c r="H2029" s="2">
        <v>17.0</v>
      </c>
      <c r="I2029" s="2">
        <v>41.0</v>
      </c>
      <c r="J2029" s="2">
        <v>0.0</v>
      </c>
      <c r="K2029" s="2">
        <v>0.0</v>
      </c>
      <c r="L2029" s="2">
        <v>0.0</v>
      </c>
      <c r="M2029" s="2"/>
      <c r="N2029" s="2"/>
      <c r="O2029" s="2"/>
      <c r="P2029" s="2" t="s">
        <v>166</v>
      </c>
    </row>
    <row r="2030">
      <c r="A2030" s="3" t="s">
        <v>144</v>
      </c>
      <c r="B2030" s="4">
        <v>45231.25</v>
      </c>
      <c r="C2030" s="2" t="s">
        <v>18</v>
      </c>
      <c r="D2030" s="2" t="s">
        <v>79</v>
      </c>
      <c r="E2030" s="2" t="s">
        <v>165</v>
      </c>
      <c r="F2030" s="2"/>
      <c r="G2030" s="2">
        <v>114.0</v>
      </c>
      <c r="H2030" s="2">
        <v>69.0</v>
      </c>
      <c r="I2030" s="2">
        <v>45.0</v>
      </c>
      <c r="J2030" s="2">
        <v>0.0</v>
      </c>
      <c r="K2030" s="2">
        <v>0.0</v>
      </c>
      <c r="L2030" s="2">
        <v>0.0</v>
      </c>
      <c r="M2030" s="2"/>
      <c r="N2030" s="2"/>
      <c r="O2030" s="2"/>
      <c r="P2030" s="2" t="s">
        <v>166</v>
      </c>
    </row>
    <row r="2031">
      <c r="A2031" s="3" t="s">
        <v>145</v>
      </c>
      <c r="B2031" s="2" t="s">
        <v>17</v>
      </c>
      <c r="C2031" s="2" t="s">
        <v>18</v>
      </c>
      <c r="D2031" s="2" t="s">
        <v>69</v>
      </c>
      <c r="E2031" s="2" t="s">
        <v>27</v>
      </c>
      <c r="F2031" s="2">
        <v>50.0</v>
      </c>
      <c r="G2031" s="2">
        <v>13.0</v>
      </c>
      <c r="H2031" s="2">
        <v>0.0</v>
      </c>
      <c r="I2031" s="2">
        <v>13.0</v>
      </c>
      <c r="J2031" s="2">
        <v>0.0</v>
      </c>
      <c r="K2031" s="2">
        <v>0.0</v>
      </c>
      <c r="L2031" s="2">
        <v>0.0</v>
      </c>
      <c r="M2031" s="2">
        <v>50.0</v>
      </c>
      <c r="N2031" s="2"/>
      <c r="O2031" s="2"/>
      <c r="P2031" s="2" t="s">
        <v>92</v>
      </c>
    </row>
    <row r="2032">
      <c r="A2032" s="3" t="s">
        <v>16</v>
      </c>
      <c r="B2032" s="2" t="s">
        <v>17</v>
      </c>
      <c r="C2032" s="2" t="s">
        <v>18</v>
      </c>
      <c r="D2032" s="2" t="s">
        <v>157</v>
      </c>
      <c r="E2032" s="2" t="s">
        <v>27</v>
      </c>
      <c r="F2032" s="2">
        <v>120.0</v>
      </c>
      <c r="G2032" s="2">
        <v>3.0</v>
      </c>
      <c r="H2032" s="2">
        <v>0.0</v>
      </c>
      <c r="I2032" s="2">
        <v>3.0</v>
      </c>
      <c r="J2032" s="2">
        <v>0.0</v>
      </c>
      <c r="K2032" s="2">
        <v>0.0</v>
      </c>
      <c r="L2032" s="2">
        <v>0.0</v>
      </c>
      <c r="M2032" s="2">
        <v>120.0</v>
      </c>
      <c r="N2032" s="2"/>
      <c r="O2032" s="2"/>
      <c r="P2032" s="2" t="s">
        <v>92</v>
      </c>
    </row>
    <row r="2033">
      <c r="A2033" s="3" t="s">
        <v>22</v>
      </c>
      <c r="B2033" s="2" t="s">
        <v>17</v>
      </c>
      <c r="C2033" s="2" t="s">
        <v>18</v>
      </c>
      <c r="D2033" s="2" t="s">
        <v>19</v>
      </c>
      <c r="E2033" s="2" t="s">
        <v>27</v>
      </c>
      <c r="F2033" s="2">
        <v>280.0</v>
      </c>
      <c r="G2033" s="2">
        <v>2.0</v>
      </c>
      <c r="H2033" s="2">
        <v>0.0</v>
      </c>
      <c r="I2033" s="2">
        <v>2.0</v>
      </c>
      <c r="J2033" s="2">
        <v>0.0</v>
      </c>
      <c r="K2033" s="2">
        <v>0.0</v>
      </c>
      <c r="L2033" s="2">
        <v>0.0</v>
      </c>
      <c r="M2033" s="2">
        <v>280.0</v>
      </c>
      <c r="N2033" s="2"/>
      <c r="O2033" s="2"/>
      <c r="P2033" s="2" t="s">
        <v>92</v>
      </c>
    </row>
    <row r="2034">
      <c r="A2034" s="3" t="s">
        <v>24</v>
      </c>
      <c r="B2034" s="2" t="s">
        <v>17</v>
      </c>
      <c r="C2034" s="2" t="s">
        <v>18</v>
      </c>
      <c r="D2034" s="2" t="s">
        <v>23</v>
      </c>
      <c r="E2034" s="2" t="s">
        <v>27</v>
      </c>
      <c r="F2034" s="2">
        <v>373.0</v>
      </c>
      <c r="G2034" s="2">
        <v>18.0</v>
      </c>
      <c r="H2034" s="2">
        <v>0.0</v>
      </c>
      <c r="I2034" s="2">
        <v>18.0</v>
      </c>
      <c r="J2034" s="2">
        <v>0.0</v>
      </c>
      <c r="K2034" s="2">
        <v>0.0</v>
      </c>
      <c r="L2034" s="2">
        <v>0.0</v>
      </c>
      <c r="M2034" s="2">
        <v>373.0</v>
      </c>
      <c r="N2034" s="2">
        <v>-77.0</v>
      </c>
      <c r="O2034" s="2">
        <v>373.0</v>
      </c>
      <c r="P2034" s="2" t="s">
        <v>92</v>
      </c>
    </row>
    <row r="2035">
      <c r="A2035" s="3" t="s">
        <v>25</v>
      </c>
      <c r="B2035" s="4">
        <v>45201.29166666667</v>
      </c>
      <c r="C2035" s="2" t="s">
        <v>18</v>
      </c>
      <c r="D2035" s="2" t="s">
        <v>69</v>
      </c>
      <c r="E2035" s="2" t="s">
        <v>27</v>
      </c>
      <c r="F2035" s="2"/>
      <c r="G2035" s="2">
        <v>6.0</v>
      </c>
      <c r="H2035" s="2">
        <v>0.0</v>
      </c>
      <c r="I2035" s="2">
        <v>6.0</v>
      </c>
      <c r="J2035" s="2">
        <v>0.0</v>
      </c>
      <c r="K2035" s="2">
        <v>0.0</v>
      </c>
      <c r="L2035" s="2">
        <v>0.0</v>
      </c>
      <c r="M2035" s="2"/>
      <c r="N2035" s="2"/>
      <c r="O2035" s="2"/>
      <c r="P2035" s="2" t="s">
        <v>92</v>
      </c>
    </row>
    <row r="2036">
      <c r="A2036" s="3" t="s">
        <v>26</v>
      </c>
      <c r="B2036" s="4">
        <v>45202.29166666667</v>
      </c>
      <c r="C2036" s="2" t="s">
        <v>18</v>
      </c>
      <c r="D2036" s="2" t="s">
        <v>157</v>
      </c>
      <c r="E2036" s="2" t="s">
        <v>27</v>
      </c>
      <c r="F2036" s="2"/>
      <c r="G2036" s="2">
        <v>0.0</v>
      </c>
      <c r="H2036" s="2">
        <v>0.0</v>
      </c>
      <c r="I2036" s="2">
        <v>0.0</v>
      </c>
      <c r="J2036" s="2">
        <v>0.0</v>
      </c>
      <c r="K2036" s="2">
        <v>0.0</v>
      </c>
      <c r="L2036" s="2">
        <v>0.0</v>
      </c>
      <c r="M2036" s="2"/>
      <c r="N2036" s="2"/>
      <c r="O2036" s="2"/>
      <c r="P2036" s="2" t="s">
        <v>92</v>
      </c>
    </row>
    <row r="2037">
      <c r="A2037" s="3" t="s">
        <v>28</v>
      </c>
      <c r="B2037" s="4">
        <v>45203.29166666667</v>
      </c>
      <c r="C2037" s="2" t="s">
        <v>18</v>
      </c>
      <c r="D2037" s="2" t="s">
        <v>19</v>
      </c>
      <c r="E2037" s="2" t="s">
        <v>27</v>
      </c>
      <c r="F2037" s="2"/>
      <c r="G2037" s="2">
        <v>2.0</v>
      </c>
      <c r="H2037" s="2">
        <v>0.0</v>
      </c>
      <c r="I2037" s="2">
        <v>2.0</v>
      </c>
      <c r="J2037" s="2">
        <v>0.0</v>
      </c>
      <c r="K2037" s="2">
        <v>0.0</v>
      </c>
      <c r="L2037" s="2">
        <v>0.0</v>
      </c>
      <c r="M2037" s="2"/>
      <c r="N2037" s="2"/>
      <c r="O2037" s="2"/>
      <c r="P2037" s="2" t="s">
        <v>92</v>
      </c>
    </row>
    <row r="2038">
      <c r="A2038" s="3" t="s">
        <v>29</v>
      </c>
      <c r="B2038" s="4">
        <v>45232.25</v>
      </c>
      <c r="C2038" s="2" t="s">
        <v>18</v>
      </c>
      <c r="D2038" s="2" t="s">
        <v>69</v>
      </c>
      <c r="E2038" s="2" t="s">
        <v>27</v>
      </c>
      <c r="F2038" s="2"/>
      <c r="G2038" s="2">
        <v>7.0</v>
      </c>
      <c r="H2038" s="2">
        <v>0.0</v>
      </c>
      <c r="I2038" s="2">
        <v>7.0</v>
      </c>
      <c r="J2038" s="2">
        <v>0.0</v>
      </c>
      <c r="K2038" s="2">
        <v>0.0</v>
      </c>
      <c r="L2038" s="2">
        <v>0.0</v>
      </c>
      <c r="M2038" s="2"/>
      <c r="N2038" s="2"/>
      <c r="O2038" s="2"/>
      <c r="P2038" s="2" t="s">
        <v>92</v>
      </c>
    </row>
    <row r="2039">
      <c r="A2039" s="3" t="s">
        <v>32</v>
      </c>
      <c r="B2039" s="4">
        <v>45232.25</v>
      </c>
      <c r="C2039" s="2" t="s">
        <v>18</v>
      </c>
      <c r="D2039" s="2" t="s">
        <v>157</v>
      </c>
      <c r="E2039" s="2" t="s">
        <v>27</v>
      </c>
      <c r="F2039" s="2"/>
      <c r="G2039" s="2">
        <v>3.0</v>
      </c>
      <c r="H2039" s="2">
        <v>0.0</v>
      </c>
      <c r="I2039" s="2">
        <v>3.0</v>
      </c>
      <c r="J2039" s="2">
        <v>0.0</v>
      </c>
      <c r="K2039" s="2">
        <v>0.0</v>
      </c>
      <c r="L2039" s="2">
        <v>0.0</v>
      </c>
      <c r="M2039" s="2"/>
      <c r="N2039" s="2"/>
      <c r="O2039" s="2"/>
      <c r="P2039" s="2" t="s">
        <v>92</v>
      </c>
    </row>
    <row r="2040">
      <c r="A2040" s="3" t="s">
        <v>34</v>
      </c>
      <c r="B2040" s="4">
        <v>45232.25</v>
      </c>
      <c r="C2040" s="2" t="s">
        <v>18</v>
      </c>
      <c r="D2040" s="2" t="s">
        <v>19</v>
      </c>
      <c r="E2040" s="2" t="s">
        <v>27</v>
      </c>
      <c r="F2040" s="2"/>
      <c r="G2040" s="2">
        <v>0.0</v>
      </c>
      <c r="H2040" s="2">
        <v>0.0</v>
      </c>
      <c r="I2040" s="2">
        <v>0.0</v>
      </c>
      <c r="J2040" s="2">
        <v>0.0</v>
      </c>
      <c r="K2040" s="2">
        <v>0.0</v>
      </c>
      <c r="L2040" s="2">
        <v>0.0</v>
      </c>
      <c r="M2040" s="2"/>
      <c r="N2040" s="2"/>
      <c r="O2040" s="2"/>
      <c r="P2040" s="2" t="s">
        <v>92</v>
      </c>
    </row>
    <row r="2041">
      <c r="A2041" s="3" t="s">
        <v>35</v>
      </c>
      <c r="B2041" s="2" t="s">
        <v>17</v>
      </c>
      <c r="C2041" s="2" t="s">
        <v>18</v>
      </c>
      <c r="D2041" s="2" t="s">
        <v>164</v>
      </c>
      <c r="E2041" s="2" t="s">
        <v>165</v>
      </c>
      <c r="F2041" s="2">
        <v>25.0</v>
      </c>
      <c r="G2041" s="2">
        <v>43.0</v>
      </c>
      <c r="H2041" s="2">
        <v>35.0</v>
      </c>
      <c r="I2041" s="2">
        <v>8.0</v>
      </c>
      <c r="J2041" s="2">
        <v>0.0</v>
      </c>
      <c r="K2041" s="2">
        <v>0.0</v>
      </c>
      <c r="L2041" s="2">
        <v>0.0</v>
      </c>
      <c r="M2041" s="2">
        <v>-10.0</v>
      </c>
      <c r="N2041" s="2"/>
      <c r="O2041" s="2"/>
      <c r="P2041" s="2" t="s">
        <v>166</v>
      </c>
    </row>
    <row r="2042">
      <c r="A2042" s="3" t="s">
        <v>36</v>
      </c>
      <c r="B2042" s="2" t="s">
        <v>17</v>
      </c>
      <c r="C2042" s="2" t="s">
        <v>18</v>
      </c>
      <c r="D2042" s="2" t="s">
        <v>23</v>
      </c>
      <c r="E2042" s="2" t="s">
        <v>165</v>
      </c>
      <c r="F2042" s="2">
        <v>25.0</v>
      </c>
      <c r="G2042" s="2">
        <v>43.0</v>
      </c>
      <c r="H2042" s="2">
        <v>35.0</v>
      </c>
      <c r="I2042" s="2">
        <v>8.0</v>
      </c>
      <c r="J2042" s="2">
        <v>0.0</v>
      </c>
      <c r="K2042" s="2">
        <v>0.0</v>
      </c>
      <c r="L2042" s="2">
        <v>0.0</v>
      </c>
      <c r="M2042" s="2">
        <v>-10.0</v>
      </c>
      <c r="N2042" s="2">
        <v>0.0</v>
      </c>
      <c r="O2042" s="2">
        <v>-45.0</v>
      </c>
      <c r="P2042" s="2" t="s">
        <v>166</v>
      </c>
    </row>
    <row r="2043">
      <c r="A2043" s="3" t="s">
        <v>37</v>
      </c>
      <c r="B2043" s="4">
        <v>45201.29166666667</v>
      </c>
      <c r="C2043" s="2" t="s">
        <v>18</v>
      </c>
      <c r="D2043" s="2" t="s">
        <v>164</v>
      </c>
      <c r="E2043" s="2" t="s">
        <v>165</v>
      </c>
      <c r="F2043" s="2"/>
      <c r="G2043" s="2">
        <v>43.0</v>
      </c>
      <c r="H2043" s="2">
        <v>35.0</v>
      </c>
      <c r="I2043" s="2">
        <v>8.0</v>
      </c>
      <c r="J2043" s="2">
        <v>0.0</v>
      </c>
      <c r="K2043" s="2">
        <v>0.0</v>
      </c>
      <c r="L2043" s="2">
        <v>0.0</v>
      </c>
      <c r="M2043" s="2"/>
      <c r="N2043" s="2"/>
      <c r="O2043" s="2"/>
      <c r="P2043" s="2" t="s">
        <v>166</v>
      </c>
    </row>
    <row r="2044">
      <c r="A2044" s="3" t="s">
        <v>38</v>
      </c>
      <c r="B2044" s="2" t="s">
        <v>17</v>
      </c>
      <c r="C2044" s="2" t="s">
        <v>18</v>
      </c>
      <c r="D2044" s="2" t="s">
        <v>19</v>
      </c>
      <c r="E2044" s="2" t="s">
        <v>27</v>
      </c>
      <c r="F2044" s="2">
        <v>14.0</v>
      </c>
      <c r="G2044" s="2">
        <v>18.0</v>
      </c>
      <c r="H2044" s="2">
        <v>11.0</v>
      </c>
      <c r="I2044" s="2">
        <v>2.0</v>
      </c>
      <c r="J2044" s="2">
        <v>5.0</v>
      </c>
      <c r="K2044" s="2">
        <v>0.0</v>
      </c>
      <c r="L2044" s="2">
        <v>0.0</v>
      </c>
      <c r="M2044" s="2">
        <v>3.0</v>
      </c>
      <c r="N2044" s="2"/>
      <c r="O2044" s="2"/>
      <c r="P2044" s="2" t="s">
        <v>111</v>
      </c>
    </row>
    <row r="2045">
      <c r="A2045" s="3" t="s">
        <v>39</v>
      </c>
      <c r="B2045" s="2" t="s">
        <v>17</v>
      </c>
      <c r="C2045" s="2" t="s">
        <v>18</v>
      </c>
      <c r="D2045" s="2" t="s">
        <v>23</v>
      </c>
      <c r="E2045" s="2" t="s">
        <v>27</v>
      </c>
      <c r="F2045" s="2">
        <v>14.0</v>
      </c>
      <c r="G2045" s="2">
        <v>18.0</v>
      </c>
      <c r="H2045" s="2">
        <v>11.0</v>
      </c>
      <c r="I2045" s="2">
        <v>2.0</v>
      </c>
      <c r="J2045" s="2">
        <v>5.0</v>
      </c>
      <c r="K2045" s="2">
        <v>0.0</v>
      </c>
      <c r="L2045" s="2">
        <v>0.0</v>
      </c>
      <c r="M2045" s="2">
        <v>3.0</v>
      </c>
      <c r="N2045" s="2">
        <v>0.0</v>
      </c>
      <c r="O2045" s="2">
        <v>-8.0</v>
      </c>
      <c r="P2045" s="2" t="s">
        <v>111</v>
      </c>
    </row>
    <row r="2046">
      <c r="A2046" s="3" t="s">
        <v>40</v>
      </c>
      <c r="B2046" s="4">
        <v>45140.29166666667</v>
      </c>
      <c r="C2046" s="2" t="s">
        <v>18</v>
      </c>
      <c r="D2046" s="2" t="s">
        <v>19</v>
      </c>
      <c r="E2046" s="2" t="s">
        <v>27</v>
      </c>
      <c r="F2046" s="2"/>
      <c r="G2046" s="2">
        <v>11.0</v>
      </c>
      <c r="H2046" s="2">
        <v>6.0</v>
      </c>
      <c r="I2046" s="2">
        <v>0.0</v>
      </c>
      <c r="J2046" s="2">
        <v>5.0</v>
      </c>
      <c r="K2046" s="2">
        <v>0.0</v>
      </c>
      <c r="L2046" s="2">
        <v>0.0</v>
      </c>
      <c r="M2046" s="2"/>
      <c r="N2046" s="2"/>
      <c r="O2046" s="2"/>
      <c r="P2046" s="2" t="s">
        <v>111</v>
      </c>
    </row>
    <row r="2047">
      <c r="A2047" s="3" t="s">
        <v>41</v>
      </c>
      <c r="B2047" s="4">
        <v>45200.29166666667</v>
      </c>
      <c r="C2047" s="2" t="s">
        <v>18</v>
      </c>
      <c r="D2047" s="2" t="s">
        <v>19</v>
      </c>
      <c r="E2047" s="2" t="s">
        <v>27</v>
      </c>
      <c r="F2047" s="2"/>
      <c r="G2047" s="2">
        <v>7.0</v>
      </c>
      <c r="H2047" s="2">
        <v>5.0</v>
      </c>
      <c r="I2047" s="2">
        <v>2.0</v>
      </c>
      <c r="J2047" s="2">
        <v>0.0</v>
      </c>
      <c r="K2047" s="2">
        <v>0.0</v>
      </c>
      <c r="L2047" s="2">
        <v>0.0</v>
      </c>
      <c r="M2047" s="2"/>
      <c r="N2047" s="2"/>
      <c r="O2047" s="2"/>
      <c r="P2047" s="2" t="s">
        <v>111</v>
      </c>
    </row>
    <row r="2048">
      <c r="A2048" s="3" t="s">
        <v>42</v>
      </c>
      <c r="B2048" s="2" t="s">
        <v>17</v>
      </c>
      <c r="C2048" s="2" t="s">
        <v>18</v>
      </c>
      <c r="D2048" s="2" t="s">
        <v>19</v>
      </c>
      <c r="E2048" s="2" t="s">
        <v>122</v>
      </c>
      <c r="F2048" s="2">
        <v>31.0</v>
      </c>
      <c r="G2048" s="2">
        <v>46.0</v>
      </c>
      <c r="H2048" s="2">
        <v>34.0</v>
      </c>
      <c r="I2048" s="2">
        <v>12.0</v>
      </c>
      <c r="J2048" s="2">
        <v>0.0</v>
      </c>
      <c r="K2048" s="2">
        <v>0.0</v>
      </c>
      <c r="L2048" s="2">
        <v>0.0</v>
      </c>
      <c r="M2048" s="2">
        <v>-3.0</v>
      </c>
      <c r="N2048" s="2"/>
      <c r="O2048" s="2"/>
      <c r="P2048" s="2" t="s">
        <v>153</v>
      </c>
    </row>
    <row r="2049">
      <c r="A2049" s="3" t="s">
        <v>43</v>
      </c>
      <c r="B2049" s="2" t="s">
        <v>17</v>
      </c>
      <c r="C2049" s="2" t="s">
        <v>18</v>
      </c>
      <c r="D2049" s="2" t="s">
        <v>19</v>
      </c>
      <c r="E2049" s="2" t="s">
        <v>123</v>
      </c>
      <c r="F2049" s="2">
        <v>30.0</v>
      </c>
      <c r="G2049" s="2">
        <v>51.0</v>
      </c>
      <c r="H2049" s="2">
        <v>28.0</v>
      </c>
      <c r="I2049" s="2">
        <v>23.0</v>
      </c>
      <c r="J2049" s="2">
        <v>0.0</v>
      </c>
      <c r="K2049" s="2">
        <v>0.0</v>
      </c>
      <c r="L2049" s="2">
        <v>0.0</v>
      </c>
      <c r="M2049" s="2">
        <v>2.0</v>
      </c>
      <c r="N2049" s="2"/>
      <c r="O2049" s="2"/>
      <c r="P2049" s="2" t="s">
        <v>153</v>
      </c>
    </row>
    <row r="2050">
      <c r="A2050" s="3" t="s">
        <v>44</v>
      </c>
      <c r="B2050" s="2" t="s">
        <v>17</v>
      </c>
      <c r="C2050" s="2" t="s">
        <v>113</v>
      </c>
      <c r="D2050" s="2" t="s">
        <v>19</v>
      </c>
      <c r="E2050" s="2" t="s">
        <v>116</v>
      </c>
      <c r="F2050" s="2">
        <v>14.0</v>
      </c>
      <c r="G2050" s="2">
        <v>26.0</v>
      </c>
      <c r="H2050" s="2">
        <v>14.0</v>
      </c>
      <c r="I2050" s="2">
        <v>12.0</v>
      </c>
      <c r="J2050" s="2">
        <v>0.0</v>
      </c>
      <c r="K2050" s="2">
        <v>0.0</v>
      </c>
      <c r="L2050" s="2">
        <v>0.0</v>
      </c>
      <c r="M2050" s="2">
        <v>0.0</v>
      </c>
      <c r="N2050" s="2"/>
      <c r="O2050" s="2"/>
      <c r="P2050" s="2" t="s">
        <v>153</v>
      </c>
    </row>
    <row r="2051">
      <c r="A2051" s="3" t="s">
        <v>45</v>
      </c>
      <c r="B2051" s="2" t="s">
        <v>17</v>
      </c>
      <c r="C2051" s="2" t="s">
        <v>113</v>
      </c>
      <c r="D2051" s="2" t="s">
        <v>19</v>
      </c>
      <c r="E2051" s="2" t="s">
        <v>120</v>
      </c>
      <c r="F2051" s="2">
        <v>52.0</v>
      </c>
      <c r="G2051" s="2">
        <v>83.0</v>
      </c>
      <c r="H2051" s="2">
        <v>52.0</v>
      </c>
      <c r="I2051" s="2">
        <v>31.0</v>
      </c>
      <c r="J2051" s="2">
        <v>0.0</v>
      </c>
      <c r="K2051" s="2">
        <v>0.0</v>
      </c>
      <c r="L2051" s="2">
        <v>0.0</v>
      </c>
      <c r="M2051" s="2">
        <v>0.0</v>
      </c>
      <c r="N2051" s="2"/>
      <c r="O2051" s="2"/>
      <c r="P2051" s="2" t="s">
        <v>153</v>
      </c>
    </row>
    <row r="2052">
      <c r="A2052" s="3" t="s">
        <v>16</v>
      </c>
      <c r="B2052" s="2" t="s">
        <v>17</v>
      </c>
      <c r="C2052" s="2" t="s">
        <v>113</v>
      </c>
      <c r="D2052" s="2" t="s">
        <v>19</v>
      </c>
      <c r="E2052" s="2" t="s">
        <v>118</v>
      </c>
      <c r="F2052" s="2">
        <v>48.0</v>
      </c>
      <c r="G2052" s="2">
        <v>70.0</v>
      </c>
      <c r="H2052" s="2">
        <v>48.0</v>
      </c>
      <c r="I2052" s="2">
        <v>22.0</v>
      </c>
      <c r="J2052" s="2">
        <v>0.0</v>
      </c>
      <c r="K2052" s="2">
        <v>0.0</v>
      </c>
      <c r="L2052" s="2">
        <v>0.0</v>
      </c>
      <c r="M2052" s="2">
        <v>0.0</v>
      </c>
      <c r="N2052" s="2"/>
      <c r="O2052" s="2"/>
      <c r="P2052" s="2" t="s">
        <v>153</v>
      </c>
    </row>
    <row r="2053">
      <c r="A2053" s="3" t="s">
        <v>47</v>
      </c>
      <c r="B2053" s="2" t="s">
        <v>17</v>
      </c>
      <c r="C2053" s="2" t="s">
        <v>113</v>
      </c>
      <c r="D2053" s="2" t="s">
        <v>23</v>
      </c>
      <c r="E2053" s="2" t="s">
        <v>116</v>
      </c>
      <c r="F2053" s="2">
        <v>14.0</v>
      </c>
      <c r="G2053" s="2">
        <v>26.0</v>
      </c>
      <c r="H2053" s="2">
        <v>14.0</v>
      </c>
      <c r="I2053" s="2">
        <v>12.0</v>
      </c>
      <c r="J2053" s="2">
        <v>0.0</v>
      </c>
      <c r="K2053" s="2">
        <v>0.0</v>
      </c>
      <c r="L2053" s="2">
        <v>0.0</v>
      </c>
      <c r="M2053" s="2">
        <v>0.0</v>
      </c>
      <c r="N2053" s="2">
        <v>0.0</v>
      </c>
      <c r="O2053" s="2">
        <v>-14.0</v>
      </c>
      <c r="P2053" s="2" t="s">
        <v>153</v>
      </c>
    </row>
    <row r="2054">
      <c r="A2054" s="3" t="s">
        <v>48</v>
      </c>
      <c r="B2054" s="2" t="s">
        <v>17</v>
      </c>
      <c r="C2054" s="2" t="s">
        <v>113</v>
      </c>
      <c r="D2054" s="2" t="s">
        <v>23</v>
      </c>
      <c r="E2054" s="2" t="s">
        <v>120</v>
      </c>
      <c r="F2054" s="2">
        <v>52.0</v>
      </c>
      <c r="G2054" s="2">
        <v>83.0</v>
      </c>
      <c r="H2054" s="2">
        <v>52.0</v>
      </c>
      <c r="I2054" s="2">
        <v>31.0</v>
      </c>
      <c r="J2054" s="2">
        <v>0.0</v>
      </c>
      <c r="K2054" s="2">
        <v>0.0</v>
      </c>
      <c r="L2054" s="2">
        <v>0.0</v>
      </c>
      <c r="M2054" s="2">
        <v>0.0</v>
      </c>
      <c r="N2054" s="2">
        <v>0.0</v>
      </c>
      <c r="O2054" s="2">
        <v>-52.0</v>
      </c>
      <c r="P2054" s="2" t="s">
        <v>153</v>
      </c>
    </row>
    <row r="2055">
      <c r="A2055" s="3" t="s">
        <v>49</v>
      </c>
      <c r="B2055" s="2" t="s">
        <v>17</v>
      </c>
      <c r="C2055" s="2" t="s">
        <v>113</v>
      </c>
      <c r="D2055" s="2" t="s">
        <v>23</v>
      </c>
      <c r="E2055" s="2" t="s">
        <v>118</v>
      </c>
      <c r="F2055" s="2">
        <v>48.0</v>
      </c>
      <c r="G2055" s="2">
        <v>70.0</v>
      </c>
      <c r="H2055" s="2">
        <v>48.0</v>
      </c>
      <c r="I2055" s="2">
        <v>22.0</v>
      </c>
      <c r="J2055" s="2">
        <v>0.0</v>
      </c>
      <c r="K2055" s="2">
        <v>0.0</v>
      </c>
      <c r="L2055" s="2">
        <v>0.0</v>
      </c>
      <c r="M2055" s="2">
        <v>0.0</v>
      </c>
      <c r="N2055" s="2">
        <v>0.0</v>
      </c>
      <c r="O2055" s="2">
        <v>-48.0</v>
      </c>
      <c r="P2055" s="2" t="s">
        <v>153</v>
      </c>
    </row>
    <row r="2056">
      <c r="A2056" s="3" t="s">
        <v>51</v>
      </c>
      <c r="B2056" s="2" t="s">
        <v>17</v>
      </c>
      <c r="C2056" s="2" t="s">
        <v>18</v>
      </c>
      <c r="D2056" s="2" t="s">
        <v>23</v>
      </c>
      <c r="E2056" s="2" t="s">
        <v>122</v>
      </c>
      <c r="F2056" s="2">
        <v>31.0</v>
      </c>
      <c r="G2056" s="2">
        <v>46.0</v>
      </c>
      <c r="H2056" s="2">
        <v>34.0</v>
      </c>
      <c r="I2056" s="2">
        <v>12.0</v>
      </c>
      <c r="J2056" s="2">
        <v>0.0</v>
      </c>
      <c r="K2056" s="2">
        <v>0.0</v>
      </c>
      <c r="L2056" s="2">
        <v>0.0</v>
      </c>
      <c r="M2056" s="2">
        <v>-3.0</v>
      </c>
      <c r="N2056" s="2">
        <v>0.0</v>
      </c>
      <c r="O2056" s="2">
        <v>-37.0</v>
      </c>
      <c r="P2056" s="2" t="s">
        <v>153</v>
      </c>
    </row>
    <row r="2057">
      <c r="A2057" s="3" t="s">
        <v>52</v>
      </c>
      <c r="B2057" s="2" t="s">
        <v>17</v>
      </c>
      <c r="C2057" s="2" t="s">
        <v>18</v>
      </c>
      <c r="D2057" s="2" t="s">
        <v>23</v>
      </c>
      <c r="E2057" s="2" t="s">
        <v>123</v>
      </c>
      <c r="F2057" s="2">
        <v>30.0</v>
      </c>
      <c r="G2057" s="2">
        <v>51.0</v>
      </c>
      <c r="H2057" s="2">
        <v>28.0</v>
      </c>
      <c r="I2057" s="2">
        <v>23.0</v>
      </c>
      <c r="J2057" s="2">
        <v>0.0</v>
      </c>
      <c r="K2057" s="2">
        <v>0.0</v>
      </c>
      <c r="L2057" s="2">
        <v>0.0</v>
      </c>
      <c r="M2057" s="2">
        <v>2.0</v>
      </c>
      <c r="N2057" s="2">
        <v>0.0</v>
      </c>
      <c r="O2057" s="2">
        <v>-26.0</v>
      </c>
      <c r="P2057" s="2" t="s">
        <v>153</v>
      </c>
    </row>
    <row r="2058">
      <c r="A2058" s="3" t="s">
        <v>53</v>
      </c>
      <c r="B2058" s="4">
        <v>45048.29166666667</v>
      </c>
      <c r="C2058" s="2" t="s">
        <v>18</v>
      </c>
      <c r="D2058" s="2" t="s">
        <v>19</v>
      </c>
      <c r="E2058" s="2" t="s">
        <v>116</v>
      </c>
      <c r="F2058" s="2"/>
      <c r="G2058" s="2">
        <v>7.0</v>
      </c>
      <c r="H2058" s="2">
        <v>3.0</v>
      </c>
      <c r="I2058" s="2">
        <v>4.0</v>
      </c>
      <c r="J2058" s="2">
        <v>0.0</v>
      </c>
      <c r="K2058" s="2">
        <v>0.0</v>
      </c>
      <c r="L2058" s="2">
        <v>0.0</v>
      </c>
      <c r="M2058" s="2"/>
      <c r="N2058" s="2"/>
      <c r="O2058" s="2"/>
      <c r="P2058" s="2" t="s">
        <v>153</v>
      </c>
    </row>
    <row r="2059">
      <c r="A2059" s="3" t="s">
        <v>54</v>
      </c>
      <c r="B2059" s="4">
        <v>45049.29166666667</v>
      </c>
      <c r="C2059" s="2" t="s">
        <v>18</v>
      </c>
      <c r="D2059" s="2" t="s">
        <v>19</v>
      </c>
      <c r="E2059" s="2" t="s">
        <v>120</v>
      </c>
      <c r="F2059" s="2"/>
      <c r="G2059" s="2">
        <v>69.0</v>
      </c>
      <c r="H2059" s="2">
        <v>42.0</v>
      </c>
      <c r="I2059" s="2">
        <v>27.0</v>
      </c>
      <c r="J2059" s="2">
        <v>0.0</v>
      </c>
      <c r="K2059" s="2">
        <v>0.0</v>
      </c>
      <c r="L2059" s="2">
        <v>0.0</v>
      </c>
      <c r="M2059" s="2"/>
      <c r="N2059" s="2"/>
      <c r="O2059" s="2"/>
      <c r="P2059" s="2" t="s">
        <v>153</v>
      </c>
    </row>
    <row r="2060">
      <c r="A2060" s="3" t="s">
        <v>55</v>
      </c>
      <c r="B2060" s="4">
        <v>45050.29166666667</v>
      </c>
      <c r="C2060" s="2" t="s">
        <v>18</v>
      </c>
      <c r="D2060" s="2" t="s">
        <v>19</v>
      </c>
      <c r="E2060" s="2" t="s">
        <v>118</v>
      </c>
      <c r="F2060" s="2"/>
      <c r="G2060" s="2">
        <v>31.0</v>
      </c>
      <c r="H2060" s="2">
        <v>21.0</v>
      </c>
      <c r="I2060" s="2">
        <v>10.0</v>
      </c>
      <c r="J2060" s="2">
        <v>0.0</v>
      </c>
      <c r="K2060" s="2">
        <v>0.0</v>
      </c>
      <c r="L2060" s="2">
        <v>0.0</v>
      </c>
      <c r="M2060" s="2"/>
      <c r="N2060" s="2"/>
      <c r="O2060" s="2"/>
      <c r="P2060" s="2" t="s">
        <v>153</v>
      </c>
    </row>
    <row r="2061">
      <c r="A2061" s="3" t="s">
        <v>56</v>
      </c>
      <c r="B2061" s="4">
        <v>45078.29166666667</v>
      </c>
      <c r="C2061" s="2" t="s">
        <v>18</v>
      </c>
      <c r="D2061" s="2" t="s">
        <v>19</v>
      </c>
      <c r="E2061" s="2" t="s">
        <v>116</v>
      </c>
      <c r="F2061" s="2"/>
      <c r="G2061" s="2">
        <v>19.0</v>
      </c>
      <c r="H2061" s="2">
        <v>11.0</v>
      </c>
      <c r="I2061" s="2">
        <v>8.0</v>
      </c>
      <c r="J2061" s="2">
        <v>0.0</v>
      </c>
      <c r="K2061" s="2">
        <v>0.0</v>
      </c>
      <c r="L2061" s="2">
        <v>0.0</v>
      </c>
      <c r="M2061" s="2"/>
      <c r="N2061" s="2"/>
      <c r="O2061" s="2"/>
      <c r="P2061" s="2" t="s">
        <v>153</v>
      </c>
    </row>
    <row r="2062">
      <c r="A2062" s="3" t="s">
        <v>59</v>
      </c>
      <c r="B2062" s="4">
        <v>45079.29166666667</v>
      </c>
      <c r="C2062" s="2" t="s">
        <v>18</v>
      </c>
      <c r="D2062" s="2" t="s">
        <v>19</v>
      </c>
      <c r="E2062" s="2" t="s">
        <v>120</v>
      </c>
      <c r="F2062" s="2"/>
      <c r="G2062" s="2">
        <v>14.0</v>
      </c>
      <c r="H2062" s="2">
        <v>10.0</v>
      </c>
      <c r="I2062" s="2">
        <v>4.0</v>
      </c>
      <c r="J2062" s="2">
        <v>0.0</v>
      </c>
      <c r="K2062" s="2">
        <v>0.0</v>
      </c>
      <c r="L2062" s="2">
        <v>0.0</v>
      </c>
      <c r="M2062" s="2"/>
      <c r="N2062" s="2"/>
      <c r="O2062" s="2"/>
      <c r="P2062" s="2" t="s">
        <v>153</v>
      </c>
    </row>
    <row r="2063">
      <c r="A2063" s="3" t="s">
        <v>60</v>
      </c>
      <c r="B2063" s="4">
        <v>45080.29166666667</v>
      </c>
      <c r="C2063" s="2" t="s">
        <v>18</v>
      </c>
      <c r="D2063" s="2" t="s">
        <v>19</v>
      </c>
      <c r="E2063" s="2" t="s">
        <v>118</v>
      </c>
      <c r="F2063" s="2"/>
      <c r="G2063" s="2">
        <v>39.0</v>
      </c>
      <c r="H2063" s="2">
        <v>27.0</v>
      </c>
      <c r="I2063" s="2">
        <v>12.0</v>
      </c>
      <c r="J2063" s="2">
        <v>0.0</v>
      </c>
      <c r="K2063" s="2">
        <v>0.0</v>
      </c>
      <c r="L2063" s="2">
        <v>0.0</v>
      </c>
      <c r="M2063" s="2"/>
      <c r="N2063" s="2"/>
      <c r="O2063" s="2"/>
      <c r="P2063" s="2" t="s">
        <v>153</v>
      </c>
    </row>
    <row r="2064">
      <c r="A2064" s="3" t="s">
        <v>61</v>
      </c>
      <c r="B2064" s="4">
        <v>45108.29166666667</v>
      </c>
      <c r="C2064" s="2" t="s">
        <v>18</v>
      </c>
      <c r="D2064" s="2" t="s">
        <v>19</v>
      </c>
      <c r="E2064" s="2" t="s">
        <v>122</v>
      </c>
      <c r="F2064" s="2"/>
      <c r="G2064" s="2">
        <v>21.0</v>
      </c>
      <c r="H2064" s="2">
        <v>18.0</v>
      </c>
      <c r="I2064" s="2">
        <v>3.0</v>
      </c>
      <c r="J2064" s="2">
        <v>0.0</v>
      </c>
      <c r="K2064" s="2">
        <v>0.0</v>
      </c>
      <c r="L2064" s="2">
        <v>0.0</v>
      </c>
      <c r="M2064" s="2"/>
      <c r="N2064" s="2"/>
      <c r="O2064" s="2"/>
      <c r="P2064" s="2" t="s">
        <v>153</v>
      </c>
    </row>
    <row r="2065">
      <c r="A2065" s="3" t="s">
        <v>62</v>
      </c>
      <c r="B2065" s="4">
        <v>45109.29166666667</v>
      </c>
      <c r="C2065" s="2" t="s">
        <v>18</v>
      </c>
      <c r="D2065" s="2" t="s">
        <v>19</v>
      </c>
      <c r="E2065" s="2" t="s">
        <v>123</v>
      </c>
      <c r="F2065" s="2"/>
      <c r="G2065" s="2">
        <v>4.0</v>
      </c>
      <c r="H2065" s="2">
        <v>3.0</v>
      </c>
      <c r="I2065" s="2">
        <v>1.0</v>
      </c>
      <c r="J2065" s="2">
        <v>0.0</v>
      </c>
      <c r="K2065" s="2">
        <v>0.0</v>
      </c>
      <c r="L2065" s="2">
        <v>0.0</v>
      </c>
      <c r="M2065" s="2"/>
      <c r="N2065" s="2"/>
      <c r="O2065" s="2"/>
      <c r="P2065" s="2" t="s">
        <v>153</v>
      </c>
    </row>
    <row r="2066">
      <c r="A2066" s="3" t="s">
        <v>63</v>
      </c>
      <c r="B2066" s="4">
        <v>45139.29166666667</v>
      </c>
      <c r="C2066" s="2" t="s">
        <v>18</v>
      </c>
      <c r="D2066" s="2" t="s">
        <v>19</v>
      </c>
      <c r="E2066" s="2" t="s">
        <v>122</v>
      </c>
      <c r="F2066" s="2"/>
      <c r="G2066" s="2">
        <v>25.0</v>
      </c>
      <c r="H2066" s="2">
        <v>16.0</v>
      </c>
      <c r="I2066" s="2">
        <v>9.0</v>
      </c>
      <c r="J2066" s="2">
        <v>0.0</v>
      </c>
      <c r="K2066" s="2">
        <v>0.0</v>
      </c>
      <c r="L2066" s="2">
        <v>0.0</v>
      </c>
      <c r="M2066" s="2"/>
      <c r="N2066" s="2"/>
      <c r="O2066" s="2"/>
      <c r="P2066" s="2" t="s">
        <v>153</v>
      </c>
    </row>
    <row r="2067">
      <c r="A2067" s="3" t="s">
        <v>64</v>
      </c>
      <c r="B2067" s="4">
        <v>45140.29166666667</v>
      </c>
      <c r="C2067" s="2" t="s">
        <v>18</v>
      </c>
      <c r="D2067" s="2" t="s">
        <v>19</v>
      </c>
      <c r="E2067" s="2" t="s">
        <v>123</v>
      </c>
      <c r="F2067" s="2"/>
      <c r="G2067" s="2">
        <v>47.0</v>
      </c>
      <c r="H2067" s="2">
        <v>25.0</v>
      </c>
      <c r="I2067" s="2">
        <v>22.0</v>
      </c>
      <c r="J2067" s="2">
        <v>0.0</v>
      </c>
      <c r="K2067" s="2">
        <v>0.0</v>
      </c>
      <c r="L2067" s="2">
        <v>0.0</v>
      </c>
      <c r="M2067" s="2"/>
      <c r="N2067" s="2"/>
      <c r="O2067" s="2"/>
      <c r="P2067" s="2" t="s">
        <v>153</v>
      </c>
    </row>
    <row r="2068">
      <c r="A2068" s="3" t="s">
        <v>65</v>
      </c>
      <c r="B2068" s="2" t="s">
        <v>17</v>
      </c>
      <c r="C2068" s="2" t="s">
        <v>18</v>
      </c>
      <c r="D2068" s="2" t="s">
        <v>164</v>
      </c>
      <c r="E2068" s="2" t="s">
        <v>165</v>
      </c>
      <c r="F2068" s="2">
        <v>25.0</v>
      </c>
      <c r="G2068" s="2">
        <v>36.0</v>
      </c>
      <c r="H2068" s="2">
        <v>14.0</v>
      </c>
      <c r="I2068" s="2">
        <v>22.0</v>
      </c>
      <c r="J2068" s="2">
        <v>0.0</v>
      </c>
      <c r="K2068" s="2">
        <v>0.0</v>
      </c>
      <c r="L2068" s="2">
        <v>0.0</v>
      </c>
      <c r="M2068" s="2">
        <v>11.0</v>
      </c>
      <c r="N2068" s="2"/>
      <c r="O2068" s="2"/>
      <c r="P2068" s="2" t="s">
        <v>166</v>
      </c>
    </row>
    <row r="2069">
      <c r="A2069" s="3" t="s">
        <v>66</v>
      </c>
      <c r="B2069" s="2" t="s">
        <v>17</v>
      </c>
      <c r="C2069" s="2" t="s">
        <v>18</v>
      </c>
      <c r="D2069" s="2" t="s">
        <v>23</v>
      </c>
      <c r="E2069" s="2" t="s">
        <v>165</v>
      </c>
      <c r="F2069" s="2">
        <v>30.0</v>
      </c>
      <c r="G2069" s="2">
        <v>36.0</v>
      </c>
      <c r="H2069" s="2">
        <v>14.0</v>
      </c>
      <c r="I2069" s="2">
        <v>22.0</v>
      </c>
      <c r="J2069" s="2">
        <v>0.0</v>
      </c>
      <c r="K2069" s="2">
        <v>0.0</v>
      </c>
      <c r="L2069" s="2">
        <v>0.0</v>
      </c>
      <c r="M2069" s="2">
        <v>16.0</v>
      </c>
      <c r="N2069" s="2">
        <v>5.0</v>
      </c>
      <c r="O2069" s="2">
        <v>2.0</v>
      </c>
      <c r="P2069" s="2" t="s">
        <v>166</v>
      </c>
    </row>
    <row r="2070">
      <c r="A2070" s="3" t="s">
        <v>68</v>
      </c>
      <c r="B2070" s="4">
        <v>45201.29166666667</v>
      </c>
      <c r="C2070" s="2" t="s">
        <v>18</v>
      </c>
      <c r="D2070" s="2" t="s">
        <v>164</v>
      </c>
      <c r="E2070" s="2" t="s">
        <v>165</v>
      </c>
      <c r="F2070" s="2"/>
      <c r="G2070" s="2">
        <v>36.0</v>
      </c>
      <c r="H2070" s="2">
        <v>14.0</v>
      </c>
      <c r="I2070" s="2">
        <v>22.0</v>
      </c>
      <c r="J2070" s="2">
        <v>0.0</v>
      </c>
      <c r="K2070" s="2">
        <v>0.0</v>
      </c>
      <c r="L2070" s="2">
        <v>0.0</v>
      </c>
      <c r="M2070" s="2"/>
      <c r="N2070" s="2"/>
      <c r="O2070" s="2"/>
      <c r="P2070" s="2" t="s">
        <v>166</v>
      </c>
    </row>
    <row r="2071">
      <c r="A2071" s="3" t="s">
        <v>70</v>
      </c>
      <c r="B2071" s="2" t="s">
        <v>17</v>
      </c>
      <c r="C2071" s="2" t="s">
        <v>18</v>
      </c>
      <c r="D2071" s="2" t="s">
        <v>164</v>
      </c>
      <c r="E2071" s="2" t="s">
        <v>165</v>
      </c>
      <c r="F2071" s="2">
        <v>360.0</v>
      </c>
      <c r="G2071" s="2">
        <v>246.0</v>
      </c>
      <c r="H2071" s="2">
        <v>165.0</v>
      </c>
      <c r="I2071" s="2">
        <v>81.0</v>
      </c>
      <c r="J2071" s="2">
        <v>0.0</v>
      </c>
      <c r="K2071" s="2">
        <v>0.0</v>
      </c>
      <c r="L2071" s="2">
        <v>0.0</v>
      </c>
      <c r="M2071" s="2">
        <v>195.0</v>
      </c>
      <c r="N2071" s="2"/>
      <c r="O2071" s="2"/>
      <c r="P2071" s="2" t="s">
        <v>166</v>
      </c>
    </row>
    <row r="2072">
      <c r="A2072" s="3" t="s">
        <v>16</v>
      </c>
      <c r="B2072" s="2" t="s">
        <v>17</v>
      </c>
      <c r="C2072" s="2" t="s">
        <v>18</v>
      </c>
      <c r="D2072" s="2" t="s">
        <v>23</v>
      </c>
      <c r="E2072" s="2" t="s">
        <v>165</v>
      </c>
      <c r="F2072" s="2">
        <v>360.0</v>
      </c>
      <c r="G2072" s="2">
        <v>246.0</v>
      </c>
      <c r="H2072" s="2">
        <v>165.0</v>
      </c>
      <c r="I2072" s="2">
        <v>81.0</v>
      </c>
      <c r="J2072" s="2">
        <v>0.0</v>
      </c>
      <c r="K2072" s="2">
        <v>0.0</v>
      </c>
      <c r="L2072" s="2">
        <v>0.0</v>
      </c>
      <c r="M2072" s="2">
        <v>195.0</v>
      </c>
      <c r="N2072" s="2">
        <v>0.0</v>
      </c>
      <c r="O2072" s="2">
        <v>30.0</v>
      </c>
      <c r="P2072" s="2" t="s">
        <v>166</v>
      </c>
    </row>
    <row r="2073">
      <c r="A2073" s="3" t="s">
        <v>71</v>
      </c>
      <c r="B2073" s="4">
        <v>45141.29166666667</v>
      </c>
      <c r="C2073" s="2" t="s">
        <v>18</v>
      </c>
      <c r="D2073" s="2" t="s">
        <v>164</v>
      </c>
      <c r="E2073" s="2" t="s">
        <v>165</v>
      </c>
      <c r="F2073" s="2"/>
      <c r="G2073" s="2">
        <v>33.0</v>
      </c>
      <c r="H2073" s="2">
        <v>27.0</v>
      </c>
      <c r="I2073" s="2">
        <v>6.0</v>
      </c>
      <c r="J2073" s="2">
        <v>0.0</v>
      </c>
      <c r="K2073" s="2">
        <v>0.0</v>
      </c>
      <c r="L2073" s="2">
        <v>0.0</v>
      </c>
      <c r="M2073" s="2"/>
      <c r="N2073" s="2"/>
      <c r="O2073" s="2"/>
      <c r="P2073" s="2" t="s">
        <v>166</v>
      </c>
    </row>
    <row r="2074">
      <c r="A2074" s="3" t="s">
        <v>72</v>
      </c>
      <c r="B2074" s="4">
        <v>45170.29166666667</v>
      </c>
      <c r="C2074" s="2" t="s">
        <v>18</v>
      </c>
      <c r="D2074" s="2" t="s">
        <v>164</v>
      </c>
      <c r="E2074" s="2" t="s">
        <v>165</v>
      </c>
      <c r="F2074" s="2"/>
      <c r="G2074" s="2">
        <v>159.0</v>
      </c>
      <c r="H2074" s="2">
        <v>111.0</v>
      </c>
      <c r="I2074" s="2">
        <v>48.0</v>
      </c>
      <c r="J2074" s="2">
        <v>0.0</v>
      </c>
      <c r="K2074" s="2">
        <v>0.0</v>
      </c>
      <c r="L2074" s="2">
        <v>0.0</v>
      </c>
      <c r="M2074" s="2"/>
      <c r="N2074" s="2"/>
      <c r="O2074" s="2"/>
      <c r="P2074" s="2" t="s">
        <v>166</v>
      </c>
    </row>
    <row r="2075">
      <c r="A2075" s="3" t="s">
        <v>73</v>
      </c>
      <c r="B2075" s="4">
        <v>45200.29166666667</v>
      </c>
      <c r="C2075" s="2" t="s">
        <v>18</v>
      </c>
      <c r="D2075" s="2" t="s">
        <v>164</v>
      </c>
      <c r="E2075" s="2" t="s">
        <v>165</v>
      </c>
      <c r="F2075" s="2"/>
      <c r="G2075" s="2">
        <v>0.0</v>
      </c>
      <c r="H2075" s="2">
        <v>0.0</v>
      </c>
      <c r="I2075" s="2">
        <v>0.0</v>
      </c>
      <c r="J2075" s="2">
        <v>0.0</v>
      </c>
      <c r="K2075" s="2">
        <v>0.0</v>
      </c>
      <c r="L2075" s="2">
        <v>0.0</v>
      </c>
      <c r="M2075" s="2"/>
      <c r="N2075" s="2"/>
      <c r="O2075" s="2"/>
      <c r="P2075" s="2" t="s">
        <v>166</v>
      </c>
    </row>
    <row r="2076">
      <c r="A2076" s="3" t="s">
        <v>74</v>
      </c>
      <c r="B2076" s="4">
        <v>45231.25</v>
      </c>
      <c r="C2076" s="2" t="s">
        <v>18</v>
      </c>
      <c r="D2076" s="2" t="s">
        <v>164</v>
      </c>
      <c r="E2076" s="2" t="s">
        <v>165</v>
      </c>
      <c r="F2076" s="2"/>
      <c r="G2076" s="2">
        <v>54.0</v>
      </c>
      <c r="H2076" s="2">
        <v>27.0</v>
      </c>
      <c r="I2076" s="2">
        <v>27.0</v>
      </c>
      <c r="J2076" s="2">
        <v>0.0</v>
      </c>
      <c r="K2076" s="2">
        <v>0.0</v>
      </c>
      <c r="L2076" s="2">
        <v>0.0</v>
      </c>
      <c r="M2076" s="2"/>
      <c r="N2076" s="2"/>
      <c r="O2076" s="2"/>
      <c r="P2076" s="2" t="s">
        <v>166</v>
      </c>
    </row>
    <row r="2077">
      <c r="A2077" s="3" t="s">
        <v>75</v>
      </c>
      <c r="B2077" s="2" t="s">
        <v>17</v>
      </c>
      <c r="C2077" s="2" t="s">
        <v>113</v>
      </c>
      <c r="D2077" s="2" t="s">
        <v>33</v>
      </c>
      <c r="E2077" s="2" t="s">
        <v>194</v>
      </c>
      <c r="F2077" s="2">
        <v>20.0</v>
      </c>
      <c r="G2077" s="2">
        <v>12.0</v>
      </c>
      <c r="H2077" s="2">
        <v>1.0</v>
      </c>
      <c r="I2077" s="2">
        <v>11.0</v>
      </c>
      <c r="J2077" s="2">
        <v>0.0</v>
      </c>
      <c r="K2077" s="2">
        <v>0.0</v>
      </c>
      <c r="L2077" s="2">
        <v>0.0</v>
      </c>
      <c r="M2077" s="2">
        <v>19.0</v>
      </c>
      <c r="N2077" s="2"/>
      <c r="O2077" s="2"/>
      <c r="P2077" s="2" t="s">
        <v>166</v>
      </c>
    </row>
    <row r="2078">
      <c r="A2078" s="3" t="s">
        <v>76</v>
      </c>
      <c r="B2078" s="2" t="s">
        <v>17</v>
      </c>
      <c r="C2078" s="2" t="s">
        <v>18</v>
      </c>
      <c r="D2078" s="2" t="s">
        <v>109</v>
      </c>
      <c r="E2078" s="2" t="s">
        <v>194</v>
      </c>
      <c r="F2078" s="2">
        <v>53.0</v>
      </c>
      <c r="G2078" s="2">
        <v>11.0</v>
      </c>
      <c r="H2078" s="2">
        <v>6.0</v>
      </c>
      <c r="I2078" s="2">
        <v>5.0</v>
      </c>
      <c r="J2078" s="2">
        <v>0.0</v>
      </c>
      <c r="K2078" s="2">
        <v>0.0</v>
      </c>
      <c r="L2078" s="2">
        <v>0.0</v>
      </c>
      <c r="M2078" s="2">
        <v>47.0</v>
      </c>
      <c r="N2078" s="2"/>
      <c r="O2078" s="2"/>
      <c r="P2078" s="2" t="s">
        <v>166</v>
      </c>
    </row>
    <row r="2079">
      <c r="A2079" s="3" t="s">
        <v>77</v>
      </c>
      <c r="B2079" s="2" t="s">
        <v>17</v>
      </c>
      <c r="C2079" s="2" t="s">
        <v>18</v>
      </c>
      <c r="D2079" s="2" t="s">
        <v>23</v>
      </c>
      <c r="E2079" s="2" t="s">
        <v>194</v>
      </c>
      <c r="F2079" s="2">
        <v>53.0</v>
      </c>
      <c r="G2079" s="2">
        <v>23.0</v>
      </c>
      <c r="H2079" s="2">
        <v>7.0</v>
      </c>
      <c r="I2079" s="2">
        <v>16.0</v>
      </c>
      <c r="J2079" s="2">
        <v>0.0</v>
      </c>
      <c r="K2079" s="2">
        <v>0.0</v>
      </c>
      <c r="L2079" s="2">
        <v>0.0</v>
      </c>
      <c r="M2079" s="2">
        <v>46.0</v>
      </c>
      <c r="N2079" s="2">
        <v>-20.0</v>
      </c>
      <c r="O2079" s="2">
        <v>39.0</v>
      </c>
      <c r="P2079" s="2" t="s">
        <v>166</v>
      </c>
    </row>
    <row r="2080">
      <c r="A2080" s="3" t="s">
        <v>78</v>
      </c>
      <c r="B2080" s="4">
        <v>45171.29166666667</v>
      </c>
      <c r="C2080" s="2" t="s">
        <v>18</v>
      </c>
      <c r="D2080" s="2" t="s">
        <v>33</v>
      </c>
      <c r="E2080" s="2" t="s">
        <v>194</v>
      </c>
      <c r="F2080" s="2"/>
      <c r="G2080" s="2">
        <v>12.0</v>
      </c>
      <c r="H2080" s="2">
        <v>1.0</v>
      </c>
      <c r="I2080" s="2">
        <v>11.0</v>
      </c>
      <c r="J2080" s="2">
        <v>0.0</v>
      </c>
      <c r="K2080" s="2">
        <v>0.0</v>
      </c>
      <c r="L2080" s="2">
        <v>0.0</v>
      </c>
      <c r="M2080" s="2"/>
      <c r="N2080" s="2"/>
      <c r="O2080" s="2"/>
      <c r="P2080" s="2" t="s">
        <v>166</v>
      </c>
    </row>
    <row r="2081">
      <c r="A2081" s="3" t="s">
        <v>81</v>
      </c>
      <c r="B2081" s="4">
        <v>45172.29166666667</v>
      </c>
      <c r="C2081" s="2" t="s">
        <v>18</v>
      </c>
      <c r="D2081" s="2" t="s">
        <v>109</v>
      </c>
      <c r="E2081" s="2" t="s">
        <v>194</v>
      </c>
      <c r="F2081" s="2"/>
      <c r="G2081" s="2">
        <v>3.0</v>
      </c>
      <c r="H2081" s="2">
        <v>3.0</v>
      </c>
      <c r="I2081" s="2">
        <v>0.0</v>
      </c>
      <c r="J2081" s="2">
        <v>0.0</v>
      </c>
      <c r="K2081" s="2">
        <v>0.0</v>
      </c>
      <c r="L2081" s="2">
        <v>0.0</v>
      </c>
      <c r="M2081" s="2"/>
      <c r="N2081" s="2"/>
      <c r="O2081" s="2"/>
      <c r="P2081" s="2" t="s">
        <v>166</v>
      </c>
    </row>
    <row r="2082">
      <c r="A2082" s="3" t="s">
        <v>82</v>
      </c>
      <c r="B2082" s="4">
        <v>45200.29166666667</v>
      </c>
      <c r="C2082" s="2" t="s">
        <v>18</v>
      </c>
      <c r="D2082" s="2" t="s">
        <v>33</v>
      </c>
      <c r="E2082" s="2" t="s">
        <v>194</v>
      </c>
      <c r="F2082" s="2"/>
      <c r="G2082" s="2">
        <v>0.0</v>
      </c>
      <c r="H2082" s="2">
        <v>0.0</v>
      </c>
      <c r="I2082" s="2">
        <v>0.0</v>
      </c>
      <c r="J2082" s="2">
        <v>0.0</v>
      </c>
      <c r="K2082" s="2">
        <v>0.0</v>
      </c>
      <c r="L2082" s="2">
        <v>0.0</v>
      </c>
      <c r="M2082" s="2"/>
      <c r="N2082" s="2"/>
      <c r="O2082" s="2"/>
      <c r="P2082" s="2" t="s">
        <v>166</v>
      </c>
    </row>
    <row r="2083">
      <c r="A2083" s="3" t="s">
        <v>83</v>
      </c>
      <c r="B2083" s="4">
        <v>45201.29166666667</v>
      </c>
      <c r="C2083" s="2" t="s">
        <v>18</v>
      </c>
      <c r="D2083" s="2" t="s">
        <v>109</v>
      </c>
      <c r="E2083" s="2" t="s">
        <v>194</v>
      </c>
      <c r="F2083" s="2"/>
      <c r="G2083" s="2">
        <v>8.0</v>
      </c>
      <c r="H2083" s="2">
        <v>3.0</v>
      </c>
      <c r="I2083" s="2">
        <v>5.0</v>
      </c>
      <c r="J2083" s="2">
        <v>0.0</v>
      </c>
      <c r="K2083" s="2">
        <v>0.0</v>
      </c>
      <c r="L2083" s="2">
        <v>0.0</v>
      </c>
      <c r="M2083" s="2"/>
      <c r="N2083" s="2"/>
      <c r="O2083" s="2"/>
      <c r="P2083" s="2" t="s">
        <v>166</v>
      </c>
    </row>
    <row r="2084">
      <c r="A2084" s="3" t="s">
        <v>84</v>
      </c>
      <c r="B2084" s="2" t="s">
        <v>17</v>
      </c>
      <c r="C2084" s="2" t="s">
        <v>57</v>
      </c>
      <c r="D2084" s="2" t="s">
        <v>19</v>
      </c>
      <c r="E2084" s="2" t="s">
        <v>320</v>
      </c>
      <c r="F2084" s="2">
        <v>14.0</v>
      </c>
      <c r="G2084" s="2">
        <v>26.0</v>
      </c>
      <c r="H2084" s="2">
        <v>17.0</v>
      </c>
      <c r="I2084" s="2">
        <v>8.0</v>
      </c>
      <c r="J2084" s="2">
        <v>1.0</v>
      </c>
      <c r="K2084" s="2">
        <v>0.0</v>
      </c>
      <c r="L2084" s="2">
        <v>0.0</v>
      </c>
      <c r="M2084" s="2">
        <v>-3.0</v>
      </c>
      <c r="N2084" s="2"/>
      <c r="O2084" s="2"/>
      <c r="P2084" s="2" t="s">
        <v>80</v>
      </c>
    </row>
    <row r="2085">
      <c r="A2085" s="3" t="s">
        <v>85</v>
      </c>
      <c r="B2085" s="2" t="s">
        <v>17</v>
      </c>
      <c r="C2085" s="2" t="s">
        <v>57</v>
      </c>
      <c r="D2085" s="2" t="s">
        <v>19</v>
      </c>
      <c r="E2085" s="2" t="s">
        <v>31</v>
      </c>
      <c r="F2085" s="2">
        <v>14.0</v>
      </c>
      <c r="G2085" s="2">
        <v>22.0</v>
      </c>
      <c r="H2085" s="2">
        <v>20.0</v>
      </c>
      <c r="I2085" s="2">
        <v>2.0</v>
      </c>
      <c r="J2085" s="2">
        <v>0.0</v>
      </c>
      <c r="K2085" s="2">
        <v>0.0</v>
      </c>
      <c r="L2085" s="2">
        <v>0.0</v>
      </c>
      <c r="M2085" s="2">
        <v>-6.0</v>
      </c>
      <c r="N2085" s="2"/>
      <c r="O2085" s="2"/>
      <c r="P2085" s="2" t="s">
        <v>80</v>
      </c>
    </row>
    <row r="2086">
      <c r="A2086" s="3" t="s">
        <v>86</v>
      </c>
      <c r="B2086" s="2" t="s">
        <v>17</v>
      </c>
      <c r="C2086" s="2" t="s">
        <v>57</v>
      </c>
      <c r="D2086" s="2" t="s">
        <v>19</v>
      </c>
      <c r="E2086" s="2" t="s">
        <v>125</v>
      </c>
      <c r="F2086" s="2">
        <v>10.0</v>
      </c>
      <c r="G2086" s="2">
        <v>21.0</v>
      </c>
      <c r="H2086" s="2">
        <v>10.0</v>
      </c>
      <c r="I2086" s="2">
        <v>3.0</v>
      </c>
      <c r="J2086" s="2">
        <v>0.0</v>
      </c>
      <c r="K2086" s="2">
        <v>0.0</v>
      </c>
      <c r="L2086" s="2">
        <v>0.0</v>
      </c>
      <c r="M2086" s="2">
        <v>0.0</v>
      </c>
      <c r="N2086" s="2"/>
      <c r="O2086" s="2"/>
      <c r="P2086" s="2" t="s">
        <v>80</v>
      </c>
    </row>
    <row r="2087">
      <c r="A2087" s="3" t="s">
        <v>87</v>
      </c>
      <c r="B2087" s="2" t="s">
        <v>17</v>
      </c>
      <c r="C2087" s="2" t="s">
        <v>18</v>
      </c>
      <c r="D2087" s="2" t="s">
        <v>19</v>
      </c>
      <c r="E2087" s="2" t="s">
        <v>321</v>
      </c>
      <c r="F2087" s="2">
        <v>16.0</v>
      </c>
      <c r="G2087" s="2">
        <v>8.0</v>
      </c>
      <c r="H2087" s="2">
        <v>7.0</v>
      </c>
      <c r="I2087" s="2">
        <v>1.0</v>
      </c>
      <c r="J2087" s="2">
        <v>0.0</v>
      </c>
      <c r="K2087" s="2">
        <v>0.0</v>
      </c>
      <c r="L2087" s="2">
        <v>0.0</v>
      </c>
      <c r="M2087" s="2">
        <v>9.0</v>
      </c>
      <c r="N2087" s="2"/>
      <c r="O2087" s="2"/>
      <c r="P2087" s="2" t="s">
        <v>80</v>
      </c>
    </row>
    <row r="2088">
      <c r="A2088" s="3" t="s">
        <v>88</v>
      </c>
      <c r="B2088" s="2" t="s">
        <v>17</v>
      </c>
      <c r="C2088" s="2" t="s">
        <v>57</v>
      </c>
      <c r="D2088" s="2" t="s">
        <v>23</v>
      </c>
      <c r="E2088" s="2" t="s">
        <v>320</v>
      </c>
      <c r="F2088" s="2">
        <v>16.0</v>
      </c>
      <c r="G2088" s="2">
        <v>26.0</v>
      </c>
      <c r="H2088" s="2">
        <v>17.0</v>
      </c>
      <c r="I2088" s="2">
        <v>8.0</v>
      </c>
      <c r="J2088" s="2">
        <v>1.0</v>
      </c>
      <c r="K2088" s="2">
        <v>0.0</v>
      </c>
      <c r="L2088" s="2">
        <v>0.0</v>
      </c>
      <c r="M2088" s="2">
        <v>-1.0</v>
      </c>
      <c r="N2088" s="2">
        <v>2.0</v>
      </c>
      <c r="O2088" s="2">
        <v>-18.0</v>
      </c>
      <c r="P2088" s="2" t="s">
        <v>80</v>
      </c>
    </row>
    <row r="2089">
      <c r="A2089" s="3" t="s">
        <v>89</v>
      </c>
      <c r="B2089" s="2" t="s">
        <v>17</v>
      </c>
      <c r="C2089" s="2" t="s">
        <v>57</v>
      </c>
      <c r="D2089" s="2" t="s">
        <v>23</v>
      </c>
      <c r="E2089" s="2" t="s">
        <v>31</v>
      </c>
      <c r="F2089" s="2">
        <v>17.0</v>
      </c>
      <c r="G2089" s="2">
        <v>22.0</v>
      </c>
      <c r="H2089" s="2">
        <v>20.0</v>
      </c>
      <c r="I2089" s="2">
        <v>2.0</v>
      </c>
      <c r="J2089" s="2">
        <v>0.0</v>
      </c>
      <c r="K2089" s="2">
        <v>0.0</v>
      </c>
      <c r="L2089" s="2">
        <v>0.0</v>
      </c>
      <c r="M2089" s="2">
        <v>-3.0</v>
      </c>
      <c r="N2089" s="2">
        <v>3.0</v>
      </c>
      <c r="O2089" s="2">
        <v>-23.0</v>
      </c>
      <c r="P2089" s="2" t="s">
        <v>80</v>
      </c>
    </row>
    <row r="2090">
      <c r="A2090" s="3" t="s">
        <v>90</v>
      </c>
      <c r="B2090" s="2" t="s">
        <v>17</v>
      </c>
      <c r="C2090" s="2" t="s">
        <v>57</v>
      </c>
      <c r="D2090" s="2" t="s">
        <v>23</v>
      </c>
      <c r="E2090" s="2" t="s">
        <v>125</v>
      </c>
      <c r="F2090" s="2">
        <v>18.0</v>
      </c>
      <c r="G2090" s="2">
        <v>21.0</v>
      </c>
      <c r="H2090" s="2">
        <v>18.0</v>
      </c>
      <c r="I2090" s="2">
        <v>3.0</v>
      </c>
      <c r="J2090" s="2">
        <v>0.0</v>
      </c>
      <c r="K2090" s="2">
        <v>0.0</v>
      </c>
      <c r="L2090" s="2">
        <v>0.0</v>
      </c>
      <c r="M2090" s="2">
        <v>0.0</v>
      </c>
      <c r="N2090" s="2">
        <v>8.0</v>
      </c>
      <c r="O2090" s="2">
        <v>-10.0</v>
      </c>
      <c r="P2090" s="2" t="s">
        <v>80</v>
      </c>
    </row>
    <row r="2091">
      <c r="A2091" s="3" t="s">
        <v>93</v>
      </c>
      <c r="B2091" s="2" t="s">
        <v>17</v>
      </c>
      <c r="C2091" s="2" t="s">
        <v>18</v>
      </c>
      <c r="D2091" s="2" t="s">
        <v>23</v>
      </c>
      <c r="E2091" s="2" t="s">
        <v>321</v>
      </c>
      <c r="F2091" s="2">
        <v>11.0</v>
      </c>
      <c r="G2091" s="2">
        <v>8.0</v>
      </c>
      <c r="H2091" s="2">
        <v>7.0</v>
      </c>
      <c r="I2091" s="2">
        <v>1.0</v>
      </c>
      <c r="J2091" s="2">
        <v>0.0</v>
      </c>
      <c r="K2091" s="2">
        <v>0.0</v>
      </c>
      <c r="L2091" s="2">
        <v>0.0</v>
      </c>
      <c r="M2091" s="2">
        <v>4.0</v>
      </c>
      <c r="N2091" s="2">
        <v>-5.0</v>
      </c>
      <c r="O2091" s="2">
        <v>-3.0</v>
      </c>
      <c r="P2091" s="2" t="s">
        <v>80</v>
      </c>
    </row>
    <row r="2092">
      <c r="A2092" s="3" t="s">
        <v>16</v>
      </c>
      <c r="B2092" s="4">
        <v>45140.29166666667</v>
      </c>
      <c r="C2092" s="2" t="s">
        <v>18</v>
      </c>
      <c r="D2092" s="2" t="s">
        <v>19</v>
      </c>
      <c r="E2092" s="2" t="s">
        <v>320</v>
      </c>
      <c r="F2092" s="2"/>
      <c r="G2092" s="2">
        <v>4.0</v>
      </c>
      <c r="H2092" s="2">
        <v>3.0</v>
      </c>
      <c r="I2092" s="2">
        <v>0.0</v>
      </c>
      <c r="J2092" s="2">
        <v>1.0</v>
      </c>
      <c r="K2092" s="2">
        <v>0.0</v>
      </c>
      <c r="L2092" s="2">
        <v>0.0</v>
      </c>
      <c r="M2092" s="2"/>
      <c r="N2092" s="2"/>
      <c r="O2092" s="2"/>
      <c r="P2092" s="2" t="s">
        <v>80</v>
      </c>
    </row>
    <row r="2093">
      <c r="A2093" s="3" t="s">
        <v>94</v>
      </c>
      <c r="B2093" s="4">
        <v>45141.29166666667</v>
      </c>
      <c r="C2093" s="2" t="s">
        <v>18</v>
      </c>
      <c r="D2093" s="2" t="s">
        <v>19</v>
      </c>
      <c r="E2093" s="2" t="s">
        <v>31</v>
      </c>
      <c r="F2093" s="2"/>
      <c r="G2093" s="2">
        <v>2.0</v>
      </c>
      <c r="H2093" s="2">
        <v>2.0</v>
      </c>
      <c r="I2093" s="2">
        <v>0.0</v>
      </c>
      <c r="J2093" s="2">
        <v>0.0</v>
      </c>
      <c r="K2093" s="2">
        <v>0.0</v>
      </c>
      <c r="L2093" s="2">
        <v>0.0</v>
      </c>
      <c r="M2093" s="2"/>
      <c r="N2093" s="2"/>
      <c r="O2093" s="2"/>
      <c r="P2093" s="2" t="s">
        <v>80</v>
      </c>
    </row>
    <row r="2094">
      <c r="A2094" s="3" t="s">
        <v>95</v>
      </c>
      <c r="B2094" s="4">
        <v>45142.29166666667</v>
      </c>
      <c r="C2094" s="2" t="s">
        <v>18</v>
      </c>
      <c r="D2094" s="2" t="s">
        <v>19</v>
      </c>
      <c r="E2094" s="2" t="s">
        <v>125</v>
      </c>
      <c r="F2094" s="2"/>
      <c r="G2094" s="2">
        <v>7.0</v>
      </c>
      <c r="H2094" s="2">
        <v>7.0</v>
      </c>
      <c r="I2094" s="2">
        <v>0.0</v>
      </c>
      <c r="J2094" s="2">
        <v>0.0</v>
      </c>
      <c r="K2094" s="2">
        <v>0.0</v>
      </c>
      <c r="L2094" s="2">
        <v>0.0</v>
      </c>
      <c r="M2094" s="2"/>
      <c r="N2094" s="2"/>
      <c r="O2094" s="2"/>
      <c r="P2094" s="2" t="s">
        <v>80</v>
      </c>
    </row>
    <row r="2095">
      <c r="A2095" s="3" t="s">
        <v>97</v>
      </c>
      <c r="B2095" s="4">
        <v>45143.29166666667</v>
      </c>
      <c r="C2095" s="2" t="s">
        <v>18</v>
      </c>
      <c r="D2095" s="2" t="s">
        <v>19</v>
      </c>
      <c r="E2095" s="2" t="s">
        <v>321</v>
      </c>
      <c r="F2095" s="2"/>
      <c r="G2095" s="2">
        <v>0.0</v>
      </c>
      <c r="H2095" s="2">
        <v>0.0</v>
      </c>
      <c r="I2095" s="2">
        <v>0.0</v>
      </c>
      <c r="J2095" s="2">
        <v>0.0</v>
      </c>
      <c r="K2095" s="2">
        <v>0.0</v>
      </c>
      <c r="L2095" s="2">
        <v>0.0</v>
      </c>
      <c r="M2095" s="2"/>
      <c r="N2095" s="2"/>
      <c r="O2095" s="2"/>
      <c r="P2095" s="2" t="s">
        <v>80</v>
      </c>
    </row>
    <row r="2096">
      <c r="A2096" s="3" t="s">
        <v>98</v>
      </c>
      <c r="B2096" s="4">
        <v>45171.29166666667</v>
      </c>
      <c r="C2096" s="2" t="s">
        <v>18</v>
      </c>
      <c r="D2096" s="2" t="s">
        <v>19</v>
      </c>
      <c r="E2096" s="2" t="s">
        <v>320</v>
      </c>
      <c r="F2096" s="2"/>
      <c r="G2096" s="2">
        <v>6.0</v>
      </c>
      <c r="H2096" s="2">
        <v>3.0</v>
      </c>
      <c r="I2096" s="2">
        <v>3.0</v>
      </c>
      <c r="J2096" s="2">
        <v>0.0</v>
      </c>
      <c r="K2096" s="2">
        <v>0.0</v>
      </c>
      <c r="L2096" s="2">
        <v>0.0</v>
      </c>
      <c r="M2096" s="2"/>
      <c r="N2096" s="2"/>
      <c r="O2096" s="2"/>
      <c r="P2096" s="2" t="s">
        <v>80</v>
      </c>
    </row>
    <row r="2097">
      <c r="A2097" s="3" t="s">
        <v>99</v>
      </c>
      <c r="B2097" s="4">
        <v>45172.29166666667</v>
      </c>
      <c r="C2097" s="2" t="s">
        <v>18</v>
      </c>
      <c r="D2097" s="2" t="s">
        <v>19</v>
      </c>
      <c r="E2097" s="2" t="s">
        <v>31</v>
      </c>
      <c r="F2097" s="2"/>
      <c r="G2097" s="2">
        <v>2.0</v>
      </c>
      <c r="H2097" s="2">
        <v>2.0</v>
      </c>
      <c r="I2097" s="2">
        <v>0.0</v>
      </c>
      <c r="J2097" s="2">
        <v>0.0</v>
      </c>
      <c r="K2097" s="2">
        <v>0.0</v>
      </c>
      <c r="L2097" s="2">
        <v>0.0</v>
      </c>
      <c r="M2097" s="2"/>
      <c r="N2097" s="2"/>
      <c r="O2097" s="2"/>
      <c r="P2097" s="2" t="s">
        <v>80</v>
      </c>
    </row>
    <row r="2098">
      <c r="A2098" s="3" t="s">
        <v>100</v>
      </c>
      <c r="B2098" s="4">
        <v>45173.29166666667</v>
      </c>
      <c r="C2098" s="2" t="s">
        <v>18</v>
      </c>
      <c r="D2098" s="2" t="s">
        <v>19</v>
      </c>
      <c r="E2098" s="2" t="s">
        <v>125</v>
      </c>
      <c r="F2098" s="2"/>
      <c r="G2098" s="2">
        <v>7.0</v>
      </c>
      <c r="H2098" s="2">
        <v>5.0</v>
      </c>
      <c r="I2098" s="2">
        <v>2.0</v>
      </c>
      <c r="J2098" s="2">
        <v>0.0</v>
      </c>
      <c r="K2098" s="2">
        <v>0.0</v>
      </c>
      <c r="L2098" s="2">
        <v>0.0</v>
      </c>
      <c r="M2098" s="2"/>
      <c r="N2098" s="2"/>
      <c r="O2098" s="2"/>
      <c r="P2098" s="2" t="s">
        <v>80</v>
      </c>
    </row>
    <row r="2099">
      <c r="A2099" s="3" t="s">
        <v>101</v>
      </c>
      <c r="B2099" s="4">
        <v>45174.29166666667</v>
      </c>
      <c r="C2099" s="2" t="s">
        <v>18</v>
      </c>
      <c r="D2099" s="2" t="s">
        <v>19</v>
      </c>
      <c r="E2099" s="2" t="s">
        <v>321</v>
      </c>
      <c r="F2099" s="2"/>
      <c r="G2099" s="2">
        <v>0.0</v>
      </c>
      <c r="H2099" s="2">
        <v>0.0</v>
      </c>
      <c r="I2099" s="2">
        <v>0.0</v>
      </c>
      <c r="J2099" s="2">
        <v>0.0</v>
      </c>
      <c r="K2099" s="2">
        <v>0.0</v>
      </c>
      <c r="L2099" s="2">
        <v>0.0</v>
      </c>
      <c r="M2099" s="2"/>
      <c r="N2099" s="2"/>
      <c r="O2099" s="2"/>
      <c r="P2099" s="2" t="s">
        <v>80</v>
      </c>
    </row>
    <row r="2100">
      <c r="A2100" s="3" t="s">
        <v>102</v>
      </c>
      <c r="B2100" s="4">
        <v>45202.29166666667</v>
      </c>
      <c r="C2100" s="2" t="s">
        <v>18</v>
      </c>
      <c r="D2100" s="2" t="s">
        <v>19</v>
      </c>
      <c r="E2100" s="2" t="s">
        <v>320</v>
      </c>
      <c r="F2100" s="2"/>
      <c r="G2100" s="2">
        <v>12.0</v>
      </c>
      <c r="H2100" s="2">
        <v>8.0</v>
      </c>
      <c r="I2100" s="2">
        <v>4.0</v>
      </c>
      <c r="J2100" s="2">
        <v>0.0</v>
      </c>
      <c r="K2100" s="2">
        <v>0.0</v>
      </c>
      <c r="L2100" s="2">
        <v>0.0</v>
      </c>
      <c r="M2100" s="2"/>
      <c r="N2100" s="2"/>
      <c r="O2100" s="2"/>
      <c r="P2100" s="2" t="s">
        <v>80</v>
      </c>
    </row>
    <row r="2101">
      <c r="A2101" s="3" t="s">
        <v>103</v>
      </c>
      <c r="B2101" s="4">
        <v>45203.29166666667</v>
      </c>
      <c r="C2101" s="2" t="s">
        <v>18</v>
      </c>
      <c r="D2101" s="2" t="s">
        <v>19</v>
      </c>
      <c r="E2101" s="2" t="s">
        <v>31</v>
      </c>
      <c r="F2101" s="2"/>
      <c r="G2101" s="2">
        <v>12.0</v>
      </c>
      <c r="H2101" s="2">
        <v>10.0</v>
      </c>
      <c r="I2101" s="2">
        <v>2.0</v>
      </c>
      <c r="J2101" s="2">
        <v>0.0</v>
      </c>
      <c r="K2101" s="2">
        <v>0.0</v>
      </c>
      <c r="L2101" s="2">
        <v>0.0</v>
      </c>
      <c r="M2101" s="2"/>
      <c r="N2101" s="2"/>
      <c r="O2101" s="2"/>
      <c r="P2101" s="2" t="s">
        <v>80</v>
      </c>
    </row>
    <row r="2102">
      <c r="A2102" s="3" t="s">
        <v>104</v>
      </c>
      <c r="B2102" s="4">
        <v>45204.29166666667</v>
      </c>
      <c r="C2102" s="2" t="s">
        <v>18</v>
      </c>
      <c r="D2102" s="2" t="s">
        <v>19</v>
      </c>
      <c r="E2102" s="2" t="s">
        <v>125</v>
      </c>
      <c r="F2102" s="2"/>
      <c r="G2102" s="2">
        <v>7.0</v>
      </c>
      <c r="H2102" s="2">
        <v>6.0</v>
      </c>
      <c r="I2102" s="2">
        <v>1.0</v>
      </c>
      <c r="J2102" s="2">
        <v>0.0</v>
      </c>
      <c r="K2102" s="2">
        <v>0.0</v>
      </c>
      <c r="L2102" s="2">
        <v>0.0</v>
      </c>
      <c r="M2102" s="2"/>
      <c r="N2102" s="2"/>
      <c r="O2102" s="2"/>
      <c r="P2102" s="2" t="s">
        <v>80</v>
      </c>
    </row>
    <row r="2103">
      <c r="A2103" s="3" t="s">
        <v>105</v>
      </c>
      <c r="B2103" s="4">
        <v>45205.29166666667</v>
      </c>
      <c r="C2103" s="2" t="s">
        <v>18</v>
      </c>
      <c r="D2103" s="2" t="s">
        <v>19</v>
      </c>
      <c r="E2103" s="2" t="s">
        <v>321</v>
      </c>
      <c r="F2103" s="2"/>
      <c r="G2103" s="2">
        <v>8.0</v>
      </c>
      <c r="H2103" s="2">
        <v>7.0</v>
      </c>
      <c r="I2103" s="2">
        <v>1.0</v>
      </c>
      <c r="J2103" s="2">
        <v>0.0</v>
      </c>
      <c r="K2103" s="2">
        <v>0.0</v>
      </c>
      <c r="L2103" s="2">
        <v>0.0</v>
      </c>
      <c r="M2103" s="2"/>
      <c r="N2103" s="2"/>
      <c r="O2103" s="2"/>
      <c r="P2103" s="2" t="s">
        <v>80</v>
      </c>
    </row>
    <row r="2104">
      <c r="A2104" s="3" t="s">
        <v>106</v>
      </c>
      <c r="B2104" s="4">
        <v>45232.25</v>
      </c>
      <c r="C2104" s="2" t="s">
        <v>18</v>
      </c>
      <c r="D2104" s="2" t="s">
        <v>19</v>
      </c>
      <c r="E2104" s="2" t="s">
        <v>320</v>
      </c>
      <c r="F2104" s="2"/>
      <c r="G2104" s="2">
        <v>3.0</v>
      </c>
      <c r="H2104" s="2">
        <v>2.0</v>
      </c>
      <c r="I2104" s="2">
        <v>1.0</v>
      </c>
      <c r="J2104" s="2">
        <v>0.0</v>
      </c>
      <c r="K2104" s="2">
        <v>0.0</v>
      </c>
      <c r="L2104" s="2">
        <v>0.0</v>
      </c>
      <c r="M2104" s="2"/>
      <c r="N2104" s="2"/>
      <c r="O2104" s="2"/>
      <c r="P2104" s="2" t="s">
        <v>80</v>
      </c>
    </row>
    <row r="2105">
      <c r="A2105" s="3" t="s">
        <v>107</v>
      </c>
      <c r="B2105" s="4">
        <v>45232.25</v>
      </c>
      <c r="C2105" s="2" t="s">
        <v>18</v>
      </c>
      <c r="D2105" s="2" t="s">
        <v>19</v>
      </c>
      <c r="E2105" s="2" t="s">
        <v>31</v>
      </c>
      <c r="F2105" s="2"/>
      <c r="G2105" s="2">
        <v>6.0</v>
      </c>
      <c r="H2105" s="2">
        <v>6.0</v>
      </c>
      <c r="I2105" s="2">
        <v>0.0</v>
      </c>
      <c r="J2105" s="2">
        <v>0.0</v>
      </c>
      <c r="K2105" s="2">
        <v>0.0</v>
      </c>
      <c r="L2105" s="2">
        <v>0.0</v>
      </c>
      <c r="M2105" s="2"/>
      <c r="N2105" s="2"/>
      <c r="O2105" s="2"/>
      <c r="P2105" s="2" t="s">
        <v>80</v>
      </c>
    </row>
    <row r="2106">
      <c r="A2106" s="3" t="s">
        <v>108</v>
      </c>
      <c r="B2106" s="4">
        <v>45262.29166666667</v>
      </c>
      <c r="C2106" s="2" t="s">
        <v>18</v>
      </c>
      <c r="D2106" s="2" t="s">
        <v>19</v>
      </c>
      <c r="E2106" s="2" t="s">
        <v>320</v>
      </c>
      <c r="F2106" s="2"/>
      <c r="G2106" s="2">
        <v>1.0</v>
      </c>
      <c r="H2106" s="2">
        <v>1.0</v>
      </c>
      <c r="I2106" s="2">
        <v>0.0</v>
      </c>
      <c r="J2106" s="2">
        <v>0.0</v>
      </c>
      <c r="K2106" s="2">
        <v>0.0</v>
      </c>
      <c r="L2106" s="2">
        <v>0.0</v>
      </c>
      <c r="M2106" s="2"/>
      <c r="N2106" s="2"/>
      <c r="O2106" s="2"/>
      <c r="P2106" s="2" t="s">
        <v>80</v>
      </c>
    </row>
    <row r="2107">
      <c r="A2107" s="3" t="s">
        <v>112</v>
      </c>
      <c r="B2107" s="2" t="s">
        <v>17</v>
      </c>
      <c r="C2107" s="2" t="s">
        <v>18</v>
      </c>
      <c r="D2107" s="2" t="s">
        <v>19</v>
      </c>
      <c r="E2107" s="2" t="s">
        <v>322</v>
      </c>
      <c r="F2107" s="2">
        <v>40.0</v>
      </c>
      <c r="G2107" s="2">
        <v>9.0</v>
      </c>
      <c r="H2107" s="2">
        <v>7.0</v>
      </c>
      <c r="I2107" s="2">
        <v>2.0</v>
      </c>
      <c r="J2107" s="2">
        <v>0.0</v>
      </c>
      <c r="K2107" s="2">
        <v>0.0</v>
      </c>
      <c r="L2107" s="2">
        <v>0.0</v>
      </c>
      <c r="M2107" s="2">
        <v>33.0</v>
      </c>
      <c r="N2107" s="2"/>
      <c r="O2107" s="2"/>
      <c r="P2107" s="2" t="s">
        <v>146</v>
      </c>
    </row>
    <row r="2108">
      <c r="A2108" s="3" t="s">
        <v>115</v>
      </c>
      <c r="B2108" s="2" t="s">
        <v>17</v>
      </c>
      <c r="C2108" s="2" t="s">
        <v>18</v>
      </c>
      <c r="D2108" s="2" t="s">
        <v>157</v>
      </c>
      <c r="E2108" s="2" t="s">
        <v>323</v>
      </c>
      <c r="F2108" s="2">
        <v>33.0</v>
      </c>
      <c r="G2108" s="2">
        <v>37.0</v>
      </c>
      <c r="H2108" s="2">
        <v>22.0</v>
      </c>
      <c r="I2108" s="2">
        <v>15.0</v>
      </c>
      <c r="J2108" s="2">
        <v>0.0</v>
      </c>
      <c r="K2108" s="2">
        <v>0.0</v>
      </c>
      <c r="L2108" s="2">
        <v>0.0</v>
      </c>
      <c r="M2108" s="2">
        <v>11.0</v>
      </c>
      <c r="N2108" s="2"/>
      <c r="O2108" s="2"/>
      <c r="P2108" s="2" t="s">
        <v>146</v>
      </c>
    </row>
    <row r="2109">
      <c r="A2109" s="3" t="s">
        <v>117</v>
      </c>
      <c r="B2109" s="2" t="s">
        <v>17</v>
      </c>
      <c r="C2109" s="2" t="s">
        <v>18</v>
      </c>
      <c r="D2109" s="2" t="s">
        <v>157</v>
      </c>
      <c r="E2109" s="2" t="s">
        <v>324</v>
      </c>
      <c r="F2109" s="2">
        <v>88.0</v>
      </c>
      <c r="G2109" s="2">
        <v>31.0</v>
      </c>
      <c r="H2109" s="2">
        <v>18.0</v>
      </c>
      <c r="I2109" s="2">
        <v>13.0</v>
      </c>
      <c r="J2109" s="2">
        <v>0.0</v>
      </c>
      <c r="K2109" s="2">
        <v>0.0</v>
      </c>
      <c r="L2109" s="2">
        <v>0.0</v>
      </c>
      <c r="M2109" s="2">
        <v>70.0</v>
      </c>
      <c r="N2109" s="2"/>
      <c r="O2109" s="2"/>
      <c r="P2109" s="2" t="s">
        <v>146</v>
      </c>
    </row>
    <row r="2110">
      <c r="A2110" s="3" t="s">
        <v>119</v>
      </c>
      <c r="B2110" s="2" t="s">
        <v>17</v>
      </c>
      <c r="C2110" s="2" t="s">
        <v>18</v>
      </c>
      <c r="D2110" s="2" t="s">
        <v>157</v>
      </c>
      <c r="E2110" s="2" t="s">
        <v>322</v>
      </c>
      <c r="F2110" s="2">
        <v>48.0</v>
      </c>
      <c r="G2110" s="2">
        <v>40.0</v>
      </c>
      <c r="H2110" s="2">
        <v>31.0</v>
      </c>
      <c r="I2110" s="2">
        <v>9.0</v>
      </c>
      <c r="J2110" s="2">
        <v>0.0</v>
      </c>
      <c r="K2110" s="2">
        <v>0.0</v>
      </c>
      <c r="L2110" s="2">
        <v>0.0</v>
      </c>
      <c r="M2110" s="2">
        <v>17.0</v>
      </c>
      <c r="N2110" s="2"/>
      <c r="O2110" s="2"/>
      <c r="P2110" s="2" t="s">
        <v>146</v>
      </c>
    </row>
    <row r="2111">
      <c r="A2111" s="3" t="s">
        <v>121</v>
      </c>
      <c r="B2111" s="2" t="s">
        <v>17</v>
      </c>
      <c r="C2111" s="2" t="s">
        <v>18</v>
      </c>
      <c r="D2111" s="2" t="s">
        <v>23</v>
      </c>
      <c r="E2111" s="2" t="s">
        <v>323</v>
      </c>
      <c r="F2111" s="2">
        <v>33.0</v>
      </c>
      <c r="G2111" s="2">
        <v>37.0</v>
      </c>
      <c r="H2111" s="2">
        <v>22.0</v>
      </c>
      <c r="I2111" s="2">
        <v>15.0</v>
      </c>
      <c r="J2111" s="2">
        <v>0.0</v>
      </c>
      <c r="K2111" s="2">
        <v>0.0</v>
      </c>
      <c r="L2111" s="2">
        <v>0.0</v>
      </c>
      <c r="M2111" s="2">
        <v>11.0</v>
      </c>
      <c r="N2111" s="2">
        <v>0.0</v>
      </c>
      <c r="O2111" s="2">
        <v>-11.0</v>
      </c>
      <c r="P2111" s="2" t="s">
        <v>146</v>
      </c>
    </row>
    <row r="2112">
      <c r="A2112" s="3" t="s">
        <v>16</v>
      </c>
      <c r="B2112" s="2" t="s">
        <v>17</v>
      </c>
      <c r="C2112" s="2" t="s">
        <v>18</v>
      </c>
      <c r="D2112" s="2" t="s">
        <v>23</v>
      </c>
      <c r="E2112" s="2" t="s">
        <v>324</v>
      </c>
      <c r="F2112" s="2">
        <v>88.0</v>
      </c>
      <c r="G2112" s="2">
        <v>31.0</v>
      </c>
      <c r="H2112" s="2">
        <v>18.0</v>
      </c>
      <c r="I2112" s="2">
        <v>13.0</v>
      </c>
      <c r="J2112" s="2">
        <v>0.0</v>
      </c>
      <c r="K2112" s="2">
        <v>0.0</v>
      </c>
      <c r="L2112" s="2">
        <v>0.0</v>
      </c>
      <c r="M2112" s="2">
        <v>70.0</v>
      </c>
      <c r="N2112" s="2">
        <v>0.0</v>
      </c>
      <c r="O2112" s="2">
        <v>52.0</v>
      </c>
      <c r="P2112" s="2" t="s">
        <v>146</v>
      </c>
    </row>
    <row r="2113">
      <c r="A2113" s="3" t="s">
        <v>124</v>
      </c>
      <c r="B2113" s="2" t="s">
        <v>17</v>
      </c>
      <c r="C2113" s="2" t="s">
        <v>18</v>
      </c>
      <c r="D2113" s="2" t="s">
        <v>23</v>
      </c>
      <c r="E2113" s="2" t="s">
        <v>322</v>
      </c>
      <c r="F2113" s="2">
        <v>98.0</v>
      </c>
      <c r="G2113" s="2">
        <v>49.0</v>
      </c>
      <c r="H2113" s="2">
        <v>38.0</v>
      </c>
      <c r="I2113" s="2">
        <v>11.0</v>
      </c>
      <c r="J2113" s="2">
        <v>0.0</v>
      </c>
      <c r="K2113" s="2">
        <v>0.0</v>
      </c>
      <c r="L2113" s="2">
        <v>0.0</v>
      </c>
      <c r="M2113" s="2">
        <v>60.0</v>
      </c>
      <c r="N2113" s="2">
        <v>10.0</v>
      </c>
      <c r="O2113" s="2">
        <v>22.0</v>
      </c>
      <c r="P2113" s="2" t="s">
        <v>146</v>
      </c>
    </row>
    <row r="2114">
      <c r="A2114" s="3" t="s">
        <v>126</v>
      </c>
      <c r="B2114" s="4">
        <v>45232.25</v>
      </c>
      <c r="C2114" s="2" t="s">
        <v>18</v>
      </c>
      <c r="D2114" s="2" t="s">
        <v>19</v>
      </c>
      <c r="E2114" s="2" t="s">
        <v>322</v>
      </c>
      <c r="F2114" s="2"/>
      <c r="G2114" s="2">
        <v>9.0</v>
      </c>
      <c r="H2114" s="2">
        <v>7.0</v>
      </c>
      <c r="I2114" s="2">
        <v>2.0</v>
      </c>
      <c r="J2114" s="2">
        <v>0.0</v>
      </c>
      <c r="K2114" s="2">
        <v>0.0</v>
      </c>
      <c r="L2114" s="2">
        <v>0.0</v>
      </c>
      <c r="M2114" s="2"/>
      <c r="N2114" s="2"/>
      <c r="O2114" s="2"/>
      <c r="P2114" s="2" t="s">
        <v>146</v>
      </c>
    </row>
    <row r="2115">
      <c r="A2115" s="3" t="s">
        <v>128</v>
      </c>
      <c r="B2115" s="4">
        <v>45233.25</v>
      </c>
      <c r="C2115" s="2" t="s">
        <v>18</v>
      </c>
      <c r="D2115" s="2" t="s">
        <v>157</v>
      </c>
      <c r="E2115" s="2" t="s">
        <v>323</v>
      </c>
      <c r="F2115" s="2"/>
      <c r="G2115" s="2">
        <v>37.0</v>
      </c>
      <c r="H2115" s="2">
        <v>22.0</v>
      </c>
      <c r="I2115" s="2">
        <v>15.0</v>
      </c>
      <c r="J2115" s="2">
        <v>0.0</v>
      </c>
      <c r="K2115" s="2">
        <v>0.0</v>
      </c>
      <c r="L2115" s="2">
        <v>0.0</v>
      </c>
      <c r="M2115" s="2"/>
      <c r="N2115" s="2"/>
      <c r="O2115" s="2"/>
      <c r="P2115" s="2" t="s">
        <v>146</v>
      </c>
    </row>
    <row r="2116">
      <c r="A2116" s="3" t="s">
        <v>129</v>
      </c>
      <c r="B2116" s="4">
        <v>45234.25</v>
      </c>
      <c r="C2116" s="2" t="s">
        <v>18</v>
      </c>
      <c r="D2116" s="2" t="s">
        <v>157</v>
      </c>
      <c r="E2116" s="2" t="s">
        <v>324</v>
      </c>
      <c r="F2116" s="2"/>
      <c r="G2116" s="2">
        <v>31.0</v>
      </c>
      <c r="H2116" s="2">
        <v>18.0</v>
      </c>
      <c r="I2116" s="2">
        <v>13.0</v>
      </c>
      <c r="J2116" s="2">
        <v>0.0</v>
      </c>
      <c r="K2116" s="2">
        <v>0.0</v>
      </c>
      <c r="L2116" s="2">
        <v>0.0</v>
      </c>
      <c r="M2116" s="2"/>
      <c r="N2116" s="2"/>
      <c r="O2116" s="2"/>
      <c r="P2116" s="2" t="s">
        <v>146</v>
      </c>
    </row>
    <row r="2117">
      <c r="A2117" s="3" t="s">
        <v>130</v>
      </c>
      <c r="B2117" s="4">
        <v>45235.25</v>
      </c>
      <c r="C2117" s="2" t="s">
        <v>18</v>
      </c>
      <c r="D2117" s="2" t="s">
        <v>157</v>
      </c>
      <c r="E2117" s="2" t="s">
        <v>322</v>
      </c>
      <c r="F2117" s="2"/>
      <c r="G2117" s="2">
        <v>40.0</v>
      </c>
      <c r="H2117" s="2">
        <v>31.0</v>
      </c>
      <c r="I2117" s="2">
        <v>9.0</v>
      </c>
      <c r="J2117" s="2">
        <v>0.0</v>
      </c>
      <c r="K2117" s="2">
        <v>0.0</v>
      </c>
      <c r="L2117" s="2">
        <v>0.0</v>
      </c>
      <c r="M2117" s="2"/>
      <c r="N2117" s="2"/>
      <c r="O2117" s="2"/>
      <c r="P2117" s="2" t="s">
        <v>146</v>
      </c>
    </row>
    <row r="2118">
      <c r="A2118" s="3" t="s">
        <v>131</v>
      </c>
      <c r="B2118" s="2" t="s">
        <v>17</v>
      </c>
      <c r="C2118" s="2" t="s">
        <v>18</v>
      </c>
      <c r="D2118" s="2" t="s">
        <v>19</v>
      </c>
      <c r="E2118" s="2" t="s">
        <v>322</v>
      </c>
      <c r="F2118" s="2">
        <v>63.0</v>
      </c>
      <c r="G2118" s="2">
        <v>1.0</v>
      </c>
      <c r="H2118" s="2">
        <v>0.0</v>
      </c>
      <c r="I2118" s="2">
        <v>1.0</v>
      </c>
      <c r="J2118" s="2">
        <v>0.0</v>
      </c>
      <c r="K2118" s="2">
        <v>0.0</v>
      </c>
      <c r="L2118" s="2">
        <v>0.0</v>
      </c>
      <c r="M2118" s="2">
        <v>63.0</v>
      </c>
      <c r="N2118" s="2"/>
      <c r="O2118" s="2"/>
      <c r="P2118" s="2" t="s">
        <v>146</v>
      </c>
    </row>
    <row r="2119">
      <c r="A2119" s="3" t="s">
        <v>132</v>
      </c>
      <c r="B2119" s="2" t="s">
        <v>17</v>
      </c>
      <c r="C2119" s="2" t="s">
        <v>18</v>
      </c>
      <c r="D2119" s="2" t="s">
        <v>91</v>
      </c>
      <c r="E2119" s="2" t="s">
        <v>324</v>
      </c>
      <c r="F2119" s="2">
        <v>70.0</v>
      </c>
      <c r="G2119" s="2">
        <v>65.0</v>
      </c>
      <c r="H2119" s="2">
        <v>50.0</v>
      </c>
      <c r="I2119" s="2">
        <v>15.0</v>
      </c>
      <c r="J2119" s="2">
        <v>0.0</v>
      </c>
      <c r="K2119" s="2">
        <v>0.0</v>
      </c>
      <c r="L2119" s="2">
        <v>0.0</v>
      </c>
      <c r="M2119" s="2">
        <v>20.0</v>
      </c>
      <c r="N2119" s="2"/>
      <c r="O2119" s="2"/>
      <c r="P2119" s="2" t="s">
        <v>146</v>
      </c>
    </row>
    <row r="2120">
      <c r="A2120" s="3" t="s">
        <v>133</v>
      </c>
      <c r="B2120" s="2" t="s">
        <v>17</v>
      </c>
      <c r="C2120" s="2" t="s">
        <v>18</v>
      </c>
      <c r="D2120" s="2" t="s">
        <v>91</v>
      </c>
      <c r="E2120" s="2" t="s">
        <v>325</v>
      </c>
      <c r="F2120" s="2">
        <v>23.0</v>
      </c>
      <c r="G2120" s="2">
        <v>1.0</v>
      </c>
      <c r="H2120" s="2">
        <v>0.0</v>
      </c>
      <c r="I2120" s="2">
        <v>1.0</v>
      </c>
      <c r="J2120" s="2">
        <v>0.0</v>
      </c>
      <c r="K2120" s="2">
        <v>0.0</v>
      </c>
      <c r="L2120" s="2">
        <v>0.0</v>
      </c>
      <c r="M2120" s="2">
        <v>23.0</v>
      </c>
      <c r="N2120" s="2"/>
      <c r="O2120" s="2"/>
      <c r="P2120" s="2" t="s">
        <v>146</v>
      </c>
    </row>
    <row r="2121">
      <c r="A2121" s="3" t="s">
        <v>134</v>
      </c>
      <c r="B2121" s="2" t="s">
        <v>17</v>
      </c>
      <c r="C2121" s="2" t="s">
        <v>18</v>
      </c>
      <c r="D2121" s="2" t="s">
        <v>23</v>
      </c>
      <c r="E2121" s="2" t="s">
        <v>325</v>
      </c>
      <c r="F2121" s="2">
        <v>23.0</v>
      </c>
      <c r="G2121" s="2">
        <v>1.0</v>
      </c>
      <c r="H2121" s="2">
        <v>0.0</v>
      </c>
      <c r="I2121" s="2">
        <v>1.0</v>
      </c>
      <c r="J2121" s="2">
        <v>0.0</v>
      </c>
      <c r="K2121" s="2">
        <v>0.0</v>
      </c>
      <c r="L2121" s="2">
        <v>0.0</v>
      </c>
      <c r="M2121" s="2">
        <v>23.0</v>
      </c>
      <c r="N2121" s="2">
        <v>0.0</v>
      </c>
      <c r="O2121" s="2">
        <v>23.0</v>
      </c>
      <c r="P2121" s="2" t="s">
        <v>146</v>
      </c>
    </row>
    <row r="2122">
      <c r="A2122" s="3" t="s">
        <v>136</v>
      </c>
      <c r="B2122" s="2" t="s">
        <v>17</v>
      </c>
      <c r="C2122" s="2" t="s">
        <v>18</v>
      </c>
      <c r="D2122" s="2" t="s">
        <v>23</v>
      </c>
      <c r="E2122" s="2" t="s">
        <v>324</v>
      </c>
      <c r="F2122" s="2">
        <v>70.0</v>
      </c>
      <c r="G2122" s="2">
        <v>65.0</v>
      </c>
      <c r="H2122" s="2">
        <v>50.0</v>
      </c>
      <c r="I2122" s="2">
        <v>15.0</v>
      </c>
      <c r="J2122" s="2">
        <v>0.0</v>
      </c>
      <c r="K2122" s="2">
        <v>0.0</v>
      </c>
      <c r="L2122" s="2">
        <v>0.0</v>
      </c>
      <c r="M2122" s="2">
        <v>20.0</v>
      </c>
      <c r="N2122" s="2">
        <v>0.0</v>
      </c>
      <c r="O2122" s="2">
        <v>-30.0</v>
      </c>
      <c r="P2122" s="2" t="s">
        <v>146</v>
      </c>
    </row>
    <row r="2123">
      <c r="A2123" s="3" t="s">
        <v>137</v>
      </c>
      <c r="B2123" s="2" t="s">
        <v>17</v>
      </c>
      <c r="C2123" s="2" t="s">
        <v>18</v>
      </c>
      <c r="D2123" s="2" t="s">
        <v>23</v>
      </c>
      <c r="E2123" s="2" t="s">
        <v>322</v>
      </c>
      <c r="F2123" s="2">
        <v>63.0</v>
      </c>
      <c r="G2123" s="2">
        <v>1.0</v>
      </c>
      <c r="H2123" s="2">
        <v>0.0</v>
      </c>
      <c r="I2123" s="2">
        <v>1.0</v>
      </c>
      <c r="J2123" s="2">
        <v>0.0</v>
      </c>
      <c r="K2123" s="2">
        <v>0.0</v>
      </c>
      <c r="L2123" s="2">
        <v>0.0</v>
      </c>
      <c r="M2123" s="2">
        <v>63.0</v>
      </c>
      <c r="N2123" s="2">
        <v>0.0</v>
      </c>
      <c r="O2123" s="2">
        <v>63.0</v>
      </c>
      <c r="P2123" s="2" t="s">
        <v>146</v>
      </c>
    </row>
    <row r="2124">
      <c r="A2124" s="3" t="s">
        <v>138</v>
      </c>
      <c r="B2124" s="4">
        <v>45232.25</v>
      </c>
      <c r="C2124" s="2" t="s">
        <v>18</v>
      </c>
      <c r="D2124" s="2" t="s">
        <v>19</v>
      </c>
      <c r="E2124" s="2" t="s">
        <v>322</v>
      </c>
      <c r="F2124" s="2"/>
      <c r="G2124" s="2">
        <v>1.0</v>
      </c>
      <c r="H2124" s="2">
        <v>0.0</v>
      </c>
      <c r="I2124" s="2">
        <v>1.0</v>
      </c>
      <c r="J2124" s="2">
        <v>0.0</v>
      </c>
      <c r="K2124" s="2">
        <v>0.0</v>
      </c>
      <c r="L2124" s="2">
        <v>0.0</v>
      </c>
      <c r="M2124" s="2"/>
      <c r="N2124" s="2"/>
      <c r="O2124" s="2"/>
      <c r="P2124" s="2" t="s">
        <v>146</v>
      </c>
    </row>
    <row r="2125">
      <c r="A2125" s="3" t="s">
        <v>139</v>
      </c>
      <c r="B2125" s="4">
        <v>45233.25</v>
      </c>
      <c r="C2125" s="2" t="s">
        <v>18</v>
      </c>
      <c r="D2125" s="2" t="s">
        <v>91</v>
      </c>
      <c r="E2125" s="2" t="s">
        <v>324</v>
      </c>
      <c r="F2125" s="2"/>
      <c r="G2125" s="2">
        <v>65.0</v>
      </c>
      <c r="H2125" s="2">
        <v>50.0</v>
      </c>
      <c r="I2125" s="2">
        <v>15.0</v>
      </c>
      <c r="J2125" s="2">
        <v>0.0</v>
      </c>
      <c r="K2125" s="2">
        <v>0.0</v>
      </c>
      <c r="L2125" s="2">
        <v>0.0</v>
      </c>
      <c r="M2125" s="2"/>
      <c r="N2125" s="2"/>
      <c r="O2125" s="2"/>
      <c r="P2125" s="2" t="s">
        <v>146</v>
      </c>
    </row>
    <row r="2126">
      <c r="A2126" s="3" t="s">
        <v>140</v>
      </c>
      <c r="B2126" s="4">
        <v>45234.25</v>
      </c>
      <c r="C2126" s="2" t="s">
        <v>18</v>
      </c>
      <c r="D2126" s="2" t="s">
        <v>91</v>
      </c>
      <c r="E2126" s="2" t="s">
        <v>325</v>
      </c>
      <c r="F2126" s="2"/>
      <c r="G2126" s="2">
        <v>1.0</v>
      </c>
      <c r="H2126" s="2">
        <v>0.0</v>
      </c>
      <c r="I2126" s="2">
        <v>1.0</v>
      </c>
      <c r="J2126" s="2">
        <v>0.0</v>
      </c>
      <c r="K2126" s="2">
        <v>0.0</v>
      </c>
      <c r="L2126" s="2">
        <v>0.0</v>
      </c>
      <c r="M2126" s="2"/>
      <c r="N2126" s="2"/>
      <c r="O2126" s="2"/>
      <c r="P2126" s="2" t="s">
        <v>146</v>
      </c>
    </row>
    <row r="2127">
      <c r="A2127" s="3" t="s">
        <v>141</v>
      </c>
      <c r="B2127" s="2" t="s">
        <v>17</v>
      </c>
      <c r="C2127" s="2" t="s">
        <v>18</v>
      </c>
      <c r="D2127" s="2" t="s">
        <v>19</v>
      </c>
      <c r="E2127" s="2" t="s">
        <v>326</v>
      </c>
      <c r="F2127" s="2">
        <v>23.0</v>
      </c>
      <c r="G2127" s="2">
        <v>3.0</v>
      </c>
      <c r="H2127" s="2">
        <v>3.0</v>
      </c>
      <c r="I2127" s="2">
        <v>0.0</v>
      </c>
      <c r="J2127" s="2">
        <v>0.0</v>
      </c>
      <c r="K2127" s="2">
        <v>0.0</v>
      </c>
      <c r="L2127" s="2">
        <v>0.0</v>
      </c>
      <c r="M2127" s="2">
        <v>20.0</v>
      </c>
      <c r="N2127" s="2"/>
      <c r="O2127" s="2"/>
      <c r="P2127" s="2" t="s">
        <v>146</v>
      </c>
    </row>
    <row r="2128">
      <c r="A2128" s="3" t="s">
        <v>142</v>
      </c>
      <c r="B2128" s="2" t="s">
        <v>17</v>
      </c>
      <c r="C2128" s="2" t="s">
        <v>18</v>
      </c>
      <c r="D2128" s="2" t="s">
        <v>19</v>
      </c>
      <c r="E2128" s="2" t="s">
        <v>322</v>
      </c>
      <c r="F2128" s="2">
        <v>32.0</v>
      </c>
      <c r="G2128" s="2">
        <v>6.0</v>
      </c>
      <c r="H2128" s="2">
        <v>3.0</v>
      </c>
      <c r="I2128" s="2">
        <v>3.0</v>
      </c>
      <c r="J2128" s="2">
        <v>0.0</v>
      </c>
      <c r="K2128" s="2">
        <v>0.0</v>
      </c>
      <c r="L2128" s="2">
        <v>0.0</v>
      </c>
      <c r="M2128" s="2">
        <v>29.0</v>
      </c>
      <c r="N2128" s="2"/>
      <c r="O2128" s="2"/>
      <c r="P2128" s="2" t="s">
        <v>146</v>
      </c>
    </row>
    <row r="2129">
      <c r="A2129" s="3" t="s">
        <v>143</v>
      </c>
      <c r="B2129" s="2" t="s">
        <v>17</v>
      </c>
      <c r="C2129" s="2" t="s">
        <v>18</v>
      </c>
      <c r="D2129" s="2" t="s">
        <v>30</v>
      </c>
      <c r="E2129" s="2" t="s">
        <v>322</v>
      </c>
      <c r="F2129" s="2">
        <v>32.0</v>
      </c>
      <c r="G2129" s="2">
        <v>55.0</v>
      </c>
      <c r="H2129" s="2">
        <v>30.0</v>
      </c>
      <c r="I2129" s="2">
        <v>25.0</v>
      </c>
      <c r="J2129" s="2">
        <v>0.0</v>
      </c>
      <c r="K2129" s="2">
        <v>0.0</v>
      </c>
      <c r="L2129" s="2">
        <v>0.0</v>
      </c>
      <c r="M2129" s="2">
        <v>2.0</v>
      </c>
      <c r="N2129" s="2"/>
      <c r="O2129" s="2"/>
      <c r="P2129" s="2" t="s">
        <v>146</v>
      </c>
    </row>
    <row r="2130">
      <c r="A2130" s="3" t="s">
        <v>144</v>
      </c>
      <c r="B2130" s="2" t="s">
        <v>17</v>
      </c>
      <c r="C2130" s="2" t="s">
        <v>18</v>
      </c>
      <c r="D2130" s="2" t="s">
        <v>30</v>
      </c>
      <c r="E2130" s="2" t="s">
        <v>324</v>
      </c>
      <c r="F2130" s="2">
        <v>54.0</v>
      </c>
      <c r="G2130" s="2">
        <v>74.0</v>
      </c>
      <c r="H2130" s="2">
        <v>31.0</v>
      </c>
      <c r="I2130" s="2">
        <v>43.0</v>
      </c>
      <c r="J2130" s="2">
        <v>0.0</v>
      </c>
      <c r="K2130" s="2">
        <v>0.0</v>
      </c>
      <c r="L2130" s="2">
        <v>0.0</v>
      </c>
      <c r="M2130" s="2">
        <v>23.0</v>
      </c>
      <c r="N2130" s="2"/>
      <c r="O2130" s="2"/>
      <c r="P2130" s="2" t="s">
        <v>146</v>
      </c>
    </row>
    <row r="2131">
      <c r="A2131" s="3" t="s">
        <v>145</v>
      </c>
      <c r="B2131" s="2" t="s">
        <v>17</v>
      </c>
      <c r="C2131" s="2" t="s">
        <v>18</v>
      </c>
      <c r="D2131" s="2" t="s">
        <v>30</v>
      </c>
      <c r="E2131" s="2" t="s">
        <v>327</v>
      </c>
      <c r="F2131" s="2">
        <v>15.0</v>
      </c>
      <c r="G2131" s="2">
        <v>26.0</v>
      </c>
      <c r="H2131" s="2">
        <v>12.0</v>
      </c>
      <c r="I2131" s="2">
        <v>14.0</v>
      </c>
      <c r="J2131" s="2">
        <v>0.0</v>
      </c>
      <c r="K2131" s="2">
        <v>0.0</v>
      </c>
      <c r="L2131" s="2">
        <v>0.0</v>
      </c>
      <c r="M2131" s="2">
        <v>3.0</v>
      </c>
      <c r="N2131" s="2"/>
      <c r="O2131" s="2"/>
      <c r="P2131" s="2" t="s">
        <v>146</v>
      </c>
    </row>
    <row r="2132">
      <c r="A2132" s="3" t="s">
        <v>16</v>
      </c>
      <c r="B2132" s="2" t="s">
        <v>17</v>
      </c>
      <c r="C2132" s="2" t="s">
        <v>18</v>
      </c>
      <c r="D2132" s="2" t="s">
        <v>23</v>
      </c>
      <c r="E2132" s="2" t="s">
        <v>326</v>
      </c>
      <c r="F2132" s="2">
        <v>23.0</v>
      </c>
      <c r="G2132" s="2">
        <v>3.0</v>
      </c>
      <c r="H2132" s="2">
        <v>3.0</v>
      </c>
      <c r="I2132" s="2">
        <v>0.0</v>
      </c>
      <c r="J2132" s="2">
        <v>0.0</v>
      </c>
      <c r="K2132" s="2">
        <v>0.0</v>
      </c>
      <c r="L2132" s="2">
        <v>0.0</v>
      </c>
      <c r="M2132" s="2">
        <v>20.0</v>
      </c>
      <c r="N2132" s="2">
        <v>0.0</v>
      </c>
      <c r="O2132" s="2">
        <v>17.0</v>
      </c>
      <c r="P2132" s="2" t="s">
        <v>146</v>
      </c>
    </row>
    <row r="2133">
      <c r="A2133" s="3" t="s">
        <v>22</v>
      </c>
      <c r="B2133" s="2" t="s">
        <v>17</v>
      </c>
      <c r="C2133" s="2" t="s">
        <v>18</v>
      </c>
      <c r="D2133" s="2" t="s">
        <v>23</v>
      </c>
      <c r="E2133" s="2" t="s">
        <v>322</v>
      </c>
      <c r="F2133" s="2">
        <v>64.0</v>
      </c>
      <c r="G2133" s="2">
        <v>61.0</v>
      </c>
      <c r="H2133" s="2">
        <v>33.0</v>
      </c>
      <c r="I2133" s="2">
        <v>28.0</v>
      </c>
      <c r="J2133" s="2">
        <v>0.0</v>
      </c>
      <c r="K2133" s="2">
        <v>0.0</v>
      </c>
      <c r="L2133" s="2">
        <v>0.0</v>
      </c>
      <c r="M2133" s="2">
        <v>31.0</v>
      </c>
      <c r="N2133" s="2">
        <v>0.0</v>
      </c>
      <c r="O2133" s="2">
        <v>-2.0</v>
      </c>
      <c r="P2133" s="2" t="s">
        <v>146</v>
      </c>
    </row>
    <row r="2134">
      <c r="A2134" s="3" t="s">
        <v>24</v>
      </c>
      <c r="B2134" s="2" t="s">
        <v>17</v>
      </c>
      <c r="C2134" s="2" t="s">
        <v>18</v>
      </c>
      <c r="D2134" s="2" t="s">
        <v>23</v>
      </c>
      <c r="E2134" s="2" t="s">
        <v>324</v>
      </c>
      <c r="F2134" s="2">
        <v>54.0</v>
      </c>
      <c r="G2134" s="2">
        <v>74.0</v>
      </c>
      <c r="H2134" s="2">
        <v>31.0</v>
      </c>
      <c r="I2134" s="2">
        <v>43.0</v>
      </c>
      <c r="J2134" s="2">
        <v>0.0</v>
      </c>
      <c r="K2134" s="2">
        <v>0.0</v>
      </c>
      <c r="L2134" s="2">
        <v>0.0</v>
      </c>
      <c r="M2134" s="2">
        <v>23.0</v>
      </c>
      <c r="N2134" s="2">
        <v>0.0</v>
      </c>
      <c r="O2134" s="2">
        <v>-8.0</v>
      </c>
      <c r="P2134" s="2" t="s">
        <v>146</v>
      </c>
    </row>
    <row r="2135">
      <c r="A2135" s="3" t="s">
        <v>25</v>
      </c>
      <c r="B2135" s="2" t="s">
        <v>17</v>
      </c>
      <c r="C2135" s="2" t="s">
        <v>18</v>
      </c>
      <c r="D2135" s="2" t="s">
        <v>23</v>
      </c>
      <c r="E2135" s="2" t="s">
        <v>327</v>
      </c>
      <c r="F2135" s="2">
        <v>15.0</v>
      </c>
      <c r="G2135" s="2">
        <v>26.0</v>
      </c>
      <c r="H2135" s="2">
        <v>12.0</v>
      </c>
      <c r="I2135" s="2">
        <v>14.0</v>
      </c>
      <c r="J2135" s="2">
        <v>0.0</v>
      </c>
      <c r="K2135" s="2">
        <v>0.0</v>
      </c>
      <c r="L2135" s="2">
        <v>0.0</v>
      </c>
      <c r="M2135" s="2">
        <v>3.0</v>
      </c>
      <c r="N2135" s="2">
        <v>0.0</v>
      </c>
      <c r="O2135" s="2">
        <v>-9.0</v>
      </c>
      <c r="P2135" s="2" t="s">
        <v>146</v>
      </c>
    </row>
    <row r="2136">
      <c r="A2136" s="3" t="s">
        <v>26</v>
      </c>
      <c r="B2136" s="4">
        <v>45232.25</v>
      </c>
      <c r="C2136" s="2" t="s">
        <v>18</v>
      </c>
      <c r="D2136" s="2" t="s">
        <v>19</v>
      </c>
      <c r="E2136" s="2" t="s">
        <v>326</v>
      </c>
      <c r="F2136" s="2"/>
      <c r="G2136" s="2">
        <v>3.0</v>
      </c>
      <c r="H2136" s="2">
        <v>3.0</v>
      </c>
      <c r="I2136" s="2">
        <v>0.0</v>
      </c>
      <c r="J2136" s="2">
        <v>0.0</v>
      </c>
      <c r="K2136" s="2">
        <v>0.0</v>
      </c>
      <c r="L2136" s="2">
        <v>0.0</v>
      </c>
      <c r="M2136" s="2"/>
      <c r="N2136" s="2"/>
      <c r="O2136" s="2"/>
      <c r="P2136" s="2" t="s">
        <v>146</v>
      </c>
    </row>
    <row r="2137">
      <c r="A2137" s="3" t="s">
        <v>28</v>
      </c>
      <c r="B2137" s="4">
        <v>45233.25</v>
      </c>
      <c r="C2137" s="2" t="s">
        <v>18</v>
      </c>
      <c r="D2137" s="2" t="s">
        <v>19</v>
      </c>
      <c r="E2137" s="2" t="s">
        <v>322</v>
      </c>
      <c r="F2137" s="2"/>
      <c r="G2137" s="2">
        <v>6.0</v>
      </c>
      <c r="H2137" s="2">
        <v>3.0</v>
      </c>
      <c r="I2137" s="2">
        <v>3.0</v>
      </c>
      <c r="J2137" s="2">
        <v>0.0</v>
      </c>
      <c r="K2137" s="2">
        <v>0.0</v>
      </c>
      <c r="L2137" s="2">
        <v>0.0</v>
      </c>
      <c r="M2137" s="2"/>
      <c r="N2137" s="2"/>
      <c r="O2137" s="2"/>
      <c r="P2137" s="2" t="s">
        <v>146</v>
      </c>
    </row>
    <row r="2138">
      <c r="A2138" s="3" t="s">
        <v>29</v>
      </c>
      <c r="B2138" s="4">
        <v>45234.25</v>
      </c>
      <c r="C2138" s="2" t="s">
        <v>18</v>
      </c>
      <c r="D2138" s="2" t="s">
        <v>30</v>
      </c>
      <c r="E2138" s="2" t="s">
        <v>322</v>
      </c>
      <c r="F2138" s="2"/>
      <c r="G2138" s="2">
        <v>55.0</v>
      </c>
      <c r="H2138" s="2">
        <v>30.0</v>
      </c>
      <c r="I2138" s="2">
        <v>25.0</v>
      </c>
      <c r="J2138" s="2">
        <v>0.0</v>
      </c>
      <c r="K2138" s="2">
        <v>0.0</v>
      </c>
      <c r="L2138" s="2">
        <v>0.0</v>
      </c>
      <c r="M2138" s="2"/>
      <c r="N2138" s="2"/>
      <c r="O2138" s="2"/>
      <c r="P2138" s="2" t="s">
        <v>146</v>
      </c>
    </row>
    <row r="2139">
      <c r="A2139" s="3" t="s">
        <v>32</v>
      </c>
      <c r="B2139" s="4">
        <v>45235.25</v>
      </c>
      <c r="C2139" s="2" t="s">
        <v>18</v>
      </c>
      <c r="D2139" s="2" t="s">
        <v>30</v>
      </c>
      <c r="E2139" s="2" t="s">
        <v>324</v>
      </c>
      <c r="F2139" s="2"/>
      <c r="G2139" s="2">
        <v>74.0</v>
      </c>
      <c r="H2139" s="2">
        <v>31.0</v>
      </c>
      <c r="I2139" s="2">
        <v>43.0</v>
      </c>
      <c r="J2139" s="2">
        <v>0.0</v>
      </c>
      <c r="K2139" s="2">
        <v>0.0</v>
      </c>
      <c r="L2139" s="2">
        <v>0.0</v>
      </c>
      <c r="M2139" s="2"/>
      <c r="N2139" s="2"/>
      <c r="O2139" s="2"/>
      <c r="P2139" s="2" t="s">
        <v>146</v>
      </c>
    </row>
    <row r="2140">
      <c r="A2140" s="3" t="s">
        <v>34</v>
      </c>
      <c r="B2140" s="4">
        <v>45236.29166666667</v>
      </c>
      <c r="C2140" s="2" t="s">
        <v>18</v>
      </c>
      <c r="D2140" s="2" t="s">
        <v>30</v>
      </c>
      <c r="E2140" s="2" t="s">
        <v>327</v>
      </c>
      <c r="F2140" s="2"/>
      <c r="G2140" s="2">
        <v>26.0</v>
      </c>
      <c r="H2140" s="2">
        <v>12.0</v>
      </c>
      <c r="I2140" s="2">
        <v>14.0</v>
      </c>
      <c r="J2140" s="2">
        <v>0.0</v>
      </c>
      <c r="K2140" s="2">
        <v>0.0</v>
      </c>
      <c r="L2140" s="2">
        <v>0.0</v>
      </c>
      <c r="M2140" s="2"/>
      <c r="N2140" s="2"/>
      <c r="O2140" s="2"/>
      <c r="P2140" s="2" t="s">
        <v>146</v>
      </c>
    </row>
    <row r="2141">
      <c r="A2141" s="3" t="s">
        <v>35</v>
      </c>
      <c r="B2141" s="2" t="s">
        <v>17</v>
      </c>
      <c r="C2141" s="2" t="s">
        <v>18</v>
      </c>
      <c r="D2141" s="2" t="s">
        <v>79</v>
      </c>
      <c r="E2141" s="2" t="s">
        <v>165</v>
      </c>
      <c r="F2141" s="2">
        <v>25.0</v>
      </c>
      <c r="G2141" s="2">
        <v>0.0</v>
      </c>
      <c r="H2141" s="2">
        <v>0.0</v>
      </c>
      <c r="I2141" s="2">
        <v>0.0</v>
      </c>
      <c r="J2141" s="2">
        <v>0.0</v>
      </c>
      <c r="K2141" s="2">
        <v>0.0</v>
      </c>
      <c r="L2141" s="2">
        <v>0.0</v>
      </c>
      <c r="M2141" s="2">
        <v>25.0</v>
      </c>
      <c r="N2141" s="2"/>
      <c r="O2141" s="2"/>
      <c r="P2141" s="2" t="s">
        <v>166</v>
      </c>
    </row>
    <row r="2142">
      <c r="A2142" s="3" t="s">
        <v>36</v>
      </c>
      <c r="B2142" s="2" t="s">
        <v>17</v>
      </c>
      <c r="C2142" s="2" t="s">
        <v>18</v>
      </c>
      <c r="D2142" s="2" t="s">
        <v>23</v>
      </c>
      <c r="E2142" s="2" t="s">
        <v>165</v>
      </c>
      <c r="F2142" s="2">
        <v>25.0</v>
      </c>
      <c r="G2142" s="2">
        <v>0.0</v>
      </c>
      <c r="H2142" s="2">
        <v>0.0</v>
      </c>
      <c r="I2142" s="2">
        <v>0.0</v>
      </c>
      <c r="J2142" s="2">
        <v>0.0</v>
      </c>
      <c r="K2142" s="2">
        <v>0.0</v>
      </c>
      <c r="L2142" s="2">
        <v>0.0</v>
      </c>
      <c r="M2142" s="2">
        <v>25.0</v>
      </c>
      <c r="N2142" s="2">
        <v>0.0</v>
      </c>
      <c r="O2142" s="2">
        <v>25.0</v>
      </c>
      <c r="P2142" s="2" t="s">
        <v>166</v>
      </c>
    </row>
    <row r="2143">
      <c r="A2143" s="3" t="s">
        <v>37</v>
      </c>
      <c r="B2143" s="4">
        <v>45232.25</v>
      </c>
      <c r="C2143" s="2" t="s">
        <v>18</v>
      </c>
      <c r="D2143" s="2" t="s">
        <v>79</v>
      </c>
      <c r="E2143" s="2" t="s">
        <v>165</v>
      </c>
      <c r="F2143" s="2"/>
      <c r="G2143" s="2">
        <v>0.0</v>
      </c>
      <c r="H2143" s="2">
        <v>0.0</v>
      </c>
      <c r="I2143" s="2">
        <v>0.0</v>
      </c>
      <c r="J2143" s="2">
        <v>0.0</v>
      </c>
      <c r="K2143" s="2">
        <v>0.0</v>
      </c>
      <c r="L2143" s="2">
        <v>0.0</v>
      </c>
      <c r="M2143" s="2"/>
      <c r="N2143" s="2"/>
      <c r="O2143" s="2"/>
      <c r="P2143" s="2" t="s">
        <v>166</v>
      </c>
    </row>
    <row r="2144">
      <c r="A2144" s="3" t="s">
        <v>38</v>
      </c>
      <c r="B2144" s="2" t="s">
        <v>17</v>
      </c>
      <c r="C2144" s="2" t="s">
        <v>18</v>
      </c>
      <c r="D2144" s="2" t="s">
        <v>19</v>
      </c>
      <c r="E2144" s="2" t="s">
        <v>326</v>
      </c>
      <c r="F2144" s="2">
        <v>14.0</v>
      </c>
      <c r="G2144" s="2">
        <v>0.0</v>
      </c>
      <c r="H2144" s="2">
        <v>0.0</v>
      </c>
      <c r="I2144" s="2">
        <v>0.0</v>
      </c>
      <c r="J2144" s="2">
        <v>0.0</v>
      </c>
      <c r="K2144" s="2">
        <v>0.0</v>
      </c>
      <c r="L2144" s="2">
        <v>0.0</v>
      </c>
      <c r="M2144" s="2">
        <v>14.0</v>
      </c>
      <c r="N2144" s="2"/>
      <c r="O2144" s="2"/>
      <c r="P2144" s="2" t="s">
        <v>146</v>
      </c>
    </row>
    <row r="2145">
      <c r="A2145" s="3" t="s">
        <v>39</v>
      </c>
      <c r="B2145" s="2" t="s">
        <v>17</v>
      </c>
      <c r="C2145" s="2" t="s">
        <v>18</v>
      </c>
      <c r="D2145" s="2" t="s">
        <v>19</v>
      </c>
      <c r="E2145" s="2" t="s">
        <v>322</v>
      </c>
      <c r="F2145" s="2">
        <v>19.0</v>
      </c>
      <c r="G2145" s="2">
        <v>8.0</v>
      </c>
      <c r="H2145" s="2">
        <v>5.0</v>
      </c>
      <c r="I2145" s="2">
        <v>3.0</v>
      </c>
      <c r="J2145" s="2">
        <v>0.0</v>
      </c>
      <c r="K2145" s="2">
        <v>0.0</v>
      </c>
      <c r="L2145" s="2">
        <v>0.0</v>
      </c>
      <c r="M2145" s="2">
        <v>14.0</v>
      </c>
      <c r="N2145" s="2"/>
      <c r="O2145" s="2"/>
      <c r="P2145" s="2" t="s">
        <v>146</v>
      </c>
    </row>
    <row r="2146">
      <c r="A2146" s="3" t="s">
        <v>40</v>
      </c>
      <c r="B2146" s="2" t="s">
        <v>17</v>
      </c>
      <c r="C2146" s="2" t="s">
        <v>18</v>
      </c>
      <c r="D2146" s="2" t="s">
        <v>91</v>
      </c>
      <c r="E2146" s="2" t="s">
        <v>322</v>
      </c>
      <c r="F2146" s="2">
        <v>19.0</v>
      </c>
      <c r="G2146" s="2">
        <v>25.0</v>
      </c>
      <c r="H2146" s="2">
        <v>16.0</v>
      </c>
      <c r="I2146" s="2">
        <v>9.0</v>
      </c>
      <c r="J2146" s="2">
        <v>0.0</v>
      </c>
      <c r="K2146" s="2">
        <v>0.0</v>
      </c>
      <c r="L2146" s="2">
        <v>0.0</v>
      </c>
      <c r="M2146" s="2">
        <v>3.0</v>
      </c>
      <c r="N2146" s="2"/>
      <c r="O2146" s="2"/>
      <c r="P2146" s="2" t="s">
        <v>146</v>
      </c>
    </row>
    <row r="2147">
      <c r="A2147" s="3" t="s">
        <v>41</v>
      </c>
      <c r="B2147" s="2" t="s">
        <v>17</v>
      </c>
      <c r="C2147" s="2" t="s">
        <v>18</v>
      </c>
      <c r="D2147" s="2" t="s">
        <v>91</v>
      </c>
      <c r="E2147" s="2" t="s">
        <v>324</v>
      </c>
      <c r="F2147" s="2">
        <v>33.0</v>
      </c>
      <c r="G2147" s="2">
        <v>5.0</v>
      </c>
      <c r="H2147" s="2">
        <v>3.0</v>
      </c>
      <c r="I2147" s="2">
        <v>2.0</v>
      </c>
      <c r="J2147" s="2">
        <v>0.0</v>
      </c>
      <c r="K2147" s="2">
        <v>0.0</v>
      </c>
      <c r="L2147" s="2">
        <v>0.0</v>
      </c>
      <c r="M2147" s="2">
        <v>30.0</v>
      </c>
      <c r="N2147" s="2"/>
      <c r="O2147" s="2"/>
      <c r="P2147" s="2" t="s">
        <v>146</v>
      </c>
    </row>
    <row r="2148">
      <c r="A2148" s="3" t="s">
        <v>42</v>
      </c>
      <c r="B2148" s="2" t="s">
        <v>17</v>
      </c>
      <c r="C2148" s="2" t="s">
        <v>18</v>
      </c>
      <c r="D2148" s="2" t="s">
        <v>91</v>
      </c>
      <c r="E2148" s="2" t="s">
        <v>327</v>
      </c>
      <c r="F2148" s="2">
        <v>9.0</v>
      </c>
      <c r="G2148" s="2">
        <v>2.0</v>
      </c>
      <c r="H2148" s="2">
        <v>2.0</v>
      </c>
      <c r="I2148" s="2">
        <v>0.0</v>
      </c>
      <c r="J2148" s="2">
        <v>0.0</v>
      </c>
      <c r="K2148" s="2">
        <v>0.0</v>
      </c>
      <c r="L2148" s="2">
        <v>0.0</v>
      </c>
      <c r="M2148" s="2">
        <v>7.0</v>
      </c>
      <c r="N2148" s="2"/>
      <c r="O2148" s="2"/>
      <c r="P2148" s="2" t="s">
        <v>146</v>
      </c>
    </row>
    <row r="2149">
      <c r="A2149" s="3" t="s">
        <v>43</v>
      </c>
      <c r="B2149" s="2" t="s">
        <v>17</v>
      </c>
      <c r="C2149" s="2" t="s">
        <v>18</v>
      </c>
      <c r="D2149" s="2" t="s">
        <v>23</v>
      </c>
      <c r="E2149" s="2" t="s">
        <v>326</v>
      </c>
      <c r="F2149" s="2">
        <v>14.0</v>
      </c>
      <c r="G2149" s="2">
        <v>0.0</v>
      </c>
      <c r="H2149" s="2">
        <v>0.0</v>
      </c>
      <c r="I2149" s="2">
        <v>0.0</v>
      </c>
      <c r="J2149" s="2">
        <v>0.0</v>
      </c>
      <c r="K2149" s="2">
        <v>0.0</v>
      </c>
      <c r="L2149" s="2">
        <v>0.0</v>
      </c>
      <c r="M2149" s="2">
        <v>14.0</v>
      </c>
      <c r="N2149" s="2">
        <v>0.0</v>
      </c>
      <c r="O2149" s="2">
        <v>14.0</v>
      </c>
      <c r="P2149" s="2" t="s">
        <v>146</v>
      </c>
    </row>
    <row r="2150">
      <c r="A2150" s="3" t="s">
        <v>44</v>
      </c>
      <c r="B2150" s="2" t="s">
        <v>17</v>
      </c>
      <c r="C2150" s="2" t="s">
        <v>18</v>
      </c>
      <c r="D2150" s="2" t="s">
        <v>23</v>
      </c>
      <c r="E2150" s="2" t="s">
        <v>322</v>
      </c>
      <c r="F2150" s="2">
        <v>38.0</v>
      </c>
      <c r="G2150" s="2">
        <v>33.0</v>
      </c>
      <c r="H2150" s="2">
        <v>21.0</v>
      </c>
      <c r="I2150" s="2">
        <v>12.0</v>
      </c>
      <c r="J2150" s="2">
        <v>0.0</v>
      </c>
      <c r="K2150" s="2">
        <v>0.0</v>
      </c>
      <c r="L2150" s="2">
        <v>0.0</v>
      </c>
      <c r="M2150" s="2">
        <v>17.0</v>
      </c>
      <c r="N2150" s="2">
        <v>0.0</v>
      </c>
      <c r="O2150" s="2">
        <v>-4.0</v>
      </c>
      <c r="P2150" s="2" t="s">
        <v>146</v>
      </c>
    </row>
    <row r="2151">
      <c r="A2151" s="3" t="s">
        <v>45</v>
      </c>
      <c r="B2151" s="2" t="s">
        <v>17</v>
      </c>
      <c r="C2151" s="2" t="s">
        <v>18</v>
      </c>
      <c r="D2151" s="2" t="s">
        <v>23</v>
      </c>
      <c r="E2151" s="2" t="s">
        <v>324</v>
      </c>
      <c r="F2151" s="2">
        <v>33.0</v>
      </c>
      <c r="G2151" s="2">
        <v>5.0</v>
      </c>
      <c r="H2151" s="2">
        <v>3.0</v>
      </c>
      <c r="I2151" s="2">
        <v>2.0</v>
      </c>
      <c r="J2151" s="2">
        <v>0.0</v>
      </c>
      <c r="K2151" s="2">
        <v>0.0</v>
      </c>
      <c r="L2151" s="2">
        <v>0.0</v>
      </c>
      <c r="M2151" s="2">
        <v>30.0</v>
      </c>
      <c r="N2151" s="2">
        <v>0.0</v>
      </c>
      <c r="O2151" s="2">
        <v>27.0</v>
      </c>
      <c r="P2151" s="2" t="s">
        <v>146</v>
      </c>
    </row>
    <row r="2152">
      <c r="A2152" s="3" t="s">
        <v>16</v>
      </c>
      <c r="B2152" s="2" t="s">
        <v>17</v>
      </c>
      <c r="C2152" s="2" t="s">
        <v>18</v>
      </c>
      <c r="D2152" s="2" t="s">
        <v>23</v>
      </c>
      <c r="E2152" s="2" t="s">
        <v>327</v>
      </c>
      <c r="F2152" s="2">
        <v>10.0</v>
      </c>
      <c r="G2152" s="2">
        <v>2.0</v>
      </c>
      <c r="H2152" s="2">
        <v>2.0</v>
      </c>
      <c r="I2152" s="2">
        <v>0.0</v>
      </c>
      <c r="J2152" s="2">
        <v>0.0</v>
      </c>
      <c r="K2152" s="2">
        <v>0.0</v>
      </c>
      <c r="L2152" s="2">
        <v>0.0</v>
      </c>
      <c r="M2152" s="2">
        <v>8.0</v>
      </c>
      <c r="N2152" s="2">
        <v>1.0</v>
      </c>
      <c r="O2152" s="2">
        <v>6.0</v>
      </c>
      <c r="P2152" s="2" t="s">
        <v>146</v>
      </c>
    </row>
    <row r="2153">
      <c r="A2153" s="3" t="s">
        <v>47</v>
      </c>
      <c r="B2153" s="4">
        <v>45232.25</v>
      </c>
      <c r="C2153" s="2" t="s">
        <v>18</v>
      </c>
      <c r="D2153" s="2" t="s">
        <v>19</v>
      </c>
      <c r="E2153" s="2" t="s">
        <v>326</v>
      </c>
      <c r="F2153" s="2"/>
      <c r="G2153" s="2">
        <v>0.0</v>
      </c>
      <c r="H2153" s="2">
        <v>0.0</v>
      </c>
      <c r="I2153" s="2">
        <v>0.0</v>
      </c>
      <c r="J2153" s="2">
        <v>0.0</v>
      </c>
      <c r="K2153" s="2">
        <v>0.0</v>
      </c>
      <c r="L2153" s="2">
        <v>0.0</v>
      </c>
      <c r="M2153" s="2"/>
      <c r="N2153" s="2"/>
      <c r="O2153" s="2"/>
      <c r="P2153" s="2" t="s">
        <v>146</v>
      </c>
    </row>
    <row r="2154">
      <c r="A2154" s="3" t="s">
        <v>48</v>
      </c>
      <c r="B2154" s="4">
        <v>45233.25</v>
      </c>
      <c r="C2154" s="2" t="s">
        <v>18</v>
      </c>
      <c r="D2154" s="2" t="s">
        <v>19</v>
      </c>
      <c r="E2154" s="2" t="s">
        <v>322</v>
      </c>
      <c r="F2154" s="2"/>
      <c r="G2154" s="2">
        <v>8.0</v>
      </c>
      <c r="H2154" s="2">
        <v>5.0</v>
      </c>
      <c r="I2154" s="2">
        <v>3.0</v>
      </c>
      <c r="J2154" s="2">
        <v>0.0</v>
      </c>
      <c r="K2154" s="2">
        <v>0.0</v>
      </c>
      <c r="L2154" s="2">
        <v>0.0</v>
      </c>
      <c r="M2154" s="2"/>
      <c r="N2154" s="2"/>
      <c r="O2154" s="2"/>
      <c r="P2154" s="2" t="s">
        <v>146</v>
      </c>
    </row>
    <row r="2155">
      <c r="A2155" s="3" t="s">
        <v>49</v>
      </c>
      <c r="B2155" s="4">
        <v>45234.25</v>
      </c>
      <c r="C2155" s="2" t="s">
        <v>18</v>
      </c>
      <c r="D2155" s="2" t="s">
        <v>91</v>
      </c>
      <c r="E2155" s="2" t="s">
        <v>322</v>
      </c>
      <c r="F2155" s="2"/>
      <c r="G2155" s="2">
        <v>25.0</v>
      </c>
      <c r="H2155" s="2">
        <v>16.0</v>
      </c>
      <c r="I2155" s="2">
        <v>9.0</v>
      </c>
      <c r="J2155" s="2">
        <v>0.0</v>
      </c>
      <c r="K2155" s="2">
        <v>0.0</v>
      </c>
      <c r="L2155" s="2">
        <v>0.0</v>
      </c>
      <c r="M2155" s="2"/>
      <c r="N2155" s="2"/>
      <c r="O2155" s="2"/>
      <c r="P2155" s="2" t="s">
        <v>146</v>
      </c>
    </row>
    <row r="2156">
      <c r="A2156" s="3" t="s">
        <v>51</v>
      </c>
      <c r="B2156" s="4">
        <v>45235.25</v>
      </c>
      <c r="C2156" s="2" t="s">
        <v>18</v>
      </c>
      <c r="D2156" s="2" t="s">
        <v>91</v>
      </c>
      <c r="E2156" s="2" t="s">
        <v>324</v>
      </c>
      <c r="F2156" s="2"/>
      <c r="G2156" s="2">
        <v>5.0</v>
      </c>
      <c r="H2156" s="2">
        <v>3.0</v>
      </c>
      <c r="I2156" s="2">
        <v>2.0</v>
      </c>
      <c r="J2156" s="2">
        <v>0.0</v>
      </c>
      <c r="K2156" s="2">
        <v>0.0</v>
      </c>
      <c r="L2156" s="2">
        <v>0.0</v>
      </c>
      <c r="M2156" s="2"/>
      <c r="N2156" s="2"/>
      <c r="O2156" s="2"/>
      <c r="P2156" s="2" t="s">
        <v>146</v>
      </c>
    </row>
    <row r="2157">
      <c r="A2157" s="3" t="s">
        <v>52</v>
      </c>
      <c r="B2157" s="4">
        <v>45236.29166666667</v>
      </c>
      <c r="C2157" s="2" t="s">
        <v>18</v>
      </c>
      <c r="D2157" s="2" t="s">
        <v>91</v>
      </c>
      <c r="E2157" s="2" t="s">
        <v>327</v>
      </c>
      <c r="F2157" s="2"/>
      <c r="G2157" s="2">
        <v>2.0</v>
      </c>
      <c r="H2157" s="2">
        <v>2.0</v>
      </c>
      <c r="I2157" s="2">
        <v>0.0</v>
      </c>
      <c r="J2157" s="2">
        <v>0.0</v>
      </c>
      <c r="K2157" s="2">
        <v>0.0</v>
      </c>
      <c r="L2157" s="2">
        <v>0.0</v>
      </c>
      <c r="M2157" s="2"/>
      <c r="N2157" s="2"/>
      <c r="O2157" s="2"/>
      <c r="P2157" s="2" t="s">
        <v>146</v>
      </c>
    </row>
    <row r="2158">
      <c r="A2158" s="3" t="s">
        <v>53</v>
      </c>
      <c r="B2158" s="2" t="s">
        <v>17</v>
      </c>
      <c r="C2158" s="2" t="s">
        <v>18</v>
      </c>
      <c r="D2158" s="2" t="s">
        <v>164</v>
      </c>
      <c r="E2158" s="2" t="s">
        <v>165</v>
      </c>
      <c r="F2158" s="2">
        <v>100.0</v>
      </c>
      <c r="G2158" s="2">
        <v>146.0</v>
      </c>
      <c r="H2158" s="2">
        <v>68.0</v>
      </c>
      <c r="I2158" s="2">
        <v>78.0</v>
      </c>
      <c r="J2158" s="2">
        <v>0.0</v>
      </c>
      <c r="K2158" s="2">
        <v>0.0</v>
      </c>
      <c r="L2158" s="2">
        <v>0.0</v>
      </c>
      <c r="M2158" s="2">
        <v>32.0</v>
      </c>
      <c r="N2158" s="2"/>
      <c r="O2158" s="2"/>
      <c r="P2158" s="2" t="s">
        <v>166</v>
      </c>
    </row>
    <row r="2159">
      <c r="A2159" s="3" t="s">
        <v>54</v>
      </c>
      <c r="B2159" s="2" t="s">
        <v>17</v>
      </c>
      <c r="C2159" s="2" t="s">
        <v>18</v>
      </c>
      <c r="D2159" s="2" t="s">
        <v>23</v>
      </c>
      <c r="E2159" s="2" t="s">
        <v>165</v>
      </c>
      <c r="F2159" s="2">
        <v>100.0</v>
      </c>
      <c r="G2159" s="2">
        <v>146.0</v>
      </c>
      <c r="H2159" s="2">
        <v>68.0</v>
      </c>
      <c r="I2159" s="2">
        <v>78.0</v>
      </c>
      <c r="J2159" s="2">
        <v>0.0</v>
      </c>
      <c r="K2159" s="2">
        <v>0.0</v>
      </c>
      <c r="L2159" s="2">
        <v>0.0</v>
      </c>
      <c r="M2159" s="2">
        <v>32.0</v>
      </c>
      <c r="N2159" s="2">
        <v>0.0</v>
      </c>
      <c r="O2159" s="2">
        <v>-36.0</v>
      </c>
      <c r="P2159" s="2" t="s">
        <v>166</v>
      </c>
    </row>
    <row r="2160">
      <c r="A2160" s="3" t="s">
        <v>55</v>
      </c>
      <c r="B2160" s="4">
        <v>45232.25</v>
      </c>
      <c r="C2160" s="2" t="s">
        <v>18</v>
      </c>
      <c r="D2160" s="2" t="s">
        <v>164</v>
      </c>
      <c r="E2160" s="2" t="s">
        <v>165</v>
      </c>
      <c r="F2160" s="2"/>
      <c r="G2160" s="2">
        <v>127.0</v>
      </c>
      <c r="H2160" s="2">
        <v>64.0</v>
      </c>
      <c r="I2160" s="2">
        <v>63.0</v>
      </c>
      <c r="J2160" s="2">
        <v>0.0</v>
      </c>
      <c r="K2160" s="2">
        <v>0.0</v>
      </c>
      <c r="L2160" s="2">
        <v>0.0</v>
      </c>
      <c r="M2160" s="2"/>
      <c r="N2160" s="2"/>
      <c r="O2160" s="2"/>
      <c r="P2160" s="2" t="s">
        <v>166</v>
      </c>
    </row>
    <row r="2161">
      <c r="A2161" s="3" t="s">
        <v>56</v>
      </c>
      <c r="B2161" s="4">
        <v>45262.29166666667</v>
      </c>
      <c r="C2161" s="2" t="s">
        <v>18</v>
      </c>
      <c r="D2161" s="2" t="s">
        <v>164</v>
      </c>
      <c r="E2161" s="2" t="s">
        <v>165</v>
      </c>
      <c r="F2161" s="2"/>
      <c r="G2161" s="2">
        <v>19.0</v>
      </c>
      <c r="H2161" s="2">
        <v>4.0</v>
      </c>
      <c r="I2161" s="2">
        <v>15.0</v>
      </c>
      <c r="J2161" s="2">
        <v>0.0</v>
      </c>
      <c r="K2161" s="2">
        <v>0.0</v>
      </c>
      <c r="L2161" s="2">
        <v>0.0</v>
      </c>
      <c r="M2161" s="2"/>
      <c r="N2161" s="2"/>
      <c r="O2161" s="2"/>
      <c r="P2161" s="2" t="s">
        <v>166</v>
      </c>
    </row>
    <row r="2162">
      <c r="A2162" s="3" t="s">
        <v>59</v>
      </c>
      <c r="B2162" s="2" t="s">
        <v>17</v>
      </c>
      <c r="C2162" s="2" t="s">
        <v>18</v>
      </c>
      <c r="D2162" s="2" t="s">
        <v>19</v>
      </c>
      <c r="E2162" s="2" t="s">
        <v>162</v>
      </c>
      <c r="F2162" s="2">
        <v>5.0</v>
      </c>
      <c r="G2162" s="2">
        <v>8.0</v>
      </c>
      <c r="H2162" s="2">
        <v>4.0</v>
      </c>
      <c r="I2162" s="2">
        <v>4.0</v>
      </c>
      <c r="J2162" s="2">
        <v>0.0</v>
      </c>
      <c r="K2162" s="2">
        <v>0.0</v>
      </c>
      <c r="L2162" s="2">
        <v>0.0</v>
      </c>
      <c r="M2162" s="2">
        <v>1.0</v>
      </c>
      <c r="N2162" s="2"/>
      <c r="O2162" s="2"/>
      <c r="P2162" s="2" t="s">
        <v>21</v>
      </c>
    </row>
    <row r="2163">
      <c r="A2163" s="3" t="s">
        <v>60</v>
      </c>
      <c r="B2163" s="2" t="s">
        <v>17</v>
      </c>
      <c r="C2163" s="2" t="s">
        <v>18</v>
      </c>
      <c r="D2163" s="2" t="s">
        <v>23</v>
      </c>
      <c r="E2163" s="2" t="s">
        <v>162</v>
      </c>
      <c r="F2163" s="2">
        <v>5.0</v>
      </c>
      <c r="G2163" s="2">
        <v>8.0</v>
      </c>
      <c r="H2163" s="2">
        <v>4.0</v>
      </c>
      <c r="I2163" s="2">
        <v>4.0</v>
      </c>
      <c r="J2163" s="2">
        <v>0.0</v>
      </c>
      <c r="K2163" s="2">
        <v>0.0</v>
      </c>
      <c r="L2163" s="2">
        <v>0.0</v>
      </c>
      <c r="M2163" s="2">
        <v>1.0</v>
      </c>
      <c r="N2163" s="2">
        <v>0.0</v>
      </c>
      <c r="O2163" s="2">
        <v>-3.0</v>
      </c>
      <c r="P2163" s="2" t="s">
        <v>21</v>
      </c>
    </row>
    <row r="2164">
      <c r="A2164" s="3" t="s">
        <v>61</v>
      </c>
      <c r="B2164" s="4">
        <v>45201.29166666667</v>
      </c>
      <c r="C2164" s="2" t="s">
        <v>18</v>
      </c>
      <c r="D2164" s="2" t="s">
        <v>19</v>
      </c>
      <c r="E2164" s="2" t="s">
        <v>162</v>
      </c>
      <c r="F2164" s="2"/>
      <c r="G2164" s="2">
        <v>8.0</v>
      </c>
      <c r="H2164" s="2">
        <v>4.0</v>
      </c>
      <c r="I2164" s="2">
        <v>4.0</v>
      </c>
      <c r="J2164" s="2">
        <v>0.0</v>
      </c>
      <c r="K2164" s="2">
        <v>0.0</v>
      </c>
      <c r="L2164" s="2">
        <v>0.0</v>
      </c>
      <c r="M2164" s="2"/>
      <c r="N2164" s="2"/>
      <c r="O2164" s="2"/>
      <c r="P2164" s="2" t="s">
        <v>21</v>
      </c>
    </row>
    <row r="2165">
      <c r="A2165" s="3" t="s">
        <v>62</v>
      </c>
      <c r="B2165" s="2" t="s">
        <v>17</v>
      </c>
      <c r="C2165" s="2" t="s">
        <v>18</v>
      </c>
      <c r="D2165" s="2" t="s">
        <v>91</v>
      </c>
      <c r="E2165" s="2" t="s">
        <v>27</v>
      </c>
      <c r="F2165" s="2">
        <v>10.0</v>
      </c>
      <c r="G2165" s="2">
        <v>13.0</v>
      </c>
      <c r="H2165" s="2">
        <v>11.0</v>
      </c>
      <c r="I2165" s="2">
        <v>2.0</v>
      </c>
      <c r="J2165" s="2">
        <v>0.0</v>
      </c>
      <c r="K2165" s="2">
        <v>0.0</v>
      </c>
      <c r="L2165" s="2">
        <v>0.0</v>
      </c>
      <c r="M2165" s="2">
        <v>-1.0</v>
      </c>
      <c r="N2165" s="2"/>
      <c r="O2165" s="2"/>
      <c r="P2165" s="2" t="s">
        <v>146</v>
      </c>
    </row>
    <row r="2166">
      <c r="A2166" s="3" t="s">
        <v>63</v>
      </c>
      <c r="B2166" s="2" t="s">
        <v>17</v>
      </c>
      <c r="C2166" s="2" t="s">
        <v>148</v>
      </c>
      <c r="D2166" s="2" t="s">
        <v>19</v>
      </c>
      <c r="E2166" s="2" t="s">
        <v>27</v>
      </c>
      <c r="F2166" s="2">
        <v>10.0</v>
      </c>
      <c r="G2166" s="2">
        <v>0.0</v>
      </c>
      <c r="H2166" s="2">
        <v>0.0</v>
      </c>
      <c r="I2166" s="2">
        <v>0.0</v>
      </c>
      <c r="J2166" s="2">
        <v>0.0</v>
      </c>
      <c r="K2166" s="2">
        <v>0.0</v>
      </c>
      <c r="L2166" s="2">
        <v>0.0</v>
      </c>
      <c r="M2166" s="2">
        <v>10.0</v>
      </c>
      <c r="N2166" s="2"/>
      <c r="O2166" s="2"/>
      <c r="P2166" s="2" t="s">
        <v>146</v>
      </c>
    </row>
    <row r="2167">
      <c r="A2167" s="3" t="s">
        <v>64</v>
      </c>
      <c r="B2167" s="2" t="s">
        <v>17</v>
      </c>
      <c r="C2167" s="2" t="s">
        <v>18</v>
      </c>
      <c r="D2167" s="2" t="s">
        <v>23</v>
      </c>
      <c r="E2167" s="2" t="s">
        <v>27</v>
      </c>
      <c r="F2167" s="2">
        <v>10.0</v>
      </c>
      <c r="G2167" s="2">
        <v>13.0</v>
      </c>
      <c r="H2167" s="2">
        <v>11.0</v>
      </c>
      <c r="I2167" s="2">
        <v>2.0</v>
      </c>
      <c r="J2167" s="2">
        <v>0.0</v>
      </c>
      <c r="K2167" s="2">
        <v>0.0</v>
      </c>
      <c r="L2167" s="2">
        <v>0.0</v>
      </c>
      <c r="M2167" s="2">
        <v>-1.0</v>
      </c>
      <c r="N2167" s="2">
        <v>-10.0</v>
      </c>
      <c r="O2167" s="2">
        <v>-12.0</v>
      </c>
      <c r="P2167" s="2" t="s">
        <v>146</v>
      </c>
    </row>
    <row r="2168">
      <c r="A2168" s="3" t="s">
        <v>65</v>
      </c>
      <c r="B2168" s="4">
        <v>45201.29166666667</v>
      </c>
      <c r="C2168" s="2" t="s">
        <v>18</v>
      </c>
      <c r="D2168" s="2" t="s">
        <v>91</v>
      </c>
      <c r="E2168" s="2" t="s">
        <v>27</v>
      </c>
      <c r="F2168" s="2"/>
      <c r="G2168" s="2">
        <v>6.0</v>
      </c>
      <c r="H2168" s="2">
        <v>6.0</v>
      </c>
      <c r="I2168" s="2">
        <v>0.0</v>
      </c>
      <c r="J2168" s="2">
        <v>0.0</v>
      </c>
      <c r="K2168" s="2">
        <v>0.0</v>
      </c>
      <c r="L2168" s="2">
        <v>0.0</v>
      </c>
      <c r="M2168" s="2"/>
      <c r="N2168" s="2"/>
      <c r="O2168" s="2"/>
      <c r="P2168" s="2" t="s">
        <v>146</v>
      </c>
    </row>
    <row r="2169">
      <c r="A2169" s="3" t="s">
        <v>66</v>
      </c>
      <c r="B2169" s="4">
        <v>45232.25</v>
      </c>
      <c r="C2169" s="2" t="s">
        <v>18</v>
      </c>
      <c r="D2169" s="2" t="s">
        <v>91</v>
      </c>
      <c r="E2169" s="2" t="s">
        <v>27</v>
      </c>
      <c r="F2169" s="2"/>
      <c r="G2169" s="2">
        <v>7.0</v>
      </c>
      <c r="H2169" s="2">
        <v>5.0</v>
      </c>
      <c r="I2169" s="2">
        <v>2.0</v>
      </c>
      <c r="J2169" s="2">
        <v>0.0</v>
      </c>
      <c r="K2169" s="2">
        <v>0.0</v>
      </c>
      <c r="L2169" s="2">
        <v>0.0</v>
      </c>
      <c r="M2169" s="2"/>
      <c r="N2169" s="2"/>
      <c r="O2169" s="2"/>
      <c r="P2169" s="2" t="s">
        <v>146</v>
      </c>
    </row>
    <row r="2170">
      <c r="A2170" s="3" t="s">
        <v>68</v>
      </c>
      <c r="B2170" s="2" t="s">
        <v>17</v>
      </c>
      <c r="C2170" s="2" t="s">
        <v>18</v>
      </c>
      <c r="D2170" s="2" t="s">
        <v>109</v>
      </c>
      <c r="E2170" s="2" t="s">
        <v>27</v>
      </c>
      <c r="F2170" s="2">
        <v>6.0</v>
      </c>
      <c r="G2170" s="2">
        <v>13.0</v>
      </c>
      <c r="H2170" s="2">
        <v>7.0</v>
      </c>
      <c r="I2170" s="2">
        <v>6.0</v>
      </c>
      <c r="J2170" s="2">
        <v>0.0</v>
      </c>
      <c r="K2170" s="2">
        <v>0.0</v>
      </c>
      <c r="L2170" s="2">
        <v>0.0</v>
      </c>
      <c r="M2170" s="2">
        <v>-1.0</v>
      </c>
      <c r="N2170" s="2"/>
      <c r="O2170" s="2"/>
      <c r="P2170" s="2" t="s">
        <v>111</v>
      </c>
    </row>
    <row r="2171">
      <c r="A2171" s="3" t="s">
        <v>70</v>
      </c>
      <c r="B2171" s="2" t="s">
        <v>17</v>
      </c>
      <c r="C2171" s="2" t="s">
        <v>18</v>
      </c>
      <c r="D2171" s="2" t="s">
        <v>19</v>
      </c>
      <c r="E2171" s="2" t="s">
        <v>27</v>
      </c>
      <c r="F2171" s="2">
        <v>14.0</v>
      </c>
      <c r="G2171" s="2">
        <v>22.0</v>
      </c>
      <c r="H2171" s="2">
        <v>7.0</v>
      </c>
      <c r="I2171" s="2">
        <v>15.0</v>
      </c>
      <c r="J2171" s="2">
        <v>0.0</v>
      </c>
      <c r="K2171" s="2">
        <v>0.0</v>
      </c>
      <c r="L2171" s="2">
        <v>0.0</v>
      </c>
      <c r="M2171" s="2">
        <v>7.0</v>
      </c>
      <c r="N2171" s="2"/>
      <c r="O2171" s="2"/>
      <c r="P2171" s="2" t="s">
        <v>111</v>
      </c>
    </row>
    <row r="2172">
      <c r="A2172" s="3" t="s">
        <v>16</v>
      </c>
      <c r="B2172" s="2" t="s">
        <v>17</v>
      </c>
      <c r="C2172" s="2" t="s">
        <v>18</v>
      </c>
      <c r="D2172" s="2" t="s">
        <v>127</v>
      </c>
      <c r="E2172" s="2" t="s">
        <v>27</v>
      </c>
      <c r="F2172" s="2">
        <v>34.0</v>
      </c>
      <c r="G2172" s="2">
        <v>48.0</v>
      </c>
      <c r="H2172" s="2">
        <v>14.0</v>
      </c>
      <c r="I2172" s="2">
        <v>34.0</v>
      </c>
      <c r="J2172" s="2">
        <v>0.0</v>
      </c>
      <c r="K2172" s="2">
        <v>0.0</v>
      </c>
      <c r="L2172" s="2">
        <v>0.0</v>
      </c>
      <c r="M2172" s="2">
        <v>20.0</v>
      </c>
      <c r="N2172" s="2"/>
      <c r="O2172" s="2"/>
      <c r="P2172" s="2" t="s">
        <v>111</v>
      </c>
    </row>
    <row r="2173">
      <c r="A2173" s="3" t="s">
        <v>71</v>
      </c>
      <c r="B2173" s="2" t="s">
        <v>17</v>
      </c>
      <c r="C2173" s="2" t="s">
        <v>18</v>
      </c>
      <c r="D2173" s="2" t="s">
        <v>23</v>
      </c>
      <c r="E2173" s="2" t="s">
        <v>27</v>
      </c>
      <c r="F2173" s="2">
        <v>46.0</v>
      </c>
      <c r="G2173" s="2">
        <v>83.0</v>
      </c>
      <c r="H2173" s="2">
        <v>28.0</v>
      </c>
      <c r="I2173" s="2">
        <v>55.0</v>
      </c>
      <c r="J2173" s="2">
        <v>0.0</v>
      </c>
      <c r="K2173" s="2">
        <v>0.0</v>
      </c>
      <c r="L2173" s="2">
        <v>0.0</v>
      </c>
      <c r="M2173" s="2">
        <v>18.0</v>
      </c>
      <c r="N2173" s="2">
        <v>-8.0</v>
      </c>
      <c r="O2173" s="2">
        <v>-10.0</v>
      </c>
      <c r="P2173" s="2" t="s">
        <v>111</v>
      </c>
    </row>
    <row r="2174">
      <c r="A2174" s="3" t="s">
        <v>72</v>
      </c>
      <c r="B2174" s="4">
        <v>45202.29166666667</v>
      </c>
      <c r="C2174" s="2" t="s">
        <v>18</v>
      </c>
      <c r="D2174" s="2" t="s">
        <v>109</v>
      </c>
      <c r="E2174" s="2" t="s">
        <v>27</v>
      </c>
      <c r="F2174" s="2"/>
      <c r="G2174" s="2">
        <v>13.0</v>
      </c>
      <c r="H2174" s="2">
        <v>7.0</v>
      </c>
      <c r="I2174" s="2">
        <v>6.0</v>
      </c>
      <c r="J2174" s="2">
        <v>0.0</v>
      </c>
      <c r="K2174" s="2">
        <v>0.0</v>
      </c>
      <c r="L2174" s="2">
        <v>0.0</v>
      </c>
      <c r="M2174" s="2"/>
      <c r="N2174" s="2"/>
      <c r="O2174" s="2"/>
      <c r="P2174" s="2" t="s">
        <v>111</v>
      </c>
    </row>
    <row r="2175">
      <c r="A2175" s="3" t="s">
        <v>73</v>
      </c>
      <c r="B2175" s="4">
        <v>45203.29166666667</v>
      </c>
      <c r="C2175" s="2" t="s">
        <v>18</v>
      </c>
      <c r="D2175" s="2" t="s">
        <v>19</v>
      </c>
      <c r="E2175" s="2" t="s">
        <v>27</v>
      </c>
      <c r="F2175" s="2"/>
      <c r="G2175" s="2">
        <v>22.0</v>
      </c>
      <c r="H2175" s="2">
        <v>7.0</v>
      </c>
      <c r="I2175" s="2">
        <v>15.0</v>
      </c>
      <c r="J2175" s="2">
        <v>0.0</v>
      </c>
      <c r="K2175" s="2">
        <v>0.0</v>
      </c>
      <c r="L2175" s="2">
        <v>0.0</v>
      </c>
      <c r="M2175" s="2"/>
      <c r="N2175" s="2"/>
      <c r="O2175" s="2"/>
      <c r="P2175" s="2" t="s">
        <v>111</v>
      </c>
    </row>
    <row r="2176">
      <c r="A2176" s="3" t="s">
        <v>74</v>
      </c>
      <c r="B2176" s="4">
        <v>45204.29166666667</v>
      </c>
      <c r="C2176" s="2" t="s">
        <v>18</v>
      </c>
      <c r="D2176" s="2" t="s">
        <v>127</v>
      </c>
      <c r="E2176" s="2" t="s">
        <v>27</v>
      </c>
      <c r="F2176" s="2"/>
      <c r="G2176" s="2">
        <v>48.0</v>
      </c>
      <c r="H2176" s="2">
        <v>14.0</v>
      </c>
      <c r="I2176" s="2">
        <v>34.0</v>
      </c>
      <c r="J2176" s="2">
        <v>0.0</v>
      </c>
      <c r="K2176" s="2">
        <v>0.0</v>
      </c>
      <c r="L2176" s="2">
        <v>0.0</v>
      </c>
      <c r="M2176" s="2"/>
      <c r="N2176" s="2"/>
      <c r="O2176" s="2"/>
      <c r="P2176" s="2" t="s">
        <v>111</v>
      </c>
    </row>
    <row r="2177">
      <c r="A2177" s="3" t="s">
        <v>75</v>
      </c>
      <c r="B2177" s="2" t="s">
        <v>17</v>
      </c>
      <c r="C2177" s="2" t="s">
        <v>18</v>
      </c>
      <c r="D2177" s="2" t="s">
        <v>19</v>
      </c>
      <c r="E2177" s="2" t="s">
        <v>149</v>
      </c>
      <c r="F2177" s="2">
        <v>4.0</v>
      </c>
      <c r="G2177" s="2">
        <v>3.0</v>
      </c>
      <c r="H2177" s="2">
        <v>3.0</v>
      </c>
      <c r="I2177" s="2">
        <v>0.0</v>
      </c>
      <c r="J2177" s="2">
        <v>0.0</v>
      </c>
      <c r="K2177" s="2">
        <v>0.0</v>
      </c>
      <c r="L2177" s="2">
        <v>0.0</v>
      </c>
      <c r="M2177" s="2">
        <v>1.0</v>
      </c>
      <c r="N2177" s="2"/>
      <c r="O2177" s="2"/>
      <c r="P2177" s="2" t="s">
        <v>21</v>
      </c>
    </row>
    <row r="2178">
      <c r="A2178" s="3" t="s">
        <v>76</v>
      </c>
      <c r="B2178" s="2" t="s">
        <v>17</v>
      </c>
      <c r="C2178" s="2" t="s">
        <v>18</v>
      </c>
      <c r="D2178" s="2" t="s">
        <v>30</v>
      </c>
      <c r="E2178" s="2" t="s">
        <v>149</v>
      </c>
      <c r="F2178" s="2">
        <v>4.0</v>
      </c>
      <c r="G2178" s="2">
        <v>3.0</v>
      </c>
      <c r="H2178" s="2">
        <v>0.0</v>
      </c>
      <c r="I2178" s="2">
        <v>0.0</v>
      </c>
      <c r="J2178" s="2">
        <v>3.0</v>
      </c>
      <c r="K2178" s="2">
        <v>0.0</v>
      </c>
      <c r="L2178" s="2">
        <v>0.0</v>
      </c>
      <c r="M2178" s="2">
        <v>4.0</v>
      </c>
      <c r="N2178" s="2"/>
      <c r="O2178" s="2"/>
      <c r="P2178" s="2" t="s">
        <v>21</v>
      </c>
    </row>
    <row r="2179">
      <c r="A2179" s="3" t="s">
        <v>77</v>
      </c>
      <c r="B2179" s="2" t="s">
        <v>17</v>
      </c>
      <c r="C2179" s="2" t="s">
        <v>18</v>
      </c>
      <c r="D2179" s="2" t="s">
        <v>23</v>
      </c>
      <c r="E2179" s="2" t="s">
        <v>149</v>
      </c>
      <c r="F2179" s="2">
        <v>4.0</v>
      </c>
      <c r="G2179" s="2">
        <v>6.0</v>
      </c>
      <c r="H2179" s="2">
        <v>3.0</v>
      </c>
      <c r="I2179" s="2">
        <v>0.0</v>
      </c>
      <c r="J2179" s="2">
        <v>3.0</v>
      </c>
      <c r="K2179" s="2">
        <v>0.0</v>
      </c>
      <c r="L2179" s="2">
        <v>0.0</v>
      </c>
      <c r="M2179" s="2">
        <v>1.0</v>
      </c>
      <c r="N2179" s="2">
        <v>-4.0</v>
      </c>
      <c r="O2179" s="2">
        <v>-2.0</v>
      </c>
      <c r="P2179" s="2" t="s">
        <v>21</v>
      </c>
    </row>
    <row r="2180">
      <c r="A2180" s="3" t="s">
        <v>78</v>
      </c>
      <c r="B2180" s="4">
        <v>45201.29166666667</v>
      </c>
      <c r="C2180" s="2" t="s">
        <v>18</v>
      </c>
      <c r="D2180" s="2" t="s">
        <v>19</v>
      </c>
      <c r="E2180" s="2" t="s">
        <v>149</v>
      </c>
      <c r="F2180" s="2"/>
      <c r="G2180" s="2">
        <v>3.0</v>
      </c>
      <c r="H2180" s="2">
        <v>3.0</v>
      </c>
      <c r="I2180" s="2">
        <v>0.0</v>
      </c>
      <c r="J2180" s="2">
        <v>0.0</v>
      </c>
      <c r="K2180" s="2">
        <v>0.0</v>
      </c>
      <c r="L2180" s="2">
        <v>0.0</v>
      </c>
      <c r="M2180" s="2"/>
      <c r="N2180" s="2"/>
      <c r="O2180" s="2"/>
      <c r="P2180" s="2" t="s">
        <v>21</v>
      </c>
    </row>
    <row r="2181">
      <c r="A2181" s="3" t="s">
        <v>81</v>
      </c>
      <c r="B2181" s="4">
        <v>45202.29166666667</v>
      </c>
      <c r="C2181" s="2" t="s">
        <v>18</v>
      </c>
      <c r="D2181" s="2" t="s">
        <v>30</v>
      </c>
      <c r="E2181" s="2" t="s">
        <v>149</v>
      </c>
      <c r="F2181" s="2"/>
      <c r="G2181" s="2">
        <v>3.0</v>
      </c>
      <c r="H2181" s="2">
        <v>0.0</v>
      </c>
      <c r="I2181" s="2">
        <v>0.0</v>
      </c>
      <c r="J2181" s="2">
        <v>3.0</v>
      </c>
      <c r="K2181" s="2">
        <v>0.0</v>
      </c>
      <c r="L2181" s="2">
        <v>0.0</v>
      </c>
      <c r="M2181" s="2"/>
      <c r="N2181" s="2"/>
      <c r="O2181" s="2"/>
      <c r="P2181" s="2" t="s">
        <v>21</v>
      </c>
    </row>
    <row r="2182">
      <c r="A2182" s="3" t="s">
        <v>82</v>
      </c>
      <c r="B2182" s="2" t="s">
        <v>17</v>
      </c>
      <c r="C2182" s="2" t="s">
        <v>18</v>
      </c>
      <c r="D2182" s="2" t="s">
        <v>33</v>
      </c>
      <c r="E2182" s="2" t="s">
        <v>194</v>
      </c>
      <c r="F2182" s="2">
        <v>20.0</v>
      </c>
      <c r="G2182" s="2">
        <v>7.0</v>
      </c>
      <c r="H2182" s="2">
        <v>4.0</v>
      </c>
      <c r="I2182" s="2">
        <v>3.0</v>
      </c>
      <c r="J2182" s="2">
        <v>0.0</v>
      </c>
      <c r="K2182" s="2">
        <v>0.0</v>
      </c>
      <c r="L2182" s="2">
        <v>0.0</v>
      </c>
      <c r="M2182" s="2">
        <v>16.0</v>
      </c>
      <c r="N2182" s="2"/>
      <c r="O2182" s="2"/>
      <c r="P2182" s="2" t="s">
        <v>166</v>
      </c>
    </row>
    <row r="2183">
      <c r="A2183" s="3" t="s">
        <v>83</v>
      </c>
      <c r="B2183" s="2" t="s">
        <v>17</v>
      </c>
      <c r="C2183" s="2" t="s">
        <v>18</v>
      </c>
      <c r="D2183" s="2" t="s">
        <v>109</v>
      </c>
      <c r="E2183" s="2" t="s">
        <v>194</v>
      </c>
      <c r="F2183" s="2">
        <v>22.0</v>
      </c>
      <c r="G2183" s="2">
        <v>15.0</v>
      </c>
      <c r="H2183" s="2">
        <v>8.0</v>
      </c>
      <c r="I2183" s="2">
        <v>7.0</v>
      </c>
      <c r="J2183" s="2">
        <v>0.0</v>
      </c>
      <c r="K2183" s="2">
        <v>0.0</v>
      </c>
      <c r="L2183" s="2">
        <v>0.0</v>
      </c>
      <c r="M2183" s="2">
        <v>14.0</v>
      </c>
      <c r="N2183" s="2"/>
      <c r="O2183" s="2"/>
      <c r="P2183" s="2" t="s">
        <v>166</v>
      </c>
    </row>
    <row r="2184">
      <c r="A2184" s="3" t="s">
        <v>84</v>
      </c>
      <c r="B2184" s="2" t="s">
        <v>17</v>
      </c>
      <c r="C2184" s="2" t="s">
        <v>18</v>
      </c>
      <c r="D2184" s="2" t="s">
        <v>23</v>
      </c>
      <c r="E2184" s="2" t="s">
        <v>194</v>
      </c>
      <c r="F2184" s="2">
        <v>42.0</v>
      </c>
      <c r="G2184" s="2">
        <v>22.0</v>
      </c>
      <c r="H2184" s="2">
        <v>12.0</v>
      </c>
      <c r="I2184" s="2">
        <v>10.0</v>
      </c>
      <c r="J2184" s="2">
        <v>0.0</v>
      </c>
      <c r="K2184" s="2">
        <v>0.0</v>
      </c>
      <c r="L2184" s="2">
        <v>0.0</v>
      </c>
      <c r="M2184" s="2">
        <v>30.0</v>
      </c>
      <c r="N2184" s="2">
        <v>0.0</v>
      </c>
      <c r="O2184" s="2">
        <v>18.0</v>
      </c>
      <c r="P2184" s="2" t="s">
        <v>166</v>
      </c>
    </row>
    <row r="2185">
      <c r="A2185" s="3" t="s">
        <v>85</v>
      </c>
      <c r="B2185" s="4">
        <v>45141.29166666667</v>
      </c>
      <c r="C2185" s="2" t="s">
        <v>18</v>
      </c>
      <c r="D2185" s="2" t="s">
        <v>109</v>
      </c>
      <c r="E2185" s="2" t="s">
        <v>194</v>
      </c>
      <c r="F2185" s="2"/>
      <c r="G2185" s="2">
        <v>0.0</v>
      </c>
      <c r="H2185" s="2">
        <v>0.0</v>
      </c>
      <c r="I2185" s="2">
        <v>0.0</v>
      </c>
      <c r="J2185" s="2">
        <v>0.0</v>
      </c>
      <c r="K2185" s="2">
        <v>0.0</v>
      </c>
      <c r="L2185" s="2">
        <v>0.0</v>
      </c>
      <c r="M2185" s="2"/>
      <c r="N2185" s="2"/>
      <c r="O2185" s="2"/>
      <c r="P2185" s="2" t="s">
        <v>166</v>
      </c>
    </row>
    <row r="2186">
      <c r="A2186" s="3" t="s">
        <v>86</v>
      </c>
      <c r="B2186" s="4">
        <v>45170.29166666667</v>
      </c>
      <c r="C2186" s="2" t="s">
        <v>18</v>
      </c>
      <c r="D2186" s="2" t="s">
        <v>109</v>
      </c>
      <c r="E2186" s="2" t="s">
        <v>194</v>
      </c>
      <c r="F2186" s="2"/>
      <c r="G2186" s="2">
        <v>7.0</v>
      </c>
      <c r="H2186" s="2">
        <v>5.0</v>
      </c>
      <c r="I2186" s="2">
        <v>2.0</v>
      </c>
      <c r="J2186" s="2">
        <v>0.0</v>
      </c>
      <c r="K2186" s="2">
        <v>0.0</v>
      </c>
      <c r="L2186" s="2">
        <v>0.0</v>
      </c>
      <c r="M2186" s="2"/>
      <c r="N2186" s="2"/>
      <c r="O2186" s="2"/>
      <c r="P2186" s="2" t="s">
        <v>166</v>
      </c>
    </row>
    <row r="2187">
      <c r="A2187" s="3" t="s">
        <v>87</v>
      </c>
      <c r="B2187" s="4">
        <v>45171.29166666667</v>
      </c>
      <c r="C2187" s="2" t="s">
        <v>18</v>
      </c>
      <c r="D2187" s="2" t="s">
        <v>33</v>
      </c>
      <c r="E2187" s="2" t="s">
        <v>194</v>
      </c>
      <c r="F2187" s="2"/>
      <c r="G2187" s="2">
        <v>7.0</v>
      </c>
      <c r="H2187" s="2">
        <v>4.0</v>
      </c>
      <c r="I2187" s="2">
        <v>3.0</v>
      </c>
      <c r="J2187" s="2">
        <v>0.0</v>
      </c>
      <c r="K2187" s="2">
        <v>0.0</v>
      </c>
      <c r="L2187" s="2">
        <v>0.0</v>
      </c>
      <c r="M2187" s="2"/>
      <c r="N2187" s="2"/>
      <c r="O2187" s="2"/>
      <c r="P2187" s="2" t="s">
        <v>166</v>
      </c>
    </row>
    <row r="2188">
      <c r="A2188" s="3" t="s">
        <v>88</v>
      </c>
      <c r="B2188" s="4">
        <v>45200.29166666667</v>
      </c>
      <c r="C2188" s="2" t="s">
        <v>18</v>
      </c>
      <c r="D2188" s="2" t="s">
        <v>109</v>
      </c>
      <c r="E2188" s="2" t="s">
        <v>194</v>
      </c>
      <c r="F2188" s="2"/>
      <c r="G2188" s="2">
        <v>8.0</v>
      </c>
      <c r="H2188" s="2">
        <v>3.0</v>
      </c>
      <c r="I2188" s="2">
        <v>5.0</v>
      </c>
      <c r="J2188" s="2">
        <v>0.0</v>
      </c>
      <c r="K2188" s="2">
        <v>0.0</v>
      </c>
      <c r="L2188" s="2">
        <v>0.0</v>
      </c>
      <c r="M2188" s="2"/>
      <c r="N2188" s="2"/>
      <c r="O2188" s="2"/>
      <c r="P2188" s="2" t="s">
        <v>166</v>
      </c>
    </row>
    <row r="2189">
      <c r="A2189" s="3" t="s">
        <v>89</v>
      </c>
      <c r="B2189" s="4">
        <v>45201.29166666667</v>
      </c>
      <c r="C2189" s="2" t="s">
        <v>18</v>
      </c>
      <c r="D2189" s="2" t="s">
        <v>33</v>
      </c>
      <c r="E2189" s="2" t="s">
        <v>194</v>
      </c>
      <c r="F2189" s="2"/>
      <c r="G2189" s="2">
        <v>0.0</v>
      </c>
      <c r="H2189" s="2">
        <v>0.0</v>
      </c>
      <c r="I2189" s="2">
        <v>0.0</v>
      </c>
      <c r="J2189" s="2">
        <v>0.0</v>
      </c>
      <c r="K2189" s="2">
        <v>0.0</v>
      </c>
      <c r="L2189" s="2">
        <v>0.0</v>
      </c>
      <c r="M2189" s="2"/>
      <c r="N2189" s="2"/>
      <c r="O2189" s="2"/>
      <c r="P2189" s="2" t="s">
        <v>166</v>
      </c>
    </row>
    <row r="2190">
      <c r="A2190" s="3" t="s">
        <v>90</v>
      </c>
      <c r="B2190" s="2" t="s">
        <v>17</v>
      </c>
      <c r="C2190" s="2" t="s">
        <v>18</v>
      </c>
      <c r="D2190" s="2" t="s">
        <v>157</v>
      </c>
      <c r="E2190" s="2" t="s">
        <v>171</v>
      </c>
      <c r="F2190" s="2">
        <v>14.0</v>
      </c>
      <c r="G2190" s="2">
        <v>15.0</v>
      </c>
      <c r="H2190" s="2">
        <v>9.0</v>
      </c>
      <c r="I2190" s="2">
        <v>6.0</v>
      </c>
      <c r="J2190" s="2">
        <v>0.0</v>
      </c>
      <c r="K2190" s="2">
        <v>0.0</v>
      </c>
      <c r="L2190" s="2">
        <v>0.0</v>
      </c>
      <c r="M2190" s="2">
        <v>5.0</v>
      </c>
      <c r="N2190" s="2"/>
      <c r="O2190" s="2"/>
      <c r="P2190" s="2" t="s">
        <v>67</v>
      </c>
    </row>
    <row r="2191">
      <c r="A2191" s="3" t="s">
        <v>93</v>
      </c>
      <c r="B2191" s="2" t="s">
        <v>17</v>
      </c>
      <c r="C2191" s="2" t="s">
        <v>18</v>
      </c>
      <c r="D2191" s="2" t="s">
        <v>157</v>
      </c>
      <c r="E2191" s="2" t="s">
        <v>202</v>
      </c>
      <c r="F2191" s="2">
        <v>20.0</v>
      </c>
      <c r="G2191" s="2">
        <v>25.0</v>
      </c>
      <c r="H2191" s="2">
        <v>17.0</v>
      </c>
      <c r="I2191" s="2">
        <v>8.0</v>
      </c>
      <c r="J2191" s="2">
        <v>0.0</v>
      </c>
      <c r="K2191" s="2">
        <v>0.0</v>
      </c>
      <c r="L2191" s="2">
        <v>0.0</v>
      </c>
      <c r="M2191" s="2">
        <v>3.0</v>
      </c>
      <c r="N2191" s="2"/>
      <c r="O2191" s="2"/>
      <c r="P2191" s="2" t="s">
        <v>67</v>
      </c>
    </row>
    <row r="2192">
      <c r="A2192" s="3" t="s">
        <v>16</v>
      </c>
      <c r="B2192" s="2" t="s">
        <v>17</v>
      </c>
      <c r="C2192" s="2" t="s">
        <v>18</v>
      </c>
      <c r="D2192" s="2" t="s">
        <v>157</v>
      </c>
      <c r="E2192" s="2" t="s">
        <v>208</v>
      </c>
      <c r="F2192" s="2">
        <v>12.0</v>
      </c>
      <c r="G2192" s="2">
        <v>13.0</v>
      </c>
      <c r="H2192" s="2">
        <v>10.0</v>
      </c>
      <c r="I2192" s="2">
        <v>3.0</v>
      </c>
      <c r="J2192" s="2">
        <v>0.0</v>
      </c>
      <c r="K2192" s="2">
        <v>0.0</v>
      </c>
      <c r="L2192" s="2">
        <v>0.0</v>
      </c>
      <c r="M2192" s="2">
        <v>2.0</v>
      </c>
      <c r="N2192" s="2"/>
      <c r="O2192" s="2"/>
      <c r="P2192" s="2" t="s">
        <v>67</v>
      </c>
    </row>
    <row r="2193">
      <c r="A2193" s="3" t="s">
        <v>94</v>
      </c>
      <c r="B2193" s="2" t="s">
        <v>17</v>
      </c>
      <c r="C2193" s="2" t="s">
        <v>18</v>
      </c>
      <c r="D2193" s="2" t="s">
        <v>157</v>
      </c>
      <c r="E2193" s="2" t="s">
        <v>179</v>
      </c>
      <c r="F2193" s="2">
        <v>14.0</v>
      </c>
      <c r="G2193" s="2">
        <v>4.0</v>
      </c>
      <c r="H2193" s="2">
        <v>4.0</v>
      </c>
      <c r="I2193" s="2">
        <v>0.0</v>
      </c>
      <c r="J2193" s="2">
        <v>0.0</v>
      </c>
      <c r="K2193" s="2">
        <v>0.0</v>
      </c>
      <c r="L2193" s="2">
        <v>0.0</v>
      </c>
      <c r="M2193" s="2">
        <v>10.0</v>
      </c>
      <c r="N2193" s="2"/>
      <c r="O2193" s="2"/>
      <c r="P2193" s="2" t="s">
        <v>67</v>
      </c>
    </row>
    <row r="2194">
      <c r="A2194" s="3" t="s">
        <v>95</v>
      </c>
      <c r="B2194" s="2" t="s">
        <v>17</v>
      </c>
      <c r="C2194" s="2" t="s">
        <v>18</v>
      </c>
      <c r="D2194" s="2" t="s">
        <v>23</v>
      </c>
      <c r="E2194" s="2" t="s">
        <v>171</v>
      </c>
      <c r="F2194" s="2">
        <v>14.0</v>
      </c>
      <c r="G2194" s="2">
        <v>15.0</v>
      </c>
      <c r="H2194" s="2">
        <v>9.0</v>
      </c>
      <c r="I2194" s="2">
        <v>6.0</v>
      </c>
      <c r="J2194" s="2">
        <v>0.0</v>
      </c>
      <c r="K2194" s="2">
        <v>0.0</v>
      </c>
      <c r="L2194" s="2">
        <v>0.0</v>
      </c>
      <c r="M2194" s="2">
        <v>5.0</v>
      </c>
      <c r="N2194" s="2">
        <v>0.0</v>
      </c>
      <c r="O2194" s="2">
        <v>-4.0</v>
      </c>
      <c r="P2194" s="2" t="s">
        <v>67</v>
      </c>
    </row>
    <row r="2195">
      <c r="A2195" s="3" t="s">
        <v>97</v>
      </c>
      <c r="B2195" s="2" t="s">
        <v>17</v>
      </c>
      <c r="C2195" s="2" t="s">
        <v>18</v>
      </c>
      <c r="D2195" s="2" t="s">
        <v>23</v>
      </c>
      <c r="E2195" s="2" t="s">
        <v>202</v>
      </c>
      <c r="F2195" s="2">
        <v>20.0</v>
      </c>
      <c r="G2195" s="2">
        <v>25.0</v>
      </c>
      <c r="H2195" s="2">
        <v>17.0</v>
      </c>
      <c r="I2195" s="2">
        <v>8.0</v>
      </c>
      <c r="J2195" s="2">
        <v>0.0</v>
      </c>
      <c r="K2195" s="2">
        <v>0.0</v>
      </c>
      <c r="L2195" s="2">
        <v>0.0</v>
      </c>
      <c r="M2195" s="2">
        <v>3.0</v>
      </c>
      <c r="N2195" s="2">
        <v>0.0</v>
      </c>
      <c r="O2195" s="2">
        <v>-14.0</v>
      </c>
      <c r="P2195" s="2" t="s">
        <v>67</v>
      </c>
    </row>
    <row r="2196">
      <c r="A2196" s="3" t="s">
        <v>98</v>
      </c>
      <c r="B2196" s="2" t="s">
        <v>17</v>
      </c>
      <c r="C2196" s="2" t="s">
        <v>18</v>
      </c>
      <c r="D2196" s="2" t="s">
        <v>23</v>
      </c>
      <c r="E2196" s="2" t="s">
        <v>208</v>
      </c>
      <c r="F2196" s="2">
        <v>12.0</v>
      </c>
      <c r="G2196" s="2">
        <v>13.0</v>
      </c>
      <c r="H2196" s="2">
        <v>10.0</v>
      </c>
      <c r="I2196" s="2">
        <v>3.0</v>
      </c>
      <c r="J2196" s="2">
        <v>0.0</v>
      </c>
      <c r="K2196" s="2">
        <v>0.0</v>
      </c>
      <c r="L2196" s="2">
        <v>0.0</v>
      </c>
      <c r="M2196" s="2">
        <v>2.0</v>
      </c>
      <c r="N2196" s="2">
        <v>0.0</v>
      </c>
      <c r="O2196" s="2">
        <v>-8.0</v>
      </c>
      <c r="P2196" s="2" t="s">
        <v>67</v>
      </c>
    </row>
    <row r="2197">
      <c r="A2197" s="3" t="s">
        <v>99</v>
      </c>
      <c r="B2197" s="2" t="s">
        <v>17</v>
      </c>
      <c r="C2197" s="2" t="s">
        <v>18</v>
      </c>
      <c r="D2197" s="2" t="s">
        <v>23</v>
      </c>
      <c r="E2197" s="2" t="s">
        <v>179</v>
      </c>
      <c r="F2197" s="2">
        <v>14.0</v>
      </c>
      <c r="G2197" s="2">
        <v>4.0</v>
      </c>
      <c r="H2197" s="2">
        <v>4.0</v>
      </c>
      <c r="I2197" s="2">
        <v>0.0</v>
      </c>
      <c r="J2197" s="2">
        <v>0.0</v>
      </c>
      <c r="K2197" s="2">
        <v>0.0</v>
      </c>
      <c r="L2197" s="2">
        <v>0.0</v>
      </c>
      <c r="M2197" s="2">
        <v>10.0</v>
      </c>
      <c r="N2197" s="2">
        <v>0.0</v>
      </c>
      <c r="O2197" s="2">
        <v>6.0</v>
      </c>
      <c r="P2197" s="2" t="s">
        <v>67</v>
      </c>
    </row>
    <row r="2198">
      <c r="A2198" s="3" t="s">
        <v>100</v>
      </c>
      <c r="B2198" s="4">
        <v>45232.25</v>
      </c>
      <c r="C2198" s="2" t="s">
        <v>18</v>
      </c>
      <c r="D2198" s="2" t="s">
        <v>157</v>
      </c>
      <c r="E2198" s="2" t="s">
        <v>171</v>
      </c>
      <c r="F2198" s="2"/>
      <c r="G2198" s="2">
        <v>15.0</v>
      </c>
      <c r="H2198" s="2">
        <v>9.0</v>
      </c>
      <c r="I2198" s="2">
        <v>6.0</v>
      </c>
      <c r="J2198" s="2">
        <v>0.0</v>
      </c>
      <c r="K2198" s="2">
        <v>0.0</v>
      </c>
      <c r="L2198" s="2">
        <v>0.0</v>
      </c>
      <c r="M2198" s="2"/>
      <c r="N2198" s="2"/>
      <c r="O2198" s="2"/>
      <c r="P2198" s="2" t="s">
        <v>67</v>
      </c>
    </row>
    <row r="2199">
      <c r="A2199" s="3" t="s">
        <v>101</v>
      </c>
      <c r="B2199" s="4">
        <v>45233.25</v>
      </c>
      <c r="C2199" s="2" t="s">
        <v>18</v>
      </c>
      <c r="D2199" s="2" t="s">
        <v>157</v>
      </c>
      <c r="E2199" s="2" t="s">
        <v>202</v>
      </c>
      <c r="F2199" s="2"/>
      <c r="G2199" s="2">
        <v>25.0</v>
      </c>
      <c r="H2199" s="2">
        <v>17.0</v>
      </c>
      <c r="I2199" s="2">
        <v>8.0</v>
      </c>
      <c r="J2199" s="2">
        <v>0.0</v>
      </c>
      <c r="K2199" s="2">
        <v>0.0</v>
      </c>
      <c r="L2199" s="2">
        <v>0.0</v>
      </c>
      <c r="M2199" s="2"/>
      <c r="N2199" s="2"/>
      <c r="O2199" s="2"/>
      <c r="P2199" s="2" t="s">
        <v>67</v>
      </c>
    </row>
    <row r="2200">
      <c r="A2200" s="3" t="s">
        <v>102</v>
      </c>
      <c r="B2200" s="4">
        <v>45234.25</v>
      </c>
      <c r="C2200" s="2" t="s">
        <v>18</v>
      </c>
      <c r="D2200" s="2" t="s">
        <v>157</v>
      </c>
      <c r="E2200" s="2" t="s">
        <v>208</v>
      </c>
      <c r="F2200" s="2"/>
      <c r="G2200" s="2">
        <v>13.0</v>
      </c>
      <c r="H2200" s="2">
        <v>10.0</v>
      </c>
      <c r="I2200" s="2">
        <v>3.0</v>
      </c>
      <c r="J2200" s="2">
        <v>0.0</v>
      </c>
      <c r="K2200" s="2">
        <v>0.0</v>
      </c>
      <c r="L2200" s="2">
        <v>0.0</v>
      </c>
      <c r="M2200" s="2"/>
      <c r="N2200" s="2"/>
      <c r="O2200" s="2"/>
      <c r="P2200" s="2" t="s">
        <v>67</v>
      </c>
    </row>
    <row r="2201">
      <c r="A2201" s="3" t="s">
        <v>103</v>
      </c>
      <c r="B2201" s="4">
        <v>45235.25</v>
      </c>
      <c r="C2201" s="2" t="s">
        <v>18</v>
      </c>
      <c r="D2201" s="2" t="s">
        <v>157</v>
      </c>
      <c r="E2201" s="2" t="s">
        <v>179</v>
      </c>
      <c r="F2201" s="2"/>
      <c r="G2201" s="2">
        <v>4.0</v>
      </c>
      <c r="H2201" s="2">
        <v>4.0</v>
      </c>
      <c r="I2201" s="2">
        <v>0.0</v>
      </c>
      <c r="J2201" s="2">
        <v>0.0</v>
      </c>
      <c r="K2201" s="2">
        <v>0.0</v>
      </c>
      <c r="L2201" s="2">
        <v>0.0</v>
      </c>
      <c r="M2201" s="2"/>
      <c r="N2201" s="2"/>
      <c r="O2201" s="2"/>
      <c r="P2201" s="2" t="s">
        <v>67</v>
      </c>
    </row>
    <row r="2202">
      <c r="A2202" s="3" t="s">
        <v>104</v>
      </c>
      <c r="B2202" s="2" t="s">
        <v>17</v>
      </c>
      <c r="C2202" s="2" t="s">
        <v>18</v>
      </c>
      <c r="D2202" s="2" t="s">
        <v>30</v>
      </c>
      <c r="E2202" s="2" t="s">
        <v>198</v>
      </c>
      <c r="F2202" s="2">
        <v>165.0</v>
      </c>
      <c r="G2202" s="2">
        <v>155.0</v>
      </c>
      <c r="H2202" s="2">
        <v>109.0</v>
      </c>
      <c r="I2202" s="2">
        <v>46.0</v>
      </c>
      <c r="J2202" s="2">
        <v>0.0</v>
      </c>
      <c r="K2202" s="2">
        <v>0.0</v>
      </c>
      <c r="L2202" s="2">
        <v>0.0</v>
      </c>
      <c r="M2202" s="2">
        <v>56.0</v>
      </c>
      <c r="N2202" s="2"/>
      <c r="O2202" s="2"/>
      <c r="P2202" s="2" t="s">
        <v>67</v>
      </c>
    </row>
    <row r="2203">
      <c r="A2203" s="3" t="s">
        <v>105</v>
      </c>
      <c r="B2203" s="2" t="s">
        <v>17</v>
      </c>
      <c r="C2203" s="2" t="s">
        <v>18</v>
      </c>
      <c r="D2203" s="2" t="s">
        <v>19</v>
      </c>
      <c r="E2203" s="2" t="s">
        <v>198</v>
      </c>
      <c r="F2203" s="2">
        <v>50.0</v>
      </c>
      <c r="G2203" s="2">
        <v>83.0</v>
      </c>
      <c r="H2203" s="2">
        <v>50.0</v>
      </c>
      <c r="I2203" s="2">
        <v>33.0</v>
      </c>
      <c r="J2203" s="2">
        <v>0.0</v>
      </c>
      <c r="K2203" s="2">
        <v>0.0</v>
      </c>
      <c r="L2203" s="2">
        <v>0.0</v>
      </c>
      <c r="M2203" s="2">
        <v>0.0</v>
      </c>
      <c r="N2203" s="2"/>
      <c r="O2203" s="2"/>
      <c r="P2203" s="2" t="s">
        <v>67</v>
      </c>
    </row>
    <row r="2204">
      <c r="A2204" s="3" t="s">
        <v>106</v>
      </c>
      <c r="B2204" s="2" t="s">
        <v>17</v>
      </c>
      <c r="C2204" s="2" t="s">
        <v>18</v>
      </c>
      <c r="D2204" s="2" t="s">
        <v>23</v>
      </c>
      <c r="E2204" s="2" t="s">
        <v>198</v>
      </c>
      <c r="F2204" s="2">
        <v>155.0</v>
      </c>
      <c r="G2204" s="2">
        <v>238.0</v>
      </c>
      <c r="H2204" s="2">
        <v>159.0</v>
      </c>
      <c r="I2204" s="2">
        <v>79.0</v>
      </c>
      <c r="J2204" s="2">
        <v>0.0</v>
      </c>
      <c r="K2204" s="2">
        <v>0.0</v>
      </c>
      <c r="L2204" s="2">
        <v>0.0</v>
      </c>
      <c r="M2204" s="2">
        <v>-4.0</v>
      </c>
      <c r="N2204" s="2">
        <v>-60.0</v>
      </c>
      <c r="O2204" s="2">
        <v>-163.0</v>
      </c>
      <c r="P2204" s="2" t="s">
        <v>67</v>
      </c>
    </row>
    <row r="2205">
      <c r="A2205" s="3" t="s">
        <v>107</v>
      </c>
      <c r="B2205" s="4">
        <v>45201.29166666667</v>
      </c>
      <c r="C2205" s="2" t="s">
        <v>18</v>
      </c>
      <c r="D2205" s="2" t="s">
        <v>30</v>
      </c>
      <c r="E2205" s="2" t="s">
        <v>198</v>
      </c>
      <c r="F2205" s="2"/>
      <c r="G2205" s="2">
        <v>148.0</v>
      </c>
      <c r="H2205" s="2">
        <v>105.0</v>
      </c>
      <c r="I2205" s="2">
        <v>43.0</v>
      </c>
      <c r="J2205" s="2">
        <v>0.0</v>
      </c>
      <c r="K2205" s="2">
        <v>0.0</v>
      </c>
      <c r="L2205" s="2">
        <v>0.0</v>
      </c>
      <c r="M2205" s="2"/>
      <c r="N2205" s="2"/>
      <c r="O2205" s="2"/>
      <c r="P2205" s="2" t="s">
        <v>67</v>
      </c>
    </row>
    <row r="2206">
      <c r="A2206" s="3" t="s">
        <v>108</v>
      </c>
      <c r="B2206" s="4">
        <v>45202.29166666667</v>
      </c>
      <c r="C2206" s="2" t="s">
        <v>18</v>
      </c>
      <c r="D2206" s="2" t="s">
        <v>19</v>
      </c>
      <c r="E2206" s="2" t="s">
        <v>198</v>
      </c>
      <c r="F2206" s="2"/>
      <c r="G2206" s="2">
        <v>48.0</v>
      </c>
      <c r="H2206" s="2">
        <v>35.0</v>
      </c>
      <c r="I2206" s="2">
        <v>13.0</v>
      </c>
      <c r="J2206" s="2">
        <v>0.0</v>
      </c>
      <c r="K2206" s="2">
        <v>0.0</v>
      </c>
      <c r="L2206" s="2">
        <v>0.0</v>
      </c>
      <c r="M2206" s="2"/>
      <c r="N2206" s="2"/>
      <c r="O2206" s="2"/>
      <c r="P2206" s="2" t="s">
        <v>67</v>
      </c>
    </row>
    <row r="2207">
      <c r="A2207" s="3" t="s">
        <v>112</v>
      </c>
      <c r="B2207" s="4">
        <v>45232.25</v>
      </c>
      <c r="C2207" s="2" t="s">
        <v>18</v>
      </c>
      <c r="D2207" s="2" t="s">
        <v>30</v>
      </c>
      <c r="E2207" s="2" t="s">
        <v>198</v>
      </c>
      <c r="F2207" s="2"/>
      <c r="G2207" s="2">
        <v>7.0</v>
      </c>
      <c r="H2207" s="2">
        <v>4.0</v>
      </c>
      <c r="I2207" s="2">
        <v>3.0</v>
      </c>
      <c r="J2207" s="2">
        <v>0.0</v>
      </c>
      <c r="K2207" s="2">
        <v>0.0</v>
      </c>
      <c r="L2207" s="2">
        <v>0.0</v>
      </c>
      <c r="M2207" s="2"/>
      <c r="N2207" s="2"/>
      <c r="O2207" s="2"/>
      <c r="P2207" s="2" t="s">
        <v>67</v>
      </c>
    </row>
    <row r="2208">
      <c r="A2208" s="3" t="s">
        <v>115</v>
      </c>
      <c r="B2208" s="4">
        <v>45232.25</v>
      </c>
      <c r="C2208" s="2" t="s">
        <v>18</v>
      </c>
      <c r="D2208" s="2" t="s">
        <v>19</v>
      </c>
      <c r="E2208" s="2" t="s">
        <v>198</v>
      </c>
      <c r="F2208" s="2"/>
      <c r="G2208" s="2">
        <v>35.0</v>
      </c>
      <c r="H2208" s="2">
        <v>15.0</v>
      </c>
      <c r="I2208" s="2">
        <v>20.0</v>
      </c>
      <c r="J2208" s="2">
        <v>0.0</v>
      </c>
      <c r="K2208" s="2">
        <v>0.0</v>
      </c>
      <c r="L2208" s="2">
        <v>0.0</v>
      </c>
      <c r="M2208" s="2"/>
      <c r="N2208" s="2"/>
      <c r="O2208" s="2"/>
      <c r="P2208" s="2" t="s">
        <v>67</v>
      </c>
    </row>
    <row r="2209">
      <c r="A2209" s="3" t="s">
        <v>117</v>
      </c>
      <c r="B2209" s="2" t="s">
        <v>17</v>
      </c>
      <c r="C2209" s="2" t="s">
        <v>18</v>
      </c>
      <c r="D2209" s="2" t="s">
        <v>19</v>
      </c>
      <c r="E2209" s="2" t="s">
        <v>162</v>
      </c>
      <c r="F2209" s="2">
        <v>20.0</v>
      </c>
      <c r="G2209" s="2">
        <v>31.0</v>
      </c>
      <c r="H2209" s="2">
        <v>12.0</v>
      </c>
      <c r="I2209" s="2">
        <v>17.0</v>
      </c>
      <c r="J2209" s="2">
        <v>2.0</v>
      </c>
      <c r="K2209" s="2">
        <v>0.0</v>
      </c>
      <c r="L2209" s="2">
        <v>0.0</v>
      </c>
      <c r="M2209" s="2">
        <v>8.0</v>
      </c>
      <c r="N2209" s="2"/>
      <c r="O2209" s="2"/>
      <c r="P2209" s="2" t="s">
        <v>67</v>
      </c>
    </row>
    <row r="2210">
      <c r="A2210" s="3" t="s">
        <v>119</v>
      </c>
      <c r="B2210" s="2" t="s">
        <v>17</v>
      </c>
      <c r="C2210" s="2" t="s">
        <v>18</v>
      </c>
      <c r="D2210" s="2" t="s">
        <v>30</v>
      </c>
      <c r="E2210" s="2" t="s">
        <v>162</v>
      </c>
      <c r="F2210" s="2">
        <v>8.0</v>
      </c>
      <c r="G2210" s="2">
        <v>13.0</v>
      </c>
      <c r="H2210" s="2">
        <v>9.0</v>
      </c>
      <c r="I2210" s="2">
        <v>4.0</v>
      </c>
      <c r="J2210" s="2">
        <v>0.0</v>
      </c>
      <c r="K2210" s="2">
        <v>0.0</v>
      </c>
      <c r="L2210" s="2">
        <v>0.0</v>
      </c>
      <c r="M2210" s="2">
        <v>-1.0</v>
      </c>
      <c r="N2210" s="2"/>
      <c r="O2210" s="2"/>
      <c r="P2210" s="2" t="s">
        <v>67</v>
      </c>
    </row>
    <row r="2211">
      <c r="A2211" s="3" t="s">
        <v>121</v>
      </c>
      <c r="B2211" s="2" t="s">
        <v>17</v>
      </c>
      <c r="C2211" s="2" t="s">
        <v>18</v>
      </c>
      <c r="D2211" s="2" t="s">
        <v>23</v>
      </c>
      <c r="E2211" s="2" t="s">
        <v>162</v>
      </c>
      <c r="F2211" s="2">
        <v>20.0</v>
      </c>
      <c r="G2211" s="2">
        <v>44.0</v>
      </c>
      <c r="H2211" s="2">
        <v>21.0</v>
      </c>
      <c r="I2211" s="2">
        <v>21.0</v>
      </c>
      <c r="J2211" s="2">
        <v>2.0</v>
      </c>
      <c r="K2211" s="2">
        <v>0.0</v>
      </c>
      <c r="L2211" s="2">
        <v>0.0</v>
      </c>
      <c r="M2211" s="2">
        <v>-1.0</v>
      </c>
      <c r="N2211" s="2">
        <v>-8.0</v>
      </c>
      <c r="O2211" s="2">
        <v>-22.0</v>
      </c>
      <c r="P2211" s="2" t="s">
        <v>67</v>
      </c>
    </row>
    <row r="2212">
      <c r="A2212" s="3" t="s">
        <v>16</v>
      </c>
      <c r="B2212" s="4">
        <v>45201.29166666667</v>
      </c>
      <c r="C2212" s="2" t="s">
        <v>18</v>
      </c>
      <c r="D2212" s="2" t="s">
        <v>19</v>
      </c>
      <c r="E2212" s="2" t="s">
        <v>162</v>
      </c>
      <c r="F2212" s="2"/>
      <c r="G2212" s="2">
        <v>28.0</v>
      </c>
      <c r="H2212" s="2">
        <v>10.0</v>
      </c>
      <c r="I2212" s="2">
        <v>16.0</v>
      </c>
      <c r="J2212" s="2">
        <v>2.0</v>
      </c>
      <c r="K2212" s="2">
        <v>0.0</v>
      </c>
      <c r="L2212" s="2">
        <v>0.0</v>
      </c>
      <c r="M2212" s="2"/>
      <c r="N2212" s="2"/>
      <c r="O2212" s="2"/>
      <c r="P2212" s="2" t="s">
        <v>67</v>
      </c>
    </row>
    <row r="2213">
      <c r="A2213" s="3" t="s">
        <v>124</v>
      </c>
      <c r="B2213" s="4">
        <v>45231.25</v>
      </c>
      <c r="C2213" s="2" t="s">
        <v>18</v>
      </c>
      <c r="D2213" s="2" t="s">
        <v>19</v>
      </c>
      <c r="E2213" s="2" t="s">
        <v>162</v>
      </c>
      <c r="F2213" s="2"/>
      <c r="G2213" s="2">
        <v>3.0</v>
      </c>
      <c r="H2213" s="2">
        <v>2.0</v>
      </c>
      <c r="I2213" s="2">
        <v>1.0</v>
      </c>
      <c r="J2213" s="2">
        <v>0.0</v>
      </c>
      <c r="K2213" s="2">
        <v>0.0</v>
      </c>
      <c r="L2213" s="2">
        <v>0.0</v>
      </c>
      <c r="M2213" s="2"/>
      <c r="N2213" s="2"/>
      <c r="O2213" s="2"/>
      <c r="P2213" s="2" t="s">
        <v>67</v>
      </c>
    </row>
    <row r="2214">
      <c r="A2214" s="3" t="s">
        <v>126</v>
      </c>
      <c r="B2214" s="4">
        <v>45231.25</v>
      </c>
      <c r="C2214" s="2" t="s">
        <v>18</v>
      </c>
      <c r="D2214" s="2" t="s">
        <v>30</v>
      </c>
      <c r="E2214" s="2" t="s">
        <v>162</v>
      </c>
      <c r="F2214" s="2"/>
      <c r="G2214" s="2">
        <v>13.0</v>
      </c>
      <c r="H2214" s="2">
        <v>9.0</v>
      </c>
      <c r="I2214" s="2">
        <v>4.0</v>
      </c>
      <c r="J2214" s="2">
        <v>0.0</v>
      </c>
      <c r="K2214" s="2">
        <v>0.0</v>
      </c>
      <c r="L2214" s="2">
        <v>0.0</v>
      </c>
      <c r="M2214" s="2"/>
      <c r="N2214" s="2"/>
      <c r="O2214" s="2"/>
      <c r="P2214" s="2" t="s">
        <v>67</v>
      </c>
    </row>
    <row r="2215">
      <c r="A2215" s="3" t="s">
        <v>128</v>
      </c>
      <c r="B2215" s="2" t="s">
        <v>17</v>
      </c>
      <c r="C2215" s="2" t="s">
        <v>18</v>
      </c>
      <c r="D2215" s="2" t="s">
        <v>164</v>
      </c>
      <c r="E2215" s="2" t="s">
        <v>165</v>
      </c>
      <c r="F2215" s="2">
        <v>30.0</v>
      </c>
      <c r="G2215" s="2">
        <v>57.0</v>
      </c>
      <c r="H2215" s="2">
        <v>40.0</v>
      </c>
      <c r="I2215" s="2">
        <v>17.0</v>
      </c>
      <c r="J2215" s="2">
        <v>0.0</v>
      </c>
      <c r="K2215" s="2">
        <v>0.0</v>
      </c>
      <c r="L2215" s="2">
        <v>0.0</v>
      </c>
      <c r="M2215" s="2">
        <v>-10.0</v>
      </c>
      <c r="N2215" s="2"/>
      <c r="O2215" s="2"/>
      <c r="P2215" s="2" t="s">
        <v>166</v>
      </c>
    </row>
    <row r="2216">
      <c r="A2216" s="3" t="s">
        <v>129</v>
      </c>
      <c r="B2216" s="2" t="s">
        <v>17</v>
      </c>
      <c r="C2216" s="2" t="s">
        <v>18</v>
      </c>
      <c r="D2216" s="2" t="s">
        <v>23</v>
      </c>
      <c r="E2216" s="2" t="s">
        <v>165</v>
      </c>
      <c r="F2216" s="2">
        <v>30.0</v>
      </c>
      <c r="G2216" s="2">
        <v>57.0</v>
      </c>
      <c r="H2216" s="2">
        <v>40.0</v>
      </c>
      <c r="I2216" s="2">
        <v>17.0</v>
      </c>
      <c r="J2216" s="2">
        <v>0.0</v>
      </c>
      <c r="K2216" s="2">
        <v>0.0</v>
      </c>
      <c r="L2216" s="2">
        <v>0.0</v>
      </c>
      <c r="M2216" s="2">
        <v>-10.0</v>
      </c>
      <c r="N2216" s="2">
        <v>0.0</v>
      </c>
      <c r="O2216" s="2">
        <v>-50.0</v>
      </c>
      <c r="P2216" s="2" t="s">
        <v>166</v>
      </c>
    </row>
    <row r="2217">
      <c r="A2217" s="3" t="s">
        <v>130</v>
      </c>
      <c r="B2217" s="4">
        <v>45170.29166666667</v>
      </c>
      <c r="C2217" s="2" t="s">
        <v>18</v>
      </c>
      <c r="D2217" s="2" t="s">
        <v>164</v>
      </c>
      <c r="E2217" s="2" t="s">
        <v>165</v>
      </c>
      <c r="F2217" s="2"/>
      <c r="G2217" s="2">
        <v>57.0</v>
      </c>
      <c r="H2217" s="2">
        <v>40.0</v>
      </c>
      <c r="I2217" s="2">
        <v>17.0</v>
      </c>
      <c r="J2217" s="2">
        <v>0.0</v>
      </c>
      <c r="K2217" s="2">
        <v>0.0</v>
      </c>
      <c r="L2217" s="2">
        <v>0.0</v>
      </c>
      <c r="M2217" s="2"/>
      <c r="N2217" s="2"/>
      <c r="O2217" s="2"/>
      <c r="P2217" s="2" t="s">
        <v>166</v>
      </c>
    </row>
    <row r="2218">
      <c r="A2218" s="3" t="s">
        <v>131</v>
      </c>
      <c r="B2218" s="2" t="s">
        <v>17</v>
      </c>
      <c r="C2218" s="2" t="s">
        <v>18</v>
      </c>
      <c r="D2218" s="2" t="s">
        <v>164</v>
      </c>
      <c r="E2218" s="2" t="s">
        <v>165</v>
      </c>
      <c r="F2218" s="2">
        <v>103.0</v>
      </c>
      <c r="G2218" s="2">
        <v>304.0</v>
      </c>
      <c r="H2218" s="2">
        <v>107.0</v>
      </c>
      <c r="I2218" s="2">
        <v>197.0</v>
      </c>
      <c r="J2218" s="2">
        <v>0.0</v>
      </c>
      <c r="K2218" s="2">
        <v>0.0</v>
      </c>
      <c r="L2218" s="2">
        <v>0.0</v>
      </c>
      <c r="M2218" s="2">
        <v>-4.0</v>
      </c>
      <c r="N2218" s="2"/>
      <c r="O2218" s="2"/>
      <c r="P2218" s="2" t="s">
        <v>166</v>
      </c>
    </row>
    <row r="2219">
      <c r="A2219" s="3" t="s">
        <v>132</v>
      </c>
      <c r="B2219" s="2" t="s">
        <v>17</v>
      </c>
      <c r="C2219" s="2" t="s">
        <v>18</v>
      </c>
      <c r="D2219" s="2" t="s">
        <v>23</v>
      </c>
      <c r="E2219" s="2" t="s">
        <v>165</v>
      </c>
      <c r="F2219" s="2">
        <v>103.0</v>
      </c>
      <c r="G2219" s="2">
        <v>304.0</v>
      </c>
      <c r="H2219" s="2">
        <v>107.0</v>
      </c>
      <c r="I2219" s="2">
        <v>197.0</v>
      </c>
      <c r="J2219" s="2">
        <v>0.0</v>
      </c>
      <c r="K2219" s="2">
        <v>0.0</v>
      </c>
      <c r="L2219" s="2">
        <v>0.0</v>
      </c>
      <c r="M2219" s="2">
        <v>-4.0</v>
      </c>
      <c r="N2219" s="2">
        <v>-117.0</v>
      </c>
      <c r="O2219" s="2">
        <v>-111.0</v>
      </c>
      <c r="P2219" s="2" t="s">
        <v>166</v>
      </c>
    </row>
    <row r="2220">
      <c r="A2220" s="3" t="s">
        <v>133</v>
      </c>
      <c r="B2220" s="4">
        <v>45141.29166666667</v>
      </c>
      <c r="C2220" s="2" t="s">
        <v>18</v>
      </c>
      <c r="D2220" s="2" t="s">
        <v>164</v>
      </c>
      <c r="E2220" s="2" t="s">
        <v>165</v>
      </c>
      <c r="F2220" s="2">
        <v>36.0</v>
      </c>
      <c r="G2220" s="2">
        <v>113.0</v>
      </c>
      <c r="H2220" s="2">
        <v>39.0</v>
      </c>
      <c r="I2220" s="2">
        <v>74.0</v>
      </c>
      <c r="J2220" s="2">
        <v>0.0</v>
      </c>
      <c r="K2220" s="2">
        <v>0.0</v>
      </c>
      <c r="L2220" s="2">
        <v>0.0</v>
      </c>
      <c r="M2220" s="2"/>
      <c r="N2220" s="2"/>
      <c r="O2220" s="2"/>
      <c r="P2220" s="2" t="s">
        <v>166</v>
      </c>
    </row>
    <row r="2221">
      <c r="A2221" s="3" t="s">
        <v>134</v>
      </c>
      <c r="B2221" s="4">
        <v>45170.29166666667</v>
      </c>
      <c r="C2221" s="2" t="s">
        <v>18</v>
      </c>
      <c r="D2221" s="2" t="s">
        <v>164</v>
      </c>
      <c r="E2221" s="2" t="s">
        <v>165</v>
      </c>
      <c r="F2221" s="2">
        <v>25.0</v>
      </c>
      <c r="G2221" s="2">
        <v>150.0</v>
      </c>
      <c r="H2221" s="2">
        <v>52.0</v>
      </c>
      <c r="I2221" s="2">
        <v>98.0</v>
      </c>
      <c r="J2221" s="2">
        <v>0.0</v>
      </c>
      <c r="K2221" s="2">
        <v>0.0</v>
      </c>
      <c r="L2221" s="2">
        <v>0.0</v>
      </c>
      <c r="M2221" s="2"/>
      <c r="N2221" s="2"/>
      <c r="O2221" s="2"/>
      <c r="P2221" s="2" t="s">
        <v>166</v>
      </c>
    </row>
    <row r="2222">
      <c r="A2222" s="3" t="s">
        <v>136</v>
      </c>
      <c r="B2222" s="4">
        <v>45200.29166666667</v>
      </c>
      <c r="C2222" s="2" t="s">
        <v>18</v>
      </c>
      <c r="D2222" s="2" t="s">
        <v>164</v>
      </c>
      <c r="E2222" s="2" t="s">
        <v>165</v>
      </c>
      <c r="F2222" s="2">
        <v>28.0</v>
      </c>
      <c r="G2222" s="2">
        <v>27.0</v>
      </c>
      <c r="H2222" s="2">
        <v>8.0</v>
      </c>
      <c r="I2222" s="2">
        <v>19.0</v>
      </c>
      <c r="J2222" s="2">
        <v>0.0</v>
      </c>
      <c r="K2222" s="2">
        <v>0.0</v>
      </c>
      <c r="L2222" s="2">
        <v>0.0</v>
      </c>
      <c r="M2222" s="2"/>
      <c r="N2222" s="2"/>
      <c r="O2222" s="2"/>
      <c r="P2222" s="2" t="s">
        <v>166</v>
      </c>
    </row>
    <row r="2223">
      <c r="A2223" s="3" t="s">
        <v>137</v>
      </c>
      <c r="B2223" s="4">
        <v>45231.25</v>
      </c>
      <c r="C2223" s="2" t="s">
        <v>18</v>
      </c>
      <c r="D2223" s="2" t="s">
        <v>164</v>
      </c>
      <c r="E2223" s="2" t="s">
        <v>165</v>
      </c>
      <c r="F2223" s="2">
        <v>28.0</v>
      </c>
      <c r="G2223" s="2">
        <v>14.0</v>
      </c>
      <c r="H2223" s="2">
        <v>8.0</v>
      </c>
      <c r="I2223" s="2">
        <v>6.0</v>
      </c>
      <c r="J2223" s="2">
        <v>0.0</v>
      </c>
      <c r="K2223" s="2">
        <v>0.0</v>
      </c>
      <c r="L2223" s="2">
        <v>0.0</v>
      </c>
      <c r="M2223" s="2"/>
      <c r="N2223" s="2"/>
      <c r="O2223" s="2"/>
      <c r="P2223" s="2" t="s">
        <v>166</v>
      </c>
    </row>
    <row r="2224">
      <c r="A2224" s="3" t="s">
        <v>138</v>
      </c>
      <c r="B2224" s="2" t="s">
        <v>17</v>
      </c>
      <c r="C2224" s="2" t="s">
        <v>18</v>
      </c>
      <c r="D2224" s="2" t="s">
        <v>164</v>
      </c>
      <c r="E2224" s="2" t="s">
        <v>328</v>
      </c>
      <c r="F2224" s="2">
        <v>40.0</v>
      </c>
      <c r="G2224" s="2">
        <v>5.0</v>
      </c>
      <c r="H2224" s="2">
        <v>5.0</v>
      </c>
      <c r="I2224" s="2">
        <v>0.0</v>
      </c>
      <c r="J2224" s="2">
        <v>0.0</v>
      </c>
      <c r="K2224" s="2">
        <v>0.0</v>
      </c>
      <c r="L2224" s="2">
        <v>0.0</v>
      </c>
      <c r="M2224" s="2">
        <v>35.0</v>
      </c>
      <c r="N2224" s="2"/>
      <c r="O2224" s="2"/>
      <c r="P2224" s="2" t="s">
        <v>166</v>
      </c>
    </row>
    <row r="2225">
      <c r="A2225" s="3" t="s">
        <v>139</v>
      </c>
      <c r="B2225" s="2" t="s">
        <v>17</v>
      </c>
      <c r="C2225" s="2" t="s">
        <v>18</v>
      </c>
      <c r="D2225" s="2" t="s">
        <v>164</v>
      </c>
      <c r="E2225" s="2" t="s">
        <v>317</v>
      </c>
      <c r="F2225" s="2">
        <v>30.0</v>
      </c>
      <c r="G2225" s="2">
        <v>56.0</v>
      </c>
      <c r="H2225" s="2">
        <v>40.0</v>
      </c>
      <c r="I2225" s="2">
        <v>16.0</v>
      </c>
      <c r="J2225" s="2">
        <v>0.0</v>
      </c>
      <c r="K2225" s="2">
        <v>0.0</v>
      </c>
      <c r="L2225" s="2">
        <v>0.0</v>
      </c>
      <c r="M2225" s="2">
        <v>-10.0</v>
      </c>
      <c r="N2225" s="2"/>
      <c r="O2225" s="2"/>
      <c r="P2225" s="2" t="s">
        <v>166</v>
      </c>
    </row>
    <row r="2226">
      <c r="A2226" s="3" t="s">
        <v>140</v>
      </c>
      <c r="B2226" s="2" t="s">
        <v>17</v>
      </c>
      <c r="C2226" s="2" t="s">
        <v>18</v>
      </c>
      <c r="D2226" s="2" t="s">
        <v>164</v>
      </c>
      <c r="E2226" s="2" t="s">
        <v>329</v>
      </c>
      <c r="F2226" s="2">
        <v>30.0</v>
      </c>
      <c r="G2226" s="2">
        <v>34.0</v>
      </c>
      <c r="H2226" s="2">
        <v>25.0</v>
      </c>
      <c r="I2226" s="2">
        <v>9.0</v>
      </c>
      <c r="J2226" s="2">
        <v>0.0</v>
      </c>
      <c r="K2226" s="2">
        <v>0.0</v>
      </c>
      <c r="L2226" s="2">
        <v>0.0</v>
      </c>
      <c r="M2226" s="2">
        <v>5.0</v>
      </c>
      <c r="N2226" s="2"/>
      <c r="O2226" s="2"/>
      <c r="P2226" s="2" t="s">
        <v>166</v>
      </c>
    </row>
    <row r="2227">
      <c r="A2227" s="3" t="s">
        <v>141</v>
      </c>
      <c r="B2227" s="2" t="s">
        <v>17</v>
      </c>
      <c r="C2227" s="2" t="s">
        <v>18</v>
      </c>
      <c r="D2227" s="2" t="s">
        <v>23</v>
      </c>
      <c r="E2227" s="2" t="s">
        <v>328</v>
      </c>
      <c r="F2227" s="2">
        <v>40.0</v>
      </c>
      <c r="G2227" s="2">
        <v>5.0</v>
      </c>
      <c r="H2227" s="2">
        <v>5.0</v>
      </c>
      <c r="I2227" s="2">
        <v>0.0</v>
      </c>
      <c r="J2227" s="2">
        <v>0.0</v>
      </c>
      <c r="K2227" s="2">
        <v>0.0</v>
      </c>
      <c r="L2227" s="2">
        <v>0.0</v>
      </c>
      <c r="M2227" s="2">
        <v>35.0</v>
      </c>
      <c r="N2227" s="2">
        <v>0.0</v>
      </c>
      <c r="O2227" s="2">
        <v>30.0</v>
      </c>
      <c r="P2227" s="2" t="s">
        <v>166</v>
      </c>
    </row>
    <row r="2228">
      <c r="A2228" s="3" t="s">
        <v>142</v>
      </c>
      <c r="B2228" s="2" t="s">
        <v>17</v>
      </c>
      <c r="C2228" s="2" t="s">
        <v>18</v>
      </c>
      <c r="D2228" s="2" t="s">
        <v>23</v>
      </c>
      <c r="E2228" s="2" t="s">
        <v>317</v>
      </c>
      <c r="F2228" s="2">
        <v>30.0</v>
      </c>
      <c r="G2228" s="2">
        <v>56.0</v>
      </c>
      <c r="H2228" s="2">
        <v>40.0</v>
      </c>
      <c r="I2228" s="2">
        <v>16.0</v>
      </c>
      <c r="J2228" s="2">
        <v>0.0</v>
      </c>
      <c r="K2228" s="2">
        <v>0.0</v>
      </c>
      <c r="L2228" s="2">
        <v>0.0</v>
      </c>
      <c r="M2228" s="2">
        <v>-10.0</v>
      </c>
      <c r="N2228" s="2"/>
      <c r="O2228" s="2"/>
      <c r="P2228" s="2" t="s">
        <v>166</v>
      </c>
    </row>
    <row r="2229">
      <c r="A2229" s="3" t="s">
        <v>143</v>
      </c>
      <c r="B2229" s="2" t="s">
        <v>17</v>
      </c>
      <c r="C2229" s="2" t="s">
        <v>18</v>
      </c>
      <c r="D2229" s="2" t="s">
        <v>23</v>
      </c>
      <c r="E2229" s="2" t="s">
        <v>329</v>
      </c>
      <c r="F2229" s="2">
        <v>30.0</v>
      </c>
      <c r="G2229" s="2">
        <v>34.0</v>
      </c>
      <c r="H2229" s="2">
        <v>25.0</v>
      </c>
      <c r="I2229" s="2">
        <v>9.0</v>
      </c>
      <c r="J2229" s="2">
        <v>0.0</v>
      </c>
      <c r="K2229" s="2">
        <v>0.0</v>
      </c>
      <c r="L2229" s="2">
        <v>0.0</v>
      </c>
      <c r="M2229" s="2">
        <v>5.0</v>
      </c>
      <c r="N2229" s="2"/>
      <c r="O2229" s="2"/>
      <c r="P2229" s="2" t="s">
        <v>166</v>
      </c>
    </row>
    <row r="2230">
      <c r="A2230" s="3" t="s">
        <v>144</v>
      </c>
      <c r="B2230" s="4">
        <v>45201.29166666667</v>
      </c>
      <c r="C2230" s="2" t="s">
        <v>18</v>
      </c>
      <c r="D2230" s="2" t="s">
        <v>164</v>
      </c>
      <c r="E2230" s="2" t="s">
        <v>328</v>
      </c>
      <c r="F2230" s="2"/>
      <c r="G2230" s="2">
        <v>5.0</v>
      </c>
      <c r="H2230" s="2">
        <v>5.0</v>
      </c>
      <c r="I2230" s="2">
        <v>0.0</v>
      </c>
      <c r="J2230" s="2">
        <v>0.0</v>
      </c>
      <c r="K2230" s="2">
        <v>0.0</v>
      </c>
      <c r="L2230" s="2">
        <v>0.0</v>
      </c>
      <c r="M2230" s="2"/>
      <c r="N2230" s="2"/>
      <c r="O2230" s="2"/>
      <c r="P2230" s="2" t="s">
        <v>166</v>
      </c>
    </row>
    <row r="2231">
      <c r="A2231" s="3" t="s">
        <v>145</v>
      </c>
      <c r="B2231" s="4">
        <v>45202.29166666667</v>
      </c>
      <c r="C2231" s="2" t="s">
        <v>18</v>
      </c>
      <c r="D2231" s="2" t="s">
        <v>164</v>
      </c>
      <c r="E2231" s="2" t="s">
        <v>317</v>
      </c>
      <c r="F2231" s="2"/>
      <c r="G2231" s="2">
        <v>56.0</v>
      </c>
      <c r="H2231" s="2">
        <v>40.0</v>
      </c>
      <c r="I2231" s="2">
        <v>16.0</v>
      </c>
      <c r="J2231" s="2">
        <v>0.0</v>
      </c>
      <c r="K2231" s="2">
        <v>0.0</v>
      </c>
      <c r="L2231" s="2">
        <v>0.0</v>
      </c>
      <c r="M2231" s="2"/>
      <c r="N2231" s="2"/>
      <c r="O2231" s="2"/>
      <c r="P2231" s="2" t="s">
        <v>166</v>
      </c>
    </row>
    <row r="2232">
      <c r="A2232" s="3" t="s">
        <v>16</v>
      </c>
      <c r="B2232" s="4">
        <v>45203.29166666667</v>
      </c>
      <c r="C2232" s="2" t="s">
        <v>18</v>
      </c>
      <c r="D2232" s="2" t="s">
        <v>164</v>
      </c>
      <c r="E2232" s="2" t="s">
        <v>329</v>
      </c>
      <c r="F2232" s="2"/>
      <c r="G2232" s="2">
        <v>34.0</v>
      </c>
      <c r="H2232" s="2">
        <v>25.0</v>
      </c>
      <c r="I2232" s="2">
        <v>9.0</v>
      </c>
      <c r="J2232" s="2">
        <v>0.0</v>
      </c>
      <c r="K2232" s="2">
        <v>0.0</v>
      </c>
      <c r="L2232" s="2">
        <v>0.0</v>
      </c>
      <c r="M2232" s="2"/>
      <c r="N2232" s="2"/>
      <c r="O2232" s="2"/>
      <c r="P2232" s="2" t="s">
        <v>166</v>
      </c>
    </row>
    <row r="2233">
      <c r="A2233" s="3" t="s">
        <v>22</v>
      </c>
      <c r="B2233" s="2" t="s">
        <v>17</v>
      </c>
      <c r="C2233" s="2" t="s">
        <v>18</v>
      </c>
      <c r="D2233" s="2" t="s">
        <v>19</v>
      </c>
      <c r="E2233" s="2" t="s">
        <v>116</v>
      </c>
      <c r="F2233" s="2">
        <v>5.0</v>
      </c>
      <c r="G2233" s="2">
        <v>15.0</v>
      </c>
      <c r="H2233" s="2">
        <v>7.0</v>
      </c>
      <c r="I2233" s="2">
        <v>8.0</v>
      </c>
      <c r="J2233" s="2">
        <v>0.0</v>
      </c>
      <c r="K2233" s="2">
        <v>0.0</v>
      </c>
      <c r="L2233" s="2">
        <v>0.0</v>
      </c>
      <c r="M2233" s="2">
        <v>-2.0</v>
      </c>
      <c r="N2233" s="2"/>
      <c r="O2233" s="2"/>
      <c r="P2233" s="2" t="s">
        <v>92</v>
      </c>
    </row>
    <row r="2234">
      <c r="A2234" s="3" t="s">
        <v>24</v>
      </c>
      <c r="B2234" s="2" t="s">
        <v>17</v>
      </c>
      <c r="C2234" s="2" t="s">
        <v>18</v>
      </c>
      <c r="D2234" s="2" t="s">
        <v>19</v>
      </c>
      <c r="E2234" s="2" t="s">
        <v>118</v>
      </c>
      <c r="F2234" s="2">
        <v>10.0</v>
      </c>
      <c r="G2234" s="2">
        <v>15.0</v>
      </c>
      <c r="H2234" s="2">
        <v>9.0</v>
      </c>
      <c r="I2234" s="2">
        <v>6.0</v>
      </c>
      <c r="J2234" s="2">
        <v>0.0</v>
      </c>
      <c r="K2234" s="2">
        <v>0.0</v>
      </c>
      <c r="L2234" s="2">
        <v>0.0</v>
      </c>
      <c r="M2234" s="2">
        <v>1.0</v>
      </c>
      <c r="N2234" s="2"/>
      <c r="O2234" s="2"/>
      <c r="P2234" s="2" t="s">
        <v>92</v>
      </c>
    </row>
    <row r="2235">
      <c r="A2235" s="3" t="s">
        <v>25</v>
      </c>
      <c r="B2235" s="2" t="s">
        <v>17</v>
      </c>
      <c r="C2235" s="2" t="s">
        <v>18</v>
      </c>
      <c r="D2235" s="2" t="s">
        <v>19</v>
      </c>
      <c r="E2235" s="2" t="s">
        <v>120</v>
      </c>
      <c r="F2235" s="2">
        <v>9.0</v>
      </c>
      <c r="G2235" s="2">
        <v>16.0</v>
      </c>
      <c r="H2235" s="2">
        <v>9.0</v>
      </c>
      <c r="I2235" s="2">
        <v>7.0</v>
      </c>
      <c r="J2235" s="2">
        <v>0.0</v>
      </c>
      <c r="K2235" s="2">
        <v>0.0</v>
      </c>
      <c r="L2235" s="2">
        <v>0.0</v>
      </c>
      <c r="M2235" s="2">
        <v>0.0</v>
      </c>
      <c r="N2235" s="2"/>
      <c r="O2235" s="2"/>
      <c r="P2235" s="2" t="s">
        <v>92</v>
      </c>
    </row>
    <row r="2236">
      <c r="A2236" s="3" t="s">
        <v>26</v>
      </c>
      <c r="B2236" s="2" t="s">
        <v>17</v>
      </c>
      <c r="C2236" s="2" t="s">
        <v>18</v>
      </c>
      <c r="D2236" s="2" t="s">
        <v>19</v>
      </c>
      <c r="E2236" s="2" t="s">
        <v>123</v>
      </c>
      <c r="F2236" s="2">
        <v>4.0</v>
      </c>
      <c r="G2236" s="2">
        <v>6.0</v>
      </c>
      <c r="H2236" s="2">
        <v>6.0</v>
      </c>
      <c r="I2236" s="2">
        <v>0.0</v>
      </c>
      <c r="J2236" s="2">
        <v>0.0</v>
      </c>
      <c r="K2236" s="2">
        <v>0.0</v>
      </c>
      <c r="L2236" s="2">
        <v>0.0</v>
      </c>
      <c r="M2236" s="2">
        <v>-2.0</v>
      </c>
      <c r="N2236" s="2"/>
      <c r="O2236" s="2"/>
      <c r="P2236" s="2" t="s">
        <v>92</v>
      </c>
    </row>
    <row r="2237">
      <c r="A2237" s="3" t="s">
        <v>28</v>
      </c>
      <c r="B2237" s="2" t="s">
        <v>17</v>
      </c>
      <c r="C2237" s="2" t="s">
        <v>18</v>
      </c>
      <c r="D2237" s="2" t="s">
        <v>19</v>
      </c>
      <c r="E2237" s="2" t="s">
        <v>122</v>
      </c>
      <c r="F2237" s="2">
        <v>8.0</v>
      </c>
      <c r="G2237" s="2">
        <v>15.0</v>
      </c>
      <c r="H2237" s="2">
        <v>11.0</v>
      </c>
      <c r="I2237" s="2">
        <v>4.0</v>
      </c>
      <c r="J2237" s="2">
        <v>0.0</v>
      </c>
      <c r="K2237" s="2">
        <v>0.0</v>
      </c>
      <c r="L2237" s="2">
        <v>0.0</v>
      </c>
      <c r="M2237" s="2">
        <v>-3.0</v>
      </c>
      <c r="N2237" s="2"/>
      <c r="O2237" s="2"/>
      <c r="P2237" s="2" t="s">
        <v>92</v>
      </c>
    </row>
    <row r="2238">
      <c r="A2238" s="3" t="s">
        <v>29</v>
      </c>
      <c r="B2238" s="2" t="s">
        <v>17</v>
      </c>
      <c r="C2238" s="2" t="s">
        <v>18</v>
      </c>
      <c r="D2238" s="2" t="s">
        <v>30</v>
      </c>
      <c r="E2238" s="2" t="s">
        <v>116</v>
      </c>
      <c r="F2238" s="2">
        <v>31.0</v>
      </c>
      <c r="G2238" s="2">
        <v>61.0</v>
      </c>
      <c r="H2238" s="2">
        <v>34.0</v>
      </c>
      <c r="I2238" s="2">
        <v>26.0</v>
      </c>
      <c r="J2238" s="2">
        <v>1.0</v>
      </c>
      <c r="K2238" s="2">
        <v>0.0</v>
      </c>
      <c r="L2238" s="2">
        <v>0.0</v>
      </c>
      <c r="M2238" s="2">
        <v>-3.0</v>
      </c>
      <c r="N2238" s="2"/>
      <c r="O2238" s="2"/>
      <c r="P2238" s="2" t="s">
        <v>92</v>
      </c>
    </row>
    <row r="2239">
      <c r="A2239" s="3" t="s">
        <v>32</v>
      </c>
      <c r="B2239" s="2" t="s">
        <v>17</v>
      </c>
      <c r="C2239" s="2" t="s">
        <v>18</v>
      </c>
      <c r="D2239" s="2" t="s">
        <v>30</v>
      </c>
      <c r="E2239" s="2" t="s">
        <v>118</v>
      </c>
      <c r="F2239" s="2">
        <v>11.0</v>
      </c>
      <c r="G2239" s="2">
        <v>14.0</v>
      </c>
      <c r="H2239" s="2">
        <v>13.0</v>
      </c>
      <c r="I2239" s="2">
        <v>1.0</v>
      </c>
      <c r="J2239" s="2">
        <v>0.0</v>
      </c>
      <c r="K2239" s="2">
        <v>0.0</v>
      </c>
      <c r="L2239" s="2">
        <v>0.0</v>
      </c>
      <c r="M2239" s="2">
        <v>-2.0</v>
      </c>
      <c r="N2239" s="2"/>
      <c r="O2239" s="2"/>
      <c r="P2239" s="2" t="s">
        <v>92</v>
      </c>
    </row>
    <row r="2240">
      <c r="A2240" s="3" t="s">
        <v>34</v>
      </c>
      <c r="B2240" s="2" t="s">
        <v>17</v>
      </c>
      <c r="C2240" s="2" t="s">
        <v>18</v>
      </c>
      <c r="D2240" s="2" t="s">
        <v>30</v>
      </c>
      <c r="E2240" s="2" t="s">
        <v>120</v>
      </c>
      <c r="F2240" s="2">
        <v>13.0</v>
      </c>
      <c r="G2240" s="2">
        <v>16.0</v>
      </c>
      <c r="H2240" s="2">
        <v>12.0</v>
      </c>
      <c r="I2240" s="2">
        <v>4.0</v>
      </c>
      <c r="J2240" s="2">
        <v>0.0</v>
      </c>
      <c r="K2240" s="2">
        <v>0.0</v>
      </c>
      <c r="L2240" s="2">
        <v>0.0</v>
      </c>
      <c r="M2240" s="2">
        <v>1.0</v>
      </c>
      <c r="N2240" s="2"/>
      <c r="O2240" s="2"/>
      <c r="P2240" s="2" t="s">
        <v>92</v>
      </c>
    </row>
    <row r="2241">
      <c r="A2241" s="3" t="s">
        <v>35</v>
      </c>
      <c r="B2241" s="2" t="s">
        <v>17</v>
      </c>
      <c r="C2241" s="2" t="s">
        <v>18</v>
      </c>
      <c r="D2241" s="2" t="s">
        <v>30</v>
      </c>
      <c r="E2241" s="2" t="s">
        <v>123</v>
      </c>
      <c r="F2241" s="2">
        <v>5.0</v>
      </c>
      <c r="G2241" s="2">
        <v>11.0</v>
      </c>
      <c r="H2241" s="2">
        <v>5.0</v>
      </c>
      <c r="I2241" s="2">
        <v>6.0</v>
      </c>
      <c r="J2241" s="2">
        <v>0.0</v>
      </c>
      <c r="K2241" s="2">
        <v>0.0</v>
      </c>
      <c r="L2241" s="2">
        <v>0.0</v>
      </c>
      <c r="M2241" s="2">
        <v>0.0</v>
      </c>
      <c r="N2241" s="2"/>
      <c r="O2241" s="2"/>
      <c r="P2241" s="2" t="s">
        <v>92</v>
      </c>
    </row>
    <row r="2242">
      <c r="A2242" s="3" t="s">
        <v>36</v>
      </c>
      <c r="B2242" s="2" t="s">
        <v>17</v>
      </c>
      <c r="C2242" s="2" t="s">
        <v>18</v>
      </c>
      <c r="D2242" s="2" t="s">
        <v>30</v>
      </c>
      <c r="E2242" s="2" t="s">
        <v>122</v>
      </c>
      <c r="F2242" s="2">
        <v>2.0</v>
      </c>
      <c r="G2242" s="2">
        <v>7.0</v>
      </c>
      <c r="H2242" s="2">
        <v>3.0</v>
      </c>
      <c r="I2242" s="2">
        <v>4.0</v>
      </c>
      <c r="J2242" s="2">
        <v>0.0</v>
      </c>
      <c r="K2242" s="2">
        <v>0.0</v>
      </c>
      <c r="L2242" s="2">
        <v>0.0</v>
      </c>
      <c r="M2242" s="2">
        <v>-1.0</v>
      </c>
      <c r="N2242" s="2"/>
      <c r="O2242" s="2"/>
      <c r="P2242" s="2" t="s">
        <v>92</v>
      </c>
    </row>
    <row r="2243">
      <c r="A2243" s="3" t="s">
        <v>37</v>
      </c>
      <c r="B2243" s="2" t="s">
        <v>17</v>
      </c>
      <c r="C2243" s="2" t="s">
        <v>18</v>
      </c>
      <c r="D2243" s="2" t="s">
        <v>23</v>
      </c>
      <c r="E2243" s="2" t="s">
        <v>118</v>
      </c>
      <c r="F2243" s="2">
        <v>23.0</v>
      </c>
      <c r="G2243" s="2">
        <v>29.0</v>
      </c>
      <c r="H2243" s="2">
        <v>22.0</v>
      </c>
      <c r="I2243" s="2">
        <v>7.0</v>
      </c>
      <c r="J2243" s="2">
        <v>0.0</v>
      </c>
      <c r="K2243" s="2">
        <v>0.0</v>
      </c>
      <c r="L2243" s="2">
        <v>0.0</v>
      </c>
      <c r="M2243" s="2">
        <v>1.0</v>
      </c>
      <c r="N2243" s="2">
        <v>2.0</v>
      </c>
      <c r="O2243" s="2">
        <v>-21.0</v>
      </c>
      <c r="P2243" s="2" t="s">
        <v>92</v>
      </c>
    </row>
    <row r="2244">
      <c r="A2244" s="3" t="s">
        <v>38</v>
      </c>
      <c r="B2244" s="2" t="s">
        <v>17</v>
      </c>
      <c r="C2244" s="2" t="s">
        <v>18</v>
      </c>
      <c r="D2244" s="2" t="s">
        <v>23</v>
      </c>
      <c r="E2244" s="2" t="s">
        <v>120</v>
      </c>
      <c r="F2244" s="2">
        <v>21.0</v>
      </c>
      <c r="G2244" s="2">
        <v>32.0</v>
      </c>
      <c r="H2244" s="2">
        <v>21.0</v>
      </c>
      <c r="I2244" s="2">
        <v>11.0</v>
      </c>
      <c r="J2244" s="2">
        <v>0.0</v>
      </c>
      <c r="K2244" s="2">
        <v>0.0</v>
      </c>
      <c r="L2244" s="2">
        <v>0.0</v>
      </c>
      <c r="M2244" s="2">
        <v>0.0</v>
      </c>
      <c r="N2244" s="2">
        <v>-1.0</v>
      </c>
      <c r="O2244" s="2">
        <v>-21.0</v>
      </c>
      <c r="P2244" s="2" t="s">
        <v>92</v>
      </c>
    </row>
    <row r="2245">
      <c r="A2245" s="3" t="s">
        <v>39</v>
      </c>
      <c r="B2245" s="2" t="s">
        <v>17</v>
      </c>
      <c r="C2245" s="2" t="s">
        <v>57</v>
      </c>
      <c r="D2245" s="2" t="s">
        <v>23</v>
      </c>
      <c r="E2245" s="2" t="s">
        <v>123</v>
      </c>
      <c r="F2245" s="2">
        <v>9.0</v>
      </c>
      <c r="G2245" s="2">
        <v>17.0</v>
      </c>
      <c r="H2245" s="2">
        <v>11.0</v>
      </c>
      <c r="I2245" s="2">
        <v>6.0</v>
      </c>
      <c r="J2245" s="2">
        <v>0.0</v>
      </c>
      <c r="K2245" s="2">
        <v>0.0</v>
      </c>
      <c r="L2245" s="2">
        <v>0.0</v>
      </c>
      <c r="M2245" s="2">
        <v>-2.0</v>
      </c>
      <c r="N2245" s="2">
        <v>0.0</v>
      </c>
      <c r="O2245" s="2">
        <v>-13.0</v>
      </c>
      <c r="P2245" s="2" t="s">
        <v>92</v>
      </c>
    </row>
    <row r="2246">
      <c r="A2246" s="3" t="s">
        <v>40</v>
      </c>
      <c r="B2246" s="2" t="s">
        <v>17</v>
      </c>
      <c r="C2246" s="2" t="s">
        <v>57</v>
      </c>
      <c r="D2246" s="2" t="s">
        <v>23</v>
      </c>
      <c r="E2246" s="2" t="s">
        <v>116</v>
      </c>
      <c r="F2246" s="2">
        <v>36.0</v>
      </c>
      <c r="G2246" s="2">
        <v>76.0</v>
      </c>
      <c r="H2246" s="2">
        <v>41.0</v>
      </c>
      <c r="I2246" s="2">
        <v>34.0</v>
      </c>
      <c r="J2246" s="2">
        <v>1.0</v>
      </c>
      <c r="K2246" s="2">
        <v>0.0</v>
      </c>
      <c r="L2246" s="2">
        <v>0.0</v>
      </c>
      <c r="M2246" s="2">
        <v>-5.0</v>
      </c>
      <c r="N2246" s="2">
        <v>0.0</v>
      </c>
      <c r="O2246" s="2">
        <v>-46.0</v>
      </c>
      <c r="P2246" s="2" t="s">
        <v>92</v>
      </c>
    </row>
    <row r="2247">
      <c r="A2247" s="3" t="s">
        <v>41</v>
      </c>
      <c r="B2247" s="2" t="s">
        <v>17</v>
      </c>
      <c r="C2247" s="2" t="s">
        <v>57</v>
      </c>
      <c r="D2247" s="2" t="s">
        <v>23</v>
      </c>
      <c r="E2247" s="2" t="s">
        <v>122</v>
      </c>
      <c r="F2247" s="2">
        <v>10.0</v>
      </c>
      <c r="G2247" s="2">
        <v>22.0</v>
      </c>
      <c r="H2247" s="2">
        <v>14.0</v>
      </c>
      <c r="I2247" s="2">
        <v>8.0</v>
      </c>
      <c r="J2247" s="2">
        <v>0.0</v>
      </c>
      <c r="K2247" s="2">
        <v>0.0</v>
      </c>
      <c r="L2247" s="2">
        <v>0.0</v>
      </c>
      <c r="M2247" s="2">
        <v>-4.0</v>
      </c>
      <c r="N2247" s="2">
        <v>0.0</v>
      </c>
      <c r="O2247" s="2">
        <v>-18.0</v>
      </c>
      <c r="P2247" s="2" t="s">
        <v>92</v>
      </c>
    </row>
    <row r="2248">
      <c r="A2248" s="3" t="s">
        <v>42</v>
      </c>
      <c r="B2248" s="4">
        <v>45140.29166666667</v>
      </c>
      <c r="C2248" s="2" t="s">
        <v>18</v>
      </c>
      <c r="D2248" s="2" t="s">
        <v>19</v>
      </c>
      <c r="E2248" s="2" t="s">
        <v>116</v>
      </c>
      <c r="F2248" s="2"/>
      <c r="G2248" s="2">
        <v>13.0</v>
      </c>
      <c r="H2248" s="2">
        <v>7.0</v>
      </c>
      <c r="I2248" s="2">
        <v>6.0</v>
      </c>
      <c r="J2248" s="2">
        <v>0.0</v>
      </c>
      <c r="K2248" s="2">
        <v>0.0</v>
      </c>
      <c r="L2248" s="2">
        <v>0.0</v>
      </c>
      <c r="M2248" s="2"/>
      <c r="N2248" s="2"/>
      <c r="O2248" s="2"/>
      <c r="P2248" s="2" t="s">
        <v>92</v>
      </c>
    </row>
    <row r="2249">
      <c r="A2249" s="3" t="s">
        <v>43</v>
      </c>
      <c r="B2249" s="4">
        <v>45141.29166666667</v>
      </c>
      <c r="C2249" s="2" t="s">
        <v>18</v>
      </c>
      <c r="D2249" s="2" t="s">
        <v>19</v>
      </c>
      <c r="E2249" s="2" t="s">
        <v>118</v>
      </c>
      <c r="F2249" s="2"/>
      <c r="G2249" s="2">
        <v>1.0</v>
      </c>
      <c r="H2249" s="2">
        <v>0.0</v>
      </c>
      <c r="I2249" s="2">
        <v>1.0</v>
      </c>
      <c r="J2249" s="2">
        <v>0.0</v>
      </c>
      <c r="K2249" s="2">
        <v>0.0</v>
      </c>
      <c r="L2249" s="2">
        <v>0.0</v>
      </c>
      <c r="M2249" s="2"/>
      <c r="N2249" s="2"/>
      <c r="O2249" s="2"/>
      <c r="P2249" s="2" t="s">
        <v>92</v>
      </c>
    </row>
    <row r="2250">
      <c r="A2250" s="3" t="s">
        <v>44</v>
      </c>
      <c r="B2250" s="4">
        <v>45142.29166666667</v>
      </c>
      <c r="C2250" s="2" t="s">
        <v>18</v>
      </c>
      <c r="D2250" s="2" t="s">
        <v>19</v>
      </c>
      <c r="E2250" s="2" t="s">
        <v>120</v>
      </c>
      <c r="F2250" s="2"/>
      <c r="G2250" s="2">
        <v>4.0</v>
      </c>
      <c r="H2250" s="2">
        <v>2.0</v>
      </c>
      <c r="I2250" s="2">
        <v>2.0</v>
      </c>
      <c r="J2250" s="2">
        <v>0.0</v>
      </c>
      <c r="K2250" s="2">
        <v>0.0</v>
      </c>
      <c r="L2250" s="2">
        <v>0.0</v>
      </c>
      <c r="M2250" s="2"/>
      <c r="N2250" s="2"/>
      <c r="O2250" s="2"/>
      <c r="P2250" s="2" t="s">
        <v>92</v>
      </c>
    </row>
    <row r="2251">
      <c r="A2251" s="3" t="s">
        <v>45</v>
      </c>
      <c r="B2251" s="4">
        <v>45143.29166666667</v>
      </c>
      <c r="C2251" s="2" t="s">
        <v>18</v>
      </c>
      <c r="D2251" s="2" t="s">
        <v>19</v>
      </c>
      <c r="E2251" s="2" t="s">
        <v>123</v>
      </c>
      <c r="F2251" s="2"/>
      <c r="G2251" s="2">
        <v>1.0</v>
      </c>
      <c r="H2251" s="2">
        <v>1.0</v>
      </c>
      <c r="I2251" s="2">
        <v>0.0</v>
      </c>
      <c r="J2251" s="2">
        <v>0.0</v>
      </c>
      <c r="K2251" s="2">
        <v>0.0</v>
      </c>
      <c r="L2251" s="2">
        <v>0.0</v>
      </c>
      <c r="M2251" s="2"/>
      <c r="N2251" s="2"/>
      <c r="O2251" s="2"/>
      <c r="P2251" s="2" t="s">
        <v>92</v>
      </c>
    </row>
    <row r="2252">
      <c r="A2252" s="3" t="s">
        <v>16</v>
      </c>
      <c r="B2252" s="4">
        <v>45144.29166666667</v>
      </c>
      <c r="C2252" s="2" t="s">
        <v>18</v>
      </c>
      <c r="D2252" s="2" t="s">
        <v>19</v>
      </c>
      <c r="E2252" s="2" t="s">
        <v>122</v>
      </c>
      <c r="F2252" s="2"/>
      <c r="G2252" s="2">
        <v>5.0</v>
      </c>
      <c r="H2252" s="2">
        <v>3.0</v>
      </c>
      <c r="I2252" s="2">
        <v>2.0</v>
      </c>
      <c r="J2252" s="2">
        <v>0.0</v>
      </c>
      <c r="K2252" s="2">
        <v>0.0</v>
      </c>
      <c r="L2252" s="2">
        <v>0.0</v>
      </c>
      <c r="M2252" s="2"/>
      <c r="N2252" s="2"/>
      <c r="O2252" s="2"/>
      <c r="P2252" s="2" t="s">
        <v>92</v>
      </c>
    </row>
    <row r="2253">
      <c r="A2253" s="3" t="s">
        <v>47</v>
      </c>
      <c r="B2253" s="4">
        <v>45145.29166666667</v>
      </c>
      <c r="C2253" s="2" t="s">
        <v>18</v>
      </c>
      <c r="D2253" s="2" t="s">
        <v>30</v>
      </c>
      <c r="E2253" s="2" t="s">
        <v>116</v>
      </c>
      <c r="F2253" s="2"/>
      <c r="G2253" s="2">
        <v>8.0</v>
      </c>
      <c r="H2253" s="2">
        <v>5.0</v>
      </c>
      <c r="I2253" s="2">
        <v>2.0</v>
      </c>
      <c r="J2253" s="2">
        <v>1.0</v>
      </c>
      <c r="K2253" s="2">
        <v>0.0</v>
      </c>
      <c r="L2253" s="2">
        <v>0.0</v>
      </c>
      <c r="M2253" s="2"/>
      <c r="N2253" s="2"/>
      <c r="O2253" s="2"/>
      <c r="P2253" s="2" t="s">
        <v>92</v>
      </c>
    </row>
    <row r="2254">
      <c r="A2254" s="3" t="s">
        <v>48</v>
      </c>
      <c r="B2254" s="4">
        <v>45146.29166666667</v>
      </c>
      <c r="C2254" s="2" t="s">
        <v>18</v>
      </c>
      <c r="D2254" s="2" t="s">
        <v>30</v>
      </c>
      <c r="E2254" s="2" t="s">
        <v>118</v>
      </c>
      <c r="F2254" s="2"/>
      <c r="G2254" s="2">
        <v>1.0</v>
      </c>
      <c r="H2254" s="2">
        <v>1.0</v>
      </c>
      <c r="I2254" s="2">
        <v>0.0</v>
      </c>
      <c r="J2254" s="2">
        <v>0.0</v>
      </c>
      <c r="K2254" s="2">
        <v>0.0</v>
      </c>
      <c r="L2254" s="2">
        <v>0.0</v>
      </c>
      <c r="M2254" s="2"/>
      <c r="N2254" s="2"/>
      <c r="O2254" s="2"/>
      <c r="P2254" s="2" t="s">
        <v>92</v>
      </c>
    </row>
    <row r="2255">
      <c r="A2255" s="3" t="s">
        <v>49</v>
      </c>
      <c r="B2255" s="4">
        <v>45147.29166666667</v>
      </c>
      <c r="C2255" s="2" t="s">
        <v>18</v>
      </c>
      <c r="D2255" s="2" t="s">
        <v>30</v>
      </c>
      <c r="E2255" s="2" t="s">
        <v>120</v>
      </c>
      <c r="F2255" s="2"/>
      <c r="G2255" s="2">
        <v>0.0</v>
      </c>
      <c r="H2255" s="2">
        <v>0.0</v>
      </c>
      <c r="I2255" s="2">
        <v>0.0</v>
      </c>
      <c r="J2255" s="2">
        <v>0.0</v>
      </c>
      <c r="K2255" s="2">
        <v>0.0</v>
      </c>
      <c r="L2255" s="2">
        <v>0.0</v>
      </c>
      <c r="M2255" s="2"/>
      <c r="N2255" s="2"/>
      <c r="O2255" s="2"/>
      <c r="P2255" s="2" t="s">
        <v>92</v>
      </c>
    </row>
    <row r="2256">
      <c r="A2256" s="3" t="s">
        <v>51</v>
      </c>
      <c r="B2256" s="4">
        <v>45148.29166666667</v>
      </c>
      <c r="C2256" s="2" t="s">
        <v>18</v>
      </c>
      <c r="D2256" s="2" t="s">
        <v>30</v>
      </c>
      <c r="E2256" s="2" t="s">
        <v>123</v>
      </c>
      <c r="F2256" s="2"/>
      <c r="G2256" s="2">
        <v>0.0</v>
      </c>
      <c r="H2256" s="2">
        <v>0.0</v>
      </c>
      <c r="I2256" s="2">
        <v>0.0</v>
      </c>
      <c r="J2256" s="2">
        <v>0.0</v>
      </c>
      <c r="K2256" s="2">
        <v>0.0</v>
      </c>
      <c r="L2256" s="2">
        <v>0.0</v>
      </c>
      <c r="M2256" s="2"/>
      <c r="N2256" s="2"/>
      <c r="O2256" s="2"/>
      <c r="P2256" s="2" t="s">
        <v>92</v>
      </c>
    </row>
    <row r="2257">
      <c r="A2257" s="3" t="s">
        <v>52</v>
      </c>
      <c r="B2257" s="4">
        <v>45149.29166666667</v>
      </c>
      <c r="C2257" s="2" t="s">
        <v>18</v>
      </c>
      <c r="D2257" s="2" t="s">
        <v>30</v>
      </c>
      <c r="E2257" s="2" t="s">
        <v>122</v>
      </c>
      <c r="F2257" s="2"/>
      <c r="G2257" s="2">
        <v>3.0</v>
      </c>
      <c r="H2257" s="2">
        <v>2.0</v>
      </c>
      <c r="I2257" s="2">
        <v>1.0</v>
      </c>
      <c r="J2257" s="2">
        <v>0.0</v>
      </c>
      <c r="K2257" s="2">
        <v>0.0</v>
      </c>
      <c r="L2257" s="2">
        <v>0.0</v>
      </c>
      <c r="M2257" s="2"/>
      <c r="N2257" s="2"/>
      <c r="O2257" s="2"/>
      <c r="P2257" s="2" t="s">
        <v>92</v>
      </c>
    </row>
    <row r="2258">
      <c r="A2258" s="3" t="s">
        <v>53</v>
      </c>
      <c r="B2258" s="4">
        <v>45170.29166666667</v>
      </c>
      <c r="C2258" s="2" t="s">
        <v>18</v>
      </c>
      <c r="D2258" s="2" t="s">
        <v>19</v>
      </c>
      <c r="E2258" s="2" t="s">
        <v>116</v>
      </c>
      <c r="F2258" s="2"/>
      <c r="G2258" s="2">
        <v>2.0</v>
      </c>
      <c r="H2258" s="2">
        <v>0.0</v>
      </c>
      <c r="I2258" s="2">
        <v>2.0</v>
      </c>
      <c r="J2258" s="2">
        <v>0.0</v>
      </c>
      <c r="K2258" s="2">
        <v>0.0</v>
      </c>
      <c r="L2258" s="2">
        <v>0.0</v>
      </c>
      <c r="M2258" s="2"/>
      <c r="N2258" s="2"/>
      <c r="O2258" s="2"/>
      <c r="P2258" s="2" t="s">
        <v>92</v>
      </c>
    </row>
    <row r="2259">
      <c r="A2259" s="3" t="s">
        <v>54</v>
      </c>
      <c r="B2259" s="4">
        <v>45171.29166666667</v>
      </c>
      <c r="C2259" s="2" t="s">
        <v>18</v>
      </c>
      <c r="D2259" s="2" t="s">
        <v>19</v>
      </c>
      <c r="E2259" s="2" t="s">
        <v>118</v>
      </c>
      <c r="F2259" s="2"/>
      <c r="G2259" s="2">
        <v>14.0</v>
      </c>
      <c r="H2259" s="2">
        <v>9.0</v>
      </c>
      <c r="I2259" s="2">
        <v>5.0</v>
      </c>
      <c r="J2259" s="2">
        <v>0.0</v>
      </c>
      <c r="K2259" s="2">
        <v>0.0</v>
      </c>
      <c r="L2259" s="2">
        <v>0.0</v>
      </c>
      <c r="M2259" s="2"/>
      <c r="N2259" s="2"/>
      <c r="O2259" s="2"/>
      <c r="P2259" s="2" t="s">
        <v>92</v>
      </c>
    </row>
    <row r="2260">
      <c r="A2260" s="3" t="s">
        <v>55</v>
      </c>
      <c r="B2260" s="4">
        <v>45172.29166666667</v>
      </c>
      <c r="C2260" s="2" t="s">
        <v>18</v>
      </c>
      <c r="D2260" s="2" t="s">
        <v>19</v>
      </c>
      <c r="E2260" s="2" t="s">
        <v>120</v>
      </c>
      <c r="F2260" s="2"/>
      <c r="G2260" s="2">
        <v>12.0</v>
      </c>
      <c r="H2260" s="2">
        <v>7.0</v>
      </c>
      <c r="I2260" s="2">
        <v>5.0</v>
      </c>
      <c r="J2260" s="2">
        <v>0.0</v>
      </c>
      <c r="K2260" s="2">
        <v>0.0</v>
      </c>
      <c r="L2260" s="2">
        <v>0.0</v>
      </c>
      <c r="M2260" s="2"/>
      <c r="N2260" s="2"/>
      <c r="O2260" s="2"/>
      <c r="P2260" s="2" t="s">
        <v>92</v>
      </c>
    </row>
    <row r="2261">
      <c r="A2261" s="3" t="s">
        <v>56</v>
      </c>
      <c r="B2261" s="4">
        <v>45173.29166666667</v>
      </c>
      <c r="C2261" s="2" t="s">
        <v>18</v>
      </c>
      <c r="D2261" s="2" t="s">
        <v>19</v>
      </c>
      <c r="E2261" s="2" t="s">
        <v>123</v>
      </c>
      <c r="F2261" s="2"/>
      <c r="G2261" s="2">
        <v>5.0</v>
      </c>
      <c r="H2261" s="2">
        <v>5.0</v>
      </c>
      <c r="I2261" s="2">
        <v>0.0</v>
      </c>
      <c r="J2261" s="2">
        <v>0.0</v>
      </c>
      <c r="K2261" s="2">
        <v>0.0</v>
      </c>
      <c r="L2261" s="2">
        <v>0.0</v>
      </c>
      <c r="M2261" s="2"/>
      <c r="N2261" s="2"/>
      <c r="O2261" s="2"/>
      <c r="P2261" s="2" t="s">
        <v>92</v>
      </c>
    </row>
    <row r="2262">
      <c r="A2262" s="3" t="s">
        <v>59</v>
      </c>
      <c r="B2262" s="4">
        <v>45174.29166666667</v>
      </c>
      <c r="C2262" s="2" t="s">
        <v>18</v>
      </c>
      <c r="D2262" s="2" t="s">
        <v>19</v>
      </c>
      <c r="E2262" s="2" t="s">
        <v>122</v>
      </c>
      <c r="F2262" s="2"/>
      <c r="G2262" s="2">
        <v>10.0</v>
      </c>
      <c r="H2262" s="2">
        <v>8.0</v>
      </c>
      <c r="I2262" s="2">
        <v>2.0</v>
      </c>
      <c r="J2262" s="2">
        <v>0.0</v>
      </c>
      <c r="K2262" s="2">
        <v>0.0</v>
      </c>
      <c r="L2262" s="2">
        <v>0.0</v>
      </c>
      <c r="M2262" s="2"/>
      <c r="N2262" s="2"/>
      <c r="O2262" s="2"/>
      <c r="P2262" s="2" t="s">
        <v>92</v>
      </c>
    </row>
    <row r="2263">
      <c r="A2263" s="3" t="s">
        <v>60</v>
      </c>
      <c r="B2263" s="4">
        <v>45175.29166666667</v>
      </c>
      <c r="C2263" s="2" t="s">
        <v>18</v>
      </c>
      <c r="D2263" s="2" t="s">
        <v>30</v>
      </c>
      <c r="E2263" s="2" t="s">
        <v>116</v>
      </c>
      <c r="F2263" s="2"/>
      <c r="G2263" s="2">
        <v>53.0</v>
      </c>
      <c r="H2263" s="2">
        <v>29.0</v>
      </c>
      <c r="I2263" s="2">
        <v>24.0</v>
      </c>
      <c r="J2263" s="2">
        <v>0.0</v>
      </c>
      <c r="K2263" s="2">
        <v>0.0</v>
      </c>
      <c r="L2263" s="2">
        <v>0.0</v>
      </c>
      <c r="M2263" s="2"/>
      <c r="N2263" s="2"/>
      <c r="O2263" s="2"/>
      <c r="P2263" s="2" t="s">
        <v>92</v>
      </c>
    </row>
    <row r="2264">
      <c r="A2264" s="3" t="s">
        <v>61</v>
      </c>
      <c r="B2264" s="4">
        <v>45176.29166666667</v>
      </c>
      <c r="C2264" s="2" t="s">
        <v>18</v>
      </c>
      <c r="D2264" s="2" t="s">
        <v>30</v>
      </c>
      <c r="E2264" s="2" t="s">
        <v>118</v>
      </c>
      <c r="F2264" s="2"/>
      <c r="G2264" s="2">
        <v>13.0</v>
      </c>
      <c r="H2264" s="2">
        <v>12.0</v>
      </c>
      <c r="I2264" s="2">
        <v>1.0</v>
      </c>
      <c r="J2264" s="2">
        <v>0.0</v>
      </c>
      <c r="K2264" s="2">
        <v>0.0</v>
      </c>
      <c r="L2264" s="2">
        <v>0.0</v>
      </c>
      <c r="M2264" s="2"/>
      <c r="N2264" s="2"/>
      <c r="O2264" s="2"/>
      <c r="P2264" s="2" t="s">
        <v>92</v>
      </c>
    </row>
    <row r="2265">
      <c r="A2265" s="3" t="s">
        <v>62</v>
      </c>
      <c r="B2265" s="4">
        <v>45177.29166666667</v>
      </c>
      <c r="C2265" s="2" t="s">
        <v>18</v>
      </c>
      <c r="D2265" s="2" t="s">
        <v>30</v>
      </c>
      <c r="E2265" s="2" t="s">
        <v>120</v>
      </c>
      <c r="F2265" s="2"/>
      <c r="G2265" s="2">
        <v>16.0</v>
      </c>
      <c r="H2265" s="2">
        <v>12.0</v>
      </c>
      <c r="I2265" s="2">
        <v>4.0</v>
      </c>
      <c r="J2265" s="2">
        <v>0.0</v>
      </c>
      <c r="K2265" s="2">
        <v>0.0</v>
      </c>
      <c r="L2265" s="2">
        <v>0.0</v>
      </c>
      <c r="M2265" s="2"/>
      <c r="N2265" s="2"/>
      <c r="O2265" s="2"/>
      <c r="P2265" s="2" t="s">
        <v>92</v>
      </c>
    </row>
    <row r="2266">
      <c r="A2266" s="3" t="s">
        <v>63</v>
      </c>
      <c r="B2266" s="4">
        <v>45178.29166666667</v>
      </c>
      <c r="C2266" s="2" t="s">
        <v>18</v>
      </c>
      <c r="D2266" s="2" t="s">
        <v>30</v>
      </c>
      <c r="E2266" s="2" t="s">
        <v>123</v>
      </c>
      <c r="F2266" s="2"/>
      <c r="G2266" s="2">
        <v>11.0</v>
      </c>
      <c r="H2266" s="2">
        <v>5.0</v>
      </c>
      <c r="I2266" s="2">
        <v>6.0</v>
      </c>
      <c r="J2266" s="2">
        <v>0.0</v>
      </c>
      <c r="K2266" s="2">
        <v>0.0</v>
      </c>
      <c r="L2266" s="2">
        <v>0.0</v>
      </c>
      <c r="M2266" s="2"/>
      <c r="N2266" s="2"/>
      <c r="O2266" s="2"/>
      <c r="P2266" s="2" t="s">
        <v>92</v>
      </c>
    </row>
    <row r="2267">
      <c r="A2267" s="3" t="s">
        <v>64</v>
      </c>
      <c r="B2267" s="4">
        <v>45179.29166666667</v>
      </c>
      <c r="C2267" s="2" t="s">
        <v>18</v>
      </c>
      <c r="D2267" s="2" t="s">
        <v>30</v>
      </c>
      <c r="E2267" s="2" t="s">
        <v>122</v>
      </c>
      <c r="F2267" s="2"/>
      <c r="G2267" s="2">
        <v>4.0</v>
      </c>
      <c r="H2267" s="2">
        <v>1.0</v>
      </c>
      <c r="I2267" s="2">
        <v>3.0</v>
      </c>
      <c r="J2267" s="2">
        <v>0.0</v>
      </c>
      <c r="K2267" s="2">
        <v>0.0</v>
      </c>
      <c r="L2267" s="2">
        <v>0.0</v>
      </c>
      <c r="M2267" s="2"/>
      <c r="N2267" s="2"/>
      <c r="O2267" s="2"/>
      <c r="P2267" s="2" t="s">
        <v>92</v>
      </c>
    </row>
    <row r="2268">
      <c r="A2268" s="3" t="s">
        <v>65</v>
      </c>
      <c r="B2268" s="2" t="s">
        <v>17</v>
      </c>
      <c r="C2268" s="2" t="s">
        <v>18</v>
      </c>
      <c r="D2268" s="2" t="s">
        <v>19</v>
      </c>
      <c r="E2268" s="2" t="s">
        <v>176</v>
      </c>
      <c r="F2268" s="2">
        <v>4.0</v>
      </c>
      <c r="G2268" s="2">
        <v>7.0</v>
      </c>
      <c r="H2268" s="2">
        <v>4.0</v>
      </c>
      <c r="I2268" s="2">
        <v>3.0</v>
      </c>
      <c r="J2268" s="2">
        <v>0.0</v>
      </c>
      <c r="K2268" s="2">
        <v>0.0</v>
      </c>
      <c r="L2268" s="2">
        <v>0.0</v>
      </c>
      <c r="M2268" s="2">
        <v>0.0</v>
      </c>
      <c r="N2268" s="2"/>
      <c r="O2268" s="2"/>
      <c r="P2268" s="2" t="s">
        <v>67</v>
      </c>
    </row>
    <row r="2269">
      <c r="A2269" s="3" t="s">
        <v>66</v>
      </c>
      <c r="B2269" s="2" t="s">
        <v>17</v>
      </c>
      <c r="C2269" s="2" t="s">
        <v>18</v>
      </c>
      <c r="D2269" s="2" t="s">
        <v>127</v>
      </c>
      <c r="E2269" s="2" t="s">
        <v>176</v>
      </c>
      <c r="F2269" s="2">
        <v>188.0</v>
      </c>
      <c r="G2269" s="2">
        <v>339.0</v>
      </c>
      <c r="H2269" s="2">
        <v>195.0</v>
      </c>
      <c r="I2269" s="2">
        <v>137.0</v>
      </c>
      <c r="J2269" s="2">
        <v>7.0</v>
      </c>
      <c r="K2269" s="2">
        <v>0.0</v>
      </c>
      <c r="L2269" s="2">
        <v>0.0</v>
      </c>
      <c r="M2269" s="2">
        <v>-7.0</v>
      </c>
      <c r="N2269" s="2"/>
      <c r="O2269" s="2"/>
      <c r="P2269" s="2" t="s">
        <v>67</v>
      </c>
    </row>
    <row r="2270">
      <c r="A2270" s="3" t="s">
        <v>68</v>
      </c>
      <c r="B2270" s="2" t="s">
        <v>17</v>
      </c>
      <c r="C2270" s="2" t="s">
        <v>18</v>
      </c>
      <c r="D2270" s="2" t="s">
        <v>23</v>
      </c>
      <c r="E2270" s="2" t="s">
        <v>176</v>
      </c>
      <c r="F2270" s="2">
        <v>192.0</v>
      </c>
      <c r="G2270" s="2">
        <v>346.0</v>
      </c>
      <c r="H2270" s="2">
        <v>199.0</v>
      </c>
      <c r="I2270" s="2">
        <v>140.0</v>
      </c>
      <c r="J2270" s="2">
        <v>7.0</v>
      </c>
      <c r="K2270" s="2">
        <v>0.0</v>
      </c>
      <c r="L2270" s="2">
        <v>0.0</v>
      </c>
      <c r="M2270" s="2">
        <v>-7.0</v>
      </c>
      <c r="N2270" s="2">
        <v>0.0</v>
      </c>
      <c r="O2270" s="2">
        <v>-206.0</v>
      </c>
      <c r="P2270" s="2" t="s">
        <v>67</v>
      </c>
    </row>
    <row r="2271">
      <c r="A2271" s="3" t="s">
        <v>70</v>
      </c>
      <c r="B2271" s="4">
        <v>45111.29166666667</v>
      </c>
      <c r="C2271" s="2" t="s">
        <v>18</v>
      </c>
      <c r="D2271" s="2" t="s">
        <v>19</v>
      </c>
      <c r="E2271" s="2" t="s">
        <v>176</v>
      </c>
      <c r="F2271" s="2"/>
      <c r="G2271" s="2">
        <v>7.0</v>
      </c>
      <c r="H2271" s="2">
        <v>4.0</v>
      </c>
      <c r="I2271" s="2">
        <v>3.0</v>
      </c>
      <c r="J2271" s="2">
        <v>0.0</v>
      </c>
      <c r="K2271" s="2">
        <v>0.0</v>
      </c>
      <c r="L2271" s="2">
        <v>0.0</v>
      </c>
      <c r="M2271" s="2"/>
      <c r="N2271" s="2"/>
      <c r="O2271" s="2"/>
      <c r="P2271" s="2" t="s">
        <v>67</v>
      </c>
    </row>
    <row r="2272">
      <c r="A2272" s="3" t="s">
        <v>16</v>
      </c>
      <c r="B2272" s="4">
        <v>45112.29166666667</v>
      </c>
      <c r="C2272" s="2" t="s">
        <v>18</v>
      </c>
      <c r="D2272" s="2" t="s">
        <v>127</v>
      </c>
      <c r="E2272" s="2" t="s">
        <v>176</v>
      </c>
      <c r="F2272" s="2"/>
      <c r="G2272" s="2">
        <v>92.0</v>
      </c>
      <c r="H2272" s="2">
        <v>61.0</v>
      </c>
      <c r="I2272" s="2">
        <v>31.0</v>
      </c>
      <c r="J2272" s="2">
        <v>0.0</v>
      </c>
      <c r="K2272" s="2">
        <v>0.0</v>
      </c>
      <c r="L2272" s="2">
        <v>0.0</v>
      </c>
      <c r="M2272" s="2"/>
      <c r="N2272" s="2"/>
      <c r="O2272" s="2"/>
      <c r="P2272" s="2" t="s">
        <v>67</v>
      </c>
    </row>
    <row r="2273">
      <c r="A2273" s="3" t="s">
        <v>71</v>
      </c>
      <c r="B2273" s="4">
        <v>45139.29166666667</v>
      </c>
      <c r="C2273" s="2" t="s">
        <v>18</v>
      </c>
      <c r="D2273" s="2" t="s">
        <v>19</v>
      </c>
      <c r="E2273" s="2" t="s">
        <v>176</v>
      </c>
      <c r="F2273" s="2"/>
      <c r="G2273" s="2">
        <v>0.0</v>
      </c>
      <c r="H2273" s="2">
        <v>0.0</v>
      </c>
      <c r="I2273" s="2">
        <v>0.0</v>
      </c>
      <c r="J2273" s="2">
        <v>0.0</v>
      </c>
      <c r="K2273" s="2">
        <v>0.0</v>
      </c>
      <c r="L2273" s="2">
        <v>0.0</v>
      </c>
      <c r="M2273" s="2"/>
      <c r="N2273" s="2"/>
      <c r="O2273" s="2"/>
      <c r="P2273" s="2" t="s">
        <v>67</v>
      </c>
    </row>
    <row r="2274">
      <c r="A2274" s="3" t="s">
        <v>72</v>
      </c>
      <c r="B2274" s="4">
        <v>45140.29166666667</v>
      </c>
      <c r="C2274" s="2" t="s">
        <v>18</v>
      </c>
      <c r="D2274" s="2" t="s">
        <v>127</v>
      </c>
      <c r="E2274" s="2" t="s">
        <v>176</v>
      </c>
      <c r="F2274" s="2"/>
      <c r="G2274" s="2">
        <v>0.0</v>
      </c>
      <c r="H2274" s="2">
        <v>0.0</v>
      </c>
      <c r="I2274" s="2">
        <v>0.0</v>
      </c>
      <c r="J2274" s="2">
        <v>0.0</v>
      </c>
      <c r="K2274" s="2">
        <v>0.0</v>
      </c>
      <c r="L2274" s="2">
        <v>0.0</v>
      </c>
      <c r="M2274" s="2"/>
      <c r="N2274" s="2"/>
      <c r="O2274" s="2"/>
      <c r="P2274" s="2" t="s">
        <v>67</v>
      </c>
    </row>
    <row r="2275">
      <c r="A2275" s="3" t="s">
        <v>73</v>
      </c>
      <c r="B2275" s="4">
        <v>45170.29166666667</v>
      </c>
      <c r="C2275" s="2" t="s">
        <v>18</v>
      </c>
      <c r="D2275" s="2" t="s">
        <v>127</v>
      </c>
      <c r="E2275" s="2" t="s">
        <v>176</v>
      </c>
      <c r="F2275" s="2"/>
      <c r="G2275" s="2">
        <v>92.0</v>
      </c>
      <c r="H2275" s="2">
        <v>54.0</v>
      </c>
      <c r="I2275" s="2">
        <v>38.0</v>
      </c>
      <c r="J2275" s="2">
        <v>0.0</v>
      </c>
      <c r="K2275" s="2">
        <v>0.0</v>
      </c>
      <c r="L2275" s="2">
        <v>0.0</v>
      </c>
      <c r="M2275" s="2"/>
      <c r="N2275" s="2"/>
      <c r="O2275" s="2"/>
      <c r="P2275" s="2" t="s">
        <v>67</v>
      </c>
    </row>
    <row r="2276">
      <c r="A2276" s="3" t="s">
        <v>74</v>
      </c>
      <c r="B2276" s="4">
        <v>45202.29166666667</v>
      </c>
      <c r="C2276" s="2" t="s">
        <v>18</v>
      </c>
      <c r="D2276" s="2" t="s">
        <v>127</v>
      </c>
      <c r="E2276" s="2" t="s">
        <v>176</v>
      </c>
      <c r="F2276" s="2"/>
      <c r="G2276" s="2">
        <v>155.0</v>
      </c>
      <c r="H2276" s="2">
        <v>80.0</v>
      </c>
      <c r="I2276" s="2">
        <v>68.0</v>
      </c>
      <c r="J2276" s="2">
        <v>7.0</v>
      </c>
      <c r="K2276" s="2">
        <v>0.0</v>
      </c>
      <c r="L2276" s="2">
        <v>0.0</v>
      </c>
      <c r="M2276" s="2"/>
      <c r="N2276" s="2"/>
      <c r="O2276" s="2"/>
      <c r="P2276" s="2" t="s">
        <v>67</v>
      </c>
    </row>
    <row r="2277">
      <c r="A2277" s="3" t="s">
        <v>75</v>
      </c>
      <c r="B2277" s="2" t="s">
        <v>17</v>
      </c>
      <c r="C2277" s="2" t="s">
        <v>18</v>
      </c>
      <c r="D2277" s="2" t="s">
        <v>19</v>
      </c>
      <c r="E2277" s="2" t="s">
        <v>162</v>
      </c>
      <c r="F2277" s="2">
        <v>143.0</v>
      </c>
      <c r="G2277" s="2">
        <v>4.0</v>
      </c>
      <c r="H2277" s="2">
        <v>2.0</v>
      </c>
      <c r="I2277" s="2">
        <v>2.0</v>
      </c>
      <c r="J2277" s="2">
        <v>0.0</v>
      </c>
      <c r="K2277" s="2">
        <v>0.0</v>
      </c>
      <c r="L2277" s="2">
        <v>0.0</v>
      </c>
      <c r="M2277" s="2">
        <v>141.0</v>
      </c>
      <c r="N2277" s="2"/>
      <c r="O2277" s="2"/>
      <c r="P2277" s="2" t="s">
        <v>80</v>
      </c>
    </row>
    <row r="2278">
      <c r="A2278" s="3" t="s">
        <v>76</v>
      </c>
      <c r="B2278" s="2" t="s">
        <v>17</v>
      </c>
      <c r="C2278" s="2" t="s">
        <v>18</v>
      </c>
      <c r="D2278" s="2" t="s">
        <v>91</v>
      </c>
      <c r="E2278" s="2" t="s">
        <v>162</v>
      </c>
      <c r="F2278" s="2">
        <v>50.0</v>
      </c>
      <c r="G2278" s="2">
        <v>65.0</v>
      </c>
      <c r="H2278" s="2">
        <v>50.0</v>
      </c>
      <c r="I2278" s="2">
        <v>10.0</v>
      </c>
      <c r="J2278" s="2">
        <v>5.0</v>
      </c>
      <c r="K2278" s="2">
        <v>0.0</v>
      </c>
      <c r="L2278" s="2">
        <v>0.0</v>
      </c>
      <c r="M2278" s="2">
        <v>0.0</v>
      </c>
      <c r="N2278" s="2"/>
      <c r="O2278" s="2"/>
      <c r="P2278" s="2" t="s">
        <v>80</v>
      </c>
    </row>
    <row r="2279">
      <c r="A2279" s="3" t="s">
        <v>77</v>
      </c>
      <c r="B2279" s="2" t="s">
        <v>17</v>
      </c>
      <c r="C2279" s="2" t="s">
        <v>18</v>
      </c>
      <c r="D2279" s="2" t="s">
        <v>127</v>
      </c>
      <c r="E2279" s="2" t="s">
        <v>162</v>
      </c>
      <c r="F2279" s="2">
        <v>84.0</v>
      </c>
      <c r="G2279" s="2">
        <v>101.0</v>
      </c>
      <c r="H2279" s="2">
        <v>80.0</v>
      </c>
      <c r="I2279" s="2">
        <v>21.0</v>
      </c>
      <c r="J2279" s="2">
        <v>0.0</v>
      </c>
      <c r="K2279" s="2">
        <v>0.0</v>
      </c>
      <c r="L2279" s="2">
        <v>0.0</v>
      </c>
      <c r="M2279" s="2">
        <v>4.0</v>
      </c>
      <c r="N2279" s="2"/>
      <c r="O2279" s="2"/>
      <c r="P2279" s="2" t="s">
        <v>80</v>
      </c>
    </row>
    <row r="2280">
      <c r="A2280" s="3" t="s">
        <v>78</v>
      </c>
      <c r="B2280" s="2" t="s">
        <v>17</v>
      </c>
      <c r="C2280" s="2" t="s">
        <v>18</v>
      </c>
      <c r="D2280" s="2" t="s">
        <v>23</v>
      </c>
      <c r="E2280" s="2" t="s">
        <v>162</v>
      </c>
      <c r="F2280" s="2">
        <v>136.0</v>
      </c>
      <c r="G2280" s="2">
        <v>170.0</v>
      </c>
      <c r="H2280" s="2">
        <v>132.0</v>
      </c>
      <c r="I2280" s="2">
        <v>33.0</v>
      </c>
      <c r="J2280" s="2">
        <v>5.0</v>
      </c>
      <c r="K2280" s="2">
        <v>0.0</v>
      </c>
      <c r="L2280" s="2">
        <v>0.0</v>
      </c>
      <c r="M2280" s="2">
        <v>4.0</v>
      </c>
      <c r="N2280" s="2">
        <v>-141.0</v>
      </c>
      <c r="O2280" s="2">
        <v>-128.0</v>
      </c>
      <c r="P2280" s="2" t="s">
        <v>80</v>
      </c>
    </row>
    <row r="2281">
      <c r="A2281" s="3" t="s">
        <v>81</v>
      </c>
      <c r="B2281" s="4">
        <v>45079.29166666667</v>
      </c>
      <c r="C2281" s="2" t="s">
        <v>18</v>
      </c>
      <c r="D2281" s="2" t="s">
        <v>19</v>
      </c>
      <c r="E2281" s="2" t="s">
        <v>162</v>
      </c>
      <c r="F2281" s="2"/>
      <c r="G2281" s="2">
        <v>0.0</v>
      </c>
      <c r="H2281" s="2">
        <v>0.0</v>
      </c>
      <c r="I2281" s="2">
        <v>0.0</v>
      </c>
      <c r="J2281" s="2">
        <v>0.0</v>
      </c>
      <c r="K2281" s="2">
        <v>0.0</v>
      </c>
      <c r="L2281" s="2">
        <v>0.0</v>
      </c>
      <c r="M2281" s="2"/>
      <c r="N2281" s="2"/>
      <c r="O2281" s="2"/>
      <c r="P2281" s="2" t="s">
        <v>80</v>
      </c>
    </row>
    <row r="2282">
      <c r="A2282" s="3" t="s">
        <v>82</v>
      </c>
      <c r="B2282" s="4">
        <v>45080.29166666667</v>
      </c>
      <c r="C2282" s="2" t="s">
        <v>18</v>
      </c>
      <c r="D2282" s="2" t="s">
        <v>91</v>
      </c>
      <c r="E2282" s="2" t="s">
        <v>162</v>
      </c>
      <c r="F2282" s="2"/>
      <c r="G2282" s="2">
        <v>10.0</v>
      </c>
      <c r="H2282" s="2">
        <v>10.0</v>
      </c>
      <c r="I2282" s="2">
        <v>0.0</v>
      </c>
      <c r="J2282" s="2">
        <v>0.0</v>
      </c>
      <c r="K2282" s="2">
        <v>0.0</v>
      </c>
      <c r="L2282" s="2">
        <v>0.0</v>
      </c>
      <c r="M2282" s="2"/>
      <c r="N2282" s="2"/>
      <c r="O2282" s="2"/>
      <c r="P2282" s="2" t="s">
        <v>80</v>
      </c>
    </row>
    <row r="2283">
      <c r="A2283" s="3" t="s">
        <v>83</v>
      </c>
      <c r="B2283" s="4">
        <v>45108.29166666667</v>
      </c>
      <c r="C2283" s="2" t="s">
        <v>18</v>
      </c>
      <c r="D2283" s="2" t="s">
        <v>19</v>
      </c>
      <c r="E2283" s="2" t="s">
        <v>162</v>
      </c>
      <c r="F2283" s="2"/>
      <c r="G2283" s="2">
        <v>3.0</v>
      </c>
      <c r="H2283" s="2">
        <v>2.0</v>
      </c>
      <c r="I2283" s="2">
        <v>1.0</v>
      </c>
      <c r="J2283" s="2">
        <v>0.0</v>
      </c>
      <c r="K2283" s="2">
        <v>0.0</v>
      </c>
      <c r="L2283" s="2">
        <v>0.0</v>
      </c>
      <c r="M2283" s="2"/>
      <c r="N2283" s="2"/>
      <c r="O2283" s="2"/>
      <c r="P2283" s="2" t="s">
        <v>80</v>
      </c>
    </row>
    <row r="2284">
      <c r="A2284" s="3" t="s">
        <v>84</v>
      </c>
      <c r="B2284" s="4">
        <v>45109.29166666667</v>
      </c>
      <c r="C2284" s="2" t="s">
        <v>18</v>
      </c>
      <c r="D2284" s="2" t="s">
        <v>91</v>
      </c>
      <c r="E2284" s="2" t="s">
        <v>162</v>
      </c>
      <c r="F2284" s="2"/>
      <c r="G2284" s="2">
        <v>22.0</v>
      </c>
      <c r="H2284" s="2">
        <v>12.0</v>
      </c>
      <c r="I2284" s="2">
        <v>5.0</v>
      </c>
      <c r="J2284" s="2">
        <v>5.0</v>
      </c>
      <c r="K2284" s="2">
        <v>0.0</v>
      </c>
      <c r="L2284" s="2">
        <v>0.0</v>
      </c>
      <c r="M2284" s="2"/>
      <c r="N2284" s="2"/>
      <c r="O2284" s="2"/>
      <c r="P2284" s="2" t="s">
        <v>80</v>
      </c>
    </row>
    <row r="2285">
      <c r="A2285" s="3" t="s">
        <v>85</v>
      </c>
      <c r="B2285" s="4">
        <v>45139.29166666667</v>
      </c>
      <c r="C2285" s="2" t="s">
        <v>18</v>
      </c>
      <c r="D2285" s="2" t="s">
        <v>19</v>
      </c>
      <c r="E2285" s="2" t="s">
        <v>162</v>
      </c>
      <c r="F2285" s="2"/>
      <c r="G2285" s="2">
        <v>1.0</v>
      </c>
      <c r="H2285" s="2">
        <v>0.0</v>
      </c>
      <c r="I2285" s="2">
        <v>1.0</v>
      </c>
      <c r="J2285" s="2">
        <v>0.0</v>
      </c>
      <c r="K2285" s="2">
        <v>0.0</v>
      </c>
      <c r="L2285" s="2">
        <v>0.0</v>
      </c>
      <c r="M2285" s="2"/>
      <c r="N2285" s="2"/>
      <c r="O2285" s="2"/>
      <c r="P2285" s="2" t="s">
        <v>80</v>
      </c>
    </row>
    <row r="2286">
      <c r="A2286" s="3" t="s">
        <v>86</v>
      </c>
      <c r="B2286" s="4">
        <v>45140.29166666667</v>
      </c>
      <c r="C2286" s="2" t="s">
        <v>18</v>
      </c>
      <c r="D2286" s="2" t="s">
        <v>91</v>
      </c>
      <c r="E2286" s="2" t="s">
        <v>162</v>
      </c>
      <c r="F2286" s="2"/>
      <c r="G2286" s="2">
        <v>27.0</v>
      </c>
      <c r="H2286" s="2">
        <v>23.0</v>
      </c>
      <c r="I2286" s="2">
        <v>4.0</v>
      </c>
      <c r="J2286" s="2">
        <v>0.0</v>
      </c>
      <c r="K2286" s="2">
        <v>0.0</v>
      </c>
      <c r="L2286" s="2">
        <v>0.0</v>
      </c>
      <c r="M2286" s="2"/>
      <c r="N2286" s="2"/>
      <c r="O2286" s="2"/>
      <c r="P2286" s="2" t="s">
        <v>80</v>
      </c>
    </row>
    <row r="2287">
      <c r="A2287" s="3" t="s">
        <v>87</v>
      </c>
      <c r="B2287" s="4">
        <v>45170.29166666667</v>
      </c>
      <c r="C2287" s="2" t="s">
        <v>18</v>
      </c>
      <c r="D2287" s="2" t="s">
        <v>127</v>
      </c>
      <c r="E2287" s="2" t="s">
        <v>162</v>
      </c>
      <c r="F2287" s="2"/>
      <c r="G2287" s="2">
        <v>22.0</v>
      </c>
      <c r="H2287" s="2">
        <v>11.0</v>
      </c>
      <c r="I2287" s="2">
        <v>11.0</v>
      </c>
      <c r="J2287" s="2">
        <v>0.0</v>
      </c>
      <c r="K2287" s="2">
        <v>0.0</v>
      </c>
      <c r="L2287" s="2">
        <v>0.0</v>
      </c>
      <c r="M2287" s="2"/>
      <c r="N2287" s="2"/>
      <c r="O2287" s="2"/>
      <c r="P2287" s="2" t="s">
        <v>80</v>
      </c>
    </row>
    <row r="2288">
      <c r="A2288" s="3" t="s">
        <v>88</v>
      </c>
      <c r="B2288" s="4">
        <v>45170.29166666667</v>
      </c>
      <c r="C2288" s="2" t="s">
        <v>18</v>
      </c>
      <c r="D2288" s="2" t="s">
        <v>91</v>
      </c>
      <c r="E2288" s="2" t="s">
        <v>162</v>
      </c>
      <c r="F2288" s="2"/>
      <c r="G2288" s="2">
        <v>1.0</v>
      </c>
      <c r="H2288" s="2">
        <v>0.0</v>
      </c>
      <c r="I2288" s="2">
        <v>1.0</v>
      </c>
      <c r="J2288" s="2">
        <v>0.0</v>
      </c>
      <c r="K2288" s="2">
        <v>0.0</v>
      </c>
      <c r="L2288" s="2">
        <v>0.0</v>
      </c>
      <c r="M2288" s="2"/>
      <c r="N2288" s="2"/>
      <c r="O2288" s="2"/>
      <c r="P2288" s="2" t="s">
        <v>80</v>
      </c>
    </row>
    <row r="2289">
      <c r="A2289" s="3" t="s">
        <v>89</v>
      </c>
      <c r="B2289" s="4">
        <v>45200.29166666667</v>
      </c>
      <c r="C2289" s="2" t="s">
        <v>18</v>
      </c>
      <c r="D2289" s="2" t="s">
        <v>127</v>
      </c>
      <c r="E2289" s="2" t="s">
        <v>162</v>
      </c>
      <c r="F2289" s="2"/>
      <c r="G2289" s="2">
        <v>43.0</v>
      </c>
      <c r="H2289" s="2">
        <v>41.0</v>
      </c>
      <c r="I2289" s="2">
        <v>2.0</v>
      </c>
      <c r="J2289" s="2">
        <v>0.0</v>
      </c>
      <c r="K2289" s="2">
        <v>0.0</v>
      </c>
      <c r="L2289" s="2">
        <v>0.0</v>
      </c>
      <c r="M2289" s="2"/>
      <c r="N2289" s="2"/>
      <c r="O2289" s="2"/>
      <c r="P2289" s="2" t="s">
        <v>80</v>
      </c>
    </row>
    <row r="2290">
      <c r="A2290" s="3" t="s">
        <v>90</v>
      </c>
      <c r="B2290" s="4">
        <v>45201.29166666667</v>
      </c>
      <c r="C2290" s="2" t="s">
        <v>18</v>
      </c>
      <c r="D2290" s="2" t="s">
        <v>91</v>
      </c>
      <c r="E2290" s="2" t="s">
        <v>162</v>
      </c>
      <c r="F2290" s="2"/>
      <c r="G2290" s="2">
        <v>5.0</v>
      </c>
      <c r="H2290" s="2">
        <v>5.0</v>
      </c>
      <c r="I2290" s="2">
        <v>0.0</v>
      </c>
      <c r="J2290" s="2">
        <v>0.0</v>
      </c>
      <c r="K2290" s="2">
        <v>0.0</v>
      </c>
      <c r="L2290" s="2">
        <v>0.0</v>
      </c>
      <c r="M2290" s="2"/>
      <c r="N2290" s="2"/>
      <c r="O2290" s="2"/>
      <c r="P2290" s="2" t="s">
        <v>80</v>
      </c>
    </row>
    <row r="2291">
      <c r="A2291" s="3" t="s">
        <v>93</v>
      </c>
      <c r="B2291" s="4">
        <v>45231.25</v>
      </c>
      <c r="C2291" s="2" t="s">
        <v>18</v>
      </c>
      <c r="D2291" s="2" t="s">
        <v>127</v>
      </c>
      <c r="E2291" s="2" t="s">
        <v>162</v>
      </c>
      <c r="F2291" s="2"/>
      <c r="G2291" s="2">
        <v>36.0</v>
      </c>
      <c r="H2291" s="2">
        <v>28.0</v>
      </c>
      <c r="I2291" s="2">
        <v>8.0</v>
      </c>
      <c r="J2291" s="2">
        <v>0.0</v>
      </c>
      <c r="K2291" s="2">
        <v>0.0</v>
      </c>
      <c r="L2291" s="2">
        <v>0.0</v>
      </c>
      <c r="M2291" s="2"/>
      <c r="N2291" s="2"/>
      <c r="O2291" s="2"/>
      <c r="P2291" s="2" t="s">
        <v>80</v>
      </c>
    </row>
    <row r="2292">
      <c r="A2292" s="3" t="s">
        <v>16</v>
      </c>
      <c r="B2292" s="2" t="s">
        <v>17</v>
      </c>
      <c r="C2292" s="2" t="s">
        <v>18</v>
      </c>
      <c r="D2292" s="2" t="s">
        <v>19</v>
      </c>
      <c r="E2292" s="2" t="s">
        <v>147</v>
      </c>
      <c r="F2292" s="2">
        <v>36.0</v>
      </c>
      <c r="G2292" s="2">
        <v>88.0</v>
      </c>
      <c r="H2292" s="2">
        <v>37.0</v>
      </c>
      <c r="I2292" s="2">
        <v>51.0</v>
      </c>
      <c r="J2292" s="2">
        <v>0.0</v>
      </c>
      <c r="K2292" s="2">
        <v>0.0</v>
      </c>
      <c r="L2292" s="2">
        <v>0.0</v>
      </c>
      <c r="M2292" s="2">
        <v>-1.0</v>
      </c>
      <c r="N2292" s="2"/>
      <c r="O2292" s="2"/>
      <c r="P2292" s="2" t="s">
        <v>111</v>
      </c>
    </row>
    <row r="2293">
      <c r="A2293" s="3" t="s">
        <v>94</v>
      </c>
      <c r="B2293" s="2" t="s">
        <v>17</v>
      </c>
      <c r="C2293" s="2" t="s">
        <v>18</v>
      </c>
      <c r="D2293" s="2" t="s">
        <v>23</v>
      </c>
      <c r="E2293" s="2" t="s">
        <v>147</v>
      </c>
      <c r="F2293" s="2">
        <v>36.0</v>
      </c>
      <c r="G2293" s="2">
        <v>88.0</v>
      </c>
      <c r="H2293" s="2">
        <v>37.0</v>
      </c>
      <c r="I2293" s="2">
        <v>51.0</v>
      </c>
      <c r="J2293" s="2">
        <v>0.0</v>
      </c>
      <c r="K2293" s="2">
        <v>0.0</v>
      </c>
      <c r="L2293" s="2">
        <v>0.0</v>
      </c>
      <c r="M2293" s="2">
        <v>-1.0</v>
      </c>
      <c r="N2293" s="2">
        <v>0.0</v>
      </c>
      <c r="O2293" s="2">
        <v>-38.0</v>
      </c>
      <c r="P2293" s="2" t="s">
        <v>111</v>
      </c>
    </row>
    <row r="2294">
      <c r="A2294" s="3" t="s">
        <v>95</v>
      </c>
      <c r="B2294" s="4">
        <v>45201.29166666667</v>
      </c>
      <c r="C2294" s="2" t="s">
        <v>18</v>
      </c>
      <c r="D2294" s="2" t="s">
        <v>19</v>
      </c>
      <c r="E2294" s="2" t="s">
        <v>147</v>
      </c>
      <c r="F2294" s="2"/>
      <c r="G2294" s="2">
        <v>78.0</v>
      </c>
      <c r="H2294" s="2">
        <v>29.0</v>
      </c>
      <c r="I2294" s="2">
        <v>49.0</v>
      </c>
      <c r="J2294" s="2">
        <v>0.0</v>
      </c>
      <c r="K2294" s="2">
        <v>0.0</v>
      </c>
      <c r="L2294" s="2">
        <v>0.0</v>
      </c>
      <c r="M2294" s="2"/>
      <c r="N2294" s="2"/>
      <c r="O2294" s="2"/>
      <c r="P2294" s="2" t="s">
        <v>111</v>
      </c>
    </row>
    <row r="2295">
      <c r="A2295" s="3" t="s">
        <v>97</v>
      </c>
      <c r="B2295" s="4">
        <v>45232.25</v>
      </c>
      <c r="C2295" s="2" t="s">
        <v>18</v>
      </c>
      <c r="D2295" s="2" t="s">
        <v>19</v>
      </c>
      <c r="E2295" s="2" t="s">
        <v>147</v>
      </c>
      <c r="F2295" s="2"/>
      <c r="G2295" s="2">
        <v>10.0</v>
      </c>
      <c r="H2295" s="2">
        <v>8.0</v>
      </c>
      <c r="I2295" s="2">
        <v>2.0</v>
      </c>
      <c r="J2295" s="2">
        <v>0.0</v>
      </c>
      <c r="K2295" s="2">
        <v>0.0</v>
      </c>
      <c r="L2295" s="2">
        <v>0.0</v>
      </c>
      <c r="M2295" s="2"/>
      <c r="N2295" s="2"/>
      <c r="O2295" s="2"/>
      <c r="P2295" s="2" t="s">
        <v>111</v>
      </c>
    </row>
    <row r="2296">
      <c r="A2296" s="3" t="s">
        <v>98</v>
      </c>
      <c r="B2296" s="2" t="s">
        <v>17</v>
      </c>
      <c r="C2296" s="2" t="s">
        <v>148</v>
      </c>
      <c r="D2296" s="2" t="s">
        <v>19</v>
      </c>
      <c r="E2296" s="2" t="s">
        <v>27</v>
      </c>
      <c r="F2296" s="2">
        <v>0.0</v>
      </c>
      <c r="G2296" s="2">
        <v>0.0</v>
      </c>
      <c r="H2296" s="2">
        <v>0.0</v>
      </c>
      <c r="I2296" s="2">
        <v>0.0</v>
      </c>
      <c r="J2296" s="2">
        <v>0.0</v>
      </c>
      <c r="K2296" s="2">
        <v>0.0</v>
      </c>
      <c r="L2296" s="2">
        <v>0.0</v>
      </c>
      <c r="M2296" s="2">
        <v>0.0</v>
      </c>
      <c r="N2296" s="2"/>
      <c r="O2296" s="2"/>
      <c r="P2296" s="2" t="s">
        <v>80</v>
      </c>
    </row>
    <row r="2297">
      <c r="A2297" s="3" t="s">
        <v>99</v>
      </c>
      <c r="B2297" s="2" t="s">
        <v>17</v>
      </c>
      <c r="C2297" s="2" t="s">
        <v>57</v>
      </c>
      <c r="D2297" s="2" t="s">
        <v>19</v>
      </c>
      <c r="E2297" s="2" t="s">
        <v>155</v>
      </c>
      <c r="F2297" s="2">
        <v>20.0</v>
      </c>
      <c r="G2297" s="2">
        <v>32.0</v>
      </c>
      <c r="H2297" s="2">
        <v>20.0</v>
      </c>
      <c r="I2297" s="2">
        <v>12.0</v>
      </c>
      <c r="J2297" s="2">
        <v>0.0</v>
      </c>
      <c r="K2297" s="2">
        <v>0.0</v>
      </c>
      <c r="L2297" s="2">
        <v>3.0</v>
      </c>
      <c r="M2297" s="2">
        <v>0.0</v>
      </c>
      <c r="N2297" s="2"/>
      <c r="O2297" s="2"/>
      <c r="P2297" s="2" t="s">
        <v>80</v>
      </c>
    </row>
    <row r="2298">
      <c r="A2298" s="3" t="s">
        <v>100</v>
      </c>
      <c r="B2298" s="2" t="s">
        <v>17</v>
      </c>
      <c r="C2298" s="2" t="s">
        <v>18</v>
      </c>
      <c r="D2298" s="2" t="s">
        <v>19</v>
      </c>
      <c r="E2298" s="2" t="s">
        <v>50</v>
      </c>
      <c r="F2298" s="2">
        <v>30.0</v>
      </c>
      <c r="G2298" s="2">
        <v>33.0</v>
      </c>
      <c r="H2298" s="2">
        <v>26.0</v>
      </c>
      <c r="I2298" s="2">
        <v>7.0</v>
      </c>
      <c r="J2298" s="2">
        <v>0.0</v>
      </c>
      <c r="K2298" s="2">
        <v>0.0</v>
      </c>
      <c r="L2298" s="2">
        <v>1.0</v>
      </c>
      <c r="M2298" s="2">
        <v>4.0</v>
      </c>
      <c r="N2298" s="2"/>
      <c r="O2298" s="2"/>
      <c r="P2298" s="2" t="s">
        <v>80</v>
      </c>
    </row>
    <row r="2299">
      <c r="A2299" s="3" t="s">
        <v>101</v>
      </c>
      <c r="B2299" s="2" t="s">
        <v>17</v>
      </c>
      <c r="C2299" s="2" t="s">
        <v>148</v>
      </c>
      <c r="D2299" s="2" t="s">
        <v>23</v>
      </c>
      <c r="E2299" s="2" t="s">
        <v>27</v>
      </c>
      <c r="F2299" s="2">
        <v>0.0</v>
      </c>
      <c r="G2299" s="2">
        <v>0.0</v>
      </c>
      <c r="H2299" s="2">
        <v>0.0</v>
      </c>
      <c r="I2299" s="2">
        <v>0.0</v>
      </c>
      <c r="J2299" s="2">
        <v>0.0</v>
      </c>
      <c r="K2299" s="2">
        <v>0.0</v>
      </c>
      <c r="L2299" s="2">
        <v>0.0</v>
      </c>
      <c r="M2299" s="2">
        <v>0.0</v>
      </c>
      <c r="N2299" s="2">
        <v>0.0</v>
      </c>
      <c r="O2299" s="2">
        <v>0.0</v>
      </c>
      <c r="P2299" s="2" t="s">
        <v>80</v>
      </c>
    </row>
    <row r="2300">
      <c r="A2300" s="3" t="s">
        <v>102</v>
      </c>
      <c r="B2300" s="2" t="s">
        <v>17</v>
      </c>
      <c r="C2300" s="2" t="s">
        <v>57</v>
      </c>
      <c r="D2300" s="2" t="s">
        <v>23</v>
      </c>
      <c r="E2300" s="2" t="s">
        <v>155</v>
      </c>
      <c r="F2300" s="2">
        <v>20.0</v>
      </c>
      <c r="G2300" s="2">
        <v>32.0</v>
      </c>
      <c r="H2300" s="2">
        <v>20.0</v>
      </c>
      <c r="I2300" s="2">
        <v>12.0</v>
      </c>
      <c r="J2300" s="2">
        <v>0.0</v>
      </c>
      <c r="K2300" s="2">
        <v>0.0</v>
      </c>
      <c r="L2300" s="2">
        <v>3.0</v>
      </c>
      <c r="M2300" s="2">
        <v>0.0</v>
      </c>
      <c r="N2300" s="2">
        <v>0.0</v>
      </c>
      <c r="O2300" s="2">
        <v>-20.0</v>
      </c>
      <c r="P2300" s="2" t="s">
        <v>80</v>
      </c>
    </row>
    <row r="2301">
      <c r="A2301" s="3" t="s">
        <v>103</v>
      </c>
      <c r="B2301" s="2" t="s">
        <v>17</v>
      </c>
      <c r="C2301" s="2" t="s">
        <v>18</v>
      </c>
      <c r="D2301" s="2" t="s">
        <v>23</v>
      </c>
      <c r="E2301" s="2" t="s">
        <v>50</v>
      </c>
      <c r="F2301" s="2">
        <v>30.0</v>
      </c>
      <c r="G2301" s="2">
        <v>33.0</v>
      </c>
      <c r="H2301" s="2">
        <v>26.0</v>
      </c>
      <c r="I2301" s="2">
        <v>7.0</v>
      </c>
      <c r="J2301" s="2">
        <v>0.0</v>
      </c>
      <c r="K2301" s="2">
        <v>0.0</v>
      </c>
      <c r="L2301" s="2">
        <v>1.0</v>
      </c>
      <c r="M2301" s="2">
        <v>4.0</v>
      </c>
      <c r="N2301" s="2">
        <v>0.0</v>
      </c>
      <c r="O2301" s="2">
        <v>-22.0</v>
      </c>
      <c r="P2301" s="2" t="s">
        <v>80</v>
      </c>
    </row>
    <row r="2302">
      <c r="A2302" s="3" t="s">
        <v>104</v>
      </c>
      <c r="B2302" s="4">
        <v>45140.29166666667</v>
      </c>
      <c r="C2302" s="2" t="s">
        <v>18</v>
      </c>
      <c r="D2302" s="2" t="s">
        <v>19</v>
      </c>
      <c r="E2302" s="2" t="s">
        <v>27</v>
      </c>
      <c r="F2302" s="2"/>
      <c r="G2302" s="2">
        <v>0.0</v>
      </c>
      <c r="H2302" s="2">
        <v>0.0</v>
      </c>
      <c r="I2302" s="2">
        <v>0.0</v>
      </c>
      <c r="J2302" s="2">
        <v>0.0</v>
      </c>
      <c r="K2302" s="2">
        <v>0.0</v>
      </c>
      <c r="L2302" s="2">
        <v>0.0</v>
      </c>
      <c r="M2302" s="2"/>
      <c r="N2302" s="2"/>
      <c r="O2302" s="2"/>
      <c r="P2302" s="2" t="s">
        <v>80</v>
      </c>
    </row>
    <row r="2303">
      <c r="A2303" s="3" t="s">
        <v>105</v>
      </c>
      <c r="B2303" s="4">
        <v>45141.29166666667</v>
      </c>
      <c r="C2303" s="2" t="s">
        <v>18</v>
      </c>
      <c r="D2303" s="2" t="s">
        <v>19</v>
      </c>
      <c r="E2303" s="2" t="s">
        <v>155</v>
      </c>
      <c r="F2303" s="2"/>
      <c r="G2303" s="2">
        <v>7.0</v>
      </c>
      <c r="H2303" s="2">
        <v>5.0</v>
      </c>
      <c r="I2303" s="2">
        <v>2.0</v>
      </c>
      <c r="J2303" s="2">
        <v>0.0</v>
      </c>
      <c r="K2303" s="2">
        <v>0.0</v>
      </c>
      <c r="L2303" s="2">
        <v>0.0</v>
      </c>
      <c r="M2303" s="2"/>
      <c r="N2303" s="2"/>
      <c r="O2303" s="2"/>
      <c r="P2303" s="2" t="s">
        <v>80</v>
      </c>
    </row>
    <row r="2304">
      <c r="A2304" s="3" t="s">
        <v>106</v>
      </c>
      <c r="B2304" s="4">
        <v>45142.29166666667</v>
      </c>
      <c r="C2304" s="2" t="s">
        <v>18</v>
      </c>
      <c r="D2304" s="2" t="s">
        <v>19</v>
      </c>
      <c r="E2304" s="2" t="s">
        <v>50</v>
      </c>
      <c r="F2304" s="2"/>
      <c r="G2304" s="2">
        <v>10.0</v>
      </c>
      <c r="H2304" s="2">
        <v>9.0</v>
      </c>
      <c r="I2304" s="2">
        <v>1.0</v>
      </c>
      <c r="J2304" s="2">
        <v>0.0</v>
      </c>
      <c r="K2304" s="2">
        <v>0.0</v>
      </c>
      <c r="L2304" s="2">
        <v>0.0</v>
      </c>
      <c r="M2304" s="2"/>
      <c r="N2304" s="2"/>
      <c r="O2304" s="2"/>
      <c r="P2304" s="2" t="s">
        <v>80</v>
      </c>
    </row>
    <row r="2305">
      <c r="A2305" s="3" t="s">
        <v>107</v>
      </c>
      <c r="B2305" s="4">
        <v>45172.29166666667</v>
      </c>
      <c r="C2305" s="2" t="s">
        <v>18</v>
      </c>
      <c r="D2305" s="2" t="s">
        <v>19</v>
      </c>
      <c r="E2305" s="2" t="s">
        <v>155</v>
      </c>
      <c r="F2305" s="2"/>
      <c r="G2305" s="2">
        <v>16.0</v>
      </c>
      <c r="H2305" s="2">
        <v>10.0</v>
      </c>
      <c r="I2305" s="2">
        <v>6.0</v>
      </c>
      <c r="J2305" s="2">
        <v>0.0</v>
      </c>
      <c r="K2305" s="2">
        <v>0.0</v>
      </c>
      <c r="L2305" s="2">
        <v>1.0</v>
      </c>
      <c r="M2305" s="2"/>
      <c r="N2305" s="2"/>
      <c r="O2305" s="2"/>
      <c r="P2305" s="2" t="s">
        <v>80</v>
      </c>
    </row>
    <row r="2306">
      <c r="A2306" s="3" t="s">
        <v>108</v>
      </c>
      <c r="B2306" s="4">
        <v>45173.29166666667</v>
      </c>
      <c r="C2306" s="2" t="s">
        <v>18</v>
      </c>
      <c r="D2306" s="2" t="s">
        <v>19</v>
      </c>
      <c r="E2306" s="2" t="s">
        <v>50</v>
      </c>
      <c r="F2306" s="2"/>
      <c r="G2306" s="2">
        <v>11.0</v>
      </c>
      <c r="H2306" s="2">
        <v>8.0</v>
      </c>
      <c r="I2306" s="2">
        <v>3.0</v>
      </c>
      <c r="J2306" s="2">
        <v>0.0</v>
      </c>
      <c r="K2306" s="2">
        <v>0.0</v>
      </c>
      <c r="L2306" s="2">
        <v>1.0</v>
      </c>
      <c r="M2306" s="2"/>
      <c r="N2306" s="2"/>
      <c r="O2306" s="2"/>
      <c r="P2306" s="2" t="s">
        <v>80</v>
      </c>
    </row>
    <row r="2307">
      <c r="A2307" s="3" t="s">
        <v>112</v>
      </c>
      <c r="B2307" s="4">
        <v>45201.29166666667</v>
      </c>
      <c r="C2307" s="2" t="s">
        <v>18</v>
      </c>
      <c r="D2307" s="2" t="s">
        <v>19</v>
      </c>
      <c r="E2307" s="2" t="s">
        <v>155</v>
      </c>
      <c r="F2307" s="2"/>
      <c r="G2307" s="2">
        <v>9.0</v>
      </c>
      <c r="H2307" s="2">
        <v>5.0</v>
      </c>
      <c r="I2307" s="2">
        <v>4.0</v>
      </c>
      <c r="J2307" s="2">
        <v>0.0</v>
      </c>
      <c r="K2307" s="2">
        <v>0.0</v>
      </c>
      <c r="L2307" s="2">
        <v>2.0</v>
      </c>
      <c r="M2307" s="2"/>
      <c r="N2307" s="2"/>
      <c r="O2307" s="2"/>
      <c r="P2307" s="2" t="s">
        <v>80</v>
      </c>
    </row>
    <row r="2308">
      <c r="A2308" s="3" t="s">
        <v>115</v>
      </c>
      <c r="B2308" s="4">
        <v>45202.29166666667</v>
      </c>
      <c r="C2308" s="2" t="s">
        <v>18</v>
      </c>
      <c r="D2308" s="2" t="s">
        <v>19</v>
      </c>
      <c r="E2308" s="2" t="s">
        <v>50</v>
      </c>
      <c r="F2308" s="2"/>
      <c r="G2308" s="2">
        <v>12.0</v>
      </c>
      <c r="H2308" s="2">
        <v>9.0</v>
      </c>
      <c r="I2308" s="2">
        <v>3.0</v>
      </c>
      <c r="J2308" s="2">
        <v>0.0</v>
      </c>
      <c r="K2308" s="2">
        <v>0.0</v>
      </c>
      <c r="L2308" s="2">
        <v>0.0</v>
      </c>
      <c r="M2308" s="2"/>
      <c r="N2308" s="2"/>
      <c r="O2308" s="2"/>
      <c r="P2308" s="2" t="s">
        <v>80</v>
      </c>
    </row>
    <row r="2309">
      <c r="A2309" s="3" t="s">
        <v>117</v>
      </c>
      <c r="B2309" s="2" t="s">
        <v>17</v>
      </c>
      <c r="C2309" s="2" t="s">
        <v>18</v>
      </c>
      <c r="D2309" s="2" t="s">
        <v>30</v>
      </c>
      <c r="E2309" s="2" t="s">
        <v>170</v>
      </c>
      <c r="F2309" s="2">
        <v>241.0</v>
      </c>
      <c r="G2309" s="2">
        <v>464.0</v>
      </c>
      <c r="H2309" s="2">
        <v>219.0</v>
      </c>
      <c r="I2309" s="2">
        <v>221.0</v>
      </c>
      <c r="J2309" s="2">
        <v>24.0</v>
      </c>
      <c r="K2309" s="2">
        <v>0.0</v>
      </c>
      <c r="L2309" s="2">
        <v>0.0</v>
      </c>
      <c r="M2309" s="2">
        <v>22.0</v>
      </c>
      <c r="N2309" s="2"/>
      <c r="O2309" s="2"/>
      <c r="P2309" s="2" t="s">
        <v>67</v>
      </c>
    </row>
    <row r="2310">
      <c r="A2310" s="3" t="s">
        <v>119</v>
      </c>
      <c r="B2310" s="2" t="s">
        <v>17</v>
      </c>
      <c r="C2310" s="2" t="s">
        <v>18</v>
      </c>
      <c r="D2310" s="2" t="s">
        <v>23</v>
      </c>
      <c r="E2310" s="2" t="s">
        <v>170</v>
      </c>
      <c r="F2310" s="2">
        <v>241.0</v>
      </c>
      <c r="G2310" s="2">
        <v>464.0</v>
      </c>
      <c r="H2310" s="2">
        <v>219.0</v>
      </c>
      <c r="I2310" s="2">
        <v>221.0</v>
      </c>
      <c r="J2310" s="2">
        <v>24.0</v>
      </c>
      <c r="K2310" s="2">
        <v>0.0</v>
      </c>
      <c r="L2310" s="2">
        <v>0.0</v>
      </c>
      <c r="M2310" s="2">
        <v>22.0</v>
      </c>
      <c r="N2310" s="2">
        <v>0.0</v>
      </c>
      <c r="O2310" s="2">
        <v>-197.0</v>
      </c>
      <c r="P2310" s="2" t="s">
        <v>67</v>
      </c>
    </row>
    <row r="2311">
      <c r="A2311" s="3" t="s">
        <v>121</v>
      </c>
      <c r="B2311" s="4">
        <v>44987.29166666667</v>
      </c>
      <c r="C2311" s="2" t="s">
        <v>18</v>
      </c>
      <c r="D2311" s="2" t="s">
        <v>30</v>
      </c>
      <c r="E2311" s="2" t="s">
        <v>170</v>
      </c>
      <c r="F2311" s="2"/>
      <c r="G2311" s="2">
        <v>92.0</v>
      </c>
      <c r="H2311" s="2">
        <v>41.0</v>
      </c>
      <c r="I2311" s="2">
        <v>47.0</v>
      </c>
      <c r="J2311" s="2">
        <v>4.0</v>
      </c>
      <c r="K2311" s="2">
        <v>0.0</v>
      </c>
      <c r="L2311" s="2">
        <v>0.0</v>
      </c>
      <c r="M2311" s="2"/>
      <c r="N2311" s="2"/>
      <c r="O2311" s="2"/>
      <c r="P2311" s="2" t="s">
        <v>67</v>
      </c>
    </row>
    <row r="2312">
      <c r="A2312" s="3" t="s">
        <v>16</v>
      </c>
      <c r="B2312" s="4">
        <v>45046.29166666667</v>
      </c>
      <c r="C2312" s="2" t="s">
        <v>18</v>
      </c>
      <c r="D2312" s="2" t="s">
        <v>30</v>
      </c>
      <c r="E2312" s="2" t="s">
        <v>170</v>
      </c>
      <c r="F2312" s="2"/>
      <c r="G2312" s="2">
        <v>285.0</v>
      </c>
      <c r="H2312" s="2">
        <v>130.0</v>
      </c>
      <c r="I2312" s="2">
        <v>137.0</v>
      </c>
      <c r="J2312" s="2">
        <v>18.0</v>
      </c>
      <c r="K2312" s="2">
        <v>0.0</v>
      </c>
      <c r="L2312" s="2">
        <v>0.0</v>
      </c>
      <c r="M2312" s="2"/>
      <c r="N2312" s="2"/>
      <c r="O2312" s="2"/>
      <c r="P2312" s="2" t="s">
        <v>67</v>
      </c>
    </row>
    <row r="2313">
      <c r="A2313" s="3" t="s">
        <v>124</v>
      </c>
      <c r="B2313" s="4">
        <v>45048.29166666667</v>
      </c>
      <c r="C2313" s="2" t="s">
        <v>18</v>
      </c>
      <c r="D2313" s="2" t="s">
        <v>30</v>
      </c>
      <c r="E2313" s="2" t="s">
        <v>170</v>
      </c>
      <c r="F2313" s="2"/>
      <c r="G2313" s="2">
        <v>69.0</v>
      </c>
      <c r="H2313" s="2">
        <v>41.0</v>
      </c>
      <c r="I2313" s="2">
        <v>26.0</v>
      </c>
      <c r="J2313" s="2">
        <v>2.0</v>
      </c>
      <c r="K2313" s="2">
        <v>0.0</v>
      </c>
      <c r="L2313" s="2">
        <v>0.0</v>
      </c>
      <c r="M2313" s="2"/>
      <c r="N2313" s="2"/>
      <c r="O2313" s="2"/>
      <c r="P2313" s="2" t="s">
        <v>67</v>
      </c>
    </row>
    <row r="2314">
      <c r="A2314" s="3" t="s">
        <v>126</v>
      </c>
      <c r="B2314" s="4">
        <v>45079.29166666667</v>
      </c>
      <c r="C2314" s="2" t="s">
        <v>18</v>
      </c>
      <c r="D2314" s="2" t="s">
        <v>30</v>
      </c>
      <c r="E2314" s="2" t="s">
        <v>170</v>
      </c>
      <c r="F2314" s="2"/>
      <c r="G2314" s="2">
        <v>10.0</v>
      </c>
      <c r="H2314" s="2">
        <v>6.0</v>
      </c>
      <c r="I2314" s="2">
        <v>4.0</v>
      </c>
      <c r="J2314" s="2">
        <v>0.0</v>
      </c>
      <c r="K2314" s="2">
        <v>0.0</v>
      </c>
      <c r="L2314" s="2">
        <v>0.0</v>
      </c>
      <c r="M2314" s="2"/>
      <c r="N2314" s="2"/>
      <c r="O2314" s="2"/>
      <c r="P2314" s="2" t="s">
        <v>67</v>
      </c>
    </row>
    <row r="2315">
      <c r="A2315" s="3" t="s">
        <v>128</v>
      </c>
      <c r="B2315" s="4">
        <v>45111.29166666667</v>
      </c>
      <c r="C2315" s="2" t="s">
        <v>18</v>
      </c>
      <c r="D2315" s="2" t="s">
        <v>30</v>
      </c>
      <c r="E2315" s="2" t="s">
        <v>170</v>
      </c>
      <c r="F2315" s="2"/>
      <c r="G2315" s="2">
        <v>8.0</v>
      </c>
      <c r="H2315" s="2">
        <v>1.0</v>
      </c>
      <c r="I2315" s="2">
        <v>7.0</v>
      </c>
      <c r="J2315" s="2">
        <v>0.0</v>
      </c>
      <c r="K2315" s="2">
        <v>0.0</v>
      </c>
      <c r="L2315" s="2">
        <v>0.0</v>
      </c>
      <c r="M2315" s="2"/>
      <c r="N2315" s="2"/>
      <c r="O2315" s="2"/>
      <c r="P2315" s="2" t="s">
        <v>67</v>
      </c>
    </row>
    <row r="2316">
      <c r="A2316" s="3" t="s">
        <v>129</v>
      </c>
      <c r="B2316" s="2" t="s">
        <v>17</v>
      </c>
      <c r="C2316" s="2" t="s">
        <v>148</v>
      </c>
      <c r="D2316" s="2" t="s">
        <v>19</v>
      </c>
      <c r="E2316" s="2" t="s">
        <v>265</v>
      </c>
      <c r="F2316" s="2">
        <v>18.0</v>
      </c>
      <c r="G2316" s="2">
        <v>0.0</v>
      </c>
      <c r="H2316" s="2">
        <v>0.0</v>
      </c>
      <c r="I2316" s="2">
        <v>0.0</v>
      </c>
      <c r="J2316" s="2">
        <v>0.0</v>
      </c>
      <c r="K2316" s="2">
        <v>0.0</v>
      </c>
      <c r="L2316" s="2">
        <v>0.0</v>
      </c>
      <c r="M2316" s="2">
        <v>18.0</v>
      </c>
      <c r="N2316" s="2"/>
      <c r="O2316" s="2"/>
      <c r="P2316" s="2" t="s">
        <v>195</v>
      </c>
    </row>
    <row r="2317">
      <c r="A2317" s="3" t="s">
        <v>130</v>
      </c>
      <c r="B2317" s="2" t="s">
        <v>17</v>
      </c>
      <c r="C2317" s="2" t="s">
        <v>18</v>
      </c>
      <c r="D2317" s="2" t="s">
        <v>30</v>
      </c>
      <c r="E2317" s="2" t="s">
        <v>265</v>
      </c>
      <c r="F2317" s="2">
        <v>18.0</v>
      </c>
      <c r="G2317" s="2">
        <v>2.0</v>
      </c>
      <c r="H2317" s="2">
        <v>0.0</v>
      </c>
      <c r="I2317" s="2">
        <v>2.0</v>
      </c>
      <c r="J2317" s="2">
        <v>0.0</v>
      </c>
      <c r="K2317" s="2">
        <v>0.0</v>
      </c>
      <c r="L2317" s="2">
        <v>0.0</v>
      </c>
      <c r="M2317" s="2">
        <v>18.0</v>
      </c>
      <c r="N2317" s="2"/>
      <c r="O2317" s="2"/>
      <c r="P2317" s="2" t="s">
        <v>195</v>
      </c>
    </row>
    <row r="2318">
      <c r="A2318" s="3" t="s">
        <v>131</v>
      </c>
      <c r="B2318" s="2" t="s">
        <v>17</v>
      </c>
      <c r="C2318" s="2" t="s">
        <v>18</v>
      </c>
      <c r="D2318" s="2" t="s">
        <v>23</v>
      </c>
      <c r="E2318" s="2" t="s">
        <v>265</v>
      </c>
      <c r="F2318" s="2">
        <v>18.0</v>
      </c>
      <c r="G2318" s="2">
        <v>3.0</v>
      </c>
      <c r="H2318" s="2">
        <v>1.0</v>
      </c>
      <c r="I2318" s="2">
        <v>2.0</v>
      </c>
      <c r="J2318" s="2">
        <v>0.0</v>
      </c>
      <c r="K2318" s="2">
        <v>0.0</v>
      </c>
      <c r="L2318" s="2">
        <v>0.0</v>
      </c>
      <c r="M2318" s="2">
        <v>17.0</v>
      </c>
      <c r="N2318" s="2">
        <v>-18.0</v>
      </c>
      <c r="O2318" s="2">
        <v>18.0</v>
      </c>
      <c r="P2318" s="2" t="s">
        <v>195</v>
      </c>
    </row>
    <row r="2319">
      <c r="A2319" s="3" t="s">
        <v>132</v>
      </c>
      <c r="B2319" s="4">
        <v>45140.29166666667</v>
      </c>
      <c r="C2319" s="2" t="s">
        <v>148</v>
      </c>
      <c r="D2319" s="2" t="s">
        <v>19</v>
      </c>
      <c r="E2319" s="2" t="s">
        <v>265</v>
      </c>
      <c r="F2319" s="2"/>
      <c r="G2319" s="2">
        <v>0.0</v>
      </c>
      <c r="H2319" s="2">
        <v>0.0</v>
      </c>
      <c r="I2319" s="2">
        <v>0.0</v>
      </c>
      <c r="J2319" s="2">
        <v>0.0</v>
      </c>
      <c r="K2319" s="2">
        <v>0.0</v>
      </c>
      <c r="L2319" s="2">
        <v>0.0</v>
      </c>
      <c r="M2319" s="2"/>
      <c r="N2319" s="2"/>
      <c r="O2319" s="2"/>
      <c r="P2319" s="2" t="s">
        <v>195</v>
      </c>
    </row>
    <row r="2320">
      <c r="A2320" s="3" t="s">
        <v>133</v>
      </c>
      <c r="B2320" s="4">
        <v>45170.29166666667</v>
      </c>
      <c r="C2320" s="2" t="s">
        <v>18</v>
      </c>
      <c r="D2320" s="2" t="s">
        <v>30</v>
      </c>
      <c r="E2320" s="2" t="s">
        <v>265</v>
      </c>
      <c r="F2320" s="2"/>
      <c r="G2320" s="2">
        <v>2.0</v>
      </c>
      <c r="H2320" s="2">
        <v>0.0</v>
      </c>
      <c r="I2320" s="2">
        <v>2.0</v>
      </c>
      <c r="J2320" s="2">
        <v>0.0</v>
      </c>
      <c r="K2320" s="2">
        <v>0.0</v>
      </c>
      <c r="L2320" s="2">
        <v>0.0</v>
      </c>
      <c r="M2320" s="2"/>
      <c r="N2320" s="2"/>
      <c r="O2320" s="2"/>
      <c r="P2320" s="2" t="s">
        <v>195</v>
      </c>
    </row>
    <row r="2321">
      <c r="A2321" s="3" t="s">
        <v>134</v>
      </c>
      <c r="B2321" s="4">
        <v>45200.29166666667</v>
      </c>
      <c r="C2321" s="2" t="s">
        <v>18</v>
      </c>
      <c r="D2321" s="2" t="s">
        <v>30</v>
      </c>
      <c r="E2321" s="2" t="s">
        <v>265</v>
      </c>
      <c r="F2321" s="2"/>
      <c r="G2321" s="2">
        <v>0.0</v>
      </c>
      <c r="H2321" s="2">
        <v>0.0</v>
      </c>
      <c r="I2321" s="2">
        <v>0.0</v>
      </c>
      <c r="J2321" s="2">
        <v>0.0</v>
      </c>
      <c r="K2321" s="2">
        <v>0.0</v>
      </c>
      <c r="L2321" s="2">
        <v>0.0</v>
      </c>
      <c r="M2321" s="2"/>
      <c r="N2321" s="2"/>
      <c r="O2321" s="2"/>
      <c r="P2321" s="2" t="s">
        <v>195</v>
      </c>
    </row>
    <row r="2322">
      <c r="A2322" s="3" t="s">
        <v>136</v>
      </c>
      <c r="B2322" s="2" t="s">
        <v>17</v>
      </c>
      <c r="C2322" s="2" t="s">
        <v>18</v>
      </c>
      <c r="D2322" s="2" t="s">
        <v>19</v>
      </c>
      <c r="E2322" s="2" t="s">
        <v>162</v>
      </c>
      <c r="F2322" s="2">
        <v>88.0</v>
      </c>
      <c r="G2322" s="2">
        <v>73.0</v>
      </c>
      <c r="H2322" s="2">
        <v>44.0</v>
      </c>
      <c r="I2322" s="2">
        <v>29.0</v>
      </c>
      <c r="J2322" s="2">
        <v>0.0</v>
      </c>
      <c r="K2322" s="2">
        <v>0.0</v>
      </c>
      <c r="L2322" s="2">
        <v>0.0</v>
      </c>
      <c r="M2322" s="2">
        <v>44.0</v>
      </c>
      <c r="N2322" s="2"/>
      <c r="O2322" s="2"/>
      <c r="P2322" s="2" t="s">
        <v>195</v>
      </c>
    </row>
    <row r="2323">
      <c r="A2323" s="3" t="s">
        <v>137</v>
      </c>
      <c r="B2323" s="2" t="s">
        <v>17</v>
      </c>
      <c r="C2323" s="2" t="s">
        <v>18</v>
      </c>
      <c r="D2323" s="2" t="s">
        <v>157</v>
      </c>
      <c r="E2323" s="2" t="s">
        <v>162</v>
      </c>
      <c r="F2323" s="2">
        <v>20.0</v>
      </c>
      <c r="G2323" s="2">
        <v>10.0</v>
      </c>
      <c r="H2323" s="2">
        <v>7.0</v>
      </c>
      <c r="I2323" s="2">
        <v>3.0</v>
      </c>
      <c r="J2323" s="2">
        <v>0.0</v>
      </c>
      <c r="K2323" s="2">
        <v>0.0</v>
      </c>
      <c r="L2323" s="2">
        <v>0.0</v>
      </c>
      <c r="M2323" s="2">
        <v>13.0</v>
      </c>
      <c r="N2323" s="2"/>
      <c r="O2323" s="2"/>
      <c r="P2323" s="2" t="s">
        <v>195</v>
      </c>
    </row>
    <row r="2324">
      <c r="A2324" s="3" t="s">
        <v>138</v>
      </c>
      <c r="B2324" s="2" t="s">
        <v>17</v>
      </c>
      <c r="C2324" s="2" t="s">
        <v>18</v>
      </c>
      <c r="D2324" s="2" t="s">
        <v>30</v>
      </c>
      <c r="E2324" s="2" t="s">
        <v>162</v>
      </c>
      <c r="F2324" s="2">
        <v>20.0</v>
      </c>
      <c r="G2324" s="2">
        <v>11.0</v>
      </c>
      <c r="H2324" s="2">
        <v>10.0</v>
      </c>
      <c r="I2324" s="2">
        <v>1.0</v>
      </c>
      <c r="J2324" s="2">
        <v>0.0</v>
      </c>
      <c r="K2324" s="2">
        <v>0.0</v>
      </c>
      <c r="L2324" s="2">
        <v>0.0</v>
      </c>
      <c r="M2324" s="2">
        <v>10.0</v>
      </c>
      <c r="N2324" s="2"/>
      <c r="O2324" s="2"/>
      <c r="P2324" s="2" t="s">
        <v>195</v>
      </c>
    </row>
    <row r="2325">
      <c r="A2325" s="3" t="s">
        <v>139</v>
      </c>
      <c r="B2325" s="2" t="s">
        <v>17</v>
      </c>
      <c r="C2325" s="2" t="s">
        <v>18</v>
      </c>
      <c r="D2325" s="2" t="s">
        <v>23</v>
      </c>
      <c r="E2325" s="2" t="s">
        <v>162</v>
      </c>
      <c r="F2325" s="2">
        <v>88.0</v>
      </c>
      <c r="G2325" s="2">
        <v>94.0</v>
      </c>
      <c r="H2325" s="2">
        <v>61.0</v>
      </c>
      <c r="I2325" s="2">
        <v>33.0</v>
      </c>
      <c r="J2325" s="2">
        <v>0.0</v>
      </c>
      <c r="K2325" s="2">
        <v>0.0</v>
      </c>
      <c r="L2325" s="2">
        <v>0.0</v>
      </c>
      <c r="M2325" s="2">
        <v>27.0</v>
      </c>
      <c r="N2325" s="2">
        <v>-40.0</v>
      </c>
      <c r="O2325" s="2">
        <v>-34.0</v>
      </c>
      <c r="P2325" s="2" t="s">
        <v>195</v>
      </c>
    </row>
    <row r="2326">
      <c r="A2326" s="3" t="s">
        <v>140</v>
      </c>
      <c r="B2326" s="4">
        <v>45171.29166666667</v>
      </c>
      <c r="C2326" s="2" t="s">
        <v>18</v>
      </c>
      <c r="D2326" s="2" t="s">
        <v>19</v>
      </c>
      <c r="E2326" s="2" t="s">
        <v>162</v>
      </c>
      <c r="F2326" s="2"/>
      <c r="G2326" s="2">
        <v>73.0</v>
      </c>
      <c r="H2326" s="2">
        <v>44.0</v>
      </c>
      <c r="I2326" s="2">
        <v>29.0</v>
      </c>
      <c r="J2326" s="2">
        <v>0.0</v>
      </c>
      <c r="K2326" s="2">
        <v>0.0</v>
      </c>
      <c r="L2326" s="2">
        <v>0.0</v>
      </c>
      <c r="M2326" s="2"/>
      <c r="N2326" s="2"/>
      <c r="O2326" s="2"/>
      <c r="P2326" s="2" t="s">
        <v>195</v>
      </c>
    </row>
    <row r="2327">
      <c r="A2327" s="3" t="s">
        <v>141</v>
      </c>
      <c r="B2327" s="4">
        <v>45172.29166666667</v>
      </c>
      <c r="C2327" s="2" t="s">
        <v>18</v>
      </c>
      <c r="D2327" s="2" t="s">
        <v>30</v>
      </c>
      <c r="E2327" s="2" t="s">
        <v>162</v>
      </c>
      <c r="F2327" s="2"/>
      <c r="G2327" s="2">
        <v>11.0</v>
      </c>
      <c r="H2327" s="2">
        <v>10.0</v>
      </c>
      <c r="I2327" s="2">
        <v>1.0</v>
      </c>
      <c r="J2327" s="2">
        <v>0.0</v>
      </c>
      <c r="K2327" s="2">
        <v>0.0</v>
      </c>
      <c r="L2327" s="2">
        <v>0.0</v>
      </c>
      <c r="M2327" s="2"/>
      <c r="N2327" s="2"/>
      <c r="O2327" s="2"/>
      <c r="P2327" s="2" t="s">
        <v>195</v>
      </c>
    </row>
    <row r="2328">
      <c r="A2328" s="3" t="s">
        <v>142</v>
      </c>
      <c r="B2328" s="4">
        <v>45173.29166666667</v>
      </c>
      <c r="C2328" s="2" t="s">
        <v>18</v>
      </c>
      <c r="D2328" s="2" t="s">
        <v>157</v>
      </c>
      <c r="E2328" s="2" t="s">
        <v>162</v>
      </c>
      <c r="F2328" s="2"/>
      <c r="G2328" s="2">
        <v>10.0</v>
      </c>
      <c r="H2328" s="2">
        <v>7.0</v>
      </c>
      <c r="I2328" s="2">
        <v>3.0</v>
      </c>
      <c r="J2328" s="2">
        <v>0.0</v>
      </c>
      <c r="K2328" s="2">
        <v>0.0</v>
      </c>
      <c r="L2328" s="2">
        <v>0.0</v>
      </c>
      <c r="M2328" s="2"/>
      <c r="N2328" s="2"/>
      <c r="O2328" s="2"/>
      <c r="P2328" s="2" t="s">
        <v>195</v>
      </c>
    </row>
    <row r="2329">
      <c r="A2329" s="3" t="s">
        <v>143</v>
      </c>
      <c r="B2329" s="2" t="s">
        <v>17</v>
      </c>
      <c r="C2329" s="2" t="s">
        <v>148</v>
      </c>
      <c r="D2329" s="2" t="s">
        <v>19</v>
      </c>
      <c r="E2329" s="2" t="s">
        <v>265</v>
      </c>
      <c r="F2329" s="2">
        <v>67.0</v>
      </c>
      <c r="G2329" s="2">
        <v>0.0</v>
      </c>
      <c r="H2329" s="2">
        <v>0.0</v>
      </c>
      <c r="I2329" s="2">
        <v>0.0</v>
      </c>
      <c r="J2329" s="2">
        <v>0.0</v>
      </c>
      <c r="K2329" s="2">
        <v>0.0</v>
      </c>
      <c r="L2329" s="2">
        <v>0.0</v>
      </c>
      <c r="M2329" s="2">
        <v>67.0</v>
      </c>
      <c r="N2329" s="2"/>
      <c r="O2329" s="2"/>
      <c r="P2329" s="2" t="s">
        <v>195</v>
      </c>
    </row>
    <row r="2330">
      <c r="A2330" s="3" t="s">
        <v>144</v>
      </c>
      <c r="B2330" s="2" t="s">
        <v>17</v>
      </c>
      <c r="C2330" s="2" t="s">
        <v>18</v>
      </c>
      <c r="D2330" s="2" t="s">
        <v>157</v>
      </c>
      <c r="E2330" s="2" t="s">
        <v>265</v>
      </c>
      <c r="F2330" s="2">
        <v>67.0</v>
      </c>
      <c r="G2330" s="2">
        <v>12.0</v>
      </c>
      <c r="H2330" s="2">
        <v>11.0</v>
      </c>
      <c r="I2330" s="2">
        <v>1.0</v>
      </c>
      <c r="J2330" s="2">
        <v>0.0</v>
      </c>
      <c r="K2330" s="2">
        <v>0.0</v>
      </c>
      <c r="L2330" s="2">
        <v>0.0</v>
      </c>
      <c r="M2330" s="2">
        <v>56.0</v>
      </c>
      <c r="N2330" s="2"/>
      <c r="O2330" s="2"/>
      <c r="P2330" s="2" t="s">
        <v>195</v>
      </c>
    </row>
    <row r="2331">
      <c r="A2331" s="3" t="s">
        <v>145</v>
      </c>
      <c r="B2331" s="2" t="s">
        <v>17</v>
      </c>
      <c r="C2331" s="2" t="s">
        <v>18</v>
      </c>
      <c r="D2331" s="2" t="s">
        <v>23</v>
      </c>
      <c r="E2331" s="2" t="s">
        <v>265</v>
      </c>
      <c r="F2331" s="2">
        <v>67.0</v>
      </c>
      <c r="G2331" s="2">
        <v>12.0</v>
      </c>
      <c r="H2331" s="2">
        <v>11.0</v>
      </c>
      <c r="I2331" s="2">
        <v>1.0</v>
      </c>
      <c r="J2331" s="2">
        <v>0.0</v>
      </c>
      <c r="K2331" s="2">
        <v>0.0</v>
      </c>
      <c r="L2331" s="2">
        <v>0.0</v>
      </c>
      <c r="M2331" s="2">
        <v>56.0</v>
      </c>
      <c r="N2331" s="2">
        <v>-67.0</v>
      </c>
      <c r="O2331" s="2">
        <v>45.0</v>
      </c>
      <c r="P2331" s="2" t="s">
        <v>195</v>
      </c>
    </row>
    <row r="2332">
      <c r="A2332" s="3" t="s">
        <v>16</v>
      </c>
      <c r="B2332" s="4">
        <v>45140.29166666667</v>
      </c>
      <c r="C2332" s="2" t="s">
        <v>148</v>
      </c>
      <c r="D2332" s="2" t="s">
        <v>19</v>
      </c>
      <c r="E2332" s="2" t="s">
        <v>265</v>
      </c>
      <c r="F2332" s="2"/>
      <c r="G2332" s="2">
        <v>0.0</v>
      </c>
      <c r="H2332" s="2">
        <v>0.0</v>
      </c>
      <c r="I2332" s="2">
        <v>0.0</v>
      </c>
      <c r="J2332" s="2">
        <v>0.0</v>
      </c>
      <c r="K2332" s="2">
        <v>0.0</v>
      </c>
      <c r="L2332" s="2">
        <v>0.0</v>
      </c>
      <c r="M2332" s="2"/>
      <c r="N2332" s="2"/>
      <c r="O2332" s="2"/>
      <c r="P2332" s="2" t="s">
        <v>195</v>
      </c>
    </row>
    <row r="2333">
      <c r="A2333" s="3" t="s">
        <v>22</v>
      </c>
      <c r="B2333" s="4">
        <v>45141.29166666667</v>
      </c>
      <c r="C2333" s="2" t="s">
        <v>18</v>
      </c>
      <c r="D2333" s="2" t="s">
        <v>157</v>
      </c>
      <c r="E2333" s="2" t="s">
        <v>265</v>
      </c>
      <c r="F2333" s="2"/>
      <c r="G2333" s="2">
        <v>6.0</v>
      </c>
      <c r="H2333" s="2">
        <v>6.0</v>
      </c>
      <c r="I2333" s="2">
        <v>0.0</v>
      </c>
      <c r="J2333" s="2">
        <v>0.0</v>
      </c>
      <c r="K2333" s="2">
        <v>0.0</v>
      </c>
      <c r="L2333" s="2">
        <v>0.0</v>
      </c>
      <c r="M2333" s="2"/>
      <c r="N2333" s="2"/>
      <c r="O2333" s="2"/>
      <c r="P2333" s="2" t="s">
        <v>195</v>
      </c>
    </row>
    <row r="2334">
      <c r="A2334" s="3" t="s">
        <v>24</v>
      </c>
      <c r="B2334" s="4">
        <v>45170.29166666667</v>
      </c>
      <c r="C2334" s="2" t="s">
        <v>18</v>
      </c>
      <c r="D2334" s="2" t="s">
        <v>157</v>
      </c>
      <c r="E2334" s="2" t="s">
        <v>265</v>
      </c>
      <c r="F2334" s="2"/>
      <c r="G2334" s="2">
        <v>5.0</v>
      </c>
      <c r="H2334" s="2">
        <v>4.0</v>
      </c>
      <c r="I2334" s="2">
        <v>1.0</v>
      </c>
      <c r="J2334" s="2">
        <v>0.0</v>
      </c>
      <c r="K2334" s="2">
        <v>0.0</v>
      </c>
      <c r="L2334" s="2">
        <v>0.0</v>
      </c>
      <c r="M2334" s="2"/>
      <c r="N2334" s="2"/>
      <c r="O2334" s="2"/>
      <c r="P2334" s="2" t="s">
        <v>195</v>
      </c>
    </row>
    <row r="2335">
      <c r="A2335" s="3" t="s">
        <v>25</v>
      </c>
      <c r="B2335" s="4">
        <v>45200.29166666667</v>
      </c>
      <c r="C2335" s="2" t="s">
        <v>18</v>
      </c>
      <c r="D2335" s="2" t="s">
        <v>157</v>
      </c>
      <c r="E2335" s="2" t="s">
        <v>265</v>
      </c>
      <c r="F2335" s="2"/>
      <c r="G2335" s="2">
        <v>1.0</v>
      </c>
      <c r="H2335" s="2">
        <v>1.0</v>
      </c>
      <c r="I2335" s="2">
        <v>0.0</v>
      </c>
      <c r="J2335" s="2">
        <v>0.0</v>
      </c>
      <c r="K2335" s="2">
        <v>0.0</v>
      </c>
      <c r="L2335" s="2">
        <v>0.0</v>
      </c>
      <c r="M2335" s="2"/>
      <c r="N2335" s="2"/>
      <c r="O2335" s="2"/>
      <c r="P2335" s="2" t="s">
        <v>195</v>
      </c>
    </row>
    <row r="2336">
      <c r="A2336" s="3" t="s">
        <v>26</v>
      </c>
      <c r="B2336" s="2" t="s">
        <v>17</v>
      </c>
      <c r="C2336" s="2" t="s">
        <v>113</v>
      </c>
      <c r="D2336" s="2" t="s">
        <v>19</v>
      </c>
      <c r="E2336" s="2" t="s">
        <v>125</v>
      </c>
      <c r="F2336" s="2">
        <v>30.0</v>
      </c>
      <c r="G2336" s="2">
        <v>18.0</v>
      </c>
      <c r="H2336" s="2">
        <v>13.0</v>
      </c>
      <c r="I2336" s="2">
        <v>5.0</v>
      </c>
      <c r="J2336" s="2">
        <v>0.0</v>
      </c>
      <c r="K2336" s="2">
        <v>0.0</v>
      </c>
      <c r="L2336" s="2">
        <v>0.0</v>
      </c>
      <c r="M2336" s="2">
        <v>17.0</v>
      </c>
      <c r="N2336" s="2"/>
      <c r="O2336" s="2"/>
      <c r="P2336" s="2" t="s">
        <v>146</v>
      </c>
    </row>
    <row r="2337">
      <c r="A2337" s="3" t="s">
        <v>28</v>
      </c>
      <c r="B2337" s="2" t="s">
        <v>17</v>
      </c>
      <c r="C2337" s="2" t="s">
        <v>18</v>
      </c>
      <c r="D2337" s="2" t="s">
        <v>19</v>
      </c>
      <c r="E2337" s="2" t="s">
        <v>285</v>
      </c>
      <c r="F2337" s="2">
        <v>50.0</v>
      </c>
      <c r="G2337" s="2">
        <v>34.0</v>
      </c>
      <c r="H2337" s="2">
        <v>25.0</v>
      </c>
      <c r="I2337" s="2">
        <v>9.0</v>
      </c>
      <c r="J2337" s="2">
        <v>0.0</v>
      </c>
      <c r="K2337" s="2">
        <v>0.0</v>
      </c>
      <c r="L2337" s="2">
        <v>0.0</v>
      </c>
      <c r="M2337" s="2">
        <v>25.0</v>
      </c>
      <c r="N2337" s="2"/>
      <c r="O2337" s="2"/>
      <c r="P2337" s="2" t="s">
        <v>146</v>
      </c>
    </row>
    <row r="2338">
      <c r="A2338" s="3" t="s">
        <v>29</v>
      </c>
      <c r="B2338" s="2" t="s">
        <v>17</v>
      </c>
      <c r="C2338" s="2" t="s">
        <v>18</v>
      </c>
      <c r="D2338" s="2" t="s">
        <v>19</v>
      </c>
      <c r="E2338" s="2" t="s">
        <v>330</v>
      </c>
      <c r="F2338" s="2">
        <v>30.0</v>
      </c>
      <c r="G2338" s="2">
        <v>4.0</v>
      </c>
      <c r="H2338" s="2">
        <v>3.0</v>
      </c>
      <c r="I2338" s="2">
        <v>1.0</v>
      </c>
      <c r="J2338" s="2">
        <v>0.0</v>
      </c>
      <c r="K2338" s="2">
        <v>0.0</v>
      </c>
      <c r="L2338" s="2">
        <v>0.0</v>
      </c>
      <c r="M2338" s="2">
        <v>27.0</v>
      </c>
      <c r="N2338" s="2"/>
      <c r="O2338" s="2"/>
      <c r="P2338" s="2" t="s">
        <v>146</v>
      </c>
    </row>
    <row r="2339">
      <c r="A2339" s="3" t="s">
        <v>32</v>
      </c>
      <c r="B2339" s="2" t="s">
        <v>17</v>
      </c>
      <c r="C2339" s="2" t="s">
        <v>113</v>
      </c>
      <c r="D2339" s="2" t="s">
        <v>91</v>
      </c>
      <c r="E2339" s="2" t="s">
        <v>125</v>
      </c>
      <c r="F2339" s="2">
        <v>100.0</v>
      </c>
      <c r="G2339" s="2">
        <v>30.0</v>
      </c>
      <c r="H2339" s="2">
        <v>16.0</v>
      </c>
      <c r="I2339" s="2">
        <v>14.0</v>
      </c>
      <c r="J2339" s="2">
        <v>0.0</v>
      </c>
      <c r="K2339" s="2">
        <v>0.0</v>
      </c>
      <c r="L2339" s="2">
        <v>0.0</v>
      </c>
      <c r="M2339" s="2">
        <v>84.0</v>
      </c>
      <c r="N2339" s="2"/>
      <c r="O2339" s="2"/>
      <c r="P2339" s="2" t="s">
        <v>146</v>
      </c>
    </row>
    <row r="2340">
      <c r="A2340" s="3" t="s">
        <v>34</v>
      </c>
      <c r="B2340" s="2" t="s">
        <v>17</v>
      </c>
      <c r="C2340" s="2" t="s">
        <v>18</v>
      </c>
      <c r="D2340" s="2" t="s">
        <v>91</v>
      </c>
      <c r="E2340" s="2" t="s">
        <v>285</v>
      </c>
      <c r="F2340" s="2">
        <v>50.0</v>
      </c>
      <c r="G2340" s="2">
        <v>46.0</v>
      </c>
      <c r="H2340" s="2">
        <v>32.0</v>
      </c>
      <c r="I2340" s="2">
        <v>14.0</v>
      </c>
      <c r="J2340" s="2">
        <v>0.0</v>
      </c>
      <c r="K2340" s="2">
        <v>0.0</v>
      </c>
      <c r="L2340" s="2">
        <v>0.0</v>
      </c>
      <c r="M2340" s="2">
        <v>18.0</v>
      </c>
      <c r="N2340" s="2"/>
      <c r="O2340" s="2"/>
      <c r="P2340" s="2" t="s">
        <v>146</v>
      </c>
    </row>
    <row r="2341">
      <c r="A2341" s="3" t="s">
        <v>35</v>
      </c>
      <c r="B2341" s="2" t="s">
        <v>17</v>
      </c>
      <c r="C2341" s="2" t="s">
        <v>18</v>
      </c>
      <c r="D2341" s="2" t="s">
        <v>91</v>
      </c>
      <c r="E2341" s="2" t="s">
        <v>330</v>
      </c>
      <c r="F2341" s="2">
        <v>39.0</v>
      </c>
      <c r="G2341" s="2">
        <v>37.0</v>
      </c>
      <c r="H2341" s="2">
        <v>25.0</v>
      </c>
      <c r="I2341" s="2">
        <v>12.0</v>
      </c>
      <c r="J2341" s="2">
        <v>0.0</v>
      </c>
      <c r="K2341" s="2">
        <v>0.0</v>
      </c>
      <c r="L2341" s="2">
        <v>0.0</v>
      </c>
      <c r="M2341" s="2">
        <v>14.0</v>
      </c>
      <c r="N2341" s="2"/>
      <c r="O2341" s="2"/>
      <c r="P2341" s="2" t="s">
        <v>146</v>
      </c>
    </row>
    <row r="2342">
      <c r="A2342" s="3" t="s">
        <v>36</v>
      </c>
      <c r="B2342" s="2" t="s">
        <v>17</v>
      </c>
      <c r="C2342" s="2" t="s">
        <v>113</v>
      </c>
      <c r="D2342" s="2" t="s">
        <v>157</v>
      </c>
      <c r="E2342" s="2" t="s">
        <v>125</v>
      </c>
      <c r="F2342" s="2">
        <v>30.0</v>
      </c>
      <c r="G2342" s="2">
        <v>42.0</v>
      </c>
      <c r="H2342" s="2">
        <v>29.0</v>
      </c>
      <c r="I2342" s="2">
        <v>13.0</v>
      </c>
      <c r="J2342" s="2">
        <v>0.0</v>
      </c>
      <c r="K2342" s="2">
        <v>0.0</v>
      </c>
      <c r="L2342" s="2">
        <v>0.0</v>
      </c>
      <c r="M2342" s="2">
        <v>1.0</v>
      </c>
      <c r="N2342" s="2"/>
      <c r="O2342" s="2"/>
      <c r="P2342" s="2" t="s">
        <v>146</v>
      </c>
    </row>
    <row r="2343">
      <c r="A2343" s="3" t="s">
        <v>37</v>
      </c>
      <c r="B2343" s="2" t="s">
        <v>17</v>
      </c>
      <c r="C2343" s="2" t="s">
        <v>18</v>
      </c>
      <c r="D2343" s="2" t="s">
        <v>157</v>
      </c>
      <c r="E2343" s="2" t="s">
        <v>285</v>
      </c>
      <c r="F2343" s="2">
        <v>50.0</v>
      </c>
      <c r="G2343" s="2">
        <v>73.0</v>
      </c>
      <c r="H2343" s="2">
        <v>35.0</v>
      </c>
      <c r="I2343" s="2">
        <v>38.0</v>
      </c>
      <c r="J2343" s="2">
        <v>0.0</v>
      </c>
      <c r="K2343" s="2">
        <v>0.0</v>
      </c>
      <c r="L2343" s="2">
        <v>0.0</v>
      </c>
      <c r="M2343" s="2">
        <v>15.0</v>
      </c>
      <c r="N2343" s="2"/>
      <c r="O2343" s="2"/>
      <c r="P2343" s="2" t="s">
        <v>146</v>
      </c>
    </row>
    <row r="2344">
      <c r="A2344" s="3" t="s">
        <v>38</v>
      </c>
      <c r="B2344" s="2" t="s">
        <v>17</v>
      </c>
      <c r="C2344" s="2" t="s">
        <v>113</v>
      </c>
      <c r="D2344" s="2" t="s">
        <v>23</v>
      </c>
      <c r="E2344" s="2" t="s">
        <v>125</v>
      </c>
      <c r="F2344" s="2">
        <v>130.0</v>
      </c>
      <c r="G2344" s="2">
        <v>90.0</v>
      </c>
      <c r="H2344" s="2">
        <v>58.0</v>
      </c>
      <c r="I2344" s="2">
        <v>32.0</v>
      </c>
      <c r="J2344" s="2">
        <v>0.0</v>
      </c>
      <c r="K2344" s="2">
        <v>0.0</v>
      </c>
      <c r="L2344" s="2">
        <v>0.0</v>
      </c>
      <c r="M2344" s="2">
        <v>72.0</v>
      </c>
      <c r="N2344" s="2">
        <v>-30.0</v>
      </c>
      <c r="O2344" s="2">
        <v>14.0</v>
      </c>
      <c r="P2344" s="2" t="s">
        <v>146</v>
      </c>
    </row>
    <row r="2345">
      <c r="A2345" s="3" t="s">
        <v>39</v>
      </c>
      <c r="B2345" s="2" t="s">
        <v>17</v>
      </c>
      <c r="C2345" s="2" t="s">
        <v>18</v>
      </c>
      <c r="D2345" s="2" t="s">
        <v>23</v>
      </c>
      <c r="E2345" s="2" t="s">
        <v>285</v>
      </c>
      <c r="F2345" s="2">
        <v>100.0</v>
      </c>
      <c r="G2345" s="2">
        <v>153.0</v>
      </c>
      <c r="H2345" s="2">
        <v>92.0</v>
      </c>
      <c r="I2345" s="2">
        <v>61.0</v>
      </c>
      <c r="J2345" s="2">
        <v>0.0</v>
      </c>
      <c r="K2345" s="2">
        <v>0.0</v>
      </c>
      <c r="L2345" s="2">
        <v>0.0</v>
      </c>
      <c r="M2345" s="2">
        <v>8.0</v>
      </c>
      <c r="N2345" s="2">
        <v>-50.0</v>
      </c>
      <c r="O2345" s="2">
        <v>-119.0</v>
      </c>
      <c r="P2345" s="2" t="s">
        <v>146</v>
      </c>
    </row>
    <row r="2346">
      <c r="A2346" s="3" t="s">
        <v>40</v>
      </c>
      <c r="B2346" s="2" t="s">
        <v>17</v>
      </c>
      <c r="C2346" s="2" t="s">
        <v>18</v>
      </c>
      <c r="D2346" s="2" t="s">
        <v>23</v>
      </c>
      <c r="E2346" s="2" t="s">
        <v>330</v>
      </c>
      <c r="F2346" s="2">
        <v>40.0</v>
      </c>
      <c r="G2346" s="2">
        <v>41.0</v>
      </c>
      <c r="H2346" s="2">
        <v>28.0</v>
      </c>
      <c r="I2346" s="2">
        <v>13.0</v>
      </c>
      <c r="J2346" s="2">
        <v>0.0</v>
      </c>
      <c r="K2346" s="2">
        <v>0.0</v>
      </c>
      <c r="L2346" s="2">
        <v>0.0</v>
      </c>
      <c r="M2346" s="2">
        <v>12.0</v>
      </c>
      <c r="N2346" s="2">
        <v>-29.0</v>
      </c>
      <c r="O2346" s="2">
        <v>-16.0</v>
      </c>
      <c r="P2346" s="2" t="s">
        <v>146</v>
      </c>
    </row>
    <row r="2347">
      <c r="A2347" s="3" t="s">
        <v>41</v>
      </c>
      <c r="B2347" s="4">
        <v>45079.29166666667</v>
      </c>
      <c r="C2347" s="2" t="s">
        <v>18</v>
      </c>
      <c r="D2347" s="2" t="s">
        <v>19</v>
      </c>
      <c r="E2347" s="2" t="s">
        <v>125</v>
      </c>
      <c r="F2347" s="2"/>
      <c r="G2347" s="2">
        <v>18.0</v>
      </c>
      <c r="H2347" s="2">
        <v>13.0</v>
      </c>
      <c r="I2347" s="2">
        <v>5.0</v>
      </c>
      <c r="J2347" s="2">
        <v>0.0</v>
      </c>
      <c r="K2347" s="2">
        <v>0.0</v>
      </c>
      <c r="L2347" s="2">
        <v>0.0</v>
      </c>
      <c r="M2347" s="2"/>
      <c r="N2347" s="2"/>
      <c r="O2347" s="2"/>
      <c r="P2347" s="2" t="s">
        <v>146</v>
      </c>
    </row>
    <row r="2348">
      <c r="A2348" s="3" t="s">
        <v>42</v>
      </c>
      <c r="B2348" s="4">
        <v>45079.29166666667</v>
      </c>
      <c r="C2348" s="2" t="s">
        <v>18</v>
      </c>
      <c r="D2348" s="2" t="s">
        <v>19</v>
      </c>
      <c r="E2348" s="2" t="s">
        <v>285</v>
      </c>
      <c r="F2348" s="2"/>
      <c r="G2348" s="2">
        <v>7.0</v>
      </c>
      <c r="H2348" s="2">
        <v>3.0</v>
      </c>
      <c r="I2348" s="2">
        <v>4.0</v>
      </c>
      <c r="J2348" s="2">
        <v>0.0</v>
      </c>
      <c r="K2348" s="2">
        <v>0.0</v>
      </c>
      <c r="L2348" s="2">
        <v>0.0</v>
      </c>
      <c r="M2348" s="2"/>
      <c r="N2348" s="2"/>
      <c r="O2348" s="2"/>
      <c r="P2348" s="2" t="s">
        <v>146</v>
      </c>
    </row>
    <row r="2349">
      <c r="A2349" s="3" t="s">
        <v>43</v>
      </c>
      <c r="B2349" s="4">
        <v>45079.29166666667</v>
      </c>
      <c r="C2349" s="2" t="s">
        <v>18</v>
      </c>
      <c r="D2349" s="2" t="s">
        <v>19</v>
      </c>
      <c r="E2349" s="2" t="s">
        <v>330</v>
      </c>
      <c r="F2349" s="2"/>
      <c r="G2349" s="2">
        <v>1.0</v>
      </c>
      <c r="H2349" s="2">
        <v>1.0</v>
      </c>
      <c r="I2349" s="2">
        <v>0.0</v>
      </c>
      <c r="J2349" s="2">
        <v>0.0</v>
      </c>
      <c r="K2349" s="2">
        <v>0.0</v>
      </c>
      <c r="L2349" s="2">
        <v>0.0</v>
      </c>
      <c r="M2349" s="2"/>
      <c r="N2349" s="2"/>
      <c r="O2349" s="2"/>
      <c r="P2349" s="2" t="s">
        <v>146</v>
      </c>
    </row>
    <row r="2350">
      <c r="A2350" s="3" t="s">
        <v>44</v>
      </c>
      <c r="B2350" s="4">
        <v>45079.29166666667</v>
      </c>
      <c r="C2350" s="2" t="s">
        <v>18</v>
      </c>
      <c r="D2350" s="2" t="s">
        <v>91</v>
      </c>
      <c r="E2350" s="2" t="s">
        <v>125</v>
      </c>
      <c r="F2350" s="2"/>
      <c r="G2350" s="2">
        <v>30.0</v>
      </c>
      <c r="H2350" s="2">
        <v>16.0</v>
      </c>
      <c r="I2350" s="2">
        <v>14.0</v>
      </c>
      <c r="J2350" s="2">
        <v>0.0</v>
      </c>
      <c r="K2350" s="2">
        <v>0.0</v>
      </c>
      <c r="L2350" s="2">
        <v>0.0</v>
      </c>
      <c r="M2350" s="2"/>
      <c r="N2350" s="2"/>
      <c r="O2350" s="2"/>
      <c r="P2350" s="2" t="s">
        <v>146</v>
      </c>
    </row>
    <row r="2351">
      <c r="A2351" s="3" t="s">
        <v>45</v>
      </c>
      <c r="B2351" s="4">
        <v>45080.29166666667</v>
      </c>
      <c r="C2351" s="2" t="s">
        <v>18</v>
      </c>
      <c r="D2351" s="2" t="s">
        <v>91</v>
      </c>
      <c r="E2351" s="2" t="s">
        <v>285</v>
      </c>
      <c r="F2351" s="2"/>
      <c r="G2351" s="2">
        <v>4.0</v>
      </c>
      <c r="H2351" s="2">
        <v>3.0</v>
      </c>
      <c r="I2351" s="2">
        <v>1.0</v>
      </c>
      <c r="J2351" s="2">
        <v>0.0</v>
      </c>
      <c r="K2351" s="2">
        <v>0.0</v>
      </c>
      <c r="L2351" s="2">
        <v>0.0</v>
      </c>
      <c r="M2351" s="2"/>
      <c r="N2351" s="2"/>
      <c r="O2351" s="2"/>
      <c r="P2351" s="2" t="s">
        <v>146</v>
      </c>
    </row>
    <row r="2352">
      <c r="A2352" s="3" t="s">
        <v>16</v>
      </c>
      <c r="B2352" s="4">
        <v>45081.29166666667</v>
      </c>
      <c r="C2352" s="2" t="s">
        <v>18</v>
      </c>
      <c r="D2352" s="2" t="s">
        <v>91</v>
      </c>
      <c r="E2352" s="2" t="s">
        <v>330</v>
      </c>
      <c r="F2352" s="2"/>
      <c r="G2352" s="2">
        <v>2.0</v>
      </c>
      <c r="H2352" s="2">
        <v>2.0</v>
      </c>
      <c r="I2352" s="2">
        <v>0.0</v>
      </c>
      <c r="J2352" s="2">
        <v>0.0</v>
      </c>
      <c r="K2352" s="2">
        <v>0.0</v>
      </c>
      <c r="L2352" s="2">
        <v>0.0</v>
      </c>
      <c r="M2352" s="2"/>
      <c r="N2352" s="2"/>
      <c r="O2352" s="2"/>
      <c r="P2352" s="2" t="s">
        <v>146</v>
      </c>
    </row>
    <row r="2353">
      <c r="A2353" s="3" t="s">
        <v>47</v>
      </c>
      <c r="B2353" s="4">
        <v>45082.29166666667</v>
      </c>
      <c r="C2353" s="2" t="s">
        <v>18</v>
      </c>
      <c r="D2353" s="2" t="s">
        <v>157</v>
      </c>
      <c r="E2353" s="2" t="s">
        <v>125</v>
      </c>
      <c r="F2353" s="2"/>
      <c r="G2353" s="2">
        <v>42.0</v>
      </c>
      <c r="H2353" s="2">
        <v>29.0</v>
      </c>
      <c r="I2353" s="2">
        <v>13.0</v>
      </c>
      <c r="J2353" s="2">
        <v>0.0</v>
      </c>
      <c r="K2353" s="2">
        <v>0.0</v>
      </c>
      <c r="L2353" s="2">
        <v>0.0</v>
      </c>
      <c r="M2353" s="2"/>
      <c r="N2353" s="2"/>
      <c r="O2353" s="2"/>
      <c r="P2353" s="2" t="s">
        <v>146</v>
      </c>
    </row>
    <row r="2354">
      <c r="A2354" s="3" t="s">
        <v>48</v>
      </c>
      <c r="B2354" s="4">
        <v>45083.29166666667</v>
      </c>
      <c r="C2354" s="2" t="s">
        <v>18</v>
      </c>
      <c r="D2354" s="2" t="s">
        <v>157</v>
      </c>
      <c r="E2354" s="2" t="s">
        <v>285</v>
      </c>
      <c r="F2354" s="2"/>
      <c r="G2354" s="2">
        <v>0.0</v>
      </c>
      <c r="H2354" s="2">
        <v>0.0</v>
      </c>
      <c r="I2354" s="2">
        <v>0.0</v>
      </c>
      <c r="J2354" s="2">
        <v>0.0</v>
      </c>
      <c r="K2354" s="2">
        <v>0.0</v>
      </c>
      <c r="L2354" s="2">
        <v>0.0</v>
      </c>
      <c r="M2354" s="2"/>
      <c r="N2354" s="2"/>
      <c r="O2354" s="2"/>
      <c r="P2354" s="2" t="s">
        <v>146</v>
      </c>
    </row>
    <row r="2355">
      <c r="A2355" s="3" t="s">
        <v>49</v>
      </c>
      <c r="B2355" s="4">
        <v>45084.29166666667</v>
      </c>
      <c r="C2355" s="2" t="s">
        <v>18</v>
      </c>
      <c r="D2355" s="2" t="s">
        <v>157</v>
      </c>
      <c r="E2355" s="2" t="s">
        <v>285</v>
      </c>
      <c r="F2355" s="2"/>
      <c r="G2355" s="2">
        <v>0.0</v>
      </c>
      <c r="H2355" s="2">
        <v>0.0</v>
      </c>
      <c r="I2355" s="2">
        <v>0.0</v>
      </c>
      <c r="J2355" s="2">
        <v>0.0</v>
      </c>
      <c r="K2355" s="2">
        <v>0.0</v>
      </c>
      <c r="L2355" s="2">
        <v>0.0</v>
      </c>
      <c r="M2355" s="2"/>
      <c r="N2355" s="2"/>
      <c r="O2355" s="2"/>
      <c r="P2355" s="2" t="s">
        <v>146</v>
      </c>
    </row>
    <row r="2356">
      <c r="A2356" s="3" t="s">
        <v>51</v>
      </c>
      <c r="B2356" s="4">
        <v>45111.29166666667</v>
      </c>
      <c r="C2356" s="2" t="s">
        <v>113</v>
      </c>
      <c r="D2356" s="2" t="s">
        <v>19</v>
      </c>
      <c r="E2356" s="2" t="s">
        <v>125</v>
      </c>
      <c r="F2356" s="2"/>
      <c r="G2356" s="2">
        <v>0.0</v>
      </c>
      <c r="H2356" s="2">
        <v>0.0</v>
      </c>
      <c r="I2356" s="2">
        <v>0.0</v>
      </c>
      <c r="J2356" s="2">
        <v>0.0</v>
      </c>
      <c r="K2356" s="2">
        <v>0.0</v>
      </c>
      <c r="L2356" s="2">
        <v>0.0</v>
      </c>
      <c r="M2356" s="2"/>
      <c r="N2356" s="2"/>
      <c r="O2356" s="2"/>
      <c r="P2356" s="2" t="s">
        <v>146</v>
      </c>
    </row>
    <row r="2357">
      <c r="A2357" s="3" t="s">
        <v>52</v>
      </c>
      <c r="B2357" s="4">
        <v>45112.29166666667</v>
      </c>
      <c r="C2357" s="2" t="s">
        <v>18</v>
      </c>
      <c r="D2357" s="2" t="s">
        <v>19</v>
      </c>
      <c r="E2357" s="2" t="s">
        <v>285</v>
      </c>
      <c r="F2357" s="2"/>
      <c r="G2357" s="2">
        <v>27.0</v>
      </c>
      <c r="H2357" s="2">
        <v>22.0</v>
      </c>
      <c r="I2357" s="2">
        <v>5.0</v>
      </c>
      <c r="J2357" s="2">
        <v>0.0</v>
      </c>
      <c r="K2357" s="2">
        <v>0.0</v>
      </c>
      <c r="L2357" s="2">
        <v>0.0</v>
      </c>
      <c r="M2357" s="2"/>
      <c r="N2357" s="2"/>
      <c r="O2357" s="2"/>
      <c r="P2357" s="2" t="s">
        <v>146</v>
      </c>
    </row>
    <row r="2358">
      <c r="A2358" s="3" t="s">
        <v>53</v>
      </c>
      <c r="B2358" s="4">
        <v>45113.29166666667</v>
      </c>
      <c r="C2358" s="2" t="s">
        <v>18</v>
      </c>
      <c r="D2358" s="2" t="s">
        <v>19</v>
      </c>
      <c r="E2358" s="2" t="s">
        <v>330</v>
      </c>
      <c r="F2358" s="2"/>
      <c r="G2358" s="2">
        <v>3.0</v>
      </c>
      <c r="H2358" s="2">
        <v>2.0</v>
      </c>
      <c r="I2358" s="2">
        <v>1.0</v>
      </c>
      <c r="J2358" s="2">
        <v>0.0</v>
      </c>
      <c r="K2358" s="2">
        <v>0.0</v>
      </c>
      <c r="L2358" s="2">
        <v>0.0</v>
      </c>
      <c r="M2358" s="2"/>
      <c r="N2358" s="2"/>
      <c r="O2358" s="2"/>
      <c r="P2358" s="2" t="s">
        <v>146</v>
      </c>
    </row>
    <row r="2359">
      <c r="A2359" s="3" t="s">
        <v>54</v>
      </c>
      <c r="B2359" s="4">
        <v>45114.29166666667</v>
      </c>
      <c r="C2359" s="2" t="s">
        <v>113</v>
      </c>
      <c r="D2359" s="2" t="s">
        <v>91</v>
      </c>
      <c r="E2359" s="2" t="s">
        <v>125</v>
      </c>
      <c r="F2359" s="2"/>
      <c r="G2359" s="2">
        <v>0.0</v>
      </c>
      <c r="H2359" s="2">
        <v>0.0</v>
      </c>
      <c r="I2359" s="2">
        <v>0.0</v>
      </c>
      <c r="J2359" s="2">
        <v>0.0</v>
      </c>
      <c r="K2359" s="2">
        <v>0.0</v>
      </c>
      <c r="L2359" s="2">
        <v>0.0</v>
      </c>
      <c r="M2359" s="2"/>
      <c r="N2359" s="2"/>
      <c r="O2359" s="2"/>
      <c r="P2359" s="2" t="s">
        <v>146</v>
      </c>
    </row>
    <row r="2360">
      <c r="A2360" s="3" t="s">
        <v>55</v>
      </c>
      <c r="B2360" s="4">
        <v>45115.29166666667</v>
      </c>
      <c r="C2360" s="2" t="s">
        <v>18</v>
      </c>
      <c r="D2360" s="2" t="s">
        <v>91</v>
      </c>
      <c r="E2360" s="2" t="s">
        <v>285</v>
      </c>
      <c r="F2360" s="2"/>
      <c r="G2360" s="2">
        <v>42.0</v>
      </c>
      <c r="H2360" s="2">
        <v>29.0</v>
      </c>
      <c r="I2360" s="2">
        <v>13.0</v>
      </c>
      <c r="J2360" s="2">
        <v>0.0</v>
      </c>
      <c r="K2360" s="2">
        <v>0.0</v>
      </c>
      <c r="L2360" s="2">
        <v>0.0</v>
      </c>
      <c r="M2360" s="2"/>
      <c r="N2360" s="2"/>
      <c r="O2360" s="2"/>
      <c r="P2360" s="2" t="s">
        <v>146</v>
      </c>
    </row>
    <row r="2361">
      <c r="A2361" s="3" t="s">
        <v>56</v>
      </c>
      <c r="B2361" s="4">
        <v>45116.29166666667</v>
      </c>
      <c r="C2361" s="2" t="s">
        <v>18</v>
      </c>
      <c r="D2361" s="2" t="s">
        <v>91</v>
      </c>
      <c r="E2361" s="2" t="s">
        <v>330</v>
      </c>
      <c r="F2361" s="2"/>
      <c r="G2361" s="2">
        <v>35.0</v>
      </c>
      <c r="H2361" s="2">
        <v>23.0</v>
      </c>
      <c r="I2361" s="2">
        <v>12.0</v>
      </c>
      <c r="J2361" s="2">
        <v>0.0</v>
      </c>
      <c r="K2361" s="2">
        <v>0.0</v>
      </c>
      <c r="L2361" s="2">
        <v>0.0</v>
      </c>
      <c r="M2361" s="2"/>
      <c r="N2361" s="2"/>
      <c r="O2361" s="2"/>
      <c r="P2361" s="2" t="s">
        <v>146</v>
      </c>
    </row>
    <row r="2362">
      <c r="A2362" s="3" t="s">
        <v>59</v>
      </c>
      <c r="B2362" s="4">
        <v>45117.29166666667</v>
      </c>
      <c r="C2362" s="2" t="s">
        <v>113</v>
      </c>
      <c r="D2362" s="2" t="s">
        <v>157</v>
      </c>
      <c r="E2362" s="2" t="s">
        <v>125</v>
      </c>
      <c r="F2362" s="2"/>
      <c r="G2362" s="2">
        <v>0.0</v>
      </c>
      <c r="H2362" s="2">
        <v>0.0</v>
      </c>
      <c r="I2362" s="2">
        <v>0.0</v>
      </c>
      <c r="J2362" s="2">
        <v>0.0</v>
      </c>
      <c r="K2362" s="2">
        <v>0.0</v>
      </c>
      <c r="L2362" s="2">
        <v>0.0</v>
      </c>
      <c r="M2362" s="2"/>
      <c r="N2362" s="2"/>
      <c r="O2362" s="2"/>
      <c r="P2362" s="2" t="s">
        <v>146</v>
      </c>
    </row>
    <row r="2363">
      <c r="A2363" s="3" t="s">
        <v>60</v>
      </c>
      <c r="B2363" s="4">
        <v>45118.29166666667</v>
      </c>
      <c r="C2363" s="2" t="s">
        <v>18</v>
      </c>
      <c r="D2363" s="2" t="s">
        <v>157</v>
      </c>
      <c r="E2363" s="2" t="s">
        <v>285</v>
      </c>
      <c r="F2363" s="2"/>
      <c r="G2363" s="2">
        <v>73.0</v>
      </c>
      <c r="H2363" s="2">
        <v>35.0</v>
      </c>
      <c r="I2363" s="2">
        <v>38.0</v>
      </c>
      <c r="J2363" s="2">
        <v>0.0</v>
      </c>
      <c r="K2363" s="2">
        <v>0.0</v>
      </c>
      <c r="L2363" s="2">
        <v>0.0</v>
      </c>
      <c r="M2363" s="2"/>
      <c r="N2363" s="2"/>
      <c r="O2363" s="2"/>
      <c r="P2363" s="2" t="s">
        <v>146</v>
      </c>
    </row>
    <row r="2364">
      <c r="A2364" s="3" t="s">
        <v>61</v>
      </c>
      <c r="B2364" s="4">
        <v>45119.29166666667</v>
      </c>
      <c r="C2364" s="2" t="s">
        <v>18</v>
      </c>
      <c r="D2364" s="2" t="s">
        <v>157</v>
      </c>
      <c r="E2364" s="2" t="s">
        <v>285</v>
      </c>
      <c r="F2364" s="2"/>
      <c r="G2364" s="2">
        <v>73.0</v>
      </c>
      <c r="H2364" s="2">
        <v>35.0</v>
      </c>
      <c r="I2364" s="2">
        <v>38.0</v>
      </c>
      <c r="J2364" s="2">
        <v>0.0</v>
      </c>
      <c r="K2364" s="2">
        <v>0.0</v>
      </c>
      <c r="L2364" s="2">
        <v>0.0</v>
      </c>
      <c r="M2364" s="2"/>
      <c r="N2364" s="2"/>
      <c r="O2364" s="2"/>
      <c r="P2364" s="2" t="s">
        <v>146</v>
      </c>
    </row>
    <row r="2365">
      <c r="A2365" s="3" t="s">
        <v>62</v>
      </c>
      <c r="B2365" s="2" t="s">
        <v>17</v>
      </c>
      <c r="C2365" s="2" t="s">
        <v>18</v>
      </c>
      <c r="D2365" s="2" t="s">
        <v>157</v>
      </c>
      <c r="E2365" s="2" t="s">
        <v>331</v>
      </c>
      <c r="F2365" s="2">
        <v>100.0</v>
      </c>
      <c r="G2365" s="2">
        <v>87.0</v>
      </c>
      <c r="H2365" s="2">
        <v>67.0</v>
      </c>
      <c r="I2365" s="2">
        <v>19.0</v>
      </c>
      <c r="J2365" s="2">
        <v>1.0</v>
      </c>
      <c r="K2365" s="2">
        <v>0.0</v>
      </c>
      <c r="L2365" s="2">
        <v>0.0</v>
      </c>
      <c r="M2365" s="2">
        <v>33.0</v>
      </c>
      <c r="N2365" s="2"/>
      <c r="O2365" s="2"/>
      <c r="P2365" s="2" t="s">
        <v>332</v>
      </c>
    </row>
    <row r="2366">
      <c r="A2366" s="3" t="s">
        <v>63</v>
      </c>
      <c r="B2366" s="2" t="s">
        <v>17</v>
      </c>
      <c r="C2366" s="2" t="s">
        <v>57</v>
      </c>
      <c r="D2366" s="2" t="s">
        <v>157</v>
      </c>
      <c r="E2366" s="2" t="s">
        <v>333</v>
      </c>
      <c r="F2366" s="2">
        <v>100.0</v>
      </c>
      <c r="G2366" s="2">
        <v>86.0</v>
      </c>
      <c r="H2366" s="2">
        <v>67.0</v>
      </c>
      <c r="I2366" s="2">
        <v>19.0</v>
      </c>
      <c r="J2366" s="2">
        <v>0.0</v>
      </c>
      <c r="K2366" s="2">
        <v>0.0</v>
      </c>
      <c r="L2366" s="2">
        <v>0.0</v>
      </c>
      <c r="M2366" s="2">
        <v>33.0</v>
      </c>
      <c r="N2366" s="2"/>
      <c r="O2366" s="2"/>
      <c r="P2366" s="2" t="s">
        <v>332</v>
      </c>
    </row>
    <row r="2367">
      <c r="A2367" s="3" t="s">
        <v>64</v>
      </c>
      <c r="B2367" s="2" t="s">
        <v>17</v>
      </c>
      <c r="C2367" s="2" t="s">
        <v>135</v>
      </c>
      <c r="D2367" s="2" t="s">
        <v>157</v>
      </c>
      <c r="E2367" s="2" t="s">
        <v>334</v>
      </c>
      <c r="F2367" s="2">
        <v>100.0</v>
      </c>
      <c r="G2367" s="2">
        <v>0.0</v>
      </c>
      <c r="H2367" s="2">
        <v>0.0</v>
      </c>
      <c r="I2367" s="2">
        <v>0.0</v>
      </c>
      <c r="J2367" s="2">
        <v>0.0</v>
      </c>
      <c r="K2367" s="2">
        <v>0.0</v>
      </c>
      <c r="L2367" s="2">
        <v>0.0</v>
      </c>
      <c r="M2367" s="2">
        <v>100.0</v>
      </c>
      <c r="N2367" s="2"/>
      <c r="O2367" s="2"/>
      <c r="P2367" s="2" t="s">
        <v>332</v>
      </c>
    </row>
    <row r="2368">
      <c r="A2368" s="3" t="s">
        <v>65</v>
      </c>
      <c r="B2368" s="2" t="s">
        <v>17</v>
      </c>
      <c r="C2368" s="2" t="s">
        <v>57</v>
      </c>
      <c r="D2368" s="2" t="s">
        <v>157</v>
      </c>
      <c r="E2368" s="2" t="s">
        <v>335</v>
      </c>
      <c r="F2368" s="2">
        <v>100.0</v>
      </c>
      <c r="G2368" s="2">
        <v>126.0</v>
      </c>
      <c r="H2368" s="2">
        <v>100.0</v>
      </c>
      <c r="I2368" s="2">
        <v>25.0</v>
      </c>
      <c r="J2368" s="2">
        <v>1.0</v>
      </c>
      <c r="K2368" s="2">
        <v>0.0</v>
      </c>
      <c r="L2368" s="2">
        <v>0.0</v>
      </c>
      <c r="M2368" s="2">
        <v>0.0</v>
      </c>
      <c r="N2368" s="2"/>
      <c r="O2368" s="2"/>
      <c r="P2368" s="2" t="s">
        <v>332</v>
      </c>
    </row>
    <row r="2369">
      <c r="A2369" s="3" t="s">
        <v>66</v>
      </c>
      <c r="B2369" s="2" t="s">
        <v>17</v>
      </c>
      <c r="C2369" s="2" t="s">
        <v>57</v>
      </c>
      <c r="D2369" s="2" t="s">
        <v>157</v>
      </c>
      <c r="E2369" s="2" t="s">
        <v>336</v>
      </c>
      <c r="F2369" s="2">
        <v>81.0</v>
      </c>
      <c r="G2369" s="2">
        <v>138.0</v>
      </c>
      <c r="H2369" s="2">
        <v>81.0</v>
      </c>
      <c r="I2369" s="2">
        <v>53.0</v>
      </c>
      <c r="J2369" s="2">
        <v>4.0</v>
      </c>
      <c r="K2369" s="2">
        <v>0.0</v>
      </c>
      <c r="L2369" s="2">
        <v>0.0</v>
      </c>
      <c r="M2369" s="2">
        <v>0.0</v>
      </c>
      <c r="N2369" s="2"/>
      <c r="O2369" s="2"/>
      <c r="P2369" s="2" t="s">
        <v>332</v>
      </c>
    </row>
    <row r="2370">
      <c r="A2370" s="3" t="s">
        <v>68</v>
      </c>
      <c r="B2370" s="2" t="s">
        <v>17</v>
      </c>
      <c r="C2370" s="2" t="s">
        <v>57</v>
      </c>
      <c r="D2370" s="2" t="s">
        <v>157</v>
      </c>
      <c r="E2370" s="2" t="s">
        <v>337</v>
      </c>
      <c r="F2370" s="2">
        <v>96.0</v>
      </c>
      <c r="G2370" s="2">
        <v>137.0</v>
      </c>
      <c r="H2370" s="2">
        <v>101.0</v>
      </c>
      <c r="I2370" s="2">
        <v>36.0</v>
      </c>
      <c r="J2370" s="2">
        <v>0.0</v>
      </c>
      <c r="K2370" s="2">
        <v>0.0</v>
      </c>
      <c r="L2370" s="2">
        <v>0.0</v>
      </c>
      <c r="M2370" s="2">
        <v>-5.0</v>
      </c>
      <c r="N2370" s="2"/>
      <c r="O2370" s="2"/>
      <c r="P2370" s="2" t="s">
        <v>332</v>
      </c>
    </row>
    <row r="2371">
      <c r="A2371" s="3" t="s">
        <v>70</v>
      </c>
      <c r="B2371" s="2" t="s">
        <v>17</v>
      </c>
      <c r="C2371" s="2" t="s">
        <v>18</v>
      </c>
      <c r="D2371" s="2" t="s">
        <v>19</v>
      </c>
      <c r="E2371" s="2" t="s">
        <v>331</v>
      </c>
      <c r="F2371" s="2">
        <v>30.0</v>
      </c>
      <c r="G2371" s="2">
        <v>10.0</v>
      </c>
      <c r="H2371" s="2">
        <v>6.0</v>
      </c>
      <c r="I2371" s="2">
        <v>4.0</v>
      </c>
      <c r="J2371" s="2">
        <v>0.0</v>
      </c>
      <c r="K2371" s="2">
        <v>0.0</v>
      </c>
      <c r="L2371" s="2">
        <v>0.0</v>
      </c>
      <c r="M2371" s="2">
        <v>24.0</v>
      </c>
      <c r="N2371" s="2"/>
      <c r="O2371" s="2"/>
      <c r="P2371" s="2" t="s">
        <v>332</v>
      </c>
    </row>
    <row r="2372">
      <c r="A2372" s="3" t="s">
        <v>16</v>
      </c>
      <c r="B2372" s="2" t="s">
        <v>17</v>
      </c>
      <c r="C2372" s="2" t="s">
        <v>57</v>
      </c>
      <c r="D2372" s="2" t="s">
        <v>19</v>
      </c>
      <c r="E2372" s="2" t="s">
        <v>333</v>
      </c>
      <c r="F2372" s="2">
        <v>40.0</v>
      </c>
      <c r="G2372" s="2">
        <v>54.0</v>
      </c>
      <c r="H2372" s="2">
        <v>38.0</v>
      </c>
      <c r="I2372" s="2">
        <v>16.0</v>
      </c>
      <c r="J2372" s="2">
        <v>0.0</v>
      </c>
      <c r="K2372" s="2">
        <v>0.0</v>
      </c>
      <c r="L2372" s="2">
        <v>0.0</v>
      </c>
      <c r="M2372" s="2">
        <v>2.0</v>
      </c>
      <c r="N2372" s="2"/>
      <c r="O2372" s="2"/>
      <c r="P2372" s="2" t="s">
        <v>332</v>
      </c>
    </row>
    <row r="2373">
      <c r="A2373" s="3" t="s">
        <v>71</v>
      </c>
      <c r="B2373" s="2" t="s">
        <v>17</v>
      </c>
      <c r="C2373" s="2" t="s">
        <v>135</v>
      </c>
      <c r="D2373" s="2" t="s">
        <v>19</v>
      </c>
      <c r="E2373" s="2" t="s">
        <v>334</v>
      </c>
      <c r="F2373" s="2">
        <v>100.0</v>
      </c>
      <c r="G2373" s="2">
        <v>0.0</v>
      </c>
      <c r="H2373" s="2">
        <v>0.0</v>
      </c>
      <c r="I2373" s="2">
        <v>0.0</v>
      </c>
      <c r="J2373" s="2">
        <v>0.0</v>
      </c>
      <c r="K2373" s="2">
        <v>0.0</v>
      </c>
      <c r="L2373" s="2">
        <v>0.0</v>
      </c>
      <c r="M2373" s="2">
        <v>100.0</v>
      </c>
      <c r="N2373" s="2"/>
      <c r="O2373" s="2"/>
      <c r="P2373" s="2" t="s">
        <v>332</v>
      </c>
    </row>
    <row r="2374">
      <c r="A2374" s="3" t="s">
        <v>72</v>
      </c>
      <c r="B2374" s="2" t="s">
        <v>17</v>
      </c>
      <c r="C2374" s="2" t="s">
        <v>57</v>
      </c>
      <c r="D2374" s="2" t="s">
        <v>19</v>
      </c>
      <c r="E2374" s="2" t="s">
        <v>335</v>
      </c>
      <c r="F2374" s="2">
        <v>100.0</v>
      </c>
      <c r="G2374" s="2">
        <v>21.0</v>
      </c>
      <c r="H2374" s="2">
        <v>15.0</v>
      </c>
      <c r="I2374" s="2">
        <v>6.0</v>
      </c>
      <c r="J2374" s="2">
        <v>0.0</v>
      </c>
      <c r="K2374" s="2">
        <v>0.0</v>
      </c>
      <c r="L2374" s="2">
        <v>0.0</v>
      </c>
      <c r="M2374" s="2">
        <v>85.0</v>
      </c>
      <c r="N2374" s="2"/>
      <c r="O2374" s="2"/>
      <c r="P2374" s="2" t="s">
        <v>332</v>
      </c>
    </row>
    <row r="2375">
      <c r="A2375" s="3" t="s">
        <v>73</v>
      </c>
      <c r="B2375" s="2" t="s">
        <v>17</v>
      </c>
      <c r="C2375" s="2" t="s">
        <v>57</v>
      </c>
      <c r="D2375" s="2" t="s">
        <v>19</v>
      </c>
      <c r="E2375" s="2" t="s">
        <v>336</v>
      </c>
      <c r="F2375" s="2">
        <v>24.0</v>
      </c>
      <c r="G2375" s="2">
        <v>76.0</v>
      </c>
      <c r="H2375" s="2">
        <v>23.0</v>
      </c>
      <c r="I2375" s="2">
        <v>45.0</v>
      </c>
      <c r="J2375" s="2">
        <v>8.0</v>
      </c>
      <c r="K2375" s="2">
        <v>0.0</v>
      </c>
      <c r="L2375" s="2">
        <v>0.0</v>
      </c>
      <c r="M2375" s="2">
        <v>1.0</v>
      </c>
      <c r="N2375" s="2"/>
      <c r="O2375" s="2"/>
      <c r="P2375" s="2" t="s">
        <v>332</v>
      </c>
    </row>
    <row r="2376">
      <c r="A2376" s="3" t="s">
        <v>74</v>
      </c>
      <c r="B2376" s="2" t="s">
        <v>17</v>
      </c>
      <c r="C2376" s="2" t="s">
        <v>57</v>
      </c>
      <c r="D2376" s="2" t="s">
        <v>19</v>
      </c>
      <c r="E2376" s="2" t="s">
        <v>337</v>
      </c>
      <c r="F2376" s="2">
        <v>100.0</v>
      </c>
      <c r="G2376" s="2">
        <v>11.0</v>
      </c>
      <c r="H2376" s="2">
        <v>6.0</v>
      </c>
      <c r="I2376" s="2">
        <v>5.0</v>
      </c>
      <c r="J2376" s="2">
        <v>0.0</v>
      </c>
      <c r="K2376" s="2">
        <v>0.0</v>
      </c>
      <c r="L2376" s="2">
        <v>0.0</v>
      </c>
      <c r="M2376" s="2">
        <v>94.0</v>
      </c>
      <c r="N2376" s="2"/>
      <c r="O2376" s="2"/>
      <c r="P2376" s="2" t="s">
        <v>332</v>
      </c>
    </row>
    <row r="2377">
      <c r="A2377" s="3" t="s">
        <v>75</v>
      </c>
      <c r="B2377" s="2" t="s">
        <v>17</v>
      </c>
      <c r="C2377" s="2" t="s">
        <v>18</v>
      </c>
      <c r="D2377" s="2" t="s">
        <v>23</v>
      </c>
      <c r="E2377" s="2" t="s">
        <v>331</v>
      </c>
      <c r="F2377" s="2">
        <v>100.0</v>
      </c>
      <c r="G2377" s="2">
        <v>97.0</v>
      </c>
      <c r="H2377" s="2">
        <v>73.0</v>
      </c>
      <c r="I2377" s="2">
        <v>23.0</v>
      </c>
      <c r="J2377" s="2">
        <v>1.0</v>
      </c>
      <c r="K2377" s="2">
        <v>0.0</v>
      </c>
      <c r="L2377" s="2">
        <v>0.0</v>
      </c>
      <c r="M2377" s="2">
        <v>27.0</v>
      </c>
      <c r="N2377" s="2">
        <v>-30.0</v>
      </c>
      <c r="O2377" s="2">
        <v>-28.0</v>
      </c>
      <c r="P2377" s="2" t="s">
        <v>332</v>
      </c>
    </row>
    <row r="2378">
      <c r="A2378" s="3" t="s">
        <v>76</v>
      </c>
      <c r="B2378" s="2" t="s">
        <v>17</v>
      </c>
      <c r="C2378" s="2" t="s">
        <v>57</v>
      </c>
      <c r="D2378" s="2" t="s">
        <v>23</v>
      </c>
      <c r="E2378" s="2" t="s">
        <v>333</v>
      </c>
      <c r="F2378" s="2">
        <v>92.0</v>
      </c>
      <c r="G2378" s="2">
        <v>140.0</v>
      </c>
      <c r="H2378" s="2">
        <v>105.0</v>
      </c>
      <c r="I2378" s="2">
        <v>35.0</v>
      </c>
      <c r="J2378" s="2">
        <v>0.0</v>
      </c>
      <c r="K2378" s="2">
        <v>0.0</v>
      </c>
      <c r="L2378" s="2">
        <v>0.0</v>
      </c>
      <c r="M2378" s="2">
        <v>-13.0</v>
      </c>
      <c r="N2378" s="2">
        <v>-48.0</v>
      </c>
      <c r="O2378" s="2">
        <v>-103.0</v>
      </c>
      <c r="P2378" s="2" t="s">
        <v>332</v>
      </c>
    </row>
    <row r="2379">
      <c r="A2379" s="3" t="s">
        <v>77</v>
      </c>
      <c r="B2379" s="2" t="s">
        <v>17</v>
      </c>
      <c r="C2379" s="2" t="s">
        <v>135</v>
      </c>
      <c r="D2379" s="2" t="s">
        <v>23</v>
      </c>
      <c r="E2379" s="5" t="s">
        <v>334</v>
      </c>
      <c r="F2379" s="2">
        <v>100.0</v>
      </c>
      <c r="G2379" s="2">
        <v>0.0</v>
      </c>
      <c r="H2379" s="2">
        <v>0.0</v>
      </c>
      <c r="I2379" s="2">
        <v>0.0</v>
      </c>
      <c r="J2379" s="2">
        <v>0.0</v>
      </c>
      <c r="K2379" s="2">
        <v>0.0</v>
      </c>
      <c r="L2379" s="2">
        <v>0.0</v>
      </c>
      <c r="M2379" s="2">
        <v>100.0</v>
      </c>
      <c r="N2379" s="2">
        <v>-100.0</v>
      </c>
      <c r="O2379" s="2">
        <v>100.0</v>
      </c>
      <c r="P2379" s="2" t="s">
        <v>332</v>
      </c>
    </row>
    <row r="2380">
      <c r="A2380" s="3" t="s">
        <v>78</v>
      </c>
      <c r="B2380" s="2" t="s">
        <v>17</v>
      </c>
      <c r="C2380" s="2" t="s">
        <v>57</v>
      </c>
      <c r="D2380" s="2" t="s">
        <v>23</v>
      </c>
      <c r="E2380" s="5" t="s">
        <v>335</v>
      </c>
      <c r="F2380" s="2">
        <v>117.0</v>
      </c>
      <c r="G2380" s="2">
        <v>147.0</v>
      </c>
      <c r="H2380" s="2">
        <v>115.0</v>
      </c>
      <c r="I2380" s="2">
        <v>31.0</v>
      </c>
      <c r="J2380" s="2">
        <v>1.0</v>
      </c>
      <c r="K2380" s="2">
        <v>0.0</v>
      </c>
      <c r="L2380" s="2">
        <v>0.0</v>
      </c>
      <c r="M2380" s="2">
        <v>2.0</v>
      </c>
      <c r="N2380" s="2">
        <v>-83.0</v>
      </c>
      <c r="O2380" s="2">
        <v>-113.0</v>
      </c>
      <c r="P2380" s="2" t="s">
        <v>332</v>
      </c>
    </row>
    <row r="2381">
      <c r="A2381" s="3" t="s">
        <v>81</v>
      </c>
      <c r="B2381" s="2" t="s">
        <v>17</v>
      </c>
      <c r="C2381" s="2" t="s">
        <v>57</v>
      </c>
      <c r="D2381" s="2" t="s">
        <v>23</v>
      </c>
      <c r="E2381" s="5" t="s">
        <v>336</v>
      </c>
      <c r="F2381" s="2">
        <v>105.0</v>
      </c>
      <c r="G2381" s="2">
        <v>214.0</v>
      </c>
      <c r="H2381" s="2">
        <v>104.0</v>
      </c>
      <c r="I2381" s="2">
        <v>98.0</v>
      </c>
      <c r="J2381" s="2">
        <v>12.0</v>
      </c>
      <c r="K2381" s="2">
        <v>0.0</v>
      </c>
      <c r="L2381" s="2">
        <v>0.0</v>
      </c>
      <c r="M2381" s="2">
        <v>1.0</v>
      </c>
      <c r="N2381" s="2">
        <v>0.0</v>
      </c>
      <c r="O2381" s="2">
        <v>-103.0</v>
      </c>
      <c r="P2381" s="2" t="s">
        <v>332</v>
      </c>
    </row>
    <row r="2382">
      <c r="A2382" s="3" t="s">
        <v>82</v>
      </c>
      <c r="B2382" s="2" t="s">
        <v>17</v>
      </c>
      <c r="C2382" s="2" t="s">
        <v>57</v>
      </c>
      <c r="D2382" s="2" t="s">
        <v>23</v>
      </c>
      <c r="E2382" s="5" t="s">
        <v>337</v>
      </c>
      <c r="F2382" s="2">
        <v>107.0</v>
      </c>
      <c r="G2382" s="2">
        <v>148.0</v>
      </c>
      <c r="H2382" s="2">
        <v>107.0</v>
      </c>
      <c r="I2382" s="2">
        <v>41.0</v>
      </c>
      <c r="J2382" s="2">
        <v>0.0</v>
      </c>
      <c r="K2382" s="2">
        <v>0.0</v>
      </c>
      <c r="L2382" s="2">
        <v>0.0</v>
      </c>
      <c r="M2382" s="2">
        <v>0.0</v>
      </c>
      <c r="N2382" s="2">
        <v>-89.0</v>
      </c>
      <c r="O2382" s="2">
        <v>-107.0</v>
      </c>
      <c r="P2382" s="2" t="s">
        <v>332</v>
      </c>
    </row>
    <row r="2383">
      <c r="A2383" s="3" t="s">
        <v>83</v>
      </c>
      <c r="B2383" s="4">
        <v>45110.29166666667</v>
      </c>
      <c r="C2383" s="2" t="s">
        <v>18</v>
      </c>
      <c r="D2383" s="2" t="s">
        <v>157</v>
      </c>
      <c r="E2383" s="2" t="s">
        <v>336</v>
      </c>
      <c r="F2383" s="2"/>
      <c r="G2383" s="2">
        <v>138.0</v>
      </c>
      <c r="H2383" s="2">
        <v>81.0</v>
      </c>
      <c r="I2383" s="2">
        <v>53.0</v>
      </c>
      <c r="J2383" s="2">
        <v>4.0</v>
      </c>
      <c r="K2383" s="2">
        <v>0.0</v>
      </c>
      <c r="L2383" s="2">
        <v>0.0</v>
      </c>
      <c r="M2383" s="2"/>
      <c r="N2383" s="2"/>
      <c r="O2383" s="2"/>
      <c r="P2383" s="2" t="s">
        <v>332</v>
      </c>
    </row>
    <row r="2384">
      <c r="A2384" s="3" t="s">
        <v>84</v>
      </c>
      <c r="B2384" s="4">
        <v>45111.29166666667</v>
      </c>
      <c r="C2384" s="2" t="s">
        <v>18</v>
      </c>
      <c r="D2384" s="2" t="s">
        <v>19</v>
      </c>
      <c r="E2384" s="2" t="s">
        <v>336</v>
      </c>
      <c r="F2384" s="2"/>
      <c r="G2384" s="2">
        <v>76.0</v>
      </c>
      <c r="H2384" s="2">
        <v>23.0</v>
      </c>
      <c r="I2384" s="2">
        <v>45.0</v>
      </c>
      <c r="J2384" s="2">
        <v>8.0</v>
      </c>
      <c r="K2384" s="2">
        <v>0.0</v>
      </c>
      <c r="L2384" s="2">
        <v>0.0</v>
      </c>
      <c r="M2384" s="2"/>
      <c r="N2384" s="2"/>
      <c r="O2384" s="2"/>
      <c r="P2384" s="2" t="s">
        <v>332</v>
      </c>
    </row>
    <row r="2385">
      <c r="A2385" s="3" t="s">
        <v>85</v>
      </c>
      <c r="B2385" s="4">
        <v>45112.29166666667</v>
      </c>
      <c r="C2385" s="2" t="s">
        <v>18</v>
      </c>
      <c r="D2385" s="2" t="s">
        <v>19</v>
      </c>
      <c r="E2385" s="2" t="s">
        <v>334</v>
      </c>
      <c r="F2385" s="2"/>
      <c r="G2385" s="2">
        <v>0.0</v>
      </c>
      <c r="H2385" s="2">
        <v>0.0</v>
      </c>
      <c r="I2385" s="2">
        <v>0.0</v>
      </c>
      <c r="J2385" s="2">
        <v>0.0</v>
      </c>
      <c r="K2385" s="2">
        <v>0.0</v>
      </c>
      <c r="L2385" s="2">
        <v>0.0</v>
      </c>
      <c r="M2385" s="2"/>
      <c r="N2385" s="2"/>
      <c r="O2385" s="2"/>
      <c r="P2385" s="2" t="s">
        <v>332</v>
      </c>
    </row>
    <row r="2386">
      <c r="A2386" s="3" t="s">
        <v>86</v>
      </c>
      <c r="B2386" s="4">
        <v>45113.29166666667</v>
      </c>
      <c r="C2386" s="2" t="s">
        <v>18</v>
      </c>
      <c r="D2386" s="2" t="s">
        <v>19</v>
      </c>
      <c r="E2386" s="2" t="s">
        <v>337</v>
      </c>
      <c r="F2386" s="2"/>
      <c r="G2386" s="2">
        <v>8.0</v>
      </c>
      <c r="H2386" s="2">
        <v>4.0</v>
      </c>
      <c r="I2386" s="2">
        <v>4.0</v>
      </c>
      <c r="J2386" s="2">
        <v>0.0</v>
      </c>
      <c r="K2386" s="2">
        <v>0.0</v>
      </c>
      <c r="L2386" s="2">
        <v>0.0</v>
      </c>
      <c r="M2386" s="2"/>
      <c r="N2386" s="2"/>
      <c r="O2386" s="2"/>
      <c r="P2386" s="2" t="s">
        <v>332</v>
      </c>
    </row>
    <row r="2387">
      <c r="A2387" s="3" t="s">
        <v>87</v>
      </c>
      <c r="B2387" s="4">
        <v>45114.29166666667</v>
      </c>
      <c r="C2387" s="2" t="s">
        <v>18</v>
      </c>
      <c r="D2387" s="2" t="s">
        <v>19</v>
      </c>
      <c r="E2387" s="2" t="s">
        <v>335</v>
      </c>
      <c r="F2387" s="2"/>
      <c r="G2387" s="2">
        <v>7.0</v>
      </c>
      <c r="H2387" s="2">
        <v>4.0</v>
      </c>
      <c r="I2387" s="2">
        <v>3.0</v>
      </c>
      <c r="J2387" s="2">
        <v>0.0</v>
      </c>
      <c r="K2387" s="2">
        <v>0.0</v>
      </c>
      <c r="L2387" s="2">
        <v>0.0</v>
      </c>
      <c r="M2387" s="2"/>
      <c r="N2387" s="2"/>
      <c r="O2387" s="2"/>
      <c r="P2387" s="2" t="s">
        <v>332</v>
      </c>
    </row>
    <row r="2388">
      <c r="A2388" s="3" t="s">
        <v>88</v>
      </c>
      <c r="B2388" s="4">
        <v>45115.29166666667</v>
      </c>
      <c r="C2388" s="2" t="s">
        <v>18</v>
      </c>
      <c r="D2388" s="2" t="s">
        <v>19</v>
      </c>
      <c r="E2388" s="2" t="s">
        <v>331</v>
      </c>
      <c r="F2388" s="2"/>
      <c r="G2388" s="2">
        <v>1.0</v>
      </c>
      <c r="H2388" s="2">
        <v>1.0</v>
      </c>
      <c r="I2388" s="2">
        <v>0.0</v>
      </c>
      <c r="J2388" s="2">
        <v>0.0</v>
      </c>
      <c r="K2388" s="2">
        <v>0.0</v>
      </c>
      <c r="L2388" s="2">
        <v>0.0</v>
      </c>
      <c r="M2388" s="2"/>
      <c r="N2388" s="2"/>
      <c r="O2388" s="2"/>
      <c r="P2388" s="2" t="s">
        <v>332</v>
      </c>
    </row>
    <row r="2389">
      <c r="A2389" s="3" t="s">
        <v>89</v>
      </c>
      <c r="B2389" s="4">
        <v>45116.29166666667</v>
      </c>
      <c r="C2389" s="2" t="s">
        <v>18</v>
      </c>
      <c r="D2389" s="2" t="s">
        <v>19</v>
      </c>
      <c r="E2389" s="2" t="s">
        <v>333</v>
      </c>
      <c r="F2389" s="2"/>
      <c r="G2389" s="2">
        <v>7.0</v>
      </c>
      <c r="H2389" s="2">
        <v>5.0</v>
      </c>
      <c r="I2389" s="2">
        <v>2.0</v>
      </c>
      <c r="J2389" s="2">
        <v>0.0</v>
      </c>
      <c r="K2389" s="2">
        <v>0.0</v>
      </c>
      <c r="L2389" s="2">
        <v>0.0</v>
      </c>
      <c r="M2389" s="2"/>
      <c r="N2389" s="2"/>
      <c r="O2389" s="2"/>
      <c r="P2389" s="2" t="s">
        <v>332</v>
      </c>
    </row>
    <row r="2390">
      <c r="A2390" s="3" t="s">
        <v>90</v>
      </c>
      <c r="B2390" s="4">
        <v>45117.29166666667</v>
      </c>
      <c r="C2390" s="2" t="s">
        <v>18</v>
      </c>
      <c r="D2390" s="2" t="s">
        <v>157</v>
      </c>
      <c r="E2390" s="2" t="s">
        <v>337</v>
      </c>
      <c r="F2390" s="2"/>
      <c r="G2390" s="2">
        <v>118.0</v>
      </c>
      <c r="H2390" s="2">
        <v>89.0</v>
      </c>
      <c r="I2390" s="2">
        <v>29.0</v>
      </c>
      <c r="J2390" s="2">
        <v>0.0</v>
      </c>
      <c r="K2390" s="2">
        <v>0.0</v>
      </c>
      <c r="L2390" s="2">
        <v>0.0</v>
      </c>
      <c r="M2390" s="2"/>
      <c r="N2390" s="2"/>
      <c r="O2390" s="2"/>
      <c r="P2390" s="2" t="s">
        <v>332</v>
      </c>
    </row>
    <row r="2391">
      <c r="A2391" s="3" t="s">
        <v>93</v>
      </c>
      <c r="B2391" s="4">
        <v>45118.29166666667</v>
      </c>
      <c r="C2391" s="2" t="s">
        <v>18</v>
      </c>
      <c r="D2391" s="2" t="s">
        <v>157</v>
      </c>
      <c r="E2391" s="2" t="s">
        <v>335</v>
      </c>
      <c r="F2391" s="2"/>
      <c r="G2391" s="2">
        <v>71.0</v>
      </c>
      <c r="H2391" s="2">
        <v>56.0</v>
      </c>
      <c r="I2391" s="2">
        <v>15.0</v>
      </c>
      <c r="J2391" s="2">
        <v>0.0</v>
      </c>
      <c r="K2391" s="2">
        <v>0.0</v>
      </c>
      <c r="L2391" s="2">
        <v>0.0</v>
      </c>
      <c r="M2391" s="2"/>
      <c r="N2391" s="2"/>
      <c r="O2391" s="2"/>
      <c r="P2391" s="2" t="s">
        <v>332</v>
      </c>
    </row>
    <row r="2392">
      <c r="A2392" s="3" t="s">
        <v>16</v>
      </c>
      <c r="B2392" s="4">
        <v>45140.29166666667</v>
      </c>
      <c r="C2392" s="2" t="s">
        <v>18</v>
      </c>
      <c r="D2392" s="2" t="s">
        <v>19</v>
      </c>
      <c r="E2392" s="2" t="s">
        <v>337</v>
      </c>
      <c r="F2392" s="2"/>
      <c r="G2392" s="2">
        <v>3.0</v>
      </c>
      <c r="H2392" s="2">
        <v>2.0</v>
      </c>
      <c r="I2392" s="2">
        <v>1.0</v>
      </c>
      <c r="J2392" s="2">
        <v>0.0</v>
      </c>
      <c r="K2392" s="2">
        <v>0.0</v>
      </c>
      <c r="L2392" s="2">
        <v>0.0</v>
      </c>
      <c r="M2392" s="2"/>
      <c r="N2392" s="2"/>
      <c r="O2392" s="2"/>
      <c r="P2392" s="2" t="s">
        <v>332</v>
      </c>
    </row>
    <row r="2393">
      <c r="A2393" s="3" t="s">
        <v>94</v>
      </c>
      <c r="B2393" s="4">
        <v>45141.29166666667</v>
      </c>
      <c r="C2393" s="2" t="s">
        <v>18</v>
      </c>
      <c r="D2393" s="2" t="s">
        <v>19</v>
      </c>
      <c r="E2393" s="2" t="s">
        <v>335</v>
      </c>
      <c r="F2393" s="2"/>
      <c r="G2393" s="2">
        <v>14.0</v>
      </c>
      <c r="H2393" s="2">
        <v>11.0</v>
      </c>
      <c r="I2393" s="2">
        <v>3.0</v>
      </c>
      <c r="J2393" s="2">
        <v>0.0</v>
      </c>
      <c r="K2393" s="2">
        <v>0.0</v>
      </c>
      <c r="L2393" s="2">
        <v>0.0</v>
      </c>
      <c r="M2393" s="2"/>
      <c r="N2393" s="2"/>
      <c r="O2393" s="2"/>
      <c r="P2393" s="2" t="s">
        <v>332</v>
      </c>
    </row>
    <row r="2394">
      <c r="A2394" s="3" t="s">
        <v>95</v>
      </c>
      <c r="B2394" s="4">
        <v>45142.29166666667</v>
      </c>
      <c r="C2394" s="2" t="s">
        <v>18</v>
      </c>
      <c r="D2394" s="2" t="s">
        <v>19</v>
      </c>
      <c r="E2394" s="2" t="s">
        <v>331</v>
      </c>
      <c r="F2394" s="2"/>
      <c r="G2394" s="2">
        <v>9.0</v>
      </c>
      <c r="H2394" s="2">
        <v>5.0</v>
      </c>
      <c r="I2394" s="2">
        <v>4.0</v>
      </c>
      <c r="J2394" s="2">
        <v>0.0</v>
      </c>
      <c r="K2394" s="2">
        <v>0.0</v>
      </c>
      <c r="L2394" s="2">
        <v>0.0</v>
      </c>
      <c r="M2394" s="2"/>
      <c r="N2394" s="2"/>
      <c r="O2394" s="2"/>
      <c r="P2394" s="2" t="s">
        <v>332</v>
      </c>
    </row>
    <row r="2395">
      <c r="A2395" s="3" t="s">
        <v>97</v>
      </c>
      <c r="B2395" s="4">
        <v>45143.29166666667</v>
      </c>
      <c r="C2395" s="2" t="s">
        <v>18</v>
      </c>
      <c r="D2395" s="2" t="s">
        <v>19</v>
      </c>
      <c r="E2395" s="2" t="s">
        <v>333</v>
      </c>
      <c r="F2395" s="2"/>
      <c r="G2395" s="2">
        <v>47.0</v>
      </c>
      <c r="H2395" s="2">
        <v>33.0</v>
      </c>
      <c r="I2395" s="2">
        <v>14.0</v>
      </c>
      <c r="J2395" s="2">
        <v>0.0</v>
      </c>
      <c r="K2395" s="2">
        <v>0.0</v>
      </c>
      <c r="L2395" s="2">
        <v>0.0</v>
      </c>
      <c r="M2395" s="2"/>
      <c r="N2395" s="2"/>
      <c r="O2395" s="2"/>
      <c r="P2395" s="2" t="s">
        <v>332</v>
      </c>
    </row>
    <row r="2396">
      <c r="A2396" s="3" t="s">
        <v>98</v>
      </c>
      <c r="B2396" s="4">
        <v>45144.29166666667</v>
      </c>
      <c r="C2396" s="2" t="s">
        <v>18</v>
      </c>
      <c r="D2396" s="2" t="s">
        <v>19</v>
      </c>
      <c r="E2396" s="2" t="s">
        <v>334</v>
      </c>
      <c r="F2396" s="2"/>
      <c r="G2396" s="2">
        <v>0.0</v>
      </c>
      <c r="H2396" s="2">
        <v>0.0</v>
      </c>
      <c r="I2396" s="2">
        <v>0.0</v>
      </c>
      <c r="J2396" s="2">
        <v>0.0</v>
      </c>
      <c r="K2396" s="2">
        <v>0.0</v>
      </c>
      <c r="L2396" s="2">
        <v>0.0</v>
      </c>
      <c r="M2396" s="2"/>
      <c r="N2396" s="2"/>
      <c r="O2396" s="2"/>
      <c r="P2396" s="2" t="s">
        <v>332</v>
      </c>
    </row>
    <row r="2397">
      <c r="A2397" s="3" t="s">
        <v>99</v>
      </c>
      <c r="B2397" s="4">
        <v>45147.29166666667</v>
      </c>
      <c r="C2397" s="2" t="s">
        <v>18</v>
      </c>
      <c r="D2397" s="2" t="s">
        <v>157</v>
      </c>
      <c r="E2397" s="2" t="s">
        <v>337</v>
      </c>
      <c r="F2397" s="2"/>
      <c r="G2397" s="2">
        <v>19.0</v>
      </c>
      <c r="H2397" s="2">
        <v>12.0</v>
      </c>
      <c r="I2397" s="2">
        <v>7.0</v>
      </c>
      <c r="J2397" s="2">
        <v>0.0</v>
      </c>
      <c r="K2397" s="2">
        <v>0.0</v>
      </c>
      <c r="L2397" s="2">
        <v>0.0</v>
      </c>
      <c r="M2397" s="2"/>
      <c r="N2397" s="2"/>
      <c r="O2397" s="2"/>
      <c r="P2397" s="2" t="s">
        <v>332</v>
      </c>
    </row>
    <row r="2398">
      <c r="A2398" s="3" t="s">
        <v>100</v>
      </c>
      <c r="B2398" s="4">
        <v>45148.29166666667</v>
      </c>
      <c r="C2398" s="2" t="s">
        <v>18</v>
      </c>
      <c r="D2398" s="2" t="s">
        <v>157</v>
      </c>
      <c r="E2398" s="2" t="s">
        <v>335</v>
      </c>
      <c r="F2398" s="2"/>
      <c r="G2398" s="2">
        <v>55.0</v>
      </c>
      <c r="H2398" s="2">
        <v>44.0</v>
      </c>
      <c r="I2398" s="2">
        <v>10.0</v>
      </c>
      <c r="J2398" s="2">
        <v>1.0</v>
      </c>
      <c r="K2398" s="2">
        <v>0.0</v>
      </c>
      <c r="L2398" s="2">
        <v>0.0</v>
      </c>
      <c r="M2398" s="2"/>
      <c r="N2398" s="2"/>
      <c r="O2398" s="2"/>
      <c r="P2398" s="2" t="s">
        <v>332</v>
      </c>
    </row>
    <row r="2399">
      <c r="A2399" s="3" t="s">
        <v>101</v>
      </c>
      <c r="B2399" s="4">
        <v>45149.29166666667</v>
      </c>
      <c r="C2399" s="2" t="s">
        <v>18</v>
      </c>
      <c r="D2399" s="2" t="s">
        <v>157</v>
      </c>
      <c r="E2399" s="2" t="s">
        <v>331</v>
      </c>
      <c r="F2399" s="2"/>
      <c r="G2399" s="2">
        <v>63.0</v>
      </c>
      <c r="H2399" s="2">
        <v>49.0</v>
      </c>
      <c r="I2399" s="2">
        <v>13.0</v>
      </c>
      <c r="J2399" s="2">
        <v>1.0</v>
      </c>
      <c r="K2399" s="2">
        <v>0.0</v>
      </c>
      <c r="L2399" s="2">
        <v>0.0</v>
      </c>
      <c r="M2399" s="2"/>
      <c r="N2399" s="2"/>
      <c r="O2399" s="2"/>
      <c r="P2399" s="2" t="s">
        <v>332</v>
      </c>
    </row>
    <row r="2400">
      <c r="A2400" s="3" t="s">
        <v>102</v>
      </c>
      <c r="B2400" s="4">
        <v>45150.29166666667</v>
      </c>
      <c r="C2400" s="2" t="s">
        <v>18</v>
      </c>
      <c r="D2400" s="2" t="s">
        <v>157</v>
      </c>
      <c r="E2400" s="2" t="s">
        <v>333</v>
      </c>
      <c r="F2400" s="2"/>
      <c r="G2400" s="2">
        <v>67.0</v>
      </c>
      <c r="H2400" s="2">
        <v>52.0</v>
      </c>
      <c r="I2400" s="2">
        <v>15.0</v>
      </c>
      <c r="J2400" s="2">
        <v>0.0</v>
      </c>
      <c r="K2400" s="2">
        <v>0.0</v>
      </c>
      <c r="L2400" s="2">
        <v>0.0</v>
      </c>
      <c r="M2400" s="2"/>
      <c r="N2400" s="2"/>
      <c r="O2400" s="2"/>
      <c r="P2400" s="2" t="s">
        <v>332</v>
      </c>
    </row>
    <row r="2401">
      <c r="A2401" s="3" t="s">
        <v>103</v>
      </c>
      <c r="B2401" s="4">
        <v>45151.29166666667</v>
      </c>
      <c r="C2401" s="2" t="s">
        <v>18</v>
      </c>
      <c r="D2401" s="2" t="s">
        <v>157</v>
      </c>
      <c r="E2401" s="2" t="s">
        <v>334</v>
      </c>
      <c r="F2401" s="2"/>
      <c r="G2401" s="2">
        <v>0.0</v>
      </c>
      <c r="H2401" s="2">
        <v>0.0</v>
      </c>
      <c r="I2401" s="2">
        <v>0.0</v>
      </c>
      <c r="J2401" s="2">
        <v>0.0</v>
      </c>
      <c r="K2401" s="2">
        <v>0.0</v>
      </c>
      <c r="L2401" s="2">
        <v>0.0</v>
      </c>
      <c r="M2401" s="2"/>
      <c r="N2401" s="2"/>
      <c r="O2401" s="2"/>
      <c r="P2401" s="2" t="s">
        <v>332</v>
      </c>
    </row>
    <row r="2402">
      <c r="A2402" s="3" t="s">
        <v>104</v>
      </c>
      <c r="B2402" s="2" t="s">
        <v>17</v>
      </c>
      <c r="C2402" s="2" t="s">
        <v>18</v>
      </c>
      <c r="D2402" s="2" t="s">
        <v>19</v>
      </c>
      <c r="E2402" s="2" t="s">
        <v>338</v>
      </c>
      <c r="F2402" s="2">
        <v>262.0</v>
      </c>
      <c r="G2402" s="2">
        <v>359.0</v>
      </c>
      <c r="H2402" s="2">
        <v>228.0</v>
      </c>
      <c r="I2402" s="2">
        <v>131.0</v>
      </c>
      <c r="J2402" s="2">
        <v>0.0</v>
      </c>
      <c r="K2402" s="2">
        <v>0.0</v>
      </c>
      <c r="L2402" s="2">
        <v>0.0</v>
      </c>
      <c r="M2402" s="2">
        <v>34.0</v>
      </c>
      <c r="N2402" s="2"/>
      <c r="O2402" s="2"/>
      <c r="P2402" s="2" t="s">
        <v>67</v>
      </c>
    </row>
    <row r="2403">
      <c r="A2403" s="3" t="s">
        <v>105</v>
      </c>
      <c r="B2403" s="2" t="s">
        <v>17</v>
      </c>
      <c r="C2403" s="2" t="s">
        <v>18</v>
      </c>
      <c r="D2403" s="2" t="s">
        <v>23</v>
      </c>
      <c r="E2403" s="2" t="s">
        <v>338</v>
      </c>
      <c r="F2403" s="2">
        <v>262.0</v>
      </c>
      <c r="G2403" s="2">
        <v>359.0</v>
      </c>
      <c r="H2403" s="2">
        <v>228.0</v>
      </c>
      <c r="I2403" s="2">
        <v>131.0</v>
      </c>
      <c r="J2403" s="2">
        <v>0.0</v>
      </c>
      <c r="K2403" s="2">
        <v>0.0</v>
      </c>
      <c r="L2403" s="2">
        <v>0.0</v>
      </c>
      <c r="M2403" s="2">
        <v>34.0</v>
      </c>
      <c r="N2403" s="2">
        <v>0.0</v>
      </c>
      <c r="O2403" s="2">
        <v>-194.0</v>
      </c>
      <c r="P2403" s="2" t="s">
        <v>67</v>
      </c>
    </row>
    <row r="2404">
      <c r="A2404" s="3" t="s">
        <v>106</v>
      </c>
      <c r="B2404" s="4">
        <v>45111.29166666667</v>
      </c>
      <c r="C2404" s="2" t="s">
        <v>18</v>
      </c>
      <c r="D2404" s="2" t="s">
        <v>19</v>
      </c>
      <c r="E2404" s="2" t="s">
        <v>338</v>
      </c>
      <c r="F2404" s="2"/>
      <c r="G2404" s="2">
        <v>241.0</v>
      </c>
      <c r="H2404" s="2">
        <v>149.0</v>
      </c>
      <c r="I2404" s="2">
        <v>92.0</v>
      </c>
      <c r="J2404" s="2">
        <v>0.0</v>
      </c>
      <c r="K2404" s="2">
        <v>0.0</v>
      </c>
      <c r="L2404" s="2">
        <v>0.0</v>
      </c>
      <c r="M2404" s="2"/>
      <c r="N2404" s="2"/>
      <c r="O2404" s="2"/>
      <c r="P2404" s="2" t="s">
        <v>67</v>
      </c>
    </row>
    <row r="2405">
      <c r="A2405" s="3" t="s">
        <v>107</v>
      </c>
      <c r="B2405" s="4">
        <v>45139.29166666667</v>
      </c>
      <c r="C2405" s="2" t="s">
        <v>18</v>
      </c>
      <c r="D2405" s="2" t="s">
        <v>19</v>
      </c>
      <c r="E2405" s="2" t="s">
        <v>338</v>
      </c>
      <c r="F2405" s="2"/>
      <c r="G2405" s="2">
        <v>13.0</v>
      </c>
      <c r="H2405" s="2">
        <v>9.0</v>
      </c>
      <c r="I2405" s="2">
        <v>4.0</v>
      </c>
      <c r="J2405" s="2">
        <v>0.0</v>
      </c>
      <c r="K2405" s="2">
        <v>0.0</v>
      </c>
      <c r="L2405" s="2">
        <v>0.0</v>
      </c>
      <c r="M2405" s="2"/>
      <c r="N2405" s="2"/>
      <c r="O2405" s="2"/>
      <c r="P2405" s="2" t="s">
        <v>67</v>
      </c>
    </row>
    <row r="2406">
      <c r="A2406" s="3" t="s">
        <v>108</v>
      </c>
      <c r="B2406" s="4">
        <v>45171.29166666667</v>
      </c>
      <c r="C2406" s="2" t="s">
        <v>18</v>
      </c>
      <c r="D2406" s="2" t="s">
        <v>19</v>
      </c>
      <c r="E2406" s="2" t="s">
        <v>338</v>
      </c>
      <c r="F2406" s="2"/>
      <c r="G2406" s="2">
        <v>84.0</v>
      </c>
      <c r="H2406" s="2">
        <v>56.0</v>
      </c>
      <c r="I2406" s="2">
        <v>28.0</v>
      </c>
      <c r="J2406" s="2">
        <v>0.0</v>
      </c>
      <c r="K2406" s="2">
        <v>0.0</v>
      </c>
      <c r="L2406" s="2">
        <v>0.0</v>
      </c>
      <c r="M2406" s="2"/>
      <c r="N2406" s="2"/>
      <c r="O2406" s="2"/>
      <c r="P2406" s="2" t="s">
        <v>67</v>
      </c>
    </row>
    <row r="2407">
      <c r="A2407" s="3" t="s">
        <v>112</v>
      </c>
      <c r="B2407" s="4">
        <v>45201.29166666667</v>
      </c>
      <c r="C2407" s="2" t="s">
        <v>18</v>
      </c>
      <c r="D2407" s="2" t="s">
        <v>19</v>
      </c>
      <c r="E2407" s="2" t="s">
        <v>338</v>
      </c>
      <c r="F2407" s="2"/>
      <c r="G2407" s="2">
        <v>21.0</v>
      </c>
      <c r="H2407" s="2">
        <v>14.0</v>
      </c>
      <c r="I2407" s="2">
        <v>7.0</v>
      </c>
      <c r="J2407" s="2">
        <v>0.0</v>
      </c>
      <c r="K2407" s="2">
        <v>0.0</v>
      </c>
      <c r="L2407" s="2">
        <v>0.0</v>
      </c>
      <c r="M2407" s="2"/>
      <c r="N2407" s="2"/>
      <c r="O2407" s="2"/>
      <c r="P2407" s="2" t="s">
        <v>67</v>
      </c>
    </row>
    <row r="2408">
      <c r="A2408" s="3" t="s">
        <v>115</v>
      </c>
      <c r="B2408" s="2" t="s">
        <v>17</v>
      </c>
      <c r="C2408" s="2" t="s">
        <v>18</v>
      </c>
      <c r="D2408" s="2" t="s">
        <v>19</v>
      </c>
      <c r="E2408" s="2" t="s">
        <v>162</v>
      </c>
      <c r="F2408" s="2">
        <v>20.0</v>
      </c>
      <c r="G2408" s="2">
        <v>16.0</v>
      </c>
      <c r="H2408" s="2">
        <v>5.0</v>
      </c>
      <c r="I2408" s="2">
        <v>11.0</v>
      </c>
      <c r="J2408" s="2">
        <v>0.0</v>
      </c>
      <c r="K2408" s="2">
        <v>0.0</v>
      </c>
      <c r="L2408" s="2">
        <v>0.0</v>
      </c>
      <c r="M2408" s="2">
        <v>15.0</v>
      </c>
      <c r="N2408" s="2"/>
      <c r="O2408" s="2"/>
      <c r="P2408" s="2" t="s">
        <v>92</v>
      </c>
    </row>
    <row r="2409">
      <c r="A2409" s="3" t="s">
        <v>117</v>
      </c>
      <c r="B2409" s="2" t="s">
        <v>17</v>
      </c>
      <c r="C2409" s="2" t="s">
        <v>18</v>
      </c>
      <c r="D2409" s="2" t="s">
        <v>69</v>
      </c>
      <c r="E2409" s="2" t="s">
        <v>162</v>
      </c>
      <c r="F2409" s="2">
        <v>10.0</v>
      </c>
      <c r="G2409" s="2">
        <v>6.0</v>
      </c>
      <c r="H2409" s="2">
        <v>4.0</v>
      </c>
      <c r="I2409" s="2">
        <v>2.0</v>
      </c>
      <c r="J2409" s="2">
        <v>0.0</v>
      </c>
      <c r="K2409" s="2">
        <v>0.0</v>
      </c>
      <c r="L2409" s="2">
        <v>0.0</v>
      </c>
      <c r="M2409" s="2">
        <v>6.0</v>
      </c>
      <c r="N2409" s="2"/>
      <c r="O2409" s="2"/>
      <c r="P2409" s="2" t="s">
        <v>92</v>
      </c>
    </row>
    <row r="2410">
      <c r="A2410" s="3" t="s">
        <v>119</v>
      </c>
      <c r="B2410" s="2" t="s">
        <v>17</v>
      </c>
      <c r="C2410" s="2" t="s">
        <v>18</v>
      </c>
      <c r="D2410" s="2" t="s">
        <v>91</v>
      </c>
      <c r="E2410" s="2" t="s">
        <v>162</v>
      </c>
      <c r="F2410" s="2">
        <v>80.0</v>
      </c>
      <c r="G2410" s="2">
        <v>116.0</v>
      </c>
      <c r="H2410" s="2">
        <v>87.0</v>
      </c>
      <c r="I2410" s="2">
        <v>29.0</v>
      </c>
      <c r="J2410" s="2">
        <v>0.0</v>
      </c>
      <c r="K2410" s="2">
        <v>0.0</v>
      </c>
      <c r="L2410" s="2">
        <v>0.0</v>
      </c>
      <c r="M2410" s="2">
        <v>-7.0</v>
      </c>
      <c r="N2410" s="2"/>
      <c r="O2410" s="2"/>
      <c r="P2410" s="2" t="s">
        <v>92</v>
      </c>
    </row>
    <row r="2411">
      <c r="A2411" s="3" t="s">
        <v>121</v>
      </c>
      <c r="B2411" s="2" t="s">
        <v>17</v>
      </c>
      <c r="C2411" s="2" t="s">
        <v>18</v>
      </c>
      <c r="D2411" s="2" t="s">
        <v>23</v>
      </c>
      <c r="E2411" s="2" t="s">
        <v>162</v>
      </c>
      <c r="F2411" s="2">
        <v>100.0</v>
      </c>
      <c r="G2411" s="2">
        <v>138.0</v>
      </c>
      <c r="H2411" s="2">
        <v>96.0</v>
      </c>
      <c r="I2411" s="2">
        <v>42.0</v>
      </c>
      <c r="J2411" s="2">
        <v>0.0</v>
      </c>
      <c r="K2411" s="2">
        <v>0.0</v>
      </c>
      <c r="L2411" s="2">
        <v>0.0</v>
      </c>
      <c r="M2411" s="2">
        <v>4.0</v>
      </c>
      <c r="N2411" s="2">
        <v>-10.0</v>
      </c>
      <c r="O2411" s="2">
        <v>-92.0</v>
      </c>
      <c r="P2411" s="2" t="s">
        <v>92</v>
      </c>
    </row>
    <row r="2412">
      <c r="A2412" s="3" t="s">
        <v>16</v>
      </c>
      <c r="B2412" s="4">
        <v>45140.29166666667</v>
      </c>
      <c r="C2412" s="2" t="s">
        <v>18</v>
      </c>
      <c r="D2412" s="2" t="s">
        <v>19</v>
      </c>
      <c r="E2412" s="2" t="s">
        <v>162</v>
      </c>
      <c r="F2412" s="2"/>
      <c r="G2412" s="2">
        <v>11.0</v>
      </c>
      <c r="H2412" s="2">
        <v>2.0</v>
      </c>
      <c r="I2412" s="2">
        <v>9.0</v>
      </c>
      <c r="J2412" s="2">
        <v>0.0</v>
      </c>
      <c r="K2412" s="2">
        <v>0.0</v>
      </c>
      <c r="L2412" s="2">
        <v>0.0</v>
      </c>
      <c r="M2412" s="2"/>
      <c r="N2412" s="2"/>
      <c r="O2412" s="2"/>
      <c r="P2412" s="2" t="s">
        <v>92</v>
      </c>
    </row>
    <row r="2413">
      <c r="A2413" s="3" t="s">
        <v>124</v>
      </c>
      <c r="B2413" s="4">
        <v>45141.29166666667</v>
      </c>
      <c r="C2413" s="2" t="s">
        <v>18</v>
      </c>
      <c r="D2413" s="2" t="s">
        <v>69</v>
      </c>
      <c r="E2413" s="2" t="s">
        <v>162</v>
      </c>
      <c r="F2413" s="2"/>
      <c r="G2413" s="2">
        <v>4.0</v>
      </c>
      <c r="H2413" s="2">
        <v>3.0</v>
      </c>
      <c r="I2413" s="2">
        <v>1.0</v>
      </c>
      <c r="J2413" s="2">
        <v>0.0</v>
      </c>
      <c r="K2413" s="2">
        <v>0.0</v>
      </c>
      <c r="L2413" s="2">
        <v>0.0</v>
      </c>
      <c r="M2413" s="2"/>
      <c r="N2413" s="2"/>
      <c r="O2413" s="2"/>
      <c r="P2413" s="2" t="s">
        <v>92</v>
      </c>
    </row>
    <row r="2414">
      <c r="A2414" s="3" t="s">
        <v>126</v>
      </c>
      <c r="B2414" s="4">
        <v>45142.29166666667</v>
      </c>
      <c r="C2414" s="2" t="s">
        <v>18</v>
      </c>
      <c r="D2414" s="2" t="s">
        <v>91</v>
      </c>
      <c r="E2414" s="2" t="s">
        <v>162</v>
      </c>
      <c r="F2414" s="2"/>
      <c r="G2414" s="2">
        <v>96.0</v>
      </c>
      <c r="H2414" s="2">
        <v>70.0</v>
      </c>
      <c r="I2414" s="2">
        <v>26.0</v>
      </c>
      <c r="J2414" s="2">
        <v>0.0</v>
      </c>
      <c r="K2414" s="2">
        <v>0.0</v>
      </c>
      <c r="L2414" s="2">
        <v>0.0</v>
      </c>
      <c r="M2414" s="2"/>
      <c r="N2414" s="2"/>
      <c r="O2414" s="2"/>
      <c r="P2414" s="2" t="s">
        <v>92</v>
      </c>
    </row>
    <row r="2415">
      <c r="A2415" s="3" t="s">
        <v>128</v>
      </c>
      <c r="B2415" s="4">
        <v>45170.29166666667</v>
      </c>
      <c r="C2415" s="2" t="s">
        <v>18</v>
      </c>
      <c r="D2415" s="2" t="s">
        <v>19</v>
      </c>
      <c r="E2415" s="2" t="s">
        <v>162</v>
      </c>
      <c r="F2415" s="2"/>
      <c r="G2415" s="2">
        <v>5.0</v>
      </c>
      <c r="H2415" s="2">
        <v>3.0</v>
      </c>
      <c r="I2415" s="2">
        <v>2.0</v>
      </c>
      <c r="J2415" s="2">
        <v>0.0</v>
      </c>
      <c r="K2415" s="2">
        <v>0.0</v>
      </c>
      <c r="L2415" s="2">
        <v>0.0</v>
      </c>
      <c r="M2415" s="2"/>
      <c r="N2415" s="2"/>
      <c r="O2415" s="2"/>
      <c r="P2415" s="2" t="s">
        <v>92</v>
      </c>
    </row>
    <row r="2416">
      <c r="A2416" s="3" t="s">
        <v>129</v>
      </c>
      <c r="B2416" s="4">
        <v>45171.29166666667</v>
      </c>
      <c r="C2416" s="2" t="s">
        <v>18</v>
      </c>
      <c r="D2416" s="2" t="s">
        <v>69</v>
      </c>
      <c r="E2416" s="2" t="s">
        <v>162</v>
      </c>
      <c r="F2416" s="2"/>
      <c r="G2416" s="2">
        <v>2.0</v>
      </c>
      <c r="H2416" s="2">
        <v>1.0</v>
      </c>
      <c r="I2416" s="2">
        <v>1.0</v>
      </c>
      <c r="J2416" s="2">
        <v>0.0</v>
      </c>
      <c r="K2416" s="2">
        <v>0.0</v>
      </c>
      <c r="L2416" s="2">
        <v>0.0</v>
      </c>
      <c r="M2416" s="2"/>
      <c r="N2416" s="2"/>
      <c r="O2416" s="2"/>
      <c r="P2416" s="2" t="s">
        <v>92</v>
      </c>
    </row>
    <row r="2417">
      <c r="A2417" s="3" t="s">
        <v>130</v>
      </c>
      <c r="B2417" s="4">
        <v>45172.29166666667</v>
      </c>
      <c r="C2417" s="2" t="s">
        <v>18</v>
      </c>
      <c r="D2417" s="2" t="s">
        <v>91</v>
      </c>
      <c r="E2417" s="2" t="s">
        <v>162</v>
      </c>
      <c r="F2417" s="2"/>
      <c r="G2417" s="2">
        <v>20.0</v>
      </c>
      <c r="H2417" s="2">
        <v>17.0</v>
      </c>
      <c r="I2417" s="2">
        <v>3.0</v>
      </c>
      <c r="J2417" s="2">
        <v>0.0</v>
      </c>
      <c r="K2417" s="2">
        <v>0.0</v>
      </c>
      <c r="L2417" s="2">
        <v>0.0</v>
      </c>
      <c r="M2417" s="2"/>
      <c r="N2417" s="2"/>
      <c r="O2417" s="2"/>
      <c r="P2417" s="2" t="s">
        <v>92</v>
      </c>
    </row>
    <row r="2418">
      <c r="A2418" s="3" t="s">
        <v>131</v>
      </c>
      <c r="B2418" s="2" t="s">
        <v>17</v>
      </c>
      <c r="C2418" s="2" t="s">
        <v>18</v>
      </c>
      <c r="D2418" s="2" t="s">
        <v>157</v>
      </c>
      <c r="E2418" s="2" t="s">
        <v>27</v>
      </c>
      <c r="F2418" s="2">
        <v>56.0</v>
      </c>
      <c r="G2418" s="2">
        <v>12.0</v>
      </c>
      <c r="H2418" s="2">
        <v>0.0</v>
      </c>
      <c r="I2418" s="2">
        <v>12.0</v>
      </c>
      <c r="J2418" s="2">
        <v>0.0</v>
      </c>
      <c r="K2418" s="2">
        <v>0.0</v>
      </c>
      <c r="L2418" s="2">
        <v>0.0</v>
      </c>
      <c r="M2418" s="2">
        <v>56.0</v>
      </c>
      <c r="N2418" s="2"/>
      <c r="O2418" s="2"/>
      <c r="P2418" s="2" t="s">
        <v>111</v>
      </c>
    </row>
    <row r="2419">
      <c r="A2419" s="3" t="s">
        <v>132</v>
      </c>
      <c r="B2419" s="2" t="s">
        <v>17</v>
      </c>
      <c r="C2419" s="2" t="s">
        <v>18</v>
      </c>
      <c r="D2419" s="2" t="s">
        <v>19</v>
      </c>
      <c r="E2419" s="2" t="s">
        <v>27</v>
      </c>
      <c r="F2419" s="2">
        <v>56.0</v>
      </c>
      <c r="G2419" s="2">
        <v>3.0</v>
      </c>
      <c r="H2419" s="2">
        <v>0.0</v>
      </c>
      <c r="I2419" s="2">
        <v>3.0</v>
      </c>
      <c r="J2419" s="2">
        <v>0.0</v>
      </c>
      <c r="K2419" s="2">
        <v>0.0</v>
      </c>
      <c r="L2419" s="2">
        <v>0.0</v>
      </c>
      <c r="M2419" s="2">
        <v>56.0</v>
      </c>
      <c r="N2419" s="2"/>
      <c r="O2419" s="2"/>
      <c r="P2419" s="2" t="s">
        <v>111</v>
      </c>
    </row>
    <row r="2420">
      <c r="A2420" s="3" t="s">
        <v>133</v>
      </c>
      <c r="B2420" s="2" t="s">
        <v>17</v>
      </c>
      <c r="C2420" s="2" t="s">
        <v>18</v>
      </c>
      <c r="D2420" s="2" t="s">
        <v>23</v>
      </c>
      <c r="E2420" s="2" t="s">
        <v>27</v>
      </c>
      <c r="F2420" s="2">
        <v>56.0</v>
      </c>
      <c r="G2420" s="2">
        <v>15.0</v>
      </c>
      <c r="H2420" s="2">
        <v>0.0</v>
      </c>
      <c r="I2420" s="2">
        <v>15.0</v>
      </c>
      <c r="J2420" s="2">
        <v>0.0</v>
      </c>
      <c r="K2420" s="2">
        <v>0.0</v>
      </c>
      <c r="L2420" s="2">
        <v>0.0</v>
      </c>
      <c r="M2420" s="2">
        <v>56.0</v>
      </c>
      <c r="N2420" s="2">
        <v>-56.0</v>
      </c>
      <c r="O2420" s="2">
        <v>56.0</v>
      </c>
      <c r="P2420" s="2" t="s">
        <v>111</v>
      </c>
    </row>
    <row r="2421">
      <c r="A2421" s="3" t="s">
        <v>134</v>
      </c>
      <c r="B2421" s="4">
        <v>45080.29166666667</v>
      </c>
      <c r="C2421" s="2" t="s">
        <v>18</v>
      </c>
      <c r="D2421" s="2" t="s">
        <v>19</v>
      </c>
      <c r="E2421" s="2" t="s">
        <v>27</v>
      </c>
      <c r="F2421" s="2"/>
      <c r="G2421" s="2">
        <v>3.0</v>
      </c>
      <c r="H2421" s="2">
        <v>0.0</v>
      </c>
      <c r="I2421" s="2">
        <v>3.0</v>
      </c>
      <c r="J2421" s="2">
        <v>0.0</v>
      </c>
      <c r="K2421" s="2">
        <v>0.0</v>
      </c>
      <c r="L2421" s="2">
        <v>0.0</v>
      </c>
      <c r="M2421" s="2"/>
      <c r="N2421" s="2"/>
      <c r="O2421" s="2"/>
      <c r="P2421" s="2" t="s">
        <v>111</v>
      </c>
    </row>
    <row r="2422">
      <c r="A2422" s="3" t="s">
        <v>136</v>
      </c>
      <c r="B2422" s="4">
        <v>45110.29166666667</v>
      </c>
      <c r="C2422" s="2" t="s">
        <v>18</v>
      </c>
      <c r="D2422" s="2" t="s">
        <v>157</v>
      </c>
      <c r="E2422" s="2" t="s">
        <v>27</v>
      </c>
      <c r="F2422" s="2"/>
      <c r="G2422" s="2">
        <v>12.0</v>
      </c>
      <c r="H2422" s="2">
        <v>0.0</v>
      </c>
      <c r="I2422" s="2">
        <v>12.0</v>
      </c>
      <c r="J2422" s="2">
        <v>0.0</v>
      </c>
      <c r="K2422" s="2">
        <v>0.0</v>
      </c>
      <c r="L2422" s="2">
        <v>0.0</v>
      </c>
      <c r="M2422" s="2"/>
      <c r="N2422" s="2"/>
      <c r="O2422" s="2"/>
      <c r="P2422" s="2" t="s">
        <v>111</v>
      </c>
    </row>
    <row r="2423">
      <c r="A2423" s="3" t="s">
        <v>137</v>
      </c>
      <c r="B2423" s="2" t="s">
        <v>17</v>
      </c>
      <c r="C2423" s="2" t="s">
        <v>18</v>
      </c>
      <c r="D2423" s="2" t="s">
        <v>164</v>
      </c>
      <c r="E2423" s="2" t="s">
        <v>165</v>
      </c>
      <c r="F2423" s="2">
        <v>15.0</v>
      </c>
      <c r="G2423" s="2">
        <v>38.0</v>
      </c>
      <c r="H2423" s="2">
        <v>15.0</v>
      </c>
      <c r="I2423" s="2">
        <v>23.0</v>
      </c>
      <c r="J2423" s="2">
        <v>0.0</v>
      </c>
      <c r="K2423" s="2">
        <v>0.0</v>
      </c>
      <c r="L2423" s="2">
        <v>0.0</v>
      </c>
      <c r="M2423" s="2">
        <v>0.0</v>
      </c>
      <c r="N2423" s="2"/>
      <c r="O2423" s="2"/>
      <c r="P2423" s="2" t="s">
        <v>166</v>
      </c>
    </row>
    <row r="2424">
      <c r="A2424" s="3" t="s">
        <v>138</v>
      </c>
      <c r="B2424" s="2" t="s">
        <v>17</v>
      </c>
      <c r="C2424" s="2" t="s">
        <v>18</v>
      </c>
      <c r="D2424" s="2" t="s">
        <v>23</v>
      </c>
      <c r="E2424" s="2" t="s">
        <v>165</v>
      </c>
      <c r="F2424" s="2">
        <v>15.0</v>
      </c>
      <c r="G2424" s="2">
        <v>38.0</v>
      </c>
      <c r="H2424" s="2">
        <v>15.0</v>
      </c>
      <c r="I2424" s="2">
        <v>23.0</v>
      </c>
      <c r="J2424" s="2">
        <v>0.0</v>
      </c>
      <c r="K2424" s="2">
        <v>0.0</v>
      </c>
      <c r="L2424" s="2">
        <v>0.0</v>
      </c>
      <c r="M2424" s="2">
        <v>0.0</v>
      </c>
      <c r="N2424" s="2">
        <v>0.0</v>
      </c>
      <c r="O2424" s="2">
        <v>-15.0</v>
      </c>
      <c r="P2424" s="2" t="s">
        <v>166</v>
      </c>
    </row>
    <row r="2425">
      <c r="A2425" s="3" t="s">
        <v>139</v>
      </c>
      <c r="B2425" s="4">
        <v>45201.29166666667</v>
      </c>
      <c r="C2425" s="2" t="s">
        <v>18</v>
      </c>
      <c r="D2425" s="2" t="s">
        <v>164</v>
      </c>
      <c r="E2425" s="2" t="s">
        <v>165</v>
      </c>
      <c r="F2425" s="2"/>
      <c r="G2425" s="2">
        <v>38.0</v>
      </c>
      <c r="H2425" s="2">
        <v>15.0</v>
      </c>
      <c r="I2425" s="2">
        <v>23.0</v>
      </c>
      <c r="J2425" s="2">
        <v>0.0</v>
      </c>
      <c r="K2425" s="2">
        <v>0.0</v>
      </c>
      <c r="L2425" s="2">
        <v>0.0</v>
      </c>
      <c r="M2425" s="2"/>
      <c r="N2425" s="2"/>
      <c r="O2425" s="2"/>
      <c r="P2425" s="2" t="s">
        <v>166</v>
      </c>
    </row>
    <row r="2426">
      <c r="A2426" s="3" t="s">
        <v>140</v>
      </c>
      <c r="B2426" s="2" t="s">
        <v>17</v>
      </c>
      <c r="C2426" s="2" t="s">
        <v>18</v>
      </c>
      <c r="D2426" s="2" t="s">
        <v>164</v>
      </c>
      <c r="E2426" s="2" t="s">
        <v>165</v>
      </c>
      <c r="F2426" s="2">
        <v>37.0</v>
      </c>
      <c r="G2426" s="2">
        <v>49.0</v>
      </c>
      <c r="H2426" s="2">
        <v>37.0</v>
      </c>
      <c r="I2426" s="2">
        <v>12.0</v>
      </c>
      <c r="J2426" s="2">
        <v>0.0</v>
      </c>
      <c r="K2426" s="2">
        <v>0.0</v>
      </c>
      <c r="L2426" s="2">
        <v>0.0</v>
      </c>
      <c r="M2426" s="2">
        <v>0.0</v>
      </c>
      <c r="N2426" s="2"/>
      <c r="O2426" s="2"/>
      <c r="P2426" s="2" t="s">
        <v>166</v>
      </c>
    </row>
    <row r="2427">
      <c r="A2427" s="3" t="s">
        <v>141</v>
      </c>
      <c r="B2427" s="2" t="s">
        <v>17</v>
      </c>
      <c r="C2427" s="2" t="s">
        <v>18</v>
      </c>
      <c r="D2427" s="2" t="s">
        <v>23</v>
      </c>
      <c r="E2427" s="2" t="s">
        <v>165</v>
      </c>
      <c r="F2427" s="2">
        <v>37.0</v>
      </c>
      <c r="G2427" s="2">
        <v>49.0</v>
      </c>
      <c r="H2427" s="2">
        <v>37.0</v>
      </c>
      <c r="I2427" s="2">
        <v>12.0</v>
      </c>
      <c r="J2427" s="2">
        <v>0.0</v>
      </c>
      <c r="K2427" s="2">
        <v>0.0</v>
      </c>
      <c r="L2427" s="2">
        <v>0.0</v>
      </c>
      <c r="M2427" s="2">
        <v>0.0</v>
      </c>
      <c r="N2427" s="2">
        <v>0.0</v>
      </c>
      <c r="O2427" s="2">
        <v>-37.0</v>
      </c>
      <c r="P2427" s="2" t="s">
        <v>166</v>
      </c>
    </row>
    <row r="2428">
      <c r="A2428" s="3" t="s">
        <v>142</v>
      </c>
      <c r="B2428" s="4">
        <v>45201.29166666667</v>
      </c>
      <c r="C2428" s="2" t="s">
        <v>18</v>
      </c>
      <c r="D2428" s="2" t="s">
        <v>164</v>
      </c>
      <c r="E2428" s="2" t="s">
        <v>165</v>
      </c>
      <c r="F2428" s="2"/>
      <c r="G2428" s="2">
        <v>35.0</v>
      </c>
      <c r="H2428" s="2">
        <v>23.0</v>
      </c>
      <c r="I2428" s="2">
        <v>12.0</v>
      </c>
      <c r="J2428" s="2">
        <v>0.0</v>
      </c>
      <c r="K2428" s="2">
        <v>0.0</v>
      </c>
      <c r="L2428" s="2">
        <v>0.0</v>
      </c>
      <c r="M2428" s="2"/>
      <c r="N2428" s="2"/>
      <c r="O2428" s="2"/>
      <c r="P2428" s="2" t="s">
        <v>166</v>
      </c>
    </row>
    <row r="2429">
      <c r="A2429" s="3" t="s">
        <v>143</v>
      </c>
      <c r="B2429" s="4">
        <v>45231.25</v>
      </c>
      <c r="C2429" s="2" t="s">
        <v>18</v>
      </c>
      <c r="D2429" s="2" t="s">
        <v>164</v>
      </c>
      <c r="E2429" s="2" t="s">
        <v>165</v>
      </c>
      <c r="F2429" s="2"/>
      <c r="G2429" s="2">
        <v>14.0</v>
      </c>
      <c r="H2429" s="2">
        <v>14.0</v>
      </c>
      <c r="I2429" s="2">
        <v>0.0</v>
      </c>
      <c r="J2429" s="2">
        <v>0.0</v>
      </c>
      <c r="K2429" s="2">
        <v>0.0</v>
      </c>
      <c r="L2429" s="2">
        <v>0.0</v>
      </c>
      <c r="M2429" s="2"/>
      <c r="N2429" s="2"/>
      <c r="O2429" s="2"/>
      <c r="P2429" s="2" t="s">
        <v>166</v>
      </c>
    </row>
    <row r="2430">
      <c r="A2430" s="3" t="s">
        <v>144</v>
      </c>
      <c r="B2430" s="2" t="s">
        <v>17</v>
      </c>
      <c r="C2430" s="2" t="s">
        <v>18</v>
      </c>
      <c r="D2430" s="2" t="s">
        <v>19</v>
      </c>
      <c r="E2430" s="2" t="s">
        <v>162</v>
      </c>
      <c r="F2430" s="2">
        <v>23.0</v>
      </c>
      <c r="G2430" s="2">
        <v>46.0</v>
      </c>
      <c r="H2430" s="2">
        <v>25.0</v>
      </c>
      <c r="I2430" s="2">
        <v>16.0</v>
      </c>
      <c r="J2430" s="2">
        <v>5.0</v>
      </c>
      <c r="K2430" s="2">
        <v>0.0</v>
      </c>
      <c r="L2430" s="2">
        <v>0.0</v>
      </c>
      <c r="M2430" s="2">
        <v>-2.0</v>
      </c>
      <c r="N2430" s="2"/>
      <c r="O2430" s="2"/>
      <c r="P2430" s="2" t="s">
        <v>67</v>
      </c>
    </row>
    <row r="2431">
      <c r="A2431" s="3" t="s">
        <v>145</v>
      </c>
      <c r="B2431" s="2" t="s">
        <v>17</v>
      </c>
      <c r="C2431" s="2" t="s">
        <v>18</v>
      </c>
      <c r="D2431" s="2" t="s">
        <v>91</v>
      </c>
      <c r="E2431" s="2" t="s">
        <v>162</v>
      </c>
      <c r="F2431" s="2">
        <v>71.0</v>
      </c>
      <c r="G2431" s="2">
        <v>126.0</v>
      </c>
      <c r="H2431" s="2">
        <v>56.0</v>
      </c>
      <c r="I2431" s="2">
        <v>55.0</v>
      </c>
      <c r="J2431" s="2">
        <v>15.0</v>
      </c>
      <c r="K2431" s="2">
        <v>0.0</v>
      </c>
      <c r="L2431" s="2">
        <v>0.0</v>
      </c>
      <c r="M2431" s="2">
        <v>15.0</v>
      </c>
      <c r="N2431" s="2"/>
      <c r="O2431" s="2"/>
      <c r="P2431" s="2" t="s">
        <v>67</v>
      </c>
    </row>
    <row r="2432">
      <c r="A2432" s="3" t="s">
        <v>16</v>
      </c>
      <c r="B2432" s="2" t="s">
        <v>17</v>
      </c>
      <c r="C2432" s="2" t="s">
        <v>18</v>
      </c>
      <c r="D2432" s="2" t="s">
        <v>23</v>
      </c>
      <c r="E2432" s="2" t="s">
        <v>162</v>
      </c>
      <c r="F2432" s="2">
        <v>94.0</v>
      </c>
      <c r="G2432" s="2">
        <v>172.0</v>
      </c>
      <c r="H2432" s="2">
        <v>81.0</v>
      </c>
      <c r="I2432" s="2">
        <v>71.0</v>
      </c>
      <c r="J2432" s="2">
        <v>20.0</v>
      </c>
      <c r="K2432" s="2">
        <v>0.0</v>
      </c>
      <c r="L2432" s="2">
        <v>0.0</v>
      </c>
      <c r="M2432" s="2">
        <v>13.0</v>
      </c>
      <c r="N2432" s="2">
        <v>0.0</v>
      </c>
      <c r="O2432" s="2">
        <v>-68.0</v>
      </c>
      <c r="P2432" s="2" t="s">
        <v>67</v>
      </c>
    </row>
    <row r="2433">
      <c r="A2433" s="3" t="s">
        <v>22</v>
      </c>
      <c r="B2433" s="4">
        <v>45140.29166666667</v>
      </c>
      <c r="C2433" s="2" t="s">
        <v>18</v>
      </c>
      <c r="D2433" s="2" t="s">
        <v>19</v>
      </c>
      <c r="E2433" s="2" t="s">
        <v>162</v>
      </c>
      <c r="F2433" s="2"/>
      <c r="G2433" s="2">
        <v>34.0</v>
      </c>
      <c r="H2433" s="2">
        <v>22.0</v>
      </c>
      <c r="I2433" s="2">
        <v>7.0</v>
      </c>
      <c r="J2433" s="2">
        <v>5.0</v>
      </c>
      <c r="K2433" s="2">
        <v>0.0</v>
      </c>
      <c r="L2433" s="2">
        <v>0.0</v>
      </c>
      <c r="M2433" s="2"/>
      <c r="N2433" s="2"/>
      <c r="O2433" s="2"/>
      <c r="P2433" s="2" t="s">
        <v>67</v>
      </c>
    </row>
    <row r="2434">
      <c r="A2434" s="3" t="s">
        <v>24</v>
      </c>
      <c r="B2434" s="4">
        <v>45141.29166666667</v>
      </c>
      <c r="C2434" s="2" t="s">
        <v>18</v>
      </c>
      <c r="D2434" s="2" t="s">
        <v>91</v>
      </c>
      <c r="E2434" s="2" t="s">
        <v>162</v>
      </c>
      <c r="F2434" s="2"/>
      <c r="G2434" s="2">
        <v>23.0</v>
      </c>
      <c r="H2434" s="2">
        <v>9.0</v>
      </c>
      <c r="I2434" s="2">
        <v>9.0</v>
      </c>
      <c r="J2434" s="2">
        <v>5.0</v>
      </c>
      <c r="K2434" s="2">
        <v>0.0</v>
      </c>
      <c r="L2434" s="2">
        <v>0.0</v>
      </c>
      <c r="M2434" s="2"/>
      <c r="N2434" s="2"/>
      <c r="O2434" s="2"/>
      <c r="P2434" s="2" t="s">
        <v>67</v>
      </c>
    </row>
    <row r="2435">
      <c r="A2435" s="3" t="s">
        <v>25</v>
      </c>
      <c r="B2435" s="4">
        <v>45170.29166666667</v>
      </c>
      <c r="C2435" s="2" t="s">
        <v>18</v>
      </c>
      <c r="D2435" s="2" t="s">
        <v>19</v>
      </c>
      <c r="E2435" s="2" t="s">
        <v>162</v>
      </c>
      <c r="F2435" s="2"/>
      <c r="G2435" s="2">
        <v>10.0</v>
      </c>
      <c r="H2435" s="2">
        <v>2.0</v>
      </c>
      <c r="I2435" s="2">
        <v>8.0</v>
      </c>
      <c r="J2435" s="2">
        <v>0.0</v>
      </c>
      <c r="K2435" s="2">
        <v>0.0</v>
      </c>
      <c r="L2435" s="2">
        <v>0.0</v>
      </c>
      <c r="M2435" s="2"/>
      <c r="N2435" s="2"/>
      <c r="O2435" s="2"/>
      <c r="P2435" s="2" t="s">
        <v>67</v>
      </c>
    </row>
    <row r="2436">
      <c r="A2436" s="3" t="s">
        <v>26</v>
      </c>
      <c r="B2436" s="4">
        <v>45171.29166666667</v>
      </c>
      <c r="C2436" s="2" t="s">
        <v>18</v>
      </c>
      <c r="D2436" s="2" t="s">
        <v>91</v>
      </c>
      <c r="E2436" s="2" t="s">
        <v>162</v>
      </c>
      <c r="F2436" s="2"/>
      <c r="G2436" s="2">
        <v>82.0</v>
      </c>
      <c r="H2436" s="2">
        <v>39.0</v>
      </c>
      <c r="I2436" s="2">
        <v>33.0</v>
      </c>
      <c r="J2436" s="2">
        <v>10.0</v>
      </c>
      <c r="K2436" s="2">
        <v>0.0</v>
      </c>
      <c r="L2436" s="2">
        <v>0.0</v>
      </c>
      <c r="M2436" s="2"/>
      <c r="N2436" s="2"/>
      <c r="O2436" s="2"/>
      <c r="P2436" s="2" t="s">
        <v>67</v>
      </c>
    </row>
    <row r="2437">
      <c r="A2437" s="3" t="s">
        <v>28</v>
      </c>
      <c r="B2437" s="4">
        <v>45200.29166666667</v>
      </c>
      <c r="C2437" s="2" t="s">
        <v>18</v>
      </c>
      <c r="D2437" s="2" t="s">
        <v>19</v>
      </c>
      <c r="E2437" s="2" t="s">
        <v>162</v>
      </c>
      <c r="F2437" s="2"/>
      <c r="G2437" s="2">
        <v>2.0</v>
      </c>
      <c r="H2437" s="2">
        <v>1.0</v>
      </c>
      <c r="I2437" s="2">
        <v>1.0</v>
      </c>
      <c r="J2437" s="2">
        <v>0.0</v>
      </c>
      <c r="K2437" s="2">
        <v>0.0</v>
      </c>
      <c r="L2437" s="2">
        <v>0.0</v>
      </c>
      <c r="M2437" s="2"/>
      <c r="N2437" s="2"/>
      <c r="O2437" s="2"/>
      <c r="P2437" s="2" t="s">
        <v>67</v>
      </c>
    </row>
    <row r="2438">
      <c r="A2438" s="3" t="s">
        <v>29</v>
      </c>
      <c r="B2438" s="4">
        <v>45201.29166666667</v>
      </c>
      <c r="C2438" s="2" t="s">
        <v>18</v>
      </c>
      <c r="D2438" s="2" t="s">
        <v>91</v>
      </c>
      <c r="E2438" s="2" t="s">
        <v>162</v>
      </c>
      <c r="F2438" s="2"/>
      <c r="G2438" s="2">
        <v>21.0</v>
      </c>
      <c r="H2438" s="2">
        <v>8.0</v>
      </c>
      <c r="I2438" s="2">
        <v>13.0</v>
      </c>
      <c r="J2438" s="2">
        <v>0.0</v>
      </c>
      <c r="K2438" s="2">
        <v>0.0</v>
      </c>
      <c r="L2438" s="2">
        <v>0.0</v>
      </c>
      <c r="M2438" s="2"/>
      <c r="N2438" s="2"/>
      <c r="O2438" s="2"/>
      <c r="P2438" s="2" t="s">
        <v>67</v>
      </c>
    </row>
    <row r="2439">
      <c r="A2439" s="3" t="s">
        <v>32</v>
      </c>
      <c r="B2439" s="2" t="s">
        <v>17</v>
      </c>
      <c r="C2439" s="2" t="s">
        <v>18</v>
      </c>
      <c r="D2439" s="2" t="s">
        <v>127</v>
      </c>
      <c r="E2439" s="2" t="s">
        <v>27</v>
      </c>
      <c r="F2439" s="2">
        <v>208.0</v>
      </c>
      <c r="G2439" s="2">
        <v>385.0</v>
      </c>
      <c r="H2439" s="2">
        <v>195.0</v>
      </c>
      <c r="I2439" s="2">
        <v>190.0</v>
      </c>
      <c r="J2439" s="2">
        <v>0.0</v>
      </c>
      <c r="K2439" s="2">
        <v>0.0</v>
      </c>
      <c r="L2439" s="2">
        <v>0.0</v>
      </c>
      <c r="M2439" s="2">
        <v>13.0</v>
      </c>
      <c r="N2439" s="2"/>
      <c r="O2439" s="2"/>
      <c r="P2439" s="2" t="s">
        <v>92</v>
      </c>
    </row>
    <row r="2440">
      <c r="A2440" s="3" t="s">
        <v>34</v>
      </c>
      <c r="B2440" s="2" t="s">
        <v>17</v>
      </c>
      <c r="C2440" s="2" t="s">
        <v>18</v>
      </c>
      <c r="D2440" s="2" t="s">
        <v>19</v>
      </c>
      <c r="E2440" s="2" t="s">
        <v>27</v>
      </c>
      <c r="F2440" s="2">
        <v>4.0</v>
      </c>
      <c r="G2440" s="2">
        <v>4.0</v>
      </c>
      <c r="H2440" s="2">
        <v>4.0</v>
      </c>
      <c r="I2440" s="2">
        <v>0.0</v>
      </c>
      <c r="J2440" s="2">
        <v>0.0</v>
      </c>
      <c r="K2440" s="2">
        <v>0.0</v>
      </c>
      <c r="L2440" s="2">
        <v>0.0</v>
      </c>
      <c r="M2440" s="2">
        <v>0.0</v>
      </c>
      <c r="N2440" s="2"/>
      <c r="O2440" s="2"/>
      <c r="P2440" s="2" t="s">
        <v>92</v>
      </c>
    </row>
    <row r="2441">
      <c r="A2441" s="3" t="s">
        <v>35</v>
      </c>
      <c r="B2441" s="2" t="s">
        <v>17</v>
      </c>
      <c r="C2441" s="2" t="s">
        <v>18</v>
      </c>
      <c r="D2441" s="2" t="s">
        <v>23</v>
      </c>
      <c r="E2441" s="2" t="s">
        <v>27</v>
      </c>
      <c r="F2441" s="2">
        <v>212.0</v>
      </c>
      <c r="G2441" s="2">
        <v>389.0</v>
      </c>
      <c r="H2441" s="2">
        <v>199.0</v>
      </c>
      <c r="I2441" s="2">
        <v>190.0</v>
      </c>
      <c r="J2441" s="2">
        <v>0.0</v>
      </c>
      <c r="K2441" s="2">
        <v>0.0</v>
      </c>
      <c r="L2441" s="2">
        <v>0.0</v>
      </c>
      <c r="M2441" s="2">
        <v>13.0</v>
      </c>
      <c r="N2441" s="2">
        <v>0.0</v>
      </c>
      <c r="O2441" s="2">
        <v>-186.0</v>
      </c>
      <c r="P2441" s="2" t="s">
        <v>92</v>
      </c>
    </row>
    <row r="2442">
      <c r="A2442" s="3" t="s">
        <v>36</v>
      </c>
      <c r="B2442" s="4">
        <v>45140.29166666667</v>
      </c>
      <c r="C2442" s="2" t="s">
        <v>18</v>
      </c>
      <c r="D2442" s="2" t="s">
        <v>127</v>
      </c>
      <c r="E2442" s="2" t="s">
        <v>27</v>
      </c>
      <c r="F2442" s="2"/>
      <c r="G2442" s="2">
        <v>118.0</v>
      </c>
      <c r="H2442" s="2">
        <v>58.0</v>
      </c>
      <c r="I2442" s="2">
        <v>60.0</v>
      </c>
      <c r="J2442" s="2">
        <v>0.0</v>
      </c>
      <c r="K2442" s="2">
        <v>0.0</v>
      </c>
      <c r="L2442" s="2">
        <v>0.0</v>
      </c>
      <c r="M2442" s="2"/>
      <c r="N2442" s="2"/>
      <c r="O2442" s="2"/>
      <c r="P2442" s="2" t="s">
        <v>92</v>
      </c>
    </row>
    <row r="2443">
      <c r="A2443" s="3" t="s">
        <v>37</v>
      </c>
      <c r="B2443" s="4">
        <v>45141.29166666667</v>
      </c>
      <c r="C2443" s="2" t="s">
        <v>18</v>
      </c>
      <c r="D2443" s="2" t="s">
        <v>19</v>
      </c>
      <c r="E2443" s="2" t="s">
        <v>27</v>
      </c>
      <c r="F2443" s="2"/>
      <c r="G2443" s="2">
        <v>4.0</v>
      </c>
      <c r="H2443" s="2">
        <v>4.0</v>
      </c>
      <c r="I2443" s="2">
        <v>0.0</v>
      </c>
      <c r="J2443" s="2">
        <v>0.0</v>
      </c>
      <c r="K2443" s="2">
        <v>0.0</v>
      </c>
      <c r="L2443" s="2">
        <v>0.0</v>
      </c>
      <c r="M2443" s="2"/>
      <c r="N2443" s="2"/>
      <c r="O2443" s="2"/>
      <c r="P2443" s="2" t="s">
        <v>92</v>
      </c>
    </row>
    <row r="2444">
      <c r="A2444" s="3" t="s">
        <v>38</v>
      </c>
      <c r="B2444" s="4">
        <v>45171.29166666667</v>
      </c>
      <c r="C2444" s="2" t="s">
        <v>18</v>
      </c>
      <c r="D2444" s="2" t="s">
        <v>127</v>
      </c>
      <c r="E2444" s="2" t="s">
        <v>27</v>
      </c>
      <c r="F2444" s="2"/>
      <c r="G2444" s="2">
        <v>65.0</v>
      </c>
      <c r="H2444" s="2">
        <v>50.0</v>
      </c>
      <c r="I2444" s="2">
        <v>15.0</v>
      </c>
      <c r="J2444" s="2">
        <v>0.0</v>
      </c>
      <c r="K2444" s="2">
        <v>0.0</v>
      </c>
      <c r="L2444" s="2">
        <v>0.0</v>
      </c>
      <c r="M2444" s="2"/>
      <c r="N2444" s="2"/>
      <c r="O2444" s="2"/>
      <c r="P2444" s="2" t="s">
        <v>92</v>
      </c>
    </row>
    <row r="2445">
      <c r="A2445" s="3" t="s">
        <v>39</v>
      </c>
      <c r="B2445" s="4">
        <v>45202.29166666667</v>
      </c>
      <c r="C2445" s="2" t="s">
        <v>18</v>
      </c>
      <c r="D2445" s="2" t="s">
        <v>127</v>
      </c>
      <c r="E2445" s="2" t="s">
        <v>27</v>
      </c>
      <c r="F2445" s="2"/>
      <c r="G2445" s="2">
        <v>202.0</v>
      </c>
      <c r="H2445" s="2">
        <v>87.0</v>
      </c>
      <c r="I2445" s="2">
        <v>115.0</v>
      </c>
      <c r="J2445" s="2">
        <v>0.0</v>
      </c>
      <c r="K2445" s="2">
        <v>0.0</v>
      </c>
      <c r="L2445" s="2">
        <v>0.0</v>
      </c>
      <c r="M2445" s="2"/>
      <c r="N2445" s="2"/>
      <c r="O2445" s="2"/>
      <c r="P2445" s="2" t="s">
        <v>92</v>
      </c>
    </row>
    <row r="2446">
      <c r="A2446" s="3" t="s">
        <v>40</v>
      </c>
      <c r="B2446" s="2" t="s">
        <v>17</v>
      </c>
      <c r="C2446" s="2" t="s">
        <v>57</v>
      </c>
      <c r="D2446" s="2" t="s">
        <v>19</v>
      </c>
      <c r="E2446" s="2" t="s">
        <v>114</v>
      </c>
      <c r="F2446" s="2">
        <v>18.0</v>
      </c>
      <c r="G2446" s="2">
        <v>25.0</v>
      </c>
      <c r="H2446" s="2">
        <v>18.0</v>
      </c>
      <c r="I2446" s="2">
        <v>7.0</v>
      </c>
      <c r="J2446" s="2">
        <v>0.0</v>
      </c>
      <c r="K2446" s="2">
        <v>0.0</v>
      </c>
      <c r="L2446" s="2">
        <v>0.0</v>
      </c>
      <c r="M2446" s="2">
        <v>0.0</v>
      </c>
      <c r="N2446" s="2"/>
      <c r="O2446" s="2"/>
      <c r="P2446" s="2" t="s">
        <v>67</v>
      </c>
    </row>
    <row r="2447">
      <c r="A2447" s="3" t="s">
        <v>41</v>
      </c>
      <c r="B2447" s="2" t="s">
        <v>17</v>
      </c>
      <c r="C2447" s="2" t="s">
        <v>18</v>
      </c>
      <c r="D2447" s="2" t="s">
        <v>19</v>
      </c>
      <c r="E2447" s="2" t="s">
        <v>339</v>
      </c>
      <c r="F2447" s="2">
        <v>9.0</v>
      </c>
      <c r="G2447" s="2">
        <v>3.0</v>
      </c>
      <c r="H2447" s="2">
        <v>3.0</v>
      </c>
      <c r="I2447" s="2">
        <v>0.0</v>
      </c>
      <c r="J2447" s="2">
        <v>0.0</v>
      </c>
      <c r="K2447" s="2">
        <v>0.0</v>
      </c>
      <c r="L2447" s="2">
        <v>0.0</v>
      </c>
      <c r="M2447" s="2">
        <v>6.0</v>
      </c>
      <c r="N2447" s="2"/>
      <c r="O2447" s="2"/>
      <c r="P2447" s="2" t="s">
        <v>67</v>
      </c>
    </row>
    <row r="2448">
      <c r="A2448" s="3" t="s">
        <v>42</v>
      </c>
      <c r="B2448" s="2" t="s">
        <v>17</v>
      </c>
      <c r="C2448" s="2" t="s">
        <v>57</v>
      </c>
      <c r="D2448" s="2" t="s">
        <v>19</v>
      </c>
      <c r="E2448" s="2" t="s">
        <v>340</v>
      </c>
      <c r="F2448" s="2">
        <v>10.0</v>
      </c>
      <c r="G2448" s="2">
        <v>20.0</v>
      </c>
      <c r="H2448" s="2">
        <v>10.0</v>
      </c>
      <c r="I2448" s="2">
        <v>10.0</v>
      </c>
      <c r="J2448" s="2">
        <v>0.0</v>
      </c>
      <c r="K2448" s="2">
        <v>0.0</v>
      </c>
      <c r="L2448" s="2">
        <v>0.0</v>
      </c>
      <c r="M2448" s="2">
        <v>0.0</v>
      </c>
      <c r="N2448" s="2"/>
      <c r="O2448" s="2"/>
      <c r="P2448" s="2" t="s">
        <v>67</v>
      </c>
    </row>
    <row r="2449">
      <c r="A2449" s="3" t="s">
        <v>43</v>
      </c>
      <c r="B2449" s="2" t="s">
        <v>17</v>
      </c>
      <c r="C2449" s="2" t="s">
        <v>57</v>
      </c>
      <c r="D2449" s="2" t="s">
        <v>19</v>
      </c>
      <c r="E2449" s="2" t="s">
        <v>118</v>
      </c>
      <c r="F2449" s="2">
        <v>10.0</v>
      </c>
      <c r="G2449" s="2">
        <v>20.0</v>
      </c>
      <c r="H2449" s="2">
        <v>10.0</v>
      </c>
      <c r="I2449" s="2">
        <v>10.0</v>
      </c>
      <c r="J2449" s="2">
        <v>0.0</v>
      </c>
      <c r="K2449" s="2">
        <v>0.0</v>
      </c>
      <c r="L2449" s="2">
        <v>0.0</v>
      </c>
      <c r="M2449" s="2">
        <v>0.0</v>
      </c>
      <c r="N2449" s="2"/>
      <c r="O2449" s="2"/>
      <c r="P2449" s="2" t="s">
        <v>67</v>
      </c>
    </row>
    <row r="2450">
      <c r="A2450" s="3" t="s">
        <v>44</v>
      </c>
      <c r="B2450" s="2" t="s">
        <v>17</v>
      </c>
      <c r="C2450" s="2" t="s">
        <v>57</v>
      </c>
      <c r="D2450" s="2" t="s">
        <v>19</v>
      </c>
      <c r="E2450" s="2" t="s">
        <v>120</v>
      </c>
      <c r="F2450" s="2">
        <v>7.0</v>
      </c>
      <c r="G2450" s="2">
        <v>22.0</v>
      </c>
      <c r="H2450" s="2">
        <v>10.0</v>
      </c>
      <c r="I2450" s="2">
        <v>12.0</v>
      </c>
      <c r="J2450" s="2">
        <v>0.0</v>
      </c>
      <c r="K2450" s="2">
        <v>0.0</v>
      </c>
      <c r="L2450" s="2">
        <v>0.0</v>
      </c>
      <c r="M2450" s="2">
        <v>-3.0</v>
      </c>
      <c r="N2450" s="2"/>
      <c r="O2450" s="2"/>
      <c r="P2450" s="2" t="s">
        <v>67</v>
      </c>
    </row>
    <row r="2451">
      <c r="A2451" s="3" t="s">
        <v>45</v>
      </c>
      <c r="B2451" s="2" t="s">
        <v>17</v>
      </c>
      <c r="C2451" s="2" t="s">
        <v>57</v>
      </c>
      <c r="D2451" s="2" t="s">
        <v>19</v>
      </c>
      <c r="E2451" s="2" t="s">
        <v>341</v>
      </c>
      <c r="F2451" s="2">
        <v>2.0</v>
      </c>
      <c r="G2451" s="2">
        <v>4.0</v>
      </c>
      <c r="H2451" s="2">
        <v>2.0</v>
      </c>
      <c r="I2451" s="2">
        <v>2.0</v>
      </c>
      <c r="J2451" s="2">
        <v>0.0</v>
      </c>
      <c r="K2451" s="2">
        <v>0.0</v>
      </c>
      <c r="L2451" s="2">
        <v>0.0</v>
      </c>
      <c r="M2451" s="2">
        <v>0.0</v>
      </c>
      <c r="N2451" s="2"/>
      <c r="O2451" s="2"/>
      <c r="P2451" s="2" t="s">
        <v>67</v>
      </c>
    </row>
    <row r="2452">
      <c r="A2452" s="3" t="s">
        <v>16</v>
      </c>
      <c r="B2452" s="2" t="s">
        <v>17</v>
      </c>
      <c r="C2452" s="2" t="s">
        <v>57</v>
      </c>
      <c r="D2452" s="2" t="s">
        <v>19</v>
      </c>
      <c r="E2452" s="2" t="s">
        <v>122</v>
      </c>
      <c r="F2452" s="2">
        <v>3.0</v>
      </c>
      <c r="G2452" s="2">
        <v>3.0</v>
      </c>
      <c r="H2452" s="2">
        <v>3.0</v>
      </c>
      <c r="I2452" s="2">
        <v>0.0</v>
      </c>
      <c r="J2452" s="2">
        <v>0.0</v>
      </c>
      <c r="K2452" s="2">
        <v>0.0</v>
      </c>
      <c r="L2452" s="2">
        <v>0.0</v>
      </c>
      <c r="M2452" s="2">
        <v>0.0</v>
      </c>
      <c r="N2452" s="2"/>
      <c r="O2452" s="2"/>
      <c r="P2452" s="2" t="s">
        <v>67</v>
      </c>
    </row>
    <row r="2453">
      <c r="A2453" s="3" t="s">
        <v>47</v>
      </c>
      <c r="B2453" s="2" t="s">
        <v>17</v>
      </c>
      <c r="C2453" s="2" t="s">
        <v>18</v>
      </c>
      <c r="D2453" s="2" t="s">
        <v>19</v>
      </c>
      <c r="E2453" s="2" t="s">
        <v>116</v>
      </c>
      <c r="F2453" s="2">
        <v>11.0</v>
      </c>
      <c r="G2453" s="2">
        <v>17.0</v>
      </c>
      <c r="H2453" s="2">
        <v>10.0</v>
      </c>
      <c r="I2453" s="2">
        <v>7.0</v>
      </c>
      <c r="J2453" s="2">
        <v>0.0</v>
      </c>
      <c r="K2453" s="2">
        <v>0.0</v>
      </c>
      <c r="L2453" s="2">
        <v>0.0</v>
      </c>
      <c r="M2453" s="2">
        <v>1.0</v>
      </c>
      <c r="N2453" s="2"/>
      <c r="O2453" s="2"/>
      <c r="P2453" s="2" t="s">
        <v>67</v>
      </c>
    </row>
    <row r="2454">
      <c r="A2454" s="3" t="s">
        <v>48</v>
      </c>
      <c r="B2454" s="2" t="s">
        <v>17</v>
      </c>
      <c r="C2454" s="2" t="s">
        <v>18</v>
      </c>
      <c r="D2454" s="2" t="s">
        <v>19</v>
      </c>
      <c r="E2454" s="2" t="s">
        <v>123</v>
      </c>
      <c r="F2454" s="2">
        <v>11.0</v>
      </c>
      <c r="G2454" s="2">
        <v>5.0</v>
      </c>
      <c r="H2454" s="2">
        <v>3.0</v>
      </c>
      <c r="I2454" s="2">
        <v>2.0</v>
      </c>
      <c r="J2454" s="2">
        <v>0.0</v>
      </c>
      <c r="K2454" s="2">
        <v>0.0</v>
      </c>
      <c r="L2454" s="2">
        <v>0.0</v>
      </c>
      <c r="M2454" s="2">
        <v>8.0</v>
      </c>
      <c r="N2454" s="2"/>
      <c r="O2454" s="2"/>
      <c r="P2454" s="2" t="s">
        <v>67</v>
      </c>
    </row>
    <row r="2455">
      <c r="A2455" s="3" t="s">
        <v>49</v>
      </c>
      <c r="B2455" s="2" t="s">
        <v>17</v>
      </c>
      <c r="C2455" s="2" t="s">
        <v>18</v>
      </c>
      <c r="D2455" s="2" t="s">
        <v>19</v>
      </c>
      <c r="E2455" s="2" t="s">
        <v>342</v>
      </c>
      <c r="F2455" s="2">
        <v>7.0</v>
      </c>
      <c r="G2455" s="2">
        <v>6.0</v>
      </c>
      <c r="H2455" s="2">
        <v>2.0</v>
      </c>
      <c r="I2455" s="2">
        <v>4.0</v>
      </c>
      <c r="J2455" s="2">
        <v>0.0</v>
      </c>
      <c r="K2455" s="2">
        <v>0.0</v>
      </c>
      <c r="L2455" s="2">
        <v>0.0</v>
      </c>
      <c r="M2455" s="2">
        <v>5.0</v>
      </c>
      <c r="N2455" s="2"/>
      <c r="O2455" s="2"/>
      <c r="P2455" s="2" t="s">
        <v>67</v>
      </c>
    </row>
    <row r="2456">
      <c r="A2456" s="3" t="s">
        <v>51</v>
      </c>
      <c r="B2456" s="2" t="s">
        <v>17</v>
      </c>
      <c r="C2456" s="2" t="s">
        <v>57</v>
      </c>
      <c r="D2456" s="2" t="s">
        <v>23</v>
      </c>
      <c r="E2456" s="2" t="s">
        <v>114</v>
      </c>
      <c r="F2456" s="2">
        <v>18.0</v>
      </c>
      <c r="G2456" s="2">
        <v>25.0</v>
      </c>
      <c r="H2456" s="2">
        <v>18.0</v>
      </c>
      <c r="I2456" s="2">
        <v>7.0</v>
      </c>
      <c r="J2456" s="2">
        <v>0.0</v>
      </c>
      <c r="K2456" s="2">
        <v>0.0</v>
      </c>
      <c r="L2456" s="2">
        <v>0.0</v>
      </c>
      <c r="M2456" s="2">
        <v>0.0</v>
      </c>
      <c r="N2456" s="2">
        <v>0.0</v>
      </c>
      <c r="O2456" s="2">
        <v>-18.0</v>
      </c>
      <c r="P2456" s="2" t="s">
        <v>67</v>
      </c>
    </row>
    <row r="2457">
      <c r="A2457" s="3" t="s">
        <v>52</v>
      </c>
      <c r="B2457" s="2" t="s">
        <v>17</v>
      </c>
      <c r="C2457" s="2" t="s">
        <v>18</v>
      </c>
      <c r="D2457" s="2" t="s">
        <v>23</v>
      </c>
      <c r="E2457" s="2" t="s">
        <v>339</v>
      </c>
      <c r="F2457" s="2">
        <v>9.0</v>
      </c>
      <c r="G2457" s="2">
        <v>3.0</v>
      </c>
      <c r="H2457" s="2">
        <v>3.0</v>
      </c>
      <c r="I2457" s="2">
        <v>0.0</v>
      </c>
      <c r="J2457" s="2">
        <v>0.0</v>
      </c>
      <c r="K2457" s="2">
        <v>0.0</v>
      </c>
      <c r="L2457" s="2">
        <v>0.0</v>
      </c>
      <c r="M2457" s="2">
        <v>6.0</v>
      </c>
      <c r="N2457" s="2">
        <v>0.0</v>
      </c>
      <c r="O2457" s="2">
        <v>3.0</v>
      </c>
      <c r="P2457" s="2" t="s">
        <v>67</v>
      </c>
    </row>
    <row r="2458">
      <c r="A2458" s="3" t="s">
        <v>53</v>
      </c>
      <c r="B2458" s="2" t="s">
        <v>17</v>
      </c>
      <c r="C2458" s="2" t="s">
        <v>57</v>
      </c>
      <c r="D2458" s="2" t="s">
        <v>23</v>
      </c>
      <c r="E2458" s="2" t="s">
        <v>340</v>
      </c>
      <c r="F2458" s="2">
        <v>10.0</v>
      </c>
      <c r="G2458" s="2">
        <v>20.0</v>
      </c>
      <c r="H2458" s="2">
        <v>10.0</v>
      </c>
      <c r="I2458" s="2">
        <v>10.0</v>
      </c>
      <c r="J2458" s="2">
        <v>0.0</v>
      </c>
      <c r="K2458" s="2">
        <v>0.0</v>
      </c>
      <c r="L2458" s="2">
        <v>0.0</v>
      </c>
      <c r="M2458" s="2">
        <v>0.0</v>
      </c>
      <c r="N2458" s="2">
        <v>0.0</v>
      </c>
      <c r="O2458" s="2">
        <v>-10.0</v>
      </c>
      <c r="P2458" s="2" t="s">
        <v>67</v>
      </c>
    </row>
    <row r="2459">
      <c r="A2459" s="3" t="s">
        <v>54</v>
      </c>
      <c r="B2459" s="2" t="s">
        <v>17</v>
      </c>
      <c r="C2459" s="2" t="s">
        <v>57</v>
      </c>
      <c r="D2459" s="2" t="s">
        <v>23</v>
      </c>
      <c r="E2459" s="2" t="s">
        <v>118</v>
      </c>
      <c r="F2459" s="2">
        <v>10.0</v>
      </c>
      <c r="G2459" s="2">
        <v>20.0</v>
      </c>
      <c r="H2459" s="2">
        <v>10.0</v>
      </c>
      <c r="I2459" s="2">
        <v>10.0</v>
      </c>
      <c r="J2459" s="2">
        <v>0.0</v>
      </c>
      <c r="K2459" s="2">
        <v>0.0</v>
      </c>
      <c r="L2459" s="2">
        <v>0.0</v>
      </c>
      <c r="M2459" s="2">
        <v>0.0</v>
      </c>
      <c r="N2459" s="2">
        <v>0.0</v>
      </c>
      <c r="O2459" s="2">
        <v>-10.0</v>
      </c>
      <c r="P2459" s="2" t="s">
        <v>67</v>
      </c>
    </row>
    <row r="2460">
      <c r="A2460" s="3" t="s">
        <v>55</v>
      </c>
      <c r="B2460" s="2" t="s">
        <v>17</v>
      </c>
      <c r="C2460" s="2" t="s">
        <v>57</v>
      </c>
      <c r="D2460" s="2" t="s">
        <v>23</v>
      </c>
      <c r="E2460" s="2" t="s">
        <v>120</v>
      </c>
      <c r="F2460" s="2">
        <v>7.0</v>
      </c>
      <c r="G2460" s="2">
        <v>22.0</v>
      </c>
      <c r="H2460" s="2">
        <v>10.0</v>
      </c>
      <c r="I2460" s="2">
        <v>12.0</v>
      </c>
      <c r="J2460" s="2">
        <v>0.0</v>
      </c>
      <c r="K2460" s="2">
        <v>0.0</v>
      </c>
      <c r="L2460" s="2">
        <v>0.0</v>
      </c>
      <c r="M2460" s="2">
        <v>-3.0</v>
      </c>
      <c r="N2460" s="2">
        <v>0.0</v>
      </c>
      <c r="O2460" s="2">
        <v>-13.0</v>
      </c>
      <c r="P2460" s="2" t="s">
        <v>67</v>
      </c>
    </row>
    <row r="2461">
      <c r="A2461" s="3" t="s">
        <v>56</v>
      </c>
      <c r="B2461" s="2" t="s">
        <v>17</v>
      </c>
      <c r="C2461" s="2" t="s">
        <v>57</v>
      </c>
      <c r="D2461" s="2" t="s">
        <v>23</v>
      </c>
      <c r="E2461" s="2" t="s">
        <v>341</v>
      </c>
      <c r="F2461" s="2">
        <v>2.0</v>
      </c>
      <c r="G2461" s="2">
        <v>4.0</v>
      </c>
      <c r="H2461" s="2">
        <v>2.0</v>
      </c>
      <c r="I2461" s="2">
        <v>2.0</v>
      </c>
      <c r="J2461" s="2">
        <v>0.0</v>
      </c>
      <c r="K2461" s="2">
        <v>0.0</v>
      </c>
      <c r="L2461" s="2">
        <v>0.0</v>
      </c>
      <c r="M2461" s="2">
        <v>0.0</v>
      </c>
      <c r="N2461" s="2">
        <v>0.0</v>
      </c>
      <c r="O2461" s="2">
        <v>-2.0</v>
      </c>
      <c r="P2461" s="2" t="s">
        <v>67</v>
      </c>
    </row>
    <row r="2462">
      <c r="A2462" s="3" t="s">
        <v>59</v>
      </c>
      <c r="B2462" s="2" t="s">
        <v>17</v>
      </c>
      <c r="C2462" s="2" t="s">
        <v>57</v>
      </c>
      <c r="D2462" s="2" t="s">
        <v>23</v>
      </c>
      <c r="E2462" s="2" t="s">
        <v>122</v>
      </c>
      <c r="F2462" s="2">
        <v>3.0</v>
      </c>
      <c r="G2462" s="2">
        <v>3.0</v>
      </c>
      <c r="H2462" s="2">
        <v>3.0</v>
      </c>
      <c r="I2462" s="2">
        <v>0.0</v>
      </c>
      <c r="J2462" s="2">
        <v>0.0</v>
      </c>
      <c r="K2462" s="2">
        <v>0.0</v>
      </c>
      <c r="L2462" s="2">
        <v>0.0</v>
      </c>
      <c r="M2462" s="2">
        <v>0.0</v>
      </c>
      <c r="N2462" s="2">
        <v>0.0</v>
      </c>
      <c r="O2462" s="2">
        <v>-3.0</v>
      </c>
      <c r="P2462" s="2" t="s">
        <v>67</v>
      </c>
    </row>
    <row r="2463">
      <c r="A2463" s="3" t="s">
        <v>60</v>
      </c>
      <c r="B2463" s="2" t="s">
        <v>17</v>
      </c>
      <c r="C2463" s="2" t="s">
        <v>18</v>
      </c>
      <c r="D2463" s="2" t="s">
        <v>23</v>
      </c>
      <c r="E2463" s="2" t="s">
        <v>116</v>
      </c>
      <c r="F2463" s="2">
        <v>11.0</v>
      </c>
      <c r="G2463" s="2">
        <v>17.0</v>
      </c>
      <c r="H2463" s="2">
        <v>10.0</v>
      </c>
      <c r="I2463" s="2">
        <v>7.0</v>
      </c>
      <c r="J2463" s="2">
        <v>0.0</v>
      </c>
      <c r="K2463" s="2">
        <v>0.0</v>
      </c>
      <c r="L2463" s="2">
        <v>0.0</v>
      </c>
      <c r="M2463" s="2">
        <v>1.0</v>
      </c>
      <c r="N2463" s="2">
        <v>0.0</v>
      </c>
      <c r="O2463" s="2">
        <v>-9.0</v>
      </c>
      <c r="P2463" s="2" t="s">
        <v>67</v>
      </c>
    </row>
    <row r="2464">
      <c r="A2464" s="3" t="s">
        <v>61</v>
      </c>
      <c r="B2464" s="2" t="s">
        <v>17</v>
      </c>
      <c r="C2464" s="2" t="s">
        <v>18</v>
      </c>
      <c r="D2464" s="2" t="s">
        <v>23</v>
      </c>
      <c r="E2464" s="2" t="s">
        <v>123</v>
      </c>
      <c r="F2464" s="2">
        <v>11.0</v>
      </c>
      <c r="G2464" s="2">
        <v>5.0</v>
      </c>
      <c r="H2464" s="2">
        <v>3.0</v>
      </c>
      <c r="I2464" s="2">
        <v>2.0</v>
      </c>
      <c r="J2464" s="2">
        <v>0.0</v>
      </c>
      <c r="K2464" s="2">
        <v>0.0</v>
      </c>
      <c r="L2464" s="2">
        <v>0.0</v>
      </c>
      <c r="M2464" s="2">
        <v>8.0</v>
      </c>
      <c r="N2464" s="2">
        <v>0.0</v>
      </c>
      <c r="O2464" s="2">
        <v>5.0</v>
      </c>
      <c r="P2464" s="2" t="s">
        <v>67</v>
      </c>
    </row>
    <row r="2465">
      <c r="A2465" s="3" t="s">
        <v>62</v>
      </c>
      <c r="B2465" s="2" t="s">
        <v>17</v>
      </c>
      <c r="C2465" s="2" t="s">
        <v>18</v>
      </c>
      <c r="D2465" s="2" t="s">
        <v>23</v>
      </c>
      <c r="E2465" s="2" t="s">
        <v>342</v>
      </c>
      <c r="F2465" s="2">
        <v>7.0</v>
      </c>
      <c r="G2465" s="2">
        <v>6.0</v>
      </c>
      <c r="H2465" s="2">
        <v>2.0</v>
      </c>
      <c r="I2465" s="2">
        <v>4.0</v>
      </c>
      <c r="J2465" s="2">
        <v>0.0</v>
      </c>
      <c r="K2465" s="2">
        <v>0.0</v>
      </c>
      <c r="L2465" s="2">
        <v>0.0</v>
      </c>
      <c r="M2465" s="2">
        <v>5.0</v>
      </c>
      <c r="N2465" s="2">
        <v>0.0</v>
      </c>
      <c r="O2465" s="2">
        <v>3.0</v>
      </c>
      <c r="P2465" s="2" t="s">
        <v>67</v>
      </c>
    </row>
    <row r="2466">
      <c r="A2466" s="3" t="s">
        <v>63</v>
      </c>
      <c r="B2466" s="4">
        <v>45201.29166666667</v>
      </c>
      <c r="C2466" s="2" t="s">
        <v>18</v>
      </c>
      <c r="D2466" s="2" t="s">
        <v>19</v>
      </c>
      <c r="E2466" s="2" t="s">
        <v>114</v>
      </c>
      <c r="F2466" s="2"/>
      <c r="G2466" s="2">
        <v>25.0</v>
      </c>
      <c r="H2466" s="2">
        <v>18.0</v>
      </c>
      <c r="I2466" s="2">
        <v>7.0</v>
      </c>
      <c r="J2466" s="2">
        <v>0.0</v>
      </c>
      <c r="K2466" s="2">
        <v>0.0</v>
      </c>
      <c r="L2466" s="2">
        <v>0.0</v>
      </c>
      <c r="M2466" s="2"/>
      <c r="N2466" s="2"/>
      <c r="O2466" s="2"/>
      <c r="P2466" s="2" t="s">
        <v>67</v>
      </c>
    </row>
    <row r="2467">
      <c r="A2467" s="3" t="s">
        <v>64</v>
      </c>
      <c r="B2467" s="4">
        <v>45201.29166666667</v>
      </c>
      <c r="C2467" s="2" t="s">
        <v>18</v>
      </c>
      <c r="D2467" s="2" t="s">
        <v>19</v>
      </c>
      <c r="E2467" s="2" t="s">
        <v>339</v>
      </c>
      <c r="F2467" s="2"/>
      <c r="G2467" s="2">
        <v>3.0</v>
      </c>
      <c r="H2467" s="2">
        <v>3.0</v>
      </c>
      <c r="I2467" s="2">
        <v>0.0</v>
      </c>
      <c r="J2467" s="2">
        <v>0.0</v>
      </c>
      <c r="K2467" s="2">
        <v>0.0</v>
      </c>
      <c r="L2467" s="2">
        <v>0.0</v>
      </c>
      <c r="M2467" s="2"/>
      <c r="N2467" s="2"/>
      <c r="O2467" s="2"/>
      <c r="P2467" s="2" t="s">
        <v>67</v>
      </c>
    </row>
    <row r="2468">
      <c r="A2468" s="3" t="s">
        <v>65</v>
      </c>
      <c r="B2468" s="4">
        <v>45202.29166666667</v>
      </c>
      <c r="C2468" s="2" t="s">
        <v>18</v>
      </c>
      <c r="D2468" s="2" t="s">
        <v>19</v>
      </c>
      <c r="E2468" s="2" t="s">
        <v>340</v>
      </c>
      <c r="F2468" s="2"/>
      <c r="G2468" s="2">
        <v>20.0</v>
      </c>
      <c r="H2468" s="2">
        <v>10.0</v>
      </c>
      <c r="I2468" s="2">
        <v>10.0</v>
      </c>
      <c r="J2468" s="2">
        <v>0.0</v>
      </c>
      <c r="K2468" s="2">
        <v>0.0</v>
      </c>
      <c r="L2468" s="2">
        <v>0.0</v>
      </c>
      <c r="M2468" s="2"/>
      <c r="N2468" s="2"/>
      <c r="O2468" s="2"/>
      <c r="P2468" s="2" t="s">
        <v>67</v>
      </c>
    </row>
    <row r="2469">
      <c r="A2469" s="3" t="s">
        <v>66</v>
      </c>
      <c r="B2469" s="4">
        <v>45203.29166666667</v>
      </c>
      <c r="C2469" s="2" t="s">
        <v>18</v>
      </c>
      <c r="D2469" s="2" t="s">
        <v>19</v>
      </c>
      <c r="E2469" s="2" t="s">
        <v>118</v>
      </c>
      <c r="F2469" s="2"/>
      <c r="G2469" s="2">
        <v>20.0</v>
      </c>
      <c r="H2469" s="2">
        <v>10.0</v>
      </c>
      <c r="I2469" s="2">
        <v>10.0</v>
      </c>
      <c r="J2469" s="2">
        <v>0.0</v>
      </c>
      <c r="K2469" s="2">
        <v>0.0</v>
      </c>
      <c r="L2469" s="2">
        <v>0.0</v>
      </c>
      <c r="M2469" s="2"/>
      <c r="N2469" s="2"/>
      <c r="O2469" s="2"/>
      <c r="P2469" s="2" t="s">
        <v>67</v>
      </c>
    </row>
    <row r="2470">
      <c r="A2470" s="3" t="s">
        <v>68</v>
      </c>
      <c r="B2470" s="4">
        <v>45204.29166666667</v>
      </c>
      <c r="C2470" s="2" t="s">
        <v>18</v>
      </c>
      <c r="D2470" s="2" t="s">
        <v>19</v>
      </c>
      <c r="E2470" s="2" t="s">
        <v>120</v>
      </c>
      <c r="F2470" s="2"/>
      <c r="G2470" s="2">
        <v>22.0</v>
      </c>
      <c r="H2470" s="2">
        <v>10.0</v>
      </c>
      <c r="I2470" s="2">
        <v>12.0</v>
      </c>
      <c r="J2470" s="2">
        <v>0.0</v>
      </c>
      <c r="K2470" s="2">
        <v>0.0</v>
      </c>
      <c r="L2470" s="2">
        <v>0.0</v>
      </c>
      <c r="M2470" s="2"/>
      <c r="N2470" s="2"/>
      <c r="O2470" s="2"/>
      <c r="P2470" s="2" t="s">
        <v>67</v>
      </c>
    </row>
    <row r="2471">
      <c r="A2471" s="3" t="s">
        <v>70</v>
      </c>
      <c r="B2471" s="4">
        <v>45205.29166666667</v>
      </c>
      <c r="C2471" s="2" t="s">
        <v>18</v>
      </c>
      <c r="D2471" s="2" t="s">
        <v>19</v>
      </c>
      <c r="E2471" s="2" t="s">
        <v>341</v>
      </c>
      <c r="F2471" s="2"/>
      <c r="G2471" s="2">
        <v>4.0</v>
      </c>
      <c r="H2471" s="2">
        <v>2.0</v>
      </c>
      <c r="I2471" s="2">
        <v>2.0</v>
      </c>
      <c r="J2471" s="2">
        <v>0.0</v>
      </c>
      <c r="K2471" s="2">
        <v>0.0</v>
      </c>
      <c r="L2471" s="2">
        <v>0.0</v>
      </c>
      <c r="M2471" s="2"/>
      <c r="N2471" s="2"/>
      <c r="O2471" s="2"/>
      <c r="P2471" s="2" t="s">
        <v>67</v>
      </c>
    </row>
    <row r="2472">
      <c r="A2472" s="3" t="s">
        <v>16</v>
      </c>
      <c r="B2472" s="4">
        <v>45206.29166666667</v>
      </c>
      <c r="C2472" s="2" t="s">
        <v>18</v>
      </c>
      <c r="D2472" s="2" t="s">
        <v>19</v>
      </c>
      <c r="E2472" s="2" t="s">
        <v>122</v>
      </c>
      <c r="F2472" s="2"/>
      <c r="G2472" s="2">
        <v>3.0</v>
      </c>
      <c r="H2472" s="2">
        <v>3.0</v>
      </c>
      <c r="I2472" s="2">
        <v>0.0</v>
      </c>
      <c r="J2472" s="2">
        <v>0.0</v>
      </c>
      <c r="K2472" s="2">
        <v>0.0</v>
      </c>
      <c r="L2472" s="2">
        <v>0.0</v>
      </c>
      <c r="M2472" s="2"/>
      <c r="N2472" s="2"/>
      <c r="O2472" s="2"/>
      <c r="P2472" s="2" t="s">
        <v>67</v>
      </c>
    </row>
    <row r="2473">
      <c r="A2473" s="3" t="s">
        <v>71</v>
      </c>
      <c r="B2473" s="4">
        <v>45207.29166666667</v>
      </c>
      <c r="C2473" s="2" t="s">
        <v>18</v>
      </c>
      <c r="D2473" s="2" t="s">
        <v>19</v>
      </c>
      <c r="E2473" s="2" t="s">
        <v>116</v>
      </c>
      <c r="F2473" s="2"/>
      <c r="G2473" s="2">
        <v>17.0</v>
      </c>
      <c r="H2473" s="2">
        <v>10.0</v>
      </c>
      <c r="I2473" s="2">
        <v>7.0</v>
      </c>
      <c r="J2473" s="2">
        <v>0.0</v>
      </c>
      <c r="K2473" s="2">
        <v>0.0</v>
      </c>
      <c r="L2473" s="2">
        <v>0.0</v>
      </c>
      <c r="M2473" s="2"/>
      <c r="N2473" s="2"/>
      <c r="O2473" s="2"/>
      <c r="P2473" s="2" t="s">
        <v>67</v>
      </c>
    </row>
    <row r="2474">
      <c r="A2474" s="3" t="s">
        <v>72</v>
      </c>
      <c r="B2474" s="4">
        <v>45208.29166666667</v>
      </c>
      <c r="C2474" s="2" t="s">
        <v>18</v>
      </c>
      <c r="D2474" s="2" t="s">
        <v>19</v>
      </c>
      <c r="E2474" s="2" t="s">
        <v>123</v>
      </c>
      <c r="F2474" s="2"/>
      <c r="G2474" s="2">
        <v>5.0</v>
      </c>
      <c r="H2474" s="2">
        <v>3.0</v>
      </c>
      <c r="I2474" s="2">
        <v>2.0</v>
      </c>
      <c r="J2474" s="2">
        <v>0.0</v>
      </c>
      <c r="K2474" s="2">
        <v>0.0</v>
      </c>
      <c r="L2474" s="2">
        <v>0.0</v>
      </c>
      <c r="M2474" s="2"/>
      <c r="N2474" s="2"/>
      <c r="O2474" s="2"/>
      <c r="P2474" s="2" t="s">
        <v>67</v>
      </c>
    </row>
    <row r="2475">
      <c r="A2475" s="3" t="s">
        <v>73</v>
      </c>
      <c r="B2475" s="4">
        <v>45209.29166666667</v>
      </c>
      <c r="C2475" s="2" t="s">
        <v>18</v>
      </c>
      <c r="D2475" s="2" t="s">
        <v>19</v>
      </c>
      <c r="E2475" s="2" t="s">
        <v>342</v>
      </c>
      <c r="F2475" s="2"/>
      <c r="G2475" s="2">
        <v>6.0</v>
      </c>
      <c r="H2475" s="2">
        <v>2.0</v>
      </c>
      <c r="I2475" s="2">
        <v>4.0</v>
      </c>
      <c r="J2475" s="2">
        <v>0.0</v>
      </c>
      <c r="K2475" s="2">
        <v>0.0</v>
      </c>
      <c r="L2475" s="2">
        <v>0.0</v>
      </c>
      <c r="M2475" s="2"/>
      <c r="N2475" s="2"/>
      <c r="O2475" s="2"/>
      <c r="P2475" s="2" t="s">
        <v>67</v>
      </c>
    </row>
    <row r="2476">
      <c r="A2476" s="3" t="s">
        <v>74</v>
      </c>
      <c r="B2476" s="2" t="s">
        <v>17</v>
      </c>
      <c r="C2476" s="2" t="s">
        <v>18</v>
      </c>
      <c r="D2476" s="2" t="s">
        <v>91</v>
      </c>
      <c r="E2476" s="2" t="s">
        <v>343</v>
      </c>
      <c r="F2476" s="2">
        <v>19.0</v>
      </c>
      <c r="G2476" s="2">
        <v>17.0</v>
      </c>
      <c r="H2476" s="2">
        <v>17.0</v>
      </c>
      <c r="I2476" s="2">
        <v>0.0</v>
      </c>
      <c r="J2476" s="2">
        <v>0.0</v>
      </c>
      <c r="K2476" s="2">
        <v>0.0</v>
      </c>
      <c r="L2476" s="2">
        <v>0.0</v>
      </c>
      <c r="M2476" s="2">
        <v>2.0</v>
      </c>
      <c r="N2476" s="2"/>
      <c r="O2476" s="2"/>
      <c r="P2476" s="2" t="s">
        <v>80</v>
      </c>
    </row>
    <row r="2477">
      <c r="A2477" s="3" t="s">
        <v>75</v>
      </c>
      <c r="B2477" s="2" t="s">
        <v>17</v>
      </c>
      <c r="C2477" s="2" t="s">
        <v>18</v>
      </c>
      <c r="D2477" s="2" t="s">
        <v>19</v>
      </c>
      <c r="E2477" s="2" t="s">
        <v>343</v>
      </c>
      <c r="F2477" s="2">
        <v>5.0</v>
      </c>
      <c r="G2477" s="2">
        <v>5.0</v>
      </c>
      <c r="H2477" s="2">
        <v>4.0</v>
      </c>
      <c r="I2477" s="2">
        <v>1.0</v>
      </c>
      <c r="J2477" s="2">
        <v>0.0</v>
      </c>
      <c r="K2477" s="2">
        <v>0.0</v>
      </c>
      <c r="L2477" s="2">
        <v>0.0</v>
      </c>
      <c r="M2477" s="2">
        <v>1.0</v>
      </c>
      <c r="N2477" s="2"/>
      <c r="O2477" s="2"/>
      <c r="P2477" s="2" t="s">
        <v>80</v>
      </c>
    </row>
    <row r="2478">
      <c r="A2478" s="3" t="s">
        <v>76</v>
      </c>
      <c r="B2478" s="2" t="s">
        <v>17</v>
      </c>
      <c r="C2478" s="2" t="s">
        <v>18</v>
      </c>
      <c r="D2478" s="2" t="s">
        <v>23</v>
      </c>
      <c r="E2478" s="2" t="s">
        <v>343</v>
      </c>
      <c r="F2478" s="2">
        <v>21.0</v>
      </c>
      <c r="G2478" s="2">
        <v>22.0</v>
      </c>
      <c r="H2478" s="2">
        <v>21.0</v>
      </c>
      <c r="I2478" s="2">
        <v>1.0</v>
      </c>
      <c r="J2478" s="2">
        <v>0.0</v>
      </c>
      <c r="K2478" s="2">
        <v>0.0</v>
      </c>
      <c r="L2478" s="2">
        <v>0.0</v>
      </c>
      <c r="M2478" s="2">
        <v>0.0</v>
      </c>
      <c r="N2478" s="2">
        <v>-3.0</v>
      </c>
      <c r="O2478" s="2">
        <v>-21.0</v>
      </c>
      <c r="P2478" s="2" t="s">
        <v>80</v>
      </c>
    </row>
    <row r="2479">
      <c r="A2479" s="3" t="s">
        <v>77</v>
      </c>
      <c r="B2479" s="4">
        <v>45202.29166666667</v>
      </c>
      <c r="C2479" s="2" t="s">
        <v>18</v>
      </c>
      <c r="D2479" s="2" t="s">
        <v>91</v>
      </c>
      <c r="E2479" s="2" t="s">
        <v>343</v>
      </c>
      <c r="F2479" s="2"/>
      <c r="G2479" s="2">
        <v>17.0</v>
      </c>
      <c r="H2479" s="2">
        <v>17.0</v>
      </c>
      <c r="I2479" s="2">
        <v>0.0</v>
      </c>
      <c r="J2479" s="2">
        <v>0.0</v>
      </c>
      <c r="K2479" s="2">
        <v>0.0</v>
      </c>
      <c r="L2479" s="2">
        <v>0.0</v>
      </c>
      <c r="M2479" s="2"/>
      <c r="N2479" s="2"/>
      <c r="O2479" s="2"/>
      <c r="P2479" s="2" t="s">
        <v>80</v>
      </c>
    </row>
    <row r="2480">
      <c r="A2480" s="3" t="s">
        <v>78</v>
      </c>
      <c r="B2480" s="4">
        <v>45203.29166666667</v>
      </c>
      <c r="C2480" s="2" t="s">
        <v>18</v>
      </c>
      <c r="D2480" s="2" t="s">
        <v>19</v>
      </c>
      <c r="E2480" s="2" t="s">
        <v>343</v>
      </c>
      <c r="F2480" s="2"/>
      <c r="G2480" s="2">
        <v>5.0</v>
      </c>
      <c r="H2480" s="2">
        <v>4.0</v>
      </c>
      <c r="I2480" s="2">
        <v>1.0</v>
      </c>
      <c r="J2480" s="2">
        <v>0.0</v>
      </c>
      <c r="K2480" s="2">
        <v>0.0</v>
      </c>
      <c r="L2480" s="2">
        <v>0.0</v>
      </c>
      <c r="M2480" s="2"/>
      <c r="N2480" s="2"/>
      <c r="O2480" s="2"/>
      <c r="P2480" s="2" t="s">
        <v>80</v>
      </c>
    </row>
    <row r="2481">
      <c r="A2481" s="3" t="s">
        <v>81</v>
      </c>
      <c r="B2481" s="2" t="s">
        <v>17</v>
      </c>
      <c r="C2481" s="2" t="s">
        <v>18</v>
      </c>
      <c r="D2481" s="2" t="s">
        <v>164</v>
      </c>
      <c r="E2481" s="2" t="s">
        <v>344</v>
      </c>
      <c r="F2481" s="2">
        <v>58.0</v>
      </c>
      <c r="G2481" s="2">
        <v>123.0</v>
      </c>
      <c r="H2481" s="2">
        <v>59.0</v>
      </c>
      <c r="I2481" s="2">
        <v>64.0</v>
      </c>
      <c r="J2481" s="2">
        <v>0.0</v>
      </c>
      <c r="K2481" s="2">
        <v>0.0</v>
      </c>
      <c r="L2481" s="2">
        <v>0.0</v>
      </c>
      <c r="M2481" s="2">
        <v>-1.0</v>
      </c>
      <c r="N2481" s="2"/>
      <c r="O2481" s="2"/>
      <c r="P2481" s="2" t="s">
        <v>166</v>
      </c>
    </row>
    <row r="2482">
      <c r="A2482" s="3" t="s">
        <v>82</v>
      </c>
      <c r="B2482" s="2" t="s">
        <v>17</v>
      </c>
      <c r="C2482" s="2" t="s">
        <v>18</v>
      </c>
      <c r="D2482" s="2" t="s">
        <v>164</v>
      </c>
      <c r="E2482" s="2" t="s">
        <v>345</v>
      </c>
      <c r="F2482" s="2">
        <v>49.0</v>
      </c>
      <c r="G2482" s="2">
        <v>125.0</v>
      </c>
      <c r="H2482" s="2">
        <v>49.0</v>
      </c>
      <c r="I2482" s="2">
        <v>76.0</v>
      </c>
      <c r="J2482" s="2">
        <v>0.0</v>
      </c>
      <c r="K2482" s="2">
        <v>0.0</v>
      </c>
      <c r="L2482" s="2">
        <v>0.0</v>
      </c>
      <c r="M2482" s="2">
        <v>0.0</v>
      </c>
      <c r="N2482" s="2"/>
      <c r="O2482" s="2"/>
      <c r="P2482" s="2" t="s">
        <v>166</v>
      </c>
    </row>
    <row r="2483">
      <c r="A2483" s="3" t="s">
        <v>83</v>
      </c>
      <c r="B2483" s="2" t="s">
        <v>17</v>
      </c>
      <c r="C2483" s="2" t="s">
        <v>18</v>
      </c>
      <c r="D2483" s="2" t="s">
        <v>23</v>
      </c>
      <c r="E2483" s="2" t="s">
        <v>344</v>
      </c>
      <c r="F2483" s="2">
        <v>58.0</v>
      </c>
      <c r="G2483" s="2">
        <v>123.0</v>
      </c>
      <c r="H2483" s="2">
        <v>59.0</v>
      </c>
      <c r="I2483" s="2">
        <v>64.0</v>
      </c>
      <c r="J2483" s="2">
        <v>0.0</v>
      </c>
      <c r="K2483" s="2">
        <v>0.0</v>
      </c>
      <c r="L2483" s="2">
        <v>0.0</v>
      </c>
      <c r="M2483" s="2">
        <v>-1.0</v>
      </c>
      <c r="N2483" s="2">
        <v>0.0</v>
      </c>
      <c r="O2483" s="2">
        <v>-60.0</v>
      </c>
      <c r="P2483" s="2" t="s">
        <v>166</v>
      </c>
    </row>
    <row r="2484">
      <c r="A2484" s="3" t="s">
        <v>84</v>
      </c>
      <c r="B2484" s="2" t="s">
        <v>17</v>
      </c>
      <c r="C2484" s="2" t="s">
        <v>18</v>
      </c>
      <c r="D2484" s="2" t="s">
        <v>23</v>
      </c>
      <c r="E2484" s="2" t="s">
        <v>345</v>
      </c>
      <c r="F2484" s="2">
        <v>49.0</v>
      </c>
      <c r="G2484" s="2">
        <v>125.0</v>
      </c>
      <c r="H2484" s="2">
        <v>49.0</v>
      </c>
      <c r="I2484" s="2">
        <v>76.0</v>
      </c>
      <c r="J2484" s="2">
        <v>0.0</v>
      </c>
      <c r="K2484" s="2">
        <v>0.0</v>
      </c>
      <c r="L2484" s="2">
        <v>0.0</v>
      </c>
      <c r="M2484" s="2">
        <v>0.0</v>
      </c>
      <c r="N2484" s="2">
        <v>0.0</v>
      </c>
      <c r="O2484" s="2">
        <v>-49.0</v>
      </c>
      <c r="P2484" s="2" t="s">
        <v>166</v>
      </c>
    </row>
    <row r="2485">
      <c r="A2485" s="3" t="s">
        <v>85</v>
      </c>
      <c r="B2485" s="4">
        <v>45048.29166666667</v>
      </c>
      <c r="C2485" s="2" t="s">
        <v>18</v>
      </c>
      <c r="D2485" s="2" t="s">
        <v>164</v>
      </c>
      <c r="E2485" s="2" t="s">
        <v>344</v>
      </c>
      <c r="F2485" s="2"/>
      <c r="G2485" s="2">
        <v>37.0</v>
      </c>
      <c r="H2485" s="2">
        <v>23.0</v>
      </c>
      <c r="I2485" s="2">
        <v>14.0</v>
      </c>
      <c r="J2485" s="2">
        <v>0.0</v>
      </c>
      <c r="K2485" s="2">
        <v>0.0</v>
      </c>
      <c r="L2485" s="2">
        <v>0.0</v>
      </c>
      <c r="M2485" s="2"/>
      <c r="N2485" s="2"/>
      <c r="O2485" s="2"/>
      <c r="P2485" s="2" t="s">
        <v>166</v>
      </c>
    </row>
    <row r="2486">
      <c r="A2486" s="3" t="s">
        <v>86</v>
      </c>
      <c r="B2486" s="4">
        <v>45049.29166666667</v>
      </c>
      <c r="C2486" s="2" t="s">
        <v>18</v>
      </c>
      <c r="D2486" s="2" t="s">
        <v>164</v>
      </c>
      <c r="E2486" s="2" t="s">
        <v>345</v>
      </c>
      <c r="F2486" s="2"/>
      <c r="G2486" s="2">
        <v>39.0</v>
      </c>
      <c r="H2486" s="2">
        <v>18.0</v>
      </c>
      <c r="I2486" s="2">
        <v>21.0</v>
      </c>
      <c r="J2486" s="2">
        <v>0.0</v>
      </c>
      <c r="K2486" s="2">
        <v>0.0</v>
      </c>
      <c r="L2486" s="2">
        <v>0.0</v>
      </c>
      <c r="M2486" s="2"/>
      <c r="N2486" s="2"/>
      <c r="O2486" s="2"/>
      <c r="P2486" s="2" t="s">
        <v>166</v>
      </c>
    </row>
    <row r="2487">
      <c r="A2487" s="3" t="s">
        <v>87</v>
      </c>
      <c r="B2487" s="4">
        <v>45078.29166666667</v>
      </c>
      <c r="C2487" s="2" t="s">
        <v>18</v>
      </c>
      <c r="D2487" s="2" t="s">
        <v>164</v>
      </c>
      <c r="E2487" s="2" t="s">
        <v>344</v>
      </c>
      <c r="F2487" s="2"/>
      <c r="G2487" s="2">
        <v>21.0</v>
      </c>
      <c r="H2487" s="2">
        <v>12.0</v>
      </c>
      <c r="I2487" s="2">
        <v>9.0</v>
      </c>
      <c r="J2487" s="2">
        <v>0.0</v>
      </c>
      <c r="K2487" s="2">
        <v>0.0</v>
      </c>
      <c r="L2487" s="2">
        <v>0.0</v>
      </c>
      <c r="M2487" s="2"/>
      <c r="N2487" s="2"/>
      <c r="O2487" s="2"/>
      <c r="P2487" s="2" t="s">
        <v>166</v>
      </c>
    </row>
    <row r="2488">
      <c r="A2488" s="3" t="s">
        <v>88</v>
      </c>
      <c r="B2488" s="4">
        <v>45079.29166666667</v>
      </c>
      <c r="C2488" s="2" t="s">
        <v>18</v>
      </c>
      <c r="D2488" s="2" t="s">
        <v>164</v>
      </c>
      <c r="E2488" s="2" t="s">
        <v>345</v>
      </c>
      <c r="F2488" s="2"/>
      <c r="G2488" s="2">
        <v>20.0</v>
      </c>
      <c r="H2488" s="2">
        <v>10.0</v>
      </c>
      <c r="I2488" s="2">
        <v>10.0</v>
      </c>
      <c r="J2488" s="2">
        <v>0.0</v>
      </c>
      <c r="K2488" s="2">
        <v>0.0</v>
      </c>
      <c r="L2488" s="2">
        <v>0.0</v>
      </c>
      <c r="M2488" s="2"/>
      <c r="N2488" s="2"/>
      <c r="O2488" s="2"/>
      <c r="P2488" s="2" t="s">
        <v>166</v>
      </c>
    </row>
    <row r="2489">
      <c r="A2489" s="3" t="s">
        <v>89</v>
      </c>
      <c r="B2489" s="4">
        <v>45139.29166666667</v>
      </c>
      <c r="C2489" s="2" t="s">
        <v>18</v>
      </c>
      <c r="D2489" s="2" t="s">
        <v>164</v>
      </c>
      <c r="E2489" s="2" t="s">
        <v>344</v>
      </c>
      <c r="F2489" s="2"/>
      <c r="G2489" s="2">
        <v>35.0</v>
      </c>
      <c r="H2489" s="2">
        <v>11.0</v>
      </c>
      <c r="I2489" s="2">
        <v>24.0</v>
      </c>
      <c r="J2489" s="2">
        <v>0.0</v>
      </c>
      <c r="K2489" s="2">
        <v>0.0</v>
      </c>
      <c r="L2489" s="2">
        <v>0.0</v>
      </c>
      <c r="M2489" s="2"/>
      <c r="N2489" s="2"/>
      <c r="O2489" s="2"/>
      <c r="P2489" s="2" t="s">
        <v>166</v>
      </c>
    </row>
    <row r="2490">
      <c r="A2490" s="3" t="s">
        <v>90</v>
      </c>
      <c r="B2490" s="4">
        <v>45139.29166666667</v>
      </c>
      <c r="C2490" s="2" t="s">
        <v>18</v>
      </c>
      <c r="D2490" s="2" t="s">
        <v>164</v>
      </c>
      <c r="E2490" s="2" t="s">
        <v>345</v>
      </c>
      <c r="F2490" s="2"/>
      <c r="G2490" s="2">
        <v>35.0</v>
      </c>
      <c r="H2490" s="2">
        <v>9.0</v>
      </c>
      <c r="I2490" s="2">
        <v>26.0</v>
      </c>
      <c r="J2490" s="2">
        <v>0.0</v>
      </c>
      <c r="K2490" s="2">
        <v>0.0</v>
      </c>
      <c r="L2490" s="2">
        <v>0.0</v>
      </c>
      <c r="M2490" s="2"/>
      <c r="N2490" s="2"/>
      <c r="O2490" s="2"/>
      <c r="P2490" s="2" t="s">
        <v>166</v>
      </c>
    </row>
    <row r="2491">
      <c r="A2491" s="3" t="s">
        <v>93</v>
      </c>
      <c r="B2491" s="4">
        <v>45170.29166666667</v>
      </c>
      <c r="C2491" s="2" t="s">
        <v>18</v>
      </c>
      <c r="D2491" s="2" t="s">
        <v>164</v>
      </c>
      <c r="E2491" s="2" t="s">
        <v>344</v>
      </c>
      <c r="F2491" s="2"/>
      <c r="G2491" s="2">
        <v>13.0</v>
      </c>
      <c r="H2491" s="2">
        <v>4.0</v>
      </c>
      <c r="I2491" s="2">
        <v>9.0</v>
      </c>
      <c r="J2491" s="2">
        <v>0.0</v>
      </c>
      <c r="K2491" s="2">
        <v>0.0</v>
      </c>
      <c r="L2491" s="2">
        <v>0.0</v>
      </c>
      <c r="M2491" s="2"/>
      <c r="N2491" s="2"/>
      <c r="O2491" s="2"/>
      <c r="P2491" s="2" t="s">
        <v>166</v>
      </c>
    </row>
    <row r="2492">
      <c r="A2492" s="3" t="s">
        <v>16</v>
      </c>
      <c r="B2492" s="4">
        <v>45171.29166666667</v>
      </c>
      <c r="C2492" s="2" t="s">
        <v>18</v>
      </c>
      <c r="D2492" s="2" t="s">
        <v>164</v>
      </c>
      <c r="E2492" s="2" t="s">
        <v>345</v>
      </c>
      <c r="F2492" s="2"/>
      <c r="G2492" s="2">
        <v>14.0</v>
      </c>
      <c r="H2492" s="2">
        <v>7.0</v>
      </c>
      <c r="I2492" s="2">
        <v>7.0</v>
      </c>
      <c r="J2492" s="2">
        <v>0.0</v>
      </c>
      <c r="K2492" s="2">
        <v>0.0</v>
      </c>
      <c r="L2492" s="2">
        <v>0.0</v>
      </c>
      <c r="M2492" s="2"/>
      <c r="N2492" s="2"/>
      <c r="O2492" s="2"/>
      <c r="P2492" s="2" t="s">
        <v>166</v>
      </c>
    </row>
    <row r="2493">
      <c r="A2493" s="3" t="s">
        <v>94</v>
      </c>
      <c r="B2493" s="4">
        <v>45200.29166666667</v>
      </c>
      <c r="C2493" s="2" t="s">
        <v>18</v>
      </c>
      <c r="D2493" s="2" t="s">
        <v>164</v>
      </c>
      <c r="E2493" s="2" t="s">
        <v>344</v>
      </c>
      <c r="F2493" s="2"/>
      <c r="G2493" s="2">
        <v>17.0</v>
      </c>
      <c r="H2493" s="2">
        <v>9.0</v>
      </c>
      <c r="I2493" s="2">
        <v>8.0</v>
      </c>
      <c r="J2493" s="2">
        <v>0.0</v>
      </c>
      <c r="K2493" s="2">
        <v>0.0</v>
      </c>
      <c r="L2493" s="2">
        <v>0.0</v>
      </c>
      <c r="M2493" s="2"/>
      <c r="N2493" s="2"/>
      <c r="O2493" s="2"/>
      <c r="P2493" s="2" t="s">
        <v>166</v>
      </c>
    </row>
    <row r="2494">
      <c r="A2494" s="3" t="s">
        <v>95</v>
      </c>
      <c r="B2494" s="4">
        <v>45201.29166666667</v>
      </c>
      <c r="C2494" s="2" t="s">
        <v>18</v>
      </c>
      <c r="D2494" s="2" t="s">
        <v>164</v>
      </c>
      <c r="E2494" s="2" t="s">
        <v>345</v>
      </c>
      <c r="F2494" s="2"/>
      <c r="G2494" s="2">
        <v>17.0</v>
      </c>
      <c r="H2494" s="2">
        <v>5.0</v>
      </c>
      <c r="I2494" s="2">
        <v>12.0</v>
      </c>
      <c r="J2494" s="2">
        <v>0.0</v>
      </c>
      <c r="K2494" s="2">
        <v>0.0</v>
      </c>
      <c r="L2494" s="2">
        <v>0.0</v>
      </c>
      <c r="M2494" s="2"/>
      <c r="N2494" s="2"/>
      <c r="O2494" s="2"/>
      <c r="P2494" s="2" t="s">
        <v>166</v>
      </c>
    </row>
    <row r="2495">
      <c r="A2495" s="3" t="s">
        <v>97</v>
      </c>
      <c r="B2495" s="2" t="s">
        <v>17</v>
      </c>
      <c r="C2495" s="2" t="s">
        <v>18</v>
      </c>
      <c r="D2495" s="2" t="s">
        <v>127</v>
      </c>
      <c r="E2495" s="2" t="s">
        <v>27</v>
      </c>
      <c r="F2495" s="2">
        <v>50.0</v>
      </c>
      <c r="G2495" s="2">
        <v>47.0</v>
      </c>
      <c r="H2495" s="2">
        <v>34.0</v>
      </c>
      <c r="I2495" s="2">
        <v>12.0</v>
      </c>
      <c r="J2495" s="2">
        <v>1.0</v>
      </c>
      <c r="K2495" s="2">
        <v>0.0</v>
      </c>
      <c r="L2495" s="2">
        <v>0.0</v>
      </c>
      <c r="M2495" s="2">
        <v>16.0</v>
      </c>
      <c r="N2495" s="2"/>
      <c r="O2495" s="2"/>
      <c r="P2495" s="2" t="s">
        <v>92</v>
      </c>
    </row>
    <row r="2496">
      <c r="A2496" s="3" t="s">
        <v>98</v>
      </c>
      <c r="B2496" s="2" t="s">
        <v>17</v>
      </c>
      <c r="C2496" s="2" t="s">
        <v>18</v>
      </c>
      <c r="D2496" s="2" t="s">
        <v>19</v>
      </c>
      <c r="E2496" s="2" t="s">
        <v>27</v>
      </c>
      <c r="F2496" s="2">
        <v>50.0</v>
      </c>
      <c r="G2496" s="2">
        <v>0.0</v>
      </c>
      <c r="H2496" s="2">
        <v>0.0</v>
      </c>
      <c r="I2496" s="2">
        <v>0.0</v>
      </c>
      <c r="J2496" s="2">
        <v>0.0</v>
      </c>
      <c r="K2496" s="2">
        <v>0.0</v>
      </c>
      <c r="L2496" s="2">
        <v>0.0</v>
      </c>
      <c r="M2496" s="2">
        <v>50.0</v>
      </c>
      <c r="N2496" s="2"/>
      <c r="O2496" s="2"/>
      <c r="P2496" s="2" t="s">
        <v>92</v>
      </c>
    </row>
    <row r="2497">
      <c r="A2497" s="3" t="s">
        <v>99</v>
      </c>
      <c r="B2497" s="2" t="s">
        <v>17</v>
      </c>
      <c r="C2497" s="2" t="s">
        <v>18</v>
      </c>
      <c r="D2497" s="2" t="s">
        <v>23</v>
      </c>
      <c r="E2497" s="2" t="s">
        <v>27</v>
      </c>
      <c r="F2497" s="2">
        <v>50.0</v>
      </c>
      <c r="G2497" s="2">
        <v>47.0</v>
      </c>
      <c r="H2497" s="2">
        <v>34.0</v>
      </c>
      <c r="I2497" s="2">
        <v>12.0</v>
      </c>
      <c r="J2497" s="2">
        <v>1.0</v>
      </c>
      <c r="K2497" s="2">
        <v>0.0</v>
      </c>
      <c r="L2497" s="2">
        <v>0.0</v>
      </c>
      <c r="M2497" s="2">
        <v>16.0</v>
      </c>
      <c r="N2497" s="2">
        <v>-50.0</v>
      </c>
      <c r="O2497" s="2">
        <v>-18.0</v>
      </c>
      <c r="P2497" s="2" t="s">
        <v>92</v>
      </c>
    </row>
    <row r="2498">
      <c r="A2498" s="3" t="s">
        <v>100</v>
      </c>
      <c r="B2498" s="4">
        <v>45200.29166666667</v>
      </c>
      <c r="C2498" s="2" t="s">
        <v>18</v>
      </c>
      <c r="D2498" s="2" t="s">
        <v>19</v>
      </c>
      <c r="E2498" s="2" t="s">
        <v>27</v>
      </c>
      <c r="F2498" s="2"/>
      <c r="G2498" s="2">
        <v>0.0</v>
      </c>
      <c r="H2498" s="2">
        <v>0.0</v>
      </c>
      <c r="I2498" s="2">
        <v>0.0</v>
      </c>
      <c r="J2498" s="2">
        <v>0.0</v>
      </c>
      <c r="K2498" s="2">
        <v>0.0</v>
      </c>
      <c r="L2498" s="2">
        <v>0.0</v>
      </c>
      <c r="M2498" s="2"/>
      <c r="N2498" s="2"/>
      <c r="O2498" s="2"/>
      <c r="P2498" s="2" t="s">
        <v>92</v>
      </c>
    </row>
    <row r="2499">
      <c r="A2499" s="3" t="s">
        <v>101</v>
      </c>
      <c r="B2499" s="4">
        <v>45201.29166666667</v>
      </c>
      <c r="C2499" s="2" t="s">
        <v>18</v>
      </c>
      <c r="D2499" s="2" t="s">
        <v>127</v>
      </c>
      <c r="E2499" s="2" t="s">
        <v>27</v>
      </c>
      <c r="F2499" s="2"/>
      <c r="G2499" s="2">
        <v>47.0</v>
      </c>
      <c r="H2499" s="2">
        <v>34.0</v>
      </c>
      <c r="I2499" s="2">
        <v>12.0</v>
      </c>
      <c r="J2499" s="2">
        <v>1.0</v>
      </c>
      <c r="K2499" s="2">
        <v>0.0</v>
      </c>
      <c r="L2499" s="2">
        <v>0.0</v>
      </c>
      <c r="M2499" s="2"/>
      <c r="N2499" s="2"/>
      <c r="O2499" s="2"/>
      <c r="P2499" s="2" t="s">
        <v>92</v>
      </c>
    </row>
    <row r="2500">
      <c r="A2500" s="3" t="s">
        <v>102</v>
      </c>
      <c r="B2500" s="2" t="s">
        <v>17</v>
      </c>
      <c r="C2500" s="2" t="s">
        <v>18</v>
      </c>
      <c r="D2500" s="2" t="s">
        <v>127</v>
      </c>
      <c r="E2500" s="2" t="s">
        <v>346</v>
      </c>
      <c r="F2500" s="2">
        <v>114.0</v>
      </c>
      <c r="G2500" s="2">
        <v>159.0</v>
      </c>
      <c r="H2500" s="2">
        <v>114.0</v>
      </c>
      <c r="I2500" s="2">
        <v>45.0</v>
      </c>
      <c r="J2500" s="2">
        <v>0.0</v>
      </c>
      <c r="K2500" s="2">
        <v>0.0</v>
      </c>
      <c r="L2500" s="2">
        <v>0.0</v>
      </c>
      <c r="M2500" s="2">
        <v>0.0</v>
      </c>
      <c r="N2500" s="2"/>
      <c r="O2500" s="2"/>
      <c r="P2500" s="2" t="s">
        <v>111</v>
      </c>
    </row>
    <row r="2501">
      <c r="A2501" s="3" t="s">
        <v>103</v>
      </c>
      <c r="B2501" s="2" t="s">
        <v>17</v>
      </c>
      <c r="C2501" s="2" t="s">
        <v>148</v>
      </c>
      <c r="D2501" s="2" t="s">
        <v>19</v>
      </c>
      <c r="E2501" s="2" t="s">
        <v>346</v>
      </c>
      <c r="F2501" s="2">
        <v>122.0</v>
      </c>
      <c r="G2501" s="2">
        <v>9.0</v>
      </c>
      <c r="H2501" s="2">
        <v>4.0</v>
      </c>
      <c r="I2501" s="2">
        <v>5.0</v>
      </c>
      <c r="J2501" s="2">
        <v>0.0</v>
      </c>
      <c r="K2501" s="2">
        <v>0.0</v>
      </c>
      <c r="L2501" s="2">
        <v>0.0</v>
      </c>
      <c r="M2501" s="2">
        <v>118.0</v>
      </c>
      <c r="N2501" s="2"/>
      <c r="O2501" s="2"/>
      <c r="P2501" s="2" t="s">
        <v>111</v>
      </c>
    </row>
    <row r="2502">
      <c r="A2502" s="3" t="s">
        <v>104</v>
      </c>
      <c r="B2502" s="2" t="s">
        <v>17</v>
      </c>
      <c r="C2502" s="2" t="s">
        <v>18</v>
      </c>
      <c r="D2502" s="2" t="s">
        <v>23</v>
      </c>
      <c r="E2502" s="2" t="s">
        <v>346</v>
      </c>
      <c r="F2502" s="2">
        <v>118.0</v>
      </c>
      <c r="G2502" s="2">
        <v>168.0</v>
      </c>
      <c r="H2502" s="2">
        <v>118.0</v>
      </c>
      <c r="I2502" s="2">
        <v>50.0</v>
      </c>
      <c r="J2502" s="2">
        <v>0.0</v>
      </c>
      <c r="K2502" s="2">
        <v>0.0</v>
      </c>
      <c r="L2502" s="2">
        <v>0.0</v>
      </c>
      <c r="M2502" s="2">
        <v>0.0</v>
      </c>
      <c r="N2502" s="2">
        <v>-118.0</v>
      </c>
      <c r="O2502" s="2">
        <v>-118.0</v>
      </c>
      <c r="P2502" s="2" t="s">
        <v>111</v>
      </c>
    </row>
    <row r="2503">
      <c r="A2503" s="3" t="s">
        <v>105</v>
      </c>
      <c r="B2503" s="4">
        <v>45171.29166666667</v>
      </c>
      <c r="C2503" s="2" t="s">
        <v>18</v>
      </c>
      <c r="D2503" s="2" t="s">
        <v>19</v>
      </c>
      <c r="E2503" s="2" t="s">
        <v>346</v>
      </c>
      <c r="F2503" s="2"/>
      <c r="G2503" s="2">
        <v>9.0</v>
      </c>
      <c r="H2503" s="2">
        <v>4.0</v>
      </c>
      <c r="I2503" s="2">
        <v>5.0</v>
      </c>
      <c r="J2503" s="2">
        <v>0.0</v>
      </c>
      <c r="K2503" s="2">
        <v>0.0</v>
      </c>
      <c r="L2503" s="2">
        <v>0.0</v>
      </c>
      <c r="M2503" s="2"/>
      <c r="N2503" s="2"/>
      <c r="O2503" s="2"/>
      <c r="P2503" s="2" t="s">
        <v>111</v>
      </c>
    </row>
    <row r="2504">
      <c r="A2504" s="3" t="s">
        <v>106</v>
      </c>
      <c r="B2504" s="4">
        <v>45201.29166666667</v>
      </c>
      <c r="C2504" s="2" t="s">
        <v>18</v>
      </c>
      <c r="D2504" s="2" t="s">
        <v>127</v>
      </c>
      <c r="E2504" s="2" t="s">
        <v>346</v>
      </c>
      <c r="F2504" s="2"/>
      <c r="G2504" s="2">
        <v>159.0</v>
      </c>
      <c r="H2504" s="2">
        <v>114.0</v>
      </c>
      <c r="I2504" s="2">
        <v>45.0</v>
      </c>
      <c r="J2504" s="2">
        <v>0.0</v>
      </c>
      <c r="K2504" s="2">
        <v>0.0</v>
      </c>
      <c r="L2504" s="2">
        <v>0.0</v>
      </c>
      <c r="M2504" s="2"/>
      <c r="N2504" s="2"/>
      <c r="O2504" s="2"/>
      <c r="P2504" s="2" t="s">
        <v>111</v>
      </c>
    </row>
    <row r="2505">
      <c r="A2505" s="3" t="s">
        <v>107</v>
      </c>
      <c r="B2505" s="2" t="s">
        <v>17</v>
      </c>
      <c r="C2505" s="2" t="s">
        <v>18</v>
      </c>
      <c r="D2505" s="2" t="s">
        <v>127</v>
      </c>
      <c r="E2505" s="2" t="s">
        <v>346</v>
      </c>
      <c r="F2505" s="2">
        <v>167.0</v>
      </c>
      <c r="G2505" s="2">
        <v>203.0</v>
      </c>
      <c r="H2505" s="2">
        <v>163.0</v>
      </c>
      <c r="I2505" s="2">
        <v>40.0</v>
      </c>
      <c r="J2505" s="2">
        <v>0.0</v>
      </c>
      <c r="K2505" s="2">
        <v>0.0</v>
      </c>
      <c r="L2505" s="2">
        <v>0.0</v>
      </c>
      <c r="M2505" s="2">
        <v>4.0</v>
      </c>
      <c r="N2505" s="2"/>
      <c r="O2505" s="2"/>
      <c r="P2505" s="2" t="s">
        <v>111</v>
      </c>
    </row>
    <row r="2506">
      <c r="A2506" s="3" t="s">
        <v>108</v>
      </c>
      <c r="B2506" s="2" t="s">
        <v>17</v>
      </c>
      <c r="C2506" s="2" t="s">
        <v>148</v>
      </c>
      <c r="D2506" s="2" t="s">
        <v>19</v>
      </c>
      <c r="E2506" s="2" t="s">
        <v>346</v>
      </c>
      <c r="F2506" s="2">
        <v>172.0</v>
      </c>
      <c r="G2506" s="2">
        <v>4.0</v>
      </c>
      <c r="H2506" s="2">
        <v>0.0</v>
      </c>
      <c r="I2506" s="2">
        <v>4.0</v>
      </c>
      <c r="J2506" s="2">
        <v>0.0</v>
      </c>
      <c r="K2506" s="2">
        <v>0.0</v>
      </c>
      <c r="L2506" s="2">
        <v>0.0</v>
      </c>
      <c r="M2506" s="2">
        <v>172.0</v>
      </c>
      <c r="N2506" s="2"/>
      <c r="O2506" s="2"/>
      <c r="P2506" s="2" t="s">
        <v>111</v>
      </c>
    </row>
    <row r="2507">
      <c r="A2507" s="3" t="s">
        <v>112</v>
      </c>
      <c r="B2507" s="2" t="s">
        <v>17</v>
      </c>
      <c r="C2507" s="2" t="s">
        <v>18</v>
      </c>
      <c r="D2507" s="2" t="s">
        <v>23</v>
      </c>
      <c r="E2507" s="2" t="s">
        <v>346</v>
      </c>
      <c r="F2507" s="2">
        <v>167.0</v>
      </c>
      <c r="G2507" s="2">
        <v>207.0</v>
      </c>
      <c r="H2507" s="2">
        <v>163.0</v>
      </c>
      <c r="I2507" s="2">
        <v>44.0</v>
      </c>
      <c r="J2507" s="2">
        <v>0.0</v>
      </c>
      <c r="K2507" s="2">
        <v>0.0</v>
      </c>
      <c r="L2507" s="2">
        <v>0.0</v>
      </c>
      <c r="M2507" s="2">
        <v>4.0</v>
      </c>
      <c r="N2507" s="2">
        <v>-172.0</v>
      </c>
      <c r="O2507" s="2">
        <v>-159.0</v>
      </c>
      <c r="P2507" s="2" t="s">
        <v>111</v>
      </c>
    </row>
    <row r="2508">
      <c r="A2508" s="3" t="s">
        <v>115</v>
      </c>
      <c r="B2508" s="4">
        <v>45171.29166666667</v>
      </c>
      <c r="C2508" s="2" t="s">
        <v>18</v>
      </c>
      <c r="D2508" s="2" t="s">
        <v>19</v>
      </c>
      <c r="E2508" s="2" t="s">
        <v>346</v>
      </c>
      <c r="F2508" s="2"/>
      <c r="G2508" s="2">
        <v>4.0</v>
      </c>
      <c r="H2508" s="2">
        <v>0.0</v>
      </c>
      <c r="I2508" s="2">
        <v>4.0</v>
      </c>
      <c r="J2508" s="2">
        <v>0.0</v>
      </c>
      <c r="K2508" s="2">
        <v>0.0</v>
      </c>
      <c r="L2508" s="2">
        <v>0.0</v>
      </c>
      <c r="M2508" s="2"/>
      <c r="N2508" s="2"/>
      <c r="O2508" s="2"/>
      <c r="P2508" s="2" t="s">
        <v>111</v>
      </c>
    </row>
    <row r="2509">
      <c r="A2509" s="3" t="s">
        <v>117</v>
      </c>
      <c r="B2509" s="4">
        <v>45201.29166666667</v>
      </c>
      <c r="C2509" s="2" t="s">
        <v>18</v>
      </c>
      <c r="D2509" s="2" t="s">
        <v>127</v>
      </c>
      <c r="E2509" s="2" t="s">
        <v>346</v>
      </c>
      <c r="F2509" s="2"/>
      <c r="G2509" s="2">
        <v>203.0</v>
      </c>
      <c r="H2509" s="2">
        <v>163.0</v>
      </c>
      <c r="I2509" s="2">
        <v>40.0</v>
      </c>
      <c r="J2509" s="2">
        <v>0.0</v>
      </c>
      <c r="K2509" s="2">
        <v>0.0</v>
      </c>
      <c r="L2509" s="2">
        <v>0.0</v>
      </c>
      <c r="M2509" s="2"/>
      <c r="N2509" s="2"/>
      <c r="O2509" s="2"/>
      <c r="P2509" s="2" t="s">
        <v>111</v>
      </c>
    </row>
    <row r="2510">
      <c r="A2510" s="3" t="s">
        <v>119</v>
      </c>
      <c r="B2510" s="2" t="s">
        <v>17</v>
      </c>
      <c r="C2510" s="2" t="s">
        <v>18</v>
      </c>
      <c r="D2510" s="2" t="s">
        <v>19</v>
      </c>
      <c r="E2510" s="2" t="s">
        <v>27</v>
      </c>
      <c r="F2510" s="2">
        <v>100.0</v>
      </c>
      <c r="G2510" s="2">
        <v>16.0</v>
      </c>
      <c r="H2510" s="2">
        <v>11.0</v>
      </c>
      <c r="I2510" s="2">
        <v>5.0</v>
      </c>
      <c r="J2510" s="2">
        <v>0.0</v>
      </c>
      <c r="K2510" s="2">
        <v>0.0</v>
      </c>
      <c r="L2510" s="2">
        <v>0.0</v>
      </c>
      <c r="M2510" s="2">
        <v>89.0</v>
      </c>
      <c r="N2510" s="2"/>
      <c r="O2510" s="2"/>
      <c r="P2510" s="2" t="s">
        <v>92</v>
      </c>
    </row>
    <row r="2511">
      <c r="A2511" s="3" t="s">
        <v>121</v>
      </c>
      <c r="B2511" s="2" t="s">
        <v>17</v>
      </c>
      <c r="C2511" s="2" t="s">
        <v>18</v>
      </c>
      <c r="D2511" s="2" t="s">
        <v>23</v>
      </c>
      <c r="E2511" s="2" t="s">
        <v>27</v>
      </c>
      <c r="F2511" s="2">
        <v>100.0</v>
      </c>
      <c r="G2511" s="2">
        <v>16.0</v>
      </c>
      <c r="H2511" s="2">
        <v>11.0</v>
      </c>
      <c r="I2511" s="2">
        <v>5.0</v>
      </c>
      <c r="J2511" s="2">
        <v>0.0</v>
      </c>
      <c r="K2511" s="2">
        <v>0.0</v>
      </c>
      <c r="L2511" s="2">
        <v>0.0</v>
      </c>
      <c r="M2511" s="2">
        <v>89.0</v>
      </c>
      <c r="N2511" s="2">
        <v>0.0</v>
      </c>
      <c r="O2511" s="2">
        <v>78.0</v>
      </c>
      <c r="P2511" s="2" t="s">
        <v>92</v>
      </c>
    </row>
    <row r="2512">
      <c r="A2512" s="3" t="s">
        <v>16</v>
      </c>
      <c r="B2512" s="4">
        <v>45202.29166666667</v>
      </c>
      <c r="C2512" s="2" t="s">
        <v>18</v>
      </c>
      <c r="D2512" s="2" t="s">
        <v>19</v>
      </c>
      <c r="E2512" s="2" t="s">
        <v>27</v>
      </c>
      <c r="F2512" s="2"/>
      <c r="G2512" s="2">
        <v>16.0</v>
      </c>
      <c r="H2512" s="2">
        <v>11.0</v>
      </c>
      <c r="I2512" s="2">
        <v>5.0</v>
      </c>
      <c r="J2512" s="2">
        <v>0.0</v>
      </c>
      <c r="K2512" s="2">
        <v>0.0</v>
      </c>
      <c r="L2512" s="2">
        <v>0.0</v>
      </c>
      <c r="M2512" s="2"/>
      <c r="N2512" s="2"/>
      <c r="O2512" s="2"/>
      <c r="P2512" s="2" t="s">
        <v>92</v>
      </c>
    </row>
    <row r="2513">
      <c r="A2513" s="3" t="s">
        <v>124</v>
      </c>
      <c r="B2513" s="2" t="s">
        <v>17</v>
      </c>
      <c r="C2513" s="2" t="s">
        <v>18</v>
      </c>
      <c r="D2513" s="2" t="s">
        <v>164</v>
      </c>
      <c r="E2513" s="2" t="s">
        <v>165</v>
      </c>
      <c r="F2513" s="2">
        <v>10.0</v>
      </c>
      <c r="G2513" s="2">
        <v>11.0</v>
      </c>
      <c r="H2513" s="2">
        <v>7.0</v>
      </c>
      <c r="I2513" s="2">
        <v>4.0</v>
      </c>
      <c r="J2513" s="2">
        <v>0.0</v>
      </c>
      <c r="K2513" s="2">
        <v>0.0</v>
      </c>
      <c r="L2513" s="2">
        <v>0.0</v>
      </c>
      <c r="M2513" s="2">
        <v>3.0</v>
      </c>
      <c r="N2513" s="2"/>
      <c r="O2513" s="2"/>
      <c r="P2513" s="2" t="s">
        <v>166</v>
      </c>
    </row>
    <row r="2514">
      <c r="A2514" s="3" t="s">
        <v>126</v>
      </c>
      <c r="B2514" s="2" t="s">
        <v>17</v>
      </c>
      <c r="C2514" s="2" t="s">
        <v>18</v>
      </c>
      <c r="D2514" s="2" t="s">
        <v>23</v>
      </c>
      <c r="E2514" s="2" t="s">
        <v>165</v>
      </c>
      <c r="F2514" s="2">
        <v>100.0</v>
      </c>
      <c r="G2514" s="2">
        <v>11.0</v>
      </c>
      <c r="H2514" s="2">
        <v>7.0</v>
      </c>
      <c r="I2514" s="2">
        <v>4.0</v>
      </c>
      <c r="J2514" s="2">
        <v>0.0</v>
      </c>
      <c r="K2514" s="2">
        <v>0.0</v>
      </c>
      <c r="L2514" s="2">
        <v>0.0</v>
      </c>
      <c r="M2514" s="2">
        <v>93.0</v>
      </c>
      <c r="N2514" s="2">
        <v>90.0</v>
      </c>
      <c r="O2514" s="2">
        <v>86.0</v>
      </c>
      <c r="P2514" s="2" t="s">
        <v>166</v>
      </c>
    </row>
    <row r="2515">
      <c r="A2515" s="3" t="s">
        <v>16</v>
      </c>
      <c r="B2515" s="4">
        <v>45201.29166666667</v>
      </c>
      <c r="C2515" s="2" t="s">
        <v>18</v>
      </c>
      <c r="D2515" s="2" t="s">
        <v>164</v>
      </c>
      <c r="E2515" s="2" t="s">
        <v>165</v>
      </c>
      <c r="F2515" s="2"/>
      <c r="G2515" s="2">
        <v>11.0</v>
      </c>
      <c r="H2515" s="2">
        <v>7.0</v>
      </c>
      <c r="I2515" s="2">
        <v>4.0</v>
      </c>
      <c r="J2515" s="2">
        <v>0.0</v>
      </c>
      <c r="K2515" s="2">
        <v>0.0</v>
      </c>
      <c r="L2515" s="2">
        <v>0.0</v>
      </c>
      <c r="M2515" s="2"/>
      <c r="N2515" s="2"/>
      <c r="O2515" s="2"/>
      <c r="P2515" s="2" t="s">
        <v>166</v>
      </c>
    </row>
    <row r="2516">
      <c r="A2516" s="3" t="s">
        <v>22</v>
      </c>
      <c r="B2516" s="2" t="s">
        <v>17</v>
      </c>
      <c r="C2516" s="2" t="s">
        <v>18</v>
      </c>
      <c r="D2516" s="2" t="s">
        <v>91</v>
      </c>
      <c r="E2516" s="2" t="s">
        <v>31</v>
      </c>
      <c r="F2516" s="2">
        <v>15.0</v>
      </c>
      <c r="G2516" s="2">
        <v>20.0</v>
      </c>
      <c r="H2516" s="2">
        <v>16.0</v>
      </c>
      <c r="I2516" s="2">
        <v>4.0</v>
      </c>
      <c r="J2516" s="2">
        <v>0.0</v>
      </c>
      <c r="K2516" s="2">
        <v>0.0</v>
      </c>
      <c r="L2516" s="2">
        <v>0.0</v>
      </c>
      <c r="M2516" s="2">
        <v>-1.0</v>
      </c>
      <c r="N2516" s="2"/>
      <c r="O2516" s="2"/>
      <c r="P2516" s="2" t="s">
        <v>146</v>
      </c>
    </row>
    <row r="2517">
      <c r="A2517" s="3" t="s">
        <v>24</v>
      </c>
      <c r="B2517" s="2" t="s">
        <v>17</v>
      </c>
      <c r="C2517" s="2" t="s">
        <v>18</v>
      </c>
      <c r="D2517" s="2" t="s">
        <v>19</v>
      </c>
      <c r="E2517" s="2" t="s">
        <v>31</v>
      </c>
      <c r="F2517" s="2">
        <v>21.0</v>
      </c>
      <c r="G2517" s="2">
        <v>27.0</v>
      </c>
      <c r="H2517" s="2">
        <v>19.0</v>
      </c>
      <c r="I2517" s="2">
        <v>8.0</v>
      </c>
      <c r="J2517" s="2">
        <v>0.0</v>
      </c>
      <c r="K2517" s="2">
        <v>0.0</v>
      </c>
      <c r="L2517" s="2">
        <v>0.0</v>
      </c>
      <c r="M2517" s="2">
        <v>2.0</v>
      </c>
      <c r="N2517" s="2"/>
      <c r="O2517" s="2"/>
      <c r="P2517" s="2" t="s">
        <v>146</v>
      </c>
    </row>
    <row r="2518">
      <c r="A2518" s="3" t="s">
        <v>25</v>
      </c>
      <c r="B2518" s="2" t="s">
        <v>17</v>
      </c>
      <c r="C2518" s="2" t="s">
        <v>18</v>
      </c>
      <c r="D2518" s="2" t="s">
        <v>23</v>
      </c>
      <c r="E2518" s="2" t="s">
        <v>31</v>
      </c>
      <c r="F2518" s="2">
        <v>36.0</v>
      </c>
      <c r="G2518" s="2">
        <v>47.0</v>
      </c>
      <c r="H2518" s="2">
        <v>35.0</v>
      </c>
      <c r="I2518" s="2">
        <v>12.0</v>
      </c>
      <c r="J2518" s="2">
        <v>0.0</v>
      </c>
      <c r="K2518" s="2">
        <v>0.0</v>
      </c>
      <c r="L2518" s="2">
        <v>0.0</v>
      </c>
      <c r="M2518" s="2">
        <v>1.0</v>
      </c>
      <c r="N2518" s="2">
        <v>0.0</v>
      </c>
      <c r="O2518" s="2">
        <v>-34.0</v>
      </c>
      <c r="P2518" s="2" t="s">
        <v>146</v>
      </c>
    </row>
    <row r="2519">
      <c r="A2519" s="3" t="s">
        <v>26</v>
      </c>
      <c r="B2519" s="4">
        <v>45171.29166666667</v>
      </c>
      <c r="C2519" s="2" t="s">
        <v>18</v>
      </c>
      <c r="D2519" s="2" t="s">
        <v>91</v>
      </c>
      <c r="E2519" s="2" t="s">
        <v>31</v>
      </c>
      <c r="F2519" s="2"/>
      <c r="G2519" s="2">
        <v>17.0</v>
      </c>
      <c r="H2519" s="2">
        <v>14.0</v>
      </c>
      <c r="I2519" s="2">
        <v>3.0</v>
      </c>
      <c r="J2519" s="2">
        <v>0.0</v>
      </c>
      <c r="K2519" s="2">
        <v>0.0</v>
      </c>
      <c r="L2519" s="2">
        <v>0.0</v>
      </c>
      <c r="M2519" s="2"/>
      <c r="N2519" s="2"/>
      <c r="O2519" s="2"/>
      <c r="P2519" s="2" t="s">
        <v>146</v>
      </c>
    </row>
    <row r="2520">
      <c r="A2520" s="3" t="s">
        <v>28</v>
      </c>
      <c r="B2520" s="4">
        <v>45172.29166666667</v>
      </c>
      <c r="C2520" s="2" t="s">
        <v>18</v>
      </c>
      <c r="D2520" s="2" t="s">
        <v>19</v>
      </c>
      <c r="E2520" s="2" t="s">
        <v>31</v>
      </c>
      <c r="F2520" s="2"/>
      <c r="G2520" s="2">
        <v>19.0</v>
      </c>
      <c r="H2520" s="2">
        <v>15.0</v>
      </c>
      <c r="I2520" s="2">
        <v>4.0</v>
      </c>
      <c r="J2520" s="2">
        <v>0.0</v>
      </c>
      <c r="K2520" s="2">
        <v>0.0</v>
      </c>
      <c r="L2520" s="2">
        <v>0.0</v>
      </c>
      <c r="M2520" s="2"/>
      <c r="N2520" s="2"/>
      <c r="O2520" s="2"/>
      <c r="P2520" s="2" t="s">
        <v>146</v>
      </c>
    </row>
    <row r="2521">
      <c r="A2521" s="3" t="s">
        <v>29</v>
      </c>
      <c r="B2521" s="4">
        <v>45202.29166666667</v>
      </c>
      <c r="C2521" s="2" t="s">
        <v>18</v>
      </c>
      <c r="D2521" s="2" t="s">
        <v>91</v>
      </c>
      <c r="E2521" s="2" t="s">
        <v>31</v>
      </c>
      <c r="F2521" s="2"/>
      <c r="G2521" s="2">
        <v>3.0</v>
      </c>
      <c r="H2521" s="2">
        <v>2.0</v>
      </c>
      <c r="I2521" s="2">
        <v>1.0</v>
      </c>
      <c r="J2521" s="2">
        <v>0.0</v>
      </c>
      <c r="K2521" s="2">
        <v>0.0</v>
      </c>
      <c r="L2521" s="2">
        <v>0.0</v>
      </c>
      <c r="M2521" s="2"/>
      <c r="N2521" s="2"/>
      <c r="O2521" s="2"/>
      <c r="P2521" s="2" t="s">
        <v>146</v>
      </c>
    </row>
    <row r="2522">
      <c r="A2522" s="3" t="s">
        <v>32</v>
      </c>
      <c r="B2522" s="4">
        <v>45203.29166666667</v>
      </c>
      <c r="C2522" s="2" t="s">
        <v>18</v>
      </c>
      <c r="D2522" s="2" t="s">
        <v>19</v>
      </c>
      <c r="E2522" s="2" t="s">
        <v>31</v>
      </c>
      <c r="F2522" s="2"/>
      <c r="G2522" s="2">
        <v>8.0</v>
      </c>
      <c r="H2522" s="2">
        <v>4.0</v>
      </c>
      <c r="I2522" s="2">
        <v>4.0</v>
      </c>
      <c r="J2522" s="2">
        <v>0.0</v>
      </c>
      <c r="K2522" s="2">
        <v>0.0</v>
      </c>
      <c r="L2522" s="2">
        <v>0.0</v>
      </c>
      <c r="M2522" s="2"/>
      <c r="N2522" s="2"/>
      <c r="O2522" s="2"/>
      <c r="P2522" s="2" t="s">
        <v>146</v>
      </c>
    </row>
    <row r="2523">
      <c r="A2523" s="3" t="s">
        <v>34</v>
      </c>
      <c r="B2523" s="2" t="s">
        <v>17</v>
      </c>
      <c r="C2523" s="2" t="s">
        <v>57</v>
      </c>
      <c r="D2523" s="2" t="s">
        <v>30</v>
      </c>
      <c r="E2523" s="2" t="s">
        <v>347</v>
      </c>
      <c r="F2523" s="2">
        <v>41.0</v>
      </c>
      <c r="G2523" s="2">
        <v>51.0</v>
      </c>
      <c r="H2523" s="2">
        <v>41.0</v>
      </c>
      <c r="I2523" s="2">
        <v>9.0</v>
      </c>
      <c r="J2523" s="2">
        <v>1.0</v>
      </c>
      <c r="K2523" s="2">
        <v>0.0</v>
      </c>
      <c r="L2523" s="2">
        <v>0.0</v>
      </c>
      <c r="M2523" s="2">
        <v>0.0</v>
      </c>
      <c r="N2523" s="2"/>
      <c r="O2523" s="2"/>
      <c r="P2523" s="2" t="s">
        <v>67</v>
      </c>
    </row>
    <row r="2524">
      <c r="A2524" s="3" t="s">
        <v>35</v>
      </c>
      <c r="B2524" s="2" t="s">
        <v>17</v>
      </c>
      <c r="C2524" s="2" t="s">
        <v>18</v>
      </c>
      <c r="D2524" s="2" t="s">
        <v>19</v>
      </c>
      <c r="E2524" s="2" t="s">
        <v>347</v>
      </c>
      <c r="F2524" s="2">
        <v>48.0</v>
      </c>
      <c r="G2524" s="2">
        <v>63.0</v>
      </c>
      <c r="H2524" s="2">
        <v>48.0</v>
      </c>
      <c r="I2524" s="2">
        <v>15.0</v>
      </c>
      <c r="J2524" s="2">
        <v>0.0</v>
      </c>
      <c r="K2524" s="2">
        <v>0.0</v>
      </c>
      <c r="L2524" s="2">
        <v>0.0</v>
      </c>
      <c r="M2524" s="2">
        <v>0.0</v>
      </c>
      <c r="N2524" s="2"/>
      <c r="O2524" s="2"/>
      <c r="P2524" s="2" t="s">
        <v>67</v>
      </c>
    </row>
    <row r="2525">
      <c r="A2525" s="3" t="s">
        <v>36</v>
      </c>
      <c r="B2525" s="2" t="s">
        <v>17</v>
      </c>
      <c r="C2525" s="2" t="s">
        <v>18</v>
      </c>
      <c r="D2525" s="2" t="s">
        <v>19</v>
      </c>
      <c r="E2525" s="2" t="s">
        <v>348</v>
      </c>
      <c r="F2525" s="2">
        <v>18.0</v>
      </c>
      <c r="G2525" s="2">
        <v>23.0</v>
      </c>
      <c r="H2525" s="2">
        <v>16.0</v>
      </c>
      <c r="I2525" s="2">
        <v>7.0</v>
      </c>
      <c r="J2525" s="2">
        <v>0.0</v>
      </c>
      <c r="K2525" s="2">
        <v>0.0</v>
      </c>
      <c r="L2525" s="2">
        <v>0.0</v>
      </c>
      <c r="M2525" s="2">
        <v>2.0</v>
      </c>
      <c r="N2525" s="2"/>
      <c r="O2525" s="2"/>
      <c r="P2525" s="2" t="s">
        <v>67</v>
      </c>
    </row>
    <row r="2526">
      <c r="A2526" s="3" t="s">
        <v>37</v>
      </c>
      <c r="B2526" s="2" t="s">
        <v>17</v>
      </c>
      <c r="C2526" s="2" t="s">
        <v>18</v>
      </c>
      <c r="D2526" s="2" t="s">
        <v>19</v>
      </c>
      <c r="E2526" s="2" t="s">
        <v>349</v>
      </c>
      <c r="F2526" s="2">
        <v>3.0</v>
      </c>
      <c r="G2526" s="2">
        <v>5.0</v>
      </c>
      <c r="H2526" s="2">
        <v>3.0</v>
      </c>
      <c r="I2526" s="2">
        <v>2.0</v>
      </c>
      <c r="J2526" s="2">
        <v>0.0</v>
      </c>
      <c r="K2526" s="2">
        <v>0.0</v>
      </c>
      <c r="L2526" s="2">
        <v>0.0</v>
      </c>
      <c r="M2526" s="2">
        <v>0.0</v>
      </c>
      <c r="N2526" s="2"/>
      <c r="O2526" s="2"/>
      <c r="P2526" s="2" t="s">
        <v>67</v>
      </c>
    </row>
    <row r="2527">
      <c r="A2527" s="3" t="s">
        <v>38</v>
      </c>
      <c r="B2527" s="2" t="s">
        <v>17</v>
      </c>
      <c r="C2527" s="2" t="s">
        <v>18</v>
      </c>
      <c r="D2527" s="2" t="s">
        <v>19</v>
      </c>
      <c r="E2527" s="2" t="s">
        <v>350</v>
      </c>
      <c r="F2527" s="2">
        <v>0.0</v>
      </c>
      <c r="G2527" s="2">
        <v>0.0</v>
      </c>
      <c r="H2527" s="2">
        <v>0.0</v>
      </c>
      <c r="I2527" s="2">
        <v>0.0</v>
      </c>
      <c r="J2527" s="2">
        <v>0.0</v>
      </c>
      <c r="K2527" s="2">
        <v>0.0</v>
      </c>
      <c r="L2527" s="2">
        <v>0.0</v>
      </c>
      <c r="M2527" s="2">
        <v>0.0</v>
      </c>
      <c r="N2527" s="2"/>
      <c r="O2527" s="2"/>
      <c r="P2527" s="2" t="s">
        <v>67</v>
      </c>
    </row>
    <row r="2528">
      <c r="A2528" s="3" t="s">
        <v>39</v>
      </c>
      <c r="B2528" s="2" t="s">
        <v>17</v>
      </c>
      <c r="C2528" s="2" t="s">
        <v>18</v>
      </c>
      <c r="D2528" s="2" t="s">
        <v>23</v>
      </c>
      <c r="E2528" s="2" t="s">
        <v>347</v>
      </c>
      <c r="F2528" s="2">
        <v>89.0</v>
      </c>
      <c r="G2528" s="2">
        <v>114.0</v>
      </c>
      <c r="H2528" s="2">
        <v>89.0</v>
      </c>
      <c r="I2528" s="2">
        <v>24.0</v>
      </c>
      <c r="J2528" s="2">
        <v>1.0</v>
      </c>
      <c r="K2528" s="2">
        <v>0.0</v>
      </c>
      <c r="L2528" s="2">
        <v>0.0</v>
      </c>
      <c r="M2528" s="2">
        <v>0.0</v>
      </c>
      <c r="N2528" s="2">
        <v>0.0</v>
      </c>
      <c r="O2528" s="2">
        <v>-89.0</v>
      </c>
      <c r="P2528" s="2" t="s">
        <v>67</v>
      </c>
    </row>
    <row r="2529">
      <c r="A2529" s="3" t="s">
        <v>40</v>
      </c>
      <c r="B2529" s="2" t="s">
        <v>17</v>
      </c>
      <c r="C2529" s="2" t="s">
        <v>18</v>
      </c>
      <c r="D2529" s="2" t="s">
        <v>23</v>
      </c>
      <c r="E2529" s="2" t="s">
        <v>348</v>
      </c>
      <c r="F2529" s="2">
        <v>18.0</v>
      </c>
      <c r="G2529" s="2">
        <v>23.0</v>
      </c>
      <c r="H2529" s="2">
        <v>16.0</v>
      </c>
      <c r="I2529" s="2">
        <v>7.0</v>
      </c>
      <c r="J2529" s="2">
        <v>0.0</v>
      </c>
      <c r="K2529" s="2">
        <v>0.0</v>
      </c>
      <c r="L2529" s="2">
        <v>0.0</v>
      </c>
      <c r="M2529" s="2">
        <v>2.0</v>
      </c>
      <c r="N2529" s="2">
        <v>0.0</v>
      </c>
      <c r="O2529" s="2">
        <v>-14.0</v>
      </c>
      <c r="P2529" s="2" t="s">
        <v>67</v>
      </c>
    </row>
    <row r="2530">
      <c r="A2530" s="3" t="s">
        <v>41</v>
      </c>
      <c r="B2530" s="2" t="s">
        <v>17</v>
      </c>
      <c r="C2530" s="2" t="s">
        <v>148</v>
      </c>
      <c r="D2530" s="2" t="s">
        <v>23</v>
      </c>
      <c r="E2530" s="2" t="s">
        <v>349</v>
      </c>
      <c r="F2530" s="2">
        <v>3.0</v>
      </c>
      <c r="G2530" s="2">
        <v>5.0</v>
      </c>
      <c r="H2530" s="2">
        <v>3.0</v>
      </c>
      <c r="I2530" s="2">
        <v>2.0</v>
      </c>
      <c r="J2530" s="2">
        <v>0.0</v>
      </c>
      <c r="K2530" s="2">
        <v>0.0</v>
      </c>
      <c r="L2530" s="2">
        <v>0.0</v>
      </c>
      <c r="M2530" s="2">
        <v>0.0</v>
      </c>
      <c r="N2530" s="2">
        <v>0.0</v>
      </c>
      <c r="O2530" s="2">
        <v>-3.0</v>
      </c>
      <c r="P2530" s="2" t="s">
        <v>67</v>
      </c>
    </row>
    <row r="2531">
      <c r="A2531" s="3" t="s">
        <v>42</v>
      </c>
      <c r="B2531" s="2" t="s">
        <v>17</v>
      </c>
      <c r="C2531" s="2" t="s">
        <v>148</v>
      </c>
      <c r="D2531" s="2" t="s">
        <v>23</v>
      </c>
      <c r="E2531" s="2" t="s">
        <v>350</v>
      </c>
      <c r="F2531" s="2">
        <v>0.0</v>
      </c>
      <c r="G2531" s="2">
        <v>0.0</v>
      </c>
      <c r="H2531" s="2">
        <v>0.0</v>
      </c>
      <c r="I2531" s="2">
        <v>0.0</v>
      </c>
      <c r="J2531" s="2">
        <v>0.0</v>
      </c>
      <c r="K2531" s="2">
        <v>0.0</v>
      </c>
      <c r="L2531" s="2">
        <v>0.0</v>
      </c>
      <c r="M2531" s="2">
        <v>0.0</v>
      </c>
      <c r="N2531" s="2">
        <v>0.0</v>
      </c>
      <c r="O2531" s="2">
        <v>0.0</v>
      </c>
      <c r="P2531" s="2" t="s">
        <v>67</v>
      </c>
    </row>
    <row r="2532">
      <c r="A2532" s="3" t="s">
        <v>43</v>
      </c>
      <c r="B2532" s="4">
        <v>45171.29166666667</v>
      </c>
      <c r="C2532" s="2" t="s">
        <v>18</v>
      </c>
      <c r="D2532" s="2" t="s">
        <v>19</v>
      </c>
      <c r="E2532" s="2" t="s">
        <v>347</v>
      </c>
      <c r="F2532" s="2"/>
      <c r="G2532" s="2">
        <v>48.0</v>
      </c>
      <c r="H2532" s="2">
        <v>39.0</v>
      </c>
      <c r="I2532" s="2">
        <v>9.0</v>
      </c>
      <c r="J2532" s="2">
        <v>0.0</v>
      </c>
      <c r="K2532" s="2">
        <v>0.0</v>
      </c>
      <c r="L2532" s="2">
        <v>0.0</v>
      </c>
      <c r="M2532" s="2"/>
      <c r="N2532" s="2"/>
      <c r="O2532" s="2"/>
      <c r="P2532" s="2" t="s">
        <v>67</v>
      </c>
    </row>
    <row r="2533">
      <c r="A2533" s="3" t="s">
        <v>44</v>
      </c>
      <c r="B2533" s="4">
        <v>45172.29166666667</v>
      </c>
      <c r="C2533" s="2" t="s">
        <v>18</v>
      </c>
      <c r="D2533" s="2" t="s">
        <v>19</v>
      </c>
      <c r="E2533" s="2" t="s">
        <v>348</v>
      </c>
      <c r="F2533" s="2"/>
      <c r="G2533" s="2">
        <v>9.0</v>
      </c>
      <c r="H2533" s="2">
        <v>6.0</v>
      </c>
      <c r="I2533" s="2">
        <v>3.0</v>
      </c>
      <c r="J2533" s="2">
        <v>0.0</v>
      </c>
      <c r="K2533" s="2">
        <v>0.0</v>
      </c>
      <c r="L2533" s="2">
        <v>0.0</v>
      </c>
      <c r="M2533" s="2"/>
      <c r="N2533" s="2"/>
      <c r="O2533" s="2"/>
      <c r="P2533" s="2" t="s">
        <v>67</v>
      </c>
    </row>
    <row r="2534">
      <c r="A2534" s="3" t="s">
        <v>45</v>
      </c>
      <c r="B2534" s="4">
        <v>45173.29166666667</v>
      </c>
      <c r="C2534" s="2" t="s">
        <v>18</v>
      </c>
      <c r="D2534" s="2" t="s">
        <v>19</v>
      </c>
      <c r="E2534" s="2" t="s">
        <v>349</v>
      </c>
      <c r="F2534" s="2"/>
      <c r="G2534" s="2">
        <v>5.0</v>
      </c>
      <c r="H2534" s="2">
        <v>3.0</v>
      </c>
      <c r="I2534" s="2">
        <v>2.0</v>
      </c>
      <c r="J2534" s="2">
        <v>0.0</v>
      </c>
      <c r="K2534" s="2">
        <v>0.0</v>
      </c>
      <c r="L2534" s="2">
        <v>0.0</v>
      </c>
      <c r="M2534" s="2"/>
      <c r="N2534" s="2"/>
      <c r="O2534" s="2"/>
      <c r="P2534" s="2" t="s">
        <v>67</v>
      </c>
    </row>
    <row r="2535">
      <c r="A2535" s="3" t="s">
        <v>16</v>
      </c>
      <c r="B2535" s="4">
        <v>45174.29166666667</v>
      </c>
      <c r="C2535" s="2" t="s">
        <v>18</v>
      </c>
      <c r="D2535" s="2" t="s">
        <v>19</v>
      </c>
      <c r="E2535" s="2" t="s">
        <v>350</v>
      </c>
      <c r="F2535" s="2"/>
      <c r="G2535" s="2">
        <v>0.0</v>
      </c>
      <c r="H2535" s="2">
        <v>0.0</v>
      </c>
      <c r="I2535" s="2">
        <v>0.0</v>
      </c>
      <c r="J2535" s="2">
        <v>0.0</v>
      </c>
      <c r="K2535" s="2">
        <v>0.0</v>
      </c>
      <c r="L2535" s="2">
        <v>0.0</v>
      </c>
      <c r="M2535" s="2"/>
      <c r="N2535" s="2"/>
      <c r="O2535" s="2"/>
      <c r="P2535" s="2" t="s">
        <v>67</v>
      </c>
    </row>
    <row r="2536">
      <c r="A2536" s="3" t="s">
        <v>47</v>
      </c>
      <c r="B2536" s="4">
        <v>45202.29166666667</v>
      </c>
      <c r="C2536" s="2" t="s">
        <v>18</v>
      </c>
      <c r="D2536" s="2" t="s">
        <v>30</v>
      </c>
      <c r="E2536" s="2" t="s">
        <v>347</v>
      </c>
      <c r="F2536" s="2"/>
      <c r="G2536" s="2">
        <v>51.0</v>
      </c>
      <c r="H2536" s="2">
        <v>41.0</v>
      </c>
      <c r="I2536" s="2">
        <v>9.0</v>
      </c>
      <c r="J2536" s="2">
        <v>1.0</v>
      </c>
      <c r="K2536" s="2">
        <v>0.0</v>
      </c>
      <c r="L2536" s="2">
        <v>0.0</v>
      </c>
      <c r="M2536" s="2"/>
      <c r="N2536" s="2"/>
      <c r="O2536" s="2"/>
      <c r="P2536" s="2" t="s">
        <v>67</v>
      </c>
    </row>
    <row r="2537">
      <c r="A2537" s="3" t="s">
        <v>48</v>
      </c>
      <c r="B2537" s="4">
        <v>45203.29166666667</v>
      </c>
      <c r="C2537" s="2" t="s">
        <v>18</v>
      </c>
      <c r="D2537" s="2" t="s">
        <v>19</v>
      </c>
      <c r="E2537" s="2" t="s">
        <v>347</v>
      </c>
      <c r="F2537" s="2"/>
      <c r="G2537" s="2">
        <v>15.0</v>
      </c>
      <c r="H2537" s="2">
        <v>9.0</v>
      </c>
      <c r="I2537" s="2">
        <v>6.0</v>
      </c>
      <c r="J2537" s="2">
        <v>0.0</v>
      </c>
      <c r="K2537" s="2">
        <v>0.0</v>
      </c>
      <c r="L2537" s="2">
        <v>0.0</v>
      </c>
      <c r="M2537" s="2"/>
      <c r="N2537" s="2"/>
      <c r="O2537" s="2"/>
      <c r="P2537" s="2" t="s">
        <v>67</v>
      </c>
    </row>
    <row r="2538">
      <c r="A2538" s="3" t="s">
        <v>49</v>
      </c>
      <c r="B2538" s="4">
        <v>45204.29166666667</v>
      </c>
      <c r="C2538" s="2" t="s">
        <v>18</v>
      </c>
      <c r="D2538" s="2" t="s">
        <v>19</v>
      </c>
      <c r="E2538" s="2" t="s">
        <v>348</v>
      </c>
      <c r="F2538" s="2"/>
      <c r="G2538" s="2">
        <v>14.0</v>
      </c>
      <c r="H2538" s="2">
        <v>10.0</v>
      </c>
      <c r="I2538" s="2">
        <v>4.0</v>
      </c>
      <c r="J2538" s="2">
        <v>0.0</v>
      </c>
      <c r="K2538" s="2">
        <v>0.0</v>
      </c>
      <c r="L2538" s="2">
        <v>0.0</v>
      </c>
      <c r="M2538" s="2"/>
      <c r="N2538" s="2"/>
      <c r="O2538" s="2"/>
      <c r="P2538" s="2" t="s">
        <v>67</v>
      </c>
    </row>
    <row r="2539">
      <c r="A2539" s="3" t="s">
        <v>51</v>
      </c>
      <c r="B2539" s="2" t="s">
        <v>17</v>
      </c>
      <c r="C2539" s="2" t="s">
        <v>18</v>
      </c>
      <c r="D2539" s="2" t="s">
        <v>127</v>
      </c>
      <c r="E2539" s="2" t="s">
        <v>351</v>
      </c>
      <c r="F2539" s="2">
        <v>19.0</v>
      </c>
      <c r="G2539" s="2">
        <v>26.0</v>
      </c>
      <c r="H2539" s="2">
        <v>17.0</v>
      </c>
      <c r="I2539" s="2">
        <v>9.0</v>
      </c>
      <c r="J2539" s="2">
        <v>0.0</v>
      </c>
      <c r="K2539" s="2">
        <v>0.0</v>
      </c>
      <c r="L2539" s="2">
        <v>0.0</v>
      </c>
      <c r="M2539" s="2">
        <v>2.0</v>
      </c>
      <c r="N2539" s="2"/>
      <c r="O2539" s="2"/>
      <c r="P2539" s="2" t="s">
        <v>80</v>
      </c>
    </row>
    <row r="2540">
      <c r="A2540" s="3" t="s">
        <v>52</v>
      </c>
      <c r="B2540" s="2" t="s">
        <v>17</v>
      </c>
      <c r="C2540" s="2" t="s">
        <v>18</v>
      </c>
      <c r="D2540" s="2" t="s">
        <v>127</v>
      </c>
      <c r="E2540" s="2" t="s">
        <v>324</v>
      </c>
      <c r="F2540" s="2">
        <v>50.0</v>
      </c>
      <c r="G2540" s="2">
        <v>41.0</v>
      </c>
      <c r="H2540" s="2">
        <v>39.0</v>
      </c>
      <c r="I2540" s="2">
        <v>2.0</v>
      </c>
      <c r="J2540" s="2">
        <v>0.0</v>
      </c>
      <c r="K2540" s="2">
        <v>0.0</v>
      </c>
      <c r="L2540" s="2">
        <v>0.0</v>
      </c>
      <c r="M2540" s="2">
        <v>11.0</v>
      </c>
      <c r="N2540" s="2"/>
      <c r="O2540" s="2"/>
      <c r="P2540" s="2" t="s">
        <v>80</v>
      </c>
    </row>
    <row r="2541">
      <c r="A2541" s="3" t="s">
        <v>53</v>
      </c>
      <c r="B2541" s="2" t="s">
        <v>17</v>
      </c>
      <c r="C2541" s="2" t="s">
        <v>18</v>
      </c>
      <c r="D2541" s="2" t="s">
        <v>91</v>
      </c>
      <c r="E2541" s="2" t="s">
        <v>351</v>
      </c>
      <c r="F2541" s="2">
        <v>19.0</v>
      </c>
      <c r="G2541" s="2">
        <v>11.0</v>
      </c>
      <c r="H2541" s="2">
        <v>9.0</v>
      </c>
      <c r="I2541" s="2">
        <v>2.0</v>
      </c>
      <c r="J2541" s="2">
        <v>0.0</v>
      </c>
      <c r="K2541" s="2">
        <v>0.0</v>
      </c>
      <c r="L2541" s="2">
        <v>0.0</v>
      </c>
      <c r="M2541" s="2">
        <v>10.0</v>
      </c>
      <c r="N2541" s="2"/>
      <c r="O2541" s="2"/>
      <c r="P2541" s="2" t="s">
        <v>80</v>
      </c>
    </row>
    <row r="2542">
      <c r="A2542" s="3" t="s">
        <v>54</v>
      </c>
      <c r="B2542" s="2" t="s">
        <v>17</v>
      </c>
      <c r="C2542" s="2" t="s">
        <v>18</v>
      </c>
      <c r="D2542" s="2" t="s">
        <v>91</v>
      </c>
      <c r="E2542" s="2" t="s">
        <v>324</v>
      </c>
      <c r="F2542" s="2">
        <v>67.0</v>
      </c>
      <c r="G2542" s="2">
        <v>50.0</v>
      </c>
      <c r="H2542" s="2">
        <v>28.0</v>
      </c>
      <c r="I2542" s="2">
        <v>22.0</v>
      </c>
      <c r="J2542" s="2">
        <v>0.0</v>
      </c>
      <c r="K2542" s="2">
        <v>0.0</v>
      </c>
      <c r="L2542" s="2">
        <v>1.0</v>
      </c>
      <c r="M2542" s="2">
        <v>39.0</v>
      </c>
      <c r="N2542" s="2"/>
      <c r="O2542" s="2"/>
      <c r="P2542" s="2" t="s">
        <v>80</v>
      </c>
    </row>
    <row r="2543">
      <c r="A2543" s="3" t="s">
        <v>55</v>
      </c>
      <c r="B2543" s="2" t="s">
        <v>17</v>
      </c>
      <c r="C2543" s="2" t="s">
        <v>18</v>
      </c>
      <c r="D2543" s="2" t="s">
        <v>91</v>
      </c>
      <c r="E2543" s="2" t="s">
        <v>322</v>
      </c>
      <c r="F2543" s="2">
        <v>77.0</v>
      </c>
      <c r="G2543" s="2">
        <v>83.0</v>
      </c>
      <c r="H2543" s="2">
        <v>71.0</v>
      </c>
      <c r="I2543" s="2">
        <v>12.0</v>
      </c>
      <c r="J2543" s="2">
        <v>0.0</v>
      </c>
      <c r="K2543" s="2">
        <v>0.0</v>
      </c>
      <c r="L2543" s="2">
        <v>0.0</v>
      </c>
      <c r="M2543" s="2">
        <v>6.0</v>
      </c>
      <c r="N2543" s="2"/>
      <c r="O2543" s="2"/>
      <c r="P2543" s="2" t="s">
        <v>80</v>
      </c>
    </row>
    <row r="2544">
      <c r="A2544" s="3" t="s">
        <v>56</v>
      </c>
      <c r="B2544" s="2" t="s">
        <v>17</v>
      </c>
      <c r="C2544" s="2" t="s">
        <v>18</v>
      </c>
      <c r="D2544" s="2" t="s">
        <v>91</v>
      </c>
      <c r="E2544" s="2" t="s">
        <v>352</v>
      </c>
      <c r="F2544" s="2">
        <v>29.0</v>
      </c>
      <c r="G2544" s="2">
        <v>39.0</v>
      </c>
      <c r="H2544" s="2">
        <v>28.0</v>
      </c>
      <c r="I2544" s="2">
        <v>11.0</v>
      </c>
      <c r="J2544" s="2">
        <v>0.0</v>
      </c>
      <c r="K2544" s="2">
        <v>0.0</v>
      </c>
      <c r="L2544" s="2">
        <v>0.0</v>
      </c>
      <c r="M2544" s="2">
        <v>1.0</v>
      </c>
      <c r="N2544" s="2"/>
      <c r="O2544" s="2"/>
      <c r="P2544" s="2" t="s">
        <v>80</v>
      </c>
    </row>
    <row r="2545">
      <c r="A2545" s="3" t="s">
        <v>59</v>
      </c>
      <c r="B2545" s="2" t="s">
        <v>17</v>
      </c>
      <c r="C2545" s="2" t="s">
        <v>57</v>
      </c>
      <c r="D2545" s="2" t="s">
        <v>23</v>
      </c>
      <c r="E2545" s="2" t="s">
        <v>351</v>
      </c>
      <c r="F2545" s="2">
        <v>19.0</v>
      </c>
      <c r="G2545" s="2">
        <v>37.0</v>
      </c>
      <c r="H2545" s="2">
        <v>26.0</v>
      </c>
      <c r="I2545" s="2">
        <v>11.0</v>
      </c>
      <c r="J2545" s="2">
        <v>0.0</v>
      </c>
      <c r="K2545" s="2">
        <v>0.0</v>
      </c>
      <c r="L2545" s="2">
        <v>0.0</v>
      </c>
      <c r="M2545" s="2">
        <v>-7.0</v>
      </c>
      <c r="N2545" s="2">
        <v>-19.0</v>
      </c>
      <c r="O2545" s="2">
        <v>-33.0</v>
      </c>
      <c r="P2545" s="2" t="s">
        <v>80</v>
      </c>
    </row>
    <row r="2546">
      <c r="A2546" s="3" t="s">
        <v>60</v>
      </c>
      <c r="B2546" s="2" t="s">
        <v>17</v>
      </c>
      <c r="C2546" s="2" t="s">
        <v>57</v>
      </c>
      <c r="D2546" s="2" t="s">
        <v>23</v>
      </c>
      <c r="E2546" s="2" t="s">
        <v>324</v>
      </c>
      <c r="F2546" s="2">
        <v>67.0</v>
      </c>
      <c r="G2546" s="2">
        <v>91.0</v>
      </c>
      <c r="H2546" s="2">
        <v>67.0</v>
      </c>
      <c r="I2546" s="2">
        <v>24.0</v>
      </c>
      <c r="J2546" s="2">
        <v>0.0</v>
      </c>
      <c r="K2546" s="2">
        <v>0.0</v>
      </c>
      <c r="L2546" s="2">
        <v>1.0</v>
      </c>
      <c r="M2546" s="2">
        <v>0.0</v>
      </c>
      <c r="N2546" s="2">
        <v>-50.0</v>
      </c>
      <c r="O2546" s="2">
        <v>-67.0</v>
      </c>
      <c r="P2546" s="2" t="s">
        <v>80</v>
      </c>
    </row>
    <row r="2547">
      <c r="A2547" s="3" t="s">
        <v>61</v>
      </c>
      <c r="B2547" s="2" t="s">
        <v>17</v>
      </c>
      <c r="C2547" s="2" t="s">
        <v>18</v>
      </c>
      <c r="D2547" s="2" t="s">
        <v>23</v>
      </c>
      <c r="E2547" s="2" t="s">
        <v>322</v>
      </c>
      <c r="F2547" s="2">
        <v>77.0</v>
      </c>
      <c r="G2547" s="2">
        <v>83.0</v>
      </c>
      <c r="H2547" s="2">
        <v>71.0</v>
      </c>
      <c r="I2547" s="2">
        <v>12.0</v>
      </c>
      <c r="J2547" s="2">
        <v>0.0</v>
      </c>
      <c r="K2547" s="2">
        <v>0.0</v>
      </c>
      <c r="L2547" s="2">
        <v>0.0</v>
      </c>
      <c r="M2547" s="2">
        <v>6.0</v>
      </c>
      <c r="N2547" s="2">
        <v>0.0</v>
      </c>
      <c r="O2547" s="2">
        <v>-65.0</v>
      </c>
      <c r="P2547" s="2" t="s">
        <v>80</v>
      </c>
    </row>
    <row r="2548">
      <c r="A2548" s="3" t="s">
        <v>62</v>
      </c>
      <c r="B2548" s="2" t="s">
        <v>17</v>
      </c>
      <c r="C2548" s="2" t="s">
        <v>18</v>
      </c>
      <c r="D2548" s="2" t="s">
        <v>23</v>
      </c>
      <c r="E2548" s="2" t="s">
        <v>352</v>
      </c>
      <c r="F2548" s="2">
        <v>29.0</v>
      </c>
      <c r="G2548" s="2">
        <v>39.0</v>
      </c>
      <c r="H2548" s="2">
        <v>28.0</v>
      </c>
      <c r="I2548" s="2">
        <v>11.0</v>
      </c>
      <c r="J2548" s="2">
        <v>0.0</v>
      </c>
      <c r="K2548" s="2">
        <v>0.0</v>
      </c>
      <c r="L2548" s="2">
        <v>0.0</v>
      </c>
      <c r="M2548" s="2">
        <v>1.0</v>
      </c>
      <c r="N2548" s="2">
        <v>0.0</v>
      </c>
      <c r="O2548" s="2">
        <v>-27.0</v>
      </c>
      <c r="P2548" s="2" t="s">
        <v>80</v>
      </c>
    </row>
    <row r="2549">
      <c r="A2549" s="3" t="s">
        <v>63</v>
      </c>
      <c r="B2549" s="4">
        <v>45140.29166666667</v>
      </c>
      <c r="C2549" s="2" t="s">
        <v>18</v>
      </c>
      <c r="D2549" s="2" t="s">
        <v>91</v>
      </c>
      <c r="E2549" s="2" t="s">
        <v>351</v>
      </c>
      <c r="F2549" s="2"/>
      <c r="G2549" s="2">
        <v>0.0</v>
      </c>
      <c r="H2549" s="2">
        <v>0.0</v>
      </c>
      <c r="I2549" s="2">
        <v>0.0</v>
      </c>
      <c r="J2549" s="2">
        <v>0.0</v>
      </c>
      <c r="K2549" s="2">
        <v>0.0</v>
      </c>
      <c r="L2549" s="2">
        <v>0.0</v>
      </c>
      <c r="M2549" s="2"/>
      <c r="N2549" s="2"/>
      <c r="O2549" s="2"/>
      <c r="P2549" s="2" t="s">
        <v>80</v>
      </c>
    </row>
    <row r="2550">
      <c r="A2550" s="3" t="s">
        <v>64</v>
      </c>
      <c r="B2550" s="4">
        <v>45141.29166666667</v>
      </c>
      <c r="C2550" s="2" t="s">
        <v>18</v>
      </c>
      <c r="D2550" s="2" t="s">
        <v>91</v>
      </c>
      <c r="E2550" s="2" t="s">
        <v>324</v>
      </c>
      <c r="F2550" s="2"/>
      <c r="G2550" s="2">
        <v>0.0</v>
      </c>
      <c r="H2550" s="2">
        <v>0.0</v>
      </c>
      <c r="I2550" s="2">
        <v>0.0</v>
      </c>
      <c r="J2550" s="2">
        <v>0.0</v>
      </c>
      <c r="K2550" s="2">
        <v>0.0</v>
      </c>
      <c r="L2550" s="2">
        <v>0.0</v>
      </c>
      <c r="M2550" s="2"/>
      <c r="N2550" s="2"/>
      <c r="O2550" s="2"/>
      <c r="P2550" s="2" t="s">
        <v>80</v>
      </c>
    </row>
    <row r="2551">
      <c r="A2551" s="3" t="s">
        <v>65</v>
      </c>
      <c r="B2551" s="4">
        <v>45142.29166666667</v>
      </c>
      <c r="C2551" s="2" t="s">
        <v>18</v>
      </c>
      <c r="D2551" s="2" t="s">
        <v>91</v>
      </c>
      <c r="E2551" s="2" t="s">
        <v>322</v>
      </c>
      <c r="F2551" s="2"/>
      <c r="G2551" s="2">
        <v>5.0</v>
      </c>
      <c r="H2551" s="2">
        <v>4.0</v>
      </c>
      <c r="I2551" s="2">
        <v>1.0</v>
      </c>
      <c r="J2551" s="2">
        <v>0.0</v>
      </c>
      <c r="K2551" s="2">
        <v>0.0</v>
      </c>
      <c r="L2551" s="2">
        <v>0.0</v>
      </c>
      <c r="M2551" s="2"/>
      <c r="N2551" s="2"/>
      <c r="O2551" s="2"/>
      <c r="P2551" s="2" t="s">
        <v>80</v>
      </c>
    </row>
    <row r="2552">
      <c r="A2552" s="3" t="s">
        <v>66</v>
      </c>
      <c r="B2552" s="4">
        <v>45143.29166666667</v>
      </c>
      <c r="C2552" s="2" t="s">
        <v>18</v>
      </c>
      <c r="D2552" s="2" t="s">
        <v>91</v>
      </c>
      <c r="E2552" s="2" t="s">
        <v>352</v>
      </c>
      <c r="F2552" s="2"/>
      <c r="G2552" s="2">
        <v>0.0</v>
      </c>
      <c r="H2552" s="2">
        <v>0.0</v>
      </c>
      <c r="I2552" s="2">
        <v>0.0</v>
      </c>
      <c r="J2552" s="2">
        <v>0.0</v>
      </c>
      <c r="K2552" s="2">
        <v>0.0</v>
      </c>
      <c r="L2552" s="2">
        <v>0.0</v>
      </c>
      <c r="M2552" s="2"/>
      <c r="N2552" s="2"/>
      <c r="O2552" s="2"/>
      <c r="P2552" s="2" t="s">
        <v>80</v>
      </c>
    </row>
    <row r="2553">
      <c r="A2553" s="3" t="s">
        <v>68</v>
      </c>
      <c r="B2553" s="4">
        <v>45170.29166666667</v>
      </c>
      <c r="C2553" s="2" t="s">
        <v>18</v>
      </c>
      <c r="D2553" s="2" t="s">
        <v>91</v>
      </c>
      <c r="E2553" s="2" t="s">
        <v>351</v>
      </c>
      <c r="F2553" s="2"/>
      <c r="G2553" s="2">
        <v>11.0</v>
      </c>
      <c r="H2553" s="2">
        <v>9.0</v>
      </c>
      <c r="I2553" s="2">
        <v>2.0</v>
      </c>
      <c r="J2553" s="2">
        <v>0.0</v>
      </c>
      <c r="K2553" s="2">
        <v>0.0</v>
      </c>
      <c r="L2553" s="2">
        <v>0.0</v>
      </c>
      <c r="M2553" s="2"/>
      <c r="N2553" s="2"/>
      <c r="O2553" s="2"/>
      <c r="P2553" s="2" t="s">
        <v>80</v>
      </c>
    </row>
    <row r="2554">
      <c r="A2554" s="3" t="s">
        <v>70</v>
      </c>
      <c r="B2554" s="4">
        <v>45171.29166666667</v>
      </c>
      <c r="C2554" s="2" t="s">
        <v>18</v>
      </c>
      <c r="D2554" s="2" t="s">
        <v>91</v>
      </c>
      <c r="E2554" s="2" t="s">
        <v>324</v>
      </c>
      <c r="F2554" s="2"/>
      <c r="G2554" s="2">
        <v>50.0</v>
      </c>
      <c r="H2554" s="2">
        <v>28.0</v>
      </c>
      <c r="I2554" s="2">
        <v>22.0</v>
      </c>
      <c r="J2554" s="2">
        <v>0.0</v>
      </c>
      <c r="K2554" s="2">
        <v>0.0</v>
      </c>
      <c r="L2554" s="2">
        <v>1.0</v>
      </c>
      <c r="M2554" s="2"/>
      <c r="N2554" s="2"/>
      <c r="O2554" s="2"/>
      <c r="P2554" s="2" t="s">
        <v>80</v>
      </c>
    </row>
    <row r="2555">
      <c r="A2555" s="3" t="s">
        <v>16</v>
      </c>
      <c r="B2555" s="4">
        <v>45172.29166666667</v>
      </c>
      <c r="C2555" s="2" t="s">
        <v>18</v>
      </c>
      <c r="D2555" s="2" t="s">
        <v>91</v>
      </c>
      <c r="E2555" s="2" t="s">
        <v>322</v>
      </c>
      <c r="F2555" s="2"/>
      <c r="G2555" s="2">
        <v>78.0</v>
      </c>
      <c r="H2555" s="2">
        <v>67.0</v>
      </c>
      <c r="I2555" s="2">
        <v>11.0</v>
      </c>
      <c r="J2555" s="2">
        <v>0.0</v>
      </c>
      <c r="K2555" s="2">
        <v>0.0</v>
      </c>
      <c r="L2555" s="2">
        <v>0.0</v>
      </c>
      <c r="M2555" s="2"/>
      <c r="N2555" s="2"/>
      <c r="O2555" s="2"/>
      <c r="P2555" s="2" t="s">
        <v>80</v>
      </c>
    </row>
    <row r="2556">
      <c r="A2556" s="3" t="s">
        <v>71</v>
      </c>
      <c r="B2556" s="4">
        <v>45173.29166666667</v>
      </c>
      <c r="C2556" s="2" t="s">
        <v>18</v>
      </c>
      <c r="D2556" s="2" t="s">
        <v>91</v>
      </c>
      <c r="E2556" s="2" t="s">
        <v>352</v>
      </c>
      <c r="F2556" s="2"/>
      <c r="G2556" s="2">
        <v>23.0</v>
      </c>
      <c r="H2556" s="2">
        <v>14.0</v>
      </c>
      <c r="I2556" s="2">
        <v>9.0</v>
      </c>
      <c r="J2556" s="2">
        <v>0.0</v>
      </c>
      <c r="K2556" s="2">
        <v>0.0</v>
      </c>
      <c r="L2556" s="2">
        <v>0.0</v>
      </c>
      <c r="M2556" s="2"/>
      <c r="N2556" s="2"/>
      <c r="O2556" s="2"/>
      <c r="P2556" s="2" t="s">
        <v>80</v>
      </c>
    </row>
    <row r="2557">
      <c r="A2557" s="3" t="s">
        <v>72</v>
      </c>
      <c r="B2557" s="4">
        <v>45174.29166666667</v>
      </c>
      <c r="C2557" s="2" t="s">
        <v>18</v>
      </c>
      <c r="D2557" s="2" t="s">
        <v>127</v>
      </c>
      <c r="E2557" s="2" t="s">
        <v>351</v>
      </c>
      <c r="F2557" s="2"/>
      <c r="G2557" s="2">
        <v>26.0</v>
      </c>
      <c r="H2557" s="2">
        <v>17.0</v>
      </c>
      <c r="I2557" s="2">
        <v>9.0</v>
      </c>
      <c r="J2557" s="2">
        <v>0.0</v>
      </c>
      <c r="K2557" s="2">
        <v>0.0</v>
      </c>
      <c r="L2557" s="2">
        <v>0.0</v>
      </c>
      <c r="M2557" s="2"/>
      <c r="N2557" s="2"/>
      <c r="O2557" s="2"/>
      <c r="P2557" s="2" t="s">
        <v>80</v>
      </c>
    </row>
    <row r="2558">
      <c r="A2558" s="3" t="s">
        <v>73</v>
      </c>
      <c r="B2558" s="4">
        <v>45175.29166666667</v>
      </c>
      <c r="C2558" s="2" t="s">
        <v>18</v>
      </c>
      <c r="D2558" s="2" t="s">
        <v>127</v>
      </c>
      <c r="E2558" s="2" t="s">
        <v>324</v>
      </c>
      <c r="F2558" s="2"/>
      <c r="G2558" s="2">
        <v>41.0</v>
      </c>
      <c r="H2558" s="2">
        <v>39.0</v>
      </c>
      <c r="I2558" s="2">
        <v>2.0</v>
      </c>
      <c r="J2558" s="2">
        <v>0.0</v>
      </c>
      <c r="K2558" s="2">
        <v>0.0</v>
      </c>
      <c r="L2558" s="2">
        <v>0.0</v>
      </c>
      <c r="M2558" s="2"/>
      <c r="N2558" s="2"/>
      <c r="O2558" s="2"/>
      <c r="P2558" s="2" t="s">
        <v>80</v>
      </c>
    </row>
    <row r="2559">
      <c r="A2559" s="3" t="s">
        <v>74</v>
      </c>
      <c r="B2559" s="4">
        <v>45203.29166666667</v>
      </c>
      <c r="C2559" s="2" t="s">
        <v>18</v>
      </c>
      <c r="D2559" s="2" t="s">
        <v>91</v>
      </c>
      <c r="E2559" s="2" t="s">
        <v>351</v>
      </c>
      <c r="F2559" s="2"/>
      <c r="G2559" s="2">
        <v>0.0</v>
      </c>
      <c r="H2559" s="2">
        <v>0.0</v>
      </c>
      <c r="I2559" s="2">
        <v>0.0</v>
      </c>
      <c r="J2559" s="2">
        <v>0.0</v>
      </c>
      <c r="K2559" s="2">
        <v>0.0</v>
      </c>
      <c r="L2559" s="2">
        <v>0.0</v>
      </c>
      <c r="M2559" s="2"/>
      <c r="N2559" s="2"/>
      <c r="O2559" s="2"/>
      <c r="P2559" s="2" t="s">
        <v>80</v>
      </c>
    </row>
    <row r="2560">
      <c r="A2560" s="3" t="s">
        <v>75</v>
      </c>
      <c r="B2560" s="4">
        <v>45204.29166666667</v>
      </c>
      <c r="C2560" s="2" t="s">
        <v>18</v>
      </c>
      <c r="D2560" s="2" t="s">
        <v>91</v>
      </c>
      <c r="E2560" s="2" t="s">
        <v>324</v>
      </c>
      <c r="F2560" s="2"/>
      <c r="G2560" s="2">
        <v>0.0</v>
      </c>
      <c r="H2560" s="2">
        <v>0.0</v>
      </c>
      <c r="I2560" s="2">
        <v>0.0</v>
      </c>
      <c r="J2560" s="2">
        <v>0.0</v>
      </c>
      <c r="K2560" s="2">
        <v>0.0</v>
      </c>
      <c r="L2560" s="2">
        <v>0.0</v>
      </c>
      <c r="M2560" s="2"/>
      <c r="N2560" s="2"/>
      <c r="O2560" s="2"/>
      <c r="P2560" s="2" t="s">
        <v>80</v>
      </c>
    </row>
    <row r="2561">
      <c r="A2561" s="3" t="s">
        <v>76</v>
      </c>
      <c r="B2561" s="4">
        <v>45205.29166666667</v>
      </c>
      <c r="C2561" s="2" t="s">
        <v>18</v>
      </c>
      <c r="D2561" s="2" t="s">
        <v>91</v>
      </c>
      <c r="E2561" s="2" t="s">
        <v>322</v>
      </c>
      <c r="F2561" s="2"/>
      <c r="G2561" s="2">
        <v>0.0</v>
      </c>
      <c r="H2561" s="2">
        <v>0.0</v>
      </c>
      <c r="I2561" s="2">
        <v>0.0</v>
      </c>
      <c r="J2561" s="2">
        <v>0.0</v>
      </c>
      <c r="K2561" s="2">
        <v>0.0</v>
      </c>
      <c r="L2561" s="2">
        <v>0.0</v>
      </c>
      <c r="M2561" s="2"/>
      <c r="N2561" s="2"/>
      <c r="O2561" s="2"/>
      <c r="P2561" s="2" t="s">
        <v>80</v>
      </c>
    </row>
    <row r="2562">
      <c r="A2562" s="3" t="s">
        <v>77</v>
      </c>
      <c r="B2562" s="4">
        <v>45206.29166666667</v>
      </c>
      <c r="C2562" s="2" t="s">
        <v>18</v>
      </c>
      <c r="D2562" s="2" t="s">
        <v>91</v>
      </c>
      <c r="E2562" s="2" t="s">
        <v>352</v>
      </c>
      <c r="F2562" s="2"/>
      <c r="G2562" s="2">
        <v>16.0</v>
      </c>
      <c r="H2562" s="2">
        <v>14.0</v>
      </c>
      <c r="I2562" s="2">
        <v>2.0</v>
      </c>
      <c r="J2562" s="2">
        <v>0.0</v>
      </c>
      <c r="K2562" s="2">
        <v>0.0</v>
      </c>
      <c r="L2562" s="2">
        <v>0.0</v>
      </c>
      <c r="M2562" s="2"/>
      <c r="N2562" s="2"/>
      <c r="O2562" s="2"/>
      <c r="P2562" s="2" t="s">
        <v>80</v>
      </c>
    </row>
    <row r="2563">
      <c r="A2563" s="3" t="s">
        <v>78</v>
      </c>
      <c r="B2563" s="2" t="s">
        <v>17</v>
      </c>
      <c r="C2563" s="2" t="s">
        <v>148</v>
      </c>
      <c r="D2563" s="2" t="s">
        <v>19</v>
      </c>
      <c r="E2563" s="2" t="s">
        <v>27</v>
      </c>
      <c r="F2563" s="2">
        <v>192.0</v>
      </c>
      <c r="G2563" s="2">
        <v>1.0</v>
      </c>
      <c r="H2563" s="2">
        <v>0.0</v>
      </c>
      <c r="I2563" s="2">
        <v>1.0</v>
      </c>
      <c r="J2563" s="2">
        <v>0.0</v>
      </c>
      <c r="K2563" s="2">
        <v>0.0</v>
      </c>
      <c r="L2563" s="2">
        <v>0.0</v>
      </c>
      <c r="M2563" s="2">
        <v>192.0</v>
      </c>
      <c r="N2563" s="2"/>
      <c r="O2563" s="2"/>
      <c r="P2563" s="2" t="s">
        <v>80</v>
      </c>
    </row>
    <row r="2564">
      <c r="A2564" s="3" t="s">
        <v>81</v>
      </c>
      <c r="B2564" s="2" t="s">
        <v>17</v>
      </c>
      <c r="C2564" s="2" t="s">
        <v>148</v>
      </c>
      <c r="D2564" s="2" t="s">
        <v>69</v>
      </c>
      <c r="E2564" s="2" t="s">
        <v>27</v>
      </c>
      <c r="F2564" s="2">
        <v>192.0</v>
      </c>
      <c r="G2564" s="2">
        <v>0.0</v>
      </c>
      <c r="H2564" s="2">
        <v>0.0</v>
      </c>
      <c r="I2564" s="2">
        <v>0.0</v>
      </c>
      <c r="J2564" s="2">
        <v>0.0</v>
      </c>
      <c r="K2564" s="2">
        <v>0.0</v>
      </c>
      <c r="L2564" s="2">
        <v>0.0</v>
      </c>
      <c r="M2564" s="2">
        <v>192.0</v>
      </c>
      <c r="N2564" s="2"/>
      <c r="O2564" s="2"/>
      <c r="P2564" s="2" t="s">
        <v>80</v>
      </c>
    </row>
    <row r="2565">
      <c r="A2565" s="3" t="s">
        <v>82</v>
      </c>
      <c r="B2565" s="2" t="s">
        <v>17</v>
      </c>
      <c r="C2565" s="2" t="s">
        <v>18</v>
      </c>
      <c r="D2565" s="2" t="s">
        <v>127</v>
      </c>
      <c r="E2565" s="2" t="s">
        <v>27</v>
      </c>
      <c r="F2565" s="2">
        <v>192.0</v>
      </c>
      <c r="G2565" s="2">
        <v>277.0</v>
      </c>
      <c r="H2565" s="2">
        <v>192.0</v>
      </c>
      <c r="I2565" s="2">
        <v>85.0</v>
      </c>
      <c r="J2565" s="2">
        <v>0.0</v>
      </c>
      <c r="K2565" s="2">
        <v>0.0</v>
      </c>
      <c r="L2565" s="2">
        <v>214.0</v>
      </c>
      <c r="M2565" s="2">
        <v>0.0</v>
      </c>
      <c r="N2565" s="2"/>
      <c r="O2565" s="2"/>
      <c r="P2565" s="2" t="s">
        <v>80</v>
      </c>
    </row>
    <row r="2566">
      <c r="A2566" s="3" t="s">
        <v>83</v>
      </c>
      <c r="B2566" s="2" t="s">
        <v>17</v>
      </c>
      <c r="C2566" s="2" t="s">
        <v>18</v>
      </c>
      <c r="D2566" s="2" t="s">
        <v>23</v>
      </c>
      <c r="E2566" s="2" t="s">
        <v>27</v>
      </c>
      <c r="F2566" s="2">
        <v>192.0</v>
      </c>
      <c r="G2566" s="2">
        <v>278.0</v>
      </c>
      <c r="H2566" s="2">
        <v>192.0</v>
      </c>
      <c r="I2566" s="2">
        <v>86.0</v>
      </c>
      <c r="J2566" s="2">
        <v>0.0</v>
      </c>
      <c r="K2566" s="2">
        <v>0.0</v>
      </c>
      <c r="L2566" s="2">
        <v>214.0</v>
      </c>
      <c r="M2566" s="2">
        <v>0.0</v>
      </c>
      <c r="N2566" s="2">
        <v>-384.0</v>
      </c>
      <c r="O2566" s="2">
        <v>-192.0</v>
      </c>
      <c r="P2566" s="2" t="s">
        <v>80</v>
      </c>
    </row>
    <row r="2567">
      <c r="A2567" s="3" t="s">
        <v>84</v>
      </c>
      <c r="B2567" s="4">
        <v>45171.29166666667</v>
      </c>
      <c r="C2567" s="2" t="s">
        <v>18</v>
      </c>
      <c r="D2567" s="2" t="s">
        <v>19</v>
      </c>
      <c r="E2567" s="2" t="s">
        <v>27</v>
      </c>
      <c r="F2567" s="2"/>
      <c r="G2567" s="2">
        <v>1.0</v>
      </c>
      <c r="H2567" s="2">
        <v>0.0</v>
      </c>
      <c r="I2567" s="2">
        <v>1.0</v>
      </c>
      <c r="J2567" s="2">
        <v>0.0</v>
      </c>
      <c r="K2567" s="2">
        <v>0.0</v>
      </c>
      <c r="L2567" s="2">
        <v>0.0</v>
      </c>
      <c r="M2567" s="2"/>
      <c r="N2567" s="2"/>
      <c r="O2567" s="2"/>
      <c r="P2567" s="2" t="s">
        <v>80</v>
      </c>
    </row>
    <row r="2568">
      <c r="A2568" s="3" t="s">
        <v>85</v>
      </c>
      <c r="B2568" s="4">
        <v>45173.29166666667</v>
      </c>
      <c r="C2568" s="2" t="s">
        <v>18</v>
      </c>
      <c r="D2568" s="2" t="s">
        <v>127</v>
      </c>
      <c r="E2568" s="2" t="s">
        <v>27</v>
      </c>
      <c r="F2568" s="2"/>
      <c r="G2568" s="2">
        <v>277.0</v>
      </c>
      <c r="H2568" s="2">
        <v>192.0</v>
      </c>
      <c r="I2568" s="2">
        <v>85.0</v>
      </c>
      <c r="J2568" s="2">
        <v>0.0</v>
      </c>
      <c r="K2568" s="2">
        <v>0.0</v>
      </c>
      <c r="L2568" s="2">
        <v>214.0</v>
      </c>
      <c r="M2568" s="2"/>
      <c r="N2568" s="2"/>
      <c r="O2568" s="2"/>
      <c r="P2568" s="2" t="s">
        <v>80</v>
      </c>
    </row>
    <row r="2569">
      <c r="A2569" s="3" t="s">
        <v>86</v>
      </c>
      <c r="B2569" s="2" t="s">
        <v>17</v>
      </c>
      <c r="C2569" s="2" t="s">
        <v>113</v>
      </c>
      <c r="D2569" s="2" t="s">
        <v>33</v>
      </c>
      <c r="E2569" s="2" t="s">
        <v>323</v>
      </c>
      <c r="F2569" s="2">
        <v>10.0</v>
      </c>
      <c r="G2569" s="2">
        <v>7.0</v>
      </c>
      <c r="H2569" s="2">
        <v>4.0</v>
      </c>
      <c r="I2569" s="2">
        <v>3.0</v>
      </c>
      <c r="J2569" s="2">
        <v>0.0</v>
      </c>
      <c r="K2569" s="2">
        <v>0.0</v>
      </c>
      <c r="L2569" s="2">
        <v>0.0</v>
      </c>
      <c r="M2569" s="2">
        <v>6.0</v>
      </c>
      <c r="N2569" s="2"/>
      <c r="O2569" s="2"/>
      <c r="P2569" s="2" t="s">
        <v>80</v>
      </c>
    </row>
    <row r="2570">
      <c r="A2570" s="3" t="s">
        <v>87</v>
      </c>
      <c r="B2570" s="2" t="s">
        <v>17</v>
      </c>
      <c r="C2570" s="2" t="s">
        <v>18</v>
      </c>
      <c r="D2570" s="2" t="s">
        <v>33</v>
      </c>
      <c r="E2570" s="2" t="s">
        <v>324</v>
      </c>
      <c r="F2570" s="2">
        <v>30.0</v>
      </c>
      <c r="G2570" s="2">
        <v>2.0</v>
      </c>
      <c r="H2570" s="2">
        <v>1.0</v>
      </c>
      <c r="I2570" s="2">
        <v>1.0</v>
      </c>
      <c r="J2570" s="2">
        <v>0.0</v>
      </c>
      <c r="K2570" s="2">
        <v>0.0</v>
      </c>
      <c r="L2570" s="2">
        <v>0.0</v>
      </c>
      <c r="M2570" s="2">
        <v>29.0</v>
      </c>
      <c r="N2570" s="2"/>
      <c r="O2570" s="2"/>
      <c r="P2570" s="2" t="s">
        <v>80</v>
      </c>
    </row>
    <row r="2571">
      <c r="A2571" s="3" t="s">
        <v>88</v>
      </c>
      <c r="B2571" s="2" t="s">
        <v>17</v>
      </c>
      <c r="C2571" s="2" t="s">
        <v>113</v>
      </c>
      <c r="D2571" s="2" t="s">
        <v>33</v>
      </c>
      <c r="E2571" s="2" t="s">
        <v>322</v>
      </c>
      <c r="F2571" s="2">
        <v>30.0</v>
      </c>
      <c r="G2571" s="2">
        <v>2.0</v>
      </c>
      <c r="H2571" s="2">
        <v>1.0</v>
      </c>
      <c r="I2571" s="2">
        <v>1.0</v>
      </c>
      <c r="J2571" s="2">
        <v>0.0</v>
      </c>
      <c r="K2571" s="2">
        <v>0.0</v>
      </c>
      <c r="L2571" s="2">
        <v>0.0</v>
      </c>
      <c r="M2571" s="2">
        <v>29.0</v>
      </c>
      <c r="N2571" s="2"/>
      <c r="O2571" s="2"/>
      <c r="P2571" s="2" t="s">
        <v>80</v>
      </c>
    </row>
    <row r="2572">
      <c r="A2572" s="3" t="s">
        <v>89</v>
      </c>
      <c r="B2572" s="2" t="s">
        <v>17</v>
      </c>
      <c r="C2572" s="2" t="s">
        <v>18</v>
      </c>
      <c r="D2572" s="2" t="s">
        <v>79</v>
      </c>
      <c r="E2572" s="2" t="s">
        <v>323</v>
      </c>
      <c r="F2572" s="2">
        <v>10.0</v>
      </c>
      <c r="G2572" s="2">
        <v>8.0</v>
      </c>
      <c r="H2572" s="2">
        <v>5.0</v>
      </c>
      <c r="I2572" s="2">
        <v>3.0</v>
      </c>
      <c r="J2572" s="2">
        <v>0.0</v>
      </c>
      <c r="K2572" s="2">
        <v>0.0</v>
      </c>
      <c r="L2572" s="2">
        <v>0.0</v>
      </c>
      <c r="M2572" s="2">
        <v>5.0</v>
      </c>
      <c r="N2572" s="2"/>
      <c r="O2572" s="2"/>
      <c r="P2572" s="2" t="s">
        <v>80</v>
      </c>
    </row>
    <row r="2573">
      <c r="A2573" s="3" t="s">
        <v>90</v>
      </c>
      <c r="B2573" s="2" t="s">
        <v>17</v>
      </c>
      <c r="C2573" s="2" t="s">
        <v>18</v>
      </c>
      <c r="D2573" s="2" t="s">
        <v>79</v>
      </c>
      <c r="E2573" s="2" t="s">
        <v>324</v>
      </c>
      <c r="F2573" s="2">
        <v>50.0</v>
      </c>
      <c r="G2573" s="2">
        <v>10.0</v>
      </c>
      <c r="H2573" s="2">
        <v>7.0</v>
      </c>
      <c r="I2573" s="2">
        <v>3.0</v>
      </c>
      <c r="J2573" s="2">
        <v>0.0</v>
      </c>
      <c r="K2573" s="2">
        <v>0.0</v>
      </c>
      <c r="L2573" s="2">
        <v>0.0</v>
      </c>
      <c r="M2573" s="2">
        <v>43.0</v>
      </c>
      <c r="N2573" s="2"/>
      <c r="O2573" s="2"/>
      <c r="P2573" s="2" t="s">
        <v>80</v>
      </c>
    </row>
    <row r="2574">
      <c r="A2574" s="3" t="s">
        <v>93</v>
      </c>
      <c r="B2574" s="2" t="s">
        <v>17</v>
      </c>
      <c r="C2574" s="2" t="s">
        <v>18</v>
      </c>
      <c r="D2574" s="2" t="s">
        <v>79</v>
      </c>
      <c r="E2574" s="2" t="s">
        <v>322</v>
      </c>
      <c r="F2574" s="2">
        <v>60.0</v>
      </c>
      <c r="G2574" s="2">
        <v>51.0</v>
      </c>
      <c r="H2574" s="2">
        <v>36.0</v>
      </c>
      <c r="I2574" s="2">
        <v>15.0</v>
      </c>
      <c r="J2574" s="2">
        <v>0.0</v>
      </c>
      <c r="K2574" s="2">
        <v>0.0</v>
      </c>
      <c r="L2574" s="2">
        <v>0.0</v>
      </c>
      <c r="M2574" s="2">
        <v>24.0</v>
      </c>
      <c r="N2574" s="2"/>
      <c r="O2574" s="2"/>
      <c r="P2574" s="2" t="s">
        <v>80</v>
      </c>
    </row>
    <row r="2575">
      <c r="A2575" s="3" t="s">
        <v>16</v>
      </c>
      <c r="B2575" s="2" t="s">
        <v>17</v>
      </c>
      <c r="C2575" s="2" t="s">
        <v>18</v>
      </c>
      <c r="D2575" s="2" t="s">
        <v>109</v>
      </c>
      <c r="E2575" s="2" t="s">
        <v>323</v>
      </c>
      <c r="F2575" s="2">
        <v>13.0</v>
      </c>
      <c r="G2575" s="2">
        <v>22.0</v>
      </c>
      <c r="H2575" s="2">
        <v>8.0</v>
      </c>
      <c r="I2575" s="2">
        <v>14.0</v>
      </c>
      <c r="J2575" s="2">
        <v>0.0</v>
      </c>
      <c r="K2575" s="2">
        <v>0.0</v>
      </c>
      <c r="L2575" s="2">
        <v>0.0</v>
      </c>
      <c r="M2575" s="2">
        <v>5.0</v>
      </c>
      <c r="N2575" s="2"/>
      <c r="O2575" s="2"/>
      <c r="P2575" s="2" t="s">
        <v>80</v>
      </c>
    </row>
    <row r="2576">
      <c r="A2576" s="3" t="s">
        <v>94</v>
      </c>
      <c r="B2576" s="2" t="s">
        <v>17</v>
      </c>
      <c r="C2576" s="2" t="s">
        <v>18</v>
      </c>
      <c r="D2576" s="2" t="s">
        <v>109</v>
      </c>
      <c r="E2576" s="2" t="s">
        <v>324</v>
      </c>
      <c r="F2576" s="2">
        <v>55.0</v>
      </c>
      <c r="G2576" s="2">
        <v>46.0</v>
      </c>
      <c r="H2576" s="2">
        <v>25.0</v>
      </c>
      <c r="I2576" s="2">
        <v>21.0</v>
      </c>
      <c r="J2576" s="2">
        <v>0.0</v>
      </c>
      <c r="K2576" s="2">
        <v>0.0</v>
      </c>
      <c r="L2576" s="2">
        <v>0.0</v>
      </c>
      <c r="M2576" s="2">
        <v>30.0</v>
      </c>
      <c r="N2576" s="2"/>
      <c r="O2576" s="2"/>
      <c r="P2576" s="2" t="s">
        <v>80</v>
      </c>
    </row>
    <row r="2577">
      <c r="A2577" s="3" t="s">
        <v>95</v>
      </c>
      <c r="B2577" s="2" t="s">
        <v>17</v>
      </c>
      <c r="C2577" s="2" t="s">
        <v>18</v>
      </c>
      <c r="D2577" s="2" t="s">
        <v>109</v>
      </c>
      <c r="E2577" s="2" t="s">
        <v>322</v>
      </c>
      <c r="F2577" s="2">
        <v>65.0</v>
      </c>
      <c r="G2577" s="2">
        <v>90.0</v>
      </c>
      <c r="H2577" s="2">
        <v>48.0</v>
      </c>
      <c r="I2577" s="2">
        <v>42.0</v>
      </c>
      <c r="J2577" s="2">
        <v>0.0</v>
      </c>
      <c r="K2577" s="2">
        <v>0.0</v>
      </c>
      <c r="L2577" s="2">
        <v>0.0</v>
      </c>
      <c r="M2577" s="2">
        <v>17.0</v>
      </c>
      <c r="N2577" s="2"/>
      <c r="O2577" s="2"/>
      <c r="P2577" s="2" t="s">
        <v>80</v>
      </c>
    </row>
    <row r="2578">
      <c r="A2578" s="3" t="s">
        <v>97</v>
      </c>
      <c r="B2578" s="2" t="s">
        <v>17</v>
      </c>
      <c r="C2578" s="2" t="s">
        <v>18</v>
      </c>
      <c r="D2578" s="2" t="s">
        <v>127</v>
      </c>
      <c r="E2578" s="2" t="s">
        <v>324</v>
      </c>
      <c r="F2578" s="2">
        <v>50.0</v>
      </c>
      <c r="G2578" s="2">
        <v>86.0</v>
      </c>
      <c r="H2578" s="2">
        <v>43.0</v>
      </c>
      <c r="I2578" s="2">
        <v>43.0</v>
      </c>
      <c r="J2578" s="2">
        <v>0.0</v>
      </c>
      <c r="K2578" s="2">
        <v>0.0</v>
      </c>
      <c r="L2578" s="2">
        <v>0.0</v>
      </c>
      <c r="M2578" s="2">
        <v>7.0</v>
      </c>
      <c r="N2578" s="2"/>
      <c r="O2578" s="2"/>
      <c r="P2578" s="2" t="s">
        <v>80</v>
      </c>
    </row>
    <row r="2579">
      <c r="A2579" s="3" t="s">
        <v>98</v>
      </c>
      <c r="B2579" s="2" t="s">
        <v>17</v>
      </c>
      <c r="C2579" s="2" t="s">
        <v>18</v>
      </c>
      <c r="D2579" s="2" t="s">
        <v>23</v>
      </c>
      <c r="E2579" s="2" t="s">
        <v>323</v>
      </c>
      <c r="F2579" s="2">
        <v>19.0</v>
      </c>
      <c r="G2579" s="2">
        <v>37.0</v>
      </c>
      <c r="H2579" s="2">
        <v>17.0</v>
      </c>
      <c r="I2579" s="2">
        <v>20.0</v>
      </c>
      <c r="J2579" s="2">
        <v>0.0</v>
      </c>
      <c r="K2579" s="2">
        <v>0.0</v>
      </c>
      <c r="L2579" s="2">
        <v>0.0</v>
      </c>
      <c r="M2579" s="2">
        <v>2.0</v>
      </c>
      <c r="N2579" s="2">
        <v>-14.0</v>
      </c>
      <c r="O2579" s="2">
        <v>-15.0</v>
      </c>
      <c r="P2579" s="2" t="s">
        <v>80</v>
      </c>
    </row>
    <row r="2580">
      <c r="A2580" s="3" t="s">
        <v>99</v>
      </c>
      <c r="B2580" s="2" t="s">
        <v>17</v>
      </c>
      <c r="C2580" s="2" t="s">
        <v>18</v>
      </c>
      <c r="D2580" s="2" t="s">
        <v>23</v>
      </c>
      <c r="E2580" s="2" t="s">
        <v>324</v>
      </c>
      <c r="F2580" s="2">
        <v>86.0</v>
      </c>
      <c r="G2580" s="2">
        <v>144.0</v>
      </c>
      <c r="H2580" s="2">
        <v>76.0</v>
      </c>
      <c r="I2580" s="2">
        <v>68.0</v>
      </c>
      <c r="J2580" s="2">
        <v>0.0</v>
      </c>
      <c r="K2580" s="2">
        <v>0.0</v>
      </c>
      <c r="L2580" s="2">
        <v>0.0</v>
      </c>
      <c r="M2580" s="2">
        <v>10.0</v>
      </c>
      <c r="N2580" s="2">
        <v>-99.0</v>
      </c>
      <c r="O2580" s="2">
        <v>-66.0</v>
      </c>
      <c r="P2580" s="2" t="s">
        <v>80</v>
      </c>
    </row>
    <row r="2581">
      <c r="A2581" s="3" t="s">
        <v>100</v>
      </c>
      <c r="B2581" s="2" t="s">
        <v>17</v>
      </c>
      <c r="C2581" s="2" t="s">
        <v>18</v>
      </c>
      <c r="D2581" s="2" t="s">
        <v>23</v>
      </c>
      <c r="E2581" s="2" t="s">
        <v>322</v>
      </c>
      <c r="F2581" s="2">
        <v>87.0</v>
      </c>
      <c r="G2581" s="2">
        <v>143.0</v>
      </c>
      <c r="H2581" s="2">
        <v>85.0</v>
      </c>
      <c r="I2581" s="2">
        <v>58.0</v>
      </c>
      <c r="J2581" s="2">
        <v>0.0</v>
      </c>
      <c r="K2581" s="2">
        <v>0.0</v>
      </c>
      <c r="L2581" s="2">
        <v>0.0</v>
      </c>
      <c r="M2581" s="2">
        <v>2.0</v>
      </c>
      <c r="N2581" s="2">
        <v>-68.0</v>
      </c>
      <c r="O2581" s="2">
        <v>-83.0</v>
      </c>
      <c r="P2581" s="2" t="s">
        <v>80</v>
      </c>
    </row>
    <row r="2582">
      <c r="A2582" s="3" t="s">
        <v>101</v>
      </c>
      <c r="B2582" s="4">
        <v>45140.29166666667</v>
      </c>
      <c r="C2582" s="2" t="s">
        <v>18</v>
      </c>
      <c r="D2582" s="2" t="s">
        <v>33</v>
      </c>
      <c r="E2582" s="2" t="s">
        <v>323</v>
      </c>
      <c r="F2582" s="2"/>
      <c r="G2582" s="2">
        <v>2.0</v>
      </c>
      <c r="H2582" s="2">
        <v>1.0</v>
      </c>
      <c r="I2582" s="2">
        <v>1.0</v>
      </c>
      <c r="J2582" s="2">
        <v>0.0</v>
      </c>
      <c r="K2582" s="2">
        <v>0.0</v>
      </c>
      <c r="L2582" s="2">
        <v>0.0</v>
      </c>
      <c r="M2582" s="2"/>
      <c r="N2582" s="2"/>
      <c r="O2582" s="2"/>
      <c r="P2582" s="2" t="s">
        <v>80</v>
      </c>
    </row>
    <row r="2583">
      <c r="A2583" s="3" t="s">
        <v>102</v>
      </c>
      <c r="B2583" s="4">
        <v>45141.29166666667</v>
      </c>
      <c r="C2583" s="2" t="s">
        <v>18</v>
      </c>
      <c r="D2583" s="2" t="s">
        <v>33</v>
      </c>
      <c r="E2583" s="2" t="s">
        <v>324</v>
      </c>
      <c r="F2583" s="2"/>
      <c r="G2583" s="2">
        <v>0.0</v>
      </c>
      <c r="H2583" s="2">
        <v>0.0</v>
      </c>
      <c r="I2583" s="2">
        <v>0.0</v>
      </c>
      <c r="J2583" s="2">
        <v>0.0</v>
      </c>
      <c r="K2583" s="2">
        <v>0.0</v>
      </c>
      <c r="L2583" s="2">
        <v>0.0</v>
      </c>
      <c r="M2583" s="2"/>
      <c r="N2583" s="2"/>
      <c r="O2583" s="2"/>
      <c r="P2583" s="2" t="s">
        <v>80</v>
      </c>
    </row>
    <row r="2584">
      <c r="A2584" s="3" t="s">
        <v>103</v>
      </c>
      <c r="B2584" s="4">
        <v>45142.29166666667</v>
      </c>
      <c r="C2584" s="2" t="s">
        <v>18</v>
      </c>
      <c r="D2584" s="2" t="s">
        <v>33</v>
      </c>
      <c r="E2584" s="2" t="s">
        <v>322</v>
      </c>
      <c r="F2584" s="2"/>
      <c r="G2584" s="2">
        <v>0.0</v>
      </c>
      <c r="H2584" s="2">
        <v>0.0</v>
      </c>
      <c r="I2584" s="2">
        <v>0.0</v>
      </c>
      <c r="J2584" s="2">
        <v>0.0</v>
      </c>
      <c r="K2584" s="2">
        <v>0.0</v>
      </c>
      <c r="L2584" s="2">
        <v>0.0</v>
      </c>
      <c r="M2584" s="2"/>
      <c r="N2584" s="2"/>
      <c r="O2584" s="2"/>
      <c r="P2584" s="2" t="s">
        <v>80</v>
      </c>
    </row>
    <row r="2585">
      <c r="A2585" s="3" t="s">
        <v>104</v>
      </c>
      <c r="B2585" s="4">
        <v>45143.29166666667</v>
      </c>
      <c r="C2585" s="2" t="s">
        <v>18</v>
      </c>
      <c r="D2585" s="2" t="s">
        <v>79</v>
      </c>
      <c r="E2585" s="2" t="s">
        <v>323</v>
      </c>
      <c r="F2585" s="2"/>
      <c r="G2585" s="2">
        <v>0.0</v>
      </c>
      <c r="H2585" s="2">
        <v>0.0</v>
      </c>
      <c r="I2585" s="2">
        <v>0.0</v>
      </c>
      <c r="J2585" s="2">
        <v>0.0</v>
      </c>
      <c r="K2585" s="2">
        <v>0.0</v>
      </c>
      <c r="L2585" s="2">
        <v>0.0</v>
      </c>
      <c r="M2585" s="2"/>
      <c r="N2585" s="2"/>
      <c r="O2585" s="2"/>
      <c r="P2585" s="2" t="s">
        <v>80</v>
      </c>
    </row>
    <row r="2586">
      <c r="A2586" s="3" t="s">
        <v>105</v>
      </c>
      <c r="B2586" s="4">
        <v>45144.29166666667</v>
      </c>
      <c r="C2586" s="2" t="s">
        <v>18</v>
      </c>
      <c r="D2586" s="2" t="s">
        <v>79</v>
      </c>
      <c r="E2586" s="2" t="s">
        <v>324</v>
      </c>
      <c r="F2586" s="2"/>
      <c r="G2586" s="2">
        <v>1.0</v>
      </c>
      <c r="H2586" s="2">
        <v>1.0</v>
      </c>
      <c r="I2586" s="2">
        <v>0.0</v>
      </c>
      <c r="J2586" s="2">
        <v>0.0</v>
      </c>
      <c r="K2586" s="2">
        <v>0.0</v>
      </c>
      <c r="L2586" s="2">
        <v>0.0</v>
      </c>
      <c r="M2586" s="2"/>
      <c r="N2586" s="2"/>
      <c r="O2586" s="2"/>
      <c r="P2586" s="2" t="s">
        <v>80</v>
      </c>
    </row>
    <row r="2587">
      <c r="A2587" s="3" t="s">
        <v>106</v>
      </c>
      <c r="B2587" s="4">
        <v>45145.29166666667</v>
      </c>
      <c r="C2587" s="2" t="s">
        <v>18</v>
      </c>
      <c r="D2587" s="2" t="s">
        <v>79</v>
      </c>
      <c r="E2587" s="2" t="s">
        <v>322</v>
      </c>
      <c r="F2587" s="2"/>
      <c r="G2587" s="2">
        <v>0.0</v>
      </c>
      <c r="H2587" s="2">
        <v>0.0</v>
      </c>
      <c r="I2587" s="2">
        <v>0.0</v>
      </c>
      <c r="J2587" s="2">
        <v>0.0</v>
      </c>
      <c r="K2587" s="2">
        <v>0.0</v>
      </c>
      <c r="L2587" s="2">
        <v>0.0</v>
      </c>
      <c r="M2587" s="2"/>
      <c r="N2587" s="2"/>
      <c r="O2587" s="2"/>
      <c r="P2587" s="2" t="s">
        <v>80</v>
      </c>
    </row>
    <row r="2588">
      <c r="A2588" s="3" t="s">
        <v>107</v>
      </c>
      <c r="B2588" s="4">
        <v>45146.29166666667</v>
      </c>
      <c r="C2588" s="2" t="s">
        <v>18</v>
      </c>
      <c r="D2588" s="2" t="s">
        <v>109</v>
      </c>
      <c r="E2588" s="2" t="s">
        <v>323</v>
      </c>
      <c r="F2588" s="2"/>
      <c r="G2588" s="2">
        <v>0.0</v>
      </c>
      <c r="H2588" s="2">
        <v>0.0</v>
      </c>
      <c r="I2588" s="2">
        <v>0.0</v>
      </c>
      <c r="J2588" s="2">
        <v>0.0</v>
      </c>
      <c r="K2588" s="2">
        <v>0.0</v>
      </c>
      <c r="L2588" s="2">
        <v>0.0</v>
      </c>
      <c r="M2588" s="2"/>
      <c r="N2588" s="2"/>
      <c r="O2588" s="2"/>
      <c r="P2588" s="2" t="s">
        <v>80</v>
      </c>
    </row>
    <row r="2589">
      <c r="A2589" s="3" t="s">
        <v>108</v>
      </c>
      <c r="B2589" s="4">
        <v>45147.29166666667</v>
      </c>
      <c r="C2589" s="2" t="s">
        <v>18</v>
      </c>
      <c r="D2589" s="2" t="s">
        <v>109</v>
      </c>
      <c r="E2589" s="2" t="s">
        <v>324</v>
      </c>
      <c r="F2589" s="2"/>
      <c r="G2589" s="2">
        <v>3.0</v>
      </c>
      <c r="H2589" s="2">
        <v>1.0</v>
      </c>
      <c r="I2589" s="2">
        <v>2.0</v>
      </c>
      <c r="J2589" s="2">
        <v>0.0</v>
      </c>
      <c r="K2589" s="2">
        <v>0.0</v>
      </c>
      <c r="L2589" s="2">
        <v>0.0</v>
      </c>
      <c r="M2589" s="2"/>
      <c r="N2589" s="2"/>
      <c r="O2589" s="2"/>
      <c r="P2589" s="2" t="s">
        <v>80</v>
      </c>
    </row>
    <row r="2590">
      <c r="A2590" s="3" t="s">
        <v>112</v>
      </c>
      <c r="B2590" s="4">
        <v>45148.29166666667</v>
      </c>
      <c r="C2590" s="2" t="s">
        <v>18</v>
      </c>
      <c r="D2590" s="2" t="s">
        <v>109</v>
      </c>
      <c r="E2590" s="2" t="s">
        <v>322</v>
      </c>
      <c r="F2590" s="2"/>
      <c r="G2590" s="2">
        <v>1.0</v>
      </c>
      <c r="H2590" s="2">
        <v>1.0</v>
      </c>
      <c r="I2590" s="2">
        <v>0.0</v>
      </c>
      <c r="J2590" s="2">
        <v>0.0</v>
      </c>
      <c r="K2590" s="2">
        <v>0.0</v>
      </c>
      <c r="L2590" s="2">
        <v>0.0</v>
      </c>
      <c r="M2590" s="2"/>
      <c r="N2590" s="2"/>
      <c r="O2590" s="2"/>
      <c r="P2590" s="2" t="s">
        <v>80</v>
      </c>
    </row>
    <row r="2591">
      <c r="A2591" s="3" t="s">
        <v>115</v>
      </c>
      <c r="B2591" s="4">
        <v>45171.29166666667</v>
      </c>
      <c r="C2591" s="2" t="s">
        <v>18</v>
      </c>
      <c r="D2591" s="2" t="s">
        <v>33</v>
      </c>
      <c r="E2591" s="2" t="s">
        <v>323</v>
      </c>
      <c r="F2591" s="2"/>
      <c r="G2591" s="2">
        <v>5.0</v>
      </c>
      <c r="H2591" s="2">
        <v>3.0</v>
      </c>
      <c r="I2591" s="2">
        <v>2.0</v>
      </c>
      <c r="J2591" s="2">
        <v>0.0</v>
      </c>
      <c r="K2591" s="2">
        <v>0.0</v>
      </c>
      <c r="L2591" s="2">
        <v>0.0</v>
      </c>
      <c r="M2591" s="2"/>
      <c r="N2591" s="2"/>
      <c r="O2591" s="2"/>
      <c r="P2591" s="2" t="s">
        <v>80</v>
      </c>
    </row>
    <row r="2592">
      <c r="A2592" s="3" t="s">
        <v>117</v>
      </c>
      <c r="B2592" s="4">
        <v>45172.29166666667</v>
      </c>
      <c r="C2592" s="2" t="s">
        <v>18</v>
      </c>
      <c r="D2592" s="2" t="s">
        <v>33</v>
      </c>
      <c r="E2592" s="2" t="s">
        <v>324</v>
      </c>
      <c r="F2592" s="2"/>
      <c r="G2592" s="2">
        <v>2.0</v>
      </c>
      <c r="H2592" s="2">
        <v>1.0</v>
      </c>
      <c r="I2592" s="2">
        <v>1.0</v>
      </c>
      <c r="J2592" s="2">
        <v>0.0</v>
      </c>
      <c r="K2592" s="2">
        <v>0.0</v>
      </c>
      <c r="L2592" s="2">
        <v>0.0</v>
      </c>
      <c r="M2592" s="2"/>
      <c r="N2592" s="2"/>
      <c r="O2592" s="2"/>
      <c r="P2592" s="2" t="s">
        <v>80</v>
      </c>
    </row>
    <row r="2593">
      <c r="A2593" s="3" t="s">
        <v>119</v>
      </c>
      <c r="B2593" s="4">
        <v>45173.29166666667</v>
      </c>
      <c r="C2593" s="2" t="s">
        <v>18</v>
      </c>
      <c r="D2593" s="2" t="s">
        <v>33</v>
      </c>
      <c r="E2593" s="2" t="s">
        <v>322</v>
      </c>
      <c r="F2593" s="2"/>
      <c r="G2593" s="2">
        <v>2.0</v>
      </c>
      <c r="H2593" s="2">
        <v>1.0</v>
      </c>
      <c r="I2593" s="2">
        <v>1.0</v>
      </c>
      <c r="J2593" s="2">
        <v>0.0</v>
      </c>
      <c r="K2593" s="2">
        <v>0.0</v>
      </c>
      <c r="L2593" s="2">
        <v>0.0</v>
      </c>
      <c r="M2593" s="2"/>
      <c r="N2593" s="2"/>
      <c r="O2593" s="2"/>
      <c r="P2593" s="2" t="s">
        <v>80</v>
      </c>
    </row>
    <row r="2594">
      <c r="A2594" s="3" t="s">
        <v>121</v>
      </c>
      <c r="B2594" s="4">
        <v>45174.29166666667</v>
      </c>
      <c r="C2594" s="2" t="s">
        <v>18</v>
      </c>
      <c r="D2594" s="2" t="s">
        <v>79</v>
      </c>
      <c r="E2594" s="2" t="s">
        <v>323</v>
      </c>
      <c r="F2594" s="2"/>
      <c r="G2594" s="2">
        <v>8.0</v>
      </c>
      <c r="H2594" s="2">
        <v>5.0</v>
      </c>
      <c r="I2594" s="2">
        <v>3.0</v>
      </c>
      <c r="J2594" s="2">
        <v>0.0</v>
      </c>
      <c r="K2594" s="2">
        <v>0.0</v>
      </c>
      <c r="L2594" s="2">
        <v>0.0</v>
      </c>
      <c r="M2594" s="2"/>
      <c r="N2594" s="2"/>
      <c r="O2594" s="2"/>
      <c r="P2594" s="2" t="s">
        <v>80</v>
      </c>
    </row>
    <row r="2595">
      <c r="A2595" s="3" t="s">
        <v>16</v>
      </c>
      <c r="B2595" s="4">
        <v>45175.29166666667</v>
      </c>
      <c r="C2595" s="2" t="s">
        <v>18</v>
      </c>
      <c r="D2595" s="2" t="s">
        <v>79</v>
      </c>
      <c r="E2595" s="2" t="s">
        <v>324</v>
      </c>
      <c r="F2595" s="2"/>
      <c r="G2595" s="2">
        <v>9.0</v>
      </c>
      <c r="H2595" s="2">
        <v>6.0</v>
      </c>
      <c r="I2595" s="2">
        <v>3.0</v>
      </c>
      <c r="J2595" s="2">
        <v>0.0</v>
      </c>
      <c r="K2595" s="2">
        <v>0.0</v>
      </c>
      <c r="L2595" s="2">
        <v>0.0</v>
      </c>
      <c r="M2595" s="2"/>
      <c r="N2595" s="2"/>
      <c r="O2595" s="2"/>
      <c r="P2595" s="2" t="s">
        <v>80</v>
      </c>
    </row>
    <row r="2596">
      <c r="A2596" s="3" t="s">
        <v>124</v>
      </c>
      <c r="B2596" s="4">
        <v>45176.29166666667</v>
      </c>
      <c r="C2596" s="2" t="s">
        <v>18</v>
      </c>
      <c r="D2596" s="2" t="s">
        <v>79</v>
      </c>
      <c r="E2596" s="2" t="s">
        <v>322</v>
      </c>
      <c r="F2596" s="2"/>
      <c r="G2596" s="2">
        <v>51.0</v>
      </c>
      <c r="H2596" s="2">
        <v>36.0</v>
      </c>
      <c r="I2596" s="2">
        <v>15.0</v>
      </c>
      <c r="J2596" s="2">
        <v>0.0</v>
      </c>
      <c r="K2596" s="2">
        <v>0.0</v>
      </c>
      <c r="L2596" s="2">
        <v>0.0</v>
      </c>
      <c r="M2596" s="2"/>
      <c r="N2596" s="2"/>
      <c r="O2596" s="2"/>
      <c r="P2596" s="2" t="s">
        <v>80</v>
      </c>
    </row>
    <row r="2597">
      <c r="A2597" s="3" t="s">
        <v>126</v>
      </c>
      <c r="B2597" s="4">
        <v>45177.29166666667</v>
      </c>
      <c r="C2597" s="2" t="s">
        <v>18</v>
      </c>
      <c r="D2597" s="2" t="s">
        <v>109</v>
      </c>
      <c r="E2597" s="2" t="s">
        <v>323</v>
      </c>
      <c r="F2597" s="2"/>
      <c r="G2597" s="2">
        <v>22.0</v>
      </c>
      <c r="H2597" s="2">
        <v>8.0</v>
      </c>
      <c r="I2597" s="2">
        <v>14.0</v>
      </c>
      <c r="J2597" s="2">
        <v>0.0</v>
      </c>
      <c r="K2597" s="2">
        <v>0.0</v>
      </c>
      <c r="L2597" s="2">
        <v>0.0</v>
      </c>
      <c r="M2597" s="2"/>
      <c r="N2597" s="2"/>
      <c r="O2597" s="2"/>
      <c r="P2597" s="2" t="s">
        <v>80</v>
      </c>
    </row>
    <row r="2598">
      <c r="A2598" s="3" t="s">
        <v>128</v>
      </c>
      <c r="B2598" s="4">
        <v>45178.29166666667</v>
      </c>
      <c r="C2598" s="2" t="s">
        <v>18</v>
      </c>
      <c r="D2598" s="2" t="s">
        <v>109</v>
      </c>
      <c r="E2598" s="2" t="s">
        <v>324</v>
      </c>
      <c r="F2598" s="2"/>
      <c r="G2598" s="2">
        <v>43.0</v>
      </c>
      <c r="H2598" s="2">
        <v>24.0</v>
      </c>
      <c r="I2598" s="2">
        <v>19.0</v>
      </c>
      <c r="J2598" s="2">
        <v>0.0</v>
      </c>
      <c r="K2598" s="2">
        <v>0.0</v>
      </c>
      <c r="L2598" s="2">
        <v>0.0</v>
      </c>
      <c r="M2598" s="2"/>
      <c r="N2598" s="2"/>
      <c r="O2598" s="2"/>
      <c r="P2598" s="2" t="s">
        <v>80</v>
      </c>
    </row>
    <row r="2599">
      <c r="A2599" s="3" t="s">
        <v>129</v>
      </c>
      <c r="B2599" s="4">
        <v>45179.29166666667</v>
      </c>
      <c r="C2599" s="2" t="s">
        <v>18</v>
      </c>
      <c r="D2599" s="2" t="s">
        <v>109</v>
      </c>
      <c r="E2599" s="2" t="s">
        <v>322</v>
      </c>
      <c r="F2599" s="2"/>
      <c r="G2599" s="2">
        <v>89.0</v>
      </c>
      <c r="H2599" s="2">
        <v>47.0</v>
      </c>
      <c r="I2599" s="2">
        <v>42.0</v>
      </c>
      <c r="J2599" s="2">
        <v>0.0</v>
      </c>
      <c r="K2599" s="2">
        <v>0.0</v>
      </c>
      <c r="L2599" s="2">
        <v>0.0</v>
      </c>
      <c r="M2599" s="2"/>
      <c r="N2599" s="2"/>
      <c r="O2599" s="2"/>
      <c r="P2599" s="2" t="s">
        <v>80</v>
      </c>
    </row>
    <row r="2600">
      <c r="A2600" s="3" t="s">
        <v>130</v>
      </c>
      <c r="B2600" s="4">
        <v>45179.29166666667</v>
      </c>
      <c r="C2600" s="2" t="s">
        <v>18</v>
      </c>
      <c r="D2600" s="2" t="s">
        <v>127</v>
      </c>
      <c r="E2600" s="2" t="s">
        <v>324</v>
      </c>
      <c r="F2600" s="2"/>
      <c r="G2600" s="2">
        <v>86.0</v>
      </c>
      <c r="H2600" s="2">
        <v>43.0</v>
      </c>
      <c r="I2600" s="2">
        <v>43.0</v>
      </c>
      <c r="J2600" s="2">
        <v>0.0</v>
      </c>
      <c r="K2600" s="2">
        <v>0.0</v>
      </c>
      <c r="L2600" s="2">
        <v>0.0</v>
      </c>
      <c r="M2600" s="2"/>
      <c r="N2600" s="2"/>
      <c r="O2600" s="2"/>
      <c r="P2600" s="2" t="s">
        <v>80</v>
      </c>
    </row>
    <row r="2601">
      <c r="A2601" s="3" t="s">
        <v>131</v>
      </c>
      <c r="B2601" s="2" t="s">
        <v>17</v>
      </c>
      <c r="C2601" s="2" t="s">
        <v>18</v>
      </c>
      <c r="D2601" s="2" t="s">
        <v>91</v>
      </c>
      <c r="E2601" s="2" t="s">
        <v>351</v>
      </c>
      <c r="F2601" s="2">
        <v>10.0</v>
      </c>
      <c r="G2601" s="2">
        <v>0.0</v>
      </c>
      <c r="H2601" s="2">
        <v>0.0</v>
      </c>
      <c r="I2601" s="2">
        <v>0.0</v>
      </c>
      <c r="J2601" s="2">
        <v>0.0</v>
      </c>
      <c r="K2601" s="2">
        <v>0.0</v>
      </c>
      <c r="L2601" s="2">
        <v>0.0</v>
      </c>
      <c r="M2601" s="2">
        <v>10.0</v>
      </c>
      <c r="N2601" s="2"/>
      <c r="O2601" s="2"/>
      <c r="P2601" s="2" t="s">
        <v>80</v>
      </c>
    </row>
    <row r="2602">
      <c r="A2602" s="3" t="s">
        <v>132</v>
      </c>
      <c r="B2602" s="2" t="s">
        <v>17</v>
      </c>
      <c r="C2602" s="2" t="s">
        <v>18</v>
      </c>
      <c r="D2602" s="2" t="s">
        <v>91</v>
      </c>
      <c r="E2602" s="2" t="s">
        <v>324</v>
      </c>
      <c r="F2602" s="2">
        <v>30.0</v>
      </c>
      <c r="G2602" s="2">
        <v>40.0</v>
      </c>
      <c r="H2602" s="2">
        <v>30.0</v>
      </c>
      <c r="I2602" s="2">
        <v>10.0</v>
      </c>
      <c r="J2602" s="2">
        <v>0.0</v>
      </c>
      <c r="K2602" s="2">
        <v>0.0</v>
      </c>
      <c r="L2602" s="2">
        <v>0.0</v>
      </c>
      <c r="M2602" s="2">
        <v>0.0</v>
      </c>
      <c r="N2602" s="2"/>
      <c r="O2602" s="2"/>
      <c r="P2602" s="2" t="s">
        <v>80</v>
      </c>
    </row>
    <row r="2603">
      <c r="A2603" s="3" t="s">
        <v>133</v>
      </c>
      <c r="B2603" s="2" t="s">
        <v>17</v>
      </c>
      <c r="C2603" s="2" t="s">
        <v>18</v>
      </c>
      <c r="D2603" s="2" t="s">
        <v>91</v>
      </c>
      <c r="E2603" s="2" t="s">
        <v>322</v>
      </c>
      <c r="F2603" s="2">
        <v>60.0</v>
      </c>
      <c r="G2603" s="2">
        <v>66.0</v>
      </c>
      <c r="H2603" s="2">
        <v>55.0</v>
      </c>
      <c r="I2603" s="2">
        <v>11.0</v>
      </c>
      <c r="J2603" s="2">
        <v>0.0</v>
      </c>
      <c r="K2603" s="2">
        <v>0.0</v>
      </c>
      <c r="L2603" s="2">
        <v>0.0</v>
      </c>
      <c r="M2603" s="2">
        <v>5.0</v>
      </c>
      <c r="N2603" s="2"/>
      <c r="O2603" s="2"/>
      <c r="P2603" s="2" t="s">
        <v>80</v>
      </c>
    </row>
    <row r="2604">
      <c r="A2604" s="3" t="s">
        <v>134</v>
      </c>
      <c r="B2604" s="2" t="s">
        <v>17</v>
      </c>
      <c r="C2604" s="2" t="s">
        <v>18</v>
      </c>
      <c r="D2604" s="2" t="s">
        <v>127</v>
      </c>
      <c r="E2604" s="2" t="s">
        <v>351</v>
      </c>
      <c r="F2604" s="2">
        <v>30.0</v>
      </c>
      <c r="G2604" s="2">
        <v>53.0</v>
      </c>
      <c r="H2604" s="2">
        <v>30.0</v>
      </c>
      <c r="I2604" s="2">
        <v>23.0</v>
      </c>
      <c r="J2604" s="2">
        <v>0.0</v>
      </c>
      <c r="K2604" s="2">
        <v>0.0</v>
      </c>
      <c r="L2604" s="2">
        <v>0.0</v>
      </c>
      <c r="M2604" s="2">
        <v>0.0</v>
      </c>
      <c r="N2604" s="2"/>
      <c r="O2604" s="2"/>
      <c r="P2604" s="2" t="s">
        <v>80</v>
      </c>
    </row>
    <row r="2605">
      <c r="A2605" s="3" t="s">
        <v>136</v>
      </c>
      <c r="B2605" s="2" t="s">
        <v>17</v>
      </c>
      <c r="C2605" s="2" t="s">
        <v>18</v>
      </c>
      <c r="D2605" s="2" t="s">
        <v>127</v>
      </c>
      <c r="E2605" s="2" t="s">
        <v>324</v>
      </c>
      <c r="F2605" s="2">
        <v>55.0</v>
      </c>
      <c r="G2605" s="2">
        <v>81.0</v>
      </c>
      <c r="H2605" s="2">
        <v>47.0</v>
      </c>
      <c r="I2605" s="2">
        <v>34.0</v>
      </c>
      <c r="J2605" s="2">
        <v>0.0</v>
      </c>
      <c r="K2605" s="2">
        <v>0.0</v>
      </c>
      <c r="L2605" s="2">
        <v>0.0</v>
      </c>
      <c r="M2605" s="2">
        <v>8.0</v>
      </c>
      <c r="N2605" s="2"/>
      <c r="O2605" s="2"/>
      <c r="P2605" s="2" t="s">
        <v>80</v>
      </c>
    </row>
    <row r="2606">
      <c r="A2606" s="3" t="s">
        <v>137</v>
      </c>
      <c r="B2606" s="2" t="s">
        <v>17</v>
      </c>
      <c r="C2606" s="2" t="s">
        <v>18</v>
      </c>
      <c r="D2606" s="2" t="s">
        <v>127</v>
      </c>
      <c r="E2606" s="2" t="s">
        <v>322</v>
      </c>
      <c r="F2606" s="2">
        <v>10.0</v>
      </c>
      <c r="G2606" s="2">
        <v>24.0</v>
      </c>
      <c r="H2606" s="2">
        <v>10.0</v>
      </c>
      <c r="I2606" s="2">
        <v>14.0</v>
      </c>
      <c r="J2606" s="2">
        <v>0.0</v>
      </c>
      <c r="K2606" s="2">
        <v>0.0</v>
      </c>
      <c r="L2606" s="2">
        <v>0.0</v>
      </c>
      <c r="M2606" s="2">
        <v>0.0</v>
      </c>
      <c r="N2606" s="2"/>
      <c r="O2606" s="2"/>
      <c r="P2606" s="2" t="s">
        <v>80</v>
      </c>
    </row>
    <row r="2607">
      <c r="A2607" s="3" t="s">
        <v>138</v>
      </c>
      <c r="B2607" s="2" t="s">
        <v>17</v>
      </c>
      <c r="C2607" s="2" t="s">
        <v>18</v>
      </c>
      <c r="D2607" s="2" t="s">
        <v>23</v>
      </c>
      <c r="E2607" s="2" t="s">
        <v>351</v>
      </c>
      <c r="F2607" s="2">
        <v>39.0</v>
      </c>
      <c r="G2607" s="2">
        <v>53.0</v>
      </c>
      <c r="H2607" s="2">
        <v>30.0</v>
      </c>
      <c r="I2607" s="2">
        <v>23.0</v>
      </c>
      <c r="J2607" s="2">
        <v>0.0</v>
      </c>
      <c r="K2607" s="2">
        <v>0.0</v>
      </c>
      <c r="L2607" s="2">
        <v>0.0</v>
      </c>
      <c r="M2607" s="2">
        <v>9.0</v>
      </c>
      <c r="N2607" s="2">
        <v>-1.0</v>
      </c>
      <c r="O2607" s="2">
        <v>-21.0</v>
      </c>
      <c r="P2607" s="2" t="s">
        <v>80</v>
      </c>
    </row>
    <row r="2608">
      <c r="A2608" s="3" t="s">
        <v>139</v>
      </c>
      <c r="B2608" s="2" t="s">
        <v>17</v>
      </c>
      <c r="C2608" s="2" t="s">
        <v>18</v>
      </c>
      <c r="D2608" s="2" t="s">
        <v>23</v>
      </c>
      <c r="E2608" s="2" t="s">
        <v>324</v>
      </c>
      <c r="F2608" s="2">
        <v>86.0</v>
      </c>
      <c r="G2608" s="2">
        <v>121.0</v>
      </c>
      <c r="H2608" s="2">
        <v>77.0</v>
      </c>
      <c r="I2608" s="2">
        <v>44.0</v>
      </c>
      <c r="J2608" s="2">
        <v>0.0</v>
      </c>
      <c r="K2608" s="2">
        <v>0.0</v>
      </c>
      <c r="L2608" s="2">
        <v>0.0</v>
      </c>
      <c r="M2608" s="2">
        <v>9.0</v>
      </c>
      <c r="N2608" s="2">
        <v>1.0</v>
      </c>
      <c r="O2608" s="2">
        <v>-68.0</v>
      </c>
      <c r="P2608" s="2" t="s">
        <v>80</v>
      </c>
    </row>
    <row r="2609">
      <c r="A2609" s="3" t="s">
        <v>140</v>
      </c>
      <c r="B2609" s="2" t="s">
        <v>17</v>
      </c>
      <c r="C2609" s="2" t="s">
        <v>18</v>
      </c>
      <c r="D2609" s="2" t="s">
        <v>23</v>
      </c>
      <c r="E2609" s="2" t="s">
        <v>322</v>
      </c>
      <c r="F2609" s="2">
        <v>67.0</v>
      </c>
      <c r="G2609" s="2">
        <v>90.0</v>
      </c>
      <c r="H2609" s="2">
        <v>65.0</v>
      </c>
      <c r="I2609" s="2">
        <v>25.0</v>
      </c>
      <c r="J2609" s="2">
        <v>0.0</v>
      </c>
      <c r="K2609" s="2">
        <v>0.0</v>
      </c>
      <c r="L2609" s="2">
        <v>0.0</v>
      </c>
      <c r="M2609" s="2">
        <v>2.0</v>
      </c>
      <c r="N2609" s="2">
        <v>-3.0</v>
      </c>
      <c r="O2609" s="2">
        <v>-63.0</v>
      </c>
      <c r="P2609" s="2" t="s">
        <v>80</v>
      </c>
    </row>
    <row r="2610">
      <c r="A2610" s="3" t="s">
        <v>141</v>
      </c>
      <c r="B2610" s="4">
        <v>45171.29166666667</v>
      </c>
      <c r="C2610" s="2" t="s">
        <v>18</v>
      </c>
      <c r="D2610" s="2" t="s">
        <v>91</v>
      </c>
      <c r="E2610" s="2" t="s">
        <v>351</v>
      </c>
      <c r="F2610" s="2"/>
      <c r="G2610" s="2">
        <v>0.0</v>
      </c>
      <c r="H2610" s="2">
        <v>0.0</v>
      </c>
      <c r="I2610" s="2">
        <v>0.0</v>
      </c>
      <c r="J2610" s="2">
        <v>0.0</v>
      </c>
      <c r="K2610" s="2">
        <v>0.0</v>
      </c>
      <c r="L2610" s="2">
        <v>0.0</v>
      </c>
      <c r="M2610" s="2"/>
      <c r="N2610" s="2"/>
      <c r="O2610" s="2"/>
      <c r="P2610" s="2" t="s">
        <v>80</v>
      </c>
    </row>
    <row r="2611">
      <c r="A2611" s="3" t="s">
        <v>142</v>
      </c>
      <c r="B2611" s="4">
        <v>45172.29166666667</v>
      </c>
      <c r="C2611" s="2" t="s">
        <v>18</v>
      </c>
      <c r="D2611" s="2" t="s">
        <v>91</v>
      </c>
      <c r="E2611" s="2" t="s">
        <v>324</v>
      </c>
      <c r="F2611" s="2"/>
      <c r="G2611" s="2">
        <v>40.0</v>
      </c>
      <c r="H2611" s="2">
        <v>30.0</v>
      </c>
      <c r="I2611" s="2">
        <v>10.0</v>
      </c>
      <c r="J2611" s="2">
        <v>0.0</v>
      </c>
      <c r="K2611" s="2">
        <v>0.0</v>
      </c>
      <c r="L2611" s="2">
        <v>0.0</v>
      </c>
      <c r="M2611" s="2"/>
      <c r="N2611" s="2"/>
      <c r="O2611" s="2"/>
      <c r="P2611" s="2" t="s">
        <v>80</v>
      </c>
    </row>
    <row r="2612">
      <c r="A2612" s="3" t="s">
        <v>143</v>
      </c>
      <c r="B2612" s="4">
        <v>45173.29166666667</v>
      </c>
      <c r="C2612" s="2" t="s">
        <v>18</v>
      </c>
      <c r="D2612" s="2" t="s">
        <v>91</v>
      </c>
      <c r="E2612" s="2" t="s">
        <v>322</v>
      </c>
      <c r="F2612" s="2"/>
      <c r="G2612" s="2">
        <v>66.0</v>
      </c>
      <c r="H2612" s="2">
        <v>55.0</v>
      </c>
      <c r="I2612" s="2">
        <v>11.0</v>
      </c>
      <c r="J2612" s="2">
        <v>0.0</v>
      </c>
      <c r="K2612" s="2">
        <v>0.0</v>
      </c>
      <c r="L2612" s="2">
        <v>0.0</v>
      </c>
      <c r="M2612" s="2"/>
      <c r="N2612" s="2"/>
      <c r="O2612" s="2"/>
      <c r="P2612" s="2" t="s">
        <v>80</v>
      </c>
    </row>
    <row r="2613">
      <c r="A2613" s="3" t="s">
        <v>144</v>
      </c>
      <c r="B2613" s="4">
        <v>45174.29166666667</v>
      </c>
      <c r="C2613" s="2" t="s">
        <v>18</v>
      </c>
      <c r="D2613" s="2" t="s">
        <v>127</v>
      </c>
      <c r="E2613" s="2" t="s">
        <v>351</v>
      </c>
      <c r="F2613" s="2"/>
      <c r="G2613" s="2">
        <v>5.0</v>
      </c>
      <c r="H2613" s="2">
        <v>3.0</v>
      </c>
      <c r="I2613" s="2">
        <v>2.0</v>
      </c>
      <c r="J2613" s="2">
        <v>0.0</v>
      </c>
      <c r="K2613" s="2">
        <v>0.0</v>
      </c>
      <c r="L2613" s="2">
        <v>0.0</v>
      </c>
      <c r="M2613" s="2"/>
      <c r="N2613" s="2"/>
      <c r="O2613" s="2"/>
      <c r="P2613" s="2" t="s">
        <v>80</v>
      </c>
    </row>
    <row r="2614">
      <c r="A2614" s="3" t="s">
        <v>145</v>
      </c>
      <c r="B2614" s="4">
        <v>45175.29166666667</v>
      </c>
      <c r="C2614" s="2" t="s">
        <v>18</v>
      </c>
      <c r="D2614" s="2" t="s">
        <v>127</v>
      </c>
      <c r="E2614" s="2" t="s">
        <v>324</v>
      </c>
      <c r="F2614" s="2"/>
      <c r="G2614" s="2">
        <v>38.0</v>
      </c>
      <c r="H2614" s="2">
        <v>23.0</v>
      </c>
      <c r="I2614" s="2">
        <v>15.0</v>
      </c>
      <c r="J2614" s="2">
        <v>0.0</v>
      </c>
      <c r="K2614" s="2">
        <v>0.0</v>
      </c>
      <c r="L2614" s="2">
        <v>0.0</v>
      </c>
      <c r="M2614" s="2"/>
      <c r="N2614" s="2"/>
      <c r="O2614" s="2"/>
      <c r="P2614" s="2" t="s">
        <v>80</v>
      </c>
    </row>
    <row r="2615">
      <c r="A2615" s="3" t="s">
        <v>16</v>
      </c>
      <c r="B2615" s="4">
        <v>45176.29166666667</v>
      </c>
      <c r="C2615" s="2" t="s">
        <v>18</v>
      </c>
      <c r="D2615" s="2" t="s">
        <v>127</v>
      </c>
      <c r="E2615" s="2" t="s">
        <v>322</v>
      </c>
      <c r="F2615" s="2"/>
      <c r="G2615" s="2">
        <v>0.0</v>
      </c>
      <c r="H2615" s="2">
        <v>0.0</v>
      </c>
      <c r="I2615" s="2">
        <v>0.0</v>
      </c>
      <c r="J2615" s="2">
        <v>0.0</v>
      </c>
      <c r="K2615" s="2">
        <v>0.0</v>
      </c>
      <c r="L2615" s="2">
        <v>0.0</v>
      </c>
      <c r="M2615" s="2"/>
      <c r="N2615" s="2"/>
      <c r="O2615" s="2"/>
      <c r="P2615" s="2" t="s">
        <v>80</v>
      </c>
    </row>
    <row r="2616">
      <c r="A2616" s="3" t="s">
        <v>22</v>
      </c>
      <c r="B2616" s="4">
        <v>45202.29166666667</v>
      </c>
      <c r="C2616" s="2" t="s">
        <v>18</v>
      </c>
      <c r="D2616" s="2" t="s">
        <v>91</v>
      </c>
      <c r="E2616" s="2" t="s">
        <v>351</v>
      </c>
      <c r="F2616" s="2"/>
      <c r="G2616" s="2">
        <v>0.0</v>
      </c>
      <c r="H2616" s="2">
        <v>0.0</v>
      </c>
      <c r="I2616" s="2">
        <v>0.0</v>
      </c>
      <c r="J2616" s="2">
        <v>0.0</v>
      </c>
      <c r="K2616" s="2">
        <v>0.0</v>
      </c>
      <c r="L2616" s="2">
        <v>0.0</v>
      </c>
      <c r="M2616" s="2"/>
      <c r="N2616" s="2"/>
      <c r="O2616" s="2"/>
      <c r="P2616" s="2" t="s">
        <v>80</v>
      </c>
    </row>
    <row r="2617">
      <c r="A2617" s="3" t="s">
        <v>24</v>
      </c>
      <c r="B2617" s="4">
        <v>45203.29166666667</v>
      </c>
      <c r="C2617" s="2" t="s">
        <v>18</v>
      </c>
      <c r="D2617" s="2" t="s">
        <v>91</v>
      </c>
      <c r="E2617" s="2" t="s">
        <v>324</v>
      </c>
      <c r="F2617" s="2"/>
      <c r="G2617" s="2">
        <v>0.0</v>
      </c>
      <c r="H2617" s="2">
        <v>0.0</v>
      </c>
      <c r="I2617" s="2">
        <v>0.0</v>
      </c>
      <c r="J2617" s="2">
        <v>0.0</v>
      </c>
      <c r="K2617" s="2">
        <v>0.0</v>
      </c>
      <c r="L2617" s="2">
        <v>0.0</v>
      </c>
      <c r="M2617" s="2"/>
      <c r="N2617" s="2"/>
      <c r="O2617" s="2"/>
      <c r="P2617" s="2" t="s">
        <v>80</v>
      </c>
    </row>
    <row r="2618">
      <c r="A2618" s="3" t="s">
        <v>25</v>
      </c>
      <c r="B2618" s="4">
        <v>45204.29166666667</v>
      </c>
      <c r="C2618" s="2" t="s">
        <v>18</v>
      </c>
      <c r="D2618" s="2" t="s">
        <v>91</v>
      </c>
      <c r="E2618" s="2" t="s">
        <v>322</v>
      </c>
      <c r="F2618" s="2"/>
      <c r="G2618" s="2">
        <v>0.0</v>
      </c>
      <c r="H2618" s="2">
        <v>0.0</v>
      </c>
      <c r="I2618" s="2">
        <v>0.0</v>
      </c>
      <c r="J2618" s="2">
        <v>0.0</v>
      </c>
      <c r="K2618" s="2">
        <v>0.0</v>
      </c>
      <c r="L2618" s="2">
        <v>0.0</v>
      </c>
      <c r="M2618" s="2"/>
      <c r="N2618" s="2"/>
      <c r="O2618" s="2"/>
      <c r="P2618" s="2" t="s">
        <v>80</v>
      </c>
    </row>
    <row r="2619">
      <c r="A2619" s="3" t="s">
        <v>26</v>
      </c>
      <c r="B2619" s="4">
        <v>45205.29166666667</v>
      </c>
      <c r="C2619" s="2" t="s">
        <v>18</v>
      </c>
      <c r="D2619" s="2" t="s">
        <v>127</v>
      </c>
      <c r="E2619" s="2" t="s">
        <v>351</v>
      </c>
      <c r="F2619" s="2"/>
      <c r="G2619" s="2">
        <v>48.0</v>
      </c>
      <c r="H2619" s="2">
        <v>27.0</v>
      </c>
      <c r="I2619" s="2">
        <v>21.0</v>
      </c>
      <c r="J2619" s="2">
        <v>0.0</v>
      </c>
      <c r="K2619" s="2">
        <v>0.0</v>
      </c>
      <c r="L2619" s="2">
        <v>0.0</v>
      </c>
      <c r="M2619" s="2"/>
      <c r="N2619" s="2"/>
      <c r="O2619" s="2"/>
      <c r="P2619" s="2" t="s">
        <v>80</v>
      </c>
    </row>
    <row r="2620">
      <c r="A2620" s="3" t="s">
        <v>28</v>
      </c>
      <c r="B2620" s="4">
        <v>45206.29166666667</v>
      </c>
      <c r="C2620" s="2" t="s">
        <v>18</v>
      </c>
      <c r="D2620" s="2" t="s">
        <v>127</v>
      </c>
      <c r="E2620" s="2" t="s">
        <v>324</v>
      </c>
      <c r="F2620" s="2"/>
      <c r="G2620" s="2">
        <v>43.0</v>
      </c>
      <c r="H2620" s="2">
        <v>24.0</v>
      </c>
      <c r="I2620" s="2">
        <v>19.0</v>
      </c>
      <c r="J2620" s="2">
        <v>0.0</v>
      </c>
      <c r="K2620" s="2">
        <v>0.0</v>
      </c>
      <c r="L2620" s="2">
        <v>0.0</v>
      </c>
      <c r="M2620" s="2"/>
      <c r="N2620" s="2"/>
      <c r="O2620" s="2"/>
      <c r="P2620" s="2" t="s">
        <v>80</v>
      </c>
    </row>
    <row r="2621">
      <c r="A2621" s="3" t="s">
        <v>29</v>
      </c>
      <c r="B2621" s="4">
        <v>45207.29166666667</v>
      </c>
      <c r="C2621" s="2" t="s">
        <v>18</v>
      </c>
      <c r="D2621" s="2" t="s">
        <v>127</v>
      </c>
      <c r="E2621" s="2" t="s">
        <v>322</v>
      </c>
      <c r="F2621" s="2"/>
      <c r="G2621" s="2">
        <v>24.0</v>
      </c>
      <c r="H2621" s="2">
        <v>10.0</v>
      </c>
      <c r="I2621" s="2">
        <v>14.0</v>
      </c>
      <c r="J2621" s="2">
        <v>0.0</v>
      </c>
      <c r="K2621" s="2">
        <v>0.0</v>
      </c>
      <c r="L2621" s="2">
        <v>0.0</v>
      </c>
      <c r="M2621" s="2"/>
      <c r="N2621" s="2"/>
      <c r="O2621" s="2"/>
      <c r="P2621" s="2" t="s">
        <v>80</v>
      </c>
    </row>
    <row r="2622">
      <c r="A2622" s="3" t="s">
        <v>32</v>
      </c>
      <c r="B2622" s="2" t="s">
        <v>17</v>
      </c>
      <c r="C2622" s="2" t="s">
        <v>18</v>
      </c>
      <c r="D2622" s="2" t="s">
        <v>19</v>
      </c>
      <c r="E2622" s="2" t="s">
        <v>27</v>
      </c>
      <c r="F2622" s="2">
        <v>63.0</v>
      </c>
      <c r="G2622" s="2">
        <v>98.0</v>
      </c>
      <c r="H2622" s="2">
        <v>68.0</v>
      </c>
      <c r="I2622" s="2">
        <v>30.0</v>
      </c>
      <c r="J2622" s="2">
        <v>0.0</v>
      </c>
      <c r="K2622" s="2">
        <v>0.0</v>
      </c>
      <c r="L2622" s="2">
        <v>0.0</v>
      </c>
      <c r="M2622" s="2">
        <v>-5.0</v>
      </c>
      <c r="N2622" s="2"/>
      <c r="O2622" s="2"/>
      <c r="P2622" s="2" t="s">
        <v>80</v>
      </c>
    </row>
    <row r="2623">
      <c r="A2623" s="3" t="s">
        <v>34</v>
      </c>
      <c r="B2623" s="2" t="s">
        <v>17</v>
      </c>
      <c r="C2623" s="2" t="s">
        <v>18</v>
      </c>
      <c r="D2623" s="2" t="s">
        <v>127</v>
      </c>
      <c r="E2623" s="2" t="s">
        <v>27</v>
      </c>
      <c r="F2623" s="2">
        <v>114.0</v>
      </c>
      <c r="G2623" s="2">
        <v>138.0</v>
      </c>
      <c r="H2623" s="2">
        <v>114.0</v>
      </c>
      <c r="I2623" s="2">
        <v>24.0</v>
      </c>
      <c r="J2623" s="2">
        <v>0.0</v>
      </c>
      <c r="K2623" s="2">
        <v>0.0</v>
      </c>
      <c r="L2623" s="2">
        <v>0.0</v>
      </c>
      <c r="M2623" s="2">
        <v>0.0</v>
      </c>
      <c r="N2623" s="2"/>
      <c r="O2623" s="2"/>
      <c r="P2623" s="2" t="s">
        <v>80</v>
      </c>
    </row>
    <row r="2624">
      <c r="A2624" s="3" t="s">
        <v>35</v>
      </c>
      <c r="B2624" s="2" t="s">
        <v>17</v>
      </c>
      <c r="C2624" s="2" t="s">
        <v>18</v>
      </c>
      <c r="D2624" s="2" t="s">
        <v>23</v>
      </c>
      <c r="E2624" s="2" t="s">
        <v>27</v>
      </c>
      <c r="F2624" s="2">
        <v>177.0</v>
      </c>
      <c r="G2624" s="2">
        <v>236.0</v>
      </c>
      <c r="H2624" s="2">
        <v>182.0</v>
      </c>
      <c r="I2624" s="2">
        <v>54.0</v>
      </c>
      <c r="J2624" s="2">
        <v>0.0</v>
      </c>
      <c r="K2624" s="2">
        <v>0.0</v>
      </c>
      <c r="L2624" s="2">
        <v>0.0</v>
      </c>
      <c r="M2624" s="2">
        <v>-5.0</v>
      </c>
      <c r="N2624" s="2">
        <v>0.0</v>
      </c>
      <c r="O2624" s="2">
        <v>-187.0</v>
      </c>
      <c r="P2624" s="2" t="s">
        <v>80</v>
      </c>
    </row>
    <row r="2625">
      <c r="A2625" s="3" t="s">
        <v>36</v>
      </c>
      <c r="B2625" s="4">
        <v>45171.29166666667</v>
      </c>
      <c r="C2625" s="2" t="s">
        <v>18</v>
      </c>
      <c r="D2625" s="2" t="s">
        <v>19</v>
      </c>
      <c r="E2625" s="2" t="s">
        <v>27</v>
      </c>
      <c r="F2625" s="2"/>
      <c r="G2625" s="2">
        <v>38.0</v>
      </c>
      <c r="H2625" s="2">
        <v>24.0</v>
      </c>
      <c r="I2625" s="2">
        <v>14.0</v>
      </c>
      <c r="J2625" s="2">
        <v>0.0</v>
      </c>
      <c r="K2625" s="2">
        <v>0.0</v>
      </c>
      <c r="L2625" s="2">
        <v>0.0</v>
      </c>
      <c r="M2625" s="2"/>
      <c r="N2625" s="2"/>
      <c r="O2625" s="2"/>
      <c r="P2625" s="2" t="s">
        <v>80</v>
      </c>
    </row>
    <row r="2626">
      <c r="A2626" s="3" t="s">
        <v>37</v>
      </c>
      <c r="B2626" s="4">
        <v>45172.29166666667</v>
      </c>
      <c r="C2626" s="2" t="s">
        <v>18</v>
      </c>
      <c r="D2626" s="2" t="s">
        <v>127</v>
      </c>
      <c r="E2626" s="2" t="s">
        <v>27</v>
      </c>
      <c r="F2626" s="2"/>
      <c r="G2626" s="2">
        <v>138.0</v>
      </c>
      <c r="H2626" s="2">
        <v>114.0</v>
      </c>
      <c r="I2626" s="2">
        <v>24.0</v>
      </c>
      <c r="J2626" s="2">
        <v>0.0</v>
      </c>
      <c r="K2626" s="2">
        <v>0.0</v>
      </c>
      <c r="L2626" s="2">
        <v>0.0</v>
      </c>
      <c r="M2626" s="2"/>
      <c r="N2626" s="2"/>
      <c r="O2626" s="2"/>
      <c r="P2626" s="2" t="s">
        <v>80</v>
      </c>
    </row>
    <row r="2627">
      <c r="A2627" s="3" t="s">
        <v>38</v>
      </c>
      <c r="B2627" s="4">
        <v>45202.29166666667</v>
      </c>
      <c r="C2627" s="2" t="s">
        <v>18</v>
      </c>
      <c r="D2627" s="2" t="s">
        <v>19</v>
      </c>
      <c r="E2627" s="2" t="s">
        <v>27</v>
      </c>
      <c r="F2627" s="2"/>
      <c r="G2627" s="2">
        <v>60.0</v>
      </c>
      <c r="H2627" s="2">
        <v>44.0</v>
      </c>
      <c r="I2627" s="2">
        <v>16.0</v>
      </c>
      <c r="J2627" s="2">
        <v>0.0</v>
      </c>
      <c r="K2627" s="2">
        <v>0.0</v>
      </c>
      <c r="L2627" s="2">
        <v>0.0</v>
      </c>
      <c r="M2627" s="2"/>
      <c r="N2627" s="2"/>
      <c r="O2627" s="2"/>
      <c r="P2627" s="2" t="s">
        <v>80</v>
      </c>
    </row>
    <row r="2628">
      <c r="A2628" s="3" t="s">
        <v>39</v>
      </c>
      <c r="B2628" s="2" t="s">
        <v>17</v>
      </c>
      <c r="C2628" s="2" t="s">
        <v>18</v>
      </c>
      <c r="D2628" s="2" t="s">
        <v>109</v>
      </c>
      <c r="E2628" s="2" t="s">
        <v>194</v>
      </c>
      <c r="F2628" s="2">
        <v>9.0</v>
      </c>
      <c r="G2628" s="2">
        <v>12.0</v>
      </c>
      <c r="H2628" s="2">
        <v>7.0</v>
      </c>
      <c r="I2628" s="2">
        <v>5.0</v>
      </c>
      <c r="J2628" s="2">
        <v>0.0</v>
      </c>
      <c r="K2628" s="2">
        <v>0.0</v>
      </c>
      <c r="L2628" s="2">
        <v>0.0</v>
      </c>
      <c r="M2628" s="2">
        <v>2.0</v>
      </c>
      <c r="N2628" s="2"/>
      <c r="O2628" s="2"/>
      <c r="P2628" s="2" t="s">
        <v>195</v>
      </c>
    </row>
    <row r="2629">
      <c r="A2629" s="3" t="s">
        <v>40</v>
      </c>
      <c r="B2629" s="2" t="s">
        <v>17</v>
      </c>
      <c r="C2629" s="2" t="s">
        <v>18</v>
      </c>
      <c r="D2629" s="2" t="s">
        <v>23</v>
      </c>
      <c r="E2629" s="2" t="s">
        <v>194</v>
      </c>
      <c r="F2629" s="2">
        <v>9.0</v>
      </c>
      <c r="G2629" s="2">
        <v>12.0</v>
      </c>
      <c r="H2629" s="2">
        <v>7.0</v>
      </c>
      <c r="I2629" s="2">
        <v>5.0</v>
      </c>
      <c r="J2629" s="2">
        <v>0.0</v>
      </c>
      <c r="K2629" s="2">
        <v>0.0</v>
      </c>
      <c r="L2629" s="2">
        <v>0.0</v>
      </c>
      <c r="M2629" s="2">
        <v>2.0</v>
      </c>
      <c r="N2629" s="2">
        <v>0.0</v>
      </c>
      <c r="O2629" s="2">
        <v>-5.0</v>
      </c>
      <c r="P2629" s="2" t="s">
        <v>195</v>
      </c>
    </row>
    <row r="2630">
      <c r="A2630" s="3" t="s">
        <v>41</v>
      </c>
      <c r="B2630" s="4">
        <v>45140.29166666667</v>
      </c>
      <c r="C2630" s="2" t="s">
        <v>18</v>
      </c>
      <c r="D2630" s="2" t="s">
        <v>109</v>
      </c>
      <c r="E2630" s="2" t="s">
        <v>194</v>
      </c>
      <c r="F2630" s="2"/>
      <c r="G2630" s="2">
        <v>8.0</v>
      </c>
      <c r="H2630" s="2">
        <v>4.0</v>
      </c>
      <c r="I2630" s="2">
        <v>4.0</v>
      </c>
      <c r="J2630" s="2">
        <v>0.0</v>
      </c>
      <c r="K2630" s="2">
        <v>0.0</v>
      </c>
      <c r="L2630" s="2">
        <v>0.0</v>
      </c>
      <c r="M2630" s="2"/>
      <c r="N2630" s="2"/>
      <c r="O2630" s="2"/>
      <c r="P2630" s="2" t="s">
        <v>195</v>
      </c>
    </row>
    <row r="2631">
      <c r="A2631" s="3" t="s">
        <v>42</v>
      </c>
      <c r="B2631" s="4">
        <v>45170.29166666667</v>
      </c>
      <c r="C2631" s="2" t="s">
        <v>18</v>
      </c>
      <c r="D2631" s="2" t="s">
        <v>109</v>
      </c>
      <c r="E2631" s="2" t="s">
        <v>194</v>
      </c>
      <c r="F2631" s="2"/>
      <c r="G2631" s="2">
        <v>0.0</v>
      </c>
      <c r="H2631" s="2">
        <v>0.0</v>
      </c>
      <c r="I2631" s="2">
        <v>0.0</v>
      </c>
      <c r="J2631" s="2">
        <v>0.0</v>
      </c>
      <c r="K2631" s="2">
        <v>0.0</v>
      </c>
      <c r="L2631" s="2">
        <v>0.0</v>
      </c>
      <c r="M2631" s="2"/>
      <c r="N2631" s="2"/>
      <c r="O2631" s="2"/>
      <c r="P2631" s="2" t="s">
        <v>195</v>
      </c>
    </row>
    <row r="2632">
      <c r="A2632" s="3" t="s">
        <v>43</v>
      </c>
      <c r="B2632" s="4">
        <v>45200.29166666667</v>
      </c>
      <c r="C2632" s="2" t="s">
        <v>18</v>
      </c>
      <c r="D2632" s="2" t="s">
        <v>109</v>
      </c>
      <c r="E2632" s="2" t="s">
        <v>194</v>
      </c>
      <c r="F2632" s="2"/>
      <c r="G2632" s="2">
        <v>4.0</v>
      </c>
      <c r="H2632" s="2">
        <v>3.0</v>
      </c>
      <c r="I2632" s="2">
        <v>1.0</v>
      </c>
      <c r="J2632" s="2">
        <v>0.0</v>
      </c>
      <c r="K2632" s="2">
        <v>0.0</v>
      </c>
      <c r="L2632" s="2">
        <v>0.0</v>
      </c>
      <c r="M2632" s="2"/>
      <c r="N2632" s="2"/>
      <c r="O2632" s="2"/>
      <c r="P2632" s="2" t="s">
        <v>195</v>
      </c>
    </row>
    <row r="2633">
      <c r="A2633" s="3" t="s">
        <v>44</v>
      </c>
      <c r="B2633" s="2" t="s">
        <v>17</v>
      </c>
      <c r="C2633" s="2" t="s">
        <v>113</v>
      </c>
      <c r="D2633" s="2" t="s">
        <v>79</v>
      </c>
      <c r="E2633" s="2" t="s">
        <v>27</v>
      </c>
      <c r="F2633" s="2">
        <v>5.0</v>
      </c>
      <c r="G2633" s="2">
        <v>12.0</v>
      </c>
      <c r="H2633" s="2">
        <v>5.0</v>
      </c>
      <c r="I2633" s="2">
        <v>7.0</v>
      </c>
      <c r="J2633" s="2">
        <v>0.0</v>
      </c>
      <c r="K2633" s="2">
        <v>0.0</v>
      </c>
      <c r="L2633" s="2">
        <v>0.0</v>
      </c>
      <c r="M2633" s="2">
        <v>0.0</v>
      </c>
      <c r="N2633" s="2"/>
      <c r="O2633" s="2"/>
      <c r="P2633" s="2" t="s">
        <v>92</v>
      </c>
    </row>
    <row r="2634">
      <c r="A2634" s="3" t="s">
        <v>45</v>
      </c>
      <c r="B2634" s="2" t="s">
        <v>17</v>
      </c>
      <c r="C2634" s="2" t="s">
        <v>113</v>
      </c>
      <c r="D2634" s="2" t="s">
        <v>109</v>
      </c>
      <c r="E2634" s="2" t="s">
        <v>27</v>
      </c>
      <c r="F2634" s="2">
        <v>59.0</v>
      </c>
      <c r="G2634" s="2">
        <v>158.0</v>
      </c>
      <c r="H2634" s="2">
        <v>59.0</v>
      </c>
      <c r="I2634" s="2">
        <v>99.0</v>
      </c>
      <c r="J2634" s="2">
        <v>0.0</v>
      </c>
      <c r="K2634" s="2">
        <v>0.0</v>
      </c>
      <c r="L2634" s="2">
        <v>0.0</v>
      </c>
      <c r="M2634" s="2">
        <v>0.0</v>
      </c>
      <c r="N2634" s="2"/>
      <c r="O2634" s="2"/>
      <c r="P2634" s="2" t="s">
        <v>92</v>
      </c>
    </row>
    <row r="2635">
      <c r="A2635" s="3" t="s">
        <v>16</v>
      </c>
      <c r="B2635" s="2" t="s">
        <v>17</v>
      </c>
      <c r="C2635" s="2" t="s">
        <v>18</v>
      </c>
      <c r="D2635" s="2" t="s">
        <v>19</v>
      </c>
      <c r="E2635" s="2" t="s">
        <v>27</v>
      </c>
      <c r="F2635" s="2">
        <v>33.0</v>
      </c>
      <c r="G2635" s="2">
        <v>18.0</v>
      </c>
      <c r="H2635" s="2">
        <v>11.0</v>
      </c>
      <c r="I2635" s="2">
        <v>7.0</v>
      </c>
      <c r="J2635" s="2">
        <v>0.0</v>
      </c>
      <c r="K2635" s="2">
        <v>0.0</v>
      </c>
      <c r="L2635" s="2">
        <v>0.0</v>
      </c>
      <c r="M2635" s="2">
        <v>22.0</v>
      </c>
      <c r="N2635" s="2"/>
      <c r="O2635" s="2"/>
      <c r="P2635" s="2" t="s">
        <v>92</v>
      </c>
    </row>
    <row r="2636">
      <c r="A2636" s="3" t="s">
        <v>47</v>
      </c>
      <c r="B2636" s="2" t="s">
        <v>17</v>
      </c>
      <c r="C2636" s="2" t="s">
        <v>18</v>
      </c>
      <c r="D2636" s="2" t="s">
        <v>69</v>
      </c>
      <c r="E2636" s="2" t="s">
        <v>27</v>
      </c>
      <c r="F2636" s="2">
        <v>33.0</v>
      </c>
      <c r="G2636" s="2">
        <v>21.0</v>
      </c>
      <c r="H2636" s="2">
        <v>8.0</v>
      </c>
      <c r="I2636" s="2">
        <v>13.0</v>
      </c>
      <c r="J2636" s="2">
        <v>0.0</v>
      </c>
      <c r="K2636" s="2">
        <v>0.0</v>
      </c>
      <c r="L2636" s="2">
        <v>0.0</v>
      </c>
      <c r="M2636" s="2">
        <v>25.0</v>
      </c>
      <c r="N2636" s="2"/>
      <c r="O2636" s="2"/>
      <c r="P2636" s="2" t="s">
        <v>92</v>
      </c>
    </row>
    <row r="2637">
      <c r="A2637" s="3" t="s">
        <v>48</v>
      </c>
      <c r="B2637" s="2" t="s">
        <v>17</v>
      </c>
      <c r="C2637" s="2" t="s">
        <v>18</v>
      </c>
      <c r="D2637" s="2" t="s">
        <v>23</v>
      </c>
      <c r="E2637" s="2" t="s">
        <v>27</v>
      </c>
      <c r="F2637" s="2">
        <v>100.0</v>
      </c>
      <c r="G2637" s="2">
        <v>209.0</v>
      </c>
      <c r="H2637" s="2">
        <v>83.0</v>
      </c>
      <c r="I2637" s="2">
        <v>126.0</v>
      </c>
      <c r="J2637" s="2">
        <v>0.0</v>
      </c>
      <c r="K2637" s="2">
        <v>0.0</v>
      </c>
      <c r="L2637" s="2">
        <v>0.0</v>
      </c>
      <c r="M2637" s="2">
        <v>17.0</v>
      </c>
      <c r="N2637" s="2">
        <v>-30.0</v>
      </c>
      <c r="O2637" s="2">
        <v>-66.0</v>
      </c>
      <c r="P2637" s="2" t="s">
        <v>92</v>
      </c>
    </row>
    <row r="2638">
      <c r="A2638" s="3" t="s">
        <v>49</v>
      </c>
      <c r="B2638" s="4">
        <v>45140.29166666667</v>
      </c>
      <c r="C2638" s="2" t="s">
        <v>18</v>
      </c>
      <c r="D2638" s="2" t="s">
        <v>79</v>
      </c>
      <c r="E2638" s="2" t="s">
        <v>27</v>
      </c>
      <c r="F2638" s="2"/>
      <c r="G2638" s="2">
        <v>6.0</v>
      </c>
      <c r="H2638" s="2">
        <v>4.0</v>
      </c>
      <c r="I2638" s="2">
        <v>2.0</v>
      </c>
      <c r="J2638" s="2">
        <v>0.0</v>
      </c>
      <c r="K2638" s="2">
        <v>0.0</v>
      </c>
      <c r="L2638" s="2">
        <v>0.0</v>
      </c>
      <c r="M2638" s="2"/>
      <c r="N2638" s="2"/>
      <c r="O2638" s="2"/>
      <c r="P2638" s="2" t="s">
        <v>92</v>
      </c>
    </row>
    <row r="2639">
      <c r="A2639" s="3" t="s">
        <v>51</v>
      </c>
      <c r="B2639" s="4">
        <v>45141.29166666667</v>
      </c>
      <c r="C2639" s="2" t="s">
        <v>18</v>
      </c>
      <c r="D2639" s="2" t="s">
        <v>109</v>
      </c>
      <c r="E2639" s="2" t="s">
        <v>27</v>
      </c>
      <c r="F2639" s="2"/>
      <c r="G2639" s="2">
        <v>64.0</v>
      </c>
      <c r="H2639" s="2">
        <v>23.0</v>
      </c>
      <c r="I2639" s="2">
        <v>41.0</v>
      </c>
      <c r="J2639" s="2">
        <v>0.0</v>
      </c>
      <c r="K2639" s="2">
        <v>0.0</v>
      </c>
      <c r="L2639" s="2">
        <v>0.0</v>
      </c>
      <c r="M2639" s="2"/>
      <c r="N2639" s="2"/>
      <c r="O2639" s="2"/>
      <c r="P2639" s="2" t="s">
        <v>92</v>
      </c>
    </row>
    <row r="2640">
      <c r="A2640" s="3" t="s">
        <v>52</v>
      </c>
      <c r="B2640" s="4">
        <v>45142.29166666667</v>
      </c>
      <c r="C2640" s="2" t="s">
        <v>18</v>
      </c>
      <c r="D2640" s="2" t="s">
        <v>19</v>
      </c>
      <c r="E2640" s="2" t="s">
        <v>27</v>
      </c>
      <c r="F2640" s="2"/>
      <c r="G2640" s="2">
        <v>2.0</v>
      </c>
      <c r="H2640" s="2">
        <v>1.0</v>
      </c>
      <c r="I2640" s="2">
        <v>1.0</v>
      </c>
      <c r="J2640" s="2">
        <v>0.0</v>
      </c>
      <c r="K2640" s="2">
        <v>0.0</v>
      </c>
      <c r="L2640" s="2">
        <v>0.0</v>
      </c>
      <c r="M2640" s="2"/>
      <c r="N2640" s="2"/>
      <c r="O2640" s="2"/>
      <c r="P2640" s="2" t="s">
        <v>92</v>
      </c>
    </row>
    <row r="2641">
      <c r="A2641" s="3" t="s">
        <v>53</v>
      </c>
      <c r="B2641" s="4">
        <v>45143.29166666667</v>
      </c>
      <c r="C2641" s="2" t="s">
        <v>18</v>
      </c>
      <c r="D2641" s="2" t="s">
        <v>69</v>
      </c>
      <c r="E2641" s="2" t="s">
        <v>27</v>
      </c>
      <c r="F2641" s="2"/>
      <c r="G2641" s="2">
        <v>3.0</v>
      </c>
      <c r="H2641" s="2">
        <v>0.0</v>
      </c>
      <c r="I2641" s="2">
        <v>3.0</v>
      </c>
      <c r="J2641" s="2">
        <v>0.0</v>
      </c>
      <c r="K2641" s="2">
        <v>0.0</v>
      </c>
      <c r="L2641" s="2">
        <v>0.0</v>
      </c>
      <c r="M2641" s="2"/>
      <c r="N2641" s="2"/>
      <c r="O2641" s="2"/>
      <c r="P2641" s="2" t="s">
        <v>92</v>
      </c>
    </row>
    <row r="2642">
      <c r="A2642" s="3" t="s">
        <v>54</v>
      </c>
      <c r="B2642" s="4">
        <v>45174.29166666667</v>
      </c>
      <c r="C2642" s="2" t="s">
        <v>18</v>
      </c>
      <c r="D2642" s="2" t="s">
        <v>79</v>
      </c>
      <c r="E2642" s="2" t="s">
        <v>27</v>
      </c>
      <c r="F2642" s="2"/>
      <c r="G2642" s="2">
        <v>6.0</v>
      </c>
      <c r="H2642" s="2">
        <v>1.0</v>
      </c>
      <c r="I2642" s="2">
        <v>5.0</v>
      </c>
      <c r="J2642" s="2">
        <v>0.0</v>
      </c>
      <c r="K2642" s="2">
        <v>0.0</v>
      </c>
      <c r="L2642" s="2">
        <v>0.0</v>
      </c>
      <c r="M2642" s="2"/>
      <c r="N2642" s="2"/>
      <c r="O2642" s="2"/>
      <c r="P2642" s="2" t="s">
        <v>92</v>
      </c>
    </row>
    <row r="2643">
      <c r="A2643" s="3" t="s">
        <v>55</v>
      </c>
      <c r="B2643" s="4">
        <v>45175.29166666667</v>
      </c>
      <c r="C2643" s="2" t="s">
        <v>18</v>
      </c>
      <c r="D2643" s="2" t="s">
        <v>109</v>
      </c>
      <c r="E2643" s="2" t="s">
        <v>27</v>
      </c>
      <c r="F2643" s="2"/>
      <c r="G2643" s="2">
        <v>94.0</v>
      </c>
      <c r="H2643" s="2">
        <v>36.0</v>
      </c>
      <c r="I2643" s="2">
        <v>58.0</v>
      </c>
      <c r="J2643" s="2">
        <v>0.0</v>
      </c>
      <c r="K2643" s="2">
        <v>0.0</v>
      </c>
      <c r="L2643" s="2">
        <v>0.0</v>
      </c>
      <c r="M2643" s="2"/>
      <c r="N2643" s="2"/>
      <c r="O2643" s="2"/>
      <c r="P2643" s="2" t="s">
        <v>92</v>
      </c>
    </row>
    <row r="2644">
      <c r="A2644" s="3" t="s">
        <v>56</v>
      </c>
      <c r="B2644" s="4">
        <v>45176.29166666667</v>
      </c>
      <c r="C2644" s="2" t="s">
        <v>18</v>
      </c>
      <c r="D2644" s="2" t="s">
        <v>19</v>
      </c>
      <c r="E2644" s="2" t="s">
        <v>27</v>
      </c>
      <c r="F2644" s="2"/>
      <c r="G2644" s="2">
        <v>12.0</v>
      </c>
      <c r="H2644" s="2">
        <v>7.0</v>
      </c>
      <c r="I2644" s="2">
        <v>5.0</v>
      </c>
      <c r="J2644" s="2">
        <v>0.0</v>
      </c>
      <c r="K2644" s="2">
        <v>0.0</v>
      </c>
      <c r="L2644" s="2">
        <v>0.0</v>
      </c>
      <c r="M2644" s="2"/>
      <c r="N2644" s="2"/>
      <c r="O2644" s="2"/>
      <c r="P2644" s="2" t="s">
        <v>92</v>
      </c>
    </row>
    <row r="2645">
      <c r="A2645" s="3" t="s">
        <v>59</v>
      </c>
      <c r="B2645" s="4">
        <v>45177.29166666667</v>
      </c>
      <c r="C2645" s="2" t="s">
        <v>18</v>
      </c>
      <c r="D2645" s="2" t="s">
        <v>69</v>
      </c>
      <c r="E2645" s="2" t="s">
        <v>27</v>
      </c>
      <c r="F2645" s="2"/>
      <c r="G2645" s="2">
        <v>18.0</v>
      </c>
      <c r="H2645" s="2">
        <v>8.0</v>
      </c>
      <c r="I2645" s="2">
        <v>10.0</v>
      </c>
      <c r="J2645" s="2">
        <v>0.0</v>
      </c>
      <c r="K2645" s="2">
        <v>0.0</v>
      </c>
      <c r="L2645" s="2">
        <v>0.0</v>
      </c>
      <c r="M2645" s="2"/>
      <c r="N2645" s="2"/>
      <c r="O2645" s="2"/>
      <c r="P2645" s="2" t="s">
        <v>92</v>
      </c>
    </row>
    <row r="2646">
      <c r="A2646" s="3" t="s">
        <v>60</v>
      </c>
      <c r="B2646" s="4">
        <v>45201.29166666667</v>
      </c>
      <c r="C2646" s="2" t="s">
        <v>18</v>
      </c>
      <c r="D2646" s="2" t="s">
        <v>19</v>
      </c>
      <c r="E2646" s="2" t="s">
        <v>27</v>
      </c>
      <c r="F2646" s="2"/>
      <c r="G2646" s="2">
        <v>4.0</v>
      </c>
      <c r="H2646" s="2">
        <v>3.0</v>
      </c>
      <c r="I2646" s="2">
        <v>1.0</v>
      </c>
      <c r="J2646" s="2">
        <v>0.0</v>
      </c>
      <c r="K2646" s="2">
        <v>0.0</v>
      </c>
      <c r="L2646" s="2">
        <v>0.0</v>
      </c>
      <c r="M2646" s="2"/>
      <c r="N2646" s="2"/>
      <c r="O2646" s="2"/>
      <c r="P2646" s="2" t="s">
        <v>92</v>
      </c>
    </row>
    <row r="2647">
      <c r="A2647" s="3" t="s">
        <v>61</v>
      </c>
      <c r="B2647" s="4">
        <v>45201.29166666667</v>
      </c>
      <c r="C2647" s="2" t="s">
        <v>18</v>
      </c>
      <c r="D2647" s="2" t="s">
        <v>69</v>
      </c>
      <c r="E2647" s="2" t="s">
        <v>27</v>
      </c>
      <c r="F2647" s="2"/>
      <c r="G2647" s="2">
        <v>0.0</v>
      </c>
      <c r="H2647" s="2">
        <v>0.0</v>
      </c>
      <c r="I2647" s="2">
        <v>0.0</v>
      </c>
      <c r="J2647" s="2">
        <v>0.0</v>
      </c>
      <c r="K2647" s="2">
        <v>0.0</v>
      </c>
      <c r="L2647" s="2">
        <v>0.0</v>
      </c>
      <c r="M2647" s="2"/>
      <c r="N2647" s="2"/>
      <c r="O2647" s="2"/>
      <c r="P2647" s="2" t="s">
        <v>92</v>
      </c>
    </row>
    <row r="2648">
      <c r="A2648" s="3" t="s">
        <v>62</v>
      </c>
      <c r="B2648" s="2" t="s">
        <v>17</v>
      </c>
      <c r="C2648" s="2" t="s">
        <v>18</v>
      </c>
      <c r="D2648" s="2" t="s">
        <v>19</v>
      </c>
      <c r="E2648" s="2" t="s">
        <v>353</v>
      </c>
      <c r="F2648" s="2">
        <v>22.0</v>
      </c>
      <c r="G2648" s="2">
        <v>32.0</v>
      </c>
      <c r="H2648" s="2">
        <v>23.0</v>
      </c>
      <c r="I2648" s="2">
        <v>7.0</v>
      </c>
      <c r="J2648" s="2">
        <v>2.0</v>
      </c>
      <c r="K2648" s="2">
        <v>0.0</v>
      </c>
      <c r="L2648" s="2">
        <v>0.0</v>
      </c>
      <c r="M2648" s="2">
        <v>-1.0</v>
      </c>
      <c r="N2648" s="2"/>
      <c r="O2648" s="2"/>
      <c r="P2648" s="2" t="s">
        <v>146</v>
      </c>
    </row>
    <row r="2649">
      <c r="A2649" s="3" t="s">
        <v>63</v>
      </c>
      <c r="B2649" s="2" t="s">
        <v>17</v>
      </c>
      <c r="C2649" s="2" t="s">
        <v>18</v>
      </c>
      <c r="D2649" s="2" t="s">
        <v>19</v>
      </c>
      <c r="E2649" s="2" t="s">
        <v>354</v>
      </c>
      <c r="F2649" s="2">
        <v>27.0</v>
      </c>
      <c r="G2649" s="2">
        <v>35.0</v>
      </c>
      <c r="H2649" s="2">
        <v>27.0</v>
      </c>
      <c r="I2649" s="2">
        <v>6.0</v>
      </c>
      <c r="J2649" s="2">
        <v>2.0</v>
      </c>
      <c r="K2649" s="2">
        <v>0.0</v>
      </c>
      <c r="L2649" s="2">
        <v>0.0</v>
      </c>
      <c r="M2649" s="2">
        <v>0.0</v>
      </c>
      <c r="N2649" s="2"/>
      <c r="O2649" s="2"/>
      <c r="P2649" s="2" t="s">
        <v>146</v>
      </c>
    </row>
    <row r="2650">
      <c r="A2650" s="3" t="s">
        <v>64</v>
      </c>
      <c r="B2650" s="2" t="s">
        <v>17</v>
      </c>
      <c r="C2650" s="2" t="s">
        <v>18</v>
      </c>
      <c r="D2650" s="2" t="s">
        <v>23</v>
      </c>
      <c r="E2650" s="2" t="s">
        <v>353</v>
      </c>
      <c r="F2650" s="2">
        <v>22.0</v>
      </c>
      <c r="G2650" s="2">
        <v>32.0</v>
      </c>
      <c r="H2650" s="2">
        <v>23.0</v>
      </c>
      <c r="I2650" s="2">
        <v>7.0</v>
      </c>
      <c r="J2650" s="2">
        <v>2.0</v>
      </c>
      <c r="K2650" s="2">
        <v>0.0</v>
      </c>
      <c r="L2650" s="2">
        <v>0.0</v>
      </c>
      <c r="M2650" s="2">
        <v>-1.0</v>
      </c>
      <c r="N2650" s="2">
        <v>0.0</v>
      </c>
      <c r="O2650" s="2">
        <v>-24.0</v>
      </c>
      <c r="P2650" s="2" t="s">
        <v>146</v>
      </c>
    </row>
    <row r="2651">
      <c r="A2651" s="3" t="s">
        <v>65</v>
      </c>
      <c r="B2651" s="2" t="s">
        <v>17</v>
      </c>
      <c r="C2651" s="2" t="s">
        <v>18</v>
      </c>
      <c r="D2651" s="2" t="s">
        <v>23</v>
      </c>
      <c r="E2651" s="2" t="s">
        <v>354</v>
      </c>
      <c r="F2651" s="2">
        <v>27.0</v>
      </c>
      <c r="G2651" s="2">
        <v>35.0</v>
      </c>
      <c r="H2651" s="2">
        <v>27.0</v>
      </c>
      <c r="I2651" s="2">
        <v>6.0</v>
      </c>
      <c r="J2651" s="2">
        <v>2.0</v>
      </c>
      <c r="K2651" s="2">
        <v>0.0</v>
      </c>
      <c r="L2651" s="2">
        <v>0.0</v>
      </c>
      <c r="M2651" s="2">
        <v>0.0</v>
      </c>
      <c r="N2651" s="2">
        <v>0.0</v>
      </c>
      <c r="O2651" s="2">
        <v>-27.0</v>
      </c>
      <c r="P2651" s="2" t="s">
        <v>146</v>
      </c>
    </row>
    <row r="2652">
      <c r="A2652" s="3" t="s">
        <v>66</v>
      </c>
      <c r="B2652" s="4">
        <v>45171.29166666667</v>
      </c>
      <c r="C2652" s="2" t="s">
        <v>18</v>
      </c>
      <c r="D2652" s="2" t="s">
        <v>19</v>
      </c>
      <c r="E2652" s="2" t="s">
        <v>353</v>
      </c>
      <c r="F2652" s="2"/>
      <c r="G2652" s="2">
        <v>16.0</v>
      </c>
      <c r="H2652" s="2">
        <v>12.0</v>
      </c>
      <c r="I2652" s="2">
        <v>2.0</v>
      </c>
      <c r="J2652" s="2">
        <v>2.0</v>
      </c>
      <c r="K2652" s="2">
        <v>0.0</v>
      </c>
      <c r="L2652" s="2">
        <v>0.0</v>
      </c>
      <c r="M2652" s="2"/>
      <c r="N2652" s="2"/>
      <c r="O2652" s="2"/>
      <c r="P2652" s="2" t="s">
        <v>146</v>
      </c>
    </row>
    <row r="2653">
      <c r="A2653" s="3" t="s">
        <v>68</v>
      </c>
      <c r="B2653" s="4">
        <v>45172.29166666667</v>
      </c>
      <c r="C2653" s="2" t="s">
        <v>18</v>
      </c>
      <c r="D2653" s="2" t="s">
        <v>19</v>
      </c>
      <c r="E2653" s="2" t="s">
        <v>354</v>
      </c>
      <c r="F2653" s="2"/>
      <c r="G2653" s="2">
        <v>35.0</v>
      </c>
      <c r="H2653" s="2">
        <v>27.0</v>
      </c>
      <c r="I2653" s="2">
        <v>6.0</v>
      </c>
      <c r="J2653" s="2">
        <v>2.0</v>
      </c>
      <c r="K2653" s="2">
        <v>0.0</v>
      </c>
      <c r="L2653" s="2">
        <v>0.0</v>
      </c>
      <c r="M2653" s="2"/>
      <c r="N2653" s="2"/>
      <c r="O2653" s="2"/>
      <c r="P2653" s="2" t="s">
        <v>146</v>
      </c>
    </row>
    <row r="2654">
      <c r="A2654" s="3" t="s">
        <v>70</v>
      </c>
      <c r="B2654" s="4">
        <v>45202.29166666667</v>
      </c>
      <c r="C2654" s="2" t="s">
        <v>18</v>
      </c>
      <c r="D2654" s="2" t="s">
        <v>19</v>
      </c>
      <c r="E2654" s="2" t="s">
        <v>353</v>
      </c>
      <c r="F2654" s="2"/>
      <c r="G2654" s="2">
        <v>16.0</v>
      </c>
      <c r="H2654" s="2">
        <v>11.0</v>
      </c>
      <c r="I2654" s="2">
        <v>5.0</v>
      </c>
      <c r="J2654" s="2">
        <v>0.0</v>
      </c>
      <c r="K2654" s="2">
        <v>0.0</v>
      </c>
      <c r="L2654" s="2">
        <v>0.0</v>
      </c>
      <c r="M2654" s="2"/>
      <c r="N2654" s="2"/>
      <c r="O2654" s="2"/>
      <c r="P2654" s="2" t="s">
        <v>146</v>
      </c>
    </row>
    <row r="2655">
      <c r="A2655" s="3" t="s">
        <v>16</v>
      </c>
      <c r="B2655" s="4">
        <v>45202.29166666667</v>
      </c>
      <c r="C2655" s="2" t="s">
        <v>18</v>
      </c>
      <c r="D2655" s="2" t="s">
        <v>19</v>
      </c>
      <c r="E2655" s="2" t="s">
        <v>354</v>
      </c>
      <c r="F2655" s="2"/>
      <c r="G2655" s="2">
        <v>0.0</v>
      </c>
      <c r="H2655" s="2">
        <v>0.0</v>
      </c>
      <c r="I2655" s="2">
        <v>0.0</v>
      </c>
      <c r="J2655" s="2">
        <v>0.0</v>
      </c>
      <c r="K2655" s="2">
        <v>0.0</v>
      </c>
      <c r="L2655" s="2">
        <v>0.0</v>
      </c>
      <c r="M2655" s="2"/>
      <c r="N2655" s="2"/>
      <c r="O2655" s="2"/>
      <c r="P2655" s="2" t="s">
        <v>146</v>
      </c>
    </row>
    <row r="2656">
      <c r="A2656" s="3" t="s">
        <v>71</v>
      </c>
      <c r="B2656" s="2" t="s">
        <v>17</v>
      </c>
      <c r="C2656" s="2" t="s">
        <v>18</v>
      </c>
      <c r="D2656" s="2" t="s">
        <v>109</v>
      </c>
      <c r="E2656" s="2" t="s">
        <v>194</v>
      </c>
      <c r="F2656" s="2">
        <v>18.0</v>
      </c>
      <c r="G2656" s="2">
        <v>26.0</v>
      </c>
      <c r="H2656" s="2">
        <v>10.0</v>
      </c>
      <c r="I2656" s="2">
        <v>16.0</v>
      </c>
      <c r="J2656" s="2">
        <v>0.0</v>
      </c>
      <c r="K2656" s="2">
        <v>0.0</v>
      </c>
      <c r="L2656" s="2">
        <v>0.0</v>
      </c>
      <c r="M2656" s="2">
        <v>8.0</v>
      </c>
      <c r="N2656" s="2"/>
      <c r="O2656" s="2"/>
      <c r="P2656" s="2" t="s">
        <v>166</v>
      </c>
    </row>
    <row r="2657">
      <c r="A2657" s="3" t="s">
        <v>72</v>
      </c>
      <c r="B2657" s="2" t="s">
        <v>17</v>
      </c>
      <c r="C2657" s="2" t="s">
        <v>18</v>
      </c>
      <c r="D2657" s="2" t="s">
        <v>33</v>
      </c>
      <c r="E2657" s="2" t="s">
        <v>194</v>
      </c>
      <c r="F2657" s="2">
        <v>17.0</v>
      </c>
      <c r="G2657" s="2">
        <v>27.0</v>
      </c>
      <c r="H2657" s="2">
        <v>14.0</v>
      </c>
      <c r="I2657" s="2">
        <v>13.0</v>
      </c>
      <c r="J2657" s="2">
        <v>0.0</v>
      </c>
      <c r="K2657" s="2">
        <v>0.0</v>
      </c>
      <c r="L2657" s="2">
        <v>0.0</v>
      </c>
      <c r="M2657" s="2">
        <v>3.0</v>
      </c>
      <c r="N2657" s="2"/>
      <c r="O2657" s="2"/>
      <c r="P2657" s="2" t="s">
        <v>166</v>
      </c>
    </row>
    <row r="2658">
      <c r="A2658" s="3" t="s">
        <v>73</v>
      </c>
      <c r="B2658" s="2" t="s">
        <v>17</v>
      </c>
      <c r="C2658" s="2" t="s">
        <v>18</v>
      </c>
      <c r="D2658" s="2" t="s">
        <v>23</v>
      </c>
      <c r="E2658" s="2" t="s">
        <v>194</v>
      </c>
      <c r="F2658" s="2">
        <v>35.0</v>
      </c>
      <c r="G2658" s="2">
        <v>53.0</v>
      </c>
      <c r="H2658" s="2">
        <v>24.0</v>
      </c>
      <c r="I2658" s="2">
        <v>29.0</v>
      </c>
      <c r="J2658" s="2">
        <v>0.0</v>
      </c>
      <c r="K2658" s="2">
        <v>0.0</v>
      </c>
      <c r="L2658" s="2">
        <v>0.0</v>
      </c>
      <c r="M2658" s="2">
        <v>11.0</v>
      </c>
      <c r="N2658" s="2">
        <v>0.0</v>
      </c>
      <c r="O2658" s="2">
        <v>-13.0</v>
      </c>
      <c r="P2658" s="2" t="s">
        <v>166</v>
      </c>
    </row>
    <row r="2659">
      <c r="A2659" s="3" t="s">
        <v>74</v>
      </c>
      <c r="B2659" s="4">
        <v>45171.29166666667</v>
      </c>
      <c r="C2659" s="2" t="s">
        <v>18</v>
      </c>
      <c r="D2659" s="2" t="s">
        <v>109</v>
      </c>
      <c r="E2659" s="2" t="s">
        <v>194</v>
      </c>
      <c r="F2659" s="2"/>
      <c r="G2659" s="2">
        <v>14.0</v>
      </c>
      <c r="H2659" s="2">
        <v>3.0</v>
      </c>
      <c r="I2659" s="2">
        <v>11.0</v>
      </c>
      <c r="J2659" s="2">
        <v>0.0</v>
      </c>
      <c r="K2659" s="2">
        <v>0.0</v>
      </c>
      <c r="L2659" s="2">
        <v>0.0</v>
      </c>
      <c r="M2659" s="2"/>
      <c r="N2659" s="2"/>
      <c r="O2659" s="2"/>
      <c r="P2659" s="2" t="s">
        <v>166</v>
      </c>
    </row>
    <row r="2660">
      <c r="A2660" s="3" t="s">
        <v>75</v>
      </c>
      <c r="B2660" s="4">
        <v>45172.29166666667</v>
      </c>
      <c r="C2660" s="2" t="s">
        <v>18</v>
      </c>
      <c r="D2660" s="2" t="s">
        <v>33</v>
      </c>
      <c r="E2660" s="2" t="s">
        <v>194</v>
      </c>
      <c r="F2660" s="2"/>
      <c r="G2660" s="2">
        <v>20.0</v>
      </c>
      <c r="H2660" s="2">
        <v>10.0</v>
      </c>
      <c r="I2660" s="2">
        <v>10.0</v>
      </c>
      <c r="J2660" s="2">
        <v>0.0</v>
      </c>
      <c r="K2660" s="2">
        <v>0.0</v>
      </c>
      <c r="L2660" s="2">
        <v>0.0</v>
      </c>
      <c r="M2660" s="2"/>
      <c r="N2660" s="2"/>
      <c r="O2660" s="2"/>
      <c r="P2660" s="2" t="s">
        <v>166</v>
      </c>
    </row>
    <row r="2661">
      <c r="A2661" s="3" t="s">
        <v>76</v>
      </c>
      <c r="B2661" s="4">
        <v>45200.29166666667</v>
      </c>
      <c r="C2661" s="2" t="s">
        <v>18</v>
      </c>
      <c r="D2661" s="2" t="s">
        <v>109</v>
      </c>
      <c r="E2661" s="2" t="s">
        <v>194</v>
      </c>
      <c r="F2661" s="2"/>
      <c r="G2661" s="2">
        <v>12.0</v>
      </c>
      <c r="H2661" s="2">
        <v>7.0</v>
      </c>
      <c r="I2661" s="2">
        <v>5.0</v>
      </c>
      <c r="J2661" s="2">
        <v>0.0</v>
      </c>
      <c r="K2661" s="2">
        <v>0.0</v>
      </c>
      <c r="L2661" s="2">
        <v>0.0</v>
      </c>
      <c r="M2661" s="2"/>
      <c r="N2661" s="2"/>
      <c r="O2661" s="2"/>
      <c r="P2661" s="2" t="s">
        <v>166</v>
      </c>
    </row>
    <row r="2662">
      <c r="A2662" s="3" t="s">
        <v>77</v>
      </c>
      <c r="B2662" s="4">
        <v>45201.29166666667</v>
      </c>
      <c r="C2662" s="2" t="s">
        <v>18</v>
      </c>
      <c r="D2662" s="2" t="s">
        <v>33</v>
      </c>
      <c r="E2662" s="2" t="s">
        <v>194</v>
      </c>
      <c r="F2662" s="2"/>
      <c r="G2662" s="2">
        <v>7.0</v>
      </c>
      <c r="H2662" s="2">
        <v>4.0</v>
      </c>
      <c r="I2662" s="2">
        <v>3.0</v>
      </c>
      <c r="J2662" s="2">
        <v>0.0</v>
      </c>
      <c r="K2662" s="2">
        <v>0.0</v>
      </c>
      <c r="L2662" s="2">
        <v>0.0</v>
      </c>
      <c r="M2662" s="2"/>
      <c r="N2662" s="2"/>
      <c r="O2662" s="2"/>
      <c r="P2662" s="2" t="s">
        <v>166</v>
      </c>
    </row>
    <row r="2663">
      <c r="A2663" s="3" t="s">
        <v>78</v>
      </c>
      <c r="B2663" s="2" t="s">
        <v>17</v>
      </c>
      <c r="C2663" s="2" t="s">
        <v>18</v>
      </c>
      <c r="D2663" s="2" t="s">
        <v>164</v>
      </c>
      <c r="E2663" s="2" t="s">
        <v>165</v>
      </c>
      <c r="F2663" s="2">
        <v>100.0</v>
      </c>
      <c r="G2663" s="2">
        <v>146.0</v>
      </c>
      <c r="H2663" s="2">
        <v>77.0</v>
      </c>
      <c r="I2663" s="2">
        <v>69.0</v>
      </c>
      <c r="J2663" s="2">
        <v>0.0</v>
      </c>
      <c r="K2663" s="2">
        <v>0.0</v>
      </c>
      <c r="L2663" s="2">
        <v>0.0</v>
      </c>
      <c r="M2663" s="2">
        <v>23.0</v>
      </c>
      <c r="N2663" s="2"/>
      <c r="O2663" s="2"/>
      <c r="P2663" s="2" t="s">
        <v>166</v>
      </c>
    </row>
    <row r="2664">
      <c r="A2664" s="3" t="s">
        <v>81</v>
      </c>
      <c r="B2664" s="2" t="s">
        <v>17</v>
      </c>
      <c r="C2664" s="2" t="s">
        <v>18</v>
      </c>
      <c r="D2664" s="2" t="s">
        <v>23</v>
      </c>
      <c r="E2664" s="2" t="s">
        <v>165</v>
      </c>
      <c r="F2664" s="2">
        <v>100.0</v>
      </c>
      <c r="G2664" s="2">
        <v>146.0</v>
      </c>
      <c r="H2664" s="2">
        <v>77.0</v>
      </c>
      <c r="I2664" s="2">
        <v>69.0</v>
      </c>
      <c r="J2664" s="2">
        <v>0.0</v>
      </c>
      <c r="K2664" s="2">
        <v>0.0</v>
      </c>
      <c r="L2664" s="2">
        <v>0.0</v>
      </c>
      <c r="M2664" s="2">
        <v>23.0</v>
      </c>
      <c r="N2664" s="2">
        <v>0.0</v>
      </c>
      <c r="O2664" s="2">
        <v>-54.0</v>
      </c>
      <c r="P2664" s="2" t="s">
        <v>166</v>
      </c>
    </row>
    <row r="2665">
      <c r="A2665" s="3" t="s">
        <v>82</v>
      </c>
      <c r="B2665" s="4">
        <v>45201.29166666667</v>
      </c>
      <c r="C2665" s="2" t="s">
        <v>18</v>
      </c>
      <c r="D2665" s="2" t="s">
        <v>164</v>
      </c>
      <c r="E2665" s="2" t="s">
        <v>165</v>
      </c>
      <c r="F2665" s="2"/>
      <c r="G2665" s="2">
        <v>146.0</v>
      </c>
      <c r="H2665" s="2">
        <v>77.0</v>
      </c>
      <c r="I2665" s="2">
        <v>69.0</v>
      </c>
      <c r="J2665" s="2">
        <v>0.0</v>
      </c>
      <c r="K2665" s="2">
        <v>0.0</v>
      </c>
      <c r="L2665" s="2">
        <v>0.0</v>
      </c>
      <c r="M2665" s="2"/>
      <c r="N2665" s="2"/>
      <c r="O2665" s="2"/>
      <c r="P2665" s="2" t="s">
        <v>166</v>
      </c>
    </row>
    <row r="2666">
      <c r="A2666" s="3" t="s">
        <v>83</v>
      </c>
      <c r="B2666" s="2" t="s">
        <v>17</v>
      </c>
      <c r="C2666" s="2" t="s">
        <v>18</v>
      </c>
      <c r="D2666" s="2" t="s">
        <v>164</v>
      </c>
      <c r="E2666" s="2" t="s">
        <v>165</v>
      </c>
      <c r="F2666" s="2">
        <v>91.0</v>
      </c>
      <c r="G2666" s="2">
        <v>192.0</v>
      </c>
      <c r="H2666" s="2">
        <v>94.0</v>
      </c>
      <c r="I2666" s="2">
        <v>98.0</v>
      </c>
      <c r="J2666" s="2">
        <v>0.0</v>
      </c>
      <c r="K2666" s="2">
        <v>0.0</v>
      </c>
      <c r="L2666" s="2">
        <v>0.0</v>
      </c>
      <c r="M2666" s="2">
        <v>-3.0</v>
      </c>
      <c r="N2666" s="2"/>
      <c r="O2666" s="2"/>
      <c r="P2666" s="2" t="s">
        <v>166</v>
      </c>
    </row>
    <row r="2667">
      <c r="A2667" s="3" t="s">
        <v>84</v>
      </c>
      <c r="B2667" s="2" t="s">
        <v>17</v>
      </c>
      <c r="C2667" s="2" t="s">
        <v>18</v>
      </c>
      <c r="D2667" s="2" t="s">
        <v>23</v>
      </c>
      <c r="E2667" s="2" t="s">
        <v>165</v>
      </c>
      <c r="F2667" s="2">
        <v>91.0</v>
      </c>
      <c r="G2667" s="2">
        <v>192.0</v>
      </c>
      <c r="H2667" s="2">
        <v>94.0</v>
      </c>
      <c r="I2667" s="2">
        <v>98.0</v>
      </c>
      <c r="J2667" s="2">
        <v>0.0</v>
      </c>
      <c r="K2667" s="2">
        <v>0.0</v>
      </c>
      <c r="L2667" s="2">
        <v>0.0</v>
      </c>
      <c r="M2667" s="2">
        <v>-3.0</v>
      </c>
      <c r="N2667" s="2">
        <v>0.0</v>
      </c>
      <c r="O2667" s="2">
        <v>-97.0</v>
      </c>
      <c r="P2667" s="2" t="s">
        <v>166</v>
      </c>
    </row>
    <row r="2668">
      <c r="A2668" s="3" t="s">
        <v>85</v>
      </c>
      <c r="B2668" s="4">
        <v>45171.29166666667</v>
      </c>
      <c r="C2668" s="2" t="s">
        <v>18</v>
      </c>
      <c r="D2668" s="2" t="s">
        <v>164</v>
      </c>
      <c r="E2668" s="2" t="s">
        <v>165</v>
      </c>
      <c r="F2668" s="2"/>
      <c r="G2668" s="2">
        <v>61.0</v>
      </c>
      <c r="H2668" s="2">
        <v>42.0</v>
      </c>
      <c r="I2668" s="2">
        <v>19.0</v>
      </c>
      <c r="J2668" s="2">
        <v>0.0</v>
      </c>
      <c r="K2668" s="2">
        <v>0.0</v>
      </c>
      <c r="L2668" s="2">
        <v>0.0</v>
      </c>
      <c r="M2668" s="2"/>
      <c r="N2668" s="2"/>
      <c r="O2668" s="2"/>
      <c r="P2668" s="2" t="s">
        <v>166</v>
      </c>
    </row>
    <row r="2669">
      <c r="A2669" s="3" t="s">
        <v>86</v>
      </c>
      <c r="B2669" s="4">
        <v>45200.29166666667</v>
      </c>
      <c r="C2669" s="2" t="s">
        <v>18</v>
      </c>
      <c r="D2669" s="2" t="s">
        <v>164</v>
      </c>
      <c r="E2669" s="2" t="s">
        <v>165</v>
      </c>
      <c r="F2669" s="2"/>
      <c r="G2669" s="2">
        <v>131.0</v>
      </c>
      <c r="H2669" s="2">
        <v>52.0</v>
      </c>
      <c r="I2669" s="2">
        <v>79.0</v>
      </c>
      <c r="J2669" s="2">
        <v>0.0</v>
      </c>
      <c r="K2669" s="2">
        <v>0.0</v>
      </c>
      <c r="L2669" s="2">
        <v>0.0</v>
      </c>
      <c r="M2669" s="2"/>
      <c r="N2669" s="2"/>
      <c r="O2669" s="2"/>
      <c r="P2669" s="2" t="s">
        <v>166</v>
      </c>
    </row>
    <row r="2670">
      <c r="A2670" s="3" t="s">
        <v>87</v>
      </c>
      <c r="B2670" s="2" t="s">
        <v>17</v>
      </c>
      <c r="C2670" s="2" t="s">
        <v>18</v>
      </c>
      <c r="D2670" s="2" t="s">
        <v>19</v>
      </c>
      <c r="E2670" s="2" t="s">
        <v>147</v>
      </c>
      <c r="F2670" s="2">
        <v>71.0</v>
      </c>
      <c r="G2670" s="2">
        <v>104.0</v>
      </c>
      <c r="H2670" s="2">
        <v>65.0</v>
      </c>
      <c r="I2670" s="2">
        <v>32.0</v>
      </c>
      <c r="J2670" s="2">
        <v>7.0</v>
      </c>
      <c r="K2670" s="2">
        <v>0.0</v>
      </c>
      <c r="L2670" s="2">
        <v>0.0</v>
      </c>
      <c r="M2670" s="2">
        <v>6.0</v>
      </c>
      <c r="N2670" s="2"/>
      <c r="O2670" s="2"/>
      <c r="P2670" s="2" t="s">
        <v>146</v>
      </c>
    </row>
    <row r="2671">
      <c r="A2671" s="3" t="s">
        <v>88</v>
      </c>
      <c r="B2671" s="2" t="s">
        <v>17</v>
      </c>
      <c r="C2671" s="2" t="s">
        <v>18</v>
      </c>
      <c r="D2671" s="2" t="s">
        <v>23</v>
      </c>
      <c r="E2671" s="2" t="s">
        <v>147</v>
      </c>
      <c r="F2671" s="2">
        <v>71.0</v>
      </c>
      <c r="G2671" s="2">
        <v>104.0</v>
      </c>
      <c r="H2671" s="2">
        <v>65.0</v>
      </c>
      <c r="I2671" s="2">
        <v>32.0</v>
      </c>
      <c r="J2671" s="2">
        <v>7.0</v>
      </c>
      <c r="K2671" s="2">
        <v>0.0</v>
      </c>
      <c r="L2671" s="2">
        <v>0.0</v>
      </c>
      <c r="M2671" s="2">
        <v>6.0</v>
      </c>
      <c r="N2671" s="2">
        <v>0.0</v>
      </c>
      <c r="O2671" s="2">
        <v>-59.0</v>
      </c>
      <c r="P2671" s="2" t="s">
        <v>146</v>
      </c>
    </row>
    <row r="2672">
      <c r="A2672" s="3" t="s">
        <v>89</v>
      </c>
      <c r="B2672" s="4">
        <v>45079.29166666667</v>
      </c>
      <c r="C2672" s="2" t="s">
        <v>18</v>
      </c>
      <c r="D2672" s="2" t="s">
        <v>19</v>
      </c>
      <c r="E2672" s="2" t="s">
        <v>147</v>
      </c>
      <c r="F2672" s="2"/>
      <c r="G2672" s="2">
        <v>104.0</v>
      </c>
      <c r="H2672" s="2">
        <v>65.0</v>
      </c>
      <c r="I2672" s="2">
        <v>32.0</v>
      </c>
      <c r="J2672" s="2">
        <v>7.0</v>
      </c>
      <c r="K2672" s="2">
        <v>0.0</v>
      </c>
      <c r="L2672" s="2">
        <v>0.0</v>
      </c>
      <c r="M2672" s="2"/>
      <c r="N2672" s="2"/>
      <c r="O2672" s="2"/>
      <c r="P2672" s="2" t="s">
        <v>146</v>
      </c>
    </row>
    <row r="2673">
      <c r="A2673" s="3" t="s">
        <v>90</v>
      </c>
      <c r="B2673" s="2" t="s">
        <v>17</v>
      </c>
      <c r="C2673" s="2" t="s">
        <v>18</v>
      </c>
      <c r="D2673" s="2" t="s">
        <v>109</v>
      </c>
      <c r="E2673" s="2" t="s">
        <v>314</v>
      </c>
      <c r="F2673" s="2">
        <v>7.0</v>
      </c>
      <c r="G2673" s="2">
        <v>8.0</v>
      </c>
      <c r="H2673" s="2">
        <v>2.0</v>
      </c>
      <c r="I2673" s="2">
        <v>6.0</v>
      </c>
      <c r="J2673" s="2">
        <v>0.0</v>
      </c>
      <c r="K2673" s="2">
        <v>0.0</v>
      </c>
      <c r="L2673" s="2">
        <v>0.0</v>
      </c>
      <c r="M2673" s="2">
        <v>5.0</v>
      </c>
      <c r="N2673" s="2"/>
      <c r="O2673" s="2"/>
      <c r="P2673" s="2" t="s">
        <v>166</v>
      </c>
    </row>
    <row r="2674">
      <c r="A2674" s="3" t="s">
        <v>93</v>
      </c>
      <c r="B2674" s="2" t="s">
        <v>17</v>
      </c>
      <c r="C2674" s="2" t="s">
        <v>18</v>
      </c>
      <c r="D2674" s="2" t="s">
        <v>23</v>
      </c>
      <c r="E2674" s="2" t="s">
        <v>314</v>
      </c>
      <c r="F2674" s="2">
        <v>36.0</v>
      </c>
      <c r="G2674" s="2">
        <v>8.0</v>
      </c>
      <c r="H2674" s="2">
        <v>2.0</v>
      </c>
      <c r="I2674" s="2">
        <v>6.0</v>
      </c>
      <c r="J2674" s="2">
        <v>0.0</v>
      </c>
      <c r="K2674" s="2">
        <v>0.0</v>
      </c>
      <c r="L2674" s="2">
        <v>0.0</v>
      </c>
      <c r="M2674" s="2">
        <v>34.0</v>
      </c>
      <c r="N2674" s="2">
        <v>29.0</v>
      </c>
      <c r="O2674" s="2">
        <v>32.0</v>
      </c>
      <c r="P2674" s="2" t="s">
        <v>166</v>
      </c>
    </row>
    <row r="2675">
      <c r="A2675" s="3" t="s">
        <v>16</v>
      </c>
      <c r="B2675" s="4">
        <v>45201.29166666667</v>
      </c>
      <c r="C2675" s="2" t="s">
        <v>18</v>
      </c>
      <c r="D2675" s="2" t="s">
        <v>109</v>
      </c>
      <c r="E2675" s="2" t="s">
        <v>314</v>
      </c>
      <c r="F2675" s="2"/>
      <c r="G2675" s="2">
        <v>8.0</v>
      </c>
      <c r="H2675" s="2">
        <v>2.0</v>
      </c>
      <c r="I2675" s="2">
        <v>6.0</v>
      </c>
      <c r="J2675" s="2">
        <v>0.0</v>
      </c>
      <c r="K2675" s="2">
        <v>0.0</v>
      </c>
      <c r="L2675" s="2">
        <v>0.0</v>
      </c>
      <c r="M2675" s="2"/>
      <c r="N2675" s="2"/>
      <c r="O2675" s="2"/>
      <c r="P2675" s="2" t="s">
        <v>166</v>
      </c>
    </row>
    <row r="2676">
      <c r="A2676" s="3" t="s">
        <v>94</v>
      </c>
      <c r="B2676" s="2" t="s">
        <v>17</v>
      </c>
      <c r="C2676" s="2" t="s">
        <v>18</v>
      </c>
      <c r="D2676" s="2" t="s">
        <v>91</v>
      </c>
      <c r="E2676" s="2" t="s">
        <v>27</v>
      </c>
      <c r="F2676" s="2">
        <v>13.0</v>
      </c>
      <c r="G2676" s="2">
        <v>16.0</v>
      </c>
      <c r="H2676" s="2">
        <v>13.0</v>
      </c>
      <c r="I2676" s="2">
        <v>3.0</v>
      </c>
      <c r="J2676" s="2">
        <v>0.0</v>
      </c>
      <c r="K2676" s="2">
        <v>0.0</v>
      </c>
      <c r="L2676" s="2">
        <v>0.0</v>
      </c>
      <c r="M2676" s="2">
        <v>0.0</v>
      </c>
      <c r="N2676" s="2"/>
      <c r="O2676" s="2"/>
      <c r="P2676" s="2" t="s">
        <v>146</v>
      </c>
    </row>
    <row r="2677">
      <c r="A2677" s="3" t="s">
        <v>95</v>
      </c>
      <c r="B2677" s="2" t="s">
        <v>17</v>
      </c>
      <c r="C2677" s="2" t="s">
        <v>18</v>
      </c>
      <c r="D2677" s="2" t="s">
        <v>23</v>
      </c>
      <c r="E2677" s="2" t="s">
        <v>27</v>
      </c>
      <c r="F2677" s="2">
        <v>13.0</v>
      </c>
      <c r="G2677" s="2">
        <v>16.0</v>
      </c>
      <c r="H2677" s="2">
        <v>13.0</v>
      </c>
      <c r="I2677" s="2">
        <v>3.0</v>
      </c>
      <c r="J2677" s="2">
        <v>0.0</v>
      </c>
      <c r="K2677" s="2">
        <v>0.0</v>
      </c>
      <c r="L2677" s="2">
        <v>0.0</v>
      </c>
      <c r="M2677" s="2">
        <v>0.0</v>
      </c>
      <c r="N2677" s="2">
        <v>0.0</v>
      </c>
      <c r="O2677" s="2">
        <v>-13.0</v>
      </c>
      <c r="P2677" s="2" t="s">
        <v>146</v>
      </c>
    </row>
    <row r="2678">
      <c r="A2678" s="3" t="s">
        <v>97</v>
      </c>
      <c r="B2678" s="4">
        <v>45171.29166666667</v>
      </c>
      <c r="C2678" s="2" t="s">
        <v>18</v>
      </c>
      <c r="D2678" s="2" t="s">
        <v>91</v>
      </c>
      <c r="E2678" s="2" t="s">
        <v>27</v>
      </c>
      <c r="F2678" s="2"/>
      <c r="G2678" s="2">
        <v>2.0</v>
      </c>
      <c r="H2678" s="2">
        <v>1.0</v>
      </c>
      <c r="I2678" s="2">
        <v>1.0</v>
      </c>
      <c r="J2678" s="2">
        <v>0.0</v>
      </c>
      <c r="K2678" s="2">
        <v>0.0</v>
      </c>
      <c r="L2678" s="2">
        <v>0.0</v>
      </c>
      <c r="M2678" s="2"/>
      <c r="N2678" s="2"/>
      <c r="O2678" s="2"/>
      <c r="P2678" s="2" t="s">
        <v>146</v>
      </c>
    </row>
    <row r="2679">
      <c r="A2679" s="3" t="s">
        <v>98</v>
      </c>
      <c r="B2679" s="4">
        <v>45202.29166666667</v>
      </c>
      <c r="C2679" s="2" t="s">
        <v>18</v>
      </c>
      <c r="D2679" s="2" t="s">
        <v>91</v>
      </c>
      <c r="E2679" s="2" t="s">
        <v>27</v>
      </c>
      <c r="F2679" s="2"/>
      <c r="G2679" s="2">
        <v>14.0</v>
      </c>
      <c r="H2679" s="2">
        <v>12.0</v>
      </c>
      <c r="I2679" s="2">
        <v>2.0</v>
      </c>
      <c r="J2679" s="2">
        <v>0.0</v>
      </c>
      <c r="K2679" s="2">
        <v>0.0</v>
      </c>
      <c r="L2679" s="2">
        <v>0.0</v>
      </c>
      <c r="M2679" s="2"/>
      <c r="N2679" s="2"/>
      <c r="O2679" s="2"/>
      <c r="P2679" s="2" t="s">
        <v>146</v>
      </c>
    </row>
    <row r="2680">
      <c r="A2680" s="3" t="s">
        <v>99</v>
      </c>
      <c r="B2680" s="2" t="s">
        <v>17</v>
      </c>
      <c r="C2680" s="2" t="s">
        <v>18</v>
      </c>
      <c r="D2680" s="2" t="s">
        <v>19</v>
      </c>
      <c r="E2680" s="2" t="s">
        <v>250</v>
      </c>
      <c r="F2680" s="2">
        <v>35.0</v>
      </c>
      <c r="G2680" s="2">
        <v>46.0</v>
      </c>
      <c r="H2680" s="2">
        <v>33.0</v>
      </c>
      <c r="I2680" s="2">
        <v>13.0</v>
      </c>
      <c r="J2680" s="2">
        <v>0.0</v>
      </c>
      <c r="K2680" s="2">
        <v>0.0</v>
      </c>
      <c r="L2680" s="2">
        <v>0.0</v>
      </c>
      <c r="M2680" s="2">
        <v>2.0</v>
      </c>
      <c r="N2680" s="2"/>
      <c r="O2680" s="2"/>
      <c r="P2680" s="2" t="s">
        <v>92</v>
      </c>
    </row>
    <row r="2681">
      <c r="A2681" s="3" t="s">
        <v>100</v>
      </c>
      <c r="B2681" s="2" t="s">
        <v>17</v>
      </c>
      <c r="C2681" s="2" t="s">
        <v>18</v>
      </c>
      <c r="D2681" s="2" t="s">
        <v>23</v>
      </c>
      <c r="E2681" s="2" t="s">
        <v>250</v>
      </c>
      <c r="F2681" s="2">
        <v>35.0</v>
      </c>
      <c r="G2681" s="2">
        <v>46.0</v>
      </c>
      <c r="H2681" s="2">
        <v>33.0</v>
      </c>
      <c r="I2681" s="2">
        <v>13.0</v>
      </c>
      <c r="J2681" s="2">
        <v>0.0</v>
      </c>
      <c r="K2681" s="2">
        <v>0.0</v>
      </c>
      <c r="L2681" s="2">
        <v>0.0</v>
      </c>
      <c r="M2681" s="2">
        <v>2.0</v>
      </c>
      <c r="N2681" s="2">
        <v>0.0</v>
      </c>
      <c r="O2681" s="2">
        <v>-31.0</v>
      </c>
      <c r="P2681" s="2" t="s">
        <v>92</v>
      </c>
    </row>
    <row r="2682">
      <c r="A2682" s="3" t="s">
        <v>101</v>
      </c>
      <c r="B2682" s="4">
        <v>45171.29166666667</v>
      </c>
      <c r="C2682" s="2" t="s">
        <v>18</v>
      </c>
      <c r="D2682" s="2" t="s">
        <v>19</v>
      </c>
      <c r="E2682" s="2" t="s">
        <v>250</v>
      </c>
      <c r="F2682" s="2"/>
      <c r="G2682" s="2">
        <v>14.0</v>
      </c>
      <c r="H2682" s="2">
        <v>10.0</v>
      </c>
      <c r="I2682" s="2">
        <v>4.0</v>
      </c>
      <c r="J2682" s="2">
        <v>0.0</v>
      </c>
      <c r="K2682" s="2">
        <v>0.0</v>
      </c>
      <c r="L2682" s="2">
        <v>0.0</v>
      </c>
      <c r="M2682" s="2"/>
      <c r="N2682" s="2"/>
      <c r="O2682" s="2"/>
      <c r="P2682" s="2" t="s">
        <v>92</v>
      </c>
    </row>
    <row r="2683">
      <c r="A2683" s="3" t="s">
        <v>102</v>
      </c>
      <c r="B2683" s="4">
        <v>45202.29166666667</v>
      </c>
      <c r="C2683" s="2" t="s">
        <v>18</v>
      </c>
      <c r="D2683" s="2" t="s">
        <v>19</v>
      </c>
      <c r="E2683" s="2" t="s">
        <v>250</v>
      </c>
      <c r="F2683" s="2"/>
      <c r="G2683" s="2">
        <v>32.0</v>
      </c>
      <c r="H2683" s="2">
        <v>23.0</v>
      </c>
      <c r="I2683" s="2">
        <v>9.0</v>
      </c>
      <c r="J2683" s="2">
        <v>0.0</v>
      </c>
      <c r="K2683" s="2">
        <v>0.0</v>
      </c>
      <c r="L2683" s="2">
        <v>0.0</v>
      </c>
      <c r="M2683" s="2"/>
      <c r="N2683" s="2"/>
      <c r="O2683" s="2"/>
      <c r="P2683" s="2" t="s">
        <v>92</v>
      </c>
    </row>
    <row r="2684">
      <c r="A2684" s="3" t="s">
        <v>103</v>
      </c>
      <c r="B2684" s="2" t="s">
        <v>17</v>
      </c>
      <c r="C2684" s="2" t="s">
        <v>18</v>
      </c>
      <c r="D2684" s="2" t="s">
        <v>164</v>
      </c>
      <c r="E2684" s="2" t="s">
        <v>165</v>
      </c>
      <c r="F2684" s="2">
        <v>50.0</v>
      </c>
      <c r="G2684" s="2">
        <v>43.0</v>
      </c>
      <c r="H2684" s="2">
        <v>17.0</v>
      </c>
      <c r="I2684" s="2">
        <v>26.0</v>
      </c>
      <c r="J2684" s="2">
        <v>0.0</v>
      </c>
      <c r="K2684" s="2">
        <v>0.0</v>
      </c>
      <c r="L2684" s="2">
        <v>0.0</v>
      </c>
      <c r="M2684" s="2">
        <v>33.0</v>
      </c>
      <c r="N2684" s="2"/>
      <c r="O2684" s="2"/>
      <c r="P2684" s="2" t="s">
        <v>166</v>
      </c>
    </row>
    <row r="2685">
      <c r="A2685" s="3" t="s">
        <v>104</v>
      </c>
      <c r="B2685" s="2" t="s">
        <v>17</v>
      </c>
      <c r="C2685" s="2" t="s">
        <v>18</v>
      </c>
      <c r="D2685" s="2" t="s">
        <v>23</v>
      </c>
      <c r="E2685" s="2" t="s">
        <v>165</v>
      </c>
      <c r="F2685" s="2">
        <v>50.0</v>
      </c>
      <c r="G2685" s="2">
        <v>43.0</v>
      </c>
      <c r="H2685" s="2">
        <v>17.0</v>
      </c>
      <c r="I2685" s="2">
        <v>26.0</v>
      </c>
      <c r="J2685" s="2">
        <v>0.0</v>
      </c>
      <c r="K2685" s="2">
        <v>0.0</v>
      </c>
      <c r="L2685" s="2">
        <v>0.0</v>
      </c>
      <c r="M2685" s="2">
        <v>33.0</v>
      </c>
      <c r="N2685" s="2">
        <v>0.0</v>
      </c>
      <c r="O2685" s="2">
        <v>16.0</v>
      </c>
      <c r="P2685" s="2" t="s">
        <v>166</v>
      </c>
    </row>
    <row r="2686">
      <c r="A2686" s="3" t="s">
        <v>105</v>
      </c>
      <c r="B2686" s="4">
        <v>45201.29166666667</v>
      </c>
      <c r="C2686" s="2" t="s">
        <v>18</v>
      </c>
      <c r="D2686" s="2" t="s">
        <v>164</v>
      </c>
      <c r="E2686" s="2" t="s">
        <v>165</v>
      </c>
      <c r="F2686" s="2"/>
      <c r="G2686" s="2">
        <v>43.0</v>
      </c>
      <c r="H2686" s="2">
        <v>17.0</v>
      </c>
      <c r="I2686" s="2">
        <v>26.0</v>
      </c>
      <c r="J2686" s="2">
        <v>0.0</v>
      </c>
      <c r="K2686" s="2">
        <v>0.0</v>
      </c>
      <c r="L2686" s="2">
        <v>0.0</v>
      </c>
      <c r="M2686" s="2"/>
      <c r="N2686" s="2"/>
      <c r="O2686" s="2"/>
      <c r="P2686" s="2" t="s">
        <v>166</v>
      </c>
    </row>
    <row r="2687">
      <c r="A2687" s="3" t="s">
        <v>106</v>
      </c>
      <c r="B2687" s="2" t="s">
        <v>17</v>
      </c>
      <c r="C2687" s="2" t="s">
        <v>18</v>
      </c>
      <c r="D2687" s="2" t="s">
        <v>127</v>
      </c>
      <c r="E2687" s="2" t="s">
        <v>355</v>
      </c>
      <c r="F2687" s="2">
        <v>30.0</v>
      </c>
      <c r="G2687" s="2">
        <v>71.0</v>
      </c>
      <c r="H2687" s="2">
        <v>34.0</v>
      </c>
      <c r="I2687" s="2">
        <v>31.0</v>
      </c>
      <c r="J2687" s="2">
        <v>6.0</v>
      </c>
      <c r="K2687" s="2">
        <v>0.0</v>
      </c>
      <c r="L2687" s="2">
        <v>0.0</v>
      </c>
      <c r="M2687" s="2">
        <v>-4.0</v>
      </c>
      <c r="N2687" s="2"/>
      <c r="O2687" s="2"/>
      <c r="P2687" s="2" t="s">
        <v>111</v>
      </c>
    </row>
    <row r="2688">
      <c r="A2688" s="3" t="s">
        <v>107</v>
      </c>
      <c r="B2688" s="2" t="s">
        <v>17</v>
      </c>
      <c r="C2688" s="2" t="s">
        <v>57</v>
      </c>
      <c r="D2688" s="2" t="s">
        <v>127</v>
      </c>
      <c r="E2688" s="2" t="s">
        <v>356</v>
      </c>
      <c r="F2688" s="2">
        <v>23.0</v>
      </c>
      <c r="G2688" s="2">
        <v>29.0</v>
      </c>
      <c r="H2688" s="2">
        <v>23.0</v>
      </c>
      <c r="I2688" s="2">
        <v>5.0</v>
      </c>
      <c r="J2688" s="2">
        <v>1.0</v>
      </c>
      <c r="K2688" s="2">
        <v>0.0</v>
      </c>
      <c r="L2688" s="2">
        <v>0.0</v>
      </c>
      <c r="M2688" s="2">
        <v>0.0</v>
      </c>
      <c r="N2688" s="2"/>
      <c r="O2688" s="2"/>
      <c r="P2688" s="2" t="s">
        <v>111</v>
      </c>
    </row>
    <row r="2689">
      <c r="A2689" s="3" t="s">
        <v>108</v>
      </c>
      <c r="B2689" s="2" t="s">
        <v>17</v>
      </c>
      <c r="C2689" s="2" t="s">
        <v>148</v>
      </c>
      <c r="D2689" s="2" t="s">
        <v>19</v>
      </c>
      <c r="E2689" s="2" t="s">
        <v>355</v>
      </c>
      <c r="F2689" s="2">
        <v>20.0</v>
      </c>
      <c r="G2689" s="2">
        <v>0.0</v>
      </c>
      <c r="H2689" s="2">
        <v>0.0</v>
      </c>
      <c r="I2689" s="2">
        <v>0.0</v>
      </c>
      <c r="J2689" s="2">
        <v>0.0</v>
      </c>
      <c r="K2689" s="2">
        <v>0.0</v>
      </c>
      <c r="L2689" s="2">
        <v>0.0</v>
      </c>
      <c r="M2689" s="2">
        <v>20.0</v>
      </c>
      <c r="N2689" s="2"/>
      <c r="O2689" s="2"/>
      <c r="P2689" s="2" t="s">
        <v>111</v>
      </c>
    </row>
    <row r="2690">
      <c r="A2690" s="3" t="s">
        <v>112</v>
      </c>
      <c r="B2690" s="2" t="s">
        <v>17</v>
      </c>
      <c r="C2690" s="2" t="s">
        <v>148</v>
      </c>
      <c r="D2690" s="2" t="s">
        <v>19</v>
      </c>
      <c r="E2690" s="2" t="s">
        <v>356</v>
      </c>
      <c r="F2690" s="2">
        <v>25.0</v>
      </c>
      <c r="G2690" s="2">
        <v>2.0</v>
      </c>
      <c r="H2690" s="2">
        <v>0.0</v>
      </c>
      <c r="I2690" s="2">
        <v>2.0</v>
      </c>
      <c r="J2690" s="2">
        <v>0.0</v>
      </c>
      <c r="K2690" s="2">
        <v>0.0</v>
      </c>
      <c r="L2690" s="2">
        <v>0.0</v>
      </c>
      <c r="M2690" s="2">
        <v>25.0</v>
      </c>
      <c r="N2690" s="2"/>
      <c r="O2690" s="2"/>
      <c r="P2690" s="2" t="s">
        <v>111</v>
      </c>
    </row>
    <row r="2691">
      <c r="A2691" s="3" t="s">
        <v>115</v>
      </c>
      <c r="B2691" s="2" t="s">
        <v>17</v>
      </c>
      <c r="C2691" s="2" t="s">
        <v>18</v>
      </c>
      <c r="D2691" s="2" t="s">
        <v>23</v>
      </c>
      <c r="E2691" s="2" t="s">
        <v>355</v>
      </c>
      <c r="F2691" s="2">
        <v>30.0</v>
      </c>
      <c r="G2691" s="2">
        <v>71.0</v>
      </c>
      <c r="H2691" s="2">
        <v>34.0</v>
      </c>
      <c r="I2691" s="2">
        <v>31.0</v>
      </c>
      <c r="J2691" s="2">
        <v>6.0</v>
      </c>
      <c r="K2691" s="2">
        <v>0.0</v>
      </c>
      <c r="L2691" s="2">
        <v>0.0</v>
      </c>
      <c r="M2691" s="2">
        <v>-4.0</v>
      </c>
      <c r="N2691" s="2">
        <v>-20.0</v>
      </c>
      <c r="O2691" s="2">
        <v>-38.0</v>
      </c>
      <c r="P2691" s="2" t="s">
        <v>111</v>
      </c>
    </row>
    <row r="2692">
      <c r="A2692" s="3" t="s">
        <v>117</v>
      </c>
      <c r="B2692" s="2" t="s">
        <v>17</v>
      </c>
      <c r="C2692" s="2" t="s">
        <v>57</v>
      </c>
      <c r="D2692" s="2" t="s">
        <v>23</v>
      </c>
      <c r="E2692" s="2" t="s">
        <v>356</v>
      </c>
      <c r="F2692" s="2">
        <v>23.0</v>
      </c>
      <c r="G2692" s="2">
        <v>31.0</v>
      </c>
      <c r="H2692" s="2">
        <v>23.0</v>
      </c>
      <c r="I2692" s="2">
        <v>7.0</v>
      </c>
      <c r="J2692" s="2">
        <v>1.0</v>
      </c>
      <c r="K2692" s="2">
        <v>0.0</v>
      </c>
      <c r="L2692" s="2">
        <v>0.0</v>
      </c>
      <c r="M2692" s="2">
        <v>0.0</v>
      </c>
      <c r="N2692" s="2">
        <v>-25.0</v>
      </c>
      <c r="O2692" s="2">
        <v>-23.0</v>
      </c>
      <c r="P2692" s="2" t="s">
        <v>111</v>
      </c>
    </row>
    <row r="2693">
      <c r="A2693" s="3" t="s">
        <v>119</v>
      </c>
      <c r="B2693" s="4">
        <v>45079.29166666667</v>
      </c>
      <c r="C2693" s="2" t="s">
        <v>18</v>
      </c>
      <c r="D2693" s="2" t="s">
        <v>19</v>
      </c>
      <c r="E2693" s="2" t="s">
        <v>355</v>
      </c>
      <c r="F2693" s="2"/>
      <c r="G2693" s="2">
        <v>0.0</v>
      </c>
      <c r="H2693" s="2">
        <v>0.0</v>
      </c>
      <c r="I2693" s="2">
        <v>0.0</v>
      </c>
      <c r="J2693" s="2">
        <v>0.0</v>
      </c>
      <c r="K2693" s="2">
        <v>0.0</v>
      </c>
      <c r="L2693" s="2">
        <v>0.0</v>
      </c>
      <c r="M2693" s="2"/>
      <c r="N2693" s="2"/>
      <c r="O2693" s="2"/>
      <c r="P2693" s="2" t="s">
        <v>111</v>
      </c>
    </row>
    <row r="2694">
      <c r="A2694" s="3" t="s">
        <v>121</v>
      </c>
      <c r="B2694" s="4">
        <v>45079.29166666667</v>
      </c>
      <c r="C2694" s="2" t="s">
        <v>18</v>
      </c>
      <c r="D2694" s="2" t="s">
        <v>19</v>
      </c>
      <c r="E2694" s="2" t="s">
        <v>356</v>
      </c>
      <c r="F2694" s="2"/>
      <c r="G2694" s="2">
        <v>2.0</v>
      </c>
      <c r="H2694" s="2">
        <v>0.0</v>
      </c>
      <c r="I2694" s="2">
        <v>2.0</v>
      </c>
      <c r="J2694" s="2">
        <v>0.0</v>
      </c>
      <c r="K2694" s="2">
        <v>0.0</v>
      </c>
      <c r="L2694" s="2">
        <v>0.0</v>
      </c>
      <c r="M2694" s="2"/>
      <c r="N2694" s="2"/>
      <c r="O2694" s="2"/>
      <c r="P2694" s="2" t="s">
        <v>111</v>
      </c>
    </row>
    <row r="2695">
      <c r="A2695" s="3" t="s">
        <v>16</v>
      </c>
      <c r="B2695" s="4">
        <v>45110.29166666667</v>
      </c>
      <c r="C2695" s="2" t="s">
        <v>18</v>
      </c>
      <c r="D2695" s="2" t="s">
        <v>127</v>
      </c>
      <c r="E2695" s="2" t="s">
        <v>356</v>
      </c>
      <c r="F2695" s="2"/>
      <c r="G2695" s="2">
        <v>29.0</v>
      </c>
      <c r="H2695" s="2">
        <v>23.0</v>
      </c>
      <c r="I2695" s="2">
        <v>5.0</v>
      </c>
      <c r="J2695" s="2">
        <v>1.0</v>
      </c>
      <c r="K2695" s="2">
        <v>0.0</v>
      </c>
      <c r="L2695" s="2">
        <v>0.0</v>
      </c>
      <c r="M2695" s="2"/>
      <c r="N2695" s="2"/>
      <c r="O2695" s="2"/>
      <c r="P2695" s="2" t="s">
        <v>111</v>
      </c>
    </row>
    <row r="2696">
      <c r="A2696" s="3" t="s">
        <v>124</v>
      </c>
      <c r="B2696" s="4">
        <v>45140.29166666667</v>
      </c>
      <c r="C2696" s="2" t="s">
        <v>18</v>
      </c>
      <c r="D2696" s="2" t="s">
        <v>127</v>
      </c>
      <c r="E2696" s="2" t="s">
        <v>355</v>
      </c>
      <c r="F2696" s="2"/>
      <c r="G2696" s="2">
        <v>53.0</v>
      </c>
      <c r="H2696" s="2">
        <v>26.0</v>
      </c>
      <c r="I2696" s="2">
        <v>23.0</v>
      </c>
      <c r="J2696" s="2">
        <v>4.0</v>
      </c>
      <c r="K2696" s="2">
        <v>0.0</v>
      </c>
      <c r="L2696" s="2">
        <v>0.0</v>
      </c>
      <c r="M2696" s="2"/>
      <c r="N2696" s="2"/>
      <c r="O2696" s="2"/>
      <c r="P2696" s="2" t="s">
        <v>111</v>
      </c>
    </row>
    <row r="2697">
      <c r="A2697" s="3" t="s">
        <v>126</v>
      </c>
      <c r="B2697" s="4">
        <v>45171.29166666667</v>
      </c>
      <c r="C2697" s="2" t="s">
        <v>18</v>
      </c>
      <c r="D2697" s="2" t="s">
        <v>127</v>
      </c>
      <c r="E2697" s="2" t="s">
        <v>355</v>
      </c>
      <c r="F2697" s="2"/>
      <c r="G2697" s="2">
        <v>14.0</v>
      </c>
      <c r="H2697" s="2">
        <v>4.0</v>
      </c>
      <c r="I2697" s="2">
        <v>8.0</v>
      </c>
      <c r="J2697" s="2">
        <v>2.0</v>
      </c>
      <c r="K2697" s="2">
        <v>0.0</v>
      </c>
      <c r="L2697" s="2">
        <v>0.0</v>
      </c>
      <c r="M2697" s="2"/>
      <c r="N2697" s="2"/>
      <c r="O2697" s="2"/>
      <c r="P2697" s="2" t="s">
        <v>111</v>
      </c>
    </row>
    <row r="2698">
      <c r="A2698" s="3" t="s">
        <v>128</v>
      </c>
      <c r="B2698" s="4">
        <v>45201.29166666667</v>
      </c>
      <c r="C2698" s="2" t="s">
        <v>18</v>
      </c>
      <c r="D2698" s="2" t="s">
        <v>127</v>
      </c>
      <c r="E2698" s="2" t="s">
        <v>355</v>
      </c>
      <c r="F2698" s="2"/>
      <c r="G2698" s="2">
        <v>4.0</v>
      </c>
      <c r="H2698" s="2">
        <v>4.0</v>
      </c>
      <c r="I2698" s="2">
        <v>0.0</v>
      </c>
      <c r="J2698" s="2">
        <v>0.0</v>
      </c>
      <c r="K2698" s="2">
        <v>0.0</v>
      </c>
      <c r="L2698" s="2">
        <v>0.0</v>
      </c>
      <c r="M2698" s="2"/>
      <c r="N2698" s="2"/>
      <c r="O2698" s="2"/>
      <c r="P2698" s="2" t="s">
        <v>111</v>
      </c>
    </row>
    <row r="2699">
      <c r="A2699" s="3" t="s">
        <v>129</v>
      </c>
      <c r="B2699" s="2" t="s">
        <v>17</v>
      </c>
      <c r="C2699" s="2" t="s">
        <v>18</v>
      </c>
      <c r="D2699" s="2" t="s">
        <v>164</v>
      </c>
      <c r="E2699" s="2" t="s">
        <v>165</v>
      </c>
      <c r="F2699" s="2">
        <v>100.0</v>
      </c>
      <c r="G2699" s="2">
        <v>9.0</v>
      </c>
      <c r="H2699" s="2">
        <v>0.0</v>
      </c>
      <c r="I2699" s="2">
        <v>9.0</v>
      </c>
      <c r="J2699" s="2">
        <v>0.0</v>
      </c>
      <c r="K2699" s="2">
        <v>0.0</v>
      </c>
      <c r="L2699" s="2">
        <v>0.0</v>
      </c>
      <c r="M2699" s="2">
        <v>100.0</v>
      </c>
      <c r="N2699" s="2"/>
      <c r="O2699" s="2"/>
      <c r="P2699" s="2" t="s">
        <v>166</v>
      </c>
    </row>
    <row r="2700">
      <c r="A2700" s="3" t="s">
        <v>130</v>
      </c>
      <c r="B2700" s="2" t="s">
        <v>17</v>
      </c>
      <c r="C2700" s="2" t="s">
        <v>18</v>
      </c>
      <c r="D2700" s="2" t="s">
        <v>23</v>
      </c>
      <c r="E2700" s="2" t="s">
        <v>165</v>
      </c>
      <c r="F2700" s="2">
        <v>100.0</v>
      </c>
      <c r="G2700" s="2">
        <v>9.0</v>
      </c>
      <c r="H2700" s="2">
        <v>0.0</v>
      </c>
      <c r="I2700" s="2">
        <v>9.0</v>
      </c>
      <c r="J2700" s="2">
        <v>0.0</v>
      </c>
      <c r="K2700" s="2">
        <v>0.0</v>
      </c>
      <c r="L2700" s="2">
        <v>0.0</v>
      </c>
      <c r="M2700" s="2">
        <v>100.0</v>
      </c>
      <c r="N2700" s="2">
        <v>0.0</v>
      </c>
      <c r="O2700" s="2">
        <v>100.0</v>
      </c>
      <c r="P2700" s="2" t="s">
        <v>166</v>
      </c>
    </row>
    <row r="2701">
      <c r="A2701" s="3" t="s">
        <v>131</v>
      </c>
      <c r="B2701" s="4">
        <v>45171.29166666667</v>
      </c>
      <c r="C2701" s="2" t="s">
        <v>18</v>
      </c>
      <c r="D2701" s="2" t="s">
        <v>164</v>
      </c>
      <c r="E2701" s="2" t="s">
        <v>165</v>
      </c>
      <c r="F2701" s="2"/>
      <c r="G2701" s="2">
        <v>9.0</v>
      </c>
      <c r="H2701" s="2">
        <v>0.0</v>
      </c>
      <c r="I2701" s="2">
        <v>9.0</v>
      </c>
      <c r="J2701" s="2">
        <v>0.0</v>
      </c>
      <c r="K2701" s="2">
        <v>0.0</v>
      </c>
      <c r="L2701" s="2">
        <v>0.0</v>
      </c>
      <c r="M2701" s="2"/>
      <c r="N2701" s="2"/>
      <c r="O2701" s="2"/>
      <c r="P2701" s="2" t="s">
        <v>166</v>
      </c>
    </row>
    <row r="2702">
      <c r="A2702" s="3" t="s">
        <v>132</v>
      </c>
      <c r="B2702" s="2" t="s">
        <v>17</v>
      </c>
      <c r="C2702" s="2" t="s">
        <v>18</v>
      </c>
      <c r="D2702" s="2" t="s">
        <v>164</v>
      </c>
      <c r="E2702" s="2" t="s">
        <v>165</v>
      </c>
      <c r="F2702" s="2">
        <v>100.0</v>
      </c>
      <c r="G2702" s="2">
        <v>155.0</v>
      </c>
      <c r="H2702" s="2">
        <v>90.0</v>
      </c>
      <c r="I2702" s="2">
        <v>65.0</v>
      </c>
      <c r="J2702" s="2">
        <v>0.0</v>
      </c>
      <c r="K2702" s="2">
        <v>0.0</v>
      </c>
      <c r="L2702" s="2">
        <v>0.0</v>
      </c>
      <c r="M2702" s="2">
        <v>10.0</v>
      </c>
      <c r="N2702" s="2"/>
      <c r="O2702" s="2"/>
      <c r="P2702" s="2" t="s">
        <v>166</v>
      </c>
    </row>
    <row r="2703">
      <c r="A2703" s="3" t="s">
        <v>133</v>
      </c>
      <c r="B2703" s="2" t="s">
        <v>17</v>
      </c>
      <c r="C2703" s="2" t="s">
        <v>18</v>
      </c>
      <c r="D2703" s="2" t="s">
        <v>23</v>
      </c>
      <c r="E2703" s="2" t="s">
        <v>165</v>
      </c>
      <c r="F2703" s="2">
        <v>100.0</v>
      </c>
      <c r="G2703" s="2">
        <v>155.0</v>
      </c>
      <c r="H2703" s="2">
        <v>90.0</v>
      </c>
      <c r="I2703" s="2">
        <v>65.0</v>
      </c>
      <c r="J2703" s="2">
        <v>0.0</v>
      </c>
      <c r="K2703" s="2">
        <v>0.0</v>
      </c>
      <c r="L2703" s="2">
        <v>0.0</v>
      </c>
      <c r="M2703" s="2">
        <v>10.0</v>
      </c>
      <c r="N2703" s="2">
        <v>0.0</v>
      </c>
      <c r="O2703" s="2">
        <v>-80.0</v>
      </c>
      <c r="P2703" s="2" t="s">
        <v>166</v>
      </c>
    </row>
    <row r="2704">
      <c r="A2704" s="3" t="s">
        <v>134</v>
      </c>
      <c r="B2704" s="4">
        <v>45201.29166666667</v>
      </c>
      <c r="C2704" s="2" t="s">
        <v>18</v>
      </c>
      <c r="D2704" s="2" t="s">
        <v>164</v>
      </c>
      <c r="E2704" s="2" t="s">
        <v>165</v>
      </c>
      <c r="F2704" s="2"/>
      <c r="G2704" s="2">
        <v>155.0</v>
      </c>
      <c r="H2704" s="2">
        <v>90.0</v>
      </c>
      <c r="I2704" s="2">
        <v>65.0</v>
      </c>
      <c r="J2704" s="2">
        <v>0.0</v>
      </c>
      <c r="K2704" s="2">
        <v>0.0</v>
      </c>
      <c r="L2704" s="2">
        <v>0.0</v>
      </c>
      <c r="M2704" s="2"/>
      <c r="N2704" s="2"/>
      <c r="O2704" s="2"/>
      <c r="P2704" s="2" t="s">
        <v>166</v>
      </c>
    </row>
    <row r="2705">
      <c r="A2705" s="3" t="s">
        <v>136</v>
      </c>
      <c r="B2705" s="2" t="s">
        <v>17</v>
      </c>
      <c r="C2705" s="2" t="s">
        <v>18</v>
      </c>
      <c r="D2705" s="2" t="s">
        <v>91</v>
      </c>
      <c r="E2705" s="2" t="s">
        <v>162</v>
      </c>
      <c r="F2705" s="2">
        <v>25.0</v>
      </c>
      <c r="G2705" s="2">
        <v>30.0</v>
      </c>
      <c r="H2705" s="2">
        <v>24.0</v>
      </c>
      <c r="I2705" s="2">
        <v>6.0</v>
      </c>
      <c r="J2705" s="2">
        <v>0.0</v>
      </c>
      <c r="K2705" s="2">
        <v>0.0</v>
      </c>
      <c r="L2705" s="2">
        <v>0.0</v>
      </c>
      <c r="M2705" s="2">
        <v>1.0</v>
      </c>
      <c r="N2705" s="2"/>
      <c r="O2705" s="2"/>
      <c r="P2705" s="2" t="s">
        <v>146</v>
      </c>
    </row>
    <row r="2706">
      <c r="A2706" s="3" t="s">
        <v>137</v>
      </c>
      <c r="B2706" s="2" t="s">
        <v>17</v>
      </c>
      <c r="C2706" s="2" t="s">
        <v>18</v>
      </c>
      <c r="D2706" s="2" t="s">
        <v>23</v>
      </c>
      <c r="E2706" s="2" t="s">
        <v>162</v>
      </c>
      <c r="F2706" s="2">
        <v>25.0</v>
      </c>
      <c r="G2706" s="2">
        <v>31.0</v>
      </c>
      <c r="H2706" s="2">
        <v>25.0</v>
      </c>
      <c r="I2706" s="2">
        <v>6.0</v>
      </c>
      <c r="J2706" s="2">
        <v>0.0</v>
      </c>
      <c r="K2706" s="2">
        <v>0.0</v>
      </c>
      <c r="L2706" s="2">
        <v>0.0</v>
      </c>
      <c r="M2706" s="2">
        <v>0.0</v>
      </c>
      <c r="N2706" s="2">
        <v>0.0</v>
      </c>
      <c r="O2706" s="2">
        <v>-23.0</v>
      </c>
      <c r="P2706" s="2" t="s">
        <v>146</v>
      </c>
    </row>
    <row r="2707">
      <c r="A2707" s="3" t="s">
        <v>138</v>
      </c>
      <c r="B2707" s="4">
        <v>45171.29166666667</v>
      </c>
      <c r="C2707" s="2" t="s">
        <v>18</v>
      </c>
      <c r="D2707" s="2" t="s">
        <v>91</v>
      </c>
      <c r="E2707" s="2" t="s">
        <v>162</v>
      </c>
      <c r="F2707" s="2"/>
      <c r="G2707" s="2">
        <v>20.0</v>
      </c>
      <c r="H2707" s="2">
        <v>17.0</v>
      </c>
      <c r="I2707" s="2">
        <v>3.0</v>
      </c>
      <c r="J2707" s="2">
        <v>0.0</v>
      </c>
      <c r="K2707" s="2">
        <v>0.0</v>
      </c>
      <c r="L2707" s="2">
        <v>0.0</v>
      </c>
      <c r="M2707" s="2"/>
      <c r="N2707" s="2"/>
      <c r="O2707" s="2"/>
      <c r="P2707" s="2" t="s">
        <v>146</v>
      </c>
    </row>
    <row r="2708">
      <c r="A2708" s="3" t="s">
        <v>139</v>
      </c>
      <c r="B2708" s="4">
        <v>45200.29166666667</v>
      </c>
      <c r="C2708" s="2" t="s">
        <v>18</v>
      </c>
      <c r="D2708" s="2" t="s">
        <v>91</v>
      </c>
      <c r="E2708" s="2" t="s">
        <v>162</v>
      </c>
      <c r="F2708" s="2"/>
      <c r="G2708" s="2">
        <v>10.0</v>
      </c>
      <c r="H2708" s="2">
        <v>7.0</v>
      </c>
      <c r="I2708" s="2">
        <v>3.0</v>
      </c>
      <c r="J2708" s="2">
        <v>0.0</v>
      </c>
      <c r="K2708" s="2">
        <v>0.0</v>
      </c>
      <c r="L2708" s="2">
        <v>0.0</v>
      </c>
      <c r="M2708" s="2"/>
      <c r="N2708" s="2"/>
      <c r="O2708" s="2"/>
      <c r="P2708" s="2" t="s">
        <v>146</v>
      </c>
    </row>
    <row r="2709">
      <c r="A2709" s="3" t="s">
        <v>140</v>
      </c>
      <c r="B2709" s="2" t="s">
        <v>17</v>
      </c>
      <c r="C2709" s="2" t="s">
        <v>18</v>
      </c>
      <c r="D2709" s="2" t="s">
        <v>19</v>
      </c>
      <c r="E2709" s="2" t="s">
        <v>357</v>
      </c>
      <c r="F2709" s="2">
        <v>14.0</v>
      </c>
      <c r="G2709" s="2">
        <v>13.0</v>
      </c>
      <c r="H2709" s="2">
        <v>9.0</v>
      </c>
      <c r="I2709" s="2">
        <v>4.0</v>
      </c>
      <c r="J2709" s="2">
        <v>0.0</v>
      </c>
      <c r="K2709" s="2">
        <v>0.0</v>
      </c>
      <c r="L2709" s="2">
        <v>0.0</v>
      </c>
      <c r="M2709" s="2">
        <v>5.0</v>
      </c>
      <c r="N2709" s="2"/>
      <c r="O2709" s="2"/>
      <c r="P2709" s="2" t="s">
        <v>92</v>
      </c>
    </row>
    <row r="2710">
      <c r="A2710" s="3" t="s">
        <v>141</v>
      </c>
      <c r="B2710" s="2" t="s">
        <v>17</v>
      </c>
      <c r="C2710" s="2" t="s">
        <v>18</v>
      </c>
      <c r="D2710" s="2" t="s">
        <v>19</v>
      </c>
      <c r="E2710" s="2" t="s">
        <v>358</v>
      </c>
      <c r="F2710" s="2">
        <v>0.0</v>
      </c>
      <c r="G2710" s="2">
        <v>0.0</v>
      </c>
      <c r="H2710" s="2">
        <v>0.0</v>
      </c>
      <c r="I2710" s="2">
        <v>0.0</v>
      </c>
      <c r="J2710" s="2">
        <v>0.0</v>
      </c>
      <c r="K2710" s="2">
        <v>0.0</v>
      </c>
      <c r="L2710" s="2">
        <v>0.0</v>
      </c>
      <c r="M2710" s="2">
        <v>0.0</v>
      </c>
      <c r="N2710" s="2"/>
      <c r="O2710" s="2"/>
      <c r="P2710" s="2" t="s">
        <v>92</v>
      </c>
    </row>
    <row r="2711">
      <c r="A2711" s="3" t="s">
        <v>142</v>
      </c>
      <c r="B2711" s="2" t="s">
        <v>17</v>
      </c>
      <c r="C2711" s="2" t="s">
        <v>18</v>
      </c>
      <c r="D2711" s="2" t="s">
        <v>19</v>
      </c>
      <c r="E2711" s="2" t="s">
        <v>359</v>
      </c>
      <c r="F2711" s="2">
        <v>8.0</v>
      </c>
      <c r="G2711" s="2">
        <v>6.0</v>
      </c>
      <c r="H2711" s="2">
        <v>6.0</v>
      </c>
      <c r="I2711" s="2">
        <v>0.0</v>
      </c>
      <c r="J2711" s="2">
        <v>0.0</v>
      </c>
      <c r="K2711" s="2">
        <v>0.0</v>
      </c>
      <c r="L2711" s="2">
        <v>0.0</v>
      </c>
      <c r="M2711" s="2">
        <v>2.0</v>
      </c>
      <c r="N2711" s="2"/>
      <c r="O2711" s="2"/>
      <c r="P2711" s="2" t="s">
        <v>92</v>
      </c>
    </row>
    <row r="2712">
      <c r="A2712" s="3" t="s">
        <v>143</v>
      </c>
      <c r="B2712" s="2" t="s">
        <v>17</v>
      </c>
      <c r="C2712" s="2" t="s">
        <v>18</v>
      </c>
      <c r="D2712" s="2" t="s">
        <v>19</v>
      </c>
      <c r="E2712" s="2" t="s">
        <v>360</v>
      </c>
      <c r="F2712" s="2">
        <v>7.0</v>
      </c>
      <c r="G2712" s="2">
        <v>10.0</v>
      </c>
      <c r="H2712" s="2">
        <v>9.0</v>
      </c>
      <c r="I2712" s="2">
        <v>1.0</v>
      </c>
      <c r="J2712" s="2">
        <v>0.0</v>
      </c>
      <c r="K2712" s="2">
        <v>0.0</v>
      </c>
      <c r="L2712" s="2">
        <v>0.0</v>
      </c>
      <c r="M2712" s="2">
        <v>-2.0</v>
      </c>
      <c r="N2712" s="2"/>
      <c r="O2712" s="2"/>
      <c r="P2712" s="2" t="s">
        <v>92</v>
      </c>
    </row>
    <row r="2713">
      <c r="A2713" s="3" t="s">
        <v>144</v>
      </c>
      <c r="B2713" s="2" t="s">
        <v>17</v>
      </c>
      <c r="C2713" s="2" t="s">
        <v>18</v>
      </c>
      <c r="D2713" s="2" t="s">
        <v>19</v>
      </c>
      <c r="E2713" s="2" t="s">
        <v>361</v>
      </c>
      <c r="F2713" s="2">
        <v>8.0</v>
      </c>
      <c r="G2713" s="2">
        <v>2.0</v>
      </c>
      <c r="H2713" s="2">
        <v>2.0</v>
      </c>
      <c r="I2713" s="2">
        <v>0.0</v>
      </c>
      <c r="J2713" s="2">
        <v>0.0</v>
      </c>
      <c r="K2713" s="2">
        <v>0.0</v>
      </c>
      <c r="L2713" s="2">
        <v>0.0</v>
      </c>
      <c r="M2713" s="2">
        <v>6.0</v>
      </c>
      <c r="N2713" s="2"/>
      <c r="O2713" s="2"/>
      <c r="P2713" s="2" t="s">
        <v>92</v>
      </c>
    </row>
    <row r="2714">
      <c r="A2714" s="3" t="s">
        <v>145</v>
      </c>
      <c r="B2714" s="2" t="s">
        <v>17</v>
      </c>
      <c r="C2714" s="2" t="s">
        <v>18</v>
      </c>
      <c r="D2714" s="2" t="s">
        <v>19</v>
      </c>
      <c r="E2714" s="2" t="s">
        <v>362</v>
      </c>
      <c r="F2714" s="2">
        <v>7.0</v>
      </c>
      <c r="G2714" s="2">
        <v>3.0</v>
      </c>
      <c r="H2714" s="2">
        <v>3.0</v>
      </c>
      <c r="I2714" s="2">
        <v>0.0</v>
      </c>
      <c r="J2714" s="2">
        <v>0.0</v>
      </c>
      <c r="K2714" s="2">
        <v>0.0</v>
      </c>
      <c r="L2714" s="2">
        <v>0.0</v>
      </c>
      <c r="M2714" s="2">
        <v>4.0</v>
      </c>
      <c r="N2714" s="2"/>
      <c r="O2714" s="2"/>
      <c r="P2714" s="2" t="s">
        <v>92</v>
      </c>
    </row>
    <row r="2715">
      <c r="A2715" s="3" t="s">
        <v>16</v>
      </c>
      <c r="B2715" s="2" t="s">
        <v>17</v>
      </c>
      <c r="C2715" s="2" t="s">
        <v>18</v>
      </c>
      <c r="D2715" s="2" t="s">
        <v>19</v>
      </c>
      <c r="E2715" s="2" t="s">
        <v>363</v>
      </c>
      <c r="F2715" s="2">
        <v>7.0</v>
      </c>
      <c r="G2715" s="2">
        <v>3.0</v>
      </c>
      <c r="H2715" s="2">
        <v>1.0</v>
      </c>
      <c r="I2715" s="2">
        <v>2.0</v>
      </c>
      <c r="J2715" s="2">
        <v>0.0</v>
      </c>
      <c r="K2715" s="2">
        <v>0.0</v>
      </c>
      <c r="L2715" s="2">
        <v>0.0</v>
      </c>
      <c r="M2715" s="2">
        <v>6.0</v>
      </c>
      <c r="N2715" s="2"/>
      <c r="O2715" s="2"/>
      <c r="P2715" s="2" t="s">
        <v>92</v>
      </c>
    </row>
    <row r="2716">
      <c r="A2716" s="3" t="s">
        <v>22</v>
      </c>
      <c r="B2716" s="2" t="s">
        <v>17</v>
      </c>
      <c r="C2716" s="2" t="s">
        <v>18</v>
      </c>
      <c r="D2716" s="2" t="s">
        <v>19</v>
      </c>
      <c r="E2716" s="2" t="s">
        <v>364</v>
      </c>
      <c r="F2716" s="2">
        <v>8.0</v>
      </c>
      <c r="G2716" s="2">
        <v>11.0</v>
      </c>
      <c r="H2716" s="2">
        <v>9.0</v>
      </c>
      <c r="I2716" s="2">
        <v>2.0</v>
      </c>
      <c r="J2716" s="2">
        <v>0.0</v>
      </c>
      <c r="K2716" s="2">
        <v>0.0</v>
      </c>
      <c r="L2716" s="2">
        <v>0.0</v>
      </c>
      <c r="M2716" s="2">
        <v>-1.0</v>
      </c>
      <c r="N2716" s="2"/>
      <c r="O2716" s="2"/>
      <c r="P2716" s="2" t="s">
        <v>92</v>
      </c>
    </row>
    <row r="2717">
      <c r="A2717" s="3" t="s">
        <v>24</v>
      </c>
      <c r="B2717" s="2" t="s">
        <v>17</v>
      </c>
      <c r="C2717" s="2" t="s">
        <v>18</v>
      </c>
      <c r="D2717" s="2" t="s">
        <v>19</v>
      </c>
      <c r="E2717" s="2" t="s">
        <v>365</v>
      </c>
      <c r="F2717" s="2">
        <v>8.0</v>
      </c>
      <c r="G2717" s="2">
        <v>14.0</v>
      </c>
      <c r="H2717" s="2">
        <v>7.0</v>
      </c>
      <c r="I2717" s="2">
        <v>7.0</v>
      </c>
      <c r="J2717" s="2">
        <v>0.0</v>
      </c>
      <c r="K2717" s="2">
        <v>0.0</v>
      </c>
      <c r="L2717" s="2">
        <v>0.0</v>
      </c>
      <c r="M2717" s="2">
        <v>1.0</v>
      </c>
      <c r="N2717" s="2"/>
      <c r="O2717" s="2"/>
      <c r="P2717" s="2" t="s">
        <v>92</v>
      </c>
    </row>
    <row r="2718">
      <c r="A2718" s="3" t="s">
        <v>25</v>
      </c>
      <c r="B2718" s="2" t="s">
        <v>17</v>
      </c>
      <c r="C2718" s="2" t="s">
        <v>113</v>
      </c>
      <c r="D2718" s="2" t="s">
        <v>19</v>
      </c>
      <c r="E2718" s="2" t="s">
        <v>366</v>
      </c>
      <c r="F2718" s="2">
        <v>7.0</v>
      </c>
      <c r="G2718" s="2">
        <v>3.0</v>
      </c>
      <c r="H2718" s="2">
        <v>3.0</v>
      </c>
      <c r="I2718" s="2">
        <v>0.0</v>
      </c>
      <c r="J2718" s="2">
        <v>0.0</v>
      </c>
      <c r="K2718" s="2">
        <v>0.0</v>
      </c>
      <c r="L2718" s="2">
        <v>0.0</v>
      </c>
      <c r="M2718" s="2">
        <v>4.0</v>
      </c>
      <c r="N2718" s="2"/>
      <c r="O2718" s="2"/>
      <c r="P2718" s="2" t="s">
        <v>92</v>
      </c>
    </row>
    <row r="2719">
      <c r="A2719" s="3" t="s">
        <v>26</v>
      </c>
      <c r="B2719" s="2" t="s">
        <v>17</v>
      </c>
      <c r="C2719" s="2" t="s">
        <v>57</v>
      </c>
      <c r="D2719" s="2" t="s">
        <v>19</v>
      </c>
      <c r="E2719" s="2" t="s">
        <v>367</v>
      </c>
      <c r="F2719" s="2">
        <v>18.0</v>
      </c>
      <c r="G2719" s="2">
        <v>21.0</v>
      </c>
      <c r="H2719" s="2">
        <v>19.0</v>
      </c>
      <c r="I2719" s="2">
        <v>2.0</v>
      </c>
      <c r="J2719" s="2">
        <v>0.0</v>
      </c>
      <c r="K2719" s="2">
        <v>0.0</v>
      </c>
      <c r="L2719" s="2">
        <v>0.0</v>
      </c>
      <c r="M2719" s="2">
        <v>-1.0</v>
      </c>
      <c r="N2719" s="2"/>
      <c r="O2719" s="2"/>
      <c r="P2719" s="2" t="s">
        <v>92</v>
      </c>
    </row>
    <row r="2720">
      <c r="A2720" s="3" t="s">
        <v>28</v>
      </c>
      <c r="B2720" s="2" t="s">
        <v>17</v>
      </c>
      <c r="C2720" s="2" t="s">
        <v>57</v>
      </c>
      <c r="D2720" s="2" t="s">
        <v>19</v>
      </c>
      <c r="E2720" s="2" t="s">
        <v>368</v>
      </c>
      <c r="F2720" s="2">
        <v>8.0</v>
      </c>
      <c r="G2720" s="2">
        <v>13.0</v>
      </c>
      <c r="H2720" s="2">
        <v>10.0</v>
      </c>
      <c r="I2720" s="2">
        <v>3.0</v>
      </c>
      <c r="J2720" s="2">
        <v>0.0</v>
      </c>
      <c r="K2720" s="2">
        <v>0.0</v>
      </c>
      <c r="L2720" s="2">
        <v>0.0</v>
      </c>
      <c r="M2720" s="2">
        <v>-2.0</v>
      </c>
      <c r="N2720" s="2"/>
      <c r="O2720" s="2"/>
      <c r="P2720" s="2" t="s">
        <v>92</v>
      </c>
    </row>
    <row r="2721">
      <c r="A2721" s="3" t="s">
        <v>29</v>
      </c>
      <c r="B2721" s="2" t="s">
        <v>17</v>
      </c>
      <c r="C2721" s="2" t="s">
        <v>57</v>
      </c>
      <c r="D2721" s="2" t="s">
        <v>19</v>
      </c>
      <c r="E2721" s="2" t="s">
        <v>369</v>
      </c>
      <c r="F2721" s="2">
        <v>17.0</v>
      </c>
      <c r="G2721" s="2">
        <v>22.0</v>
      </c>
      <c r="H2721" s="2">
        <v>19.0</v>
      </c>
      <c r="I2721" s="2">
        <v>3.0</v>
      </c>
      <c r="J2721" s="2">
        <v>0.0</v>
      </c>
      <c r="K2721" s="2">
        <v>0.0</v>
      </c>
      <c r="L2721" s="2">
        <v>0.0</v>
      </c>
      <c r="M2721" s="2">
        <v>-2.0</v>
      </c>
      <c r="N2721" s="2"/>
      <c r="O2721" s="2"/>
      <c r="P2721" s="2" t="s">
        <v>92</v>
      </c>
    </row>
    <row r="2722">
      <c r="A2722" s="3" t="s">
        <v>32</v>
      </c>
      <c r="B2722" s="2" t="s">
        <v>17</v>
      </c>
      <c r="C2722" s="2" t="s">
        <v>57</v>
      </c>
      <c r="D2722" s="2" t="s">
        <v>19</v>
      </c>
      <c r="E2722" s="2" t="s">
        <v>370</v>
      </c>
      <c r="F2722" s="2">
        <v>16.0</v>
      </c>
      <c r="G2722" s="2">
        <v>18.0</v>
      </c>
      <c r="H2722" s="2">
        <v>16.0</v>
      </c>
      <c r="I2722" s="2">
        <v>2.0</v>
      </c>
      <c r="J2722" s="2">
        <v>0.0</v>
      </c>
      <c r="K2722" s="2">
        <v>0.0</v>
      </c>
      <c r="L2722" s="2">
        <v>0.0</v>
      </c>
      <c r="M2722" s="2">
        <v>0.0</v>
      </c>
      <c r="N2722" s="2"/>
      <c r="O2722" s="2"/>
      <c r="P2722" s="2" t="s">
        <v>92</v>
      </c>
    </row>
    <row r="2723">
      <c r="A2723" s="3" t="s">
        <v>34</v>
      </c>
      <c r="B2723" s="2" t="s">
        <v>17</v>
      </c>
      <c r="C2723" s="2" t="s">
        <v>57</v>
      </c>
      <c r="D2723" s="2" t="s">
        <v>19</v>
      </c>
      <c r="E2723" s="2" t="s">
        <v>371</v>
      </c>
      <c r="F2723" s="2">
        <v>11.0</v>
      </c>
      <c r="G2723" s="2">
        <v>15.0</v>
      </c>
      <c r="H2723" s="2">
        <v>12.0</v>
      </c>
      <c r="I2723" s="2">
        <v>3.0</v>
      </c>
      <c r="J2723" s="2">
        <v>0.0</v>
      </c>
      <c r="K2723" s="2">
        <v>0.0</v>
      </c>
      <c r="L2723" s="2">
        <v>0.0</v>
      </c>
      <c r="M2723" s="2">
        <v>-1.0</v>
      </c>
      <c r="N2723" s="2"/>
      <c r="O2723" s="2"/>
      <c r="P2723" s="2" t="s">
        <v>92</v>
      </c>
    </row>
    <row r="2724">
      <c r="A2724" s="3" t="s">
        <v>35</v>
      </c>
      <c r="B2724" s="2" t="s">
        <v>17</v>
      </c>
      <c r="C2724" s="2" t="s">
        <v>57</v>
      </c>
      <c r="D2724" s="2" t="s">
        <v>19</v>
      </c>
      <c r="E2724" s="2" t="s">
        <v>372</v>
      </c>
      <c r="F2724" s="2">
        <v>10.0</v>
      </c>
      <c r="G2724" s="2">
        <v>12.0</v>
      </c>
      <c r="H2724" s="2">
        <v>11.0</v>
      </c>
      <c r="I2724" s="2">
        <v>1.0</v>
      </c>
      <c r="J2724" s="2">
        <v>0.0</v>
      </c>
      <c r="K2724" s="2">
        <v>0.0</v>
      </c>
      <c r="L2724" s="2">
        <v>0.0</v>
      </c>
      <c r="M2724" s="2">
        <v>-1.0</v>
      </c>
      <c r="N2724" s="2"/>
      <c r="O2724" s="2"/>
      <c r="P2724" s="2" t="s">
        <v>92</v>
      </c>
    </row>
    <row r="2725">
      <c r="A2725" s="3" t="s">
        <v>36</v>
      </c>
      <c r="B2725" s="2" t="s">
        <v>17</v>
      </c>
      <c r="C2725" s="2" t="s">
        <v>57</v>
      </c>
      <c r="D2725" s="2" t="s">
        <v>19</v>
      </c>
      <c r="E2725" s="2" t="s">
        <v>373</v>
      </c>
      <c r="F2725" s="2">
        <v>13.0</v>
      </c>
      <c r="G2725" s="2">
        <v>15.0</v>
      </c>
      <c r="H2725" s="2">
        <v>13.0</v>
      </c>
      <c r="I2725" s="2">
        <v>2.0</v>
      </c>
      <c r="J2725" s="2">
        <v>0.0</v>
      </c>
      <c r="K2725" s="2">
        <v>0.0</v>
      </c>
      <c r="L2725" s="2">
        <v>0.0</v>
      </c>
      <c r="M2725" s="2">
        <v>0.0</v>
      </c>
      <c r="N2725" s="2"/>
      <c r="O2725" s="2"/>
      <c r="P2725" s="2" t="s">
        <v>92</v>
      </c>
    </row>
    <row r="2726">
      <c r="A2726" s="3" t="s">
        <v>37</v>
      </c>
      <c r="B2726" s="2" t="s">
        <v>17</v>
      </c>
      <c r="C2726" s="2" t="s">
        <v>57</v>
      </c>
      <c r="D2726" s="2" t="s">
        <v>19</v>
      </c>
      <c r="E2726" s="2" t="s">
        <v>374</v>
      </c>
      <c r="F2726" s="2">
        <v>10.0</v>
      </c>
      <c r="G2726" s="2">
        <v>11.0</v>
      </c>
      <c r="H2726" s="2">
        <v>10.0</v>
      </c>
      <c r="I2726" s="2">
        <v>1.0</v>
      </c>
      <c r="J2726" s="2">
        <v>0.0</v>
      </c>
      <c r="K2726" s="2">
        <v>0.0</v>
      </c>
      <c r="L2726" s="2">
        <v>0.0</v>
      </c>
      <c r="M2726" s="2">
        <v>0.0</v>
      </c>
      <c r="N2726" s="2"/>
      <c r="O2726" s="2"/>
      <c r="P2726" s="2" t="s">
        <v>92</v>
      </c>
    </row>
    <row r="2727">
      <c r="A2727" s="3" t="s">
        <v>38</v>
      </c>
      <c r="B2727" s="2" t="s">
        <v>17</v>
      </c>
      <c r="C2727" s="2" t="s">
        <v>57</v>
      </c>
      <c r="D2727" s="2" t="s">
        <v>19</v>
      </c>
      <c r="E2727" s="2" t="s">
        <v>375</v>
      </c>
      <c r="F2727" s="2">
        <v>11.0</v>
      </c>
      <c r="G2727" s="2">
        <v>14.0</v>
      </c>
      <c r="H2727" s="2">
        <v>11.0</v>
      </c>
      <c r="I2727" s="2">
        <v>3.0</v>
      </c>
      <c r="J2727" s="2">
        <v>0.0</v>
      </c>
      <c r="K2727" s="2">
        <v>0.0</v>
      </c>
      <c r="L2727" s="2">
        <v>0.0</v>
      </c>
      <c r="M2727" s="2">
        <v>0.0</v>
      </c>
      <c r="N2727" s="2"/>
      <c r="O2727" s="2"/>
      <c r="P2727" s="2" t="s">
        <v>92</v>
      </c>
    </row>
    <row r="2728">
      <c r="A2728" s="3" t="s">
        <v>39</v>
      </c>
      <c r="B2728" s="2" t="s">
        <v>17</v>
      </c>
      <c r="C2728" s="2" t="s">
        <v>18</v>
      </c>
      <c r="D2728" s="2" t="s">
        <v>127</v>
      </c>
      <c r="E2728" s="2" t="s">
        <v>357</v>
      </c>
      <c r="F2728" s="2">
        <v>9.0</v>
      </c>
      <c r="G2728" s="2">
        <v>11.0</v>
      </c>
      <c r="H2728" s="2">
        <v>9.0</v>
      </c>
      <c r="I2728" s="2">
        <v>2.0</v>
      </c>
      <c r="J2728" s="2">
        <v>0.0</v>
      </c>
      <c r="K2728" s="2">
        <v>0.0</v>
      </c>
      <c r="L2728" s="2">
        <v>0.0</v>
      </c>
      <c r="M2728" s="2">
        <v>0.0</v>
      </c>
      <c r="N2728" s="2"/>
      <c r="O2728" s="2"/>
      <c r="P2728" s="2" t="s">
        <v>92</v>
      </c>
    </row>
    <row r="2729">
      <c r="A2729" s="3" t="s">
        <v>40</v>
      </c>
      <c r="B2729" s="2" t="s">
        <v>17</v>
      </c>
      <c r="C2729" s="2" t="s">
        <v>18</v>
      </c>
      <c r="D2729" s="2" t="s">
        <v>127</v>
      </c>
      <c r="E2729" s="2" t="s">
        <v>359</v>
      </c>
      <c r="F2729" s="2">
        <v>6.0</v>
      </c>
      <c r="G2729" s="2">
        <v>10.0</v>
      </c>
      <c r="H2729" s="2">
        <v>9.0</v>
      </c>
      <c r="I2729" s="2">
        <v>1.0</v>
      </c>
      <c r="J2729" s="2">
        <v>0.0</v>
      </c>
      <c r="K2729" s="2">
        <v>0.0</v>
      </c>
      <c r="L2729" s="2">
        <v>0.0</v>
      </c>
      <c r="M2729" s="2">
        <v>-3.0</v>
      </c>
      <c r="N2729" s="2"/>
      <c r="O2729" s="2"/>
      <c r="P2729" s="2" t="s">
        <v>92</v>
      </c>
    </row>
    <row r="2730">
      <c r="A2730" s="3" t="s">
        <v>41</v>
      </c>
      <c r="B2730" s="2" t="s">
        <v>17</v>
      </c>
      <c r="C2730" s="2" t="s">
        <v>18</v>
      </c>
      <c r="D2730" s="2" t="s">
        <v>127</v>
      </c>
      <c r="E2730" s="2" t="s">
        <v>360</v>
      </c>
      <c r="F2730" s="2">
        <v>1.0</v>
      </c>
      <c r="G2730" s="2">
        <v>14.0</v>
      </c>
      <c r="H2730" s="2">
        <v>9.0</v>
      </c>
      <c r="I2730" s="2">
        <v>5.0</v>
      </c>
      <c r="J2730" s="2">
        <v>0.0</v>
      </c>
      <c r="K2730" s="2">
        <v>0.0</v>
      </c>
      <c r="L2730" s="2">
        <v>0.0</v>
      </c>
      <c r="M2730" s="2">
        <v>-8.0</v>
      </c>
      <c r="N2730" s="2"/>
      <c r="O2730" s="2"/>
      <c r="P2730" s="2" t="s">
        <v>92</v>
      </c>
    </row>
    <row r="2731">
      <c r="A2731" s="3" t="s">
        <v>42</v>
      </c>
      <c r="B2731" s="2" t="s">
        <v>17</v>
      </c>
      <c r="C2731" s="2" t="s">
        <v>18</v>
      </c>
      <c r="D2731" s="2" t="s">
        <v>127</v>
      </c>
      <c r="E2731" s="2" t="s">
        <v>361</v>
      </c>
      <c r="F2731" s="2">
        <v>6.0</v>
      </c>
      <c r="G2731" s="2">
        <v>23.0</v>
      </c>
      <c r="H2731" s="2">
        <v>18.0</v>
      </c>
      <c r="I2731" s="2">
        <v>5.0</v>
      </c>
      <c r="J2731" s="2">
        <v>0.0</v>
      </c>
      <c r="K2731" s="2">
        <v>0.0</v>
      </c>
      <c r="L2731" s="2">
        <v>0.0</v>
      </c>
      <c r="M2731" s="2">
        <v>-12.0</v>
      </c>
      <c r="N2731" s="2"/>
      <c r="O2731" s="2"/>
      <c r="P2731" s="2" t="s">
        <v>92</v>
      </c>
    </row>
    <row r="2732">
      <c r="A2732" s="3" t="s">
        <v>43</v>
      </c>
      <c r="B2732" s="2" t="s">
        <v>17</v>
      </c>
      <c r="C2732" s="2" t="s">
        <v>18</v>
      </c>
      <c r="D2732" s="2" t="s">
        <v>127</v>
      </c>
      <c r="E2732" s="2" t="s">
        <v>362</v>
      </c>
      <c r="F2732" s="2">
        <v>7.0</v>
      </c>
      <c r="G2732" s="2">
        <v>23.0</v>
      </c>
      <c r="H2732" s="2">
        <v>15.0</v>
      </c>
      <c r="I2732" s="2">
        <v>8.0</v>
      </c>
      <c r="J2732" s="2">
        <v>0.0</v>
      </c>
      <c r="K2732" s="2">
        <v>0.0</v>
      </c>
      <c r="L2732" s="2">
        <v>0.0</v>
      </c>
      <c r="M2732" s="2">
        <v>-8.0</v>
      </c>
      <c r="N2732" s="2"/>
      <c r="O2732" s="2"/>
      <c r="P2732" s="2" t="s">
        <v>92</v>
      </c>
    </row>
    <row r="2733">
      <c r="A2733" s="3" t="s">
        <v>44</v>
      </c>
      <c r="B2733" s="2" t="s">
        <v>17</v>
      </c>
      <c r="C2733" s="2" t="s">
        <v>18</v>
      </c>
      <c r="D2733" s="2" t="s">
        <v>127</v>
      </c>
      <c r="E2733" s="2" t="s">
        <v>363</v>
      </c>
      <c r="F2733" s="2">
        <v>7.0</v>
      </c>
      <c r="G2733" s="2">
        <v>15.0</v>
      </c>
      <c r="H2733" s="2">
        <v>14.0</v>
      </c>
      <c r="I2733" s="2">
        <v>1.0</v>
      </c>
      <c r="J2733" s="2">
        <v>0.0</v>
      </c>
      <c r="K2733" s="2">
        <v>0.0</v>
      </c>
      <c r="L2733" s="2">
        <v>0.0</v>
      </c>
      <c r="M2733" s="2">
        <v>-7.0</v>
      </c>
      <c r="N2733" s="2"/>
      <c r="O2733" s="2"/>
      <c r="P2733" s="2" t="s">
        <v>92</v>
      </c>
    </row>
    <row r="2734">
      <c r="A2734" s="3" t="s">
        <v>45</v>
      </c>
      <c r="B2734" s="2" t="s">
        <v>17</v>
      </c>
      <c r="C2734" s="2" t="s">
        <v>18</v>
      </c>
      <c r="D2734" s="2" t="s">
        <v>23</v>
      </c>
      <c r="E2734" s="2" t="s">
        <v>357</v>
      </c>
      <c r="F2734" s="2">
        <v>14.0</v>
      </c>
      <c r="G2734" s="2">
        <v>24.0</v>
      </c>
      <c r="H2734" s="2">
        <v>18.0</v>
      </c>
      <c r="I2734" s="2">
        <v>6.0</v>
      </c>
      <c r="J2734" s="2">
        <v>0.0</v>
      </c>
      <c r="K2734" s="2">
        <v>0.0</v>
      </c>
      <c r="L2734" s="2">
        <v>0.0</v>
      </c>
      <c r="M2734" s="2">
        <v>-4.0</v>
      </c>
      <c r="N2734" s="2">
        <v>-9.0</v>
      </c>
      <c r="O2734" s="2">
        <v>-22.0</v>
      </c>
      <c r="P2734" s="2" t="s">
        <v>92</v>
      </c>
    </row>
    <row r="2735">
      <c r="A2735" s="3" t="s">
        <v>16</v>
      </c>
      <c r="B2735" s="2" t="s">
        <v>17</v>
      </c>
      <c r="C2735" s="2" t="s">
        <v>18</v>
      </c>
      <c r="D2735" s="2" t="s">
        <v>23</v>
      </c>
      <c r="E2735" s="2" t="s">
        <v>358</v>
      </c>
      <c r="F2735" s="2">
        <v>0.0</v>
      </c>
      <c r="G2735" s="2">
        <v>0.0</v>
      </c>
      <c r="H2735" s="2">
        <v>0.0</v>
      </c>
      <c r="I2735" s="2">
        <v>0.0</v>
      </c>
      <c r="J2735" s="2">
        <v>0.0</v>
      </c>
      <c r="K2735" s="2">
        <v>0.0</v>
      </c>
      <c r="L2735" s="2">
        <v>0.0</v>
      </c>
      <c r="M2735" s="2">
        <v>0.0</v>
      </c>
      <c r="N2735" s="2">
        <v>0.0</v>
      </c>
      <c r="O2735" s="2">
        <v>0.0</v>
      </c>
      <c r="P2735" s="2" t="s">
        <v>92</v>
      </c>
    </row>
    <row r="2736">
      <c r="A2736" s="3" t="s">
        <v>47</v>
      </c>
      <c r="B2736" s="2" t="s">
        <v>17</v>
      </c>
      <c r="C2736" s="2" t="s">
        <v>18</v>
      </c>
      <c r="D2736" s="2" t="s">
        <v>23</v>
      </c>
      <c r="E2736" s="2" t="s">
        <v>359</v>
      </c>
      <c r="F2736" s="2">
        <v>8.0</v>
      </c>
      <c r="G2736" s="2">
        <v>16.0</v>
      </c>
      <c r="H2736" s="2">
        <v>15.0</v>
      </c>
      <c r="I2736" s="2">
        <v>1.0</v>
      </c>
      <c r="J2736" s="2">
        <v>0.0</v>
      </c>
      <c r="K2736" s="2">
        <v>0.0</v>
      </c>
      <c r="L2736" s="2">
        <v>0.0</v>
      </c>
      <c r="M2736" s="2">
        <v>-7.0</v>
      </c>
      <c r="N2736" s="2">
        <v>-6.0</v>
      </c>
      <c r="O2736" s="2">
        <v>-22.0</v>
      </c>
      <c r="P2736" s="2" t="s">
        <v>92</v>
      </c>
    </row>
    <row r="2737">
      <c r="A2737" s="3" t="s">
        <v>48</v>
      </c>
      <c r="B2737" s="2" t="s">
        <v>17</v>
      </c>
      <c r="C2737" s="2" t="s">
        <v>18</v>
      </c>
      <c r="D2737" s="2" t="s">
        <v>23</v>
      </c>
      <c r="E2737" s="2" t="s">
        <v>360</v>
      </c>
      <c r="F2737" s="2">
        <v>7.0</v>
      </c>
      <c r="G2737" s="2">
        <v>24.0</v>
      </c>
      <c r="H2737" s="2">
        <v>18.0</v>
      </c>
      <c r="I2737" s="2">
        <v>6.0</v>
      </c>
      <c r="J2737" s="2">
        <v>0.0</v>
      </c>
      <c r="K2737" s="2">
        <v>0.0</v>
      </c>
      <c r="L2737" s="2">
        <v>0.0</v>
      </c>
      <c r="M2737" s="2">
        <v>-11.0</v>
      </c>
      <c r="N2737" s="2">
        <v>-1.0</v>
      </c>
      <c r="O2737" s="2">
        <v>-29.0</v>
      </c>
      <c r="P2737" s="2" t="s">
        <v>92</v>
      </c>
    </row>
    <row r="2738">
      <c r="A2738" s="3" t="s">
        <v>49</v>
      </c>
      <c r="B2738" s="2" t="s">
        <v>17</v>
      </c>
      <c r="C2738" s="2" t="s">
        <v>18</v>
      </c>
      <c r="D2738" s="2" t="s">
        <v>23</v>
      </c>
      <c r="E2738" s="2" t="s">
        <v>361</v>
      </c>
      <c r="F2738" s="2">
        <v>8.0</v>
      </c>
      <c r="G2738" s="2">
        <v>25.0</v>
      </c>
      <c r="H2738" s="2">
        <v>20.0</v>
      </c>
      <c r="I2738" s="2">
        <v>5.0</v>
      </c>
      <c r="J2738" s="2">
        <v>0.0</v>
      </c>
      <c r="K2738" s="2">
        <v>0.0</v>
      </c>
      <c r="L2738" s="2">
        <v>0.0</v>
      </c>
      <c r="M2738" s="2">
        <v>-12.0</v>
      </c>
      <c r="N2738" s="2">
        <v>-6.0</v>
      </c>
      <c r="O2738" s="2">
        <v>-32.0</v>
      </c>
      <c r="P2738" s="2" t="s">
        <v>92</v>
      </c>
    </row>
    <row r="2739">
      <c r="A2739" s="3" t="s">
        <v>51</v>
      </c>
      <c r="B2739" s="2" t="s">
        <v>17</v>
      </c>
      <c r="C2739" s="2" t="s">
        <v>18</v>
      </c>
      <c r="D2739" s="2" t="s">
        <v>23</v>
      </c>
      <c r="E2739" s="2" t="s">
        <v>362</v>
      </c>
      <c r="F2739" s="2">
        <v>7.0</v>
      </c>
      <c r="G2739" s="2">
        <v>26.0</v>
      </c>
      <c r="H2739" s="2">
        <v>18.0</v>
      </c>
      <c r="I2739" s="2">
        <v>8.0</v>
      </c>
      <c r="J2739" s="2">
        <v>0.0</v>
      </c>
      <c r="K2739" s="2">
        <v>0.0</v>
      </c>
      <c r="L2739" s="2">
        <v>0.0</v>
      </c>
      <c r="M2739" s="2">
        <v>-11.0</v>
      </c>
      <c r="N2739" s="2">
        <v>-7.0</v>
      </c>
      <c r="O2739" s="2">
        <v>-29.0</v>
      </c>
      <c r="P2739" s="2" t="s">
        <v>92</v>
      </c>
    </row>
    <row r="2740">
      <c r="A2740" s="3" t="s">
        <v>52</v>
      </c>
      <c r="B2740" s="2" t="s">
        <v>17</v>
      </c>
      <c r="C2740" s="2" t="s">
        <v>18</v>
      </c>
      <c r="D2740" s="2" t="s">
        <v>23</v>
      </c>
      <c r="E2740" s="2" t="s">
        <v>363</v>
      </c>
      <c r="F2740" s="2">
        <v>8.0</v>
      </c>
      <c r="G2740" s="2">
        <v>18.0</v>
      </c>
      <c r="H2740" s="2">
        <v>15.0</v>
      </c>
      <c r="I2740" s="2">
        <v>3.0</v>
      </c>
      <c r="J2740" s="2">
        <v>0.0</v>
      </c>
      <c r="K2740" s="2">
        <v>0.0</v>
      </c>
      <c r="L2740" s="2">
        <v>0.0</v>
      </c>
      <c r="M2740" s="2">
        <v>-7.0</v>
      </c>
      <c r="N2740" s="2">
        <v>-6.0</v>
      </c>
      <c r="O2740" s="2">
        <v>-22.0</v>
      </c>
      <c r="P2740" s="2" t="s">
        <v>92</v>
      </c>
    </row>
    <row r="2741">
      <c r="A2741" s="3" t="s">
        <v>53</v>
      </c>
      <c r="B2741" s="2" t="s">
        <v>17</v>
      </c>
      <c r="C2741" s="2" t="s">
        <v>18</v>
      </c>
      <c r="D2741" s="2" t="s">
        <v>23</v>
      </c>
      <c r="E2741" s="2" t="s">
        <v>364</v>
      </c>
      <c r="F2741" s="2">
        <v>8.0</v>
      </c>
      <c r="G2741" s="2">
        <v>16.0</v>
      </c>
      <c r="H2741" s="2">
        <v>14.0</v>
      </c>
      <c r="I2741" s="2">
        <v>2.0</v>
      </c>
      <c r="J2741" s="2">
        <v>0.0</v>
      </c>
      <c r="K2741" s="2">
        <v>0.0</v>
      </c>
      <c r="L2741" s="2">
        <v>0.0</v>
      </c>
      <c r="M2741" s="2">
        <v>-6.0</v>
      </c>
      <c r="N2741" s="2">
        <v>0.0</v>
      </c>
      <c r="O2741" s="2">
        <v>-10.0</v>
      </c>
      <c r="P2741" s="2" t="s">
        <v>92</v>
      </c>
    </row>
    <row r="2742">
      <c r="A2742" s="3" t="s">
        <v>54</v>
      </c>
      <c r="B2742" s="2" t="s">
        <v>17</v>
      </c>
      <c r="C2742" s="2" t="s">
        <v>18</v>
      </c>
      <c r="D2742" s="2" t="s">
        <v>23</v>
      </c>
      <c r="E2742" s="2" t="s">
        <v>365</v>
      </c>
      <c r="F2742" s="2">
        <v>8.0</v>
      </c>
      <c r="G2742" s="2">
        <v>18.0</v>
      </c>
      <c r="H2742" s="2">
        <v>11.0</v>
      </c>
      <c r="I2742" s="2">
        <v>7.0</v>
      </c>
      <c r="J2742" s="2">
        <v>0.0</v>
      </c>
      <c r="K2742" s="2">
        <v>0.0</v>
      </c>
      <c r="L2742" s="2">
        <v>0.0</v>
      </c>
      <c r="M2742" s="2">
        <v>-3.0</v>
      </c>
      <c r="N2742" s="2">
        <v>0.0</v>
      </c>
      <c r="O2742" s="2">
        <v>-6.0</v>
      </c>
      <c r="P2742" s="2" t="s">
        <v>92</v>
      </c>
    </row>
    <row r="2743">
      <c r="A2743" s="3" t="s">
        <v>55</v>
      </c>
      <c r="B2743" s="2" t="s">
        <v>17</v>
      </c>
      <c r="C2743" s="2" t="s">
        <v>148</v>
      </c>
      <c r="D2743" s="2" t="s">
        <v>23</v>
      </c>
      <c r="E2743" s="2" t="s">
        <v>366</v>
      </c>
      <c r="F2743" s="2">
        <v>3.0</v>
      </c>
      <c r="G2743" s="2">
        <v>3.0</v>
      </c>
      <c r="H2743" s="2">
        <v>3.0</v>
      </c>
      <c r="I2743" s="2">
        <v>0.0</v>
      </c>
      <c r="J2743" s="2">
        <v>0.0</v>
      </c>
      <c r="K2743" s="2">
        <v>0.0</v>
      </c>
      <c r="L2743" s="2">
        <v>0.0</v>
      </c>
      <c r="M2743" s="2">
        <v>0.0</v>
      </c>
      <c r="N2743" s="2">
        <v>-4.0</v>
      </c>
      <c r="O2743" s="2">
        <v>-3.0</v>
      </c>
      <c r="P2743" s="2" t="s">
        <v>92</v>
      </c>
    </row>
    <row r="2744">
      <c r="A2744" s="3" t="s">
        <v>56</v>
      </c>
      <c r="B2744" s="2" t="s">
        <v>17</v>
      </c>
      <c r="C2744" s="2" t="s">
        <v>57</v>
      </c>
      <c r="D2744" s="2" t="s">
        <v>23</v>
      </c>
      <c r="E2744" s="2" t="s">
        <v>367</v>
      </c>
      <c r="F2744" s="2">
        <v>18.0</v>
      </c>
      <c r="G2744" s="2">
        <v>21.0</v>
      </c>
      <c r="H2744" s="2">
        <v>19.0</v>
      </c>
      <c r="I2744" s="2">
        <v>2.0</v>
      </c>
      <c r="J2744" s="2">
        <v>0.0</v>
      </c>
      <c r="K2744" s="2">
        <v>0.0</v>
      </c>
      <c r="L2744" s="2">
        <v>0.0</v>
      </c>
      <c r="M2744" s="2">
        <v>-1.0</v>
      </c>
      <c r="N2744" s="2">
        <v>0.0</v>
      </c>
      <c r="O2744" s="2">
        <v>-20.0</v>
      </c>
      <c r="P2744" s="2" t="s">
        <v>92</v>
      </c>
    </row>
    <row r="2745">
      <c r="A2745" s="3" t="s">
        <v>59</v>
      </c>
      <c r="B2745" s="2" t="s">
        <v>17</v>
      </c>
      <c r="C2745" s="2" t="s">
        <v>57</v>
      </c>
      <c r="D2745" s="2" t="s">
        <v>23</v>
      </c>
      <c r="E2745" s="2" t="s">
        <v>368</v>
      </c>
      <c r="F2745" s="2">
        <v>8.0</v>
      </c>
      <c r="G2745" s="2">
        <v>13.0</v>
      </c>
      <c r="H2745" s="2">
        <v>10.0</v>
      </c>
      <c r="I2745" s="2">
        <v>3.0</v>
      </c>
      <c r="J2745" s="2">
        <v>0.0</v>
      </c>
      <c r="K2745" s="2">
        <v>0.0</v>
      </c>
      <c r="L2745" s="2">
        <v>0.0</v>
      </c>
      <c r="M2745" s="2">
        <v>-2.0</v>
      </c>
      <c r="N2745" s="2">
        <v>0.0</v>
      </c>
      <c r="O2745" s="2">
        <v>-12.0</v>
      </c>
      <c r="P2745" s="2" t="s">
        <v>92</v>
      </c>
    </row>
    <row r="2746">
      <c r="A2746" s="3" t="s">
        <v>60</v>
      </c>
      <c r="B2746" s="2" t="s">
        <v>17</v>
      </c>
      <c r="C2746" s="2" t="s">
        <v>57</v>
      </c>
      <c r="D2746" s="2" t="s">
        <v>23</v>
      </c>
      <c r="E2746" s="2" t="s">
        <v>369</v>
      </c>
      <c r="F2746" s="2">
        <v>19.0</v>
      </c>
      <c r="G2746" s="2">
        <v>22.0</v>
      </c>
      <c r="H2746" s="2">
        <v>19.0</v>
      </c>
      <c r="I2746" s="2">
        <v>3.0</v>
      </c>
      <c r="J2746" s="2">
        <v>0.0</v>
      </c>
      <c r="K2746" s="2">
        <v>0.0</v>
      </c>
      <c r="L2746" s="2">
        <v>0.0</v>
      </c>
      <c r="M2746" s="2">
        <v>0.0</v>
      </c>
      <c r="N2746" s="2">
        <v>2.0</v>
      </c>
      <c r="O2746" s="2">
        <v>-19.0</v>
      </c>
      <c r="P2746" s="2" t="s">
        <v>92</v>
      </c>
    </row>
    <row r="2747">
      <c r="A2747" s="3" t="s">
        <v>61</v>
      </c>
      <c r="B2747" s="2" t="s">
        <v>17</v>
      </c>
      <c r="C2747" s="2" t="s">
        <v>57</v>
      </c>
      <c r="D2747" s="2" t="s">
        <v>23</v>
      </c>
      <c r="E2747" s="2" t="s">
        <v>370</v>
      </c>
      <c r="F2747" s="2">
        <v>16.0</v>
      </c>
      <c r="G2747" s="2">
        <v>18.0</v>
      </c>
      <c r="H2747" s="2">
        <v>16.0</v>
      </c>
      <c r="I2747" s="2">
        <v>2.0</v>
      </c>
      <c r="J2747" s="2">
        <v>0.0</v>
      </c>
      <c r="K2747" s="2">
        <v>0.0</v>
      </c>
      <c r="L2747" s="2">
        <v>0.0</v>
      </c>
      <c r="M2747" s="2">
        <v>0.0</v>
      </c>
      <c r="N2747" s="2">
        <v>0.0</v>
      </c>
      <c r="O2747" s="2">
        <v>-16.0</v>
      </c>
      <c r="P2747" s="2" t="s">
        <v>92</v>
      </c>
    </row>
    <row r="2748">
      <c r="A2748" s="3" t="s">
        <v>62</v>
      </c>
      <c r="B2748" s="2" t="s">
        <v>17</v>
      </c>
      <c r="C2748" s="2" t="s">
        <v>57</v>
      </c>
      <c r="D2748" s="2" t="s">
        <v>23</v>
      </c>
      <c r="E2748" s="2" t="s">
        <v>371</v>
      </c>
      <c r="F2748" s="2">
        <v>11.0</v>
      </c>
      <c r="G2748" s="2">
        <v>15.0</v>
      </c>
      <c r="H2748" s="2">
        <v>12.0</v>
      </c>
      <c r="I2748" s="2">
        <v>3.0</v>
      </c>
      <c r="J2748" s="2">
        <v>0.0</v>
      </c>
      <c r="K2748" s="2">
        <v>0.0</v>
      </c>
      <c r="L2748" s="2">
        <v>0.0</v>
      </c>
      <c r="M2748" s="2">
        <v>-1.0</v>
      </c>
      <c r="N2748" s="2">
        <v>0.0</v>
      </c>
      <c r="O2748" s="2">
        <v>-13.0</v>
      </c>
      <c r="P2748" s="2" t="s">
        <v>92</v>
      </c>
    </row>
    <row r="2749">
      <c r="A2749" s="3" t="s">
        <v>63</v>
      </c>
      <c r="B2749" s="2" t="s">
        <v>17</v>
      </c>
      <c r="C2749" s="2" t="s">
        <v>57</v>
      </c>
      <c r="D2749" s="2" t="s">
        <v>23</v>
      </c>
      <c r="E2749" s="2" t="s">
        <v>372</v>
      </c>
      <c r="F2749" s="2">
        <v>10.0</v>
      </c>
      <c r="G2749" s="2">
        <v>12.0</v>
      </c>
      <c r="H2749" s="2">
        <v>11.0</v>
      </c>
      <c r="I2749" s="2">
        <v>1.0</v>
      </c>
      <c r="J2749" s="2">
        <v>0.0</v>
      </c>
      <c r="K2749" s="2">
        <v>0.0</v>
      </c>
      <c r="L2749" s="2">
        <v>0.0</v>
      </c>
      <c r="M2749" s="2">
        <v>-1.0</v>
      </c>
      <c r="N2749" s="2">
        <v>0.0</v>
      </c>
      <c r="O2749" s="2">
        <v>-12.0</v>
      </c>
      <c r="P2749" s="2" t="s">
        <v>92</v>
      </c>
    </row>
    <row r="2750">
      <c r="A2750" s="3" t="s">
        <v>64</v>
      </c>
      <c r="B2750" s="2" t="s">
        <v>17</v>
      </c>
      <c r="C2750" s="2" t="s">
        <v>57</v>
      </c>
      <c r="D2750" s="2" t="s">
        <v>23</v>
      </c>
      <c r="E2750" s="2" t="s">
        <v>373</v>
      </c>
      <c r="F2750" s="2">
        <v>13.0</v>
      </c>
      <c r="G2750" s="2">
        <v>15.0</v>
      </c>
      <c r="H2750" s="2">
        <v>13.0</v>
      </c>
      <c r="I2750" s="2">
        <v>2.0</v>
      </c>
      <c r="J2750" s="2">
        <v>0.0</v>
      </c>
      <c r="K2750" s="2">
        <v>0.0</v>
      </c>
      <c r="L2750" s="2">
        <v>0.0</v>
      </c>
      <c r="M2750" s="2">
        <v>0.0</v>
      </c>
      <c r="N2750" s="2">
        <v>0.0</v>
      </c>
      <c r="O2750" s="2">
        <v>-13.0</v>
      </c>
      <c r="P2750" s="2" t="s">
        <v>92</v>
      </c>
    </row>
    <row r="2751">
      <c r="A2751" s="3" t="s">
        <v>65</v>
      </c>
      <c r="B2751" s="2" t="s">
        <v>17</v>
      </c>
      <c r="C2751" s="2" t="s">
        <v>57</v>
      </c>
      <c r="D2751" s="2" t="s">
        <v>23</v>
      </c>
      <c r="E2751" s="2" t="s">
        <v>374</v>
      </c>
      <c r="F2751" s="2">
        <v>10.0</v>
      </c>
      <c r="G2751" s="2">
        <v>11.0</v>
      </c>
      <c r="H2751" s="2">
        <v>10.0</v>
      </c>
      <c r="I2751" s="2">
        <v>1.0</v>
      </c>
      <c r="J2751" s="2">
        <v>0.0</v>
      </c>
      <c r="K2751" s="2">
        <v>0.0</v>
      </c>
      <c r="L2751" s="2">
        <v>0.0</v>
      </c>
      <c r="M2751" s="2">
        <v>0.0</v>
      </c>
      <c r="N2751" s="2">
        <v>0.0</v>
      </c>
      <c r="O2751" s="2">
        <v>-10.0</v>
      </c>
      <c r="P2751" s="2" t="s">
        <v>92</v>
      </c>
    </row>
    <row r="2752">
      <c r="A2752" s="3" t="s">
        <v>66</v>
      </c>
      <c r="B2752" s="2" t="s">
        <v>17</v>
      </c>
      <c r="C2752" s="2" t="s">
        <v>57</v>
      </c>
      <c r="D2752" s="2" t="s">
        <v>23</v>
      </c>
      <c r="E2752" s="2" t="s">
        <v>375</v>
      </c>
      <c r="F2752" s="2">
        <v>11.0</v>
      </c>
      <c r="G2752" s="2">
        <v>14.0</v>
      </c>
      <c r="H2752" s="2">
        <v>11.0</v>
      </c>
      <c r="I2752" s="2">
        <v>3.0</v>
      </c>
      <c r="J2752" s="2">
        <v>0.0</v>
      </c>
      <c r="K2752" s="2">
        <v>0.0</v>
      </c>
      <c r="L2752" s="2">
        <v>0.0</v>
      </c>
      <c r="M2752" s="2">
        <v>0.0</v>
      </c>
      <c r="N2752" s="2">
        <v>0.0</v>
      </c>
      <c r="O2752" s="2">
        <v>-11.0</v>
      </c>
      <c r="P2752" s="2" t="s">
        <v>92</v>
      </c>
    </row>
    <row r="2753">
      <c r="A2753" s="3" t="s">
        <v>68</v>
      </c>
      <c r="B2753" s="4">
        <v>45140.29166666667</v>
      </c>
      <c r="C2753" s="2" t="s">
        <v>18</v>
      </c>
      <c r="D2753" s="2" t="s">
        <v>19</v>
      </c>
      <c r="E2753" s="2" t="s">
        <v>357</v>
      </c>
      <c r="F2753" s="2"/>
      <c r="G2753" s="2">
        <v>2.0</v>
      </c>
      <c r="H2753" s="2">
        <v>1.0</v>
      </c>
      <c r="I2753" s="2">
        <v>1.0</v>
      </c>
      <c r="J2753" s="2">
        <v>0.0</v>
      </c>
      <c r="K2753" s="2">
        <v>0.0</v>
      </c>
      <c r="L2753" s="2">
        <v>0.0</v>
      </c>
      <c r="M2753" s="2"/>
      <c r="N2753" s="2"/>
      <c r="O2753" s="2"/>
      <c r="P2753" s="2" t="s">
        <v>92</v>
      </c>
    </row>
    <row r="2754">
      <c r="A2754" s="3" t="s">
        <v>70</v>
      </c>
      <c r="B2754" s="4">
        <v>45141.29166666667</v>
      </c>
      <c r="C2754" s="2" t="s">
        <v>18</v>
      </c>
      <c r="D2754" s="2" t="s">
        <v>19</v>
      </c>
      <c r="E2754" s="2" t="s">
        <v>368</v>
      </c>
      <c r="F2754" s="2"/>
      <c r="G2754" s="2">
        <v>4.0</v>
      </c>
      <c r="H2754" s="2">
        <v>4.0</v>
      </c>
      <c r="I2754" s="2">
        <v>0.0</v>
      </c>
      <c r="J2754" s="2">
        <v>0.0</v>
      </c>
      <c r="K2754" s="2">
        <v>0.0</v>
      </c>
      <c r="L2754" s="2">
        <v>0.0</v>
      </c>
      <c r="M2754" s="2"/>
      <c r="N2754" s="2"/>
      <c r="O2754" s="2"/>
      <c r="P2754" s="2" t="s">
        <v>92</v>
      </c>
    </row>
    <row r="2755">
      <c r="A2755" s="3" t="s">
        <v>16</v>
      </c>
      <c r="B2755" s="4">
        <v>45142.29166666667</v>
      </c>
      <c r="C2755" s="2" t="s">
        <v>18</v>
      </c>
      <c r="D2755" s="2" t="s">
        <v>19</v>
      </c>
      <c r="E2755" s="2" t="s">
        <v>369</v>
      </c>
      <c r="F2755" s="2"/>
      <c r="G2755" s="2">
        <v>11.0</v>
      </c>
      <c r="H2755" s="2">
        <v>10.0</v>
      </c>
      <c r="I2755" s="2">
        <v>1.0</v>
      </c>
      <c r="J2755" s="2">
        <v>0.0</v>
      </c>
      <c r="K2755" s="2">
        <v>0.0</v>
      </c>
      <c r="L2755" s="2">
        <v>0.0</v>
      </c>
      <c r="M2755" s="2"/>
      <c r="N2755" s="2"/>
      <c r="O2755" s="2"/>
      <c r="P2755" s="2" t="s">
        <v>92</v>
      </c>
    </row>
    <row r="2756">
      <c r="A2756" s="3" t="s">
        <v>71</v>
      </c>
      <c r="B2756" s="4">
        <v>45143.29166666667</v>
      </c>
      <c r="C2756" s="2" t="s">
        <v>18</v>
      </c>
      <c r="D2756" s="2" t="s">
        <v>19</v>
      </c>
      <c r="E2756" s="2" t="s">
        <v>370</v>
      </c>
      <c r="F2756" s="2"/>
      <c r="G2756" s="2">
        <v>9.0</v>
      </c>
      <c r="H2756" s="2">
        <v>8.0</v>
      </c>
      <c r="I2756" s="2">
        <v>1.0</v>
      </c>
      <c r="J2756" s="2">
        <v>0.0</v>
      </c>
      <c r="K2756" s="2">
        <v>0.0</v>
      </c>
      <c r="L2756" s="2">
        <v>0.0</v>
      </c>
      <c r="M2756" s="2"/>
      <c r="N2756" s="2"/>
      <c r="O2756" s="2"/>
      <c r="P2756" s="2" t="s">
        <v>92</v>
      </c>
    </row>
    <row r="2757">
      <c r="A2757" s="3" t="s">
        <v>72</v>
      </c>
      <c r="B2757" s="4">
        <v>45144.29166666667</v>
      </c>
      <c r="C2757" s="2" t="s">
        <v>18</v>
      </c>
      <c r="D2757" s="2" t="s">
        <v>19</v>
      </c>
      <c r="E2757" s="2" t="s">
        <v>358</v>
      </c>
      <c r="F2757" s="2"/>
      <c r="G2757" s="2">
        <v>0.0</v>
      </c>
      <c r="H2757" s="2">
        <v>0.0</v>
      </c>
      <c r="I2757" s="2">
        <v>0.0</v>
      </c>
      <c r="J2757" s="2">
        <v>0.0</v>
      </c>
      <c r="K2757" s="2">
        <v>0.0</v>
      </c>
      <c r="L2757" s="2">
        <v>0.0</v>
      </c>
      <c r="M2757" s="2"/>
      <c r="N2757" s="2"/>
      <c r="O2757" s="2"/>
      <c r="P2757" s="2" t="s">
        <v>92</v>
      </c>
    </row>
    <row r="2758">
      <c r="A2758" s="3" t="s">
        <v>73</v>
      </c>
      <c r="B2758" s="4">
        <v>45145.29166666667</v>
      </c>
      <c r="C2758" s="2" t="s">
        <v>18</v>
      </c>
      <c r="D2758" s="2" t="s">
        <v>19</v>
      </c>
      <c r="E2758" s="2" t="s">
        <v>371</v>
      </c>
      <c r="F2758" s="2"/>
      <c r="G2758" s="2">
        <v>9.0</v>
      </c>
      <c r="H2758" s="2">
        <v>7.0</v>
      </c>
      <c r="I2758" s="2">
        <v>2.0</v>
      </c>
      <c r="J2758" s="2">
        <v>0.0</v>
      </c>
      <c r="K2758" s="2">
        <v>0.0</v>
      </c>
      <c r="L2758" s="2">
        <v>0.0</v>
      </c>
      <c r="M2758" s="2"/>
      <c r="N2758" s="2"/>
      <c r="O2758" s="2"/>
      <c r="P2758" s="2" t="s">
        <v>92</v>
      </c>
    </row>
    <row r="2759">
      <c r="A2759" s="3" t="s">
        <v>74</v>
      </c>
      <c r="B2759" s="4">
        <v>45146.29166666667</v>
      </c>
      <c r="C2759" s="2" t="s">
        <v>18</v>
      </c>
      <c r="D2759" s="2" t="s">
        <v>19</v>
      </c>
      <c r="E2759" s="2" t="s">
        <v>372</v>
      </c>
      <c r="F2759" s="2"/>
      <c r="G2759" s="2">
        <v>11.0</v>
      </c>
      <c r="H2759" s="2">
        <v>11.0</v>
      </c>
      <c r="I2759" s="2">
        <v>0.0</v>
      </c>
      <c r="J2759" s="2">
        <v>0.0</v>
      </c>
      <c r="K2759" s="2">
        <v>0.0</v>
      </c>
      <c r="L2759" s="2">
        <v>0.0</v>
      </c>
      <c r="M2759" s="2"/>
      <c r="N2759" s="2"/>
      <c r="O2759" s="2"/>
      <c r="P2759" s="2" t="s">
        <v>92</v>
      </c>
    </row>
    <row r="2760">
      <c r="A2760" s="3" t="s">
        <v>75</v>
      </c>
      <c r="B2760" s="4">
        <v>45147.29166666667</v>
      </c>
      <c r="C2760" s="2" t="s">
        <v>18</v>
      </c>
      <c r="D2760" s="2" t="s">
        <v>19</v>
      </c>
      <c r="E2760" s="2" t="s">
        <v>359</v>
      </c>
      <c r="F2760" s="2"/>
      <c r="G2760" s="2">
        <v>1.0</v>
      </c>
      <c r="H2760" s="2">
        <v>1.0</v>
      </c>
      <c r="I2760" s="2">
        <v>0.0</v>
      </c>
      <c r="J2760" s="2">
        <v>0.0</v>
      </c>
      <c r="K2760" s="2">
        <v>0.0</v>
      </c>
      <c r="L2760" s="2">
        <v>0.0</v>
      </c>
      <c r="M2760" s="2"/>
      <c r="N2760" s="2"/>
      <c r="O2760" s="2"/>
      <c r="P2760" s="2" t="s">
        <v>92</v>
      </c>
    </row>
    <row r="2761">
      <c r="A2761" s="3" t="s">
        <v>76</v>
      </c>
      <c r="B2761" s="4">
        <v>45148.29166666667</v>
      </c>
      <c r="C2761" s="2" t="s">
        <v>18</v>
      </c>
      <c r="D2761" s="2" t="s">
        <v>19</v>
      </c>
      <c r="E2761" s="2" t="s">
        <v>373</v>
      </c>
      <c r="F2761" s="2"/>
      <c r="G2761" s="2">
        <v>12.0</v>
      </c>
      <c r="H2761" s="2">
        <v>11.0</v>
      </c>
      <c r="I2761" s="2">
        <v>1.0</v>
      </c>
      <c r="J2761" s="2">
        <v>0.0</v>
      </c>
      <c r="K2761" s="2">
        <v>0.0</v>
      </c>
      <c r="L2761" s="2">
        <v>0.0</v>
      </c>
      <c r="M2761" s="2"/>
      <c r="N2761" s="2"/>
      <c r="O2761" s="2"/>
      <c r="P2761" s="2" t="s">
        <v>92</v>
      </c>
    </row>
    <row r="2762">
      <c r="A2762" s="3" t="s">
        <v>77</v>
      </c>
      <c r="B2762" s="4">
        <v>45149.29166666667</v>
      </c>
      <c r="C2762" s="2" t="s">
        <v>18</v>
      </c>
      <c r="D2762" s="2" t="s">
        <v>19</v>
      </c>
      <c r="E2762" s="2" t="s">
        <v>360</v>
      </c>
      <c r="F2762" s="2"/>
      <c r="G2762" s="2">
        <v>5.0</v>
      </c>
      <c r="H2762" s="2">
        <v>5.0</v>
      </c>
      <c r="I2762" s="2">
        <v>0.0</v>
      </c>
      <c r="J2762" s="2">
        <v>0.0</v>
      </c>
      <c r="K2762" s="2">
        <v>0.0</v>
      </c>
      <c r="L2762" s="2">
        <v>0.0</v>
      </c>
      <c r="M2762" s="2"/>
      <c r="N2762" s="2"/>
      <c r="O2762" s="2"/>
      <c r="P2762" s="2" t="s">
        <v>92</v>
      </c>
    </row>
    <row r="2763">
      <c r="A2763" s="3" t="s">
        <v>78</v>
      </c>
      <c r="B2763" s="4">
        <v>45150.29166666667</v>
      </c>
      <c r="C2763" s="2" t="s">
        <v>18</v>
      </c>
      <c r="D2763" s="2" t="s">
        <v>19</v>
      </c>
      <c r="E2763" s="2" t="s">
        <v>374</v>
      </c>
      <c r="F2763" s="2"/>
      <c r="G2763" s="2">
        <v>11.0</v>
      </c>
      <c r="H2763" s="2">
        <v>10.0</v>
      </c>
      <c r="I2763" s="2">
        <v>1.0</v>
      </c>
      <c r="J2763" s="2">
        <v>0.0</v>
      </c>
      <c r="K2763" s="2">
        <v>0.0</v>
      </c>
      <c r="L2763" s="2">
        <v>0.0</v>
      </c>
      <c r="M2763" s="2"/>
      <c r="N2763" s="2"/>
      <c r="O2763" s="2"/>
      <c r="P2763" s="2" t="s">
        <v>92</v>
      </c>
    </row>
    <row r="2764">
      <c r="A2764" s="3" t="s">
        <v>81</v>
      </c>
      <c r="B2764" s="4">
        <v>45151.29166666667</v>
      </c>
      <c r="C2764" s="2" t="s">
        <v>18</v>
      </c>
      <c r="D2764" s="2" t="s">
        <v>19</v>
      </c>
      <c r="E2764" s="2" t="s">
        <v>375</v>
      </c>
      <c r="F2764" s="2"/>
      <c r="G2764" s="2">
        <v>12.0</v>
      </c>
      <c r="H2764" s="2">
        <v>10.0</v>
      </c>
      <c r="I2764" s="2">
        <v>2.0</v>
      </c>
      <c r="J2764" s="2">
        <v>0.0</v>
      </c>
      <c r="K2764" s="2">
        <v>0.0</v>
      </c>
      <c r="L2764" s="2">
        <v>0.0</v>
      </c>
      <c r="M2764" s="2"/>
      <c r="N2764" s="2"/>
      <c r="O2764" s="2"/>
      <c r="P2764" s="2" t="s">
        <v>92</v>
      </c>
    </row>
    <row r="2765">
      <c r="A2765" s="3" t="s">
        <v>82</v>
      </c>
      <c r="B2765" s="4">
        <v>45152.29166666667</v>
      </c>
      <c r="C2765" s="2" t="s">
        <v>18</v>
      </c>
      <c r="D2765" s="2" t="s">
        <v>19</v>
      </c>
      <c r="E2765" s="2" t="s">
        <v>361</v>
      </c>
      <c r="F2765" s="2"/>
      <c r="G2765" s="2">
        <v>1.0</v>
      </c>
      <c r="H2765" s="2">
        <v>1.0</v>
      </c>
      <c r="I2765" s="2">
        <v>0.0</v>
      </c>
      <c r="J2765" s="2">
        <v>0.0</v>
      </c>
      <c r="K2765" s="2">
        <v>0.0</v>
      </c>
      <c r="L2765" s="2">
        <v>0.0</v>
      </c>
      <c r="M2765" s="2"/>
      <c r="N2765" s="2"/>
      <c r="O2765" s="2"/>
      <c r="P2765" s="2" t="s">
        <v>92</v>
      </c>
    </row>
    <row r="2766">
      <c r="A2766" s="3" t="s">
        <v>83</v>
      </c>
      <c r="B2766" s="4">
        <v>45153.29166666667</v>
      </c>
      <c r="C2766" s="2" t="s">
        <v>18</v>
      </c>
      <c r="D2766" s="2" t="s">
        <v>19</v>
      </c>
      <c r="E2766" s="2" t="s">
        <v>362</v>
      </c>
      <c r="F2766" s="2"/>
      <c r="G2766" s="2">
        <v>0.0</v>
      </c>
      <c r="H2766" s="2">
        <v>0.0</v>
      </c>
      <c r="I2766" s="2">
        <v>0.0</v>
      </c>
      <c r="J2766" s="2">
        <v>0.0</v>
      </c>
      <c r="K2766" s="2">
        <v>0.0</v>
      </c>
      <c r="L2766" s="2">
        <v>0.0</v>
      </c>
      <c r="M2766" s="2"/>
      <c r="N2766" s="2"/>
      <c r="O2766" s="2"/>
      <c r="P2766" s="2" t="s">
        <v>92</v>
      </c>
    </row>
    <row r="2767">
      <c r="A2767" s="3" t="s">
        <v>84</v>
      </c>
      <c r="B2767" s="4">
        <v>45154.29166666667</v>
      </c>
      <c r="C2767" s="2" t="s">
        <v>18</v>
      </c>
      <c r="D2767" s="2" t="s">
        <v>19</v>
      </c>
      <c r="E2767" s="2" t="s">
        <v>363</v>
      </c>
      <c r="F2767" s="2"/>
      <c r="G2767" s="2">
        <v>0.0</v>
      </c>
      <c r="H2767" s="2">
        <v>0.0</v>
      </c>
      <c r="I2767" s="2">
        <v>0.0</v>
      </c>
      <c r="J2767" s="2">
        <v>0.0</v>
      </c>
      <c r="K2767" s="2">
        <v>0.0</v>
      </c>
      <c r="L2767" s="2">
        <v>0.0</v>
      </c>
      <c r="M2767" s="2"/>
      <c r="N2767" s="2"/>
      <c r="O2767" s="2"/>
      <c r="P2767" s="2" t="s">
        <v>92</v>
      </c>
    </row>
    <row r="2768">
      <c r="A2768" s="3" t="s">
        <v>85</v>
      </c>
      <c r="B2768" s="4">
        <v>45155.29166666667</v>
      </c>
      <c r="C2768" s="2" t="s">
        <v>18</v>
      </c>
      <c r="D2768" s="2" t="s">
        <v>19</v>
      </c>
      <c r="E2768" s="2" t="s">
        <v>367</v>
      </c>
      <c r="F2768" s="2"/>
      <c r="G2768" s="2">
        <v>8.0</v>
      </c>
      <c r="H2768" s="2">
        <v>7.0</v>
      </c>
      <c r="I2768" s="2">
        <v>1.0</v>
      </c>
      <c r="J2768" s="2">
        <v>0.0</v>
      </c>
      <c r="K2768" s="2">
        <v>0.0</v>
      </c>
      <c r="L2768" s="2">
        <v>0.0</v>
      </c>
      <c r="M2768" s="2"/>
      <c r="N2768" s="2"/>
      <c r="O2768" s="2"/>
      <c r="P2768" s="2" t="s">
        <v>92</v>
      </c>
    </row>
    <row r="2769">
      <c r="A2769" s="3" t="s">
        <v>86</v>
      </c>
      <c r="B2769" s="4">
        <v>45156.29166666667</v>
      </c>
      <c r="C2769" s="2" t="s">
        <v>18</v>
      </c>
      <c r="D2769" s="2" t="s">
        <v>19</v>
      </c>
      <c r="E2769" s="2" t="s">
        <v>364</v>
      </c>
      <c r="F2769" s="2"/>
      <c r="G2769" s="2">
        <v>4.0</v>
      </c>
      <c r="H2769" s="2">
        <v>2.0</v>
      </c>
      <c r="I2769" s="2">
        <v>2.0</v>
      </c>
      <c r="J2769" s="2">
        <v>0.0</v>
      </c>
      <c r="K2769" s="2">
        <v>0.0</v>
      </c>
      <c r="L2769" s="2">
        <v>0.0</v>
      </c>
      <c r="M2769" s="2"/>
      <c r="N2769" s="2"/>
      <c r="O2769" s="2"/>
      <c r="P2769" s="2" t="s">
        <v>92</v>
      </c>
    </row>
    <row r="2770">
      <c r="A2770" s="3" t="s">
        <v>87</v>
      </c>
      <c r="B2770" s="4">
        <v>45157.29166666667</v>
      </c>
      <c r="C2770" s="2" t="s">
        <v>18</v>
      </c>
      <c r="D2770" s="2" t="s">
        <v>19</v>
      </c>
      <c r="E2770" s="2" t="s">
        <v>366</v>
      </c>
      <c r="F2770" s="2"/>
      <c r="G2770" s="2">
        <v>1.0</v>
      </c>
      <c r="H2770" s="2">
        <v>1.0</v>
      </c>
      <c r="I2770" s="2">
        <v>0.0</v>
      </c>
      <c r="J2770" s="2">
        <v>0.0</v>
      </c>
      <c r="K2770" s="2">
        <v>0.0</v>
      </c>
      <c r="L2770" s="2">
        <v>0.0</v>
      </c>
      <c r="M2770" s="2"/>
      <c r="N2770" s="2"/>
      <c r="O2770" s="2"/>
      <c r="P2770" s="2" t="s">
        <v>92</v>
      </c>
    </row>
    <row r="2771">
      <c r="A2771" s="3" t="s">
        <v>88</v>
      </c>
      <c r="B2771" s="4">
        <v>45158.29166666667</v>
      </c>
      <c r="C2771" s="2" t="s">
        <v>18</v>
      </c>
      <c r="D2771" s="2" t="s">
        <v>19</v>
      </c>
      <c r="E2771" s="2" t="s">
        <v>365</v>
      </c>
      <c r="F2771" s="2"/>
      <c r="G2771" s="2">
        <v>2.0</v>
      </c>
      <c r="H2771" s="2">
        <v>0.0</v>
      </c>
      <c r="I2771" s="2">
        <v>2.0</v>
      </c>
      <c r="J2771" s="2">
        <v>0.0</v>
      </c>
      <c r="K2771" s="2">
        <v>0.0</v>
      </c>
      <c r="L2771" s="2">
        <v>0.0</v>
      </c>
      <c r="M2771" s="2"/>
      <c r="N2771" s="2"/>
      <c r="O2771" s="2"/>
      <c r="P2771" s="2" t="s">
        <v>92</v>
      </c>
    </row>
    <row r="2772">
      <c r="A2772" s="3" t="s">
        <v>89</v>
      </c>
      <c r="B2772" s="4">
        <v>45170.29166666667</v>
      </c>
      <c r="C2772" s="2" t="s">
        <v>18</v>
      </c>
      <c r="D2772" s="2" t="s">
        <v>19</v>
      </c>
      <c r="E2772" s="2" t="s">
        <v>357</v>
      </c>
      <c r="F2772" s="2"/>
      <c r="G2772" s="2">
        <v>6.0</v>
      </c>
      <c r="H2772" s="2">
        <v>4.0</v>
      </c>
      <c r="I2772" s="2">
        <v>2.0</v>
      </c>
      <c r="J2772" s="2">
        <v>0.0</v>
      </c>
      <c r="K2772" s="2">
        <v>0.0</v>
      </c>
      <c r="L2772" s="2">
        <v>0.0</v>
      </c>
      <c r="M2772" s="2"/>
      <c r="N2772" s="2"/>
      <c r="O2772" s="2"/>
      <c r="P2772" s="2" t="s">
        <v>92</v>
      </c>
    </row>
    <row r="2773">
      <c r="A2773" s="3" t="s">
        <v>90</v>
      </c>
      <c r="B2773" s="4">
        <v>45174.29166666667</v>
      </c>
      <c r="C2773" s="2" t="s">
        <v>18</v>
      </c>
      <c r="D2773" s="2" t="s">
        <v>19</v>
      </c>
      <c r="E2773" s="2" t="s">
        <v>358</v>
      </c>
      <c r="F2773" s="2"/>
      <c r="G2773" s="2">
        <v>0.0</v>
      </c>
      <c r="H2773" s="2">
        <v>0.0</v>
      </c>
      <c r="I2773" s="2">
        <v>0.0</v>
      </c>
      <c r="J2773" s="2">
        <v>0.0</v>
      </c>
      <c r="K2773" s="2">
        <v>0.0</v>
      </c>
      <c r="L2773" s="2">
        <v>0.0</v>
      </c>
      <c r="M2773" s="2"/>
      <c r="N2773" s="2"/>
      <c r="O2773" s="2"/>
      <c r="P2773" s="2" t="s">
        <v>92</v>
      </c>
    </row>
    <row r="2774">
      <c r="A2774" s="3" t="s">
        <v>93</v>
      </c>
      <c r="B2774" s="4">
        <v>45177.29166666667</v>
      </c>
      <c r="C2774" s="2" t="s">
        <v>18</v>
      </c>
      <c r="D2774" s="2" t="s">
        <v>19</v>
      </c>
      <c r="E2774" s="2" t="s">
        <v>359</v>
      </c>
      <c r="F2774" s="2"/>
      <c r="G2774" s="2">
        <v>1.0</v>
      </c>
      <c r="H2774" s="2">
        <v>1.0</v>
      </c>
      <c r="I2774" s="2">
        <v>0.0</v>
      </c>
      <c r="J2774" s="2">
        <v>0.0</v>
      </c>
      <c r="K2774" s="2">
        <v>0.0</v>
      </c>
      <c r="L2774" s="2">
        <v>0.0</v>
      </c>
      <c r="M2774" s="2"/>
      <c r="N2774" s="2"/>
      <c r="O2774" s="2"/>
      <c r="P2774" s="2" t="s">
        <v>92</v>
      </c>
    </row>
    <row r="2775">
      <c r="A2775" s="3" t="s">
        <v>16</v>
      </c>
      <c r="B2775" s="4">
        <v>45179.29166666667</v>
      </c>
      <c r="C2775" s="2" t="s">
        <v>18</v>
      </c>
      <c r="D2775" s="2" t="s">
        <v>19</v>
      </c>
      <c r="E2775" s="2" t="s">
        <v>360</v>
      </c>
      <c r="F2775" s="2"/>
      <c r="G2775" s="2">
        <v>1.0</v>
      </c>
      <c r="H2775" s="2">
        <v>1.0</v>
      </c>
      <c r="I2775" s="2">
        <v>0.0</v>
      </c>
      <c r="J2775" s="2">
        <v>0.0</v>
      </c>
      <c r="K2775" s="2">
        <v>0.0</v>
      </c>
      <c r="L2775" s="2">
        <v>0.0</v>
      </c>
      <c r="M2775" s="2"/>
      <c r="N2775" s="2"/>
      <c r="O2775" s="2"/>
      <c r="P2775" s="2" t="s">
        <v>92</v>
      </c>
    </row>
    <row r="2776">
      <c r="A2776" s="3" t="s">
        <v>94</v>
      </c>
      <c r="B2776" s="4">
        <v>45182.29166666667</v>
      </c>
      <c r="C2776" s="2" t="s">
        <v>18</v>
      </c>
      <c r="D2776" s="2" t="s">
        <v>19</v>
      </c>
      <c r="E2776" s="2" t="s">
        <v>361</v>
      </c>
      <c r="F2776" s="2"/>
      <c r="G2776" s="2">
        <v>1.0</v>
      </c>
      <c r="H2776" s="2">
        <v>1.0</v>
      </c>
      <c r="I2776" s="2">
        <v>0.0</v>
      </c>
      <c r="J2776" s="2">
        <v>0.0</v>
      </c>
      <c r="K2776" s="2">
        <v>0.0</v>
      </c>
      <c r="L2776" s="2">
        <v>0.0</v>
      </c>
      <c r="M2776" s="2"/>
      <c r="N2776" s="2"/>
      <c r="O2776" s="2"/>
      <c r="P2776" s="2" t="s">
        <v>92</v>
      </c>
    </row>
    <row r="2777">
      <c r="A2777" s="3" t="s">
        <v>95</v>
      </c>
      <c r="B2777" s="4">
        <v>45183.29166666667</v>
      </c>
      <c r="C2777" s="2" t="s">
        <v>18</v>
      </c>
      <c r="D2777" s="2" t="s">
        <v>19</v>
      </c>
      <c r="E2777" s="2" t="s">
        <v>362</v>
      </c>
      <c r="F2777" s="2"/>
      <c r="G2777" s="2">
        <v>1.0</v>
      </c>
      <c r="H2777" s="2">
        <v>1.0</v>
      </c>
      <c r="I2777" s="2">
        <v>0.0</v>
      </c>
      <c r="J2777" s="2">
        <v>0.0</v>
      </c>
      <c r="K2777" s="2">
        <v>0.0</v>
      </c>
      <c r="L2777" s="2">
        <v>0.0</v>
      </c>
      <c r="M2777" s="2"/>
      <c r="N2777" s="2"/>
      <c r="O2777" s="2"/>
      <c r="P2777" s="2" t="s">
        <v>92</v>
      </c>
    </row>
    <row r="2778">
      <c r="A2778" s="3" t="s">
        <v>97</v>
      </c>
      <c r="B2778" s="4">
        <v>45184.29166666667</v>
      </c>
      <c r="C2778" s="2" t="s">
        <v>18</v>
      </c>
      <c r="D2778" s="2" t="s">
        <v>19</v>
      </c>
      <c r="E2778" s="2" t="s">
        <v>363</v>
      </c>
      <c r="F2778" s="2"/>
      <c r="G2778" s="2">
        <v>3.0</v>
      </c>
      <c r="H2778" s="2">
        <v>1.0</v>
      </c>
      <c r="I2778" s="2">
        <v>2.0</v>
      </c>
      <c r="J2778" s="2">
        <v>0.0</v>
      </c>
      <c r="K2778" s="2">
        <v>0.0</v>
      </c>
      <c r="L2778" s="2">
        <v>0.0</v>
      </c>
      <c r="M2778" s="2"/>
      <c r="N2778" s="2"/>
      <c r="O2778" s="2"/>
      <c r="P2778" s="2" t="s">
        <v>92</v>
      </c>
    </row>
    <row r="2779">
      <c r="A2779" s="3" t="s">
        <v>98</v>
      </c>
      <c r="B2779" s="4">
        <v>45186.29166666667</v>
      </c>
      <c r="C2779" s="2" t="s">
        <v>18</v>
      </c>
      <c r="D2779" s="2" t="s">
        <v>19</v>
      </c>
      <c r="E2779" s="2" t="s">
        <v>364</v>
      </c>
      <c r="F2779" s="2"/>
      <c r="G2779" s="2">
        <v>7.0</v>
      </c>
      <c r="H2779" s="2">
        <v>7.0</v>
      </c>
      <c r="I2779" s="2">
        <v>0.0</v>
      </c>
      <c r="J2779" s="2">
        <v>0.0</v>
      </c>
      <c r="K2779" s="2">
        <v>0.0</v>
      </c>
      <c r="L2779" s="2">
        <v>0.0</v>
      </c>
      <c r="M2779" s="2"/>
      <c r="N2779" s="2"/>
      <c r="O2779" s="2"/>
      <c r="P2779" s="2" t="s">
        <v>92</v>
      </c>
    </row>
    <row r="2780">
      <c r="A2780" s="3" t="s">
        <v>99</v>
      </c>
      <c r="B2780" s="4">
        <v>45188.29166666667</v>
      </c>
      <c r="C2780" s="2" t="s">
        <v>18</v>
      </c>
      <c r="D2780" s="2" t="s">
        <v>19</v>
      </c>
      <c r="E2780" s="2" t="s">
        <v>365</v>
      </c>
      <c r="F2780" s="2"/>
      <c r="G2780" s="2">
        <v>9.0</v>
      </c>
      <c r="H2780" s="2">
        <v>7.0</v>
      </c>
      <c r="I2780" s="2">
        <v>2.0</v>
      </c>
      <c r="J2780" s="2">
        <v>0.0</v>
      </c>
      <c r="K2780" s="2">
        <v>0.0</v>
      </c>
      <c r="L2780" s="2">
        <v>0.0</v>
      </c>
      <c r="M2780" s="2"/>
      <c r="N2780" s="2"/>
      <c r="O2780" s="2"/>
      <c r="P2780" s="2" t="s">
        <v>92</v>
      </c>
    </row>
    <row r="2781">
      <c r="A2781" s="3" t="s">
        <v>100</v>
      </c>
      <c r="B2781" s="4">
        <v>45187.29166666667</v>
      </c>
      <c r="C2781" s="2" t="s">
        <v>148</v>
      </c>
      <c r="D2781" s="2" t="s">
        <v>19</v>
      </c>
      <c r="E2781" s="2" t="s">
        <v>366</v>
      </c>
      <c r="F2781" s="2"/>
      <c r="G2781" s="2">
        <v>2.0</v>
      </c>
      <c r="H2781" s="2">
        <v>2.0</v>
      </c>
      <c r="I2781" s="2">
        <v>0.0</v>
      </c>
      <c r="J2781" s="2">
        <v>0.0</v>
      </c>
      <c r="K2781" s="2">
        <v>0.0</v>
      </c>
      <c r="L2781" s="2">
        <v>0.0</v>
      </c>
      <c r="M2781" s="2"/>
      <c r="N2781" s="2"/>
      <c r="O2781" s="2"/>
      <c r="P2781" s="2" t="s">
        <v>92</v>
      </c>
    </row>
    <row r="2782">
      <c r="A2782" s="3" t="s">
        <v>101</v>
      </c>
      <c r="B2782" s="4">
        <v>45171.29166666667</v>
      </c>
      <c r="C2782" s="2" t="s">
        <v>57</v>
      </c>
      <c r="D2782" s="2" t="s">
        <v>19</v>
      </c>
      <c r="E2782" s="2" t="s">
        <v>368</v>
      </c>
      <c r="F2782" s="2"/>
      <c r="G2782" s="2">
        <v>9.0</v>
      </c>
      <c r="H2782" s="2">
        <v>6.0</v>
      </c>
      <c r="I2782" s="2">
        <v>3.0</v>
      </c>
      <c r="J2782" s="2">
        <v>0.0</v>
      </c>
      <c r="K2782" s="2">
        <v>0.0</v>
      </c>
      <c r="L2782" s="2">
        <v>0.0</v>
      </c>
      <c r="M2782" s="2"/>
      <c r="N2782" s="2"/>
      <c r="O2782" s="2"/>
      <c r="P2782" s="2" t="s">
        <v>92</v>
      </c>
    </row>
    <row r="2783">
      <c r="A2783" s="3" t="s">
        <v>102</v>
      </c>
      <c r="B2783" s="4">
        <v>45185.29166666667</v>
      </c>
      <c r="C2783" s="2" t="s">
        <v>57</v>
      </c>
      <c r="D2783" s="2" t="s">
        <v>19</v>
      </c>
      <c r="E2783" s="2" t="s">
        <v>367</v>
      </c>
      <c r="F2783" s="2"/>
      <c r="G2783" s="2">
        <v>13.0</v>
      </c>
      <c r="H2783" s="2">
        <v>12.0</v>
      </c>
      <c r="I2783" s="2">
        <v>1.0</v>
      </c>
      <c r="J2783" s="2">
        <v>0.0</v>
      </c>
      <c r="K2783" s="2">
        <v>0.0</v>
      </c>
      <c r="L2783" s="2">
        <v>0.0</v>
      </c>
      <c r="M2783" s="2"/>
      <c r="N2783" s="2"/>
      <c r="O2783" s="2"/>
      <c r="P2783" s="2" t="s">
        <v>92</v>
      </c>
    </row>
    <row r="2784">
      <c r="A2784" s="3" t="s">
        <v>103</v>
      </c>
      <c r="B2784" s="4">
        <v>45172.29166666667</v>
      </c>
      <c r="C2784" s="2" t="s">
        <v>57</v>
      </c>
      <c r="D2784" s="2" t="s">
        <v>19</v>
      </c>
      <c r="E2784" s="2" t="s">
        <v>369</v>
      </c>
      <c r="F2784" s="2"/>
      <c r="G2784" s="2">
        <v>11.0</v>
      </c>
      <c r="H2784" s="2">
        <v>9.0</v>
      </c>
      <c r="I2784" s="2">
        <v>2.0</v>
      </c>
      <c r="J2784" s="2">
        <v>0.0</v>
      </c>
      <c r="K2784" s="2">
        <v>0.0</v>
      </c>
      <c r="L2784" s="2">
        <v>0.0</v>
      </c>
      <c r="M2784" s="2"/>
      <c r="N2784" s="2"/>
      <c r="O2784" s="2"/>
      <c r="P2784" s="2" t="s">
        <v>92</v>
      </c>
    </row>
    <row r="2785">
      <c r="A2785" s="3" t="s">
        <v>104</v>
      </c>
      <c r="B2785" s="4">
        <v>45173.29166666667</v>
      </c>
      <c r="C2785" s="2" t="s">
        <v>57</v>
      </c>
      <c r="D2785" s="2" t="s">
        <v>19</v>
      </c>
      <c r="E2785" s="2" t="s">
        <v>370</v>
      </c>
      <c r="F2785" s="2"/>
      <c r="G2785" s="2">
        <v>9.0</v>
      </c>
      <c r="H2785" s="2">
        <v>8.0</v>
      </c>
      <c r="I2785" s="2">
        <v>1.0</v>
      </c>
      <c r="J2785" s="2">
        <v>0.0</v>
      </c>
      <c r="K2785" s="2">
        <v>0.0</v>
      </c>
      <c r="L2785" s="2">
        <v>0.0</v>
      </c>
      <c r="M2785" s="2"/>
      <c r="N2785" s="2"/>
      <c r="O2785" s="2"/>
      <c r="P2785" s="2" t="s">
        <v>92</v>
      </c>
    </row>
    <row r="2786">
      <c r="A2786" s="3" t="s">
        <v>105</v>
      </c>
      <c r="B2786" s="4">
        <v>45175.29166666667</v>
      </c>
      <c r="C2786" s="2" t="s">
        <v>57</v>
      </c>
      <c r="D2786" s="2" t="s">
        <v>19</v>
      </c>
      <c r="E2786" s="2" t="s">
        <v>371</v>
      </c>
      <c r="F2786" s="2"/>
      <c r="G2786" s="2">
        <v>6.0</v>
      </c>
      <c r="H2786" s="2">
        <v>5.0</v>
      </c>
      <c r="I2786" s="2">
        <v>1.0</v>
      </c>
      <c r="J2786" s="2">
        <v>0.0</v>
      </c>
      <c r="K2786" s="2">
        <v>0.0</v>
      </c>
      <c r="L2786" s="2">
        <v>0.0</v>
      </c>
      <c r="M2786" s="2"/>
      <c r="N2786" s="2"/>
      <c r="O2786" s="2"/>
      <c r="P2786" s="2" t="s">
        <v>92</v>
      </c>
    </row>
    <row r="2787">
      <c r="A2787" s="3" t="s">
        <v>106</v>
      </c>
      <c r="B2787" s="4">
        <v>45176.29166666667</v>
      </c>
      <c r="C2787" s="2" t="s">
        <v>57</v>
      </c>
      <c r="D2787" s="2" t="s">
        <v>19</v>
      </c>
      <c r="E2787" s="2" t="s">
        <v>372</v>
      </c>
      <c r="F2787" s="2"/>
      <c r="G2787" s="2">
        <v>1.0</v>
      </c>
      <c r="H2787" s="2">
        <v>0.0</v>
      </c>
      <c r="I2787" s="2">
        <v>1.0</v>
      </c>
      <c r="J2787" s="2">
        <v>0.0</v>
      </c>
      <c r="K2787" s="2">
        <v>0.0</v>
      </c>
      <c r="L2787" s="2">
        <v>0.0</v>
      </c>
      <c r="M2787" s="2"/>
      <c r="N2787" s="2"/>
      <c r="O2787" s="2"/>
      <c r="P2787" s="2" t="s">
        <v>92</v>
      </c>
    </row>
    <row r="2788">
      <c r="A2788" s="3" t="s">
        <v>107</v>
      </c>
      <c r="B2788" s="4">
        <v>45178.29166666667</v>
      </c>
      <c r="C2788" s="2" t="s">
        <v>57</v>
      </c>
      <c r="D2788" s="2" t="s">
        <v>19</v>
      </c>
      <c r="E2788" s="2" t="s">
        <v>373</v>
      </c>
      <c r="F2788" s="2"/>
      <c r="G2788" s="2">
        <v>3.0</v>
      </c>
      <c r="H2788" s="2">
        <v>2.0</v>
      </c>
      <c r="I2788" s="2">
        <v>1.0</v>
      </c>
      <c r="J2788" s="2">
        <v>0.0</v>
      </c>
      <c r="K2788" s="2">
        <v>0.0</v>
      </c>
      <c r="L2788" s="2">
        <v>0.0</v>
      </c>
      <c r="M2788" s="2"/>
      <c r="N2788" s="2"/>
      <c r="O2788" s="2"/>
      <c r="P2788" s="2" t="s">
        <v>92</v>
      </c>
    </row>
    <row r="2789">
      <c r="A2789" s="3" t="s">
        <v>108</v>
      </c>
      <c r="B2789" s="4">
        <v>45180.29166666667</v>
      </c>
      <c r="C2789" s="2" t="s">
        <v>57</v>
      </c>
      <c r="D2789" s="2" t="s">
        <v>19</v>
      </c>
      <c r="E2789" s="2" t="s">
        <v>374</v>
      </c>
      <c r="F2789" s="2"/>
      <c r="G2789" s="2">
        <v>0.0</v>
      </c>
      <c r="H2789" s="2">
        <v>0.0</v>
      </c>
      <c r="I2789" s="2">
        <v>0.0</v>
      </c>
      <c r="J2789" s="2">
        <v>0.0</v>
      </c>
      <c r="K2789" s="2">
        <v>0.0</v>
      </c>
      <c r="L2789" s="2">
        <v>0.0</v>
      </c>
      <c r="M2789" s="2"/>
      <c r="N2789" s="2"/>
      <c r="O2789" s="2"/>
      <c r="P2789" s="2" t="s">
        <v>92</v>
      </c>
    </row>
    <row r="2790">
      <c r="A2790" s="3" t="s">
        <v>112</v>
      </c>
      <c r="B2790" s="4">
        <v>45181.29166666667</v>
      </c>
      <c r="C2790" s="2" t="s">
        <v>57</v>
      </c>
      <c r="D2790" s="2" t="s">
        <v>19</v>
      </c>
      <c r="E2790" s="2" t="s">
        <v>375</v>
      </c>
      <c r="F2790" s="2"/>
      <c r="G2790" s="2">
        <v>2.0</v>
      </c>
      <c r="H2790" s="2">
        <v>1.0</v>
      </c>
      <c r="I2790" s="2">
        <v>1.0</v>
      </c>
      <c r="J2790" s="2">
        <v>0.0</v>
      </c>
      <c r="K2790" s="2">
        <v>0.0</v>
      </c>
      <c r="L2790" s="2">
        <v>0.0</v>
      </c>
      <c r="M2790" s="2"/>
      <c r="N2790" s="2"/>
      <c r="O2790" s="2"/>
      <c r="P2790" s="2" t="s">
        <v>92</v>
      </c>
    </row>
    <row r="2791">
      <c r="A2791" s="3" t="s">
        <v>115</v>
      </c>
      <c r="B2791" s="4">
        <v>45200.29166666667</v>
      </c>
      <c r="C2791" s="2" t="s">
        <v>18</v>
      </c>
      <c r="D2791" s="2" t="s">
        <v>19</v>
      </c>
      <c r="E2791" s="2" t="s">
        <v>357</v>
      </c>
      <c r="F2791" s="2"/>
      <c r="G2791" s="2">
        <v>5.0</v>
      </c>
      <c r="H2791" s="2">
        <v>4.0</v>
      </c>
      <c r="I2791" s="2">
        <v>1.0</v>
      </c>
      <c r="J2791" s="2">
        <v>0.0</v>
      </c>
      <c r="K2791" s="2">
        <v>0.0</v>
      </c>
      <c r="L2791" s="2">
        <v>0.0</v>
      </c>
      <c r="M2791" s="2"/>
      <c r="N2791" s="2"/>
      <c r="O2791" s="2"/>
      <c r="P2791" s="2" t="s">
        <v>92</v>
      </c>
    </row>
    <row r="2792">
      <c r="A2792" s="3" t="s">
        <v>117</v>
      </c>
      <c r="B2792" s="4">
        <v>45201.29166666667</v>
      </c>
      <c r="C2792" s="2" t="s">
        <v>18</v>
      </c>
      <c r="D2792" s="2" t="s">
        <v>19</v>
      </c>
      <c r="E2792" s="2" t="s">
        <v>358</v>
      </c>
      <c r="F2792" s="2"/>
      <c r="G2792" s="2">
        <v>0.0</v>
      </c>
      <c r="H2792" s="2">
        <v>0.0</v>
      </c>
      <c r="I2792" s="2">
        <v>0.0</v>
      </c>
      <c r="J2792" s="2">
        <v>0.0</v>
      </c>
      <c r="K2792" s="2">
        <v>0.0</v>
      </c>
      <c r="L2792" s="2">
        <v>0.0</v>
      </c>
      <c r="M2792" s="2"/>
      <c r="N2792" s="2"/>
      <c r="O2792" s="2"/>
      <c r="P2792" s="2" t="s">
        <v>92</v>
      </c>
    </row>
    <row r="2793">
      <c r="A2793" s="3" t="s">
        <v>119</v>
      </c>
      <c r="B2793" s="4">
        <v>45202.29166666667</v>
      </c>
      <c r="C2793" s="2" t="s">
        <v>18</v>
      </c>
      <c r="D2793" s="2" t="s">
        <v>19</v>
      </c>
      <c r="E2793" s="2" t="s">
        <v>359</v>
      </c>
      <c r="F2793" s="2"/>
      <c r="G2793" s="2">
        <v>4.0</v>
      </c>
      <c r="H2793" s="2">
        <v>4.0</v>
      </c>
      <c r="I2793" s="2">
        <v>0.0</v>
      </c>
      <c r="J2793" s="2">
        <v>0.0</v>
      </c>
      <c r="K2793" s="2">
        <v>0.0</v>
      </c>
      <c r="L2793" s="2">
        <v>0.0</v>
      </c>
      <c r="M2793" s="2"/>
      <c r="N2793" s="2"/>
      <c r="O2793" s="2"/>
      <c r="P2793" s="2" t="s">
        <v>92</v>
      </c>
    </row>
    <row r="2794">
      <c r="A2794" s="3" t="s">
        <v>121</v>
      </c>
      <c r="B2794" s="4">
        <v>45203.29166666667</v>
      </c>
      <c r="C2794" s="2" t="s">
        <v>18</v>
      </c>
      <c r="D2794" s="2" t="s">
        <v>19</v>
      </c>
      <c r="E2794" s="2" t="s">
        <v>360</v>
      </c>
      <c r="F2794" s="2"/>
      <c r="G2794" s="2">
        <v>4.0</v>
      </c>
      <c r="H2794" s="2">
        <v>3.0</v>
      </c>
      <c r="I2794" s="2">
        <v>1.0</v>
      </c>
      <c r="J2794" s="2">
        <v>0.0</v>
      </c>
      <c r="K2794" s="2">
        <v>0.0</v>
      </c>
      <c r="L2794" s="2">
        <v>0.0</v>
      </c>
      <c r="M2794" s="2"/>
      <c r="N2794" s="2"/>
      <c r="O2794" s="2"/>
      <c r="P2794" s="2" t="s">
        <v>92</v>
      </c>
    </row>
    <row r="2795">
      <c r="A2795" s="3" t="s">
        <v>16</v>
      </c>
      <c r="B2795" s="4">
        <v>45204.29166666667</v>
      </c>
      <c r="C2795" s="2" t="s">
        <v>18</v>
      </c>
      <c r="D2795" s="2" t="s">
        <v>19</v>
      </c>
      <c r="E2795" s="2" t="s">
        <v>361</v>
      </c>
      <c r="F2795" s="2"/>
      <c r="G2795" s="2">
        <v>0.0</v>
      </c>
      <c r="H2795" s="2">
        <v>0.0</v>
      </c>
      <c r="I2795" s="2">
        <v>0.0</v>
      </c>
      <c r="J2795" s="2">
        <v>0.0</v>
      </c>
      <c r="K2795" s="2">
        <v>0.0</v>
      </c>
      <c r="L2795" s="2">
        <v>0.0</v>
      </c>
      <c r="M2795" s="2"/>
      <c r="N2795" s="2"/>
      <c r="O2795" s="2"/>
      <c r="P2795" s="2" t="s">
        <v>92</v>
      </c>
    </row>
    <row r="2796">
      <c r="A2796" s="3" t="s">
        <v>124</v>
      </c>
      <c r="B2796" s="4">
        <v>45205.29166666667</v>
      </c>
      <c r="C2796" s="2" t="s">
        <v>18</v>
      </c>
      <c r="D2796" s="2" t="s">
        <v>19</v>
      </c>
      <c r="E2796" s="2" t="s">
        <v>362</v>
      </c>
      <c r="F2796" s="2"/>
      <c r="G2796" s="2">
        <v>2.0</v>
      </c>
      <c r="H2796" s="2">
        <v>2.0</v>
      </c>
      <c r="I2796" s="2">
        <v>0.0</v>
      </c>
      <c r="J2796" s="2">
        <v>0.0</v>
      </c>
      <c r="K2796" s="2">
        <v>0.0</v>
      </c>
      <c r="L2796" s="2">
        <v>0.0</v>
      </c>
      <c r="M2796" s="2"/>
      <c r="N2796" s="2"/>
      <c r="O2796" s="2"/>
      <c r="P2796" s="2" t="s">
        <v>92</v>
      </c>
    </row>
    <row r="2797">
      <c r="A2797" s="3" t="s">
        <v>126</v>
      </c>
      <c r="B2797" s="4">
        <v>45206.29166666667</v>
      </c>
      <c r="C2797" s="2" t="s">
        <v>18</v>
      </c>
      <c r="D2797" s="2" t="s">
        <v>19</v>
      </c>
      <c r="E2797" s="2" t="s">
        <v>363</v>
      </c>
      <c r="F2797" s="2"/>
      <c r="G2797" s="2">
        <v>0.0</v>
      </c>
      <c r="H2797" s="2">
        <v>0.0</v>
      </c>
      <c r="I2797" s="2">
        <v>0.0</v>
      </c>
      <c r="J2797" s="2">
        <v>0.0</v>
      </c>
      <c r="K2797" s="2">
        <v>0.0</v>
      </c>
      <c r="L2797" s="2">
        <v>0.0</v>
      </c>
      <c r="M2797" s="2"/>
      <c r="N2797" s="2"/>
      <c r="O2797" s="2"/>
      <c r="P2797" s="2" t="s">
        <v>92</v>
      </c>
    </row>
    <row r="2798">
      <c r="A2798" s="3" t="s">
        <v>128</v>
      </c>
      <c r="B2798" s="4">
        <v>45207.29166666667</v>
      </c>
      <c r="C2798" s="2" t="s">
        <v>18</v>
      </c>
      <c r="D2798" s="2" t="s">
        <v>19</v>
      </c>
      <c r="E2798" s="2" t="s">
        <v>364</v>
      </c>
      <c r="F2798" s="2"/>
      <c r="G2798" s="2">
        <v>0.0</v>
      </c>
      <c r="H2798" s="2">
        <v>0.0</v>
      </c>
      <c r="I2798" s="2">
        <v>0.0</v>
      </c>
      <c r="J2798" s="2">
        <v>0.0</v>
      </c>
      <c r="K2798" s="2">
        <v>0.0</v>
      </c>
      <c r="L2798" s="2">
        <v>0.0</v>
      </c>
      <c r="M2798" s="2"/>
      <c r="N2798" s="2"/>
      <c r="O2798" s="2"/>
      <c r="P2798" s="2" t="s">
        <v>92</v>
      </c>
    </row>
    <row r="2799">
      <c r="A2799" s="3" t="s">
        <v>129</v>
      </c>
      <c r="B2799" s="4">
        <v>45208.29166666667</v>
      </c>
      <c r="C2799" s="2" t="s">
        <v>18</v>
      </c>
      <c r="D2799" s="2" t="s">
        <v>19</v>
      </c>
      <c r="E2799" s="2" t="s">
        <v>365</v>
      </c>
      <c r="F2799" s="2"/>
      <c r="G2799" s="2">
        <v>3.0</v>
      </c>
      <c r="H2799" s="2">
        <v>0.0</v>
      </c>
      <c r="I2799" s="2">
        <v>3.0</v>
      </c>
      <c r="J2799" s="2">
        <v>0.0</v>
      </c>
      <c r="K2799" s="2">
        <v>0.0</v>
      </c>
      <c r="L2799" s="2">
        <v>0.0</v>
      </c>
      <c r="M2799" s="2"/>
      <c r="N2799" s="2"/>
      <c r="O2799" s="2"/>
      <c r="P2799" s="2" t="s">
        <v>92</v>
      </c>
    </row>
    <row r="2800">
      <c r="A2800" s="3" t="s">
        <v>130</v>
      </c>
      <c r="B2800" s="4">
        <v>45200.29166666667</v>
      </c>
      <c r="C2800" s="2" t="s">
        <v>18</v>
      </c>
      <c r="D2800" s="2" t="s">
        <v>127</v>
      </c>
      <c r="E2800" s="2" t="s">
        <v>357</v>
      </c>
      <c r="F2800" s="2"/>
      <c r="G2800" s="2">
        <v>11.0</v>
      </c>
      <c r="H2800" s="2">
        <v>9.0</v>
      </c>
      <c r="I2800" s="2">
        <v>2.0</v>
      </c>
      <c r="J2800" s="2">
        <v>0.0</v>
      </c>
      <c r="K2800" s="2">
        <v>0.0</v>
      </c>
      <c r="L2800" s="2">
        <v>0.0</v>
      </c>
      <c r="M2800" s="2"/>
      <c r="N2800" s="2"/>
      <c r="O2800" s="2"/>
      <c r="P2800" s="2" t="s">
        <v>92</v>
      </c>
    </row>
    <row r="2801">
      <c r="A2801" s="3" t="s">
        <v>131</v>
      </c>
      <c r="B2801" s="4">
        <v>45202.29166666667</v>
      </c>
      <c r="C2801" s="2" t="s">
        <v>18</v>
      </c>
      <c r="D2801" s="2" t="s">
        <v>127</v>
      </c>
      <c r="E2801" s="2" t="s">
        <v>359</v>
      </c>
      <c r="F2801" s="2"/>
      <c r="G2801" s="2">
        <v>10.0</v>
      </c>
      <c r="H2801" s="2">
        <v>9.0</v>
      </c>
      <c r="I2801" s="2">
        <v>1.0</v>
      </c>
      <c r="J2801" s="2">
        <v>0.0</v>
      </c>
      <c r="K2801" s="2">
        <v>0.0</v>
      </c>
      <c r="L2801" s="2">
        <v>0.0</v>
      </c>
      <c r="M2801" s="2"/>
      <c r="N2801" s="2"/>
      <c r="O2801" s="2"/>
      <c r="P2801" s="2" t="s">
        <v>92</v>
      </c>
    </row>
    <row r="2802">
      <c r="A2802" s="3" t="s">
        <v>132</v>
      </c>
      <c r="B2802" s="4">
        <v>45203.29166666667</v>
      </c>
      <c r="C2802" s="2" t="s">
        <v>18</v>
      </c>
      <c r="D2802" s="2" t="s">
        <v>127</v>
      </c>
      <c r="E2802" s="2" t="s">
        <v>360</v>
      </c>
      <c r="F2802" s="2"/>
      <c r="G2802" s="2">
        <v>14.0</v>
      </c>
      <c r="H2802" s="2">
        <v>9.0</v>
      </c>
      <c r="I2802" s="2">
        <v>5.0</v>
      </c>
      <c r="J2802" s="2">
        <v>0.0</v>
      </c>
      <c r="K2802" s="2">
        <v>0.0</v>
      </c>
      <c r="L2802" s="2">
        <v>0.0</v>
      </c>
      <c r="M2802" s="2"/>
      <c r="N2802" s="2"/>
      <c r="O2802" s="2"/>
      <c r="P2802" s="2" t="s">
        <v>92</v>
      </c>
    </row>
    <row r="2803">
      <c r="A2803" s="3" t="s">
        <v>133</v>
      </c>
      <c r="B2803" s="4">
        <v>45204.29166666667</v>
      </c>
      <c r="C2803" s="2" t="s">
        <v>18</v>
      </c>
      <c r="D2803" s="2" t="s">
        <v>127</v>
      </c>
      <c r="E2803" s="2" t="s">
        <v>361</v>
      </c>
      <c r="F2803" s="2"/>
      <c r="G2803" s="2">
        <v>23.0</v>
      </c>
      <c r="H2803" s="2">
        <v>18.0</v>
      </c>
      <c r="I2803" s="2">
        <v>5.0</v>
      </c>
      <c r="J2803" s="2">
        <v>0.0</v>
      </c>
      <c r="K2803" s="2">
        <v>0.0</v>
      </c>
      <c r="L2803" s="2">
        <v>0.0</v>
      </c>
      <c r="M2803" s="2"/>
      <c r="N2803" s="2"/>
      <c r="O2803" s="2"/>
      <c r="P2803" s="2" t="s">
        <v>92</v>
      </c>
    </row>
    <row r="2804">
      <c r="A2804" s="3" t="s">
        <v>134</v>
      </c>
      <c r="B2804" s="4">
        <v>45205.29166666667</v>
      </c>
      <c r="C2804" s="2" t="s">
        <v>18</v>
      </c>
      <c r="D2804" s="2" t="s">
        <v>127</v>
      </c>
      <c r="E2804" s="2" t="s">
        <v>362</v>
      </c>
      <c r="F2804" s="2"/>
      <c r="G2804" s="2">
        <v>23.0</v>
      </c>
      <c r="H2804" s="2">
        <v>15.0</v>
      </c>
      <c r="I2804" s="2">
        <v>8.0</v>
      </c>
      <c r="J2804" s="2">
        <v>0.0</v>
      </c>
      <c r="K2804" s="2">
        <v>0.0</v>
      </c>
      <c r="L2804" s="2">
        <v>0.0</v>
      </c>
      <c r="M2804" s="2"/>
      <c r="N2804" s="2"/>
      <c r="O2804" s="2"/>
      <c r="P2804" s="2" t="s">
        <v>92</v>
      </c>
    </row>
    <row r="2805">
      <c r="A2805" s="3" t="s">
        <v>136</v>
      </c>
      <c r="B2805" s="4">
        <v>45206.29166666667</v>
      </c>
      <c r="C2805" s="2" t="s">
        <v>18</v>
      </c>
      <c r="D2805" s="2" t="s">
        <v>127</v>
      </c>
      <c r="E2805" s="2" t="s">
        <v>363</v>
      </c>
      <c r="F2805" s="2"/>
      <c r="G2805" s="2">
        <v>15.0</v>
      </c>
      <c r="H2805" s="2">
        <v>14.0</v>
      </c>
      <c r="I2805" s="2">
        <v>1.0</v>
      </c>
      <c r="J2805" s="2">
        <v>0.0</v>
      </c>
      <c r="K2805" s="2">
        <v>0.0</v>
      </c>
      <c r="L2805" s="2">
        <v>0.0</v>
      </c>
      <c r="M2805" s="2"/>
      <c r="N2805" s="2"/>
      <c r="O2805" s="2"/>
      <c r="P2805" s="2" t="s">
        <v>92</v>
      </c>
    </row>
    <row r="2806">
      <c r="A2806" s="3" t="s">
        <v>137</v>
      </c>
      <c r="B2806" s="2" t="s">
        <v>17</v>
      </c>
      <c r="C2806" s="2" t="s">
        <v>18</v>
      </c>
      <c r="D2806" s="2" t="s">
        <v>79</v>
      </c>
      <c r="E2806" s="2" t="s">
        <v>165</v>
      </c>
      <c r="F2806" s="2">
        <v>100.0</v>
      </c>
      <c r="G2806" s="2">
        <v>131.0</v>
      </c>
      <c r="H2806" s="2">
        <v>102.0</v>
      </c>
      <c r="I2806" s="2">
        <v>29.0</v>
      </c>
      <c r="J2806" s="2">
        <v>0.0</v>
      </c>
      <c r="K2806" s="2">
        <v>0.0</v>
      </c>
      <c r="L2806" s="2">
        <v>0.0</v>
      </c>
      <c r="M2806" s="2">
        <v>-2.0</v>
      </c>
      <c r="N2806" s="2"/>
      <c r="O2806" s="2"/>
      <c r="P2806" s="2" t="s">
        <v>166</v>
      </c>
    </row>
    <row r="2807">
      <c r="A2807" s="3" t="s">
        <v>138</v>
      </c>
      <c r="B2807" s="2" t="s">
        <v>17</v>
      </c>
      <c r="C2807" s="2" t="s">
        <v>18</v>
      </c>
      <c r="D2807" s="2" t="s">
        <v>23</v>
      </c>
      <c r="E2807" s="2" t="s">
        <v>165</v>
      </c>
      <c r="F2807" s="2">
        <v>100.0</v>
      </c>
      <c r="G2807" s="2">
        <v>131.0</v>
      </c>
      <c r="H2807" s="2">
        <v>102.0</v>
      </c>
      <c r="I2807" s="2">
        <v>29.0</v>
      </c>
      <c r="J2807" s="2">
        <v>0.0</v>
      </c>
      <c r="K2807" s="2">
        <v>0.0</v>
      </c>
      <c r="L2807" s="2">
        <v>0.0</v>
      </c>
      <c r="M2807" s="2">
        <v>-2.0</v>
      </c>
      <c r="N2807" s="2">
        <v>0.0</v>
      </c>
      <c r="O2807" s="2">
        <v>-104.0</v>
      </c>
      <c r="P2807" s="2" t="s">
        <v>166</v>
      </c>
    </row>
    <row r="2808">
      <c r="A2808" s="3" t="s">
        <v>139</v>
      </c>
      <c r="B2808" s="4">
        <v>45141.29166666667</v>
      </c>
      <c r="C2808" s="2" t="s">
        <v>18</v>
      </c>
      <c r="D2808" s="2" t="s">
        <v>79</v>
      </c>
      <c r="E2808" s="2" t="s">
        <v>165</v>
      </c>
      <c r="F2808" s="2"/>
      <c r="G2808" s="2">
        <v>32.0</v>
      </c>
      <c r="H2808" s="2">
        <v>30.0</v>
      </c>
      <c r="I2808" s="2">
        <v>2.0</v>
      </c>
      <c r="J2808" s="2">
        <v>0.0</v>
      </c>
      <c r="K2808" s="2">
        <v>0.0</v>
      </c>
      <c r="L2808" s="2">
        <v>0.0</v>
      </c>
      <c r="M2808" s="2"/>
      <c r="N2808" s="2"/>
      <c r="O2808" s="2"/>
      <c r="P2808" s="2" t="s">
        <v>166</v>
      </c>
    </row>
    <row r="2809">
      <c r="A2809" s="3" t="s">
        <v>140</v>
      </c>
      <c r="B2809" s="4">
        <v>45170.29166666667</v>
      </c>
      <c r="C2809" s="2" t="s">
        <v>18</v>
      </c>
      <c r="D2809" s="2" t="s">
        <v>79</v>
      </c>
      <c r="E2809" s="2" t="s">
        <v>165</v>
      </c>
      <c r="F2809" s="2"/>
      <c r="G2809" s="2">
        <v>90.0</v>
      </c>
      <c r="H2809" s="2">
        <v>68.0</v>
      </c>
      <c r="I2809" s="2">
        <v>22.0</v>
      </c>
      <c r="J2809" s="2">
        <v>0.0</v>
      </c>
      <c r="K2809" s="2">
        <v>0.0</v>
      </c>
      <c r="L2809" s="2">
        <v>0.0</v>
      </c>
      <c r="M2809" s="2"/>
      <c r="N2809" s="2"/>
      <c r="O2809" s="2"/>
      <c r="P2809" s="2" t="s">
        <v>166</v>
      </c>
    </row>
    <row r="2810">
      <c r="A2810" s="3" t="s">
        <v>141</v>
      </c>
      <c r="B2810" s="4">
        <v>45200.29166666667</v>
      </c>
      <c r="C2810" s="2" t="s">
        <v>18</v>
      </c>
      <c r="D2810" s="2" t="s">
        <v>79</v>
      </c>
      <c r="E2810" s="2" t="s">
        <v>165</v>
      </c>
      <c r="F2810" s="2"/>
      <c r="G2810" s="2">
        <v>9.0</v>
      </c>
      <c r="H2810" s="2">
        <v>4.0</v>
      </c>
      <c r="I2810" s="2">
        <v>5.0</v>
      </c>
      <c r="J2810" s="2">
        <v>0.0</v>
      </c>
      <c r="K2810" s="2">
        <v>0.0</v>
      </c>
      <c r="L2810" s="2">
        <v>0.0</v>
      </c>
      <c r="M2810" s="2"/>
      <c r="N2810" s="2"/>
      <c r="O2810" s="2"/>
      <c r="P2810" s="2" t="s">
        <v>166</v>
      </c>
    </row>
    <row r="2811">
      <c r="A2811" s="3" t="s">
        <v>142</v>
      </c>
      <c r="B2811" s="2" t="s">
        <v>17</v>
      </c>
      <c r="C2811" s="2" t="s">
        <v>18</v>
      </c>
      <c r="D2811" s="2" t="s">
        <v>33</v>
      </c>
      <c r="E2811" s="2" t="s">
        <v>376</v>
      </c>
      <c r="F2811" s="2">
        <v>5.0</v>
      </c>
      <c r="G2811" s="2">
        <v>14.0</v>
      </c>
      <c r="H2811" s="2">
        <v>0.0</v>
      </c>
      <c r="I2811" s="2">
        <v>1.0</v>
      </c>
      <c r="J2811" s="2">
        <v>13.0</v>
      </c>
      <c r="K2811" s="2">
        <v>0.0</v>
      </c>
      <c r="L2811" s="2">
        <v>0.0</v>
      </c>
      <c r="M2811" s="2">
        <v>5.0</v>
      </c>
      <c r="N2811" s="2"/>
      <c r="O2811" s="2"/>
      <c r="P2811" s="2" t="s">
        <v>21</v>
      </c>
    </row>
    <row r="2812">
      <c r="A2812" s="3" t="s">
        <v>143</v>
      </c>
      <c r="B2812" s="2" t="s">
        <v>17</v>
      </c>
      <c r="C2812" s="2" t="s">
        <v>18</v>
      </c>
      <c r="D2812" s="2" t="s">
        <v>19</v>
      </c>
      <c r="E2812" s="2" t="s">
        <v>376</v>
      </c>
      <c r="F2812" s="2">
        <v>5.0</v>
      </c>
      <c r="G2812" s="2">
        <v>0.0</v>
      </c>
      <c r="H2812" s="2">
        <v>0.0</v>
      </c>
      <c r="I2812" s="2">
        <v>0.0</v>
      </c>
      <c r="J2812" s="2">
        <v>0.0</v>
      </c>
      <c r="K2812" s="2">
        <v>0.0</v>
      </c>
      <c r="L2812" s="2">
        <v>0.0</v>
      </c>
      <c r="M2812" s="2">
        <v>5.0</v>
      </c>
      <c r="N2812" s="2"/>
      <c r="O2812" s="2"/>
      <c r="P2812" s="2" t="s">
        <v>21</v>
      </c>
    </row>
    <row r="2813">
      <c r="A2813" s="3" t="s">
        <v>144</v>
      </c>
      <c r="B2813" s="2" t="s">
        <v>17</v>
      </c>
      <c r="C2813" s="2" t="s">
        <v>18</v>
      </c>
      <c r="D2813" s="2" t="s">
        <v>23</v>
      </c>
      <c r="E2813" s="2" t="s">
        <v>376</v>
      </c>
      <c r="F2813" s="2">
        <v>5.0</v>
      </c>
      <c r="G2813" s="2">
        <v>14.0</v>
      </c>
      <c r="H2813" s="2">
        <v>0.0</v>
      </c>
      <c r="I2813" s="2">
        <v>1.0</v>
      </c>
      <c r="J2813" s="2">
        <v>13.0</v>
      </c>
      <c r="K2813" s="2">
        <v>0.0</v>
      </c>
      <c r="L2813" s="2">
        <v>0.0</v>
      </c>
      <c r="M2813" s="2">
        <v>5.0</v>
      </c>
      <c r="N2813" s="2">
        <v>-5.0</v>
      </c>
      <c r="O2813" s="2">
        <v>5.0</v>
      </c>
      <c r="P2813" s="2" t="s">
        <v>21</v>
      </c>
    </row>
    <row r="2814">
      <c r="A2814" s="3" t="s">
        <v>145</v>
      </c>
      <c r="B2814" s="4">
        <v>45111.29166666667</v>
      </c>
      <c r="C2814" s="2" t="s">
        <v>18</v>
      </c>
      <c r="D2814" s="2" t="s">
        <v>19</v>
      </c>
      <c r="E2814" s="2" t="s">
        <v>376</v>
      </c>
      <c r="F2814" s="2"/>
      <c r="G2814" s="2">
        <v>0.0</v>
      </c>
      <c r="H2814" s="2">
        <v>0.0</v>
      </c>
      <c r="I2814" s="2">
        <v>0.0</v>
      </c>
      <c r="J2814" s="2">
        <v>0.0</v>
      </c>
      <c r="K2814" s="2">
        <v>0.0</v>
      </c>
      <c r="L2814" s="2">
        <v>0.0</v>
      </c>
      <c r="M2814" s="2"/>
      <c r="N2814" s="2"/>
      <c r="O2814" s="2"/>
      <c r="P2814" s="2" t="s">
        <v>21</v>
      </c>
    </row>
    <row r="2815">
      <c r="A2815" s="3" t="s">
        <v>16</v>
      </c>
      <c r="B2815" s="4">
        <v>45112.29166666667</v>
      </c>
      <c r="C2815" s="2" t="s">
        <v>18</v>
      </c>
      <c r="D2815" s="2" t="s">
        <v>33</v>
      </c>
      <c r="E2815" s="2" t="s">
        <v>376</v>
      </c>
      <c r="F2815" s="2"/>
      <c r="G2815" s="2">
        <v>5.0</v>
      </c>
      <c r="H2815" s="2">
        <v>0.0</v>
      </c>
      <c r="I2815" s="2">
        <v>0.0</v>
      </c>
      <c r="J2815" s="2">
        <v>5.0</v>
      </c>
      <c r="K2815" s="2">
        <v>0.0</v>
      </c>
      <c r="L2815" s="2">
        <v>0.0</v>
      </c>
      <c r="M2815" s="2"/>
      <c r="N2815" s="2"/>
      <c r="O2815" s="2"/>
      <c r="P2815" s="2" t="s">
        <v>21</v>
      </c>
    </row>
    <row r="2816">
      <c r="A2816" s="3" t="s">
        <v>22</v>
      </c>
      <c r="B2816" s="4">
        <v>45140.29166666667</v>
      </c>
      <c r="C2816" s="2" t="s">
        <v>18</v>
      </c>
      <c r="D2816" s="2" t="s">
        <v>19</v>
      </c>
      <c r="E2816" s="2" t="s">
        <v>376</v>
      </c>
      <c r="F2816" s="2"/>
      <c r="G2816" s="2">
        <v>0.0</v>
      </c>
      <c r="H2816" s="2">
        <v>0.0</v>
      </c>
      <c r="I2816" s="2">
        <v>0.0</v>
      </c>
      <c r="J2816" s="2">
        <v>0.0</v>
      </c>
      <c r="K2816" s="2">
        <v>0.0</v>
      </c>
      <c r="L2816" s="2">
        <v>0.0</v>
      </c>
      <c r="M2816" s="2"/>
      <c r="N2816" s="2"/>
      <c r="O2816" s="2"/>
      <c r="P2816" s="2" t="s">
        <v>21</v>
      </c>
    </row>
    <row r="2817">
      <c r="A2817" s="3" t="s">
        <v>24</v>
      </c>
      <c r="B2817" s="4">
        <v>45140.29166666667</v>
      </c>
      <c r="C2817" s="2" t="s">
        <v>18</v>
      </c>
      <c r="D2817" s="2" t="s">
        <v>33</v>
      </c>
      <c r="E2817" s="2" t="s">
        <v>376</v>
      </c>
      <c r="F2817" s="2"/>
      <c r="G2817" s="2">
        <v>6.0</v>
      </c>
      <c r="H2817" s="2">
        <v>0.0</v>
      </c>
      <c r="I2817" s="2">
        <v>1.0</v>
      </c>
      <c r="J2817" s="2">
        <v>5.0</v>
      </c>
      <c r="K2817" s="2">
        <v>0.0</v>
      </c>
      <c r="L2817" s="2">
        <v>0.0</v>
      </c>
      <c r="M2817" s="2"/>
      <c r="N2817" s="2"/>
      <c r="O2817" s="2"/>
      <c r="P2817" s="2" t="s">
        <v>21</v>
      </c>
    </row>
    <row r="2818">
      <c r="A2818" s="3" t="s">
        <v>25</v>
      </c>
      <c r="B2818" s="4">
        <v>45171.29166666667</v>
      </c>
      <c r="C2818" s="2" t="s">
        <v>18</v>
      </c>
      <c r="D2818" s="2" t="s">
        <v>19</v>
      </c>
      <c r="E2818" s="2" t="s">
        <v>376</v>
      </c>
      <c r="F2818" s="2"/>
      <c r="G2818" s="2">
        <v>0.0</v>
      </c>
      <c r="H2818" s="2">
        <v>0.0</v>
      </c>
      <c r="I2818" s="2">
        <v>0.0</v>
      </c>
      <c r="J2818" s="2">
        <v>0.0</v>
      </c>
      <c r="K2818" s="2">
        <v>0.0</v>
      </c>
      <c r="L2818" s="2">
        <v>0.0</v>
      </c>
      <c r="M2818" s="2"/>
      <c r="N2818" s="2"/>
      <c r="O2818" s="2"/>
      <c r="P2818" s="2" t="s">
        <v>21</v>
      </c>
    </row>
    <row r="2819">
      <c r="A2819" s="3" t="s">
        <v>26</v>
      </c>
      <c r="B2819" s="4">
        <v>45171.29166666667</v>
      </c>
      <c r="C2819" s="2" t="s">
        <v>18</v>
      </c>
      <c r="D2819" s="2" t="s">
        <v>33</v>
      </c>
      <c r="E2819" s="2" t="s">
        <v>376</v>
      </c>
      <c r="F2819" s="2"/>
      <c r="G2819" s="2">
        <v>3.0</v>
      </c>
      <c r="H2819" s="2">
        <v>0.0</v>
      </c>
      <c r="I2819" s="2">
        <v>0.0</v>
      </c>
      <c r="J2819" s="2">
        <v>3.0</v>
      </c>
      <c r="K2819" s="2">
        <v>0.0</v>
      </c>
      <c r="L2819" s="2">
        <v>0.0</v>
      </c>
      <c r="M2819" s="2"/>
      <c r="N2819" s="2"/>
      <c r="O2819" s="2"/>
      <c r="P2819" s="2" t="s">
        <v>21</v>
      </c>
    </row>
    <row r="2820">
      <c r="A2820" s="3" t="s">
        <v>28</v>
      </c>
      <c r="B2820" s="4">
        <v>45202.29166666667</v>
      </c>
      <c r="C2820" s="2" t="s">
        <v>18</v>
      </c>
      <c r="D2820" s="2" t="s">
        <v>19</v>
      </c>
      <c r="E2820" s="2" t="s">
        <v>376</v>
      </c>
      <c r="F2820" s="2"/>
      <c r="G2820" s="2">
        <v>0.0</v>
      </c>
      <c r="H2820" s="2">
        <v>0.0</v>
      </c>
      <c r="I2820" s="2">
        <v>0.0</v>
      </c>
      <c r="J2820" s="2">
        <v>0.0</v>
      </c>
      <c r="K2820" s="2">
        <v>0.0</v>
      </c>
      <c r="L2820" s="2">
        <v>0.0</v>
      </c>
      <c r="M2820" s="2"/>
      <c r="N2820" s="2"/>
      <c r="O2820" s="2"/>
      <c r="P2820" s="2" t="s">
        <v>21</v>
      </c>
    </row>
    <row r="2821">
      <c r="A2821" s="3" t="s">
        <v>29</v>
      </c>
      <c r="B2821" s="4">
        <v>45202.29166666667</v>
      </c>
      <c r="C2821" s="2" t="s">
        <v>18</v>
      </c>
      <c r="D2821" s="2" t="s">
        <v>33</v>
      </c>
      <c r="E2821" s="2" t="s">
        <v>376</v>
      </c>
      <c r="F2821" s="2"/>
      <c r="G2821" s="2">
        <v>0.0</v>
      </c>
      <c r="H2821" s="2">
        <v>0.0</v>
      </c>
      <c r="I2821" s="2">
        <v>0.0</v>
      </c>
      <c r="J2821" s="2">
        <v>0.0</v>
      </c>
      <c r="K2821" s="2">
        <v>0.0</v>
      </c>
      <c r="L2821" s="2">
        <v>0.0</v>
      </c>
      <c r="M2821" s="2"/>
      <c r="N2821" s="2"/>
      <c r="O2821" s="2"/>
      <c r="P2821" s="2" t="s">
        <v>21</v>
      </c>
    </row>
    <row r="2822">
      <c r="A2822" s="3" t="s">
        <v>32</v>
      </c>
      <c r="B2822" s="4">
        <v>45232.25</v>
      </c>
      <c r="C2822" s="2" t="s">
        <v>18</v>
      </c>
      <c r="D2822" s="2" t="s">
        <v>19</v>
      </c>
      <c r="E2822" s="2" t="s">
        <v>376</v>
      </c>
      <c r="F2822" s="2"/>
      <c r="G2822" s="2">
        <v>0.0</v>
      </c>
      <c r="H2822" s="2">
        <v>0.0</v>
      </c>
      <c r="I2822" s="2">
        <v>0.0</v>
      </c>
      <c r="J2822" s="2">
        <v>0.0</v>
      </c>
      <c r="K2822" s="2">
        <v>0.0</v>
      </c>
      <c r="L2822" s="2">
        <v>0.0</v>
      </c>
      <c r="M2822" s="2"/>
      <c r="N2822" s="2"/>
      <c r="O2822" s="2"/>
      <c r="P2822" s="2" t="s">
        <v>21</v>
      </c>
    </row>
    <row r="2823">
      <c r="A2823" s="3" t="s">
        <v>34</v>
      </c>
      <c r="B2823" s="4">
        <v>45232.25</v>
      </c>
      <c r="C2823" s="2" t="s">
        <v>18</v>
      </c>
      <c r="D2823" s="2" t="s">
        <v>33</v>
      </c>
      <c r="E2823" s="2" t="s">
        <v>376</v>
      </c>
      <c r="F2823" s="2"/>
      <c r="G2823" s="2">
        <v>0.0</v>
      </c>
      <c r="H2823" s="2">
        <v>0.0</v>
      </c>
      <c r="I2823" s="2">
        <v>0.0</v>
      </c>
      <c r="J2823" s="2">
        <v>0.0</v>
      </c>
      <c r="K2823" s="2">
        <v>0.0</v>
      </c>
      <c r="L2823" s="2">
        <v>0.0</v>
      </c>
      <c r="M2823" s="2"/>
      <c r="N2823" s="2"/>
      <c r="O2823" s="2"/>
      <c r="P2823" s="2" t="s">
        <v>21</v>
      </c>
    </row>
    <row r="2824">
      <c r="A2824" s="3" t="s">
        <v>35</v>
      </c>
      <c r="B2824" s="4">
        <v>45262.29166666667</v>
      </c>
      <c r="C2824" s="2" t="s">
        <v>18</v>
      </c>
      <c r="D2824" s="2" t="s">
        <v>19</v>
      </c>
      <c r="E2824" s="2" t="s">
        <v>376</v>
      </c>
      <c r="F2824" s="2"/>
      <c r="G2824" s="2">
        <v>0.0</v>
      </c>
      <c r="H2824" s="2">
        <v>0.0</v>
      </c>
      <c r="I2824" s="2">
        <v>0.0</v>
      </c>
      <c r="J2824" s="2">
        <v>0.0</v>
      </c>
      <c r="K2824" s="2">
        <v>0.0</v>
      </c>
      <c r="L2824" s="2">
        <v>0.0</v>
      </c>
      <c r="M2824" s="2"/>
      <c r="N2824" s="2"/>
      <c r="O2824" s="2"/>
      <c r="P2824" s="2" t="s">
        <v>21</v>
      </c>
    </row>
    <row r="2825">
      <c r="A2825" s="3" t="s">
        <v>36</v>
      </c>
      <c r="B2825" s="4">
        <v>45262.29166666667</v>
      </c>
      <c r="C2825" s="2" t="s">
        <v>18</v>
      </c>
      <c r="D2825" s="2" t="s">
        <v>33</v>
      </c>
      <c r="E2825" s="2" t="s">
        <v>376</v>
      </c>
      <c r="F2825" s="2"/>
      <c r="G2825" s="2">
        <v>0.0</v>
      </c>
      <c r="H2825" s="2">
        <v>0.0</v>
      </c>
      <c r="I2825" s="2">
        <v>0.0</v>
      </c>
      <c r="J2825" s="2">
        <v>0.0</v>
      </c>
      <c r="K2825" s="2">
        <v>0.0</v>
      </c>
      <c r="L2825" s="2">
        <v>0.0</v>
      </c>
      <c r="M2825" s="2"/>
      <c r="N2825" s="2"/>
      <c r="O2825" s="2"/>
      <c r="P2825" s="2" t="s">
        <v>21</v>
      </c>
    </row>
    <row r="2826">
      <c r="A2826" s="3" t="s">
        <v>37</v>
      </c>
      <c r="B2826" s="2" t="s">
        <v>17</v>
      </c>
      <c r="C2826" s="2" t="s">
        <v>18</v>
      </c>
      <c r="D2826" s="2" t="s">
        <v>164</v>
      </c>
      <c r="E2826" s="2" t="s">
        <v>165</v>
      </c>
      <c r="F2826" s="2">
        <v>20.0</v>
      </c>
      <c r="G2826" s="2">
        <v>23.0</v>
      </c>
      <c r="H2826" s="2">
        <v>9.0</v>
      </c>
      <c r="I2826" s="2">
        <v>14.0</v>
      </c>
      <c r="J2826" s="2">
        <v>0.0</v>
      </c>
      <c r="K2826" s="2">
        <v>0.0</v>
      </c>
      <c r="L2826" s="2">
        <v>0.0</v>
      </c>
      <c r="M2826" s="2">
        <v>11.0</v>
      </c>
      <c r="N2826" s="2"/>
      <c r="O2826" s="2"/>
      <c r="P2826" s="2" t="s">
        <v>166</v>
      </c>
    </row>
    <row r="2827">
      <c r="A2827" s="3" t="s">
        <v>38</v>
      </c>
      <c r="B2827" s="2" t="s">
        <v>17</v>
      </c>
      <c r="C2827" s="2" t="s">
        <v>18</v>
      </c>
      <c r="D2827" s="2" t="s">
        <v>23</v>
      </c>
      <c r="E2827" s="2" t="s">
        <v>165</v>
      </c>
      <c r="F2827" s="2">
        <v>150.0</v>
      </c>
      <c r="G2827" s="2">
        <v>23.0</v>
      </c>
      <c r="H2827" s="2">
        <v>9.0</v>
      </c>
      <c r="I2827" s="2">
        <v>14.0</v>
      </c>
      <c r="J2827" s="2">
        <v>0.0</v>
      </c>
      <c r="K2827" s="2">
        <v>0.0</v>
      </c>
      <c r="L2827" s="2">
        <v>0.0</v>
      </c>
      <c r="M2827" s="2">
        <v>141.0</v>
      </c>
      <c r="N2827" s="2">
        <v>130.0</v>
      </c>
      <c r="O2827" s="2">
        <v>132.0</v>
      </c>
      <c r="P2827" s="2" t="s">
        <v>166</v>
      </c>
    </row>
    <row r="2828">
      <c r="A2828" s="3" t="s">
        <v>39</v>
      </c>
      <c r="B2828" s="4">
        <v>45201.29166666667</v>
      </c>
      <c r="C2828" s="2" t="s">
        <v>18</v>
      </c>
      <c r="D2828" s="2" t="s">
        <v>164</v>
      </c>
      <c r="E2828" s="2" t="s">
        <v>165</v>
      </c>
      <c r="F2828" s="2"/>
      <c r="G2828" s="2">
        <v>23.0</v>
      </c>
      <c r="H2828" s="2">
        <v>9.0</v>
      </c>
      <c r="I2828" s="2">
        <v>14.0</v>
      </c>
      <c r="J2828" s="2">
        <v>0.0</v>
      </c>
      <c r="K2828" s="2">
        <v>0.0</v>
      </c>
      <c r="L2828" s="2">
        <v>0.0</v>
      </c>
      <c r="M2828" s="2"/>
      <c r="N2828" s="2"/>
      <c r="O2828" s="2"/>
      <c r="P2828" s="2" t="s">
        <v>166</v>
      </c>
    </row>
    <row r="2829">
      <c r="A2829" s="3" t="s">
        <v>40</v>
      </c>
      <c r="B2829" s="2" t="s">
        <v>17</v>
      </c>
      <c r="C2829" s="2" t="s">
        <v>18</v>
      </c>
      <c r="D2829" s="2" t="s">
        <v>19</v>
      </c>
      <c r="E2829" s="2" t="s">
        <v>27</v>
      </c>
      <c r="F2829" s="2">
        <v>46.0</v>
      </c>
      <c r="G2829" s="2">
        <v>20.0</v>
      </c>
      <c r="H2829" s="2">
        <v>10.0</v>
      </c>
      <c r="I2829" s="2">
        <v>10.0</v>
      </c>
      <c r="J2829" s="2">
        <v>0.0</v>
      </c>
      <c r="K2829" s="2">
        <v>0.0</v>
      </c>
      <c r="L2829" s="2">
        <v>0.0</v>
      </c>
      <c r="M2829" s="2">
        <v>36.0</v>
      </c>
      <c r="N2829" s="2"/>
      <c r="O2829" s="2"/>
      <c r="P2829" s="2" t="s">
        <v>67</v>
      </c>
    </row>
    <row r="2830">
      <c r="A2830" s="3" t="s">
        <v>41</v>
      </c>
      <c r="B2830" s="2" t="s">
        <v>17</v>
      </c>
      <c r="C2830" s="2" t="s">
        <v>18</v>
      </c>
      <c r="D2830" s="2" t="s">
        <v>157</v>
      </c>
      <c r="E2830" s="2" t="s">
        <v>27</v>
      </c>
      <c r="F2830" s="2">
        <v>50.0</v>
      </c>
      <c r="G2830" s="2">
        <v>34.0</v>
      </c>
      <c r="H2830" s="2">
        <v>5.0</v>
      </c>
      <c r="I2830" s="2">
        <v>29.0</v>
      </c>
      <c r="J2830" s="2">
        <v>0.0</v>
      </c>
      <c r="K2830" s="2">
        <v>0.0</v>
      </c>
      <c r="L2830" s="2">
        <v>0.0</v>
      </c>
      <c r="M2830" s="2">
        <v>45.0</v>
      </c>
      <c r="N2830" s="2"/>
      <c r="O2830" s="2"/>
      <c r="P2830" s="2" t="s">
        <v>67</v>
      </c>
    </row>
    <row r="2831">
      <c r="A2831" s="3" t="s">
        <v>42</v>
      </c>
      <c r="B2831" s="2" t="s">
        <v>17</v>
      </c>
      <c r="C2831" s="2" t="s">
        <v>18</v>
      </c>
      <c r="D2831" s="2" t="s">
        <v>23</v>
      </c>
      <c r="E2831" s="2" t="s">
        <v>27</v>
      </c>
      <c r="F2831" s="2">
        <v>96.0</v>
      </c>
      <c r="G2831" s="2">
        <v>54.0</v>
      </c>
      <c r="H2831" s="2">
        <v>15.0</v>
      </c>
      <c r="I2831" s="2">
        <v>39.0</v>
      </c>
      <c r="J2831" s="2">
        <v>0.0</v>
      </c>
      <c r="K2831" s="2">
        <v>0.0</v>
      </c>
      <c r="L2831" s="2">
        <v>0.0</v>
      </c>
      <c r="M2831" s="2">
        <v>81.0</v>
      </c>
      <c r="N2831" s="2">
        <v>0.0</v>
      </c>
      <c r="O2831" s="2">
        <v>66.0</v>
      </c>
      <c r="P2831" s="2" t="s">
        <v>67</v>
      </c>
    </row>
    <row r="2832">
      <c r="A2832" s="3" t="s">
        <v>43</v>
      </c>
      <c r="B2832" s="4">
        <v>45171.29166666667</v>
      </c>
      <c r="C2832" s="2" t="s">
        <v>18</v>
      </c>
      <c r="D2832" s="2" t="s">
        <v>19</v>
      </c>
      <c r="E2832" s="2" t="s">
        <v>27</v>
      </c>
      <c r="F2832" s="2"/>
      <c r="G2832" s="2">
        <v>10.0</v>
      </c>
      <c r="H2832" s="2">
        <v>5.0</v>
      </c>
      <c r="I2832" s="2">
        <v>5.0</v>
      </c>
      <c r="J2832" s="2">
        <v>0.0</v>
      </c>
      <c r="K2832" s="2">
        <v>0.0</v>
      </c>
      <c r="L2832" s="2">
        <v>0.0</v>
      </c>
      <c r="M2832" s="2"/>
      <c r="N2832" s="2"/>
      <c r="O2832" s="2"/>
      <c r="P2832" s="2" t="s">
        <v>67</v>
      </c>
    </row>
    <row r="2833">
      <c r="A2833" s="3" t="s">
        <v>44</v>
      </c>
      <c r="B2833" s="4">
        <v>45172.29166666667</v>
      </c>
      <c r="C2833" s="2" t="s">
        <v>18</v>
      </c>
      <c r="D2833" s="2" t="s">
        <v>157</v>
      </c>
      <c r="E2833" s="2" t="s">
        <v>27</v>
      </c>
      <c r="F2833" s="2"/>
      <c r="G2833" s="2">
        <v>25.0</v>
      </c>
      <c r="H2833" s="2">
        <v>3.0</v>
      </c>
      <c r="I2833" s="2">
        <v>22.0</v>
      </c>
      <c r="J2833" s="2">
        <v>0.0</v>
      </c>
      <c r="K2833" s="2">
        <v>0.0</v>
      </c>
      <c r="L2833" s="2">
        <v>0.0</v>
      </c>
      <c r="M2833" s="2"/>
      <c r="N2833" s="2"/>
      <c r="O2833" s="2"/>
      <c r="P2833" s="2" t="s">
        <v>67</v>
      </c>
    </row>
    <row r="2834">
      <c r="A2834" s="3" t="s">
        <v>45</v>
      </c>
      <c r="B2834" s="4">
        <v>45200.29166666667</v>
      </c>
      <c r="C2834" s="2" t="s">
        <v>18</v>
      </c>
      <c r="D2834" s="2" t="s">
        <v>19</v>
      </c>
      <c r="E2834" s="2" t="s">
        <v>27</v>
      </c>
      <c r="F2834" s="2"/>
      <c r="G2834" s="2">
        <v>10.0</v>
      </c>
      <c r="H2834" s="2">
        <v>5.0</v>
      </c>
      <c r="I2834" s="2">
        <v>5.0</v>
      </c>
      <c r="J2834" s="2">
        <v>0.0</v>
      </c>
      <c r="K2834" s="2">
        <v>0.0</v>
      </c>
      <c r="L2834" s="2">
        <v>0.0</v>
      </c>
      <c r="M2834" s="2"/>
      <c r="N2834" s="2"/>
      <c r="O2834" s="2"/>
      <c r="P2834" s="2" t="s">
        <v>67</v>
      </c>
    </row>
    <row r="2835">
      <c r="A2835" s="3" t="s">
        <v>16</v>
      </c>
      <c r="B2835" s="4">
        <v>45201.29166666667</v>
      </c>
      <c r="C2835" s="2" t="s">
        <v>18</v>
      </c>
      <c r="D2835" s="2" t="s">
        <v>157</v>
      </c>
      <c r="E2835" s="2" t="s">
        <v>27</v>
      </c>
      <c r="F2835" s="2"/>
      <c r="G2835" s="2">
        <v>9.0</v>
      </c>
      <c r="H2835" s="2">
        <v>2.0</v>
      </c>
      <c r="I2835" s="2">
        <v>7.0</v>
      </c>
      <c r="J2835" s="2">
        <v>0.0</v>
      </c>
      <c r="K2835" s="2">
        <v>0.0</v>
      </c>
      <c r="L2835" s="2">
        <v>0.0</v>
      </c>
      <c r="M2835" s="2"/>
      <c r="N2835" s="2"/>
      <c r="O2835" s="2"/>
      <c r="P2835" s="2" t="s">
        <v>67</v>
      </c>
    </row>
    <row r="2836">
      <c r="A2836" s="3" t="s">
        <v>47</v>
      </c>
      <c r="B2836" s="2" t="s">
        <v>17</v>
      </c>
      <c r="C2836" s="2" t="s">
        <v>18</v>
      </c>
      <c r="D2836" s="2" t="s">
        <v>30</v>
      </c>
      <c r="E2836" s="2" t="s">
        <v>162</v>
      </c>
      <c r="F2836" s="2">
        <v>10.0</v>
      </c>
      <c r="G2836" s="2">
        <v>13.0</v>
      </c>
      <c r="H2836" s="2">
        <v>5.0</v>
      </c>
      <c r="I2836" s="2">
        <v>8.0</v>
      </c>
      <c r="J2836" s="2">
        <v>0.0</v>
      </c>
      <c r="K2836" s="2">
        <v>0.0</v>
      </c>
      <c r="L2836" s="2">
        <v>0.0</v>
      </c>
      <c r="M2836" s="2">
        <v>5.0</v>
      </c>
      <c r="N2836" s="2"/>
      <c r="O2836" s="2"/>
      <c r="P2836" s="2" t="s">
        <v>195</v>
      </c>
    </row>
    <row r="2837">
      <c r="A2837" s="3" t="s">
        <v>48</v>
      </c>
      <c r="B2837" s="2" t="s">
        <v>17</v>
      </c>
      <c r="C2837" s="2" t="s">
        <v>18</v>
      </c>
      <c r="D2837" s="2" t="s">
        <v>19</v>
      </c>
      <c r="E2837" s="2" t="s">
        <v>162</v>
      </c>
      <c r="F2837" s="2">
        <v>20.0</v>
      </c>
      <c r="G2837" s="2">
        <v>29.0</v>
      </c>
      <c r="H2837" s="2">
        <v>17.0</v>
      </c>
      <c r="I2837" s="2">
        <v>12.0</v>
      </c>
      <c r="J2837" s="2">
        <v>0.0</v>
      </c>
      <c r="K2837" s="2">
        <v>0.0</v>
      </c>
      <c r="L2837" s="2">
        <v>0.0</v>
      </c>
      <c r="M2837" s="2">
        <v>3.0</v>
      </c>
      <c r="N2837" s="2"/>
      <c r="O2837" s="2"/>
      <c r="P2837" s="2" t="s">
        <v>195</v>
      </c>
    </row>
    <row r="2838">
      <c r="A2838" s="3" t="s">
        <v>49</v>
      </c>
      <c r="B2838" s="2" t="s">
        <v>17</v>
      </c>
      <c r="C2838" s="2" t="s">
        <v>18</v>
      </c>
      <c r="D2838" s="2" t="s">
        <v>127</v>
      </c>
      <c r="E2838" s="2" t="s">
        <v>162</v>
      </c>
      <c r="F2838" s="2">
        <v>50.0</v>
      </c>
      <c r="G2838" s="2">
        <v>11.0</v>
      </c>
      <c r="H2838" s="2">
        <v>2.0</v>
      </c>
      <c r="I2838" s="2">
        <v>9.0</v>
      </c>
      <c r="J2838" s="2">
        <v>0.0</v>
      </c>
      <c r="K2838" s="2">
        <v>0.0</v>
      </c>
      <c r="L2838" s="2">
        <v>0.0</v>
      </c>
      <c r="M2838" s="2">
        <v>48.0</v>
      </c>
      <c r="N2838" s="2"/>
      <c r="O2838" s="2"/>
      <c r="P2838" s="2" t="s">
        <v>195</v>
      </c>
    </row>
    <row r="2839">
      <c r="A2839" s="3" t="s">
        <v>51</v>
      </c>
      <c r="B2839" s="2" t="s">
        <v>17</v>
      </c>
      <c r="C2839" s="2" t="s">
        <v>18</v>
      </c>
      <c r="D2839" s="2" t="s">
        <v>23</v>
      </c>
      <c r="E2839" s="2" t="s">
        <v>162</v>
      </c>
      <c r="F2839" s="2">
        <v>73.0</v>
      </c>
      <c r="G2839" s="2">
        <v>53.0</v>
      </c>
      <c r="H2839" s="2">
        <v>24.0</v>
      </c>
      <c r="I2839" s="2">
        <v>29.0</v>
      </c>
      <c r="J2839" s="2">
        <v>0.0</v>
      </c>
      <c r="K2839" s="2">
        <v>0.0</v>
      </c>
      <c r="L2839" s="2">
        <v>0.0</v>
      </c>
      <c r="M2839" s="2">
        <v>49.0</v>
      </c>
      <c r="N2839" s="2">
        <v>-7.0</v>
      </c>
      <c r="O2839" s="2">
        <v>25.0</v>
      </c>
      <c r="P2839" s="2" t="s">
        <v>195</v>
      </c>
    </row>
    <row r="2840">
      <c r="A2840" s="3" t="s">
        <v>52</v>
      </c>
      <c r="B2840" s="4">
        <v>45170.29166666667</v>
      </c>
      <c r="C2840" s="2" t="s">
        <v>18</v>
      </c>
      <c r="D2840" s="2" t="s">
        <v>30</v>
      </c>
      <c r="E2840" s="2" t="s">
        <v>162</v>
      </c>
      <c r="F2840" s="2"/>
      <c r="G2840" s="2">
        <v>13.0</v>
      </c>
      <c r="H2840" s="2">
        <v>5.0</v>
      </c>
      <c r="I2840" s="2">
        <v>8.0</v>
      </c>
      <c r="J2840" s="2">
        <v>0.0</v>
      </c>
      <c r="K2840" s="2">
        <v>0.0</v>
      </c>
      <c r="L2840" s="2">
        <v>0.0</v>
      </c>
      <c r="M2840" s="2"/>
      <c r="N2840" s="2"/>
      <c r="O2840" s="2"/>
      <c r="P2840" s="2" t="s">
        <v>195</v>
      </c>
    </row>
    <row r="2841">
      <c r="A2841" s="3" t="s">
        <v>53</v>
      </c>
      <c r="B2841" s="4">
        <v>45171.29166666667</v>
      </c>
      <c r="C2841" s="2" t="s">
        <v>18</v>
      </c>
      <c r="D2841" s="2" t="s">
        <v>19</v>
      </c>
      <c r="E2841" s="2" t="s">
        <v>162</v>
      </c>
      <c r="F2841" s="2"/>
      <c r="G2841" s="2">
        <v>29.0</v>
      </c>
      <c r="H2841" s="2">
        <v>17.0</v>
      </c>
      <c r="I2841" s="2">
        <v>12.0</v>
      </c>
      <c r="J2841" s="2">
        <v>0.0</v>
      </c>
      <c r="K2841" s="2">
        <v>0.0</v>
      </c>
      <c r="L2841" s="2">
        <v>0.0</v>
      </c>
      <c r="M2841" s="2"/>
      <c r="N2841" s="2"/>
      <c r="O2841" s="2"/>
      <c r="P2841" s="2" t="s">
        <v>195</v>
      </c>
    </row>
    <row r="2842">
      <c r="A2842" s="3" t="s">
        <v>54</v>
      </c>
      <c r="B2842" s="4">
        <v>45203.29166666667</v>
      </c>
      <c r="C2842" s="2" t="s">
        <v>18</v>
      </c>
      <c r="D2842" s="2" t="s">
        <v>127</v>
      </c>
      <c r="E2842" s="2" t="s">
        <v>162</v>
      </c>
      <c r="F2842" s="2"/>
      <c r="G2842" s="2">
        <v>11.0</v>
      </c>
      <c r="H2842" s="2">
        <v>2.0</v>
      </c>
      <c r="I2842" s="2">
        <v>9.0</v>
      </c>
      <c r="J2842" s="2">
        <v>0.0</v>
      </c>
      <c r="K2842" s="2">
        <v>0.0</v>
      </c>
      <c r="L2842" s="2">
        <v>0.0</v>
      </c>
      <c r="M2842" s="2"/>
      <c r="N2842" s="2"/>
      <c r="O2842" s="2"/>
      <c r="P2842" s="2" t="s">
        <v>195</v>
      </c>
    </row>
    <row r="2843">
      <c r="A2843" s="3" t="s">
        <v>55</v>
      </c>
      <c r="B2843" s="2" t="s">
        <v>17</v>
      </c>
      <c r="C2843" s="2" t="s">
        <v>18</v>
      </c>
      <c r="D2843" s="2" t="s">
        <v>164</v>
      </c>
      <c r="E2843" s="2" t="s">
        <v>165</v>
      </c>
      <c r="F2843" s="2">
        <v>40.0</v>
      </c>
      <c r="G2843" s="2">
        <v>82.0</v>
      </c>
      <c r="H2843" s="2">
        <v>40.0</v>
      </c>
      <c r="I2843" s="2">
        <v>42.0</v>
      </c>
      <c r="J2843" s="2">
        <v>0.0</v>
      </c>
      <c r="K2843" s="2">
        <v>0.0</v>
      </c>
      <c r="L2843" s="2">
        <v>0.0</v>
      </c>
      <c r="M2843" s="2">
        <v>0.0</v>
      </c>
      <c r="N2843" s="2"/>
      <c r="O2843" s="2"/>
      <c r="P2843" s="2" t="s">
        <v>166</v>
      </c>
    </row>
    <row r="2844">
      <c r="A2844" s="3" t="s">
        <v>56</v>
      </c>
      <c r="B2844" s="2" t="s">
        <v>17</v>
      </c>
      <c r="C2844" s="2" t="s">
        <v>18</v>
      </c>
      <c r="D2844" s="2" t="s">
        <v>23</v>
      </c>
      <c r="E2844" s="2" t="s">
        <v>165</v>
      </c>
      <c r="F2844" s="2">
        <v>40.0</v>
      </c>
      <c r="G2844" s="2">
        <v>82.0</v>
      </c>
      <c r="H2844" s="2">
        <v>40.0</v>
      </c>
      <c r="I2844" s="2">
        <v>42.0</v>
      </c>
      <c r="J2844" s="2">
        <v>0.0</v>
      </c>
      <c r="K2844" s="2">
        <v>0.0</v>
      </c>
      <c r="L2844" s="2">
        <v>0.0</v>
      </c>
      <c r="M2844" s="2">
        <v>0.0</v>
      </c>
      <c r="N2844" s="2">
        <v>0.0</v>
      </c>
      <c r="O2844" s="2">
        <v>-40.0</v>
      </c>
      <c r="P2844" s="2" t="s">
        <v>166</v>
      </c>
    </row>
    <row r="2845">
      <c r="A2845" s="3" t="s">
        <v>59</v>
      </c>
      <c r="B2845" s="4">
        <v>45171.29166666667</v>
      </c>
      <c r="C2845" s="2" t="s">
        <v>18</v>
      </c>
      <c r="D2845" s="2" t="s">
        <v>164</v>
      </c>
      <c r="E2845" s="2" t="s">
        <v>165</v>
      </c>
      <c r="F2845" s="2"/>
      <c r="G2845" s="2">
        <v>82.0</v>
      </c>
      <c r="H2845" s="2">
        <v>40.0</v>
      </c>
      <c r="I2845" s="2">
        <v>42.0</v>
      </c>
      <c r="J2845" s="2">
        <v>0.0</v>
      </c>
      <c r="K2845" s="2">
        <v>0.0</v>
      </c>
      <c r="L2845" s="2">
        <v>0.0</v>
      </c>
      <c r="M2845" s="2"/>
      <c r="N2845" s="2"/>
      <c r="O2845" s="2"/>
      <c r="P2845" s="2" t="s">
        <v>166</v>
      </c>
    </row>
    <row r="2846">
      <c r="A2846" s="3" t="s">
        <v>60</v>
      </c>
      <c r="B2846" s="4">
        <v>45200.29166666667</v>
      </c>
      <c r="C2846" s="2" t="s">
        <v>18</v>
      </c>
      <c r="D2846" s="2" t="s">
        <v>164</v>
      </c>
      <c r="E2846" s="2" t="s">
        <v>165</v>
      </c>
      <c r="F2846" s="2"/>
      <c r="G2846" s="2">
        <v>0.0</v>
      </c>
      <c r="H2846" s="2">
        <v>0.0</v>
      </c>
      <c r="I2846" s="2">
        <v>0.0</v>
      </c>
      <c r="J2846" s="2">
        <v>0.0</v>
      </c>
      <c r="K2846" s="2">
        <v>0.0</v>
      </c>
      <c r="L2846" s="2">
        <v>0.0</v>
      </c>
      <c r="M2846" s="2"/>
      <c r="N2846" s="2"/>
      <c r="O2846" s="2"/>
      <c r="P2846" s="2" t="s">
        <v>166</v>
      </c>
    </row>
    <row r="2847">
      <c r="A2847" s="3" t="s">
        <v>61</v>
      </c>
      <c r="B2847" s="2" t="s">
        <v>17</v>
      </c>
      <c r="C2847" s="2" t="s">
        <v>18</v>
      </c>
      <c r="D2847" s="2" t="s">
        <v>30</v>
      </c>
      <c r="E2847" s="2" t="s">
        <v>27</v>
      </c>
      <c r="F2847" s="2">
        <v>150.0</v>
      </c>
      <c r="G2847" s="2">
        <v>11.0</v>
      </c>
      <c r="H2847" s="2">
        <v>0.0</v>
      </c>
      <c r="I2847" s="2">
        <v>11.0</v>
      </c>
      <c r="J2847" s="2">
        <v>0.0</v>
      </c>
      <c r="K2847" s="2">
        <v>0.0</v>
      </c>
      <c r="L2847" s="2">
        <v>0.0</v>
      </c>
      <c r="M2847" s="2">
        <v>150.0</v>
      </c>
      <c r="N2847" s="2"/>
      <c r="O2847" s="2"/>
      <c r="P2847" s="2" t="s">
        <v>184</v>
      </c>
    </row>
    <row r="2848">
      <c r="A2848" s="3" t="s">
        <v>62</v>
      </c>
      <c r="B2848" s="2" t="s">
        <v>17</v>
      </c>
      <c r="C2848" s="2" t="s">
        <v>18</v>
      </c>
      <c r="D2848" s="2" t="s">
        <v>19</v>
      </c>
      <c r="E2848" s="2" t="s">
        <v>27</v>
      </c>
      <c r="F2848" s="2">
        <v>200.0</v>
      </c>
      <c r="G2848" s="2">
        <v>30.0</v>
      </c>
      <c r="H2848" s="2">
        <v>27.0</v>
      </c>
      <c r="I2848" s="2">
        <v>3.0</v>
      </c>
      <c r="J2848" s="2">
        <v>0.0</v>
      </c>
      <c r="K2848" s="2">
        <v>0.0</v>
      </c>
      <c r="L2848" s="2">
        <v>0.0</v>
      </c>
      <c r="M2848" s="2">
        <v>173.0</v>
      </c>
      <c r="N2848" s="2"/>
      <c r="O2848" s="2"/>
      <c r="P2848" s="2" t="s">
        <v>184</v>
      </c>
    </row>
    <row r="2849">
      <c r="A2849" s="3" t="s">
        <v>63</v>
      </c>
      <c r="B2849" s="2" t="s">
        <v>17</v>
      </c>
      <c r="C2849" s="2" t="s">
        <v>18</v>
      </c>
      <c r="D2849" s="2" t="s">
        <v>23</v>
      </c>
      <c r="E2849" s="2" t="s">
        <v>27</v>
      </c>
      <c r="F2849" s="2">
        <v>200.0</v>
      </c>
      <c r="G2849" s="2">
        <v>41.0</v>
      </c>
      <c r="H2849" s="2">
        <v>27.0</v>
      </c>
      <c r="I2849" s="2">
        <v>14.0</v>
      </c>
      <c r="J2849" s="2">
        <v>0.0</v>
      </c>
      <c r="K2849" s="2">
        <v>0.0</v>
      </c>
      <c r="L2849" s="2">
        <v>0.0</v>
      </c>
      <c r="M2849" s="2">
        <v>173.0</v>
      </c>
      <c r="N2849" s="2">
        <v>-150.0</v>
      </c>
      <c r="O2849" s="2">
        <v>146.0</v>
      </c>
      <c r="P2849" s="2" t="s">
        <v>184</v>
      </c>
    </row>
    <row r="2850">
      <c r="A2850" s="3" t="s">
        <v>64</v>
      </c>
      <c r="B2850" s="4">
        <v>45171.29166666667</v>
      </c>
      <c r="C2850" s="2" t="s">
        <v>18</v>
      </c>
      <c r="D2850" s="2" t="s">
        <v>30</v>
      </c>
      <c r="E2850" s="2" t="s">
        <v>27</v>
      </c>
      <c r="F2850" s="2"/>
      <c r="G2850" s="2">
        <v>11.0</v>
      </c>
      <c r="H2850" s="2">
        <v>0.0</v>
      </c>
      <c r="I2850" s="2">
        <v>11.0</v>
      </c>
      <c r="J2850" s="2">
        <v>0.0</v>
      </c>
      <c r="K2850" s="2">
        <v>0.0</v>
      </c>
      <c r="L2850" s="2">
        <v>0.0</v>
      </c>
      <c r="M2850" s="2"/>
      <c r="N2850" s="2"/>
      <c r="O2850" s="2"/>
      <c r="P2850" s="2" t="s">
        <v>184</v>
      </c>
    </row>
    <row r="2851">
      <c r="A2851" s="3" t="s">
        <v>65</v>
      </c>
      <c r="B2851" s="4">
        <v>45172.29166666667</v>
      </c>
      <c r="C2851" s="2" t="s">
        <v>18</v>
      </c>
      <c r="D2851" s="2" t="s">
        <v>19</v>
      </c>
      <c r="E2851" s="2" t="s">
        <v>27</v>
      </c>
      <c r="F2851" s="2"/>
      <c r="G2851" s="2">
        <v>30.0</v>
      </c>
      <c r="H2851" s="2">
        <v>27.0</v>
      </c>
      <c r="I2851" s="2">
        <v>3.0</v>
      </c>
      <c r="J2851" s="2">
        <v>0.0</v>
      </c>
      <c r="K2851" s="2">
        <v>0.0</v>
      </c>
      <c r="L2851" s="2">
        <v>0.0</v>
      </c>
      <c r="M2851" s="2"/>
      <c r="N2851" s="2"/>
      <c r="O2851" s="2"/>
      <c r="P2851" s="2" t="s">
        <v>184</v>
      </c>
    </row>
    <row r="2852">
      <c r="A2852" s="3" t="s">
        <v>66</v>
      </c>
      <c r="B2852" s="2" t="s">
        <v>17</v>
      </c>
      <c r="C2852" s="2" t="s">
        <v>18</v>
      </c>
      <c r="D2852" s="2" t="s">
        <v>164</v>
      </c>
      <c r="E2852" s="2" t="s">
        <v>165</v>
      </c>
      <c r="F2852" s="2">
        <v>40.0</v>
      </c>
      <c r="G2852" s="2">
        <v>96.0</v>
      </c>
      <c r="H2852" s="2">
        <v>41.0</v>
      </c>
      <c r="I2852" s="2">
        <v>55.0</v>
      </c>
      <c r="J2852" s="2">
        <v>0.0</v>
      </c>
      <c r="K2852" s="2">
        <v>0.0</v>
      </c>
      <c r="L2852" s="2">
        <v>0.0</v>
      </c>
      <c r="M2852" s="2">
        <v>-1.0</v>
      </c>
      <c r="N2852" s="2"/>
      <c r="O2852" s="2"/>
      <c r="P2852" s="2" t="s">
        <v>166</v>
      </c>
    </row>
    <row r="2853">
      <c r="A2853" s="3" t="s">
        <v>68</v>
      </c>
      <c r="B2853" s="2" t="s">
        <v>17</v>
      </c>
      <c r="C2853" s="2" t="s">
        <v>18</v>
      </c>
      <c r="D2853" s="2" t="s">
        <v>23</v>
      </c>
      <c r="E2853" s="2" t="s">
        <v>165</v>
      </c>
      <c r="F2853" s="2">
        <v>40.0</v>
      </c>
      <c r="G2853" s="2">
        <v>96.0</v>
      </c>
      <c r="H2853" s="2">
        <v>41.0</v>
      </c>
      <c r="I2853" s="2">
        <v>55.0</v>
      </c>
      <c r="J2853" s="2">
        <v>0.0</v>
      </c>
      <c r="K2853" s="2">
        <v>0.0</v>
      </c>
      <c r="L2853" s="2">
        <v>0.0</v>
      </c>
      <c r="M2853" s="2">
        <v>-1.0</v>
      </c>
      <c r="N2853" s="2">
        <v>0.0</v>
      </c>
      <c r="O2853" s="2">
        <v>-42.0</v>
      </c>
      <c r="P2853" s="2" t="s">
        <v>166</v>
      </c>
    </row>
    <row r="2854">
      <c r="A2854" s="3" t="s">
        <v>70</v>
      </c>
      <c r="B2854" s="4">
        <v>45200.29166666667</v>
      </c>
      <c r="C2854" s="2" t="s">
        <v>18</v>
      </c>
      <c r="D2854" s="2" t="s">
        <v>164</v>
      </c>
      <c r="E2854" s="2" t="s">
        <v>165</v>
      </c>
      <c r="F2854" s="2"/>
      <c r="G2854" s="2">
        <v>96.0</v>
      </c>
      <c r="H2854" s="2">
        <v>41.0</v>
      </c>
      <c r="I2854" s="2">
        <v>55.0</v>
      </c>
      <c r="J2854" s="2">
        <v>0.0</v>
      </c>
      <c r="K2854" s="2">
        <v>0.0</v>
      </c>
      <c r="L2854" s="2">
        <v>0.0</v>
      </c>
      <c r="M2854" s="2"/>
      <c r="N2854" s="2"/>
      <c r="O2854" s="2"/>
      <c r="P2854" s="2" t="s">
        <v>166</v>
      </c>
    </row>
    <row r="2855">
      <c r="A2855" s="3" t="s">
        <v>16</v>
      </c>
      <c r="B2855" s="2" t="s">
        <v>17</v>
      </c>
      <c r="C2855" s="2" t="s">
        <v>18</v>
      </c>
      <c r="D2855" s="2" t="s">
        <v>164</v>
      </c>
      <c r="E2855" s="2" t="s">
        <v>377</v>
      </c>
      <c r="F2855" s="2">
        <v>57.0</v>
      </c>
      <c r="G2855" s="2">
        <v>71.0</v>
      </c>
      <c r="H2855" s="2">
        <v>60.0</v>
      </c>
      <c r="I2855" s="2">
        <v>11.0</v>
      </c>
      <c r="J2855" s="2">
        <v>0.0</v>
      </c>
      <c r="K2855" s="2">
        <v>0.0</v>
      </c>
      <c r="L2855" s="2">
        <v>0.0</v>
      </c>
      <c r="M2855" s="2">
        <v>-3.0</v>
      </c>
      <c r="N2855" s="2"/>
      <c r="O2855" s="2"/>
      <c r="P2855" s="2" t="s">
        <v>166</v>
      </c>
    </row>
    <row r="2856">
      <c r="A2856" s="3" t="s">
        <v>71</v>
      </c>
      <c r="B2856" s="2" t="s">
        <v>17</v>
      </c>
      <c r="C2856" s="2" t="s">
        <v>18</v>
      </c>
      <c r="D2856" s="2" t="s">
        <v>23</v>
      </c>
      <c r="E2856" s="2" t="s">
        <v>377</v>
      </c>
      <c r="F2856" s="2">
        <v>57.0</v>
      </c>
      <c r="G2856" s="2">
        <v>71.0</v>
      </c>
      <c r="H2856" s="2">
        <v>60.0</v>
      </c>
      <c r="I2856" s="2">
        <v>11.0</v>
      </c>
      <c r="J2856" s="2">
        <v>0.0</v>
      </c>
      <c r="K2856" s="2">
        <v>0.0</v>
      </c>
      <c r="L2856" s="2">
        <v>0.0</v>
      </c>
      <c r="M2856" s="2">
        <v>-3.0</v>
      </c>
      <c r="N2856" s="2">
        <v>0.0</v>
      </c>
      <c r="O2856" s="2">
        <v>-63.0</v>
      </c>
      <c r="P2856" s="2" t="s">
        <v>166</v>
      </c>
    </row>
    <row r="2857">
      <c r="A2857" s="3" t="s">
        <v>72</v>
      </c>
      <c r="B2857" s="4">
        <v>45171.29166666667</v>
      </c>
      <c r="C2857" s="2" t="s">
        <v>18</v>
      </c>
      <c r="D2857" s="2" t="s">
        <v>164</v>
      </c>
      <c r="E2857" s="2" t="s">
        <v>377</v>
      </c>
      <c r="F2857" s="2"/>
      <c r="G2857" s="2">
        <v>71.0</v>
      </c>
      <c r="H2857" s="2">
        <v>60.0</v>
      </c>
      <c r="I2857" s="2">
        <v>11.0</v>
      </c>
      <c r="J2857" s="2">
        <v>0.0</v>
      </c>
      <c r="K2857" s="2">
        <v>0.0</v>
      </c>
      <c r="L2857" s="2">
        <v>0.0</v>
      </c>
      <c r="M2857" s="2"/>
      <c r="N2857" s="2"/>
      <c r="O2857" s="2"/>
      <c r="P2857" s="2" t="s">
        <v>166</v>
      </c>
    </row>
    <row r="2858">
      <c r="A2858" s="3" t="s">
        <v>73</v>
      </c>
      <c r="B2858" s="2" t="s">
        <v>17</v>
      </c>
      <c r="C2858" s="2" t="s">
        <v>18</v>
      </c>
      <c r="D2858" s="2" t="s">
        <v>19</v>
      </c>
      <c r="E2858" s="2" t="s">
        <v>27</v>
      </c>
      <c r="F2858" s="2">
        <v>100.0</v>
      </c>
      <c r="G2858" s="2">
        <v>128.0</v>
      </c>
      <c r="H2858" s="2">
        <v>96.0</v>
      </c>
      <c r="I2858" s="2">
        <v>30.0</v>
      </c>
      <c r="J2858" s="2">
        <v>2.0</v>
      </c>
      <c r="K2858" s="2">
        <v>0.0</v>
      </c>
      <c r="L2858" s="2">
        <v>0.0</v>
      </c>
      <c r="M2858" s="2">
        <v>4.0</v>
      </c>
      <c r="N2858" s="2"/>
      <c r="O2858" s="2"/>
      <c r="P2858" s="2" t="s">
        <v>80</v>
      </c>
    </row>
    <row r="2859">
      <c r="A2859" s="3" t="s">
        <v>74</v>
      </c>
      <c r="B2859" s="2" t="s">
        <v>17</v>
      </c>
      <c r="C2859" s="2" t="s">
        <v>18</v>
      </c>
      <c r="D2859" s="2" t="s">
        <v>23</v>
      </c>
      <c r="E2859" s="2" t="s">
        <v>27</v>
      </c>
      <c r="F2859" s="2">
        <v>100.0</v>
      </c>
      <c r="G2859" s="2">
        <v>128.0</v>
      </c>
      <c r="H2859" s="2">
        <v>96.0</v>
      </c>
      <c r="I2859" s="2">
        <v>30.0</v>
      </c>
      <c r="J2859" s="2">
        <v>2.0</v>
      </c>
      <c r="K2859" s="2">
        <v>0.0</v>
      </c>
      <c r="L2859" s="2">
        <v>0.0</v>
      </c>
      <c r="M2859" s="2">
        <v>4.0</v>
      </c>
      <c r="N2859" s="2">
        <v>0.0</v>
      </c>
      <c r="O2859" s="2">
        <v>-92.0</v>
      </c>
      <c r="P2859" s="2" t="s">
        <v>80</v>
      </c>
    </row>
    <row r="2860">
      <c r="A2860" s="3" t="s">
        <v>75</v>
      </c>
      <c r="B2860" s="4">
        <v>45140.29166666667</v>
      </c>
      <c r="C2860" s="2" t="s">
        <v>18</v>
      </c>
      <c r="D2860" s="2" t="s">
        <v>19</v>
      </c>
      <c r="E2860" s="2" t="s">
        <v>27</v>
      </c>
      <c r="F2860" s="2"/>
      <c r="G2860" s="2">
        <v>28.0</v>
      </c>
      <c r="H2860" s="2">
        <v>16.0</v>
      </c>
      <c r="I2860" s="2">
        <v>12.0</v>
      </c>
      <c r="J2860" s="2">
        <v>0.0</v>
      </c>
      <c r="K2860" s="2">
        <v>0.0</v>
      </c>
      <c r="L2860" s="2">
        <v>0.0</v>
      </c>
      <c r="M2860" s="2"/>
      <c r="N2860" s="2"/>
      <c r="O2860" s="2"/>
      <c r="P2860" s="2" t="s">
        <v>80</v>
      </c>
    </row>
    <row r="2861">
      <c r="A2861" s="3" t="s">
        <v>76</v>
      </c>
      <c r="B2861" s="4">
        <v>45170.29166666667</v>
      </c>
      <c r="C2861" s="2" t="s">
        <v>18</v>
      </c>
      <c r="D2861" s="2" t="s">
        <v>19</v>
      </c>
      <c r="E2861" s="2" t="s">
        <v>27</v>
      </c>
      <c r="F2861" s="2"/>
      <c r="G2861" s="2">
        <v>100.0</v>
      </c>
      <c r="H2861" s="2">
        <v>80.0</v>
      </c>
      <c r="I2861" s="2">
        <v>18.0</v>
      </c>
      <c r="J2861" s="2">
        <v>2.0</v>
      </c>
      <c r="K2861" s="2">
        <v>0.0</v>
      </c>
      <c r="L2861" s="2">
        <v>0.0</v>
      </c>
      <c r="M2861" s="2"/>
      <c r="N2861" s="2"/>
      <c r="O2861" s="2"/>
      <c r="P2861" s="2" t="s">
        <v>80</v>
      </c>
    </row>
    <row r="2862">
      <c r="A2862" s="3" t="s">
        <v>77</v>
      </c>
      <c r="B2862" s="2" t="s">
        <v>17</v>
      </c>
      <c r="C2862" s="2" t="s">
        <v>18</v>
      </c>
      <c r="D2862" s="2" t="s">
        <v>157</v>
      </c>
      <c r="E2862" s="2" t="s">
        <v>171</v>
      </c>
      <c r="F2862" s="2">
        <v>35.0</v>
      </c>
      <c r="G2862" s="2">
        <v>6.0</v>
      </c>
      <c r="H2862" s="2">
        <v>4.0</v>
      </c>
      <c r="I2862" s="2">
        <v>2.0</v>
      </c>
      <c r="J2862" s="2">
        <v>0.0</v>
      </c>
      <c r="K2862" s="2">
        <v>0.0</v>
      </c>
      <c r="L2862" s="2">
        <v>5.0</v>
      </c>
      <c r="M2862" s="2">
        <v>31.0</v>
      </c>
      <c r="N2862" s="2"/>
      <c r="O2862" s="2"/>
      <c r="P2862" s="2" t="s">
        <v>67</v>
      </c>
    </row>
    <row r="2863">
      <c r="A2863" s="3" t="s">
        <v>78</v>
      </c>
      <c r="B2863" s="2" t="s">
        <v>17</v>
      </c>
      <c r="C2863" s="2" t="s">
        <v>18</v>
      </c>
      <c r="D2863" s="2" t="s">
        <v>157</v>
      </c>
      <c r="E2863" s="2" t="s">
        <v>163</v>
      </c>
      <c r="F2863" s="2">
        <v>35.0</v>
      </c>
      <c r="G2863" s="2">
        <v>9.0</v>
      </c>
      <c r="H2863" s="2">
        <v>4.0</v>
      </c>
      <c r="I2863" s="2">
        <v>5.0</v>
      </c>
      <c r="J2863" s="2">
        <v>0.0</v>
      </c>
      <c r="K2863" s="2">
        <v>0.0</v>
      </c>
      <c r="L2863" s="2">
        <v>3.0</v>
      </c>
      <c r="M2863" s="2">
        <v>31.0</v>
      </c>
      <c r="N2863" s="2"/>
      <c r="O2863" s="2"/>
      <c r="P2863" s="2" t="s">
        <v>67</v>
      </c>
    </row>
    <row r="2864">
      <c r="A2864" s="3" t="s">
        <v>81</v>
      </c>
      <c r="B2864" s="2" t="s">
        <v>17</v>
      </c>
      <c r="C2864" s="2" t="s">
        <v>18</v>
      </c>
      <c r="D2864" s="2" t="s">
        <v>157</v>
      </c>
      <c r="E2864" s="2" t="s">
        <v>208</v>
      </c>
      <c r="F2864" s="2">
        <v>30.0</v>
      </c>
      <c r="G2864" s="2">
        <v>2.0</v>
      </c>
      <c r="H2864" s="2">
        <v>0.0</v>
      </c>
      <c r="I2864" s="2">
        <v>2.0</v>
      </c>
      <c r="J2864" s="2">
        <v>0.0</v>
      </c>
      <c r="K2864" s="2">
        <v>0.0</v>
      </c>
      <c r="L2864" s="2">
        <v>0.0</v>
      </c>
      <c r="M2864" s="2">
        <v>30.0</v>
      </c>
      <c r="N2864" s="2"/>
      <c r="O2864" s="2"/>
      <c r="P2864" s="2" t="s">
        <v>67</v>
      </c>
    </row>
    <row r="2865">
      <c r="A2865" s="3" t="s">
        <v>82</v>
      </c>
      <c r="B2865" s="2" t="s">
        <v>17</v>
      </c>
      <c r="C2865" s="2" t="s">
        <v>18</v>
      </c>
      <c r="D2865" s="2" t="s">
        <v>157</v>
      </c>
      <c r="E2865" s="2" t="s">
        <v>316</v>
      </c>
      <c r="F2865" s="2">
        <v>15.0</v>
      </c>
      <c r="G2865" s="2">
        <v>1.0</v>
      </c>
      <c r="H2865" s="2">
        <v>1.0</v>
      </c>
      <c r="I2865" s="2">
        <v>0.0</v>
      </c>
      <c r="J2865" s="2">
        <v>0.0</v>
      </c>
      <c r="K2865" s="2">
        <v>0.0</v>
      </c>
      <c r="L2865" s="2">
        <v>0.0</v>
      </c>
      <c r="M2865" s="2">
        <v>14.0</v>
      </c>
      <c r="N2865" s="2"/>
      <c r="O2865" s="2"/>
      <c r="P2865" s="2" t="s">
        <v>67</v>
      </c>
    </row>
    <row r="2866">
      <c r="A2866" s="3" t="s">
        <v>83</v>
      </c>
      <c r="B2866" s="2" t="s">
        <v>17</v>
      </c>
      <c r="C2866" s="2" t="s">
        <v>18</v>
      </c>
      <c r="D2866" s="2" t="s">
        <v>157</v>
      </c>
      <c r="E2866" s="2" t="s">
        <v>209</v>
      </c>
      <c r="F2866" s="2">
        <v>13.0</v>
      </c>
      <c r="G2866" s="2">
        <v>2.0</v>
      </c>
      <c r="H2866" s="2">
        <v>1.0</v>
      </c>
      <c r="I2866" s="2">
        <v>1.0</v>
      </c>
      <c r="J2866" s="2">
        <v>0.0</v>
      </c>
      <c r="K2866" s="2">
        <v>0.0</v>
      </c>
      <c r="L2866" s="2">
        <v>2.0</v>
      </c>
      <c r="M2866" s="2">
        <v>12.0</v>
      </c>
      <c r="N2866" s="2"/>
      <c r="O2866" s="2"/>
      <c r="P2866" s="2" t="s">
        <v>67</v>
      </c>
    </row>
    <row r="2867">
      <c r="A2867" s="3" t="s">
        <v>84</v>
      </c>
      <c r="B2867" s="2" t="s">
        <v>17</v>
      </c>
      <c r="C2867" s="2" t="s">
        <v>18</v>
      </c>
      <c r="D2867" s="2" t="s">
        <v>157</v>
      </c>
      <c r="E2867" s="2" t="s">
        <v>283</v>
      </c>
      <c r="F2867" s="2">
        <v>20.0</v>
      </c>
      <c r="G2867" s="2">
        <v>19.0</v>
      </c>
      <c r="H2867" s="2">
        <v>16.0</v>
      </c>
      <c r="I2867" s="2">
        <v>3.0</v>
      </c>
      <c r="J2867" s="2">
        <v>0.0</v>
      </c>
      <c r="K2867" s="2">
        <v>0.0</v>
      </c>
      <c r="L2867" s="2">
        <v>9.0</v>
      </c>
      <c r="M2867" s="2">
        <v>4.0</v>
      </c>
      <c r="N2867" s="2"/>
      <c r="O2867" s="2"/>
      <c r="P2867" s="2" t="s">
        <v>67</v>
      </c>
    </row>
    <row r="2868">
      <c r="A2868" s="3" t="s">
        <v>85</v>
      </c>
      <c r="B2868" s="2" t="s">
        <v>17</v>
      </c>
      <c r="C2868" s="2" t="s">
        <v>18</v>
      </c>
      <c r="D2868" s="2" t="s">
        <v>30</v>
      </c>
      <c r="E2868" s="2" t="s">
        <v>171</v>
      </c>
      <c r="F2868" s="2">
        <v>150.0</v>
      </c>
      <c r="G2868" s="2">
        <v>150.0</v>
      </c>
      <c r="H2868" s="2">
        <v>122.0</v>
      </c>
      <c r="I2868" s="2">
        <v>28.0</v>
      </c>
      <c r="J2868" s="2">
        <v>0.0</v>
      </c>
      <c r="K2868" s="2">
        <v>0.0</v>
      </c>
      <c r="L2868" s="2">
        <v>2.0</v>
      </c>
      <c r="M2868" s="2">
        <v>28.0</v>
      </c>
      <c r="N2868" s="2"/>
      <c r="O2868" s="2"/>
      <c r="P2868" s="2" t="s">
        <v>67</v>
      </c>
    </row>
    <row r="2869">
      <c r="A2869" s="3" t="s">
        <v>86</v>
      </c>
      <c r="B2869" s="2" t="s">
        <v>17</v>
      </c>
      <c r="C2869" s="2" t="s">
        <v>18</v>
      </c>
      <c r="D2869" s="2" t="s">
        <v>30</v>
      </c>
      <c r="E2869" s="2" t="s">
        <v>163</v>
      </c>
      <c r="F2869" s="2">
        <v>80.0</v>
      </c>
      <c r="G2869" s="2">
        <v>99.0</v>
      </c>
      <c r="H2869" s="2">
        <v>82.0</v>
      </c>
      <c r="I2869" s="2">
        <v>17.0</v>
      </c>
      <c r="J2869" s="2">
        <v>0.0</v>
      </c>
      <c r="K2869" s="2">
        <v>0.0</v>
      </c>
      <c r="L2869" s="2">
        <v>33.0</v>
      </c>
      <c r="M2869" s="2">
        <v>-2.0</v>
      </c>
      <c r="N2869" s="2"/>
      <c r="O2869" s="2"/>
      <c r="P2869" s="2" t="s">
        <v>67</v>
      </c>
    </row>
    <row r="2870">
      <c r="A2870" s="3" t="s">
        <v>87</v>
      </c>
      <c r="B2870" s="2" t="s">
        <v>17</v>
      </c>
      <c r="C2870" s="2" t="s">
        <v>18</v>
      </c>
      <c r="D2870" s="2" t="s">
        <v>30</v>
      </c>
      <c r="E2870" s="2" t="s">
        <v>208</v>
      </c>
      <c r="F2870" s="2">
        <v>50.0</v>
      </c>
      <c r="G2870" s="2">
        <v>72.0</v>
      </c>
      <c r="H2870" s="2">
        <v>60.0</v>
      </c>
      <c r="I2870" s="2">
        <v>12.0</v>
      </c>
      <c r="J2870" s="2">
        <v>0.0</v>
      </c>
      <c r="K2870" s="2">
        <v>0.0</v>
      </c>
      <c r="L2870" s="2">
        <v>10.0</v>
      </c>
      <c r="M2870" s="2">
        <v>-10.0</v>
      </c>
      <c r="N2870" s="2"/>
      <c r="O2870" s="2"/>
      <c r="P2870" s="2" t="s">
        <v>67</v>
      </c>
    </row>
    <row r="2871">
      <c r="A2871" s="3" t="s">
        <v>88</v>
      </c>
      <c r="B2871" s="2" t="s">
        <v>17</v>
      </c>
      <c r="C2871" s="2" t="s">
        <v>18</v>
      </c>
      <c r="D2871" s="2" t="s">
        <v>30</v>
      </c>
      <c r="E2871" s="2" t="s">
        <v>316</v>
      </c>
      <c r="F2871" s="2">
        <v>25.0</v>
      </c>
      <c r="G2871" s="2">
        <v>35.0</v>
      </c>
      <c r="H2871" s="2">
        <v>26.0</v>
      </c>
      <c r="I2871" s="2">
        <v>9.0</v>
      </c>
      <c r="J2871" s="2">
        <v>0.0</v>
      </c>
      <c r="K2871" s="2">
        <v>0.0</v>
      </c>
      <c r="L2871" s="2">
        <v>0.0</v>
      </c>
      <c r="M2871" s="2">
        <v>-1.0</v>
      </c>
      <c r="N2871" s="2"/>
      <c r="O2871" s="2"/>
      <c r="P2871" s="2" t="s">
        <v>67</v>
      </c>
    </row>
    <row r="2872">
      <c r="A2872" s="3" t="s">
        <v>89</v>
      </c>
      <c r="B2872" s="2" t="s">
        <v>17</v>
      </c>
      <c r="C2872" s="2" t="s">
        <v>18</v>
      </c>
      <c r="D2872" s="2" t="s">
        <v>30</v>
      </c>
      <c r="E2872" s="2" t="s">
        <v>209</v>
      </c>
      <c r="F2872" s="2">
        <v>20.0</v>
      </c>
      <c r="G2872" s="2">
        <v>21.0</v>
      </c>
      <c r="H2872" s="2">
        <v>18.0</v>
      </c>
      <c r="I2872" s="2">
        <v>3.0</v>
      </c>
      <c r="J2872" s="2">
        <v>0.0</v>
      </c>
      <c r="K2872" s="2">
        <v>0.0</v>
      </c>
      <c r="L2872" s="2">
        <v>0.0</v>
      </c>
      <c r="M2872" s="2">
        <v>2.0</v>
      </c>
      <c r="N2872" s="2"/>
      <c r="O2872" s="2"/>
      <c r="P2872" s="2" t="s">
        <v>67</v>
      </c>
    </row>
    <row r="2873">
      <c r="A2873" s="3" t="s">
        <v>90</v>
      </c>
      <c r="B2873" s="2" t="s">
        <v>17</v>
      </c>
      <c r="C2873" s="2" t="s">
        <v>18</v>
      </c>
      <c r="D2873" s="2" t="s">
        <v>30</v>
      </c>
      <c r="E2873" s="2" t="s">
        <v>283</v>
      </c>
      <c r="F2873" s="2">
        <v>20.0</v>
      </c>
      <c r="G2873" s="2">
        <v>15.0</v>
      </c>
      <c r="H2873" s="2">
        <v>14.0</v>
      </c>
      <c r="I2873" s="2">
        <v>1.0</v>
      </c>
      <c r="J2873" s="2">
        <v>0.0</v>
      </c>
      <c r="K2873" s="2">
        <v>0.0</v>
      </c>
      <c r="L2873" s="2">
        <v>5.0</v>
      </c>
      <c r="M2873" s="2">
        <v>6.0</v>
      </c>
      <c r="N2873" s="2"/>
      <c r="O2873" s="2"/>
      <c r="P2873" s="2" t="s">
        <v>67</v>
      </c>
    </row>
    <row r="2874">
      <c r="A2874" s="3" t="s">
        <v>93</v>
      </c>
      <c r="B2874" s="2" t="s">
        <v>17</v>
      </c>
      <c r="C2874" s="2" t="s">
        <v>18</v>
      </c>
      <c r="D2874" s="2" t="s">
        <v>19</v>
      </c>
      <c r="E2874" s="2" t="s">
        <v>171</v>
      </c>
      <c r="F2874" s="2">
        <v>15.0</v>
      </c>
      <c r="G2874" s="2">
        <v>1.0</v>
      </c>
      <c r="H2874" s="2">
        <v>1.0</v>
      </c>
      <c r="I2874" s="2">
        <v>0.0</v>
      </c>
      <c r="J2874" s="2">
        <v>0.0</v>
      </c>
      <c r="K2874" s="2">
        <v>0.0</v>
      </c>
      <c r="L2874" s="2">
        <v>1.0</v>
      </c>
      <c r="M2874" s="2">
        <v>14.0</v>
      </c>
      <c r="N2874" s="2"/>
      <c r="O2874" s="2"/>
      <c r="P2874" s="2" t="s">
        <v>67</v>
      </c>
    </row>
    <row r="2875">
      <c r="A2875" s="3" t="s">
        <v>16</v>
      </c>
      <c r="B2875" s="2" t="s">
        <v>17</v>
      </c>
      <c r="C2875" s="2" t="s">
        <v>18</v>
      </c>
      <c r="D2875" s="2" t="s">
        <v>19</v>
      </c>
      <c r="E2875" s="2" t="s">
        <v>163</v>
      </c>
      <c r="F2875" s="2">
        <v>15.0</v>
      </c>
      <c r="G2875" s="2">
        <v>1.0</v>
      </c>
      <c r="H2875" s="2">
        <v>1.0</v>
      </c>
      <c r="I2875" s="2">
        <v>0.0</v>
      </c>
      <c r="J2875" s="2">
        <v>0.0</v>
      </c>
      <c r="K2875" s="2">
        <v>0.0</v>
      </c>
      <c r="L2875" s="2">
        <v>1.0</v>
      </c>
      <c r="M2875" s="2">
        <v>14.0</v>
      </c>
      <c r="N2875" s="2"/>
      <c r="O2875" s="2"/>
      <c r="P2875" s="2" t="s">
        <v>67</v>
      </c>
    </row>
    <row r="2876">
      <c r="A2876" s="3" t="s">
        <v>94</v>
      </c>
      <c r="B2876" s="2" t="s">
        <v>17</v>
      </c>
      <c r="C2876" s="2" t="s">
        <v>18</v>
      </c>
      <c r="D2876" s="2" t="s">
        <v>19</v>
      </c>
      <c r="E2876" s="2" t="s">
        <v>208</v>
      </c>
      <c r="F2876" s="2">
        <v>20.0</v>
      </c>
      <c r="G2876" s="2">
        <v>0.0</v>
      </c>
      <c r="H2876" s="2">
        <v>0.0</v>
      </c>
      <c r="I2876" s="2">
        <v>0.0</v>
      </c>
      <c r="J2876" s="2">
        <v>0.0</v>
      </c>
      <c r="K2876" s="2">
        <v>0.0</v>
      </c>
      <c r="L2876" s="2">
        <v>0.0</v>
      </c>
      <c r="M2876" s="2">
        <v>20.0</v>
      </c>
      <c r="N2876" s="2"/>
      <c r="O2876" s="2"/>
      <c r="P2876" s="2" t="s">
        <v>67</v>
      </c>
    </row>
    <row r="2877">
      <c r="A2877" s="3" t="s">
        <v>95</v>
      </c>
      <c r="B2877" s="2" t="s">
        <v>17</v>
      </c>
      <c r="C2877" s="2" t="s">
        <v>18</v>
      </c>
      <c r="D2877" s="2" t="s">
        <v>19</v>
      </c>
      <c r="E2877" s="2" t="s">
        <v>316</v>
      </c>
      <c r="F2877" s="2">
        <v>10.0</v>
      </c>
      <c r="G2877" s="2">
        <v>1.0</v>
      </c>
      <c r="H2877" s="2">
        <v>1.0</v>
      </c>
      <c r="I2877" s="2">
        <v>0.0</v>
      </c>
      <c r="J2877" s="2">
        <v>0.0</v>
      </c>
      <c r="K2877" s="2">
        <v>0.0</v>
      </c>
      <c r="L2877" s="2">
        <v>0.0</v>
      </c>
      <c r="M2877" s="2">
        <v>9.0</v>
      </c>
      <c r="N2877" s="2"/>
      <c r="O2877" s="2"/>
      <c r="P2877" s="2" t="s">
        <v>67</v>
      </c>
    </row>
    <row r="2878">
      <c r="A2878" s="3" t="s">
        <v>97</v>
      </c>
      <c r="B2878" s="2" t="s">
        <v>17</v>
      </c>
      <c r="C2878" s="2" t="s">
        <v>18</v>
      </c>
      <c r="D2878" s="2" t="s">
        <v>19</v>
      </c>
      <c r="E2878" s="2" t="s">
        <v>209</v>
      </c>
      <c r="F2878" s="2">
        <v>10.0</v>
      </c>
      <c r="G2878" s="2">
        <v>1.0</v>
      </c>
      <c r="H2878" s="2">
        <v>0.0</v>
      </c>
      <c r="I2878" s="2">
        <v>1.0</v>
      </c>
      <c r="J2878" s="2">
        <v>0.0</v>
      </c>
      <c r="K2878" s="2">
        <v>0.0</v>
      </c>
      <c r="L2878" s="2">
        <v>0.0</v>
      </c>
      <c r="M2878" s="2">
        <v>10.0</v>
      </c>
      <c r="N2878" s="2"/>
      <c r="O2878" s="2"/>
      <c r="P2878" s="2" t="s">
        <v>67</v>
      </c>
    </row>
    <row r="2879">
      <c r="A2879" s="3" t="s">
        <v>98</v>
      </c>
      <c r="B2879" s="2" t="s">
        <v>17</v>
      </c>
      <c r="C2879" s="2" t="s">
        <v>18</v>
      </c>
      <c r="D2879" s="2" t="s">
        <v>19</v>
      </c>
      <c r="E2879" s="2" t="s">
        <v>283</v>
      </c>
      <c r="F2879" s="2">
        <v>5.0</v>
      </c>
      <c r="G2879" s="2">
        <v>10.0</v>
      </c>
      <c r="H2879" s="2">
        <v>7.0</v>
      </c>
      <c r="I2879" s="2">
        <v>3.0</v>
      </c>
      <c r="J2879" s="2">
        <v>0.0</v>
      </c>
      <c r="K2879" s="2">
        <v>0.0</v>
      </c>
      <c r="L2879" s="2">
        <v>0.0</v>
      </c>
      <c r="M2879" s="2">
        <v>-2.0</v>
      </c>
      <c r="N2879" s="2"/>
      <c r="O2879" s="2"/>
      <c r="P2879" s="2" t="s">
        <v>67</v>
      </c>
    </row>
    <row r="2880">
      <c r="A2880" s="3" t="s">
        <v>99</v>
      </c>
      <c r="B2880" s="2" t="s">
        <v>17</v>
      </c>
      <c r="C2880" s="2" t="s">
        <v>57</v>
      </c>
      <c r="D2880" s="2" t="s">
        <v>23</v>
      </c>
      <c r="E2880" s="2" t="s">
        <v>171</v>
      </c>
      <c r="F2880" s="2">
        <v>150.0</v>
      </c>
      <c r="G2880" s="2">
        <v>157.0</v>
      </c>
      <c r="H2880" s="2">
        <v>127.0</v>
      </c>
      <c r="I2880" s="2">
        <v>30.0</v>
      </c>
      <c r="J2880" s="2">
        <v>0.0</v>
      </c>
      <c r="K2880" s="2">
        <v>0.0</v>
      </c>
      <c r="L2880" s="2">
        <v>8.0</v>
      </c>
      <c r="M2880" s="2">
        <v>23.0</v>
      </c>
      <c r="N2880" s="2">
        <v>-50.0</v>
      </c>
      <c r="O2880" s="2">
        <v>-104.0</v>
      </c>
      <c r="P2880" s="2" t="s">
        <v>67</v>
      </c>
    </row>
    <row r="2881">
      <c r="A2881" s="3" t="s">
        <v>100</v>
      </c>
      <c r="B2881" s="2" t="s">
        <v>17</v>
      </c>
      <c r="C2881" s="2" t="s">
        <v>57</v>
      </c>
      <c r="D2881" s="2" t="s">
        <v>23</v>
      </c>
      <c r="E2881" s="2" t="s">
        <v>163</v>
      </c>
      <c r="F2881" s="2">
        <v>100.0</v>
      </c>
      <c r="G2881" s="2">
        <v>109.0</v>
      </c>
      <c r="H2881" s="2">
        <v>87.0</v>
      </c>
      <c r="I2881" s="2">
        <v>22.0</v>
      </c>
      <c r="J2881" s="2">
        <v>0.0</v>
      </c>
      <c r="K2881" s="2">
        <v>0.0</v>
      </c>
      <c r="L2881" s="2">
        <v>37.0</v>
      </c>
      <c r="M2881" s="2">
        <v>13.0</v>
      </c>
      <c r="N2881" s="2">
        <v>-30.0</v>
      </c>
      <c r="O2881" s="2">
        <v>-74.0</v>
      </c>
      <c r="P2881" s="2" t="s">
        <v>67</v>
      </c>
    </row>
    <row r="2882">
      <c r="A2882" s="3" t="s">
        <v>101</v>
      </c>
      <c r="B2882" s="2" t="s">
        <v>17</v>
      </c>
      <c r="C2882" s="2" t="s">
        <v>57</v>
      </c>
      <c r="D2882" s="2" t="s">
        <v>23</v>
      </c>
      <c r="E2882" s="2" t="s">
        <v>208</v>
      </c>
      <c r="F2882" s="2">
        <v>80.0</v>
      </c>
      <c r="G2882" s="2">
        <v>74.0</v>
      </c>
      <c r="H2882" s="2">
        <v>60.0</v>
      </c>
      <c r="I2882" s="2">
        <v>14.0</v>
      </c>
      <c r="J2882" s="2">
        <v>0.0</v>
      </c>
      <c r="K2882" s="2">
        <v>0.0</v>
      </c>
      <c r="L2882" s="2">
        <v>10.0</v>
      </c>
      <c r="M2882" s="2">
        <v>20.0</v>
      </c>
      <c r="N2882" s="2">
        <v>-20.0</v>
      </c>
      <c r="O2882" s="2">
        <v>-40.0</v>
      </c>
      <c r="P2882" s="2" t="s">
        <v>67</v>
      </c>
    </row>
    <row r="2883">
      <c r="A2883" s="3" t="s">
        <v>102</v>
      </c>
      <c r="B2883" s="2" t="s">
        <v>17</v>
      </c>
      <c r="C2883" s="2" t="s">
        <v>57</v>
      </c>
      <c r="D2883" s="2" t="s">
        <v>23</v>
      </c>
      <c r="E2883" s="2" t="s">
        <v>316</v>
      </c>
      <c r="F2883" s="2">
        <v>40.0</v>
      </c>
      <c r="G2883" s="2">
        <v>37.0</v>
      </c>
      <c r="H2883" s="2">
        <v>28.0</v>
      </c>
      <c r="I2883" s="2">
        <v>9.0</v>
      </c>
      <c r="J2883" s="2">
        <v>0.0</v>
      </c>
      <c r="K2883" s="2">
        <v>0.0</v>
      </c>
      <c r="L2883" s="2">
        <v>0.0</v>
      </c>
      <c r="M2883" s="2">
        <v>12.0</v>
      </c>
      <c r="N2883" s="2">
        <v>-10.0</v>
      </c>
      <c r="O2883" s="2">
        <v>-16.0</v>
      </c>
      <c r="P2883" s="2" t="s">
        <v>67</v>
      </c>
    </row>
    <row r="2884">
      <c r="A2884" s="3" t="s">
        <v>103</v>
      </c>
      <c r="B2884" s="2" t="s">
        <v>17</v>
      </c>
      <c r="C2884" s="2" t="s">
        <v>57</v>
      </c>
      <c r="D2884" s="2" t="s">
        <v>23</v>
      </c>
      <c r="E2884" s="2" t="s">
        <v>209</v>
      </c>
      <c r="F2884" s="2">
        <v>33.0</v>
      </c>
      <c r="G2884" s="2">
        <v>24.0</v>
      </c>
      <c r="H2884" s="2">
        <v>19.0</v>
      </c>
      <c r="I2884" s="2">
        <v>5.0</v>
      </c>
      <c r="J2884" s="2">
        <v>0.0</v>
      </c>
      <c r="K2884" s="2">
        <v>0.0</v>
      </c>
      <c r="L2884" s="2">
        <v>2.0</v>
      </c>
      <c r="M2884" s="2">
        <v>14.0</v>
      </c>
      <c r="N2884" s="2">
        <v>-10.0</v>
      </c>
      <c r="O2884" s="2">
        <v>-5.0</v>
      </c>
      <c r="P2884" s="2" t="s">
        <v>67</v>
      </c>
    </row>
    <row r="2885">
      <c r="A2885" s="3" t="s">
        <v>104</v>
      </c>
      <c r="B2885" s="2" t="s">
        <v>17</v>
      </c>
      <c r="C2885" s="2" t="s">
        <v>57</v>
      </c>
      <c r="D2885" s="2" t="s">
        <v>23</v>
      </c>
      <c r="E2885" s="2" t="s">
        <v>283</v>
      </c>
      <c r="F2885" s="2">
        <v>37.0</v>
      </c>
      <c r="G2885" s="2">
        <v>44.0</v>
      </c>
      <c r="H2885" s="2">
        <v>37.0</v>
      </c>
      <c r="I2885" s="2">
        <v>7.0</v>
      </c>
      <c r="J2885" s="2">
        <v>0.0</v>
      </c>
      <c r="K2885" s="2">
        <v>0.0</v>
      </c>
      <c r="L2885" s="2">
        <v>14.0</v>
      </c>
      <c r="M2885" s="2">
        <v>0.0</v>
      </c>
      <c r="N2885" s="2">
        <v>-8.0</v>
      </c>
      <c r="O2885" s="2">
        <v>-37.0</v>
      </c>
      <c r="P2885" s="2" t="s">
        <v>67</v>
      </c>
    </row>
    <row r="2886">
      <c r="A2886" s="3" t="s">
        <v>105</v>
      </c>
      <c r="B2886" s="4">
        <v>45171.29166666667</v>
      </c>
      <c r="C2886" s="2" t="s">
        <v>18</v>
      </c>
      <c r="D2886" s="2" t="s">
        <v>157</v>
      </c>
      <c r="E2886" s="2" t="s">
        <v>171</v>
      </c>
      <c r="F2886" s="2"/>
      <c r="G2886" s="2">
        <v>6.0</v>
      </c>
      <c r="H2886" s="2">
        <v>4.0</v>
      </c>
      <c r="I2886" s="2">
        <v>2.0</v>
      </c>
      <c r="J2886" s="2">
        <v>0.0</v>
      </c>
      <c r="K2886" s="2">
        <v>0.0</v>
      </c>
      <c r="L2886" s="2">
        <v>5.0</v>
      </c>
      <c r="M2886" s="2"/>
      <c r="N2886" s="2"/>
      <c r="O2886" s="2"/>
      <c r="P2886" s="2" t="s">
        <v>67</v>
      </c>
    </row>
    <row r="2887">
      <c r="A2887" s="3" t="s">
        <v>106</v>
      </c>
      <c r="B2887" s="4">
        <v>45172.29166666667</v>
      </c>
      <c r="C2887" s="2" t="s">
        <v>18</v>
      </c>
      <c r="D2887" s="2" t="s">
        <v>157</v>
      </c>
      <c r="E2887" s="2" t="s">
        <v>163</v>
      </c>
      <c r="F2887" s="2"/>
      <c r="G2887" s="2">
        <v>9.0</v>
      </c>
      <c r="H2887" s="2">
        <v>4.0</v>
      </c>
      <c r="I2887" s="2">
        <v>5.0</v>
      </c>
      <c r="J2887" s="2">
        <v>0.0</v>
      </c>
      <c r="K2887" s="2">
        <v>0.0</v>
      </c>
      <c r="L2887" s="2">
        <v>3.0</v>
      </c>
      <c r="M2887" s="2"/>
      <c r="N2887" s="2"/>
      <c r="O2887" s="2"/>
      <c r="P2887" s="2" t="s">
        <v>67</v>
      </c>
    </row>
    <row r="2888">
      <c r="A2888" s="3" t="s">
        <v>107</v>
      </c>
      <c r="B2888" s="4">
        <v>45173.29166666667</v>
      </c>
      <c r="C2888" s="2" t="s">
        <v>18</v>
      </c>
      <c r="D2888" s="2" t="s">
        <v>157</v>
      </c>
      <c r="E2888" s="2" t="s">
        <v>208</v>
      </c>
      <c r="F2888" s="2"/>
      <c r="G2888" s="2">
        <v>2.0</v>
      </c>
      <c r="H2888" s="2">
        <v>0.0</v>
      </c>
      <c r="I2888" s="2">
        <v>2.0</v>
      </c>
      <c r="J2888" s="2">
        <v>0.0</v>
      </c>
      <c r="K2888" s="2">
        <v>0.0</v>
      </c>
      <c r="L2888" s="2">
        <v>0.0</v>
      </c>
      <c r="M2888" s="2"/>
      <c r="N2888" s="2"/>
      <c r="O2888" s="2"/>
      <c r="P2888" s="2" t="s">
        <v>67</v>
      </c>
    </row>
    <row r="2889">
      <c r="A2889" s="3" t="s">
        <v>108</v>
      </c>
      <c r="B2889" s="4">
        <v>45174.29166666667</v>
      </c>
      <c r="C2889" s="2" t="s">
        <v>18</v>
      </c>
      <c r="D2889" s="2" t="s">
        <v>157</v>
      </c>
      <c r="E2889" s="2" t="s">
        <v>316</v>
      </c>
      <c r="F2889" s="2"/>
      <c r="G2889" s="2">
        <v>1.0</v>
      </c>
      <c r="H2889" s="2">
        <v>1.0</v>
      </c>
      <c r="I2889" s="2">
        <v>0.0</v>
      </c>
      <c r="J2889" s="2">
        <v>0.0</v>
      </c>
      <c r="K2889" s="2">
        <v>0.0</v>
      </c>
      <c r="L2889" s="2">
        <v>0.0</v>
      </c>
      <c r="M2889" s="2"/>
      <c r="N2889" s="2"/>
      <c r="O2889" s="2"/>
      <c r="P2889" s="2" t="s">
        <v>67</v>
      </c>
    </row>
    <row r="2890">
      <c r="A2890" s="3" t="s">
        <v>112</v>
      </c>
      <c r="B2890" s="4">
        <v>45175.29166666667</v>
      </c>
      <c r="C2890" s="2" t="s">
        <v>18</v>
      </c>
      <c r="D2890" s="2" t="s">
        <v>157</v>
      </c>
      <c r="E2890" s="2" t="s">
        <v>209</v>
      </c>
      <c r="F2890" s="2"/>
      <c r="G2890" s="2">
        <v>2.0</v>
      </c>
      <c r="H2890" s="2">
        <v>1.0</v>
      </c>
      <c r="I2890" s="2">
        <v>1.0</v>
      </c>
      <c r="J2890" s="2">
        <v>0.0</v>
      </c>
      <c r="K2890" s="2">
        <v>0.0</v>
      </c>
      <c r="L2890" s="2">
        <v>2.0</v>
      </c>
      <c r="M2890" s="2"/>
      <c r="N2890" s="2"/>
      <c r="O2890" s="2"/>
      <c r="P2890" s="2" t="s">
        <v>67</v>
      </c>
    </row>
    <row r="2891">
      <c r="A2891" s="3" t="s">
        <v>115</v>
      </c>
      <c r="B2891" s="4">
        <v>45176.29166666667</v>
      </c>
      <c r="C2891" s="2" t="s">
        <v>18</v>
      </c>
      <c r="D2891" s="2" t="s">
        <v>157</v>
      </c>
      <c r="E2891" s="2" t="s">
        <v>283</v>
      </c>
      <c r="F2891" s="2"/>
      <c r="G2891" s="2">
        <v>19.0</v>
      </c>
      <c r="H2891" s="2">
        <v>16.0</v>
      </c>
      <c r="I2891" s="2">
        <v>3.0</v>
      </c>
      <c r="J2891" s="2">
        <v>0.0</v>
      </c>
      <c r="K2891" s="2">
        <v>0.0</v>
      </c>
      <c r="L2891" s="2">
        <v>9.0</v>
      </c>
      <c r="M2891" s="2"/>
      <c r="N2891" s="2"/>
      <c r="O2891" s="2"/>
      <c r="P2891" s="2" t="s">
        <v>67</v>
      </c>
    </row>
    <row r="2892">
      <c r="A2892" s="3" t="s">
        <v>117</v>
      </c>
      <c r="B2892" s="4">
        <v>45177.29166666667</v>
      </c>
      <c r="C2892" s="2" t="s">
        <v>18</v>
      </c>
      <c r="D2892" s="2" t="s">
        <v>30</v>
      </c>
      <c r="E2892" s="2" t="s">
        <v>171</v>
      </c>
      <c r="F2892" s="2"/>
      <c r="G2892" s="2">
        <v>150.0</v>
      </c>
      <c r="H2892" s="2">
        <v>122.0</v>
      </c>
      <c r="I2892" s="2">
        <v>28.0</v>
      </c>
      <c r="J2892" s="2">
        <v>0.0</v>
      </c>
      <c r="K2892" s="2">
        <v>0.0</v>
      </c>
      <c r="L2892" s="2">
        <v>2.0</v>
      </c>
      <c r="M2892" s="2"/>
      <c r="N2892" s="2"/>
      <c r="O2892" s="2"/>
      <c r="P2892" s="2" t="s">
        <v>67</v>
      </c>
    </row>
    <row r="2893">
      <c r="A2893" s="3" t="s">
        <v>119</v>
      </c>
      <c r="B2893" s="4">
        <v>45178.29166666667</v>
      </c>
      <c r="C2893" s="2" t="s">
        <v>18</v>
      </c>
      <c r="D2893" s="2" t="s">
        <v>30</v>
      </c>
      <c r="E2893" s="2" t="s">
        <v>163</v>
      </c>
      <c r="F2893" s="2"/>
      <c r="G2893" s="2">
        <v>99.0</v>
      </c>
      <c r="H2893" s="2">
        <v>82.0</v>
      </c>
      <c r="I2893" s="2">
        <v>17.0</v>
      </c>
      <c r="J2893" s="2">
        <v>0.0</v>
      </c>
      <c r="K2893" s="2">
        <v>0.0</v>
      </c>
      <c r="L2893" s="2">
        <v>33.0</v>
      </c>
      <c r="M2893" s="2"/>
      <c r="N2893" s="2"/>
      <c r="O2893" s="2"/>
      <c r="P2893" s="2" t="s">
        <v>67</v>
      </c>
    </row>
    <row r="2894">
      <c r="A2894" s="3" t="s">
        <v>121</v>
      </c>
      <c r="B2894" s="4">
        <v>45179.29166666667</v>
      </c>
      <c r="C2894" s="2" t="s">
        <v>18</v>
      </c>
      <c r="D2894" s="2" t="s">
        <v>30</v>
      </c>
      <c r="E2894" s="2" t="s">
        <v>208</v>
      </c>
      <c r="F2894" s="2"/>
      <c r="G2894" s="2">
        <v>72.0</v>
      </c>
      <c r="H2894" s="2">
        <v>60.0</v>
      </c>
      <c r="I2894" s="2">
        <v>12.0</v>
      </c>
      <c r="J2894" s="2">
        <v>0.0</v>
      </c>
      <c r="K2894" s="2">
        <v>0.0</v>
      </c>
      <c r="L2894" s="2">
        <v>10.0</v>
      </c>
      <c r="M2894" s="2"/>
      <c r="N2894" s="2"/>
      <c r="O2894" s="2"/>
      <c r="P2894" s="2" t="s">
        <v>67</v>
      </c>
    </row>
    <row r="2895">
      <c r="A2895" s="3" t="s">
        <v>16</v>
      </c>
      <c r="B2895" s="4">
        <v>45180.29166666667</v>
      </c>
      <c r="C2895" s="2" t="s">
        <v>18</v>
      </c>
      <c r="D2895" s="2" t="s">
        <v>30</v>
      </c>
      <c r="E2895" s="2" t="s">
        <v>316</v>
      </c>
      <c r="F2895" s="2"/>
      <c r="G2895" s="2">
        <v>35.0</v>
      </c>
      <c r="H2895" s="2">
        <v>26.0</v>
      </c>
      <c r="I2895" s="2">
        <v>9.0</v>
      </c>
      <c r="J2895" s="2">
        <v>0.0</v>
      </c>
      <c r="K2895" s="2">
        <v>0.0</v>
      </c>
      <c r="L2895" s="2">
        <v>0.0</v>
      </c>
      <c r="M2895" s="2"/>
      <c r="N2895" s="2"/>
      <c r="O2895" s="2"/>
      <c r="P2895" s="2" t="s">
        <v>67</v>
      </c>
    </row>
    <row r="2896">
      <c r="A2896" s="3" t="s">
        <v>124</v>
      </c>
      <c r="B2896" s="4">
        <v>45181.29166666667</v>
      </c>
      <c r="C2896" s="2" t="s">
        <v>18</v>
      </c>
      <c r="D2896" s="2" t="s">
        <v>30</v>
      </c>
      <c r="E2896" s="2" t="s">
        <v>209</v>
      </c>
      <c r="F2896" s="2"/>
      <c r="G2896" s="2">
        <v>21.0</v>
      </c>
      <c r="H2896" s="2">
        <v>18.0</v>
      </c>
      <c r="I2896" s="2">
        <v>3.0</v>
      </c>
      <c r="J2896" s="2">
        <v>0.0</v>
      </c>
      <c r="K2896" s="2">
        <v>0.0</v>
      </c>
      <c r="L2896" s="2">
        <v>0.0</v>
      </c>
      <c r="M2896" s="2"/>
      <c r="N2896" s="2"/>
      <c r="O2896" s="2"/>
      <c r="P2896" s="2" t="s">
        <v>67</v>
      </c>
    </row>
    <row r="2897">
      <c r="A2897" s="3" t="s">
        <v>126</v>
      </c>
      <c r="B2897" s="4">
        <v>45182.29166666667</v>
      </c>
      <c r="C2897" s="2" t="s">
        <v>18</v>
      </c>
      <c r="D2897" s="2" t="s">
        <v>30</v>
      </c>
      <c r="E2897" s="2" t="s">
        <v>283</v>
      </c>
      <c r="F2897" s="2"/>
      <c r="G2897" s="2">
        <v>15.0</v>
      </c>
      <c r="H2897" s="2">
        <v>14.0</v>
      </c>
      <c r="I2897" s="2">
        <v>1.0</v>
      </c>
      <c r="J2897" s="2">
        <v>0.0</v>
      </c>
      <c r="K2897" s="2">
        <v>0.0</v>
      </c>
      <c r="L2897" s="2">
        <v>5.0</v>
      </c>
      <c r="M2897" s="2"/>
      <c r="N2897" s="2"/>
      <c r="O2897" s="2"/>
      <c r="P2897" s="2" t="s">
        <v>67</v>
      </c>
    </row>
    <row r="2898">
      <c r="A2898" s="3" t="s">
        <v>128</v>
      </c>
      <c r="B2898" s="4">
        <v>45183.29166666667</v>
      </c>
      <c r="C2898" s="2" t="s">
        <v>18</v>
      </c>
      <c r="D2898" s="2" t="s">
        <v>19</v>
      </c>
      <c r="E2898" s="2" t="s">
        <v>171</v>
      </c>
      <c r="F2898" s="2"/>
      <c r="G2898" s="2">
        <v>1.0</v>
      </c>
      <c r="H2898" s="2">
        <v>1.0</v>
      </c>
      <c r="I2898" s="2">
        <v>0.0</v>
      </c>
      <c r="J2898" s="2">
        <v>0.0</v>
      </c>
      <c r="K2898" s="2">
        <v>0.0</v>
      </c>
      <c r="L2898" s="2">
        <v>1.0</v>
      </c>
      <c r="M2898" s="2"/>
      <c r="N2898" s="2"/>
      <c r="O2898" s="2"/>
      <c r="P2898" s="2" t="s">
        <v>67</v>
      </c>
    </row>
    <row r="2899">
      <c r="A2899" s="3" t="s">
        <v>129</v>
      </c>
      <c r="B2899" s="4">
        <v>45184.29166666667</v>
      </c>
      <c r="C2899" s="2" t="s">
        <v>18</v>
      </c>
      <c r="D2899" s="2" t="s">
        <v>19</v>
      </c>
      <c r="E2899" s="2" t="s">
        <v>163</v>
      </c>
      <c r="F2899" s="2"/>
      <c r="G2899" s="2">
        <v>1.0</v>
      </c>
      <c r="H2899" s="2">
        <v>1.0</v>
      </c>
      <c r="I2899" s="2">
        <v>0.0</v>
      </c>
      <c r="J2899" s="2">
        <v>0.0</v>
      </c>
      <c r="K2899" s="2">
        <v>0.0</v>
      </c>
      <c r="L2899" s="2">
        <v>1.0</v>
      </c>
      <c r="M2899" s="2"/>
      <c r="N2899" s="2"/>
      <c r="O2899" s="2"/>
      <c r="P2899" s="2" t="s">
        <v>67</v>
      </c>
    </row>
    <row r="2900">
      <c r="A2900" s="3" t="s">
        <v>130</v>
      </c>
      <c r="B2900" s="4">
        <v>45185.29166666667</v>
      </c>
      <c r="C2900" s="2" t="s">
        <v>18</v>
      </c>
      <c r="D2900" s="2" t="s">
        <v>19</v>
      </c>
      <c r="E2900" s="2" t="s">
        <v>208</v>
      </c>
      <c r="F2900" s="2"/>
      <c r="G2900" s="2">
        <v>0.0</v>
      </c>
      <c r="H2900" s="2">
        <v>0.0</v>
      </c>
      <c r="I2900" s="2">
        <v>0.0</v>
      </c>
      <c r="J2900" s="2">
        <v>0.0</v>
      </c>
      <c r="K2900" s="2">
        <v>0.0</v>
      </c>
      <c r="L2900" s="2">
        <v>0.0</v>
      </c>
      <c r="M2900" s="2"/>
      <c r="N2900" s="2"/>
      <c r="O2900" s="2"/>
      <c r="P2900" s="2" t="s">
        <v>67</v>
      </c>
    </row>
    <row r="2901">
      <c r="A2901" s="3" t="s">
        <v>131</v>
      </c>
      <c r="B2901" s="4">
        <v>45186.29166666667</v>
      </c>
      <c r="C2901" s="2" t="s">
        <v>18</v>
      </c>
      <c r="D2901" s="2" t="s">
        <v>19</v>
      </c>
      <c r="E2901" s="2" t="s">
        <v>316</v>
      </c>
      <c r="F2901" s="2"/>
      <c r="G2901" s="2">
        <v>1.0</v>
      </c>
      <c r="H2901" s="2">
        <v>1.0</v>
      </c>
      <c r="I2901" s="2">
        <v>0.0</v>
      </c>
      <c r="J2901" s="2">
        <v>0.0</v>
      </c>
      <c r="K2901" s="2">
        <v>0.0</v>
      </c>
      <c r="L2901" s="2">
        <v>0.0</v>
      </c>
      <c r="M2901" s="2"/>
      <c r="N2901" s="2"/>
      <c r="O2901" s="2"/>
      <c r="P2901" s="2" t="s">
        <v>67</v>
      </c>
    </row>
    <row r="2902">
      <c r="A2902" s="3" t="s">
        <v>132</v>
      </c>
      <c r="B2902" s="4">
        <v>45187.29166666667</v>
      </c>
      <c r="C2902" s="2" t="s">
        <v>18</v>
      </c>
      <c r="D2902" s="2" t="s">
        <v>19</v>
      </c>
      <c r="E2902" s="2" t="s">
        <v>209</v>
      </c>
      <c r="F2902" s="2"/>
      <c r="G2902" s="2">
        <v>1.0</v>
      </c>
      <c r="H2902" s="2">
        <v>0.0</v>
      </c>
      <c r="I2902" s="2">
        <v>1.0</v>
      </c>
      <c r="J2902" s="2">
        <v>0.0</v>
      </c>
      <c r="K2902" s="2">
        <v>0.0</v>
      </c>
      <c r="L2902" s="2">
        <v>0.0</v>
      </c>
      <c r="M2902" s="2"/>
      <c r="N2902" s="2"/>
      <c r="O2902" s="2"/>
      <c r="P2902" s="2" t="s">
        <v>67</v>
      </c>
    </row>
    <row r="2903">
      <c r="A2903" s="3" t="s">
        <v>133</v>
      </c>
      <c r="B2903" s="4">
        <v>45188.29166666667</v>
      </c>
      <c r="C2903" s="2" t="s">
        <v>18</v>
      </c>
      <c r="D2903" s="2" t="s">
        <v>19</v>
      </c>
      <c r="E2903" s="2" t="s">
        <v>283</v>
      </c>
      <c r="F2903" s="2"/>
      <c r="G2903" s="2">
        <v>10.0</v>
      </c>
      <c r="H2903" s="2">
        <v>7.0</v>
      </c>
      <c r="I2903" s="2">
        <v>3.0</v>
      </c>
      <c r="J2903" s="2">
        <v>0.0</v>
      </c>
      <c r="K2903" s="2">
        <v>0.0</v>
      </c>
      <c r="L2903" s="2">
        <v>0.0</v>
      </c>
      <c r="M2903" s="2"/>
      <c r="N2903" s="2"/>
      <c r="O2903" s="2"/>
      <c r="P2903" s="2" t="s">
        <v>67</v>
      </c>
    </row>
    <row r="2904">
      <c r="A2904" s="3" t="s">
        <v>134</v>
      </c>
      <c r="B2904" s="2" t="s">
        <v>17</v>
      </c>
      <c r="C2904" s="2" t="s">
        <v>18</v>
      </c>
      <c r="D2904" s="2" t="s">
        <v>19</v>
      </c>
      <c r="E2904" s="2" t="s">
        <v>149</v>
      </c>
      <c r="F2904" s="2">
        <v>25.0</v>
      </c>
      <c r="G2904" s="2">
        <v>43.0</v>
      </c>
      <c r="H2904" s="2">
        <v>24.0</v>
      </c>
      <c r="I2904" s="2">
        <v>19.0</v>
      </c>
      <c r="J2904" s="2">
        <v>0.0</v>
      </c>
      <c r="K2904" s="2">
        <v>0.0</v>
      </c>
      <c r="L2904" s="2">
        <v>0.0</v>
      </c>
      <c r="M2904" s="2">
        <v>1.0</v>
      </c>
      <c r="N2904" s="2"/>
      <c r="O2904" s="2"/>
      <c r="P2904" s="2" t="s">
        <v>146</v>
      </c>
    </row>
    <row r="2905">
      <c r="A2905" s="3" t="s">
        <v>136</v>
      </c>
      <c r="B2905" s="2" t="s">
        <v>17</v>
      </c>
      <c r="C2905" s="2" t="s">
        <v>18</v>
      </c>
      <c r="D2905" s="2" t="s">
        <v>91</v>
      </c>
      <c r="E2905" s="2" t="s">
        <v>149</v>
      </c>
      <c r="F2905" s="2">
        <v>25.0</v>
      </c>
      <c r="G2905" s="2">
        <v>5.0</v>
      </c>
      <c r="H2905" s="2">
        <v>3.0</v>
      </c>
      <c r="I2905" s="2">
        <v>2.0</v>
      </c>
      <c r="J2905" s="2">
        <v>0.0</v>
      </c>
      <c r="K2905" s="2">
        <v>0.0</v>
      </c>
      <c r="L2905" s="2">
        <v>0.0</v>
      </c>
      <c r="M2905" s="2">
        <v>22.0</v>
      </c>
      <c r="N2905" s="2"/>
      <c r="O2905" s="2"/>
      <c r="P2905" s="2" t="s">
        <v>146</v>
      </c>
    </row>
    <row r="2906">
      <c r="A2906" s="3" t="s">
        <v>137</v>
      </c>
      <c r="B2906" s="2" t="s">
        <v>17</v>
      </c>
      <c r="C2906" s="2" t="s">
        <v>18</v>
      </c>
      <c r="D2906" s="2" t="s">
        <v>23</v>
      </c>
      <c r="E2906" s="2" t="s">
        <v>149</v>
      </c>
      <c r="F2906" s="2">
        <v>25.0</v>
      </c>
      <c r="G2906" s="2">
        <v>48.0</v>
      </c>
      <c r="H2906" s="2">
        <v>27.0</v>
      </c>
      <c r="I2906" s="2">
        <v>21.0</v>
      </c>
      <c r="J2906" s="2">
        <v>0.0</v>
      </c>
      <c r="K2906" s="2">
        <v>0.0</v>
      </c>
      <c r="L2906" s="2">
        <v>0.0</v>
      </c>
      <c r="M2906" s="2">
        <v>-2.0</v>
      </c>
      <c r="N2906" s="2">
        <v>-25.0</v>
      </c>
      <c r="O2906" s="2">
        <v>-28.0</v>
      </c>
      <c r="P2906" s="2" t="s">
        <v>146</v>
      </c>
    </row>
    <row r="2907">
      <c r="A2907" s="3" t="s">
        <v>138</v>
      </c>
      <c r="B2907" s="4">
        <v>45140.29166666667</v>
      </c>
      <c r="C2907" s="2" t="s">
        <v>18</v>
      </c>
      <c r="D2907" s="2" t="s">
        <v>19</v>
      </c>
      <c r="E2907" s="2" t="s">
        <v>149</v>
      </c>
      <c r="F2907" s="2"/>
      <c r="G2907" s="2">
        <v>13.0</v>
      </c>
      <c r="H2907" s="2">
        <v>9.0</v>
      </c>
      <c r="I2907" s="2">
        <v>4.0</v>
      </c>
      <c r="J2907" s="2">
        <v>0.0</v>
      </c>
      <c r="K2907" s="2">
        <v>0.0</v>
      </c>
      <c r="L2907" s="2">
        <v>0.0</v>
      </c>
      <c r="M2907" s="2"/>
      <c r="N2907" s="2"/>
      <c r="O2907" s="2"/>
      <c r="P2907" s="2" t="s">
        <v>146</v>
      </c>
    </row>
    <row r="2908">
      <c r="A2908" s="3" t="s">
        <v>139</v>
      </c>
      <c r="B2908" s="4">
        <v>45170.29166666667</v>
      </c>
      <c r="C2908" s="2" t="s">
        <v>18</v>
      </c>
      <c r="D2908" s="2" t="s">
        <v>19</v>
      </c>
      <c r="E2908" s="2" t="s">
        <v>149</v>
      </c>
      <c r="F2908" s="2"/>
      <c r="G2908" s="2">
        <v>29.0</v>
      </c>
      <c r="H2908" s="2">
        <v>14.0</v>
      </c>
      <c r="I2908" s="2">
        <v>15.0</v>
      </c>
      <c r="J2908" s="2">
        <v>0.0</v>
      </c>
      <c r="K2908" s="2">
        <v>0.0</v>
      </c>
      <c r="L2908" s="2">
        <v>0.0</v>
      </c>
      <c r="M2908" s="2"/>
      <c r="N2908" s="2"/>
      <c r="O2908" s="2"/>
      <c r="P2908" s="2" t="s">
        <v>146</v>
      </c>
    </row>
    <row r="2909">
      <c r="A2909" s="3" t="s">
        <v>140</v>
      </c>
      <c r="B2909" s="4">
        <v>45171.29166666667</v>
      </c>
      <c r="C2909" s="2" t="s">
        <v>18</v>
      </c>
      <c r="D2909" s="2" t="s">
        <v>91</v>
      </c>
      <c r="E2909" s="2" t="s">
        <v>149</v>
      </c>
      <c r="F2909" s="2"/>
      <c r="G2909" s="2">
        <v>5.0</v>
      </c>
      <c r="H2909" s="2">
        <v>3.0</v>
      </c>
      <c r="I2909" s="2">
        <v>2.0</v>
      </c>
      <c r="J2909" s="2">
        <v>0.0</v>
      </c>
      <c r="K2909" s="2">
        <v>0.0</v>
      </c>
      <c r="L2909" s="2">
        <v>0.0</v>
      </c>
      <c r="M2909" s="2"/>
      <c r="N2909" s="2"/>
      <c r="O2909" s="2"/>
      <c r="P2909" s="2" t="s">
        <v>146</v>
      </c>
    </row>
    <row r="2910">
      <c r="A2910" s="3" t="s">
        <v>141</v>
      </c>
      <c r="B2910" s="2" t="s">
        <v>17</v>
      </c>
      <c r="C2910" s="2" t="s">
        <v>18</v>
      </c>
      <c r="D2910" s="2" t="s">
        <v>164</v>
      </c>
      <c r="E2910" s="2" t="s">
        <v>378</v>
      </c>
      <c r="F2910" s="2">
        <v>128.0</v>
      </c>
      <c r="G2910" s="2">
        <v>194.0</v>
      </c>
      <c r="H2910" s="2">
        <v>128.0</v>
      </c>
      <c r="I2910" s="2">
        <v>66.0</v>
      </c>
      <c r="J2910" s="2">
        <v>0.0</v>
      </c>
      <c r="K2910" s="2">
        <v>0.0</v>
      </c>
      <c r="L2910" s="2">
        <v>0.0</v>
      </c>
      <c r="M2910" s="2">
        <v>0.0</v>
      </c>
      <c r="N2910" s="2"/>
      <c r="O2910" s="2"/>
      <c r="P2910" s="2" t="s">
        <v>166</v>
      </c>
    </row>
    <row r="2911">
      <c r="A2911" s="3" t="s">
        <v>142</v>
      </c>
      <c r="B2911" s="2" t="s">
        <v>17</v>
      </c>
      <c r="C2911" s="2" t="s">
        <v>18</v>
      </c>
      <c r="D2911" s="2" t="s">
        <v>164</v>
      </c>
      <c r="E2911" s="2" t="s">
        <v>379</v>
      </c>
      <c r="F2911" s="2">
        <v>82.0</v>
      </c>
      <c r="G2911" s="2">
        <v>129.0</v>
      </c>
      <c r="H2911" s="2">
        <v>82.0</v>
      </c>
      <c r="I2911" s="2">
        <v>47.0</v>
      </c>
      <c r="J2911" s="2">
        <v>0.0</v>
      </c>
      <c r="K2911" s="2">
        <v>0.0</v>
      </c>
      <c r="L2911" s="2">
        <v>0.0</v>
      </c>
      <c r="M2911" s="2">
        <v>0.0</v>
      </c>
      <c r="N2911" s="2"/>
      <c r="O2911" s="2"/>
      <c r="P2911" s="2" t="s">
        <v>166</v>
      </c>
    </row>
    <row r="2912">
      <c r="A2912" s="3" t="s">
        <v>143</v>
      </c>
      <c r="B2912" s="2" t="s">
        <v>17</v>
      </c>
      <c r="C2912" s="2" t="s">
        <v>18</v>
      </c>
      <c r="D2912" s="2" t="s">
        <v>164</v>
      </c>
      <c r="E2912" s="2" t="s">
        <v>380</v>
      </c>
      <c r="F2912" s="2">
        <v>137.0</v>
      </c>
      <c r="G2912" s="2">
        <v>206.0</v>
      </c>
      <c r="H2912" s="2">
        <v>137.0</v>
      </c>
      <c r="I2912" s="2">
        <v>69.0</v>
      </c>
      <c r="J2912" s="2">
        <v>0.0</v>
      </c>
      <c r="K2912" s="2">
        <v>0.0</v>
      </c>
      <c r="L2912" s="2">
        <v>0.0</v>
      </c>
      <c r="M2912" s="2">
        <v>0.0</v>
      </c>
      <c r="N2912" s="2"/>
      <c r="O2912" s="2"/>
      <c r="P2912" s="2" t="s">
        <v>166</v>
      </c>
    </row>
    <row r="2913">
      <c r="A2913" s="3" t="s">
        <v>144</v>
      </c>
      <c r="B2913" s="2" t="s">
        <v>17</v>
      </c>
      <c r="C2913" s="2" t="s">
        <v>18</v>
      </c>
      <c r="D2913" s="2" t="s">
        <v>164</v>
      </c>
      <c r="E2913" s="2" t="s">
        <v>381</v>
      </c>
      <c r="F2913" s="2">
        <v>58.0</v>
      </c>
      <c r="G2913" s="2">
        <v>202.0</v>
      </c>
      <c r="H2913" s="2">
        <v>58.0</v>
      </c>
      <c r="I2913" s="2">
        <v>144.0</v>
      </c>
      <c r="J2913" s="2">
        <v>0.0</v>
      </c>
      <c r="K2913" s="2">
        <v>0.0</v>
      </c>
      <c r="L2913" s="2">
        <v>0.0</v>
      </c>
      <c r="M2913" s="2">
        <v>0.0</v>
      </c>
      <c r="N2913" s="2"/>
      <c r="O2913" s="2"/>
      <c r="P2913" s="2" t="s">
        <v>166</v>
      </c>
    </row>
    <row r="2914">
      <c r="A2914" s="3" t="s">
        <v>145</v>
      </c>
      <c r="B2914" s="2" t="s">
        <v>17</v>
      </c>
      <c r="C2914" s="2" t="s">
        <v>18</v>
      </c>
      <c r="D2914" s="2" t="s">
        <v>164</v>
      </c>
      <c r="E2914" s="2" t="s">
        <v>382</v>
      </c>
      <c r="F2914" s="2">
        <v>42.0</v>
      </c>
      <c r="G2914" s="2">
        <v>93.0</v>
      </c>
      <c r="H2914" s="2">
        <v>42.0</v>
      </c>
      <c r="I2914" s="2">
        <v>51.0</v>
      </c>
      <c r="J2914" s="2">
        <v>0.0</v>
      </c>
      <c r="K2914" s="2">
        <v>0.0</v>
      </c>
      <c r="L2914" s="2">
        <v>0.0</v>
      </c>
      <c r="M2914" s="2">
        <v>0.0</v>
      </c>
      <c r="N2914" s="2"/>
      <c r="O2914" s="2"/>
      <c r="P2914" s="2" t="s">
        <v>166</v>
      </c>
    </row>
    <row r="2915">
      <c r="A2915" s="3" t="s">
        <v>16</v>
      </c>
      <c r="B2915" s="2" t="s">
        <v>17</v>
      </c>
      <c r="C2915" s="2" t="s">
        <v>18</v>
      </c>
      <c r="D2915" s="2" t="s">
        <v>164</v>
      </c>
      <c r="E2915" s="2" t="s">
        <v>383</v>
      </c>
      <c r="F2915" s="2">
        <v>99.0</v>
      </c>
      <c r="G2915" s="2">
        <v>167.0</v>
      </c>
      <c r="H2915" s="2">
        <v>99.0</v>
      </c>
      <c r="I2915" s="2">
        <v>68.0</v>
      </c>
      <c r="J2915" s="2">
        <v>0.0</v>
      </c>
      <c r="K2915" s="2">
        <v>0.0</v>
      </c>
      <c r="L2915" s="2">
        <v>0.0</v>
      </c>
      <c r="M2915" s="2">
        <v>0.0</v>
      </c>
      <c r="N2915" s="2"/>
      <c r="O2915" s="2"/>
      <c r="P2915" s="2" t="s">
        <v>166</v>
      </c>
    </row>
    <row r="2916">
      <c r="A2916" s="3" t="s">
        <v>22</v>
      </c>
      <c r="B2916" s="2" t="s">
        <v>17</v>
      </c>
      <c r="C2916" s="2" t="s">
        <v>18</v>
      </c>
      <c r="D2916" s="2" t="s">
        <v>164</v>
      </c>
      <c r="E2916" s="2" t="s">
        <v>384</v>
      </c>
      <c r="F2916" s="2">
        <v>63.0</v>
      </c>
      <c r="G2916" s="2">
        <v>105.0</v>
      </c>
      <c r="H2916" s="2">
        <v>63.0</v>
      </c>
      <c r="I2916" s="2">
        <v>42.0</v>
      </c>
      <c r="J2916" s="2">
        <v>0.0</v>
      </c>
      <c r="K2916" s="2">
        <v>0.0</v>
      </c>
      <c r="L2916" s="2">
        <v>0.0</v>
      </c>
      <c r="M2916" s="2">
        <v>0.0</v>
      </c>
      <c r="N2916" s="2"/>
      <c r="O2916" s="2"/>
      <c r="P2916" s="2" t="s">
        <v>166</v>
      </c>
    </row>
    <row r="2917">
      <c r="A2917" s="3" t="s">
        <v>24</v>
      </c>
      <c r="B2917" s="2" t="s">
        <v>17</v>
      </c>
      <c r="C2917" s="2" t="s">
        <v>18</v>
      </c>
      <c r="D2917" s="2" t="s">
        <v>23</v>
      </c>
      <c r="E2917" s="2" t="s">
        <v>378</v>
      </c>
      <c r="F2917" s="2">
        <v>128.0</v>
      </c>
      <c r="G2917" s="2">
        <v>194.0</v>
      </c>
      <c r="H2917" s="2">
        <v>128.0</v>
      </c>
      <c r="I2917" s="2">
        <v>66.0</v>
      </c>
      <c r="J2917" s="2">
        <v>0.0</v>
      </c>
      <c r="K2917" s="2">
        <v>0.0</v>
      </c>
      <c r="L2917" s="2">
        <v>0.0</v>
      </c>
      <c r="M2917" s="2">
        <v>0.0</v>
      </c>
      <c r="N2917" s="2">
        <v>0.0</v>
      </c>
      <c r="O2917" s="2">
        <v>-128.0</v>
      </c>
      <c r="P2917" s="2" t="s">
        <v>166</v>
      </c>
    </row>
    <row r="2918">
      <c r="A2918" s="3" t="s">
        <v>25</v>
      </c>
      <c r="B2918" s="2" t="s">
        <v>17</v>
      </c>
      <c r="C2918" s="2" t="s">
        <v>18</v>
      </c>
      <c r="D2918" s="2" t="s">
        <v>23</v>
      </c>
      <c r="E2918" s="2" t="s">
        <v>379</v>
      </c>
      <c r="F2918" s="2">
        <v>82.0</v>
      </c>
      <c r="G2918" s="2">
        <v>129.0</v>
      </c>
      <c r="H2918" s="2">
        <v>82.0</v>
      </c>
      <c r="I2918" s="2">
        <v>47.0</v>
      </c>
      <c r="J2918" s="2">
        <v>0.0</v>
      </c>
      <c r="K2918" s="2">
        <v>0.0</v>
      </c>
      <c r="L2918" s="2">
        <v>0.0</v>
      </c>
      <c r="M2918" s="2">
        <v>0.0</v>
      </c>
      <c r="N2918" s="2">
        <v>0.0</v>
      </c>
      <c r="O2918" s="2">
        <v>-82.0</v>
      </c>
      <c r="P2918" s="2" t="s">
        <v>166</v>
      </c>
    </row>
    <row r="2919">
      <c r="A2919" s="3" t="s">
        <v>26</v>
      </c>
      <c r="B2919" s="2" t="s">
        <v>17</v>
      </c>
      <c r="C2919" s="2" t="s">
        <v>18</v>
      </c>
      <c r="D2919" s="2" t="s">
        <v>23</v>
      </c>
      <c r="E2919" s="2" t="s">
        <v>380</v>
      </c>
      <c r="F2919" s="2">
        <v>137.0</v>
      </c>
      <c r="G2919" s="2">
        <v>206.0</v>
      </c>
      <c r="H2919" s="2">
        <v>137.0</v>
      </c>
      <c r="I2919" s="2">
        <v>69.0</v>
      </c>
      <c r="J2919" s="2">
        <v>0.0</v>
      </c>
      <c r="K2919" s="2">
        <v>0.0</v>
      </c>
      <c r="L2919" s="2">
        <v>0.0</v>
      </c>
      <c r="M2919" s="2">
        <v>0.0</v>
      </c>
      <c r="N2919" s="2">
        <v>0.0</v>
      </c>
      <c r="O2919" s="2">
        <v>-137.0</v>
      </c>
      <c r="P2919" s="2" t="s">
        <v>166</v>
      </c>
    </row>
    <row r="2920">
      <c r="A2920" s="3" t="s">
        <v>28</v>
      </c>
      <c r="B2920" s="2" t="s">
        <v>17</v>
      </c>
      <c r="C2920" s="2" t="s">
        <v>18</v>
      </c>
      <c r="D2920" s="2" t="s">
        <v>23</v>
      </c>
      <c r="E2920" s="2" t="s">
        <v>381</v>
      </c>
      <c r="F2920" s="2">
        <v>58.0</v>
      </c>
      <c r="G2920" s="2">
        <v>202.0</v>
      </c>
      <c r="H2920" s="2">
        <v>58.0</v>
      </c>
      <c r="I2920" s="2">
        <v>144.0</v>
      </c>
      <c r="J2920" s="2">
        <v>0.0</v>
      </c>
      <c r="K2920" s="2">
        <v>0.0</v>
      </c>
      <c r="L2920" s="2">
        <v>0.0</v>
      </c>
      <c r="M2920" s="2">
        <v>0.0</v>
      </c>
      <c r="N2920" s="2">
        <v>0.0</v>
      </c>
      <c r="O2920" s="2">
        <v>-58.0</v>
      </c>
      <c r="P2920" s="2" t="s">
        <v>166</v>
      </c>
    </row>
    <row r="2921">
      <c r="A2921" s="3" t="s">
        <v>29</v>
      </c>
      <c r="B2921" s="2" t="s">
        <v>17</v>
      </c>
      <c r="C2921" s="2" t="s">
        <v>18</v>
      </c>
      <c r="D2921" s="2" t="s">
        <v>23</v>
      </c>
      <c r="E2921" s="2" t="s">
        <v>382</v>
      </c>
      <c r="F2921" s="2">
        <v>42.0</v>
      </c>
      <c r="G2921" s="2">
        <v>93.0</v>
      </c>
      <c r="H2921" s="2">
        <v>42.0</v>
      </c>
      <c r="I2921" s="2">
        <v>51.0</v>
      </c>
      <c r="J2921" s="2">
        <v>0.0</v>
      </c>
      <c r="K2921" s="2">
        <v>0.0</v>
      </c>
      <c r="L2921" s="2">
        <v>0.0</v>
      </c>
      <c r="M2921" s="2">
        <v>0.0</v>
      </c>
      <c r="N2921" s="2">
        <v>0.0</v>
      </c>
      <c r="O2921" s="2">
        <v>-42.0</v>
      </c>
      <c r="P2921" s="2" t="s">
        <v>166</v>
      </c>
    </row>
    <row r="2922">
      <c r="A2922" s="3" t="s">
        <v>32</v>
      </c>
      <c r="B2922" s="2" t="s">
        <v>17</v>
      </c>
      <c r="C2922" s="2" t="s">
        <v>18</v>
      </c>
      <c r="D2922" s="2" t="s">
        <v>23</v>
      </c>
      <c r="E2922" s="2" t="s">
        <v>383</v>
      </c>
      <c r="F2922" s="2">
        <v>99.0</v>
      </c>
      <c r="G2922" s="2">
        <v>167.0</v>
      </c>
      <c r="H2922" s="2">
        <v>99.0</v>
      </c>
      <c r="I2922" s="2">
        <v>68.0</v>
      </c>
      <c r="J2922" s="2">
        <v>0.0</v>
      </c>
      <c r="K2922" s="2">
        <v>0.0</v>
      </c>
      <c r="L2922" s="2">
        <v>0.0</v>
      </c>
      <c r="M2922" s="2">
        <v>0.0</v>
      </c>
      <c r="N2922" s="2">
        <v>0.0</v>
      </c>
      <c r="O2922" s="2">
        <v>-99.0</v>
      </c>
      <c r="P2922" s="2" t="s">
        <v>166</v>
      </c>
    </row>
    <row r="2923">
      <c r="A2923" s="3" t="s">
        <v>34</v>
      </c>
      <c r="B2923" s="2" t="s">
        <v>17</v>
      </c>
      <c r="C2923" s="2" t="s">
        <v>18</v>
      </c>
      <c r="D2923" s="2" t="s">
        <v>23</v>
      </c>
      <c r="E2923" s="2" t="s">
        <v>384</v>
      </c>
      <c r="F2923" s="2">
        <v>63.0</v>
      </c>
      <c r="G2923" s="2">
        <v>105.0</v>
      </c>
      <c r="H2923" s="2">
        <v>63.0</v>
      </c>
      <c r="I2923" s="2">
        <v>42.0</v>
      </c>
      <c r="J2923" s="2">
        <v>0.0</v>
      </c>
      <c r="K2923" s="2">
        <v>0.0</v>
      </c>
      <c r="L2923" s="2">
        <v>0.0</v>
      </c>
      <c r="M2923" s="2">
        <v>0.0</v>
      </c>
      <c r="N2923" s="2">
        <v>0.0</v>
      </c>
      <c r="O2923" s="2">
        <v>-63.0</v>
      </c>
      <c r="P2923" s="2" t="s">
        <v>166</v>
      </c>
    </row>
    <row r="2924">
      <c r="A2924" s="3" t="s">
        <v>35</v>
      </c>
      <c r="B2924" s="4">
        <v>44987.29166666667</v>
      </c>
      <c r="C2924" s="2" t="s">
        <v>18</v>
      </c>
      <c r="D2924" s="2" t="s">
        <v>164</v>
      </c>
      <c r="E2924" s="2" t="s">
        <v>378</v>
      </c>
      <c r="F2924" s="2"/>
      <c r="G2924" s="2">
        <v>36.0</v>
      </c>
      <c r="H2924" s="2">
        <v>16.0</v>
      </c>
      <c r="I2924" s="2">
        <v>20.0</v>
      </c>
      <c r="J2924" s="2">
        <v>0.0</v>
      </c>
      <c r="K2924" s="2">
        <v>0.0</v>
      </c>
      <c r="L2924" s="2">
        <v>0.0</v>
      </c>
      <c r="M2924" s="2"/>
      <c r="N2924" s="2"/>
      <c r="O2924" s="2"/>
      <c r="P2924" s="2" t="s">
        <v>166</v>
      </c>
    </row>
    <row r="2925">
      <c r="A2925" s="3" t="s">
        <v>36</v>
      </c>
      <c r="B2925" s="4">
        <v>44988.29166666667</v>
      </c>
      <c r="C2925" s="2" t="s">
        <v>18</v>
      </c>
      <c r="D2925" s="2" t="s">
        <v>164</v>
      </c>
      <c r="E2925" s="2" t="s">
        <v>379</v>
      </c>
      <c r="F2925" s="2"/>
      <c r="G2925" s="2">
        <v>14.0</v>
      </c>
      <c r="H2925" s="2">
        <v>10.0</v>
      </c>
      <c r="I2925" s="2">
        <v>4.0</v>
      </c>
      <c r="J2925" s="2">
        <v>0.0</v>
      </c>
      <c r="K2925" s="2">
        <v>0.0</v>
      </c>
      <c r="L2925" s="2">
        <v>0.0</v>
      </c>
      <c r="M2925" s="2"/>
      <c r="N2925" s="2"/>
      <c r="O2925" s="2"/>
      <c r="P2925" s="2" t="s">
        <v>166</v>
      </c>
    </row>
    <row r="2926">
      <c r="A2926" s="3" t="s">
        <v>37</v>
      </c>
      <c r="B2926" s="4">
        <v>44989.29166666667</v>
      </c>
      <c r="C2926" s="2" t="s">
        <v>18</v>
      </c>
      <c r="D2926" s="2" t="s">
        <v>164</v>
      </c>
      <c r="E2926" s="2" t="s">
        <v>380</v>
      </c>
      <c r="F2926" s="2"/>
      <c r="G2926" s="2">
        <v>30.0</v>
      </c>
      <c r="H2926" s="2">
        <v>20.0</v>
      </c>
      <c r="I2926" s="2">
        <v>10.0</v>
      </c>
      <c r="J2926" s="2">
        <v>0.0</v>
      </c>
      <c r="K2926" s="2">
        <v>0.0</v>
      </c>
      <c r="L2926" s="2">
        <v>0.0</v>
      </c>
      <c r="M2926" s="2"/>
      <c r="N2926" s="2"/>
      <c r="O2926" s="2"/>
      <c r="P2926" s="2" t="s">
        <v>166</v>
      </c>
    </row>
    <row r="2927">
      <c r="A2927" s="3" t="s">
        <v>38</v>
      </c>
      <c r="B2927" s="4">
        <v>44990.29166666667</v>
      </c>
      <c r="C2927" s="2" t="s">
        <v>18</v>
      </c>
      <c r="D2927" s="2" t="s">
        <v>164</v>
      </c>
      <c r="E2927" s="2" t="s">
        <v>381</v>
      </c>
      <c r="F2927" s="2"/>
      <c r="G2927" s="2">
        <v>30.0</v>
      </c>
      <c r="H2927" s="2">
        <v>13.0</v>
      </c>
      <c r="I2927" s="2">
        <v>17.0</v>
      </c>
      <c r="J2927" s="2">
        <v>0.0</v>
      </c>
      <c r="K2927" s="2">
        <v>0.0</v>
      </c>
      <c r="L2927" s="2">
        <v>0.0</v>
      </c>
      <c r="M2927" s="2"/>
      <c r="N2927" s="2"/>
      <c r="O2927" s="2"/>
      <c r="P2927" s="2" t="s">
        <v>166</v>
      </c>
    </row>
    <row r="2928">
      <c r="A2928" s="3" t="s">
        <v>39</v>
      </c>
      <c r="B2928" s="4">
        <v>44991.29166666667</v>
      </c>
      <c r="C2928" s="2" t="s">
        <v>18</v>
      </c>
      <c r="D2928" s="2" t="s">
        <v>164</v>
      </c>
      <c r="E2928" s="2" t="s">
        <v>382</v>
      </c>
      <c r="F2928" s="2"/>
      <c r="G2928" s="2">
        <v>31.0</v>
      </c>
      <c r="H2928" s="2">
        <v>21.0</v>
      </c>
      <c r="I2928" s="2">
        <v>10.0</v>
      </c>
      <c r="J2928" s="2">
        <v>0.0</v>
      </c>
      <c r="K2928" s="2">
        <v>0.0</v>
      </c>
      <c r="L2928" s="2">
        <v>0.0</v>
      </c>
      <c r="M2928" s="2"/>
      <c r="N2928" s="2"/>
      <c r="O2928" s="2"/>
      <c r="P2928" s="2" t="s">
        <v>166</v>
      </c>
    </row>
    <row r="2929">
      <c r="A2929" s="3" t="s">
        <v>40</v>
      </c>
      <c r="B2929" s="4">
        <v>44992.29166666667</v>
      </c>
      <c r="C2929" s="2" t="s">
        <v>18</v>
      </c>
      <c r="D2929" s="2" t="s">
        <v>164</v>
      </c>
      <c r="E2929" s="2" t="s">
        <v>383</v>
      </c>
      <c r="F2929" s="2"/>
      <c r="G2929" s="2">
        <v>11.0</v>
      </c>
      <c r="H2929" s="2">
        <v>5.0</v>
      </c>
      <c r="I2929" s="2">
        <v>6.0</v>
      </c>
      <c r="J2929" s="2">
        <v>0.0</v>
      </c>
      <c r="K2929" s="2">
        <v>0.0</v>
      </c>
      <c r="L2929" s="2">
        <v>0.0</v>
      </c>
      <c r="M2929" s="2"/>
      <c r="N2929" s="2"/>
      <c r="O2929" s="2"/>
      <c r="P2929" s="2" t="s">
        <v>166</v>
      </c>
    </row>
    <row r="2930">
      <c r="A2930" s="3" t="s">
        <v>41</v>
      </c>
      <c r="B2930" s="4">
        <v>44993.29166666667</v>
      </c>
      <c r="C2930" s="2" t="s">
        <v>18</v>
      </c>
      <c r="D2930" s="2" t="s">
        <v>164</v>
      </c>
      <c r="E2930" s="2" t="s">
        <v>384</v>
      </c>
      <c r="F2930" s="2"/>
      <c r="G2930" s="2">
        <v>2.0</v>
      </c>
      <c r="H2930" s="2">
        <v>2.0</v>
      </c>
      <c r="I2930" s="2">
        <v>0.0</v>
      </c>
      <c r="J2930" s="2">
        <v>0.0</v>
      </c>
      <c r="K2930" s="2">
        <v>0.0</v>
      </c>
      <c r="L2930" s="2">
        <v>0.0</v>
      </c>
      <c r="M2930" s="2"/>
      <c r="N2930" s="2"/>
      <c r="O2930" s="2"/>
      <c r="P2930" s="2" t="s">
        <v>166</v>
      </c>
    </row>
    <row r="2931">
      <c r="A2931" s="3" t="s">
        <v>42</v>
      </c>
      <c r="B2931" s="4">
        <v>45017.29166666667</v>
      </c>
      <c r="C2931" s="2" t="s">
        <v>18</v>
      </c>
      <c r="D2931" s="2" t="s">
        <v>164</v>
      </c>
      <c r="E2931" s="2" t="s">
        <v>378</v>
      </c>
      <c r="F2931" s="2"/>
      <c r="G2931" s="2">
        <v>55.0</v>
      </c>
      <c r="H2931" s="2">
        <v>37.0</v>
      </c>
      <c r="I2931" s="2">
        <v>18.0</v>
      </c>
      <c r="J2931" s="2">
        <v>0.0</v>
      </c>
      <c r="K2931" s="2">
        <v>0.0</v>
      </c>
      <c r="L2931" s="2">
        <v>0.0</v>
      </c>
      <c r="M2931" s="2"/>
      <c r="N2931" s="2"/>
      <c r="O2931" s="2"/>
      <c r="P2931" s="2" t="s">
        <v>166</v>
      </c>
    </row>
    <row r="2932">
      <c r="A2932" s="3" t="s">
        <v>43</v>
      </c>
      <c r="B2932" s="4">
        <v>45018.29166666667</v>
      </c>
      <c r="C2932" s="2" t="s">
        <v>18</v>
      </c>
      <c r="D2932" s="2" t="s">
        <v>164</v>
      </c>
      <c r="E2932" s="2" t="s">
        <v>379</v>
      </c>
      <c r="F2932" s="2"/>
      <c r="G2932" s="2">
        <v>76.0</v>
      </c>
      <c r="H2932" s="2">
        <v>47.0</v>
      </c>
      <c r="I2932" s="2">
        <v>29.0</v>
      </c>
      <c r="J2932" s="2">
        <v>0.0</v>
      </c>
      <c r="K2932" s="2">
        <v>0.0</v>
      </c>
      <c r="L2932" s="2">
        <v>0.0</v>
      </c>
      <c r="M2932" s="2"/>
      <c r="N2932" s="2"/>
      <c r="O2932" s="2"/>
      <c r="P2932" s="2" t="s">
        <v>166</v>
      </c>
    </row>
    <row r="2933">
      <c r="A2933" s="3" t="s">
        <v>44</v>
      </c>
      <c r="B2933" s="4">
        <v>45019.29166666667</v>
      </c>
      <c r="C2933" s="2" t="s">
        <v>18</v>
      </c>
      <c r="D2933" s="2" t="s">
        <v>164</v>
      </c>
      <c r="E2933" s="2" t="s">
        <v>380</v>
      </c>
      <c r="F2933" s="2"/>
      <c r="G2933" s="2">
        <v>82.0</v>
      </c>
      <c r="H2933" s="2">
        <v>40.0</v>
      </c>
      <c r="I2933" s="2">
        <v>42.0</v>
      </c>
      <c r="J2933" s="2">
        <v>0.0</v>
      </c>
      <c r="K2933" s="2">
        <v>0.0</v>
      </c>
      <c r="L2933" s="2">
        <v>0.0</v>
      </c>
      <c r="M2933" s="2"/>
      <c r="N2933" s="2"/>
      <c r="O2933" s="2"/>
      <c r="P2933" s="2" t="s">
        <v>166</v>
      </c>
    </row>
    <row r="2934">
      <c r="A2934" s="3" t="s">
        <v>45</v>
      </c>
      <c r="B2934" s="4">
        <v>45020.29166666667</v>
      </c>
      <c r="C2934" s="2" t="s">
        <v>18</v>
      </c>
      <c r="D2934" s="2" t="s">
        <v>164</v>
      </c>
      <c r="E2934" s="2" t="s">
        <v>381</v>
      </c>
      <c r="F2934" s="2"/>
      <c r="G2934" s="2">
        <v>75.0</v>
      </c>
      <c r="H2934" s="2">
        <v>28.0</v>
      </c>
      <c r="I2934" s="2">
        <v>47.0</v>
      </c>
      <c r="J2934" s="2">
        <v>0.0</v>
      </c>
      <c r="K2934" s="2">
        <v>0.0</v>
      </c>
      <c r="L2934" s="2">
        <v>0.0</v>
      </c>
      <c r="M2934" s="2"/>
      <c r="N2934" s="2"/>
      <c r="O2934" s="2"/>
      <c r="P2934" s="2" t="s">
        <v>166</v>
      </c>
    </row>
    <row r="2935">
      <c r="A2935" s="3" t="s">
        <v>16</v>
      </c>
      <c r="B2935" s="4">
        <v>45021.29166666667</v>
      </c>
      <c r="C2935" s="2" t="s">
        <v>18</v>
      </c>
      <c r="D2935" s="2" t="s">
        <v>164</v>
      </c>
      <c r="E2935" s="2" t="s">
        <v>382</v>
      </c>
      <c r="F2935" s="2"/>
      <c r="G2935" s="2">
        <v>47.0</v>
      </c>
      <c r="H2935" s="2">
        <v>19.0</v>
      </c>
      <c r="I2935" s="2">
        <v>28.0</v>
      </c>
      <c r="J2935" s="2">
        <v>0.0</v>
      </c>
      <c r="K2935" s="2">
        <v>0.0</v>
      </c>
      <c r="L2935" s="2">
        <v>0.0</v>
      </c>
      <c r="M2935" s="2"/>
      <c r="N2935" s="2"/>
      <c r="O2935" s="2"/>
      <c r="P2935" s="2" t="s">
        <v>166</v>
      </c>
    </row>
    <row r="2936">
      <c r="A2936" s="3" t="s">
        <v>47</v>
      </c>
      <c r="B2936" s="4">
        <v>45022.29166666667</v>
      </c>
      <c r="C2936" s="2" t="s">
        <v>18</v>
      </c>
      <c r="D2936" s="2" t="s">
        <v>164</v>
      </c>
      <c r="E2936" s="2" t="s">
        <v>383</v>
      </c>
      <c r="F2936" s="2"/>
      <c r="G2936" s="2">
        <v>94.0</v>
      </c>
      <c r="H2936" s="2">
        <v>63.0</v>
      </c>
      <c r="I2936" s="2">
        <v>31.0</v>
      </c>
      <c r="J2936" s="2">
        <v>0.0</v>
      </c>
      <c r="K2936" s="2">
        <v>0.0</v>
      </c>
      <c r="L2936" s="2">
        <v>0.0</v>
      </c>
      <c r="M2936" s="2"/>
      <c r="N2936" s="2"/>
      <c r="O2936" s="2"/>
      <c r="P2936" s="2" t="s">
        <v>166</v>
      </c>
    </row>
    <row r="2937">
      <c r="A2937" s="3" t="s">
        <v>48</v>
      </c>
      <c r="B2937" s="4">
        <v>45023.29166666667</v>
      </c>
      <c r="C2937" s="2" t="s">
        <v>18</v>
      </c>
      <c r="D2937" s="2" t="s">
        <v>164</v>
      </c>
      <c r="E2937" s="2" t="s">
        <v>384</v>
      </c>
      <c r="F2937" s="2"/>
      <c r="G2937" s="2">
        <v>82.0</v>
      </c>
      <c r="H2937" s="2">
        <v>45.0</v>
      </c>
      <c r="I2937" s="2">
        <v>37.0</v>
      </c>
      <c r="J2937" s="2">
        <v>0.0</v>
      </c>
      <c r="K2937" s="2">
        <v>0.0</v>
      </c>
      <c r="L2937" s="2">
        <v>0.0</v>
      </c>
      <c r="M2937" s="2"/>
      <c r="N2937" s="2"/>
      <c r="O2937" s="2"/>
      <c r="P2937" s="2" t="s">
        <v>166</v>
      </c>
    </row>
    <row r="2938">
      <c r="A2938" s="3" t="s">
        <v>49</v>
      </c>
      <c r="B2938" s="4">
        <v>45047.29166666667</v>
      </c>
      <c r="C2938" s="2" t="s">
        <v>18</v>
      </c>
      <c r="D2938" s="2" t="s">
        <v>164</v>
      </c>
      <c r="E2938" s="2" t="s">
        <v>378</v>
      </c>
      <c r="F2938" s="2"/>
      <c r="G2938" s="2">
        <v>103.0</v>
      </c>
      <c r="H2938" s="2">
        <v>75.0</v>
      </c>
      <c r="I2938" s="2">
        <v>28.0</v>
      </c>
      <c r="J2938" s="2">
        <v>0.0</v>
      </c>
      <c r="K2938" s="2">
        <v>0.0</v>
      </c>
      <c r="L2938" s="2">
        <v>0.0</v>
      </c>
      <c r="M2938" s="2"/>
      <c r="N2938" s="2"/>
      <c r="O2938" s="2"/>
      <c r="P2938" s="2" t="s">
        <v>166</v>
      </c>
    </row>
    <row r="2939">
      <c r="A2939" s="3" t="s">
        <v>51</v>
      </c>
      <c r="B2939" s="4">
        <v>45048.29166666667</v>
      </c>
      <c r="C2939" s="2" t="s">
        <v>18</v>
      </c>
      <c r="D2939" s="2" t="s">
        <v>164</v>
      </c>
      <c r="E2939" s="2" t="s">
        <v>379</v>
      </c>
      <c r="F2939" s="2"/>
      <c r="G2939" s="2">
        <v>39.0</v>
      </c>
      <c r="H2939" s="2">
        <v>25.0</v>
      </c>
      <c r="I2939" s="2">
        <v>14.0</v>
      </c>
      <c r="J2939" s="2">
        <v>0.0</v>
      </c>
      <c r="K2939" s="2">
        <v>0.0</v>
      </c>
      <c r="L2939" s="2">
        <v>0.0</v>
      </c>
      <c r="M2939" s="2"/>
      <c r="N2939" s="2"/>
      <c r="O2939" s="2"/>
      <c r="P2939" s="2" t="s">
        <v>166</v>
      </c>
    </row>
    <row r="2940">
      <c r="A2940" s="3" t="s">
        <v>52</v>
      </c>
      <c r="B2940" s="4">
        <v>45049.29166666667</v>
      </c>
      <c r="C2940" s="2" t="s">
        <v>18</v>
      </c>
      <c r="D2940" s="2" t="s">
        <v>164</v>
      </c>
      <c r="E2940" s="2" t="s">
        <v>380</v>
      </c>
      <c r="F2940" s="2"/>
      <c r="G2940" s="2">
        <v>94.0</v>
      </c>
      <c r="H2940" s="2">
        <v>77.0</v>
      </c>
      <c r="I2940" s="2">
        <v>17.0</v>
      </c>
      <c r="J2940" s="2">
        <v>0.0</v>
      </c>
      <c r="K2940" s="2">
        <v>0.0</v>
      </c>
      <c r="L2940" s="2">
        <v>0.0</v>
      </c>
      <c r="M2940" s="2"/>
      <c r="N2940" s="2"/>
      <c r="O2940" s="2"/>
      <c r="P2940" s="2" t="s">
        <v>166</v>
      </c>
    </row>
    <row r="2941">
      <c r="A2941" s="3" t="s">
        <v>53</v>
      </c>
      <c r="B2941" s="4">
        <v>45050.29166666667</v>
      </c>
      <c r="C2941" s="2" t="s">
        <v>18</v>
      </c>
      <c r="D2941" s="2" t="s">
        <v>164</v>
      </c>
      <c r="E2941" s="2" t="s">
        <v>381</v>
      </c>
      <c r="F2941" s="2"/>
      <c r="G2941" s="2">
        <v>97.0</v>
      </c>
      <c r="H2941" s="2">
        <v>17.0</v>
      </c>
      <c r="I2941" s="2">
        <v>80.0</v>
      </c>
      <c r="J2941" s="2">
        <v>0.0</v>
      </c>
      <c r="K2941" s="2">
        <v>0.0</v>
      </c>
      <c r="L2941" s="2">
        <v>0.0</v>
      </c>
      <c r="M2941" s="2"/>
      <c r="N2941" s="2"/>
      <c r="O2941" s="2"/>
      <c r="P2941" s="2" t="s">
        <v>166</v>
      </c>
    </row>
    <row r="2942">
      <c r="A2942" s="3" t="s">
        <v>54</v>
      </c>
      <c r="B2942" s="4">
        <v>45051.29166666667</v>
      </c>
      <c r="C2942" s="2" t="s">
        <v>18</v>
      </c>
      <c r="D2942" s="2" t="s">
        <v>164</v>
      </c>
      <c r="E2942" s="2" t="s">
        <v>382</v>
      </c>
      <c r="F2942" s="2"/>
      <c r="G2942" s="2">
        <v>15.0</v>
      </c>
      <c r="H2942" s="2">
        <v>2.0</v>
      </c>
      <c r="I2942" s="2">
        <v>13.0</v>
      </c>
      <c r="J2942" s="2">
        <v>0.0</v>
      </c>
      <c r="K2942" s="2">
        <v>0.0</v>
      </c>
      <c r="L2942" s="2">
        <v>0.0</v>
      </c>
      <c r="M2942" s="2"/>
      <c r="N2942" s="2"/>
      <c r="O2942" s="2"/>
      <c r="P2942" s="2" t="s">
        <v>166</v>
      </c>
    </row>
    <row r="2943">
      <c r="A2943" s="3" t="s">
        <v>55</v>
      </c>
      <c r="B2943" s="4">
        <v>45052.29166666667</v>
      </c>
      <c r="C2943" s="2" t="s">
        <v>18</v>
      </c>
      <c r="D2943" s="2" t="s">
        <v>164</v>
      </c>
      <c r="E2943" s="2" t="s">
        <v>383</v>
      </c>
      <c r="F2943" s="2"/>
      <c r="G2943" s="2">
        <v>62.0</v>
      </c>
      <c r="H2943" s="2">
        <v>31.0</v>
      </c>
      <c r="I2943" s="2">
        <v>31.0</v>
      </c>
      <c r="J2943" s="2">
        <v>0.0</v>
      </c>
      <c r="K2943" s="2">
        <v>0.0</v>
      </c>
      <c r="L2943" s="2">
        <v>0.0</v>
      </c>
      <c r="M2943" s="2"/>
      <c r="N2943" s="2"/>
      <c r="O2943" s="2"/>
      <c r="P2943" s="2" t="s">
        <v>166</v>
      </c>
    </row>
    <row r="2944">
      <c r="A2944" s="3" t="s">
        <v>56</v>
      </c>
      <c r="B2944" s="4">
        <v>45053.29166666667</v>
      </c>
      <c r="C2944" s="2" t="s">
        <v>18</v>
      </c>
      <c r="D2944" s="2" t="s">
        <v>164</v>
      </c>
      <c r="E2944" s="2" t="s">
        <v>384</v>
      </c>
      <c r="F2944" s="2"/>
      <c r="G2944" s="2">
        <v>21.0</v>
      </c>
      <c r="H2944" s="2">
        <v>16.0</v>
      </c>
      <c r="I2944" s="2">
        <v>5.0</v>
      </c>
      <c r="J2944" s="2">
        <v>0.0</v>
      </c>
      <c r="K2944" s="2">
        <v>0.0</v>
      </c>
      <c r="L2944" s="2">
        <v>0.0</v>
      </c>
      <c r="M2944" s="2"/>
      <c r="N2944" s="2"/>
      <c r="O2944" s="2"/>
      <c r="P2944" s="2" t="s">
        <v>166</v>
      </c>
    </row>
    <row r="2945">
      <c r="A2945" s="3" t="s">
        <v>59</v>
      </c>
      <c r="B2945" s="2" t="s">
        <v>17</v>
      </c>
      <c r="C2945" s="2" t="s">
        <v>18</v>
      </c>
      <c r="D2945" s="2" t="s">
        <v>164</v>
      </c>
      <c r="E2945" s="2" t="s">
        <v>378</v>
      </c>
      <c r="F2945" s="2">
        <v>134.0</v>
      </c>
      <c r="G2945" s="2">
        <v>173.0</v>
      </c>
      <c r="H2945" s="2">
        <v>134.0</v>
      </c>
      <c r="I2945" s="2">
        <v>39.0</v>
      </c>
      <c r="J2945" s="2">
        <v>0.0</v>
      </c>
      <c r="K2945" s="2">
        <v>0.0</v>
      </c>
      <c r="L2945" s="2">
        <v>0.0</v>
      </c>
      <c r="M2945" s="2">
        <v>0.0</v>
      </c>
      <c r="N2945" s="2"/>
      <c r="O2945" s="2"/>
      <c r="P2945" s="2" t="s">
        <v>166</v>
      </c>
    </row>
    <row r="2946">
      <c r="A2946" s="3" t="s">
        <v>60</v>
      </c>
      <c r="B2946" s="2" t="s">
        <v>17</v>
      </c>
      <c r="C2946" s="2" t="s">
        <v>18</v>
      </c>
      <c r="D2946" s="2" t="s">
        <v>164</v>
      </c>
      <c r="E2946" s="2" t="s">
        <v>379</v>
      </c>
      <c r="F2946" s="2">
        <v>129.0</v>
      </c>
      <c r="G2946" s="2">
        <v>153.0</v>
      </c>
      <c r="H2946" s="2">
        <v>129.0</v>
      </c>
      <c r="I2946" s="2">
        <v>24.0</v>
      </c>
      <c r="J2946" s="2">
        <v>0.0</v>
      </c>
      <c r="K2946" s="2">
        <v>0.0</v>
      </c>
      <c r="L2946" s="2">
        <v>0.0</v>
      </c>
      <c r="M2946" s="2">
        <v>0.0</v>
      </c>
      <c r="N2946" s="2"/>
      <c r="O2946" s="2"/>
      <c r="P2946" s="2" t="s">
        <v>166</v>
      </c>
    </row>
    <row r="2947">
      <c r="A2947" s="3" t="s">
        <v>61</v>
      </c>
      <c r="B2947" s="2" t="s">
        <v>17</v>
      </c>
      <c r="C2947" s="2" t="s">
        <v>18</v>
      </c>
      <c r="D2947" s="2" t="s">
        <v>164</v>
      </c>
      <c r="E2947" s="2" t="s">
        <v>380</v>
      </c>
      <c r="F2947" s="2">
        <v>134.0</v>
      </c>
      <c r="G2947" s="2">
        <v>168.0</v>
      </c>
      <c r="H2947" s="2">
        <v>134.0</v>
      </c>
      <c r="I2947" s="2">
        <v>34.0</v>
      </c>
      <c r="J2947" s="2">
        <v>0.0</v>
      </c>
      <c r="K2947" s="2">
        <v>0.0</v>
      </c>
      <c r="L2947" s="2">
        <v>0.0</v>
      </c>
      <c r="M2947" s="2">
        <v>0.0</v>
      </c>
      <c r="N2947" s="2"/>
      <c r="O2947" s="2"/>
      <c r="P2947" s="2" t="s">
        <v>166</v>
      </c>
    </row>
    <row r="2948">
      <c r="A2948" s="3" t="s">
        <v>62</v>
      </c>
      <c r="B2948" s="2" t="s">
        <v>17</v>
      </c>
      <c r="C2948" s="2" t="s">
        <v>18</v>
      </c>
      <c r="D2948" s="2" t="s">
        <v>164</v>
      </c>
      <c r="E2948" s="2" t="s">
        <v>381</v>
      </c>
      <c r="F2948" s="2">
        <v>38.0</v>
      </c>
      <c r="G2948" s="2">
        <v>148.0</v>
      </c>
      <c r="H2948" s="2">
        <v>38.0</v>
      </c>
      <c r="I2948" s="2">
        <v>110.0</v>
      </c>
      <c r="J2948" s="2">
        <v>0.0</v>
      </c>
      <c r="K2948" s="2">
        <v>0.0</v>
      </c>
      <c r="L2948" s="2">
        <v>0.0</v>
      </c>
      <c r="M2948" s="2">
        <v>0.0</v>
      </c>
      <c r="N2948" s="2"/>
      <c r="O2948" s="2"/>
      <c r="P2948" s="2" t="s">
        <v>166</v>
      </c>
    </row>
    <row r="2949">
      <c r="A2949" s="3" t="s">
        <v>63</v>
      </c>
      <c r="B2949" s="2" t="s">
        <v>17</v>
      </c>
      <c r="C2949" s="2" t="s">
        <v>18</v>
      </c>
      <c r="D2949" s="2" t="s">
        <v>164</v>
      </c>
      <c r="E2949" s="2" t="s">
        <v>382</v>
      </c>
      <c r="F2949" s="2">
        <v>29.0</v>
      </c>
      <c r="G2949" s="2">
        <v>44.0</v>
      </c>
      <c r="H2949" s="2">
        <v>29.0</v>
      </c>
      <c r="I2949" s="2">
        <v>15.0</v>
      </c>
      <c r="J2949" s="2">
        <v>0.0</v>
      </c>
      <c r="K2949" s="2">
        <v>0.0</v>
      </c>
      <c r="L2949" s="2">
        <v>0.0</v>
      </c>
      <c r="M2949" s="2">
        <v>0.0</v>
      </c>
      <c r="N2949" s="2"/>
      <c r="O2949" s="2"/>
      <c r="P2949" s="2" t="s">
        <v>166</v>
      </c>
    </row>
    <row r="2950">
      <c r="A2950" s="3" t="s">
        <v>64</v>
      </c>
      <c r="B2950" s="2" t="s">
        <v>17</v>
      </c>
      <c r="C2950" s="2" t="s">
        <v>18</v>
      </c>
      <c r="D2950" s="2" t="s">
        <v>164</v>
      </c>
      <c r="E2950" s="2" t="s">
        <v>383</v>
      </c>
      <c r="F2950" s="2">
        <v>144.0</v>
      </c>
      <c r="G2950" s="2">
        <v>201.0</v>
      </c>
      <c r="H2950" s="2">
        <v>144.0</v>
      </c>
      <c r="I2950" s="2">
        <v>57.0</v>
      </c>
      <c r="J2950" s="2">
        <v>0.0</v>
      </c>
      <c r="K2950" s="2">
        <v>0.0</v>
      </c>
      <c r="L2950" s="2">
        <v>0.0</v>
      </c>
      <c r="M2950" s="2">
        <v>0.0</v>
      </c>
      <c r="N2950" s="2"/>
      <c r="O2950" s="2"/>
      <c r="P2950" s="2" t="s">
        <v>166</v>
      </c>
    </row>
    <row r="2951">
      <c r="A2951" s="3" t="s">
        <v>65</v>
      </c>
      <c r="B2951" s="2" t="s">
        <v>17</v>
      </c>
      <c r="C2951" s="2" t="s">
        <v>18</v>
      </c>
      <c r="D2951" s="2" t="s">
        <v>164</v>
      </c>
      <c r="E2951" s="2" t="s">
        <v>384</v>
      </c>
      <c r="F2951" s="2">
        <v>157.0</v>
      </c>
      <c r="G2951" s="2">
        <v>192.0</v>
      </c>
      <c r="H2951" s="2">
        <v>157.0</v>
      </c>
      <c r="I2951" s="2">
        <v>35.0</v>
      </c>
      <c r="J2951" s="2">
        <v>0.0</v>
      </c>
      <c r="K2951" s="2">
        <v>0.0</v>
      </c>
      <c r="L2951" s="2">
        <v>0.0</v>
      </c>
      <c r="M2951" s="2">
        <v>0.0</v>
      </c>
      <c r="N2951" s="2"/>
      <c r="O2951" s="2"/>
      <c r="P2951" s="2" t="s">
        <v>166</v>
      </c>
    </row>
    <row r="2952">
      <c r="A2952" s="3" t="s">
        <v>66</v>
      </c>
      <c r="B2952" s="2" t="s">
        <v>17</v>
      </c>
      <c r="C2952" s="2" t="s">
        <v>57</v>
      </c>
      <c r="D2952" s="2" t="s">
        <v>23</v>
      </c>
      <c r="E2952" s="2" t="s">
        <v>378</v>
      </c>
      <c r="F2952" s="2">
        <v>134.0</v>
      </c>
      <c r="G2952" s="2">
        <v>173.0</v>
      </c>
      <c r="H2952" s="2">
        <v>134.0</v>
      </c>
      <c r="I2952" s="2">
        <v>39.0</v>
      </c>
      <c r="J2952" s="2">
        <v>0.0</v>
      </c>
      <c r="K2952" s="2">
        <v>0.0</v>
      </c>
      <c r="L2952" s="2">
        <v>0.0</v>
      </c>
      <c r="M2952" s="2">
        <v>0.0</v>
      </c>
      <c r="N2952" s="2">
        <v>0.0</v>
      </c>
      <c r="O2952" s="2">
        <v>-134.0</v>
      </c>
      <c r="P2952" s="2" t="s">
        <v>166</v>
      </c>
    </row>
    <row r="2953">
      <c r="A2953" s="3" t="s">
        <v>68</v>
      </c>
      <c r="B2953" s="2" t="s">
        <v>17</v>
      </c>
      <c r="C2953" s="2" t="s">
        <v>18</v>
      </c>
      <c r="D2953" s="2" t="s">
        <v>23</v>
      </c>
      <c r="E2953" s="2" t="s">
        <v>379</v>
      </c>
      <c r="F2953" s="2">
        <v>129.0</v>
      </c>
      <c r="G2953" s="2">
        <v>153.0</v>
      </c>
      <c r="H2953" s="2">
        <v>129.0</v>
      </c>
      <c r="I2953" s="2">
        <v>24.0</v>
      </c>
      <c r="J2953" s="2">
        <v>0.0</v>
      </c>
      <c r="K2953" s="2">
        <v>0.0</v>
      </c>
      <c r="L2953" s="2">
        <v>0.0</v>
      </c>
      <c r="M2953" s="2">
        <v>0.0</v>
      </c>
      <c r="N2953" s="2">
        <v>0.0</v>
      </c>
      <c r="O2953" s="2">
        <v>-129.0</v>
      </c>
      <c r="P2953" s="2" t="s">
        <v>166</v>
      </c>
    </row>
    <row r="2954">
      <c r="A2954" s="3" t="s">
        <v>70</v>
      </c>
      <c r="B2954" s="2" t="s">
        <v>17</v>
      </c>
      <c r="C2954" s="2" t="s">
        <v>57</v>
      </c>
      <c r="D2954" s="2" t="s">
        <v>23</v>
      </c>
      <c r="E2954" s="2" t="s">
        <v>380</v>
      </c>
      <c r="F2954" s="2">
        <v>134.0</v>
      </c>
      <c r="G2954" s="2">
        <v>168.0</v>
      </c>
      <c r="H2954" s="2">
        <v>134.0</v>
      </c>
      <c r="I2954" s="2">
        <v>34.0</v>
      </c>
      <c r="J2954" s="2">
        <v>0.0</v>
      </c>
      <c r="K2954" s="2">
        <v>0.0</v>
      </c>
      <c r="L2954" s="2">
        <v>0.0</v>
      </c>
      <c r="M2954" s="2">
        <v>0.0</v>
      </c>
      <c r="N2954" s="2">
        <v>0.0</v>
      </c>
      <c r="O2954" s="2">
        <v>-134.0</v>
      </c>
      <c r="P2954" s="2" t="s">
        <v>166</v>
      </c>
    </row>
    <row r="2955">
      <c r="A2955" s="3" t="s">
        <v>16</v>
      </c>
      <c r="B2955" s="2" t="s">
        <v>17</v>
      </c>
      <c r="C2955" s="2" t="s">
        <v>18</v>
      </c>
      <c r="D2955" s="2" t="s">
        <v>23</v>
      </c>
      <c r="E2955" s="2" t="s">
        <v>381</v>
      </c>
      <c r="F2955" s="2">
        <v>38.0</v>
      </c>
      <c r="G2955" s="2">
        <v>148.0</v>
      </c>
      <c r="H2955" s="2">
        <v>38.0</v>
      </c>
      <c r="I2955" s="2">
        <v>110.0</v>
      </c>
      <c r="J2955" s="2">
        <v>0.0</v>
      </c>
      <c r="K2955" s="2">
        <v>0.0</v>
      </c>
      <c r="L2955" s="2">
        <v>0.0</v>
      </c>
      <c r="M2955" s="2">
        <v>0.0</v>
      </c>
      <c r="N2955" s="2">
        <v>0.0</v>
      </c>
      <c r="O2955" s="2">
        <v>-38.0</v>
      </c>
      <c r="P2955" s="2" t="s">
        <v>166</v>
      </c>
    </row>
    <row r="2956">
      <c r="A2956" s="3" t="s">
        <v>71</v>
      </c>
      <c r="B2956" s="2" t="s">
        <v>17</v>
      </c>
      <c r="C2956" s="2" t="s">
        <v>18</v>
      </c>
      <c r="D2956" s="2" t="s">
        <v>23</v>
      </c>
      <c r="E2956" s="2" t="s">
        <v>382</v>
      </c>
      <c r="F2956" s="2">
        <v>29.0</v>
      </c>
      <c r="G2956" s="2">
        <v>44.0</v>
      </c>
      <c r="H2956" s="2">
        <v>29.0</v>
      </c>
      <c r="I2956" s="2">
        <v>15.0</v>
      </c>
      <c r="J2956" s="2">
        <v>0.0</v>
      </c>
      <c r="K2956" s="2">
        <v>0.0</v>
      </c>
      <c r="L2956" s="2">
        <v>0.0</v>
      </c>
      <c r="M2956" s="2">
        <v>0.0</v>
      </c>
      <c r="N2956" s="2">
        <v>0.0</v>
      </c>
      <c r="O2956" s="2">
        <v>-29.0</v>
      </c>
      <c r="P2956" s="2" t="s">
        <v>166</v>
      </c>
    </row>
    <row r="2957">
      <c r="A2957" s="3" t="s">
        <v>72</v>
      </c>
      <c r="B2957" s="2" t="s">
        <v>17</v>
      </c>
      <c r="C2957" s="2" t="s">
        <v>18</v>
      </c>
      <c r="D2957" s="2" t="s">
        <v>23</v>
      </c>
      <c r="E2957" s="2" t="s">
        <v>383</v>
      </c>
      <c r="F2957" s="2">
        <v>144.0</v>
      </c>
      <c r="G2957" s="2">
        <v>201.0</v>
      </c>
      <c r="H2957" s="2">
        <v>144.0</v>
      </c>
      <c r="I2957" s="2">
        <v>57.0</v>
      </c>
      <c r="J2957" s="2">
        <v>0.0</v>
      </c>
      <c r="K2957" s="2">
        <v>0.0</v>
      </c>
      <c r="L2957" s="2">
        <v>0.0</v>
      </c>
      <c r="M2957" s="2">
        <v>0.0</v>
      </c>
      <c r="N2957" s="2">
        <v>0.0</v>
      </c>
      <c r="O2957" s="2">
        <v>-144.0</v>
      </c>
      <c r="P2957" s="2" t="s">
        <v>166</v>
      </c>
    </row>
    <row r="2958">
      <c r="A2958" s="3" t="s">
        <v>73</v>
      </c>
      <c r="B2958" s="2" t="s">
        <v>17</v>
      </c>
      <c r="C2958" s="2" t="s">
        <v>18</v>
      </c>
      <c r="D2958" s="2" t="s">
        <v>23</v>
      </c>
      <c r="E2958" s="2" t="s">
        <v>384</v>
      </c>
      <c r="F2958" s="2">
        <v>157.0</v>
      </c>
      <c r="G2958" s="2">
        <v>192.0</v>
      </c>
      <c r="H2958" s="2">
        <v>157.0</v>
      </c>
      <c r="I2958" s="2">
        <v>35.0</v>
      </c>
      <c r="J2958" s="2">
        <v>0.0</v>
      </c>
      <c r="K2958" s="2">
        <v>0.0</v>
      </c>
      <c r="L2958" s="2">
        <v>0.0</v>
      </c>
      <c r="M2958" s="2">
        <v>0.0</v>
      </c>
      <c r="N2958" s="2">
        <v>0.0</v>
      </c>
      <c r="O2958" s="2">
        <v>-157.0</v>
      </c>
      <c r="P2958" s="2" t="s">
        <v>166</v>
      </c>
    </row>
    <row r="2959">
      <c r="A2959" s="3" t="s">
        <v>74</v>
      </c>
      <c r="B2959" s="4">
        <v>45047.29166666667</v>
      </c>
      <c r="C2959" s="2" t="s">
        <v>18</v>
      </c>
      <c r="D2959" s="2" t="s">
        <v>164</v>
      </c>
      <c r="E2959" s="2" t="s">
        <v>378</v>
      </c>
      <c r="F2959" s="2"/>
      <c r="G2959" s="2">
        <v>25.0</v>
      </c>
      <c r="H2959" s="2">
        <v>18.0</v>
      </c>
      <c r="I2959" s="2">
        <v>7.0</v>
      </c>
      <c r="J2959" s="2">
        <v>0.0</v>
      </c>
      <c r="K2959" s="2">
        <v>0.0</v>
      </c>
      <c r="L2959" s="2">
        <v>0.0</v>
      </c>
      <c r="M2959" s="2"/>
      <c r="N2959" s="2"/>
      <c r="O2959" s="2"/>
      <c r="P2959" s="2" t="s">
        <v>166</v>
      </c>
    </row>
    <row r="2960">
      <c r="A2960" s="3" t="s">
        <v>75</v>
      </c>
      <c r="B2960" s="4">
        <v>45048.29166666667</v>
      </c>
      <c r="C2960" s="2" t="s">
        <v>18</v>
      </c>
      <c r="D2960" s="2" t="s">
        <v>164</v>
      </c>
      <c r="E2960" s="2" t="s">
        <v>379</v>
      </c>
      <c r="F2960" s="2"/>
      <c r="G2960" s="2">
        <v>40.0</v>
      </c>
      <c r="H2960" s="2">
        <v>37.0</v>
      </c>
      <c r="I2960" s="2">
        <v>3.0</v>
      </c>
      <c r="J2960" s="2">
        <v>0.0</v>
      </c>
      <c r="K2960" s="2">
        <v>0.0</v>
      </c>
      <c r="L2960" s="2">
        <v>0.0</v>
      </c>
      <c r="M2960" s="2"/>
      <c r="N2960" s="2"/>
      <c r="O2960" s="2"/>
      <c r="P2960" s="2" t="s">
        <v>166</v>
      </c>
    </row>
    <row r="2961">
      <c r="A2961" s="3" t="s">
        <v>76</v>
      </c>
      <c r="B2961" s="4">
        <v>45049.29166666667</v>
      </c>
      <c r="C2961" s="2" t="s">
        <v>18</v>
      </c>
      <c r="D2961" s="2" t="s">
        <v>164</v>
      </c>
      <c r="E2961" s="2" t="s">
        <v>380</v>
      </c>
      <c r="F2961" s="2"/>
      <c r="G2961" s="2">
        <v>52.0</v>
      </c>
      <c r="H2961" s="2">
        <v>45.0</v>
      </c>
      <c r="I2961" s="2">
        <v>7.0</v>
      </c>
      <c r="J2961" s="2">
        <v>0.0</v>
      </c>
      <c r="K2961" s="2">
        <v>0.0</v>
      </c>
      <c r="L2961" s="2">
        <v>0.0</v>
      </c>
      <c r="M2961" s="2"/>
      <c r="N2961" s="2"/>
      <c r="O2961" s="2"/>
      <c r="P2961" s="2" t="s">
        <v>166</v>
      </c>
    </row>
    <row r="2962">
      <c r="A2962" s="3" t="s">
        <v>77</v>
      </c>
      <c r="B2962" s="4">
        <v>45050.29166666667</v>
      </c>
      <c r="C2962" s="2" t="s">
        <v>18</v>
      </c>
      <c r="D2962" s="2" t="s">
        <v>164</v>
      </c>
      <c r="E2962" s="2" t="s">
        <v>381</v>
      </c>
      <c r="F2962" s="2"/>
      <c r="G2962" s="2">
        <v>64.0</v>
      </c>
      <c r="H2962" s="2">
        <v>9.0</v>
      </c>
      <c r="I2962" s="2">
        <v>55.0</v>
      </c>
      <c r="J2962" s="2">
        <v>0.0</v>
      </c>
      <c r="K2962" s="2">
        <v>0.0</v>
      </c>
      <c r="L2962" s="2">
        <v>0.0</v>
      </c>
      <c r="M2962" s="2"/>
      <c r="N2962" s="2"/>
      <c r="O2962" s="2"/>
      <c r="P2962" s="2" t="s">
        <v>166</v>
      </c>
    </row>
    <row r="2963">
      <c r="A2963" s="3" t="s">
        <v>78</v>
      </c>
      <c r="B2963" s="4">
        <v>45051.29166666667</v>
      </c>
      <c r="C2963" s="2" t="s">
        <v>18</v>
      </c>
      <c r="D2963" s="2" t="s">
        <v>164</v>
      </c>
      <c r="E2963" s="2" t="s">
        <v>382</v>
      </c>
      <c r="F2963" s="2"/>
      <c r="G2963" s="2">
        <v>7.0</v>
      </c>
      <c r="H2963" s="2">
        <v>5.0</v>
      </c>
      <c r="I2963" s="2">
        <v>2.0</v>
      </c>
      <c r="J2963" s="2">
        <v>0.0</v>
      </c>
      <c r="K2963" s="2">
        <v>0.0</v>
      </c>
      <c r="L2963" s="2">
        <v>0.0</v>
      </c>
      <c r="M2963" s="2"/>
      <c r="N2963" s="2"/>
      <c r="O2963" s="2"/>
      <c r="P2963" s="2" t="s">
        <v>166</v>
      </c>
    </row>
    <row r="2964">
      <c r="A2964" s="3" t="s">
        <v>81</v>
      </c>
      <c r="B2964" s="4">
        <v>45052.29166666667</v>
      </c>
      <c r="C2964" s="2" t="s">
        <v>18</v>
      </c>
      <c r="D2964" s="2" t="s">
        <v>164</v>
      </c>
      <c r="E2964" s="2" t="s">
        <v>383</v>
      </c>
      <c r="F2964" s="2"/>
      <c r="G2964" s="2">
        <v>36.0</v>
      </c>
      <c r="H2964" s="2">
        <v>24.0</v>
      </c>
      <c r="I2964" s="2">
        <v>12.0</v>
      </c>
      <c r="J2964" s="2">
        <v>0.0</v>
      </c>
      <c r="K2964" s="2">
        <v>0.0</v>
      </c>
      <c r="L2964" s="2">
        <v>0.0</v>
      </c>
      <c r="M2964" s="2"/>
      <c r="N2964" s="2"/>
      <c r="O2964" s="2"/>
      <c r="P2964" s="2" t="s">
        <v>166</v>
      </c>
    </row>
    <row r="2965">
      <c r="A2965" s="3" t="s">
        <v>82</v>
      </c>
      <c r="B2965" s="4">
        <v>45053.29166666667</v>
      </c>
      <c r="C2965" s="2" t="s">
        <v>18</v>
      </c>
      <c r="D2965" s="2" t="s">
        <v>164</v>
      </c>
      <c r="E2965" s="2" t="s">
        <v>384</v>
      </c>
      <c r="F2965" s="2"/>
      <c r="G2965" s="2">
        <v>38.0</v>
      </c>
      <c r="H2965" s="2">
        <v>35.0</v>
      </c>
      <c r="I2965" s="2">
        <v>3.0</v>
      </c>
      <c r="J2965" s="2">
        <v>0.0</v>
      </c>
      <c r="K2965" s="2">
        <v>0.0</v>
      </c>
      <c r="L2965" s="2">
        <v>0.0</v>
      </c>
      <c r="M2965" s="2"/>
      <c r="N2965" s="2"/>
      <c r="O2965" s="2"/>
      <c r="P2965" s="2" t="s">
        <v>166</v>
      </c>
    </row>
    <row r="2966">
      <c r="A2966" s="3" t="s">
        <v>83</v>
      </c>
      <c r="B2966" s="4">
        <v>45078.29166666667</v>
      </c>
      <c r="C2966" s="2" t="s">
        <v>18</v>
      </c>
      <c r="D2966" s="2" t="s">
        <v>164</v>
      </c>
      <c r="E2966" s="2" t="s">
        <v>378</v>
      </c>
      <c r="F2966" s="2"/>
      <c r="G2966" s="2">
        <v>58.0</v>
      </c>
      <c r="H2966" s="2">
        <v>41.0</v>
      </c>
      <c r="I2966" s="2">
        <v>17.0</v>
      </c>
      <c r="J2966" s="2">
        <v>0.0</v>
      </c>
      <c r="K2966" s="2">
        <v>0.0</v>
      </c>
      <c r="L2966" s="2">
        <v>0.0</v>
      </c>
      <c r="M2966" s="2"/>
      <c r="N2966" s="2"/>
      <c r="O2966" s="2"/>
      <c r="P2966" s="2" t="s">
        <v>166</v>
      </c>
    </row>
    <row r="2967">
      <c r="A2967" s="3" t="s">
        <v>84</v>
      </c>
      <c r="B2967" s="4">
        <v>45079.29166666667</v>
      </c>
      <c r="C2967" s="2" t="s">
        <v>18</v>
      </c>
      <c r="D2967" s="2" t="s">
        <v>164</v>
      </c>
      <c r="E2967" s="2" t="s">
        <v>379</v>
      </c>
      <c r="F2967" s="2"/>
      <c r="G2967" s="2">
        <v>49.0</v>
      </c>
      <c r="H2967" s="2">
        <v>39.0</v>
      </c>
      <c r="I2967" s="2">
        <v>10.0</v>
      </c>
      <c r="J2967" s="2">
        <v>0.0</v>
      </c>
      <c r="K2967" s="2">
        <v>0.0</v>
      </c>
      <c r="L2967" s="2">
        <v>0.0</v>
      </c>
      <c r="M2967" s="2"/>
      <c r="N2967" s="2"/>
      <c r="O2967" s="2"/>
      <c r="P2967" s="2" t="s">
        <v>166</v>
      </c>
    </row>
    <row r="2968">
      <c r="A2968" s="3" t="s">
        <v>85</v>
      </c>
      <c r="B2968" s="4">
        <v>45080.29166666667</v>
      </c>
      <c r="C2968" s="2" t="s">
        <v>18</v>
      </c>
      <c r="D2968" s="2" t="s">
        <v>164</v>
      </c>
      <c r="E2968" s="2" t="s">
        <v>380</v>
      </c>
      <c r="F2968" s="2"/>
      <c r="G2968" s="2">
        <v>57.0</v>
      </c>
      <c r="H2968" s="2">
        <v>47.0</v>
      </c>
      <c r="I2968" s="2">
        <v>10.0</v>
      </c>
      <c r="J2968" s="2">
        <v>0.0</v>
      </c>
      <c r="K2968" s="2">
        <v>0.0</v>
      </c>
      <c r="L2968" s="2">
        <v>0.0</v>
      </c>
      <c r="M2968" s="2"/>
      <c r="N2968" s="2"/>
      <c r="O2968" s="2"/>
      <c r="P2968" s="2" t="s">
        <v>166</v>
      </c>
    </row>
    <row r="2969">
      <c r="A2969" s="3" t="s">
        <v>86</v>
      </c>
      <c r="B2969" s="4">
        <v>45081.29166666667</v>
      </c>
      <c r="C2969" s="2" t="s">
        <v>18</v>
      </c>
      <c r="D2969" s="2" t="s">
        <v>164</v>
      </c>
      <c r="E2969" s="2" t="s">
        <v>381</v>
      </c>
      <c r="F2969" s="2"/>
      <c r="G2969" s="2">
        <v>52.0</v>
      </c>
      <c r="H2969" s="2">
        <v>16.0</v>
      </c>
      <c r="I2969" s="2">
        <v>36.0</v>
      </c>
      <c r="J2969" s="2">
        <v>0.0</v>
      </c>
      <c r="K2969" s="2">
        <v>0.0</v>
      </c>
      <c r="L2969" s="2">
        <v>0.0</v>
      </c>
      <c r="M2969" s="2"/>
      <c r="N2969" s="2"/>
      <c r="O2969" s="2"/>
      <c r="P2969" s="2" t="s">
        <v>166</v>
      </c>
    </row>
    <row r="2970">
      <c r="A2970" s="3" t="s">
        <v>87</v>
      </c>
      <c r="B2970" s="4">
        <v>45082.29166666667</v>
      </c>
      <c r="C2970" s="2" t="s">
        <v>18</v>
      </c>
      <c r="D2970" s="2" t="s">
        <v>164</v>
      </c>
      <c r="E2970" s="2" t="s">
        <v>382</v>
      </c>
      <c r="F2970" s="2"/>
      <c r="G2970" s="2">
        <v>37.0</v>
      </c>
      <c r="H2970" s="2">
        <v>24.0</v>
      </c>
      <c r="I2970" s="2">
        <v>13.0</v>
      </c>
      <c r="J2970" s="2">
        <v>0.0</v>
      </c>
      <c r="K2970" s="2">
        <v>0.0</v>
      </c>
      <c r="L2970" s="2">
        <v>0.0</v>
      </c>
      <c r="M2970" s="2"/>
      <c r="N2970" s="2"/>
      <c r="O2970" s="2"/>
      <c r="P2970" s="2" t="s">
        <v>166</v>
      </c>
    </row>
    <row r="2971">
      <c r="A2971" s="3" t="s">
        <v>88</v>
      </c>
      <c r="B2971" s="4">
        <v>45083.29166666667</v>
      </c>
      <c r="C2971" s="2" t="s">
        <v>18</v>
      </c>
      <c r="D2971" s="2" t="s">
        <v>164</v>
      </c>
      <c r="E2971" s="2" t="s">
        <v>383</v>
      </c>
      <c r="F2971" s="2"/>
      <c r="G2971" s="2">
        <v>57.0</v>
      </c>
      <c r="H2971" s="2">
        <v>44.0</v>
      </c>
      <c r="I2971" s="2">
        <v>13.0</v>
      </c>
      <c r="J2971" s="2">
        <v>0.0</v>
      </c>
      <c r="K2971" s="2">
        <v>0.0</v>
      </c>
      <c r="L2971" s="2">
        <v>0.0</v>
      </c>
      <c r="M2971" s="2"/>
      <c r="N2971" s="2"/>
      <c r="O2971" s="2"/>
      <c r="P2971" s="2" t="s">
        <v>166</v>
      </c>
    </row>
    <row r="2972">
      <c r="A2972" s="3" t="s">
        <v>89</v>
      </c>
      <c r="B2972" s="4">
        <v>45084.29166666667</v>
      </c>
      <c r="C2972" s="2" t="s">
        <v>18</v>
      </c>
      <c r="D2972" s="2" t="s">
        <v>164</v>
      </c>
      <c r="E2972" s="2" t="s">
        <v>384</v>
      </c>
      <c r="F2972" s="2"/>
      <c r="G2972" s="2">
        <v>54.0</v>
      </c>
      <c r="H2972" s="2">
        <v>47.0</v>
      </c>
      <c r="I2972" s="2">
        <v>7.0</v>
      </c>
      <c r="J2972" s="2">
        <v>0.0</v>
      </c>
      <c r="K2972" s="2">
        <v>0.0</v>
      </c>
      <c r="L2972" s="2">
        <v>0.0</v>
      </c>
      <c r="M2972" s="2"/>
      <c r="N2972" s="2"/>
      <c r="O2972" s="2"/>
      <c r="P2972" s="2" t="s">
        <v>166</v>
      </c>
    </row>
    <row r="2973">
      <c r="A2973" s="3" t="s">
        <v>90</v>
      </c>
      <c r="B2973" s="4">
        <v>45108.29166666667</v>
      </c>
      <c r="C2973" s="2" t="s">
        <v>18</v>
      </c>
      <c r="D2973" s="2" t="s">
        <v>164</v>
      </c>
      <c r="E2973" s="2" t="s">
        <v>378</v>
      </c>
      <c r="F2973" s="2"/>
      <c r="G2973" s="2">
        <v>90.0</v>
      </c>
      <c r="H2973" s="2">
        <v>75.0</v>
      </c>
      <c r="I2973" s="2">
        <v>15.0</v>
      </c>
      <c r="J2973" s="2">
        <v>0.0</v>
      </c>
      <c r="K2973" s="2">
        <v>0.0</v>
      </c>
      <c r="L2973" s="2">
        <v>0.0</v>
      </c>
      <c r="M2973" s="2"/>
      <c r="N2973" s="2"/>
      <c r="O2973" s="2"/>
      <c r="P2973" s="2" t="s">
        <v>166</v>
      </c>
    </row>
    <row r="2974">
      <c r="A2974" s="3" t="s">
        <v>93</v>
      </c>
      <c r="B2974" s="4">
        <v>45109.29166666667</v>
      </c>
      <c r="C2974" s="2" t="s">
        <v>18</v>
      </c>
      <c r="D2974" s="2" t="s">
        <v>164</v>
      </c>
      <c r="E2974" s="2" t="s">
        <v>379</v>
      </c>
      <c r="F2974" s="2"/>
      <c r="G2974" s="2">
        <v>64.0</v>
      </c>
      <c r="H2974" s="2">
        <v>53.0</v>
      </c>
      <c r="I2974" s="2">
        <v>11.0</v>
      </c>
      <c r="J2974" s="2">
        <v>0.0</v>
      </c>
      <c r="K2974" s="2">
        <v>0.0</v>
      </c>
      <c r="L2974" s="2">
        <v>0.0</v>
      </c>
      <c r="M2974" s="2"/>
      <c r="N2974" s="2"/>
      <c r="O2974" s="2"/>
      <c r="P2974" s="2" t="s">
        <v>166</v>
      </c>
    </row>
    <row r="2975">
      <c r="A2975" s="3" t="s">
        <v>16</v>
      </c>
      <c r="B2975" s="4">
        <v>45110.29166666667</v>
      </c>
      <c r="C2975" s="2" t="s">
        <v>18</v>
      </c>
      <c r="D2975" s="2" t="s">
        <v>164</v>
      </c>
      <c r="E2975" s="2" t="s">
        <v>380</v>
      </c>
      <c r="F2975" s="2"/>
      <c r="G2975" s="2">
        <v>59.0</v>
      </c>
      <c r="H2975" s="2">
        <v>42.0</v>
      </c>
      <c r="I2975" s="2">
        <v>17.0</v>
      </c>
      <c r="J2975" s="2">
        <v>0.0</v>
      </c>
      <c r="K2975" s="2">
        <v>0.0</v>
      </c>
      <c r="L2975" s="2">
        <v>0.0</v>
      </c>
      <c r="M2975" s="2"/>
      <c r="N2975" s="2"/>
      <c r="O2975" s="2"/>
      <c r="P2975" s="2" t="s">
        <v>166</v>
      </c>
    </row>
    <row r="2976">
      <c r="A2976" s="3" t="s">
        <v>94</v>
      </c>
      <c r="B2976" s="4">
        <v>45111.29166666667</v>
      </c>
      <c r="C2976" s="2" t="s">
        <v>18</v>
      </c>
      <c r="D2976" s="2" t="s">
        <v>164</v>
      </c>
      <c r="E2976" s="2" t="s">
        <v>381</v>
      </c>
      <c r="F2976" s="2"/>
      <c r="G2976" s="2">
        <v>32.0</v>
      </c>
      <c r="H2976" s="2">
        <v>13.0</v>
      </c>
      <c r="I2976" s="2">
        <v>19.0</v>
      </c>
      <c r="J2976" s="2">
        <v>0.0</v>
      </c>
      <c r="K2976" s="2">
        <v>0.0</v>
      </c>
      <c r="L2976" s="2">
        <v>0.0</v>
      </c>
      <c r="M2976" s="2"/>
      <c r="N2976" s="2"/>
      <c r="O2976" s="2"/>
      <c r="P2976" s="2" t="s">
        <v>166</v>
      </c>
    </row>
    <row r="2977">
      <c r="A2977" s="3" t="s">
        <v>95</v>
      </c>
      <c r="B2977" s="4">
        <v>45112.29166666667</v>
      </c>
      <c r="C2977" s="2" t="s">
        <v>18</v>
      </c>
      <c r="D2977" s="2" t="s">
        <v>164</v>
      </c>
      <c r="E2977" s="2" t="s">
        <v>382</v>
      </c>
      <c r="F2977" s="2"/>
      <c r="G2977" s="2">
        <v>0.0</v>
      </c>
      <c r="H2977" s="2">
        <v>0.0</v>
      </c>
      <c r="I2977" s="2">
        <v>0.0</v>
      </c>
      <c r="J2977" s="2">
        <v>0.0</v>
      </c>
      <c r="K2977" s="2">
        <v>0.0</v>
      </c>
      <c r="L2977" s="2">
        <v>0.0</v>
      </c>
      <c r="M2977" s="2"/>
      <c r="N2977" s="2"/>
      <c r="O2977" s="2"/>
      <c r="P2977" s="2" t="s">
        <v>166</v>
      </c>
    </row>
    <row r="2978">
      <c r="A2978" s="3" t="s">
        <v>97</v>
      </c>
      <c r="B2978" s="4">
        <v>45113.29166666667</v>
      </c>
      <c r="C2978" s="2" t="s">
        <v>18</v>
      </c>
      <c r="D2978" s="2" t="s">
        <v>164</v>
      </c>
      <c r="E2978" s="2" t="s">
        <v>383</v>
      </c>
      <c r="F2978" s="2"/>
      <c r="G2978" s="2">
        <v>108.0</v>
      </c>
      <c r="H2978" s="2">
        <v>76.0</v>
      </c>
      <c r="I2978" s="2">
        <v>32.0</v>
      </c>
      <c r="J2978" s="2">
        <v>0.0</v>
      </c>
      <c r="K2978" s="2">
        <v>0.0</v>
      </c>
      <c r="L2978" s="2">
        <v>0.0</v>
      </c>
      <c r="M2978" s="2"/>
      <c r="N2978" s="2"/>
      <c r="O2978" s="2"/>
      <c r="P2978" s="2" t="s">
        <v>166</v>
      </c>
    </row>
    <row r="2979">
      <c r="A2979" s="3" t="s">
        <v>98</v>
      </c>
      <c r="B2979" s="4">
        <v>45114.29166666667</v>
      </c>
      <c r="C2979" s="2" t="s">
        <v>18</v>
      </c>
      <c r="D2979" s="2" t="s">
        <v>164</v>
      </c>
      <c r="E2979" s="2" t="s">
        <v>384</v>
      </c>
      <c r="F2979" s="2"/>
      <c r="G2979" s="2">
        <v>100.0</v>
      </c>
      <c r="H2979" s="2">
        <v>75.0</v>
      </c>
      <c r="I2979" s="2">
        <v>25.0</v>
      </c>
      <c r="J2979" s="2">
        <v>0.0</v>
      </c>
      <c r="K2979" s="2">
        <v>0.0</v>
      </c>
      <c r="L2979" s="2">
        <v>0.0</v>
      </c>
      <c r="M2979" s="2"/>
      <c r="N2979" s="2"/>
      <c r="O2979" s="2"/>
      <c r="P2979" s="2" t="s">
        <v>166</v>
      </c>
    </row>
    <row r="2980">
      <c r="A2980" s="3" t="s">
        <v>99</v>
      </c>
      <c r="B2980" s="4">
        <v>45139.29166666667</v>
      </c>
      <c r="C2980" s="2" t="s">
        <v>18</v>
      </c>
      <c r="D2980" s="2" t="s">
        <v>164</v>
      </c>
      <c r="E2980" s="2" t="s">
        <v>378</v>
      </c>
      <c r="F2980" s="2"/>
      <c r="G2980" s="2">
        <v>0.0</v>
      </c>
      <c r="H2980" s="2">
        <v>0.0</v>
      </c>
      <c r="I2980" s="2">
        <v>0.0</v>
      </c>
      <c r="J2980" s="2">
        <v>0.0</v>
      </c>
      <c r="K2980" s="2">
        <v>0.0</v>
      </c>
      <c r="L2980" s="2">
        <v>0.0</v>
      </c>
      <c r="M2980" s="2"/>
      <c r="N2980" s="2"/>
      <c r="O2980" s="2"/>
      <c r="P2980" s="2" t="s">
        <v>166</v>
      </c>
    </row>
    <row r="2981">
      <c r="A2981" s="3" t="s">
        <v>100</v>
      </c>
      <c r="B2981" s="4">
        <v>45139.29166666667</v>
      </c>
      <c r="C2981" s="2" t="s">
        <v>18</v>
      </c>
      <c r="D2981" s="2" t="s">
        <v>164</v>
      </c>
      <c r="E2981" s="2" t="s">
        <v>379</v>
      </c>
      <c r="F2981" s="2"/>
      <c r="G2981" s="2">
        <v>0.0</v>
      </c>
      <c r="H2981" s="2">
        <v>0.0</v>
      </c>
      <c r="I2981" s="2">
        <v>0.0</v>
      </c>
      <c r="J2981" s="2">
        <v>0.0</v>
      </c>
      <c r="K2981" s="2">
        <v>0.0</v>
      </c>
      <c r="L2981" s="2">
        <v>0.0</v>
      </c>
      <c r="M2981" s="2"/>
      <c r="N2981" s="2"/>
      <c r="O2981" s="2"/>
      <c r="P2981" s="2" t="s">
        <v>166</v>
      </c>
    </row>
    <row r="2982">
      <c r="A2982" s="3" t="s">
        <v>101</v>
      </c>
      <c r="B2982" s="4">
        <v>45139.29166666667</v>
      </c>
      <c r="C2982" s="2" t="s">
        <v>18</v>
      </c>
      <c r="D2982" s="2" t="s">
        <v>164</v>
      </c>
      <c r="E2982" s="2" t="s">
        <v>380</v>
      </c>
      <c r="F2982" s="2"/>
      <c r="G2982" s="2">
        <v>0.0</v>
      </c>
      <c r="H2982" s="2">
        <v>0.0</v>
      </c>
      <c r="I2982" s="2">
        <v>0.0</v>
      </c>
      <c r="J2982" s="2">
        <v>0.0</v>
      </c>
      <c r="K2982" s="2">
        <v>0.0</v>
      </c>
      <c r="L2982" s="2">
        <v>0.0</v>
      </c>
      <c r="M2982" s="2"/>
      <c r="N2982" s="2"/>
      <c r="O2982" s="2"/>
      <c r="P2982" s="2" t="s">
        <v>166</v>
      </c>
    </row>
    <row r="2983">
      <c r="A2983" s="3" t="s">
        <v>102</v>
      </c>
      <c r="B2983" s="4">
        <v>45139.29166666667</v>
      </c>
      <c r="C2983" s="2" t="s">
        <v>18</v>
      </c>
      <c r="D2983" s="2" t="s">
        <v>164</v>
      </c>
      <c r="E2983" s="2" t="s">
        <v>381</v>
      </c>
      <c r="F2983" s="2"/>
      <c r="G2983" s="2">
        <v>0.0</v>
      </c>
      <c r="H2983" s="2">
        <v>0.0</v>
      </c>
      <c r="I2983" s="2">
        <v>0.0</v>
      </c>
      <c r="J2983" s="2">
        <v>0.0</v>
      </c>
      <c r="K2983" s="2">
        <v>0.0</v>
      </c>
      <c r="L2983" s="2">
        <v>0.0</v>
      </c>
      <c r="M2983" s="2"/>
      <c r="N2983" s="2"/>
      <c r="O2983" s="2"/>
      <c r="P2983" s="2" t="s">
        <v>166</v>
      </c>
    </row>
    <row r="2984">
      <c r="A2984" s="3" t="s">
        <v>103</v>
      </c>
      <c r="B2984" s="4">
        <v>45139.29166666667</v>
      </c>
      <c r="C2984" s="2" t="s">
        <v>18</v>
      </c>
      <c r="D2984" s="2" t="s">
        <v>164</v>
      </c>
      <c r="E2984" s="2" t="s">
        <v>382</v>
      </c>
      <c r="F2984" s="2"/>
      <c r="G2984" s="2">
        <v>0.0</v>
      </c>
      <c r="H2984" s="2">
        <v>0.0</v>
      </c>
      <c r="I2984" s="2">
        <v>0.0</v>
      </c>
      <c r="J2984" s="2">
        <v>0.0</v>
      </c>
      <c r="K2984" s="2">
        <v>0.0</v>
      </c>
      <c r="L2984" s="2">
        <v>0.0</v>
      </c>
      <c r="M2984" s="2"/>
      <c r="N2984" s="2"/>
      <c r="O2984" s="2"/>
      <c r="P2984" s="2" t="s">
        <v>166</v>
      </c>
    </row>
    <row r="2985">
      <c r="A2985" s="3" t="s">
        <v>104</v>
      </c>
      <c r="B2985" s="4">
        <v>45139.29166666667</v>
      </c>
      <c r="C2985" s="2" t="s">
        <v>18</v>
      </c>
      <c r="D2985" s="2" t="s">
        <v>164</v>
      </c>
      <c r="E2985" s="2" t="s">
        <v>383</v>
      </c>
      <c r="F2985" s="2"/>
      <c r="G2985" s="2">
        <v>0.0</v>
      </c>
      <c r="H2985" s="2">
        <v>0.0</v>
      </c>
      <c r="I2985" s="2">
        <v>0.0</v>
      </c>
      <c r="J2985" s="2">
        <v>0.0</v>
      </c>
      <c r="K2985" s="2">
        <v>0.0</v>
      </c>
      <c r="L2985" s="2">
        <v>0.0</v>
      </c>
      <c r="M2985" s="2"/>
      <c r="N2985" s="2"/>
      <c r="O2985" s="2"/>
      <c r="P2985" s="2" t="s">
        <v>166</v>
      </c>
    </row>
    <row r="2986">
      <c r="A2986" s="3" t="s">
        <v>105</v>
      </c>
      <c r="B2986" s="4">
        <v>45139.29166666667</v>
      </c>
      <c r="C2986" s="2" t="s">
        <v>18</v>
      </c>
      <c r="D2986" s="2" t="s">
        <v>164</v>
      </c>
      <c r="E2986" s="2" t="s">
        <v>384</v>
      </c>
      <c r="F2986" s="2"/>
      <c r="G2986" s="2">
        <v>0.0</v>
      </c>
      <c r="H2986" s="2">
        <v>0.0</v>
      </c>
      <c r="I2986" s="2">
        <v>0.0</v>
      </c>
      <c r="J2986" s="2">
        <v>0.0</v>
      </c>
      <c r="K2986" s="2">
        <v>0.0</v>
      </c>
      <c r="L2986" s="2">
        <v>0.0</v>
      </c>
      <c r="M2986" s="2"/>
      <c r="N2986" s="2"/>
      <c r="O2986" s="2"/>
      <c r="P2986" s="2" t="s">
        <v>166</v>
      </c>
    </row>
    <row r="2987">
      <c r="A2987" s="3" t="s">
        <v>106</v>
      </c>
      <c r="B2987" s="2" t="s">
        <v>17</v>
      </c>
      <c r="C2987" s="2" t="s">
        <v>57</v>
      </c>
      <c r="D2987" s="2" t="s">
        <v>164</v>
      </c>
      <c r="E2987" s="2" t="s">
        <v>378</v>
      </c>
      <c r="F2987" s="2">
        <v>0.0</v>
      </c>
      <c r="G2987" s="2">
        <v>0.0</v>
      </c>
      <c r="H2987" s="2">
        <v>0.0</v>
      </c>
      <c r="I2987" s="2">
        <v>0.0</v>
      </c>
      <c r="J2987" s="2">
        <v>0.0</v>
      </c>
      <c r="K2987" s="2">
        <v>0.0</v>
      </c>
      <c r="L2987" s="2">
        <v>0.0</v>
      </c>
      <c r="M2987" s="2">
        <v>0.0</v>
      </c>
      <c r="N2987" s="2"/>
      <c r="O2987" s="2"/>
      <c r="P2987" s="2" t="s">
        <v>166</v>
      </c>
    </row>
    <row r="2988">
      <c r="A2988" s="3" t="s">
        <v>107</v>
      </c>
      <c r="B2988" s="2" t="s">
        <v>17</v>
      </c>
      <c r="C2988" s="2" t="s">
        <v>57</v>
      </c>
      <c r="D2988" s="2" t="s">
        <v>164</v>
      </c>
      <c r="E2988" s="2" t="s">
        <v>380</v>
      </c>
      <c r="F2988" s="2">
        <v>0.0</v>
      </c>
      <c r="G2988" s="2">
        <v>0.0</v>
      </c>
      <c r="H2988" s="2">
        <v>0.0</v>
      </c>
      <c r="I2988" s="2">
        <v>0.0</v>
      </c>
      <c r="J2988" s="2">
        <v>0.0</v>
      </c>
      <c r="K2988" s="2">
        <v>0.0</v>
      </c>
      <c r="L2988" s="2">
        <v>0.0</v>
      </c>
      <c r="M2988" s="2">
        <v>0.0</v>
      </c>
      <c r="N2988" s="2"/>
      <c r="O2988" s="2"/>
      <c r="P2988" s="2" t="s">
        <v>166</v>
      </c>
    </row>
    <row r="2989">
      <c r="A2989" s="3" t="s">
        <v>108</v>
      </c>
      <c r="B2989" s="2" t="s">
        <v>17</v>
      </c>
      <c r="C2989" s="2" t="s">
        <v>18</v>
      </c>
      <c r="D2989" s="2" t="s">
        <v>164</v>
      </c>
      <c r="E2989" s="2" t="s">
        <v>379</v>
      </c>
      <c r="F2989" s="2">
        <v>24.0</v>
      </c>
      <c r="G2989" s="2">
        <v>27.0</v>
      </c>
      <c r="H2989" s="2">
        <v>22.0</v>
      </c>
      <c r="I2989" s="2">
        <v>5.0</v>
      </c>
      <c r="J2989" s="2">
        <v>0.0</v>
      </c>
      <c r="K2989" s="2">
        <v>0.0</v>
      </c>
      <c r="L2989" s="2">
        <v>0.0</v>
      </c>
      <c r="M2989" s="2">
        <v>2.0</v>
      </c>
      <c r="N2989" s="2"/>
      <c r="O2989" s="2"/>
      <c r="P2989" s="2" t="s">
        <v>166</v>
      </c>
    </row>
    <row r="2990">
      <c r="A2990" s="3" t="s">
        <v>112</v>
      </c>
      <c r="B2990" s="2" t="s">
        <v>17</v>
      </c>
      <c r="C2990" s="2" t="s">
        <v>18</v>
      </c>
      <c r="D2990" s="2" t="s">
        <v>164</v>
      </c>
      <c r="E2990" s="2" t="s">
        <v>381</v>
      </c>
      <c r="F2990" s="2">
        <v>63.0</v>
      </c>
      <c r="G2990" s="2">
        <v>125.0</v>
      </c>
      <c r="H2990" s="2">
        <v>64.0</v>
      </c>
      <c r="I2990" s="2">
        <v>61.0</v>
      </c>
      <c r="J2990" s="2">
        <v>0.0</v>
      </c>
      <c r="K2990" s="2">
        <v>0.0</v>
      </c>
      <c r="L2990" s="2">
        <v>0.0</v>
      </c>
      <c r="M2990" s="2">
        <v>-1.0</v>
      </c>
      <c r="N2990" s="2"/>
      <c r="O2990" s="2"/>
      <c r="P2990" s="2" t="s">
        <v>166</v>
      </c>
    </row>
    <row r="2991">
      <c r="A2991" s="3" t="s">
        <v>115</v>
      </c>
      <c r="B2991" s="2" t="s">
        <v>17</v>
      </c>
      <c r="C2991" s="2" t="s">
        <v>18</v>
      </c>
      <c r="D2991" s="2" t="s">
        <v>164</v>
      </c>
      <c r="E2991" s="2" t="s">
        <v>382</v>
      </c>
      <c r="F2991" s="2">
        <v>50.0</v>
      </c>
      <c r="G2991" s="2">
        <v>94.0</v>
      </c>
      <c r="H2991" s="2">
        <v>54.0</v>
      </c>
      <c r="I2991" s="2">
        <v>40.0</v>
      </c>
      <c r="J2991" s="2">
        <v>0.0</v>
      </c>
      <c r="K2991" s="2">
        <v>0.0</v>
      </c>
      <c r="L2991" s="2">
        <v>0.0</v>
      </c>
      <c r="M2991" s="2">
        <v>-4.0</v>
      </c>
      <c r="N2991" s="2"/>
      <c r="O2991" s="2"/>
      <c r="P2991" s="2" t="s">
        <v>166</v>
      </c>
    </row>
    <row r="2992">
      <c r="A2992" s="3" t="s">
        <v>117</v>
      </c>
      <c r="B2992" s="2" t="s">
        <v>17</v>
      </c>
      <c r="C2992" s="2" t="s">
        <v>18</v>
      </c>
      <c r="D2992" s="2" t="s">
        <v>164</v>
      </c>
      <c r="E2992" s="2" t="s">
        <v>383</v>
      </c>
      <c r="F2992" s="2">
        <v>50.0</v>
      </c>
      <c r="G2992" s="2">
        <v>72.0</v>
      </c>
      <c r="H2992" s="2">
        <v>54.0</v>
      </c>
      <c r="I2992" s="2">
        <v>18.0</v>
      </c>
      <c r="J2992" s="2">
        <v>0.0</v>
      </c>
      <c r="K2992" s="2">
        <v>0.0</v>
      </c>
      <c r="L2992" s="2">
        <v>0.0</v>
      </c>
      <c r="M2992" s="2">
        <v>-4.0</v>
      </c>
      <c r="N2992" s="2"/>
      <c r="O2992" s="2"/>
      <c r="P2992" s="2" t="s">
        <v>166</v>
      </c>
    </row>
    <row r="2993">
      <c r="A2993" s="3" t="s">
        <v>119</v>
      </c>
      <c r="B2993" s="2" t="s">
        <v>17</v>
      </c>
      <c r="C2993" s="2" t="s">
        <v>18</v>
      </c>
      <c r="D2993" s="2" t="s">
        <v>164</v>
      </c>
      <c r="E2993" s="2" t="s">
        <v>384</v>
      </c>
      <c r="F2993" s="2">
        <v>0.0</v>
      </c>
      <c r="G2993" s="2">
        <v>0.0</v>
      </c>
      <c r="H2993" s="2">
        <v>0.0</v>
      </c>
      <c r="I2993" s="2">
        <v>0.0</v>
      </c>
      <c r="J2993" s="2">
        <v>0.0</v>
      </c>
      <c r="K2993" s="2">
        <v>0.0</v>
      </c>
      <c r="L2993" s="2">
        <v>0.0</v>
      </c>
      <c r="M2993" s="2">
        <v>0.0</v>
      </c>
      <c r="N2993" s="2"/>
      <c r="O2993" s="2"/>
      <c r="P2993" s="2" t="s">
        <v>166</v>
      </c>
    </row>
    <row r="2994">
      <c r="A2994" s="3" t="s">
        <v>121</v>
      </c>
      <c r="B2994" s="2" t="s">
        <v>17</v>
      </c>
      <c r="C2994" s="2" t="s">
        <v>57</v>
      </c>
      <c r="D2994" s="2" t="s">
        <v>23</v>
      </c>
      <c r="E2994" s="2" t="s">
        <v>378</v>
      </c>
      <c r="F2994" s="2">
        <v>0.0</v>
      </c>
      <c r="G2994" s="2">
        <v>0.0</v>
      </c>
      <c r="H2994" s="2">
        <v>0.0</v>
      </c>
      <c r="I2994" s="2">
        <v>0.0</v>
      </c>
      <c r="J2994" s="2">
        <v>0.0</v>
      </c>
      <c r="K2994" s="2">
        <v>0.0</v>
      </c>
      <c r="L2994" s="2">
        <v>0.0</v>
      </c>
      <c r="M2994" s="2">
        <v>0.0</v>
      </c>
      <c r="N2994" s="2">
        <v>0.0</v>
      </c>
      <c r="O2994" s="2">
        <v>0.0</v>
      </c>
      <c r="P2994" s="2" t="s">
        <v>166</v>
      </c>
    </row>
    <row r="2995">
      <c r="A2995" s="3" t="s">
        <v>16</v>
      </c>
      <c r="B2995" s="2" t="s">
        <v>17</v>
      </c>
      <c r="C2995" s="2" t="s">
        <v>57</v>
      </c>
      <c r="D2995" s="2" t="s">
        <v>23</v>
      </c>
      <c r="E2995" s="2" t="s">
        <v>380</v>
      </c>
      <c r="F2995" s="2">
        <v>0.0</v>
      </c>
      <c r="G2995" s="2">
        <v>0.0</v>
      </c>
      <c r="H2995" s="2">
        <v>0.0</v>
      </c>
      <c r="I2995" s="2">
        <v>0.0</v>
      </c>
      <c r="J2995" s="2">
        <v>0.0</v>
      </c>
      <c r="K2995" s="2">
        <v>0.0</v>
      </c>
      <c r="L2995" s="2">
        <v>0.0</v>
      </c>
      <c r="M2995" s="2">
        <v>0.0</v>
      </c>
      <c r="N2995" s="2">
        <v>0.0</v>
      </c>
      <c r="O2995" s="2">
        <v>0.0</v>
      </c>
      <c r="P2995" s="2" t="s">
        <v>166</v>
      </c>
    </row>
    <row r="2996">
      <c r="A2996" s="3" t="s">
        <v>124</v>
      </c>
      <c r="B2996" s="2" t="s">
        <v>17</v>
      </c>
      <c r="C2996" s="2" t="s">
        <v>18</v>
      </c>
      <c r="D2996" s="2" t="s">
        <v>23</v>
      </c>
      <c r="E2996" s="2" t="s">
        <v>379</v>
      </c>
      <c r="F2996" s="2">
        <v>24.0</v>
      </c>
      <c r="G2996" s="2">
        <v>27.0</v>
      </c>
      <c r="H2996" s="2">
        <v>22.0</v>
      </c>
      <c r="I2996" s="2">
        <v>5.0</v>
      </c>
      <c r="J2996" s="2">
        <v>0.0</v>
      </c>
      <c r="K2996" s="2">
        <v>0.0</v>
      </c>
      <c r="L2996" s="2">
        <v>0.0</v>
      </c>
      <c r="M2996" s="2">
        <v>2.0</v>
      </c>
      <c r="N2996" s="2">
        <v>0.0</v>
      </c>
      <c r="O2996" s="2">
        <v>-20.0</v>
      </c>
      <c r="P2996" s="2" t="s">
        <v>166</v>
      </c>
    </row>
    <row r="2997">
      <c r="A2997" s="3" t="s">
        <v>126</v>
      </c>
      <c r="B2997" s="2" t="s">
        <v>17</v>
      </c>
      <c r="C2997" s="2" t="s">
        <v>18</v>
      </c>
      <c r="D2997" s="2" t="s">
        <v>23</v>
      </c>
      <c r="E2997" s="2" t="s">
        <v>381</v>
      </c>
      <c r="F2997" s="2">
        <v>63.0</v>
      </c>
      <c r="G2997" s="2">
        <v>125.0</v>
      </c>
      <c r="H2997" s="2">
        <v>64.0</v>
      </c>
      <c r="I2997" s="2">
        <v>61.0</v>
      </c>
      <c r="J2997" s="2">
        <v>0.0</v>
      </c>
      <c r="K2997" s="2">
        <v>0.0</v>
      </c>
      <c r="L2997" s="2">
        <v>0.0</v>
      </c>
      <c r="M2997" s="2">
        <v>-1.0</v>
      </c>
      <c r="N2997" s="2">
        <v>0.0</v>
      </c>
      <c r="O2997" s="2">
        <v>-65.0</v>
      </c>
      <c r="P2997" s="2" t="s">
        <v>166</v>
      </c>
    </row>
    <row r="2998">
      <c r="A2998" s="3" t="s">
        <v>128</v>
      </c>
      <c r="B2998" s="2" t="s">
        <v>17</v>
      </c>
      <c r="C2998" s="2" t="s">
        <v>18</v>
      </c>
      <c r="D2998" s="2" t="s">
        <v>23</v>
      </c>
      <c r="E2998" s="2" t="s">
        <v>382</v>
      </c>
      <c r="F2998" s="2">
        <v>50.0</v>
      </c>
      <c r="G2998" s="2">
        <v>94.0</v>
      </c>
      <c r="H2998" s="2">
        <v>54.0</v>
      </c>
      <c r="I2998" s="2">
        <v>40.0</v>
      </c>
      <c r="J2998" s="2">
        <v>0.0</v>
      </c>
      <c r="K2998" s="2">
        <v>0.0</v>
      </c>
      <c r="L2998" s="2">
        <v>0.0</v>
      </c>
      <c r="M2998" s="2">
        <v>-4.0</v>
      </c>
      <c r="N2998" s="2">
        <v>0.0</v>
      </c>
      <c r="O2998" s="2">
        <v>-58.0</v>
      </c>
      <c r="P2998" s="2" t="s">
        <v>166</v>
      </c>
    </row>
    <row r="2999">
      <c r="A2999" s="3" t="s">
        <v>129</v>
      </c>
      <c r="B2999" s="2" t="s">
        <v>17</v>
      </c>
      <c r="C2999" s="2" t="s">
        <v>18</v>
      </c>
      <c r="D2999" s="2" t="s">
        <v>23</v>
      </c>
      <c r="E2999" s="2" t="s">
        <v>383</v>
      </c>
      <c r="F2999" s="2">
        <v>50.0</v>
      </c>
      <c r="G2999" s="2">
        <v>72.0</v>
      </c>
      <c r="H2999" s="2">
        <v>54.0</v>
      </c>
      <c r="I2999" s="2">
        <v>18.0</v>
      </c>
      <c r="J2999" s="2">
        <v>0.0</v>
      </c>
      <c r="K2999" s="2">
        <v>0.0</v>
      </c>
      <c r="L2999" s="2">
        <v>0.0</v>
      </c>
      <c r="M2999" s="2">
        <v>-4.0</v>
      </c>
      <c r="N2999" s="2">
        <v>0.0</v>
      </c>
      <c r="O2999" s="2">
        <v>-58.0</v>
      </c>
      <c r="P2999" s="2" t="s">
        <v>166</v>
      </c>
    </row>
    <row r="3000">
      <c r="A3000" s="3" t="s">
        <v>130</v>
      </c>
      <c r="B3000" s="2" t="s">
        <v>17</v>
      </c>
      <c r="C3000" s="2" t="s">
        <v>18</v>
      </c>
      <c r="D3000" s="2" t="s">
        <v>23</v>
      </c>
      <c r="E3000" s="2" t="s">
        <v>384</v>
      </c>
      <c r="F3000" s="2">
        <v>0.0</v>
      </c>
      <c r="G3000" s="2">
        <v>0.0</v>
      </c>
      <c r="H3000" s="2">
        <v>0.0</v>
      </c>
      <c r="I3000" s="2">
        <v>0.0</v>
      </c>
      <c r="J3000" s="2">
        <v>0.0</v>
      </c>
      <c r="K3000" s="2">
        <v>0.0</v>
      </c>
      <c r="L3000" s="2">
        <v>0.0</v>
      </c>
      <c r="M3000" s="2">
        <v>0.0</v>
      </c>
      <c r="N3000" s="2">
        <v>0.0</v>
      </c>
      <c r="O3000" s="2">
        <v>0.0</v>
      </c>
      <c r="P3000" s="2" t="s">
        <v>166</v>
      </c>
    </row>
    <row r="3001">
      <c r="A3001" s="3" t="s">
        <v>131</v>
      </c>
      <c r="B3001" s="4">
        <v>45112.29166666667</v>
      </c>
      <c r="C3001" s="2" t="s">
        <v>57</v>
      </c>
      <c r="D3001" s="2" t="s">
        <v>164</v>
      </c>
      <c r="E3001" s="2" t="s">
        <v>378</v>
      </c>
      <c r="F3001" s="2"/>
      <c r="G3001" s="2">
        <v>0.0</v>
      </c>
      <c r="H3001" s="2">
        <v>0.0</v>
      </c>
      <c r="I3001" s="2">
        <v>0.0</v>
      </c>
      <c r="J3001" s="2">
        <v>0.0</v>
      </c>
      <c r="K3001" s="2">
        <v>0.0</v>
      </c>
      <c r="L3001" s="2">
        <v>0.0</v>
      </c>
      <c r="M3001" s="2"/>
      <c r="N3001" s="2"/>
      <c r="O3001" s="2"/>
      <c r="P3001" s="2" t="s">
        <v>166</v>
      </c>
    </row>
    <row r="3002">
      <c r="A3002" s="3" t="s">
        <v>132</v>
      </c>
      <c r="B3002" s="4">
        <v>45114.29166666667</v>
      </c>
      <c r="C3002" s="2" t="s">
        <v>57</v>
      </c>
      <c r="D3002" s="2" t="s">
        <v>164</v>
      </c>
      <c r="E3002" s="2" t="s">
        <v>380</v>
      </c>
      <c r="F3002" s="2"/>
      <c r="G3002" s="2">
        <v>0.0</v>
      </c>
      <c r="H3002" s="2">
        <v>0.0</v>
      </c>
      <c r="I3002" s="2">
        <v>0.0</v>
      </c>
      <c r="J3002" s="2">
        <v>0.0</v>
      </c>
      <c r="K3002" s="2">
        <v>0.0</v>
      </c>
      <c r="L3002" s="2">
        <v>0.0</v>
      </c>
      <c r="M3002" s="2"/>
      <c r="N3002" s="2"/>
      <c r="O3002" s="2"/>
      <c r="P3002" s="2" t="s">
        <v>166</v>
      </c>
    </row>
    <row r="3003">
      <c r="A3003" s="3" t="s">
        <v>133</v>
      </c>
      <c r="B3003" s="4">
        <v>45113.29166666667</v>
      </c>
      <c r="C3003" s="2" t="s">
        <v>18</v>
      </c>
      <c r="D3003" s="2" t="s">
        <v>164</v>
      </c>
      <c r="E3003" s="2" t="s">
        <v>379</v>
      </c>
      <c r="F3003" s="2"/>
      <c r="G3003" s="2">
        <v>0.0</v>
      </c>
      <c r="H3003" s="2">
        <v>0.0</v>
      </c>
      <c r="I3003" s="2">
        <v>0.0</v>
      </c>
      <c r="J3003" s="2">
        <v>0.0</v>
      </c>
      <c r="K3003" s="2">
        <v>0.0</v>
      </c>
      <c r="L3003" s="2">
        <v>0.0</v>
      </c>
      <c r="M3003" s="2"/>
      <c r="N3003" s="2"/>
      <c r="O3003" s="2"/>
      <c r="P3003" s="2" t="s">
        <v>166</v>
      </c>
    </row>
    <row r="3004">
      <c r="A3004" s="3" t="s">
        <v>134</v>
      </c>
      <c r="B3004" s="4">
        <v>45115.29166666667</v>
      </c>
      <c r="C3004" s="2" t="s">
        <v>18</v>
      </c>
      <c r="D3004" s="2" t="s">
        <v>164</v>
      </c>
      <c r="E3004" s="2" t="s">
        <v>381</v>
      </c>
      <c r="F3004" s="2"/>
      <c r="G3004" s="2">
        <v>105.0</v>
      </c>
      <c r="H3004" s="2">
        <v>48.0</v>
      </c>
      <c r="I3004" s="2">
        <v>57.0</v>
      </c>
      <c r="J3004" s="2">
        <v>0.0</v>
      </c>
      <c r="K3004" s="2">
        <v>0.0</v>
      </c>
      <c r="L3004" s="2">
        <v>0.0</v>
      </c>
      <c r="M3004" s="2"/>
      <c r="N3004" s="2"/>
      <c r="O3004" s="2"/>
      <c r="P3004" s="2" t="s">
        <v>166</v>
      </c>
    </row>
    <row r="3005">
      <c r="A3005" s="3" t="s">
        <v>136</v>
      </c>
      <c r="B3005" s="4">
        <v>45116.29166666667</v>
      </c>
      <c r="C3005" s="2" t="s">
        <v>18</v>
      </c>
      <c r="D3005" s="2" t="s">
        <v>164</v>
      </c>
      <c r="E3005" s="2" t="s">
        <v>382</v>
      </c>
      <c r="F3005" s="2"/>
      <c r="G3005" s="2">
        <v>2.0</v>
      </c>
      <c r="H3005" s="2">
        <v>2.0</v>
      </c>
      <c r="I3005" s="2">
        <v>0.0</v>
      </c>
      <c r="J3005" s="2">
        <v>0.0</v>
      </c>
      <c r="K3005" s="2">
        <v>0.0</v>
      </c>
      <c r="L3005" s="2">
        <v>0.0</v>
      </c>
      <c r="M3005" s="2"/>
      <c r="N3005" s="2"/>
      <c r="O3005" s="2"/>
      <c r="P3005" s="2" t="s">
        <v>166</v>
      </c>
    </row>
    <row r="3006">
      <c r="A3006" s="3" t="s">
        <v>137</v>
      </c>
      <c r="B3006" s="4">
        <v>45117.29166666667</v>
      </c>
      <c r="C3006" s="2" t="s">
        <v>18</v>
      </c>
      <c r="D3006" s="2" t="s">
        <v>164</v>
      </c>
      <c r="E3006" s="2" t="s">
        <v>383</v>
      </c>
      <c r="F3006" s="2"/>
      <c r="G3006" s="2">
        <v>0.0</v>
      </c>
      <c r="H3006" s="2">
        <v>0.0</v>
      </c>
      <c r="I3006" s="2">
        <v>0.0</v>
      </c>
      <c r="J3006" s="2">
        <v>0.0</v>
      </c>
      <c r="K3006" s="2">
        <v>0.0</v>
      </c>
      <c r="L3006" s="2">
        <v>0.0</v>
      </c>
      <c r="M3006" s="2"/>
      <c r="N3006" s="2"/>
      <c r="O3006" s="2"/>
      <c r="P3006" s="2" t="s">
        <v>166</v>
      </c>
    </row>
    <row r="3007">
      <c r="A3007" s="3" t="s">
        <v>138</v>
      </c>
      <c r="B3007" s="4">
        <v>45118.29166666667</v>
      </c>
      <c r="C3007" s="2" t="s">
        <v>18</v>
      </c>
      <c r="D3007" s="2" t="s">
        <v>164</v>
      </c>
      <c r="E3007" s="2" t="s">
        <v>384</v>
      </c>
      <c r="F3007" s="2"/>
      <c r="G3007" s="2">
        <v>0.0</v>
      </c>
      <c r="H3007" s="2">
        <v>0.0</v>
      </c>
      <c r="I3007" s="2">
        <v>0.0</v>
      </c>
      <c r="J3007" s="2">
        <v>0.0</v>
      </c>
      <c r="K3007" s="2">
        <v>0.0</v>
      </c>
      <c r="L3007" s="2">
        <v>0.0</v>
      </c>
      <c r="M3007" s="2"/>
      <c r="N3007" s="2"/>
      <c r="O3007" s="2"/>
      <c r="P3007" s="2" t="s">
        <v>166</v>
      </c>
    </row>
    <row r="3008">
      <c r="A3008" s="3" t="s">
        <v>139</v>
      </c>
      <c r="B3008" s="4">
        <v>45139.29166666667</v>
      </c>
      <c r="C3008" s="2" t="s">
        <v>18</v>
      </c>
      <c r="D3008" s="2" t="s">
        <v>164</v>
      </c>
      <c r="E3008" s="2" t="s">
        <v>379</v>
      </c>
      <c r="F3008" s="2"/>
      <c r="G3008" s="2">
        <v>27.0</v>
      </c>
      <c r="H3008" s="2">
        <v>22.0</v>
      </c>
      <c r="I3008" s="2">
        <v>5.0</v>
      </c>
      <c r="J3008" s="2">
        <v>0.0</v>
      </c>
      <c r="K3008" s="2">
        <v>0.0</v>
      </c>
      <c r="L3008" s="2">
        <v>0.0</v>
      </c>
      <c r="M3008" s="2"/>
      <c r="N3008" s="2"/>
      <c r="O3008" s="2"/>
      <c r="P3008" s="2" t="s">
        <v>166</v>
      </c>
    </row>
    <row r="3009">
      <c r="A3009" s="3" t="s">
        <v>140</v>
      </c>
      <c r="B3009" s="4">
        <v>45140.29166666667</v>
      </c>
      <c r="C3009" s="2" t="s">
        <v>18</v>
      </c>
      <c r="D3009" s="2" t="s">
        <v>164</v>
      </c>
      <c r="E3009" s="2" t="s">
        <v>381</v>
      </c>
      <c r="F3009" s="2"/>
      <c r="G3009" s="2">
        <v>10.0</v>
      </c>
      <c r="H3009" s="2">
        <v>7.0</v>
      </c>
      <c r="I3009" s="2">
        <v>3.0</v>
      </c>
      <c r="J3009" s="2">
        <v>0.0</v>
      </c>
      <c r="K3009" s="2">
        <v>0.0</v>
      </c>
      <c r="L3009" s="2">
        <v>0.0</v>
      </c>
      <c r="M3009" s="2"/>
      <c r="N3009" s="2"/>
      <c r="O3009" s="2"/>
      <c r="P3009" s="2" t="s">
        <v>166</v>
      </c>
    </row>
    <row r="3010">
      <c r="A3010" s="3" t="s">
        <v>141</v>
      </c>
      <c r="B3010" s="4">
        <v>45141.29166666667</v>
      </c>
      <c r="C3010" s="2" t="s">
        <v>18</v>
      </c>
      <c r="D3010" s="2" t="s">
        <v>164</v>
      </c>
      <c r="E3010" s="2" t="s">
        <v>382</v>
      </c>
      <c r="F3010" s="2"/>
      <c r="G3010" s="2">
        <v>0.0</v>
      </c>
      <c r="H3010" s="2">
        <v>0.0</v>
      </c>
      <c r="I3010" s="2">
        <v>0.0</v>
      </c>
      <c r="J3010" s="2">
        <v>0.0</v>
      </c>
      <c r="K3010" s="2">
        <v>0.0</v>
      </c>
      <c r="L3010" s="2">
        <v>0.0</v>
      </c>
      <c r="M3010" s="2"/>
      <c r="N3010" s="2"/>
      <c r="O3010" s="2"/>
      <c r="P3010" s="2" t="s">
        <v>166</v>
      </c>
    </row>
    <row r="3011">
      <c r="A3011" s="3" t="s">
        <v>142</v>
      </c>
      <c r="B3011" s="4">
        <v>45142.29166666667</v>
      </c>
      <c r="C3011" s="2" t="s">
        <v>18</v>
      </c>
      <c r="D3011" s="2" t="s">
        <v>164</v>
      </c>
      <c r="E3011" s="2" t="s">
        <v>383</v>
      </c>
      <c r="F3011" s="2"/>
      <c r="G3011" s="2">
        <v>0.0</v>
      </c>
      <c r="H3011" s="2">
        <v>0.0</v>
      </c>
      <c r="I3011" s="2">
        <v>0.0</v>
      </c>
      <c r="J3011" s="2">
        <v>0.0</v>
      </c>
      <c r="K3011" s="2">
        <v>0.0</v>
      </c>
      <c r="L3011" s="2">
        <v>0.0</v>
      </c>
      <c r="M3011" s="2"/>
      <c r="N3011" s="2"/>
      <c r="O3011" s="2"/>
      <c r="P3011" s="2" t="s">
        <v>166</v>
      </c>
    </row>
    <row r="3012">
      <c r="A3012" s="3" t="s">
        <v>143</v>
      </c>
      <c r="B3012" s="4">
        <v>45143.29166666667</v>
      </c>
      <c r="C3012" s="2" t="s">
        <v>18</v>
      </c>
      <c r="D3012" s="2" t="s">
        <v>164</v>
      </c>
      <c r="E3012" s="2" t="s">
        <v>384</v>
      </c>
      <c r="F3012" s="2"/>
      <c r="G3012" s="2">
        <v>0.0</v>
      </c>
      <c r="H3012" s="2">
        <v>0.0</v>
      </c>
      <c r="I3012" s="2">
        <v>0.0</v>
      </c>
      <c r="J3012" s="2">
        <v>0.0</v>
      </c>
      <c r="K3012" s="2">
        <v>0.0</v>
      </c>
      <c r="L3012" s="2">
        <v>0.0</v>
      </c>
      <c r="M3012" s="2"/>
      <c r="N3012" s="2"/>
      <c r="O3012" s="2"/>
      <c r="P3012" s="2" t="s">
        <v>166</v>
      </c>
    </row>
    <row r="3013">
      <c r="A3013" s="3" t="s">
        <v>144</v>
      </c>
      <c r="B3013" s="4">
        <v>45170.29166666667</v>
      </c>
      <c r="C3013" s="2" t="s">
        <v>18</v>
      </c>
      <c r="D3013" s="2" t="s">
        <v>164</v>
      </c>
      <c r="E3013" s="2" t="s">
        <v>379</v>
      </c>
      <c r="F3013" s="2"/>
      <c r="G3013" s="2">
        <v>0.0</v>
      </c>
      <c r="H3013" s="2">
        <v>0.0</v>
      </c>
      <c r="I3013" s="2">
        <v>0.0</v>
      </c>
      <c r="J3013" s="2">
        <v>0.0</v>
      </c>
      <c r="K3013" s="2">
        <v>0.0</v>
      </c>
      <c r="L3013" s="2">
        <v>0.0</v>
      </c>
      <c r="M3013" s="2"/>
      <c r="N3013" s="2"/>
      <c r="O3013" s="2"/>
      <c r="P3013" s="2" t="s">
        <v>166</v>
      </c>
    </row>
    <row r="3014">
      <c r="A3014" s="3" t="s">
        <v>145</v>
      </c>
      <c r="B3014" s="4">
        <v>45171.29166666667</v>
      </c>
      <c r="C3014" s="2" t="s">
        <v>18</v>
      </c>
      <c r="D3014" s="2" t="s">
        <v>164</v>
      </c>
      <c r="E3014" s="2" t="s">
        <v>381</v>
      </c>
      <c r="F3014" s="2"/>
      <c r="G3014" s="2">
        <v>10.0</v>
      </c>
      <c r="H3014" s="2">
        <v>9.0</v>
      </c>
      <c r="I3014" s="2">
        <v>1.0</v>
      </c>
      <c r="J3014" s="2">
        <v>0.0</v>
      </c>
      <c r="K3014" s="2">
        <v>0.0</v>
      </c>
      <c r="L3014" s="2">
        <v>0.0</v>
      </c>
      <c r="M3014" s="2"/>
      <c r="N3014" s="2"/>
      <c r="O3014" s="2"/>
      <c r="P3014" s="2" t="s">
        <v>166</v>
      </c>
    </row>
    <row r="3015">
      <c r="A3015" s="3" t="s">
        <v>16</v>
      </c>
      <c r="B3015" s="4">
        <v>45172.29166666667</v>
      </c>
      <c r="C3015" s="2" t="s">
        <v>18</v>
      </c>
      <c r="D3015" s="2" t="s">
        <v>164</v>
      </c>
      <c r="E3015" s="2" t="s">
        <v>382</v>
      </c>
      <c r="F3015" s="2"/>
      <c r="G3015" s="2">
        <v>92.0</v>
      </c>
      <c r="H3015" s="2">
        <v>52.0</v>
      </c>
      <c r="I3015" s="2">
        <v>40.0</v>
      </c>
      <c r="J3015" s="2">
        <v>0.0</v>
      </c>
      <c r="K3015" s="2">
        <v>0.0</v>
      </c>
      <c r="L3015" s="2">
        <v>0.0</v>
      </c>
      <c r="M3015" s="2"/>
      <c r="N3015" s="2"/>
      <c r="O3015" s="2"/>
      <c r="P3015" s="2" t="s">
        <v>166</v>
      </c>
    </row>
    <row r="3016">
      <c r="A3016" s="3" t="s">
        <v>22</v>
      </c>
      <c r="B3016" s="4">
        <v>45173.29166666667</v>
      </c>
      <c r="C3016" s="2" t="s">
        <v>18</v>
      </c>
      <c r="D3016" s="2" t="s">
        <v>164</v>
      </c>
      <c r="E3016" s="2" t="s">
        <v>383</v>
      </c>
      <c r="F3016" s="2"/>
      <c r="G3016" s="2">
        <v>72.0</v>
      </c>
      <c r="H3016" s="2">
        <v>54.0</v>
      </c>
      <c r="I3016" s="2">
        <v>18.0</v>
      </c>
      <c r="J3016" s="2">
        <v>0.0</v>
      </c>
      <c r="K3016" s="2">
        <v>0.0</v>
      </c>
      <c r="L3016" s="2">
        <v>0.0</v>
      </c>
      <c r="M3016" s="2"/>
      <c r="N3016" s="2"/>
      <c r="O3016" s="2"/>
      <c r="P3016" s="2" t="s">
        <v>166</v>
      </c>
    </row>
    <row r="3017">
      <c r="A3017" s="3" t="s">
        <v>24</v>
      </c>
      <c r="B3017" s="4">
        <v>45174.29166666667</v>
      </c>
      <c r="C3017" s="2" t="s">
        <v>18</v>
      </c>
      <c r="D3017" s="2" t="s">
        <v>164</v>
      </c>
      <c r="E3017" s="2" t="s">
        <v>384</v>
      </c>
      <c r="F3017" s="2"/>
      <c r="G3017" s="2">
        <v>0.0</v>
      </c>
      <c r="H3017" s="2">
        <v>0.0</v>
      </c>
      <c r="I3017" s="2">
        <v>0.0</v>
      </c>
      <c r="J3017" s="2">
        <v>0.0</v>
      </c>
      <c r="K3017" s="2">
        <v>0.0</v>
      </c>
      <c r="L3017" s="2">
        <v>0.0</v>
      </c>
      <c r="M3017" s="2"/>
      <c r="N3017" s="2"/>
      <c r="O3017" s="2"/>
      <c r="P3017" s="2" t="s">
        <v>166</v>
      </c>
    </row>
    <row r="3018">
      <c r="A3018" s="3" t="s">
        <v>25</v>
      </c>
      <c r="B3018" s="2" t="s">
        <v>17</v>
      </c>
      <c r="C3018" s="2" t="s">
        <v>18</v>
      </c>
      <c r="D3018" s="2" t="s">
        <v>19</v>
      </c>
      <c r="E3018" s="2" t="s">
        <v>27</v>
      </c>
      <c r="F3018" s="2">
        <v>8.0</v>
      </c>
      <c r="G3018" s="2">
        <v>10.0</v>
      </c>
      <c r="H3018" s="2">
        <v>4.0</v>
      </c>
      <c r="I3018" s="2">
        <v>6.0</v>
      </c>
      <c r="J3018" s="2">
        <v>0.0</v>
      </c>
      <c r="K3018" s="2">
        <v>0.0</v>
      </c>
      <c r="L3018" s="2">
        <v>0.0</v>
      </c>
      <c r="M3018" s="2">
        <v>4.0</v>
      </c>
      <c r="N3018" s="2"/>
      <c r="O3018" s="2"/>
      <c r="P3018" s="2" t="s">
        <v>80</v>
      </c>
    </row>
    <row r="3019">
      <c r="A3019" s="3" t="s">
        <v>26</v>
      </c>
      <c r="B3019" s="2" t="s">
        <v>17</v>
      </c>
      <c r="C3019" s="2" t="s">
        <v>18</v>
      </c>
      <c r="D3019" s="2" t="s">
        <v>23</v>
      </c>
      <c r="E3019" s="2" t="s">
        <v>27</v>
      </c>
      <c r="F3019" s="2">
        <v>8.0</v>
      </c>
      <c r="G3019" s="2">
        <v>10.0</v>
      </c>
      <c r="H3019" s="2">
        <v>4.0</v>
      </c>
      <c r="I3019" s="2">
        <v>6.0</v>
      </c>
      <c r="J3019" s="2">
        <v>0.0</v>
      </c>
      <c r="K3019" s="2">
        <v>0.0</v>
      </c>
      <c r="L3019" s="2">
        <v>0.0</v>
      </c>
      <c r="M3019" s="2">
        <v>4.0</v>
      </c>
      <c r="N3019" s="2">
        <v>0.0</v>
      </c>
      <c r="O3019" s="2">
        <v>0.0</v>
      </c>
      <c r="P3019" s="2" t="s">
        <v>80</v>
      </c>
    </row>
    <row r="3020">
      <c r="A3020" s="3" t="s">
        <v>28</v>
      </c>
      <c r="B3020" s="4">
        <v>45171.29166666667</v>
      </c>
      <c r="C3020" s="2" t="s">
        <v>18</v>
      </c>
      <c r="D3020" s="2" t="s">
        <v>19</v>
      </c>
      <c r="E3020" s="2" t="s">
        <v>27</v>
      </c>
      <c r="F3020" s="2"/>
      <c r="G3020" s="2">
        <v>10.0</v>
      </c>
      <c r="H3020" s="2">
        <v>4.0</v>
      </c>
      <c r="I3020" s="2">
        <v>6.0</v>
      </c>
      <c r="J3020" s="2">
        <v>0.0</v>
      </c>
      <c r="K3020" s="2">
        <v>0.0</v>
      </c>
      <c r="L3020" s="2">
        <v>0.0</v>
      </c>
      <c r="M3020" s="2"/>
      <c r="N3020" s="2"/>
      <c r="O3020" s="2"/>
      <c r="P3020" s="2" t="s">
        <v>80</v>
      </c>
    </row>
    <row r="3021">
      <c r="A3021" s="3" t="s">
        <v>29</v>
      </c>
      <c r="B3021" s="2" t="s">
        <v>17</v>
      </c>
      <c r="C3021" s="2" t="s">
        <v>18</v>
      </c>
      <c r="D3021" s="2" t="s">
        <v>19</v>
      </c>
      <c r="E3021" s="2" t="s">
        <v>385</v>
      </c>
      <c r="F3021" s="2">
        <v>136.0</v>
      </c>
      <c r="G3021" s="2">
        <v>10.0</v>
      </c>
      <c r="H3021" s="2">
        <v>10.0</v>
      </c>
      <c r="I3021" s="2">
        <v>0.0</v>
      </c>
      <c r="J3021" s="2">
        <v>0.0</v>
      </c>
      <c r="K3021" s="2">
        <v>0.0</v>
      </c>
      <c r="L3021" s="2">
        <v>0.0</v>
      </c>
      <c r="M3021" s="2">
        <v>126.0</v>
      </c>
      <c r="N3021" s="2"/>
      <c r="O3021" s="2"/>
      <c r="P3021" s="2" t="s">
        <v>146</v>
      </c>
    </row>
    <row r="3022">
      <c r="A3022" s="3" t="s">
        <v>32</v>
      </c>
      <c r="B3022" s="2" t="s">
        <v>17</v>
      </c>
      <c r="C3022" s="2" t="s">
        <v>18</v>
      </c>
      <c r="D3022" s="2" t="s">
        <v>33</v>
      </c>
      <c r="E3022" s="2" t="s">
        <v>385</v>
      </c>
      <c r="F3022" s="2">
        <v>100.0</v>
      </c>
      <c r="G3022" s="2">
        <v>7.0</v>
      </c>
      <c r="H3022" s="2">
        <v>0.0</v>
      </c>
      <c r="I3022" s="2">
        <v>0.0</v>
      </c>
      <c r="J3022" s="2">
        <v>7.0</v>
      </c>
      <c r="K3022" s="2">
        <v>0.0</v>
      </c>
      <c r="L3022" s="2">
        <v>0.0</v>
      </c>
      <c r="M3022" s="2">
        <v>100.0</v>
      </c>
      <c r="N3022" s="2"/>
      <c r="O3022" s="2"/>
      <c r="P3022" s="2" t="s">
        <v>146</v>
      </c>
    </row>
    <row r="3023">
      <c r="A3023" s="3" t="s">
        <v>34</v>
      </c>
      <c r="B3023" s="2" t="s">
        <v>17</v>
      </c>
      <c r="C3023" s="2" t="s">
        <v>18</v>
      </c>
      <c r="D3023" s="2" t="s">
        <v>109</v>
      </c>
      <c r="E3023" s="2" t="s">
        <v>385</v>
      </c>
      <c r="F3023" s="2">
        <v>25.0</v>
      </c>
      <c r="G3023" s="2">
        <v>6.0</v>
      </c>
      <c r="H3023" s="2">
        <v>0.0</v>
      </c>
      <c r="I3023" s="2">
        <v>0.0</v>
      </c>
      <c r="J3023" s="2">
        <v>6.0</v>
      </c>
      <c r="K3023" s="2">
        <v>0.0</v>
      </c>
      <c r="L3023" s="2">
        <v>0.0</v>
      </c>
      <c r="M3023" s="2">
        <v>25.0</v>
      </c>
      <c r="N3023" s="2"/>
      <c r="O3023" s="2"/>
      <c r="P3023" s="2" t="s">
        <v>146</v>
      </c>
    </row>
    <row r="3024">
      <c r="A3024" s="3" t="s">
        <v>35</v>
      </c>
      <c r="B3024" s="2" t="s">
        <v>17</v>
      </c>
      <c r="C3024" s="2" t="s">
        <v>18</v>
      </c>
      <c r="D3024" s="2" t="s">
        <v>23</v>
      </c>
      <c r="E3024" s="2" t="s">
        <v>385</v>
      </c>
      <c r="F3024" s="2">
        <v>136.0</v>
      </c>
      <c r="G3024" s="2">
        <v>23.0</v>
      </c>
      <c r="H3024" s="2">
        <v>10.0</v>
      </c>
      <c r="I3024" s="2">
        <v>0.0</v>
      </c>
      <c r="J3024" s="2">
        <v>13.0</v>
      </c>
      <c r="K3024" s="2">
        <v>0.0</v>
      </c>
      <c r="L3024" s="2">
        <v>0.0</v>
      </c>
      <c r="M3024" s="2">
        <v>126.0</v>
      </c>
      <c r="N3024" s="2">
        <v>-125.0</v>
      </c>
      <c r="O3024" s="2">
        <v>116.0</v>
      </c>
      <c r="P3024" s="2" t="s">
        <v>146</v>
      </c>
    </row>
    <row r="3025">
      <c r="A3025" s="3" t="s">
        <v>36</v>
      </c>
      <c r="B3025" s="4">
        <v>45171.29166666667</v>
      </c>
      <c r="C3025" s="2" t="s">
        <v>18</v>
      </c>
      <c r="D3025" s="2" t="s">
        <v>19</v>
      </c>
      <c r="E3025" s="2" t="s">
        <v>385</v>
      </c>
      <c r="F3025" s="2"/>
      <c r="G3025" s="2">
        <v>10.0</v>
      </c>
      <c r="H3025" s="2">
        <v>10.0</v>
      </c>
      <c r="I3025" s="2">
        <v>0.0</v>
      </c>
      <c r="J3025" s="2">
        <v>0.0</v>
      </c>
      <c r="K3025" s="2">
        <v>0.0</v>
      </c>
      <c r="L3025" s="2">
        <v>0.0</v>
      </c>
      <c r="M3025" s="2"/>
      <c r="N3025" s="2"/>
      <c r="O3025" s="2"/>
      <c r="P3025" s="2" t="s">
        <v>146</v>
      </c>
    </row>
    <row r="3026">
      <c r="A3026" s="3" t="s">
        <v>37</v>
      </c>
      <c r="B3026" s="4">
        <v>45172.29166666667</v>
      </c>
      <c r="C3026" s="2" t="s">
        <v>18</v>
      </c>
      <c r="D3026" s="2" t="s">
        <v>33</v>
      </c>
      <c r="E3026" s="2" t="s">
        <v>385</v>
      </c>
      <c r="F3026" s="2"/>
      <c r="G3026" s="2">
        <v>7.0</v>
      </c>
      <c r="H3026" s="2">
        <v>0.0</v>
      </c>
      <c r="I3026" s="2">
        <v>0.0</v>
      </c>
      <c r="J3026" s="2">
        <v>7.0</v>
      </c>
      <c r="K3026" s="2">
        <v>0.0</v>
      </c>
      <c r="L3026" s="2">
        <v>0.0</v>
      </c>
      <c r="M3026" s="2"/>
      <c r="N3026" s="2"/>
      <c r="O3026" s="2"/>
      <c r="P3026" s="2" t="s">
        <v>146</v>
      </c>
    </row>
    <row r="3027">
      <c r="A3027" s="3" t="s">
        <v>38</v>
      </c>
      <c r="B3027" s="4">
        <v>45173.29166666667</v>
      </c>
      <c r="C3027" s="2" t="s">
        <v>18</v>
      </c>
      <c r="D3027" s="2" t="s">
        <v>109</v>
      </c>
      <c r="E3027" s="2" t="s">
        <v>385</v>
      </c>
      <c r="F3027" s="2"/>
      <c r="G3027" s="2">
        <v>6.0</v>
      </c>
      <c r="H3027" s="2">
        <v>0.0</v>
      </c>
      <c r="I3027" s="2">
        <v>0.0</v>
      </c>
      <c r="J3027" s="2">
        <v>6.0</v>
      </c>
      <c r="K3027" s="2">
        <v>0.0</v>
      </c>
      <c r="L3027" s="2">
        <v>0.0</v>
      </c>
      <c r="M3027" s="2"/>
      <c r="N3027" s="2"/>
      <c r="O3027" s="2"/>
      <c r="P3027" s="2" t="s">
        <v>146</v>
      </c>
    </row>
    <row r="3028">
      <c r="A3028" s="3" t="s">
        <v>39</v>
      </c>
      <c r="B3028" s="2" t="s">
        <v>17</v>
      </c>
      <c r="C3028" s="2" t="s">
        <v>18</v>
      </c>
      <c r="D3028" s="2" t="s">
        <v>19</v>
      </c>
      <c r="E3028" s="2" t="s">
        <v>386</v>
      </c>
      <c r="F3028" s="2">
        <v>43.0</v>
      </c>
      <c r="G3028" s="2">
        <v>41.0</v>
      </c>
      <c r="H3028" s="2">
        <v>30.0</v>
      </c>
      <c r="I3028" s="2">
        <v>11.0</v>
      </c>
      <c r="J3028" s="2">
        <v>0.0</v>
      </c>
      <c r="K3028" s="2">
        <v>0.0</v>
      </c>
      <c r="L3028" s="2">
        <v>0.0</v>
      </c>
      <c r="M3028" s="2">
        <v>13.0</v>
      </c>
      <c r="N3028" s="2"/>
      <c r="O3028" s="2"/>
      <c r="P3028" s="2" t="s">
        <v>146</v>
      </c>
    </row>
    <row r="3029">
      <c r="A3029" s="3" t="s">
        <v>40</v>
      </c>
      <c r="B3029" s="2" t="s">
        <v>17</v>
      </c>
      <c r="C3029" s="2" t="s">
        <v>18</v>
      </c>
      <c r="D3029" s="2" t="s">
        <v>23</v>
      </c>
      <c r="E3029" s="2" t="s">
        <v>386</v>
      </c>
      <c r="F3029" s="2">
        <v>43.0</v>
      </c>
      <c r="G3029" s="2">
        <v>41.0</v>
      </c>
      <c r="H3029" s="2">
        <v>30.0</v>
      </c>
      <c r="I3029" s="2">
        <v>11.0</v>
      </c>
      <c r="J3029" s="2">
        <v>0.0</v>
      </c>
      <c r="K3029" s="2">
        <v>0.0</v>
      </c>
      <c r="L3029" s="2">
        <v>0.0</v>
      </c>
      <c r="M3029" s="2">
        <v>13.0</v>
      </c>
      <c r="N3029" s="2">
        <v>0.0</v>
      </c>
      <c r="O3029" s="2">
        <v>-17.0</v>
      </c>
      <c r="P3029" s="2" t="s">
        <v>146</v>
      </c>
    </row>
    <row r="3030">
      <c r="A3030" s="3" t="s">
        <v>41</v>
      </c>
      <c r="B3030" s="4">
        <v>45171.29166666667</v>
      </c>
      <c r="C3030" s="2" t="s">
        <v>18</v>
      </c>
      <c r="D3030" s="2" t="s">
        <v>19</v>
      </c>
      <c r="E3030" s="2" t="s">
        <v>386</v>
      </c>
      <c r="F3030" s="2"/>
      <c r="G3030" s="2">
        <v>41.0</v>
      </c>
      <c r="H3030" s="2">
        <v>30.0</v>
      </c>
      <c r="I3030" s="2">
        <v>11.0</v>
      </c>
      <c r="J3030" s="2">
        <v>0.0</v>
      </c>
      <c r="K3030" s="2">
        <v>0.0</v>
      </c>
      <c r="L3030" s="2">
        <v>0.0</v>
      </c>
      <c r="M3030" s="2"/>
      <c r="N3030" s="2"/>
      <c r="O3030" s="2"/>
      <c r="P3030" s="2" t="s">
        <v>146</v>
      </c>
    </row>
    <row r="3031">
      <c r="A3031" s="3" t="s">
        <v>42</v>
      </c>
      <c r="B3031" s="2" t="s">
        <v>17</v>
      </c>
      <c r="C3031" s="2" t="s">
        <v>18</v>
      </c>
      <c r="D3031" s="2" t="s">
        <v>127</v>
      </c>
      <c r="E3031" s="2" t="s">
        <v>317</v>
      </c>
      <c r="F3031" s="2">
        <v>80.0</v>
      </c>
      <c r="G3031" s="2">
        <v>112.0</v>
      </c>
      <c r="H3031" s="2">
        <v>80.0</v>
      </c>
      <c r="I3031" s="2">
        <v>32.0</v>
      </c>
      <c r="J3031" s="2">
        <v>0.0</v>
      </c>
      <c r="K3031" s="2">
        <v>0.0</v>
      </c>
      <c r="L3031" s="2">
        <v>0.0</v>
      </c>
      <c r="M3031" s="2">
        <v>0.0</v>
      </c>
      <c r="N3031" s="2"/>
      <c r="O3031" s="2"/>
      <c r="P3031" s="2" t="s">
        <v>92</v>
      </c>
    </row>
    <row r="3032">
      <c r="A3032" s="3" t="s">
        <v>43</v>
      </c>
      <c r="B3032" s="2" t="s">
        <v>17</v>
      </c>
      <c r="C3032" s="2" t="s">
        <v>18</v>
      </c>
      <c r="D3032" s="2" t="s">
        <v>127</v>
      </c>
      <c r="E3032" s="2" t="s">
        <v>387</v>
      </c>
      <c r="F3032" s="2">
        <v>15.0</v>
      </c>
      <c r="G3032" s="2">
        <v>42.0</v>
      </c>
      <c r="H3032" s="2">
        <v>15.0</v>
      </c>
      <c r="I3032" s="2">
        <v>27.0</v>
      </c>
      <c r="J3032" s="2">
        <v>0.0</v>
      </c>
      <c r="K3032" s="2">
        <v>0.0</v>
      </c>
      <c r="L3032" s="2">
        <v>0.0</v>
      </c>
      <c r="M3032" s="2">
        <v>0.0</v>
      </c>
      <c r="N3032" s="2"/>
      <c r="O3032" s="2"/>
      <c r="P3032" s="2" t="s">
        <v>92</v>
      </c>
    </row>
    <row r="3033">
      <c r="A3033" s="3" t="s">
        <v>44</v>
      </c>
      <c r="B3033" s="2" t="s">
        <v>17</v>
      </c>
      <c r="C3033" s="2" t="s">
        <v>18</v>
      </c>
      <c r="D3033" s="2" t="s">
        <v>127</v>
      </c>
      <c r="E3033" s="2" t="s">
        <v>388</v>
      </c>
      <c r="F3033" s="2">
        <v>25.0</v>
      </c>
      <c r="G3033" s="2">
        <v>40.0</v>
      </c>
      <c r="H3033" s="2">
        <v>25.0</v>
      </c>
      <c r="I3033" s="2">
        <v>15.0</v>
      </c>
      <c r="J3033" s="2">
        <v>0.0</v>
      </c>
      <c r="K3033" s="2">
        <v>0.0</v>
      </c>
      <c r="L3033" s="2">
        <v>0.0</v>
      </c>
      <c r="M3033" s="2">
        <v>0.0</v>
      </c>
      <c r="N3033" s="2"/>
      <c r="O3033" s="2"/>
      <c r="P3033" s="2" t="s">
        <v>92</v>
      </c>
    </row>
    <row r="3034">
      <c r="A3034" s="3" t="s">
        <v>45</v>
      </c>
      <c r="B3034" s="2" t="s">
        <v>17</v>
      </c>
      <c r="C3034" s="2" t="s">
        <v>18</v>
      </c>
      <c r="D3034" s="2" t="s">
        <v>127</v>
      </c>
      <c r="E3034" s="2" t="s">
        <v>389</v>
      </c>
      <c r="F3034" s="2">
        <v>11.0</v>
      </c>
      <c r="G3034" s="2">
        <v>25.0</v>
      </c>
      <c r="H3034" s="2">
        <v>11.0</v>
      </c>
      <c r="I3034" s="2">
        <v>14.0</v>
      </c>
      <c r="J3034" s="2">
        <v>0.0</v>
      </c>
      <c r="K3034" s="2">
        <v>0.0</v>
      </c>
      <c r="L3034" s="2">
        <v>0.0</v>
      </c>
      <c r="M3034" s="2">
        <v>0.0</v>
      </c>
      <c r="N3034" s="2"/>
      <c r="O3034" s="2"/>
      <c r="P3034" s="2" t="s">
        <v>92</v>
      </c>
    </row>
    <row r="3035">
      <c r="A3035" s="3" t="s">
        <v>16</v>
      </c>
      <c r="B3035" s="2" t="s">
        <v>17</v>
      </c>
      <c r="C3035" s="2" t="s">
        <v>18</v>
      </c>
      <c r="D3035" s="2" t="s">
        <v>23</v>
      </c>
      <c r="E3035" s="2" t="s">
        <v>317</v>
      </c>
      <c r="F3035" s="2">
        <v>80.0</v>
      </c>
      <c r="G3035" s="2">
        <v>112.0</v>
      </c>
      <c r="H3035" s="2">
        <v>80.0</v>
      </c>
      <c r="I3035" s="2">
        <v>32.0</v>
      </c>
      <c r="J3035" s="2">
        <v>0.0</v>
      </c>
      <c r="K3035" s="2">
        <v>0.0</v>
      </c>
      <c r="L3035" s="2">
        <v>0.0</v>
      </c>
      <c r="M3035" s="2">
        <v>0.0</v>
      </c>
      <c r="N3035" s="2">
        <v>0.0</v>
      </c>
      <c r="O3035" s="2">
        <v>-80.0</v>
      </c>
      <c r="P3035" s="2" t="s">
        <v>92</v>
      </c>
    </row>
    <row r="3036">
      <c r="A3036" s="3" t="s">
        <v>47</v>
      </c>
      <c r="B3036" s="2" t="s">
        <v>17</v>
      </c>
      <c r="C3036" s="2" t="s">
        <v>57</v>
      </c>
      <c r="D3036" s="2" t="s">
        <v>23</v>
      </c>
      <c r="E3036" s="2" t="s">
        <v>387</v>
      </c>
      <c r="F3036" s="2">
        <v>15.0</v>
      </c>
      <c r="G3036" s="2">
        <v>42.0</v>
      </c>
      <c r="H3036" s="2">
        <v>15.0</v>
      </c>
      <c r="I3036" s="2">
        <v>27.0</v>
      </c>
      <c r="J3036" s="2">
        <v>0.0</v>
      </c>
      <c r="K3036" s="2">
        <v>0.0</v>
      </c>
      <c r="L3036" s="2">
        <v>0.0</v>
      </c>
      <c r="M3036" s="2">
        <v>0.0</v>
      </c>
      <c r="N3036" s="2">
        <v>0.0</v>
      </c>
      <c r="O3036" s="2">
        <v>-15.0</v>
      </c>
      <c r="P3036" s="2" t="s">
        <v>92</v>
      </c>
    </row>
    <row r="3037">
      <c r="A3037" s="3" t="s">
        <v>48</v>
      </c>
      <c r="B3037" s="2" t="s">
        <v>17</v>
      </c>
      <c r="C3037" s="2" t="s">
        <v>18</v>
      </c>
      <c r="D3037" s="2" t="s">
        <v>23</v>
      </c>
      <c r="E3037" s="2" t="s">
        <v>388</v>
      </c>
      <c r="F3037" s="2">
        <v>25.0</v>
      </c>
      <c r="G3037" s="2">
        <v>40.0</v>
      </c>
      <c r="H3037" s="2">
        <v>25.0</v>
      </c>
      <c r="I3037" s="2">
        <v>15.0</v>
      </c>
      <c r="J3037" s="2">
        <v>0.0</v>
      </c>
      <c r="K3037" s="2">
        <v>0.0</v>
      </c>
      <c r="L3037" s="2">
        <v>0.0</v>
      </c>
      <c r="M3037" s="2">
        <v>0.0</v>
      </c>
      <c r="N3037" s="2">
        <v>0.0</v>
      </c>
      <c r="O3037" s="2">
        <v>-25.0</v>
      </c>
      <c r="P3037" s="2" t="s">
        <v>92</v>
      </c>
    </row>
    <row r="3038">
      <c r="A3038" s="3" t="s">
        <v>49</v>
      </c>
      <c r="B3038" s="2" t="s">
        <v>17</v>
      </c>
      <c r="C3038" s="2" t="s">
        <v>57</v>
      </c>
      <c r="D3038" s="2" t="s">
        <v>23</v>
      </c>
      <c r="E3038" s="2" t="s">
        <v>389</v>
      </c>
      <c r="F3038" s="2">
        <v>11.0</v>
      </c>
      <c r="G3038" s="2">
        <v>25.0</v>
      </c>
      <c r="H3038" s="2">
        <v>11.0</v>
      </c>
      <c r="I3038" s="2">
        <v>14.0</v>
      </c>
      <c r="J3038" s="2">
        <v>0.0</v>
      </c>
      <c r="K3038" s="2">
        <v>0.0</v>
      </c>
      <c r="L3038" s="2">
        <v>0.0</v>
      </c>
      <c r="M3038" s="2">
        <v>0.0</v>
      </c>
      <c r="N3038" s="2">
        <v>0.0</v>
      </c>
      <c r="O3038" s="2">
        <v>-11.0</v>
      </c>
      <c r="P3038" s="2" t="s">
        <v>92</v>
      </c>
    </row>
    <row r="3039">
      <c r="A3039" s="3" t="s">
        <v>51</v>
      </c>
      <c r="B3039" s="4">
        <v>45140.29166666667</v>
      </c>
      <c r="C3039" s="2" t="s">
        <v>18</v>
      </c>
      <c r="D3039" s="2" t="s">
        <v>127</v>
      </c>
      <c r="E3039" s="2" t="s">
        <v>317</v>
      </c>
      <c r="F3039" s="2"/>
      <c r="G3039" s="2">
        <v>82.0</v>
      </c>
      <c r="H3039" s="2">
        <v>64.0</v>
      </c>
      <c r="I3039" s="2">
        <v>18.0</v>
      </c>
      <c r="J3039" s="2">
        <v>0.0</v>
      </c>
      <c r="K3039" s="2">
        <v>0.0</v>
      </c>
      <c r="L3039" s="2">
        <v>0.0</v>
      </c>
      <c r="M3039" s="2"/>
      <c r="N3039" s="2"/>
      <c r="O3039" s="2"/>
      <c r="P3039" s="2" t="s">
        <v>92</v>
      </c>
    </row>
    <row r="3040">
      <c r="A3040" s="3" t="s">
        <v>52</v>
      </c>
      <c r="B3040" s="4">
        <v>45141.29166666667</v>
      </c>
      <c r="C3040" s="2" t="s">
        <v>18</v>
      </c>
      <c r="D3040" s="2" t="s">
        <v>127</v>
      </c>
      <c r="E3040" s="2" t="s">
        <v>387</v>
      </c>
      <c r="F3040" s="2"/>
      <c r="G3040" s="2">
        <v>42.0</v>
      </c>
      <c r="H3040" s="2">
        <v>15.0</v>
      </c>
      <c r="I3040" s="2">
        <v>27.0</v>
      </c>
      <c r="J3040" s="2">
        <v>0.0</v>
      </c>
      <c r="K3040" s="2">
        <v>0.0</v>
      </c>
      <c r="L3040" s="2">
        <v>0.0</v>
      </c>
      <c r="M3040" s="2"/>
      <c r="N3040" s="2"/>
      <c r="O3040" s="2"/>
      <c r="P3040" s="2" t="s">
        <v>92</v>
      </c>
    </row>
    <row r="3041">
      <c r="A3041" s="3" t="s">
        <v>53</v>
      </c>
      <c r="B3041" s="4">
        <v>45142.29166666667</v>
      </c>
      <c r="C3041" s="2" t="s">
        <v>18</v>
      </c>
      <c r="D3041" s="2" t="s">
        <v>127</v>
      </c>
      <c r="E3041" s="2" t="s">
        <v>388</v>
      </c>
      <c r="F3041" s="2"/>
      <c r="G3041" s="2">
        <v>14.0</v>
      </c>
      <c r="H3041" s="2">
        <v>13.0</v>
      </c>
      <c r="I3041" s="2">
        <v>1.0</v>
      </c>
      <c r="J3041" s="2">
        <v>0.0</v>
      </c>
      <c r="K3041" s="2">
        <v>0.0</v>
      </c>
      <c r="L3041" s="2">
        <v>0.0</v>
      </c>
      <c r="M3041" s="2"/>
      <c r="N3041" s="2"/>
      <c r="O3041" s="2"/>
      <c r="P3041" s="2" t="s">
        <v>92</v>
      </c>
    </row>
    <row r="3042">
      <c r="A3042" s="3" t="s">
        <v>54</v>
      </c>
      <c r="B3042" s="4">
        <v>45143.29166666667</v>
      </c>
      <c r="C3042" s="2" t="s">
        <v>18</v>
      </c>
      <c r="D3042" s="2" t="s">
        <v>127</v>
      </c>
      <c r="E3042" s="2" t="s">
        <v>389</v>
      </c>
      <c r="F3042" s="2"/>
      <c r="G3042" s="2">
        <v>17.0</v>
      </c>
      <c r="H3042" s="2">
        <v>9.0</v>
      </c>
      <c r="I3042" s="2">
        <v>8.0</v>
      </c>
      <c r="J3042" s="2">
        <v>0.0</v>
      </c>
      <c r="K3042" s="2">
        <v>0.0</v>
      </c>
      <c r="L3042" s="2">
        <v>0.0</v>
      </c>
      <c r="M3042" s="2"/>
      <c r="N3042" s="2"/>
      <c r="O3042" s="2"/>
      <c r="P3042" s="2" t="s">
        <v>92</v>
      </c>
    </row>
    <row r="3043">
      <c r="A3043" s="3" t="s">
        <v>55</v>
      </c>
      <c r="B3043" s="4">
        <v>45171.29166666667</v>
      </c>
      <c r="C3043" s="2" t="s">
        <v>18</v>
      </c>
      <c r="D3043" s="2" t="s">
        <v>127</v>
      </c>
      <c r="E3043" s="2" t="s">
        <v>317</v>
      </c>
      <c r="F3043" s="2"/>
      <c r="G3043" s="2">
        <v>30.0</v>
      </c>
      <c r="H3043" s="2">
        <v>16.0</v>
      </c>
      <c r="I3043" s="2">
        <v>14.0</v>
      </c>
      <c r="J3043" s="2">
        <v>0.0</v>
      </c>
      <c r="K3043" s="2">
        <v>0.0</v>
      </c>
      <c r="L3043" s="2">
        <v>0.0</v>
      </c>
      <c r="M3043" s="2"/>
      <c r="N3043" s="2"/>
      <c r="O3043" s="2"/>
      <c r="P3043" s="2" t="s">
        <v>92</v>
      </c>
    </row>
    <row r="3044">
      <c r="A3044" s="3" t="s">
        <v>56</v>
      </c>
      <c r="B3044" s="4">
        <v>45173.29166666667</v>
      </c>
      <c r="C3044" s="2" t="s">
        <v>18</v>
      </c>
      <c r="D3044" s="2" t="s">
        <v>127</v>
      </c>
      <c r="E3044" s="2" t="s">
        <v>388</v>
      </c>
      <c r="F3044" s="2"/>
      <c r="G3044" s="2">
        <v>26.0</v>
      </c>
      <c r="H3044" s="2">
        <v>12.0</v>
      </c>
      <c r="I3044" s="2">
        <v>14.0</v>
      </c>
      <c r="J3044" s="2">
        <v>0.0</v>
      </c>
      <c r="K3044" s="2">
        <v>0.0</v>
      </c>
      <c r="L3044" s="2">
        <v>0.0</v>
      </c>
      <c r="M3044" s="2"/>
      <c r="N3044" s="2"/>
      <c r="O3044" s="2"/>
      <c r="P3044" s="2" t="s">
        <v>92</v>
      </c>
    </row>
    <row r="3045">
      <c r="A3045" s="3" t="s">
        <v>59</v>
      </c>
      <c r="B3045" s="4">
        <v>45174.29166666667</v>
      </c>
      <c r="C3045" s="2" t="s">
        <v>18</v>
      </c>
      <c r="D3045" s="2" t="s">
        <v>127</v>
      </c>
      <c r="E3045" s="2" t="s">
        <v>389</v>
      </c>
      <c r="F3045" s="2"/>
      <c r="G3045" s="2">
        <v>8.0</v>
      </c>
      <c r="H3045" s="2">
        <v>2.0</v>
      </c>
      <c r="I3045" s="2">
        <v>6.0</v>
      </c>
      <c r="J3045" s="2">
        <v>0.0</v>
      </c>
      <c r="K3045" s="2">
        <v>0.0</v>
      </c>
      <c r="L3045" s="2">
        <v>0.0</v>
      </c>
      <c r="M3045" s="2"/>
      <c r="N3045" s="2"/>
      <c r="O3045" s="2"/>
      <c r="P3045" s="2" t="s">
        <v>92</v>
      </c>
    </row>
    <row r="3046">
      <c r="A3046" s="3" t="s">
        <v>60</v>
      </c>
      <c r="B3046" s="2" t="s">
        <v>17</v>
      </c>
      <c r="C3046" s="2" t="s">
        <v>18</v>
      </c>
      <c r="D3046" s="2" t="s">
        <v>164</v>
      </c>
      <c r="E3046" s="2" t="s">
        <v>165</v>
      </c>
      <c r="F3046" s="2">
        <v>126.0</v>
      </c>
      <c r="G3046" s="2">
        <v>248.0</v>
      </c>
      <c r="H3046" s="2">
        <v>110.0</v>
      </c>
      <c r="I3046" s="2">
        <v>138.0</v>
      </c>
      <c r="J3046" s="2">
        <v>0.0</v>
      </c>
      <c r="K3046" s="2">
        <v>0.0</v>
      </c>
      <c r="L3046" s="2">
        <v>0.0</v>
      </c>
      <c r="M3046" s="2">
        <v>16.0</v>
      </c>
      <c r="N3046" s="2"/>
      <c r="O3046" s="2"/>
      <c r="P3046" s="2" t="s">
        <v>166</v>
      </c>
    </row>
    <row r="3047">
      <c r="A3047" s="3" t="s">
        <v>61</v>
      </c>
      <c r="B3047" s="2" t="s">
        <v>17</v>
      </c>
      <c r="C3047" s="2" t="s">
        <v>18</v>
      </c>
      <c r="D3047" s="2" t="s">
        <v>23</v>
      </c>
      <c r="E3047" s="2" t="s">
        <v>165</v>
      </c>
      <c r="F3047" s="2">
        <v>126.0</v>
      </c>
      <c r="G3047" s="2">
        <v>248.0</v>
      </c>
      <c r="H3047" s="2">
        <v>110.0</v>
      </c>
      <c r="I3047" s="2">
        <v>138.0</v>
      </c>
      <c r="J3047" s="2">
        <v>0.0</v>
      </c>
      <c r="K3047" s="2">
        <v>0.0</v>
      </c>
      <c r="L3047" s="2">
        <v>0.0</v>
      </c>
      <c r="M3047" s="2">
        <v>16.0</v>
      </c>
      <c r="N3047" s="2">
        <v>0.0</v>
      </c>
      <c r="O3047" s="2">
        <v>-94.0</v>
      </c>
      <c r="P3047" s="2" t="s">
        <v>166</v>
      </c>
    </row>
    <row r="3048">
      <c r="A3048" s="3" t="s">
        <v>62</v>
      </c>
      <c r="B3048" s="4">
        <v>45171.29166666667</v>
      </c>
      <c r="C3048" s="2" t="s">
        <v>18</v>
      </c>
      <c r="D3048" s="2" t="s">
        <v>164</v>
      </c>
      <c r="E3048" s="2" t="s">
        <v>165</v>
      </c>
      <c r="F3048" s="2"/>
      <c r="G3048" s="2">
        <v>248.0</v>
      </c>
      <c r="H3048" s="2">
        <v>110.0</v>
      </c>
      <c r="I3048" s="2">
        <v>138.0</v>
      </c>
      <c r="J3048" s="2">
        <v>0.0</v>
      </c>
      <c r="K3048" s="2">
        <v>0.0</v>
      </c>
      <c r="L3048" s="2">
        <v>0.0</v>
      </c>
      <c r="M3048" s="2"/>
      <c r="N3048" s="2"/>
      <c r="O3048" s="2"/>
      <c r="P3048" s="2" t="s">
        <v>166</v>
      </c>
    </row>
    <row r="3049">
      <c r="A3049" s="3" t="s">
        <v>63</v>
      </c>
      <c r="B3049" s="2" t="s">
        <v>17</v>
      </c>
      <c r="C3049" s="2" t="s">
        <v>18</v>
      </c>
      <c r="D3049" s="2" t="s">
        <v>164</v>
      </c>
      <c r="E3049" s="2" t="s">
        <v>165</v>
      </c>
      <c r="F3049" s="2">
        <v>100.0</v>
      </c>
      <c r="G3049" s="2">
        <v>151.0</v>
      </c>
      <c r="H3049" s="2">
        <v>58.0</v>
      </c>
      <c r="I3049" s="2">
        <v>93.0</v>
      </c>
      <c r="J3049" s="2">
        <v>0.0</v>
      </c>
      <c r="K3049" s="2">
        <v>0.0</v>
      </c>
      <c r="L3049" s="2">
        <v>0.0</v>
      </c>
      <c r="M3049" s="2">
        <v>42.0</v>
      </c>
      <c r="N3049" s="2"/>
      <c r="O3049" s="2"/>
      <c r="P3049" s="2" t="s">
        <v>166</v>
      </c>
    </row>
    <row r="3050">
      <c r="A3050" s="3" t="s">
        <v>64</v>
      </c>
      <c r="B3050" s="2" t="s">
        <v>17</v>
      </c>
      <c r="C3050" s="2" t="s">
        <v>18</v>
      </c>
      <c r="D3050" s="2" t="s">
        <v>23</v>
      </c>
      <c r="E3050" s="2" t="s">
        <v>165</v>
      </c>
      <c r="F3050" s="2">
        <v>200.0</v>
      </c>
      <c r="G3050" s="2">
        <v>151.0</v>
      </c>
      <c r="H3050" s="2">
        <v>58.0</v>
      </c>
      <c r="I3050" s="2">
        <v>93.0</v>
      </c>
      <c r="J3050" s="2">
        <v>0.0</v>
      </c>
      <c r="K3050" s="2">
        <v>0.0</v>
      </c>
      <c r="L3050" s="2">
        <v>0.0</v>
      </c>
      <c r="M3050" s="2">
        <v>142.0</v>
      </c>
      <c r="N3050" s="2">
        <v>100.0</v>
      </c>
      <c r="O3050" s="2">
        <v>84.0</v>
      </c>
      <c r="P3050" s="2" t="s">
        <v>166</v>
      </c>
    </row>
    <row r="3051">
      <c r="A3051" s="3" t="s">
        <v>65</v>
      </c>
      <c r="B3051" s="4">
        <v>45171.29166666667</v>
      </c>
      <c r="C3051" s="2" t="s">
        <v>18</v>
      </c>
      <c r="D3051" s="2" t="s">
        <v>164</v>
      </c>
      <c r="E3051" s="2" t="s">
        <v>165</v>
      </c>
      <c r="F3051" s="2"/>
      <c r="G3051" s="2">
        <v>151.0</v>
      </c>
      <c r="H3051" s="2">
        <v>58.0</v>
      </c>
      <c r="I3051" s="2">
        <v>93.0</v>
      </c>
      <c r="J3051" s="2">
        <v>0.0</v>
      </c>
      <c r="K3051" s="2">
        <v>0.0</v>
      </c>
      <c r="L3051" s="2">
        <v>0.0</v>
      </c>
      <c r="M3051" s="2"/>
      <c r="N3051" s="2"/>
      <c r="O3051" s="2"/>
      <c r="P3051" s="2" t="s">
        <v>166</v>
      </c>
    </row>
    <row r="3052">
      <c r="A3052" s="3" t="s">
        <v>66</v>
      </c>
      <c r="B3052" s="2" t="s">
        <v>17</v>
      </c>
      <c r="C3052" s="2" t="s">
        <v>148</v>
      </c>
      <c r="D3052" s="2" t="s">
        <v>19</v>
      </c>
      <c r="E3052" s="2" t="s">
        <v>265</v>
      </c>
      <c r="F3052" s="2">
        <v>3.0</v>
      </c>
      <c r="G3052" s="2">
        <v>5.0</v>
      </c>
      <c r="H3052" s="2">
        <v>3.0</v>
      </c>
      <c r="I3052" s="2">
        <v>2.0</v>
      </c>
      <c r="J3052" s="2">
        <v>0.0</v>
      </c>
      <c r="K3052" s="2">
        <v>0.0</v>
      </c>
      <c r="L3052" s="2">
        <v>0.0</v>
      </c>
      <c r="M3052" s="2">
        <v>0.0</v>
      </c>
      <c r="N3052" s="2"/>
      <c r="O3052" s="2"/>
      <c r="P3052" s="2" t="s">
        <v>195</v>
      </c>
    </row>
    <row r="3053">
      <c r="A3053" s="3" t="s">
        <v>68</v>
      </c>
      <c r="B3053" s="2" t="s">
        <v>17</v>
      </c>
      <c r="C3053" s="2" t="s">
        <v>18</v>
      </c>
      <c r="D3053" s="2" t="s">
        <v>30</v>
      </c>
      <c r="E3053" s="2" t="s">
        <v>265</v>
      </c>
      <c r="F3053" s="2">
        <v>36.0</v>
      </c>
      <c r="G3053" s="2">
        <v>46.0</v>
      </c>
      <c r="H3053" s="2">
        <v>36.0</v>
      </c>
      <c r="I3053" s="2">
        <v>10.0</v>
      </c>
      <c r="J3053" s="2">
        <v>0.0</v>
      </c>
      <c r="K3053" s="2">
        <v>0.0</v>
      </c>
      <c r="L3053" s="2">
        <v>0.0</v>
      </c>
      <c r="M3053" s="2">
        <v>0.0</v>
      </c>
      <c r="N3053" s="2"/>
      <c r="O3053" s="2"/>
      <c r="P3053" s="2" t="s">
        <v>195</v>
      </c>
    </row>
    <row r="3054">
      <c r="A3054" s="3" t="s">
        <v>70</v>
      </c>
      <c r="B3054" s="2" t="s">
        <v>17</v>
      </c>
      <c r="C3054" s="2" t="s">
        <v>18</v>
      </c>
      <c r="D3054" s="2" t="s">
        <v>23</v>
      </c>
      <c r="E3054" s="2" t="s">
        <v>265</v>
      </c>
      <c r="F3054" s="2">
        <v>39.0</v>
      </c>
      <c r="G3054" s="2">
        <v>51.0</v>
      </c>
      <c r="H3054" s="2">
        <v>39.0</v>
      </c>
      <c r="I3054" s="2">
        <v>12.0</v>
      </c>
      <c r="J3054" s="2">
        <v>0.0</v>
      </c>
      <c r="K3054" s="2">
        <v>0.0</v>
      </c>
      <c r="L3054" s="2">
        <v>0.0</v>
      </c>
      <c r="M3054" s="2">
        <v>0.0</v>
      </c>
      <c r="N3054" s="2">
        <v>0.0</v>
      </c>
      <c r="O3054" s="2">
        <v>-39.0</v>
      </c>
      <c r="P3054" s="2" t="s">
        <v>195</v>
      </c>
    </row>
    <row r="3055">
      <c r="A3055" s="3" t="s">
        <v>16</v>
      </c>
      <c r="B3055" s="4">
        <v>45140.29166666667</v>
      </c>
      <c r="C3055" s="2" t="s">
        <v>148</v>
      </c>
      <c r="D3055" s="2" t="s">
        <v>19</v>
      </c>
      <c r="E3055" s="2" t="s">
        <v>265</v>
      </c>
      <c r="F3055" s="2"/>
      <c r="G3055" s="2">
        <v>3.0</v>
      </c>
      <c r="H3055" s="2">
        <v>3.0</v>
      </c>
      <c r="I3055" s="2">
        <v>0.0</v>
      </c>
      <c r="J3055" s="2">
        <v>0.0</v>
      </c>
      <c r="K3055" s="2">
        <v>0.0</v>
      </c>
      <c r="L3055" s="2">
        <v>0.0</v>
      </c>
      <c r="M3055" s="2"/>
      <c r="N3055" s="2"/>
      <c r="O3055" s="2"/>
      <c r="P3055" s="2" t="s">
        <v>195</v>
      </c>
    </row>
    <row r="3056">
      <c r="A3056" s="3" t="s">
        <v>71</v>
      </c>
      <c r="B3056" s="4">
        <v>45141.29166666667</v>
      </c>
      <c r="C3056" s="2" t="s">
        <v>18</v>
      </c>
      <c r="D3056" s="2" t="s">
        <v>30</v>
      </c>
      <c r="E3056" s="2" t="s">
        <v>265</v>
      </c>
      <c r="F3056" s="2"/>
      <c r="G3056" s="2">
        <v>29.0</v>
      </c>
      <c r="H3056" s="2">
        <v>23.0</v>
      </c>
      <c r="I3056" s="2">
        <v>6.0</v>
      </c>
      <c r="J3056" s="2">
        <v>0.0</v>
      </c>
      <c r="K3056" s="2">
        <v>0.0</v>
      </c>
      <c r="L3056" s="2">
        <v>0.0</v>
      </c>
      <c r="M3056" s="2"/>
      <c r="N3056" s="2"/>
      <c r="O3056" s="2"/>
      <c r="P3056" s="2" t="s">
        <v>195</v>
      </c>
    </row>
    <row r="3057">
      <c r="A3057" s="3" t="s">
        <v>72</v>
      </c>
      <c r="B3057" s="4">
        <v>45170.29166666667</v>
      </c>
      <c r="C3057" s="2" t="s">
        <v>18</v>
      </c>
      <c r="D3057" s="2" t="s">
        <v>30</v>
      </c>
      <c r="E3057" s="2" t="s">
        <v>265</v>
      </c>
      <c r="F3057" s="2"/>
      <c r="G3057" s="2">
        <v>17.0</v>
      </c>
      <c r="H3057" s="2">
        <v>13.0</v>
      </c>
      <c r="I3057" s="2">
        <v>4.0</v>
      </c>
      <c r="J3057" s="2">
        <v>0.0</v>
      </c>
      <c r="K3057" s="2">
        <v>0.0</v>
      </c>
      <c r="L3057" s="2">
        <v>0.0</v>
      </c>
      <c r="M3057" s="2"/>
      <c r="N3057" s="2"/>
      <c r="O3057" s="2"/>
      <c r="P3057" s="2" t="s">
        <v>195</v>
      </c>
    </row>
    <row r="3058">
      <c r="A3058" s="3" t="s">
        <v>73</v>
      </c>
      <c r="B3058" s="4">
        <v>45170.29166666667</v>
      </c>
      <c r="C3058" s="2" t="s">
        <v>18</v>
      </c>
      <c r="D3058" s="2" t="s">
        <v>19</v>
      </c>
      <c r="E3058" s="2" t="s">
        <v>265</v>
      </c>
      <c r="F3058" s="2"/>
      <c r="G3058" s="2">
        <v>2.0</v>
      </c>
      <c r="H3058" s="2">
        <v>0.0</v>
      </c>
      <c r="I3058" s="2">
        <v>2.0</v>
      </c>
      <c r="J3058" s="2">
        <v>0.0</v>
      </c>
      <c r="K3058" s="2">
        <v>0.0</v>
      </c>
      <c r="L3058" s="2">
        <v>0.0</v>
      </c>
      <c r="M3058" s="2"/>
      <c r="N3058" s="2"/>
      <c r="O3058" s="2"/>
      <c r="P3058" s="2" t="s">
        <v>195</v>
      </c>
    </row>
    <row r="3059">
      <c r="A3059" s="3" t="s">
        <v>74</v>
      </c>
      <c r="B3059" s="2" t="s">
        <v>17</v>
      </c>
      <c r="C3059" s="2" t="s">
        <v>18</v>
      </c>
      <c r="D3059" s="2" t="s">
        <v>91</v>
      </c>
      <c r="E3059" s="2" t="s">
        <v>155</v>
      </c>
      <c r="F3059" s="2">
        <v>108.0</v>
      </c>
      <c r="G3059" s="2">
        <v>152.0</v>
      </c>
      <c r="H3059" s="2">
        <v>108.0</v>
      </c>
      <c r="I3059" s="2">
        <v>39.0</v>
      </c>
      <c r="J3059" s="2">
        <v>5.0</v>
      </c>
      <c r="K3059" s="2">
        <v>0.0</v>
      </c>
      <c r="L3059" s="2">
        <v>0.0</v>
      </c>
      <c r="M3059" s="2">
        <v>0.0</v>
      </c>
      <c r="N3059" s="2"/>
      <c r="O3059" s="2"/>
      <c r="P3059" s="2" t="s">
        <v>111</v>
      </c>
    </row>
    <row r="3060">
      <c r="A3060" s="3" t="s">
        <v>75</v>
      </c>
      <c r="B3060" s="2" t="s">
        <v>17</v>
      </c>
      <c r="C3060" s="2" t="s">
        <v>18</v>
      </c>
      <c r="D3060" s="2" t="s">
        <v>19</v>
      </c>
      <c r="E3060" s="2" t="s">
        <v>155</v>
      </c>
      <c r="F3060" s="2">
        <v>74.0</v>
      </c>
      <c r="G3060" s="2">
        <v>90.0</v>
      </c>
      <c r="H3060" s="2">
        <v>73.0</v>
      </c>
      <c r="I3060" s="2">
        <v>17.0</v>
      </c>
      <c r="J3060" s="2">
        <v>0.0</v>
      </c>
      <c r="K3060" s="2">
        <v>0.0</v>
      </c>
      <c r="L3060" s="2">
        <v>0.0</v>
      </c>
      <c r="M3060" s="2">
        <v>1.0</v>
      </c>
      <c r="N3060" s="2"/>
      <c r="O3060" s="2"/>
      <c r="P3060" s="2" t="s">
        <v>111</v>
      </c>
    </row>
    <row r="3061">
      <c r="A3061" s="3" t="s">
        <v>76</v>
      </c>
      <c r="B3061" s="2" t="s">
        <v>17</v>
      </c>
      <c r="C3061" s="2" t="s">
        <v>18</v>
      </c>
      <c r="D3061" s="2" t="s">
        <v>23</v>
      </c>
      <c r="E3061" s="2" t="s">
        <v>155</v>
      </c>
      <c r="F3061" s="2">
        <v>182.0</v>
      </c>
      <c r="G3061" s="2">
        <v>242.0</v>
      </c>
      <c r="H3061" s="2">
        <v>181.0</v>
      </c>
      <c r="I3061" s="2">
        <v>56.0</v>
      </c>
      <c r="J3061" s="2">
        <v>5.0</v>
      </c>
      <c r="K3061" s="2">
        <v>0.0</v>
      </c>
      <c r="L3061" s="2">
        <v>0.0</v>
      </c>
      <c r="M3061" s="2">
        <v>1.0</v>
      </c>
      <c r="N3061" s="2">
        <v>0.0</v>
      </c>
      <c r="O3061" s="2">
        <v>-180.0</v>
      </c>
      <c r="P3061" s="2" t="s">
        <v>111</v>
      </c>
    </row>
    <row r="3062">
      <c r="A3062" s="3" t="s">
        <v>77</v>
      </c>
      <c r="B3062" s="4">
        <v>44897.29166666667</v>
      </c>
      <c r="C3062" s="2" t="s">
        <v>18</v>
      </c>
      <c r="D3062" s="2" t="s">
        <v>19</v>
      </c>
      <c r="E3062" s="2" t="s">
        <v>155</v>
      </c>
      <c r="F3062" s="2"/>
      <c r="G3062" s="2">
        <v>48.0</v>
      </c>
      <c r="H3062" s="2">
        <v>44.0</v>
      </c>
      <c r="I3062" s="2">
        <v>4.0</v>
      </c>
      <c r="J3062" s="2">
        <v>0.0</v>
      </c>
      <c r="K3062" s="2">
        <v>0.0</v>
      </c>
      <c r="L3062" s="2">
        <v>0.0</v>
      </c>
      <c r="M3062" s="2"/>
      <c r="N3062" s="2"/>
      <c r="O3062" s="2"/>
      <c r="P3062" s="2" t="s">
        <v>111</v>
      </c>
    </row>
    <row r="3063">
      <c r="A3063" s="3" t="s">
        <v>78</v>
      </c>
      <c r="B3063" s="4">
        <v>44898.29166666667</v>
      </c>
      <c r="C3063" s="2" t="s">
        <v>18</v>
      </c>
      <c r="D3063" s="2" t="s">
        <v>91</v>
      </c>
      <c r="E3063" s="2" t="s">
        <v>155</v>
      </c>
      <c r="F3063" s="2"/>
      <c r="G3063" s="2">
        <v>152.0</v>
      </c>
      <c r="H3063" s="2">
        <v>108.0</v>
      </c>
      <c r="I3063" s="2">
        <v>39.0</v>
      </c>
      <c r="J3063" s="2">
        <v>5.0</v>
      </c>
      <c r="K3063" s="2">
        <v>0.0</v>
      </c>
      <c r="L3063" s="2">
        <v>0.0</v>
      </c>
      <c r="M3063" s="2"/>
      <c r="N3063" s="2"/>
      <c r="O3063" s="2"/>
      <c r="P3063" s="2" t="s">
        <v>111</v>
      </c>
    </row>
    <row r="3064">
      <c r="A3064" s="3" t="s">
        <v>81</v>
      </c>
      <c r="B3064" s="4">
        <v>45171.29166666667</v>
      </c>
      <c r="C3064" s="2" t="s">
        <v>18</v>
      </c>
      <c r="D3064" s="2" t="s">
        <v>19</v>
      </c>
      <c r="E3064" s="2" t="s">
        <v>155</v>
      </c>
      <c r="F3064" s="2"/>
      <c r="G3064" s="2">
        <v>42.0</v>
      </c>
      <c r="H3064" s="2">
        <v>29.0</v>
      </c>
      <c r="I3064" s="2">
        <v>13.0</v>
      </c>
      <c r="J3064" s="2">
        <v>0.0</v>
      </c>
      <c r="K3064" s="2">
        <v>0.0</v>
      </c>
      <c r="L3064" s="2">
        <v>0.0</v>
      </c>
      <c r="M3064" s="2"/>
      <c r="N3064" s="2"/>
      <c r="O3064" s="2"/>
      <c r="P3064" s="2" t="s">
        <v>111</v>
      </c>
    </row>
    <row r="3065">
      <c r="A3065" s="3" t="s">
        <v>82</v>
      </c>
      <c r="B3065" s="2" t="s">
        <v>17</v>
      </c>
      <c r="C3065" s="2" t="s">
        <v>18</v>
      </c>
      <c r="D3065" s="2" t="s">
        <v>19</v>
      </c>
      <c r="E3065" s="2" t="s">
        <v>27</v>
      </c>
      <c r="F3065" s="2">
        <v>43.0</v>
      </c>
      <c r="G3065" s="2">
        <v>56.0</v>
      </c>
      <c r="H3065" s="2">
        <v>44.0</v>
      </c>
      <c r="I3065" s="2">
        <v>12.0</v>
      </c>
      <c r="J3065" s="2">
        <v>0.0</v>
      </c>
      <c r="K3065" s="2">
        <v>0.0</v>
      </c>
      <c r="L3065" s="2">
        <v>0.0</v>
      </c>
      <c r="M3065" s="2">
        <v>-1.0</v>
      </c>
      <c r="N3065" s="2"/>
      <c r="O3065" s="2"/>
      <c r="P3065" s="2" t="s">
        <v>184</v>
      </c>
    </row>
    <row r="3066">
      <c r="A3066" s="3" t="s">
        <v>83</v>
      </c>
      <c r="B3066" s="2" t="s">
        <v>17</v>
      </c>
      <c r="C3066" s="2" t="s">
        <v>18</v>
      </c>
      <c r="D3066" s="2" t="s">
        <v>19</v>
      </c>
      <c r="E3066" s="2" t="s">
        <v>155</v>
      </c>
      <c r="F3066" s="2">
        <v>25.0</v>
      </c>
      <c r="G3066" s="2">
        <v>35.0</v>
      </c>
      <c r="H3066" s="2">
        <v>22.0</v>
      </c>
      <c r="I3066" s="2">
        <v>13.0</v>
      </c>
      <c r="J3066" s="2">
        <v>0.0</v>
      </c>
      <c r="K3066" s="2">
        <v>0.0</v>
      </c>
      <c r="L3066" s="2">
        <v>0.0</v>
      </c>
      <c r="M3066" s="2">
        <v>3.0</v>
      </c>
      <c r="N3066" s="2"/>
      <c r="O3066" s="2"/>
      <c r="P3066" s="2" t="s">
        <v>184</v>
      </c>
    </row>
    <row r="3067">
      <c r="A3067" s="3" t="s">
        <v>84</v>
      </c>
      <c r="B3067" s="2" t="s">
        <v>17</v>
      </c>
      <c r="C3067" s="2" t="s">
        <v>18</v>
      </c>
      <c r="D3067" s="2" t="s">
        <v>23</v>
      </c>
      <c r="E3067" s="2" t="s">
        <v>27</v>
      </c>
      <c r="F3067" s="2">
        <v>43.0</v>
      </c>
      <c r="G3067" s="2">
        <v>56.0</v>
      </c>
      <c r="H3067" s="2">
        <v>44.0</v>
      </c>
      <c r="I3067" s="2">
        <v>12.0</v>
      </c>
      <c r="J3067" s="2">
        <v>0.0</v>
      </c>
      <c r="K3067" s="2">
        <v>0.0</v>
      </c>
      <c r="L3067" s="2">
        <v>0.0</v>
      </c>
      <c r="M3067" s="2">
        <v>-1.0</v>
      </c>
      <c r="N3067" s="2">
        <v>0.0</v>
      </c>
      <c r="O3067" s="2">
        <v>-45.0</v>
      </c>
      <c r="P3067" s="2" t="s">
        <v>184</v>
      </c>
    </row>
    <row r="3068">
      <c r="A3068" s="3" t="s">
        <v>85</v>
      </c>
      <c r="B3068" s="2" t="s">
        <v>17</v>
      </c>
      <c r="C3068" s="2" t="s">
        <v>18</v>
      </c>
      <c r="D3068" s="2" t="s">
        <v>23</v>
      </c>
      <c r="E3068" s="2" t="s">
        <v>155</v>
      </c>
      <c r="F3068" s="2">
        <v>25.0</v>
      </c>
      <c r="G3068" s="2">
        <v>35.0</v>
      </c>
      <c r="H3068" s="2">
        <v>22.0</v>
      </c>
      <c r="I3068" s="2">
        <v>13.0</v>
      </c>
      <c r="J3068" s="2">
        <v>0.0</v>
      </c>
      <c r="K3068" s="2">
        <v>0.0</v>
      </c>
      <c r="L3068" s="2">
        <v>0.0</v>
      </c>
      <c r="M3068" s="2">
        <v>3.0</v>
      </c>
      <c r="N3068" s="2"/>
      <c r="O3068" s="2"/>
      <c r="P3068" s="2" t="s">
        <v>184</v>
      </c>
    </row>
    <row r="3069">
      <c r="A3069" s="3" t="s">
        <v>86</v>
      </c>
      <c r="B3069" s="4">
        <v>45170.29166666667</v>
      </c>
      <c r="C3069" s="2" t="s">
        <v>18</v>
      </c>
      <c r="D3069" s="2" t="s">
        <v>19</v>
      </c>
      <c r="E3069" s="2" t="s">
        <v>27</v>
      </c>
      <c r="F3069" s="2"/>
      <c r="G3069" s="2">
        <v>56.0</v>
      </c>
      <c r="H3069" s="2">
        <v>44.0</v>
      </c>
      <c r="I3069" s="2">
        <v>12.0</v>
      </c>
      <c r="J3069" s="2">
        <v>0.0</v>
      </c>
      <c r="K3069" s="2">
        <v>0.0</v>
      </c>
      <c r="L3069" s="2">
        <v>0.0</v>
      </c>
      <c r="M3069" s="2"/>
      <c r="N3069" s="2"/>
      <c r="O3069" s="2"/>
      <c r="P3069" s="2" t="s">
        <v>184</v>
      </c>
    </row>
    <row r="3070">
      <c r="A3070" s="3" t="s">
        <v>87</v>
      </c>
      <c r="B3070" s="4">
        <v>45171.29166666667</v>
      </c>
      <c r="C3070" s="2" t="s">
        <v>18</v>
      </c>
      <c r="D3070" s="2" t="s">
        <v>19</v>
      </c>
      <c r="E3070" s="2" t="s">
        <v>155</v>
      </c>
      <c r="F3070" s="2"/>
      <c r="G3070" s="2">
        <v>35.0</v>
      </c>
      <c r="H3070" s="2">
        <v>22.0</v>
      </c>
      <c r="I3070" s="2">
        <v>13.0</v>
      </c>
      <c r="J3070" s="2">
        <v>0.0</v>
      </c>
      <c r="K3070" s="2">
        <v>0.0</v>
      </c>
      <c r="L3070" s="2">
        <v>0.0</v>
      </c>
      <c r="M3070" s="2"/>
      <c r="N3070" s="2"/>
      <c r="O3070" s="2"/>
      <c r="P3070" s="2" t="s">
        <v>184</v>
      </c>
    </row>
    <row r="3071">
      <c r="A3071" s="3" t="s">
        <v>88</v>
      </c>
      <c r="B3071" s="2" t="s">
        <v>17</v>
      </c>
      <c r="C3071" s="2" t="s">
        <v>18</v>
      </c>
      <c r="D3071" s="2" t="s">
        <v>157</v>
      </c>
      <c r="E3071" s="2" t="s">
        <v>162</v>
      </c>
      <c r="F3071" s="2">
        <v>40.0</v>
      </c>
      <c r="G3071" s="2">
        <v>34.0</v>
      </c>
      <c r="H3071" s="2">
        <v>23.0</v>
      </c>
      <c r="I3071" s="2">
        <v>11.0</v>
      </c>
      <c r="J3071" s="2">
        <v>0.0</v>
      </c>
      <c r="K3071" s="2">
        <v>0.0</v>
      </c>
      <c r="L3071" s="2">
        <v>0.0</v>
      </c>
      <c r="M3071" s="2">
        <v>17.0</v>
      </c>
      <c r="N3071" s="2"/>
      <c r="O3071" s="2"/>
      <c r="P3071" s="2" t="s">
        <v>195</v>
      </c>
    </row>
    <row r="3072">
      <c r="A3072" s="3" t="s">
        <v>89</v>
      </c>
      <c r="B3072" s="2" t="s">
        <v>17</v>
      </c>
      <c r="C3072" s="2" t="s">
        <v>18</v>
      </c>
      <c r="D3072" s="2" t="s">
        <v>23</v>
      </c>
      <c r="E3072" s="2" t="s">
        <v>162</v>
      </c>
      <c r="F3072" s="2">
        <v>40.0</v>
      </c>
      <c r="G3072" s="2">
        <v>34.0</v>
      </c>
      <c r="H3072" s="2">
        <v>23.0</v>
      </c>
      <c r="I3072" s="2">
        <v>11.0</v>
      </c>
      <c r="J3072" s="2">
        <v>0.0</v>
      </c>
      <c r="K3072" s="2">
        <v>0.0</v>
      </c>
      <c r="L3072" s="2">
        <v>0.0</v>
      </c>
      <c r="M3072" s="2">
        <v>17.0</v>
      </c>
      <c r="N3072" s="2"/>
      <c r="O3072" s="2"/>
      <c r="P3072" s="2" t="s">
        <v>195</v>
      </c>
    </row>
    <row r="3073">
      <c r="A3073" s="3" t="s">
        <v>90</v>
      </c>
      <c r="B3073" s="4">
        <v>45171.29166666667</v>
      </c>
      <c r="C3073" s="2" t="s">
        <v>18</v>
      </c>
      <c r="D3073" s="2" t="s">
        <v>157</v>
      </c>
      <c r="E3073" s="2" t="s">
        <v>162</v>
      </c>
      <c r="F3073" s="2"/>
      <c r="G3073" s="2">
        <v>34.0</v>
      </c>
      <c r="H3073" s="2">
        <v>23.0</v>
      </c>
      <c r="I3073" s="2">
        <v>11.0</v>
      </c>
      <c r="J3073" s="2">
        <v>0.0</v>
      </c>
      <c r="K3073" s="2">
        <v>0.0</v>
      </c>
      <c r="L3073" s="2">
        <v>0.0</v>
      </c>
      <c r="M3073" s="2"/>
      <c r="N3073" s="2"/>
      <c r="O3073" s="2"/>
      <c r="P3073" s="2" t="s">
        <v>195</v>
      </c>
    </row>
    <row r="3074">
      <c r="A3074" s="3" t="s">
        <v>93</v>
      </c>
      <c r="B3074" s="2" t="s">
        <v>17</v>
      </c>
      <c r="C3074" s="2" t="s">
        <v>18</v>
      </c>
      <c r="D3074" s="2" t="s">
        <v>19</v>
      </c>
      <c r="E3074" s="2" t="s">
        <v>125</v>
      </c>
      <c r="F3074" s="2">
        <v>45.0</v>
      </c>
      <c r="G3074" s="2">
        <v>63.0</v>
      </c>
      <c r="H3074" s="2">
        <v>44.0</v>
      </c>
      <c r="I3074" s="2">
        <v>19.0</v>
      </c>
      <c r="J3074" s="2">
        <v>0.0</v>
      </c>
      <c r="K3074" s="2">
        <v>0.0</v>
      </c>
      <c r="L3074" s="2">
        <v>0.0</v>
      </c>
      <c r="M3074" s="2">
        <v>1.0</v>
      </c>
      <c r="N3074" s="2"/>
      <c r="O3074" s="2"/>
      <c r="P3074" s="2" t="s">
        <v>67</v>
      </c>
    </row>
    <row r="3075">
      <c r="A3075" s="3" t="s">
        <v>16</v>
      </c>
      <c r="B3075" s="2" t="s">
        <v>17</v>
      </c>
      <c r="C3075" s="2" t="s">
        <v>18</v>
      </c>
      <c r="D3075" s="2" t="s">
        <v>23</v>
      </c>
      <c r="E3075" s="2" t="s">
        <v>125</v>
      </c>
      <c r="F3075" s="2">
        <v>45.0</v>
      </c>
      <c r="G3075" s="2">
        <v>63.0</v>
      </c>
      <c r="H3075" s="2">
        <v>44.0</v>
      </c>
      <c r="I3075" s="2">
        <v>19.0</v>
      </c>
      <c r="J3075" s="2">
        <v>0.0</v>
      </c>
      <c r="K3075" s="2">
        <v>0.0</v>
      </c>
      <c r="L3075" s="2">
        <v>0.0</v>
      </c>
      <c r="M3075" s="2">
        <v>1.0</v>
      </c>
      <c r="N3075" s="2">
        <v>0.0</v>
      </c>
      <c r="O3075" s="2">
        <v>-43.0</v>
      </c>
      <c r="P3075" s="2" t="s">
        <v>67</v>
      </c>
    </row>
    <row r="3076">
      <c r="A3076" s="3" t="s">
        <v>94</v>
      </c>
      <c r="B3076" s="4">
        <v>45171.29166666667</v>
      </c>
      <c r="C3076" s="2" t="s">
        <v>18</v>
      </c>
      <c r="D3076" s="2" t="s">
        <v>19</v>
      </c>
      <c r="E3076" s="2" t="s">
        <v>125</v>
      </c>
      <c r="F3076" s="2"/>
      <c r="G3076" s="2">
        <v>63.0</v>
      </c>
      <c r="H3076" s="2">
        <v>44.0</v>
      </c>
      <c r="I3076" s="2">
        <v>19.0</v>
      </c>
      <c r="J3076" s="2">
        <v>0.0</v>
      </c>
      <c r="K3076" s="2">
        <v>0.0</v>
      </c>
      <c r="L3076" s="2">
        <v>0.0</v>
      </c>
      <c r="M3076" s="2"/>
      <c r="N3076" s="2"/>
      <c r="O3076" s="2"/>
      <c r="P3076" s="2" t="s">
        <v>67</v>
      </c>
    </row>
    <row r="3077">
      <c r="A3077" s="3" t="s">
        <v>95</v>
      </c>
      <c r="B3077" s="2" t="s">
        <v>17</v>
      </c>
      <c r="C3077" s="2" t="s">
        <v>18</v>
      </c>
      <c r="D3077" s="2" t="s">
        <v>109</v>
      </c>
      <c r="E3077" s="2" t="s">
        <v>390</v>
      </c>
      <c r="F3077" s="2">
        <v>22.0</v>
      </c>
      <c r="G3077" s="2">
        <v>31.0</v>
      </c>
      <c r="H3077" s="2">
        <v>22.0</v>
      </c>
      <c r="I3077" s="2">
        <v>9.0</v>
      </c>
      <c r="J3077" s="2">
        <v>0.0</v>
      </c>
      <c r="K3077" s="2">
        <v>0.0</v>
      </c>
      <c r="L3077" s="2">
        <v>0.0</v>
      </c>
      <c r="M3077" s="2">
        <v>0.0</v>
      </c>
      <c r="N3077" s="2"/>
      <c r="O3077" s="2"/>
      <c r="P3077" s="2" t="s">
        <v>195</v>
      </c>
    </row>
    <row r="3078">
      <c r="A3078" s="3" t="s">
        <v>97</v>
      </c>
      <c r="B3078" s="2" t="s">
        <v>17</v>
      </c>
      <c r="C3078" s="2" t="s">
        <v>18</v>
      </c>
      <c r="D3078" s="2" t="s">
        <v>109</v>
      </c>
      <c r="E3078" s="2" t="s">
        <v>391</v>
      </c>
      <c r="F3078" s="2">
        <v>41.0</v>
      </c>
      <c r="G3078" s="2">
        <v>79.0</v>
      </c>
      <c r="H3078" s="2">
        <v>50.0</v>
      </c>
      <c r="I3078" s="2">
        <v>29.0</v>
      </c>
      <c r="J3078" s="2">
        <v>0.0</v>
      </c>
      <c r="K3078" s="2">
        <v>0.0</v>
      </c>
      <c r="L3078" s="2">
        <v>0.0</v>
      </c>
      <c r="M3078" s="2">
        <v>-9.0</v>
      </c>
      <c r="N3078" s="2"/>
      <c r="O3078" s="2"/>
      <c r="P3078" s="2" t="s">
        <v>195</v>
      </c>
    </row>
    <row r="3079">
      <c r="A3079" s="3" t="s">
        <v>98</v>
      </c>
      <c r="B3079" s="2" t="s">
        <v>17</v>
      </c>
      <c r="C3079" s="2" t="s">
        <v>18</v>
      </c>
      <c r="D3079" s="2" t="s">
        <v>109</v>
      </c>
      <c r="E3079" s="2" t="s">
        <v>392</v>
      </c>
      <c r="F3079" s="2">
        <v>22.0</v>
      </c>
      <c r="G3079" s="2">
        <v>25.0</v>
      </c>
      <c r="H3079" s="2">
        <v>15.0</v>
      </c>
      <c r="I3079" s="2">
        <v>10.0</v>
      </c>
      <c r="J3079" s="2">
        <v>0.0</v>
      </c>
      <c r="K3079" s="2">
        <v>0.0</v>
      </c>
      <c r="L3079" s="2">
        <v>0.0</v>
      </c>
      <c r="M3079" s="2">
        <v>7.0</v>
      </c>
      <c r="N3079" s="2"/>
      <c r="O3079" s="2"/>
      <c r="P3079" s="2" t="s">
        <v>195</v>
      </c>
    </row>
    <row r="3080">
      <c r="A3080" s="3" t="s">
        <v>99</v>
      </c>
      <c r="B3080" s="2" t="s">
        <v>17</v>
      </c>
      <c r="C3080" s="2" t="s">
        <v>57</v>
      </c>
      <c r="D3080" s="2" t="s">
        <v>23</v>
      </c>
      <c r="E3080" s="2" t="s">
        <v>390</v>
      </c>
      <c r="F3080" s="2">
        <v>22.0</v>
      </c>
      <c r="G3080" s="2">
        <v>31.0</v>
      </c>
      <c r="H3080" s="2">
        <v>22.0</v>
      </c>
      <c r="I3080" s="2">
        <v>9.0</v>
      </c>
      <c r="J3080" s="2">
        <v>0.0</v>
      </c>
      <c r="K3080" s="2">
        <v>0.0</v>
      </c>
      <c r="L3080" s="2">
        <v>0.0</v>
      </c>
      <c r="M3080" s="2">
        <v>0.0</v>
      </c>
      <c r="N3080" s="2">
        <v>0.0</v>
      </c>
      <c r="O3080" s="2">
        <v>-22.0</v>
      </c>
      <c r="P3080" s="2" t="s">
        <v>195</v>
      </c>
    </row>
    <row r="3081">
      <c r="A3081" s="3" t="s">
        <v>100</v>
      </c>
      <c r="B3081" s="2" t="s">
        <v>17</v>
      </c>
      <c r="C3081" s="2" t="s">
        <v>18</v>
      </c>
      <c r="D3081" s="2" t="s">
        <v>23</v>
      </c>
      <c r="E3081" s="2" t="s">
        <v>391</v>
      </c>
      <c r="F3081" s="2">
        <v>41.0</v>
      </c>
      <c r="G3081" s="2">
        <v>79.0</v>
      </c>
      <c r="H3081" s="2">
        <v>50.0</v>
      </c>
      <c r="I3081" s="2">
        <v>29.0</v>
      </c>
      <c r="J3081" s="2">
        <v>0.0</v>
      </c>
      <c r="K3081" s="2">
        <v>0.0</v>
      </c>
      <c r="L3081" s="2">
        <v>0.0</v>
      </c>
      <c r="M3081" s="2">
        <v>-9.0</v>
      </c>
      <c r="N3081" s="2">
        <v>0.0</v>
      </c>
      <c r="O3081" s="2">
        <v>-59.0</v>
      </c>
      <c r="P3081" s="2" t="s">
        <v>195</v>
      </c>
    </row>
    <row r="3082">
      <c r="A3082" s="3" t="s">
        <v>101</v>
      </c>
      <c r="B3082" s="2" t="s">
        <v>17</v>
      </c>
      <c r="C3082" s="2" t="s">
        <v>18</v>
      </c>
      <c r="D3082" s="2" t="s">
        <v>23</v>
      </c>
      <c r="E3082" s="2" t="s">
        <v>392</v>
      </c>
      <c r="F3082" s="2">
        <v>22.0</v>
      </c>
      <c r="G3082" s="2">
        <v>25.0</v>
      </c>
      <c r="H3082" s="2">
        <v>15.0</v>
      </c>
      <c r="I3082" s="2">
        <v>10.0</v>
      </c>
      <c r="J3082" s="2">
        <v>0.0</v>
      </c>
      <c r="K3082" s="2">
        <v>0.0</v>
      </c>
      <c r="L3082" s="2">
        <v>0.0</v>
      </c>
      <c r="M3082" s="2">
        <v>7.0</v>
      </c>
      <c r="N3082" s="2">
        <v>0.0</v>
      </c>
      <c r="O3082" s="2">
        <v>-8.0</v>
      </c>
      <c r="P3082" s="2" t="s">
        <v>195</v>
      </c>
    </row>
    <row r="3083">
      <c r="A3083" s="3" t="s">
        <v>102</v>
      </c>
      <c r="B3083" s="4">
        <v>45111.29166666667</v>
      </c>
      <c r="C3083" s="2" t="s">
        <v>18</v>
      </c>
      <c r="D3083" s="2" t="s">
        <v>109</v>
      </c>
      <c r="E3083" s="2" t="s">
        <v>390</v>
      </c>
      <c r="F3083" s="2"/>
      <c r="G3083" s="2">
        <v>14.0</v>
      </c>
      <c r="H3083" s="2">
        <v>10.0</v>
      </c>
      <c r="I3083" s="2">
        <v>4.0</v>
      </c>
      <c r="J3083" s="2">
        <v>0.0</v>
      </c>
      <c r="K3083" s="2">
        <v>0.0</v>
      </c>
      <c r="L3083" s="2">
        <v>0.0</v>
      </c>
      <c r="M3083" s="2"/>
      <c r="N3083" s="2"/>
      <c r="O3083" s="2"/>
      <c r="P3083" s="2" t="s">
        <v>195</v>
      </c>
    </row>
    <row r="3084">
      <c r="A3084" s="3" t="s">
        <v>103</v>
      </c>
      <c r="B3084" s="4">
        <v>45112.29166666667</v>
      </c>
      <c r="C3084" s="2" t="s">
        <v>18</v>
      </c>
      <c r="D3084" s="2" t="s">
        <v>109</v>
      </c>
      <c r="E3084" s="2" t="s">
        <v>391</v>
      </c>
      <c r="F3084" s="2"/>
      <c r="G3084" s="2">
        <v>5.0</v>
      </c>
      <c r="H3084" s="2">
        <v>3.0</v>
      </c>
      <c r="I3084" s="2">
        <v>2.0</v>
      </c>
      <c r="J3084" s="2">
        <v>0.0</v>
      </c>
      <c r="K3084" s="2">
        <v>0.0</v>
      </c>
      <c r="L3084" s="2">
        <v>0.0</v>
      </c>
      <c r="M3084" s="2"/>
      <c r="N3084" s="2"/>
      <c r="O3084" s="2"/>
      <c r="P3084" s="2" t="s">
        <v>195</v>
      </c>
    </row>
    <row r="3085">
      <c r="A3085" s="3" t="s">
        <v>104</v>
      </c>
      <c r="B3085" s="4">
        <v>45113.29166666667</v>
      </c>
      <c r="C3085" s="2" t="s">
        <v>18</v>
      </c>
      <c r="D3085" s="2" t="s">
        <v>109</v>
      </c>
      <c r="E3085" s="2" t="s">
        <v>392</v>
      </c>
      <c r="F3085" s="2"/>
      <c r="G3085" s="2">
        <v>6.0</v>
      </c>
      <c r="H3085" s="2">
        <v>3.0</v>
      </c>
      <c r="I3085" s="2">
        <v>3.0</v>
      </c>
      <c r="J3085" s="2">
        <v>0.0</v>
      </c>
      <c r="K3085" s="2">
        <v>0.0</v>
      </c>
      <c r="L3085" s="2">
        <v>0.0</v>
      </c>
      <c r="M3085" s="2"/>
      <c r="N3085" s="2"/>
      <c r="O3085" s="2"/>
      <c r="P3085" s="2" t="s">
        <v>195</v>
      </c>
    </row>
    <row r="3086">
      <c r="A3086" s="3" t="s">
        <v>105</v>
      </c>
      <c r="B3086" s="4">
        <v>45139.29166666667</v>
      </c>
      <c r="C3086" s="2" t="s">
        <v>18</v>
      </c>
      <c r="D3086" s="2" t="s">
        <v>109</v>
      </c>
      <c r="E3086" s="2" t="s">
        <v>390</v>
      </c>
      <c r="F3086" s="2"/>
      <c r="G3086" s="2">
        <v>17.0</v>
      </c>
      <c r="H3086" s="2">
        <v>12.0</v>
      </c>
      <c r="I3086" s="2">
        <v>5.0</v>
      </c>
      <c r="J3086" s="2">
        <v>0.0</v>
      </c>
      <c r="K3086" s="2">
        <v>0.0</v>
      </c>
      <c r="L3086" s="2">
        <v>0.0</v>
      </c>
      <c r="M3086" s="2"/>
      <c r="N3086" s="2"/>
      <c r="O3086" s="2"/>
      <c r="P3086" s="2" t="s">
        <v>195</v>
      </c>
    </row>
    <row r="3087">
      <c r="A3087" s="3" t="s">
        <v>106</v>
      </c>
      <c r="B3087" s="4">
        <v>45140.29166666667</v>
      </c>
      <c r="C3087" s="2" t="s">
        <v>18</v>
      </c>
      <c r="D3087" s="2" t="s">
        <v>109</v>
      </c>
      <c r="E3087" s="2" t="s">
        <v>391</v>
      </c>
      <c r="F3087" s="2"/>
      <c r="G3087" s="2">
        <v>74.0</v>
      </c>
      <c r="H3087" s="2">
        <v>47.0</v>
      </c>
      <c r="I3087" s="2">
        <v>27.0</v>
      </c>
      <c r="J3087" s="2">
        <v>0.0</v>
      </c>
      <c r="K3087" s="2">
        <v>0.0</v>
      </c>
      <c r="L3087" s="2">
        <v>0.0</v>
      </c>
      <c r="M3087" s="2"/>
      <c r="N3087" s="2"/>
      <c r="O3087" s="2"/>
      <c r="P3087" s="2" t="s">
        <v>195</v>
      </c>
    </row>
    <row r="3088">
      <c r="A3088" s="3" t="s">
        <v>107</v>
      </c>
      <c r="B3088" s="4">
        <v>45141.29166666667</v>
      </c>
      <c r="C3088" s="2" t="s">
        <v>18</v>
      </c>
      <c r="D3088" s="2" t="s">
        <v>109</v>
      </c>
      <c r="E3088" s="2" t="s">
        <v>392</v>
      </c>
      <c r="F3088" s="2"/>
      <c r="G3088" s="2">
        <v>19.0</v>
      </c>
      <c r="H3088" s="2">
        <v>12.0</v>
      </c>
      <c r="I3088" s="2">
        <v>7.0</v>
      </c>
      <c r="J3088" s="2">
        <v>0.0</v>
      </c>
      <c r="K3088" s="2">
        <v>0.0</v>
      </c>
      <c r="L3088" s="2">
        <v>0.0</v>
      </c>
      <c r="M3088" s="2"/>
      <c r="N3088" s="2"/>
      <c r="O3088" s="2"/>
      <c r="P3088" s="2" t="s">
        <v>195</v>
      </c>
    </row>
    <row r="3089">
      <c r="A3089" s="3" t="s">
        <v>108</v>
      </c>
      <c r="B3089" s="4">
        <v>45170.29166666667</v>
      </c>
      <c r="C3089" s="2" t="s">
        <v>18</v>
      </c>
      <c r="D3089" s="2" t="s">
        <v>109</v>
      </c>
      <c r="E3089" s="2" t="s">
        <v>390</v>
      </c>
      <c r="F3089" s="2"/>
      <c r="G3089" s="2">
        <v>0.0</v>
      </c>
      <c r="H3089" s="2">
        <v>0.0</v>
      </c>
      <c r="I3089" s="2">
        <v>0.0</v>
      </c>
      <c r="J3089" s="2">
        <v>0.0</v>
      </c>
      <c r="K3089" s="2">
        <v>0.0</v>
      </c>
      <c r="L3089" s="2">
        <v>0.0</v>
      </c>
      <c r="M3089" s="2"/>
      <c r="N3089" s="2"/>
      <c r="O3089" s="2"/>
      <c r="P3089" s="2" t="s">
        <v>195</v>
      </c>
    </row>
    <row r="3090">
      <c r="A3090" s="3" t="s">
        <v>112</v>
      </c>
      <c r="B3090" s="4">
        <v>45171.29166666667</v>
      </c>
      <c r="C3090" s="2" t="s">
        <v>18</v>
      </c>
      <c r="D3090" s="2" t="s">
        <v>109</v>
      </c>
      <c r="E3090" s="2" t="s">
        <v>391</v>
      </c>
      <c r="F3090" s="2"/>
      <c r="G3090" s="2">
        <v>0.0</v>
      </c>
      <c r="H3090" s="2">
        <v>0.0</v>
      </c>
      <c r="I3090" s="2">
        <v>0.0</v>
      </c>
      <c r="J3090" s="2">
        <v>0.0</v>
      </c>
      <c r="K3090" s="2">
        <v>0.0</v>
      </c>
      <c r="L3090" s="2">
        <v>0.0</v>
      </c>
      <c r="M3090" s="2"/>
      <c r="N3090" s="2"/>
      <c r="O3090" s="2"/>
      <c r="P3090" s="2" t="s">
        <v>195</v>
      </c>
    </row>
    <row r="3091">
      <c r="A3091" s="3" t="s">
        <v>115</v>
      </c>
      <c r="B3091" s="4">
        <v>45172.29166666667</v>
      </c>
      <c r="C3091" s="2" t="s">
        <v>18</v>
      </c>
      <c r="D3091" s="2" t="s">
        <v>109</v>
      </c>
      <c r="E3091" s="2" t="s">
        <v>392</v>
      </c>
      <c r="F3091" s="2"/>
      <c r="G3091" s="2">
        <v>0.0</v>
      </c>
      <c r="H3091" s="2">
        <v>0.0</v>
      </c>
      <c r="I3091" s="2">
        <v>0.0</v>
      </c>
      <c r="J3091" s="2">
        <v>0.0</v>
      </c>
      <c r="K3091" s="2">
        <v>0.0</v>
      </c>
      <c r="L3091" s="2">
        <v>0.0</v>
      </c>
      <c r="M3091" s="2"/>
      <c r="N3091" s="2"/>
      <c r="O3091" s="2"/>
      <c r="P3091" s="2" t="s">
        <v>195</v>
      </c>
    </row>
    <row r="3092">
      <c r="A3092" s="3" t="s">
        <v>117</v>
      </c>
      <c r="B3092" s="2" t="s">
        <v>17</v>
      </c>
      <c r="C3092" s="2" t="s">
        <v>18</v>
      </c>
      <c r="D3092" s="2" t="s">
        <v>19</v>
      </c>
      <c r="E3092" s="2" t="s">
        <v>27</v>
      </c>
      <c r="F3092" s="2">
        <v>18.0</v>
      </c>
      <c r="G3092" s="2">
        <v>22.0</v>
      </c>
      <c r="H3092" s="2">
        <v>11.0</v>
      </c>
      <c r="I3092" s="2">
        <v>11.0</v>
      </c>
      <c r="J3092" s="2">
        <v>0.0</v>
      </c>
      <c r="K3092" s="2">
        <v>0.0</v>
      </c>
      <c r="L3092" s="2">
        <v>0.0</v>
      </c>
      <c r="M3092" s="2">
        <v>7.0</v>
      </c>
      <c r="N3092" s="2"/>
      <c r="O3092" s="2"/>
      <c r="P3092" s="2" t="s">
        <v>92</v>
      </c>
    </row>
    <row r="3093">
      <c r="A3093" s="3" t="s">
        <v>119</v>
      </c>
      <c r="B3093" s="2" t="s">
        <v>17</v>
      </c>
      <c r="C3093" s="2" t="s">
        <v>18</v>
      </c>
      <c r="D3093" s="2" t="s">
        <v>127</v>
      </c>
      <c r="E3093" s="2" t="s">
        <v>27</v>
      </c>
      <c r="F3093" s="2">
        <v>16.0</v>
      </c>
      <c r="G3093" s="2">
        <v>16.0</v>
      </c>
      <c r="H3093" s="2">
        <v>7.0</v>
      </c>
      <c r="I3093" s="2">
        <v>9.0</v>
      </c>
      <c r="J3093" s="2">
        <v>0.0</v>
      </c>
      <c r="K3093" s="2">
        <v>0.0</v>
      </c>
      <c r="L3093" s="2">
        <v>0.0</v>
      </c>
      <c r="M3093" s="2">
        <v>9.0</v>
      </c>
      <c r="N3093" s="2"/>
      <c r="O3093" s="2"/>
      <c r="P3093" s="2" t="s">
        <v>92</v>
      </c>
    </row>
    <row r="3094">
      <c r="A3094" s="3" t="s">
        <v>121</v>
      </c>
      <c r="B3094" s="2" t="s">
        <v>17</v>
      </c>
      <c r="C3094" s="2" t="s">
        <v>18</v>
      </c>
      <c r="D3094" s="2" t="s">
        <v>23</v>
      </c>
      <c r="E3094" s="2" t="s">
        <v>27</v>
      </c>
      <c r="F3094" s="2">
        <v>18.0</v>
      </c>
      <c r="G3094" s="2">
        <v>38.0</v>
      </c>
      <c r="H3094" s="2">
        <v>18.0</v>
      </c>
      <c r="I3094" s="2">
        <v>20.0</v>
      </c>
      <c r="J3094" s="2">
        <v>0.0</v>
      </c>
      <c r="K3094" s="2">
        <v>0.0</v>
      </c>
      <c r="L3094" s="2">
        <v>0.0</v>
      </c>
      <c r="M3094" s="2">
        <v>0.0</v>
      </c>
      <c r="N3094" s="2">
        <v>-16.0</v>
      </c>
      <c r="O3094" s="2">
        <v>-18.0</v>
      </c>
      <c r="P3094" s="2" t="s">
        <v>92</v>
      </c>
    </row>
    <row r="3095">
      <c r="A3095" s="3" t="s">
        <v>16</v>
      </c>
      <c r="B3095" s="4">
        <v>45140.29166666667</v>
      </c>
      <c r="C3095" s="2" t="s">
        <v>18</v>
      </c>
      <c r="D3095" s="2" t="s">
        <v>19</v>
      </c>
      <c r="E3095" s="2" t="s">
        <v>27</v>
      </c>
      <c r="F3095" s="2"/>
      <c r="G3095" s="2">
        <v>22.0</v>
      </c>
      <c r="H3095" s="2">
        <v>11.0</v>
      </c>
      <c r="I3095" s="2">
        <v>11.0</v>
      </c>
      <c r="J3095" s="2">
        <v>0.0</v>
      </c>
      <c r="K3095" s="2">
        <v>0.0</v>
      </c>
      <c r="L3095" s="2">
        <v>0.0</v>
      </c>
      <c r="M3095" s="2"/>
      <c r="N3095" s="2"/>
      <c r="O3095" s="2"/>
      <c r="P3095" s="2" t="s">
        <v>92</v>
      </c>
    </row>
    <row r="3096">
      <c r="A3096" s="3" t="s">
        <v>124</v>
      </c>
      <c r="B3096" s="4">
        <v>45141.29166666667</v>
      </c>
      <c r="C3096" s="2" t="s">
        <v>18</v>
      </c>
      <c r="D3096" s="2" t="s">
        <v>127</v>
      </c>
      <c r="E3096" s="2" t="s">
        <v>27</v>
      </c>
      <c r="F3096" s="2"/>
      <c r="G3096" s="2">
        <v>16.0</v>
      </c>
      <c r="H3096" s="2">
        <v>7.0</v>
      </c>
      <c r="I3096" s="2">
        <v>9.0</v>
      </c>
      <c r="J3096" s="2">
        <v>0.0</v>
      </c>
      <c r="K3096" s="2">
        <v>0.0</v>
      </c>
      <c r="L3096" s="2">
        <v>0.0</v>
      </c>
      <c r="M3096" s="2"/>
      <c r="N3096" s="2"/>
      <c r="O3096" s="2"/>
      <c r="P3096" s="2" t="s">
        <v>92</v>
      </c>
    </row>
    <row r="3097">
      <c r="A3097" s="3" t="s">
        <v>126</v>
      </c>
      <c r="B3097" s="2" t="s">
        <v>17</v>
      </c>
      <c r="C3097" s="2" t="s">
        <v>18</v>
      </c>
      <c r="D3097" s="2" t="s">
        <v>19</v>
      </c>
      <c r="E3097" s="2" t="s">
        <v>162</v>
      </c>
      <c r="F3097" s="2">
        <v>99.0</v>
      </c>
      <c r="G3097" s="2">
        <v>138.0</v>
      </c>
      <c r="H3097" s="2">
        <v>104.0</v>
      </c>
      <c r="I3097" s="2">
        <v>34.0</v>
      </c>
      <c r="J3097" s="2">
        <v>0.0</v>
      </c>
      <c r="K3097" s="2">
        <v>0.0</v>
      </c>
      <c r="L3097" s="2">
        <v>0.0</v>
      </c>
      <c r="M3097" s="2">
        <v>-5.0</v>
      </c>
      <c r="N3097" s="2"/>
      <c r="O3097" s="2"/>
      <c r="P3097" s="2" t="s">
        <v>92</v>
      </c>
    </row>
    <row r="3098">
      <c r="A3098" s="3" t="s">
        <v>128</v>
      </c>
      <c r="B3098" s="2" t="s">
        <v>17</v>
      </c>
      <c r="C3098" s="2" t="s">
        <v>113</v>
      </c>
      <c r="D3098" s="2" t="s">
        <v>109</v>
      </c>
      <c r="E3098" s="2" t="s">
        <v>162</v>
      </c>
      <c r="F3098" s="2">
        <v>80.0</v>
      </c>
      <c r="G3098" s="2">
        <v>0.0</v>
      </c>
      <c r="H3098" s="2">
        <v>0.0</v>
      </c>
      <c r="I3098" s="2">
        <v>0.0</v>
      </c>
      <c r="J3098" s="2">
        <v>0.0</v>
      </c>
      <c r="K3098" s="2">
        <v>0.0</v>
      </c>
      <c r="L3098" s="2">
        <v>0.0</v>
      </c>
      <c r="M3098" s="2">
        <v>80.0</v>
      </c>
      <c r="N3098" s="2"/>
      <c r="O3098" s="2"/>
      <c r="P3098" s="2" t="s">
        <v>92</v>
      </c>
    </row>
    <row r="3099">
      <c r="A3099" s="3" t="s">
        <v>129</v>
      </c>
      <c r="B3099" s="2" t="s">
        <v>17</v>
      </c>
      <c r="C3099" s="2" t="s">
        <v>18</v>
      </c>
      <c r="D3099" s="2" t="s">
        <v>23</v>
      </c>
      <c r="E3099" s="2" t="s">
        <v>162</v>
      </c>
      <c r="F3099" s="2">
        <v>99.0</v>
      </c>
      <c r="G3099" s="2">
        <v>138.0</v>
      </c>
      <c r="H3099" s="2">
        <v>104.0</v>
      </c>
      <c r="I3099" s="2">
        <v>34.0</v>
      </c>
      <c r="J3099" s="2">
        <v>0.0</v>
      </c>
      <c r="K3099" s="2">
        <v>0.0</v>
      </c>
      <c r="L3099" s="2">
        <v>0.0</v>
      </c>
      <c r="M3099" s="2">
        <v>-5.0</v>
      </c>
      <c r="N3099" s="2">
        <v>-80.0</v>
      </c>
      <c r="O3099" s="2">
        <v>-109.0</v>
      </c>
      <c r="P3099" s="2" t="s">
        <v>92</v>
      </c>
    </row>
    <row r="3100">
      <c r="A3100" s="3" t="s">
        <v>130</v>
      </c>
      <c r="B3100" s="4">
        <v>45111.29166666667</v>
      </c>
      <c r="C3100" s="2" t="s">
        <v>18</v>
      </c>
      <c r="D3100" s="2" t="s">
        <v>19</v>
      </c>
      <c r="E3100" s="2" t="s">
        <v>162</v>
      </c>
      <c r="F3100" s="2"/>
      <c r="G3100" s="2">
        <v>0.0</v>
      </c>
      <c r="H3100" s="2">
        <v>0.0</v>
      </c>
      <c r="I3100" s="2">
        <v>0.0</v>
      </c>
      <c r="J3100" s="2">
        <v>0.0</v>
      </c>
      <c r="K3100" s="2">
        <v>0.0</v>
      </c>
      <c r="L3100" s="2">
        <v>0.0</v>
      </c>
      <c r="M3100" s="2"/>
      <c r="N3100" s="2"/>
      <c r="O3100" s="2"/>
      <c r="P3100" s="2" t="s">
        <v>92</v>
      </c>
    </row>
    <row r="3101">
      <c r="A3101" s="3" t="s">
        <v>131</v>
      </c>
      <c r="B3101" s="4">
        <v>45111.29166666667</v>
      </c>
      <c r="C3101" s="2" t="s">
        <v>18</v>
      </c>
      <c r="D3101" s="2" t="s">
        <v>109</v>
      </c>
      <c r="E3101" s="2" t="s">
        <v>162</v>
      </c>
      <c r="F3101" s="2"/>
      <c r="G3101" s="2">
        <v>0.0</v>
      </c>
      <c r="H3101" s="2">
        <v>0.0</v>
      </c>
      <c r="I3101" s="2">
        <v>0.0</v>
      </c>
      <c r="J3101" s="2">
        <v>0.0</v>
      </c>
      <c r="K3101" s="2">
        <v>0.0</v>
      </c>
      <c r="L3101" s="2">
        <v>0.0</v>
      </c>
      <c r="M3101" s="2"/>
      <c r="N3101" s="2"/>
      <c r="O3101" s="2"/>
      <c r="P3101" s="2" t="s">
        <v>92</v>
      </c>
    </row>
    <row r="3102">
      <c r="A3102" s="3" t="s">
        <v>132</v>
      </c>
      <c r="B3102" s="4">
        <v>45139.29166666667</v>
      </c>
      <c r="C3102" s="2" t="s">
        <v>113</v>
      </c>
      <c r="D3102" s="2" t="s">
        <v>19</v>
      </c>
      <c r="E3102" s="2" t="s">
        <v>162</v>
      </c>
      <c r="F3102" s="2"/>
      <c r="G3102" s="2">
        <v>84.0</v>
      </c>
      <c r="H3102" s="2">
        <v>68.0</v>
      </c>
      <c r="I3102" s="2">
        <v>16.0</v>
      </c>
      <c r="J3102" s="2">
        <v>0.0</v>
      </c>
      <c r="K3102" s="2">
        <v>0.0</v>
      </c>
      <c r="L3102" s="2">
        <v>0.0</v>
      </c>
      <c r="M3102" s="2"/>
      <c r="N3102" s="2"/>
      <c r="O3102" s="2"/>
      <c r="P3102" s="2" t="s">
        <v>92</v>
      </c>
    </row>
    <row r="3103">
      <c r="A3103" s="3" t="s">
        <v>133</v>
      </c>
      <c r="B3103" s="4">
        <v>45139.29166666667</v>
      </c>
      <c r="C3103" s="2" t="s">
        <v>113</v>
      </c>
      <c r="D3103" s="2" t="s">
        <v>109</v>
      </c>
      <c r="E3103" s="2" t="s">
        <v>162</v>
      </c>
      <c r="F3103" s="2"/>
      <c r="G3103" s="2">
        <v>0.0</v>
      </c>
      <c r="H3103" s="2">
        <v>0.0</v>
      </c>
      <c r="I3103" s="2">
        <v>0.0</v>
      </c>
      <c r="J3103" s="2">
        <v>0.0</v>
      </c>
      <c r="K3103" s="2">
        <v>0.0</v>
      </c>
      <c r="L3103" s="2">
        <v>0.0</v>
      </c>
      <c r="M3103" s="2"/>
      <c r="N3103" s="2"/>
      <c r="O3103" s="2"/>
      <c r="P3103" s="2" t="s">
        <v>92</v>
      </c>
    </row>
    <row r="3104">
      <c r="A3104" s="3" t="s">
        <v>134</v>
      </c>
      <c r="B3104" s="4">
        <v>45170.29166666667</v>
      </c>
      <c r="C3104" s="2" t="s">
        <v>18</v>
      </c>
      <c r="D3104" s="2" t="s">
        <v>19</v>
      </c>
      <c r="E3104" s="2" t="s">
        <v>162</v>
      </c>
      <c r="F3104" s="2"/>
      <c r="G3104" s="2">
        <v>54.0</v>
      </c>
      <c r="H3104" s="2">
        <v>36.0</v>
      </c>
      <c r="I3104" s="2">
        <v>18.0</v>
      </c>
      <c r="J3104" s="2">
        <v>0.0</v>
      </c>
      <c r="K3104" s="2">
        <v>0.0</v>
      </c>
      <c r="L3104" s="2">
        <v>0.0</v>
      </c>
      <c r="M3104" s="2"/>
      <c r="N3104" s="2"/>
      <c r="O3104" s="2"/>
      <c r="P3104" s="2" t="s">
        <v>92</v>
      </c>
    </row>
    <row r="3105">
      <c r="A3105" s="3" t="s">
        <v>136</v>
      </c>
      <c r="B3105" s="4">
        <v>45170.29166666667</v>
      </c>
      <c r="C3105" s="2" t="s">
        <v>18</v>
      </c>
      <c r="D3105" s="2" t="s">
        <v>109</v>
      </c>
      <c r="E3105" s="2" t="s">
        <v>162</v>
      </c>
      <c r="F3105" s="2"/>
      <c r="G3105" s="2">
        <v>0.0</v>
      </c>
      <c r="H3105" s="2">
        <v>0.0</v>
      </c>
      <c r="I3105" s="2">
        <v>0.0</v>
      </c>
      <c r="J3105" s="2">
        <v>0.0</v>
      </c>
      <c r="K3105" s="2">
        <v>0.0</v>
      </c>
      <c r="L3105" s="2">
        <v>0.0</v>
      </c>
      <c r="M3105" s="2"/>
      <c r="N3105" s="2"/>
      <c r="O3105" s="2"/>
      <c r="P3105" s="2" t="s">
        <v>92</v>
      </c>
    </row>
    <row r="3106">
      <c r="A3106" s="3" t="s">
        <v>137</v>
      </c>
      <c r="B3106" s="2" t="s">
        <v>17</v>
      </c>
      <c r="C3106" s="2" t="s">
        <v>18</v>
      </c>
      <c r="D3106" s="2" t="s">
        <v>19</v>
      </c>
      <c r="E3106" s="2" t="s">
        <v>149</v>
      </c>
      <c r="F3106" s="2">
        <v>22.0</v>
      </c>
      <c r="G3106" s="2">
        <v>25.0</v>
      </c>
      <c r="H3106" s="2">
        <v>21.0</v>
      </c>
      <c r="I3106" s="2">
        <v>4.0</v>
      </c>
      <c r="J3106" s="2">
        <v>0.0</v>
      </c>
      <c r="K3106" s="2">
        <v>0.0</v>
      </c>
      <c r="L3106" s="2">
        <v>0.0</v>
      </c>
      <c r="M3106" s="2">
        <v>1.0</v>
      </c>
      <c r="N3106" s="2"/>
      <c r="O3106" s="2"/>
      <c r="P3106" s="2" t="s">
        <v>293</v>
      </c>
    </row>
    <row r="3107">
      <c r="A3107" s="3" t="s">
        <v>138</v>
      </c>
      <c r="B3107" s="2" t="s">
        <v>17</v>
      </c>
      <c r="C3107" s="2" t="s">
        <v>18</v>
      </c>
      <c r="D3107" s="2" t="s">
        <v>19</v>
      </c>
      <c r="E3107" s="2" t="s">
        <v>393</v>
      </c>
      <c r="F3107" s="2">
        <v>15.0</v>
      </c>
      <c r="G3107" s="2">
        <v>9.0</v>
      </c>
      <c r="H3107" s="2">
        <v>5.0</v>
      </c>
      <c r="I3107" s="2">
        <v>4.0</v>
      </c>
      <c r="J3107" s="2">
        <v>0.0</v>
      </c>
      <c r="K3107" s="2">
        <v>0.0</v>
      </c>
      <c r="L3107" s="2">
        <v>0.0</v>
      </c>
      <c r="M3107" s="2">
        <v>10.0</v>
      </c>
      <c r="N3107" s="2"/>
      <c r="O3107" s="2"/>
      <c r="P3107" s="2" t="s">
        <v>293</v>
      </c>
    </row>
    <row r="3108">
      <c r="A3108" s="3" t="s">
        <v>139</v>
      </c>
      <c r="B3108" s="2" t="s">
        <v>17</v>
      </c>
      <c r="C3108" s="2" t="s">
        <v>18</v>
      </c>
      <c r="D3108" s="2" t="s">
        <v>157</v>
      </c>
      <c r="E3108" s="2" t="s">
        <v>149</v>
      </c>
      <c r="F3108" s="2">
        <v>14.0</v>
      </c>
      <c r="G3108" s="2">
        <v>21.0</v>
      </c>
      <c r="H3108" s="2">
        <v>13.0</v>
      </c>
      <c r="I3108" s="2">
        <v>7.0</v>
      </c>
      <c r="J3108" s="2">
        <v>1.0</v>
      </c>
      <c r="K3108" s="2">
        <v>0.0</v>
      </c>
      <c r="L3108" s="2">
        <v>0.0</v>
      </c>
      <c r="M3108" s="2">
        <v>1.0</v>
      </c>
      <c r="N3108" s="2"/>
      <c r="O3108" s="2"/>
      <c r="P3108" s="2" t="s">
        <v>293</v>
      </c>
    </row>
    <row r="3109">
      <c r="A3109" s="3" t="s">
        <v>140</v>
      </c>
      <c r="B3109" s="2" t="s">
        <v>17</v>
      </c>
      <c r="C3109" s="2" t="s">
        <v>18</v>
      </c>
      <c r="D3109" s="2" t="s">
        <v>157</v>
      </c>
      <c r="E3109" s="2" t="s">
        <v>393</v>
      </c>
      <c r="F3109" s="2">
        <v>17.0</v>
      </c>
      <c r="G3109" s="2">
        <v>20.0</v>
      </c>
      <c r="H3109" s="2">
        <v>14.0</v>
      </c>
      <c r="I3109" s="2">
        <v>6.0</v>
      </c>
      <c r="J3109" s="2">
        <v>0.0</v>
      </c>
      <c r="K3109" s="2">
        <v>0.0</v>
      </c>
      <c r="L3109" s="2">
        <v>0.0</v>
      </c>
      <c r="M3109" s="2">
        <v>3.0</v>
      </c>
      <c r="N3109" s="2"/>
      <c r="O3109" s="2"/>
      <c r="P3109" s="2" t="s">
        <v>293</v>
      </c>
    </row>
    <row r="3110">
      <c r="A3110" s="3" t="s">
        <v>141</v>
      </c>
      <c r="B3110" s="2" t="s">
        <v>17</v>
      </c>
      <c r="C3110" s="2" t="s">
        <v>18</v>
      </c>
      <c r="D3110" s="2" t="s">
        <v>127</v>
      </c>
      <c r="E3110" s="2" t="s">
        <v>393</v>
      </c>
      <c r="F3110" s="2">
        <v>16.0</v>
      </c>
      <c r="G3110" s="2">
        <v>29.0</v>
      </c>
      <c r="H3110" s="2">
        <v>21.0</v>
      </c>
      <c r="I3110" s="2">
        <v>8.0</v>
      </c>
      <c r="J3110" s="2">
        <v>0.0</v>
      </c>
      <c r="K3110" s="2">
        <v>0.0</v>
      </c>
      <c r="L3110" s="2">
        <v>0.0</v>
      </c>
      <c r="M3110" s="2">
        <v>-5.0</v>
      </c>
      <c r="N3110" s="2"/>
      <c r="O3110" s="2"/>
      <c r="P3110" s="2" t="s">
        <v>293</v>
      </c>
    </row>
    <row r="3111">
      <c r="A3111" s="3" t="s">
        <v>142</v>
      </c>
      <c r="B3111" s="2" t="s">
        <v>17</v>
      </c>
      <c r="C3111" s="2" t="s">
        <v>57</v>
      </c>
      <c r="D3111" s="2" t="s">
        <v>23</v>
      </c>
      <c r="E3111" s="2" t="s">
        <v>149</v>
      </c>
      <c r="F3111" s="2">
        <v>35.0</v>
      </c>
      <c r="G3111" s="2">
        <v>46.0</v>
      </c>
      <c r="H3111" s="2">
        <v>34.0</v>
      </c>
      <c r="I3111" s="2">
        <v>11.0</v>
      </c>
      <c r="J3111" s="2">
        <v>1.0</v>
      </c>
      <c r="K3111" s="2">
        <v>0.0</v>
      </c>
      <c r="L3111" s="2">
        <v>0.0</v>
      </c>
      <c r="M3111" s="2">
        <v>1.0</v>
      </c>
      <c r="N3111" s="2">
        <v>-1.0</v>
      </c>
      <c r="O3111" s="2">
        <v>-32.0</v>
      </c>
      <c r="P3111" s="2" t="s">
        <v>293</v>
      </c>
    </row>
    <row r="3112">
      <c r="A3112" s="3" t="s">
        <v>143</v>
      </c>
      <c r="B3112" s="2" t="s">
        <v>17</v>
      </c>
      <c r="C3112" s="2" t="s">
        <v>18</v>
      </c>
      <c r="D3112" s="2" t="s">
        <v>23</v>
      </c>
      <c r="E3112" s="2" t="s">
        <v>393</v>
      </c>
      <c r="F3112" s="2">
        <v>31.0</v>
      </c>
      <c r="G3112" s="2">
        <v>58.0</v>
      </c>
      <c r="H3112" s="2">
        <v>40.0</v>
      </c>
      <c r="I3112" s="2">
        <v>18.0</v>
      </c>
      <c r="J3112" s="2">
        <v>0.0</v>
      </c>
      <c r="K3112" s="2">
        <v>0.0</v>
      </c>
      <c r="L3112" s="2">
        <v>0.0</v>
      </c>
      <c r="M3112" s="2">
        <v>-9.0</v>
      </c>
      <c r="N3112" s="2"/>
      <c r="O3112" s="2"/>
      <c r="P3112" s="2" t="s">
        <v>293</v>
      </c>
    </row>
    <row r="3113">
      <c r="A3113" s="3" t="s">
        <v>144</v>
      </c>
      <c r="B3113" s="4">
        <v>45111.29166666667</v>
      </c>
      <c r="C3113" s="2" t="s">
        <v>18</v>
      </c>
      <c r="D3113" s="2" t="s">
        <v>19</v>
      </c>
      <c r="E3113" s="2" t="s">
        <v>149</v>
      </c>
      <c r="F3113" s="2"/>
      <c r="G3113" s="2">
        <v>22.0</v>
      </c>
      <c r="H3113" s="2">
        <v>19.0</v>
      </c>
      <c r="I3113" s="2">
        <v>3.0</v>
      </c>
      <c r="J3113" s="2">
        <v>0.0</v>
      </c>
      <c r="K3113" s="2">
        <v>0.0</v>
      </c>
      <c r="L3113" s="2">
        <v>0.0</v>
      </c>
      <c r="M3113" s="2"/>
      <c r="N3113" s="2"/>
      <c r="O3113" s="2"/>
      <c r="P3113" s="2" t="s">
        <v>293</v>
      </c>
    </row>
    <row r="3114">
      <c r="A3114" s="3" t="s">
        <v>145</v>
      </c>
      <c r="B3114" s="4">
        <v>45112.29166666667</v>
      </c>
      <c r="C3114" s="2" t="s">
        <v>18</v>
      </c>
      <c r="D3114" s="2" t="s">
        <v>19</v>
      </c>
      <c r="E3114" s="2" t="s">
        <v>393</v>
      </c>
      <c r="F3114" s="2"/>
      <c r="G3114" s="2">
        <v>5.0</v>
      </c>
      <c r="H3114" s="2">
        <v>4.0</v>
      </c>
      <c r="I3114" s="2">
        <v>1.0</v>
      </c>
      <c r="J3114" s="2">
        <v>0.0</v>
      </c>
      <c r="K3114" s="2">
        <v>0.0</v>
      </c>
      <c r="L3114" s="2">
        <v>0.0</v>
      </c>
      <c r="M3114" s="2"/>
      <c r="N3114" s="2"/>
      <c r="O3114" s="2"/>
      <c r="P3114" s="2" t="s">
        <v>293</v>
      </c>
    </row>
    <row r="3115">
      <c r="A3115" s="3" t="s">
        <v>16</v>
      </c>
      <c r="B3115" s="4">
        <v>45139.29166666667</v>
      </c>
      <c r="C3115" s="2" t="s">
        <v>18</v>
      </c>
      <c r="D3115" s="2" t="s">
        <v>157</v>
      </c>
      <c r="E3115" s="2" t="s">
        <v>149</v>
      </c>
      <c r="F3115" s="2"/>
      <c r="G3115" s="2">
        <v>21.0</v>
      </c>
      <c r="H3115" s="2">
        <v>13.0</v>
      </c>
      <c r="I3115" s="2">
        <v>7.0</v>
      </c>
      <c r="J3115" s="2">
        <v>1.0</v>
      </c>
      <c r="K3115" s="2">
        <v>0.0</v>
      </c>
      <c r="L3115" s="2">
        <v>0.0</v>
      </c>
      <c r="M3115" s="2"/>
      <c r="N3115" s="2"/>
      <c r="O3115" s="2"/>
      <c r="P3115" s="2" t="s">
        <v>293</v>
      </c>
    </row>
    <row r="3116">
      <c r="A3116" s="3" t="s">
        <v>22</v>
      </c>
      <c r="B3116" s="4">
        <v>45140.29166666667</v>
      </c>
      <c r="C3116" s="2" t="s">
        <v>18</v>
      </c>
      <c r="D3116" s="2" t="s">
        <v>157</v>
      </c>
      <c r="E3116" s="2" t="s">
        <v>393</v>
      </c>
      <c r="F3116" s="2"/>
      <c r="G3116" s="2">
        <v>3.0</v>
      </c>
      <c r="H3116" s="2">
        <v>2.0</v>
      </c>
      <c r="I3116" s="2">
        <v>1.0</v>
      </c>
      <c r="J3116" s="2">
        <v>0.0</v>
      </c>
      <c r="K3116" s="2">
        <v>0.0</v>
      </c>
      <c r="L3116" s="2">
        <v>0.0</v>
      </c>
      <c r="M3116" s="2"/>
      <c r="N3116" s="2"/>
      <c r="O3116" s="2"/>
      <c r="P3116" s="2" t="s">
        <v>293</v>
      </c>
    </row>
    <row r="3117">
      <c r="A3117" s="3" t="s">
        <v>24</v>
      </c>
      <c r="B3117" s="4">
        <v>45170.29166666667</v>
      </c>
      <c r="C3117" s="2" t="s">
        <v>18</v>
      </c>
      <c r="D3117" s="2" t="s">
        <v>19</v>
      </c>
      <c r="E3117" s="2" t="s">
        <v>149</v>
      </c>
      <c r="F3117" s="2"/>
      <c r="G3117" s="2">
        <v>2.0</v>
      </c>
      <c r="H3117" s="2">
        <v>1.0</v>
      </c>
      <c r="I3117" s="2">
        <v>1.0</v>
      </c>
      <c r="J3117" s="2">
        <v>0.0</v>
      </c>
      <c r="K3117" s="2">
        <v>0.0</v>
      </c>
      <c r="L3117" s="2">
        <v>0.0</v>
      </c>
      <c r="M3117" s="2"/>
      <c r="N3117" s="2"/>
      <c r="O3117" s="2"/>
      <c r="P3117" s="2" t="s">
        <v>293</v>
      </c>
    </row>
    <row r="3118">
      <c r="A3118" s="3" t="s">
        <v>25</v>
      </c>
      <c r="B3118" s="4">
        <v>45170.29166666667</v>
      </c>
      <c r="C3118" s="2" t="s">
        <v>18</v>
      </c>
      <c r="D3118" s="2" t="s">
        <v>19</v>
      </c>
      <c r="E3118" s="2" t="s">
        <v>393</v>
      </c>
      <c r="F3118" s="2"/>
      <c r="G3118" s="2">
        <v>4.0</v>
      </c>
      <c r="H3118" s="2">
        <v>1.0</v>
      </c>
      <c r="I3118" s="2">
        <v>3.0</v>
      </c>
      <c r="J3118" s="2">
        <v>0.0</v>
      </c>
      <c r="K3118" s="2">
        <v>0.0</v>
      </c>
      <c r="L3118" s="2">
        <v>0.0</v>
      </c>
      <c r="M3118" s="2"/>
      <c r="N3118" s="2"/>
      <c r="O3118" s="2"/>
      <c r="P3118" s="2" t="s">
        <v>293</v>
      </c>
    </row>
    <row r="3119">
      <c r="A3119" s="3" t="s">
        <v>26</v>
      </c>
      <c r="B3119" s="4">
        <v>45170.29166666667</v>
      </c>
      <c r="C3119" s="2" t="s">
        <v>18</v>
      </c>
      <c r="D3119" s="2" t="s">
        <v>157</v>
      </c>
      <c r="E3119" s="2" t="s">
        <v>149</v>
      </c>
      <c r="F3119" s="2"/>
      <c r="G3119" s="2">
        <v>0.0</v>
      </c>
      <c r="H3119" s="2">
        <v>0.0</v>
      </c>
      <c r="I3119" s="2">
        <v>0.0</v>
      </c>
      <c r="J3119" s="2">
        <v>0.0</v>
      </c>
      <c r="K3119" s="2">
        <v>0.0</v>
      </c>
      <c r="L3119" s="2">
        <v>0.0</v>
      </c>
      <c r="M3119" s="2"/>
      <c r="N3119" s="2"/>
      <c r="O3119" s="2"/>
      <c r="P3119" s="2" t="s">
        <v>293</v>
      </c>
    </row>
    <row r="3120">
      <c r="A3120" s="3" t="s">
        <v>28</v>
      </c>
      <c r="B3120" s="4">
        <v>45170.29166666667</v>
      </c>
      <c r="C3120" s="2" t="s">
        <v>18</v>
      </c>
      <c r="D3120" s="2" t="s">
        <v>157</v>
      </c>
      <c r="E3120" s="2" t="s">
        <v>393</v>
      </c>
      <c r="F3120" s="2"/>
      <c r="G3120" s="2">
        <v>17.0</v>
      </c>
      <c r="H3120" s="2">
        <v>12.0</v>
      </c>
      <c r="I3120" s="2">
        <v>5.0</v>
      </c>
      <c r="J3120" s="2">
        <v>0.0</v>
      </c>
      <c r="K3120" s="2">
        <v>0.0</v>
      </c>
      <c r="L3120" s="2">
        <v>0.0</v>
      </c>
      <c r="M3120" s="2"/>
      <c r="N3120" s="2"/>
      <c r="O3120" s="2"/>
      <c r="P3120" s="2" t="s">
        <v>293</v>
      </c>
    </row>
    <row r="3121">
      <c r="A3121" s="3" t="s">
        <v>29</v>
      </c>
      <c r="B3121" s="4">
        <v>45171.29166666667</v>
      </c>
      <c r="C3121" s="2" t="s">
        <v>18</v>
      </c>
      <c r="D3121" s="2" t="s">
        <v>127</v>
      </c>
      <c r="E3121" s="2" t="s">
        <v>393</v>
      </c>
      <c r="F3121" s="2"/>
      <c r="G3121" s="2">
        <v>29.0</v>
      </c>
      <c r="H3121" s="2">
        <v>21.0</v>
      </c>
      <c r="I3121" s="2">
        <v>8.0</v>
      </c>
      <c r="J3121" s="2">
        <v>0.0</v>
      </c>
      <c r="K3121" s="2">
        <v>0.0</v>
      </c>
      <c r="L3121" s="2">
        <v>0.0</v>
      </c>
      <c r="M3121" s="2"/>
      <c r="N3121" s="2"/>
      <c r="O3121" s="2"/>
      <c r="P3121" s="2" t="s">
        <v>293</v>
      </c>
    </row>
    <row r="3122">
      <c r="A3122" s="3" t="s">
        <v>32</v>
      </c>
      <c r="B3122" s="2" t="s">
        <v>17</v>
      </c>
      <c r="C3122" s="2" t="s">
        <v>18</v>
      </c>
      <c r="D3122" s="2" t="s">
        <v>127</v>
      </c>
      <c r="E3122" s="2" t="s">
        <v>287</v>
      </c>
      <c r="F3122" s="2">
        <v>14.0</v>
      </c>
      <c r="G3122" s="2">
        <v>0.0</v>
      </c>
      <c r="H3122" s="2">
        <v>0.0</v>
      </c>
      <c r="I3122" s="2">
        <v>0.0</v>
      </c>
      <c r="J3122" s="2">
        <v>0.0</v>
      </c>
      <c r="K3122" s="2">
        <v>0.0</v>
      </c>
      <c r="L3122" s="2">
        <v>0.0</v>
      </c>
      <c r="M3122" s="2">
        <v>14.0</v>
      </c>
      <c r="N3122" s="2"/>
      <c r="O3122" s="2"/>
      <c r="P3122" s="2" t="s">
        <v>111</v>
      </c>
    </row>
    <row r="3123">
      <c r="A3123" s="3" t="s">
        <v>34</v>
      </c>
      <c r="B3123" s="2" t="s">
        <v>17</v>
      </c>
      <c r="C3123" s="2" t="s">
        <v>18</v>
      </c>
      <c r="D3123" s="2" t="s">
        <v>19</v>
      </c>
      <c r="E3123" s="2" t="s">
        <v>287</v>
      </c>
      <c r="F3123" s="2">
        <v>16.0</v>
      </c>
      <c r="G3123" s="2">
        <v>5.0</v>
      </c>
      <c r="H3123" s="2">
        <v>3.0</v>
      </c>
      <c r="I3123" s="2">
        <v>2.0</v>
      </c>
      <c r="J3123" s="2">
        <v>0.0</v>
      </c>
      <c r="K3123" s="2">
        <v>0.0</v>
      </c>
      <c r="L3123" s="2">
        <v>0.0</v>
      </c>
      <c r="M3123" s="2">
        <v>13.0</v>
      </c>
      <c r="N3123" s="2"/>
      <c r="O3123" s="2"/>
      <c r="P3123" s="2" t="s">
        <v>111</v>
      </c>
    </row>
    <row r="3124">
      <c r="A3124" s="3" t="s">
        <v>35</v>
      </c>
      <c r="B3124" s="2" t="s">
        <v>17</v>
      </c>
      <c r="C3124" s="2" t="s">
        <v>18</v>
      </c>
      <c r="D3124" s="2" t="s">
        <v>23</v>
      </c>
      <c r="E3124" s="2" t="s">
        <v>287</v>
      </c>
      <c r="F3124" s="2">
        <v>16.0</v>
      </c>
      <c r="G3124" s="2">
        <v>5.0</v>
      </c>
      <c r="H3124" s="2">
        <v>3.0</v>
      </c>
      <c r="I3124" s="2">
        <v>2.0</v>
      </c>
      <c r="J3124" s="2">
        <v>0.0</v>
      </c>
      <c r="K3124" s="2">
        <v>0.0</v>
      </c>
      <c r="L3124" s="2">
        <v>0.0</v>
      </c>
      <c r="M3124" s="2">
        <v>13.0</v>
      </c>
      <c r="N3124" s="2">
        <v>-14.0</v>
      </c>
      <c r="O3124" s="2">
        <v>10.0</v>
      </c>
      <c r="P3124" s="2" t="s">
        <v>111</v>
      </c>
    </row>
    <row r="3125">
      <c r="A3125" s="3" t="s">
        <v>36</v>
      </c>
      <c r="B3125" s="4">
        <v>45172.29166666667</v>
      </c>
      <c r="C3125" s="2" t="s">
        <v>18</v>
      </c>
      <c r="D3125" s="2" t="s">
        <v>19</v>
      </c>
      <c r="E3125" s="2" t="s">
        <v>287</v>
      </c>
      <c r="F3125" s="2"/>
      <c r="G3125" s="2">
        <v>5.0</v>
      </c>
      <c r="H3125" s="2">
        <v>3.0</v>
      </c>
      <c r="I3125" s="2">
        <v>2.0</v>
      </c>
      <c r="J3125" s="2">
        <v>0.0</v>
      </c>
      <c r="K3125" s="2">
        <v>0.0</v>
      </c>
      <c r="L3125" s="2">
        <v>0.0</v>
      </c>
      <c r="M3125" s="2"/>
      <c r="N3125" s="2"/>
      <c r="O3125" s="2"/>
      <c r="P3125" s="2" t="s">
        <v>111</v>
      </c>
    </row>
    <row r="3126">
      <c r="A3126" s="3" t="s">
        <v>37</v>
      </c>
      <c r="B3126" s="2" t="s">
        <v>17</v>
      </c>
      <c r="C3126" s="2" t="s">
        <v>18</v>
      </c>
      <c r="D3126" s="2" t="s">
        <v>91</v>
      </c>
      <c r="E3126" s="2" t="s">
        <v>116</v>
      </c>
      <c r="F3126" s="2">
        <v>58.0</v>
      </c>
      <c r="G3126" s="2">
        <v>71.0</v>
      </c>
      <c r="H3126" s="2">
        <v>57.0</v>
      </c>
      <c r="I3126" s="2">
        <v>14.0</v>
      </c>
      <c r="J3126" s="2">
        <v>0.0</v>
      </c>
      <c r="K3126" s="2">
        <v>0.0</v>
      </c>
      <c r="L3126" s="2">
        <v>0.0</v>
      </c>
      <c r="M3126" s="2">
        <v>1.0</v>
      </c>
      <c r="N3126" s="2"/>
      <c r="O3126" s="2"/>
      <c r="P3126" s="2" t="s">
        <v>67</v>
      </c>
    </row>
    <row r="3127">
      <c r="A3127" s="3" t="s">
        <v>38</v>
      </c>
      <c r="B3127" s="2" t="s">
        <v>17</v>
      </c>
      <c r="C3127" s="2" t="s">
        <v>18</v>
      </c>
      <c r="D3127" s="2" t="s">
        <v>23</v>
      </c>
      <c r="E3127" s="2" t="s">
        <v>116</v>
      </c>
      <c r="F3127" s="2">
        <v>58.0</v>
      </c>
      <c r="G3127" s="2">
        <v>71.0</v>
      </c>
      <c r="H3127" s="2">
        <v>57.0</v>
      </c>
      <c r="I3127" s="2">
        <v>14.0</v>
      </c>
      <c r="J3127" s="2">
        <v>0.0</v>
      </c>
      <c r="K3127" s="2">
        <v>0.0</v>
      </c>
      <c r="L3127" s="2">
        <v>0.0</v>
      </c>
      <c r="M3127" s="2">
        <v>1.0</v>
      </c>
      <c r="N3127" s="2">
        <v>0.0</v>
      </c>
      <c r="O3127" s="2">
        <v>-56.0</v>
      </c>
      <c r="P3127" s="2" t="s">
        <v>67</v>
      </c>
    </row>
    <row r="3128">
      <c r="A3128" s="3" t="s">
        <v>39</v>
      </c>
      <c r="B3128" s="4">
        <v>45171.29166666667</v>
      </c>
      <c r="C3128" s="2" t="s">
        <v>18</v>
      </c>
      <c r="D3128" s="2" t="s">
        <v>91</v>
      </c>
      <c r="E3128" s="2" t="s">
        <v>116</v>
      </c>
      <c r="F3128" s="2"/>
      <c r="G3128" s="2">
        <v>71.0</v>
      </c>
      <c r="H3128" s="2">
        <v>57.0</v>
      </c>
      <c r="I3128" s="2">
        <v>14.0</v>
      </c>
      <c r="J3128" s="2">
        <v>0.0</v>
      </c>
      <c r="K3128" s="2">
        <v>0.0</v>
      </c>
      <c r="L3128" s="2">
        <v>0.0</v>
      </c>
      <c r="M3128" s="2"/>
      <c r="N3128" s="2"/>
      <c r="O3128" s="2"/>
      <c r="P3128" s="2" t="s">
        <v>67</v>
      </c>
    </row>
    <row r="3129">
      <c r="A3129" s="3" t="s">
        <v>40</v>
      </c>
      <c r="B3129" s="2" t="s">
        <v>17</v>
      </c>
      <c r="C3129" s="2" t="s">
        <v>18</v>
      </c>
      <c r="D3129" s="2" t="s">
        <v>19</v>
      </c>
      <c r="E3129" s="2" t="s">
        <v>125</v>
      </c>
      <c r="F3129" s="2">
        <v>42.0</v>
      </c>
      <c r="G3129" s="2">
        <v>56.0</v>
      </c>
      <c r="H3129" s="2">
        <v>37.0</v>
      </c>
      <c r="I3129" s="2">
        <v>19.0</v>
      </c>
      <c r="J3129" s="2">
        <v>0.0</v>
      </c>
      <c r="K3129" s="2">
        <v>0.0</v>
      </c>
      <c r="L3129" s="2">
        <v>0.0</v>
      </c>
      <c r="M3129" s="2">
        <v>5.0</v>
      </c>
      <c r="N3129" s="2"/>
      <c r="O3129" s="2"/>
      <c r="P3129" s="2" t="s">
        <v>92</v>
      </c>
    </row>
    <row r="3130">
      <c r="A3130" s="3" t="s">
        <v>41</v>
      </c>
      <c r="B3130" s="2" t="s">
        <v>17</v>
      </c>
      <c r="C3130" s="2" t="s">
        <v>18</v>
      </c>
      <c r="D3130" s="2" t="s">
        <v>19</v>
      </c>
      <c r="E3130" s="2" t="s">
        <v>118</v>
      </c>
      <c r="F3130" s="2">
        <v>10.0</v>
      </c>
      <c r="G3130" s="2">
        <v>9.0</v>
      </c>
      <c r="H3130" s="2">
        <v>7.0</v>
      </c>
      <c r="I3130" s="2">
        <v>2.0</v>
      </c>
      <c r="J3130" s="2">
        <v>0.0</v>
      </c>
      <c r="K3130" s="2">
        <v>0.0</v>
      </c>
      <c r="L3130" s="2">
        <v>0.0</v>
      </c>
      <c r="M3130" s="2">
        <v>3.0</v>
      </c>
      <c r="N3130" s="2"/>
      <c r="O3130" s="2"/>
      <c r="P3130" s="2" t="s">
        <v>92</v>
      </c>
    </row>
    <row r="3131">
      <c r="A3131" s="3" t="s">
        <v>42</v>
      </c>
      <c r="B3131" s="2" t="s">
        <v>17</v>
      </c>
      <c r="C3131" s="2" t="s">
        <v>18</v>
      </c>
      <c r="D3131" s="2" t="s">
        <v>19</v>
      </c>
      <c r="E3131" s="2" t="s">
        <v>122</v>
      </c>
      <c r="F3131" s="2">
        <v>20.0</v>
      </c>
      <c r="G3131" s="2">
        <v>31.0</v>
      </c>
      <c r="H3131" s="2">
        <v>16.0</v>
      </c>
      <c r="I3131" s="2">
        <v>15.0</v>
      </c>
      <c r="J3131" s="2">
        <v>0.0</v>
      </c>
      <c r="K3131" s="2">
        <v>0.0</v>
      </c>
      <c r="L3131" s="2">
        <v>0.0</v>
      </c>
      <c r="M3131" s="2">
        <v>4.0</v>
      </c>
      <c r="N3131" s="2"/>
      <c r="O3131" s="2"/>
      <c r="P3131" s="2" t="s">
        <v>92</v>
      </c>
    </row>
    <row r="3132">
      <c r="A3132" s="3" t="s">
        <v>43</v>
      </c>
      <c r="B3132" s="2" t="s">
        <v>17</v>
      </c>
      <c r="C3132" s="2" t="s">
        <v>18</v>
      </c>
      <c r="D3132" s="2" t="s">
        <v>19</v>
      </c>
      <c r="E3132" s="2" t="s">
        <v>120</v>
      </c>
      <c r="F3132" s="2">
        <v>6.0</v>
      </c>
      <c r="G3132" s="2">
        <v>21.0</v>
      </c>
      <c r="H3132" s="2">
        <v>9.0</v>
      </c>
      <c r="I3132" s="2">
        <v>12.0</v>
      </c>
      <c r="J3132" s="2">
        <v>0.0</v>
      </c>
      <c r="K3132" s="2">
        <v>0.0</v>
      </c>
      <c r="L3132" s="2">
        <v>0.0</v>
      </c>
      <c r="M3132" s="2">
        <v>-3.0</v>
      </c>
      <c r="N3132" s="2"/>
      <c r="O3132" s="2"/>
      <c r="P3132" s="2" t="s">
        <v>92</v>
      </c>
    </row>
    <row r="3133">
      <c r="A3133" s="3" t="s">
        <v>44</v>
      </c>
      <c r="B3133" s="2" t="s">
        <v>17</v>
      </c>
      <c r="C3133" s="2" t="s">
        <v>18</v>
      </c>
      <c r="D3133" s="2" t="s">
        <v>19</v>
      </c>
      <c r="E3133" s="2" t="s">
        <v>123</v>
      </c>
      <c r="F3133" s="2">
        <v>8.0</v>
      </c>
      <c r="G3133" s="2">
        <v>10.0</v>
      </c>
      <c r="H3133" s="2">
        <v>6.0</v>
      </c>
      <c r="I3133" s="2">
        <v>4.0</v>
      </c>
      <c r="J3133" s="2">
        <v>0.0</v>
      </c>
      <c r="K3133" s="2">
        <v>0.0</v>
      </c>
      <c r="L3133" s="2">
        <v>0.0</v>
      </c>
      <c r="M3133" s="2">
        <v>2.0</v>
      </c>
      <c r="N3133" s="2"/>
      <c r="O3133" s="2"/>
      <c r="P3133" s="2" t="s">
        <v>92</v>
      </c>
    </row>
    <row r="3134">
      <c r="A3134" s="3" t="s">
        <v>45</v>
      </c>
      <c r="B3134" s="2" t="s">
        <v>17</v>
      </c>
      <c r="C3134" s="2" t="s">
        <v>18</v>
      </c>
      <c r="D3134" s="2" t="s">
        <v>19</v>
      </c>
      <c r="E3134" s="2" t="s">
        <v>342</v>
      </c>
      <c r="F3134" s="2">
        <v>8.0</v>
      </c>
      <c r="G3134" s="2">
        <v>15.0</v>
      </c>
      <c r="H3134" s="2">
        <v>8.0</v>
      </c>
      <c r="I3134" s="2">
        <v>7.0</v>
      </c>
      <c r="J3134" s="2">
        <v>0.0</v>
      </c>
      <c r="K3134" s="2">
        <v>0.0</v>
      </c>
      <c r="L3134" s="2">
        <v>0.0</v>
      </c>
      <c r="M3134" s="2">
        <v>0.0</v>
      </c>
      <c r="N3134" s="2"/>
      <c r="O3134" s="2"/>
      <c r="P3134" s="2" t="s">
        <v>92</v>
      </c>
    </row>
    <row r="3135">
      <c r="A3135" s="3" t="s">
        <v>16</v>
      </c>
      <c r="B3135" s="2" t="s">
        <v>17</v>
      </c>
      <c r="C3135" s="2" t="s">
        <v>57</v>
      </c>
      <c r="D3135" s="2" t="s">
        <v>23</v>
      </c>
      <c r="E3135" s="2" t="s">
        <v>125</v>
      </c>
      <c r="F3135" s="2">
        <v>37.0</v>
      </c>
      <c r="G3135" s="2">
        <v>56.0</v>
      </c>
      <c r="H3135" s="2">
        <v>37.0</v>
      </c>
      <c r="I3135" s="2">
        <v>19.0</v>
      </c>
      <c r="J3135" s="2">
        <v>0.0</v>
      </c>
      <c r="K3135" s="2">
        <v>0.0</v>
      </c>
      <c r="L3135" s="2">
        <v>0.0</v>
      </c>
      <c r="M3135" s="2">
        <v>0.0</v>
      </c>
      <c r="N3135" s="2">
        <v>-5.0</v>
      </c>
      <c r="O3135" s="2">
        <v>-37.0</v>
      </c>
      <c r="P3135" s="2" t="s">
        <v>92</v>
      </c>
    </row>
    <row r="3136">
      <c r="A3136" s="3" t="s">
        <v>47</v>
      </c>
      <c r="B3136" s="2" t="s">
        <v>17</v>
      </c>
      <c r="C3136" s="2" t="s">
        <v>57</v>
      </c>
      <c r="D3136" s="2" t="s">
        <v>23</v>
      </c>
      <c r="E3136" s="2" t="s">
        <v>118</v>
      </c>
      <c r="F3136" s="2">
        <v>7.0</v>
      </c>
      <c r="G3136" s="2">
        <v>9.0</v>
      </c>
      <c r="H3136" s="2">
        <v>7.0</v>
      </c>
      <c r="I3136" s="2">
        <v>2.0</v>
      </c>
      <c r="J3136" s="2">
        <v>0.0</v>
      </c>
      <c r="K3136" s="2">
        <v>0.0</v>
      </c>
      <c r="L3136" s="2">
        <v>0.0</v>
      </c>
      <c r="M3136" s="2">
        <v>0.0</v>
      </c>
      <c r="N3136" s="2">
        <v>-3.0</v>
      </c>
      <c r="O3136" s="2">
        <v>-7.0</v>
      </c>
      <c r="P3136" s="2" t="s">
        <v>92</v>
      </c>
    </row>
    <row r="3137">
      <c r="A3137" s="3" t="s">
        <v>48</v>
      </c>
      <c r="B3137" s="2" t="s">
        <v>17</v>
      </c>
      <c r="C3137" s="2" t="s">
        <v>57</v>
      </c>
      <c r="D3137" s="2" t="s">
        <v>23</v>
      </c>
      <c r="E3137" s="2" t="s">
        <v>122</v>
      </c>
      <c r="F3137" s="2">
        <v>18.0</v>
      </c>
      <c r="G3137" s="2">
        <v>31.0</v>
      </c>
      <c r="H3137" s="2">
        <v>16.0</v>
      </c>
      <c r="I3137" s="2">
        <v>15.0</v>
      </c>
      <c r="J3137" s="2">
        <v>0.0</v>
      </c>
      <c r="K3137" s="2">
        <v>0.0</v>
      </c>
      <c r="L3137" s="2">
        <v>0.0</v>
      </c>
      <c r="M3137" s="2">
        <v>2.0</v>
      </c>
      <c r="N3137" s="2">
        <v>-2.0</v>
      </c>
      <c r="O3137" s="2">
        <v>-14.0</v>
      </c>
      <c r="P3137" s="2" t="s">
        <v>92</v>
      </c>
    </row>
    <row r="3138">
      <c r="A3138" s="3" t="s">
        <v>49</v>
      </c>
      <c r="B3138" s="2" t="s">
        <v>17</v>
      </c>
      <c r="C3138" s="2" t="s">
        <v>57</v>
      </c>
      <c r="D3138" s="2" t="s">
        <v>23</v>
      </c>
      <c r="E3138" s="2" t="s">
        <v>120</v>
      </c>
      <c r="F3138" s="2">
        <v>9.0</v>
      </c>
      <c r="G3138" s="2">
        <v>21.0</v>
      </c>
      <c r="H3138" s="2">
        <v>9.0</v>
      </c>
      <c r="I3138" s="2">
        <v>12.0</v>
      </c>
      <c r="J3138" s="2">
        <v>0.0</v>
      </c>
      <c r="K3138" s="2">
        <v>0.0</v>
      </c>
      <c r="L3138" s="2">
        <v>0.0</v>
      </c>
      <c r="M3138" s="2">
        <v>0.0</v>
      </c>
      <c r="N3138" s="2">
        <v>3.0</v>
      </c>
      <c r="O3138" s="2">
        <v>-9.0</v>
      </c>
      <c r="P3138" s="2" t="s">
        <v>92</v>
      </c>
    </row>
    <row r="3139">
      <c r="A3139" s="3" t="s">
        <v>51</v>
      </c>
      <c r="B3139" s="2" t="s">
        <v>17</v>
      </c>
      <c r="C3139" s="2" t="s">
        <v>57</v>
      </c>
      <c r="D3139" s="2" t="s">
        <v>23</v>
      </c>
      <c r="E3139" s="2" t="s">
        <v>123</v>
      </c>
      <c r="F3139" s="2">
        <v>6.0</v>
      </c>
      <c r="G3139" s="2">
        <v>10.0</v>
      </c>
      <c r="H3139" s="2">
        <v>6.0</v>
      </c>
      <c r="I3139" s="2">
        <v>4.0</v>
      </c>
      <c r="J3139" s="2">
        <v>0.0</v>
      </c>
      <c r="K3139" s="2">
        <v>0.0</v>
      </c>
      <c r="L3139" s="2">
        <v>0.0</v>
      </c>
      <c r="M3139" s="2">
        <v>0.0</v>
      </c>
      <c r="N3139" s="2">
        <v>-2.0</v>
      </c>
      <c r="O3139" s="2">
        <v>-6.0</v>
      </c>
      <c r="P3139" s="2" t="s">
        <v>92</v>
      </c>
    </row>
    <row r="3140">
      <c r="A3140" s="3" t="s">
        <v>52</v>
      </c>
      <c r="B3140" s="2" t="s">
        <v>17</v>
      </c>
      <c r="C3140" s="2" t="s">
        <v>57</v>
      </c>
      <c r="D3140" s="2" t="s">
        <v>23</v>
      </c>
      <c r="E3140" s="2" t="s">
        <v>342</v>
      </c>
      <c r="F3140" s="2">
        <v>8.0</v>
      </c>
      <c r="G3140" s="2">
        <v>15.0</v>
      </c>
      <c r="H3140" s="2">
        <v>8.0</v>
      </c>
      <c r="I3140" s="2">
        <v>7.0</v>
      </c>
      <c r="J3140" s="2">
        <v>0.0</v>
      </c>
      <c r="K3140" s="2">
        <v>0.0</v>
      </c>
      <c r="L3140" s="2">
        <v>0.0</v>
      </c>
      <c r="M3140" s="2">
        <v>0.0</v>
      </c>
      <c r="N3140" s="2">
        <v>0.0</v>
      </c>
      <c r="O3140" s="2">
        <v>-8.0</v>
      </c>
      <c r="P3140" s="2" t="s">
        <v>92</v>
      </c>
    </row>
    <row r="3141">
      <c r="A3141" s="3" t="s">
        <v>53</v>
      </c>
      <c r="B3141" s="4">
        <v>45140.29166666667</v>
      </c>
      <c r="C3141" s="2" t="s">
        <v>18</v>
      </c>
      <c r="D3141" s="2" t="s">
        <v>19</v>
      </c>
      <c r="E3141" s="2" t="s">
        <v>125</v>
      </c>
      <c r="F3141" s="2"/>
      <c r="G3141" s="2">
        <v>55.0</v>
      </c>
      <c r="H3141" s="2">
        <v>37.0</v>
      </c>
      <c r="I3141" s="2">
        <v>18.0</v>
      </c>
      <c r="J3141" s="2">
        <v>0.0</v>
      </c>
      <c r="K3141" s="2">
        <v>0.0</v>
      </c>
      <c r="L3141" s="2">
        <v>0.0</v>
      </c>
      <c r="M3141" s="2"/>
      <c r="N3141" s="2"/>
      <c r="O3141" s="2"/>
      <c r="P3141" s="2" t="s">
        <v>92</v>
      </c>
    </row>
    <row r="3142">
      <c r="A3142" s="3" t="s">
        <v>54</v>
      </c>
      <c r="B3142" s="4">
        <v>45141.29166666667</v>
      </c>
      <c r="C3142" s="2" t="s">
        <v>18</v>
      </c>
      <c r="D3142" s="2" t="s">
        <v>19</v>
      </c>
      <c r="E3142" s="2" t="s">
        <v>118</v>
      </c>
      <c r="F3142" s="2"/>
      <c r="G3142" s="2">
        <v>4.0</v>
      </c>
      <c r="H3142" s="2">
        <v>2.0</v>
      </c>
      <c r="I3142" s="2">
        <v>2.0</v>
      </c>
      <c r="J3142" s="2">
        <v>0.0</v>
      </c>
      <c r="K3142" s="2">
        <v>0.0</v>
      </c>
      <c r="L3142" s="2">
        <v>0.0</v>
      </c>
      <c r="M3142" s="2"/>
      <c r="N3142" s="2"/>
      <c r="O3142" s="2"/>
      <c r="P3142" s="2" t="s">
        <v>92</v>
      </c>
    </row>
    <row r="3143">
      <c r="A3143" s="3" t="s">
        <v>55</v>
      </c>
      <c r="B3143" s="4">
        <v>45142.29166666667</v>
      </c>
      <c r="C3143" s="2" t="s">
        <v>18</v>
      </c>
      <c r="D3143" s="2" t="s">
        <v>19</v>
      </c>
      <c r="E3143" s="2" t="s">
        <v>122</v>
      </c>
      <c r="F3143" s="2"/>
      <c r="G3143" s="2">
        <v>8.0</v>
      </c>
      <c r="H3143" s="2">
        <v>4.0</v>
      </c>
      <c r="I3143" s="2">
        <v>4.0</v>
      </c>
      <c r="J3143" s="2">
        <v>0.0</v>
      </c>
      <c r="K3143" s="2">
        <v>0.0</v>
      </c>
      <c r="L3143" s="2">
        <v>0.0</v>
      </c>
      <c r="M3143" s="2"/>
      <c r="N3143" s="2"/>
      <c r="O3143" s="2"/>
      <c r="P3143" s="2" t="s">
        <v>92</v>
      </c>
    </row>
    <row r="3144">
      <c r="A3144" s="3" t="s">
        <v>56</v>
      </c>
      <c r="B3144" s="4">
        <v>45143.29166666667</v>
      </c>
      <c r="C3144" s="2" t="s">
        <v>18</v>
      </c>
      <c r="D3144" s="2" t="s">
        <v>19</v>
      </c>
      <c r="E3144" s="2" t="s">
        <v>120</v>
      </c>
      <c r="F3144" s="2"/>
      <c r="G3144" s="2">
        <v>11.0</v>
      </c>
      <c r="H3144" s="2">
        <v>2.0</v>
      </c>
      <c r="I3144" s="2">
        <v>9.0</v>
      </c>
      <c r="J3144" s="2">
        <v>0.0</v>
      </c>
      <c r="K3144" s="2">
        <v>0.0</v>
      </c>
      <c r="L3144" s="2">
        <v>0.0</v>
      </c>
      <c r="M3144" s="2"/>
      <c r="N3144" s="2"/>
      <c r="O3144" s="2"/>
      <c r="P3144" s="2" t="s">
        <v>92</v>
      </c>
    </row>
    <row r="3145">
      <c r="A3145" s="3" t="s">
        <v>59</v>
      </c>
      <c r="B3145" s="4">
        <v>45144.29166666667</v>
      </c>
      <c r="C3145" s="2" t="s">
        <v>18</v>
      </c>
      <c r="D3145" s="2" t="s">
        <v>19</v>
      </c>
      <c r="E3145" s="2" t="s">
        <v>123</v>
      </c>
      <c r="F3145" s="2"/>
      <c r="G3145" s="2">
        <v>5.0</v>
      </c>
      <c r="H3145" s="2">
        <v>3.0</v>
      </c>
      <c r="I3145" s="2">
        <v>2.0</v>
      </c>
      <c r="J3145" s="2">
        <v>0.0</v>
      </c>
      <c r="K3145" s="2">
        <v>0.0</v>
      </c>
      <c r="L3145" s="2">
        <v>0.0</v>
      </c>
      <c r="M3145" s="2"/>
      <c r="N3145" s="2"/>
      <c r="O3145" s="2"/>
      <c r="P3145" s="2" t="s">
        <v>92</v>
      </c>
    </row>
    <row r="3146">
      <c r="A3146" s="3" t="s">
        <v>60</v>
      </c>
      <c r="B3146" s="4">
        <v>45145.29166666667</v>
      </c>
      <c r="C3146" s="2" t="s">
        <v>18</v>
      </c>
      <c r="D3146" s="2" t="s">
        <v>19</v>
      </c>
      <c r="E3146" s="2" t="s">
        <v>342</v>
      </c>
      <c r="F3146" s="2"/>
      <c r="G3146" s="2">
        <v>12.0</v>
      </c>
      <c r="H3146" s="2">
        <v>6.0</v>
      </c>
      <c r="I3146" s="2">
        <v>6.0</v>
      </c>
      <c r="J3146" s="2">
        <v>0.0</v>
      </c>
      <c r="K3146" s="2">
        <v>0.0</v>
      </c>
      <c r="L3146" s="2">
        <v>0.0</v>
      </c>
      <c r="M3146" s="2"/>
      <c r="N3146" s="2"/>
      <c r="O3146" s="2"/>
      <c r="P3146" s="2" t="s">
        <v>92</v>
      </c>
    </row>
    <row r="3147">
      <c r="A3147" s="3" t="s">
        <v>61</v>
      </c>
      <c r="B3147" s="4">
        <v>45175.29166666667</v>
      </c>
      <c r="C3147" s="2" t="s">
        <v>18</v>
      </c>
      <c r="D3147" s="2" t="s">
        <v>19</v>
      </c>
      <c r="E3147" s="2" t="s">
        <v>125</v>
      </c>
      <c r="F3147" s="2"/>
      <c r="G3147" s="2">
        <v>1.0</v>
      </c>
      <c r="H3147" s="2">
        <v>0.0</v>
      </c>
      <c r="I3147" s="2">
        <v>1.0</v>
      </c>
      <c r="J3147" s="2">
        <v>0.0</v>
      </c>
      <c r="K3147" s="2">
        <v>0.0</v>
      </c>
      <c r="L3147" s="2">
        <v>0.0</v>
      </c>
      <c r="M3147" s="2"/>
      <c r="N3147" s="2"/>
      <c r="O3147" s="2"/>
      <c r="P3147" s="2" t="s">
        <v>92</v>
      </c>
    </row>
    <row r="3148">
      <c r="A3148" s="3" t="s">
        <v>62</v>
      </c>
      <c r="B3148" s="4">
        <v>45175.29166666667</v>
      </c>
      <c r="C3148" s="2" t="s">
        <v>18</v>
      </c>
      <c r="D3148" s="2" t="s">
        <v>19</v>
      </c>
      <c r="E3148" s="2" t="s">
        <v>118</v>
      </c>
      <c r="F3148" s="2"/>
      <c r="G3148" s="2">
        <v>5.0</v>
      </c>
      <c r="H3148" s="2">
        <v>5.0</v>
      </c>
      <c r="I3148" s="2">
        <v>0.0</v>
      </c>
      <c r="J3148" s="2">
        <v>0.0</v>
      </c>
      <c r="K3148" s="2">
        <v>0.0</v>
      </c>
      <c r="L3148" s="2">
        <v>0.0</v>
      </c>
      <c r="M3148" s="2"/>
      <c r="N3148" s="2"/>
      <c r="O3148" s="2"/>
      <c r="P3148" s="2" t="s">
        <v>92</v>
      </c>
    </row>
    <row r="3149">
      <c r="A3149" s="3" t="s">
        <v>63</v>
      </c>
      <c r="B3149" s="4">
        <v>45175.29166666667</v>
      </c>
      <c r="C3149" s="2" t="s">
        <v>18</v>
      </c>
      <c r="D3149" s="2" t="s">
        <v>19</v>
      </c>
      <c r="E3149" s="2" t="s">
        <v>122</v>
      </c>
      <c r="F3149" s="2"/>
      <c r="G3149" s="2">
        <v>23.0</v>
      </c>
      <c r="H3149" s="2">
        <v>12.0</v>
      </c>
      <c r="I3149" s="2">
        <v>11.0</v>
      </c>
      <c r="J3149" s="2">
        <v>0.0</v>
      </c>
      <c r="K3149" s="2">
        <v>0.0</v>
      </c>
      <c r="L3149" s="2">
        <v>0.0</v>
      </c>
      <c r="M3149" s="2"/>
      <c r="N3149" s="2"/>
      <c r="O3149" s="2"/>
      <c r="P3149" s="2" t="s">
        <v>92</v>
      </c>
    </row>
    <row r="3150">
      <c r="A3150" s="3" t="s">
        <v>64</v>
      </c>
      <c r="B3150" s="4">
        <v>45175.29166666667</v>
      </c>
      <c r="C3150" s="2" t="s">
        <v>18</v>
      </c>
      <c r="D3150" s="2" t="s">
        <v>19</v>
      </c>
      <c r="E3150" s="2" t="s">
        <v>120</v>
      </c>
      <c r="F3150" s="2"/>
      <c r="G3150" s="2">
        <v>10.0</v>
      </c>
      <c r="H3150" s="2">
        <v>7.0</v>
      </c>
      <c r="I3150" s="2">
        <v>3.0</v>
      </c>
      <c r="J3150" s="2">
        <v>0.0</v>
      </c>
      <c r="K3150" s="2">
        <v>0.0</v>
      </c>
      <c r="L3150" s="2">
        <v>0.0</v>
      </c>
      <c r="M3150" s="2"/>
      <c r="N3150" s="2"/>
      <c r="O3150" s="2"/>
      <c r="P3150" s="2" t="s">
        <v>92</v>
      </c>
    </row>
    <row r="3151">
      <c r="A3151" s="3" t="s">
        <v>65</v>
      </c>
      <c r="B3151" s="4">
        <v>45175.29166666667</v>
      </c>
      <c r="C3151" s="2" t="s">
        <v>18</v>
      </c>
      <c r="D3151" s="2" t="s">
        <v>19</v>
      </c>
      <c r="E3151" s="2" t="s">
        <v>123</v>
      </c>
      <c r="F3151" s="2"/>
      <c r="G3151" s="2">
        <v>5.0</v>
      </c>
      <c r="H3151" s="2">
        <v>3.0</v>
      </c>
      <c r="I3151" s="2">
        <v>2.0</v>
      </c>
      <c r="J3151" s="2">
        <v>0.0</v>
      </c>
      <c r="K3151" s="2">
        <v>0.0</v>
      </c>
      <c r="L3151" s="2">
        <v>0.0</v>
      </c>
      <c r="M3151" s="2"/>
      <c r="N3151" s="2"/>
      <c r="O3151" s="2"/>
      <c r="P3151" s="2" t="s">
        <v>92</v>
      </c>
    </row>
    <row r="3152">
      <c r="A3152" s="3" t="s">
        <v>66</v>
      </c>
      <c r="B3152" s="4">
        <v>45176.29166666667</v>
      </c>
      <c r="C3152" s="2" t="s">
        <v>18</v>
      </c>
      <c r="D3152" s="2" t="s">
        <v>19</v>
      </c>
      <c r="E3152" s="2" t="s">
        <v>342</v>
      </c>
      <c r="F3152" s="2"/>
      <c r="G3152" s="2">
        <v>3.0</v>
      </c>
      <c r="H3152" s="2">
        <v>2.0</v>
      </c>
      <c r="I3152" s="2">
        <v>1.0</v>
      </c>
      <c r="J3152" s="2">
        <v>0.0</v>
      </c>
      <c r="K3152" s="2">
        <v>0.0</v>
      </c>
      <c r="L3152" s="2">
        <v>0.0</v>
      </c>
      <c r="M3152" s="2"/>
      <c r="N3152" s="2"/>
      <c r="O3152" s="2"/>
      <c r="P3152" s="2" t="s">
        <v>92</v>
      </c>
    </row>
    <row r="3153">
      <c r="A3153" s="3" t="s">
        <v>68</v>
      </c>
      <c r="B3153" s="2" t="s">
        <v>17</v>
      </c>
      <c r="C3153" s="2" t="s">
        <v>18</v>
      </c>
      <c r="D3153" s="2" t="s">
        <v>30</v>
      </c>
      <c r="E3153" s="2" t="s">
        <v>149</v>
      </c>
      <c r="F3153" s="2">
        <v>23.0</v>
      </c>
      <c r="G3153" s="2">
        <v>14.0</v>
      </c>
      <c r="H3153" s="2">
        <v>10.0</v>
      </c>
      <c r="I3153" s="2">
        <v>4.0</v>
      </c>
      <c r="J3153" s="2">
        <v>0.0</v>
      </c>
      <c r="K3153" s="2">
        <v>0.0</v>
      </c>
      <c r="L3153" s="2">
        <v>0.0</v>
      </c>
      <c r="M3153" s="2">
        <v>13.0</v>
      </c>
      <c r="N3153" s="2"/>
      <c r="O3153" s="2"/>
      <c r="P3153" s="2" t="s">
        <v>92</v>
      </c>
    </row>
    <row r="3154">
      <c r="A3154" s="3" t="s">
        <v>70</v>
      </c>
      <c r="B3154" s="2" t="s">
        <v>17</v>
      </c>
      <c r="C3154" s="2" t="s">
        <v>18</v>
      </c>
      <c r="D3154" s="2" t="s">
        <v>19</v>
      </c>
      <c r="E3154" s="2" t="s">
        <v>149</v>
      </c>
      <c r="F3154" s="2">
        <v>50.0</v>
      </c>
      <c r="G3154" s="2">
        <v>56.0</v>
      </c>
      <c r="H3154" s="2">
        <v>36.0</v>
      </c>
      <c r="I3154" s="2">
        <v>18.0</v>
      </c>
      <c r="J3154" s="2">
        <v>2.0</v>
      </c>
      <c r="K3154" s="2">
        <v>0.0</v>
      </c>
      <c r="L3154" s="2">
        <v>0.0</v>
      </c>
      <c r="M3154" s="2">
        <v>14.0</v>
      </c>
      <c r="N3154" s="2"/>
      <c r="O3154" s="2"/>
      <c r="P3154" s="2" t="s">
        <v>92</v>
      </c>
    </row>
    <row r="3155">
      <c r="A3155" s="3" t="s">
        <v>16</v>
      </c>
      <c r="B3155" s="2" t="s">
        <v>17</v>
      </c>
      <c r="C3155" s="2" t="s">
        <v>18</v>
      </c>
      <c r="D3155" s="2" t="s">
        <v>23</v>
      </c>
      <c r="E3155" s="2" t="s">
        <v>149</v>
      </c>
      <c r="F3155" s="2">
        <v>50.0</v>
      </c>
      <c r="G3155" s="2">
        <v>70.0</v>
      </c>
      <c r="H3155" s="2">
        <v>46.0</v>
      </c>
      <c r="I3155" s="2">
        <v>22.0</v>
      </c>
      <c r="J3155" s="2">
        <v>2.0</v>
      </c>
      <c r="K3155" s="2">
        <v>0.0</v>
      </c>
      <c r="L3155" s="2">
        <v>0.0</v>
      </c>
      <c r="M3155" s="2">
        <v>4.0</v>
      </c>
      <c r="N3155" s="2">
        <v>-23.0</v>
      </c>
      <c r="O3155" s="2">
        <v>-42.0</v>
      </c>
      <c r="P3155" s="2" t="s">
        <v>92</v>
      </c>
    </row>
    <row r="3156">
      <c r="A3156" s="3" t="s">
        <v>71</v>
      </c>
      <c r="B3156" s="4">
        <v>45140.29166666667</v>
      </c>
      <c r="C3156" s="2" t="s">
        <v>18</v>
      </c>
      <c r="D3156" s="2" t="s">
        <v>19</v>
      </c>
      <c r="E3156" s="2" t="s">
        <v>149</v>
      </c>
      <c r="F3156" s="2"/>
      <c r="G3156" s="2">
        <v>32.0</v>
      </c>
      <c r="H3156" s="2">
        <v>17.0</v>
      </c>
      <c r="I3156" s="2">
        <v>13.0</v>
      </c>
      <c r="J3156" s="2">
        <v>2.0</v>
      </c>
      <c r="K3156" s="2">
        <v>0.0</v>
      </c>
      <c r="L3156" s="2">
        <v>0.0</v>
      </c>
      <c r="M3156" s="2"/>
      <c r="N3156" s="2"/>
      <c r="O3156" s="2"/>
      <c r="P3156" s="2" t="s">
        <v>92</v>
      </c>
    </row>
    <row r="3157">
      <c r="A3157" s="3" t="s">
        <v>72</v>
      </c>
      <c r="B3157" s="4">
        <v>45171.29166666667</v>
      </c>
      <c r="C3157" s="2" t="s">
        <v>18</v>
      </c>
      <c r="D3157" s="2" t="s">
        <v>30</v>
      </c>
      <c r="E3157" s="2" t="s">
        <v>149</v>
      </c>
      <c r="F3157" s="2"/>
      <c r="G3157" s="2">
        <v>14.0</v>
      </c>
      <c r="H3157" s="2">
        <v>10.0</v>
      </c>
      <c r="I3157" s="2">
        <v>4.0</v>
      </c>
      <c r="J3157" s="2">
        <v>0.0</v>
      </c>
      <c r="K3157" s="2">
        <v>0.0</v>
      </c>
      <c r="L3157" s="2">
        <v>0.0</v>
      </c>
      <c r="M3157" s="2"/>
      <c r="N3157" s="2"/>
      <c r="O3157" s="2"/>
      <c r="P3157" s="2" t="s">
        <v>92</v>
      </c>
    </row>
    <row r="3158">
      <c r="A3158" s="3" t="s">
        <v>73</v>
      </c>
      <c r="B3158" s="4">
        <v>45172.29166666667</v>
      </c>
      <c r="C3158" s="2" t="s">
        <v>18</v>
      </c>
      <c r="D3158" s="2" t="s">
        <v>19</v>
      </c>
      <c r="E3158" s="2" t="s">
        <v>149</v>
      </c>
      <c r="F3158" s="2"/>
      <c r="G3158" s="2">
        <v>24.0</v>
      </c>
      <c r="H3158" s="2">
        <v>19.0</v>
      </c>
      <c r="I3158" s="2">
        <v>5.0</v>
      </c>
      <c r="J3158" s="2">
        <v>0.0</v>
      </c>
      <c r="K3158" s="2">
        <v>0.0</v>
      </c>
      <c r="L3158" s="2">
        <v>0.0</v>
      </c>
      <c r="M3158" s="2"/>
      <c r="N3158" s="2"/>
      <c r="O3158" s="2"/>
      <c r="P3158" s="2" t="s">
        <v>92</v>
      </c>
    </row>
    <row r="3159">
      <c r="A3159" s="3" t="s">
        <v>74</v>
      </c>
      <c r="B3159" s="2" t="s">
        <v>17</v>
      </c>
      <c r="C3159" s="2" t="s">
        <v>18</v>
      </c>
      <c r="D3159" s="2" t="s">
        <v>164</v>
      </c>
      <c r="E3159" s="2" t="s">
        <v>165</v>
      </c>
      <c r="F3159" s="2">
        <v>150.0</v>
      </c>
      <c r="G3159" s="2">
        <v>230.0</v>
      </c>
      <c r="H3159" s="2">
        <v>154.0</v>
      </c>
      <c r="I3159" s="2">
        <v>76.0</v>
      </c>
      <c r="J3159" s="2">
        <v>0.0</v>
      </c>
      <c r="K3159" s="2">
        <v>0.0</v>
      </c>
      <c r="L3159" s="2">
        <v>0.0</v>
      </c>
      <c r="M3159" s="2">
        <v>-4.0</v>
      </c>
      <c r="N3159" s="2"/>
      <c r="O3159" s="2"/>
      <c r="P3159" s="2" t="s">
        <v>166</v>
      </c>
    </row>
    <row r="3160">
      <c r="A3160" s="3" t="s">
        <v>75</v>
      </c>
      <c r="B3160" s="2" t="s">
        <v>17</v>
      </c>
      <c r="C3160" s="2" t="s">
        <v>18</v>
      </c>
      <c r="D3160" s="2" t="s">
        <v>23</v>
      </c>
      <c r="E3160" s="2" t="s">
        <v>165</v>
      </c>
      <c r="F3160" s="2">
        <v>150.0</v>
      </c>
      <c r="G3160" s="2">
        <v>230.0</v>
      </c>
      <c r="H3160" s="2">
        <v>154.0</v>
      </c>
      <c r="I3160" s="2">
        <v>76.0</v>
      </c>
      <c r="J3160" s="2">
        <v>0.0</v>
      </c>
      <c r="K3160" s="2">
        <v>0.0</v>
      </c>
      <c r="L3160" s="2">
        <v>0.0</v>
      </c>
      <c r="M3160" s="2">
        <v>-4.0</v>
      </c>
      <c r="N3160" s="2">
        <v>0.0</v>
      </c>
      <c r="O3160" s="2">
        <v>-158.0</v>
      </c>
      <c r="P3160" s="2" t="s">
        <v>166</v>
      </c>
    </row>
    <row r="3161">
      <c r="A3161" s="3" t="s">
        <v>76</v>
      </c>
      <c r="B3161" s="4">
        <v>45171.29166666667</v>
      </c>
      <c r="C3161" s="2" t="s">
        <v>18</v>
      </c>
      <c r="D3161" s="2" t="s">
        <v>164</v>
      </c>
      <c r="E3161" s="2" t="s">
        <v>165</v>
      </c>
      <c r="F3161" s="2"/>
      <c r="G3161" s="2">
        <v>230.0</v>
      </c>
      <c r="H3161" s="2">
        <v>154.0</v>
      </c>
      <c r="I3161" s="2">
        <v>76.0</v>
      </c>
      <c r="J3161" s="2">
        <v>0.0</v>
      </c>
      <c r="K3161" s="2">
        <v>0.0</v>
      </c>
      <c r="L3161" s="2">
        <v>0.0</v>
      </c>
      <c r="M3161" s="2"/>
      <c r="N3161" s="2"/>
      <c r="O3161" s="2"/>
      <c r="P3161" s="2" t="s">
        <v>166</v>
      </c>
    </row>
    <row r="3162">
      <c r="A3162" s="3" t="s">
        <v>77</v>
      </c>
      <c r="B3162" s="2" t="s">
        <v>17</v>
      </c>
      <c r="C3162" s="2" t="s">
        <v>18</v>
      </c>
      <c r="D3162" s="2" t="s">
        <v>19</v>
      </c>
      <c r="E3162" s="2" t="s">
        <v>250</v>
      </c>
      <c r="F3162" s="2">
        <v>13.0</v>
      </c>
      <c r="G3162" s="2">
        <v>7.0</v>
      </c>
      <c r="H3162" s="2">
        <v>0.0</v>
      </c>
      <c r="I3162" s="2">
        <v>2.0</v>
      </c>
      <c r="J3162" s="2">
        <v>5.0</v>
      </c>
      <c r="K3162" s="2">
        <v>0.0</v>
      </c>
      <c r="L3162" s="2">
        <v>0.0</v>
      </c>
      <c r="M3162" s="2">
        <v>13.0</v>
      </c>
      <c r="N3162" s="2"/>
      <c r="O3162" s="2"/>
      <c r="P3162" s="2" t="s">
        <v>21</v>
      </c>
    </row>
    <row r="3163">
      <c r="A3163" s="3" t="s">
        <v>78</v>
      </c>
      <c r="B3163" s="2" t="s">
        <v>17</v>
      </c>
      <c r="C3163" s="2" t="s">
        <v>18</v>
      </c>
      <c r="D3163" s="2" t="s">
        <v>33</v>
      </c>
      <c r="E3163" s="2" t="s">
        <v>250</v>
      </c>
      <c r="F3163" s="2">
        <v>13.0</v>
      </c>
      <c r="G3163" s="2">
        <v>19.0</v>
      </c>
      <c r="H3163" s="2">
        <v>4.0</v>
      </c>
      <c r="I3163" s="2">
        <v>5.0</v>
      </c>
      <c r="J3163" s="2">
        <v>10.0</v>
      </c>
      <c r="K3163" s="2">
        <v>0.0</v>
      </c>
      <c r="L3163" s="2">
        <v>0.0</v>
      </c>
      <c r="M3163" s="2">
        <v>9.0</v>
      </c>
      <c r="N3163" s="2"/>
      <c r="O3163" s="2"/>
      <c r="P3163" s="2" t="s">
        <v>21</v>
      </c>
    </row>
    <row r="3164">
      <c r="A3164" s="3" t="s">
        <v>81</v>
      </c>
      <c r="B3164" s="2" t="s">
        <v>17</v>
      </c>
      <c r="C3164" s="2" t="s">
        <v>18</v>
      </c>
      <c r="D3164" s="2" t="s">
        <v>69</v>
      </c>
      <c r="E3164" s="2" t="s">
        <v>250</v>
      </c>
      <c r="F3164" s="2">
        <v>5.0</v>
      </c>
      <c r="G3164" s="2">
        <v>0.0</v>
      </c>
      <c r="H3164" s="2">
        <v>0.0</v>
      </c>
      <c r="I3164" s="2">
        <v>0.0</v>
      </c>
      <c r="J3164" s="2">
        <v>0.0</v>
      </c>
      <c r="K3164" s="2">
        <v>0.0</v>
      </c>
      <c r="L3164" s="2">
        <v>0.0</v>
      </c>
      <c r="M3164" s="2">
        <v>5.0</v>
      </c>
      <c r="N3164" s="2"/>
      <c r="O3164" s="2"/>
      <c r="P3164" s="2" t="s">
        <v>21</v>
      </c>
    </row>
    <row r="3165">
      <c r="A3165" s="3" t="s">
        <v>82</v>
      </c>
      <c r="B3165" s="2" t="s">
        <v>17</v>
      </c>
      <c r="C3165" s="2" t="s">
        <v>18</v>
      </c>
      <c r="D3165" s="2" t="s">
        <v>23</v>
      </c>
      <c r="E3165" s="2" t="s">
        <v>250</v>
      </c>
      <c r="F3165" s="2">
        <v>13.0</v>
      </c>
      <c r="G3165" s="2">
        <v>26.0</v>
      </c>
      <c r="H3165" s="2">
        <v>4.0</v>
      </c>
      <c r="I3165" s="2">
        <v>7.0</v>
      </c>
      <c r="J3165" s="2">
        <v>15.0</v>
      </c>
      <c r="K3165" s="2">
        <v>0.0</v>
      </c>
      <c r="L3165" s="2">
        <v>0.0</v>
      </c>
      <c r="M3165" s="2">
        <v>9.0</v>
      </c>
      <c r="N3165" s="2">
        <v>-18.0</v>
      </c>
      <c r="O3165" s="2">
        <v>5.0</v>
      </c>
      <c r="P3165" s="2" t="s">
        <v>21</v>
      </c>
    </row>
    <row r="3166">
      <c r="A3166" s="3" t="s">
        <v>83</v>
      </c>
      <c r="B3166" s="4">
        <v>44987.29166666667</v>
      </c>
      <c r="C3166" s="2" t="s">
        <v>18</v>
      </c>
      <c r="D3166" s="2" t="s">
        <v>19</v>
      </c>
      <c r="E3166" s="2" t="s">
        <v>250</v>
      </c>
      <c r="F3166" s="2"/>
      <c r="G3166" s="2">
        <v>5.0</v>
      </c>
      <c r="H3166" s="2">
        <v>0.0</v>
      </c>
      <c r="I3166" s="2">
        <v>1.0</v>
      </c>
      <c r="J3166" s="2">
        <v>4.0</v>
      </c>
      <c r="K3166" s="2">
        <v>0.0</v>
      </c>
      <c r="L3166" s="2">
        <v>0.0</v>
      </c>
      <c r="M3166" s="2"/>
      <c r="N3166" s="2"/>
      <c r="O3166" s="2"/>
      <c r="P3166" s="2" t="s">
        <v>21</v>
      </c>
    </row>
    <row r="3167">
      <c r="A3167" s="3" t="s">
        <v>84</v>
      </c>
      <c r="B3167" s="4">
        <v>45019.29166666667</v>
      </c>
      <c r="C3167" s="2" t="s">
        <v>18</v>
      </c>
      <c r="D3167" s="2" t="s">
        <v>19</v>
      </c>
      <c r="E3167" s="2" t="s">
        <v>250</v>
      </c>
      <c r="F3167" s="2"/>
      <c r="G3167" s="2">
        <v>1.0</v>
      </c>
      <c r="H3167" s="2">
        <v>0.0</v>
      </c>
      <c r="I3167" s="2">
        <v>1.0</v>
      </c>
      <c r="J3167" s="2">
        <v>0.0</v>
      </c>
      <c r="K3167" s="2">
        <v>0.0</v>
      </c>
      <c r="L3167" s="2">
        <v>0.0</v>
      </c>
      <c r="M3167" s="2"/>
      <c r="N3167" s="2"/>
      <c r="O3167" s="2"/>
      <c r="P3167" s="2" t="s">
        <v>21</v>
      </c>
    </row>
    <row r="3168">
      <c r="A3168" s="3" t="s">
        <v>85</v>
      </c>
      <c r="B3168" s="4">
        <v>45048.29166666667</v>
      </c>
      <c r="C3168" s="2" t="s">
        <v>18</v>
      </c>
      <c r="D3168" s="2" t="s">
        <v>19</v>
      </c>
      <c r="E3168" s="2" t="s">
        <v>250</v>
      </c>
      <c r="F3168" s="2"/>
      <c r="G3168" s="2">
        <v>1.0</v>
      </c>
      <c r="H3168" s="2">
        <v>0.0</v>
      </c>
      <c r="I3168" s="2">
        <v>0.0</v>
      </c>
      <c r="J3168" s="2">
        <v>1.0</v>
      </c>
      <c r="K3168" s="2">
        <v>0.0</v>
      </c>
      <c r="L3168" s="2">
        <v>0.0</v>
      </c>
      <c r="M3168" s="2"/>
      <c r="N3168" s="2"/>
      <c r="O3168" s="2"/>
      <c r="P3168" s="2" t="s">
        <v>21</v>
      </c>
    </row>
    <row r="3169">
      <c r="A3169" s="3" t="s">
        <v>86</v>
      </c>
      <c r="B3169" s="4">
        <v>45080.29166666667</v>
      </c>
      <c r="C3169" s="2" t="s">
        <v>18</v>
      </c>
      <c r="D3169" s="2" t="s">
        <v>33</v>
      </c>
      <c r="E3169" s="2" t="s">
        <v>250</v>
      </c>
      <c r="F3169" s="2"/>
      <c r="G3169" s="2">
        <v>3.0</v>
      </c>
      <c r="H3169" s="2">
        <v>1.0</v>
      </c>
      <c r="I3169" s="2">
        <v>0.0</v>
      </c>
      <c r="J3169" s="2">
        <v>2.0</v>
      </c>
      <c r="K3169" s="2">
        <v>0.0</v>
      </c>
      <c r="L3169" s="2">
        <v>0.0</v>
      </c>
      <c r="M3169" s="2"/>
      <c r="N3169" s="2"/>
      <c r="O3169" s="2"/>
      <c r="P3169" s="2" t="s">
        <v>21</v>
      </c>
    </row>
    <row r="3170">
      <c r="A3170" s="3" t="s">
        <v>87</v>
      </c>
      <c r="B3170" s="4">
        <v>45079.29166666667</v>
      </c>
      <c r="C3170" s="2" t="s">
        <v>18</v>
      </c>
      <c r="D3170" s="2" t="s">
        <v>19</v>
      </c>
      <c r="E3170" s="2" t="s">
        <v>250</v>
      </c>
      <c r="F3170" s="2"/>
      <c r="G3170" s="2">
        <v>0.0</v>
      </c>
      <c r="H3170" s="2">
        <v>0.0</v>
      </c>
      <c r="I3170" s="2">
        <v>0.0</v>
      </c>
      <c r="J3170" s="2">
        <v>0.0</v>
      </c>
      <c r="K3170" s="2">
        <v>0.0</v>
      </c>
      <c r="L3170" s="2">
        <v>0.0</v>
      </c>
      <c r="M3170" s="2"/>
      <c r="N3170" s="2"/>
      <c r="O3170" s="2"/>
      <c r="P3170" s="2" t="s">
        <v>21</v>
      </c>
    </row>
    <row r="3171">
      <c r="A3171" s="3" t="s">
        <v>88</v>
      </c>
      <c r="B3171" s="4">
        <v>45081.29166666667</v>
      </c>
      <c r="C3171" s="2" t="s">
        <v>18</v>
      </c>
      <c r="D3171" s="2" t="s">
        <v>69</v>
      </c>
      <c r="E3171" s="2" t="s">
        <v>250</v>
      </c>
      <c r="F3171" s="2"/>
      <c r="G3171" s="2">
        <v>0.0</v>
      </c>
      <c r="H3171" s="2">
        <v>0.0</v>
      </c>
      <c r="I3171" s="2">
        <v>0.0</v>
      </c>
      <c r="J3171" s="2">
        <v>0.0</v>
      </c>
      <c r="K3171" s="2">
        <v>0.0</v>
      </c>
      <c r="L3171" s="2">
        <v>0.0</v>
      </c>
      <c r="M3171" s="2"/>
      <c r="N3171" s="2"/>
      <c r="O3171" s="2"/>
      <c r="P3171" s="2" t="s">
        <v>21</v>
      </c>
    </row>
    <row r="3172">
      <c r="A3172" s="3" t="s">
        <v>89</v>
      </c>
      <c r="B3172" s="4">
        <v>45110.29166666667</v>
      </c>
      <c r="C3172" s="2" t="s">
        <v>18</v>
      </c>
      <c r="D3172" s="2" t="s">
        <v>33</v>
      </c>
      <c r="E3172" s="2" t="s">
        <v>250</v>
      </c>
      <c r="F3172" s="2"/>
      <c r="G3172" s="2">
        <v>11.0</v>
      </c>
      <c r="H3172" s="2">
        <v>3.0</v>
      </c>
      <c r="I3172" s="2">
        <v>3.0</v>
      </c>
      <c r="J3172" s="2">
        <v>5.0</v>
      </c>
      <c r="K3172" s="2">
        <v>0.0</v>
      </c>
      <c r="L3172" s="2">
        <v>0.0</v>
      </c>
      <c r="M3172" s="2"/>
      <c r="N3172" s="2"/>
      <c r="O3172" s="2"/>
      <c r="P3172" s="2" t="s">
        <v>21</v>
      </c>
    </row>
    <row r="3173">
      <c r="A3173" s="3" t="s">
        <v>90</v>
      </c>
      <c r="B3173" s="4">
        <v>45111.29166666667</v>
      </c>
      <c r="C3173" s="2" t="s">
        <v>18</v>
      </c>
      <c r="D3173" s="2" t="s">
        <v>19</v>
      </c>
      <c r="E3173" s="2" t="s">
        <v>250</v>
      </c>
      <c r="F3173" s="2"/>
      <c r="G3173" s="2">
        <v>0.0</v>
      </c>
      <c r="H3173" s="2">
        <v>0.0</v>
      </c>
      <c r="I3173" s="2">
        <v>0.0</v>
      </c>
      <c r="J3173" s="2">
        <v>0.0</v>
      </c>
      <c r="K3173" s="2">
        <v>0.0</v>
      </c>
      <c r="L3173" s="2">
        <v>0.0</v>
      </c>
      <c r="M3173" s="2"/>
      <c r="N3173" s="2"/>
      <c r="O3173" s="2"/>
      <c r="P3173" s="2" t="s">
        <v>21</v>
      </c>
    </row>
    <row r="3174">
      <c r="A3174" s="3" t="s">
        <v>93</v>
      </c>
      <c r="B3174" s="4">
        <v>45112.29166666667</v>
      </c>
      <c r="C3174" s="2" t="s">
        <v>18</v>
      </c>
      <c r="D3174" s="2" t="s">
        <v>69</v>
      </c>
      <c r="E3174" s="2" t="s">
        <v>250</v>
      </c>
      <c r="F3174" s="2"/>
      <c r="G3174" s="2">
        <v>0.0</v>
      </c>
      <c r="H3174" s="2">
        <v>0.0</v>
      </c>
      <c r="I3174" s="2">
        <v>0.0</v>
      </c>
      <c r="J3174" s="2">
        <v>0.0</v>
      </c>
      <c r="K3174" s="2">
        <v>0.0</v>
      </c>
      <c r="L3174" s="2">
        <v>0.0</v>
      </c>
      <c r="M3174" s="2"/>
      <c r="N3174" s="2"/>
      <c r="O3174" s="2"/>
      <c r="P3174" s="2" t="s">
        <v>21</v>
      </c>
    </row>
    <row r="3175">
      <c r="A3175" s="3" t="s">
        <v>16</v>
      </c>
      <c r="B3175" s="4">
        <v>45139.29166666667</v>
      </c>
      <c r="C3175" s="2" t="s">
        <v>18</v>
      </c>
      <c r="D3175" s="2" t="s">
        <v>33</v>
      </c>
      <c r="E3175" s="2" t="s">
        <v>250</v>
      </c>
      <c r="F3175" s="2"/>
      <c r="G3175" s="2">
        <v>5.0</v>
      </c>
      <c r="H3175" s="2">
        <v>0.0</v>
      </c>
      <c r="I3175" s="2">
        <v>2.0</v>
      </c>
      <c r="J3175" s="2">
        <v>3.0</v>
      </c>
      <c r="K3175" s="2">
        <v>0.0</v>
      </c>
      <c r="L3175" s="2">
        <v>0.0</v>
      </c>
      <c r="M3175" s="2"/>
      <c r="N3175" s="2"/>
      <c r="O3175" s="2"/>
      <c r="P3175" s="2" t="s">
        <v>21</v>
      </c>
    </row>
    <row r="3176">
      <c r="A3176" s="3" t="s">
        <v>94</v>
      </c>
      <c r="B3176" s="4">
        <v>45139.29166666667</v>
      </c>
      <c r="C3176" s="2" t="s">
        <v>18</v>
      </c>
      <c r="D3176" s="2" t="s">
        <v>19</v>
      </c>
      <c r="E3176" s="2" t="s">
        <v>250</v>
      </c>
      <c r="F3176" s="2"/>
      <c r="G3176" s="2">
        <v>0.0</v>
      </c>
      <c r="H3176" s="2">
        <v>0.0</v>
      </c>
      <c r="I3176" s="2">
        <v>0.0</v>
      </c>
      <c r="J3176" s="2">
        <v>0.0</v>
      </c>
      <c r="K3176" s="2">
        <v>0.0</v>
      </c>
      <c r="L3176" s="2">
        <v>0.0</v>
      </c>
      <c r="M3176" s="2"/>
      <c r="N3176" s="2"/>
      <c r="O3176" s="2"/>
      <c r="P3176" s="2" t="s">
        <v>21</v>
      </c>
    </row>
    <row r="3177">
      <c r="A3177" s="3" t="s">
        <v>95</v>
      </c>
      <c r="B3177" s="4">
        <v>45139.29166666667</v>
      </c>
      <c r="C3177" s="2" t="s">
        <v>18</v>
      </c>
      <c r="D3177" s="2" t="s">
        <v>69</v>
      </c>
      <c r="E3177" s="2" t="s">
        <v>250</v>
      </c>
      <c r="F3177" s="2"/>
      <c r="G3177" s="2">
        <v>0.0</v>
      </c>
      <c r="H3177" s="2">
        <v>0.0</v>
      </c>
      <c r="I3177" s="2">
        <v>0.0</v>
      </c>
      <c r="J3177" s="2">
        <v>0.0</v>
      </c>
      <c r="K3177" s="2">
        <v>0.0</v>
      </c>
      <c r="L3177" s="2">
        <v>0.0</v>
      </c>
      <c r="M3177" s="2"/>
      <c r="N3177" s="2"/>
      <c r="O3177" s="2"/>
      <c r="P3177" s="2" t="s">
        <v>21</v>
      </c>
    </row>
    <row r="3178">
      <c r="A3178" s="3" t="s">
        <v>97</v>
      </c>
      <c r="B3178" s="4">
        <v>45170.29166666667</v>
      </c>
      <c r="C3178" s="2" t="s">
        <v>18</v>
      </c>
      <c r="D3178" s="2" t="s">
        <v>33</v>
      </c>
      <c r="E3178" s="2" t="s">
        <v>250</v>
      </c>
      <c r="F3178" s="2"/>
      <c r="G3178" s="2">
        <v>0.0</v>
      </c>
      <c r="H3178" s="2">
        <v>0.0</v>
      </c>
      <c r="I3178" s="2">
        <v>0.0</v>
      </c>
      <c r="J3178" s="2">
        <v>0.0</v>
      </c>
      <c r="K3178" s="2">
        <v>0.0</v>
      </c>
      <c r="L3178" s="2">
        <v>0.0</v>
      </c>
      <c r="M3178" s="2"/>
      <c r="N3178" s="2"/>
      <c r="O3178" s="2"/>
      <c r="P3178" s="2" t="s">
        <v>21</v>
      </c>
    </row>
    <row r="3179">
      <c r="A3179" s="3" t="s">
        <v>98</v>
      </c>
      <c r="B3179" s="4">
        <v>45170.29166666667</v>
      </c>
      <c r="C3179" s="2" t="s">
        <v>18</v>
      </c>
      <c r="D3179" s="2" t="s">
        <v>19</v>
      </c>
      <c r="E3179" s="2" t="s">
        <v>250</v>
      </c>
      <c r="F3179" s="2"/>
      <c r="G3179" s="2">
        <v>0.0</v>
      </c>
      <c r="H3179" s="2">
        <v>0.0</v>
      </c>
      <c r="I3179" s="2">
        <v>0.0</v>
      </c>
      <c r="J3179" s="2">
        <v>0.0</v>
      </c>
      <c r="K3179" s="2">
        <v>0.0</v>
      </c>
      <c r="L3179" s="2">
        <v>0.0</v>
      </c>
      <c r="M3179" s="2"/>
      <c r="N3179" s="2"/>
      <c r="O3179" s="2"/>
      <c r="P3179" s="2" t="s">
        <v>21</v>
      </c>
    </row>
    <row r="3180">
      <c r="A3180" s="3" t="s">
        <v>99</v>
      </c>
      <c r="B3180" s="4">
        <v>45170.29166666667</v>
      </c>
      <c r="C3180" s="2" t="s">
        <v>18</v>
      </c>
      <c r="D3180" s="2" t="s">
        <v>69</v>
      </c>
      <c r="E3180" s="2" t="s">
        <v>250</v>
      </c>
      <c r="F3180" s="2"/>
      <c r="G3180" s="2">
        <v>0.0</v>
      </c>
      <c r="H3180" s="2">
        <v>0.0</v>
      </c>
      <c r="I3180" s="2">
        <v>0.0</v>
      </c>
      <c r="J3180" s="2">
        <v>0.0</v>
      </c>
      <c r="K3180" s="2">
        <v>0.0</v>
      </c>
      <c r="L3180" s="2">
        <v>0.0</v>
      </c>
      <c r="M3180" s="2"/>
      <c r="N3180" s="2"/>
      <c r="O3180" s="2"/>
      <c r="P3180" s="2" t="s">
        <v>21</v>
      </c>
    </row>
    <row r="3181">
      <c r="A3181" s="3" t="s">
        <v>100</v>
      </c>
      <c r="B3181" s="2" t="s">
        <v>17</v>
      </c>
      <c r="C3181" s="2" t="s">
        <v>18</v>
      </c>
      <c r="D3181" s="2" t="s">
        <v>19</v>
      </c>
      <c r="E3181" s="2" t="s">
        <v>394</v>
      </c>
      <c r="F3181" s="2">
        <v>43.0</v>
      </c>
      <c r="G3181" s="2">
        <v>71.0</v>
      </c>
      <c r="H3181" s="2">
        <v>43.0</v>
      </c>
      <c r="I3181" s="2">
        <v>26.0</v>
      </c>
      <c r="J3181" s="2">
        <v>2.0</v>
      </c>
      <c r="K3181" s="2">
        <v>0.0</v>
      </c>
      <c r="L3181" s="2">
        <v>0.0</v>
      </c>
      <c r="M3181" s="2">
        <v>0.0</v>
      </c>
      <c r="N3181" s="2"/>
      <c r="O3181" s="2"/>
      <c r="P3181" s="2" t="s">
        <v>92</v>
      </c>
    </row>
    <row r="3182">
      <c r="A3182" s="3" t="s">
        <v>101</v>
      </c>
      <c r="B3182" s="2" t="s">
        <v>17</v>
      </c>
      <c r="C3182" s="2" t="s">
        <v>18</v>
      </c>
      <c r="D3182" s="2" t="s">
        <v>23</v>
      </c>
      <c r="E3182" s="2" t="s">
        <v>394</v>
      </c>
      <c r="F3182" s="2">
        <v>43.0</v>
      </c>
      <c r="G3182" s="2">
        <v>71.0</v>
      </c>
      <c r="H3182" s="2">
        <v>43.0</v>
      </c>
      <c r="I3182" s="2">
        <v>26.0</v>
      </c>
      <c r="J3182" s="2">
        <v>2.0</v>
      </c>
      <c r="K3182" s="2">
        <v>0.0</v>
      </c>
      <c r="L3182" s="2">
        <v>0.0</v>
      </c>
      <c r="M3182" s="2">
        <v>0.0</v>
      </c>
      <c r="N3182" s="2">
        <v>0.0</v>
      </c>
      <c r="O3182" s="2">
        <v>-43.0</v>
      </c>
      <c r="P3182" s="2" t="s">
        <v>92</v>
      </c>
    </row>
    <row r="3183">
      <c r="A3183" s="3" t="s">
        <v>102</v>
      </c>
      <c r="B3183" s="4">
        <v>45140.29166666667</v>
      </c>
      <c r="C3183" s="2" t="s">
        <v>18</v>
      </c>
      <c r="D3183" s="2" t="s">
        <v>19</v>
      </c>
      <c r="E3183" s="2" t="s">
        <v>394</v>
      </c>
      <c r="F3183" s="2"/>
      <c r="G3183" s="2">
        <v>68.0</v>
      </c>
      <c r="H3183" s="2">
        <v>42.0</v>
      </c>
      <c r="I3183" s="2">
        <v>24.0</v>
      </c>
      <c r="J3183" s="2">
        <v>2.0</v>
      </c>
      <c r="K3183" s="2">
        <v>0.0</v>
      </c>
      <c r="L3183" s="2">
        <v>0.0</v>
      </c>
      <c r="M3183" s="2"/>
      <c r="N3183" s="2"/>
      <c r="O3183" s="2"/>
      <c r="P3183" s="2" t="s">
        <v>92</v>
      </c>
    </row>
    <row r="3184">
      <c r="A3184" s="3" t="s">
        <v>103</v>
      </c>
      <c r="B3184" s="4">
        <v>45171.29166666667</v>
      </c>
      <c r="C3184" s="2" t="s">
        <v>18</v>
      </c>
      <c r="D3184" s="2" t="s">
        <v>19</v>
      </c>
      <c r="E3184" s="2" t="s">
        <v>394</v>
      </c>
      <c r="F3184" s="2"/>
      <c r="G3184" s="2">
        <v>3.0</v>
      </c>
      <c r="H3184" s="2">
        <v>1.0</v>
      </c>
      <c r="I3184" s="2">
        <v>2.0</v>
      </c>
      <c r="J3184" s="2">
        <v>0.0</v>
      </c>
      <c r="K3184" s="2">
        <v>0.0</v>
      </c>
      <c r="L3184" s="2">
        <v>0.0</v>
      </c>
      <c r="M3184" s="2"/>
      <c r="N3184" s="2"/>
      <c r="O3184" s="2"/>
      <c r="P3184" s="2" t="s">
        <v>92</v>
      </c>
    </row>
    <row r="3185">
      <c r="A3185" s="3" t="s">
        <v>104</v>
      </c>
      <c r="B3185" s="2" t="s">
        <v>17</v>
      </c>
      <c r="C3185" s="2" t="s">
        <v>18</v>
      </c>
      <c r="D3185" s="2" t="s">
        <v>79</v>
      </c>
      <c r="E3185" s="2" t="s">
        <v>165</v>
      </c>
      <c r="F3185" s="2">
        <v>94.0</v>
      </c>
      <c r="G3185" s="2">
        <v>113.0</v>
      </c>
      <c r="H3185" s="2">
        <v>96.0</v>
      </c>
      <c r="I3185" s="2">
        <v>17.0</v>
      </c>
      <c r="J3185" s="2">
        <v>0.0</v>
      </c>
      <c r="K3185" s="2">
        <v>0.0</v>
      </c>
      <c r="L3185" s="2">
        <v>0.0</v>
      </c>
      <c r="M3185" s="2">
        <v>-2.0</v>
      </c>
      <c r="N3185" s="2"/>
      <c r="O3185" s="2"/>
      <c r="P3185" s="2" t="s">
        <v>166</v>
      </c>
    </row>
    <row r="3186">
      <c r="A3186" s="3" t="s">
        <v>105</v>
      </c>
      <c r="B3186" s="2" t="s">
        <v>17</v>
      </c>
      <c r="C3186" s="2" t="s">
        <v>18</v>
      </c>
      <c r="D3186" s="2" t="s">
        <v>23</v>
      </c>
      <c r="E3186" s="2" t="s">
        <v>165</v>
      </c>
      <c r="F3186" s="2">
        <v>94.0</v>
      </c>
      <c r="G3186" s="2">
        <v>113.0</v>
      </c>
      <c r="H3186" s="2">
        <v>96.0</v>
      </c>
      <c r="I3186" s="2">
        <v>17.0</v>
      </c>
      <c r="J3186" s="2">
        <v>0.0</v>
      </c>
      <c r="K3186" s="2">
        <v>0.0</v>
      </c>
      <c r="L3186" s="2">
        <v>0.0</v>
      </c>
      <c r="M3186" s="2">
        <v>-2.0</v>
      </c>
      <c r="N3186" s="2">
        <v>0.0</v>
      </c>
      <c r="O3186" s="2">
        <v>-98.0</v>
      </c>
      <c r="P3186" s="2" t="s">
        <v>166</v>
      </c>
    </row>
    <row r="3187">
      <c r="A3187" s="3" t="s">
        <v>106</v>
      </c>
      <c r="B3187" s="4">
        <v>45141.29166666667</v>
      </c>
      <c r="C3187" s="2" t="s">
        <v>18</v>
      </c>
      <c r="D3187" s="2" t="s">
        <v>79</v>
      </c>
      <c r="E3187" s="2" t="s">
        <v>165</v>
      </c>
      <c r="F3187" s="2"/>
      <c r="G3187" s="2">
        <v>72.0</v>
      </c>
      <c r="H3187" s="2">
        <v>63.0</v>
      </c>
      <c r="I3187" s="2">
        <v>9.0</v>
      </c>
      <c r="J3187" s="2">
        <v>0.0</v>
      </c>
      <c r="K3187" s="2">
        <v>0.0</v>
      </c>
      <c r="L3187" s="2">
        <v>0.0</v>
      </c>
      <c r="M3187" s="2"/>
      <c r="N3187" s="2"/>
      <c r="O3187" s="2"/>
      <c r="P3187" s="2" t="s">
        <v>166</v>
      </c>
    </row>
    <row r="3188">
      <c r="A3188" s="3" t="s">
        <v>107</v>
      </c>
      <c r="B3188" s="4">
        <v>45170.29166666667</v>
      </c>
      <c r="C3188" s="2" t="s">
        <v>18</v>
      </c>
      <c r="D3188" s="2" t="s">
        <v>79</v>
      </c>
      <c r="E3188" s="2" t="s">
        <v>165</v>
      </c>
      <c r="F3188" s="2"/>
      <c r="G3188" s="2">
        <v>41.0</v>
      </c>
      <c r="H3188" s="2">
        <v>33.0</v>
      </c>
      <c r="I3188" s="2">
        <v>8.0</v>
      </c>
      <c r="J3188" s="2">
        <v>0.0</v>
      </c>
      <c r="K3188" s="2">
        <v>0.0</v>
      </c>
      <c r="L3188" s="2">
        <v>0.0</v>
      </c>
      <c r="M3188" s="2"/>
      <c r="N3188" s="2"/>
      <c r="O3188" s="2"/>
      <c r="P3188" s="2" t="s">
        <v>166</v>
      </c>
    </row>
    <row r="3189">
      <c r="A3189" s="3" t="s">
        <v>108</v>
      </c>
      <c r="B3189" s="2" t="s">
        <v>17</v>
      </c>
      <c r="C3189" s="2" t="s">
        <v>18</v>
      </c>
      <c r="D3189" s="2" t="s">
        <v>164</v>
      </c>
      <c r="E3189" s="2" t="s">
        <v>165</v>
      </c>
      <c r="F3189" s="2">
        <v>100.0</v>
      </c>
      <c r="G3189" s="2">
        <v>48.0</v>
      </c>
      <c r="H3189" s="2">
        <v>32.0</v>
      </c>
      <c r="I3189" s="2">
        <v>16.0</v>
      </c>
      <c r="J3189" s="2">
        <v>0.0</v>
      </c>
      <c r="K3189" s="2">
        <v>0.0</v>
      </c>
      <c r="L3189" s="2">
        <v>0.0</v>
      </c>
      <c r="M3189" s="2">
        <v>68.0</v>
      </c>
      <c r="N3189" s="2"/>
      <c r="O3189" s="2"/>
      <c r="P3189" s="2" t="s">
        <v>166</v>
      </c>
    </row>
    <row r="3190">
      <c r="A3190" s="3" t="s">
        <v>112</v>
      </c>
      <c r="B3190" s="2" t="s">
        <v>17</v>
      </c>
      <c r="C3190" s="2" t="s">
        <v>18</v>
      </c>
      <c r="D3190" s="2" t="s">
        <v>23</v>
      </c>
      <c r="E3190" s="2" t="s">
        <v>165</v>
      </c>
      <c r="F3190" s="2">
        <v>100.0</v>
      </c>
      <c r="G3190" s="2">
        <v>48.0</v>
      </c>
      <c r="H3190" s="2">
        <v>32.0</v>
      </c>
      <c r="I3190" s="2">
        <v>16.0</v>
      </c>
      <c r="J3190" s="2">
        <v>0.0</v>
      </c>
      <c r="K3190" s="2">
        <v>0.0</v>
      </c>
      <c r="L3190" s="2">
        <v>0.0</v>
      </c>
      <c r="M3190" s="2">
        <v>68.0</v>
      </c>
      <c r="N3190" s="2">
        <v>0.0</v>
      </c>
      <c r="O3190" s="2">
        <v>36.0</v>
      </c>
      <c r="P3190" s="2" t="s">
        <v>166</v>
      </c>
    </row>
    <row r="3191">
      <c r="A3191" s="3" t="s">
        <v>115</v>
      </c>
      <c r="B3191" s="4">
        <v>45171.29166666667</v>
      </c>
      <c r="C3191" s="2" t="s">
        <v>18</v>
      </c>
      <c r="D3191" s="2" t="s">
        <v>164</v>
      </c>
      <c r="E3191" s="2" t="s">
        <v>165</v>
      </c>
      <c r="F3191" s="2"/>
      <c r="G3191" s="2">
        <v>48.0</v>
      </c>
      <c r="H3191" s="2">
        <v>32.0</v>
      </c>
      <c r="I3191" s="2">
        <v>16.0</v>
      </c>
      <c r="J3191" s="2">
        <v>0.0</v>
      </c>
      <c r="K3191" s="2">
        <v>0.0</v>
      </c>
      <c r="L3191" s="2">
        <v>0.0</v>
      </c>
      <c r="M3191" s="2"/>
      <c r="N3191" s="2"/>
      <c r="O3191" s="2"/>
      <c r="P3191" s="2" t="s">
        <v>166</v>
      </c>
    </row>
    <row r="3192">
      <c r="A3192" s="3" t="s">
        <v>117</v>
      </c>
      <c r="B3192" s="2" t="s">
        <v>17</v>
      </c>
      <c r="C3192" s="2" t="s">
        <v>18</v>
      </c>
      <c r="D3192" s="2" t="s">
        <v>164</v>
      </c>
      <c r="E3192" s="2" t="s">
        <v>165</v>
      </c>
      <c r="F3192" s="2">
        <v>94.0</v>
      </c>
      <c r="G3192" s="2">
        <v>215.0</v>
      </c>
      <c r="H3192" s="2">
        <v>106.0</v>
      </c>
      <c r="I3192" s="2">
        <v>109.0</v>
      </c>
      <c r="J3192" s="2">
        <v>0.0</v>
      </c>
      <c r="K3192" s="2">
        <v>0.0</v>
      </c>
      <c r="L3192" s="2">
        <v>0.0</v>
      </c>
      <c r="M3192" s="2">
        <v>-12.0</v>
      </c>
      <c r="N3192" s="2"/>
      <c r="O3192" s="2"/>
      <c r="P3192" s="2" t="s">
        <v>166</v>
      </c>
    </row>
    <row r="3193">
      <c r="A3193" s="3" t="s">
        <v>119</v>
      </c>
      <c r="B3193" s="2" t="s">
        <v>17</v>
      </c>
      <c r="C3193" s="2" t="s">
        <v>18</v>
      </c>
      <c r="D3193" s="2" t="s">
        <v>23</v>
      </c>
      <c r="E3193" s="2" t="s">
        <v>165</v>
      </c>
      <c r="F3193" s="2">
        <v>94.0</v>
      </c>
      <c r="G3193" s="2">
        <v>215.0</v>
      </c>
      <c r="H3193" s="2">
        <v>106.0</v>
      </c>
      <c r="I3193" s="2">
        <v>109.0</v>
      </c>
      <c r="J3193" s="2">
        <v>0.0</v>
      </c>
      <c r="K3193" s="2">
        <v>0.0</v>
      </c>
      <c r="L3193" s="2">
        <v>0.0</v>
      </c>
      <c r="M3193" s="2">
        <v>-12.0</v>
      </c>
      <c r="N3193" s="2">
        <v>0.0</v>
      </c>
      <c r="O3193" s="2">
        <v>-89.0</v>
      </c>
      <c r="P3193" s="2" t="s">
        <v>166</v>
      </c>
    </row>
    <row r="3194">
      <c r="A3194" s="3" t="s">
        <v>121</v>
      </c>
      <c r="B3194" s="4">
        <v>45048.29166666667</v>
      </c>
      <c r="C3194" s="2" t="s">
        <v>18</v>
      </c>
      <c r="D3194" s="2" t="s">
        <v>164</v>
      </c>
      <c r="E3194" s="2" t="s">
        <v>165</v>
      </c>
      <c r="F3194" s="2"/>
      <c r="G3194" s="2">
        <v>27.0</v>
      </c>
      <c r="H3194" s="2">
        <v>12.0</v>
      </c>
      <c r="I3194" s="2">
        <v>15.0</v>
      </c>
      <c r="J3194" s="2">
        <v>0.0</v>
      </c>
      <c r="K3194" s="2">
        <v>0.0</v>
      </c>
      <c r="L3194" s="2">
        <v>0.0</v>
      </c>
      <c r="M3194" s="2"/>
      <c r="N3194" s="2"/>
      <c r="O3194" s="2"/>
      <c r="P3194" s="2" t="s">
        <v>166</v>
      </c>
    </row>
    <row r="3195">
      <c r="A3195" s="3" t="s">
        <v>16</v>
      </c>
      <c r="B3195" s="4">
        <v>45078.29166666667</v>
      </c>
      <c r="C3195" s="2" t="s">
        <v>18</v>
      </c>
      <c r="D3195" s="2" t="s">
        <v>164</v>
      </c>
      <c r="E3195" s="2" t="s">
        <v>165</v>
      </c>
      <c r="F3195" s="2"/>
      <c r="G3195" s="2">
        <v>97.0</v>
      </c>
      <c r="H3195" s="2">
        <v>52.0</v>
      </c>
      <c r="I3195" s="2">
        <v>45.0</v>
      </c>
      <c r="J3195" s="2">
        <v>0.0</v>
      </c>
      <c r="K3195" s="2">
        <v>0.0</v>
      </c>
      <c r="L3195" s="2">
        <v>0.0</v>
      </c>
      <c r="M3195" s="2"/>
      <c r="N3195" s="2"/>
      <c r="O3195" s="2"/>
      <c r="P3195" s="2" t="s">
        <v>166</v>
      </c>
    </row>
    <row r="3196">
      <c r="A3196" s="3" t="s">
        <v>124</v>
      </c>
      <c r="B3196" s="4">
        <v>45170.29166666667</v>
      </c>
      <c r="C3196" s="2" t="s">
        <v>18</v>
      </c>
      <c r="D3196" s="2" t="s">
        <v>164</v>
      </c>
      <c r="E3196" s="2" t="s">
        <v>165</v>
      </c>
      <c r="F3196" s="2"/>
      <c r="G3196" s="2">
        <v>23.0</v>
      </c>
      <c r="H3196" s="2">
        <v>13.0</v>
      </c>
      <c r="I3196" s="2">
        <v>10.0</v>
      </c>
      <c r="J3196" s="2">
        <v>0.0</v>
      </c>
      <c r="K3196" s="2">
        <v>0.0</v>
      </c>
      <c r="L3196" s="2">
        <v>0.0</v>
      </c>
      <c r="M3196" s="2"/>
      <c r="N3196" s="2"/>
      <c r="O3196" s="2"/>
      <c r="P3196" s="2" t="s">
        <v>166</v>
      </c>
    </row>
    <row r="3197">
      <c r="A3197" s="3" t="s">
        <v>126</v>
      </c>
      <c r="B3197" s="2" t="s">
        <v>17</v>
      </c>
      <c r="C3197" s="2" t="s">
        <v>18</v>
      </c>
      <c r="D3197" s="2" t="s">
        <v>79</v>
      </c>
      <c r="E3197" s="2" t="s">
        <v>165</v>
      </c>
      <c r="F3197" s="2">
        <v>1000.0</v>
      </c>
      <c r="G3197" s="2">
        <v>1216.0</v>
      </c>
      <c r="H3197" s="2">
        <v>170.0</v>
      </c>
      <c r="I3197" s="2">
        <v>1046.0</v>
      </c>
      <c r="J3197" s="2">
        <v>0.0</v>
      </c>
      <c r="K3197" s="2">
        <v>0.0</v>
      </c>
      <c r="L3197" s="2">
        <v>0.0</v>
      </c>
      <c r="M3197" s="2">
        <v>830.0</v>
      </c>
      <c r="N3197" s="2"/>
      <c r="O3197" s="2"/>
      <c r="P3197" s="2" t="s">
        <v>166</v>
      </c>
    </row>
    <row r="3198">
      <c r="A3198" s="3" t="s">
        <v>128</v>
      </c>
      <c r="B3198" s="2" t="s">
        <v>17</v>
      </c>
      <c r="C3198" s="2" t="s">
        <v>18</v>
      </c>
      <c r="D3198" s="2" t="s">
        <v>23</v>
      </c>
      <c r="E3198" s="2" t="s">
        <v>165</v>
      </c>
      <c r="F3198" s="2">
        <v>1000.0</v>
      </c>
      <c r="G3198" s="2">
        <v>1216.0</v>
      </c>
      <c r="H3198" s="2">
        <v>170.0</v>
      </c>
      <c r="I3198" s="2">
        <v>1046.0</v>
      </c>
      <c r="J3198" s="2">
        <v>0.0</v>
      </c>
      <c r="K3198" s="2">
        <v>0.0</v>
      </c>
      <c r="L3198" s="2">
        <v>0.0</v>
      </c>
      <c r="M3198" s="2">
        <v>830.0</v>
      </c>
      <c r="N3198" s="2">
        <v>0.0</v>
      </c>
      <c r="O3198" s="2">
        <v>660.0</v>
      </c>
      <c r="P3198" s="2" t="s">
        <v>166</v>
      </c>
    </row>
    <row r="3199">
      <c r="A3199" s="3" t="s">
        <v>129</v>
      </c>
      <c r="B3199" s="4">
        <v>45141.29166666667</v>
      </c>
      <c r="C3199" s="2" t="s">
        <v>18</v>
      </c>
      <c r="D3199" s="2" t="s">
        <v>79</v>
      </c>
      <c r="E3199" s="2" t="s">
        <v>165</v>
      </c>
      <c r="F3199" s="2"/>
      <c r="G3199" s="2">
        <v>1105.0</v>
      </c>
      <c r="H3199" s="2">
        <v>148.0</v>
      </c>
      <c r="I3199" s="2">
        <v>957.0</v>
      </c>
      <c r="J3199" s="2">
        <v>0.0</v>
      </c>
      <c r="K3199" s="2">
        <v>0.0</v>
      </c>
      <c r="L3199" s="2">
        <v>0.0</v>
      </c>
      <c r="M3199" s="2"/>
      <c r="N3199" s="2"/>
      <c r="O3199" s="2"/>
      <c r="P3199" s="2" t="s">
        <v>166</v>
      </c>
    </row>
    <row r="3200">
      <c r="A3200" s="3" t="s">
        <v>130</v>
      </c>
      <c r="B3200" s="4">
        <v>45170.29166666667</v>
      </c>
      <c r="C3200" s="2" t="s">
        <v>18</v>
      </c>
      <c r="D3200" s="2" t="s">
        <v>79</v>
      </c>
      <c r="E3200" s="2" t="s">
        <v>165</v>
      </c>
      <c r="F3200" s="2"/>
      <c r="G3200" s="2">
        <v>111.0</v>
      </c>
      <c r="H3200" s="2">
        <v>22.0</v>
      </c>
      <c r="I3200" s="2">
        <v>89.0</v>
      </c>
      <c r="J3200" s="2">
        <v>0.0</v>
      </c>
      <c r="K3200" s="2">
        <v>0.0</v>
      </c>
      <c r="L3200" s="2">
        <v>0.0</v>
      </c>
      <c r="M3200" s="2"/>
      <c r="N3200" s="2"/>
      <c r="O3200" s="2"/>
      <c r="P3200" s="2" t="s">
        <v>166</v>
      </c>
    </row>
    <row r="3201">
      <c r="A3201" s="3" t="s">
        <v>131</v>
      </c>
      <c r="B3201" s="2" t="s">
        <v>17</v>
      </c>
      <c r="C3201" s="2" t="s">
        <v>18</v>
      </c>
      <c r="D3201" s="2" t="s">
        <v>19</v>
      </c>
      <c r="E3201" s="2" t="s">
        <v>285</v>
      </c>
      <c r="F3201" s="2">
        <v>92.0</v>
      </c>
      <c r="G3201" s="2">
        <v>131.0</v>
      </c>
      <c r="H3201" s="2">
        <v>98.0</v>
      </c>
      <c r="I3201" s="2">
        <v>20.0</v>
      </c>
      <c r="J3201" s="2">
        <v>13.0</v>
      </c>
      <c r="K3201" s="2">
        <v>0.0</v>
      </c>
      <c r="L3201" s="2">
        <v>0.0</v>
      </c>
      <c r="M3201" s="2">
        <v>-6.0</v>
      </c>
      <c r="N3201" s="2"/>
      <c r="O3201" s="2"/>
      <c r="P3201" s="2" t="s">
        <v>67</v>
      </c>
    </row>
    <row r="3202">
      <c r="A3202" s="3" t="s">
        <v>132</v>
      </c>
      <c r="B3202" s="2" t="s">
        <v>17</v>
      </c>
      <c r="C3202" s="2" t="s">
        <v>18</v>
      </c>
      <c r="D3202" s="2" t="s">
        <v>23</v>
      </c>
      <c r="E3202" s="2" t="s">
        <v>285</v>
      </c>
      <c r="F3202" s="2">
        <v>92.0</v>
      </c>
      <c r="G3202" s="2">
        <v>131.0</v>
      </c>
      <c r="H3202" s="2">
        <v>98.0</v>
      </c>
      <c r="I3202" s="2">
        <v>20.0</v>
      </c>
      <c r="J3202" s="2">
        <v>13.0</v>
      </c>
      <c r="K3202" s="2">
        <v>0.0</v>
      </c>
      <c r="L3202" s="2">
        <v>0.0</v>
      </c>
      <c r="M3202" s="2">
        <v>-6.0</v>
      </c>
      <c r="N3202" s="2">
        <v>0.0</v>
      </c>
      <c r="O3202" s="2">
        <v>-104.0</v>
      </c>
      <c r="P3202" s="2" t="s">
        <v>67</v>
      </c>
    </row>
    <row r="3203">
      <c r="A3203" s="3" t="s">
        <v>133</v>
      </c>
      <c r="B3203" s="4">
        <v>45111.29166666667</v>
      </c>
      <c r="C3203" s="2" t="s">
        <v>18</v>
      </c>
      <c r="D3203" s="2" t="s">
        <v>19</v>
      </c>
      <c r="E3203" s="2" t="s">
        <v>285</v>
      </c>
      <c r="F3203" s="2"/>
      <c r="G3203" s="2">
        <v>50.0</v>
      </c>
      <c r="H3203" s="2">
        <v>30.0</v>
      </c>
      <c r="I3203" s="2">
        <v>11.0</v>
      </c>
      <c r="J3203" s="2">
        <v>9.0</v>
      </c>
      <c r="K3203" s="2">
        <v>0.0</v>
      </c>
      <c r="L3203" s="2">
        <v>0.0</v>
      </c>
      <c r="M3203" s="2"/>
      <c r="N3203" s="2"/>
      <c r="O3203" s="2"/>
      <c r="P3203" s="2" t="s">
        <v>67</v>
      </c>
    </row>
    <row r="3204">
      <c r="A3204" s="3" t="s">
        <v>134</v>
      </c>
      <c r="B3204" s="4">
        <v>45139.29166666667</v>
      </c>
      <c r="C3204" s="2" t="s">
        <v>18</v>
      </c>
      <c r="D3204" s="2" t="s">
        <v>19</v>
      </c>
      <c r="E3204" s="2" t="s">
        <v>285</v>
      </c>
      <c r="F3204" s="2"/>
      <c r="G3204" s="2">
        <v>36.0</v>
      </c>
      <c r="H3204" s="2">
        <v>29.0</v>
      </c>
      <c r="I3204" s="2">
        <v>5.0</v>
      </c>
      <c r="J3204" s="2">
        <v>2.0</v>
      </c>
      <c r="K3204" s="2">
        <v>0.0</v>
      </c>
      <c r="L3204" s="2">
        <v>0.0</v>
      </c>
      <c r="M3204" s="2"/>
      <c r="N3204" s="2"/>
      <c r="O3204" s="2"/>
      <c r="P3204" s="2" t="s">
        <v>67</v>
      </c>
    </row>
    <row r="3205">
      <c r="A3205" s="3" t="s">
        <v>136</v>
      </c>
      <c r="B3205" s="4">
        <v>45170.29166666667</v>
      </c>
      <c r="C3205" s="2" t="s">
        <v>18</v>
      </c>
      <c r="D3205" s="2" t="s">
        <v>19</v>
      </c>
      <c r="E3205" s="2" t="s">
        <v>285</v>
      </c>
      <c r="F3205" s="2"/>
      <c r="G3205" s="2">
        <v>45.0</v>
      </c>
      <c r="H3205" s="2">
        <v>39.0</v>
      </c>
      <c r="I3205" s="2">
        <v>4.0</v>
      </c>
      <c r="J3205" s="2">
        <v>2.0</v>
      </c>
      <c r="K3205" s="2">
        <v>0.0</v>
      </c>
      <c r="L3205" s="2">
        <v>0.0</v>
      </c>
      <c r="M3205" s="2"/>
      <c r="N3205" s="2"/>
      <c r="O3205" s="2"/>
      <c r="P3205" s="2" t="s">
        <v>67</v>
      </c>
    </row>
    <row r="3206">
      <c r="A3206" s="3" t="s">
        <v>137</v>
      </c>
      <c r="B3206" s="2" t="s">
        <v>17</v>
      </c>
      <c r="C3206" s="2" t="s">
        <v>18</v>
      </c>
      <c r="D3206" s="2" t="s">
        <v>19</v>
      </c>
      <c r="E3206" s="2" t="s">
        <v>27</v>
      </c>
      <c r="F3206" s="2">
        <v>11.0</v>
      </c>
      <c r="G3206" s="2">
        <v>7.0</v>
      </c>
      <c r="H3206" s="2">
        <v>6.0</v>
      </c>
      <c r="I3206" s="2">
        <v>1.0</v>
      </c>
      <c r="J3206" s="2">
        <v>0.0</v>
      </c>
      <c r="K3206" s="2">
        <v>0.0</v>
      </c>
      <c r="L3206" s="2">
        <v>0.0</v>
      </c>
      <c r="M3206" s="2">
        <v>5.0</v>
      </c>
      <c r="N3206" s="2"/>
      <c r="O3206" s="2"/>
      <c r="P3206" s="2" t="s">
        <v>92</v>
      </c>
    </row>
    <row r="3207">
      <c r="A3207" s="3" t="s">
        <v>138</v>
      </c>
      <c r="B3207" s="2" t="s">
        <v>17</v>
      </c>
      <c r="C3207" s="2" t="s">
        <v>18</v>
      </c>
      <c r="D3207" s="2" t="s">
        <v>69</v>
      </c>
      <c r="E3207" s="2" t="s">
        <v>27</v>
      </c>
      <c r="F3207" s="2">
        <v>12.0</v>
      </c>
      <c r="G3207" s="2">
        <v>0.0</v>
      </c>
      <c r="H3207" s="2">
        <v>0.0</v>
      </c>
      <c r="I3207" s="2">
        <v>0.0</v>
      </c>
      <c r="J3207" s="2">
        <v>0.0</v>
      </c>
      <c r="K3207" s="2">
        <v>0.0</v>
      </c>
      <c r="L3207" s="2">
        <v>0.0</v>
      </c>
      <c r="M3207" s="2">
        <v>12.0</v>
      </c>
      <c r="N3207" s="2"/>
      <c r="O3207" s="2"/>
      <c r="P3207" s="2" t="s">
        <v>92</v>
      </c>
    </row>
    <row r="3208">
      <c r="A3208" s="3" t="s">
        <v>139</v>
      </c>
      <c r="B3208" s="2" t="s">
        <v>17</v>
      </c>
      <c r="C3208" s="2" t="s">
        <v>18</v>
      </c>
      <c r="D3208" s="2" t="s">
        <v>23</v>
      </c>
      <c r="E3208" s="2" t="s">
        <v>27</v>
      </c>
      <c r="F3208" s="2">
        <v>11.0</v>
      </c>
      <c r="G3208" s="2">
        <v>7.0</v>
      </c>
      <c r="H3208" s="2">
        <v>6.0</v>
      </c>
      <c r="I3208" s="2">
        <v>1.0</v>
      </c>
      <c r="J3208" s="2">
        <v>0.0</v>
      </c>
      <c r="K3208" s="2">
        <v>0.0</v>
      </c>
      <c r="L3208" s="2">
        <v>0.0</v>
      </c>
      <c r="M3208" s="2">
        <v>5.0</v>
      </c>
      <c r="N3208" s="2">
        <v>-12.0</v>
      </c>
      <c r="O3208" s="2">
        <v>-1.0</v>
      </c>
      <c r="P3208" s="2" t="s">
        <v>92</v>
      </c>
    </row>
    <row r="3209">
      <c r="A3209" s="3" t="s">
        <v>140</v>
      </c>
      <c r="B3209" s="4">
        <v>45171.29166666667</v>
      </c>
      <c r="C3209" s="2" t="s">
        <v>18</v>
      </c>
      <c r="D3209" s="2" t="s">
        <v>19</v>
      </c>
      <c r="E3209" s="2" t="s">
        <v>27</v>
      </c>
      <c r="F3209" s="2"/>
      <c r="G3209" s="2">
        <v>7.0</v>
      </c>
      <c r="H3209" s="2">
        <v>6.0</v>
      </c>
      <c r="I3209" s="2">
        <v>1.0</v>
      </c>
      <c r="J3209" s="2">
        <v>0.0</v>
      </c>
      <c r="K3209" s="2">
        <v>0.0</v>
      </c>
      <c r="L3209" s="2">
        <v>0.0</v>
      </c>
      <c r="M3209" s="2"/>
      <c r="N3209" s="2"/>
      <c r="O3209" s="2"/>
      <c r="P3209" s="2" t="s">
        <v>92</v>
      </c>
    </row>
    <row r="3210">
      <c r="A3210" s="3" t="s">
        <v>141</v>
      </c>
      <c r="B3210" s="2" t="s">
        <v>17</v>
      </c>
      <c r="C3210" s="2" t="s">
        <v>18</v>
      </c>
      <c r="D3210" s="2" t="s">
        <v>79</v>
      </c>
      <c r="E3210" s="2" t="s">
        <v>165</v>
      </c>
      <c r="F3210" s="2">
        <v>363.0</v>
      </c>
      <c r="G3210" s="2">
        <v>788.0</v>
      </c>
      <c r="H3210" s="2">
        <v>361.0</v>
      </c>
      <c r="I3210" s="2">
        <v>427.0</v>
      </c>
      <c r="J3210" s="2">
        <v>0.0</v>
      </c>
      <c r="K3210" s="2">
        <v>0.0</v>
      </c>
      <c r="L3210" s="2">
        <v>0.0</v>
      </c>
      <c r="M3210" s="2">
        <v>2.0</v>
      </c>
      <c r="N3210" s="2"/>
      <c r="O3210" s="2"/>
      <c r="P3210" s="2" t="s">
        <v>166</v>
      </c>
    </row>
    <row r="3211">
      <c r="A3211" s="3" t="s">
        <v>142</v>
      </c>
      <c r="B3211" s="2" t="s">
        <v>17</v>
      </c>
      <c r="C3211" s="2" t="s">
        <v>18</v>
      </c>
      <c r="D3211" s="2" t="s">
        <v>23</v>
      </c>
      <c r="E3211" s="2" t="s">
        <v>165</v>
      </c>
      <c r="F3211" s="2">
        <v>363.0</v>
      </c>
      <c r="G3211" s="2">
        <v>788.0</v>
      </c>
      <c r="H3211" s="2">
        <v>361.0</v>
      </c>
      <c r="I3211" s="2">
        <v>427.0</v>
      </c>
      <c r="J3211" s="2">
        <v>0.0</v>
      </c>
      <c r="K3211" s="2">
        <v>0.0</v>
      </c>
      <c r="L3211" s="2">
        <v>0.0</v>
      </c>
      <c r="M3211" s="2">
        <v>2.0</v>
      </c>
      <c r="N3211" s="2">
        <v>-363.0</v>
      </c>
      <c r="O3211" s="2">
        <v>-359.0</v>
      </c>
      <c r="P3211" s="2" t="s">
        <v>166</v>
      </c>
    </row>
    <row r="3212">
      <c r="A3212" s="3" t="s">
        <v>143</v>
      </c>
      <c r="B3212" s="4">
        <v>45112.29166666667</v>
      </c>
      <c r="C3212" s="2" t="s">
        <v>18</v>
      </c>
      <c r="D3212" s="2" t="s">
        <v>79</v>
      </c>
      <c r="E3212" s="2" t="s">
        <v>165</v>
      </c>
      <c r="F3212" s="2">
        <v>73.0</v>
      </c>
      <c r="G3212" s="2">
        <v>192.0</v>
      </c>
      <c r="H3212" s="2">
        <v>83.0</v>
      </c>
      <c r="I3212" s="2">
        <v>109.0</v>
      </c>
      <c r="J3212" s="2">
        <v>0.0</v>
      </c>
      <c r="K3212" s="2">
        <v>0.0</v>
      </c>
      <c r="L3212" s="2">
        <v>0.0</v>
      </c>
      <c r="M3212" s="2"/>
      <c r="N3212" s="2"/>
      <c r="O3212" s="2"/>
      <c r="P3212" s="2" t="s">
        <v>166</v>
      </c>
    </row>
    <row r="3213">
      <c r="A3213" s="3" t="s">
        <v>144</v>
      </c>
      <c r="B3213" s="4">
        <v>45139.29166666667</v>
      </c>
      <c r="C3213" s="2" t="s">
        <v>18</v>
      </c>
      <c r="D3213" s="2" t="s">
        <v>79</v>
      </c>
      <c r="E3213" s="2" t="s">
        <v>165</v>
      </c>
      <c r="F3213" s="2">
        <v>164.0</v>
      </c>
      <c r="G3213" s="2">
        <v>345.0</v>
      </c>
      <c r="H3213" s="2">
        <v>160.0</v>
      </c>
      <c r="I3213" s="2">
        <v>185.0</v>
      </c>
      <c r="J3213" s="2">
        <v>0.0</v>
      </c>
      <c r="K3213" s="2">
        <v>0.0</v>
      </c>
      <c r="L3213" s="2">
        <v>0.0</v>
      </c>
      <c r="M3213" s="2"/>
      <c r="N3213" s="2"/>
      <c r="O3213" s="2"/>
      <c r="P3213" s="2" t="s">
        <v>166</v>
      </c>
    </row>
    <row r="3214">
      <c r="A3214" s="3" t="s">
        <v>145</v>
      </c>
      <c r="B3214" s="4">
        <v>45170.29166666667</v>
      </c>
      <c r="C3214" s="2" t="s">
        <v>18</v>
      </c>
      <c r="D3214" s="2" t="s">
        <v>79</v>
      </c>
      <c r="E3214" s="2" t="s">
        <v>165</v>
      </c>
      <c r="F3214" s="2">
        <v>126.0</v>
      </c>
      <c r="G3214" s="2">
        <v>251.0</v>
      </c>
      <c r="H3214" s="2">
        <v>118.0</v>
      </c>
      <c r="I3214" s="2">
        <v>133.0</v>
      </c>
      <c r="J3214" s="2">
        <v>0.0</v>
      </c>
      <c r="K3214" s="2">
        <v>0.0</v>
      </c>
      <c r="L3214" s="2">
        <v>0.0</v>
      </c>
      <c r="M3214" s="2"/>
      <c r="N3214" s="2"/>
      <c r="O3214" s="2"/>
      <c r="P3214" s="2" t="s">
        <v>166</v>
      </c>
    </row>
    <row r="3215">
      <c r="A3215" s="3" t="s">
        <v>16</v>
      </c>
      <c r="B3215" s="2" t="s">
        <v>17</v>
      </c>
      <c r="C3215" s="2" t="s">
        <v>18</v>
      </c>
      <c r="D3215" s="2" t="s">
        <v>109</v>
      </c>
      <c r="E3215" s="2" t="s">
        <v>177</v>
      </c>
      <c r="F3215" s="2">
        <v>8.0</v>
      </c>
      <c r="G3215" s="2">
        <v>0.0</v>
      </c>
      <c r="H3215" s="2">
        <v>0.0</v>
      </c>
      <c r="I3215" s="2">
        <v>0.0</v>
      </c>
      <c r="J3215" s="2">
        <v>0.0</v>
      </c>
      <c r="K3215" s="2">
        <v>0.0</v>
      </c>
      <c r="L3215" s="2">
        <v>0.0</v>
      </c>
      <c r="M3215" s="2">
        <v>8.0</v>
      </c>
      <c r="N3215" s="2"/>
      <c r="O3215" s="2"/>
      <c r="P3215" s="2" t="s">
        <v>146</v>
      </c>
    </row>
    <row r="3216">
      <c r="A3216" s="3" t="s">
        <v>22</v>
      </c>
      <c r="B3216" s="2" t="s">
        <v>17</v>
      </c>
      <c r="C3216" s="2" t="s">
        <v>18</v>
      </c>
      <c r="D3216" s="2" t="s">
        <v>91</v>
      </c>
      <c r="E3216" s="2" t="s">
        <v>177</v>
      </c>
      <c r="F3216" s="2">
        <v>8.0</v>
      </c>
      <c r="G3216" s="2">
        <v>10.0</v>
      </c>
      <c r="H3216" s="2">
        <v>8.0</v>
      </c>
      <c r="I3216" s="2">
        <v>2.0</v>
      </c>
      <c r="J3216" s="2">
        <v>0.0</v>
      </c>
      <c r="K3216" s="2">
        <v>0.0</v>
      </c>
      <c r="L3216" s="2">
        <v>0.0</v>
      </c>
      <c r="M3216" s="2">
        <v>0.0</v>
      </c>
      <c r="N3216" s="2"/>
      <c r="O3216" s="2"/>
      <c r="P3216" s="2" t="s">
        <v>146</v>
      </c>
    </row>
    <row r="3217">
      <c r="A3217" s="3" t="s">
        <v>24</v>
      </c>
      <c r="B3217" s="2" t="s">
        <v>17</v>
      </c>
      <c r="C3217" s="2" t="s">
        <v>148</v>
      </c>
      <c r="D3217" s="2" t="s">
        <v>19</v>
      </c>
      <c r="E3217" s="2" t="s">
        <v>177</v>
      </c>
      <c r="F3217" s="2">
        <v>8.0</v>
      </c>
      <c r="G3217" s="2">
        <v>0.0</v>
      </c>
      <c r="H3217" s="2">
        <v>0.0</v>
      </c>
      <c r="I3217" s="2">
        <v>0.0</v>
      </c>
      <c r="J3217" s="2">
        <v>0.0</v>
      </c>
      <c r="K3217" s="2">
        <v>0.0</v>
      </c>
      <c r="L3217" s="2">
        <v>0.0</v>
      </c>
      <c r="M3217" s="2">
        <v>8.0</v>
      </c>
      <c r="N3217" s="2"/>
      <c r="O3217" s="2"/>
      <c r="P3217" s="2" t="s">
        <v>146</v>
      </c>
    </row>
    <row r="3218">
      <c r="A3218" s="3" t="s">
        <v>25</v>
      </c>
      <c r="B3218" s="2" t="s">
        <v>17</v>
      </c>
      <c r="C3218" s="2" t="s">
        <v>18</v>
      </c>
      <c r="D3218" s="2" t="s">
        <v>23</v>
      </c>
      <c r="E3218" s="2" t="s">
        <v>177</v>
      </c>
      <c r="F3218" s="2">
        <v>8.0</v>
      </c>
      <c r="G3218" s="2">
        <v>10.0</v>
      </c>
      <c r="H3218" s="2">
        <v>8.0</v>
      </c>
      <c r="I3218" s="2">
        <v>2.0</v>
      </c>
      <c r="J3218" s="2">
        <v>0.0</v>
      </c>
      <c r="K3218" s="2">
        <v>0.0</v>
      </c>
      <c r="L3218" s="2">
        <v>0.0</v>
      </c>
      <c r="M3218" s="2">
        <v>0.0</v>
      </c>
      <c r="N3218" s="2">
        <v>-16.0</v>
      </c>
      <c r="O3218" s="2">
        <v>-8.0</v>
      </c>
      <c r="P3218" s="2" t="s">
        <v>146</v>
      </c>
    </row>
    <row r="3219">
      <c r="A3219" s="3" t="s">
        <v>26</v>
      </c>
      <c r="B3219" s="4">
        <v>45141.29166666667</v>
      </c>
      <c r="C3219" s="2" t="s">
        <v>18</v>
      </c>
      <c r="D3219" s="2" t="s">
        <v>91</v>
      </c>
      <c r="E3219" s="2" t="s">
        <v>177</v>
      </c>
      <c r="F3219" s="2"/>
      <c r="G3219" s="2">
        <v>4.0</v>
      </c>
      <c r="H3219" s="2">
        <v>4.0</v>
      </c>
      <c r="I3219" s="2">
        <v>0.0</v>
      </c>
      <c r="J3219" s="2">
        <v>0.0</v>
      </c>
      <c r="K3219" s="2">
        <v>0.0</v>
      </c>
      <c r="L3219" s="2">
        <v>0.0</v>
      </c>
      <c r="M3219" s="2"/>
      <c r="N3219" s="2"/>
      <c r="O3219" s="2"/>
      <c r="P3219" s="2" t="s">
        <v>146</v>
      </c>
    </row>
    <row r="3220">
      <c r="A3220" s="3" t="s">
        <v>28</v>
      </c>
      <c r="B3220" s="4">
        <v>45172.29166666667</v>
      </c>
      <c r="C3220" s="2" t="s">
        <v>18</v>
      </c>
      <c r="D3220" s="2" t="s">
        <v>91</v>
      </c>
      <c r="E3220" s="2" t="s">
        <v>177</v>
      </c>
      <c r="F3220" s="2"/>
      <c r="G3220" s="2">
        <v>6.0</v>
      </c>
      <c r="H3220" s="2">
        <v>4.0</v>
      </c>
      <c r="I3220" s="2">
        <v>2.0</v>
      </c>
      <c r="J3220" s="2">
        <v>0.0</v>
      </c>
      <c r="K3220" s="2">
        <v>0.0</v>
      </c>
      <c r="L3220" s="2">
        <v>0.0</v>
      </c>
      <c r="M3220" s="2"/>
      <c r="N3220" s="2"/>
      <c r="O3220" s="2"/>
      <c r="P3220" s="2" t="s">
        <v>146</v>
      </c>
    </row>
    <row r="3221">
      <c r="A3221" s="3" t="s">
        <v>29</v>
      </c>
      <c r="B3221" s="2" t="s">
        <v>17</v>
      </c>
      <c r="C3221" s="2" t="s">
        <v>18</v>
      </c>
      <c r="D3221" s="2" t="s">
        <v>19</v>
      </c>
      <c r="E3221" s="2" t="s">
        <v>395</v>
      </c>
      <c r="F3221" s="2">
        <v>7.0</v>
      </c>
      <c r="G3221" s="2">
        <v>1.0</v>
      </c>
      <c r="H3221" s="2">
        <v>1.0</v>
      </c>
      <c r="I3221" s="2">
        <v>0.0</v>
      </c>
      <c r="J3221" s="2">
        <v>0.0</v>
      </c>
      <c r="K3221" s="2">
        <v>0.0</v>
      </c>
      <c r="L3221" s="2">
        <v>0.0</v>
      </c>
      <c r="M3221" s="2">
        <v>6.0</v>
      </c>
      <c r="N3221" s="2"/>
      <c r="O3221" s="2"/>
      <c r="P3221" s="2" t="s">
        <v>146</v>
      </c>
    </row>
    <row r="3222">
      <c r="A3222" s="3" t="s">
        <v>32</v>
      </c>
      <c r="B3222" s="2" t="s">
        <v>17</v>
      </c>
      <c r="C3222" s="2" t="s">
        <v>18</v>
      </c>
      <c r="D3222" s="2" t="s">
        <v>91</v>
      </c>
      <c r="E3222" s="2" t="s">
        <v>396</v>
      </c>
      <c r="F3222" s="2">
        <v>27.0</v>
      </c>
      <c r="G3222" s="2">
        <v>31.0</v>
      </c>
      <c r="H3222" s="2">
        <v>27.0</v>
      </c>
      <c r="I3222" s="2">
        <v>4.0</v>
      </c>
      <c r="J3222" s="2">
        <v>0.0</v>
      </c>
      <c r="K3222" s="2">
        <v>0.0</v>
      </c>
      <c r="L3222" s="2">
        <v>0.0</v>
      </c>
      <c r="M3222" s="2">
        <v>0.0</v>
      </c>
      <c r="N3222" s="2"/>
      <c r="O3222" s="2"/>
      <c r="P3222" s="2" t="s">
        <v>146</v>
      </c>
    </row>
    <row r="3223">
      <c r="A3223" s="3" t="s">
        <v>34</v>
      </c>
      <c r="B3223" s="2" t="s">
        <v>17</v>
      </c>
      <c r="C3223" s="2" t="s">
        <v>18</v>
      </c>
      <c r="D3223" s="2" t="s">
        <v>91</v>
      </c>
      <c r="E3223" s="2" t="s">
        <v>397</v>
      </c>
      <c r="F3223" s="2">
        <v>31.0</v>
      </c>
      <c r="G3223" s="2">
        <v>33.0</v>
      </c>
      <c r="H3223" s="2">
        <v>31.0</v>
      </c>
      <c r="I3223" s="2">
        <v>2.0</v>
      </c>
      <c r="J3223" s="2">
        <v>0.0</v>
      </c>
      <c r="K3223" s="2">
        <v>0.0</v>
      </c>
      <c r="L3223" s="2">
        <v>0.0</v>
      </c>
      <c r="M3223" s="2">
        <v>0.0</v>
      </c>
      <c r="N3223" s="2"/>
      <c r="O3223" s="2"/>
      <c r="P3223" s="2" t="s">
        <v>146</v>
      </c>
    </row>
    <row r="3224">
      <c r="A3224" s="3" t="s">
        <v>35</v>
      </c>
      <c r="B3224" s="2" t="s">
        <v>17</v>
      </c>
      <c r="C3224" s="2" t="s">
        <v>18</v>
      </c>
      <c r="D3224" s="2" t="s">
        <v>91</v>
      </c>
      <c r="E3224" s="2" t="s">
        <v>398</v>
      </c>
      <c r="F3224" s="2">
        <v>18.0</v>
      </c>
      <c r="G3224" s="2">
        <v>19.0</v>
      </c>
      <c r="H3224" s="2">
        <v>18.0</v>
      </c>
      <c r="I3224" s="2">
        <v>1.0</v>
      </c>
      <c r="J3224" s="2">
        <v>0.0</v>
      </c>
      <c r="K3224" s="2">
        <v>0.0</v>
      </c>
      <c r="L3224" s="2">
        <v>0.0</v>
      </c>
      <c r="M3224" s="2">
        <v>0.0</v>
      </c>
      <c r="N3224" s="2"/>
      <c r="O3224" s="2"/>
      <c r="P3224" s="2" t="s">
        <v>146</v>
      </c>
    </row>
    <row r="3225">
      <c r="A3225" s="3" t="s">
        <v>36</v>
      </c>
      <c r="B3225" s="2" t="s">
        <v>17</v>
      </c>
      <c r="C3225" s="2" t="s">
        <v>18</v>
      </c>
      <c r="D3225" s="2" t="s">
        <v>91</v>
      </c>
      <c r="E3225" s="2" t="s">
        <v>399</v>
      </c>
      <c r="F3225" s="2">
        <v>15.0</v>
      </c>
      <c r="G3225" s="2">
        <v>15.0</v>
      </c>
      <c r="H3225" s="2">
        <v>15.0</v>
      </c>
      <c r="I3225" s="2">
        <v>0.0</v>
      </c>
      <c r="J3225" s="2">
        <v>0.0</v>
      </c>
      <c r="K3225" s="2">
        <v>0.0</v>
      </c>
      <c r="L3225" s="2">
        <v>0.0</v>
      </c>
      <c r="M3225" s="2">
        <v>0.0</v>
      </c>
      <c r="N3225" s="2"/>
      <c r="O3225" s="2"/>
      <c r="P3225" s="2" t="s">
        <v>146</v>
      </c>
    </row>
    <row r="3226">
      <c r="A3226" s="3" t="s">
        <v>37</v>
      </c>
      <c r="B3226" s="2" t="s">
        <v>17</v>
      </c>
      <c r="C3226" s="2" t="s">
        <v>18</v>
      </c>
      <c r="D3226" s="2" t="s">
        <v>91</v>
      </c>
      <c r="E3226" s="2" t="s">
        <v>400</v>
      </c>
      <c r="F3226" s="2">
        <v>8.0</v>
      </c>
      <c r="G3226" s="2">
        <v>8.0</v>
      </c>
      <c r="H3226" s="2">
        <v>8.0</v>
      </c>
      <c r="I3226" s="2">
        <v>0.0</v>
      </c>
      <c r="J3226" s="2">
        <v>0.0</v>
      </c>
      <c r="K3226" s="2">
        <v>0.0</v>
      </c>
      <c r="L3226" s="2">
        <v>0.0</v>
      </c>
      <c r="M3226" s="2">
        <v>0.0</v>
      </c>
      <c r="N3226" s="2"/>
      <c r="O3226" s="2"/>
      <c r="P3226" s="2" t="s">
        <v>146</v>
      </c>
    </row>
    <row r="3227">
      <c r="A3227" s="3" t="s">
        <v>38</v>
      </c>
      <c r="B3227" s="2" t="s">
        <v>17</v>
      </c>
      <c r="C3227" s="2" t="s">
        <v>18</v>
      </c>
      <c r="D3227" s="2" t="s">
        <v>91</v>
      </c>
      <c r="E3227" s="2" t="s">
        <v>401</v>
      </c>
      <c r="F3227" s="2">
        <v>8.0</v>
      </c>
      <c r="G3227" s="2">
        <v>9.0</v>
      </c>
      <c r="H3227" s="2">
        <v>8.0</v>
      </c>
      <c r="I3227" s="2">
        <v>1.0</v>
      </c>
      <c r="J3227" s="2">
        <v>0.0</v>
      </c>
      <c r="K3227" s="2">
        <v>0.0</v>
      </c>
      <c r="L3227" s="2">
        <v>0.0</v>
      </c>
      <c r="M3227" s="2">
        <v>0.0</v>
      </c>
      <c r="N3227" s="2"/>
      <c r="O3227" s="2"/>
      <c r="P3227" s="2" t="s">
        <v>146</v>
      </c>
    </row>
    <row r="3228">
      <c r="A3228" s="3" t="s">
        <v>39</v>
      </c>
      <c r="B3228" s="2" t="s">
        <v>17</v>
      </c>
      <c r="C3228" s="2" t="s">
        <v>57</v>
      </c>
      <c r="D3228" s="2" t="s">
        <v>91</v>
      </c>
      <c r="E3228" s="2" t="s">
        <v>395</v>
      </c>
      <c r="F3228" s="2">
        <v>17.0</v>
      </c>
      <c r="G3228" s="2">
        <v>17.0</v>
      </c>
      <c r="H3228" s="2">
        <v>17.0</v>
      </c>
      <c r="I3228" s="2">
        <v>0.0</v>
      </c>
      <c r="J3228" s="2">
        <v>0.0</v>
      </c>
      <c r="K3228" s="2">
        <v>0.0</v>
      </c>
      <c r="L3228" s="2">
        <v>0.0</v>
      </c>
      <c r="M3228" s="2">
        <v>0.0</v>
      </c>
      <c r="N3228" s="2"/>
      <c r="O3228" s="2"/>
      <c r="P3228" s="2" t="s">
        <v>146</v>
      </c>
    </row>
    <row r="3229">
      <c r="A3229" s="3" t="s">
        <v>40</v>
      </c>
      <c r="B3229" s="2" t="s">
        <v>17</v>
      </c>
      <c r="C3229" s="2" t="s">
        <v>18</v>
      </c>
      <c r="D3229" s="2" t="s">
        <v>91</v>
      </c>
      <c r="E3229" s="2" t="s">
        <v>402</v>
      </c>
      <c r="F3229" s="2">
        <v>11.0</v>
      </c>
      <c r="G3229" s="2">
        <v>14.0</v>
      </c>
      <c r="H3229" s="2">
        <v>11.0</v>
      </c>
      <c r="I3229" s="2">
        <v>3.0</v>
      </c>
      <c r="J3229" s="2">
        <v>0.0</v>
      </c>
      <c r="K3229" s="2">
        <v>0.0</v>
      </c>
      <c r="L3229" s="2">
        <v>0.0</v>
      </c>
      <c r="M3229" s="2">
        <v>0.0</v>
      </c>
      <c r="N3229" s="2"/>
      <c r="O3229" s="2"/>
      <c r="P3229" s="2" t="s">
        <v>146</v>
      </c>
    </row>
    <row r="3230">
      <c r="A3230" s="3" t="s">
        <v>41</v>
      </c>
      <c r="B3230" s="2" t="s">
        <v>17</v>
      </c>
      <c r="C3230" s="2" t="s">
        <v>18</v>
      </c>
      <c r="D3230" s="2" t="s">
        <v>23</v>
      </c>
      <c r="E3230" s="2" t="s">
        <v>396</v>
      </c>
      <c r="F3230" s="2">
        <v>27.0</v>
      </c>
      <c r="G3230" s="2">
        <v>31.0</v>
      </c>
      <c r="H3230" s="2">
        <v>27.0</v>
      </c>
      <c r="I3230" s="2">
        <v>4.0</v>
      </c>
      <c r="J3230" s="2">
        <v>0.0</v>
      </c>
      <c r="K3230" s="2">
        <v>0.0</v>
      </c>
      <c r="L3230" s="2">
        <v>0.0</v>
      </c>
      <c r="M3230" s="2">
        <v>0.0</v>
      </c>
      <c r="N3230" s="2">
        <v>0.0</v>
      </c>
      <c r="O3230" s="2">
        <v>-27.0</v>
      </c>
      <c r="P3230" s="2" t="s">
        <v>146</v>
      </c>
    </row>
    <row r="3231">
      <c r="A3231" s="3" t="s">
        <v>42</v>
      </c>
      <c r="B3231" s="2" t="s">
        <v>17</v>
      </c>
      <c r="C3231" s="2" t="s">
        <v>18</v>
      </c>
      <c r="D3231" s="2" t="s">
        <v>23</v>
      </c>
      <c r="E3231" s="2" t="s">
        <v>401</v>
      </c>
      <c r="F3231" s="2">
        <v>8.0</v>
      </c>
      <c r="G3231" s="2">
        <v>9.0</v>
      </c>
      <c r="H3231" s="2">
        <v>8.0</v>
      </c>
      <c r="I3231" s="2">
        <v>1.0</v>
      </c>
      <c r="J3231" s="2">
        <v>0.0</v>
      </c>
      <c r="K3231" s="2">
        <v>0.0</v>
      </c>
      <c r="L3231" s="2">
        <v>0.0</v>
      </c>
      <c r="M3231" s="2">
        <v>0.0</v>
      </c>
      <c r="N3231" s="2">
        <v>0.0</v>
      </c>
      <c r="O3231" s="2">
        <v>-8.0</v>
      </c>
      <c r="P3231" s="2" t="s">
        <v>146</v>
      </c>
    </row>
    <row r="3232">
      <c r="A3232" s="3" t="s">
        <v>43</v>
      </c>
      <c r="B3232" s="2" t="s">
        <v>17</v>
      </c>
      <c r="C3232" s="2" t="s">
        <v>57</v>
      </c>
      <c r="D3232" s="2" t="s">
        <v>23</v>
      </c>
      <c r="E3232" s="2" t="s">
        <v>397</v>
      </c>
      <c r="F3232" s="2">
        <v>31.0</v>
      </c>
      <c r="G3232" s="2">
        <v>33.0</v>
      </c>
      <c r="H3232" s="2">
        <v>31.0</v>
      </c>
      <c r="I3232" s="2">
        <v>2.0</v>
      </c>
      <c r="J3232" s="2">
        <v>0.0</v>
      </c>
      <c r="K3232" s="2">
        <v>0.0</v>
      </c>
      <c r="L3232" s="2">
        <v>0.0</v>
      </c>
      <c r="M3232" s="2">
        <v>0.0</v>
      </c>
      <c r="N3232" s="2">
        <v>0.0</v>
      </c>
      <c r="O3232" s="2">
        <v>-31.0</v>
      </c>
      <c r="P3232" s="2" t="s">
        <v>146</v>
      </c>
    </row>
    <row r="3233">
      <c r="A3233" s="3" t="s">
        <v>44</v>
      </c>
      <c r="B3233" s="2" t="s">
        <v>17</v>
      </c>
      <c r="C3233" s="2" t="s">
        <v>57</v>
      </c>
      <c r="D3233" s="2" t="s">
        <v>23</v>
      </c>
      <c r="E3233" s="2" t="s">
        <v>398</v>
      </c>
      <c r="F3233" s="2">
        <v>18.0</v>
      </c>
      <c r="G3233" s="2">
        <v>19.0</v>
      </c>
      <c r="H3233" s="2">
        <v>18.0</v>
      </c>
      <c r="I3233" s="2">
        <v>1.0</v>
      </c>
      <c r="J3233" s="2">
        <v>0.0</v>
      </c>
      <c r="K3233" s="2">
        <v>0.0</v>
      </c>
      <c r="L3233" s="2">
        <v>0.0</v>
      </c>
      <c r="M3233" s="2">
        <v>0.0</v>
      </c>
      <c r="N3233" s="2">
        <v>0.0</v>
      </c>
      <c r="O3233" s="2">
        <v>-18.0</v>
      </c>
      <c r="P3233" s="2" t="s">
        <v>146</v>
      </c>
    </row>
    <row r="3234">
      <c r="A3234" s="3" t="s">
        <v>45</v>
      </c>
      <c r="B3234" s="2" t="s">
        <v>17</v>
      </c>
      <c r="C3234" s="2" t="s">
        <v>57</v>
      </c>
      <c r="D3234" s="2" t="s">
        <v>23</v>
      </c>
      <c r="E3234" s="2" t="s">
        <v>399</v>
      </c>
      <c r="F3234" s="2">
        <v>15.0</v>
      </c>
      <c r="G3234" s="2">
        <v>15.0</v>
      </c>
      <c r="H3234" s="2">
        <v>15.0</v>
      </c>
      <c r="I3234" s="2">
        <v>0.0</v>
      </c>
      <c r="J3234" s="2">
        <v>0.0</v>
      </c>
      <c r="K3234" s="2">
        <v>0.0</v>
      </c>
      <c r="L3234" s="2">
        <v>0.0</v>
      </c>
      <c r="M3234" s="2">
        <v>0.0</v>
      </c>
      <c r="N3234" s="2">
        <v>0.0</v>
      </c>
      <c r="O3234" s="2">
        <v>-15.0</v>
      </c>
      <c r="P3234" s="2" t="s">
        <v>146</v>
      </c>
    </row>
    <row r="3235">
      <c r="A3235" s="3" t="s">
        <v>16</v>
      </c>
      <c r="B3235" s="2" t="s">
        <v>17</v>
      </c>
      <c r="C3235" s="2" t="s">
        <v>57</v>
      </c>
      <c r="D3235" s="2" t="s">
        <v>23</v>
      </c>
      <c r="E3235" s="2" t="s">
        <v>400</v>
      </c>
      <c r="F3235" s="2">
        <v>8.0</v>
      </c>
      <c r="G3235" s="2">
        <v>8.0</v>
      </c>
      <c r="H3235" s="2">
        <v>8.0</v>
      </c>
      <c r="I3235" s="2">
        <v>0.0</v>
      </c>
      <c r="J3235" s="2">
        <v>0.0</v>
      </c>
      <c r="K3235" s="2">
        <v>0.0</v>
      </c>
      <c r="L3235" s="2">
        <v>0.0</v>
      </c>
      <c r="M3235" s="2">
        <v>0.0</v>
      </c>
      <c r="N3235" s="2">
        <v>0.0</v>
      </c>
      <c r="O3235" s="2">
        <v>-8.0</v>
      </c>
      <c r="P3235" s="2" t="s">
        <v>146</v>
      </c>
    </row>
    <row r="3236">
      <c r="A3236" s="3" t="s">
        <v>47</v>
      </c>
      <c r="B3236" s="2" t="s">
        <v>17</v>
      </c>
      <c r="C3236" s="2" t="s">
        <v>57</v>
      </c>
      <c r="D3236" s="2" t="s">
        <v>23</v>
      </c>
      <c r="E3236" s="2" t="s">
        <v>395</v>
      </c>
      <c r="F3236" s="2">
        <v>18.0</v>
      </c>
      <c r="G3236" s="2">
        <v>18.0</v>
      </c>
      <c r="H3236" s="2">
        <v>18.0</v>
      </c>
      <c r="I3236" s="2">
        <v>0.0</v>
      </c>
      <c r="J3236" s="2">
        <v>0.0</v>
      </c>
      <c r="K3236" s="2">
        <v>0.0</v>
      </c>
      <c r="L3236" s="2">
        <v>0.0</v>
      </c>
      <c r="M3236" s="2">
        <v>0.0</v>
      </c>
      <c r="N3236" s="2">
        <v>-6.0</v>
      </c>
      <c r="O3236" s="2">
        <v>-18.0</v>
      </c>
      <c r="P3236" s="2" t="s">
        <v>146</v>
      </c>
    </row>
    <row r="3237">
      <c r="A3237" s="3" t="s">
        <v>48</v>
      </c>
      <c r="B3237" s="2" t="s">
        <v>17</v>
      </c>
      <c r="C3237" s="2" t="s">
        <v>57</v>
      </c>
      <c r="D3237" s="2" t="s">
        <v>23</v>
      </c>
      <c r="E3237" s="2" t="s">
        <v>402</v>
      </c>
      <c r="F3237" s="2">
        <v>11.0</v>
      </c>
      <c r="G3237" s="2">
        <v>14.0</v>
      </c>
      <c r="H3237" s="2">
        <v>11.0</v>
      </c>
      <c r="I3237" s="2">
        <v>3.0</v>
      </c>
      <c r="J3237" s="2">
        <v>0.0</v>
      </c>
      <c r="K3237" s="2">
        <v>0.0</v>
      </c>
      <c r="L3237" s="2">
        <v>0.0</v>
      </c>
      <c r="M3237" s="2">
        <v>0.0</v>
      </c>
      <c r="N3237" s="2">
        <v>0.0</v>
      </c>
      <c r="O3237" s="2">
        <v>-11.0</v>
      </c>
      <c r="P3237" s="2" t="s">
        <v>146</v>
      </c>
    </row>
    <row r="3238">
      <c r="A3238" s="3" t="s">
        <v>49</v>
      </c>
      <c r="B3238" s="4">
        <v>45142.29166666667</v>
      </c>
      <c r="C3238" s="2" t="s">
        <v>18</v>
      </c>
      <c r="D3238" s="2" t="s">
        <v>19</v>
      </c>
      <c r="E3238" s="2" t="s">
        <v>395</v>
      </c>
      <c r="F3238" s="2"/>
      <c r="G3238" s="2">
        <v>1.0</v>
      </c>
      <c r="H3238" s="2">
        <v>1.0</v>
      </c>
      <c r="I3238" s="2">
        <v>0.0</v>
      </c>
      <c r="J3238" s="2">
        <v>0.0</v>
      </c>
      <c r="K3238" s="2">
        <v>0.0</v>
      </c>
      <c r="L3238" s="2">
        <v>0.0</v>
      </c>
      <c r="M3238" s="2"/>
      <c r="N3238" s="2"/>
      <c r="O3238" s="2"/>
      <c r="P3238" s="2" t="s">
        <v>146</v>
      </c>
    </row>
    <row r="3239">
      <c r="A3239" s="3" t="s">
        <v>51</v>
      </c>
      <c r="B3239" s="4">
        <v>45140.29166666667</v>
      </c>
      <c r="C3239" s="2" t="s">
        <v>18</v>
      </c>
      <c r="D3239" s="2" t="s">
        <v>91</v>
      </c>
      <c r="E3239" s="2" t="s">
        <v>396</v>
      </c>
      <c r="F3239" s="2"/>
      <c r="G3239" s="2">
        <v>26.0</v>
      </c>
      <c r="H3239" s="2">
        <v>22.0</v>
      </c>
      <c r="I3239" s="2">
        <v>4.0</v>
      </c>
      <c r="J3239" s="2">
        <v>0.0</v>
      </c>
      <c r="K3239" s="2">
        <v>0.0</v>
      </c>
      <c r="L3239" s="2">
        <v>0.0</v>
      </c>
      <c r="M3239" s="2"/>
      <c r="N3239" s="2"/>
      <c r="O3239" s="2"/>
      <c r="P3239" s="2" t="s">
        <v>146</v>
      </c>
    </row>
    <row r="3240">
      <c r="A3240" s="3" t="s">
        <v>52</v>
      </c>
      <c r="B3240" s="4">
        <v>45140.29166666667</v>
      </c>
      <c r="C3240" s="2" t="s">
        <v>18</v>
      </c>
      <c r="D3240" s="2" t="s">
        <v>91</v>
      </c>
      <c r="E3240" s="2" t="s">
        <v>397</v>
      </c>
      <c r="F3240" s="2"/>
      <c r="G3240" s="2">
        <v>33.0</v>
      </c>
      <c r="H3240" s="2">
        <v>31.0</v>
      </c>
      <c r="I3240" s="2">
        <v>2.0</v>
      </c>
      <c r="J3240" s="2">
        <v>0.0</v>
      </c>
      <c r="K3240" s="2">
        <v>0.0</v>
      </c>
      <c r="L3240" s="2">
        <v>0.0</v>
      </c>
      <c r="M3240" s="2"/>
      <c r="N3240" s="2"/>
      <c r="O3240" s="2"/>
      <c r="P3240" s="2" t="s">
        <v>146</v>
      </c>
    </row>
    <row r="3241">
      <c r="A3241" s="3" t="s">
        <v>53</v>
      </c>
      <c r="B3241" s="4">
        <v>45140.29166666667</v>
      </c>
      <c r="C3241" s="2" t="s">
        <v>18</v>
      </c>
      <c r="D3241" s="2" t="s">
        <v>91</v>
      </c>
      <c r="E3241" s="2" t="s">
        <v>398</v>
      </c>
      <c r="F3241" s="2"/>
      <c r="G3241" s="2">
        <v>18.0</v>
      </c>
      <c r="H3241" s="2">
        <v>17.0</v>
      </c>
      <c r="I3241" s="2">
        <v>1.0</v>
      </c>
      <c r="J3241" s="2">
        <v>0.0</v>
      </c>
      <c r="K3241" s="2">
        <v>0.0</v>
      </c>
      <c r="L3241" s="2">
        <v>0.0</v>
      </c>
      <c r="M3241" s="2"/>
      <c r="N3241" s="2"/>
      <c r="O3241" s="2"/>
      <c r="P3241" s="2" t="s">
        <v>146</v>
      </c>
    </row>
    <row r="3242">
      <c r="A3242" s="3" t="s">
        <v>54</v>
      </c>
      <c r="B3242" s="4">
        <v>45140.29166666667</v>
      </c>
      <c r="C3242" s="2" t="s">
        <v>18</v>
      </c>
      <c r="D3242" s="2" t="s">
        <v>91</v>
      </c>
      <c r="E3242" s="2" t="s">
        <v>399</v>
      </c>
      <c r="F3242" s="2"/>
      <c r="G3242" s="2">
        <v>15.0</v>
      </c>
      <c r="H3242" s="2">
        <v>15.0</v>
      </c>
      <c r="I3242" s="2">
        <v>0.0</v>
      </c>
      <c r="J3242" s="2">
        <v>0.0</v>
      </c>
      <c r="K3242" s="2">
        <v>0.0</v>
      </c>
      <c r="L3242" s="2">
        <v>0.0</v>
      </c>
      <c r="M3242" s="2"/>
      <c r="N3242" s="2"/>
      <c r="O3242" s="2"/>
      <c r="P3242" s="2" t="s">
        <v>146</v>
      </c>
    </row>
    <row r="3243">
      <c r="A3243" s="3" t="s">
        <v>55</v>
      </c>
      <c r="B3243" s="4">
        <v>45140.29166666667</v>
      </c>
      <c r="C3243" s="2" t="s">
        <v>18</v>
      </c>
      <c r="D3243" s="2" t="s">
        <v>91</v>
      </c>
      <c r="E3243" s="2" t="s">
        <v>400</v>
      </c>
      <c r="F3243" s="2"/>
      <c r="G3243" s="2">
        <v>8.0</v>
      </c>
      <c r="H3243" s="2">
        <v>8.0</v>
      </c>
      <c r="I3243" s="2">
        <v>0.0</v>
      </c>
      <c r="J3243" s="2">
        <v>0.0</v>
      </c>
      <c r="K3243" s="2">
        <v>0.0</v>
      </c>
      <c r="L3243" s="2">
        <v>0.0</v>
      </c>
      <c r="M3243" s="2"/>
      <c r="N3243" s="2"/>
      <c r="O3243" s="2"/>
      <c r="P3243" s="2" t="s">
        <v>146</v>
      </c>
    </row>
    <row r="3244">
      <c r="A3244" s="3" t="s">
        <v>56</v>
      </c>
      <c r="B3244" s="4">
        <v>45140.29166666667</v>
      </c>
      <c r="C3244" s="2" t="s">
        <v>18</v>
      </c>
      <c r="D3244" s="2" t="s">
        <v>91</v>
      </c>
      <c r="E3244" s="2" t="s">
        <v>401</v>
      </c>
      <c r="F3244" s="2"/>
      <c r="G3244" s="2">
        <v>3.0</v>
      </c>
      <c r="H3244" s="2">
        <v>3.0</v>
      </c>
      <c r="I3244" s="2">
        <v>0.0</v>
      </c>
      <c r="J3244" s="2">
        <v>0.0</v>
      </c>
      <c r="K3244" s="2">
        <v>0.0</v>
      </c>
      <c r="L3244" s="2">
        <v>0.0</v>
      </c>
      <c r="M3244" s="2"/>
      <c r="N3244" s="2"/>
      <c r="O3244" s="2"/>
      <c r="P3244" s="2" t="s">
        <v>146</v>
      </c>
    </row>
    <row r="3245">
      <c r="A3245" s="3" t="s">
        <v>59</v>
      </c>
      <c r="B3245" s="4">
        <v>45140.29166666667</v>
      </c>
      <c r="C3245" s="2" t="s">
        <v>18</v>
      </c>
      <c r="D3245" s="2" t="s">
        <v>91</v>
      </c>
      <c r="E3245" s="2" t="s">
        <v>395</v>
      </c>
      <c r="F3245" s="2"/>
      <c r="G3245" s="2">
        <v>17.0</v>
      </c>
      <c r="H3245" s="2">
        <v>17.0</v>
      </c>
      <c r="I3245" s="2">
        <v>0.0</v>
      </c>
      <c r="J3245" s="2">
        <v>0.0</v>
      </c>
      <c r="K3245" s="2">
        <v>0.0</v>
      </c>
      <c r="L3245" s="2">
        <v>0.0</v>
      </c>
      <c r="M3245" s="2"/>
      <c r="N3245" s="2"/>
      <c r="O3245" s="2"/>
      <c r="P3245" s="2" t="s">
        <v>146</v>
      </c>
    </row>
    <row r="3246">
      <c r="A3246" s="3" t="s">
        <v>60</v>
      </c>
      <c r="B3246" s="4">
        <v>45140.29166666667</v>
      </c>
      <c r="C3246" s="2" t="s">
        <v>18</v>
      </c>
      <c r="D3246" s="2" t="s">
        <v>91</v>
      </c>
      <c r="E3246" s="2" t="s">
        <v>402</v>
      </c>
      <c r="F3246" s="2"/>
      <c r="G3246" s="2">
        <v>14.0</v>
      </c>
      <c r="H3246" s="2">
        <v>11.0</v>
      </c>
      <c r="I3246" s="2">
        <v>3.0</v>
      </c>
      <c r="J3246" s="2">
        <v>0.0</v>
      </c>
      <c r="K3246" s="2">
        <v>0.0</v>
      </c>
      <c r="L3246" s="2">
        <v>0.0</v>
      </c>
      <c r="M3246" s="2"/>
      <c r="N3246" s="2"/>
      <c r="O3246" s="2"/>
      <c r="P3246" s="2" t="s">
        <v>146</v>
      </c>
    </row>
    <row r="3247">
      <c r="A3247" s="3" t="s">
        <v>61</v>
      </c>
      <c r="B3247" s="4">
        <v>45171.29166666667</v>
      </c>
      <c r="C3247" s="2" t="s">
        <v>18</v>
      </c>
      <c r="D3247" s="2" t="s">
        <v>91</v>
      </c>
      <c r="E3247" s="2" t="s">
        <v>396</v>
      </c>
      <c r="F3247" s="2"/>
      <c r="G3247" s="2">
        <v>5.0</v>
      </c>
      <c r="H3247" s="2">
        <v>5.0</v>
      </c>
      <c r="I3247" s="2">
        <v>0.0</v>
      </c>
      <c r="J3247" s="2">
        <v>0.0</v>
      </c>
      <c r="K3247" s="2">
        <v>0.0</v>
      </c>
      <c r="L3247" s="2">
        <v>0.0</v>
      </c>
      <c r="M3247" s="2"/>
      <c r="N3247" s="2"/>
      <c r="O3247" s="2"/>
      <c r="P3247" s="2" t="s">
        <v>146</v>
      </c>
    </row>
    <row r="3248">
      <c r="A3248" s="3" t="s">
        <v>62</v>
      </c>
      <c r="B3248" s="4">
        <v>45172.29166666667</v>
      </c>
      <c r="C3248" s="2" t="s">
        <v>18</v>
      </c>
      <c r="D3248" s="2" t="s">
        <v>91</v>
      </c>
      <c r="E3248" s="2" t="s">
        <v>397</v>
      </c>
      <c r="F3248" s="2"/>
      <c r="G3248" s="2">
        <v>0.0</v>
      </c>
      <c r="H3248" s="2">
        <v>0.0</v>
      </c>
      <c r="I3248" s="2">
        <v>0.0</v>
      </c>
      <c r="J3248" s="2">
        <v>0.0</v>
      </c>
      <c r="K3248" s="2">
        <v>0.0</v>
      </c>
      <c r="L3248" s="2">
        <v>0.0</v>
      </c>
      <c r="M3248" s="2"/>
      <c r="N3248" s="2"/>
      <c r="O3248" s="2"/>
      <c r="P3248" s="2" t="s">
        <v>146</v>
      </c>
    </row>
    <row r="3249">
      <c r="A3249" s="3" t="s">
        <v>63</v>
      </c>
      <c r="B3249" s="4">
        <v>45173.29166666667</v>
      </c>
      <c r="C3249" s="2" t="s">
        <v>18</v>
      </c>
      <c r="D3249" s="2" t="s">
        <v>91</v>
      </c>
      <c r="E3249" s="2" t="s">
        <v>398</v>
      </c>
      <c r="F3249" s="2"/>
      <c r="G3249" s="2">
        <v>1.0</v>
      </c>
      <c r="H3249" s="2">
        <v>1.0</v>
      </c>
      <c r="I3249" s="2">
        <v>0.0</v>
      </c>
      <c r="J3249" s="2">
        <v>0.0</v>
      </c>
      <c r="K3249" s="2">
        <v>0.0</v>
      </c>
      <c r="L3249" s="2">
        <v>0.0</v>
      </c>
      <c r="M3249" s="2"/>
      <c r="N3249" s="2"/>
      <c r="O3249" s="2"/>
      <c r="P3249" s="2" t="s">
        <v>146</v>
      </c>
    </row>
    <row r="3250">
      <c r="A3250" s="3" t="s">
        <v>64</v>
      </c>
      <c r="B3250" s="4">
        <v>45174.29166666667</v>
      </c>
      <c r="C3250" s="2" t="s">
        <v>18</v>
      </c>
      <c r="D3250" s="2" t="s">
        <v>91</v>
      </c>
      <c r="E3250" s="2" t="s">
        <v>399</v>
      </c>
      <c r="F3250" s="2"/>
      <c r="G3250" s="2">
        <v>0.0</v>
      </c>
      <c r="H3250" s="2">
        <v>0.0</v>
      </c>
      <c r="I3250" s="2">
        <v>0.0</v>
      </c>
      <c r="J3250" s="2">
        <v>0.0</v>
      </c>
      <c r="K3250" s="2">
        <v>0.0</v>
      </c>
      <c r="L3250" s="2">
        <v>0.0</v>
      </c>
      <c r="M3250" s="2"/>
      <c r="N3250" s="2"/>
      <c r="O3250" s="2"/>
      <c r="P3250" s="2" t="s">
        <v>146</v>
      </c>
    </row>
    <row r="3251">
      <c r="A3251" s="3" t="s">
        <v>65</v>
      </c>
      <c r="B3251" s="4">
        <v>45175.29166666667</v>
      </c>
      <c r="C3251" s="2" t="s">
        <v>18</v>
      </c>
      <c r="D3251" s="2" t="s">
        <v>91</v>
      </c>
      <c r="E3251" s="2" t="s">
        <v>400</v>
      </c>
      <c r="F3251" s="2"/>
      <c r="G3251" s="2">
        <v>0.0</v>
      </c>
      <c r="H3251" s="2">
        <v>0.0</v>
      </c>
      <c r="I3251" s="2">
        <v>0.0</v>
      </c>
      <c r="J3251" s="2">
        <v>0.0</v>
      </c>
      <c r="K3251" s="2">
        <v>0.0</v>
      </c>
      <c r="L3251" s="2">
        <v>0.0</v>
      </c>
      <c r="M3251" s="2"/>
      <c r="N3251" s="2"/>
      <c r="O3251" s="2"/>
      <c r="P3251" s="2" t="s">
        <v>146</v>
      </c>
    </row>
    <row r="3252">
      <c r="A3252" s="3" t="s">
        <v>66</v>
      </c>
      <c r="B3252" s="4">
        <v>45176.29166666667</v>
      </c>
      <c r="C3252" s="2" t="s">
        <v>18</v>
      </c>
      <c r="D3252" s="2" t="s">
        <v>91</v>
      </c>
      <c r="E3252" s="2" t="s">
        <v>401</v>
      </c>
      <c r="F3252" s="2"/>
      <c r="G3252" s="2">
        <v>6.0</v>
      </c>
      <c r="H3252" s="2">
        <v>5.0</v>
      </c>
      <c r="I3252" s="2">
        <v>1.0</v>
      </c>
      <c r="J3252" s="2">
        <v>0.0</v>
      </c>
      <c r="K3252" s="2">
        <v>0.0</v>
      </c>
      <c r="L3252" s="2">
        <v>0.0</v>
      </c>
      <c r="M3252" s="2"/>
      <c r="N3252" s="2"/>
      <c r="O3252" s="2"/>
      <c r="P3252" s="2" t="s">
        <v>146</v>
      </c>
    </row>
    <row r="3253">
      <c r="A3253" s="3" t="s">
        <v>68</v>
      </c>
      <c r="B3253" s="4">
        <v>45177.29166666667</v>
      </c>
      <c r="C3253" s="2" t="s">
        <v>18</v>
      </c>
      <c r="D3253" s="2" t="s">
        <v>91</v>
      </c>
      <c r="E3253" s="2" t="s">
        <v>395</v>
      </c>
      <c r="F3253" s="2"/>
      <c r="G3253" s="2">
        <v>0.0</v>
      </c>
      <c r="H3253" s="2">
        <v>0.0</v>
      </c>
      <c r="I3253" s="2">
        <v>0.0</v>
      </c>
      <c r="J3253" s="2">
        <v>0.0</v>
      </c>
      <c r="K3253" s="2">
        <v>0.0</v>
      </c>
      <c r="L3253" s="2">
        <v>0.0</v>
      </c>
      <c r="M3253" s="2"/>
      <c r="N3253" s="2"/>
      <c r="O3253" s="2"/>
      <c r="P3253" s="2" t="s">
        <v>146</v>
      </c>
    </row>
    <row r="3254">
      <c r="A3254" s="3" t="s">
        <v>70</v>
      </c>
      <c r="B3254" s="4">
        <v>45178.29166666667</v>
      </c>
      <c r="C3254" s="2" t="s">
        <v>18</v>
      </c>
      <c r="D3254" s="2" t="s">
        <v>91</v>
      </c>
      <c r="E3254" s="2" t="s">
        <v>402</v>
      </c>
      <c r="F3254" s="2"/>
      <c r="G3254" s="2">
        <v>0.0</v>
      </c>
      <c r="H3254" s="2">
        <v>0.0</v>
      </c>
      <c r="I3254" s="2">
        <v>0.0</v>
      </c>
      <c r="J3254" s="2">
        <v>0.0</v>
      </c>
      <c r="K3254" s="2">
        <v>0.0</v>
      </c>
      <c r="L3254" s="2">
        <v>0.0</v>
      </c>
      <c r="M3254" s="2"/>
      <c r="N3254" s="2"/>
      <c r="O3254" s="2"/>
      <c r="P3254" s="2" t="s">
        <v>146</v>
      </c>
    </row>
    <row r="3255">
      <c r="A3255" s="3" t="s">
        <v>16</v>
      </c>
      <c r="B3255" s="2" t="s">
        <v>17</v>
      </c>
      <c r="C3255" s="2" t="s">
        <v>18</v>
      </c>
      <c r="D3255" s="2" t="s">
        <v>79</v>
      </c>
      <c r="E3255" s="2" t="s">
        <v>165</v>
      </c>
      <c r="F3255" s="2">
        <v>92.0</v>
      </c>
      <c r="G3255" s="2">
        <v>129.0</v>
      </c>
      <c r="H3255" s="2">
        <v>95.0</v>
      </c>
      <c r="I3255" s="2">
        <v>34.0</v>
      </c>
      <c r="J3255" s="2">
        <v>0.0</v>
      </c>
      <c r="K3255" s="2">
        <v>0.0</v>
      </c>
      <c r="L3255" s="2">
        <v>0.0</v>
      </c>
      <c r="M3255" s="2">
        <v>-3.0</v>
      </c>
      <c r="N3255" s="2"/>
      <c r="O3255" s="2"/>
      <c r="P3255" s="2" t="s">
        <v>166</v>
      </c>
    </row>
    <row r="3256">
      <c r="A3256" s="3" t="s">
        <v>71</v>
      </c>
      <c r="B3256" s="2" t="s">
        <v>17</v>
      </c>
      <c r="C3256" s="2" t="s">
        <v>18</v>
      </c>
      <c r="D3256" s="2" t="s">
        <v>23</v>
      </c>
      <c r="E3256" s="2" t="s">
        <v>165</v>
      </c>
      <c r="F3256" s="2">
        <v>92.0</v>
      </c>
      <c r="G3256" s="2">
        <v>129.0</v>
      </c>
      <c r="H3256" s="2">
        <v>95.0</v>
      </c>
      <c r="I3256" s="2">
        <v>34.0</v>
      </c>
      <c r="J3256" s="2">
        <v>0.0</v>
      </c>
      <c r="K3256" s="2">
        <v>0.0</v>
      </c>
      <c r="L3256" s="2">
        <v>0.0</v>
      </c>
      <c r="M3256" s="2">
        <v>-3.0</v>
      </c>
      <c r="N3256" s="2">
        <v>-92.0</v>
      </c>
      <c r="O3256" s="2">
        <v>-98.0</v>
      </c>
      <c r="P3256" s="2" t="s">
        <v>166</v>
      </c>
    </row>
    <row r="3257">
      <c r="A3257" s="3" t="s">
        <v>72</v>
      </c>
      <c r="B3257" s="4">
        <v>45112.29166666667</v>
      </c>
      <c r="C3257" s="2" t="s">
        <v>18</v>
      </c>
      <c r="D3257" s="2" t="s">
        <v>79</v>
      </c>
      <c r="E3257" s="2" t="s">
        <v>165</v>
      </c>
      <c r="F3257" s="2">
        <v>23.0</v>
      </c>
      <c r="G3257" s="2">
        <v>44.0</v>
      </c>
      <c r="H3257" s="2">
        <v>29.0</v>
      </c>
      <c r="I3257" s="2">
        <v>15.0</v>
      </c>
      <c r="J3257" s="2">
        <v>0.0</v>
      </c>
      <c r="K3257" s="2">
        <v>0.0</v>
      </c>
      <c r="L3257" s="2">
        <v>0.0</v>
      </c>
      <c r="M3257" s="2"/>
      <c r="N3257" s="2"/>
      <c r="O3257" s="2"/>
      <c r="P3257" s="2" t="s">
        <v>166</v>
      </c>
    </row>
    <row r="3258">
      <c r="A3258" s="3" t="s">
        <v>73</v>
      </c>
      <c r="B3258" s="4">
        <v>45139.29166666667</v>
      </c>
      <c r="C3258" s="2" t="s">
        <v>18</v>
      </c>
      <c r="D3258" s="2" t="s">
        <v>79</v>
      </c>
      <c r="E3258" s="2" t="s">
        <v>165</v>
      </c>
      <c r="F3258" s="2">
        <v>42.0</v>
      </c>
      <c r="G3258" s="2">
        <v>85.0</v>
      </c>
      <c r="H3258" s="2">
        <v>66.0</v>
      </c>
      <c r="I3258" s="2">
        <v>19.0</v>
      </c>
      <c r="J3258" s="2">
        <v>0.0</v>
      </c>
      <c r="K3258" s="2">
        <v>0.0</v>
      </c>
      <c r="L3258" s="2">
        <v>0.0</v>
      </c>
      <c r="M3258" s="2"/>
      <c r="N3258" s="2"/>
      <c r="O3258" s="2"/>
      <c r="P3258" s="2" t="s">
        <v>166</v>
      </c>
    </row>
    <row r="3259">
      <c r="A3259" s="3" t="s">
        <v>74</v>
      </c>
      <c r="B3259" s="4">
        <v>45170.29166666667</v>
      </c>
      <c r="C3259" s="2" t="s">
        <v>18</v>
      </c>
      <c r="D3259" s="2" t="s">
        <v>79</v>
      </c>
      <c r="E3259" s="2" t="s">
        <v>165</v>
      </c>
      <c r="F3259" s="2">
        <v>27.0</v>
      </c>
      <c r="G3259" s="2">
        <v>0.0</v>
      </c>
      <c r="H3259" s="2">
        <v>0.0</v>
      </c>
      <c r="I3259" s="2">
        <v>0.0</v>
      </c>
      <c r="J3259" s="2">
        <v>0.0</v>
      </c>
      <c r="K3259" s="2">
        <v>0.0</v>
      </c>
      <c r="L3259" s="2">
        <v>0.0</v>
      </c>
      <c r="M3259" s="2"/>
      <c r="N3259" s="2"/>
      <c r="O3259" s="2"/>
      <c r="P3259" s="2" t="s">
        <v>166</v>
      </c>
    </row>
    <row r="3260">
      <c r="A3260" s="3" t="s">
        <v>75</v>
      </c>
      <c r="B3260" s="2" t="s">
        <v>17</v>
      </c>
      <c r="C3260" s="2" t="s">
        <v>18</v>
      </c>
      <c r="D3260" s="2" t="s">
        <v>79</v>
      </c>
      <c r="E3260" s="2" t="s">
        <v>165</v>
      </c>
      <c r="F3260" s="2">
        <v>43.0</v>
      </c>
      <c r="G3260" s="2">
        <v>59.0</v>
      </c>
      <c r="H3260" s="2">
        <v>42.0</v>
      </c>
      <c r="I3260" s="2">
        <v>17.0</v>
      </c>
      <c r="J3260" s="2">
        <v>0.0</v>
      </c>
      <c r="K3260" s="2">
        <v>0.0</v>
      </c>
      <c r="L3260" s="2">
        <v>0.0</v>
      </c>
      <c r="M3260" s="2">
        <v>1.0</v>
      </c>
      <c r="N3260" s="2"/>
      <c r="O3260" s="2"/>
      <c r="P3260" s="2" t="s">
        <v>166</v>
      </c>
    </row>
    <row r="3261">
      <c r="A3261" s="3" t="s">
        <v>76</v>
      </c>
      <c r="B3261" s="2" t="s">
        <v>17</v>
      </c>
      <c r="C3261" s="2" t="s">
        <v>18</v>
      </c>
      <c r="D3261" s="2" t="s">
        <v>23</v>
      </c>
      <c r="E3261" s="2" t="s">
        <v>165</v>
      </c>
      <c r="F3261" s="2">
        <v>43.0</v>
      </c>
      <c r="G3261" s="2">
        <v>59.0</v>
      </c>
      <c r="H3261" s="2">
        <v>42.0</v>
      </c>
      <c r="I3261" s="2">
        <v>17.0</v>
      </c>
      <c r="J3261" s="2">
        <v>0.0</v>
      </c>
      <c r="K3261" s="2">
        <v>0.0</v>
      </c>
      <c r="L3261" s="2">
        <v>0.0</v>
      </c>
      <c r="M3261" s="2">
        <v>1.0</v>
      </c>
      <c r="N3261" s="2">
        <v>0.0</v>
      </c>
      <c r="O3261" s="2">
        <v>-41.0</v>
      </c>
      <c r="P3261" s="2" t="s">
        <v>166</v>
      </c>
    </row>
    <row r="3262">
      <c r="A3262" s="3" t="s">
        <v>77</v>
      </c>
      <c r="B3262" s="4">
        <v>45141.29166666667</v>
      </c>
      <c r="C3262" s="2" t="s">
        <v>18</v>
      </c>
      <c r="D3262" s="2" t="s">
        <v>79</v>
      </c>
      <c r="E3262" s="2" t="s">
        <v>165</v>
      </c>
      <c r="F3262" s="2"/>
      <c r="G3262" s="2">
        <v>30.0</v>
      </c>
      <c r="H3262" s="2">
        <v>23.0</v>
      </c>
      <c r="I3262" s="2">
        <v>7.0</v>
      </c>
      <c r="J3262" s="2">
        <v>0.0</v>
      </c>
      <c r="K3262" s="2">
        <v>0.0</v>
      </c>
      <c r="L3262" s="2">
        <v>0.0</v>
      </c>
      <c r="M3262" s="2"/>
      <c r="N3262" s="2"/>
      <c r="O3262" s="2"/>
      <c r="P3262" s="2" t="s">
        <v>166</v>
      </c>
    </row>
    <row r="3263">
      <c r="A3263" s="3" t="s">
        <v>78</v>
      </c>
      <c r="B3263" s="4">
        <v>45170.29166666667</v>
      </c>
      <c r="C3263" s="2" t="s">
        <v>18</v>
      </c>
      <c r="D3263" s="2" t="s">
        <v>79</v>
      </c>
      <c r="E3263" s="2" t="s">
        <v>165</v>
      </c>
      <c r="F3263" s="2"/>
      <c r="G3263" s="2">
        <v>29.0</v>
      </c>
      <c r="H3263" s="2">
        <v>19.0</v>
      </c>
      <c r="I3263" s="2">
        <v>10.0</v>
      </c>
      <c r="J3263" s="2">
        <v>0.0</v>
      </c>
      <c r="K3263" s="2">
        <v>0.0</v>
      </c>
      <c r="L3263" s="2">
        <v>0.0</v>
      </c>
      <c r="M3263" s="2"/>
      <c r="N3263" s="2"/>
      <c r="O3263" s="2"/>
      <c r="P3263" s="2" t="s">
        <v>166</v>
      </c>
    </row>
    <row r="3264">
      <c r="A3264" s="3" t="s">
        <v>81</v>
      </c>
      <c r="B3264" s="2" t="s">
        <v>17</v>
      </c>
      <c r="C3264" s="2" t="s">
        <v>18</v>
      </c>
      <c r="D3264" s="2" t="s">
        <v>164</v>
      </c>
      <c r="E3264" s="2" t="s">
        <v>165</v>
      </c>
      <c r="F3264" s="2">
        <v>195.0</v>
      </c>
      <c r="G3264" s="2">
        <v>312.0</v>
      </c>
      <c r="H3264" s="2">
        <v>187.0</v>
      </c>
      <c r="I3264" s="2">
        <v>125.0</v>
      </c>
      <c r="J3264" s="2">
        <v>0.0</v>
      </c>
      <c r="K3264" s="2">
        <v>0.0</v>
      </c>
      <c r="L3264" s="2">
        <v>0.0</v>
      </c>
      <c r="M3264" s="2">
        <v>8.0</v>
      </c>
      <c r="N3264" s="2"/>
      <c r="O3264" s="2"/>
      <c r="P3264" s="2" t="s">
        <v>166</v>
      </c>
    </row>
    <row r="3265">
      <c r="A3265" s="3" t="s">
        <v>82</v>
      </c>
      <c r="B3265" s="2" t="s">
        <v>17</v>
      </c>
      <c r="C3265" s="2" t="s">
        <v>18</v>
      </c>
      <c r="D3265" s="2" t="s">
        <v>23</v>
      </c>
      <c r="E3265" s="2" t="s">
        <v>165</v>
      </c>
      <c r="F3265" s="2">
        <v>195.0</v>
      </c>
      <c r="G3265" s="2">
        <v>312.0</v>
      </c>
      <c r="H3265" s="2">
        <v>187.0</v>
      </c>
      <c r="I3265" s="2">
        <v>125.0</v>
      </c>
      <c r="J3265" s="2">
        <v>0.0</v>
      </c>
      <c r="K3265" s="2">
        <v>0.0</v>
      </c>
      <c r="L3265" s="2">
        <v>0.0</v>
      </c>
      <c r="M3265" s="2">
        <v>8.0</v>
      </c>
      <c r="N3265" s="2">
        <v>-182.0</v>
      </c>
      <c r="O3265" s="2">
        <v>-179.0</v>
      </c>
      <c r="P3265" s="2" t="s">
        <v>166</v>
      </c>
    </row>
    <row r="3266">
      <c r="A3266" s="3" t="s">
        <v>83</v>
      </c>
      <c r="B3266" s="4">
        <v>45112.29166666667</v>
      </c>
      <c r="C3266" s="2" t="s">
        <v>18</v>
      </c>
      <c r="D3266" s="2" t="s">
        <v>164</v>
      </c>
      <c r="E3266" s="2" t="s">
        <v>165</v>
      </c>
      <c r="F3266" s="2">
        <v>44.0</v>
      </c>
      <c r="G3266" s="2">
        <v>61.0</v>
      </c>
      <c r="H3266" s="2">
        <v>45.0</v>
      </c>
      <c r="I3266" s="2">
        <v>16.0</v>
      </c>
      <c r="J3266" s="2">
        <v>0.0</v>
      </c>
      <c r="K3266" s="2">
        <v>0.0</v>
      </c>
      <c r="L3266" s="2">
        <v>0.0</v>
      </c>
      <c r="M3266" s="2"/>
      <c r="N3266" s="2"/>
      <c r="O3266" s="2"/>
      <c r="P3266" s="2" t="s">
        <v>166</v>
      </c>
    </row>
    <row r="3267">
      <c r="A3267" s="3" t="s">
        <v>84</v>
      </c>
      <c r="B3267" s="4">
        <v>45139.29166666667</v>
      </c>
      <c r="C3267" s="2" t="s">
        <v>18</v>
      </c>
      <c r="D3267" s="2" t="s">
        <v>164</v>
      </c>
      <c r="E3267" s="2" t="s">
        <v>165</v>
      </c>
      <c r="F3267" s="2">
        <v>79.0</v>
      </c>
      <c r="G3267" s="2">
        <v>165.0</v>
      </c>
      <c r="H3267" s="2">
        <v>90.0</v>
      </c>
      <c r="I3267" s="2">
        <v>75.0</v>
      </c>
      <c r="J3267" s="2">
        <v>0.0</v>
      </c>
      <c r="K3267" s="2">
        <v>0.0</v>
      </c>
      <c r="L3267" s="2">
        <v>0.0</v>
      </c>
      <c r="M3267" s="2"/>
      <c r="N3267" s="2"/>
      <c r="O3267" s="2"/>
      <c r="P3267" s="2" t="s">
        <v>166</v>
      </c>
    </row>
    <row r="3268">
      <c r="A3268" s="3" t="s">
        <v>85</v>
      </c>
      <c r="B3268" s="4">
        <v>45170.29166666667</v>
      </c>
      <c r="C3268" s="2" t="s">
        <v>18</v>
      </c>
      <c r="D3268" s="2" t="s">
        <v>164</v>
      </c>
      <c r="E3268" s="2" t="s">
        <v>165</v>
      </c>
      <c r="F3268" s="2">
        <v>59.0</v>
      </c>
      <c r="G3268" s="2">
        <v>86.0</v>
      </c>
      <c r="H3268" s="2">
        <v>52.0</v>
      </c>
      <c r="I3268" s="2">
        <v>34.0</v>
      </c>
      <c r="J3268" s="2">
        <v>0.0</v>
      </c>
      <c r="K3268" s="2">
        <v>0.0</v>
      </c>
      <c r="L3268" s="2">
        <v>0.0</v>
      </c>
      <c r="M3268" s="2"/>
      <c r="N3268" s="2"/>
      <c r="O3268" s="2"/>
      <c r="P3268" s="2" t="s">
        <v>166</v>
      </c>
    </row>
    <row r="3269">
      <c r="A3269" s="3" t="s">
        <v>86</v>
      </c>
      <c r="B3269" s="2" t="s">
        <v>17</v>
      </c>
      <c r="C3269" s="2" t="s">
        <v>18</v>
      </c>
      <c r="D3269" s="2" t="s">
        <v>127</v>
      </c>
      <c r="E3269" s="2" t="s">
        <v>27</v>
      </c>
      <c r="F3269" s="2">
        <v>10.0</v>
      </c>
      <c r="G3269" s="2">
        <v>19.0</v>
      </c>
      <c r="H3269" s="2">
        <v>5.0</v>
      </c>
      <c r="I3269" s="2">
        <v>14.0</v>
      </c>
      <c r="J3269" s="2">
        <v>0.0</v>
      </c>
      <c r="K3269" s="2">
        <v>0.0</v>
      </c>
      <c r="L3269" s="2">
        <v>0.0</v>
      </c>
      <c r="M3269" s="2">
        <v>5.0</v>
      </c>
      <c r="N3269" s="2"/>
      <c r="O3269" s="2"/>
      <c r="P3269" s="2" t="s">
        <v>92</v>
      </c>
    </row>
    <row r="3270">
      <c r="A3270" s="3" t="s">
        <v>87</v>
      </c>
      <c r="B3270" s="2" t="s">
        <v>17</v>
      </c>
      <c r="C3270" s="2" t="s">
        <v>18</v>
      </c>
      <c r="D3270" s="2" t="s">
        <v>23</v>
      </c>
      <c r="E3270" s="2" t="s">
        <v>27</v>
      </c>
      <c r="F3270" s="2">
        <v>10.0</v>
      </c>
      <c r="G3270" s="2">
        <v>19.0</v>
      </c>
      <c r="H3270" s="2">
        <v>5.0</v>
      </c>
      <c r="I3270" s="2">
        <v>14.0</v>
      </c>
      <c r="J3270" s="2">
        <v>0.0</v>
      </c>
      <c r="K3270" s="2">
        <v>0.0</v>
      </c>
      <c r="L3270" s="2">
        <v>0.0</v>
      </c>
      <c r="M3270" s="2">
        <v>5.0</v>
      </c>
      <c r="N3270" s="2">
        <v>0.0</v>
      </c>
      <c r="O3270" s="2">
        <v>0.0</v>
      </c>
      <c r="P3270" s="2" t="s">
        <v>92</v>
      </c>
    </row>
    <row r="3271">
      <c r="A3271" s="3" t="s">
        <v>88</v>
      </c>
      <c r="B3271" s="4">
        <v>45171.29166666667</v>
      </c>
      <c r="C3271" s="2" t="s">
        <v>18</v>
      </c>
      <c r="D3271" s="2" t="s">
        <v>127</v>
      </c>
      <c r="E3271" s="2" t="s">
        <v>27</v>
      </c>
      <c r="F3271" s="2"/>
      <c r="G3271" s="2">
        <v>19.0</v>
      </c>
      <c r="H3271" s="2">
        <v>5.0</v>
      </c>
      <c r="I3271" s="2">
        <v>14.0</v>
      </c>
      <c r="J3271" s="2">
        <v>0.0</v>
      </c>
      <c r="K3271" s="2">
        <v>0.0</v>
      </c>
      <c r="L3271" s="2">
        <v>0.0</v>
      </c>
      <c r="M3271" s="2"/>
      <c r="N3271" s="2"/>
      <c r="O3271" s="2"/>
      <c r="P3271" s="2" t="s">
        <v>92</v>
      </c>
    </row>
    <row r="3272">
      <c r="A3272" s="3" t="s">
        <v>89</v>
      </c>
      <c r="B3272" s="2" t="s">
        <v>17</v>
      </c>
      <c r="C3272" s="2" t="s">
        <v>18</v>
      </c>
      <c r="D3272" s="2" t="s">
        <v>19</v>
      </c>
      <c r="E3272" s="2" t="s">
        <v>197</v>
      </c>
      <c r="F3272" s="2">
        <v>7.0</v>
      </c>
      <c r="G3272" s="2">
        <v>0.0</v>
      </c>
      <c r="H3272" s="2">
        <v>0.0</v>
      </c>
      <c r="I3272" s="2">
        <v>0.0</v>
      </c>
      <c r="J3272" s="2">
        <v>0.0</v>
      </c>
      <c r="K3272" s="2">
        <v>0.0</v>
      </c>
      <c r="L3272" s="2">
        <v>0.0</v>
      </c>
      <c r="M3272" s="2">
        <v>7.0</v>
      </c>
      <c r="N3272" s="2"/>
      <c r="O3272" s="2"/>
      <c r="P3272" s="2" t="s">
        <v>92</v>
      </c>
    </row>
    <row r="3273">
      <c r="A3273" s="3" t="s">
        <v>90</v>
      </c>
      <c r="B3273" s="2" t="s">
        <v>17</v>
      </c>
      <c r="C3273" s="2" t="s">
        <v>18</v>
      </c>
      <c r="D3273" s="2" t="s">
        <v>19</v>
      </c>
      <c r="E3273" s="2" t="s">
        <v>171</v>
      </c>
      <c r="F3273" s="2">
        <v>0.0</v>
      </c>
      <c r="G3273" s="2">
        <v>0.0</v>
      </c>
      <c r="H3273" s="2">
        <v>0.0</v>
      </c>
      <c r="I3273" s="2">
        <v>0.0</v>
      </c>
      <c r="J3273" s="2">
        <v>0.0</v>
      </c>
      <c r="K3273" s="2">
        <v>0.0</v>
      </c>
      <c r="L3273" s="2">
        <v>0.0</v>
      </c>
      <c r="M3273" s="2">
        <v>0.0</v>
      </c>
      <c r="N3273" s="2"/>
      <c r="O3273" s="2"/>
      <c r="P3273" s="2" t="s">
        <v>92</v>
      </c>
    </row>
    <row r="3274">
      <c r="A3274" s="3" t="s">
        <v>93</v>
      </c>
      <c r="B3274" s="2" t="s">
        <v>17</v>
      </c>
      <c r="C3274" s="2" t="s">
        <v>18</v>
      </c>
      <c r="D3274" s="2" t="s">
        <v>19</v>
      </c>
      <c r="E3274" s="2" t="s">
        <v>27</v>
      </c>
      <c r="F3274" s="2">
        <v>5.0</v>
      </c>
      <c r="G3274" s="2">
        <v>1.0</v>
      </c>
      <c r="H3274" s="2">
        <v>1.0</v>
      </c>
      <c r="I3274" s="2">
        <v>0.0</v>
      </c>
      <c r="J3274" s="2">
        <v>0.0</v>
      </c>
      <c r="K3274" s="2">
        <v>0.0</v>
      </c>
      <c r="L3274" s="2">
        <v>0.0</v>
      </c>
      <c r="M3274" s="2">
        <v>4.0</v>
      </c>
      <c r="N3274" s="2"/>
      <c r="O3274" s="2"/>
      <c r="P3274" s="2" t="s">
        <v>92</v>
      </c>
    </row>
    <row r="3275">
      <c r="A3275" s="3" t="s">
        <v>16</v>
      </c>
      <c r="B3275" s="2" t="s">
        <v>17</v>
      </c>
      <c r="C3275" s="2" t="s">
        <v>18</v>
      </c>
      <c r="D3275" s="2" t="s">
        <v>127</v>
      </c>
      <c r="E3275" s="2" t="s">
        <v>197</v>
      </c>
      <c r="F3275" s="2">
        <v>4.0</v>
      </c>
      <c r="G3275" s="2">
        <v>10.0</v>
      </c>
      <c r="H3275" s="2">
        <v>4.0</v>
      </c>
      <c r="I3275" s="2">
        <v>6.0</v>
      </c>
      <c r="J3275" s="2">
        <v>0.0</v>
      </c>
      <c r="K3275" s="2">
        <v>0.0</v>
      </c>
      <c r="L3275" s="2">
        <v>0.0</v>
      </c>
      <c r="M3275" s="2">
        <v>0.0</v>
      </c>
      <c r="N3275" s="2"/>
      <c r="O3275" s="2"/>
      <c r="P3275" s="2" t="s">
        <v>92</v>
      </c>
    </row>
    <row r="3276">
      <c r="A3276" s="3" t="s">
        <v>94</v>
      </c>
      <c r="B3276" s="2" t="s">
        <v>17</v>
      </c>
      <c r="C3276" s="2" t="s">
        <v>18</v>
      </c>
      <c r="D3276" s="2" t="s">
        <v>127</v>
      </c>
      <c r="E3276" s="2" t="s">
        <v>171</v>
      </c>
      <c r="F3276" s="2">
        <v>8.0</v>
      </c>
      <c r="G3276" s="2">
        <v>24.0</v>
      </c>
      <c r="H3276" s="2">
        <v>11.0</v>
      </c>
      <c r="I3276" s="2">
        <v>13.0</v>
      </c>
      <c r="J3276" s="2">
        <v>0.0</v>
      </c>
      <c r="K3276" s="2">
        <v>0.0</v>
      </c>
      <c r="L3276" s="2">
        <v>0.0</v>
      </c>
      <c r="M3276" s="2">
        <v>-3.0</v>
      </c>
      <c r="N3276" s="2"/>
      <c r="O3276" s="2"/>
      <c r="P3276" s="2" t="s">
        <v>92</v>
      </c>
    </row>
    <row r="3277">
      <c r="A3277" s="3" t="s">
        <v>95</v>
      </c>
      <c r="B3277" s="2" t="s">
        <v>17</v>
      </c>
      <c r="C3277" s="2" t="s">
        <v>18</v>
      </c>
      <c r="D3277" s="2" t="s">
        <v>127</v>
      </c>
      <c r="E3277" s="2" t="s">
        <v>27</v>
      </c>
      <c r="F3277" s="2">
        <v>20.0</v>
      </c>
      <c r="G3277" s="2">
        <v>35.0</v>
      </c>
      <c r="H3277" s="2">
        <v>27.0</v>
      </c>
      <c r="I3277" s="2">
        <v>8.0</v>
      </c>
      <c r="J3277" s="2">
        <v>0.0</v>
      </c>
      <c r="K3277" s="2">
        <v>0.0</v>
      </c>
      <c r="L3277" s="2">
        <v>0.0</v>
      </c>
      <c r="M3277" s="2">
        <v>-7.0</v>
      </c>
      <c r="N3277" s="2"/>
      <c r="O3277" s="2"/>
      <c r="P3277" s="2" t="s">
        <v>92</v>
      </c>
    </row>
    <row r="3278">
      <c r="A3278" s="3" t="s">
        <v>97</v>
      </c>
      <c r="B3278" s="2" t="s">
        <v>17</v>
      </c>
      <c r="C3278" s="2" t="s">
        <v>18</v>
      </c>
      <c r="D3278" s="2" t="s">
        <v>23</v>
      </c>
      <c r="E3278" s="2" t="s">
        <v>197</v>
      </c>
      <c r="F3278" s="2">
        <v>4.0</v>
      </c>
      <c r="G3278" s="2">
        <v>10.0</v>
      </c>
      <c r="H3278" s="2">
        <v>4.0</v>
      </c>
      <c r="I3278" s="2">
        <v>6.0</v>
      </c>
      <c r="J3278" s="2">
        <v>0.0</v>
      </c>
      <c r="K3278" s="2">
        <v>0.0</v>
      </c>
      <c r="L3278" s="2">
        <v>0.0</v>
      </c>
      <c r="M3278" s="2">
        <v>0.0</v>
      </c>
      <c r="N3278" s="2">
        <v>-7.0</v>
      </c>
      <c r="O3278" s="2">
        <v>-4.0</v>
      </c>
      <c r="P3278" s="2" t="s">
        <v>92</v>
      </c>
    </row>
    <row r="3279">
      <c r="A3279" s="3" t="s">
        <v>98</v>
      </c>
      <c r="B3279" s="2" t="s">
        <v>17</v>
      </c>
      <c r="C3279" s="2" t="s">
        <v>18</v>
      </c>
      <c r="D3279" s="2" t="s">
        <v>23</v>
      </c>
      <c r="E3279" s="2" t="s">
        <v>171</v>
      </c>
      <c r="F3279" s="2">
        <v>8.0</v>
      </c>
      <c r="G3279" s="2">
        <v>24.0</v>
      </c>
      <c r="H3279" s="2">
        <v>11.0</v>
      </c>
      <c r="I3279" s="2">
        <v>13.0</v>
      </c>
      <c r="J3279" s="2">
        <v>0.0</v>
      </c>
      <c r="K3279" s="2">
        <v>0.0</v>
      </c>
      <c r="L3279" s="2">
        <v>0.0</v>
      </c>
      <c r="M3279" s="2">
        <v>-3.0</v>
      </c>
      <c r="N3279" s="2">
        <v>0.0</v>
      </c>
      <c r="O3279" s="2">
        <v>-14.0</v>
      </c>
      <c r="P3279" s="2" t="s">
        <v>92</v>
      </c>
    </row>
    <row r="3280">
      <c r="A3280" s="3" t="s">
        <v>99</v>
      </c>
      <c r="B3280" s="2" t="s">
        <v>17</v>
      </c>
      <c r="C3280" s="2" t="s">
        <v>18</v>
      </c>
      <c r="D3280" s="2" t="s">
        <v>23</v>
      </c>
      <c r="E3280" s="2" t="s">
        <v>27</v>
      </c>
      <c r="F3280" s="2">
        <v>20.0</v>
      </c>
      <c r="G3280" s="2">
        <v>36.0</v>
      </c>
      <c r="H3280" s="2">
        <v>28.0</v>
      </c>
      <c r="I3280" s="2">
        <v>8.0</v>
      </c>
      <c r="J3280" s="2">
        <v>0.0</v>
      </c>
      <c r="K3280" s="2">
        <v>0.0</v>
      </c>
      <c r="L3280" s="2">
        <v>0.0</v>
      </c>
      <c r="M3280" s="2">
        <v>-8.0</v>
      </c>
      <c r="N3280" s="2">
        <v>-5.0</v>
      </c>
      <c r="O3280" s="2">
        <v>-36.0</v>
      </c>
      <c r="P3280" s="2" t="s">
        <v>92</v>
      </c>
    </row>
    <row r="3281">
      <c r="A3281" s="3" t="s">
        <v>100</v>
      </c>
      <c r="B3281" s="4">
        <v>45140.29166666667</v>
      </c>
      <c r="C3281" s="2" t="s">
        <v>113</v>
      </c>
      <c r="D3281" s="2" t="s">
        <v>19</v>
      </c>
      <c r="E3281" s="2" t="s">
        <v>197</v>
      </c>
      <c r="F3281" s="2"/>
      <c r="G3281" s="2">
        <v>0.0</v>
      </c>
      <c r="H3281" s="2">
        <v>0.0</v>
      </c>
      <c r="I3281" s="2">
        <v>0.0</v>
      </c>
      <c r="J3281" s="2">
        <v>0.0</v>
      </c>
      <c r="K3281" s="2">
        <v>0.0</v>
      </c>
      <c r="L3281" s="2">
        <v>0.0</v>
      </c>
      <c r="M3281" s="2"/>
      <c r="N3281" s="2"/>
      <c r="O3281" s="2"/>
      <c r="P3281" s="2" t="s">
        <v>92</v>
      </c>
    </row>
    <row r="3282">
      <c r="A3282" s="3" t="s">
        <v>101</v>
      </c>
      <c r="B3282" s="4">
        <v>45141.29166666667</v>
      </c>
      <c r="C3282" s="2" t="s">
        <v>113</v>
      </c>
      <c r="D3282" s="2" t="s">
        <v>19</v>
      </c>
      <c r="E3282" s="2" t="s">
        <v>171</v>
      </c>
      <c r="F3282" s="2"/>
      <c r="G3282" s="2">
        <v>0.0</v>
      </c>
      <c r="H3282" s="2">
        <v>0.0</v>
      </c>
      <c r="I3282" s="2">
        <v>0.0</v>
      </c>
      <c r="J3282" s="2">
        <v>0.0</v>
      </c>
      <c r="K3282" s="2">
        <v>0.0</v>
      </c>
      <c r="L3282" s="2">
        <v>0.0</v>
      </c>
      <c r="M3282" s="2"/>
      <c r="N3282" s="2"/>
      <c r="O3282" s="2"/>
      <c r="P3282" s="2" t="s">
        <v>92</v>
      </c>
    </row>
    <row r="3283">
      <c r="A3283" s="3" t="s">
        <v>102</v>
      </c>
      <c r="B3283" s="4">
        <v>45142.29166666667</v>
      </c>
      <c r="C3283" s="2" t="s">
        <v>113</v>
      </c>
      <c r="D3283" s="2" t="s">
        <v>19</v>
      </c>
      <c r="E3283" s="2" t="s">
        <v>27</v>
      </c>
      <c r="F3283" s="2"/>
      <c r="G3283" s="2">
        <v>1.0</v>
      </c>
      <c r="H3283" s="2">
        <v>1.0</v>
      </c>
      <c r="I3283" s="2">
        <v>0.0</v>
      </c>
      <c r="J3283" s="2">
        <v>0.0</v>
      </c>
      <c r="K3283" s="2">
        <v>0.0</v>
      </c>
      <c r="L3283" s="2">
        <v>0.0</v>
      </c>
      <c r="M3283" s="2"/>
      <c r="N3283" s="2"/>
      <c r="O3283" s="2"/>
      <c r="P3283" s="2" t="s">
        <v>92</v>
      </c>
    </row>
    <row r="3284">
      <c r="A3284" s="3" t="s">
        <v>103</v>
      </c>
      <c r="B3284" s="4">
        <v>45171.29166666667</v>
      </c>
      <c r="C3284" s="2" t="s">
        <v>113</v>
      </c>
      <c r="D3284" s="2" t="s">
        <v>127</v>
      </c>
      <c r="E3284" s="2" t="s">
        <v>197</v>
      </c>
      <c r="F3284" s="2"/>
      <c r="G3284" s="2">
        <v>10.0</v>
      </c>
      <c r="H3284" s="2">
        <v>4.0</v>
      </c>
      <c r="I3284" s="2">
        <v>6.0</v>
      </c>
      <c r="J3284" s="2">
        <v>0.0</v>
      </c>
      <c r="K3284" s="2">
        <v>0.0</v>
      </c>
      <c r="L3284" s="2">
        <v>0.0</v>
      </c>
      <c r="M3284" s="2"/>
      <c r="N3284" s="2"/>
      <c r="O3284" s="2"/>
      <c r="P3284" s="2" t="s">
        <v>92</v>
      </c>
    </row>
    <row r="3285">
      <c r="A3285" s="3" t="s">
        <v>104</v>
      </c>
      <c r="B3285" s="4">
        <v>45172.29166666667</v>
      </c>
      <c r="C3285" s="2" t="s">
        <v>113</v>
      </c>
      <c r="D3285" s="2" t="s">
        <v>127</v>
      </c>
      <c r="E3285" s="2" t="s">
        <v>171</v>
      </c>
      <c r="F3285" s="2"/>
      <c r="G3285" s="2">
        <v>24.0</v>
      </c>
      <c r="H3285" s="2">
        <v>11.0</v>
      </c>
      <c r="I3285" s="2">
        <v>13.0</v>
      </c>
      <c r="J3285" s="2">
        <v>0.0</v>
      </c>
      <c r="K3285" s="2">
        <v>0.0</v>
      </c>
      <c r="L3285" s="2">
        <v>0.0</v>
      </c>
      <c r="M3285" s="2"/>
      <c r="N3285" s="2"/>
      <c r="O3285" s="2"/>
      <c r="P3285" s="2" t="s">
        <v>92</v>
      </c>
    </row>
    <row r="3286">
      <c r="A3286" s="3" t="s">
        <v>105</v>
      </c>
      <c r="B3286" s="4">
        <v>45173.29166666667</v>
      </c>
      <c r="C3286" s="2" t="s">
        <v>18</v>
      </c>
      <c r="D3286" s="2" t="s">
        <v>127</v>
      </c>
      <c r="E3286" s="2" t="s">
        <v>27</v>
      </c>
      <c r="F3286" s="2"/>
      <c r="G3286" s="2">
        <v>35.0</v>
      </c>
      <c r="H3286" s="2">
        <v>27.0</v>
      </c>
      <c r="I3286" s="2">
        <v>8.0</v>
      </c>
      <c r="J3286" s="2">
        <v>0.0</v>
      </c>
      <c r="K3286" s="2">
        <v>0.0</v>
      </c>
      <c r="L3286" s="2">
        <v>0.0</v>
      </c>
      <c r="M3286" s="2"/>
      <c r="N3286" s="2"/>
      <c r="O3286" s="2"/>
      <c r="P3286" s="2" t="s">
        <v>92</v>
      </c>
    </row>
    <row r="3287">
      <c r="A3287" s="3" t="s">
        <v>106</v>
      </c>
      <c r="B3287" s="2" t="s">
        <v>17</v>
      </c>
      <c r="C3287" s="2" t="s">
        <v>18</v>
      </c>
      <c r="D3287" s="2" t="s">
        <v>19</v>
      </c>
      <c r="E3287" s="2" t="s">
        <v>162</v>
      </c>
      <c r="F3287" s="2">
        <v>40.0</v>
      </c>
      <c r="G3287" s="2">
        <v>47.0</v>
      </c>
      <c r="H3287" s="2">
        <v>36.0</v>
      </c>
      <c r="I3287" s="2">
        <v>11.0</v>
      </c>
      <c r="J3287" s="2">
        <v>0.0</v>
      </c>
      <c r="K3287" s="2">
        <v>0.0</v>
      </c>
      <c r="L3287" s="2">
        <v>0.0</v>
      </c>
      <c r="M3287" s="2">
        <v>4.0</v>
      </c>
      <c r="N3287" s="2"/>
      <c r="O3287" s="2"/>
      <c r="P3287" s="2" t="s">
        <v>184</v>
      </c>
    </row>
    <row r="3288">
      <c r="A3288" s="3" t="s">
        <v>107</v>
      </c>
      <c r="B3288" s="2" t="s">
        <v>17</v>
      </c>
      <c r="C3288" s="2" t="s">
        <v>18</v>
      </c>
      <c r="D3288" s="2" t="s">
        <v>127</v>
      </c>
      <c r="E3288" s="2" t="s">
        <v>162</v>
      </c>
      <c r="F3288" s="2">
        <v>48.0</v>
      </c>
      <c r="G3288" s="2">
        <v>58.0</v>
      </c>
      <c r="H3288" s="2">
        <v>47.0</v>
      </c>
      <c r="I3288" s="2">
        <v>11.0</v>
      </c>
      <c r="J3288" s="2">
        <v>0.0</v>
      </c>
      <c r="K3288" s="2">
        <v>0.0</v>
      </c>
      <c r="L3288" s="2">
        <v>0.0</v>
      </c>
      <c r="M3288" s="2">
        <v>1.0</v>
      </c>
      <c r="N3288" s="2"/>
      <c r="O3288" s="2"/>
      <c r="P3288" s="2" t="s">
        <v>184</v>
      </c>
    </row>
    <row r="3289">
      <c r="A3289" s="3" t="s">
        <v>108</v>
      </c>
      <c r="B3289" s="2" t="s">
        <v>17</v>
      </c>
      <c r="C3289" s="2" t="s">
        <v>18</v>
      </c>
      <c r="D3289" s="2" t="s">
        <v>23</v>
      </c>
      <c r="E3289" s="2" t="s">
        <v>162</v>
      </c>
      <c r="F3289" s="2">
        <v>88.0</v>
      </c>
      <c r="G3289" s="2">
        <v>105.0</v>
      </c>
      <c r="H3289" s="2">
        <v>83.0</v>
      </c>
      <c r="I3289" s="2">
        <v>22.0</v>
      </c>
      <c r="J3289" s="2">
        <v>0.0</v>
      </c>
      <c r="K3289" s="2">
        <v>0.0</v>
      </c>
      <c r="L3289" s="2">
        <v>0.0</v>
      </c>
      <c r="M3289" s="2">
        <v>5.0</v>
      </c>
      <c r="N3289" s="2">
        <v>0.0</v>
      </c>
      <c r="O3289" s="2">
        <v>-78.0</v>
      </c>
      <c r="P3289" s="2" t="s">
        <v>184</v>
      </c>
    </row>
    <row r="3290">
      <c r="A3290" s="3" t="s">
        <v>112</v>
      </c>
      <c r="B3290" s="4">
        <v>45140.29166666667</v>
      </c>
      <c r="C3290" s="2" t="s">
        <v>18</v>
      </c>
      <c r="D3290" s="2" t="s">
        <v>19</v>
      </c>
      <c r="E3290" s="2" t="s">
        <v>162</v>
      </c>
      <c r="F3290" s="2"/>
      <c r="G3290" s="2">
        <v>30.0</v>
      </c>
      <c r="H3290" s="2">
        <v>25.0</v>
      </c>
      <c r="I3290" s="2">
        <v>5.0</v>
      </c>
      <c r="J3290" s="2">
        <v>0.0</v>
      </c>
      <c r="K3290" s="2">
        <v>0.0</v>
      </c>
      <c r="L3290" s="2">
        <v>0.0</v>
      </c>
      <c r="M3290" s="2"/>
      <c r="N3290" s="2"/>
      <c r="O3290" s="2"/>
      <c r="P3290" s="2" t="s">
        <v>184</v>
      </c>
    </row>
    <row r="3291">
      <c r="A3291" s="3" t="s">
        <v>115</v>
      </c>
      <c r="B3291" s="4">
        <v>45170.29166666667</v>
      </c>
      <c r="C3291" s="2" t="s">
        <v>18</v>
      </c>
      <c r="D3291" s="2" t="s">
        <v>19</v>
      </c>
      <c r="E3291" s="2" t="s">
        <v>162</v>
      </c>
      <c r="F3291" s="2"/>
      <c r="G3291" s="2">
        <v>17.0</v>
      </c>
      <c r="H3291" s="2">
        <v>11.0</v>
      </c>
      <c r="I3291" s="2">
        <v>6.0</v>
      </c>
      <c r="J3291" s="2">
        <v>0.0</v>
      </c>
      <c r="K3291" s="2">
        <v>0.0</v>
      </c>
      <c r="L3291" s="2">
        <v>0.0</v>
      </c>
      <c r="M3291" s="2"/>
      <c r="N3291" s="2"/>
      <c r="O3291" s="2"/>
      <c r="P3291" s="2" t="s">
        <v>184</v>
      </c>
    </row>
    <row r="3292">
      <c r="A3292" s="3" t="s">
        <v>117</v>
      </c>
      <c r="B3292" s="4">
        <v>45171.29166666667</v>
      </c>
      <c r="C3292" s="2" t="s">
        <v>18</v>
      </c>
      <c r="D3292" s="2" t="s">
        <v>127</v>
      </c>
      <c r="E3292" s="2" t="s">
        <v>162</v>
      </c>
      <c r="F3292" s="2"/>
      <c r="G3292" s="2">
        <v>58.0</v>
      </c>
      <c r="H3292" s="2">
        <v>47.0</v>
      </c>
      <c r="I3292" s="2">
        <v>11.0</v>
      </c>
      <c r="J3292" s="2">
        <v>0.0</v>
      </c>
      <c r="K3292" s="2">
        <v>0.0</v>
      </c>
      <c r="L3292" s="2">
        <v>0.0</v>
      </c>
      <c r="M3292" s="2"/>
      <c r="N3292" s="2"/>
      <c r="O3292" s="2"/>
      <c r="P3292" s="2" t="s">
        <v>184</v>
      </c>
    </row>
    <row r="3293">
      <c r="A3293" s="3" t="s">
        <v>119</v>
      </c>
      <c r="B3293" s="2" t="s">
        <v>17</v>
      </c>
      <c r="C3293" s="2" t="s">
        <v>18</v>
      </c>
      <c r="D3293" s="2" t="s">
        <v>91</v>
      </c>
      <c r="E3293" s="2" t="s">
        <v>27</v>
      </c>
      <c r="F3293" s="2">
        <v>76.0</v>
      </c>
      <c r="G3293" s="2">
        <v>98.0</v>
      </c>
      <c r="H3293" s="2">
        <v>75.0</v>
      </c>
      <c r="I3293" s="2">
        <v>23.0</v>
      </c>
      <c r="J3293" s="2">
        <v>0.0</v>
      </c>
      <c r="K3293" s="2">
        <v>0.0</v>
      </c>
      <c r="L3293" s="2">
        <v>0.0</v>
      </c>
      <c r="M3293" s="2">
        <v>1.0</v>
      </c>
      <c r="N3293" s="2"/>
      <c r="O3293" s="2"/>
      <c r="P3293" s="2" t="s">
        <v>80</v>
      </c>
    </row>
    <row r="3294">
      <c r="A3294" s="3" t="s">
        <v>121</v>
      </c>
      <c r="B3294" s="2" t="s">
        <v>17</v>
      </c>
      <c r="C3294" s="2" t="s">
        <v>18</v>
      </c>
      <c r="D3294" s="2" t="s">
        <v>23</v>
      </c>
      <c r="E3294" s="2" t="s">
        <v>27</v>
      </c>
      <c r="F3294" s="2">
        <v>76.0</v>
      </c>
      <c r="G3294" s="2">
        <v>98.0</v>
      </c>
      <c r="H3294" s="2">
        <v>75.0</v>
      </c>
      <c r="I3294" s="2">
        <v>23.0</v>
      </c>
      <c r="J3294" s="2">
        <v>0.0</v>
      </c>
      <c r="K3294" s="2">
        <v>0.0</v>
      </c>
      <c r="L3294" s="2">
        <v>0.0</v>
      </c>
      <c r="M3294" s="2">
        <v>1.0</v>
      </c>
      <c r="N3294" s="2">
        <v>0.0</v>
      </c>
      <c r="O3294" s="2">
        <v>-74.0</v>
      </c>
      <c r="P3294" s="2" t="s">
        <v>80</v>
      </c>
    </row>
    <row r="3295">
      <c r="A3295" s="3" t="s">
        <v>16</v>
      </c>
      <c r="B3295" s="4">
        <v>45140.29166666667</v>
      </c>
      <c r="C3295" s="2" t="s">
        <v>18</v>
      </c>
      <c r="D3295" s="2" t="s">
        <v>91</v>
      </c>
      <c r="E3295" s="2" t="s">
        <v>27</v>
      </c>
      <c r="F3295" s="2"/>
      <c r="G3295" s="2">
        <v>21.0</v>
      </c>
      <c r="H3295" s="2">
        <v>15.0</v>
      </c>
      <c r="I3295" s="2">
        <v>6.0</v>
      </c>
      <c r="J3295" s="2">
        <v>0.0</v>
      </c>
      <c r="K3295" s="2">
        <v>0.0</v>
      </c>
      <c r="L3295" s="2">
        <v>0.0</v>
      </c>
      <c r="M3295" s="2"/>
      <c r="N3295" s="2"/>
      <c r="O3295" s="2"/>
      <c r="P3295" s="2" t="s">
        <v>80</v>
      </c>
    </row>
    <row r="3296">
      <c r="A3296" s="3" t="s">
        <v>124</v>
      </c>
      <c r="B3296" s="4">
        <v>45171.29166666667</v>
      </c>
      <c r="C3296" s="2" t="s">
        <v>18</v>
      </c>
      <c r="D3296" s="2" t="s">
        <v>91</v>
      </c>
      <c r="E3296" s="2" t="s">
        <v>27</v>
      </c>
      <c r="F3296" s="2"/>
      <c r="G3296" s="2">
        <v>77.0</v>
      </c>
      <c r="H3296" s="2">
        <v>60.0</v>
      </c>
      <c r="I3296" s="2">
        <v>17.0</v>
      </c>
      <c r="J3296" s="2">
        <v>0.0</v>
      </c>
      <c r="K3296" s="2">
        <v>0.0</v>
      </c>
      <c r="L3296" s="2">
        <v>0.0</v>
      </c>
      <c r="M3296" s="2"/>
      <c r="N3296" s="2"/>
      <c r="O3296" s="2"/>
      <c r="P3296" s="2" t="s">
        <v>80</v>
      </c>
    </row>
    <row r="3297">
      <c r="A3297" s="3" t="s">
        <v>126</v>
      </c>
      <c r="B3297" s="2" t="s">
        <v>17</v>
      </c>
      <c r="C3297" s="2" t="s">
        <v>18</v>
      </c>
      <c r="D3297" s="2" t="s">
        <v>30</v>
      </c>
      <c r="E3297" s="2" t="s">
        <v>169</v>
      </c>
      <c r="F3297" s="2">
        <v>97.0</v>
      </c>
      <c r="G3297" s="2">
        <v>148.0</v>
      </c>
      <c r="H3297" s="2">
        <v>104.0</v>
      </c>
      <c r="I3297" s="2">
        <v>44.0</v>
      </c>
      <c r="J3297" s="2">
        <v>0.0</v>
      </c>
      <c r="K3297" s="2">
        <v>0.0</v>
      </c>
      <c r="L3297" s="2">
        <v>0.0</v>
      </c>
      <c r="M3297" s="2">
        <v>-7.0</v>
      </c>
      <c r="N3297" s="2"/>
      <c r="O3297" s="2"/>
      <c r="P3297" s="2" t="s">
        <v>67</v>
      </c>
    </row>
    <row r="3298">
      <c r="A3298" s="3" t="s">
        <v>128</v>
      </c>
      <c r="B3298" s="2" t="s">
        <v>17</v>
      </c>
      <c r="C3298" s="2" t="s">
        <v>18</v>
      </c>
      <c r="D3298" s="2" t="s">
        <v>23</v>
      </c>
      <c r="E3298" s="2" t="s">
        <v>169</v>
      </c>
      <c r="F3298" s="2">
        <v>97.0</v>
      </c>
      <c r="G3298" s="2">
        <v>148.0</v>
      </c>
      <c r="H3298" s="2">
        <v>104.0</v>
      </c>
      <c r="I3298" s="2">
        <v>44.0</v>
      </c>
      <c r="J3298" s="2">
        <v>0.0</v>
      </c>
      <c r="K3298" s="2">
        <v>0.0</v>
      </c>
      <c r="L3298" s="2">
        <v>0.0</v>
      </c>
      <c r="M3298" s="2">
        <v>-7.0</v>
      </c>
      <c r="N3298" s="2">
        <v>0.0</v>
      </c>
      <c r="O3298" s="2">
        <v>-111.0</v>
      </c>
      <c r="P3298" s="2" t="s">
        <v>67</v>
      </c>
    </row>
    <row r="3299">
      <c r="A3299" s="3" t="s">
        <v>129</v>
      </c>
      <c r="B3299" s="4">
        <v>45140.29166666667</v>
      </c>
      <c r="C3299" s="2" t="s">
        <v>18</v>
      </c>
      <c r="D3299" s="2" t="s">
        <v>30</v>
      </c>
      <c r="E3299" s="2" t="s">
        <v>169</v>
      </c>
      <c r="F3299" s="2"/>
      <c r="G3299" s="2">
        <v>55.0</v>
      </c>
      <c r="H3299" s="2">
        <v>32.0</v>
      </c>
      <c r="I3299" s="2">
        <v>23.0</v>
      </c>
      <c r="J3299" s="2">
        <v>0.0</v>
      </c>
      <c r="K3299" s="2">
        <v>0.0</v>
      </c>
      <c r="L3299" s="2">
        <v>0.0</v>
      </c>
      <c r="M3299" s="2"/>
      <c r="N3299" s="2"/>
      <c r="O3299" s="2"/>
      <c r="P3299" s="2" t="s">
        <v>67</v>
      </c>
    </row>
    <row r="3300">
      <c r="A3300" s="3" t="s">
        <v>130</v>
      </c>
      <c r="B3300" s="4">
        <v>45171.29166666667</v>
      </c>
      <c r="C3300" s="2" t="s">
        <v>18</v>
      </c>
      <c r="D3300" s="2" t="s">
        <v>30</v>
      </c>
      <c r="E3300" s="2" t="s">
        <v>169</v>
      </c>
      <c r="F3300" s="2"/>
      <c r="G3300" s="2">
        <v>93.0</v>
      </c>
      <c r="H3300" s="2">
        <v>72.0</v>
      </c>
      <c r="I3300" s="2">
        <v>21.0</v>
      </c>
      <c r="J3300" s="2">
        <v>0.0</v>
      </c>
      <c r="K3300" s="2">
        <v>0.0</v>
      </c>
      <c r="L3300" s="2">
        <v>0.0</v>
      </c>
      <c r="M3300" s="2"/>
      <c r="N3300" s="2"/>
      <c r="O3300" s="2"/>
      <c r="P3300" s="2" t="s">
        <v>67</v>
      </c>
    </row>
    <row r="3301">
      <c r="A3301" s="3" t="s">
        <v>131</v>
      </c>
      <c r="B3301" s="2" t="s">
        <v>17</v>
      </c>
      <c r="C3301" s="2" t="s">
        <v>18</v>
      </c>
      <c r="D3301" s="2" t="s">
        <v>127</v>
      </c>
      <c r="E3301" s="2" t="s">
        <v>27</v>
      </c>
      <c r="F3301" s="2">
        <v>3.0</v>
      </c>
      <c r="G3301" s="2">
        <v>7.0</v>
      </c>
      <c r="H3301" s="2">
        <v>2.0</v>
      </c>
      <c r="I3301" s="2">
        <v>5.0</v>
      </c>
      <c r="J3301" s="2">
        <v>0.0</v>
      </c>
      <c r="K3301" s="2">
        <v>0.0</v>
      </c>
      <c r="L3301" s="2">
        <v>0.0</v>
      </c>
      <c r="M3301" s="2">
        <v>1.0</v>
      </c>
      <c r="N3301" s="2"/>
      <c r="O3301" s="2"/>
      <c r="P3301" s="2" t="s">
        <v>195</v>
      </c>
    </row>
    <row r="3302">
      <c r="A3302" s="3" t="s">
        <v>132</v>
      </c>
      <c r="B3302" s="2" t="s">
        <v>17</v>
      </c>
      <c r="C3302" s="2" t="s">
        <v>18</v>
      </c>
      <c r="D3302" s="2" t="s">
        <v>23</v>
      </c>
      <c r="E3302" s="2" t="s">
        <v>27</v>
      </c>
      <c r="F3302" s="2">
        <v>3.0</v>
      </c>
      <c r="G3302" s="2">
        <v>7.0</v>
      </c>
      <c r="H3302" s="2">
        <v>2.0</v>
      </c>
      <c r="I3302" s="2">
        <v>5.0</v>
      </c>
      <c r="J3302" s="2">
        <v>0.0</v>
      </c>
      <c r="K3302" s="2">
        <v>0.0</v>
      </c>
      <c r="L3302" s="2">
        <v>0.0</v>
      </c>
      <c r="M3302" s="2">
        <v>1.0</v>
      </c>
      <c r="N3302" s="2">
        <v>0.0</v>
      </c>
      <c r="O3302" s="2">
        <v>-1.0</v>
      </c>
      <c r="P3302" s="2" t="s">
        <v>195</v>
      </c>
    </row>
    <row r="3303">
      <c r="A3303" s="3" t="s">
        <v>133</v>
      </c>
      <c r="B3303" s="4">
        <v>45171.29166666667</v>
      </c>
      <c r="C3303" s="2" t="s">
        <v>18</v>
      </c>
      <c r="D3303" s="2" t="s">
        <v>127</v>
      </c>
      <c r="E3303" s="2" t="s">
        <v>27</v>
      </c>
      <c r="F3303" s="2"/>
      <c r="G3303" s="2">
        <v>7.0</v>
      </c>
      <c r="H3303" s="2">
        <v>2.0</v>
      </c>
      <c r="I3303" s="2">
        <v>5.0</v>
      </c>
      <c r="J3303" s="2">
        <v>0.0</v>
      </c>
      <c r="K3303" s="2">
        <v>0.0</v>
      </c>
      <c r="L3303" s="2">
        <v>0.0</v>
      </c>
      <c r="M3303" s="2"/>
      <c r="N3303" s="2"/>
      <c r="O3303" s="2"/>
      <c r="P3303" s="2" t="s">
        <v>195</v>
      </c>
    </row>
    <row r="3304">
      <c r="A3304" s="3" t="s">
        <v>134</v>
      </c>
      <c r="B3304" s="2" t="s">
        <v>17</v>
      </c>
      <c r="C3304" s="2" t="s">
        <v>18</v>
      </c>
      <c r="D3304" s="2" t="s">
        <v>19</v>
      </c>
      <c r="E3304" s="2" t="s">
        <v>173</v>
      </c>
      <c r="F3304" s="2">
        <v>65.0</v>
      </c>
      <c r="G3304" s="2">
        <v>17.0</v>
      </c>
      <c r="H3304" s="2">
        <v>16.0</v>
      </c>
      <c r="I3304" s="2">
        <v>1.0</v>
      </c>
      <c r="J3304" s="2">
        <v>0.0</v>
      </c>
      <c r="K3304" s="2">
        <v>0.0</v>
      </c>
      <c r="L3304" s="2">
        <v>0.0</v>
      </c>
      <c r="M3304" s="2">
        <v>49.0</v>
      </c>
      <c r="N3304" s="2"/>
      <c r="O3304" s="2"/>
      <c r="P3304" s="2" t="s">
        <v>92</v>
      </c>
    </row>
    <row r="3305">
      <c r="A3305" s="3" t="s">
        <v>136</v>
      </c>
      <c r="B3305" s="2" t="s">
        <v>17</v>
      </c>
      <c r="C3305" s="2" t="s">
        <v>18</v>
      </c>
      <c r="D3305" s="2" t="s">
        <v>23</v>
      </c>
      <c r="E3305" s="2" t="s">
        <v>173</v>
      </c>
      <c r="F3305" s="2">
        <v>65.0</v>
      </c>
      <c r="G3305" s="2">
        <v>17.0</v>
      </c>
      <c r="H3305" s="2">
        <v>16.0</v>
      </c>
      <c r="I3305" s="2">
        <v>1.0</v>
      </c>
      <c r="J3305" s="2">
        <v>0.0</v>
      </c>
      <c r="K3305" s="2">
        <v>0.0</v>
      </c>
      <c r="L3305" s="2">
        <v>0.0</v>
      </c>
      <c r="M3305" s="2">
        <v>49.0</v>
      </c>
      <c r="N3305" s="2">
        <v>0.0</v>
      </c>
      <c r="O3305" s="2">
        <v>33.0</v>
      </c>
      <c r="P3305" s="2" t="s">
        <v>92</v>
      </c>
    </row>
    <row r="3306">
      <c r="A3306" s="3" t="s">
        <v>137</v>
      </c>
      <c r="B3306" s="4">
        <v>45170.29166666667</v>
      </c>
      <c r="C3306" s="2" t="s">
        <v>18</v>
      </c>
      <c r="D3306" s="2" t="s">
        <v>19</v>
      </c>
      <c r="E3306" s="2" t="s">
        <v>173</v>
      </c>
      <c r="F3306" s="2"/>
      <c r="G3306" s="2">
        <v>17.0</v>
      </c>
      <c r="H3306" s="2">
        <v>16.0</v>
      </c>
      <c r="I3306" s="2">
        <v>1.0</v>
      </c>
      <c r="J3306" s="2">
        <v>0.0</v>
      </c>
      <c r="K3306" s="2">
        <v>0.0</v>
      </c>
      <c r="L3306" s="2">
        <v>0.0</v>
      </c>
      <c r="M3306" s="2"/>
      <c r="N3306" s="2"/>
      <c r="O3306" s="2"/>
      <c r="P3306" s="2" t="s">
        <v>92</v>
      </c>
    </row>
    <row r="3307">
      <c r="A3307" s="3" t="s">
        <v>138</v>
      </c>
      <c r="B3307" s="2" t="s">
        <v>17</v>
      </c>
      <c r="C3307" s="2" t="s">
        <v>18</v>
      </c>
      <c r="D3307" s="2" t="s">
        <v>109</v>
      </c>
      <c r="E3307" s="2" t="s">
        <v>342</v>
      </c>
      <c r="F3307" s="2">
        <v>58.0</v>
      </c>
      <c r="G3307" s="2">
        <v>7.0</v>
      </c>
      <c r="H3307" s="2">
        <v>1.0</v>
      </c>
      <c r="I3307" s="2">
        <v>6.0</v>
      </c>
      <c r="J3307" s="2">
        <v>0.0</v>
      </c>
      <c r="K3307" s="2">
        <v>0.0</v>
      </c>
      <c r="L3307" s="2">
        <v>0.0</v>
      </c>
      <c r="M3307" s="2">
        <v>57.0</v>
      </c>
      <c r="N3307" s="2"/>
      <c r="O3307" s="2"/>
      <c r="P3307" s="2" t="s">
        <v>195</v>
      </c>
    </row>
    <row r="3308">
      <c r="A3308" s="3" t="s">
        <v>139</v>
      </c>
      <c r="B3308" s="2" t="s">
        <v>17</v>
      </c>
      <c r="C3308" s="2" t="s">
        <v>18</v>
      </c>
      <c r="D3308" s="2" t="s">
        <v>23</v>
      </c>
      <c r="E3308" s="2" t="s">
        <v>342</v>
      </c>
      <c r="F3308" s="2">
        <v>58.0</v>
      </c>
      <c r="G3308" s="2">
        <v>7.0</v>
      </c>
      <c r="H3308" s="2">
        <v>1.0</v>
      </c>
      <c r="I3308" s="2">
        <v>6.0</v>
      </c>
      <c r="J3308" s="2">
        <v>0.0</v>
      </c>
      <c r="K3308" s="2">
        <v>0.0</v>
      </c>
      <c r="L3308" s="2">
        <v>0.0</v>
      </c>
      <c r="M3308" s="2">
        <v>57.0</v>
      </c>
      <c r="N3308" s="2">
        <v>0.0</v>
      </c>
      <c r="O3308" s="2">
        <v>56.0</v>
      </c>
      <c r="P3308" s="2" t="s">
        <v>195</v>
      </c>
    </row>
    <row r="3309">
      <c r="A3309" s="3" t="s">
        <v>140</v>
      </c>
      <c r="B3309" s="4">
        <v>45140.29166666667</v>
      </c>
      <c r="C3309" s="2" t="s">
        <v>18</v>
      </c>
      <c r="D3309" s="2" t="s">
        <v>109</v>
      </c>
      <c r="E3309" s="2" t="s">
        <v>342</v>
      </c>
      <c r="F3309" s="2"/>
      <c r="G3309" s="2">
        <v>7.0</v>
      </c>
      <c r="H3309" s="2">
        <v>1.0</v>
      </c>
      <c r="I3309" s="2">
        <v>6.0</v>
      </c>
      <c r="J3309" s="2">
        <v>0.0</v>
      </c>
      <c r="K3309" s="2">
        <v>0.0</v>
      </c>
      <c r="L3309" s="2">
        <v>0.0</v>
      </c>
      <c r="M3309" s="2"/>
      <c r="N3309" s="2"/>
      <c r="O3309" s="2"/>
      <c r="P3309" s="2" t="s">
        <v>195</v>
      </c>
    </row>
    <row r="3310">
      <c r="A3310" s="3" t="s">
        <v>141</v>
      </c>
      <c r="B3310" s="2" t="s">
        <v>17</v>
      </c>
      <c r="C3310" s="2" t="s">
        <v>18</v>
      </c>
      <c r="D3310" s="2" t="s">
        <v>19</v>
      </c>
      <c r="E3310" s="2" t="s">
        <v>403</v>
      </c>
      <c r="F3310" s="2">
        <v>31.0</v>
      </c>
      <c r="G3310" s="2">
        <v>39.0</v>
      </c>
      <c r="H3310" s="2">
        <v>31.0</v>
      </c>
      <c r="I3310" s="2">
        <v>8.0</v>
      </c>
      <c r="J3310" s="2">
        <v>0.0</v>
      </c>
      <c r="K3310" s="2">
        <v>0.0</v>
      </c>
      <c r="L3310" s="2">
        <v>0.0</v>
      </c>
      <c r="M3310" s="2">
        <v>0.0</v>
      </c>
      <c r="N3310" s="2"/>
      <c r="O3310" s="2"/>
      <c r="P3310" s="2" t="s">
        <v>92</v>
      </c>
    </row>
    <row r="3311">
      <c r="A3311" s="3" t="s">
        <v>142</v>
      </c>
      <c r="B3311" s="2" t="s">
        <v>17</v>
      </c>
      <c r="C3311" s="2" t="s">
        <v>18</v>
      </c>
      <c r="D3311" s="2" t="s">
        <v>23</v>
      </c>
      <c r="E3311" s="2" t="s">
        <v>403</v>
      </c>
      <c r="F3311" s="2">
        <v>31.0</v>
      </c>
      <c r="G3311" s="2">
        <v>39.0</v>
      </c>
      <c r="H3311" s="2">
        <v>31.0</v>
      </c>
      <c r="I3311" s="2">
        <v>8.0</v>
      </c>
      <c r="J3311" s="2">
        <v>0.0</v>
      </c>
      <c r="K3311" s="2">
        <v>0.0</v>
      </c>
      <c r="L3311" s="2">
        <v>0.0</v>
      </c>
      <c r="M3311" s="2">
        <v>0.0</v>
      </c>
      <c r="N3311" s="2">
        <v>0.0</v>
      </c>
      <c r="O3311" s="2">
        <v>-31.0</v>
      </c>
      <c r="P3311" s="2" t="s">
        <v>92</v>
      </c>
    </row>
    <row r="3312">
      <c r="A3312" s="3" t="s">
        <v>143</v>
      </c>
      <c r="B3312" s="4">
        <v>45111.29166666667</v>
      </c>
      <c r="C3312" s="2" t="s">
        <v>18</v>
      </c>
      <c r="D3312" s="2" t="s">
        <v>19</v>
      </c>
      <c r="E3312" s="2" t="s">
        <v>403</v>
      </c>
      <c r="F3312" s="2"/>
      <c r="G3312" s="2">
        <v>34.0</v>
      </c>
      <c r="H3312" s="2">
        <v>29.0</v>
      </c>
      <c r="I3312" s="2">
        <v>5.0</v>
      </c>
      <c r="J3312" s="2">
        <v>0.0</v>
      </c>
      <c r="K3312" s="2">
        <v>0.0</v>
      </c>
      <c r="L3312" s="2">
        <v>0.0</v>
      </c>
      <c r="M3312" s="2"/>
      <c r="N3312" s="2"/>
      <c r="O3312" s="2"/>
      <c r="P3312" s="2" t="s">
        <v>92</v>
      </c>
    </row>
    <row r="3313">
      <c r="A3313" s="3" t="s">
        <v>144</v>
      </c>
      <c r="B3313" s="4">
        <v>45171.29166666667</v>
      </c>
      <c r="C3313" s="2" t="s">
        <v>18</v>
      </c>
      <c r="D3313" s="2" t="s">
        <v>19</v>
      </c>
      <c r="E3313" s="2" t="s">
        <v>403</v>
      </c>
      <c r="F3313" s="2"/>
      <c r="G3313" s="2">
        <v>5.0</v>
      </c>
      <c r="H3313" s="2">
        <v>2.0</v>
      </c>
      <c r="I3313" s="2">
        <v>3.0</v>
      </c>
      <c r="J3313" s="2">
        <v>0.0</v>
      </c>
      <c r="K3313" s="2">
        <v>0.0</v>
      </c>
      <c r="L3313" s="2">
        <v>0.0</v>
      </c>
      <c r="M3313" s="2"/>
      <c r="N3313" s="2"/>
      <c r="O3313" s="2"/>
      <c r="P3313" s="2" t="s">
        <v>92</v>
      </c>
    </row>
    <row r="3314">
      <c r="A3314" s="3" t="s">
        <v>145</v>
      </c>
      <c r="B3314" s="2" t="s">
        <v>17</v>
      </c>
      <c r="C3314" s="2" t="s">
        <v>18</v>
      </c>
      <c r="D3314" s="2" t="s">
        <v>19</v>
      </c>
      <c r="E3314" s="2" t="s">
        <v>46</v>
      </c>
      <c r="F3314" s="2">
        <v>19.0</v>
      </c>
      <c r="G3314" s="2">
        <v>5.0</v>
      </c>
      <c r="H3314" s="2">
        <v>3.0</v>
      </c>
      <c r="I3314" s="2">
        <v>2.0</v>
      </c>
      <c r="J3314" s="2">
        <v>0.0</v>
      </c>
      <c r="K3314" s="2">
        <v>0.0</v>
      </c>
      <c r="L3314" s="2">
        <v>0.0</v>
      </c>
      <c r="M3314" s="2">
        <v>16.0</v>
      </c>
      <c r="N3314" s="2"/>
      <c r="O3314" s="2"/>
      <c r="P3314" s="2" t="s">
        <v>111</v>
      </c>
    </row>
    <row r="3315">
      <c r="A3315" s="3" t="s">
        <v>16</v>
      </c>
      <c r="B3315" s="2" t="s">
        <v>17</v>
      </c>
      <c r="C3315" s="2" t="s">
        <v>18</v>
      </c>
      <c r="D3315" s="2" t="s">
        <v>19</v>
      </c>
      <c r="E3315" s="2" t="s">
        <v>404</v>
      </c>
      <c r="F3315" s="2">
        <v>14.0</v>
      </c>
      <c r="G3315" s="2">
        <v>27.0</v>
      </c>
      <c r="H3315" s="2">
        <v>9.0</v>
      </c>
      <c r="I3315" s="2">
        <v>12.0</v>
      </c>
      <c r="J3315" s="2">
        <v>6.0</v>
      </c>
      <c r="K3315" s="2">
        <v>0.0</v>
      </c>
      <c r="L3315" s="2">
        <v>0.0</v>
      </c>
      <c r="M3315" s="2">
        <v>5.0</v>
      </c>
      <c r="N3315" s="2"/>
      <c r="O3315" s="2"/>
      <c r="P3315" s="2" t="s">
        <v>111</v>
      </c>
    </row>
    <row r="3316">
      <c r="A3316" s="3" t="s">
        <v>22</v>
      </c>
      <c r="B3316" s="2" t="s">
        <v>17</v>
      </c>
      <c r="C3316" s="2" t="s">
        <v>18</v>
      </c>
      <c r="D3316" s="2" t="s">
        <v>19</v>
      </c>
      <c r="E3316" s="2" t="s">
        <v>125</v>
      </c>
      <c r="F3316" s="2">
        <v>6.0</v>
      </c>
      <c r="G3316" s="2">
        <v>8.0</v>
      </c>
      <c r="H3316" s="2">
        <v>4.0</v>
      </c>
      <c r="I3316" s="2">
        <v>1.0</v>
      </c>
      <c r="J3316" s="2">
        <v>3.0</v>
      </c>
      <c r="K3316" s="2">
        <v>0.0</v>
      </c>
      <c r="L3316" s="2">
        <v>0.0</v>
      </c>
      <c r="M3316" s="2">
        <v>2.0</v>
      </c>
      <c r="N3316" s="2"/>
      <c r="O3316" s="2"/>
      <c r="P3316" s="2" t="s">
        <v>111</v>
      </c>
    </row>
    <row r="3317">
      <c r="A3317" s="3" t="s">
        <v>24</v>
      </c>
      <c r="B3317" s="2" t="s">
        <v>17</v>
      </c>
      <c r="C3317" s="2" t="s">
        <v>18</v>
      </c>
      <c r="D3317" s="2" t="s">
        <v>23</v>
      </c>
      <c r="E3317" s="2" t="s">
        <v>46</v>
      </c>
      <c r="F3317" s="2">
        <v>19.0</v>
      </c>
      <c r="G3317" s="2">
        <v>5.0</v>
      </c>
      <c r="H3317" s="2">
        <v>3.0</v>
      </c>
      <c r="I3317" s="2">
        <v>2.0</v>
      </c>
      <c r="J3317" s="2">
        <v>0.0</v>
      </c>
      <c r="K3317" s="2">
        <v>0.0</v>
      </c>
      <c r="L3317" s="2">
        <v>0.0</v>
      </c>
      <c r="M3317" s="2">
        <v>16.0</v>
      </c>
      <c r="N3317" s="2">
        <v>0.0</v>
      </c>
      <c r="O3317" s="2">
        <v>13.0</v>
      </c>
      <c r="P3317" s="2" t="s">
        <v>111</v>
      </c>
    </row>
    <row r="3318">
      <c r="A3318" s="3" t="s">
        <v>25</v>
      </c>
      <c r="B3318" s="2" t="s">
        <v>17</v>
      </c>
      <c r="C3318" s="2" t="s">
        <v>18</v>
      </c>
      <c r="D3318" s="2" t="s">
        <v>23</v>
      </c>
      <c r="E3318" s="2" t="s">
        <v>404</v>
      </c>
      <c r="F3318" s="2">
        <v>13.0</v>
      </c>
      <c r="G3318" s="2">
        <v>27.0</v>
      </c>
      <c r="H3318" s="2">
        <v>9.0</v>
      </c>
      <c r="I3318" s="2">
        <v>12.0</v>
      </c>
      <c r="J3318" s="2">
        <v>6.0</v>
      </c>
      <c r="K3318" s="2">
        <v>0.0</v>
      </c>
      <c r="L3318" s="2">
        <v>0.0</v>
      </c>
      <c r="M3318" s="2">
        <v>4.0</v>
      </c>
      <c r="N3318" s="2">
        <v>-1.0</v>
      </c>
      <c r="O3318" s="2">
        <v>-5.0</v>
      </c>
      <c r="P3318" s="2" t="s">
        <v>111</v>
      </c>
    </row>
    <row r="3319">
      <c r="A3319" s="3" t="s">
        <v>26</v>
      </c>
      <c r="B3319" s="2" t="s">
        <v>17</v>
      </c>
      <c r="C3319" s="2" t="s">
        <v>18</v>
      </c>
      <c r="D3319" s="2" t="s">
        <v>23</v>
      </c>
      <c r="E3319" s="2" t="s">
        <v>125</v>
      </c>
      <c r="F3319" s="2">
        <v>5.0</v>
      </c>
      <c r="G3319" s="2">
        <v>8.0</v>
      </c>
      <c r="H3319" s="2">
        <v>4.0</v>
      </c>
      <c r="I3319" s="2">
        <v>1.0</v>
      </c>
      <c r="J3319" s="2">
        <v>3.0</v>
      </c>
      <c r="K3319" s="2">
        <v>0.0</v>
      </c>
      <c r="L3319" s="2">
        <v>0.0</v>
      </c>
      <c r="M3319" s="2">
        <v>1.0</v>
      </c>
      <c r="N3319" s="2">
        <v>-1.0</v>
      </c>
      <c r="O3319" s="2">
        <v>-3.0</v>
      </c>
      <c r="P3319" s="2" t="s">
        <v>111</v>
      </c>
    </row>
    <row r="3320">
      <c r="A3320" s="3" t="s">
        <v>28</v>
      </c>
      <c r="B3320" s="4">
        <v>45111.29166666667</v>
      </c>
      <c r="C3320" s="2" t="s">
        <v>18</v>
      </c>
      <c r="D3320" s="2" t="s">
        <v>19</v>
      </c>
      <c r="E3320" s="2" t="s">
        <v>46</v>
      </c>
      <c r="F3320" s="2"/>
      <c r="G3320" s="2">
        <v>1.0</v>
      </c>
      <c r="H3320" s="2">
        <v>0.0</v>
      </c>
      <c r="I3320" s="2">
        <v>1.0</v>
      </c>
      <c r="J3320" s="2">
        <v>0.0</v>
      </c>
      <c r="K3320" s="2">
        <v>0.0</v>
      </c>
      <c r="L3320" s="2">
        <v>0.0</v>
      </c>
      <c r="M3320" s="2"/>
      <c r="N3320" s="2"/>
      <c r="O3320" s="2"/>
      <c r="P3320" s="2" t="s">
        <v>111</v>
      </c>
    </row>
    <row r="3321">
      <c r="A3321" s="3" t="s">
        <v>29</v>
      </c>
      <c r="B3321" s="4">
        <v>45112.29166666667</v>
      </c>
      <c r="C3321" s="2" t="s">
        <v>18</v>
      </c>
      <c r="D3321" s="2" t="s">
        <v>19</v>
      </c>
      <c r="E3321" s="2" t="s">
        <v>404</v>
      </c>
      <c r="F3321" s="2"/>
      <c r="G3321" s="2">
        <v>15.0</v>
      </c>
      <c r="H3321" s="2">
        <v>5.0</v>
      </c>
      <c r="I3321" s="2">
        <v>8.0</v>
      </c>
      <c r="J3321" s="2">
        <v>2.0</v>
      </c>
      <c r="K3321" s="2">
        <v>0.0</v>
      </c>
      <c r="L3321" s="2">
        <v>0.0</v>
      </c>
      <c r="M3321" s="2"/>
      <c r="N3321" s="2"/>
      <c r="O3321" s="2"/>
      <c r="P3321" s="2" t="s">
        <v>111</v>
      </c>
    </row>
    <row r="3322">
      <c r="A3322" s="3" t="s">
        <v>32</v>
      </c>
      <c r="B3322" s="4">
        <v>45113.29166666667</v>
      </c>
      <c r="C3322" s="2" t="s">
        <v>18</v>
      </c>
      <c r="D3322" s="2" t="s">
        <v>19</v>
      </c>
      <c r="E3322" s="2" t="s">
        <v>125</v>
      </c>
      <c r="F3322" s="2"/>
      <c r="G3322" s="2">
        <v>0.0</v>
      </c>
      <c r="H3322" s="2">
        <v>0.0</v>
      </c>
      <c r="I3322" s="2">
        <v>0.0</v>
      </c>
      <c r="J3322" s="2">
        <v>0.0</v>
      </c>
      <c r="K3322" s="2">
        <v>0.0</v>
      </c>
      <c r="L3322" s="2">
        <v>0.0</v>
      </c>
      <c r="M3322" s="2"/>
      <c r="N3322" s="2"/>
      <c r="O3322" s="2"/>
      <c r="P3322" s="2" t="s">
        <v>111</v>
      </c>
    </row>
    <row r="3323">
      <c r="A3323" s="3" t="s">
        <v>34</v>
      </c>
      <c r="B3323" s="4">
        <v>45140.29166666667</v>
      </c>
      <c r="C3323" s="2" t="s">
        <v>18</v>
      </c>
      <c r="D3323" s="2" t="s">
        <v>19</v>
      </c>
      <c r="E3323" s="2" t="s">
        <v>46</v>
      </c>
      <c r="F3323" s="2"/>
      <c r="G3323" s="2">
        <v>4.0</v>
      </c>
      <c r="H3323" s="2">
        <v>3.0</v>
      </c>
      <c r="I3323" s="2">
        <v>1.0</v>
      </c>
      <c r="J3323" s="2">
        <v>0.0</v>
      </c>
      <c r="K3323" s="2">
        <v>0.0</v>
      </c>
      <c r="L3323" s="2">
        <v>0.0</v>
      </c>
      <c r="M3323" s="2"/>
      <c r="N3323" s="2"/>
      <c r="O3323" s="2"/>
      <c r="P3323" s="2" t="s">
        <v>111</v>
      </c>
    </row>
    <row r="3324">
      <c r="A3324" s="3" t="s">
        <v>35</v>
      </c>
      <c r="B3324" s="4">
        <v>45141.29166666667</v>
      </c>
      <c r="C3324" s="2" t="s">
        <v>18</v>
      </c>
      <c r="D3324" s="2" t="s">
        <v>19</v>
      </c>
      <c r="E3324" s="2" t="s">
        <v>404</v>
      </c>
      <c r="F3324" s="2"/>
      <c r="G3324" s="2">
        <v>12.0</v>
      </c>
      <c r="H3324" s="2">
        <v>4.0</v>
      </c>
      <c r="I3324" s="2">
        <v>4.0</v>
      </c>
      <c r="J3324" s="2">
        <v>4.0</v>
      </c>
      <c r="K3324" s="2">
        <v>0.0</v>
      </c>
      <c r="L3324" s="2">
        <v>0.0</v>
      </c>
      <c r="M3324" s="2"/>
      <c r="N3324" s="2"/>
      <c r="O3324" s="2"/>
      <c r="P3324" s="2" t="s">
        <v>111</v>
      </c>
    </row>
    <row r="3325">
      <c r="A3325" s="3" t="s">
        <v>36</v>
      </c>
      <c r="B3325" s="4">
        <v>45142.29166666667</v>
      </c>
      <c r="C3325" s="2" t="s">
        <v>18</v>
      </c>
      <c r="D3325" s="2" t="s">
        <v>19</v>
      </c>
      <c r="E3325" s="2" t="s">
        <v>125</v>
      </c>
      <c r="F3325" s="2"/>
      <c r="G3325" s="2">
        <v>8.0</v>
      </c>
      <c r="H3325" s="2">
        <v>4.0</v>
      </c>
      <c r="I3325" s="2">
        <v>1.0</v>
      </c>
      <c r="J3325" s="2">
        <v>3.0</v>
      </c>
      <c r="K3325" s="2">
        <v>0.0</v>
      </c>
      <c r="L3325" s="2">
        <v>0.0</v>
      </c>
      <c r="M3325" s="2"/>
      <c r="N3325" s="2"/>
      <c r="O3325" s="2"/>
      <c r="P3325" s="2" t="s">
        <v>111</v>
      </c>
    </row>
    <row r="3326">
      <c r="A3326" s="3" t="s">
        <v>37</v>
      </c>
      <c r="B3326" s="2" t="s">
        <v>17</v>
      </c>
      <c r="C3326" s="2" t="s">
        <v>18</v>
      </c>
      <c r="D3326" s="2" t="s">
        <v>30</v>
      </c>
      <c r="E3326" s="2" t="s">
        <v>27</v>
      </c>
      <c r="F3326" s="2">
        <v>101.0</v>
      </c>
      <c r="G3326" s="2">
        <v>127.0</v>
      </c>
      <c r="H3326" s="2">
        <v>106.0</v>
      </c>
      <c r="I3326" s="2">
        <v>21.0</v>
      </c>
      <c r="J3326" s="2">
        <v>0.0</v>
      </c>
      <c r="K3326" s="2">
        <v>0.0</v>
      </c>
      <c r="L3326" s="2">
        <v>0.0</v>
      </c>
      <c r="M3326" s="2">
        <v>-5.0</v>
      </c>
      <c r="N3326" s="2"/>
      <c r="O3326" s="2"/>
      <c r="P3326" s="2" t="s">
        <v>67</v>
      </c>
    </row>
    <row r="3327">
      <c r="A3327" s="3" t="s">
        <v>38</v>
      </c>
      <c r="B3327" s="2" t="s">
        <v>17</v>
      </c>
      <c r="C3327" s="2" t="s">
        <v>18</v>
      </c>
      <c r="D3327" s="2" t="s">
        <v>109</v>
      </c>
      <c r="E3327" s="2" t="s">
        <v>27</v>
      </c>
      <c r="F3327" s="2">
        <v>130.0</v>
      </c>
      <c r="G3327" s="2">
        <v>1.0</v>
      </c>
      <c r="H3327" s="2">
        <v>0.0</v>
      </c>
      <c r="I3327" s="2">
        <v>1.0</v>
      </c>
      <c r="J3327" s="2">
        <v>0.0</v>
      </c>
      <c r="K3327" s="2">
        <v>0.0</v>
      </c>
      <c r="L3327" s="2">
        <v>0.0</v>
      </c>
      <c r="M3327" s="2">
        <v>130.0</v>
      </c>
      <c r="N3327" s="2"/>
      <c r="O3327" s="2"/>
      <c r="P3327" s="2" t="s">
        <v>67</v>
      </c>
    </row>
    <row r="3328">
      <c r="A3328" s="3" t="s">
        <v>39</v>
      </c>
      <c r="B3328" s="2" t="s">
        <v>17</v>
      </c>
      <c r="C3328" s="2" t="s">
        <v>18</v>
      </c>
      <c r="D3328" s="2" t="s">
        <v>19</v>
      </c>
      <c r="E3328" s="2" t="s">
        <v>27</v>
      </c>
      <c r="F3328" s="2">
        <v>50.0</v>
      </c>
      <c r="G3328" s="2">
        <v>0.0</v>
      </c>
      <c r="H3328" s="2">
        <v>0.0</v>
      </c>
      <c r="I3328" s="2">
        <v>0.0</v>
      </c>
      <c r="J3328" s="2">
        <v>0.0</v>
      </c>
      <c r="K3328" s="2">
        <v>0.0</v>
      </c>
      <c r="L3328" s="2">
        <v>0.0</v>
      </c>
      <c r="M3328" s="2">
        <v>50.0</v>
      </c>
      <c r="N3328" s="2"/>
      <c r="O3328" s="2"/>
      <c r="P3328" s="2" t="s">
        <v>67</v>
      </c>
    </row>
    <row r="3329">
      <c r="A3329" s="3" t="s">
        <v>40</v>
      </c>
      <c r="B3329" s="2" t="s">
        <v>17</v>
      </c>
      <c r="C3329" s="2" t="s">
        <v>18</v>
      </c>
      <c r="D3329" s="2" t="s">
        <v>69</v>
      </c>
      <c r="E3329" s="2" t="s">
        <v>27</v>
      </c>
      <c r="F3329" s="2">
        <v>50.0</v>
      </c>
      <c r="G3329" s="2">
        <v>0.0</v>
      </c>
      <c r="H3329" s="2">
        <v>0.0</v>
      </c>
      <c r="I3329" s="2">
        <v>0.0</v>
      </c>
      <c r="J3329" s="2">
        <v>0.0</v>
      </c>
      <c r="K3329" s="2">
        <v>0.0</v>
      </c>
      <c r="L3329" s="2">
        <v>0.0</v>
      </c>
      <c r="M3329" s="2">
        <v>50.0</v>
      </c>
      <c r="N3329" s="2"/>
      <c r="O3329" s="2"/>
      <c r="P3329" s="2" t="s">
        <v>67</v>
      </c>
    </row>
    <row r="3330">
      <c r="A3330" s="3" t="s">
        <v>41</v>
      </c>
      <c r="B3330" s="2" t="s">
        <v>17</v>
      </c>
      <c r="C3330" s="2" t="s">
        <v>18</v>
      </c>
      <c r="D3330" s="2" t="s">
        <v>23</v>
      </c>
      <c r="E3330" s="2" t="s">
        <v>27</v>
      </c>
      <c r="F3330" s="2">
        <v>101.0</v>
      </c>
      <c r="G3330" s="2">
        <v>128.0</v>
      </c>
      <c r="H3330" s="2">
        <v>106.0</v>
      </c>
      <c r="I3330" s="2">
        <v>22.0</v>
      </c>
      <c r="J3330" s="2">
        <v>0.0</v>
      </c>
      <c r="K3330" s="2">
        <v>0.0</v>
      </c>
      <c r="L3330" s="2">
        <v>0.0</v>
      </c>
      <c r="M3330" s="2">
        <v>-5.0</v>
      </c>
      <c r="N3330" s="2">
        <v>-230.0</v>
      </c>
      <c r="O3330" s="2">
        <v>-111.0</v>
      </c>
      <c r="P3330" s="2" t="s">
        <v>67</v>
      </c>
    </row>
    <row r="3331">
      <c r="A3331" s="3" t="s">
        <v>42</v>
      </c>
      <c r="B3331" s="4">
        <v>45139.29166666667</v>
      </c>
      <c r="C3331" s="2" t="s">
        <v>18</v>
      </c>
      <c r="D3331" s="2" t="s">
        <v>30</v>
      </c>
      <c r="E3331" s="2" t="s">
        <v>27</v>
      </c>
      <c r="F3331" s="2"/>
      <c r="G3331" s="2">
        <v>66.0</v>
      </c>
      <c r="H3331" s="2">
        <v>56.0</v>
      </c>
      <c r="I3331" s="2">
        <v>10.0</v>
      </c>
      <c r="J3331" s="2">
        <v>0.0</v>
      </c>
      <c r="K3331" s="2">
        <v>0.0</v>
      </c>
      <c r="L3331" s="2">
        <v>0.0</v>
      </c>
      <c r="M3331" s="2"/>
      <c r="N3331" s="2"/>
      <c r="O3331" s="2"/>
      <c r="P3331" s="2" t="s">
        <v>67</v>
      </c>
    </row>
    <row r="3332">
      <c r="A3332" s="3" t="s">
        <v>43</v>
      </c>
      <c r="B3332" s="4">
        <v>45140.29166666667</v>
      </c>
      <c r="C3332" s="2" t="s">
        <v>18</v>
      </c>
      <c r="D3332" s="2" t="s">
        <v>109</v>
      </c>
      <c r="E3332" s="2" t="s">
        <v>27</v>
      </c>
      <c r="F3332" s="2"/>
      <c r="G3332" s="2">
        <v>1.0</v>
      </c>
      <c r="H3332" s="2">
        <v>0.0</v>
      </c>
      <c r="I3332" s="2">
        <v>1.0</v>
      </c>
      <c r="J3332" s="2">
        <v>0.0</v>
      </c>
      <c r="K3332" s="2">
        <v>0.0</v>
      </c>
      <c r="L3332" s="2">
        <v>0.0</v>
      </c>
      <c r="M3332" s="2"/>
      <c r="N3332" s="2"/>
      <c r="O3332" s="2"/>
      <c r="P3332" s="2" t="s">
        <v>67</v>
      </c>
    </row>
    <row r="3333">
      <c r="A3333" s="3" t="s">
        <v>44</v>
      </c>
      <c r="B3333" s="4">
        <v>45173.29166666667</v>
      </c>
      <c r="C3333" s="2" t="s">
        <v>18</v>
      </c>
      <c r="D3333" s="2" t="s">
        <v>30</v>
      </c>
      <c r="E3333" s="2" t="s">
        <v>27</v>
      </c>
      <c r="F3333" s="2"/>
      <c r="G3333" s="2">
        <v>61.0</v>
      </c>
      <c r="H3333" s="2">
        <v>50.0</v>
      </c>
      <c r="I3333" s="2">
        <v>11.0</v>
      </c>
      <c r="J3333" s="2">
        <v>0.0</v>
      </c>
      <c r="K3333" s="2">
        <v>0.0</v>
      </c>
      <c r="L3333" s="2">
        <v>0.0</v>
      </c>
      <c r="M3333" s="2"/>
      <c r="N3333" s="2"/>
      <c r="O3333" s="2"/>
      <c r="P3333" s="2" t="s">
        <v>67</v>
      </c>
    </row>
    <row r="3334">
      <c r="A3334" s="3" t="s">
        <v>45</v>
      </c>
      <c r="B3334" s="2" t="s">
        <v>17</v>
      </c>
      <c r="C3334" s="2" t="s">
        <v>18</v>
      </c>
      <c r="D3334" s="2" t="s">
        <v>19</v>
      </c>
      <c r="E3334" s="2" t="s">
        <v>114</v>
      </c>
      <c r="F3334" s="2">
        <v>5.0</v>
      </c>
      <c r="G3334" s="2">
        <v>8.0</v>
      </c>
      <c r="H3334" s="2">
        <v>8.0</v>
      </c>
      <c r="I3334" s="2">
        <v>0.0</v>
      </c>
      <c r="J3334" s="2">
        <v>0.0</v>
      </c>
      <c r="K3334" s="2">
        <v>0.0</v>
      </c>
      <c r="L3334" s="2">
        <v>0.0</v>
      </c>
      <c r="M3334" s="2">
        <v>-3.0</v>
      </c>
      <c r="N3334" s="2"/>
      <c r="O3334" s="2"/>
      <c r="P3334" s="2" t="s">
        <v>146</v>
      </c>
    </row>
    <row r="3335">
      <c r="A3335" s="3" t="s">
        <v>16</v>
      </c>
      <c r="B3335" s="2" t="s">
        <v>17</v>
      </c>
      <c r="C3335" s="2" t="s">
        <v>18</v>
      </c>
      <c r="D3335" s="2" t="s">
        <v>19</v>
      </c>
      <c r="E3335" s="2" t="s">
        <v>120</v>
      </c>
      <c r="F3335" s="2">
        <v>4.0</v>
      </c>
      <c r="G3335" s="2">
        <v>2.0</v>
      </c>
      <c r="H3335" s="2">
        <v>0.0</v>
      </c>
      <c r="I3335" s="2">
        <v>2.0</v>
      </c>
      <c r="J3335" s="2">
        <v>0.0</v>
      </c>
      <c r="K3335" s="2">
        <v>0.0</v>
      </c>
      <c r="L3335" s="2">
        <v>0.0</v>
      </c>
      <c r="M3335" s="2">
        <v>4.0</v>
      </c>
      <c r="N3335" s="2"/>
      <c r="O3335" s="2"/>
      <c r="P3335" s="2" t="s">
        <v>146</v>
      </c>
    </row>
    <row r="3336">
      <c r="A3336" s="3" t="s">
        <v>47</v>
      </c>
      <c r="B3336" s="2" t="s">
        <v>17</v>
      </c>
      <c r="C3336" s="2" t="s">
        <v>18</v>
      </c>
      <c r="D3336" s="2" t="s">
        <v>19</v>
      </c>
      <c r="E3336" s="2" t="s">
        <v>118</v>
      </c>
      <c r="F3336" s="2">
        <v>2.0</v>
      </c>
      <c r="G3336" s="2">
        <v>2.0</v>
      </c>
      <c r="H3336" s="2">
        <v>2.0</v>
      </c>
      <c r="I3336" s="2">
        <v>0.0</v>
      </c>
      <c r="J3336" s="2">
        <v>0.0</v>
      </c>
      <c r="K3336" s="2">
        <v>0.0</v>
      </c>
      <c r="L3336" s="2">
        <v>0.0</v>
      </c>
      <c r="M3336" s="2">
        <v>0.0</v>
      </c>
      <c r="N3336" s="2"/>
      <c r="O3336" s="2"/>
      <c r="P3336" s="2" t="s">
        <v>146</v>
      </c>
    </row>
    <row r="3337">
      <c r="A3337" s="3" t="s">
        <v>48</v>
      </c>
      <c r="B3337" s="2" t="s">
        <v>17</v>
      </c>
      <c r="C3337" s="2" t="s">
        <v>18</v>
      </c>
      <c r="D3337" s="2" t="s">
        <v>19</v>
      </c>
      <c r="E3337" s="2" t="s">
        <v>116</v>
      </c>
      <c r="F3337" s="2">
        <v>2.0</v>
      </c>
      <c r="G3337" s="2">
        <v>4.0</v>
      </c>
      <c r="H3337" s="2">
        <v>2.0</v>
      </c>
      <c r="I3337" s="2">
        <v>2.0</v>
      </c>
      <c r="J3337" s="2">
        <v>0.0</v>
      </c>
      <c r="K3337" s="2">
        <v>0.0</v>
      </c>
      <c r="L3337" s="2">
        <v>0.0</v>
      </c>
      <c r="M3337" s="2">
        <v>0.0</v>
      </c>
      <c r="N3337" s="2"/>
      <c r="O3337" s="2"/>
      <c r="P3337" s="2" t="s">
        <v>146</v>
      </c>
    </row>
    <row r="3338">
      <c r="A3338" s="3" t="s">
        <v>49</v>
      </c>
      <c r="B3338" s="2" t="s">
        <v>17</v>
      </c>
      <c r="C3338" s="2" t="s">
        <v>18</v>
      </c>
      <c r="D3338" s="2" t="s">
        <v>19</v>
      </c>
      <c r="E3338" s="2" t="s">
        <v>110</v>
      </c>
      <c r="F3338" s="2">
        <v>2.0</v>
      </c>
      <c r="G3338" s="2">
        <v>1.0</v>
      </c>
      <c r="H3338" s="2">
        <v>1.0</v>
      </c>
      <c r="I3338" s="2">
        <v>0.0</v>
      </c>
      <c r="J3338" s="2">
        <v>0.0</v>
      </c>
      <c r="K3338" s="2">
        <v>0.0</v>
      </c>
      <c r="L3338" s="2">
        <v>0.0</v>
      </c>
      <c r="M3338" s="2">
        <v>1.0</v>
      </c>
      <c r="N3338" s="2"/>
      <c r="O3338" s="2"/>
      <c r="P3338" s="2" t="s">
        <v>146</v>
      </c>
    </row>
    <row r="3339">
      <c r="A3339" s="3" t="s">
        <v>51</v>
      </c>
      <c r="B3339" s="2" t="s">
        <v>17</v>
      </c>
      <c r="C3339" s="2" t="s">
        <v>18</v>
      </c>
      <c r="D3339" s="2" t="s">
        <v>19</v>
      </c>
      <c r="E3339" s="2" t="s">
        <v>125</v>
      </c>
      <c r="F3339" s="2">
        <v>15.0</v>
      </c>
      <c r="G3339" s="2">
        <v>17.0</v>
      </c>
      <c r="H3339" s="2">
        <v>15.0</v>
      </c>
      <c r="I3339" s="2">
        <v>2.0</v>
      </c>
      <c r="J3339" s="2">
        <v>0.0</v>
      </c>
      <c r="K3339" s="2">
        <v>0.0</v>
      </c>
      <c r="L3339" s="2">
        <v>0.0</v>
      </c>
      <c r="M3339" s="2">
        <v>0.0</v>
      </c>
      <c r="N3339" s="2"/>
      <c r="O3339" s="2"/>
      <c r="P3339" s="2" t="s">
        <v>146</v>
      </c>
    </row>
    <row r="3340">
      <c r="A3340" s="3" t="s">
        <v>52</v>
      </c>
      <c r="B3340" s="2" t="s">
        <v>17</v>
      </c>
      <c r="C3340" s="2" t="s">
        <v>57</v>
      </c>
      <c r="D3340" s="2" t="s">
        <v>23</v>
      </c>
      <c r="E3340" s="2" t="s">
        <v>114</v>
      </c>
      <c r="F3340" s="2">
        <v>5.0</v>
      </c>
      <c r="G3340" s="2">
        <v>8.0</v>
      </c>
      <c r="H3340" s="2">
        <v>8.0</v>
      </c>
      <c r="I3340" s="2">
        <v>0.0</v>
      </c>
      <c r="J3340" s="2">
        <v>0.0</v>
      </c>
      <c r="K3340" s="2">
        <v>0.0</v>
      </c>
      <c r="L3340" s="2">
        <v>0.0</v>
      </c>
      <c r="M3340" s="2">
        <v>-3.0</v>
      </c>
      <c r="N3340" s="2">
        <v>0.0</v>
      </c>
      <c r="O3340" s="2">
        <v>-11.0</v>
      </c>
      <c r="P3340" s="2" t="s">
        <v>146</v>
      </c>
    </row>
    <row r="3341">
      <c r="A3341" s="3" t="s">
        <v>53</v>
      </c>
      <c r="B3341" s="2" t="s">
        <v>17</v>
      </c>
      <c r="C3341" s="2" t="s">
        <v>18</v>
      </c>
      <c r="D3341" s="2" t="s">
        <v>23</v>
      </c>
      <c r="E3341" s="2" t="s">
        <v>120</v>
      </c>
      <c r="F3341" s="2">
        <v>4.0</v>
      </c>
      <c r="G3341" s="2">
        <v>2.0</v>
      </c>
      <c r="H3341" s="2">
        <v>0.0</v>
      </c>
      <c r="I3341" s="2">
        <v>2.0</v>
      </c>
      <c r="J3341" s="2">
        <v>0.0</v>
      </c>
      <c r="K3341" s="2">
        <v>0.0</v>
      </c>
      <c r="L3341" s="2">
        <v>0.0</v>
      </c>
      <c r="M3341" s="2">
        <v>4.0</v>
      </c>
      <c r="N3341" s="2">
        <v>0.0</v>
      </c>
      <c r="O3341" s="2">
        <v>4.0</v>
      </c>
      <c r="P3341" s="2" t="s">
        <v>146</v>
      </c>
    </row>
    <row r="3342">
      <c r="A3342" s="3" t="s">
        <v>54</v>
      </c>
      <c r="B3342" s="2" t="s">
        <v>17</v>
      </c>
      <c r="C3342" s="2" t="s">
        <v>57</v>
      </c>
      <c r="D3342" s="2" t="s">
        <v>23</v>
      </c>
      <c r="E3342" s="2" t="s">
        <v>118</v>
      </c>
      <c r="F3342" s="2">
        <v>2.0</v>
      </c>
      <c r="G3342" s="2">
        <v>2.0</v>
      </c>
      <c r="H3342" s="2">
        <v>2.0</v>
      </c>
      <c r="I3342" s="2">
        <v>0.0</v>
      </c>
      <c r="J3342" s="2">
        <v>0.0</v>
      </c>
      <c r="K3342" s="2">
        <v>0.0</v>
      </c>
      <c r="L3342" s="2">
        <v>0.0</v>
      </c>
      <c r="M3342" s="2">
        <v>0.0</v>
      </c>
      <c r="N3342" s="2">
        <v>0.0</v>
      </c>
      <c r="O3342" s="2">
        <v>-2.0</v>
      </c>
      <c r="P3342" s="2" t="s">
        <v>146</v>
      </c>
    </row>
    <row r="3343">
      <c r="A3343" s="3" t="s">
        <v>55</v>
      </c>
      <c r="B3343" s="2" t="s">
        <v>17</v>
      </c>
      <c r="C3343" s="2" t="s">
        <v>57</v>
      </c>
      <c r="D3343" s="2" t="s">
        <v>23</v>
      </c>
      <c r="E3343" s="2" t="s">
        <v>116</v>
      </c>
      <c r="F3343" s="2">
        <v>2.0</v>
      </c>
      <c r="G3343" s="2">
        <v>4.0</v>
      </c>
      <c r="H3343" s="2">
        <v>2.0</v>
      </c>
      <c r="I3343" s="2">
        <v>2.0</v>
      </c>
      <c r="J3343" s="2">
        <v>0.0</v>
      </c>
      <c r="K3343" s="2">
        <v>0.0</v>
      </c>
      <c r="L3343" s="2">
        <v>0.0</v>
      </c>
      <c r="M3343" s="2">
        <v>0.0</v>
      </c>
      <c r="N3343" s="2">
        <v>0.0</v>
      </c>
      <c r="O3343" s="2">
        <v>-2.0</v>
      </c>
      <c r="P3343" s="2" t="s">
        <v>146</v>
      </c>
    </row>
    <row r="3344">
      <c r="A3344" s="3" t="s">
        <v>56</v>
      </c>
      <c r="B3344" s="2" t="s">
        <v>17</v>
      </c>
      <c r="C3344" s="2" t="s">
        <v>57</v>
      </c>
      <c r="D3344" s="2" t="s">
        <v>23</v>
      </c>
      <c r="E3344" s="2" t="s">
        <v>110</v>
      </c>
      <c r="F3344" s="2">
        <v>1.0</v>
      </c>
      <c r="G3344" s="2">
        <v>1.0</v>
      </c>
      <c r="H3344" s="2">
        <v>1.0</v>
      </c>
      <c r="I3344" s="2">
        <v>0.0</v>
      </c>
      <c r="J3344" s="2">
        <v>0.0</v>
      </c>
      <c r="K3344" s="2">
        <v>0.0</v>
      </c>
      <c r="L3344" s="2">
        <v>0.0</v>
      </c>
      <c r="M3344" s="2">
        <v>0.0</v>
      </c>
      <c r="N3344" s="2">
        <v>-1.0</v>
      </c>
      <c r="O3344" s="2">
        <v>-1.0</v>
      </c>
      <c r="P3344" s="2" t="s">
        <v>146</v>
      </c>
    </row>
    <row r="3345">
      <c r="A3345" s="3" t="s">
        <v>59</v>
      </c>
      <c r="B3345" s="2" t="s">
        <v>17</v>
      </c>
      <c r="C3345" s="2" t="s">
        <v>57</v>
      </c>
      <c r="D3345" s="2" t="s">
        <v>23</v>
      </c>
      <c r="E3345" s="2" t="s">
        <v>125</v>
      </c>
      <c r="F3345" s="2">
        <v>15.0</v>
      </c>
      <c r="G3345" s="2">
        <v>17.0</v>
      </c>
      <c r="H3345" s="2">
        <v>15.0</v>
      </c>
      <c r="I3345" s="2">
        <v>2.0</v>
      </c>
      <c r="J3345" s="2">
        <v>0.0</v>
      </c>
      <c r="K3345" s="2">
        <v>0.0</v>
      </c>
      <c r="L3345" s="2">
        <v>0.0</v>
      </c>
      <c r="M3345" s="2">
        <v>0.0</v>
      </c>
      <c r="N3345" s="2">
        <v>0.0</v>
      </c>
      <c r="O3345" s="2">
        <v>-15.0</v>
      </c>
      <c r="P3345" s="2" t="s">
        <v>146</v>
      </c>
    </row>
    <row r="3346">
      <c r="A3346" s="3" t="s">
        <v>60</v>
      </c>
      <c r="B3346" s="4">
        <v>45140.29166666667</v>
      </c>
      <c r="C3346" s="2" t="s">
        <v>18</v>
      </c>
      <c r="D3346" s="2" t="s">
        <v>19</v>
      </c>
      <c r="E3346" s="2" t="s">
        <v>114</v>
      </c>
      <c r="F3346" s="2"/>
      <c r="G3346" s="2">
        <v>5.0</v>
      </c>
      <c r="H3346" s="2">
        <v>5.0</v>
      </c>
      <c r="I3346" s="2">
        <v>0.0</v>
      </c>
      <c r="J3346" s="2">
        <v>0.0</v>
      </c>
      <c r="K3346" s="2">
        <v>0.0</v>
      </c>
      <c r="L3346" s="2">
        <v>0.0</v>
      </c>
      <c r="M3346" s="2"/>
      <c r="N3346" s="2"/>
      <c r="O3346" s="2"/>
      <c r="P3346" s="2" t="s">
        <v>146</v>
      </c>
    </row>
    <row r="3347">
      <c r="A3347" s="3" t="s">
        <v>61</v>
      </c>
      <c r="B3347" s="4">
        <v>45141.29166666667</v>
      </c>
      <c r="C3347" s="2" t="s">
        <v>18</v>
      </c>
      <c r="D3347" s="2" t="s">
        <v>19</v>
      </c>
      <c r="E3347" s="2" t="s">
        <v>120</v>
      </c>
      <c r="F3347" s="2"/>
      <c r="G3347" s="2">
        <v>1.0</v>
      </c>
      <c r="H3347" s="2">
        <v>0.0</v>
      </c>
      <c r="I3347" s="2">
        <v>1.0</v>
      </c>
      <c r="J3347" s="2">
        <v>0.0</v>
      </c>
      <c r="K3347" s="2">
        <v>0.0</v>
      </c>
      <c r="L3347" s="2">
        <v>0.0</v>
      </c>
      <c r="M3347" s="2"/>
      <c r="N3347" s="2"/>
      <c r="O3347" s="2"/>
      <c r="P3347" s="2" t="s">
        <v>146</v>
      </c>
    </row>
    <row r="3348">
      <c r="A3348" s="3" t="s">
        <v>62</v>
      </c>
      <c r="B3348" s="4">
        <v>45142.29166666667</v>
      </c>
      <c r="C3348" s="2" t="s">
        <v>18</v>
      </c>
      <c r="D3348" s="2" t="s">
        <v>19</v>
      </c>
      <c r="E3348" s="2" t="s">
        <v>118</v>
      </c>
      <c r="F3348" s="2"/>
      <c r="G3348" s="2">
        <v>2.0</v>
      </c>
      <c r="H3348" s="2">
        <v>2.0</v>
      </c>
      <c r="I3348" s="2">
        <v>0.0</v>
      </c>
      <c r="J3348" s="2">
        <v>0.0</v>
      </c>
      <c r="K3348" s="2">
        <v>0.0</v>
      </c>
      <c r="L3348" s="2">
        <v>0.0</v>
      </c>
      <c r="M3348" s="2"/>
      <c r="N3348" s="2"/>
      <c r="O3348" s="2"/>
      <c r="P3348" s="2" t="s">
        <v>146</v>
      </c>
    </row>
    <row r="3349">
      <c r="A3349" s="3" t="s">
        <v>63</v>
      </c>
      <c r="B3349" s="4">
        <v>45143.29166666667</v>
      </c>
      <c r="C3349" s="2" t="s">
        <v>18</v>
      </c>
      <c r="D3349" s="2" t="s">
        <v>19</v>
      </c>
      <c r="E3349" s="2" t="s">
        <v>116</v>
      </c>
      <c r="F3349" s="2"/>
      <c r="G3349" s="2">
        <v>4.0</v>
      </c>
      <c r="H3349" s="2">
        <v>2.0</v>
      </c>
      <c r="I3349" s="2">
        <v>2.0</v>
      </c>
      <c r="J3349" s="2">
        <v>0.0</v>
      </c>
      <c r="K3349" s="2">
        <v>0.0</v>
      </c>
      <c r="L3349" s="2">
        <v>0.0</v>
      </c>
      <c r="M3349" s="2"/>
      <c r="N3349" s="2"/>
      <c r="O3349" s="2"/>
      <c r="P3349" s="2" t="s">
        <v>146</v>
      </c>
    </row>
    <row r="3350">
      <c r="A3350" s="3" t="s">
        <v>64</v>
      </c>
      <c r="B3350" s="4">
        <v>45144.29166666667</v>
      </c>
      <c r="C3350" s="2" t="s">
        <v>18</v>
      </c>
      <c r="D3350" s="2" t="s">
        <v>19</v>
      </c>
      <c r="E3350" s="2" t="s">
        <v>110</v>
      </c>
      <c r="F3350" s="2"/>
      <c r="G3350" s="2">
        <v>1.0</v>
      </c>
      <c r="H3350" s="2">
        <v>1.0</v>
      </c>
      <c r="I3350" s="2">
        <v>0.0</v>
      </c>
      <c r="J3350" s="2">
        <v>0.0</v>
      </c>
      <c r="K3350" s="2">
        <v>0.0</v>
      </c>
      <c r="L3350" s="2">
        <v>0.0</v>
      </c>
      <c r="M3350" s="2"/>
      <c r="N3350" s="2"/>
      <c r="O3350" s="2"/>
      <c r="P3350" s="2" t="s">
        <v>146</v>
      </c>
    </row>
    <row r="3351">
      <c r="A3351" s="3" t="s">
        <v>65</v>
      </c>
      <c r="B3351" s="4">
        <v>45145.29166666667</v>
      </c>
      <c r="C3351" s="2" t="s">
        <v>18</v>
      </c>
      <c r="D3351" s="2" t="s">
        <v>19</v>
      </c>
      <c r="E3351" s="2" t="s">
        <v>125</v>
      </c>
      <c r="F3351" s="2"/>
      <c r="G3351" s="2">
        <v>17.0</v>
      </c>
      <c r="H3351" s="2">
        <v>15.0</v>
      </c>
      <c r="I3351" s="2">
        <v>2.0</v>
      </c>
      <c r="J3351" s="2">
        <v>0.0</v>
      </c>
      <c r="K3351" s="2">
        <v>0.0</v>
      </c>
      <c r="L3351" s="2">
        <v>0.0</v>
      </c>
      <c r="M3351" s="2"/>
      <c r="N3351" s="2"/>
      <c r="O3351" s="2"/>
      <c r="P3351" s="2" t="s">
        <v>146</v>
      </c>
    </row>
    <row r="3352">
      <c r="A3352" s="3" t="s">
        <v>66</v>
      </c>
      <c r="B3352" s="4">
        <v>45171.29166666667</v>
      </c>
      <c r="C3352" s="2" t="s">
        <v>18</v>
      </c>
      <c r="D3352" s="2" t="s">
        <v>19</v>
      </c>
      <c r="E3352" s="2" t="s">
        <v>114</v>
      </c>
      <c r="F3352" s="2"/>
      <c r="G3352" s="2">
        <v>3.0</v>
      </c>
      <c r="H3352" s="2">
        <v>3.0</v>
      </c>
      <c r="I3352" s="2">
        <v>0.0</v>
      </c>
      <c r="J3352" s="2">
        <v>0.0</v>
      </c>
      <c r="K3352" s="2">
        <v>0.0</v>
      </c>
      <c r="L3352" s="2">
        <v>0.0</v>
      </c>
      <c r="M3352" s="2"/>
      <c r="N3352" s="2"/>
      <c r="O3352" s="2"/>
      <c r="P3352" s="2" t="s">
        <v>146</v>
      </c>
    </row>
    <row r="3353">
      <c r="A3353" s="3" t="s">
        <v>68</v>
      </c>
      <c r="B3353" s="4">
        <v>45172.29166666667</v>
      </c>
      <c r="C3353" s="2" t="s">
        <v>18</v>
      </c>
      <c r="D3353" s="2" t="s">
        <v>19</v>
      </c>
      <c r="E3353" s="2" t="s">
        <v>120</v>
      </c>
      <c r="F3353" s="2"/>
      <c r="G3353" s="2">
        <v>1.0</v>
      </c>
      <c r="H3353" s="2">
        <v>0.0</v>
      </c>
      <c r="I3353" s="2">
        <v>1.0</v>
      </c>
      <c r="J3353" s="2">
        <v>0.0</v>
      </c>
      <c r="K3353" s="2">
        <v>0.0</v>
      </c>
      <c r="L3353" s="2">
        <v>0.0</v>
      </c>
      <c r="M3353" s="2"/>
      <c r="N3353" s="2"/>
      <c r="O3353" s="2"/>
      <c r="P3353" s="2" t="s">
        <v>146</v>
      </c>
    </row>
    <row r="3354">
      <c r="A3354" s="3" t="s">
        <v>70</v>
      </c>
      <c r="B3354" s="2" t="s">
        <v>17</v>
      </c>
      <c r="C3354" s="2" t="s">
        <v>18</v>
      </c>
      <c r="D3354" s="2" t="s">
        <v>109</v>
      </c>
      <c r="E3354" s="2" t="s">
        <v>197</v>
      </c>
      <c r="F3354" s="2">
        <v>24.0</v>
      </c>
      <c r="G3354" s="2">
        <v>24.0</v>
      </c>
      <c r="H3354" s="2">
        <v>8.0</v>
      </c>
      <c r="I3354" s="2">
        <v>16.0</v>
      </c>
      <c r="J3354" s="2">
        <v>0.0</v>
      </c>
      <c r="K3354" s="2">
        <v>0.0</v>
      </c>
      <c r="L3354" s="2">
        <v>0.0</v>
      </c>
      <c r="M3354" s="2">
        <v>16.0</v>
      </c>
      <c r="N3354" s="2"/>
      <c r="O3354" s="2"/>
      <c r="P3354" s="2" t="s">
        <v>111</v>
      </c>
    </row>
    <row r="3355">
      <c r="A3355" s="3" t="s">
        <v>16</v>
      </c>
      <c r="B3355" s="2" t="s">
        <v>17</v>
      </c>
      <c r="C3355" s="2" t="s">
        <v>18</v>
      </c>
      <c r="D3355" s="2" t="s">
        <v>109</v>
      </c>
      <c r="E3355" s="2" t="s">
        <v>169</v>
      </c>
      <c r="F3355" s="2">
        <v>20.0</v>
      </c>
      <c r="G3355" s="2">
        <v>17.0</v>
      </c>
      <c r="H3355" s="2">
        <v>3.0</v>
      </c>
      <c r="I3355" s="2">
        <v>14.0</v>
      </c>
      <c r="J3355" s="2">
        <v>0.0</v>
      </c>
      <c r="K3355" s="2">
        <v>0.0</v>
      </c>
      <c r="L3355" s="2">
        <v>0.0</v>
      </c>
      <c r="M3355" s="2">
        <v>17.0</v>
      </c>
      <c r="N3355" s="2"/>
      <c r="O3355" s="2"/>
      <c r="P3355" s="2" t="s">
        <v>111</v>
      </c>
    </row>
    <row r="3356">
      <c r="A3356" s="3" t="s">
        <v>71</v>
      </c>
      <c r="B3356" s="2" t="s">
        <v>17</v>
      </c>
      <c r="C3356" s="2" t="s">
        <v>18</v>
      </c>
      <c r="D3356" s="2" t="s">
        <v>109</v>
      </c>
      <c r="E3356" s="2" t="s">
        <v>179</v>
      </c>
      <c r="F3356" s="2">
        <v>8.0</v>
      </c>
      <c r="G3356" s="2">
        <v>17.0</v>
      </c>
      <c r="H3356" s="2">
        <v>1.0</v>
      </c>
      <c r="I3356" s="2">
        <v>16.0</v>
      </c>
      <c r="J3356" s="2">
        <v>0.0</v>
      </c>
      <c r="K3356" s="2">
        <v>0.0</v>
      </c>
      <c r="L3356" s="2">
        <v>0.0</v>
      </c>
      <c r="M3356" s="2">
        <v>7.0</v>
      </c>
      <c r="N3356" s="2"/>
      <c r="O3356" s="2"/>
      <c r="P3356" s="2" t="s">
        <v>111</v>
      </c>
    </row>
    <row r="3357">
      <c r="A3357" s="3" t="s">
        <v>72</v>
      </c>
      <c r="B3357" s="2" t="s">
        <v>17</v>
      </c>
      <c r="C3357" s="2" t="s">
        <v>18</v>
      </c>
      <c r="D3357" s="2" t="s">
        <v>109</v>
      </c>
      <c r="E3357" s="2" t="s">
        <v>202</v>
      </c>
      <c r="F3357" s="2">
        <v>2.0</v>
      </c>
      <c r="G3357" s="2">
        <v>11.0</v>
      </c>
      <c r="H3357" s="2">
        <v>2.0</v>
      </c>
      <c r="I3357" s="2">
        <v>9.0</v>
      </c>
      <c r="J3357" s="2">
        <v>0.0</v>
      </c>
      <c r="K3357" s="2">
        <v>0.0</v>
      </c>
      <c r="L3357" s="2">
        <v>0.0</v>
      </c>
      <c r="M3357" s="2">
        <v>0.0</v>
      </c>
      <c r="N3357" s="2"/>
      <c r="O3357" s="2"/>
      <c r="P3357" s="2" t="s">
        <v>111</v>
      </c>
    </row>
    <row r="3358">
      <c r="A3358" s="3" t="s">
        <v>73</v>
      </c>
      <c r="B3358" s="2" t="s">
        <v>17</v>
      </c>
      <c r="C3358" s="2" t="s">
        <v>18</v>
      </c>
      <c r="D3358" s="2" t="s">
        <v>109</v>
      </c>
      <c r="E3358" s="2" t="s">
        <v>405</v>
      </c>
      <c r="F3358" s="2">
        <v>5.0</v>
      </c>
      <c r="G3358" s="2">
        <v>2.0</v>
      </c>
      <c r="H3358" s="2">
        <v>0.0</v>
      </c>
      <c r="I3358" s="2">
        <v>2.0</v>
      </c>
      <c r="J3358" s="2">
        <v>0.0</v>
      </c>
      <c r="K3358" s="2">
        <v>0.0</v>
      </c>
      <c r="L3358" s="2">
        <v>0.0</v>
      </c>
      <c r="M3358" s="2">
        <v>5.0</v>
      </c>
      <c r="N3358" s="2"/>
      <c r="O3358" s="2"/>
      <c r="P3358" s="2" t="s">
        <v>111</v>
      </c>
    </row>
    <row r="3359">
      <c r="A3359" s="3" t="s">
        <v>74</v>
      </c>
      <c r="B3359" s="2" t="s">
        <v>17</v>
      </c>
      <c r="C3359" s="2" t="s">
        <v>18</v>
      </c>
      <c r="D3359" s="2" t="s">
        <v>109</v>
      </c>
      <c r="E3359" s="2" t="s">
        <v>190</v>
      </c>
      <c r="F3359" s="2">
        <v>3.0</v>
      </c>
      <c r="G3359" s="2">
        <v>3.0</v>
      </c>
      <c r="H3359" s="2">
        <v>1.0</v>
      </c>
      <c r="I3359" s="2">
        <v>2.0</v>
      </c>
      <c r="J3359" s="2">
        <v>0.0</v>
      </c>
      <c r="K3359" s="2">
        <v>0.0</v>
      </c>
      <c r="L3359" s="2">
        <v>0.0</v>
      </c>
      <c r="M3359" s="2">
        <v>2.0</v>
      </c>
      <c r="N3359" s="2"/>
      <c r="O3359" s="2"/>
      <c r="P3359" s="2" t="s">
        <v>111</v>
      </c>
    </row>
    <row r="3360">
      <c r="A3360" s="3" t="s">
        <v>75</v>
      </c>
      <c r="B3360" s="2" t="s">
        <v>17</v>
      </c>
      <c r="C3360" s="2" t="s">
        <v>18</v>
      </c>
      <c r="D3360" s="2" t="s">
        <v>109</v>
      </c>
      <c r="E3360" s="2" t="s">
        <v>192</v>
      </c>
      <c r="F3360" s="2">
        <v>1.0</v>
      </c>
      <c r="G3360" s="2">
        <v>6.0</v>
      </c>
      <c r="H3360" s="2">
        <v>0.0</v>
      </c>
      <c r="I3360" s="2">
        <v>6.0</v>
      </c>
      <c r="J3360" s="2">
        <v>0.0</v>
      </c>
      <c r="K3360" s="2">
        <v>0.0</v>
      </c>
      <c r="L3360" s="2">
        <v>0.0</v>
      </c>
      <c r="M3360" s="2">
        <v>1.0</v>
      </c>
      <c r="N3360" s="2"/>
      <c r="O3360" s="2"/>
      <c r="P3360" s="2" t="s">
        <v>111</v>
      </c>
    </row>
    <row r="3361">
      <c r="A3361" s="3" t="s">
        <v>76</v>
      </c>
      <c r="B3361" s="2" t="s">
        <v>17</v>
      </c>
      <c r="C3361" s="2" t="s">
        <v>18</v>
      </c>
      <c r="D3361" s="2" t="s">
        <v>109</v>
      </c>
      <c r="E3361" s="2" t="s">
        <v>406</v>
      </c>
      <c r="F3361" s="2">
        <v>2.0</v>
      </c>
      <c r="G3361" s="2">
        <v>1.0</v>
      </c>
      <c r="H3361" s="2">
        <v>0.0</v>
      </c>
      <c r="I3361" s="2">
        <v>1.0</v>
      </c>
      <c r="J3361" s="2">
        <v>0.0</v>
      </c>
      <c r="K3361" s="2">
        <v>0.0</v>
      </c>
      <c r="L3361" s="2">
        <v>0.0</v>
      </c>
      <c r="M3361" s="2">
        <v>2.0</v>
      </c>
      <c r="N3361" s="2"/>
      <c r="O3361" s="2"/>
      <c r="P3361" s="2" t="s">
        <v>111</v>
      </c>
    </row>
    <row r="3362">
      <c r="A3362" s="3" t="s">
        <v>77</v>
      </c>
      <c r="B3362" s="2" t="s">
        <v>17</v>
      </c>
      <c r="C3362" s="2" t="s">
        <v>57</v>
      </c>
      <c r="D3362" s="2" t="s">
        <v>109</v>
      </c>
      <c r="E3362" s="2" t="s">
        <v>208</v>
      </c>
      <c r="F3362" s="2">
        <v>1.0</v>
      </c>
      <c r="G3362" s="2">
        <v>6.0</v>
      </c>
      <c r="H3362" s="2">
        <v>1.0</v>
      </c>
      <c r="I3362" s="2">
        <v>5.0</v>
      </c>
      <c r="J3362" s="2">
        <v>0.0</v>
      </c>
      <c r="K3362" s="2">
        <v>0.0</v>
      </c>
      <c r="L3362" s="2">
        <v>0.0</v>
      </c>
      <c r="M3362" s="2">
        <v>0.0</v>
      </c>
      <c r="N3362" s="2"/>
      <c r="O3362" s="2"/>
      <c r="P3362" s="2" t="s">
        <v>111</v>
      </c>
    </row>
    <row r="3363">
      <c r="A3363" s="3" t="s">
        <v>78</v>
      </c>
      <c r="B3363" s="2" t="s">
        <v>17</v>
      </c>
      <c r="C3363" s="2" t="s">
        <v>18</v>
      </c>
      <c r="D3363" s="2" t="s">
        <v>19</v>
      </c>
      <c r="E3363" s="2" t="s">
        <v>197</v>
      </c>
      <c r="F3363" s="2">
        <v>16.0</v>
      </c>
      <c r="G3363" s="2">
        <v>4.0</v>
      </c>
      <c r="H3363" s="2">
        <v>0.0</v>
      </c>
      <c r="I3363" s="2">
        <v>4.0</v>
      </c>
      <c r="J3363" s="2">
        <v>0.0</v>
      </c>
      <c r="K3363" s="2">
        <v>0.0</v>
      </c>
      <c r="L3363" s="2">
        <v>0.0</v>
      </c>
      <c r="M3363" s="2">
        <v>16.0</v>
      </c>
      <c r="N3363" s="2"/>
      <c r="O3363" s="2"/>
      <c r="P3363" s="2" t="s">
        <v>111</v>
      </c>
    </row>
    <row r="3364">
      <c r="A3364" s="3" t="s">
        <v>81</v>
      </c>
      <c r="B3364" s="2" t="s">
        <v>17</v>
      </c>
      <c r="C3364" s="2" t="s">
        <v>18</v>
      </c>
      <c r="D3364" s="2" t="s">
        <v>19</v>
      </c>
      <c r="E3364" s="2" t="s">
        <v>169</v>
      </c>
      <c r="F3364" s="2">
        <v>18.0</v>
      </c>
      <c r="G3364" s="2">
        <v>2.0</v>
      </c>
      <c r="H3364" s="2">
        <v>1.0</v>
      </c>
      <c r="I3364" s="2">
        <v>1.0</v>
      </c>
      <c r="J3364" s="2">
        <v>0.0</v>
      </c>
      <c r="K3364" s="2">
        <v>0.0</v>
      </c>
      <c r="L3364" s="2">
        <v>0.0</v>
      </c>
      <c r="M3364" s="2">
        <v>17.0</v>
      </c>
      <c r="N3364" s="2"/>
      <c r="O3364" s="2"/>
      <c r="P3364" s="2" t="s">
        <v>111</v>
      </c>
    </row>
    <row r="3365">
      <c r="A3365" s="3" t="s">
        <v>82</v>
      </c>
      <c r="B3365" s="2" t="s">
        <v>17</v>
      </c>
      <c r="C3365" s="2" t="s">
        <v>18</v>
      </c>
      <c r="D3365" s="2" t="s">
        <v>19</v>
      </c>
      <c r="E3365" s="2" t="s">
        <v>179</v>
      </c>
      <c r="F3365" s="2">
        <v>7.0</v>
      </c>
      <c r="G3365" s="2">
        <v>2.0</v>
      </c>
      <c r="H3365" s="2">
        <v>0.0</v>
      </c>
      <c r="I3365" s="2">
        <v>2.0</v>
      </c>
      <c r="J3365" s="2">
        <v>0.0</v>
      </c>
      <c r="K3365" s="2">
        <v>0.0</v>
      </c>
      <c r="L3365" s="2">
        <v>0.0</v>
      </c>
      <c r="M3365" s="2">
        <v>7.0</v>
      </c>
      <c r="N3365" s="2"/>
      <c r="O3365" s="2"/>
      <c r="P3365" s="2" t="s">
        <v>111</v>
      </c>
    </row>
    <row r="3366">
      <c r="A3366" s="3" t="s">
        <v>83</v>
      </c>
      <c r="B3366" s="2" t="s">
        <v>17</v>
      </c>
      <c r="C3366" s="2" t="s">
        <v>18</v>
      </c>
      <c r="D3366" s="2" t="s">
        <v>19</v>
      </c>
      <c r="E3366" s="2" t="s">
        <v>202</v>
      </c>
      <c r="F3366" s="2">
        <v>7.0</v>
      </c>
      <c r="G3366" s="2">
        <v>9.0</v>
      </c>
      <c r="H3366" s="2">
        <v>5.0</v>
      </c>
      <c r="I3366" s="2">
        <v>4.0</v>
      </c>
      <c r="J3366" s="2">
        <v>0.0</v>
      </c>
      <c r="K3366" s="2">
        <v>0.0</v>
      </c>
      <c r="L3366" s="2">
        <v>0.0</v>
      </c>
      <c r="M3366" s="2">
        <v>2.0</v>
      </c>
      <c r="N3366" s="2"/>
      <c r="O3366" s="2"/>
      <c r="P3366" s="2" t="s">
        <v>111</v>
      </c>
    </row>
    <row r="3367">
      <c r="A3367" s="3" t="s">
        <v>84</v>
      </c>
      <c r="B3367" s="2" t="s">
        <v>17</v>
      </c>
      <c r="C3367" s="2" t="s">
        <v>18</v>
      </c>
      <c r="D3367" s="2" t="s">
        <v>19</v>
      </c>
      <c r="E3367" s="2" t="s">
        <v>405</v>
      </c>
      <c r="F3367" s="2">
        <v>7.0</v>
      </c>
      <c r="G3367" s="2">
        <v>3.0</v>
      </c>
      <c r="H3367" s="2">
        <v>2.0</v>
      </c>
      <c r="I3367" s="2">
        <v>1.0</v>
      </c>
      <c r="J3367" s="2">
        <v>0.0</v>
      </c>
      <c r="K3367" s="2">
        <v>0.0</v>
      </c>
      <c r="L3367" s="2">
        <v>0.0</v>
      </c>
      <c r="M3367" s="2">
        <v>5.0</v>
      </c>
      <c r="N3367" s="2"/>
      <c r="O3367" s="2"/>
      <c r="P3367" s="2" t="s">
        <v>111</v>
      </c>
    </row>
    <row r="3368">
      <c r="A3368" s="3" t="s">
        <v>85</v>
      </c>
      <c r="B3368" s="2" t="s">
        <v>17</v>
      </c>
      <c r="C3368" s="2" t="s">
        <v>18</v>
      </c>
      <c r="D3368" s="2" t="s">
        <v>19</v>
      </c>
      <c r="E3368" s="2" t="s">
        <v>190</v>
      </c>
      <c r="F3368" s="2">
        <v>2.0</v>
      </c>
      <c r="G3368" s="2">
        <v>3.0</v>
      </c>
      <c r="H3368" s="2">
        <v>0.0</v>
      </c>
      <c r="I3368" s="2">
        <v>3.0</v>
      </c>
      <c r="J3368" s="2">
        <v>0.0</v>
      </c>
      <c r="K3368" s="2">
        <v>0.0</v>
      </c>
      <c r="L3368" s="2">
        <v>0.0</v>
      </c>
      <c r="M3368" s="2">
        <v>2.0</v>
      </c>
      <c r="N3368" s="2"/>
      <c r="O3368" s="2"/>
      <c r="P3368" s="2" t="s">
        <v>111</v>
      </c>
    </row>
    <row r="3369">
      <c r="A3369" s="3" t="s">
        <v>86</v>
      </c>
      <c r="B3369" s="2" t="s">
        <v>17</v>
      </c>
      <c r="C3369" s="2" t="s">
        <v>18</v>
      </c>
      <c r="D3369" s="2" t="s">
        <v>19</v>
      </c>
      <c r="E3369" s="2" t="s">
        <v>192</v>
      </c>
      <c r="F3369" s="2">
        <v>2.0</v>
      </c>
      <c r="G3369" s="2">
        <v>2.0</v>
      </c>
      <c r="H3369" s="2">
        <v>1.0</v>
      </c>
      <c r="I3369" s="2">
        <v>1.0</v>
      </c>
      <c r="J3369" s="2">
        <v>0.0</v>
      </c>
      <c r="K3369" s="2">
        <v>0.0</v>
      </c>
      <c r="L3369" s="2">
        <v>0.0</v>
      </c>
      <c r="M3369" s="2">
        <v>1.0</v>
      </c>
      <c r="N3369" s="2"/>
      <c r="O3369" s="2"/>
      <c r="P3369" s="2" t="s">
        <v>111</v>
      </c>
    </row>
    <row r="3370">
      <c r="A3370" s="3" t="s">
        <v>87</v>
      </c>
      <c r="B3370" s="2" t="s">
        <v>17</v>
      </c>
      <c r="C3370" s="2" t="s">
        <v>18</v>
      </c>
      <c r="D3370" s="2" t="s">
        <v>19</v>
      </c>
      <c r="E3370" s="2" t="s">
        <v>406</v>
      </c>
      <c r="F3370" s="2">
        <v>2.0</v>
      </c>
      <c r="G3370" s="2">
        <v>0.0</v>
      </c>
      <c r="H3370" s="2">
        <v>0.0</v>
      </c>
      <c r="I3370" s="2">
        <v>0.0</v>
      </c>
      <c r="J3370" s="2">
        <v>0.0</v>
      </c>
      <c r="K3370" s="2">
        <v>0.0</v>
      </c>
      <c r="L3370" s="2">
        <v>0.0</v>
      </c>
      <c r="M3370" s="2">
        <v>2.0</v>
      </c>
      <c r="N3370" s="2"/>
      <c r="O3370" s="2"/>
      <c r="P3370" s="2" t="s">
        <v>111</v>
      </c>
    </row>
    <row r="3371">
      <c r="A3371" s="3" t="s">
        <v>88</v>
      </c>
      <c r="B3371" s="2" t="s">
        <v>17</v>
      </c>
      <c r="C3371" s="2" t="s">
        <v>57</v>
      </c>
      <c r="D3371" s="2" t="s">
        <v>19</v>
      </c>
      <c r="E3371" s="2" t="s">
        <v>208</v>
      </c>
      <c r="F3371" s="2">
        <v>2.0</v>
      </c>
      <c r="G3371" s="2">
        <v>3.0</v>
      </c>
      <c r="H3371" s="2">
        <v>2.0</v>
      </c>
      <c r="I3371" s="2">
        <v>1.0</v>
      </c>
      <c r="J3371" s="2">
        <v>0.0</v>
      </c>
      <c r="K3371" s="2">
        <v>0.0</v>
      </c>
      <c r="L3371" s="2">
        <v>0.0</v>
      </c>
      <c r="M3371" s="2">
        <v>0.0</v>
      </c>
      <c r="N3371" s="2"/>
      <c r="O3371" s="2"/>
      <c r="P3371" s="2" t="s">
        <v>111</v>
      </c>
    </row>
    <row r="3372">
      <c r="A3372" s="3" t="s">
        <v>89</v>
      </c>
      <c r="B3372" s="2" t="s">
        <v>17</v>
      </c>
      <c r="C3372" s="2" t="s">
        <v>18</v>
      </c>
      <c r="D3372" s="2" t="s">
        <v>23</v>
      </c>
      <c r="E3372" s="2" t="s">
        <v>197</v>
      </c>
      <c r="F3372" s="2">
        <v>24.0</v>
      </c>
      <c r="G3372" s="2">
        <v>28.0</v>
      </c>
      <c r="H3372" s="2">
        <v>8.0</v>
      </c>
      <c r="I3372" s="2">
        <v>20.0</v>
      </c>
      <c r="J3372" s="2">
        <v>0.0</v>
      </c>
      <c r="K3372" s="2">
        <v>0.0</v>
      </c>
      <c r="L3372" s="2">
        <v>0.0</v>
      </c>
      <c r="M3372" s="2">
        <v>16.0</v>
      </c>
      <c r="N3372" s="2">
        <v>-16.0</v>
      </c>
      <c r="O3372" s="2">
        <v>8.0</v>
      </c>
      <c r="P3372" s="2" t="s">
        <v>111</v>
      </c>
    </row>
    <row r="3373">
      <c r="A3373" s="3" t="s">
        <v>90</v>
      </c>
      <c r="B3373" s="2" t="s">
        <v>17</v>
      </c>
      <c r="C3373" s="2" t="s">
        <v>18</v>
      </c>
      <c r="D3373" s="2" t="s">
        <v>23</v>
      </c>
      <c r="E3373" s="2" t="s">
        <v>169</v>
      </c>
      <c r="F3373" s="2">
        <v>21.0</v>
      </c>
      <c r="G3373" s="2">
        <v>19.0</v>
      </c>
      <c r="H3373" s="2">
        <v>4.0</v>
      </c>
      <c r="I3373" s="2">
        <v>15.0</v>
      </c>
      <c r="J3373" s="2">
        <v>0.0</v>
      </c>
      <c r="K3373" s="2">
        <v>0.0</v>
      </c>
      <c r="L3373" s="2">
        <v>0.0</v>
      </c>
      <c r="M3373" s="2">
        <v>17.0</v>
      </c>
      <c r="N3373" s="2">
        <v>-17.0</v>
      </c>
      <c r="O3373" s="2">
        <v>13.0</v>
      </c>
      <c r="P3373" s="2" t="s">
        <v>111</v>
      </c>
    </row>
    <row r="3374">
      <c r="A3374" s="3" t="s">
        <v>93</v>
      </c>
      <c r="B3374" s="2" t="s">
        <v>17</v>
      </c>
      <c r="C3374" s="2" t="s">
        <v>18</v>
      </c>
      <c r="D3374" s="2" t="s">
        <v>23</v>
      </c>
      <c r="E3374" s="2" t="s">
        <v>179</v>
      </c>
      <c r="F3374" s="2">
        <v>8.0</v>
      </c>
      <c r="G3374" s="2">
        <v>19.0</v>
      </c>
      <c r="H3374" s="2">
        <v>1.0</v>
      </c>
      <c r="I3374" s="2">
        <v>18.0</v>
      </c>
      <c r="J3374" s="2">
        <v>0.0</v>
      </c>
      <c r="K3374" s="2">
        <v>0.0</v>
      </c>
      <c r="L3374" s="2">
        <v>0.0</v>
      </c>
      <c r="M3374" s="2">
        <v>7.0</v>
      </c>
      <c r="N3374" s="2">
        <v>-7.0</v>
      </c>
      <c r="O3374" s="2">
        <v>6.0</v>
      </c>
      <c r="P3374" s="2" t="s">
        <v>111</v>
      </c>
    </row>
    <row r="3375">
      <c r="A3375" s="3" t="s">
        <v>16</v>
      </c>
      <c r="B3375" s="2" t="s">
        <v>17</v>
      </c>
      <c r="C3375" s="2" t="s">
        <v>18</v>
      </c>
      <c r="D3375" s="2" t="s">
        <v>23</v>
      </c>
      <c r="E3375" s="2" t="s">
        <v>202</v>
      </c>
      <c r="F3375" s="2">
        <v>7.0</v>
      </c>
      <c r="G3375" s="2">
        <v>20.0</v>
      </c>
      <c r="H3375" s="2">
        <v>7.0</v>
      </c>
      <c r="I3375" s="2">
        <v>13.0</v>
      </c>
      <c r="J3375" s="2">
        <v>0.0</v>
      </c>
      <c r="K3375" s="2">
        <v>0.0</v>
      </c>
      <c r="L3375" s="2">
        <v>0.0</v>
      </c>
      <c r="M3375" s="2">
        <v>0.0</v>
      </c>
      <c r="N3375" s="2">
        <v>-2.0</v>
      </c>
      <c r="O3375" s="2">
        <v>-7.0</v>
      </c>
      <c r="P3375" s="2" t="s">
        <v>111</v>
      </c>
    </row>
    <row r="3376">
      <c r="A3376" s="3" t="s">
        <v>94</v>
      </c>
      <c r="B3376" s="2" t="s">
        <v>17</v>
      </c>
      <c r="C3376" s="2" t="s">
        <v>18</v>
      </c>
      <c r="D3376" s="2" t="s">
        <v>23</v>
      </c>
      <c r="E3376" s="2" t="s">
        <v>405</v>
      </c>
      <c r="F3376" s="2">
        <v>7.0</v>
      </c>
      <c r="G3376" s="2">
        <v>5.0</v>
      </c>
      <c r="H3376" s="2">
        <v>2.0</v>
      </c>
      <c r="I3376" s="2">
        <v>3.0</v>
      </c>
      <c r="J3376" s="2">
        <v>0.0</v>
      </c>
      <c r="K3376" s="2">
        <v>0.0</v>
      </c>
      <c r="L3376" s="2">
        <v>0.0</v>
      </c>
      <c r="M3376" s="2">
        <v>5.0</v>
      </c>
      <c r="N3376" s="2">
        <v>-5.0</v>
      </c>
      <c r="O3376" s="2">
        <v>3.0</v>
      </c>
      <c r="P3376" s="2" t="s">
        <v>111</v>
      </c>
    </row>
    <row r="3377">
      <c r="A3377" s="3" t="s">
        <v>95</v>
      </c>
      <c r="B3377" s="2" t="s">
        <v>17</v>
      </c>
      <c r="C3377" s="2" t="s">
        <v>18</v>
      </c>
      <c r="D3377" s="2" t="s">
        <v>23</v>
      </c>
      <c r="E3377" s="2" t="s">
        <v>190</v>
      </c>
      <c r="F3377" s="2">
        <v>3.0</v>
      </c>
      <c r="G3377" s="2">
        <v>6.0</v>
      </c>
      <c r="H3377" s="2">
        <v>1.0</v>
      </c>
      <c r="I3377" s="2">
        <v>5.0</v>
      </c>
      <c r="J3377" s="2">
        <v>0.0</v>
      </c>
      <c r="K3377" s="2">
        <v>0.0</v>
      </c>
      <c r="L3377" s="2">
        <v>0.0</v>
      </c>
      <c r="M3377" s="2">
        <v>2.0</v>
      </c>
      <c r="N3377" s="2">
        <v>-2.0</v>
      </c>
      <c r="O3377" s="2">
        <v>1.0</v>
      </c>
      <c r="P3377" s="2" t="s">
        <v>111</v>
      </c>
    </row>
    <row r="3378">
      <c r="A3378" s="3" t="s">
        <v>97</v>
      </c>
      <c r="B3378" s="2" t="s">
        <v>17</v>
      </c>
      <c r="C3378" s="2" t="s">
        <v>18</v>
      </c>
      <c r="D3378" s="2" t="s">
        <v>23</v>
      </c>
      <c r="E3378" s="2" t="s">
        <v>192</v>
      </c>
      <c r="F3378" s="2">
        <v>2.0</v>
      </c>
      <c r="G3378" s="2">
        <v>8.0</v>
      </c>
      <c r="H3378" s="2">
        <v>1.0</v>
      </c>
      <c r="I3378" s="2">
        <v>7.0</v>
      </c>
      <c r="J3378" s="2">
        <v>0.0</v>
      </c>
      <c r="K3378" s="2">
        <v>0.0</v>
      </c>
      <c r="L3378" s="2">
        <v>0.0</v>
      </c>
      <c r="M3378" s="2">
        <v>1.0</v>
      </c>
      <c r="N3378" s="2">
        <v>-1.0</v>
      </c>
      <c r="O3378" s="2">
        <v>0.0</v>
      </c>
      <c r="P3378" s="2" t="s">
        <v>111</v>
      </c>
    </row>
    <row r="3379">
      <c r="A3379" s="3" t="s">
        <v>98</v>
      </c>
      <c r="B3379" s="2" t="s">
        <v>17</v>
      </c>
      <c r="C3379" s="2" t="s">
        <v>18</v>
      </c>
      <c r="D3379" s="2" t="s">
        <v>23</v>
      </c>
      <c r="E3379" s="2" t="s">
        <v>406</v>
      </c>
      <c r="F3379" s="2">
        <v>2.0</v>
      </c>
      <c r="G3379" s="2">
        <v>1.0</v>
      </c>
      <c r="H3379" s="2">
        <v>0.0</v>
      </c>
      <c r="I3379" s="2">
        <v>1.0</v>
      </c>
      <c r="J3379" s="2">
        <v>0.0</v>
      </c>
      <c r="K3379" s="2">
        <v>0.0</v>
      </c>
      <c r="L3379" s="2">
        <v>0.0</v>
      </c>
      <c r="M3379" s="2">
        <v>2.0</v>
      </c>
      <c r="N3379" s="2">
        <v>-2.0</v>
      </c>
      <c r="O3379" s="2">
        <v>2.0</v>
      </c>
      <c r="P3379" s="2" t="s">
        <v>111</v>
      </c>
    </row>
    <row r="3380">
      <c r="A3380" s="3" t="s">
        <v>99</v>
      </c>
      <c r="B3380" s="2" t="s">
        <v>17</v>
      </c>
      <c r="C3380" s="2" t="s">
        <v>57</v>
      </c>
      <c r="D3380" s="2" t="s">
        <v>23</v>
      </c>
      <c r="E3380" s="2" t="s">
        <v>208</v>
      </c>
      <c r="F3380" s="2">
        <v>3.0</v>
      </c>
      <c r="G3380" s="2">
        <v>9.0</v>
      </c>
      <c r="H3380" s="2">
        <v>3.0</v>
      </c>
      <c r="I3380" s="2">
        <v>6.0</v>
      </c>
      <c r="J3380" s="2">
        <v>0.0</v>
      </c>
      <c r="K3380" s="2">
        <v>0.0</v>
      </c>
      <c r="L3380" s="2">
        <v>0.0</v>
      </c>
      <c r="M3380" s="2">
        <v>0.0</v>
      </c>
      <c r="N3380" s="2">
        <v>0.0</v>
      </c>
      <c r="O3380" s="2">
        <v>-3.0</v>
      </c>
      <c r="P3380" s="2" t="s">
        <v>111</v>
      </c>
    </row>
    <row r="3381">
      <c r="A3381" s="3" t="s">
        <v>100</v>
      </c>
      <c r="B3381" s="4">
        <v>45111.29166666667</v>
      </c>
      <c r="C3381" s="2" t="s">
        <v>18</v>
      </c>
      <c r="D3381" s="2" t="s">
        <v>19</v>
      </c>
      <c r="E3381" s="2" t="s">
        <v>197</v>
      </c>
      <c r="F3381" s="2"/>
      <c r="G3381" s="2">
        <v>0.0</v>
      </c>
      <c r="H3381" s="2">
        <v>0.0</v>
      </c>
      <c r="I3381" s="2">
        <v>0.0</v>
      </c>
      <c r="J3381" s="2">
        <v>0.0</v>
      </c>
      <c r="K3381" s="2">
        <v>0.0</v>
      </c>
      <c r="L3381" s="2">
        <v>0.0</v>
      </c>
      <c r="M3381" s="2"/>
      <c r="N3381" s="2"/>
      <c r="O3381" s="2"/>
      <c r="P3381" s="2" t="s">
        <v>111</v>
      </c>
    </row>
    <row r="3382">
      <c r="A3382" s="3" t="s">
        <v>101</v>
      </c>
      <c r="B3382" s="4">
        <v>45112.29166666667</v>
      </c>
      <c r="C3382" s="2" t="s">
        <v>18</v>
      </c>
      <c r="D3382" s="2" t="s">
        <v>19</v>
      </c>
      <c r="E3382" s="2" t="s">
        <v>169</v>
      </c>
      <c r="F3382" s="2"/>
      <c r="G3382" s="2">
        <v>1.0</v>
      </c>
      <c r="H3382" s="2">
        <v>0.0</v>
      </c>
      <c r="I3382" s="2">
        <v>1.0</v>
      </c>
      <c r="J3382" s="2">
        <v>0.0</v>
      </c>
      <c r="K3382" s="2">
        <v>0.0</v>
      </c>
      <c r="L3382" s="2">
        <v>0.0</v>
      </c>
      <c r="M3382" s="2"/>
      <c r="N3382" s="2"/>
      <c r="O3382" s="2"/>
      <c r="P3382" s="2" t="s">
        <v>111</v>
      </c>
    </row>
    <row r="3383">
      <c r="A3383" s="3" t="s">
        <v>102</v>
      </c>
      <c r="B3383" s="4">
        <v>45113.29166666667</v>
      </c>
      <c r="C3383" s="2" t="s">
        <v>18</v>
      </c>
      <c r="D3383" s="2" t="s">
        <v>19</v>
      </c>
      <c r="E3383" s="2" t="s">
        <v>179</v>
      </c>
      <c r="F3383" s="2"/>
      <c r="G3383" s="2">
        <v>0.0</v>
      </c>
      <c r="H3383" s="2">
        <v>0.0</v>
      </c>
      <c r="I3383" s="2">
        <v>0.0</v>
      </c>
      <c r="J3383" s="2">
        <v>0.0</v>
      </c>
      <c r="K3383" s="2">
        <v>0.0</v>
      </c>
      <c r="L3383" s="2">
        <v>0.0</v>
      </c>
      <c r="M3383" s="2"/>
      <c r="N3383" s="2"/>
      <c r="O3383" s="2"/>
      <c r="P3383" s="2" t="s">
        <v>111</v>
      </c>
    </row>
    <row r="3384">
      <c r="A3384" s="3" t="s">
        <v>103</v>
      </c>
      <c r="B3384" s="4">
        <v>45114.29166666667</v>
      </c>
      <c r="C3384" s="2" t="s">
        <v>18</v>
      </c>
      <c r="D3384" s="2" t="s">
        <v>19</v>
      </c>
      <c r="E3384" s="2" t="s">
        <v>202</v>
      </c>
      <c r="F3384" s="2"/>
      <c r="G3384" s="2">
        <v>4.0</v>
      </c>
      <c r="H3384" s="2">
        <v>2.0</v>
      </c>
      <c r="I3384" s="2">
        <v>2.0</v>
      </c>
      <c r="J3384" s="2">
        <v>0.0</v>
      </c>
      <c r="K3384" s="2">
        <v>0.0</v>
      </c>
      <c r="L3384" s="2">
        <v>0.0</v>
      </c>
      <c r="M3384" s="2"/>
      <c r="N3384" s="2"/>
      <c r="O3384" s="2"/>
      <c r="P3384" s="2" t="s">
        <v>111</v>
      </c>
    </row>
    <row r="3385">
      <c r="A3385" s="3" t="s">
        <v>104</v>
      </c>
      <c r="B3385" s="4">
        <v>45115.29166666667</v>
      </c>
      <c r="C3385" s="2" t="s">
        <v>18</v>
      </c>
      <c r="D3385" s="2" t="s">
        <v>19</v>
      </c>
      <c r="E3385" s="2" t="s">
        <v>405</v>
      </c>
      <c r="F3385" s="2"/>
      <c r="G3385" s="2">
        <v>1.0</v>
      </c>
      <c r="H3385" s="2">
        <v>1.0</v>
      </c>
      <c r="I3385" s="2">
        <v>0.0</v>
      </c>
      <c r="J3385" s="2">
        <v>0.0</v>
      </c>
      <c r="K3385" s="2">
        <v>0.0</v>
      </c>
      <c r="L3385" s="2">
        <v>0.0</v>
      </c>
      <c r="M3385" s="2"/>
      <c r="N3385" s="2"/>
      <c r="O3385" s="2"/>
      <c r="P3385" s="2" t="s">
        <v>111</v>
      </c>
    </row>
    <row r="3386">
      <c r="A3386" s="3" t="s">
        <v>105</v>
      </c>
      <c r="B3386" s="4">
        <v>45116.29166666667</v>
      </c>
      <c r="C3386" s="2" t="s">
        <v>18</v>
      </c>
      <c r="D3386" s="2" t="s">
        <v>19</v>
      </c>
      <c r="E3386" s="2" t="s">
        <v>208</v>
      </c>
      <c r="F3386" s="2"/>
      <c r="G3386" s="2">
        <v>1.0</v>
      </c>
      <c r="H3386" s="2">
        <v>1.0</v>
      </c>
      <c r="I3386" s="2">
        <v>0.0</v>
      </c>
      <c r="J3386" s="2">
        <v>0.0</v>
      </c>
      <c r="K3386" s="2">
        <v>0.0</v>
      </c>
      <c r="L3386" s="2">
        <v>0.0</v>
      </c>
      <c r="M3386" s="2"/>
      <c r="N3386" s="2"/>
      <c r="O3386" s="2"/>
      <c r="P3386" s="2" t="s">
        <v>111</v>
      </c>
    </row>
    <row r="3387">
      <c r="A3387" s="3" t="s">
        <v>16</v>
      </c>
      <c r="B3387" s="4">
        <v>45117.29166666667</v>
      </c>
      <c r="C3387" s="2" t="s">
        <v>18</v>
      </c>
      <c r="D3387" s="2" t="s">
        <v>19</v>
      </c>
      <c r="E3387" s="2" t="s">
        <v>190</v>
      </c>
      <c r="F3387" s="2"/>
      <c r="G3387" s="2">
        <v>0.0</v>
      </c>
      <c r="H3387" s="2">
        <v>0.0</v>
      </c>
      <c r="I3387" s="2">
        <v>0.0</v>
      </c>
      <c r="J3387" s="2">
        <v>0.0</v>
      </c>
      <c r="K3387" s="2">
        <v>0.0</v>
      </c>
      <c r="L3387" s="2">
        <v>0.0</v>
      </c>
      <c r="M3387" s="2"/>
      <c r="N3387" s="2"/>
      <c r="O3387" s="2"/>
      <c r="P3387" s="2" t="s">
        <v>111</v>
      </c>
    </row>
    <row r="3388">
      <c r="A3388" s="3" t="s">
        <v>22</v>
      </c>
      <c r="B3388" s="4">
        <v>45118.29166666667</v>
      </c>
      <c r="C3388" s="2" t="s">
        <v>18</v>
      </c>
      <c r="D3388" s="2" t="s">
        <v>19</v>
      </c>
      <c r="E3388" s="2" t="s">
        <v>192</v>
      </c>
      <c r="F3388" s="2"/>
      <c r="G3388" s="2">
        <v>0.0</v>
      </c>
      <c r="H3388" s="2">
        <v>0.0</v>
      </c>
      <c r="I3388" s="2">
        <v>0.0</v>
      </c>
      <c r="J3388" s="2">
        <v>0.0</v>
      </c>
      <c r="K3388" s="2">
        <v>0.0</v>
      </c>
      <c r="L3388" s="2">
        <v>0.0</v>
      </c>
      <c r="M3388" s="2"/>
      <c r="N3388" s="2"/>
      <c r="O3388" s="2"/>
      <c r="P3388" s="2" t="s">
        <v>111</v>
      </c>
    </row>
    <row r="3389">
      <c r="A3389" s="3" t="s">
        <v>24</v>
      </c>
      <c r="B3389" s="4">
        <v>45119.29166666667</v>
      </c>
      <c r="C3389" s="2" t="s">
        <v>18</v>
      </c>
      <c r="D3389" s="2" t="s">
        <v>19</v>
      </c>
      <c r="E3389" s="2" t="s">
        <v>406</v>
      </c>
      <c r="F3389" s="2"/>
      <c r="G3389" s="2">
        <v>0.0</v>
      </c>
      <c r="H3389" s="2">
        <v>0.0</v>
      </c>
      <c r="I3389" s="2">
        <v>0.0</v>
      </c>
      <c r="J3389" s="2">
        <v>0.0</v>
      </c>
      <c r="K3389" s="2">
        <v>0.0</v>
      </c>
      <c r="L3389" s="2">
        <v>0.0</v>
      </c>
      <c r="M3389" s="2"/>
      <c r="N3389" s="2"/>
      <c r="O3389" s="2"/>
      <c r="P3389" s="2" t="s">
        <v>111</v>
      </c>
    </row>
    <row r="3390">
      <c r="A3390" s="3" t="s">
        <v>25</v>
      </c>
      <c r="B3390" s="4">
        <v>45140.29166666667</v>
      </c>
      <c r="C3390" s="2" t="s">
        <v>18</v>
      </c>
      <c r="D3390" s="2" t="s">
        <v>19</v>
      </c>
      <c r="E3390" s="2" t="s">
        <v>197</v>
      </c>
      <c r="F3390" s="2"/>
      <c r="G3390" s="2">
        <v>4.0</v>
      </c>
      <c r="H3390" s="2">
        <v>0.0</v>
      </c>
      <c r="I3390" s="2">
        <v>4.0</v>
      </c>
      <c r="J3390" s="2">
        <v>0.0</v>
      </c>
      <c r="K3390" s="2">
        <v>0.0</v>
      </c>
      <c r="L3390" s="2">
        <v>0.0</v>
      </c>
      <c r="M3390" s="2"/>
      <c r="N3390" s="2"/>
      <c r="O3390" s="2"/>
      <c r="P3390" s="2" t="s">
        <v>111</v>
      </c>
    </row>
    <row r="3391">
      <c r="A3391" s="3" t="s">
        <v>26</v>
      </c>
      <c r="B3391" s="4">
        <v>45140.29166666667</v>
      </c>
      <c r="C3391" s="2" t="s">
        <v>18</v>
      </c>
      <c r="D3391" s="2" t="s">
        <v>19</v>
      </c>
      <c r="E3391" s="2" t="s">
        <v>169</v>
      </c>
      <c r="F3391" s="2"/>
      <c r="G3391" s="2">
        <v>1.0</v>
      </c>
      <c r="H3391" s="2">
        <v>1.0</v>
      </c>
      <c r="I3391" s="2">
        <v>0.0</v>
      </c>
      <c r="J3391" s="2">
        <v>0.0</v>
      </c>
      <c r="K3391" s="2">
        <v>0.0</v>
      </c>
      <c r="L3391" s="2">
        <v>0.0</v>
      </c>
      <c r="M3391" s="2"/>
      <c r="N3391" s="2"/>
      <c r="O3391" s="2"/>
      <c r="P3391" s="2" t="s">
        <v>111</v>
      </c>
    </row>
    <row r="3392">
      <c r="A3392" s="3" t="s">
        <v>28</v>
      </c>
      <c r="B3392" s="4">
        <v>45140.29166666667</v>
      </c>
      <c r="C3392" s="2" t="s">
        <v>18</v>
      </c>
      <c r="D3392" s="2" t="s">
        <v>19</v>
      </c>
      <c r="E3392" s="2" t="s">
        <v>179</v>
      </c>
      <c r="F3392" s="2"/>
      <c r="G3392" s="2">
        <v>2.0</v>
      </c>
      <c r="H3392" s="2">
        <v>0.0</v>
      </c>
      <c r="I3392" s="2">
        <v>2.0</v>
      </c>
      <c r="J3392" s="2">
        <v>0.0</v>
      </c>
      <c r="K3392" s="2">
        <v>0.0</v>
      </c>
      <c r="L3392" s="2">
        <v>0.0</v>
      </c>
      <c r="M3392" s="2"/>
      <c r="N3392" s="2"/>
      <c r="O3392" s="2"/>
      <c r="P3392" s="2" t="s">
        <v>111</v>
      </c>
    </row>
    <row r="3393">
      <c r="A3393" s="3" t="s">
        <v>29</v>
      </c>
      <c r="B3393" s="4">
        <v>45140.29166666667</v>
      </c>
      <c r="C3393" s="2" t="s">
        <v>18</v>
      </c>
      <c r="D3393" s="2" t="s">
        <v>19</v>
      </c>
      <c r="E3393" s="2" t="s">
        <v>202</v>
      </c>
      <c r="F3393" s="2"/>
      <c r="G3393" s="2">
        <v>5.0</v>
      </c>
      <c r="H3393" s="2">
        <v>3.0</v>
      </c>
      <c r="I3393" s="2">
        <v>2.0</v>
      </c>
      <c r="J3393" s="2">
        <v>0.0</v>
      </c>
      <c r="K3393" s="2">
        <v>0.0</v>
      </c>
      <c r="L3393" s="2">
        <v>0.0</v>
      </c>
      <c r="M3393" s="2"/>
      <c r="N3393" s="2"/>
      <c r="O3393" s="2"/>
      <c r="P3393" s="2" t="s">
        <v>111</v>
      </c>
    </row>
    <row r="3394">
      <c r="A3394" s="3" t="s">
        <v>32</v>
      </c>
      <c r="B3394" s="4">
        <v>45140.29166666667</v>
      </c>
      <c r="C3394" s="2" t="s">
        <v>18</v>
      </c>
      <c r="D3394" s="2" t="s">
        <v>19</v>
      </c>
      <c r="E3394" s="2" t="s">
        <v>405</v>
      </c>
      <c r="F3394" s="2"/>
      <c r="G3394" s="2">
        <v>2.0</v>
      </c>
      <c r="H3394" s="2">
        <v>1.0</v>
      </c>
      <c r="I3394" s="2">
        <v>1.0</v>
      </c>
      <c r="J3394" s="2">
        <v>0.0</v>
      </c>
      <c r="K3394" s="2">
        <v>0.0</v>
      </c>
      <c r="L3394" s="2">
        <v>0.0</v>
      </c>
      <c r="M3394" s="2"/>
      <c r="N3394" s="2"/>
      <c r="O3394" s="2"/>
      <c r="P3394" s="2" t="s">
        <v>111</v>
      </c>
    </row>
    <row r="3395">
      <c r="A3395" s="3" t="s">
        <v>34</v>
      </c>
      <c r="B3395" s="4">
        <v>45140.29166666667</v>
      </c>
      <c r="C3395" s="2" t="s">
        <v>18</v>
      </c>
      <c r="D3395" s="2" t="s">
        <v>19</v>
      </c>
      <c r="E3395" s="2" t="s">
        <v>208</v>
      </c>
      <c r="F3395" s="2"/>
      <c r="G3395" s="2">
        <v>2.0</v>
      </c>
      <c r="H3395" s="2">
        <v>1.0</v>
      </c>
      <c r="I3395" s="2">
        <v>1.0</v>
      </c>
      <c r="J3395" s="2">
        <v>0.0</v>
      </c>
      <c r="K3395" s="2">
        <v>0.0</v>
      </c>
      <c r="L3395" s="2">
        <v>0.0</v>
      </c>
      <c r="M3395" s="2"/>
      <c r="N3395" s="2"/>
      <c r="O3395" s="2"/>
      <c r="P3395" s="2" t="s">
        <v>111</v>
      </c>
    </row>
    <row r="3396">
      <c r="A3396" s="3" t="s">
        <v>35</v>
      </c>
      <c r="B3396" s="4">
        <v>45140.29166666667</v>
      </c>
      <c r="C3396" s="2" t="s">
        <v>18</v>
      </c>
      <c r="D3396" s="2" t="s">
        <v>19</v>
      </c>
      <c r="E3396" s="2" t="s">
        <v>190</v>
      </c>
      <c r="F3396" s="2"/>
      <c r="G3396" s="2">
        <v>3.0</v>
      </c>
      <c r="H3396" s="2">
        <v>0.0</v>
      </c>
      <c r="I3396" s="2">
        <v>3.0</v>
      </c>
      <c r="J3396" s="2">
        <v>0.0</v>
      </c>
      <c r="K3396" s="2">
        <v>0.0</v>
      </c>
      <c r="L3396" s="2">
        <v>0.0</v>
      </c>
      <c r="M3396" s="2"/>
      <c r="N3396" s="2"/>
      <c r="O3396" s="2"/>
      <c r="P3396" s="2" t="s">
        <v>111</v>
      </c>
    </row>
    <row r="3397">
      <c r="A3397" s="3" t="s">
        <v>36</v>
      </c>
      <c r="B3397" s="4">
        <v>45140.29166666667</v>
      </c>
      <c r="C3397" s="2" t="s">
        <v>18</v>
      </c>
      <c r="D3397" s="2" t="s">
        <v>19</v>
      </c>
      <c r="E3397" s="2" t="s">
        <v>192</v>
      </c>
      <c r="F3397" s="2"/>
      <c r="G3397" s="2">
        <v>2.0</v>
      </c>
      <c r="H3397" s="2">
        <v>1.0</v>
      </c>
      <c r="I3397" s="2">
        <v>1.0</v>
      </c>
      <c r="J3397" s="2">
        <v>0.0</v>
      </c>
      <c r="K3397" s="2">
        <v>0.0</v>
      </c>
      <c r="L3397" s="2">
        <v>0.0</v>
      </c>
      <c r="M3397" s="2"/>
      <c r="N3397" s="2"/>
      <c r="O3397" s="2"/>
      <c r="P3397" s="2" t="s">
        <v>111</v>
      </c>
    </row>
    <row r="3398">
      <c r="A3398" s="3" t="s">
        <v>37</v>
      </c>
      <c r="B3398" s="4">
        <v>45140.29166666667</v>
      </c>
      <c r="C3398" s="2" t="s">
        <v>18</v>
      </c>
      <c r="D3398" s="2" t="s">
        <v>19</v>
      </c>
      <c r="E3398" s="2" t="s">
        <v>406</v>
      </c>
      <c r="F3398" s="2"/>
      <c r="G3398" s="2">
        <v>0.0</v>
      </c>
      <c r="H3398" s="2">
        <v>0.0</v>
      </c>
      <c r="I3398" s="2">
        <v>0.0</v>
      </c>
      <c r="J3398" s="2">
        <v>0.0</v>
      </c>
      <c r="K3398" s="2">
        <v>0.0</v>
      </c>
      <c r="L3398" s="2">
        <v>0.0</v>
      </c>
      <c r="M3398" s="2"/>
      <c r="N3398" s="2"/>
      <c r="O3398" s="2"/>
      <c r="P3398" s="2" t="s">
        <v>111</v>
      </c>
    </row>
    <row r="3399">
      <c r="A3399" s="3" t="s">
        <v>38</v>
      </c>
      <c r="B3399" s="4">
        <v>45140.29166666667</v>
      </c>
      <c r="C3399" s="2" t="s">
        <v>18</v>
      </c>
      <c r="D3399" s="2" t="s">
        <v>109</v>
      </c>
      <c r="E3399" s="2" t="s">
        <v>197</v>
      </c>
      <c r="F3399" s="2"/>
      <c r="G3399" s="2">
        <v>24.0</v>
      </c>
      <c r="H3399" s="2">
        <v>8.0</v>
      </c>
      <c r="I3399" s="2">
        <v>16.0</v>
      </c>
      <c r="J3399" s="2">
        <v>0.0</v>
      </c>
      <c r="K3399" s="2">
        <v>0.0</v>
      </c>
      <c r="L3399" s="2">
        <v>0.0</v>
      </c>
      <c r="M3399" s="2"/>
      <c r="N3399" s="2"/>
      <c r="O3399" s="2"/>
      <c r="P3399" s="2" t="s">
        <v>111</v>
      </c>
    </row>
    <row r="3400">
      <c r="A3400" s="3" t="s">
        <v>39</v>
      </c>
      <c r="B3400" s="4">
        <v>45140.29166666667</v>
      </c>
      <c r="C3400" s="2" t="s">
        <v>18</v>
      </c>
      <c r="D3400" s="2" t="s">
        <v>109</v>
      </c>
      <c r="E3400" s="2" t="s">
        <v>169</v>
      </c>
      <c r="F3400" s="2"/>
      <c r="G3400" s="2">
        <v>17.0</v>
      </c>
      <c r="H3400" s="2">
        <v>3.0</v>
      </c>
      <c r="I3400" s="2">
        <v>14.0</v>
      </c>
      <c r="J3400" s="2">
        <v>0.0</v>
      </c>
      <c r="K3400" s="2">
        <v>0.0</v>
      </c>
      <c r="L3400" s="2">
        <v>0.0</v>
      </c>
      <c r="M3400" s="2"/>
      <c r="N3400" s="2"/>
      <c r="O3400" s="2"/>
      <c r="P3400" s="2" t="s">
        <v>111</v>
      </c>
    </row>
    <row r="3401">
      <c r="A3401" s="3" t="s">
        <v>40</v>
      </c>
      <c r="B3401" s="4">
        <v>45140.29166666667</v>
      </c>
      <c r="C3401" s="2" t="s">
        <v>18</v>
      </c>
      <c r="D3401" s="2" t="s">
        <v>109</v>
      </c>
      <c r="E3401" s="2" t="s">
        <v>179</v>
      </c>
      <c r="F3401" s="2"/>
      <c r="G3401" s="2">
        <v>17.0</v>
      </c>
      <c r="H3401" s="2">
        <v>1.0</v>
      </c>
      <c r="I3401" s="2">
        <v>16.0</v>
      </c>
      <c r="J3401" s="2">
        <v>0.0</v>
      </c>
      <c r="K3401" s="2">
        <v>0.0</v>
      </c>
      <c r="L3401" s="2">
        <v>0.0</v>
      </c>
      <c r="M3401" s="2"/>
      <c r="N3401" s="2"/>
      <c r="O3401" s="2"/>
      <c r="P3401" s="2" t="s">
        <v>111</v>
      </c>
    </row>
    <row r="3402">
      <c r="A3402" s="3" t="s">
        <v>41</v>
      </c>
      <c r="B3402" s="4">
        <v>45140.29166666667</v>
      </c>
      <c r="C3402" s="2" t="s">
        <v>18</v>
      </c>
      <c r="D3402" s="2" t="s">
        <v>109</v>
      </c>
      <c r="E3402" s="2" t="s">
        <v>202</v>
      </c>
      <c r="F3402" s="2"/>
      <c r="G3402" s="2">
        <v>11.0</v>
      </c>
      <c r="H3402" s="2">
        <v>2.0</v>
      </c>
      <c r="I3402" s="2">
        <v>9.0</v>
      </c>
      <c r="J3402" s="2">
        <v>0.0</v>
      </c>
      <c r="K3402" s="2">
        <v>0.0</v>
      </c>
      <c r="L3402" s="2">
        <v>0.0</v>
      </c>
      <c r="M3402" s="2"/>
      <c r="N3402" s="2"/>
      <c r="O3402" s="2"/>
      <c r="P3402" s="2" t="s">
        <v>111</v>
      </c>
    </row>
    <row r="3403">
      <c r="A3403" s="3" t="s">
        <v>42</v>
      </c>
      <c r="B3403" s="4">
        <v>45140.29166666667</v>
      </c>
      <c r="C3403" s="2" t="s">
        <v>18</v>
      </c>
      <c r="D3403" s="2" t="s">
        <v>109</v>
      </c>
      <c r="E3403" s="2" t="s">
        <v>405</v>
      </c>
      <c r="F3403" s="2"/>
      <c r="G3403" s="2">
        <v>2.0</v>
      </c>
      <c r="H3403" s="2">
        <v>0.0</v>
      </c>
      <c r="I3403" s="2">
        <v>2.0</v>
      </c>
      <c r="J3403" s="2">
        <v>0.0</v>
      </c>
      <c r="K3403" s="2">
        <v>0.0</v>
      </c>
      <c r="L3403" s="2">
        <v>0.0</v>
      </c>
      <c r="M3403" s="2"/>
      <c r="N3403" s="2"/>
      <c r="O3403" s="2"/>
      <c r="P3403" s="2" t="s">
        <v>111</v>
      </c>
    </row>
    <row r="3404">
      <c r="A3404" s="3" t="s">
        <v>43</v>
      </c>
      <c r="B3404" s="4">
        <v>45140.29166666667</v>
      </c>
      <c r="C3404" s="2" t="s">
        <v>18</v>
      </c>
      <c r="D3404" s="2" t="s">
        <v>109</v>
      </c>
      <c r="E3404" s="2" t="s">
        <v>208</v>
      </c>
      <c r="F3404" s="2"/>
      <c r="G3404" s="2">
        <v>6.0</v>
      </c>
      <c r="H3404" s="2">
        <v>1.0</v>
      </c>
      <c r="I3404" s="2">
        <v>5.0</v>
      </c>
      <c r="J3404" s="2">
        <v>0.0</v>
      </c>
      <c r="K3404" s="2">
        <v>0.0</v>
      </c>
      <c r="L3404" s="2">
        <v>0.0</v>
      </c>
      <c r="M3404" s="2"/>
      <c r="N3404" s="2"/>
      <c r="O3404" s="2"/>
      <c r="P3404" s="2" t="s">
        <v>111</v>
      </c>
    </row>
    <row r="3405">
      <c r="A3405" s="3" t="s">
        <v>44</v>
      </c>
      <c r="B3405" s="4">
        <v>45140.29166666667</v>
      </c>
      <c r="C3405" s="2" t="s">
        <v>18</v>
      </c>
      <c r="D3405" s="2" t="s">
        <v>109</v>
      </c>
      <c r="E3405" s="2" t="s">
        <v>190</v>
      </c>
      <c r="F3405" s="2"/>
      <c r="G3405" s="2">
        <v>3.0</v>
      </c>
      <c r="H3405" s="2">
        <v>1.0</v>
      </c>
      <c r="I3405" s="2">
        <v>2.0</v>
      </c>
      <c r="J3405" s="2">
        <v>0.0</v>
      </c>
      <c r="K3405" s="2">
        <v>0.0</v>
      </c>
      <c r="L3405" s="2">
        <v>0.0</v>
      </c>
      <c r="M3405" s="2"/>
      <c r="N3405" s="2"/>
      <c r="O3405" s="2"/>
      <c r="P3405" s="2" t="s">
        <v>111</v>
      </c>
    </row>
    <row r="3406">
      <c r="A3406" s="3" t="s">
        <v>45</v>
      </c>
      <c r="B3406" s="4">
        <v>45140.29166666667</v>
      </c>
      <c r="C3406" s="2" t="s">
        <v>18</v>
      </c>
      <c r="D3406" s="2" t="s">
        <v>109</v>
      </c>
      <c r="E3406" s="2" t="s">
        <v>192</v>
      </c>
      <c r="F3406" s="2"/>
      <c r="G3406" s="2">
        <v>6.0</v>
      </c>
      <c r="H3406" s="2">
        <v>0.0</v>
      </c>
      <c r="I3406" s="2">
        <v>6.0</v>
      </c>
      <c r="J3406" s="2">
        <v>0.0</v>
      </c>
      <c r="K3406" s="2">
        <v>0.0</v>
      </c>
      <c r="L3406" s="2">
        <v>0.0</v>
      </c>
      <c r="M3406" s="2"/>
      <c r="N3406" s="2"/>
      <c r="O3406" s="2"/>
      <c r="P3406" s="2" t="s">
        <v>111</v>
      </c>
    </row>
    <row r="3407">
      <c r="A3407" s="3" t="s">
        <v>16</v>
      </c>
      <c r="B3407" s="4">
        <v>45140.29166666667</v>
      </c>
      <c r="C3407" s="2" t="s">
        <v>18</v>
      </c>
      <c r="D3407" s="2" t="s">
        <v>109</v>
      </c>
      <c r="E3407" s="2" t="s">
        <v>406</v>
      </c>
      <c r="F3407" s="2"/>
      <c r="G3407" s="2">
        <v>1.0</v>
      </c>
      <c r="H3407" s="2">
        <v>0.0</v>
      </c>
      <c r="I3407" s="2">
        <v>1.0</v>
      </c>
      <c r="J3407" s="2">
        <v>0.0</v>
      </c>
      <c r="K3407" s="2">
        <v>0.0</v>
      </c>
      <c r="L3407" s="2">
        <v>0.0</v>
      </c>
      <c r="M3407" s="2"/>
      <c r="N3407" s="2"/>
      <c r="O3407" s="2"/>
      <c r="P3407" s="2" t="s">
        <v>111</v>
      </c>
    </row>
    <row r="3408">
      <c r="A3408" s="3" t="s">
        <v>47</v>
      </c>
      <c r="B3408" s="2" t="s">
        <v>17</v>
      </c>
      <c r="C3408" s="2" t="s">
        <v>18</v>
      </c>
      <c r="D3408" s="2" t="s">
        <v>79</v>
      </c>
      <c r="E3408" s="2" t="s">
        <v>165</v>
      </c>
      <c r="F3408" s="2">
        <v>55.0</v>
      </c>
      <c r="G3408" s="2">
        <v>90.0</v>
      </c>
      <c r="H3408" s="2">
        <v>53.0</v>
      </c>
      <c r="I3408" s="2">
        <v>37.0</v>
      </c>
      <c r="J3408" s="2">
        <v>0.0</v>
      </c>
      <c r="K3408" s="2">
        <v>0.0</v>
      </c>
      <c r="L3408" s="2">
        <v>0.0</v>
      </c>
      <c r="M3408" s="2">
        <v>2.0</v>
      </c>
      <c r="N3408" s="2"/>
      <c r="O3408" s="2"/>
      <c r="P3408" s="2" t="s">
        <v>166</v>
      </c>
    </row>
    <row r="3409">
      <c r="A3409" s="3" t="s">
        <v>48</v>
      </c>
      <c r="B3409" s="2" t="s">
        <v>17</v>
      </c>
      <c r="C3409" s="2" t="s">
        <v>18</v>
      </c>
      <c r="D3409" s="2" t="s">
        <v>23</v>
      </c>
      <c r="E3409" s="2" t="s">
        <v>165</v>
      </c>
      <c r="F3409" s="2">
        <v>55.0</v>
      </c>
      <c r="G3409" s="2">
        <v>90.0</v>
      </c>
      <c r="H3409" s="2">
        <v>53.0</v>
      </c>
      <c r="I3409" s="2">
        <v>37.0</v>
      </c>
      <c r="J3409" s="2">
        <v>0.0</v>
      </c>
      <c r="K3409" s="2">
        <v>0.0</v>
      </c>
      <c r="L3409" s="2">
        <v>0.0</v>
      </c>
      <c r="M3409" s="2">
        <v>2.0</v>
      </c>
      <c r="N3409" s="2">
        <v>-52.0</v>
      </c>
      <c r="O3409" s="2">
        <v>-51.0</v>
      </c>
      <c r="P3409" s="2" t="s">
        <v>166</v>
      </c>
    </row>
    <row r="3410">
      <c r="A3410" s="3" t="s">
        <v>49</v>
      </c>
      <c r="B3410" s="4">
        <v>45112.29166666667</v>
      </c>
      <c r="C3410" s="2" t="s">
        <v>18</v>
      </c>
      <c r="D3410" s="2" t="s">
        <v>79</v>
      </c>
      <c r="E3410" s="2" t="s">
        <v>165</v>
      </c>
      <c r="F3410" s="2">
        <v>20.0</v>
      </c>
      <c r="G3410" s="2">
        <v>40.0</v>
      </c>
      <c r="H3410" s="2">
        <v>23.0</v>
      </c>
      <c r="I3410" s="2">
        <v>17.0</v>
      </c>
      <c r="J3410" s="2">
        <v>0.0</v>
      </c>
      <c r="K3410" s="2">
        <v>0.0</v>
      </c>
      <c r="L3410" s="2">
        <v>0.0</v>
      </c>
      <c r="M3410" s="2"/>
      <c r="N3410" s="2"/>
      <c r="O3410" s="2"/>
      <c r="P3410" s="2" t="s">
        <v>166</v>
      </c>
    </row>
    <row r="3411">
      <c r="A3411" s="3" t="s">
        <v>51</v>
      </c>
      <c r="B3411" s="4">
        <v>45139.29166666667</v>
      </c>
      <c r="C3411" s="2" t="s">
        <v>18</v>
      </c>
      <c r="D3411" s="2" t="s">
        <v>79</v>
      </c>
      <c r="E3411" s="2" t="s">
        <v>165</v>
      </c>
      <c r="F3411" s="2">
        <v>15.0</v>
      </c>
      <c r="G3411" s="2">
        <v>20.0</v>
      </c>
      <c r="H3411" s="2">
        <v>14.0</v>
      </c>
      <c r="I3411" s="2">
        <v>6.0</v>
      </c>
      <c r="J3411" s="2">
        <v>0.0</v>
      </c>
      <c r="K3411" s="2">
        <v>0.0</v>
      </c>
      <c r="L3411" s="2">
        <v>0.0</v>
      </c>
      <c r="M3411" s="2"/>
      <c r="N3411" s="2"/>
      <c r="O3411" s="2"/>
      <c r="P3411" s="2" t="s">
        <v>166</v>
      </c>
    </row>
    <row r="3412">
      <c r="A3412" s="3" t="s">
        <v>52</v>
      </c>
      <c r="B3412" s="4">
        <v>45170.29166666667</v>
      </c>
      <c r="C3412" s="2" t="s">
        <v>18</v>
      </c>
      <c r="D3412" s="2" t="s">
        <v>79</v>
      </c>
      <c r="E3412" s="2" t="s">
        <v>165</v>
      </c>
      <c r="F3412" s="2">
        <v>17.0</v>
      </c>
      <c r="G3412" s="2">
        <v>30.0</v>
      </c>
      <c r="H3412" s="2">
        <v>16.0</v>
      </c>
      <c r="I3412" s="2">
        <v>14.0</v>
      </c>
      <c r="J3412" s="2">
        <v>0.0</v>
      </c>
      <c r="K3412" s="2">
        <v>0.0</v>
      </c>
      <c r="L3412" s="2">
        <v>0.0</v>
      </c>
      <c r="M3412" s="2"/>
      <c r="N3412" s="2"/>
      <c r="O3412" s="2"/>
      <c r="P3412" s="2" t="s">
        <v>166</v>
      </c>
    </row>
    <row r="3413">
      <c r="A3413" s="3" t="s">
        <v>53</v>
      </c>
      <c r="B3413" s="2" t="s">
        <v>17</v>
      </c>
      <c r="C3413" s="2" t="s">
        <v>18</v>
      </c>
      <c r="D3413" s="2" t="s">
        <v>19</v>
      </c>
      <c r="E3413" s="2" t="s">
        <v>27</v>
      </c>
      <c r="F3413" s="2">
        <v>150.0</v>
      </c>
      <c r="G3413" s="2">
        <v>135.0</v>
      </c>
      <c r="H3413" s="2">
        <v>115.0</v>
      </c>
      <c r="I3413" s="2">
        <v>20.0</v>
      </c>
      <c r="J3413" s="2">
        <v>0.0</v>
      </c>
      <c r="K3413" s="2">
        <v>0.0</v>
      </c>
      <c r="L3413" s="2">
        <v>0.0</v>
      </c>
      <c r="M3413" s="2">
        <v>35.0</v>
      </c>
      <c r="N3413" s="2"/>
      <c r="O3413" s="2"/>
      <c r="P3413" s="2" t="s">
        <v>184</v>
      </c>
    </row>
    <row r="3414">
      <c r="A3414" s="3" t="s">
        <v>54</v>
      </c>
      <c r="B3414" s="2" t="s">
        <v>17</v>
      </c>
      <c r="C3414" s="2" t="s">
        <v>18</v>
      </c>
      <c r="D3414" s="2" t="s">
        <v>30</v>
      </c>
      <c r="E3414" s="2" t="s">
        <v>27</v>
      </c>
      <c r="F3414" s="2">
        <v>150.0</v>
      </c>
      <c r="G3414" s="2">
        <v>167.0</v>
      </c>
      <c r="H3414" s="2">
        <v>133.0</v>
      </c>
      <c r="I3414" s="2">
        <v>34.0</v>
      </c>
      <c r="J3414" s="2">
        <v>0.0</v>
      </c>
      <c r="K3414" s="2">
        <v>0.0</v>
      </c>
      <c r="L3414" s="2">
        <v>39.0</v>
      </c>
      <c r="M3414" s="2">
        <v>17.0</v>
      </c>
      <c r="N3414" s="2"/>
      <c r="O3414" s="2"/>
      <c r="P3414" s="2" t="s">
        <v>184</v>
      </c>
    </row>
    <row r="3415">
      <c r="A3415" s="3" t="s">
        <v>55</v>
      </c>
      <c r="B3415" s="2" t="s">
        <v>17</v>
      </c>
      <c r="C3415" s="2" t="s">
        <v>18</v>
      </c>
      <c r="D3415" s="2" t="s">
        <v>23</v>
      </c>
      <c r="E3415" s="2" t="s">
        <v>27</v>
      </c>
      <c r="F3415" s="2">
        <v>300.0</v>
      </c>
      <c r="G3415" s="2">
        <v>302.0</v>
      </c>
      <c r="H3415" s="2">
        <v>248.0</v>
      </c>
      <c r="I3415" s="2">
        <v>54.0</v>
      </c>
      <c r="J3415" s="2">
        <v>0.0</v>
      </c>
      <c r="K3415" s="2">
        <v>0.0</v>
      </c>
      <c r="L3415" s="2">
        <v>39.0</v>
      </c>
      <c r="M3415" s="2">
        <v>52.0</v>
      </c>
      <c r="N3415" s="2">
        <v>0.0</v>
      </c>
      <c r="O3415" s="2">
        <v>-196.0</v>
      </c>
      <c r="P3415" s="2" t="s">
        <v>184</v>
      </c>
    </row>
    <row r="3416">
      <c r="A3416" s="3" t="s">
        <v>56</v>
      </c>
      <c r="B3416" s="4">
        <v>45140.29166666667</v>
      </c>
      <c r="C3416" s="2" t="s">
        <v>18</v>
      </c>
      <c r="D3416" s="2" t="s">
        <v>19</v>
      </c>
      <c r="E3416" s="2" t="s">
        <v>27</v>
      </c>
      <c r="F3416" s="2"/>
      <c r="G3416" s="2">
        <v>100.0</v>
      </c>
      <c r="H3416" s="2">
        <v>87.0</v>
      </c>
      <c r="I3416" s="2">
        <v>13.0</v>
      </c>
      <c r="J3416" s="2">
        <v>0.0</v>
      </c>
      <c r="K3416" s="2">
        <v>0.0</v>
      </c>
      <c r="L3416" s="2">
        <v>0.0</v>
      </c>
      <c r="M3416" s="2"/>
      <c r="N3416" s="2"/>
      <c r="O3416" s="2"/>
      <c r="P3416" s="2" t="s">
        <v>184</v>
      </c>
    </row>
    <row r="3417">
      <c r="A3417" s="3" t="s">
        <v>59</v>
      </c>
      <c r="B3417" s="4">
        <v>45141.29166666667</v>
      </c>
      <c r="C3417" s="2" t="s">
        <v>18</v>
      </c>
      <c r="D3417" s="2" t="s">
        <v>30</v>
      </c>
      <c r="E3417" s="2" t="s">
        <v>27</v>
      </c>
      <c r="F3417" s="2"/>
      <c r="G3417" s="2">
        <v>20.0</v>
      </c>
      <c r="H3417" s="2">
        <v>17.0</v>
      </c>
      <c r="I3417" s="2">
        <v>3.0</v>
      </c>
      <c r="J3417" s="2">
        <v>0.0</v>
      </c>
      <c r="K3417" s="2">
        <v>0.0</v>
      </c>
      <c r="L3417" s="2">
        <v>0.0</v>
      </c>
      <c r="M3417" s="2"/>
      <c r="N3417" s="2"/>
      <c r="O3417" s="2"/>
      <c r="P3417" s="2" t="s">
        <v>184</v>
      </c>
    </row>
    <row r="3418">
      <c r="A3418" s="3" t="s">
        <v>60</v>
      </c>
      <c r="B3418" s="4">
        <v>45170.29166666667</v>
      </c>
      <c r="C3418" s="2" t="s">
        <v>18</v>
      </c>
      <c r="D3418" s="2" t="s">
        <v>19</v>
      </c>
      <c r="E3418" s="2" t="s">
        <v>27</v>
      </c>
      <c r="F3418" s="2"/>
      <c r="G3418" s="2">
        <v>35.0</v>
      </c>
      <c r="H3418" s="2">
        <v>28.0</v>
      </c>
      <c r="I3418" s="2">
        <v>7.0</v>
      </c>
      <c r="J3418" s="2">
        <v>0.0</v>
      </c>
      <c r="K3418" s="2">
        <v>0.0</v>
      </c>
      <c r="L3418" s="2">
        <v>0.0</v>
      </c>
      <c r="M3418" s="2"/>
      <c r="N3418" s="2"/>
      <c r="O3418" s="2"/>
      <c r="P3418" s="2" t="s">
        <v>184</v>
      </c>
    </row>
    <row r="3419">
      <c r="A3419" s="3" t="s">
        <v>61</v>
      </c>
      <c r="B3419" s="4">
        <v>45171.29166666667</v>
      </c>
      <c r="C3419" s="2" t="s">
        <v>18</v>
      </c>
      <c r="D3419" s="2" t="s">
        <v>30</v>
      </c>
      <c r="E3419" s="2" t="s">
        <v>27</v>
      </c>
      <c r="F3419" s="2"/>
      <c r="G3419" s="2">
        <v>147.0</v>
      </c>
      <c r="H3419" s="2">
        <v>116.0</v>
      </c>
      <c r="I3419" s="2">
        <v>31.0</v>
      </c>
      <c r="J3419" s="2">
        <v>0.0</v>
      </c>
      <c r="K3419" s="2">
        <v>0.0</v>
      </c>
      <c r="L3419" s="2">
        <v>39.0</v>
      </c>
      <c r="M3419" s="2"/>
      <c r="N3419" s="2"/>
      <c r="O3419" s="2"/>
      <c r="P3419" s="2" t="s">
        <v>184</v>
      </c>
    </row>
    <row r="3420">
      <c r="A3420" s="3" t="s">
        <v>62</v>
      </c>
      <c r="B3420" s="2" t="s">
        <v>17</v>
      </c>
      <c r="C3420" s="2" t="s">
        <v>18</v>
      </c>
      <c r="D3420" s="2" t="s">
        <v>164</v>
      </c>
      <c r="E3420" s="2" t="s">
        <v>165</v>
      </c>
      <c r="F3420" s="2">
        <v>30.0</v>
      </c>
      <c r="G3420" s="2">
        <v>105.0</v>
      </c>
      <c r="H3420" s="2">
        <v>30.0</v>
      </c>
      <c r="I3420" s="2">
        <v>75.0</v>
      </c>
      <c r="J3420" s="2">
        <v>0.0</v>
      </c>
      <c r="K3420" s="2">
        <v>0.0</v>
      </c>
      <c r="L3420" s="2">
        <v>0.0</v>
      </c>
      <c r="M3420" s="2">
        <v>0.0</v>
      </c>
      <c r="N3420" s="2"/>
      <c r="O3420" s="2"/>
      <c r="P3420" s="2" t="s">
        <v>166</v>
      </c>
    </row>
    <row r="3421">
      <c r="A3421" s="3" t="s">
        <v>63</v>
      </c>
      <c r="B3421" s="2" t="s">
        <v>17</v>
      </c>
      <c r="C3421" s="2" t="s">
        <v>18</v>
      </c>
      <c r="D3421" s="2" t="s">
        <v>23</v>
      </c>
      <c r="E3421" s="2" t="s">
        <v>165</v>
      </c>
      <c r="F3421" s="2">
        <v>30.0</v>
      </c>
      <c r="G3421" s="2">
        <v>105.0</v>
      </c>
      <c r="H3421" s="2">
        <v>30.0</v>
      </c>
      <c r="I3421" s="2">
        <v>75.0</v>
      </c>
      <c r="J3421" s="2">
        <v>0.0</v>
      </c>
      <c r="K3421" s="2">
        <v>0.0</v>
      </c>
      <c r="L3421" s="2">
        <v>0.0</v>
      </c>
      <c r="M3421" s="2">
        <v>0.0</v>
      </c>
      <c r="N3421" s="2">
        <v>0.0</v>
      </c>
      <c r="O3421" s="2">
        <v>-30.0</v>
      </c>
      <c r="P3421" s="2" t="s">
        <v>166</v>
      </c>
    </row>
    <row r="3422">
      <c r="A3422" s="3" t="s">
        <v>64</v>
      </c>
      <c r="B3422" s="4">
        <v>45141.29166666667</v>
      </c>
      <c r="C3422" s="2" t="s">
        <v>18</v>
      </c>
      <c r="D3422" s="2" t="s">
        <v>164</v>
      </c>
      <c r="E3422" s="2" t="s">
        <v>165</v>
      </c>
      <c r="F3422" s="2"/>
      <c r="G3422" s="2">
        <v>105.0</v>
      </c>
      <c r="H3422" s="2">
        <v>30.0</v>
      </c>
      <c r="I3422" s="2">
        <v>75.0</v>
      </c>
      <c r="J3422" s="2">
        <v>0.0</v>
      </c>
      <c r="K3422" s="2">
        <v>0.0</v>
      </c>
      <c r="L3422" s="2">
        <v>0.0</v>
      </c>
      <c r="M3422" s="2"/>
      <c r="N3422" s="2"/>
      <c r="O3422" s="2"/>
      <c r="P3422" s="2" t="s">
        <v>166</v>
      </c>
    </row>
    <row r="3423">
      <c r="A3423" s="3" t="s">
        <v>65</v>
      </c>
      <c r="B3423" s="2" t="s">
        <v>17</v>
      </c>
      <c r="C3423" s="2" t="s">
        <v>18</v>
      </c>
      <c r="D3423" s="2" t="s">
        <v>79</v>
      </c>
      <c r="E3423" s="2" t="s">
        <v>165</v>
      </c>
      <c r="F3423" s="2">
        <v>210.0</v>
      </c>
      <c r="G3423" s="2">
        <v>150.0</v>
      </c>
      <c r="H3423" s="2">
        <v>57.0</v>
      </c>
      <c r="I3423" s="2">
        <v>93.0</v>
      </c>
      <c r="J3423" s="2">
        <v>0.0</v>
      </c>
      <c r="K3423" s="2">
        <v>0.0</v>
      </c>
      <c r="L3423" s="2">
        <v>0.0</v>
      </c>
      <c r="M3423" s="2">
        <v>153.0</v>
      </c>
      <c r="N3423" s="2"/>
      <c r="O3423" s="2"/>
      <c r="P3423" s="2" t="s">
        <v>166</v>
      </c>
    </row>
    <row r="3424">
      <c r="A3424" s="3" t="s">
        <v>66</v>
      </c>
      <c r="B3424" s="2" t="s">
        <v>17</v>
      </c>
      <c r="C3424" s="2" t="s">
        <v>18</v>
      </c>
      <c r="D3424" s="2" t="s">
        <v>23</v>
      </c>
      <c r="E3424" s="2" t="s">
        <v>165</v>
      </c>
      <c r="F3424" s="2">
        <v>210.0</v>
      </c>
      <c r="G3424" s="2">
        <v>150.0</v>
      </c>
      <c r="H3424" s="2">
        <v>57.0</v>
      </c>
      <c r="I3424" s="2">
        <v>93.0</v>
      </c>
      <c r="J3424" s="2">
        <v>0.0</v>
      </c>
      <c r="K3424" s="2">
        <v>0.0</v>
      </c>
      <c r="L3424" s="2">
        <v>0.0</v>
      </c>
      <c r="M3424" s="2">
        <v>153.0</v>
      </c>
      <c r="N3424" s="2">
        <v>-210.0</v>
      </c>
      <c r="O3424" s="2">
        <v>96.0</v>
      </c>
      <c r="P3424" s="2" t="s">
        <v>166</v>
      </c>
    </row>
    <row r="3425">
      <c r="A3425" s="3" t="s">
        <v>68</v>
      </c>
      <c r="B3425" s="4">
        <v>45141.29166666667</v>
      </c>
      <c r="C3425" s="2" t="s">
        <v>18</v>
      </c>
      <c r="D3425" s="2" t="s">
        <v>79</v>
      </c>
      <c r="E3425" s="2" t="s">
        <v>165</v>
      </c>
      <c r="F3425" s="2">
        <v>53.0</v>
      </c>
      <c r="G3425" s="2">
        <v>150.0</v>
      </c>
      <c r="H3425" s="2">
        <v>57.0</v>
      </c>
      <c r="I3425" s="2">
        <v>93.0</v>
      </c>
      <c r="J3425" s="2">
        <v>0.0</v>
      </c>
      <c r="K3425" s="2">
        <v>0.0</v>
      </c>
      <c r="L3425" s="2">
        <v>0.0</v>
      </c>
      <c r="M3425" s="2"/>
      <c r="N3425" s="2"/>
      <c r="O3425" s="2"/>
      <c r="P3425" s="2" t="s">
        <v>166</v>
      </c>
    </row>
    <row r="3426">
      <c r="A3426" s="3" t="s">
        <v>70</v>
      </c>
      <c r="B3426" s="4">
        <v>45170.29166666667</v>
      </c>
      <c r="C3426" s="2" t="s">
        <v>18</v>
      </c>
      <c r="D3426" s="2" t="s">
        <v>79</v>
      </c>
      <c r="E3426" s="2" t="s">
        <v>165</v>
      </c>
      <c r="F3426" s="2">
        <v>157.0</v>
      </c>
      <c r="G3426" s="2">
        <v>0.0</v>
      </c>
      <c r="H3426" s="2">
        <v>0.0</v>
      </c>
      <c r="I3426" s="2">
        <v>0.0</v>
      </c>
      <c r="J3426" s="2">
        <v>0.0</v>
      </c>
      <c r="K3426" s="2">
        <v>0.0</v>
      </c>
      <c r="L3426" s="2">
        <v>0.0</v>
      </c>
      <c r="M3426" s="2"/>
      <c r="N3426" s="2"/>
      <c r="O3426" s="2"/>
      <c r="P3426" s="2" t="s">
        <v>166</v>
      </c>
    </row>
    <row r="3427">
      <c r="A3427" s="3" t="s">
        <v>16</v>
      </c>
      <c r="B3427" s="2" t="s">
        <v>17</v>
      </c>
      <c r="C3427" s="2" t="s">
        <v>18</v>
      </c>
      <c r="D3427" s="2" t="s">
        <v>313</v>
      </c>
      <c r="E3427" s="2" t="s">
        <v>165</v>
      </c>
      <c r="F3427" s="2">
        <v>119.0</v>
      </c>
      <c r="G3427" s="2">
        <v>303.0</v>
      </c>
      <c r="H3427" s="2">
        <v>137.0</v>
      </c>
      <c r="I3427" s="2">
        <v>166.0</v>
      </c>
      <c r="J3427" s="2">
        <v>0.0</v>
      </c>
      <c r="K3427" s="2">
        <v>0.0</v>
      </c>
      <c r="L3427" s="2">
        <v>0.0</v>
      </c>
      <c r="M3427" s="2">
        <v>-18.0</v>
      </c>
      <c r="N3427" s="2"/>
      <c r="O3427" s="2"/>
      <c r="P3427" s="2" t="s">
        <v>166</v>
      </c>
    </row>
    <row r="3428">
      <c r="A3428" s="3" t="s">
        <v>71</v>
      </c>
      <c r="B3428" s="2" t="s">
        <v>17</v>
      </c>
      <c r="C3428" s="2" t="s">
        <v>18</v>
      </c>
      <c r="D3428" s="2" t="s">
        <v>23</v>
      </c>
      <c r="E3428" s="2" t="s">
        <v>165</v>
      </c>
      <c r="F3428" s="2">
        <v>119.0</v>
      </c>
      <c r="G3428" s="2">
        <v>303.0</v>
      </c>
      <c r="H3428" s="2">
        <v>137.0</v>
      </c>
      <c r="I3428" s="2">
        <v>166.0</v>
      </c>
      <c r="J3428" s="2">
        <v>0.0</v>
      </c>
      <c r="K3428" s="2">
        <v>0.0</v>
      </c>
      <c r="L3428" s="2">
        <v>0.0</v>
      </c>
      <c r="M3428" s="2">
        <v>-18.0</v>
      </c>
      <c r="N3428" s="2">
        <v>0.0</v>
      </c>
      <c r="O3428" s="2">
        <v>-155.0</v>
      </c>
      <c r="P3428" s="2" t="s">
        <v>166</v>
      </c>
    </row>
    <row r="3429">
      <c r="A3429" s="3" t="s">
        <v>72</v>
      </c>
      <c r="B3429" s="4">
        <v>45112.29166666667</v>
      </c>
      <c r="C3429" s="2" t="s">
        <v>18</v>
      </c>
      <c r="D3429" s="2" t="s">
        <v>313</v>
      </c>
      <c r="E3429" s="2" t="s">
        <v>165</v>
      </c>
      <c r="F3429" s="2"/>
      <c r="G3429" s="2">
        <v>200.0</v>
      </c>
      <c r="H3429" s="2">
        <v>79.0</v>
      </c>
      <c r="I3429" s="2">
        <v>121.0</v>
      </c>
      <c r="J3429" s="2">
        <v>0.0</v>
      </c>
      <c r="K3429" s="2">
        <v>0.0</v>
      </c>
      <c r="L3429" s="2">
        <v>0.0</v>
      </c>
      <c r="M3429" s="2"/>
      <c r="N3429" s="2"/>
      <c r="O3429" s="2"/>
      <c r="P3429" s="2" t="s">
        <v>166</v>
      </c>
    </row>
    <row r="3430">
      <c r="A3430" s="3" t="s">
        <v>73</v>
      </c>
      <c r="B3430" s="4">
        <v>45139.29166666667</v>
      </c>
      <c r="C3430" s="2" t="s">
        <v>18</v>
      </c>
      <c r="D3430" s="2" t="s">
        <v>313</v>
      </c>
      <c r="E3430" s="2" t="s">
        <v>165</v>
      </c>
      <c r="F3430" s="2"/>
      <c r="G3430" s="2">
        <v>103.0</v>
      </c>
      <c r="H3430" s="2">
        <v>58.0</v>
      </c>
      <c r="I3430" s="2">
        <v>45.0</v>
      </c>
      <c r="J3430" s="2">
        <v>0.0</v>
      </c>
      <c r="K3430" s="2">
        <v>0.0</v>
      </c>
      <c r="L3430" s="2">
        <v>0.0</v>
      </c>
      <c r="M3430" s="2"/>
      <c r="N3430" s="2"/>
      <c r="O3430" s="2"/>
      <c r="P3430" s="2" t="s">
        <v>166</v>
      </c>
    </row>
    <row r="3431">
      <c r="A3431" s="3" t="s">
        <v>74</v>
      </c>
      <c r="B3431" s="2" t="s">
        <v>17</v>
      </c>
      <c r="C3431" s="2" t="s">
        <v>18</v>
      </c>
      <c r="D3431" s="2" t="s">
        <v>19</v>
      </c>
      <c r="E3431" s="2" t="s">
        <v>394</v>
      </c>
      <c r="F3431" s="2">
        <v>30.0</v>
      </c>
      <c r="G3431" s="2">
        <v>61.0</v>
      </c>
      <c r="H3431" s="2">
        <v>33.0</v>
      </c>
      <c r="I3431" s="2">
        <v>23.0</v>
      </c>
      <c r="J3431" s="2">
        <v>5.0</v>
      </c>
      <c r="K3431" s="2">
        <v>0.0</v>
      </c>
      <c r="L3431" s="2">
        <v>0.0</v>
      </c>
      <c r="M3431" s="2">
        <v>-3.0</v>
      </c>
      <c r="N3431" s="2"/>
      <c r="O3431" s="2"/>
      <c r="P3431" s="2" t="s">
        <v>146</v>
      </c>
    </row>
    <row r="3432">
      <c r="A3432" s="3" t="s">
        <v>75</v>
      </c>
      <c r="B3432" s="2" t="s">
        <v>17</v>
      </c>
      <c r="C3432" s="2" t="s">
        <v>18</v>
      </c>
      <c r="D3432" s="2" t="s">
        <v>23</v>
      </c>
      <c r="E3432" s="2" t="s">
        <v>394</v>
      </c>
      <c r="F3432" s="2">
        <v>30.0</v>
      </c>
      <c r="G3432" s="2">
        <v>61.0</v>
      </c>
      <c r="H3432" s="2">
        <v>33.0</v>
      </c>
      <c r="I3432" s="2">
        <v>23.0</v>
      </c>
      <c r="J3432" s="2">
        <v>5.0</v>
      </c>
      <c r="K3432" s="2">
        <v>0.0</v>
      </c>
      <c r="L3432" s="2">
        <v>0.0</v>
      </c>
      <c r="M3432" s="2">
        <v>-3.0</v>
      </c>
      <c r="N3432" s="2">
        <v>0.0</v>
      </c>
      <c r="O3432" s="2">
        <v>-36.0</v>
      </c>
      <c r="P3432" s="2" t="s">
        <v>146</v>
      </c>
    </row>
    <row r="3433">
      <c r="A3433" s="3" t="s">
        <v>76</v>
      </c>
      <c r="B3433" s="4">
        <v>45140.29166666667</v>
      </c>
      <c r="C3433" s="2" t="s">
        <v>18</v>
      </c>
      <c r="D3433" s="2" t="s">
        <v>19</v>
      </c>
      <c r="E3433" s="2" t="s">
        <v>394</v>
      </c>
      <c r="F3433" s="2"/>
      <c r="G3433" s="2">
        <v>61.0</v>
      </c>
      <c r="H3433" s="2">
        <v>33.0</v>
      </c>
      <c r="I3433" s="2">
        <v>23.0</v>
      </c>
      <c r="J3433" s="2">
        <v>5.0</v>
      </c>
      <c r="K3433" s="2">
        <v>0.0</v>
      </c>
      <c r="L3433" s="2">
        <v>0.0</v>
      </c>
      <c r="M3433" s="2"/>
      <c r="N3433" s="2"/>
      <c r="O3433" s="2"/>
      <c r="P3433" s="2" t="s">
        <v>146</v>
      </c>
    </row>
    <row r="3434">
      <c r="A3434" s="3" t="s">
        <v>77</v>
      </c>
      <c r="B3434" s="2" t="s">
        <v>17</v>
      </c>
      <c r="C3434" s="2" t="s">
        <v>18</v>
      </c>
      <c r="D3434" s="2" t="s">
        <v>109</v>
      </c>
      <c r="E3434" s="2" t="s">
        <v>163</v>
      </c>
      <c r="F3434" s="2">
        <v>30.0</v>
      </c>
      <c r="G3434" s="2">
        <v>47.0</v>
      </c>
      <c r="H3434" s="2">
        <v>28.0</v>
      </c>
      <c r="I3434" s="2">
        <v>19.0</v>
      </c>
      <c r="J3434" s="2">
        <v>0.0</v>
      </c>
      <c r="K3434" s="2">
        <v>0.0</v>
      </c>
      <c r="L3434" s="2">
        <v>47.0</v>
      </c>
      <c r="M3434" s="2">
        <v>2.0</v>
      </c>
      <c r="N3434" s="2"/>
      <c r="O3434" s="2"/>
      <c r="P3434" s="2" t="s">
        <v>92</v>
      </c>
    </row>
    <row r="3435">
      <c r="A3435" s="3" t="s">
        <v>78</v>
      </c>
      <c r="B3435" s="2" t="s">
        <v>17</v>
      </c>
      <c r="C3435" s="2" t="s">
        <v>18</v>
      </c>
      <c r="D3435" s="2" t="s">
        <v>23</v>
      </c>
      <c r="E3435" s="2" t="s">
        <v>163</v>
      </c>
      <c r="F3435" s="2">
        <v>30.0</v>
      </c>
      <c r="G3435" s="2">
        <v>47.0</v>
      </c>
      <c r="H3435" s="2">
        <v>28.0</v>
      </c>
      <c r="I3435" s="2">
        <v>19.0</v>
      </c>
      <c r="J3435" s="2">
        <v>0.0</v>
      </c>
      <c r="K3435" s="2">
        <v>0.0</v>
      </c>
      <c r="L3435" s="2">
        <v>47.0</v>
      </c>
      <c r="M3435" s="2">
        <v>2.0</v>
      </c>
      <c r="N3435" s="2">
        <v>0.0</v>
      </c>
      <c r="O3435" s="2">
        <v>-26.0</v>
      </c>
      <c r="P3435" s="2" t="s">
        <v>92</v>
      </c>
    </row>
    <row r="3436">
      <c r="A3436" s="3" t="s">
        <v>81</v>
      </c>
      <c r="B3436" s="4">
        <v>45140.29166666667</v>
      </c>
      <c r="C3436" s="2" t="s">
        <v>18</v>
      </c>
      <c r="D3436" s="2" t="s">
        <v>109</v>
      </c>
      <c r="E3436" s="2" t="s">
        <v>163</v>
      </c>
      <c r="F3436" s="2"/>
      <c r="G3436" s="2">
        <v>28.0</v>
      </c>
      <c r="H3436" s="2">
        <v>13.0</v>
      </c>
      <c r="I3436" s="2">
        <v>15.0</v>
      </c>
      <c r="J3436" s="2">
        <v>0.0</v>
      </c>
      <c r="K3436" s="2">
        <v>0.0</v>
      </c>
      <c r="L3436" s="2">
        <v>28.0</v>
      </c>
      <c r="M3436" s="2"/>
      <c r="N3436" s="2"/>
      <c r="O3436" s="2"/>
      <c r="P3436" s="2" t="s">
        <v>92</v>
      </c>
    </row>
    <row r="3437">
      <c r="A3437" s="3" t="s">
        <v>82</v>
      </c>
      <c r="B3437" s="4">
        <v>45171.29166666667</v>
      </c>
      <c r="C3437" s="2" t="s">
        <v>18</v>
      </c>
      <c r="D3437" s="2" t="s">
        <v>109</v>
      </c>
      <c r="E3437" s="2" t="s">
        <v>163</v>
      </c>
      <c r="F3437" s="2"/>
      <c r="G3437" s="2">
        <v>19.0</v>
      </c>
      <c r="H3437" s="2">
        <v>15.0</v>
      </c>
      <c r="I3437" s="2">
        <v>4.0</v>
      </c>
      <c r="J3437" s="2">
        <v>0.0</v>
      </c>
      <c r="K3437" s="2">
        <v>0.0</v>
      </c>
      <c r="L3437" s="2">
        <v>19.0</v>
      </c>
      <c r="M3437" s="2"/>
      <c r="N3437" s="2"/>
      <c r="O3437" s="2"/>
      <c r="P3437" s="2" t="s">
        <v>92</v>
      </c>
    </row>
    <row r="3438">
      <c r="A3438" s="3" t="s">
        <v>83</v>
      </c>
      <c r="B3438" s="2" t="s">
        <v>17</v>
      </c>
      <c r="C3438" s="2" t="s">
        <v>18</v>
      </c>
      <c r="D3438" s="2" t="s">
        <v>91</v>
      </c>
      <c r="E3438" s="2" t="s">
        <v>31</v>
      </c>
      <c r="F3438" s="2">
        <v>30.0</v>
      </c>
      <c r="G3438" s="2">
        <v>33.0</v>
      </c>
      <c r="H3438" s="2">
        <v>22.0</v>
      </c>
      <c r="I3438" s="2">
        <v>11.0</v>
      </c>
      <c r="J3438" s="2">
        <v>0.0</v>
      </c>
      <c r="K3438" s="2">
        <v>0.0</v>
      </c>
      <c r="L3438" s="2">
        <v>0.0</v>
      </c>
      <c r="M3438" s="2">
        <v>8.0</v>
      </c>
      <c r="N3438" s="2"/>
      <c r="O3438" s="2"/>
      <c r="P3438" s="2" t="s">
        <v>67</v>
      </c>
    </row>
    <row r="3439">
      <c r="A3439" s="3" t="s">
        <v>84</v>
      </c>
      <c r="B3439" s="2" t="s">
        <v>17</v>
      </c>
      <c r="C3439" s="2" t="s">
        <v>18</v>
      </c>
      <c r="D3439" s="2" t="s">
        <v>23</v>
      </c>
      <c r="E3439" s="2" t="s">
        <v>31</v>
      </c>
      <c r="F3439" s="2">
        <v>30.0</v>
      </c>
      <c r="G3439" s="2">
        <v>33.0</v>
      </c>
      <c r="H3439" s="2">
        <v>22.0</v>
      </c>
      <c r="I3439" s="2">
        <v>11.0</v>
      </c>
      <c r="J3439" s="2">
        <v>0.0</v>
      </c>
      <c r="K3439" s="2">
        <v>0.0</v>
      </c>
      <c r="L3439" s="2">
        <v>0.0</v>
      </c>
      <c r="M3439" s="2">
        <v>8.0</v>
      </c>
      <c r="N3439" s="2">
        <v>0.0</v>
      </c>
      <c r="O3439" s="2">
        <v>-14.0</v>
      </c>
      <c r="P3439" s="2" t="s">
        <v>67</v>
      </c>
    </row>
    <row r="3440">
      <c r="A3440" s="3" t="s">
        <v>85</v>
      </c>
      <c r="B3440" s="4">
        <v>45140.29166666667</v>
      </c>
      <c r="C3440" s="2" t="s">
        <v>18</v>
      </c>
      <c r="D3440" s="2" t="s">
        <v>91</v>
      </c>
      <c r="E3440" s="2" t="s">
        <v>31</v>
      </c>
      <c r="F3440" s="2"/>
      <c r="G3440" s="2">
        <v>8.0</v>
      </c>
      <c r="H3440" s="2">
        <v>5.0</v>
      </c>
      <c r="I3440" s="2">
        <v>3.0</v>
      </c>
      <c r="J3440" s="2">
        <v>0.0</v>
      </c>
      <c r="K3440" s="2">
        <v>0.0</v>
      </c>
      <c r="L3440" s="2">
        <v>0.0</v>
      </c>
      <c r="M3440" s="2"/>
      <c r="N3440" s="2"/>
      <c r="O3440" s="2"/>
      <c r="P3440" s="2" t="s">
        <v>67</v>
      </c>
    </row>
    <row r="3441">
      <c r="A3441" s="3" t="s">
        <v>86</v>
      </c>
      <c r="B3441" s="4">
        <v>45171.29166666667</v>
      </c>
      <c r="C3441" s="2" t="s">
        <v>18</v>
      </c>
      <c r="D3441" s="2" t="s">
        <v>91</v>
      </c>
      <c r="E3441" s="2" t="s">
        <v>31</v>
      </c>
      <c r="F3441" s="2"/>
      <c r="G3441" s="2">
        <v>25.0</v>
      </c>
      <c r="H3441" s="2">
        <v>17.0</v>
      </c>
      <c r="I3441" s="2">
        <v>8.0</v>
      </c>
      <c r="J3441" s="2">
        <v>0.0</v>
      </c>
      <c r="K3441" s="2">
        <v>0.0</v>
      </c>
      <c r="L3441" s="2">
        <v>0.0</v>
      </c>
      <c r="M3441" s="2"/>
      <c r="N3441" s="2"/>
      <c r="O3441" s="2"/>
      <c r="P3441" s="2" t="s">
        <v>67</v>
      </c>
    </row>
    <row r="3442">
      <c r="A3442" s="3" t="s">
        <v>87</v>
      </c>
      <c r="B3442" s="2" t="s">
        <v>17</v>
      </c>
      <c r="C3442" s="2" t="s">
        <v>113</v>
      </c>
      <c r="D3442" s="2" t="s">
        <v>19</v>
      </c>
      <c r="E3442" s="2" t="s">
        <v>162</v>
      </c>
      <c r="F3442" s="2">
        <v>20.0</v>
      </c>
      <c r="G3442" s="2">
        <v>15.0</v>
      </c>
      <c r="H3442" s="2">
        <v>5.0</v>
      </c>
      <c r="I3442" s="2">
        <v>10.0</v>
      </c>
      <c r="J3442" s="2">
        <v>0.0</v>
      </c>
      <c r="K3442" s="2">
        <v>0.0</v>
      </c>
      <c r="L3442" s="2">
        <v>0.0</v>
      </c>
      <c r="M3442" s="2">
        <v>15.0</v>
      </c>
      <c r="N3442" s="2"/>
      <c r="O3442" s="2"/>
      <c r="P3442" s="2" t="s">
        <v>67</v>
      </c>
    </row>
    <row r="3443">
      <c r="A3443" s="3" t="s">
        <v>88</v>
      </c>
      <c r="B3443" s="2" t="s">
        <v>17</v>
      </c>
      <c r="C3443" s="2" t="s">
        <v>18</v>
      </c>
      <c r="D3443" s="2" t="s">
        <v>30</v>
      </c>
      <c r="E3443" s="2" t="s">
        <v>162</v>
      </c>
      <c r="F3443" s="2">
        <v>50.0</v>
      </c>
      <c r="G3443" s="2">
        <v>102.0</v>
      </c>
      <c r="H3443" s="2">
        <v>44.0</v>
      </c>
      <c r="I3443" s="2">
        <v>35.0</v>
      </c>
      <c r="J3443" s="2">
        <v>23.0</v>
      </c>
      <c r="K3443" s="2">
        <v>0.0</v>
      </c>
      <c r="L3443" s="2">
        <v>0.0</v>
      </c>
      <c r="M3443" s="2">
        <v>6.0</v>
      </c>
      <c r="N3443" s="2"/>
      <c r="O3443" s="2"/>
      <c r="P3443" s="2" t="s">
        <v>67</v>
      </c>
    </row>
    <row r="3444">
      <c r="A3444" s="3" t="s">
        <v>89</v>
      </c>
      <c r="B3444" s="2" t="s">
        <v>17</v>
      </c>
      <c r="C3444" s="2" t="s">
        <v>18</v>
      </c>
      <c r="D3444" s="2" t="s">
        <v>23</v>
      </c>
      <c r="E3444" s="2" t="s">
        <v>162</v>
      </c>
      <c r="F3444" s="2">
        <v>55.0</v>
      </c>
      <c r="G3444" s="2">
        <v>117.0</v>
      </c>
      <c r="H3444" s="2">
        <v>49.0</v>
      </c>
      <c r="I3444" s="2">
        <v>45.0</v>
      </c>
      <c r="J3444" s="2">
        <v>23.0</v>
      </c>
      <c r="K3444" s="2">
        <v>0.0</v>
      </c>
      <c r="L3444" s="2">
        <v>0.0</v>
      </c>
      <c r="M3444" s="2">
        <v>6.0</v>
      </c>
      <c r="N3444" s="2">
        <v>-15.0</v>
      </c>
      <c r="O3444" s="2">
        <v>-43.0</v>
      </c>
      <c r="P3444" s="2" t="s">
        <v>67</v>
      </c>
    </row>
    <row r="3445">
      <c r="A3445" s="3" t="s">
        <v>90</v>
      </c>
      <c r="B3445" s="4">
        <v>45048.29166666667</v>
      </c>
      <c r="C3445" s="2" t="s">
        <v>18</v>
      </c>
      <c r="D3445" s="2" t="s">
        <v>19</v>
      </c>
      <c r="E3445" s="2" t="s">
        <v>162</v>
      </c>
      <c r="F3445" s="2"/>
      <c r="G3445" s="2">
        <v>13.0</v>
      </c>
      <c r="H3445" s="2">
        <v>5.0</v>
      </c>
      <c r="I3445" s="2">
        <v>8.0</v>
      </c>
      <c r="J3445" s="2">
        <v>0.0</v>
      </c>
      <c r="K3445" s="2">
        <v>0.0</v>
      </c>
      <c r="L3445" s="2">
        <v>0.0</v>
      </c>
      <c r="M3445" s="2"/>
      <c r="N3445" s="2"/>
      <c r="O3445" s="2"/>
      <c r="P3445" s="2" t="s">
        <v>67</v>
      </c>
    </row>
    <row r="3446">
      <c r="A3446" s="3" t="s">
        <v>93</v>
      </c>
      <c r="B3446" s="4">
        <v>45078.29166666667</v>
      </c>
      <c r="C3446" s="2" t="s">
        <v>18</v>
      </c>
      <c r="D3446" s="2" t="s">
        <v>30</v>
      </c>
      <c r="E3446" s="2" t="s">
        <v>162</v>
      </c>
      <c r="F3446" s="2"/>
      <c r="G3446" s="2">
        <v>66.0</v>
      </c>
      <c r="H3446" s="2">
        <v>25.0</v>
      </c>
      <c r="I3446" s="2">
        <v>22.0</v>
      </c>
      <c r="J3446" s="2">
        <v>19.0</v>
      </c>
      <c r="K3446" s="2">
        <v>0.0</v>
      </c>
      <c r="L3446" s="2">
        <v>0.0</v>
      </c>
      <c r="M3446" s="2"/>
      <c r="N3446" s="2"/>
      <c r="O3446" s="2"/>
      <c r="P3446" s="2" t="s">
        <v>67</v>
      </c>
    </row>
    <row r="3447">
      <c r="A3447" s="3" t="s">
        <v>16</v>
      </c>
      <c r="B3447" s="4">
        <v>45079.29166666667</v>
      </c>
      <c r="C3447" s="2" t="s">
        <v>18</v>
      </c>
      <c r="D3447" s="2" t="s">
        <v>19</v>
      </c>
      <c r="E3447" s="2" t="s">
        <v>162</v>
      </c>
      <c r="F3447" s="2"/>
      <c r="G3447" s="2">
        <v>2.0</v>
      </c>
      <c r="H3447" s="2">
        <v>0.0</v>
      </c>
      <c r="I3447" s="2">
        <v>2.0</v>
      </c>
      <c r="J3447" s="2">
        <v>0.0</v>
      </c>
      <c r="K3447" s="2">
        <v>0.0</v>
      </c>
      <c r="L3447" s="2">
        <v>0.0</v>
      </c>
      <c r="M3447" s="2"/>
      <c r="N3447" s="2"/>
      <c r="O3447" s="2"/>
      <c r="P3447" s="2" t="s">
        <v>67</v>
      </c>
    </row>
    <row r="3448">
      <c r="A3448" s="3" t="s">
        <v>94</v>
      </c>
      <c r="B3448" s="4">
        <v>45108.29166666667</v>
      </c>
      <c r="C3448" s="2" t="s">
        <v>18</v>
      </c>
      <c r="D3448" s="2" t="s">
        <v>30</v>
      </c>
      <c r="E3448" s="2" t="s">
        <v>162</v>
      </c>
      <c r="F3448" s="2"/>
      <c r="G3448" s="2">
        <v>29.0</v>
      </c>
      <c r="H3448" s="2">
        <v>13.0</v>
      </c>
      <c r="I3448" s="2">
        <v>12.0</v>
      </c>
      <c r="J3448" s="2">
        <v>4.0</v>
      </c>
      <c r="K3448" s="2">
        <v>0.0</v>
      </c>
      <c r="L3448" s="2">
        <v>0.0</v>
      </c>
      <c r="M3448" s="2"/>
      <c r="N3448" s="2"/>
      <c r="O3448" s="2"/>
      <c r="P3448" s="2" t="s">
        <v>67</v>
      </c>
    </row>
    <row r="3449">
      <c r="A3449" s="3" t="s">
        <v>95</v>
      </c>
      <c r="B3449" s="4">
        <v>45139.29166666667</v>
      </c>
      <c r="C3449" s="2" t="s">
        <v>18</v>
      </c>
      <c r="D3449" s="2" t="s">
        <v>19</v>
      </c>
      <c r="E3449" s="2" t="s">
        <v>162</v>
      </c>
      <c r="F3449" s="2"/>
      <c r="G3449" s="2">
        <v>0.0</v>
      </c>
      <c r="H3449" s="2">
        <v>0.0</v>
      </c>
      <c r="I3449" s="2">
        <v>0.0</v>
      </c>
      <c r="J3449" s="2">
        <v>0.0</v>
      </c>
      <c r="K3449" s="2">
        <v>0.0</v>
      </c>
      <c r="L3449" s="2">
        <v>0.0</v>
      </c>
      <c r="M3449" s="2"/>
      <c r="N3449" s="2"/>
      <c r="O3449" s="2"/>
      <c r="P3449" s="2" t="s">
        <v>67</v>
      </c>
    </row>
    <row r="3450">
      <c r="A3450" s="3" t="s">
        <v>97</v>
      </c>
      <c r="B3450" s="4">
        <v>45139.29166666667</v>
      </c>
      <c r="C3450" s="2" t="s">
        <v>18</v>
      </c>
      <c r="D3450" s="2" t="s">
        <v>30</v>
      </c>
      <c r="E3450" s="2" t="s">
        <v>162</v>
      </c>
      <c r="F3450" s="2"/>
      <c r="G3450" s="2">
        <v>6.0</v>
      </c>
      <c r="H3450" s="2">
        <v>5.0</v>
      </c>
      <c r="I3450" s="2">
        <v>1.0</v>
      </c>
      <c r="J3450" s="2">
        <v>0.0</v>
      </c>
      <c r="K3450" s="2">
        <v>0.0</v>
      </c>
      <c r="L3450" s="2">
        <v>0.0</v>
      </c>
      <c r="M3450" s="2"/>
      <c r="N3450" s="2"/>
      <c r="O3450" s="2"/>
      <c r="P3450" s="2" t="s">
        <v>67</v>
      </c>
    </row>
    <row r="3451">
      <c r="A3451" s="3" t="s">
        <v>98</v>
      </c>
      <c r="B3451" s="4">
        <v>45170.29166666667</v>
      </c>
      <c r="C3451" s="2" t="s">
        <v>18</v>
      </c>
      <c r="D3451" s="2" t="s">
        <v>19</v>
      </c>
      <c r="E3451" s="2" t="s">
        <v>162</v>
      </c>
      <c r="F3451" s="2"/>
      <c r="G3451" s="2">
        <v>0.0</v>
      </c>
      <c r="H3451" s="2">
        <v>0.0</v>
      </c>
      <c r="I3451" s="2">
        <v>0.0</v>
      </c>
      <c r="J3451" s="2">
        <v>0.0</v>
      </c>
      <c r="K3451" s="2">
        <v>0.0</v>
      </c>
      <c r="L3451" s="2">
        <v>0.0</v>
      </c>
      <c r="M3451" s="2"/>
      <c r="N3451" s="2"/>
      <c r="O3451" s="2"/>
      <c r="P3451" s="2" t="s">
        <v>67</v>
      </c>
    </row>
    <row r="3452">
      <c r="A3452" s="3" t="s">
        <v>99</v>
      </c>
      <c r="B3452" s="4">
        <v>45170.29166666667</v>
      </c>
      <c r="C3452" s="2" t="s">
        <v>18</v>
      </c>
      <c r="D3452" s="2" t="s">
        <v>30</v>
      </c>
      <c r="E3452" s="2" t="s">
        <v>162</v>
      </c>
      <c r="F3452" s="2"/>
      <c r="G3452" s="2">
        <v>1.0</v>
      </c>
      <c r="H3452" s="2">
        <v>1.0</v>
      </c>
      <c r="I3452" s="2">
        <v>0.0</v>
      </c>
      <c r="J3452" s="2">
        <v>0.0</v>
      </c>
      <c r="K3452" s="2">
        <v>0.0</v>
      </c>
      <c r="L3452" s="2">
        <v>0.0</v>
      </c>
      <c r="M3452" s="2"/>
      <c r="N3452" s="2"/>
      <c r="O3452" s="2"/>
      <c r="P3452" s="2" t="s">
        <v>67</v>
      </c>
    </row>
    <row r="3453">
      <c r="A3453" s="3" t="s">
        <v>100</v>
      </c>
      <c r="B3453" s="2" t="s">
        <v>17</v>
      </c>
      <c r="C3453" s="2" t="s">
        <v>18</v>
      </c>
      <c r="D3453" s="2" t="s">
        <v>19</v>
      </c>
      <c r="E3453" s="2" t="s">
        <v>265</v>
      </c>
      <c r="F3453" s="2">
        <v>17.0</v>
      </c>
      <c r="G3453" s="2">
        <v>0.0</v>
      </c>
      <c r="H3453" s="2">
        <v>0.0</v>
      </c>
      <c r="I3453" s="2">
        <v>0.0</v>
      </c>
      <c r="J3453" s="2">
        <v>0.0</v>
      </c>
      <c r="K3453" s="2">
        <v>0.0</v>
      </c>
      <c r="L3453" s="2">
        <v>0.0</v>
      </c>
      <c r="M3453" s="2">
        <v>17.0</v>
      </c>
      <c r="N3453" s="2"/>
      <c r="O3453" s="2"/>
      <c r="P3453" s="2" t="s">
        <v>67</v>
      </c>
    </row>
    <row r="3454">
      <c r="A3454" s="3" t="s">
        <v>16</v>
      </c>
      <c r="B3454" s="2" t="s">
        <v>17</v>
      </c>
      <c r="C3454" s="2" t="s">
        <v>18</v>
      </c>
      <c r="D3454" s="2" t="s">
        <v>23</v>
      </c>
      <c r="E3454" s="2" t="s">
        <v>265</v>
      </c>
      <c r="F3454" s="2">
        <v>17.0</v>
      </c>
      <c r="G3454" s="2">
        <v>0.0</v>
      </c>
      <c r="H3454" s="2">
        <v>0.0</v>
      </c>
      <c r="I3454" s="2">
        <v>0.0</v>
      </c>
      <c r="J3454" s="2">
        <v>0.0</v>
      </c>
      <c r="K3454" s="2">
        <v>0.0</v>
      </c>
      <c r="L3454" s="2">
        <v>0.0</v>
      </c>
      <c r="M3454" s="2">
        <v>17.0</v>
      </c>
      <c r="N3454" s="2">
        <v>0.0</v>
      </c>
      <c r="O3454" s="2">
        <v>17.0</v>
      </c>
      <c r="P3454" s="2" t="s">
        <v>67</v>
      </c>
    </row>
    <row r="3455">
      <c r="A3455" s="3" t="s">
        <v>22</v>
      </c>
      <c r="B3455" s="4">
        <v>45140.29166666667</v>
      </c>
      <c r="C3455" s="2" t="s">
        <v>18</v>
      </c>
      <c r="D3455" s="2" t="s">
        <v>19</v>
      </c>
      <c r="E3455" s="2" t="s">
        <v>265</v>
      </c>
      <c r="F3455" s="2"/>
      <c r="G3455" s="2">
        <v>0.0</v>
      </c>
      <c r="H3455" s="2">
        <v>0.0</v>
      </c>
      <c r="I3455" s="2">
        <v>0.0</v>
      </c>
      <c r="J3455" s="2">
        <v>0.0</v>
      </c>
      <c r="K3455" s="2">
        <v>0.0</v>
      </c>
      <c r="L3455" s="2">
        <v>0.0</v>
      </c>
      <c r="M3455" s="2"/>
      <c r="N3455" s="2"/>
      <c r="O3455" s="2"/>
      <c r="P3455" s="2" t="s">
        <v>67</v>
      </c>
    </row>
    <row r="3456">
      <c r="A3456" s="3" t="s">
        <v>24</v>
      </c>
      <c r="B3456" s="2" t="s">
        <v>17</v>
      </c>
      <c r="C3456" s="2" t="s">
        <v>18</v>
      </c>
      <c r="D3456" s="2" t="s">
        <v>79</v>
      </c>
      <c r="E3456" s="2" t="s">
        <v>165</v>
      </c>
      <c r="F3456" s="2">
        <v>78.0</v>
      </c>
      <c r="G3456" s="2">
        <v>112.0</v>
      </c>
      <c r="H3456" s="2">
        <v>90.0</v>
      </c>
      <c r="I3456" s="2">
        <v>22.0</v>
      </c>
      <c r="J3456" s="2">
        <v>0.0</v>
      </c>
      <c r="K3456" s="2">
        <v>0.0</v>
      </c>
      <c r="L3456" s="2">
        <v>0.0</v>
      </c>
      <c r="M3456" s="2">
        <v>-12.0</v>
      </c>
      <c r="N3456" s="2"/>
      <c r="O3456" s="2"/>
      <c r="P3456" s="2" t="s">
        <v>166</v>
      </c>
    </row>
    <row r="3457">
      <c r="A3457" s="3" t="s">
        <v>25</v>
      </c>
      <c r="B3457" s="2" t="s">
        <v>17</v>
      </c>
      <c r="C3457" s="2" t="s">
        <v>18</v>
      </c>
      <c r="D3457" s="2" t="s">
        <v>23</v>
      </c>
      <c r="E3457" s="2" t="s">
        <v>165</v>
      </c>
      <c r="F3457" s="2">
        <v>78.0</v>
      </c>
      <c r="G3457" s="2">
        <v>112.0</v>
      </c>
      <c r="H3457" s="2">
        <v>90.0</v>
      </c>
      <c r="I3457" s="2">
        <v>22.0</v>
      </c>
      <c r="J3457" s="2">
        <v>0.0</v>
      </c>
      <c r="K3457" s="2">
        <v>0.0</v>
      </c>
      <c r="L3457" s="2">
        <v>0.0</v>
      </c>
      <c r="M3457" s="2">
        <v>-12.0</v>
      </c>
      <c r="N3457" s="2">
        <v>0.0</v>
      </c>
      <c r="O3457" s="2">
        <v>-102.0</v>
      </c>
      <c r="P3457" s="2" t="s">
        <v>166</v>
      </c>
    </row>
    <row r="3458">
      <c r="A3458" s="3" t="s">
        <v>26</v>
      </c>
      <c r="B3458" s="4">
        <v>45141.29166666667</v>
      </c>
      <c r="C3458" s="2" t="s">
        <v>18</v>
      </c>
      <c r="D3458" s="2" t="s">
        <v>79</v>
      </c>
      <c r="E3458" s="2" t="s">
        <v>165</v>
      </c>
      <c r="F3458" s="2"/>
      <c r="G3458" s="2">
        <v>112.0</v>
      </c>
      <c r="H3458" s="2">
        <v>90.0</v>
      </c>
      <c r="I3458" s="2">
        <v>22.0</v>
      </c>
      <c r="J3458" s="2">
        <v>0.0</v>
      </c>
      <c r="K3458" s="2">
        <v>0.0</v>
      </c>
      <c r="L3458" s="2">
        <v>0.0</v>
      </c>
      <c r="M3458" s="2"/>
      <c r="N3458" s="2"/>
      <c r="O3458" s="2"/>
      <c r="P3458" s="2" t="s">
        <v>166</v>
      </c>
    </row>
    <row r="3459">
      <c r="A3459" s="3" t="s">
        <v>28</v>
      </c>
      <c r="B3459" s="2" t="s">
        <v>17</v>
      </c>
      <c r="C3459" s="2" t="s">
        <v>18</v>
      </c>
      <c r="D3459" s="2" t="s">
        <v>164</v>
      </c>
      <c r="E3459" s="2" t="s">
        <v>165</v>
      </c>
      <c r="F3459" s="2">
        <v>105.0</v>
      </c>
      <c r="G3459" s="2">
        <v>231.0</v>
      </c>
      <c r="H3459" s="2">
        <v>106.0</v>
      </c>
      <c r="I3459" s="2">
        <v>125.0</v>
      </c>
      <c r="J3459" s="2">
        <v>0.0</v>
      </c>
      <c r="K3459" s="2">
        <v>0.0</v>
      </c>
      <c r="L3459" s="2">
        <v>0.0</v>
      </c>
      <c r="M3459" s="2">
        <v>-1.0</v>
      </c>
      <c r="N3459" s="2"/>
      <c r="O3459" s="2"/>
      <c r="P3459" s="2" t="s">
        <v>166</v>
      </c>
    </row>
    <row r="3460">
      <c r="A3460" s="3" t="s">
        <v>29</v>
      </c>
      <c r="B3460" s="2" t="s">
        <v>17</v>
      </c>
      <c r="C3460" s="2" t="s">
        <v>18</v>
      </c>
      <c r="D3460" s="2" t="s">
        <v>23</v>
      </c>
      <c r="E3460" s="2" t="s">
        <v>165</v>
      </c>
      <c r="F3460" s="2">
        <v>105.0</v>
      </c>
      <c r="G3460" s="2">
        <v>231.0</v>
      </c>
      <c r="H3460" s="2">
        <v>106.0</v>
      </c>
      <c r="I3460" s="2">
        <v>125.0</v>
      </c>
      <c r="J3460" s="2">
        <v>0.0</v>
      </c>
      <c r="K3460" s="2">
        <v>0.0</v>
      </c>
      <c r="L3460" s="2">
        <v>0.0</v>
      </c>
      <c r="M3460" s="2">
        <v>-1.0</v>
      </c>
      <c r="N3460" s="2">
        <v>-106.0</v>
      </c>
      <c r="O3460" s="2">
        <v>-107.0</v>
      </c>
      <c r="P3460" s="2" t="s">
        <v>166</v>
      </c>
    </row>
    <row r="3461">
      <c r="A3461" s="3" t="s">
        <v>32</v>
      </c>
      <c r="B3461" s="4">
        <v>45079.29166666667</v>
      </c>
      <c r="C3461" s="2" t="s">
        <v>18</v>
      </c>
      <c r="D3461" s="2" t="s">
        <v>164</v>
      </c>
      <c r="E3461" s="2" t="s">
        <v>165</v>
      </c>
      <c r="F3461" s="2">
        <v>33.0</v>
      </c>
      <c r="G3461" s="2">
        <v>59.0</v>
      </c>
      <c r="H3461" s="2">
        <v>33.0</v>
      </c>
      <c r="I3461" s="2">
        <v>26.0</v>
      </c>
      <c r="J3461" s="2">
        <v>0.0</v>
      </c>
      <c r="K3461" s="2">
        <v>0.0</v>
      </c>
      <c r="L3461" s="2">
        <v>0.0</v>
      </c>
      <c r="M3461" s="2"/>
      <c r="N3461" s="2"/>
      <c r="O3461" s="2"/>
      <c r="P3461" s="2" t="s">
        <v>166</v>
      </c>
    </row>
    <row r="3462">
      <c r="A3462" s="3" t="s">
        <v>34</v>
      </c>
      <c r="B3462" s="4">
        <v>45108.29166666667</v>
      </c>
      <c r="C3462" s="2" t="s">
        <v>18</v>
      </c>
      <c r="D3462" s="2" t="s">
        <v>164</v>
      </c>
      <c r="E3462" s="2" t="s">
        <v>165</v>
      </c>
      <c r="F3462" s="2">
        <v>33.0</v>
      </c>
      <c r="G3462" s="2">
        <v>77.0</v>
      </c>
      <c r="H3462" s="2">
        <v>33.0</v>
      </c>
      <c r="I3462" s="2">
        <v>44.0</v>
      </c>
      <c r="J3462" s="2">
        <v>0.0</v>
      </c>
      <c r="K3462" s="2">
        <v>0.0</v>
      </c>
      <c r="L3462" s="2">
        <v>0.0</v>
      </c>
      <c r="M3462" s="2"/>
      <c r="N3462" s="2"/>
      <c r="O3462" s="2"/>
      <c r="P3462" s="2" t="s">
        <v>166</v>
      </c>
    </row>
    <row r="3463">
      <c r="A3463" s="3" t="s">
        <v>35</v>
      </c>
      <c r="B3463" s="4">
        <v>45139.29166666667</v>
      </c>
      <c r="C3463" s="2" t="s">
        <v>18</v>
      </c>
      <c r="D3463" s="2" t="s">
        <v>164</v>
      </c>
      <c r="E3463" s="2" t="s">
        <v>165</v>
      </c>
      <c r="F3463" s="2">
        <v>20.0</v>
      </c>
      <c r="G3463" s="2">
        <v>95.0</v>
      </c>
      <c r="H3463" s="2">
        <v>40.0</v>
      </c>
      <c r="I3463" s="2">
        <v>55.0</v>
      </c>
      <c r="J3463" s="2">
        <v>0.0</v>
      </c>
      <c r="K3463" s="2">
        <v>0.0</v>
      </c>
      <c r="L3463" s="2">
        <v>0.0</v>
      </c>
      <c r="M3463" s="2"/>
      <c r="N3463" s="2"/>
      <c r="O3463" s="2"/>
      <c r="P3463" s="2" t="s">
        <v>166</v>
      </c>
    </row>
    <row r="3464">
      <c r="A3464" s="3" t="s">
        <v>36</v>
      </c>
      <c r="B3464" s="4">
        <v>45170.29166666667</v>
      </c>
      <c r="C3464" s="2" t="s">
        <v>18</v>
      </c>
      <c r="D3464" s="2" t="s">
        <v>164</v>
      </c>
      <c r="E3464" s="2" t="s">
        <v>165</v>
      </c>
      <c r="F3464" s="2">
        <v>20.0</v>
      </c>
      <c r="G3464" s="2">
        <v>0.0</v>
      </c>
      <c r="H3464" s="2">
        <v>0.0</v>
      </c>
      <c r="I3464" s="2">
        <v>0.0</v>
      </c>
      <c r="J3464" s="2">
        <v>0.0</v>
      </c>
      <c r="K3464" s="2">
        <v>0.0</v>
      </c>
      <c r="L3464" s="2">
        <v>0.0</v>
      </c>
      <c r="M3464" s="2"/>
      <c r="N3464" s="2"/>
      <c r="O3464" s="2"/>
      <c r="P3464" s="2" t="s">
        <v>166</v>
      </c>
    </row>
    <row r="3465">
      <c r="A3465" s="3" t="s">
        <v>37</v>
      </c>
      <c r="B3465" s="2" t="s">
        <v>17</v>
      </c>
      <c r="C3465" s="2" t="s">
        <v>18</v>
      </c>
      <c r="D3465" s="2" t="s">
        <v>127</v>
      </c>
      <c r="E3465" s="2" t="s">
        <v>27</v>
      </c>
      <c r="F3465" s="2">
        <v>110.0</v>
      </c>
      <c r="G3465" s="2">
        <v>110.0</v>
      </c>
      <c r="H3465" s="2">
        <v>64.0</v>
      </c>
      <c r="I3465" s="2">
        <v>46.0</v>
      </c>
      <c r="J3465" s="2">
        <v>0.0</v>
      </c>
      <c r="K3465" s="2">
        <v>0.0</v>
      </c>
      <c r="L3465" s="2">
        <v>0.0</v>
      </c>
      <c r="M3465" s="2">
        <v>46.0</v>
      </c>
      <c r="N3465" s="2"/>
      <c r="O3465" s="2"/>
      <c r="P3465" s="2" t="s">
        <v>92</v>
      </c>
    </row>
    <row r="3466">
      <c r="A3466" s="3" t="s">
        <v>38</v>
      </c>
      <c r="B3466" s="2" t="s">
        <v>17</v>
      </c>
      <c r="C3466" s="2" t="s">
        <v>18</v>
      </c>
      <c r="D3466" s="2" t="s">
        <v>23</v>
      </c>
      <c r="E3466" s="2" t="s">
        <v>27</v>
      </c>
      <c r="F3466" s="2">
        <v>110.0</v>
      </c>
      <c r="G3466" s="2">
        <v>110.0</v>
      </c>
      <c r="H3466" s="2">
        <v>64.0</v>
      </c>
      <c r="I3466" s="2">
        <v>46.0</v>
      </c>
      <c r="J3466" s="2">
        <v>0.0</v>
      </c>
      <c r="K3466" s="2">
        <v>0.0</v>
      </c>
      <c r="L3466" s="2">
        <v>0.0</v>
      </c>
      <c r="M3466" s="2">
        <v>46.0</v>
      </c>
      <c r="N3466" s="2">
        <v>0.0</v>
      </c>
      <c r="O3466" s="2">
        <v>-18.0</v>
      </c>
      <c r="P3466" s="2" t="s">
        <v>92</v>
      </c>
    </row>
    <row r="3467">
      <c r="A3467" s="3" t="s">
        <v>39</v>
      </c>
      <c r="B3467" s="4">
        <v>45140.29166666667</v>
      </c>
      <c r="C3467" s="2" t="s">
        <v>18</v>
      </c>
      <c r="D3467" s="2" t="s">
        <v>127</v>
      </c>
      <c r="E3467" s="2" t="s">
        <v>27</v>
      </c>
      <c r="F3467" s="2"/>
      <c r="G3467" s="2">
        <v>110.0</v>
      </c>
      <c r="H3467" s="2">
        <v>64.0</v>
      </c>
      <c r="I3467" s="2">
        <v>46.0</v>
      </c>
      <c r="J3467" s="2">
        <v>0.0</v>
      </c>
      <c r="K3467" s="2">
        <v>0.0</v>
      </c>
      <c r="L3467" s="2">
        <v>0.0</v>
      </c>
      <c r="M3467" s="2"/>
      <c r="N3467" s="2"/>
      <c r="O3467" s="2"/>
      <c r="P3467" s="2" t="s">
        <v>92</v>
      </c>
    </row>
    <row r="3468">
      <c r="A3468" s="3" t="s">
        <v>40</v>
      </c>
      <c r="B3468" s="2" t="s">
        <v>17</v>
      </c>
      <c r="C3468" s="2" t="s">
        <v>18</v>
      </c>
      <c r="D3468" s="2" t="s">
        <v>164</v>
      </c>
      <c r="E3468" s="2" t="s">
        <v>165</v>
      </c>
      <c r="F3468" s="2">
        <v>10.0</v>
      </c>
      <c r="G3468" s="2">
        <v>25.0</v>
      </c>
      <c r="H3468" s="2">
        <v>5.0</v>
      </c>
      <c r="I3468" s="2">
        <v>20.0</v>
      </c>
      <c r="J3468" s="2">
        <v>0.0</v>
      </c>
      <c r="K3468" s="2">
        <v>0.0</v>
      </c>
      <c r="L3468" s="2">
        <v>0.0</v>
      </c>
      <c r="M3468" s="2">
        <v>5.0</v>
      </c>
      <c r="N3468" s="2"/>
      <c r="O3468" s="2"/>
      <c r="P3468" s="2" t="s">
        <v>166</v>
      </c>
    </row>
    <row r="3469">
      <c r="A3469" s="3" t="s">
        <v>41</v>
      </c>
      <c r="B3469" s="2" t="s">
        <v>17</v>
      </c>
      <c r="C3469" s="2" t="s">
        <v>18</v>
      </c>
      <c r="D3469" s="2" t="s">
        <v>23</v>
      </c>
      <c r="E3469" s="2" t="s">
        <v>165</v>
      </c>
      <c r="F3469" s="2">
        <v>10.0</v>
      </c>
      <c r="G3469" s="2">
        <v>25.0</v>
      </c>
      <c r="H3469" s="2">
        <v>5.0</v>
      </c>
      <c r="I3469" s="2">
        <v>20.0</v>
      </c>
      <c r="J3469" s="2">
        <v>0.0</v>
      </c>
      <c r="K3469" s="2">
        <v>0.0</v>
      </c>
      <c r="L3469" s="2">
        <v>0.0</v>
      </c>
      <c r="M3469" s="2">
        <v>5.0</v>
      </c>
      <c r="N3469" s="2">
        <v>0.0</v>
      </c>
      <c r="O3469" s="2">
        <v>0.0</v>
      </c>
      <c r="P3469" s="2" t="s">
        <v>166</v>
      </c>
    </row>
    <row r="3470">
      <c r="A3470" s="3" t="s">
        <v>42</v>
      </c>
      <c r="B3470" s="4">
        <v>45141.29166666667</v>
      </c>
      <c r="C3470" s="2" t="s">
        <v>18</v>
      </c>
      <c r="D3470" s="2" t="s">
        <v>164</v>
      </c>
      <c r="E3470" s="2" t="s">
        <v>165</v>
      </c>
      <c r="F3470" s="2"/>
      <c r="G3470" s="2">
        <v>25.0</v>
      </c>
      <c r="H3470" s="2">
        <v>5.0</v>
      </c>
      <c r="I3470" s="2">
        <v>20.0</v>
      </c>
      <c r="J3470" s="2">
        <v>0.0</v>
      </c>
      <c r="K3470" s="2">
        <v>0.0</v>
      </c>
      <c r="L3470" s="2">
        <v>0.0</v>
      </c>
      <c r="M3470" s="2"/>
      <c r="N3470" s="2"/>
      <c r="O3470" s="2"/>
      <c r="P3470" s="2" t="s">
        <v>166</v>
      </c>
    </row>
    <row r="3471">
      <c r="A3471" s="3" t="s">
        <v>43</v>
      </c>
      <c r="B3471" s="2" t="s">
        <v>17</v>
      </c>
      <c r="C3471" s="2" t="s">
        <v>18</v>
      </c>
      <c r="D3471" s="2" t="s">
        <v>79</v>
      </c>
      <c r="E3471" s="2" t="s">
        <v>377</v>
      </c>
      <c r="F3471" s="2">
        <v>20.0</v>
      </c>
      <c r="G3471" s="2">
        <v>59.0</v>
      </c>
      <c r="H3471" s="2">
        <v>13.0</v>
      </c>
      <c r="I3471" s="2">
        <v>46.0</v>
      </c>
      <c r="J3471" s="2">
        <v>0.0</v>
      </c>
      <c r="K3471" s="2">
        <v>0.0</v>
      </c>
      <c r="L3471" s="2">
        <v>0.0</v>
      </c>
      <c r="M3471" s="2">
        <v>7.0</v>
      </c>
      <c r="N3471" s="2"/>
      <c r="O3471" s="2"/>
      <c r="P3471" s="2" t="s">
        <v>166</v>
      </c>
    </row>
    <row r="3472">
      <c r="A3472" s="3" t="s">
        <v>44</v>
      </c>
      <c r="B3472" s="2" t="s">
        <v>17</v>
      </c>
      <c r="C3472" s="2" t="s">
        <v>18</v>
      </c>
      <c r="D3472" s="2" t="s">
        <v>23</v>
      </c>
      <c r="E3472" s="2" t="s">
        <v>377</v>
      </c>
      <c r="F3472" s="2">
        <v>20.0</v>
      </c>
      <c r="G3472" s="2">
        <v>59.0</v>
      </c>
      <c r="H3472" s="2">
        <v>13.0</v>
      </c>
      <c r="I3472" s="2">
        <v>46.0</v>
      </c>
      <c r="J3472" s="2">
        <v>0.0</v>
      </c>
      <c r="K3472" s="2">
        <v>0.0</v>
      </c>
      <c r="L3472" s="2">
        <v>0.0</v>
      </c>
      <c r="M3472" s="2">
        <v>7.0</v>
      </c>
      <c r="N3472" s="2">
        <v>0.0</v>
      </c>
      <c r="O3472" s="2">
        <v>-6.0</v>
      </c>
      <c r="P3472" s="2" t="s">
        <v>166</v>
      </c>
    </row>
    <row r="3473">
      <c r="A3473" s="3" t="s">
        <v>45</v>
      </c>
      <c r="B3473" s="4">
        <v>45141.29166666667</v>
      </c>
      <c r="C3473" s="2" t="s">
        <v>18</v>
      </c>
      <c r="D3473" s="2" t="s">
        <v>79</v>
      </c>
      <c r="E3473" s="2" t="s">
        <v>377</v>
      </c>
      <c r="F3473" s="2"/>
      <c r="G3473" s="2">
        <v>59.0</v>
      </c>
      <c r="H3473" s="2">
        <v>13.0</v>
      </c>
      <c r="I3473" s="2">
        <v>46.0</v>
      </c>
      <c r="J3473" s="2">
        <v>0.0</v>
      </c>
      <c r="K3473" s="2">
        <v>0.0</v>
      </c>
      <c r="L3473" s="2">
        <v>0.0</v>
      </c>
      <c r="M3473" s="2"/>
      <c r="N3473" s="2"/>
      <c r="O3473" s="2"/>
      <c r="P3473" s="2" t="s">
        <v>166</v>
      </c>
    </row>
    <row r="3474">
      <c r="A3474" s="3" t="s">
        <v>16</v>
      </c>
      <c r="B3474" s="2" t="s">
        <v>17</v>
      </c>
      <c r="C3474" s="2" t="s">
        <v>18</v>
      </c>
      <c r="D3474" s="2" t="s">
        <v>19</v>
      </c>
      <c r="E3474" s="2" t="s">
        <v>169</v>
      </c>
      <c r="F3474" s="2">
        <v>28.0</v>
      </c>
      <c r="G3474" s="2">
        <v>35.0</v>
      </c>
      <c r="H3474" s="2">
        <v>28.0</v>
      </c>
      <c r="I3474" s="2">
        <v>7.0</v>
      </c>
      <c r="J3474" s="2">
        <v>0.0</v>
      </c>
      <c r="K3474" s="2">
        <v>0.0</v>
      </c>
      <c r="L3474" s="2">
        <v>0.0</v>
      </c>
      <c r="M3474" s="2">
        <v>0.0</v>
      </c>
      <c r="N3474" s="2"/>
      <c r="O3474" s="2"/>
      <c r="P3474" s="2" t="s">
        <v>92</v>
      </c>
    </row>
    <row r="3475">
      <c r="A3475" s="3" t="s">
        <v>47</v>
      </c>
      <c r="B3475" s="2" t="s">
        <v>17</v>
      </c>
      <c r="C3475" s="2" t="s">
        <v>18</v>
      </c>
      <c r="D3475" s="2" t="s">
        <v>23</v>
      </c>
      <c r="E3475" s="2" t="s">
        <v>169</v>
      </c>
      <c r="F3475" s="2">
        <v>28.0</v>
      </c>
      <c r="G3475" s="2">
        <v>35.0</v>
      </c>
      <c r="H3475" s="2">
        <v>28.0</v>
      </c>
      <c r="I3475" s="2">
        <v>7.0</v>
      </c>
      <c r="J3475" s="2">
        <v>0.0</v>
      </c>
      <c r="K3475" s="2">
        <v>0.0</v>
      </c>
      <c r="L3475" s="2">
        <v>0.0</v>
      </c>
      <c r="M3475" s="2">
        <v>0.0</v>
      </c>
      <c r="N3475" s="2">
        <v>0.0</v>
      </c>
      <c r="O3475" s="2">
        <v>-27.0</v>
      </c>
      <c r="P3475" s="2" t="s">
        <v>92</v>
      </c>
    </row>
    <row r="3476">
      <c r="A3476" s="3" t="s">
        <v>48</v>
      </c>
      <c r="B3476" s="4">
        <v>45111.29166666667</v>
      </c>
      <c r="C3476" s="2" t="s">
        <v>18</v>
      </c>
      <c r="D3476" s="2" t="s">
        <v>19</v>
      </c>
      <c r="E3476" s="2" t="s">
        <v>169</v>
      </c>
      <c r="F3476" s="2"/>
      <c r="G3476" s="2">
        <v>14.0</v>
      </c>
      <c r="H3476" s="2">
        <v>13.0</v>
      </c>
      <c r="I3476" s="2">
        <v>1.0</v>
      </c>
      <c r="J3476" s="2">
        <v>0.0</v>
      </c>
      <c r="K3476" s="2">
        <v>0.0</v>
      </c>
      <c r="L3476" s="2">
        <v>0.0</v>
      </c>
      <c r="M3476" s="2"/>
      <c r="N3476" s="2"/>
      <c r="O3476" s="2"/>
      <c r="P3476" s="2" t="s">
        <v>92</v>
      </c>
    </row>
    <row r="3477">
      <c r="A3477" s="3" t="s">
        <v>49</v>
      </c>
      <c r="B3477" s="4">
        <v>45139.29166666667</v>
      </c>
      <c r="C3477" s="2" t="s">
        <v>18</v>
      </c>
      <c r="D3477" s="2" t="s">
        <v>19</v>
      </c>
      <c r="E3477" s="2" t="s">
        <v>169</v>
      </c>
      <c r="F3477" s="2"/>
      <c r="G3477" s="2">
        <v>20.0</v>
      </c>
      <c r="H3477" s="2">
        <v>14.0</v>
      </c>
      <c r="I3477" s="2">
        <v>6.0</v>
      </c>
      <c r="J3477" s="2">
        <v>0.0</v>
      </c>
      <c r="K3477" s="2">
        <v>0.0</v>
      </c>
      <c r="L3477" s="2">
        <v>0.0</v>
      </c>
      <c r="M3477" s="2"/>
      <c r="N3477" s="2"/>
      <c r="O3477" s="2"/>
      <c r="P3477" s="2" t="s">
        <v>92</v>
      </c>
    </row>
    <row r="3478">
      <c r="A3478" s="3" t="s">
        <v>51</v>
      </c>
      <c r="B3478" s="2" t="s">
        <v>17</v>
      </c>
      <c r="C3478" s="2" t="s">
        <v>18</v>
      </c>
      <c r="D3478" s="2" t="s">
        <v>19</v>
      </c>
      <c r="E3478" s="2" t="s">
        <v>177</v>
      </c>
      <c r="F3478" s="2">
        <v>22.0</v>
      </c>
      <c r="G3478" s="2">
        <v>23.0</v>
      </c>
      <c r="H3478" s="2">
        <v>21.0</v>
      </c>
      <c r="I3478" s="2">
        <v>2.0</v>
      </c>
      <c r="J3478" s="2">
        <v>0.0</v>
      </c>
      <c r="K3478" s="2">
        <v>0.0</v>
      </c>
      <c r="L3478" s="2">
        <v>0.0</v>
      </c>
      <c r="M3478" s="2">
        <v>1.0</v>
      </c>
      <c r="N3478" s="2"/>
      <c r="O3478" s="2"/>
      <c r="P3478" s="2" t="s">
        <v>293</v>
      </c>
    </row>
    <row r="3479">
      <c r="A3479" s="3" t="s">
        <v>52</v>
      </c>
      <c r="B3479" s="2" t="s">
        <v>17</v>
      </c>
      <c r="C3479" s="2" t="s">
        <v>18</v>
      </c>
      <c r="D3479" s="2" t="s">
        <v>91</v>
      </c>
      <c r="E3479" s="2" t="s">
        <v>177</v>
      </c>
      <c r="F3479" s="2">
        <v>60.0</v>
      </c>
      <c r="G3479" s="2">
        <v>0.0</v>
      </c>
      <c r="H3479" s="2">
        <v>0.0</v>
      </c>
      <c r="I3479" s="2">
        <v>0.0</v>
      </c>
      <c r="J3479" s="2">
        <v>0.0</v>
      </c>
      <c r="K3479" s="2">
        <v>0.0</v>
      </c>
      <c r="L3479" s="2">
        <v>0.0</v>
      </c>
      <c r="M3479" s="2">
        <v>60.0</v>
      </c>
      <c r="N3479" s="2"/>
      <c r="O3479" s="2"/>
      <c r="P3479" s="2" t="s">
        <v>293</v>
      </c>
    </row>
    <row r="3480">
      <c r="A3480" s="3" t="s">
        <v>53</v>
      </c>
      <c r="B3480" s="2" t="s">
        <v>17</v>
      </c>
      <c r="C3480" s="2" t="s">
        <v>18</v>
      </c>
      <c r="D3480" s="2" t="s">
        <v>23</v>
      </c>
      <c r="E3480" s="2" t="s">
        <v>177</v>
      </c>
      <c r="F3480" s="2">
        <v>82.0</v>
      </c>
      <c r="G3480" s="2">
        <v>119.0</v>
      </c>
      <c r="H3480" s="2">
        <v>86.0</v>
      </c>
      <c r="I3480" s="2">
        <v>33.0</v>
      </c>
      <c r="J3480" s="2">
        <v>0.0</v>
      </c>
      <c r="K3480" s="2">
        <v>0.0</v>
      </c>
      <c r="L3480" s="2">
        <v>0.0</v>
      </c>
      <c r="M3480" s="2">
        <v>-4.0</v>
      </c>
      <c r="N3480" s="2">
        <v>0.0</v>
      </c>
      <c r="O3480" s="2">
        <v>-25.0</v>
      </c>
      <c r="P3480" s="2" t="s">
        <v>293</v>
      </c>
    </row>
    <row r="3481">
      <c r="A3481" s="3" t="s">
        <v>54</v>
      </c>
      <c r="B3481" s="4">
        <v>45111.29166666667</v>
      </c>
      <c r="C3481" s="2" t="s">
        <v>18</v>
      </c>
      <c r="D3481" s="2" t="s">
        <v>19</v>
      </c>
      <c r="E3481" s="2" t="s">
        <v>177</v>
      </c>
      <c r="F3481" s="2"/>
      <c r="G3481" s="2">
        <v>15.0</v>
      </c>
      <c r="H3481" s="2">
        <v>14.0</v>
      </c>
      <c r="I3481" s="2">
        <v>1.0</v>
      </c>
      <c r="J3481" s="2">
        <v>0.0</v>
      </c>
      <c r="K3481" s="2">
        <v>0.0</v>
      </c>
      <c r="L3481" s="2">
        <v>0.0</v>
      </c>
      <c r="M3481" s="2"/>
      <c r="N3481" s="2"/>
      <c r="O3481" s="2"/>
      <c r="P3481" s="2" t="s">
        <v>293</v>
      </c>
    </row>
    <row r="3482">
      <c r="A3482" s="3" t="s">
        <v>55</v>
      </c>
      <c r="B3482" s="4">
        <v>45140.29166666667</v>
      </c>
      <c r="C3482" s="2" t="s">
        <v>18</v>
      </c>
      <c r="D3482" s="2" t="s">
        <v>19</v>
      </c>
      <c r="E3482" s="2" t="s">
        <v>177</v>
      </c>
      <c r="F3482" s="2"/>
      <c r="G3482" s="2">
        <v>8.0</v>
      </c>
      <c r="H3482" s="2">
        <v>7.0</v>
      </c>
      <c r="I3482" s="2">
        <v>1.0</v>
      </c>
      <c r="J3482" s="2">
        <v>0.0</v>
      </c>
      <c r="K3482" s="2">
        <v>0.0</v>
      </c>
      <c r="L3482" s="2">
        <v>0.0</v>
      </c>
      <c r="M3482" s="2"/>
      <c r="N3482" s="2"/>
      <c r="O3482" s="2"/>
      <c r="P3482" s="2" t="s">
        <v>293</v>
      </c>
    </row>
    <row r="3483">
      <c r="A3483" s="3" t="s">
        <v>56</v>
      </c>
      <c r="B3483" s="4">
        <v>45141.29166666667</v>
      </c>
      <c r="C3483" s="2" t="s">
        <v>18</v>
      </c>
      <c r="D3483" s="2" t="s">
        <v>127</v>
      </c>
      <c r="E3483" s="2" t="s">
        <v>177</v>
      </c>
      <c r="F3483" s="2"/>
      <c r="G3483" s="2">
        <v>96.0</v>
      </c>
      <c r="H3483" s="2">
        <v>65.0</v>
      </c>
      <c r="I3483" s="2">
        <v>31.0</v>
      </c>
      <c r="J3483" s="2">
        <v>0.0</v>
      </c>
      <c r="K3483" s="2">
        <v>0.0</v>
      </c>
      <c r="L3483" s="2">
        <v>0.0</v>
      </c>
      <c r="M3483" s="2"/>
      <c r="N3483" s="2"/>
      <c r="O3483" s="2"/>
      <c r="P3483" s="2" t="s">
        <v>293</v>
      </c>
    </row>
    <row r="3484">
      <c r="A3484" s="3" t="s">
        <v>59</v>
      </c>
      <c r="B3484" s="4">
        <v>45176.29166666667</v>
      </c>
      <c r="C3484" s="2" t="s">
        <v>18</v>
      </c>
      <c r="D3484" s="2" t="s">
        <v>19</v>
      </c>
      <c r="E3484" s="2" t="s">
        <v>177</v>
      </c>
      <c r="F3484" s="2"/>
      <c r="G3484" s="2">
        <v>0.0</v>
      </c>
      <c r="H3484" s="2">
        <v>0.0</v>
      </c>
      <c r="I3484" s="2">
        <v>0.0</v>
      </c>
      <c r="J3484" s="2">
        <v>0.0</v>
      </c>
      <c r="K3484" s="2">
        <v>0.0</v>
      </c>
      <c r="L3484" s="2">
        <v>0.0</v>
      </c>
      <c r="M3484" s="2"/>
      <c r="N3484" s="2"/>
      <c r="O3484" s="2"/>
      <c r="P3484" s="2" t="s">
        <v>293</v>
      </c>
    </row>
    <row r="3485">
      <c r="A3485" s="3" t="s">
        <v>60</v>
      </c>
      <c r="B3485" s="2" t="s">
        <v>17</v>
      </c>
      <c r="C3485" s="2" t="s">
        <v>18</v>
      </c>
      <c r="D3485" s="2" t="s">
        <v>127</v>
      </c>
      <c r="E3485" s="2" t="s">
        <v>27</v>
      </c>
      <c r="F3485" s="2">
        <v>30.0</v>
      </c>
      <c r="G3485" s="2">
        <v>11.0</v>
      </c>
      <c r="H3485" s="2">
        <v>7.0</v>
      </c>
      <c r="I3485" s="2">
        <v>4.0</v>
      </c>
      <c r="J3485" s="2">
        <v>0.0</v>
      </c>
      <c r="K3485" s="2">
        <v>0.0</v>
      </c>
      <c r="L3485" s="2">
        <v>0.0</v>
      </c>
      <c r="M3485" s="2">
        <v>23.0</v>
      </c>
      <c r="N3485" s="2"/>
      <c r="O3485" s="2"/>
      <c r="P3485" s="2" t="s">
        <v>184</v>
      </c>
    </row>
    <row r="3486">
      <c r="A3486" s="3" t="s">
        <v>61</v>
      </c>
      <c r="B3486" s="2" t="s">
        <v>17</v>
      </c>
      <c r="C3486" s="2" t="s">
        <v>18</v>
      </c>
      <c r="D3486" s="2" t="s">
        <v>23</v>
      </c>
      <c r="E3486" s="2" t="s">
        <v>27</v>
      </c>
      <c r="F3486" s="2">
        <v>30.0</v>
      </c>
      <c r="G3486" s="2">
        <v>11.0</v>
      </c>
      <c r="H3486" s="2">
        <v>7.0</v>
      </c>
      <c r="I3486" s="2">
        <v>4.0</v>
      </c>
      <c r="J3486" s="2">
        <v>0.0</v>
      </c>
      <c r="K3486" s="2">
        <v>0.0</v>
      </c>
      <c r="L3486" s="2">
        <v>0.0</v>
      </c>
      <c r="M3486" s="2">
        <v>23.0</v>
      </c>
      <c r="N3486" s="2">
        <v>0.0</v>
      </c>
      <c r="O3486" s="2">
        <v>16.0</v>
      </c>
      <c r="P3486" s="2" t="s">
        <v>184</v>
      </c>
    </row>
    <row r="3487">
      <c r="A3487" s="3" t="s">
        <v>62</v>
      </c>
      <c r="B3487" s="4">
        <v>45140.29166666667</v>
      </c>
      <c r="C3487" s="2" t="s">
        <v>18</v>
      </c>
      <c r="D3487" s="2" t="s">
        <v>127</v>
      </c>
      <c r="E3487" s="2" t="s">
        <v>27</v>
      </c>
      <c r="F3487" s="2"/>
      <c r="G3487" s="2">
        <v>11.0</v>
      </c>
      <c r="H3487" s="2">
        <v>7.0</v>
      </c>
      <c r="I3487" s="2">
        <v>4.0</v>
      </c>
      <c r="J3487" s="2">
        <v>0.0</v>
      </c>
      <c r="K3487" s="2">
        <v>0.0</v>
      </c>
      <c r="L3487" s="2">
        <v>0.0</v>
      </c>
      <c r="M3487" s="2"/>
      <c r="N3487" s="2"/>
      <c r="O3487" s="2"/>
      <c r="P3487" s="2" t="s">
        <v>184</v>
      </c>
    </row>
    <row r="3488">
      <c r="A3488" s="3" t="s">
        <v>63</v>
      </c>
      <c r="B3488" s="2" t="s">
        <v>17</v>
      </c>
      <c r="C3488" s="2" t="s">
        <v>18</v>
      </c>
      <c r="D3488" s="2" t="s">
        <v>127</v>
      </c>
      <c r="E3488" s="2" t="s">
        <v>155</v>
      </c>
      <c r="F3488" s="2">
        <v>10.0</v>
      </c>
      <c r="G3488" s="2">
        <v>50.0</v>
      </c>
      <c r="H3488" s="2">
        <v>43.0</v>
      </c>
      <c r="I3488" s="2">
        <v>7.0</v>
      </c>
      <c r="J3488" s="2">
        <v>0.0</v>
      </c>
      <c r="K3488" s="2">
        <v>0.0</v>
      </c>
      <c r="L3488" s="2">
        <v>0.0</v>
      </c>
      <c r="M3488" s="2">
        <v>-33.0</v>
      </c>
      <c r="N3488" s="2"/>
      <c r="O3488" s="2"/>
      <c r="P3488" s="2" t="s">
        <v>146</v>
      </c>
    </row>
    <row r="3489">
      <c r="A3489" s="3" t="s">
        <v>64</v>
      </c>
      <c r="B3489" s="2" t="s">
        <v>17</v>
      </c>
      <c r="C3489" s="2" t="s">
        <v>18</v>
      </c>
      <c r="D3489" s="2" t="s">
        <v>19</v>
      </c>
      <c r="E3489" s="2" t="s">
        <v>155</v>
      </c>
      <c r="F3489" s="2">
        <v>30.0</v>
      </c>
      <c r="G3489" s="2">
        <v>11.0</v>
      </c>
      <c r="H3489" s="2">
        <v>6.0</v>
      </c>
      <c r="I3489" s="2">
        <v>5.0</v>
      </c>
      <c r="J3489" s="2">
        <v>0.0</v>
      </c>
      <c r="K3489" s="2">
        <v>0.0</v>
      </c>
      <c r="L3489" s="2">
        <v>0.0</v>
      </c>
      <c r="M3489" s="2">
        <v>24.0</v>
      </c>
      <c r="N3489" s="2"/>
      <c r="O3489" s="2"/>
      <c r="P3489" s="2" t="s">
        <v>146</v>
      </c>
    </row>
    <row r="3490">
      <c r="A3490" s="3" t="s">
        <v>65</v>
      </c>
      <c r="B3490" s="2" t="s">
        <v>17</v>
      </c>
      <c r="C3490" s="2" t="s">
        <v>18</v>
      </c>
      <c r="D3490" s="2" t="s">
        <v>23</v>
      </c>
      <c r="E3490" s="2" t="s">
        <v>155</v>
      </c>
      <c r="F3490" s="2">
        <v>30.0</v>
      </c>
      <c r="G3490" s="2">
        <v>61.0</v>
      </c>
      <c r="H3490" s="2">
        <v>49.0</v>
      </c>
      <c r="I3490" s="2">
        <v>12.0</v>
      </c>
      <c r="J3490" s="2">
        <v>0.0</v>
      </c>
      <c r="K3490" s="2">
        <v>0.0</v>
      </c>
      <c r="L3490" s="2">
        <v>0.0</v>
      </c>
      <c r="M3490" s="2">
        <v>-19.0</v>
      </c>
      <c r="N3490" s="2">
        <v>-10.0</v>
      </c>
      <c r="O3490" s="2">
        <v>-68.0</v>
      </c>
      <c r="P3490" s="2" t="s">
        <v>146</v>
      </c>
    </row>
    <row r="3491">
      <c r="A3491" s="3" t="s">
        <v>66</v>
      </c>
      <c r="B3491" s="4">
        <v>45140.29166666667</v>
      </c>
      <c r="C3491" s="2" t="s">
        <v>18</v>
      </c>
      <c r="D3491" s="2" t="s">
        <v>127</v>
      </c>
      <c r="E3491" s="2" t="s">
        <v>155</v>
      </c>
      <c r="F3491" s="2"/>
      <c r="G3491" s="2">
        <v>50.0</v>
      </c>
      <c r="H3491" s="2">
        <v>43.0</v>
      </c>
      <c r="I3491" s="2">
        <v>7.0</v>
      </c>
      <c r="J3491" s="2">
        <v>0.0</v>
      </c>
      <c r="K3491" s="2">
        <v>0.0</v>
      </c>
      <c r="L3491" s="2">
        <v>0.0</v>
      </c>
      <c r="M3491" s="2"/>
      <c r="N3491" s="2"/>
      <c r="O3491" s="2"/>
      <c r="P3491" s="2" t="s">
        <v>146</v>
      </c>
    </row>
    <row r="3492">
      <c r="A3492" s="3" t="s">
        <v>68</v>
      </c>
      <c r="B3492" s="4">
        <v>45141.29166666667</v>
      </c>
      <c r="C3492" s="2" t="s">
        <v>18</v>
      </c>
      <c r="D3492" s="2" t="s">
        <v>19</v>
      </c>
      <c r="E3492" s="2" t="s">
        <v>155</v>
      </c>
      <c r="F3492" s="2"/>
      <c r="G3492" s="2">
        <v>11.0</v>
      </c>
      <c r="H3492" s="2">
        <v>6.0</v>
      </c>
      <c r="I3492" s="2">
        <v>5.0</v>
      </c>
      <c r="J3492" s="2">
        <v>0.0</v>
      </c>
      <c r="K3492" s="2">
        <v>0.0</v>
      </c>
      <c r="L3492" s="2">
        <v>0.0</v>
      </c>
      <c r="M3492" s="2"/>
      <c r="N3492" s="2"/>
      <c r="O3492" s="2"/>
      <c r="P3492" s="2" t="s">
        <v>146</v>
      </c>
    </row>
    <row r="3493">
      <c r="A3493" s="3" t="s">
        <v>70</v>
      </c>
      <c r="B3493" s="2" t="s">
        <v>17</v>
      </c>
      <c r="C3493" s="2" t="s">
        <v>18</v>
      </c>
      <c r="D3493" s="2" t="s">
        <v>407</v>
      </c>
      <c r="E3493" s="2" t="s">
        <v>250</v>
      </c>
      <c r="F3493" s="2">
        <v>50.0</v>
      </c>
      <c r="G3493" s="2">
        <v>96.0</v>
      </c>
      <c r="H3493" s="2">
        <v>62.0</v>
      </c>
      <c r="I3493" s="2">
        <v>34.0</v>
      </c>
      <c r="J3493" s="2">
        <v>0.0</v>
      </c>
      <c r="K3493" s="2">
        <v>0.0</v>
      </c>
      <c r="L3493" s="2">
        <v>0.0</v>
      </c>
      <c r="M3493" s="2">
        <v>-12.0</v>
      </c>
      <c r="N3493" s="2"/>
      <c r="O3493" s="2"/>
      <c r="P3493" s="2" t="s">
        <v>146</v>
      </c>
    </row>
    <row r="3494">
      <c r="A3494" s="3" t="s">
        <v>16</v>
      </c>
      <c r="B3494" s="2" t="s">
        <v>17</v>
      </c>
      <c r="C3494" s="2" t="s">
        <v>18</v>
      </c>
      <c r="D3494" s="2" t="s">
        <v>19</v>
      </c>
      <c r="E3494" s="2" t="s">
        <v>250</v>
      </c>
      <c r="F3494" s="2">
        <v>70.0</v>
      </c>
      <c r="G3494" s="2">
        <v>22.0</v>
      </c>
      <c r="H3494" s="2">
        <v>21.0</v>
      </c>
      <c r="I3494" s="2">
        <v>1.0</v>
      </c>
      <c r="J3494" s="2">
        <v>0.0</v>
      </c>
      <c r="K3494" s="2">
        <v>0.0</v>
      </c>
      <c r="L3494" s="2">
        <v>0.0</v>
      </c>
      <c r="M3494" s="2">
        <v>49.0</v>
      </c>
      <c r="N3494" s="2"/>
      <c r="O3494" s="2"/>
      <c r="P3494" s="2" t="s">
        <v>146</v>
      </c>
    </row>
    <row r="3495">
      <c r="A3495" s="3" t="s">
        <v>71</v>
      </c>
      <c r="B3495" s="2" t="s">
        <v>17</v>
      </c>
      <c r="C3495" s="2" t="s">
        <v>18</v>
      </c>
      <c r="D3495" s="2" t="s">
        <v>23</v>
      </c>
      <c r="E3495" s="2" t="s">
        <v>250</v>
      </c>
      <c r="F3495" s="2">
        <v>70.0</v>
      </c>
      <c r="G3495" s="2">
        <v>118.0</v>
      </c>
      <c r="H3495" s="2">
        <v>83.0</v>
      </c>
      <c r="I3495" s="2">
        <v>35.0</v>
      </c>
      <c r="J3495" s="2">
        <v>0.0</v>
      </c>
      <c r="K3495" s="2">
        <v>0.0</v>
      </c>
      <c r="L3495" s="2">
        <v>0.0</v>
      </c>
      <c r="M3495" s="2">
        <v>-13.0</v>
      </c>
      <c r="N3495" s="2">
        <v>-50.0</v>
      </c>
      <c r="O3495" s="2">
        <v>-96.0</v>
      </c>
      <c r="P3495" s="2" t="s">
        <v>146</v>
      </c>
    </row>
    <row r="3496">
      <c r="A3496" s="3" t="s">
        <v>72</v>
      </c>
      <c r="B3496" s="4">
        <v>45140.29166666667</v>
      </c>
      <c r="C3496" s="2" t="s">
        <v>18</v>
      </c>
      <c r="D3496" s="2" t="s">
        <v>407</v>
      </c>
      <c r="E3496" s="2" t="s">
        <v>250</v>
      </c>
      <c r="F3496" s="2"/>
      <c r="G3496" s="2">
        <v>96.0</v>
      </c>
      <c r="H3496" s="2">
        <v>62.0</v>
      </c>
      <c r="I3496" s="2">
        <v>34.0</v>
      </c>
      <c r="J3496" s="2">
        <v>0.0</v>
      </c>
      <c r="K3496" s="2">
        <v>0.0</v>
      </c>
      <c r="L3496" s="2">
        <v>0.0</v>
      </c>
      <c r="M3496" s="2"/>
      <c r="N3496" s="2"/>
      <c r="O3496" s="2"/>
      <c r="P3496" s="2" t="s">
        <v>146</v>
      </c>
    </row>
    <row r="3497">
      <c r="A3497" s="3" t="s">
        <v>73</v>
      </c>
      <c r="B3497" s="4">
        <v>45141.29166666667</v>
      </c>
      <c r="C3497" s="2" t="s">
        <v>18</v>
      </c>
      <c r="D3497" s="2" t="s">
        <v>19</v>
      </c>
      <c r="E3497" s="2" t="s">
        <v>250</v>
      </c>
      <c r="F3497" s="2"/>
      <c r="G3497" s="2">
        <v>22.0</v>
      </c>
      <c r="H3497" s="2">
        <v>21.0</v>
      </c>
      <c r="I3497" s="2">
        <v>1.0</v>
      </c>
      <c r="J3497" s="2">
        <v>0.0</v>
      </c>
      <c r="K3497" s="2">
        <v>0.0</v>
      </c>
      <c r="L3497" s="2">
        <v>0.0</v>
      </c>
      <c r="M3497" s="2"/>
      <c r="N3497" s="2"/>
      <c r="O3497" s="2"/>
      <c r="P3497" s="2" t="s">
        <v>146</v>
      </c>
    </row>
    <row r="3498">
      <c r="A3498" s="3" t="s">
        <v>74</v>
      </c>
      <c r="B3498" s="2" t="s">
        <v>17</v>
      </c>
      <c r="C3498" s="2" t="s">
        <v>18</v>
      </c>
      <c r="D3498" s="2" t="s">
        <v>127</v>
      </c>
      <c r="E3498" s="2" t="s">
        <v>50</v>
      </c>
      <c r="F3498" s="2">
        <v>20.0</v>
      </c>
      <c r="G3498" s="2">
        <v>35.0</v>
      </c>
      <c r="H3498" s="2">
        <v>20.0</v>
      </c>
      <c r="I3498" s="2">
        <v>15.0</v>
      </c>
      <c r="J3498" s="2">
        <v>0.0</v>
      </c>
      <c r="K3498" s="2">
        <v>0.0</v>
      </c>
      <c r="L3498" s="2">
        <v>0.0</v>
      </c>
      <c r="M3498" s="2">
        <v>0.0</v>
      </c>
      <c r="N3498" s="2"/>
      <c r="O3498" s="2"/>
      <c r="P3498" s="2" t="s">
        <v>146</v>
      </c>
    </row>
    <row r="3499">
      <c r="A3499" s="3" t="s">
        <v>75</v>
      </c>
      <c r="B3499" s="2" t="s">
        <v>17</v>
      </c>
      <c r="C3499" s="2" t="s">
        <v>18</v>
      </c>
      <c r="D3499" s="2" t="s">
        <v>19</v>
      </c>
      <c r="E3499" s="2" t="s">
        <v>50</v>
      </c>
      <c r="F3499" s="2">
        <v>20.0</v>
      </c>
      <c r="G3499" s="2">
        <v>8.0</v>
      </c>
      <c r="H3499" s="2">
        <v>4.0</v>
      </c>
      <c r="I3499" s="2">
        <v>4.0</v>
      </c>
      <c r="J3499" s="2">
        <v>0.0</v>
      </c>
      <c r="K3499" s="2">
        <v>0.0</v>
      </c>
      <c r="L3499" s="2">
        <v>0.0</v>
      </c>
      <c r="M3499" s="2">
        <v>16.0</v>
      </c>
      <c r="N3499" s="2"/>
      <c r="O3499" s="2"/>
      <c r="P3499" s="2" t="s">
        <v>146</v>
      </c>
    </row>
    <row r="3500">
      <c r="A3500" s="3" t="s">
        <v>76</v>
      </c>
      <c r="B3500" s="2" t="s">
        <v>17</v>
      </c>
      <c r="C3500" s="2" t="s">
        <v>18</v>
      </c>
      <c r="D3500" s="2" t="s">
        <v>23</v>
      </c>
      <c r="E3500" s="2" t="s">
        <v>50</v>
      </c>
      <c r="F3500" s="2">
        <v>20.0</v>
      </c>
      <c r="G3500" s="2">
        <v>43.0</v>
      </c>
      <c r="H3500" s="2">
        <v>24.0</v>
      </c>
      <c r="I3500" s="2">
        <v>19.0</v>
      </c>
      <c r="J3500" s="2">
        <v>0.0</v>
      </c>
      <c r="K3500" s="2">
        <v>0.0</v>
      </c>
      <c r="L3500" s="2">
        <v>0.0</v>
      </c>
      <c r="M3500" s="2">
        <v>-4.0</v>
      </c>
      <c r="N3500" s="2">
        <v>-20.0</v>
      </c>
      <c r="O3500" s="2">
        <v>-28.0</v>
      </c>
      <c r="P3500" s="2" t="s">
        <v>146</v>
      </c>
    </row>
    <row r="3501">
      <c r="A3501" s="3" t="s">
        <v>77</v>
      </c>
      <c r="B3501" s="4">
        <v>45140.29166666667</v>
      </c>
      <c r="C3501" s="2" t="s">
        <v>18</v>
      </c>
      <c r="D3501" s="2" t="s">
        <v>127</v>
      </c>
      <c r="E3501" s="2" t="s">
        <v>50</v>
      </c>
      <c r="F3501" s="2"/>
      <c r="G3501" s="2">
        <v>35.0</v>
      </c>
      <c r="H3501" s="2">
        <v>20.0</v>
      </c>
      <c r="I3501" s="2">
        <v>15.0</v>
      </c>
      <c r="J3501" s="2">
        <v>0.0</v>
      </c>
      <c r="K3501" s="2">
        <v>0.0</v>
      </c>
      <c r="L3501" s="2">
        <v>0.0</v>
      </c>
      <c r="M3501" s="2"/>
      <c r="N3501" s="2"/>
      <c r="O3501" s="2"/>
      <c r="P3501" s="2" t="s">
        <v>146</v>
      </c>
    </row>
    <row r="3502">
      <c r="A3502" s="3" t="s">
        <v>78</v>
      </c>
      <c r="B3502" s="4">
        <v>45141.29166666667</v>
      </c>
      <c r="C3502" s="2" t="s">
        <v>18</v>
      </c>
      <c r="D3502" s="2" t="s">
        <v>19</v>
      </c>
      <c r="E3502" s="2" t="s">
        <v>50</v>
      </c>
      <c r="F3502" s="2"/>
      <c r="G3502" s="2">
        <v>8.0</v>
      </c>
      <c r="H3502" s="2">
        <v>4.0</v>
      </c>
      <c r="I3502" s="2">
        <v>4.0</v>
      </c>
      <c r="J3502" s="2">
        <v>0.0</v>
      </c>
      <c r="K3502" s="2">
        <v>0.0</v>
      </c>
      <c r="L3502" s="2">
        <v>0.0</v>
      </c>
      <c r="M3502" s="2"/>
      <c r="N3502" s="2"/>
      <c r="O3502" s="2"/>
      <c r="P3502" s="2" t="s">
        <v>146</v>
      </c>
    </row>
    <row r="3503">
      <c r="A3503" s="3" t="s">
        <v>81</v>
      </c>
      <c r="B3503" s="2" t="s">
        <v>17</v>
      </c>
      <c r="C3503" s="2" t="s">
        <v>18</v>
      </c>
      <c r="D3503" s="2" t="s">
        <v>127</v>
      </c>
      <c r="E3503" s="2" t="s">
        <v>155</v>
      </c>
      <c r="F3503" s="2">
        <v>44.0</v>
      </c>
      <c r="G3503" s="2">
        <v>59.0</v>
      </c>
      <c r="H3503" s="2">
        <v>44.0</v>
      </c>
      <c r="I3503" s="2">
        <v>15.0</v>
      </c>
      <c r="J3503" s="2">
        <v>0.0</v>
      </c>
      <c r="K3503" s="2">
        <v>0.0</v>
      </c>
      <c r="L3503" s="2">
        <v>0.0</v>
      </c>
      <c r="M3503" s="2">
        <v>0.0</v>
      </c>
      <c r="N3503" s="2"/>
      <c r="O3503" s="2"/>
      <c r="P3503" s="2" t="s">
        <v>146</v>
      </c>
    </row>
    <row r="3504">
      <c r="A3504" s="3" t="s">
        <v>82</v>
      </c>
      <c r="B3504" s="2" t="s">
        <v>17</v>
      </c>
      <c r="C3504" s="2" t="s">
        <v>18</v>
      </c>
      <c r="D3504" s="2" t="s">
        <v>23</v>
      </c>
      <c r="E3504" s="2" t="s">
        <v>155</v>
      </c>
      <c r="F3504" s="2">
        <v>44.0</v>
      </c>
      <c r="G3504" s="2">
        <v>59.0</v>
      </c>
      <c r="H3504" s="2">
        <v>44.0</v>
      </c>
      <c r="I3504" s="2">
        <v>15.0</v>
      </c>
      <c r="J3504" s="2">
        <v>0.0</v>
      </c>
      <c r="K3504" s="2">
        <v>0.0</v>
      </c>
      <c r="L3504" s="2">
        <v>0.0</v>
      </c>
      <c r="M3504" s="2">
        <v>0.0</v>
      </c>
      <c r="N3504" s="2">
        <v>0.0</v>
      </c>
      <c r="O3504" s="2">
        <v>-44.0</v>
      </c>
      <c r="P3504" s="2" t="s">
        <v>146</v>
      </c>
    </row>
    <row r="3505">
      <c r="A3505" s="3" t="s">
        <v>83</v>
      </c>
      <c r="B3505" s="4">
        <v>45140.29166666667</v>
      </c>
      <c r="C3505" s="2" t="s">
        <v>18</v>
      </c>
      <c r="D3505" s="2" t="s">
        <v>127</v>
      </c>
      <c r="E3505" s="2" t="s">
        <v>155</v>
      </c>
      <c r="F3505" s="2"/>
      <c r="G3505" s="2">
        <v>59.0</v>
      </c>
      <c r="H3505" s="2">
        <v>44.0</v>
      </c>
      <c r="I3505" s="2">
        <v>15.0</v>
      </c>
      <c r="J3505" s="2">
        <v>0.0</v>
      </c>
      <c r="K3505" s="2">
        <v>0.0</v>
      </c>
      <c r="L3505" s="2">
        <v>0.0</v>
      </c>
      <c r="M3505" s="2"/>
      <c r="N3505" s="2"/>
      <c r="O3505" s="2"/>
      <c r="P3505" s="2" t="s">
        <v>146</v>
      </c>
    </row>
    <row r="3506">
      <c r="A3506" s="3" t="s">
        <v>84</v>
      </c>
      <c r="B3506" s="2" t="s">
        <v>17</v>
      </c>
      <c r="C3506" s="2" t="s">
        <v>18</v>
      </c>
      <c r="D3506" s="2" t="s">
        <v>19</v>
      </c>
      <c r="E3506" s="2" t="s">
        <v>50</v>
      </c>
      <c r="F3506" s="2">
        <v>28.0</v>
      </c>
      <c r="G3506" s="2">
        <v>39.0</v>
      </c>
      <c r="H3506" s="2">
        <v>25.0</v>
      </c>
      <c r="I3506" s="2">
        <v>14.0</v>
      </c>
      <c r="J3506" s="2">
        <v>0.0</v>
      </c>
      <c r="K3506" s="2">
        <v>0.0</v>
      </c>
      <c r="L3506" s="2">
        <v>0.0</v>
      </c>
      <c r="M3506" s="2">
        <v>3.0</v>
      </c>
      <c r="N3506" s="2"/>
      <c r="O3506" s="2"/>
      <c r="P3506" s="2" t="s">
        <v>146</v>
      </c>
    </row>
    <row r="3507">
      <c r="A3507" s="3" t="s">
        <v>85</v>
      </c>
      <c r="B3507" s="2" t="s">
        <v>17</v>
      </c>
      <c r="C3507" s="2" t="s">
        <v>18</v>
      </c>
      <c r="D3507" s="2" t="s">
        <v>23</v>
      </c>
      <c r="E3507" s="2" t="s">
        <v>50</v>
      </c>
      <c r="F3507" s="2">
        <v>28.0</v>
      </c>
      <c r="G3507" s="2">
        <v>39.0</v>
      </c>
      <c r="H3507" s="2">
        <v>25.0</v>
      </c>
      <c r="I3507" s="2">
        <v>14.0</v>
      </c>
      <c r="J3507" s="2">
        <v>0.0</v>
      </c>
      <c r="K3507" s="2">
        <v>0.0</v>
      </c>
      <c r="L3507" s="2">
        <v>0.0</v>
      </c>
      <c r="M3507" s="2">
        <v>3.0</v>
      </c>
      <c r="N3507" s="2">
        <v>0.0</v>
      </c>
      <c r="O3507" s="2">
        <v>-22.0</v>
      </c>
      <c r="P3507" s="2" t="s">
        <v>146</v>
      </c>
    </row>
    <row r="3508">
      <c r="A3508" s="3" t="s">
        <v>86</v>
      </c>
      <c r="B3508" s="4">
        <v>45140.29166666667</v>
      </c>
      <c r="C3508" s="2" t="s">
        <v>18</v>
      </c>
      <c r="D3508" s="2" t="s">
        <v>19</v>
      </c>
      <c r="E3508" s="2" t="s">
        <v>50</v>
      </c>
      <c r="F3508" s="2"/>
      <c r="G3508" s="2">
        <v>39.0</v>
      </c>
      <c r="H3508" s="2">
        <v>25.0</v>
      </c>
      <c r="I3508" s="2">
        <v>14.0</v>
      </c>
      <c r="J3508" s="2">
        <v>0.0</v>
      </c>
      <c r="K3508" s="2">
        <v>0.0</v>
      </c>
      <c r="L3508" s="2">
        <v>0.0</v>
      </c>
      <c r="M3508" s="2"/>
      <c r="N3508" s="2"/>
      <c r="O3508" s="2"/>
      <c r="P3508" s="2" t="s">
        <v>146</v>
      </c>
    </row>
    <row r="3509">
      <c r="A3509" s="3" t="s">
        <v>87</v>
      </c>
      <c r="B3509" s="2" t="s">
        <v>17</v>
      </c>
      <c r="C3509" s="2" t="s">
        <v>18</v>
      </c>
      <c r="D3509" s="2" t="s">
        <v>19</v>
      </c>
      <c r="E3509" s="2" t="s">
        <v>169</v>
      </c>
      <c r="F3509" s="2">
        <v>49.0</v>
      </c>
      <c r="G3509" s="2">
        <v>11.0</v>
      </c>
      <c r="H3509" s="2">
        <v>6.0</v>
      </c>
      <c r="I3509" s="2">
        <v>4.0</v>
      </c>
      <c r="J3509" s="2">
        <v>1.0</v>
      </c>
      <c r="K3509" s="2">
        <v>0.0</v>
      </c>
      <c r="L3509" s="2">
        <v>0.0</v>
      </c>
      <c r="M3509" s="2">
        <v>43.0</v>
      </c>
      <c r="N3509" s="2"/>
      <c r="O3509" s="2"/>
      <c r="P3509" s="2" t="s">
        <v>80</v>
      </c>
    </row>
    <row r="3510">
      <c r="A3510" s="3" t="s">
        <v>88</v>
      </c>
      <c r="B3510" s="2" t="s">
        <v>17</v>
      </c>
      <c r="C3510" s="2" t="s">
        <v>18</v>
      </c>
      <c r="D3510" s="2" t="s">
        <v>23</v>
      </c>
      <c r="E3510" s="2" t="s">
        <v>169</v>
      </c>
      <c r="F3510" s="2">
        <v>49.0</v>
      </c>
      <c r="G3510" s="2">
        <v>11.0</v>
      </c>
      <c r="H3510" s="2">
        <v>6.0</v>
      </c>
      <c r="I3510" s="2">
        <v>4.0</v>
      </c>
      <c r="J3510" s="2">
        <v>1.0</v>
      </c>
      <c r="K3510" s="2">
        <v>0.0</v>
      </c>
      <c r="L3510" s="2">
        <v>0.0</v>
      </c>
      <c r="M3510" s="2">
        <v>43.0</v>
      </c>
      <c r="N3510" s="2">
        <v>0.0</v>
      </c>
      <c r="O3510" s="2">
        <v>37.0</v>
      </c>
      <c r="P3510" s="2" t="s">
        <v>80</v>
      </c>
    </row>
    <row r="3511">
      <c r="A3511" s="3" t="s">
        <v>89</v>
      </c>
      <c r="B3511" s="4">
        <v>45140.29166666667</v>
      </c>
      <c r="C3511" s="2" t="s">
        <v>18</v>
      </c>
      <c r="D3511" s="2" t="s">
        <v>19</v>
      </c>
      <c r="E3511" s="2" t="s">
        <v>169</v>
      </c>
      <c r="F3511" s="2"/>
      <c r="G3511" s="2">
        <v>11.0</v>
      </c>
      <c r="H3511" s="2">
        <v>6.0</v>
      </c>
      <c r="I3511" s="2">
        <v>4.0</v>
      </c>
      <c r="J3511" s="2">
        <v>1.0</v>
      </c>
      <c r="K3511" s="2">
        <v>0.0</v>
      </c>
      <c r="L3511" s="2">
        <v>0.0</v>
      </c>
      <c r="M3511" s="2"/>
      <c r="N3511" s="2"/>
      <c r="O3511" s="2"/>
      <c r="P3511" s="2" t="s">
        <v>80</v>
      </c>
    </row>
    <row r="3512">
      <c r="A3512" s="3" t="s">
        <v>90</v>
      </c>
      <c r="B3512" s="2" t="s">
        <v>17</v>
      </c>
      <c r="C3512" s="2" t="s">
        <v>18</v>
      </c>
      <c r="D3512" s="2" t="s">
        <v>19</v>
      </c>
      <c r="E3512" s="2" t="s">
        <v>394</v>
      </c>
      <c r="F3512" s="2">
        <v>22.0</v>
      </c>
      <c r="G3512" s="2">
        <v>30.0</v>
      </c>
      <c r="H3512" s="2">
        <v>23.0</v>
      </c>
      <c r="I3512" s="2">
        <v>6.0</v>
      </c>
      <c r="J3512" s="2">
        <v>1.0</v>
      </c>
      <c r="K3512" s="2">
        <v>0.0</v>
      </c>
      <c r="L3512" s="2">
        <v>0.0</v>
      </c>
      <c r="M3512" s="2">
        <v>-1.0</v>
      </c>
      <c r="N3512" s="2"/>
      <c r="O3512" s="2"/>
      <c r="P3512" s="2" t="s">
        <v>146</v>
      </c>
    </row>
    <row r="3513">
      <c r="A3513" s="3" t="s">
        <v>93</v>
      </c>
      <c r="B3513" s="2" t="s">
        <v>17</v>
      </c>
      <c r="C3513" s="2" t="s">
        <v>18</v>
      </c>
      <c r="D3513" s="2" t="s">
        <v>23</v>
      </c>
      <c r="E3513" s="2" t="s">
        <v>394</v>
      </c>
      <c r="F3513" s="2">
        <v>22.0</v>
      </c>
      <c r="G3513" s="2">
        <v>30.0</v>
      </c>
      <c r="H3513" s="2">
        <v>23.0</v>
      </c>
      <c r="I3513" s="2">
        <v>6.0</v>
      </c>
      <c r="J3513" s="2">
        <v>1.0</v>
      </c>
      <c r="K3513" s="2">
        <v>0.0</v>
      </c>
      <c r="L3513" s="2">
        <v>0.0</v>
      </c>
      <c r="M3513" s="2">
        <v>-1.0</v>
      </c>
      <c r="N3513" s="2">
        <v>0.0</v>
      </c>
      <c r="O3513" s="2">
        <v>-24.0</v>
      </c>
      <c r="P3513" s="2" t="s">
        <v>146</v>
      </c>
    </row>
    <row r="3514">
      <c r="A3514" s="3" t="s">
        <v>16</v>
      </c>
      <c r="B3514" s="4">
        <v>45140.29166666667</v>
      </c>
      <c r="C3514" s="2" t="s">
        <v>18</v>
      </c>
      <c r="D3514" s="2" t="s">
        <v>19</v>
      </c>
      <c r="E3514" s="2" t="s">
        <v>394</v>
      </c>
      <c r="F3514" s="2"/>
      <c r="G3514" s="2">
        <v>30.0</v>
      </c>
      <c r="H3514" s="2">
        <v>23.0</v>
      </c>
      <c r="I3514" s="2">
        <v>6.0</v>
      </c>
      <c r="J3514" s="2">
        <v>1.0</v>
      </c>
      <c r="K3514" s="2">
        <v>0.0</v>
      </c>
      <c r="L3514" s="2">
        <v>0.0</v>
      </c>
      <c r="M3514" s="2"/>
      <c r="N3514" s="2"/>
      <c r="O3514" s="2"/>
      <c r="P3514" s="2" t="s">
        <v>146</v>
      </c>
    </row>
    <row r="3515">
      <c r="A3515" s="3" t="s">
        <v>94</v>
      </c>
      <c r="B3515" s="2" t="s">
        <v>17</v>
      </c>
      <c r="C3515" s="2" t="s">
        <v>18</v>
      </c>
      <c r="D3515" s="2" t="s">
        <v>127</v>
      </c>
      <c r="E3515" s="2" t="s">
        <v>171</v>
      </c>
      <c r="F3515" s="2">
        <v>83.0</v>
      </c>
      <c r="G3515" s="2">
        <v>129.0</v>
      </c>
      <c r="H3515" s="2">
        <v>87.0</v>
      </c>
      <c r="I3515" s="2">
        <v>42.0</v>
      </c>
      <c r="J3515" s="2">
        <v>0.0</v>
      </c>
      <c r="K3515" s="2">
        <v>0.0</v>
      </c>
      <c r="L3515" s="2">
        <v>0.0</v>
      </c>
      <c r="M3515" s="2">
        <v>-4.0</v>
      </c>
      <c r="N3515" s="2"/>
      <c r="O3515" s="2"/>
      <c r="P3515" s="2" t="s">
        <v>80</v>
      </c>
    </row>
    <row r="3516">
      <c r="A3516" s="3" t="s">
        <v>16</v>
      </c>
      <c r="B3516" s="2" t="s">
        <v>17</v>
      </c>
      <c r="C3516" s="2" t="s">
        <v>18</v>
      </c>
      <c r="D3516" s="2" t="s">
        <v>127</v>
      </c>
      <c r="E3516" s="2" t="s">
        <v>209</v>
      </c>
      <c r="F3516" s="2">
        <v>27.0</v>
      </c>
      <c r="G3516" s="2">
        <v>46.0</v>
      </c>
      <c r="H3516" s="2">
        <v>32.0</v>
      </c>
      <c r="I3516" s="2">
        <v>13.0</v>
      </c>
      <c r="J3516" s="2">
        <v>1.0</v>
      </c>
      <c r="K3516" s="2">
        <v>0.0</v>
      </c>
      <c r="L3516" s="2">
        <v>0.0</v>
      </c>
      <c r="M3516" s="2">
        <v>-5.0</v>
      </c>
      <c r="N3516" s="2"/>
      <c r="O3516" s="2"/>
      <c r="P3516" s="2" t="s">
        <v>80</v>
      </c>
    </row>
    <row r="3517">
      <c r="A3517" s="3" t="s">
        <v>22</v>
      </c>
      <c r="B3517" s="2" t="s">
        <v>17</v>
      </c>
      <c r="C3517" s="2" t="s">
        <v>18</v>
      </c>
      <c r="D3517" s="2" t="s">
        <v>127</v>
      </c>
      <c r="E3517" s="2" t="s">
        <v>316</v>
      </c>
      <c r="F3517" s="2">
        <v>14.0</v>
      </c>
      <c r="G3517" s="2">
        <v>20.0</v>
      </c>
      <c r="H3517" s="2">
        <v>17.0</v>
      </c>
      <c r="I3517" s="2">
        <v>3.0</v>
      </c>
      <c r="J3517" s="2">
        <v>0.0</v>
      </c>
      <c r="K3517" s="2">
        <v>0.0</v>
      </c>
      <c r="L3517" s="2">
        <v>0.0</v>
      </c>
      <c r="M3517" s="2">
        <v>-3.0</v>
      </c>
      <c r="N3517" s="2"/>
      <c r="O3517" s="2"/>
      <c r="P3517" s="2" t="s">
        <v>80</v>
      </c>
    </row>
    <row r="3518">
      <c r="A3518" s="3" t="s">
        <v>24</v>
      </c>
      <c r="B3518" s="2" t="s">
        <v>17</v>
      </c>
      <c r="C3518" s="2" t="s">
        <v>18</v>
      </c>
      <c r="D3518" s="2" t="s">
        <v>127</v>
      </c>
      <c r="E3518" s="2" t="s">
        <v>408</v>
      </c>
      <c r="F3518" s="2">
        <v>2.0</v>
      </c>
      <c r="G3518" s="2">
        <v>7.0</v>
      </c>
      <c r="H3518" s="2">
        <v>2.0</v>
      </c>
      <c r="I3518" s="2">
        <v>5.0</v>
      </c>
      <c r="J3518" s="2">
        <v>0.0</v>
      </c>
      <c r="K3518" s="2">
        <v>0.0</v>
      </c>
      <c r="L3518" s="2">
        <v>0.0</v>
      </c>
      <c r="M3518" s="2">
        <v>0.0</v>
      </c>
      <c r="N3518" s="2"/>
      <c r="O3518" s="2"/>
      <c r="P3518" s="2" t="s">
        <v>80</v>
      </c>
    </row>
    <row r="3519">
      <c r="A3519" s="3" t="s">
        <v>25</v>
      </c>
      <c r="B3519" s="2" t="s">
        <v>17</v>
      </c>
      <c r="C3519" s="2" t="s">
        <v>18</v>
      </c>
      <c r="D3519" s="2" t="s">
        <v>109</v>
      </c>
      <c r="E3519" s="2" t="s">
        <v>171</v>
      </c>
      <c r="F3519" s="2">
        <v>12.0</v>
      </c>
      <c r="G3519" s="2">
        <v>19.0</v>
      </c>
      <c r="H3519" s="2">
        <v>12.0</v>
      </c>
      <c r="I3519" s="2">
        <v>6.0</v>
      </c>
      <c r="J3519" s="2">
        <v>1.0</v>
      </c>
      <c r="K3519" s="2">
        <v>0.0</v>
      </c>
      <c r="L3519" s="2">
        <v>0.0</v>
      </c>
      <c r="M3519" s="2">
        <v>0.0</v>
      </c>
      <c r="N3519" s="2"/>
      <c r="O3519" s="2"/>
      <c r="P3519" s="2" t="s">
        <v>80</v>
      </c>
    </row>
    <row r="3520">
      <c r="A3520" s="3" t="s">
        <v>26</v>
      </c>
      <c r="B3520" s="2" t="s">
        <v>17</v>
      </c>
      <c r="C3520" s="2" t="s">
        <v>18</v>
      </c>
      <c r="D3520" s="2" t="s">
        <v>109</v>
      </c>
      <c r="E3520" s="2" t="s">
        <v>209</v>
      </c>
      <c r="F3520" s="2">
        <v>15.0</v>
      </c>
      <c r="G3520" s="2">
        <v>30.0</v>
      </c>
      <c r="H3520" s="2">
        <v>15.0</v>
      </c>
      <c r="I3520" s="2">
        <v>13.0</v>
      </c>
      <c r="J3520" s="2">
        <v>2.0</v>
      </c>
      <c r="K3520" s="2">
        <v>0.0</v>
      </c>
      <c r="L3520" s="2">
        <v>0.0</v>
      </c>
      <c r="M3520" s="2">
        <v>0.0</v>
      </c>
      <c r="N3520" s="2"/>
      <c r="O3520" s="2"/>
      <c r="P3520" s="2" t="s">
        <v>80</v>
      </c>
    </row>
    <row r="3521">
      <c r="A3521" s="3" t="s">
        <v>28</v>
      </c>
      <c r="B3521" s="2" t="s">
        <v>17</v>
      </c>
      <c r="C3521" s="2" t="s">
        <v>18</v>
      </c>
      <c r="D3521" s="2" t="s">
        <v>109</v>
      </c>
      <c r="E3521" s="2" t="s">
        <v>408</v>
      </c>
      <c r="F3521" s="2">
        <v>14.0</v>
      </c>
      <c r="G3521" s="2">
        <v>28.0</v>
      </c>
      <c r="H3521" s="2">
        <v>14.0</v>
      </c>
      <c r="I3521" s="2">
        <v>10.0</v>
      </c>
      <c r="J3521" s="2">
        <v>4.0</v>
      </c>
      <c r="K3521" s="2">
        <v>0.0</v>
      </c>
      <c r="L3521" s="2">
        <v>0.0</v>
      </c>
      <c r="M3521" s="2">
        <v>0.0</v>
      </c>
      <c r="N3521" s="2"/>
      <c r="O3521" s="2"/>
      <c r="P3521" s="2" t="s">
        <v>80</v>
      </c>
    </row>
    <row r="3522">
      <c r="A3522" s="3" t="s">
        <v>29</v>
      </c>
      <c r="B3522" s="2" t="s">
        <v>17</v>
      </c>
      <c r="C3522" s="2" t="s">
        <v>57</v>
      </c>
      <c r="D3522" s="2" t="s">
        <v>109</v>
      </c>
      <c r="E3522" s="2" t="s">
        <v>316</v>
      </c>
      <c r="F3522" s="2">
        <v>12.0</v>
      </c>
      <c r="G3522" s="2">
        <v>18.0</v>
      </c>
      <c r="H3522" s="2">
        <v>12.0</v>
      </c>
      <c r="I3522" s="2">
        <v>5.0</v>
      </c>
      <c r="J3522" s="2">
        <v>1.0</v>
      </c>
      <c r="K3522" s="2">
        <v>0.0</v>
      </c>
      <c r="L3522" s="2">
        <v>0.0</v>
      </c>
      <c r="M3522" s="2">
        <v>0.0</v>
      </c>
      <c r="N3522" s="2"/>
      <c r="O3522" s="2"/>
      <c r="P3522" s="2" t="s">
        <v>80</v>
      </c>
    </row>
    <row r="3523">
      <c r="A3523" s="3" t="s">
        <v>32</v>
      </c>
      <c r="B3523" s="2" t="s">
        <v>17</v>
      </c>
      <c r="C3523" s="2" t="s">
        <v>18</v>
      </c>
      <c r="D3523" s="2" t="s">
        <v>23</v>
      </c>
      <c r="E3523" s="2" t="s">
        <v>171</v>
      </c>
      <c r="F3523" s="2">
        <v>95.0</v>
      </c>
      <c r="G3523" s="2">
        <v>148.0</v>
      </c>
      <c r="H3523" s="2">
        <v>99.0</v>
      </c>
      <c r="I3523" s="2">
        <v>48.0</v>
      </c>
      <c r="J3523" s="2">
        <v>1.0</v>
      </c>
      <c r="K3523" s="2">
        <v>0.0</v>
      </c>
      <c r="L3523" s="2">
        <v>0.0</v>
      </c>
      <c r="M3523" s="2">
        <v>-4.0</v>
      </c>
      <c r="N3523" s="2">
        <v>0.0</v>
      </c>
      <c r="O3523" s="2">
        <v>-103.0</v>
      </c>
      <c r="P3523" s="2" t="s">
        <v>80</v>
      </c>
    </row>
    <row r="3524">
      <c r="A3524" s="3" t="s">
        <v>34</v>
      </c>
      <c r="B3524" s="2" t="s">
        <v>17</v>
      </c>
      <c r="C3524" s="2" t="s">
        <v>18</v>
      </c>
      <c r="D3524" s="2" t="s">
        <v>23</v>
      </c>
      <c r="E3524" s="2" t="s">
        <v>209</v>
      </c>
      <c r="F3524" s="2">
        <v>42.0</v>
      </c>
      <c r="G3524" s="2">
        <v>76.0</v>
      </c>
      <c r="H3524" s="2">
        <v>47.0</v>
      </c>
      <c r="I3524" s="2">
        <v>26.0</v>
      </c>
      <c r="J3524" s="2">
        <v>3.0</v>
      </c>
      <c r="K3524" s="2">
        <v>0.0</v>
      </c>
      <c r="L3524" s="2">
        <v>0.0</v>
      </c>
      <c r="M3524" s="2">
        <v>-5.0</v>
      </c>
      <c r="N3524" s="2">
        <v>0.0</v>
      </c>
      <c r="O3524" s="2">
        <v>-52.0</v>
      </c>
      <c r="P3524" s="2" t="s">
        <v>80</v>
      </c>
    </row>
    <row r="3525">
      <c r="A3525" s="3" t="s">
        <v>35</v>
      </c>
      <c r="B3525" s="2" t="s">
        <v>17</v>
      </c>
      <c r="C3525" s="2" t="s">
        <v>18</v>
      </c>
      <c r="D3525" s="2" t="s">
        <v>23</v>
      </c>
      <c r="E3525" s="2" t="s">
        <v>408</v>
      </c>
      <c r="F3525" s="2">
        <v>16.0</v>
      </c>
      <c r="G3525" s="2">
        <v>35.0</v>
      </c>
      <c r="H3525" s="2">
        <v>16.0</v>
      </c>
      <c r="I3525" s="2">
        <v>15.0</v>
      </c>
      <c r="J3525" s="2">
        <v>4.0</v>
      </c>
      <c r="K3525" s="2">
        <v>0.0</v>
      </c>
      <c r="L3525" s="2">
        <v>0.0</v>
      </c>
      <c r="M3525" s="2">
        <v>0.0</v>
      </c>
      <c r="N3525" s="2">
        <v>0.0</v>
      </c>
      <c r="O3525" s="2">
        <v>-16.0</v>
      </c>
      <c r="P3525" s="2" t="s">
        <v>80</v>
      </c>
    </row>
    <row r="3526">
      <c r="A3526" s="3" t="s">
        <v>36</v>
      </c>
      <c r="B3526" s="2" t="s">
        <v>17</v>
      </c>
      <c r="C3526" s="2" t="s">
        <v>18</v>
      </c>
      <c r="D3526" s="2" t="s">
        <v>23</v>
      </c>
      <c r="E3526" s="2" t="s">
        <v>316</v>
      </c>
      <c r="F3526" s="2">
        <v>26.0</v>
      </c>
      <c r="G3526" s="2">
        <v>38.0</v>
      </c>
      <c r="H3526" s="2">
        <v>29.0</v>
      </c>
      <c r="I3526" s="2">
        <v>8.0</v>
      </c>
      <c r="J3526" s="2">
        <v>1.0</v>
      </c>
      <c r="K3526" s="2">
        <v>0.0</v>
      </c>
      <c r="L3526" s="2">
        <v>0.0</v>
      </c>
      <c r="M3526" s="2">
        <v>-3.0</v>
      </c>
      <c r="N3526" s="2">
        <v>0.0</v>
      </c>
      <c r="O3526" s="2">
        <v>-32.0</v>
      </c>
      <c r="P3526" s="2" t="s">
        <v>80</v>
      </c>
    </row>
    <row r="3527">
      <c r="A3527" s="3" t="s">
        <v>37</v>
      </c>
      <c r="B3527" s="4">
        <v>45048.29166666667</v>
      </c>
      <c r="C3527" s="2" t="s">
        <v>18</v>
      </c>
      <c r="D3527" s="2" t="s">
        <v>109</v>
      </c>
      <c r="E3527" s="2" t="s">
        <v>171</v>
      </c>
      <c r="F3527" s="2"/>
      <c r="G3527" s="2">
        <v>6.0</v>
      </c>
      <c r="H3527" s="2">
        <v>2.0</v>
      </c>
      <c r="I3527" s="2">
        <v>3.0</v>
      </c>
      <c r="J3527" s="2">
        <v>1.0</v>
      </c>
      <c r="K3527" s="2">
        <v>0.0</v>
      </c>
      <c r="L3527" s="2">
        <v>0.0</v>
      </c>
      <c r="M3527" s="2"/>
      <c r="N3527" s="2"/>
      <c r="O3527" s="2"/>
      <c r="P3527" s="2" t="s">
        <v>80</v>
      </c>
    </row>
    <row r="3528">
      <c r="A3528" s="3" t="s">
        <v>38</v>
      </c>
      <c r="B3528" s="4">
        <v>45049.29166666667</v>
      </c>
      <c r="C3528" s="2" t="s">
        <v>18</v>
      </c>
      <c r="D3528" s="2" t="s">
        <v>109</v>
      </c>
      <c r="E3528" s="2" t="s">
        <v>209</v>
      </c>
      <c r="F3528" s="2"/>
      <c r="G3528" s="2">
        <v>6.0</v>
      </c>
      <c r="H3528" s="2">
        <v>3.0</v>
      </c>
      <c r="I3528" s="2">
        <v>2.0</v>
      </c>
      <c r="J3528" s="2">
        <v>1.0</v>
      </c>
      <c r="K3528" s="2">
        <v>0.0</v>
      </c>
      <c r="L3528" s="2">
        <v>0.0</v>
      </c>
      <c r="M3528" s="2"/>
      <c r="N3528" s="2"/>
      <c r="O3528" s="2"/>
      <c r="P3528" s="2" t="s">
        <v>80</v>
      </c>
    </row>
    <row r="3529">
      <c r="A3529" s="3" t="s">
        <v>39</v>
      </c>
      <c r="B3529" s="4">
        <v>45050.29166666667</v>
      </c>
      <c r="C3529" s="2" t="s">
        <v>18</v>
      </c>
      <c r="D3529" s="2" t="s">
        <v>109</v>
      </c>
      <c r="E3529" s="2" t="s">
        <v>316</v>
      </c>
      <c r="F3529" s="2"/>
      <c r="G3529" s="2">
        <v>8.0</v>
      </c>
      <c r="H3529" s="2">
        <v>5.0</v>
      </c>
      <c r="I3529" s="2">
        <v>3.0</v>
      </c>
      <c r="J3529" s="2">
        <v>0.0</v>
      </c>
      <c r="K3529" s="2">
        <v>0.0</v>
      </c>
      <c r="L3529" s="2">
        <v>0.0</v>
      </c>
      <c r="M3529" s="2"/>
      <c r="N3529" s="2"/>
      <c r="O3529" s="2"/>
      <c r="P3529" s="2" t="s">
        <v>80</v>
      </c>
    </row>
    <row r="3530">
      <c r="A3530" s="3" t="s">
        <v>40</v>
      </c>
      <c r="B3530" s="4">
        <v>45051.29166666667</v>
      </c>
      <c r="C3530" s="2" t="s">
        <v>18</v>
      </c>
      <c r="D3530" s="2" t="s">
        <v>109</v>
      </c>
      <c r="E3530" s="2" t="s">
        <v>408</v>
      </c>
      <c r="F3530" s="2"/>
      <c r="G3530" s="2">
        <v>19.0</v>
      </c>
      <c r="H3530" s="2">
        <v>10.0</v>
      </c>
      <c r="I3530" s="2">
        <v>6.0</v>
      </c>
      <c r="J3530" s="2">
        <v>3.0</v>
      </c>
      <c r="K3530" s="2">
        <v>0.0</v>
      </c>
      <c r="L3530" s="2">
        <v>0.0</v>
      </c>
      <c r="M3530" s="2"/>
      <c r="N3530" s="2"/>
      <c r="O3530" s="2"/>
      <c r="P3530" s="2" t="s">
        <v>80</v>
      </c>
    </row>
    <row r="3531">
      <c r="A3531" s="3" t="s">
        <v>41</v>
      </c>
      <c r="B3531" s="4">
        <v>45079.29166666667</v>
      </c>
      <c r="C3531" s="2" t="s">
        <v>18</v>
      </c>
      <c r="D3531" s="2" t="s">
        <v>127</v>
      </c>
      <c r="E3531" s="2" t="s">
        <v>171</v>
      </c>
      <c r="F3531" s="2"/>
      <c r="G3531" s="2">
        <v>110.0</v>
      </c>
      <c r="H3531" s="2">
        <v>71.0</v>
      </c>
      <c r="I3531" s="2">
        <v>39.0</v>
      </c>
      <c r="J3531" s="2">
        <v>0.0</v>
      </c>
      <c r="K3531" s="2">
        <v>0.0</v>
      </c>
      <c r="L3531" s="2">
        <v>0.0</v>
      </c>
      <c r="M3531" s="2"/>
      <c r="N3531" s="2"/>
      <c r="O3531" s="2"/>
      <c r="P3531" s="2" t="s">
        <v>80</v>
      </c>
    </row>
    <row r="3532">
      <c r="A3532" s="3" t="s">
        <v>42</v>
      </c>
      <c r="B3532" s="4">
        <v>45080.29166666667</v>
      </c>
      <c r="C3532" s="2" t="s">
        <v>18</v>
      </c>
      <c r="D3532" s="2" t="s">
        <v>127</v>
      </c>
      <c r="E3532" s="2" t="s">
        <v>209</v>
      </c>
      <c r="F3532" s="2"/>
      <c r="G3532" s="2">
        <v>30.0</v>
      </c>
      <c r="H3532" s="2">
        <v>20.0</v>
      </c>
      <c r="I3532" s="2">
        <v>9.0</v>
      </c>
      <c r="J3532" s="2">
        <v>1.0</v>
      </c>
      <c r="K3532" s="2">
        <v>0.0</v>
      </c>
      <c r="L3532" s="2">
        <v>0.0</v>
      </c>
      <c r="M3532" s="2"/>
      <c r="N3532" s="2"/>
      <c r="O3532" s="2"/>
      <c r="P3532" s="2" t="s">
        <v>80</v>
      </c>
    </row>
    <row r="3533">
      <c r="A3533" s="3" t="s">
        <v>43</v>
      </c>
      <c r="B3533" s="4">
        <v>45081.29166666667</v>
      </c>
      <c r="C3533" s="2" t="s">
        <v>18</v>
      </c>
      <c r="D3533" s="2" t="s">
        <v>127</v>
      </c>
      <c r="E3533" s="2" t="s">
        <v>316</v>
      </c>
      <c r="F3533" s="2"/>
      <c r="G3533" s="2">
        <v>17.0</v>
      </c>
      <c r="H3533" s="2">
        <v>14.0</v>
      </c>
      <c r="I3533" s="2">
        <v>3.0</v>
      </c>
      <c r="J3533" s="2">
        <v>0.0</v>
      </c>
      <c r="K3533" s="2">
        <v>0.0</v>
      </c>
      <c r="L3533" s="2">
        <v>0.0</v>
      </c>
      <c r="M3533" s="2"/>
      <c r="N3533" s="2"/>
      <c r="O3533" s="2"/>
      <c r="P3533" s="2" t="s">
        <v>80</v>
      </c>
    </row>
    <row r="3534">
      <c r="A3534" s="3" t="s">
        <v>44</v>
      </c>
      <c r="B3534" s="4">
        <v>45082.29166666667</v>
      </c>
      <c r="C3534" s="2" t="s">
        <v>18</v>
      </c>
      <c r="D3534" s="2" t="s">
        <v>127</v>
      </c>
      <c r="E3534" s="2" t="s">
        <v>408</v>
      </c>
      <c r="F3534" s="2"/>
      <c r="G3534" s="2">
        <v>0.0</v>
      </c>
      <c r="H3534" s="2">
        <v>0.0</v>
      </c>
      <c r="I3534" s="2">
        <v>0.0</v>
      </c>
      <c r="J3534" s="2">
        <v>0.0</v>
      </c>
      <c r="K3534" s="2">
        <v>0.0</v>
      </c>
      <c r="L3534" s="2">
        <v>0.0</v>
      </c>
      <c r="M3534" s="2"/>
      <c r="N3534" s="2"/>
      <c r="O3534" s="2"/>
      <c r="P3534" s="2" t="s">
        <v>80</v>
      </c>
    </row>
    <row r="3535">
      <c r="A3535" s="3" t="s">
        <v>45</v>
      </c>
      <c r="B3535" s="4">
        <v>45083.29166666667</v>
      </c>
      <c r="C3535" s="2" t="s">
        <v>18</v>
      </c>
      <c r="D3535" s="2" t="s">
        <v>109</v>
      </c>
      <c r="E3535" s="2" t="s">
        <v>171</v>
      </c>
      <c r="F3535" s="2"/>
      <c r="G3535" s="2">
        <v>10.0</v>
      </c>
      <c r="H3535" s="2">
        <v>8.0</v>
      </c>
      <c r="I3535" s="2">
        <v>2.0</v>
      </c>
      <c r="J3535" s="2">
        <v>0.0</v>
      </c>
      <c r="K3535" s="2">
        <v>0.0</v>
      </c>
      <c r="L3535" s="2">
        <v>0.0</v>
      </c>
      <c r="M3535" s="2"/>
      <c r="N3535" s="2"/>
      <c r="O3535" s="2"/>
      <c r="P3535" s="2" t="s">
        <v>80</v>
      </c>
    </row>
    <row r="3536">
      <c r="A3536" s="3" t="s">
        <v>16</v>
      </c>
      <c r="B3536" s="4">
        <v>45084.29166666667</v>
      </c>
      <c r="C3536" s="2" t="s">
        <v>18</v>
      </c>
      <c r="D3536" s="2" t="s">
        <v>109</v>
      </c>
      <c r="E3536" s="2" t="s">
        <v>209</v>
      </c>
      <c r="F3536" s="2"/>
      <c r="G3536" s="2">
        <v>6.0</v>
      </c>
      <c r="H3536" s="2">
        <v>3.0</v>
      </c>
      <c r="I3536" s="2">
        <v>2.0</v>
      </c>
      <c r="J3536" s="2">
        <v>1.0</v>
      </c>
      <c r="K3536" s="2">
        <v>0.0</v>
      </c>
      <c r="L3536" s="2">
        <v>0.0</v>
      </c>
      <c r="M3536" s="2"/>
      <c r="N3536" s="2"/>
      <c r="O3536" s="2"/>
      <c r="P3536" s="2" t="s">
        <v>80</v>
      </c>
    </row>
    <row r="3537">
      <c r="A3537" s="3" t="s">
        <v>47</v>
      </c>
      <c r="B3537" s="4">
        <v>45085.29166666667</v>
      </c>
      <c r="C3537" s="2" t="s">
        <v>18</v>
      </c>
      <c r="D3537" s="2" t="s">
        <v>109</v>
      </c>
      <c r="E3537" s="2" t="s">
        <v>316</v>
      </c>
      <c r="F3537" s="2"/>
      <c r="G3537" s="2">
        <v>10.0</v>
      </c>
      <c r="H3537" s="2">
        <v>7.0</v>
      </c>
      <c r="I3537" s="2">
        <v>2.0</v>
      </c>
      <c r="J3537" s="2">
        <v>1.0</v>
      </c>
      <c r="K3537" s="2">
        <v>0.0</v>
      </c>
      <c r="L3537" s="2">
        <v>0.0</v>
      </c>
      <c r="M3537" s="2"/>
      <c r="N3537" s="2"/>
      <c r="O3537" s="2"/>
      <c r="P3537" s="2" t="s">
        <v>80</v>
      </c>
    </row>
    <row r="3538">
      <c r="A3538" s="3" t="s">
        <v>48</v>
      </c>
      <c r="B3538" s="4">
        <v>45086.29166666667</v>
      </c>
      <c r="C3538" s="2" t="s">
        <v>18</v>
      </c>
      <c r="D3538" s="2" t="s">
        <v>109</v>
      </c>
      <c r="E3538" s="2" t="s">
        <v>408</v>
      </c>
      <c r="F3538" s="2"/>
      <c r="G3538" s="2">
        <v>3.0</v>
      </c>
      <c r="H3538" s="2">
        <v>1.0</v>
      </c>
      <c r="I3538" s="2">
        <v>1.0</v>
      </c>
      <c r="J3538" s="2">
        <v>1.0</v>
      </c>
      <c r="K3538" s="2">
        <v>0.0</v>
      </c>
      <c r="L3538" s="2">
        <v>0.0</v>
      </c>
      <c r="M3538" s="2"/>
      <c r="N3538" s="2"/>
      <c r="O3538" s="2"/>
      <c r="P3538" s="2" t="s">
        <v>80</v>
      </c>
    </row>
    <row r="3539">
      <c r="A3539" s="3" t="s">
        <v>49</v>
      </c>
      <c r="B3539" s="4">
        <v>45111.29166666667</v>
      </c>
      <c r="C3539" s="2" t="s">
        <v>18</v>
      </c>
      <c r="D3539" s="2" t="s">
        <v>127</v>
      </c>
      <c r="E3539" s="2" t="s">
        <v>171</v>
      </c>
      <c r="F3539" s="2"/>
      <c r="G3539" s="2">
        <v>14.0</v>
      </c>
      <c r="H3539" s="2">
        <v>12.0</v>
      </c>
      <c r="I3539" s="2">
        <v>2.0</v>
      </c>
      <c r="J3539" s="2">
        <v>0.0</v>
      </c>
      <c r="K3539" s="2">
        <v>0.0</v>
      </c>
      <c r="L3539" s="2">
        <v>0.0</v>
      </c>
      <c r="M3539" s="2"/>
      <c r="N3539" s="2"/>
      <c r="O3539" s="2"/>
      <c r="P3539" s="2" t="s">
        <v>80</v>
      </c>
    </row>
    <row r="3540">
      <c r="A3540" s="3" t="s">
        <v>51</v>
      </c>
      <c r="B3540" s="4">
        <v>45112.29166666667</v>
      </c>
      <c r="C3540" s="2" t="s">
        <v>18</v>
      </c>
      <c r="D3540" s="2" t="s">
        <v>127</v>
      </c>
      <c r="E3540" s="2" t="s">
        <v>209</v>
      </c>
      <c r="F3540" s="2"/>
      <c r="G3540" s="2">
        <v>10.0</v>
      </c>
      <c r="H3540" s="2">
        <v>7.0</v>
      </c>
      <c r="I3540" s="2">
        <v>3.0</v>
      </c>
      <c r="J3540" s="2">
        <v>0.0</v>
      </c>
      <c r="K3540" s="2">
        <v>0.0</v>
      </c>
      <c r="L3540" s="2">
        <v>0.0</v>
      </c>
      <c r="M3540" s="2"/>
      <c r="N3540" s="2"/>
      <c r="O3540" s="2"/>
      <c r="P3540" s="2" t="s">
        <v>80</v>
      </c>
    </row>
    <row r="3541">
      <c r="A3541" s="3" t="s">
        <v>52</v>
      </c>
      <c r="B3541" s="4">
        <v>45113.29166666667</v>
      </c>
      <c r="C3541" s="2" t="s">
        <v>18</v>
      </c>
      <c r="D3541" s="2" t="s">
        <v>127</v>
      </c>
      <c r="E3541" s="2" t="s">
        <v>316</v>
      </c>
      <c r="F3541" s="2"/>
      <c r="G3541" s="2">
        <v>0.0</v>
      </c>
      <c r="H3541" s="2">
        <v>0.0</v>
      </c>
      <c r="I3541" s="2">
        <v>0.0</v>
      </c>
      <c r="J3541" s="2">
        <v>0.0</v>
      </c>
      <c r="K3541" s="2">
        <v>0.0</v>
      </c>
      <c r="L3541" s="2">
        <v>0.0</v>
      </c>
      <c r="M3541" s="2"/>
      <c r="N3541" s="2"/>
      <c r="O3541" s="2"/>
      <c r="P3541" s="2" t="s">
        <v>80</v>
      </c>
    </row>
    <row r="3542">
      <c r="A3542" s="3" t="s">
        <v>53</v>
      </c>
      <c r="B3542" s="4">
        <v>45114.29166666667</v>
      </c>
      <c r="C3542" s="2" t="s">
        <v>18</v>
      </c>
      <c r="D3542" s="2" t="s">
        <v>127</v>
      </c>
      <c r="E3542" s="2" t="s">
        <v>408</v>
      </c>
      <c r="F3542" s="2"/>
      <c r="G3542" s="2">
        <v>7.0</v>
      </c>
      <c r="H3542" s="2">
        <v>2.0</v>
      </c>
      <c r="I3542" s="2">
        <v>5.0</v>
      </c>
      <c r="J3542" s="2">
        <v>0.0</v>
      </c>
      <c r="K3542" s="2">
        <v>0.0</v>
      </c>
      <c r="L3542" s="2">
        <v>0.0</v>
      </c>
      <c r="M3542" s="2"/>
      <c r="N3542" s="2"/>
      <c r="O3542" s="2"/>
      <c r="P3542" s="2" t="s">
        <v>80</v>
      </c>
    </row>
    <row r="3543">
      <c r="A3543" s="3" t="s">
        <v>54</v>
      </c>
      <c r="B3543" s="4">
        <v>45115.29166666667</v>
      </c>
      <c r="C3543" s="2" t="s">
        <v>18</v>
      </c>
      <c r="D3543" s="2" t="s">
        <v>109</v>
      </c>
      <c r="E3543" s="2" t="s">
        <v>171</v>
      </c>
      <c r="F3543" s="2"/>
      <c r="G3543" s="2">
        <v>3.0</v>
      </c>
      <c r="H3543" s="2">
        <v>2.0</v>
      </c>
      <c r="I3543" s="2">
        <v>1.0</v>
      </c>
      <c r="J3543" s="2">
        <v>0.0</v>
      </c>
      <c r="K3543" s="2">
        <v>0.0</v>
      </c>
      <c r="L3543" s="2">
        <v>0.0</v>
      </c>
      <c r="M3543" s="2"/>
      <c r="N3543" s="2"/>
      <c r="O3543" s="2"/>
      <c r="P3543" s="2" t="s">
        <v>80</v>
      </c>
    </row>
    <row r="3544">
      <c r="A3544" s="3" t="s">
        <v>55</v>
      </c>
      <c r="B3544" s="4">
        <v>45116.29166666667</v>
      </c>
      <c r="C3544" s="2" t="s">
        <v>18</v>
      </c>
      <c r="D3544" s="2" t="s">
        <v>109</v>
      </c>
      <c r="E3544" s="2" t="s">
        <v>209</v>
      </c>
      <c r="F3544" s="2"/>
      <c r="G3544" s="2">
        <v>18.0</v>
      </c>
      <c r="H3544" s="2">
        <v>9.0</v>
      </c>
      <c r="I3544" s="2">
        <v>9.0</v>
      </c>
      <c r="J3544" s="2">
        <v>0.0</v>
      </c>
      <c r="K3544" s="2">
        <v>0.0</v>
      </c>
      <c r="L3544" s="2">
        <v>0.0</v>
      </c>
      <c r="M3544" s="2"/>
      <c r="N3544" s="2"/>
      <c r="O3544" s="2"/>
      <c r="P3544" s="2" t="s">
        <v>80</v>
      </c>
    </row>
    <row r="3545">
      <c r="A3545" s="3" t="s">
        <v>56</v>
      </c>
      <c r="B3545" s="4">
        <v>45117.29166666667</v>
      </c>
      <c r="C3545" s="2" t="s">
        <v>18</v>
      </c>
      <c r="D3545" s="2" t="s">
        <v>109</v>
      </c>
      <c r="E3545" s="2" t="s">
        <v>408</v>
      </c>
      <c r="F3545" s="2"/>
      <c r="G3545" s="2">
        <v>6.0</v>
      </c>
      <c r="H3545" s="2">
        <v>3.0</v>
      </c>
      <c r="I3545" s="2">
        <v>3.0</v>
      </c>
      <c r="J3545" s="2">
        <v>0.0</v>
      </c>
      <c r="K3545" s="2">
        <v>0.0</v>
      </c>
      <c r="L3545" s="2">
        <v>0.0</v>
      </c>
      <c r="M3545" s="2"/>
      <c r="N3545" s="2"/>
      <c r="O3545" s="2"/>
      <c r="P3545" s="2" t="s">
        <v>80</v>
      </c>
    </row>
    <row r="3546">
      <c r="A3546" s="3" t="s">
        <v>59</v>
      </c>
      <c r="B3546" s="4">
        <v>45118.29166666667</v>
      </c>
      <c r="C3546" s="2" t="s">
        <v>18</v>
      </c>
      <c r="D3546" s="2" t="s">
        <v>109</v>
      </c>
      <c r="E3546" s="2" t="s">
        <v>316</v>
      </c>
      <c r="F3546" s="2"/>
      <c r="G3546" s="2">
        <v>0.0</v>
      </c>
      <c r="H3546" s="2">
        <v>0.0</v>
      </c>
      <c r="I3546" s="2">
        <v>0.0</v>
      </c>
      <c r="J3546" s="2">
        <v>0.0</v>
      </c>
      <c r="K3546" s="2">
        <v>0.0</v>
      </c>
      <c r="L3546" s="2">
        <v>0.0</v>
      </c>
      <c r="M3546" s="2"/>
      <c r="N3546" s="2"/>
      <c r="O3546" s="2"/>
      <c r="P3546" s="2" t="s">
        <v>80</v>
      </c>
    </row>
    <row r="3547">
      <c r="A3547" s="3" t="s">
        <v>60</v>
      </c>
      <c r="B3547" s="4">
        <v>45139.29166666667</v>
      </c>
      <c r="C3547" s="2" t="s">
        <v>18</v>
      </c>
      <c r="D3547" s="2" t="s">
        <v>127</v>
      </c>
      <c r="E3547" s="2" t="s">
        <v>171</v>
      </c>
      <c r="F3547" s="2"/>
      <c r="G3547" s="2">
        <v>5.0</v>
      </c>
      <c r="H3547" s="2">
        <v>4.0</v>
      </c>
      <c r="I3547" s="2">
        <v>1.0</v>
      </c>
      <c r="J3547" s="2">
        <v>0.0</v>
      </c>
      <c r="K3547" s="2">
        <v>0.0</v>
      </c>
      <c r="L3547" s="2">
        <v>0.0</v>
      </c>
      <c r="M3547" s="2"/>
      <c r="N3547" s="2"/>
      <c r="O3547" s="2"/>
      <c r="P3547" s="2" t="s">
        <v>80</v>
      </c>
    </row>
    <row r="3548">
      <c r="A3548" s="3" t="s">
        <v>61</v>
      </c>
      <c r="B3548" s="4">
        <v>45139.29166666667</v>
      </c>
      <c r="C3548" s="2" t="s">
        <v>18</v>
      </c>
      <c r="D3548" s="2" t="s">
        <v>127</v>
      </c>
      <c r="E3548" s="2" t="s">
        <v>209</v>
      </c>
      <c r="F3548" s="2"/>
      <c r="G3548" s="2">
        <v>6.0</v>
      </c>
      <c r="H3548" s="2">
        <v>5.0</v>
      </c>
      <c r="I3548" s="2">
        <v>1.0</v>
      </c>
      <c r="J3548" s="2">
        <v>0.0</v>
      </c>
      <c r="K3548" s="2">
        <v>0.0</v>
      </c>
      <c r="L3548" s="2">
        <v>0.0</v>
      </c>
      <c r="M3548" s="2"/>
      <c r="N3548" s="2"/>
      <c r="O3548" s="2"/>
      <c r="P3548" s="2" t="s">
        <v>80</v>
      </c>
    </row>
    <row r="3549">
      <c r="A3549" s="3" t="s">
        <v>62</v>
      </c>
      <c r="B3549" s="4">
        <v>45139.29166666667</v>
      </c>
      <c r="C3549" s="2" t="s">
        <v>18</v>
      </c>
      <c r="D3549" s="2" t="s">
        <v>127</v>
      </c>
      <c r="E3549" s="2" t="s">
        <v>316</v>
      </c>
      <c r="F3549" s="2"/>
      <c r="G3549" s="2">
        <v>3.0</v>
      </c>
      <c r="H3549" s="2">
        <v>3.0</v>
      </c>
      <c r="I3549" s="2">
        <v>0.0</v>
      </c>
      <c r="J3549" s="2">
        <v>0.0</v>
      </c>
      <c r="K3549" s="2">
        <v>0.0</v>
      </c>
      <c r="L3549" s="2">
        <v>0.0</v>
      </c>
      <c r="M3549" s="2"/>
      <c r="N3549" s="2"/>
      <c r="O3549" s="2"/>
      <c r="P3549" s="2" t="s">
        <v>80</v>
      </c>
    </row>
    <row r="3550">
      <c r="A3550" s="3" t="s">
        <v>63</v>
      </c>
      <c r="B3550" s="4">
        <v>45139.29166666667</v>
      </c>
      <c r="C3550" s="2" t="s">
        <v>18</v>
      </c>
      <c r="D3550" s="2" t="s">
        <v>127</v>
      </c>
      <c r="E3550" s="2" t="s">
        <v>408</v>
      </c>
      <c r="F3550" s="2"/>
      <c r="G3550" s="2">
        <v>0.0</v>
      </c>
      <c r="H3550" s="2">
        <v>0.0</v>
      </c>
      <c r="I3550" s="2">
        <v>0.0</v>
      </c>
      <c r="J3550" s="2">
        <v>0.0</v>
      </c>
      <c r="K3550" s="2">
        <v>0.0</v>
      </c>
      <c r="L3550" s="2">
        <v>0.0</v>
      </c>
      <c r="M3550" s="2"/>
      <c r="N3550" s="2"/>
      <c r="O3550" s="2"/>
      <c r="P3550" s="2" t="s">
        <v>80</v>
      </c>
    </row>
    <row r="3551">
      <c r="A3551" s="3" t="s">
        <v>64</v>
      </c>
      <c r="B3551" s="2" t="s">
        <v>17</v>
      </c>
      <c r="C3551" s="2" t="s">
        <v>18</v>
      </c>
      <c r="D3551" s="2" t="s">
        <v>91</v>
      </c>
      <c r="E3551" s="2" t="s">
        <v>171</v>
      </c>
      <c r="F3551" s="2">
        <v>84.0</v>
      </c>
      <c r="G3551" s="2">
        <v>116.0</v>
      </c>
      <c r="H3551" s="2">
        <v>85.0</v>
      </c>
      <c r="I3551" s="2">
        <v>25.0</v>
      </c>
      <c r="J3551" s="2">
        <v>6.0</v>
      </c>
      <c r="K3551" s="2">
        <v>0.0</v>
      </c>
      <c r="L3551" s="2">
        <v>0.0</v>
      </c>
      <c r="M3551" s="2">
        <v>-1.0</v>
      </c>
      <c r="N3551" s="2"/>
      <c r="O3551" s="2"/>
      <c r="P3551" s="2" t="s">
        <v>80</v>
      </c>
    </row>
    <row r="3552">
      <c r="A3552" s="3" t="s">
        <v>65</v>
      </c>
      <c r="B3552" s="2" t="s">
        <v>17</v>
      </c>
      <c r="C3552" s="2" t="s">
        <v>18</v>
      </c>
      <c r="D3552" s="2" t="s">
        <v>91</v>
      </c>
      <c r="E3552" s="2" t="s">
        <v>408</v>
      </c>
      <c r="F3552" s="2">
        <v>20.0</v>
      </c>
      <c r="G3552" s="2">
        <v>35.0</v>
      </c>
      <c r="H3552" s="2">
        <v>24.0</v>
      </c>
      <c r="I3552" s="2">
        <v>5.0</v>
      </c>
      <c r="J3552" s="2">
        <v>6.0</v>
      </c>
      <c r="K3552" s="2">
        <v>0.0</v>
      </c>
      <c r="L3552" s="2">
        <v>0.0</v>
      </c>
      <c r="M3552" s="2">
        <v>-4.0</v>
      </c>
      <c r="N3552" s="2"/>
      <c r="O3552" s="2"/>
      <c r="P3552" s="2" t="s">
        <v>80</v>
      </c>
    </row>
    <row r="3553">
      <c r="A3553" s="3" t="s">
        <v>66</v>
      </c>
      <c r="B3553" s="2" t="s">
        <v>17</v>
      </c>
      <c r="C3553" s="2" t="s">
        <v>57</v>
      </c>
      <c r="D3553" s="2" t="s">
        <v>91</v>
      </c>
      <c r="E3553" s="2" t="s">
        <v>209</v>
      </c>
      <c r="F3553" s="2">
        <v>35.0</v>
      </c>
      <c r="G3553" s="2">
        <v>40.0</v>
      </c>
      <c r="H3553" s="2">
        <v>37.0</v>
      </c>
      <c r="I3553" s="2">
        <v>2.0</v>
      </c>
      <c r="J3553" s="2">
        <v>1.0</v>
      </c>
      <c r="K3553" s="2">
        <v>0.0</v>
      </c>
      <c r="L3553" s="2">
        <v>0.0</v>
      </c>
      <c r="M3553" s="2">
        <v>-2.0</v>
      </c>
      <c r="N3553" s="2"/>
      <c r="O3553" s="2"/>
      <c r="P3553" s="2" t="s">
        <v>80</v>
      </c>
    </row>
    <row r="3554">
      <c r="A3554" s="3" t="s">
        <v>68</v>
      </c>
      <c r="B3554" s="2" t="s">
        <v>17</v>
      </c>
      <c r="C3554" s="2" t="s">
        <v>18</v>
      </c>
      <c r="D3554" s="2" t="s">
        <v>91</v>
      </c>
      <c r="E3554" s="2" t="s">
        <v>316</v>
      </c>
      <c r="F3554" s="2">
        <v>19.0</v>
      </c>
      <c r="G3554" s="2">
        <v>27.0</v>
      </c>
      <c r="H3554" s="2">
        <v>22.0</v>
      </c>
      <c r="I3554" s="2">
        <v>4.0</v>
      </c>
      <c r="J3554" s="2">
        <v>1.0</v>
      </c>
      <c r="K3554" s="2">
        <v>0.0</v>
      </c>
      <c r="L3554" s="2">
        <v>0.0</v>
      </c>
      <c r="M3554" s="2">
        <v>-3.0</v>
      </c>
      <c r="N3554" s="2"/>
      <c r="O3554" s="2"/>
      <c r="P3554" s="2" t="s">
        <v>80</v>
      </c>
    </row>
    <row r="3555">
      <c r="A3555" s="3" t="s">
        <v>70</v>
      </c>
      <c r="B3555" s="2" t="s">
        <v>17</v>
      </c>
      <c r="C3555" s="2" t="s">
        <v>18</v>
      </c>
      <c r="D3555" s="2" t="s">
        <v>23</v>
      </c>
      <c r="E3555" s="2" t="s">
        <v>171</v>
      </c>
      <c r="F3555" s="2">
        <v>84.0</v>
      </c>
      <c r="G3555" s="2">
        <v>116.0</v>
      </c>
      <c r="H3555" s="2">
        <v>85.0</v>
      </c>
      <c r="I3555" s="2">
        <v>25.0</v>
      </c>
      <c r="J3555" s="2">
        <v>6.0</v>
      </c>
      <c r="K3555" s="2">
        <v>0.0</v>
      </c>
      <c r="L3555" s="2">
        <v>0.0</v>
      </c>
      <c r="M3555" s="2">
        <v>-1.0</v>
      </c>
      <c r="N3555" s="2">
        <v>0.0</v>
      </c>
      <c r="O3555" s="2">
        <v>-86.0</v>
      </c>
      <c r="P3555" s="2" t="s">
        <v>80</v>
      </c>
    </row>
    <row r="3556">
      <c r="A3556" s="3" t="s">
        <v>16</v>
      </c>
      <c r="B3556" s="2" t="s">
        <v>17</v>
      </c>
      <c r="C3556" s="2" t="s">
        <v>18</v>
      </c>
      <c r="D3556" s="2" t="s">
        <v>23</v>
      </c>
      <c r="E3556" s="2" t="s">
        <v>408</v>
      </c>
      <c r="F3556" s="2">
        <v>20.0</v>
      </c>
      <c r="G3556" s="2">
        <v>35.0</v>
      </c>
      <c r="H3556" s="2">
        <v>24.0</v>
      </c>
      <c r="I3556" s="2">
        <v>5.0</v>
      </c>
      <c r="J3556" s="2">
        <v>6.0</v>
      </c>
      <c r="K3556" s="2">
        <v>0.0</v>
      </c>
      <c r="L3556" s="2">
        <v>0.0</v>
      </c>
      <c r="M3556" s="2">
        <v>-4.0</v>
      </c>
      <c r="N3556" s="2">
        <v>0.0</v>
      </c>
      <c r="O3556" s="2">
        <v>-28.0</v>
      </c>
      <c r="P3556" s="2" t="s">
        <v>80</v>
      </c>
    </row>
    <row r="3557">
      <c r="A3557" s="3" t="s">
        <v>71</v>
      </c>
      <c r="B3557" s="2" t="s">
        <v>17</v>
      </c>
      <c r="C3557" s="2" t="s">
        <v>57</v>
      </c>
      <c r="D3557" s="2" t="s">
        <v>23</v>
      </c>
      <c r="E3557" s="2" t="s">
        <v>209</v>
      </c>
      <c r="F3557" s="2">
        <v>35.0</v>
      </c>
      <c r="G3557" s="2">
        <v>40.0</v>
      </c>
      <c r="H3557" s="2">
        <v>37.0</v>
      </c>
      <c r="I3557" s="2">
        <v>2.0</v>
      </c>
      <c r="J3557" s="2">
        <v>1.0</v>
      </c>
      <c r="K3557" s="2">
        <v>0.0</v>
      </c>
      <c r="L3557" s="2">
        <v>0.0</v>
      </c>
      <c r="M3557" s="2">
        <v>-2.0</v>
      </c>
      <c r="N3557" s="2">
        <v>0.0</v>
      </c>
      <c r="O3557" s="2">
        <v>-39.0</v>
      </c>
      <c r="P3557" s="2" t="s">
        <v>80</v>
      </c>
    </row>
    <row r="3558">
      <c r="A3558" s="3" t="s">
        <v>72</v>
      </c>
      <c r="B3558" s="2" t="s">
        <v>17</v>
      </c>
      <c r="C3558" s="2" t="s">
        <v>18</v>
      </c>
      <c r="D3558" s="2" t="s">
        <v>23</v>
      </c>
      <c r="E3558" s="2" t="s">
        <v>316</v>
      </c>
      <c r="F3558" s="2">
        <v>19.0</v>
      </c>
      <c r="G3558" s="2">
        <v>27.0</v>
      </c>
      <c r="H3558" s="2">
        <v>22.0</v>
      </c>
      <c r="I3558" s="2">
        <v>4.0</v>
      </c>
      <c r="J3558" s="2">
        <v>1.0</v>
      </c>
      <c r="K3558" s="2">
        <v>0.0</v>
      </c>
      <c r="L3558" s="2">
        <v>0.0</v>
      </c>
      <c r="M3558" s="2">
        <v>-3.0</v>
      </c>
      <c r="N3558" s="2">
        <v>0.0</v>
      </c>
      <c r="O3558" s="2">
        <v>-25.0</v>
      </c>
      <c r="P3558" s="2" t="s">
        <v>80</v>
      </c>
    </row>
    <row r="3559">
      <c r="A3559" s="3" t="s">
        <v>73</v>
      </c>
      <c r="B3559" s="4">
        <v>45048.29166666667</v>
      </c>
      <c r="C3559" s="2" t="s">
        <v>18</v>
      </c>
      <c r="D3559" s="2" t="s">
        <v>91</v>
      </c>
      <c r="E3559" s="2" t="s">
        <v>171</v>
      </c>
      <c r="F3559" s="2"/>
      <c r="G3559" s="2">
        <v>26.0</v>
      </c>
      <c r="H3559" s="2">
        <v>20.0</v>
      </c>
      <c r="I3559" s="2">
        <v>3.0</v>
      </c>
      <c r="J3559" s="2">
        <v>3.0</v>
      </c>
      <c r="K3559" s="2">
        <v>0.0</v>
      </c>
      <c r="L3559" s="2">
        <v>0.0</v>
      </c>
      <c r="M3559" s="2"/>
      <c r="N3559" s="2"/>
      <c r="O3559" s="2"/>
      <c r="P3559" s="2" t="s">
        <v>80</v>
      </c>
    </row>
    <row r="3560">
      <c r="A3560" s="3" t="s">
        <v>74</v>
      </c>
      <c r="B3560" s="4">
        <v>45049.29166666667</v>
      </c>
      <c r="C3560" s="2" t="s">
        <v>18</v>
      </c>
      <c r="D3560" s="2" t="s">
        <v>91</v>
      </c>
      <c r="E3560" s="2" t="s">
        <v>408</v>
      </c>
      <c r="F3560" s="2"/>
      <c r="G3560" s="2">
        <v>22.0</v>
      </c>
      <c r="H3560" s="2">
        <v>14.0</v>
      </c>
      <c r="I3560" s="2">
        <v>2.0</v>
      </c>
      <c r="J3560" s="2">
        <v>6.0</v>
      </c>
      <c r="K3560" s="2">
        <v>0.0</v>
      </c>
      <c r="L3560" s="2">
        <v>0.0</v>
      </c>
      <c r="M3560" s="2"/>
      <c r="N3560" s="2"/>
      <c r="O3560" s="2"/>
      <c r="P3560" s="2" t="s">
        <v>80</v>
      </c>
    </row>
    <row r="3561">
      <c r="A3561" s="3" t="s">
        <v>75</v>
      </c>
      <c r="B3561" s="4">
        <v>45050.29166666667</v>
      </c>
      <c r="C3561" s="2" t="s">
        <v>18</v>
      </c>
      <c r="D3561" s="2" t="s">
        <v>91</v>
      </c>
      <c r="E3561" s="2" t="s">
        <v>209</v>
      </c>
      <c r="F3561" s="2"/>
      <c r="G3561" s="2">
        <v>18.0</v>
      </c>
      <c r="H3561" s="2">
        <v>17.0</v>
      </c>
      <c r="I3561" s="2">
        <v>1.0</v>
      </c>
      <c r="J3561" s="2">
        <v>0.0</v>
      </c>
      <c r="K3561" s="2">
        <v>0.0</v>
      </c>
      <c r="L3561" s="2">
        <v>0.0</v>
      </c>
      <c r="M3561" s="2"/>
      <c r="N3561" s="2"/>
      <c r="O3561" s="2"/>
      <c r="P3561" s="2" t="s">
        <v>80</v>
      </c>
    </row>
    <row r="3562">
      <c r="A3562" s="3" t="s">
        <v>76</v>
      </c>
      <c r="B3562" s="4">
        <v>45051.29166666667</v>
      </c>
      <c r="C3562" s="2" t="s">
        <v>18</v>
      </c>
      <c r="D3562" s="2" t="s">
        <v>91</v>
      </c>
      <c r="E3562" s="2" t="s">
        <v>316</v>
      </c>
      <c r="F3562" s="2"/>
      <c r="G3562" s="2">
        <v>9.0</v>
      </c>
      <c r="H3562" s="2">
        <v>9.0</v>
      </c>
      <c r="I3562" s="2">
        <v>0.0</v>
      </c>
      <c r="J3562" s="2">
        <v>0.0</v>
      </c>
      <c r="K3562" s="2">
        <v>0.0</v>
      </c>
      <c r="L3562" s="2">
        <v>0.0</v>
      </c>
      <c r="M3562" s="2"/>
      <c r="N3562" s="2"/>
      <c r="O3562" s="2"/>
      <c r="P3562" s="2" t="s">
        <v>80</v>
      </c>
    </row>
    <row r="3563">
      <c r="A3563" s="3" t="s">
        <v>77</v>
      </c>
      <c r="B3563" s="4">
        <v>45079.29166666667</v>
      </c>
      <c r="C3563" s="2" t="s">
        <v>18</v>
      </c>
      <c r="D3563" s="2" t="s">
        <v>91</v>
      </c>
      <c r="E3563" s="2" t="s">
        <v>171</v>
      </c>
      <c r="F3563" s="2"/>
      <c r="G3563" s="2">
        <v>67.0</v>
      </c>
      <c r="H3563" s="2">
        <v>47.0</v>
      </c>
      <c r="I3563" s="2">
        <v>17.0</v>
      </c>
      <c r="J3563" s="2">
        <v>3.0</v>
      </c>
      <c r="K3563" s="2">
        <v>0.0</v>
      </c>
      <c r="L3563" s="2">
        <v>0.0</v>
      </c>
      <c r="M3563" s="2"/>
      <c r="N3563" s="2"/>
      <c r="O3563" s="2"/>
      <c r="P3563" s="2" t="s">
        <v>80</v>
      </c>
    </row>
    <row r="3564">
      <c r="A3564" s="3" t="s">
        <v>78</v>
      </c>
      <c r="B3564" s="4">
        <v>45079.29166666667</v>
      </c>
      <c r="C3564" s="2" t="s">
        <v>18</v>
      </c>
      <c r="D3564" s="2" t="s">
        <v>91</v>
      </c>
      <c r="E3564" s="2" t="s">
        <v>408</v>
      </c>
      <c r="F3564" s="2"/>
      <c r="G3564" s="2">
        <v>0.0</v>
      </c>
      <c r="H3564" s="2">
        <v>0.0</v>
      </c>
      <c r="I3564" s="2">
        <v>0.0</v>
      </c>
      <c r="J3564" s="2">
        <v>0.0</v>
      </c>
      <c r="K3564" s="2">
        <v>0.0</v>
      </c>
      <c r="L3564" s="2">
        <v>0.0</v>
      </c>
      <c r="M3564" s="2"/>
      <c r="N3564" s="2"/>
      <c r="O3564" s="2"/>
      <c r="P3564" s="2" t="s">
        <v>80</v>
      </c>
    </row>
    <row r="3565">
      <c r="A3565" s="3" t="s">
        <v>81</v>
      </c>
      <c r="B3565" s="4">
        <v>45079.29166666667</v>
      </c>
      <c r="C3565" s="2" t="s">
        <v>18</v>
      </c>
      <c r="D3565" s="2" t="s">
        <v>91</v>
      </c>
      <c r="E3565" s="2" t="s">
        <v>209</v>
      </c>
      <c r="F3565" s="2"/>
      <c r="G3565" s="2">
        <v>20.0</v>
      </c>
      <c r="H3565" s="2">
        <v>18.0</v>
      </c>
      <c r="I3565" s="2">
        <v>1.0</v>
      </c>
      <c r="J3565" s="2">
        <v>1.0</v>
      </c>
      <c r="K3565" s="2">
        <v>0.0</v>
      </c>
      <c r="L3565" s="2">
        <v>0.0</v>
      </c>
      <c r="M3565" s="2"/>
      <c r="N3565" s="2"/>
      <c r="O3565" s="2"/>
      <c r="P3565" s="2" t="s">
        <v>80</v>
      </c>
    </row>
    <row r="3566">
      <c r="A3566" s="3" t="s">
        <v>82</v>
      </c>
      <c r="B3566" s="4">
        <v>45080.29166666667</v>
      </c>
      <c r="C3566" s="2" t="s">
        <v>18</v>
      </c>
      <c r="D3566" s="2" t="s">
        <v>91</v>
      </c>
      <c r="E3566" s="2" t="s">
        <v>316</v>
      </c>
      <c r="F3566" s="2"/>
      <c r="G3566" s="2">
        <v>11.0</v>
      </c>
      <c r="H3566" s="2">
        <v>7.0</v>
      </c>
      <c r="I3566" s="2">
        <v>3.0</v>
      </c>
      <c r="J3566" s="2">
        <v>1.0</v>
      </c>
      <c r="K3566" s="2">
        <v>0.0</v>
      </c>
      <c r="L3566" s="2">
        <v>0.0</v>
      </c>
      <c r="M3566" s="2"/>
      <c r="N3566" s="2"/>
      <c r="O3566" s="2"/>
      <c r="P3566" s="2" t="s">
        <v>80</v>
      </c>
    </row>
    <row r="3567">
      <c r="A3567" s="3" t="s">
        <v>83</v>
      </c>
      <c r="B3567" s="4">
        <v>45111.29166666667</v>
      </c>
      <c r="C3567" s="2" t="s">
        <v>18</v>
      </c>
      <c r="D3567" s="2" t="s">
        <v>91</v>
      </c>
      <c r="E3567" s="2" t="s">
        <v>171</v>
      </c>
      <c r="F3567" s="2"/>
      <c r="G3567" s="2">
        <v>21.0</v>
      </c>
      <c r="H3567" s="2">
        <v>17.0</v>
      </c>
      <c r="I3567" s="2">
        <v>4.0</v>
      </c>
      <c r="J3567" s="2">
        <v>0.0</v>
      </c>
      <c r="K3567" s="2">
        <v>0.0</v>
      </c>
      <c r="L3567" s="2">
        <v>0.0</v>
      </c>
      <c r="M3567" s="2"/>
      <c r="N3567" s="2"/>
      <c r="O3567" s="2"/>
      <c r="P3567" s="2" t="s">
        <v>80</v>
      </c>
    </row>
    <row r="3568">
      <c r="A3568" s="3" t="s">
        <v>84</v>
      </c>
      <c r="B3568" s="4">
        <v>45112.29166666667</v>
      </c>
      <c r="C3568" s="2" t="s">
        <v>18</v>
      </c>
      <c r="D3568" s="2" t="s">
        <v>91</v>
      </c>
      <c r="E3568" s="2" t="s">
        <v>408</v>
      </c>
      <c r="F3568" s="2"/>
      <c r="G3568" s="2">
        <v>8.0</v>
      </c>
      <c r="H3568" s="2">
        <v>6.0</v>
      </c>
      <c r="I3568" s="2">
        <v>2.0</v>
      </c>
      <c r="J3568" s="2">
        <v>0.0</v>
      </c>
      <c r="K3568" s="2">
        <v>0.0</v>
      </c>
      <c r="L3568" s="2">
        <v>0.0</v>
      </c>
      <c r="M3568" s="2"/>
      <c r="N3568" s="2"/>
      <c r="O3568" s="2"/>
      <c r="P3568" s="2" t="s">
        <v>80</v>
      </c>
    </row>
    <row r="3569">
      <c r="A3569" s="3" t="s">
        <v>85</v>
      </c>
      <c r="B3569" s="4">
        <v>45113.29166666667</v>
      </c>
      <c r="C3569" s="2" t="s">
        <v>18</v>
      </c>
      <c r="D3569" s="2" t="s">
        <v>91</v>
      </c>
      <c r="E3569" s="2" t="s">
        <v>209</v>
      </c>
      <c r="F3569" s="2"/>
      <c r="G3569" s="2">
        <v>0.0</v>
      </c>
      <c r="H3569" s="2">
        <v>0.0</v>
      </c>
      <c r="I3569" s="2">
        <v>0.0</v>
      </c>
      <c r="J3569" s="2">
        <v>0.0</v>
      </c>
      <c r="K3569" s="2">
        <v>0.0</v>
      </c>
      <c r="L3569" s="2">
        <v>0.0</v>
      </c>
      <c r="M3569" s="2"/>
      <c r="N3569" s="2"/>
      <c r="O3569" s="2"/>
      <c r="P3569" s="2" t="s">
        <v>80</v>
      </c>
    </row>
    <row r="3570">
      <c r="A3570" s="3" t="s">
        <v>86</v>
      </c>
      <c r="B3570" s="4">
        <v>45114.29166666667</v>
      </c>
      <c r="C3570" s="2" t="s">
        <v>18</v>
      </c>
      <c r="D3570" s="2" t="s">
        <v>91</v>
      </c>
      <c r="E3570" s="2" t="s">
        <v>316</v>
      </c>
      <c r="F3570" s="2"/>
      <c r="G3570" s="2">
        <v>5.0</v>
      </c>
      <c r="H3570" s="2">
        <v>4.0</v>
      </c>
      <c r="I3570" s="2">
        <v>1.0</v>
      </c>
      <c r="J3570" s="2">
        <v>0.0</v>
      </c>
      <c r="K3570" s="2">
        <v>0.0</v>
      </c>
      <c r="L3570" s="2">
        <v>0.0</v>
      </c>
      <c r="M3570" s="2"/>
      <c r="N3570" s="2"/>
      <c r="O3570" s="2"/>
      <c r="P3570" s="2" t="s">
        <v>80</v>
      </c>
    </row>
    <row r="3571">
      <c r="A3571" s="3" t="s">
        <v>87</v>
      </c>
      <c r="B3571" s="4">
        <v>45139.29166666667</v>
      </c>
      <c r="C3571" s="2" t="s">
        <v>18</v>
      </c>
      <c r="D3571" s="2" t="s">
        <v>91</v>
      </c>
      <c r="E3571" s="2" t="s">
        <v>171</v>
      </c>
      <c r="F3571" s="2"/>
      <c r="G3571" s="2">
        <v>2.0</v>
      </c>
      <c r="H3571" s="2">
        <v>1.0</v>
      </c>
      <c r="I3571" s="2">
        <v>1.0</v>
      </c>
      <c r="J3571" s="2">
        <v>0.0</v>
      </c>
      <c r="K3571" s="2">
        <v>0.0</v>
      </c>
      <c r="L3571" s="2">
        <v>0.0</v>
      </c>
      <c r="M3571" s="2"/>
      <c r="N3571" s="2"/>
      <c r="O3571" s="2"/>
      <c r="P3571" s="2" t="s">
        <v>80</v>
      </c>
    </row>
    <row r="3572">
      <c r="A3572" s="3" t="s">
        <v>88</v>
      </c>
      <c r="B3572" s="4">
        <v>45139.29166666667</v>
      </c>
      <c r="C3572" s="2" t="s">
        <v>18</v>
      </c>
      <c r="D3572" s="2" t="s">
        <v>91</v>
      </c>
      <c r="E3572" s="2" t="s">
        <v>408</v>
      </c>
      <c r="F3572" s="2"/>
      <c r="G3572" s="2">
        <v>5.0</v>
      </c>
      <c r="H3572" s="2">
        <v>4.0</v>
      </c>
      <c r="I3572" s="2">
        <v>1.0</v>
      </c>
      <c r="J3572" s="2">
        <v>0.0</v>
      </c>
      <c r="K3572" s="2">
        <v>0.0</v>
      </c>
      <c r="L3572" s="2">
        <v>0.0</v>
      </c>
      <c r="M3572" s="2"/>
      <c r="N3572" s="2"/>
      <c r="O3572" s="2"/>
      <c r="P3572" s="2" t="s">
        <v>80</v>
      </c>
    </row>
    <row r="3573">
      <c r="A3573" s="3" t="s">
        <v>89</v>
      </c>
      <c r="B3573" s="4">
        <v>45139.29166666667</v>
      </c>
      <c r="C3573" s="2" t="s">
        <v>18</v>
      </c>
      <c r="D3573" s="2" t="s">
        <v>91</v>
      </c>
      <c r="E3573" s="2" t="s">
        <v>209</v>
      </c>
      <c r="F3573" s="2"/>
      <c r="G3573" s="2">
        <v>2.0</v>
      </c>
      <c r="H3573" s="2">
        <v>2.0</v>
      </c>
      <c r="I3573" s="2">
        <v>0.0</v>
      </c>
      <c r="J3573" s="2">
        <v>0.0</v>
      </c>
      <c r="K3573" s="2">
        <v>0.0</v>
      </c>
      <c r="L3573" s="2">
        <v>0.0</v>
      </c>
      <c r="M3573" s="2"/>
      <c r="N3573" s="2"/>
      <c r="O3573" s="2"/>
      <c r="P3573" s="2" t="s">
        <v>80</v>
      </c>
    </row>
    <row r="3574">
      <c r="A3574" s="3" t="s">
        <v>90</v>
      </c>
      <c r="B3574" s="4">
        <v>45139.29166666667</v>
      </c>
      <c r="C3574" s="2" t="s">
        <v>18</v>
      </c>
      <c r="D3574" s="2" t="s">
        <v>91</v>
      </c>
      <c r="E3574" s="2" t="s">
        <v>316</v>
      </c>
      <c r="F3574" s="2"/>
      <c r="G3574" s="2">
        <v>2.0</v>
      </c>
      <c r="H3574" s="2">
        <v>2.0</v>
      </c>
      <c r="I3574" s="2">
        <v>0.0</v>
      </c>
      <c r="J3574" s="2">
        <v>0.0</v>
      </c>
      <c r="K3574" s="2">
        <v>0.0</v>
      </c>
      <c r="L3574" s="2">
        <v>0.0</v>
      </c>
      <c r="M3574" s="2"/>
      <c r="N3574" s="2"/>
      <c r="O3574" s="2"/>
      <c r="P3574" s="2" t="s">
        <v>80</v>
      </c>
    </row>
    <row r="3575">
      <c r="A3575" s="3" t="s">
        <v>93</v>
      </c>
      <c r="B3575" s="2" t="s">
        <v>17</v>
      </c>
      <c r="C3575" s="2" t="s">
        <v>18</v>
      </c>
      <c r="D3575" s="2" t="s">
        <v>127</v>
      </c>
      <c r="E3575" s="2" t="s">
        <v>409</v>
      </c>
      <c r="F3575" s="2">
        <v>29.0</v>
      </c>
      <c r="G3575" s="2">
        <v>39.0</v>
      </c>
      <c r="H3575" s="2">
        <v>9.0</v>
      </c>
      <c r="I3575" s="2">
        <v>30.0</v>
      </c>
      <c r="J3575" s="2">
        <v>0.0</v>
      </c>
      <c r="K3575" s="2">
        <v>0.0</v>
      </c>
      <c r="L3575" s="2">
        <v>0.0</v>
      </c>
      <c r="M3575" s="2">
        <v>20.0</v>
      </c>
      <c r="N3575" s="2"/>
      <c r="O3575" s="2"/>
      <c r="P3575" s="2" t="s">
        <v>293</v>
      </c>
    </row>
    <row r="3576">
      <c r="A3576" s="3" t="s">
        <v>16</v>
      </c>
      <c r="B3576" s="2" t="s">
        <v>17</v>
      </c>
      <c r="C3576" s="2" t="s">
        <v>57</v>
      </c>
      <c r="D3576" s="2" t="s">
        <v>157</v>
      </c>
      <c r="E3576" s="2" t="s">
        <v>409</v>
      </c>
      <c r="F3576" s="2">
        <v>40.0</v>
      </c>
      <c r="G3576" s="2">
        <v>51.0</v>
      </c>
      <c r="H3576" s="2">
        <v>22.0</v>
      </c>
      <c r="I3576" s="2">
        <v>29.0</v>
      </c>
      <c r="J3576" s="2">
        <v>0.0</v>
      </c>
      <c r="K3576" s="2">
        <v>0.0</v>
      </c>
      <c r="L3576" s="2">
        <v>0.0</v>
      </c>
      <c r="M3576" s="2">
        <v>18.0</v>
      </c>
      <c r="N3576" s="2"/>
      <c r="O3576" s="2"/>
      <c r="P3576" s="2" t="s">
        <v>293</v>
      </c>
    </row>
    <row r="3577">
      <c r="A3577" s="3" t="s">
        <v>94</v>
      </c>
      <c r="B3577" s="2" t="s">
        <v>17</v>
      </c>
      <c r="C3577" s="2" t="s">
        <v>148</v>
      </c>
      <c r="D3577" s="2" t="s">
        <v>19</v>
      </c>
      <c r="E3577" s="2" t="s">
        <v>409</v>
      </c>
      <c r="F3577" s="2">
        <v>31.0</v>
      </c>
      <c r="G3577" s="2">
        <v>3.0</v>
      </c>
      <c r="H3577" s="2">
        <v>2.0</v>
      </c>
      <c r="I3577" s="2">
        <v>1.0</v>
      </c>
      <c r="J3577" s="2">
        <v>0.0</v>
      </c>
      <c r="K3577" s="2">
        <v>0.0</v>
      </c>
      <c r="L3577" s="2">
        <v>0.0</v>
      </c>
      <c r="M3577" s="2">
        <v>29.0</v>
      </c>
      <c r="N3577" s="2"/>
      <c r="O3577" s="2"/>
      <c r="P3577" s="2" t="s">
        <v>293</v>
      </c>
    </row>
    <row r="3578">
      <c r="A3578" s="3" t="s">
        <v>95</v>
      </c>
      <c r="B3578" s="2" t="s">
        <v>17</v>
      </c>
      <c r="C3578" s="2" t="s">
        <v>18</v>
      </c>
      <c r="D3578" s="2" t="s">
        <v>109</v>
      </c>
      <c r="E3578" s="2" t="s">
        <v>409</v>
      </c>
      <c r="F3578" s="2">
        <v>16.0</v>
      </c>
      <c r="G3578" s="2">
        <v>31.0</v>
      </c>
      <c r="H3578" s="2">
        <v>16.0</v>
      </c>
      <c r="I3578" s="2">
        <v>15.0</v>
      </c>
      <c r="J3578" s="2">
        <v>0.0</v>
      </c>
      <c r="K3578" s="2">
        <v>0.0</v>
      </c>
      <c r="L3578" s="2">
        <v>0.0</v>
      </c>
      <c r="M3578" s="2">
        <v>0.0</v>
      </c>
      <c r="N3578" s="2"/>
      <c r="O3578" s="2"/>
      <c r="P3578" s="2" t="s">
        <v>293</v>
      </c>
    </row>
    <row r="3579">
      <c r="A3579" s="3" t="s">
        <v>97</v>
      </c>
      <c r="B3579" s="2" t="s">
        <v>17</v>
      </c>
      <c r="C3579" s="2" t="s">
        <v>18</v>
      </c>
      <c r="D3579" s="2" t="s">
        <v>23</v>
      </c>
      <c r="E3579" s="2" t="s">
        <v>409</v>
      </c>
      <c r="F3579" s="2">
        <v>49.0</v>
      </c>
      <c r="G3579" s="2">
        <v>124.0</v>
      </c>
      <c r="H3579" s="2">
        <v>49.0</v>
      </c>
      <c r="I3579" s="2">
        <v>75.0</v>
      </c>
      <c r="J3579" s="2">
        <v>0.0</v>
      </c>
      <c r="K3579" s="2">
        <v>0.0</v>
      </c>
      <c r="L3579" s="2">
        <v>0.0</v>
      </c>
      <c r="M3579" s="2">
        <v>0.0</v>
      </c>
      <c r="N3579" s="2">
        <v>-67.0</v>
      </c>
      <c r="O3579" s="2">
        <v>-49.0</v>
      </c>
      <c r="P3579" s="2" t="s">
        <v>293</v>
      </c>
    </row>
    <row r="3580">
      <c r="A3580" s="3" t="s">
        <v>98</v>
      </c>
      <c r="B3580" s="4">
        <v>45079.29166666667</v>
      </c>
      <c r="C3580" s="2" t="s">
        <v>18</v>
      </c>
      <c r="D3580" s="2" t="s">
        <v>19</v>
      </c>
      <c r="E3580" s="2" t="s">
        <v>409</v>
      </c>
      <c r="F3580" s="2"/>
      <c r="G3580" s="2">
        <v>1.0</v>
      </c>
      <c r="H3580" s="2">
        <v>1.0</v>
      </c>
      <c r="I3580" s="2">
        <v>0.0</v>
      </c>
      <c r="J3580" s="2">
        <v>0.0</v>
      </c>
      <c r="K3580" s="2">
        <v>0.0</v>
      </c>
      <c r="L3580" s="2">
        <v>0.0</v>
      </c>
      <c r="M3580" s="2"/>
      <c r="N3580" s="2"/>
      <c r="O3580" s="2"/>
      <c r="P3580" s="2" t="s">
        <v>293</v>
      </c>
    </row>
    <row r="3581">
      <c r="A3581" s="3" t="s">
        <v>99</v>
      </c>
      <c r="B3581" s="4">
        <v>45110.29166666667</v>
      </c>
      <c r="C3581" s="2" t="s">
        <v>18</v>
      </c>
      <c r="D3581" s="2" t="s">
        <v>127</v>
      </c>
      <c r="E3581" s="2" t="s">
        <v>409</v>
      </c>
      <c r="F3581" s="2"/>
      <c r="G3581" s="2">
        <v>19.0</v>
      </c>
      <c r="H3581" s="2">
        <v>7.0</v>
      </c>
      <c r="I3581" s="2">
        <v>12.0</v>
      </c>
      <c r="J3581" s="2">
        <v>0.0</v>
      </c>
      <c r="K3581" s="2">
        <v>0.0</v>
      </c>
      <c r="L3581" s="2">
        <v>0.0</v>
      </c>
      <c r="M3581" s="2"/>
      <c r="N3581" s="2"/>
      <c r="O3581" s="2"/>
      <c r="P3581" s="2" t="s">
        <v>293</v>
      </c>
    </row>
    <row r="3582">
      <c r="A3582" s="3" t="s">
        <v>100</v>
      </c>
      <c r="B3582" s="4">
        <v>45111.29166666667</v>
      </c>
      <c r="C3582" s="2" t="s">
        <v>18</v>
      </c>
      <c r="D3582" s="2" t="s">
        <v>157</v>
      </c>
      <c r="E3582" s="2" t="s">
        <v>409</v>
      </c>
      <c r="F3582" s="2"/>
      <c r="G3582" s="2">
        <v>51.0</v>
      </c>
      <c r="H3582" s="2">
        <v>22.0</v>
      </c>
      <c r="I3582" s="2">
        <v>29.0</v>
      </c>
      <c r="J3582" s="2">
        <v>0.0</v>
      </c>
      <c r="K3582" s="2">
        <v>0.0</v>
      </c>
      <c r="L3582" s="2">
        <v>0.0</v>
      </c>
      <c r="M3582" s="2"/>
      <c r="N3582" s="2"/>
      <c r="O3582" s="2"/>
      <c r="P3582" s="2" t="s">
        <v>293</v>
      </c>
    </row>
    <row r="3583">
      <c r="A3583" s="3" t="s">
        <v>101</v>
      </c>
      <c r="B3583" s="4">
        <v>45112.29166666667</v>
      </c>
      <c r="C3583" s="2" t="s">
        <v>18</v>
      </c>
      <c r="D3583" s="2" t="s">
        <v>19</v>
      </c>
      <c r="E3583" s="2" t="s">
        <v>409</v>
      </c>
      <c r="F3583" s="2"/>
      <c r="G3583" s="2">
        <v>2.0</v>
      </c>
      <c r="H3583" s="2">
        <v>1.0</v>
      </c>
      <c r="I3583" s="2">
        <v>1.0</v>
      </c>
      <c r="J3583" s="2">
        <v>0.0</v>
      </c>
      <c r="K3583" s="2">
        <v>0.0</v>
      </c>
      <c r="L3583" s="2">
        <v>0.0</v>
      </c>
      <c r="M3583" s="2"/>
      <c r="N3583" s="2"/>
      <c r="O3583" s="2"/>
      <c r="P3583" s="2" t="s">
        <v>293</v>
      </c>
    </row>
    <row r="3584">
      <c r="A3584" s="3" t="s">
        <v>102</v>
      </c>
      <c r="B3584" s="4">
        <v>45140.29166666667</v>
      </c>
      <c r="C3584" s="2" t="s">
        <v>18</v>
      </c>
      <c r="D3584" s="2" t="s">
        <v>127</v>
      </c>
      <c r="E3584" s="2" t="s">
        <v>409</v>
      </c>
      <c r="F3584" s="2"/>
      <c r="G3584" s="2">
        <v>20.0</v>
      </c>
      <c r="H3584" s="2">
        <v>2.0</v>
      </c>
      <c r="I3584" s="2">
        <v>18.0</v>
      </c>
      <c r="J3584" s="2">
        <v>0.0</v>
      </c>
      <c r="K3584" s="2">
        <v>0.0</v>
      </c>
      <c r="L3584" s="2">
        <v>0.0</v>
      </c>
      <c r="M3584" s="2"/>
      <c r="N3584" s="2"/>
      <c r="O3584" s="2"/>
      <c r="P3584" s="2" t="s">
        <v>293</v>
      </c>
    </row>
    <row r="3585">
      <c r="A3585" s="3" t="s">
        <v>103</v>
      </c>
      <c r="B3585" s="4">
        <v>45141.29166666667</v>
      </c>
      <c r="C3585" s="2" t="s">
        <v>18</v>
      </c>
      <c r="D3585" s="2" t="s">
        <v>109</v>
      </c>
      <c r="E3585" s="2" t="s">
        <v>409</v>
      </c>
      <c r="F3585" s="2"/>
      <c r="G3585" s="2">
        <v>31.0</v>
      </c>
      <c r="H3585" s="2">
        <v>16.0</v>
      </c>
      <c r="I3585" s="2">
        <v>15.0</v>
      </c>
      <c r="J3585" s="2">
        <v>0.0</v>
      </c>
      <c r="K3585" s="2">
        <v>0.0</v>
      </c>
      <c r="L3585" s="2">
        <v>0.0</v>
      </c>
      <c r="M3585" s="2"/>
      <c r="N3585" s="2"/>
      <c r="O3585" s="2"/>
      <c r="P3585" s="2" t="s">
        <v>293</v>
      </c>
    </row>
    <row r="3586">
      <c r="A3586" s="3" t="s">
        <v>104</v>
      </c>
      <c r="B3586" s="2" t="s">
        <v>17</v>
      </c>
      <c r="C3586" s="2" t="s">
        <v>18</v>
      </c>
      <c r="D3586" s="2" t="s">
        <v>127</v>
      </c>
      <c r="E3586" s="2" t="s">
        <v>183</v>
      </c>
      <c r="F3586" s="2">
        <v>11.0</v>
      </c>
      <c r="G3586" s="2">
        <v>16.0</v>
      </c>
      <c r="H3586" s="2">
        <v>9.0</v>
      </c>
      <c r="I3586" s="2">
        <v>7.0</v>
      </c>
      <c r="J3586" s="2">
        <v>0.0</v>
      </c>
      <c r="K3586" s="2">
        <v>0.0</v>
      </c>
      <c r="L3586" s="2">
        <v>0.0</v>
      </c>
      <c r="M3586" s="2">
        <v>2.0</v>
      </c>
      <c r="N3586" s="2"/>
      <c r="O3586" s="2"/>
      <c r="P3586" s="2" t="s">
        <v>67</v>
      </c>
    </row>
    <row r="3587">
      <c r="A3587" s="3" t="s">
        <v>105</v>
      </c>
      <c r="B3587" s="2" t="s">
        <v>17</v>
      </c>
      <c r="C3587" s="2" t="s">
        <v>18</v>
      </c>
      <c r="D3587" s="2" t="s">
        <v>23</v>
      </c>
      <c r="E3587" s="2" t="s">
        <v>183</v>
      </c>
      <c r="F3587" s="2">
        <v>11.0</v>
      </c>
      <c r="G3587" s="2">
        <v>16.0</v>
      </c>
      <c r="H3587" s="2">
        <v>9.0</v>
      </c>
      <c r="I3587" s="2">
        <v>7.0</v>
      </c>
      <c r="J3587" s="2">
        <v>0.0</v>
      </c>
      <c r="K3587" s="2">
        <v>0.0</v>
      </c>
      <c r="L3587" s="2">
        <v>0.0</v>
      </c>
      <c r="M3587" s="2">
        <v>2.0</v>
      </c>
      <c r="N3587" s="2">
        <v>0.0</v>
      </c>
      <c r="O3587" s="2">
        <v>-7.0</v>
      </c>
      <c r="P3587" s="2" t="s">
        <v>67</v>
      </c>
    </row>
    <row r="3588">
      <c r="A3588" s="3" t="s">
        <v>106</v>
      </c>
      <c r="B3588" s="4">
        <v>45140.29166666667</v>
      </c>
      <c r="C3588" s="2" t="s">
        <v>18</v>
      </c>
      <c r="D3588" s="2" t="s">
        <v>127</v>
      </c>
      <c r="E3588" s="2" t="s">
        <v>183</v>
      </c>
      <c r="F3588" s="2"/>
      <c r="G3588" s="2">
        <v>16.0</v>
      </c>
      <c r="H3588" s="2">
        <v>9.0</v>
      </c>
      <c r="I3588" s="2">
        <v>7.0</v>
      </c>
      <c r="J3588" s="2">
        <v>0.0</v>
      </c>
      <c r="K3588" s="2">
        <v>0.0</v>
      </c>
      <c r="L3588" s="2">
        <v>0.0</v>
      </c>
      <c r="M3588" s="2"/>
      <c r="N3588" s="2"/>
      <c r="O3588" s="2"/>
      <c r="P3588" s="2" t="s">
        <v>67</v>
      </c>
    </row>
    <row r="3589">
      <c r="A3589" s="3" t="s">
        <v>107</v>
      </c>
      <c r="B3589" s="2" t="s">
        <v>17</v>
      </c>
      <c r="C3589" s="2" t="s">
        <v>18</v>
      </c>
      <c r="D3589" s="2" t="s">
        <v>19</v>
      </c>
      <c r="E3589" s="2" t="s">
        <v>170</v>
      </c>
      <c r="F3589" s="2">
        <v>4400.0</v>
      </c>
      <c r="G3589" s="2">
        <v>0.0</v>
      </c>
      <c r="H3589" s="2">
        <v>0.0</v>
      </c>
      <c r="I3589" s="2">
        <v>0.0</v>
      </c>
      <c r="J3589" s="2">
        <v>0.0</v>
      </c>
      <c r="K3589" s="2">
        <v>0.0</v>
      </c>
      <c r="L3589" s="2">
        <v>0.0</v>
      </c>
      <c r="M3589" s="2">
        <v>4400.0</v>
      </c>
      <c r="N3589" s="2"/>
      <c r="O3589" s="2"/>
      <c r="P3589" s="2" t="s">
        <v>184</v>
      </c>
    </row>
    <row r="3590">
      <c r="A3590" s="3" t="s">
        <v>108</v>
      </c>
      <c r="B3590" s="2" t="s">
        <v>17</v>
      </c>
      <c r="C3590" s="2" t="s">
        <v>18</v>
      </c>
      <c r="D3590" s="2" t="s">
        <v>23</v>
      </c>
      <c r="E3590" s="2" t="s">
        <v>170</v>
      </c>
      <c r="F3590" s="2">
        <v>4400.0</v>
      </c>
      <c r="G3590" s="2">
        <v>0.0</v>
      </c>
      <c r="H3590" s="2">
        <v>0.0</v>
      </c>
      <c r="I3590" s="2">
        <v>0.0</v>
      </c>
      <c r="J3590" s="2">
        <v>0.0</v>
      </c>
      <c r="K3590" s="2">
        <v>0.0</v>
      </c>
      <c r="L3590" s="2">
        <v>0.0</v>
      </c>
      <c r="M3590" s="2">
        <v>4400.0</v>
      </c>
      <c r="N3590" s="2">
        <v>0.0</v>
      </c>
      <c r="O3590" s="2">
        <v>4400.0</v>
      </c>
      <c r="P3590" s="2" t="s">
        <v>184</v>
      </c>
    </row>
    <row r="3591">
      <c r="A3591" s="3" t="s">
        <v>112</v>
      </c>
      <c r="B3591" s="4">
        <v>45140.29166666667</v>
      </c>
      <c r="C3591" s="2" t="s">
        <v>18</v>
      </c>
      <c r="D3591" s="2" t="s">
        <v>19</v>
      </c>
      <c r="E3591" s="2" t="s">
        <v>170</v>
      </c>
      <c r="F3591" s="2"/>
      <c r="G3591" s="2">
        <v>0.0</v>
      </c>
      <c r="H3591" s="2">
        <v>0.0</v>
      </c>
      <c r="I3591" s="2">
        <v>0.0</v>
      </c>
      <c r="J3591" s="2">
        <v>0.0</v>
      </c>
      <c r="K3591" s="2">
        <v>0.0</v>
      </c>
      <c r="L3591" s="2">
        <v>0.0</v>
      </c>
      <c r="M3591" s="2"/>
      <c r="N3591" s="2"/>
      <c r="O3591" s="2"/>
      <c r="P3591" s="2" t="s">
        <v>184</v>
      </c>
    </row>
    <row r="3592">
      <c r="A3592" s="3" t="s">
        <v>115</v>
      </c>
      <c r="B3592" s="2" t="s">
        <v>17</v>
      </c>
      <c r="C3592" s="2" t="s">
        <v>18</v>
      </c>
      <c r="D3592" s="2" t="s">
        <v>127</v>
      </c>
      <c r="E3592" s="2" t="s">
        <v>250</v>
      </c>
      <c r="F3592" s="2">
        <v>197.0</v>
      </c>
      <c r="G3592" s="2">
        <v>306.0</v>
      </c>
      <c r="H3592" s="2">
        <v>198.0</v>
      </c>
      <c r="I3592" s="2">
        <v>93.0</v>
      </c>
      <c r="J3592" s="2">
        <v>15.0</v>
      </c>
      <c r="K3592" s="2">
        <v>0.0</v>
      </c>
      <c r="L3592" s="2">
        <v>0.0</v>
      </c>
      <c r="M3592" s="2">
        <v>-1.0</v>
      </c>
      <c r="N3592" s="2"/>
      <c r="O3592" s="2"/>
      <c r="P3592" s="2" t="s">
        <v>80</v>
      </c>
    </row>
    <row r="3593">
      <c r="A3593" s="3" t="s">
        <v>117</v>
      </c>
      <c r="B3593" s="2" t="s">
        <v>17</v>
      </c>
      <c r="C3593" s="2" t="s">
        <v>18</v>
      </c>
      <c r="D3593" s="2" t="s">
        <v>23</v>
      </c>
      <c r="E3593" s="2" t="s">
        <v>250</v>
      </c>
      <c r="F3593" s="2">
        <v>197.0</v>
      </c>
      <c r="G3593" s="2">
        <v>306.0</v>
      </c>
      <c r="H3593" s="2">
        <v>198.0</v>
      </c>
      <c r="I3593" s="2">
        <v>93.0</v>
      </c>
      <c r="J3593" s="2">
        <v>15.0</v>
      </c>
      <c r="K3593" s="2">
        <v>0.0</v>
      </c>
      <c r="L3593" s="2">
        <v>0.0</v>
      </c>
      <c r="M3593" s="2">
        <v>-1.0</v>
      </c>
      <c r="N3593" s="2">
        <v>0.0</v>
      </c>
      <c r="O3593" s="2">
        <v>-199.0</v>
      </c>
      <c r="P3593" s="2" t="s">
        <v>80</v>
      </c>
    </row>
    <row r="3594">
      <c r="A3594" s="3" t="s">
        <v>119</v>
      </c>
      <c r="B3594" s="4">
        <v>45048.29166666667</v>
      </c>
      <c r="C3594" s="2" t="s">
        <v>18</v>
      </c>
      <c r="D3594" s="2" t="s">
        <v>127</v>
      </c>
      <c r="E3594" s="2" t="s">
        <v>250</v>
      </c>
      <c r="F3594" s="2"/>
      <c r="G3594" s="2">
        <v>60.0</v>
      </c>
      <c r="H3594" s="2">
        <v>40.0</v>
      </c>
      <c r="I3594" s="2">
        <v>11.0</v>
      </c>
      <c r="J3594" s="2">
        <v>9.0</v>
      </c>
      <c r="K3594" s="2">
        <v>0.0</v>
      </c>
      <c r="L3594" s="2">
        <v>0.0</v>
      </c>
      <c r="M3594" s="2"/>
      <c r="N3594" s="2"/>
      <c r="O3594" s="2"/>
      <c r="P3594" s="2" t="s">
        <v>80</v>
      </c>
    </row>
    <row r="3595">
      <c r="A3595" s="3" t="s">
        <v>121</v>
      </c>
      <c r="B3595" s="4">
        <v>45079.29166666667</v>
      </c>
      <c r="C3595" s="2" t="s">
        <v>18</v>
      </c>
      <c r="D3595" s="2" t="s">
        <v>127</v>
      </c>
      <c r="E3595" s="2" t="s">
        <v>250</v>
      </c>
      <c r="F3595" s="2"/>
      <c r="G3595" s="2">
        <v>241.0</v>
      </c>
      <c r="H3595" s="2">
        <v>156.0</v>
      </c>
      <c r="I3595" s="2">
        <v>79.0</v>
      </c>
      <c r="J3595" s="2">
        <v>6.0</v>
      </c>
      <c r="K3595" s="2">
        <v>0.0</v>
      </c>
      <c r="L3595" s="2">
        <v>0.0</v>
      </c>
      <c r="M3595" s="2"/>
      <c r="N3595" s="2"/>
      <c r="O3595" s="2"/>
      <c r="P3595" s="2" t="s">
        <v>80</v>
      </c>
    </row>
    <row r="3596">
      <c r="A3596" s="3" t="s">
        <v>16</v>
      </c>
      <c r="B3596" s="4">
        <v>45141.29166666667</v>
      </c>
      <c r="C3596" s="2" t="s">
        <v>18</v>
      </c>
      <c r="D3596" s="2" t="s">
        <v>127</v>
      </c>
      <c r="E3596" s="2" t="s">
        <v>250</v>
      </c>
      <c r="F3596" s="2"/>
      <c r="G3596" s="2">
        <v>5.0</v>
      </c>
      <c r="H3596" s="2">
        <v>2.0</v>
      </c>
      <c r="I3596" s="2">
        <v>3.0</v>
      </c>
      <c r="J3596" s="2">
        <v>0.0</v>
      </c>
      <c r="K3596" s="2">
        <v>0.0</v>
      </c>
      <c r="L3596" s="2">
        <v>0.0</v>
      </c>
      <c r="M3596" s="2"/>
      <c r="N3596" s="2"/>
      <c r="O3596" s="2"/>
      <c r="P3596" s="2" t="s">
        <v>80</v>
      </c>
    </row>
    <row r="3597">
      <c r="A3597" s="3" t="s">
        <v>124</v>
      </c>
      <c r="B3597" s="2" t="s">
        <v>17</v>
      </c>
      <c r="C3597" s="2" t="s">
        <v>18</v>
      </c>
      <c r="D3597" s="2" t="s">
        <v>127</v>
      </c>
      <c r="E3597" s="2" t="s">
        <v>250</v>
      </c>
      <c r="F3597" s="2">
        <v>70.0</v>
      </c>
      <c r="G3597" s="2">
        <v>128.0</v>
      </c>
      <c r="H3597" s="2">
        <v>92.0</v>
      </c>
      <c r="I3597" s="2">
        <v>36.0</v>
      </c>
      <c r="J3597" s="2">
        <v>0.0</v>
      </c>
      <c r="K3597" s="2">
        <v>0.0</v>
      </c>
      <c r="L3597" s="2">
        <v>0.0</v>
      </c>
      <c r="M3597" s="2">
        <v>-22.0</v>
      </c>
      <c r="N3597" s="2"/>
      <c r="O3597" s="2"/>
      <c r="P3597" s="2" t="s">
        <v>146</v>
      </c>
    </row>
    <row r="3598">
      <c r="A3598" s="3" t="s">
        <v>126</v>
      </c>
      <c r="B3598" s="2" t="s">
        <v>17</v>
      </c>
      <c r="C3598" s="2" t="s">
        <v>18</v>
      </c>
      <c r="D3598" s="2" t="s">
        <v>23</v>
      </c>
      <c r="E3598" s="2" t="s">
        <v>250</v>
      </c>
      <c r="F3598" s="2">
        <v>70.0</v>
      </c>
      <c r="G3598" s="2">
        <v>128.0</v>
      </c>
      <c r="H3598" s="2">
        <v>92.0</v>
      </c>
      <c r="I3598" s="2">
        <v>36.0</v>
      </c>
      <c r="J3598" s="2">
        <v>0.0</v>
      </c>
      <c r="K3598" s="2">
        <v>0.0</v>
      </c>
      <c r="L3598" s="2">
        <v>0.0</v>
      </c>
      <c r="M3598" s="2">
        <v>-22.0</v>
      </c>
      <c r="N3598" s="2">
        <v>0.0</v>
      </c>
      <c r="O3598" s="2">
        <v>-114.0</v>
      </c>
      <c r="P3598" s="2" t="s">
        <v>146</v>
      </c>
    </row>
    <row r="3599">
      <c r="A3599" s="3" t="s">
        <v>128</v>
      </c>
      <c r="B3599" s="4">
        <v>45140.29166666667</v>
      </c>
      <c r="C3599" s="2" t="s">
        <v>18</v>
      </c>
      <c r="D3599" s="2" t="s">
        <v>127</v>
      </c>
      <c r="E3599" s="2" t="s">
        <v>250</v>
      </c>
      <c r="F3599" s="2"/>
      <c r="G3599" s="2">
        <v>128.0</v>
      </c>
      <c r="H3599" s="2">
        <v>92.0</v>
      </c>
      <c r="I3599" s="2">
        <v>36.0</v>
      </c>
      <c r="J3599" s="2">
        <v>0.0</v>
      </c>
      <c r="K3599" s="2">
        <v>0.0</v>
      </c>
      <c r="L3599" s="2">
        <v>0.0</v>
      </c>
      <c r="M3599" s="2"/>
      <c r="N3599" s="2"/>
      <c r="O3599" s="2"/>
      <c r="P3599" s="2" t="s">
        <v>146</v>
      </c>
    </row>
    <row r="3600">
      <c r="A3600" s="3" t="s">
        <v>129</v>
      </c>
      <c r="B3600" s="2" t="s">
        <v>17</v>
      </c>
      <c r="C3600" s="2" t="s">
        <v>148</v>
      </c>
      <c r="D3600" s="2" t="s">
        <v>19</v>
      </c>
      <c r="E3600" s="2" t="s">
        <v>27</v>
      </c>
      <c r="F3600" s="2">
        <v>100.0</v>
      </c>
      <c r="G3600" s="2">
        <v>0.0</v>
      </c>
      <c r="H3600" s="2">
        <v>0.0</v>
      </c>
      <c r="I3600" s="2">
        <v>0.0</v>
      </c>
      <c r="J3600" s="2">
        <v>0.0</v>
      </c>
      <c r="K3600" s="2">
        <v>0.0</v>
      </c>
      <c r="L3600" s="2">
        <v>0.0</v>
      </c>
      <c r="M3600" s="2">
        <v>100.0</v>
      </c>
      <c r="N3600" s="2"/>
      <c r="O3600" s="2"/>
      <c r="P3600" s="2" t="s">
        <v>153</v>
      </c>
    </row>
    <row r="3601">
      <c r="A3601" s="3" t="s">
        <v>130</v>
      </c>
      <c r="B3601" s="2" t="s">
        <v>17</v>
      </c>
      <c r="C3601" s="2" t="s">
        <v>18</v>
      </c>
      <c r="D3601" s="2" t="s">
        <v>127</v>
      </c>
      <c r="E3601" s="2" t="s">
        <v>27</v>
      </c>
      <c r="F3601" s="2">
        <v>90.0</v>
      </c>
      <c r="G3601" s="2">
        <v>196.0</v>
      </c>
      <c r="H3601" s="2">
        <v>87.0</v>
      </c>
      <c r="I3601" s="2">
        <v>109.0</v>
      </c>
      <c r="J3601" s="2">
        <v>0.0</v>
      </c>
      <c r="K3601" s="2">
        <v>0.0</v>
      </c>
      <c r="L3601" s="2">
        <v>0.0</v>
      </c>
      <c r="M3601" s="2">
        <v>3.0</v>
      </c>
      <c r="N3601" s="2"/>
      <c r="O3601" s="2"/>
      <c r="P3601" s="2" t="s">
        <v>153</v>
      </c>
    </row>
    <row r="3602">
      <c r="A3602" s="3" t="s">
        <v>131</v>
      </c>
      <c r="B3602" s="2" t="s">
        <v>17</v>
      </c>
      <c r="C3602" s="2" t="s">
        <v>18</v>
      </c>
      <c r="D3602" s="2" t="s">
        <v>23</v>
      </c>
      <c r="E3602" s="2" t="s">
        <v>27</v>
      </c>
      <c r="F3602" s="2">
        <v>90.0</v>
      </c>
      <c r="G3602" s="2">
        <v>196.0</v>
      </c>
      <c r="H3602" s="2">
        <v>87.0</v>
      </c>
      <c r="I3602" s="2">
        <v>109.0</v>
      </c>
      <c r="J3602" s="2">
        <v>0.0</v>
      </c>
      <c r="K3602" s="2">
        <v>0.0</v>
      </c>
      <c r="L3602" s="2">
        <v>0.0</v>
      </c>
      <c r="M3602" s="2">
        <v>3.0</v>
      </c>
      <c r="N3602" s="2">
        <v>-100.0</v>
      </c>
      <c r="O3602" s="2">
        <v>-84.0</v>
      </c>
      <c r="P3602" s="2" t="s">
        <v>153</v>
      </c>
    </row>
    <row r="3603">
      <c r="A3603" s="3" t="s">
        <v>132</v>
      </c>
      <c r="B3603" s="4">
        <v>45111.29166666667</v>
      </c>
      <c r="C3603" s="2" t="s">
        <v>18</v>
      </c>
      <c r="D3603" s="2" t="s">
        <v>19</v>
      </c>
      <c r="E3603" s="2" t="s">
        <v>27</v>
      </c>
      <c r="F3603" s="2"/>
      <c r="G3603" s="2">
        <v>0.0</v>
      </c>
      <c r="H3603" s="2">
        <v>0.0</v>
      </c>
      <c r="I3603" s="2">
        <v>0.0</v>
      </c>
      <c r="J3603" s="2">
        <v>0.0</v>
      </c>
      <c r="K3603" s="2">
        <v>0.0</v>
      </c>
      <c r="L3603" s="2">
        <v>0.0</v>
      </c>
      <c r="M3603" s="2"/>
      <c r="N3603" s="2"/>
      <c r="O3603" s="2"/>
      <c r="P3603" s="2" t="s">
        <v>153</v>
      </c>
    </row>
    <row r="3604">
      <c r="A3604" s="3" t="s">
        <v>133</v>
      </c>
      <c r="B3604" s="4">
        <v>45112.29166666667</v>
      </c>
      <c r="C3604" s="2" t="s">
        <v>18</v>
      </c>
      <c r="D3604" s="2" t="s">
        <v>127</v>
      </c>
      <c r="E3604" s="2" t="s">
        <v>27</v>
      </c>
      <c r="F3604" s="2"/>
      <c r="G3604" s="2">
        <v>58.0</v>
      </c>
      <c r="H3604" s="2">
        <v>30.0</v>
      </c>
      <c r="I3604" s="2">
        <v>28.0</v>
      </c>
      <c r="J3604" s="2">
        <v>0.0</v>
      </c>
      <c r="K3604" s="2">
        <v>0.0</v>
      </c>
      <c r="L3604" s="2">
        <v>0.0</v>
      </c>
      <c r="M3604" s="2"/>
      <c r="N3604" s="2"/>
      <c r="O3604" s="2"/>
      <c r="P3604" s="2" t="s">
        <v>153</v>
      </c>
    </row>
    <row r="3605">
      <c r="A3605" s="3" t="s">
        <v>134</v>
      </c>
      <c r="B3605" s="4">
        <v>45139.29166666667</v>
      </c>
      <c r="C3605" s="2" t="s">
        <v>18</v>
      </c>
      <c r="D3605" s="2" t="s">
        <v>127</v>
      </c>
      <c r="E3605" s="2" t="s">
        <v>27</v>
      </c>
      <c r="F3605" s="2"/>
      <c r="G3605" s="2">
        <v>138.0</v>
      </c>
      <c r="H3605" s="2">
        <v>57.0</v>
      </c>
      <c r="I3605" s="2">
        <v>81.0</v>
      </c>
      <c r="J3605" s="2">
        <v>0.0</v>
      </c>
      <c r="K3605" s="2">
        <v>0.0</v>
      </c>
      <c r="L3605" s="2">
        <v>0.0</v>
      </c>
      <c r="M3605" s="2"/>
      <c r="N3605" s="2"/>
      <c r="O3605" s="2"/>
      <c r="P3605" s="2" t="s">
        <v>153</v>
      </c>
    </row>
    <row r="3606">
      <c r="A3606" s="3" t="s">
        <v>136</v>
      </c>
      <c r="B3606" s="2" t="s">
        <v>17</v>
      </c>
      <c r="C3606" s="2" t="s">
        <v>18</v>
      </c>
      <c r="D3606" s="2" t="s">
        <v>164</v>
      </c>
      <c r="E3606" s="2" t="s">
        <v>165</v>
      </c>
      <c r="F3606" s="2">
        <v>64.0</v>
      </c>
      <c r="G3606" s="2">
        <v>21.0</v>
      </c>
      <c r="H3606" s="2">
        <v>10.0</v>
      </c>
      <c r="I3606" s="2">
        <v>11.0</v>
      </c>
      <c r="J3606" s="2">
        <v>0.0</v>
      </c>
      <c r="K3606" s="2">
        <v>0.0</v>
      </c>
      <c r="L3606" s="2">
        <v>1.0</v>
      </c>
      <c r="M3606" s="2">
        <v>54.0</v>
      </c>
      <c r="N3606" s="2"/>
      <c r="O3606" s="2"/>
      <c r="P3606" s="2" t="s">
        <v>166</v>
      </c>
    </row>
    <row r="3607">
      <c r="A3607" s="3" t="s">
        <v>137</v>
      </c>
      <c r="B3607" s="2" t="s">
        <v>17</v>
      </c>
      <c r="C3607" s="2" t="s">
        <v>18</v>
      </c>
      <c r="D3607" s="2" t="s">
        <v>23</v>
      </c>
      <c r="E3607" s="2" t="s">
        <v>165</v>
      </c>
      <c r="F3607" s="2">
        <v>64.0</v>
      </c>
      <c r="G3607" s="2">
        <v>21.0</v>
      </c>
      <c r="H3607" s="2">
        <v>10.0</v>
      </c>
      <c r="I3607" s="2">
        <v>11.0</v>
      </c>
      <c r="J3607" s="2">
        <v>0.0</v>
      </c>
      <c r="K3607" s="2">
        <v>0.0</v>
      </c>
      <c r="L3607" s="2">
        <v>1.0</v>
      </c>
      <c r="M3607" s="2">
        <v>54.0</v>
      </c>
      <c r="N3607" s="2">
        <v>0.0</v>
      </c>
      <c r="O3607" s="2">
        <v>44.0</v>
      </c>
      <c r="P3607" s="2" t="s">
        <v>166</v>
      </c>
    </row>
    <row r="3608">
      <c r="A3608" s="3" t="s">
        <v>138</v>
      </c>
      <c r="B3608" s="4">
        <v>45141.29166666667</v>
      </c>
      <c r="C3608" s="2" t="s">
        <v>18</v>
      </c>
      <c r="D3608" s="2" t="s">
        <v>164</v>
      </c>
      <c r="E3608" s="2" t="s">
        <v>165</v>
      </c>
      <c r="F3608" s="2"/>
      <c r="G3608" s="2">
        <v>21.0</v>
      </c>
      <c r="H3608" s="2">
        <v>10.0</v>
      </c>
      <c r="I3608" s="2">
        <v>11.0</v>
      </c>
      <c r="J3608" s="2">
        <v>0.0</v>
      </c>
      <c r="K3608" s="2">
        <v>0.0</v>
      </c>
      <c r="L3608" s="2">
        <v>1.0</v>
      </c>
      <c r="M3608" s="2"/>
      <c r="N3608" s="2"/>
      <c r="O3608" s="2"/>
      <c r="P3608" s="2" t="s">
        <v>166</v>
      </c>
    </row>
    <row r="3609">
      <c r="A3609" s="3" t="s">
        <v>139</v>
      </c>
      <c r="B3609" s="2" t="s">
        <v>17</v>
      </c>
      <c r="C3609" s="2" t="s">
        <v>18</v>
      </c>
      <c r="D3609" s="2" t="s">
        <v>79</v>
      </c>
      <c r="E3609" s="2" t="s">
        <v>165</v>
      </c>
      <c r="F3609" s="2">
        <v>142.0</v>
      </c>
      <c r="G3609" s="2">
        <v>177.0</v>
      </c>
      <c r="H3609" s="2">
        <v>146.0</v>
      </c>
      <c r="I3609" s="2">
        <v>31.0</v>
      </c>
      <c r="J3609" s="2">
        <v>0.0</v>
      </c>
      <c r="K3609" s="2">
        <v>0.0</v>
      </c>
      <c r="L3609" s="2">
        <v>0.0</v>
      </c>
      <c r="M3609" s="2">
        <v>-4.0</v>
      </c>
      <c r="N3609" s="2"/>
      <c r="O3609" s="2"/>
      <c r="P3609" s="2" t="s">
        <v>166</v>
      </c>
    </row>
    <row r="3610">
      <c r="A3610" s="3" t="s">
        <v>140</v>
      </c>
      <c r="B3610" s="2" t="s">
        <v>17</v>
      </c>
      <c r="C3610" s="2" t="s">
        <v>18</v>
      </c>
      <c r="D3610" s="2" t="s">
        <v>23</v>
      </c>
      <c r="E3610" s="2" t="s">
        <v>165</v>
      </c>
      <c r="F3610" s="2">
        <v>142.0</v>
      </c>
      <c r="G3610" s="2">
        <v>177.0</v>
      </c>
      <c r="H3610" s="2">
        <v>146.0</v>
      </c>
      <c r="I3610" s="2">
        <v>31.0</v>
      </c>
      <c r="J3610" s="2">
        <v>0.0</v>
      </c>
      <c r="K3610" s="2">
        <v>0.0</v>
      </c>
      <c r="L3610" s="2">
        <v>0.0</v>
      </c>
      <c r="M3610" s="2">
        <v>-4.0</v>
      </c>
      <c r="N3610" s="2">
        <v>0.0</v>
      </c>
      <c r="O3610" s="2">
        <v>-150.0</v>
      </c>
      <c r="P3610" s="2" t="s">
        <v>166</v>
      </c>
    </row>
    <row r="3611">
      <c r="A3611" s="3" t="s">
        <v>141</v>
      </c>
      <c r="B3611" s="4">
        <v>45141.29166666667</v>
      </c>
      <c r="C3611" s="2" t="s">
        <v>18</v>
      </c>
      <c r="D3611" s="2" t="s">
        <v>79</v>
      </c>
      <c r="E3611" s="2" t="s">
        <v>165</v>
      </c>
      <c r="F3611" s="2"/>
      <c r="G3611" s="2">
        <v>177.0</v>
      </c>
      <c r="H3611" s="2">
        <v>146.0</v>
      </c>
      <c r="I3611" s="2">
        <v>31.0</v>
      </c>
      <c r="J3611" s="2">
        <v>0.0</v>
      </c>
      <c r="K3611" s="2">
        <v>0.0</v>
      </c>
      <c r="L3611" s="2">
        <v>0.0</v>
      </c>
      <c r="M3611" s="2"/>
      <c r="N3611" s="2"/>
      <c r="O3611" s="2"/>
      <c r="P3611" s="2" t="s">
        <v>166</v>
      </c>
    </row>
    <row r="3612">
      <c r="A3612" s="3" t="s">
        <v>142</v>
      </c>
      <c r="B3612" s="2" t="s">
        <v>17</v>
      </c>
      <c r="C3612" s="2" t="s">
        <v>18</v>
      </c>
      <c r="D3612" s="2" t="s">
        <v>30</v>
      </c>
      <c r="E3612" s="2" t="s">
        <v>170</v>
      </c>
      <c r="F3612" s="2">
        <v>64.0</v>
      </c>
      <c r="G3612" s="2">
        <v>101.0</v>
      </c>
      <c r="H3612" s="2">
        <v>60.0</v>
      </c>
      <c r="I3612" s="2">
        <v>41.0</v>
      </c>
      <c r="J3612" s="2">
        <v>0.0</v>
      </c>
      <c r="K3612" s="2">
        <v>0.0</v>
      </c>
      <c r="L3612" s="2">
        <v>0.0</v>
      </c>
      <c r="M3612" s="2">
        <v>4.0</v>
      </c>
      <c r="N3612" s="2"/>
      <c r="O3612" s="2"/>
      <c r="P3612" s="2" t="s">
        <v>67</v>
      </c>
    </row>
    <row r="3613">
      <c r="A3613" s="3" t="s">
        <v>143</v>
      </c>
      <c r="B3613" s="2" t="s">
        <v>17</v>
      </c>
      <c r="C3613" s="2" t="s">
        <v>18</v>
      </c>
      <c r="D3613" s="2" t="s">
        <v>19</v>
      </c>
      <c r="E3613" s="2" t="s">
        <v>170</v>
      </c>
      <c r="F3613" s="2">
        <v>85.0</v>
      </c>
      <c r="G3613" s="2">
        <v>91.0</v>
      </c>
      <c r="H3613" s="2">
        <v>62.0</v>
      </c>
      <c r="I3613" s="2">
        <v>29.0</v>
      </c>
      <c r="J3613" s="2">
        <v>0.0</v>
      </c>
      <c r="K3613" s="2">
        <v>0.0</v>
      </c>
      <c r="L3613" s="2">
        <v>0.0</v>
      </c>
      <c r="M3613" s="2">
        <v>23.0</v>
      </c>
      <c r="N3613" s="2"/>
      <c r="O3613" s="2"/>
      <c r="P3613" s="2" t="s">
        <v>67</v>
      </c>
    </row>
    <row r="3614">
      <c r="A3614" s="3" t="s">
        <v>144</v>
      </c>
      <c r="B3614" s="2" t="s">
        <v>17</v>
      </c>
      <c r="C3614" s="2" t="s">
        <v>18</v>
      </c>
      <c r="D3614" s="2" t="s">
        <v>23</v>
      </c>
      <c r="E3614" s="2" t="s">
        <v>170</v>
      </c>
      <c r="F3614" s="2">
        <v>137.0</v>
      </c>
      <c r="G3614" s="2">
        <v>192.0</v>
      </c>
      <c r="H3614" s="2">
        <v>122.0</v>
      </c>
      <c r="I3614" s="2">
        <v>70.0</v>
      </c>
      <c r="J3614" s="2">
        <v>0.0</v>
      </c>
      <c r="K3614" s="2">
        <v>0.0</v>
      </c>
      <c r="L3614" s="2">
        <v>0.0</v>
      </c>
      <c r="M3614" s="2">
        <v>15.0</v>
      </c>
      <c r="N3614" s="2">
        <v>-12.0</v>
      </c>
      <c r="O3614" s="2">
        <v>-107.0</v>
      </c>
      <c r="P3614" s="2" t="s">
        <v>67</v>
      </c>
    </row>
    <row r="3615">
      <c r="A3615" s="3" t="s">
        <v>145</v>
      </c>
      <c r="B3615" s="4">
        <v>45111.29166666667</v>
      </c>
      <c r="C3615" s="2" t="s">
        <v>18</v>
      </c>
      <c r="D3615" s="2" t="s">
        <v>30</v>
      </c>
      <c r="E3615" s="2" t="s">
        <v>170</v>
      </c>
      <c r="F3615" s="2"/>
      <c r="G3615" s="2">
        <v>92.0</v>
      </c>
      <c r="H3615" s="2">
        <v>53.0</v>
      </c>
      <c r="I3615" s="2">
        <v>39.0</v>
      </c>
      <c r="J3615" s="2">
        <v>0.0</v>
      </c>
      <c r="K3615" s="2">
        <v>0.0</v>
      </c>
      <c r="L3615" s="2">
        <v>0.0</v>
      </c>
      <c r="M3615" s="2"/>
      <c r="N3615" s="2"/>
      <c r="O3615" s="2"/>
      <c r="P3615" s="2" t="s">
        <v>67</v>
      </c>
    </row>
    <row r="3616">
      <c r="A3616" s="3" t="s">
        <v>16</v>
      </c>
      <c r="B3616" s="4">
        <v>45112.29166666667</v>
      </c>
      <c r="C3616" s="2" t="s">
        <v>18</v>
      </c>
      <c r="D3616" s="2" t="s">
        <v>19</v>
      </c>
      <c r="E3616" s="2" t="s">
        <v>170</v>
      </c>
      <c r="F3616" s="2"/>
      <c r="G3616" s="2">
        <v>59.0</v>
      </c>
      <c r="H3616" s="2">
        <v>42.0</v>
      </c>
      <c r="I3616" s="2">
        <v>17.0</v>
      </c>
      <c r="J3616" s="2">
        <v>0.0</v>
      </c>
      <c r="K3616" s="2">
        <v>0.0</v>
      </c>
      <c r="L3616" s="2">
        <v>0.0</v>
      </c>
      <c r="M3616" s="2"/>
      <c r="N3616" s="2"/>
      <c r="O3616" s="2"/>
      <c r="P3616" s="2" t="s">
        <v>67</v>
      </c>
    </row>
    <row r="3617">
      <c r="A3617" s="3" t="s">
        <v>22</v>
      </c>
      <c r="B3617" s="4">
        <v>45140.29166666667</v>
      </c>
      <c r="C3617" s="2" t="s">
        <v>18</v>
      </c>
      <c r="D3617" s="2" t="s">
        <v>30</v>
      </c>
      <c r="E3617" s="2" t="s">
        <v>170</v>
      </c>
      <c r="F3617" s="2"/>
      <c r="G3617" s="2">
        <v>9.0</v>
      </c>
      <c r="H3617" s="2">
        <v>7.0</v>
      </c>
      <c r="I3617" s="2">
        <v>2.0</v>
      </c>
      <c r="J3617" s="2">
        <v>0.0</v>
      </c>
      <c r="K3617" s="2">
        <v>0.0</v>
      </c>
      <c r="L3617" s="2">
        <v>0.0</v>
      </c>
      <c r="M3617" s="2"/>
      <c r="N3617" s="2"/>
      <c r="O3617" s="2"/>
      <c r="P3617" s="2" t="s">
        <v>67</v>
      </c>
    </row>
    <row r="3618">
      <c r="A3618" s="3" t="s">
        <v>24</v>
      </c>
      <c r="B3618" s="4">
        <v>45141.29166666667</v>
      </c>
      <c r="C3618" s="2" t="s">
        <v>18</v>
      </c>
      <c r="D3618" s="2" t="s">
        <v>19</v>
      </c>
      <c r="E3618" s="2" t="s">
        <v>170</v>
      </c>
      <c r="F3618" s="2"/>
      <c r="G3618" s="2">
        <v>32.0</v>
      </c>
      <c r="H3618" s="2">
        <v>20.0</v>
      </c>
      <c r="I3618" s="2">
        <v>12.0</v>
      </c>
      <c r="J3618" s="2">
        <v>0.0</v>
      </c>
      <c r="K3618" s="2">
        <v>0.0</v>
      </c>
      <c r="L3618" s="2">
        <v>0.0</v>
      </c>
      <c r="M3618" s="2"/>
      <c r="N3618" s="2"/>
      <c r="O3618" s="2"/>
      <c r="P3618" s="2" t="s">
        <v>67</v>
      </c>
    </row>
    <row r="3619">
      <c r="A3619" s="3" t="s">
        <v>25</v>
      </c>
      <c r="B3619" s="2" t="s">
        <v>17</v>
      </c>
      <c r="C3619" s="2" t="s">
        <v>18</v>
      </c>
      <c r="D3619" s="2" t="s">
        <v>164</v>
      </c>
      <c r="E3619" s="2" t="s">
        <v>165</v>
      </c>
      <c r="F3619" s="2">
        <v>40.0</v>
      </c>
      <c r="G3619" s="2">
        <v>136.0</v>
      </c>
      <c r="H3619" s="2">
        <v>33.0</v>
      </c>
      <c r="I3619" s="2">
        <v>103.0</v>
      </c>
      <c r="J3619" s="2">
        <v>0.0</v>
      </c>
      <c r="K3619" s="2">
        <v>0.0</v>
      </c>
      <c r="L3619" s="2">
        <v>0.0</v>
      </c>
      <c r="M3619" s="2">
        <v>7.0</v>
      </c>
      <c r="N3619" s="2"/>
      <c r="O3619" s="2"/>
      <c r="P3619" s="2" t="s">
        <v>166</v>
      </c>
    </row>
    <row r="3620">
      <c r="A3620" s="3" t="s">
        <v>26</v>
      </c>
      <c r="B3620" s="2" t="s">
        <v>17</v>
      </c>
      <c r="C3620" s="2" t="s">
        <v>18</v>
      </c>
      <c r="D3620" s="2" t="s">
        <v>23</v>
      </c>
      <c r="E3620" s="2" t="s">
        <v>165</v>
      </c>
      <c r="F3620" s="2">
        <v>40.0</v>
      </c>
      <c r="G3620" s="2">
        <v>136.0</v>
      </c>
      <c r="H3620" s="2">
        <v>33.0</v>
      </c>
      <c r="I3620" s="2">
        <v>103.0</v>
      </c>
      <c r="J3620" s="2">
        <v>0.0</v>
      </c>
      <c r="K3620" s="2">
        <v>0.0</v>
      </c>
      <c r="L3620" s="2">
        <v>0.0</v>
      </c>
      <c r="M3620" s="2">
        <v>7.0</v>
      </c>
      <c r="N3620" s="2">
        <v>0.0</v>
      </c>
      <c r="O3620" s="2">
        <v>-26.0</v>
      </c>
      <c r="P3620" s="2" t="s">
        <v>166</v>
      </c>
    </row>
    <row r="3621">
      <c r="A3621" s="3" t="s">
        <v>28</v>
      </c>
      <c r="B3621" s="4">
        <v>45112.29166666667</v>
      </c>
      <c r="C3621" s="2" t="s">
        <v>18</v>
      </c>
      <c r="D3621" s="2" t="s">
        <v>164</v>
      </c>
      <c r="E3621" s="2" t="s">
        <v>165</v>
      </c>
      <c r="F3621" s="2"/>
      <c r="G3621" s="2">
        <v>22.0</v>
      </c>
      <c r="H3621" s="2">
        <v>0.0</v>
      </c>
      <c r="I3621" s="2">
        <v>22.0</v>
      </c>
      <c r="J3621" s="2">
        <v>0.0</v>
      </c>
      <c r="K3621" s="2">
        <v>0.0</v>
      </c>
      <c r="L3621" s="2">
        <v>0.0</v>
      </c>
      <c r="M3621" s="2"/>
      <c r="N3621" s="2"/>
      <c r="O3621" s="2"/>
      <c r="P3621" s="2" t="s">
        <v>166</v>
      </c>
    </row>
    <row r="3622">
      <c r="A3622" s="3" t="s">
        <v>29</v>
      </c>
      <c r="B3622" s="4">
        <v>45139.29166666667</v>
      </c>
      <c r="C3622" s="2" t="s">
        <v>18</v>
      </c>
      <c r="D3622" s="2" t="s">
        <v>164</v>
      </c>
      <c r="E3622" s="2" t="s">
        <v>165</v>
      </c>
      <c r="F3622" s="2"/>
      <c r="G3622" s="2">
        <v>114.0</v>
      </c>
      <c r="H3622" s="2">
        <v>33.0</v>
      </c>
      <c r="I3622" s="2">
        <v>81.0</v>
      </c>
      <c r="J3622" s="2">
        <v>0.0</v>
      </c>
      <c r="K3622" s="2">
        <v>0.0</v>
      </c>
      <c r="L3622" s="2">
        <v>0.0</v>
      </c>
      <c r="M3622" s="2"/>
      <c r="N3622" s="2"/>
      <c r="O3622" s="2"/>
      <c r="P3622" s="2" t="s">
        <v>166</v>
      </c>
    </row>
    <row r="3623">
      <c r="A3623" s="3" t="s">
        <v>32</v>
      </c>
      <c r="B3623" s="2" t="s">
        <v>17</v>
      </c>
      <c r="C3623" s="2" t="s">
        <v>18</v>
      </c>
      <c r="D3623" s="2" t="s">
        <v>19</v>
      </c>
      <c r="E3623" s="2" t="s">
        <v>197</v>
      </c>
      <c r="F3623" s="2">
        <v>2.0</v>
      </c>
      <c r="G3623" s="2">
        <v>0.0</v>
      </c>
      <c r="H3623" s="2">
        <v>0.0</v>
      </c>
      <c r="I3623" s="2">
        <v>0.0</v>
      </c>
      <c r="J3623" s="2">
        <v>0.0</v>
      </c>
      <c r="K3623" s="2">
        <v>0.0</v>
      </c>
      <c r="L3623" s="2">
        <v>0.0</v>
      </c>
      <c r="M3623" s="2">
        <v>2.0</v>
      </c>
      <c r="N3623" s="2"/>
      <c r="O3623" s="2"/>
      <c r="P3623" s="2" t="s">
        <v>92</v>
      </c>
    </row>
    <row r="3624">
      <c r="A3624" s="3" t="s">
        <v>34</v>
      </c>
      <c r="B3624" s="2" t="s">
        <v>17</v>
      </c>
      <c r="C3624" s="2" t="s">
        <v>18</v>
      </c>
      <c r="D3624" s="2" t="s">
        <v>19</v>
      </c>
      <c r="E3624" s="2" t="s">
        <v>171</v>
      </c>
      <c r="F3624" s="2">
        <v>4.0</v>
      </c>
      <c r="G3624" s="2">
        <v>0.0</v>
      </c>
      <c r="H3624" s="2">
        <v>0.0</v>
      </c>
      <c r="I3624" s="2">
        <v>0.0</v>
      </c>
      <c r="J3624" s="2">
        <v>0.0</v>
      </c>
      <c r="K3624" s="2">
        <v>0.0</v>
      </c>
      <c r="L3624" s="2">
        <v>0.0</v>
      </c>
      <c r="M3624" s="2">
        <v>4.0</v>
      </c>
      <c r="N3624" s="2"/>
      <c r="O3624" s="2"/>
      <c r="P3624" s="2" t="s">
        <v>92</v>
      </c>
    </row>
    <row r="3625">
      <c r="A3625" s="3" t="s">
        <v>35</v>
      </c>
      <c r="B3625" s="2" t="s">
        <v>17</v>
      </c>
      <c r="C3625" s="2" t="s">
        <v>18</v>
      </c>
      <c r="D3625" s="2" t="s">
        <v>19</v>
      </c>
      <c r="E3625" s="2" t="s">
        <v>27</v>
      </c>
      <c r="F3625" s="2">
        <v>9.0</v>
      </c>
      <c r="G3625" s="2">
        <v>0.0</v>
      </c>
      <c r="H3625" s="2">
        <v>0.0</v>
      </c>
      <c r="I3625" s="2">
        <v>0.0</v>
      </c>
      <c r="J3625" s="2">
        <v>0.0</v>
      </c>
      <c r="K3625" s="2">
        <v>0.0</v>
      </c>
      <c r="L3625" s="2">
        <v>0.0</v>
      </c>
      <c r="M3625" s="2">
        <v>9.0</v>
      </c>
      <c r="N3625" s="2"/>
      <c r="O3625" s="2"/>
      <c r="P3625" s="2" t="s">
        <v>92</v>
      </c>
    </row>
    <row r="3626">
      <c r="A3626" s="3" t="s">
        <v>36</v>
      </c>
      <c r="B3626" s="2" t="s">
        <v>17</v>
      </c>
      <c r="C3626" s="2" t="s">
        <v>18</v>
      </c>
      <c r="D3626" s="2" t="s">
        <v>23</v>
      </c>
      <c r="E3626" s="2" t="s">
        <v>197</v>
      </c>
      <c r="F3626" s="2">
        <v>2.0</v>
      </c>
      <c r="G3626" s="2">
        <v>0.0</v>
      </c>
      <c r="H3626" s="2">
        <v>0.0</v>
      </c>
      <c r="I3626" s="2">
        <v>0.0</v>
      </c>
      <c r="J3626" s="2">
        <v>0.0</v>
      </c>
      <c r="K3626" s="2">
        <v>0.0</v>
      </c>
      <c r="L3626" s="2">
        <v>0.0</v>
      </c>
      <c r="M3626" s="2">
        <v>2.0</v>
      </c>
      <c r="N3626" s="2">
        <v>0.0</v>
      </c>
      <c r="O3626" s="2">
        <v>2.0</v>
      </c>
      <c r="P3626" s="2" t="s">
        <v>92</v>
      </c>
    </row>
    <row r="3627">
      <c r="A3627" s="3" t="s">
        <v>37</v>
      </c>
      <c r="B3627" s="2" t="s">
        <v>17</v>
      </c>
      <c r="C3627" s="2" t="s">
        <v>18</v>
      </c>
      <c r="D3627" s="2" t="s">
        <v>23</v>
      </c>
      <c r="E3627" s="2" t="s">
        <v>171</v>
      </c>
      <c r="F3627" s="2">
        <v>4.0</v>
      </c>
      <c r="G3627" s="2">
        <v>0.0</v>
      </c>
      <c r="H3627" s="2">
        <v>0.0</v>
      </c>
      <c r="I3627" s="2">
        <v>0.0</v>
      </c>
      <c r="J3627" s="2">
        <v>0.0</v>
      </c>
      <c r="K3627" s="2">
        <v>0.0</v>
      </c>
      <c r="L3627" s="2">
        <v>0.0</v>
      </c>
      <c r="M3627" s="2">
        <v>4.0</v>
      </c>
      <c r="N3627" s="2">
        <v>0.0</v>
      </c>
      <c r="O3627" s="2">
        <v>4.0</v>
      </c>
      <c r="P3627" s="2" t="s">
        <v>92</v>
      </c>
    </row>
    <row r="3628">
      <c r="A3628" s="3" t="s">
        <v>38</v>
      </c>
      <c r="B3628" s="2" t="s">
        <v>17</v>
      </c>
      <c r="C3628" s="2" t="s">
        <v>18</v>
      </c>
      <c r="D3628" s="2" t="s">
        <v>23</v>
      </c>
      <c r="E3628" s="2" t="s">
        <v>27</v>
      </c>
      <c r="F3628" s="2">
        <v>9.0</v>
      </c>
      <c r="G3628" s="2">
        <v>0.0</v>
      </c>
      <c r="H3628" s="2">
        <v>0.0</v>
      </c>
      <c r="I3628" s="2">
        <v>0.0</v>
      </c>
      <c r="J3628" s="2">
        <v>0.0</v>
      </c>
      <c r="K3628" s="2">
        <v>0.0</v>
      </c>
      <c r="L3628" s="2">
        <v>0.0</v>
      </c>
      <c r="M3628" s="2">
        <v>9.0</v>
      </c>
      <c r="N3628" s="2">
        <v>0.0</v>
      </c>
      <c r="O3628" s="2">
        <v>9.0</v>
      </c>
      <c r="P3628" s="2" t="s">
        <v>92</v>
      </c>
    </row>
    <row r="3629">
      <c r="A3629" s="3" t="s">
        <v>39</v>
      </c>
      <c r="B3629" s="4">
        <v>45140.29166666667</v>
      </c>
      <c r="C3629" s="2" t="s">
        <v>18</v>
      </c>
      <c r="D3629" s="2" t="s">
        <v>19</v>
      </c>
      <c r="E3629" s="2" t="s">
        <v>197</v>
      </c>
      <c r="F3629" s="2"/>
      <c r="G3629" s="2">
        <v>0.0</v>
      </c>
      <c r="H3629" s="2">
        <v>0.0</v>
      </c>
      <c r="I3629" s="2">
        <v>0.0</v>
      </c>
      <c r="J3629" s="2">
        <v>0.0</v>
      </c>
      <c r="K3629" s="2">
        <v>0.0</v>
      </c>
      <c r="L3629" s="2">
        <v>0.0</v>
      </c>
      <c r="M3629" s="2"/>
      <c r="N3629" s="2"/>
      <c r="O3629" s="2"/>
      <c r="P3629" s="2" t="s">
        <v>92</v>
      </c>
    </row>
    <row r="3630">
      <c r="A3630" s="3" t="s">
        <v>40</v>
      </c>
      <c r="B3630" s="4">
        <v>45141.29166666667</v>
      </c>
      <c r="C3630" s="2" t="s">
        <v>18</v>
      </c>
      <c r="D3630" s="2" t="s">
        <v>19</v>
      </c>
      <c r="E3630" s="2" t="s">
        <v>171</v>
      </c>
      <c r="F3630" s="2"/>
      <c r="G3630" s="2">
        <v>0.0</v>
      </c>
      <c r="H3630" s="2">
        <v>0.0</v>
      </c>
      <c r="I3630" s="2">
        <v>0.0</v>
      </c>
      <c r="J3630" s="2">
        <v>0.0</v>
      </c>
      <c r="K3630" s="2">
        <v>0.0</v>
      </c>
      <c r="L3630" s="2">
        <v>0.0</v>
      </c>
      <c r="M3630" s="2"/>
      <c r="N3630" s="2"/>
      <c r="O3630" s="2"/>
      <c r="P3630" s="2" t="s">
        <v>92</v>
      </c>
    </row>
    <row r="3631">
      <c r="A3631" s="3" t="s">
        <v>41</v>
      </c>
      <c r="B3631" s="4">
        <v>45142.29166666667</v>
      </c>
      <c r="C3631" s="2" t="s">
        <v>18</v>
      </c>
      <c r="D3631" s="2" t="s">
        <v>19</v>
      </c>
      <c r="E3631" s="2" t="s">
        <v>27</v>
      </c>
      <c r="F3631" s="2"/>
      <c r="G3631" s="2">
        <v>0.0</v>
      </c>
      <c r="H3631" s="2">
        <v>0.0</v>
      </c>
      <c r="I3631" s="2">
        <v>0.0</v>
      </c>
      <c r="J3631" s="2">
        <v>0.0</v>
      </c>
      <c r="K3631" s="2">
        <v>0.0</v>
      </c>
      <c r="L3631" s="2">
        <v>0.0</v>
      </c>
      <c r="M3631" s="2"/>
      <c r="N3631" s="2"/>
      <c r="O3631" s="2"/>
      <c r="P3631" s="2" t="s">
        <v>92</v>
      </c>
    </row>
    <row r="3632">
      <c r="A3632" s="3" t="s">
        <v>42</v>
      </c>
      <c r="B3632" s="4">
        <v>45171.29166666667</v>
      </c>
      <c r="C3632" s="2" t="s">
        <v>18</v>
      </c>
      <c r="D3632" s="2" t="s">
        <v>19</v>
      </c>
      <c r="E3632" s="2" t="s">
        <v>197</v>
      </c>
      <c r="F3632" s="2"/>
      <c r="G3632" s="2">
        <v>0.0</v>
      </c>
      <c r="H3632" s="2">
        <v>0.0</v>
      </c>
      <c r="I3632" s="2">
        <v>0.0</v>
      </c>
      <c r="J3632" s="2">
        <v>0.0</v>
      </c>
      <c r="K3632" s="2">
        <v>0.0</v>
      </c>
      <c r="L3632" s="2">
        <v>0.0</v>
      </c>
      <c r="M3632" s="2"/>
      <c r="N3632" s="2"/>
      <c r="O3632" s="2"/>
      <c r="P3632" s="2" t="s">
        <v>92</v>
      </c>
    </row>
    <row r="3633">
      <c r="A3633" s="3" t="s">
        <v>43</v>
      </c>
      <c r="B3633" s="4">
        <v>45172.29166666667</v>
      </c>
      <c r="C3633" s="2" t="s">
        <v>18</v>
      </c>
      <c r="D3633" s="2" t="s">
        <v>19</v>
      </c>
      <c r="E3633" s="2" t="s">
        <v>171</v>
      </c>
      <c r="F3633" s="2"/>
      <c r="G3633" s="2">
        <v>0.0</v>
      </c>
      <c r="H3633" s="2">
        <v>0.0</v>
      </c>
      <c r="I3633" s="2">
        <v>0.0</v>
      </c>
      <c r="J3633" s="2">
        <v>0.0</v>
      </c>
      <c r="K3633" s="2">
        <v>0.0</v>
      </c>
      <c r="L3633" s="2">
        <v>0.0</v>
      </c>
      <c r="M3633" s="2"/>
      <c r="N3633" s="2"/>
      <c r="O3633" s="2"/>
      <c r="P3633" s="2" t="s">
        <v>92</v>
      </c>
    </row>
    <row r="3634">
      <c r="A3634" s="3" t="s">
        <v>44</v>
      </c>
      <c r="B3634" s="4">
        <v>45173.29166666667</v>
      </c>
      <c r="C3634" s="2" t="s">
        <v>18</v>
      </c>
      <c r="D3634" s="2" t="s">
        <v>19</v>
      </c>
      <c r="E3634" s="2" t="s">
        <v>27</v>
      </c>
      <c r="F3634" s="2"/>
      <c r="G3634" s="2">
        <v>0.0</v>
      </c>
      <c r="H3634" s="2">
        <v>0.0</v>
      </c>
      <c r="I3634" s="2">
        <v>0.0</v>
      </c>
      <c r="J3634" s="2">
        <v>0.0</v>
      </c>
      <c r="K3634" s="2">
        <v>0.0</v>
      </c>
      <c r="L3634" s="2">
        <v>0.0</v>
      </c>
      <c r="M3634" s="2"/>
      <c r="N3634" s="2"/>
      <c r="O3634" s="2"/>
      <c r="P3634" s="2" t="s">
        <v>92</v>
      </c>
    </row>
    <row r="3635">
      <c r="A3635" s="3" t="s">
        <v>45</v>
      </c>
      <c r="B3635" s="2" t="s">
        <v>17</v>
      </c>
      <c r="C3635" s="2" t="s">
        <v>18</v>
      </c>
      <c r="D3635" s="2" t="s">
        <v>79</v>
      </c>
      <c r="E3635" s="2" t="s">
        <v>165</v>
      </c>
      <c r="F3635" s="2">
        <v>5.0</v>
      </c>
      <c r="G3635" s="2">
        <v>8.0</v>
      </c>
      <c r="H3635" s="2">
        <v>8.0</v>
      </c>
      <c r="I3635" s="2">
        <v>0.0</v>
      </c>
      <c r="J3635" s="2">
        <v>0.0</v>
      </c>
      <c r="K3635" s="2">
        <v>0.0</v>
      </c>
      <c r="L3635" s="2">
        <v>0.0</v>
      </c>
      <c r="M3635" s="2">
        <v>-3.0</v>
      </c>
      <c r="N3635" s="2"/>
      <c r="O3635" s="2"/>
      <c r="P3635" s="2" t="s">
        <v>166</v>
      </c>
    </row>
    <row r="3636">
      <c r="A3636" s="3" t="s">
        <v>16</v>
      </c>
      <c r="B3636" s="2" t="s">
        <v>17</v>
      </c>
      <c r="C3636" s="2" t="s">
        <v>18</v>
      </c>
      <c r="D3636" s="2" t="s">
        <v>23</v>
      </c>
      <c r="E3636" s="2" t="s">
        <v>165</v>
      </c>
      <c r="F3636" s="2">
        <v>5.0</v>
      </c>
      <c r="G3636" s="2">
        <v>8.0</v>
      </c>
      <c r="H3636" s="2">
        <v>8.0</v>
      </c>
      <c r="I3636" s="2">
        <v>0.0</v>
      </c>
      <c r="J3636" s="2">
        <v>0.0</v>
      </c>
      <c r="K3636" s="2">
        <v>0.0</v>
      </c>
      <c r="L3636" s="2">
        <v>0.0</v>
      </c>
      <c r="M3636" s="2">
        <v>-3.0</v>
      </c>
      <c r="N3636" s="2">
        <v>0.0</v>
      </c>
      <c r="O3636" s="2">
        <v>-11.0</v>
      </c>
      <c r="P3636" s="2" t="s">
        <v>166</v>
      </c>
    </row>
    <row r="3637">
      <c r="A3637" s="3" t="s">
        <v>47</v>
      </c>
      <c r="B3637" s="4">
        <v>45141.29166666667</v>
      </c>
      <c r="C3637" s="2" t="s">
        <v>18</v>
      </c>
      <c r="D3637" s="2" t="s">
        <v>79</v>
      </c>
      <c r="E3637" s="2" t="s">
        <v>165</v>
      </c>
      <c r="F3637" s="2"/>
      <c r="G3637" s="2">
        <v>8.0</v>
      </c>
      <c r="H3637" s="2">
        <v>8.0</v>
      </c>
      <c r="I3637" s="2">
        <v>0.0</v>
      </c>
      <c r="J3637" s="2">
        <v>0.0</v>
      </c>
      <c r="K3637" s="2">
        <v>0.0</v>
      </c>
      <c r="L3637" s="2">
        <v>0.0</v>
      </c>
      <c r="M3637" s="2"/>
      <c r="N3637" s="2"/>
      <c r="O3637" s="2"/>
      <c r="P3637" s="2" t="s">
        <v>166</v>
      </c>
    </row>
    <row r="3638">
      <c r="A3638" s="3" t="s">
        <v>48</v>
      </c>
      <c r="B3638" s="2" t="s">
        <v>17</v>
      </c>
      <c r="C3638" s="2" t="s">
        <v>18</v>
      </c>
      <c r="D3638" s="2" t="s">
        <v>19</v>
      </c>
      <c r="E3638" s="2" t="s">
        <v>114</v>
      </c>
      <c r="F3638" s="2">
        <v>11.0</v>
      </c>
      <c r="G3638" s="2">
        <v>3.0</v>
      </c>
      <c r="H3638" s="2">
        <v>3.0</v>
      </c>
      <c r="I3638" s="2">
        <v>0.0</v>
      </c>
      <c r="J3638" s="2">
        <v>0.0</v>
      </c>
      <c r="K3638" s="2">
        <v>0.0</v>
      </c>
      <c r="L3638" s="2">
        <v>0.0</v>
      </c>
      <c r="M3638" s="2">
        <v>8.0</v>
      </c>
      <c r="N3638" s="2"/>
      <c r="O3638" s="2"/>
      <c r="P3638" s="2" t="s">
        <v>146</v>
      </c>
    </row>
    <row r="3639">
      <c r="A3639" s="3" t="s">
        <v>49</v>
      </c>
      <c r="B3639" s="2" t="s">
        <v>17</v>
      </c>
      <c r="C3639" s="2" t="s">
        <v>18</v>
      </c>
      <c r="D3639" s="2" t="s">
        <v>19</v>
      </c>
      <c r="E3639" s="2" t="s">
        <v>110</v>
      </c>
      <c r="F3639" s="2">
        <v>6.0</v>
      </c>
      <c r="G3639" s="2">
        <v>1.0</v>
      </c>
      <c r="H3639" s="2">
        <v>1.0</v>
      </c>
      <c r="I3639" s="2">
        <v>0.0</v>
      </c>
      <c r="J3639" s="2">
        <v>0.0</v>
      </c>
      <c r="K3639" s="2">
        <v>0.0</v>
      </c>
      <c r="L3639" s="2">
        <v>0.0</v>
      </c>
      <c r="M3639" s="2">
        <v>5.0</v>
      </c>
      <c r="N3639" s="2"/>
      <c r="O3639" s="2"/>
      <c r="P3639" s="2" t="s">
        <v>146</v>
      </c>
    </row>
    <row r="3640">
      <c r="A3640" s="3" t="s">
        <v>51</v>
      </c>
      <c r="B3640" s="2" t="s">
        <v>17</v>
      </c>
      <c r="C3640" s="2" t="s">
        <v>18</v>
      </c>
      <c r="D3640" s="2" t="s">
        <v>19</v>
      </c>
      <c r="E3640" s="2" t="s">
        <v>120</v>
      </c>
      <c r="F3640" s="2">
        <v>10.0</v>
      </c>
      <c r="G3640" s="2">
        <v>7.0</v>
      </c>
      <c r="H3640" s="2">
        <v>6.0</v>
      </c>
      <c r="I3640" s="2">
        <v>1.0</v>
      </c>
      <c r="J3640" s="2">
        <v>0.0</v>
      </c>
      <c r="K3640" s="2">
        <v>0.0</v>
      </c>
      <c r="L3640" s="2">
        <v>0.0</v>
      </c>
      <c r="M3640" s="2">
        <v>4.0</v>
      </c>
      <c r="N3640" s="2"/>
      <c r="O3640" s="2"/>
      <c r="P3640" s="2" t="s">
        <v>146</v>
      </c>
    </row>
    <row r="3641">
      <c r="A3641" s="3" t="s">
        <v>52</v>
      </c>
      <c r="B3641" s="2" t="s">
        <v>17</v>
      </c>
      <c r="C3641" s="2" t="s">
        <v>57</v>
      </c>
      <c r="D3641" s="2" t="s">
        <v>19</v>
      </c>
      <c r="E3641" s="2" t="s">
        <v>125</v>
      </c>
      <c r="F3641" s="2">
        <v>17.0</v>
      </c>
      <c r="G3641" s="2">
        <v>26.0</v>
      </c>
      <c r="H3641" s="2">
        <v>15.0</v>
      </c>
      <c r="I3641" s="2">
        <v>11.0</v>
      </c>
      <c r="J3641" s="2">
        <v>0.0</v>
      </c>
      <c r="K3641" s="2">
        <v>0.0</v>
      </c>
      <c r="L3641" s="2">
        <v>0.0</v>
      </c>
      <c r="M3641" s="2">
        <v>2.0</v>
      </c>
      <c r="N3641" s="2"/>
      <c r="O3641" s="2"/>
      <c r="P3641" s="2" t="s">
        <v>146</v>
      </c>
    </row>
    <row r="3642">
      <c r="A3642" s="3" t="s">
        <v>53</v>
      </c>
      <c r="B3642" s="2" t="s">
        <v>17</v>
      </c>
      <c r="C3642" s="2" t="s">
        <v>57</v>
      </c>
      <c r="D3642" s="2" t="s">
        <v>19</v>
      </c>
      <c r="E3642" s="2" t="s">
        <v>118</v>
      </c>
      <c r="F3642" s="2">
        <v>1.0</v>
      </c>
      <c r="G3642" s="2">
        <v>2.0</v>
      </c>
      <c r="H3642" s="2">
        <v>2.0</v>
      </c>
      <c r="I3642" s="2">
        <v>0.0</v>
      </c>
      <c r="J3642" s="2">
        <v>0.0</v>
      </c>
      <c r="K3642" s="2">
        <v>0.0</v>
      </c>
      <c r="L3642" s="2">
        <v>0.0</v>
      </c>
      <c r="M3642" s="2">
        <v>-1.0</v>
      </c>
      <c r="N3642" s="2"/>
      <c r="O3642" s="2"/>
      <c r="P3642" s="2" t="s">
        <v>146</v>
      </c>
    </row>
    <row r="3643">
      <c r="A3643" s="3" t="s">
        <v>54</v>
      </c>
      <c r="B3643" s="2" t="s">
        <v>17</v>
      </c>
      <c r="C3643" s="2" t="s">
        <v>57</v>
      </c>
      <c r="D3643" s="2" t="s">
        <v>19</v>
      </c>
      <c r="E3643" s="2" t="s">
        <v>116</v>
      </c>
      <c r="F3643" s="2">
        <v>2.0</v>
      </c>
      <c r="G3643" s="2">
        <v>7.0</v>
      </c>
      <c r="H3643" s="2">
        <v>6.0</v>
      </c>
      <c r="I3643" s="2">
        <v>1.0</v>
      </c>
      <c r="J3643" s="2">
        <v>0.0</v>
      </c>
      <c r="K3643" s="2">
        <v>0.0</v>
      </c>
      <c r="L3643" s="2">
        <v>0.0</v>
      </c>
      <c r="M3643" s="2">
        <v>-4.0</v>
      </c>
      <c r="N3643" s="2"/>
      <c r="O3643" s="2"/>
      <c r="P3643" s="2" t="s">
        <v>146</v>
      </c>
    </row>
    <row r="3644">
      <c r="A3644" s="3" t="s">
        <v>55</v>
      </c>
      <c r="B3644" s="2" t="s">
        <v>17</v>
      </c>
      <c r="C3644" s="2" t="s">
        <v>18</v>
      </c>
      <c r="D3644" s="2" t="s">
        <v>23</v>
      </c>
      <c r="E3644" s="2" t="s">
        <v>114</v>
      </c>
      <c r="F3644" s="2">
        <v>11.0</v>
      </c>
      <c r="G3644" s="2">
        <v>3.0</v>
      </c>
      <c r="H3644" s="2">
        <v>3.0</v>
      </c>
      <c r="I3644" s="2">
        <v>0.0</v>
      </c>
      <c r="J3644" s="2">
        <v>0.0</v>
      </c>
      <c r="K3644" s="2">
        <v>0.0</v>
      </c>
      <c r="L3644" s="2">
        <v>0.0</v>
      </c>
      <c r="M3644" s="2">
        <v>8.0</v>
      </c>
      <c r="N3644" s="2">
        <v>0.0</v>
      </c>
      <c r="O3644" s="2">
        <v>5.0</v>
      </c>
      <c r="P3644" s="2" t="s">
        <v>146</v>
      </c>
    </row>
    <row r="3645">
      <c r="A3645" s="3" t="s">
        <v>56</v>
      </c>
      <c r="B3645" s="2" t="s">
        <v>17</v>
      </c>
      <c r="C3645" s="2" t="s">
        <v>18</v>
      </c>
      <c r="D3645" s="2" t="s">
        <v>23</v>
      </c>
      <c r="E3645" s="2" t="s">
        <v>110</v>
      </c>
      <c r="F3645" s="2">
        <v>6.0</v>
      </c>
      <c r="G3645" s="2">
        <v>1.0</v>
      </c>
      <c r="H3645" s="2">
        <v>1.0</v>
      </c>
      <c r="I3645" s="2">
        <v>0.0</v>
      </c>
      <c r="J3645" s="2">
        <v>0.0</v>
      </c>
      <c r="K3645" s="2">
        <v>0.0</v>
      </c>
      <c r="L3645" s="2">
        <v>0.0</v>
      </c>
      <c r="M3645" s="2">
        <v>5.0</v>
      </c>
      <c r="N3645" s="2">
        <v>0.0</v>
      </c>
      <c r="O3645" s="2">
        <v>4.0</v>
      </c>
      <c r="P3645" s="2" t="s">
        <v>146</v>
      </c>
    </row>
    <row r="3646">
      <c r="A3646" s="3" t="s">
        <v>59</v>
      </c>
      <c r="B3646" s="2" t="s">
        <v>17</v>
      </c>
      <c r="C3646" s="2" t="s">
        <v>18</v>
      </c>
      <c r="D3646" s="2" t="s">
        <v>23</v>
      </c>
      <c r="E3646" s="2" t="s">
        <v>120</v>
      </c>
      <c r="F3646" s="2">
        <v>10.0</v>
      </c>
      <c r="G3646" s="2">
        <v>7.0</v>
      </c>
      <c r="H3646" s="2">
        <v>6.0</v>
      </c>
      <c r="I3646" s="2">
        <v>1.0</v>
      </c>
      <c r="J3646" s="2">
        <v>0.0</v>
      </c>
      <c r="K3646" s="2">
        <v>0.0</v>
      </c>
      <c r="L3646" s="2">
        <v>0.0</v>
      </c>
      <c r="M3646" s="2">
        <v>4.0</v>
      </c>
      <c r="N3646" s="2">
        <v>0.0</v>
      </c>
      <c r="O3646" s="2">
        <v>-2.0</v>
      </c>
      <c r="P3646" s="2" t="s">
        <v>146</v>
      </c>
    </row>
    <row r="3647">
      <c r="A3647" s="3" t="s">
        <v>60</v>
      </c>
      <c r="B3647" s="2" t="s">
        <v>17</v>
      </c>
      <c r="C3647" s="2" t="s">
        <v>57</v>
      </c>
      <c r="D3647" s="2" t="s">
        <v>23</v>
      </c>
      <c r="E3647" s="2" t="s">
        <v>125</v>
      </c>
      <c r="F3647" s="2">
        <v>15.0</v>
      </c>
      <c r="G3647" s="2">
        <v>26.0</v>
      </c>
      <c r="H3647" s="2">
        <v>15.0</v>
      </c>
      <c r="I3647" s="2">
        <v>11.0</v>
      </c>
      <c r="J3647" s="2">
        <v>0.0</v>
      </c>
      <c r="K3647" s="2">
        <v>0.0</v>
      </c>
      <c r="L3647" s="2">
        <v>0.0</v>
      </c>
      <c r="M3647" s="2">
        <v>0.0</v>
      </c>
      <c r="N3647" s="2">
        <v>-2.0</v>
      </c>
      <c r="O3647" s="2">
        <v>-15.0</v>
      </c>
      <c r="P3647" s="2" t="s">
        <v>146</v>
      </c>
    </row>
    <row r="3648">
      <c r="A3648" s="3" t="s">
        <v>61</v>
      </c>
      <c r="B3648" s="2" t="s">
        <v>17</v>
      </c>
      <c r="C3648" s="2" t="s">
        <v>57</v>
      </c>
      <c r="D3648" s="2" t="s">
        <v>23</v>
      </c>
      <c r="E3648" s="2" t="s">
        <v>118</v>
      </c>
      <c r="F3648" s="2">
        <v>2.0</v>
      </c>
      <c r="G3648" s="2">
        <v>2.0</v>
      </c>
      <c r="H3648" s="2">
        <v>2.0</v>
      </c>
      <c r="I3648" s="2">
        <v>0.0</v>
      </c>
      <c r="J3648" s="2">
        <v>0.0</v>
      </c>
      <c r="K3648" s="2">
        <v>0.0</v>
      </c>
      <c r="L3648" s="2">
        <v>0.0</v>
      </c>
      <c r="M3648" s="2">
        <v>0.0</v>
      </c>
      <c r="N3648" s="2">
        <v>1.0</v>
      </c>
      <c r="O3648" s="2">
        <v>-2.0</v>
      </c>
      <c r="P3648" s="2" t="s">
        <v>146</v>
      </c>
    </row>
    <row r="3649">
      <c r="A3649" s="3" t="s">
        <v>62</v>
      </c>
      <c r="B3649" s="2" t="s">
        <v>17</v>
      </c>
      <c r="C3649" s="2" t="s">
        <v>57</v>
      </c>
      <c r="D3649" s="2" t="s">
        <v>23</v>
      </c>
      <c r="E3649" s="2" t="s">
        <v>116</v>
      </c>
      <c r="F3649" s="2">
        <v>5.0</v>
      </c>
      <c r="G3649" s="2">
        <v>7.0</v>
      </c>
      <c r="H3649" s="2">
        <v>6.0</v>
      </c>
      <c r="I3649" s="2">
        <v>1.0</v>
      </c>
      <c r="J3649" s="2">
        <v>0.0</v>
      </c>
      <c r="K3649" s="2">
        <v>0.0</v>
      </c>
      <c r="L3649" s="2">
        <v>0.0</v>
      </c>
      <c r="M3649" s="2">
        <v>-1.0</v>
      </c>
      <c r="N3649" s="2">
        <v>3.0</v>
      </c>
      <c r="O3649" s="2">
        <v>-7.0</v>
      </c>
      <c r="P3649" s="2" t="s">
        <v>146</v>
      </c>
    </row>
    <row r="3650">
      <c r="A3650" s="3" t="s">
        <v>63</v>
      </c>
      <c r="B3650" s="4">
        <v>45111.29166666667</v>
      </c>
      <c r="C3650" s="2" t="s">
        <v>18</v>
      </c>
      <c r="D3650" s="2" t="s">
        <v>19</v>
      </c>
      <c r="E3650" s="2" t="s">
        <v>114</v>
      </c>
      <c r="F3650" s="2"/>
      <c r="G3650" s="2">
        <v>1.0</v>
      </c>
      <c r="H3650" s="2">
        <v>1.0</v>
      </c>
      <c r="I3650" s="2">
        <v>0.0</v>
      </c>
      <c r="J3650" s="2">
        <v>0.0</v>
      </c>
      <c r="K3650" s="2">
        <v>0.0</v>
      </c>
      <c r="L3650" s="2">
        <v>0.0</v>
      </c>
      <c r="M3650" s="2"/>
      <c r="N3650" s="2"/>
      <c r="O3650" s="2"/>
      <c r="P3650" s="2" t="s">
        <v>146</v>
      </c>
    </row>
    <row r="3651">
      <c r="A3651" s="3" t="s">
        <v>64</v>
      </c>
      <c r="B3651" s="4">
        <v>45112.29166666667</v>
      </c>
      <c r="C3651" s="2" t="s">
        <v>18</v>
      </c>
      <c r="D3651" s="2" t="s">
        <v>19</v>
      </c>
      <c r="E3651" s="2" t="s">
        <v>110</v>
      </c>
      <c r="F3651" s="2"/>
      <c r="G3651" s="2">
        <v>0.0</v>
      </c>
      <c r="H3651" s="2">
        <v>0.0</v>
      </c>
      <c r="I3651" s="2">
        <v>0.0</v>
      </c>
      <c r="J3651" s="2">
        <v>0.0</v>
      </c>
      <c r="K3651" s="2">
        <v>0.0</v>
      </c>
      <c r="L3651" s="2">
        <v>0.0</v>
      </c>
      <c r="M3651" s="2"/>
      <c r="N3651" s="2"/>
      <c r="O3651" s="2"/>
      <c r="P3651" s="2" t="s">
        <v>146</v>
      </c>
    </row>
    <row r="3652">
      <c r="A3652" s="3" t="s">
        <v>65</v>
      </c>
      <c r="B3652" s="4">
        <v>45113.29166666667</v>
      </c>
      <c r="C3652" s="2" t="s">
        <v>18</v>
      </c>
      <c r="D3652" s="2" t="s">
        <v>19</v>
      </c>
      <c r="E3652" s="2" t="s">
        <v>125</v>
      </c>
      <c r="F3652" s="2"/>
      <c r="G3652" s="2">
        <v>13.0</v>
      </c>
      <c r="H3652" s="2">
        <v>8.0</v>
      </c>
      <c r="I3652" s="2">
        <v>5.0</v>
      </c>
      <c r="J3652" s="2">
        <v>0.0</v>
      </c>
      <c r="K3652" s="2">
        <v>0.0</v>
      </c>
      <c r="L3652" s="2">
        <v>0.0</v>
      </c>
      <c r="M3652" s="2"/>
      <c r="N3652" s="2"/>
      <c r="O3652" s="2"/>
      <c r="P3652" s="2" t="s">
        <v>146</v>
      </c>
    </row>
    <row r="3653">
      <c r="A3653" s="3" t="s">
        <v>66</v>
      </c>
      <c r="B3653" s="4">
        <v>45114.29166666667</v>
      </c>
      <c r="C3653" s="2" t="s">
        <v>18</v>
      </c>
      <c r="D3653" s="2" t="s">
        <v>19</v>
      </c>
      <c r="E3653" s="2" t="s">
        <v>118</v>
      </c>
      <c r="F3653" s="2"/>
      <c r="G3653" s="2">
        <v>1.0</v>
      </c>
      <c r="H3653" s="2">
        <v>1.0</v>
      </c>
      <c r="I3653" s="2">
        <v>0.0</v>
      </c>
      <c r="J3653" s="2">
        <v>0.0</v>
      </c>
      <c r="K3653" s="2">
        <v>0.0</v>
      </c>
      <c r="L3653" s="2">
        <v>0.0</v>
      </c>
      <c r="M3653" s="2"/>
      <c r="N3653" s="2"/>
      <c r="O3653" s="2"/>
      <c r="P3653" s="2" t="s">
        <v>146</v>
      </c>
    </row>
    <row r="3654">
      <c r="A3654" s="3" t="s">
        <v>68</v>
      </c>
      <c r="B3654" s="4">
        <v>45115.29166666667</v>
      </c>
      <c r="C3654" s="2" t="s">
        <v>18</v>
      </c>
      <c r="D3654" s="2" t="s">
        <v>19</v>
      </c>
      <c r="E3654" s="2" t="s">
        <v>120</v>
      </c>
      <c r="F3654" s="2"/>
      <c r="G3654" s="2">
        <v>4.0</v>
      </c>
      <c r="H3654" s="2">
        <v>3.0</v>
      </c>
      <c r="I3654" s="2">
        <v>1.0</v>
      </c>
      <c r="J3654" s="2">
        <v>0.0</v>
      </c>
      <c r="K3654" s="2">
        <v>0.0</v>
      </c>
      <c r="L3654" s="2">
        <v>0.0</v>
      </c>
      <c r="M3654" s="2"/>
      <c r="N3654" s="2"/>
      <c r="O3654" s="2"/>
      <c r="P3654" s="2" t="s">
        <v>146</v>
      </c>
    </row>
    <row r="3655">
      <c r="A3655" s="3" t="s">
        <v>70</v>
      </c>
      <c r="B3655" s="4">
        <v>45116.29166666667</v>
      </c>
      <c r="C3655" s="2" t="s">
        <v>18</v>
      </c>
      <c r="D3655" s="2" t="s">
        <v>19</v>
      </c>
      <c r="E3655" s="2" t="s">
        <v>116</v>
      </c>
      <c r="F3655" s="2"/>
      <c r="G3655" s="2">
        <v>4.0</v>
      </c>
      <c r="H3655" s="2">
        <v>4.0</v>
      </c>
      <c r="I3655" s="2">
        <v>0.0</v>
      </c>
      <c r="J3655" s="2">
        <v>0.0</v>
      </c>
      <c r="K3655" s="2">
        <v>0.0</v>
      </c>
      <c r="L3655" s="2">
        <v>0.0</v>
      </c>
      <c r="M3655" s="2"/>
      <c r="N3655" s="2"/>
      <c r="O3655" s="2"/>
      <c r="P3655" s="2" t="s">
        <v>146</v>
      </c>
    </row>
    <row r="3656">
      <c r="A3656" s="3" t="s">
        <v>16</v>
      </c>
      <c r="B3656" s="4">
        <v>45140.29166666667</v>
      </c>
      <c r="C3656" s="2" t="s">
        <v>18</v>
      </c>
      <c r="D3656" s="2" t="s">
        <v>19</v>
      </c>
      <c r="E3656" s="2" t="s">
        <v>114</v>
      </c>
      <c r="F3656" s="2"/>
      <c r="G3656" s="2">
        <v>2.0</v>
      </c>
      <c r="H3656" s="2">
        <v>2.0</v>
      </c>
      <c r="I3656" s="2">
        <v>0.0</v>
      </c>
      <c r="J3656" s="2">
        <v>0.0</v>
      </c>
      <c r="K3656" s="2">
        <v>0.0</v>
      </c>
      <c r="L3656" s="2">
        <v>0.0</v>
      </c>
      <c r="M3656" s="2"/>
      <c r="N3656" s="2"/>
      <c r="O3656" s="2"/>
      <c r="P3656" s="2" t="s">
        <v>146</v>
      </c>
    </row>
    <row r="3657">
      <c r="A3657" s="3" t="s">
        <v>71</v>
      </c>
      <c r="B3657" s="4">
        <v>45141.29166666667</v>
      </c>
      <c r="C3657" s="2" t="s">
        <v>18</v>
      </c>
      <c r="D3657" s="2" t="s">
        <v>19</v>
      </c>
      <c r="E3657" s="2" t="s">
        <v>110</v>
      </c>
      <c r="F3657" s="2"/>
      <c r="G3657" s="2">
        <v>1.0</v>
      </c>
      <c r="H3657" s="2">
        <v>1.0</v>
      </c>
      <c r="I3657" s="2">
        <v>0.0</v>
      </c>
      <c r="J3657" s="2">
        <v>0.0</v>
      </c>
      <c r="K3657" s="2">
        <v>0.0</v>
      </c>
      <c r="L3657" s="2">
        <v>0.0</v>
      </c>
      <c r="M3657" s="2"/>
      <c r="N3657" s="2"/>
      <c r="O3657" s="2"/>
      <c r="P3657" s="2" t="s">
        <v>146</v>
      </c>
    </row>
    <row r="3658">
      <c r="A3658" s="3" t="s">
        <v>72</v>
      </c>
      <c r="B3658" s="4">
        <v>45142.29166666667</v>
      </c>
      <c r="C3658" s="2" t="s">
        <v>18</v>
      </c>
      <c r="D3658" s="2" t="s">
        <v>19</v>
      </c>
      <c r="E3658" s="2" t="s">
        <v>125</v>
      </c>
      <c r="F3658" s="2"/>
      <c r="G3658" s="2">
        <v>13.0</v>
      </c>
      <c r="H3658" s="2">
        <v>7.0</v>
      </c>
      <c r="I3658" s="2">
        <v>6.0</v>
      </c>
      <c r="J3658" s="2">
        <v>0.0</v>
      </c>
      <c r="K3658" s="2">
        <v>0.0</v>
      </c>
      <c r="L3658" s="2">
        <v>0.0</v>
      </c>
      <c r="M3658" s="2"/>
      <c r="N3658" s="2"/>
      <c r="O3658" s="2"/>
      <c r="P3658" s="2" t="s">
        <v>146</v>
      </c>
    </row>
    <row r="3659">
      <c r="A3659" s="3" t="s">
        <v>73</v>
      </c>
      <c r="B3659" s="4">
        <v>45143.29166666667</v>
      </c>
      <c r="C3659" s="2" t="s">
        <v>18</v>
      </c>
      <c r="D3659" s="2" t="s">
        <v>19</v>
      </c>
      <c r="E3659" s="2" t="s">
        <v>118</v>
      </c>
      <c r="F3659" s="2"/>
      <c r="G3659" s="2">
        <v>1.0</v>
      </c>
      <c r="H3659" s="2">
        <v>1.0</v>
      </c>
      <c r="I3659" s="2">
        <v>0.0</v>
      </c>
      <c r="J3659" s="2">
        <v>0.0</v>
      </c>
      <c r="K3659" s="2">
        <v>0.0</v>
      </c>
      <c r="L3659" s="2">
        <v>0.0</v>
      </c>
      <c r="M3659" s="2"/>
      <c r="N3659" s="2"/>
      <c r="O3659" s="2"/>
      <c r="P3659" s="2" t="s">
        <v>146</v>
      </c>
    </row>
    <row r="3660">
      <c r="A3660" s="3" t="s">
        <v>74</v>
      </c>
      <c r="B3660" s="4">
        <v>45144.29166666667</v>
      </c>
      <c r="C3660" s="2" t="s">
        <v>18</v>
      </c>
      <c r="D3660" s="2" t="s">
        <v>19</v>
      </c>
      <c r="E3660" s="2" t="s">
        <v>120</v>
      </c>
      <c r="F3660" s="2"/>
      <c r="G3660" s="2">
        <v>3.0</v>
      </c>
      <c r="H3660" s="2">
        <v>3.0</v>
      </c>
      <c r="I3660" s="2">
        <v>0.0</v>
      </c>
      <c r="J3660" s="2">
        <v>0.0</v>
      </c>
      <c r="K3660" s="2">
        <v>0.0</v>
      </c>
      <c r="L3660" s="2">
        <v>0.0</v>
      </c>
      <c r="M3660" s="2"/>
      <c r="N3660" s="2"/>
      <c r="O3660" s="2"/>
      <c r="P3660" s="2" t="s">
        <v>146</v>
      </c>
    </row>
    <row r="3661">
      <c r="A3661" s="3" t="s">
        <v>75</v>
      </c>
      <c r="B3661" s="4">
        <v>45145.29166666667</v>
      </c>
      <c r="C3661" s="2" t="s">
        <v>18</v>
      </c>
      <c r="D3661" s="2" t="s">
        <v>19</v>
      </c>
      <c r="E3661" s="2" t="s">
        <v>116</v>
      </c>
      <c r="F3661" s="2"/>
      <c r="G3661" s="2">
        <v>3.0</v>
      </c>
      <c r="H3661" s="2">
        <v>2.0</v>
      </c>
      <c r="I3661" s="2">
        <v>1.0</v>
      </c>
      <c r="J3661" s="2">
        <v>0.0</v>
      </c>
      <c r="K3661" s="2">
        <v>0.0</v>
      </c>
      <c r="L3661" s="2">
        <v>0.0</v>
      </c>
      <c r="M3661" s="2"/>
      <c r="N3661" s="2"/>
      <c r="O3661" s="2"/>
      <c r="P3661" s="2" t="s">
        <v>146</v>
      </c>
    </row>
    <row r="3662">
      <c r="A3662" s="3" t="s">
        <v>76</v>
      </c>
      <c r="B3662" s="2" t="s">
        <v>17</v>
      </c>
      <c r="C3662" s="2" t="s">
        <v>18</v>
      </c>
      <c r="D3662" s="2" t="s">
        <v>79</v>
      </c>
      <c r="E3662" s="2" t="s">
        <v>165</v>
      </c>
      <c r="F3662" s="2">
        <v>55.0</v>
      </c>
      <c r="G3662" s="2">
        <v>115.0</v>
      </c>
      <c r="H3662" s="2">
        <v>55.0</v>
      </c>
      <c r="I3662" s="2">
        <v>60.0</v>
      </c>
      <c r="J3662" s="2">
        <v>0.0</v>
      </c>
      <c r="K3662" s="2">
        <v>0.0</v>
      </c>
      <c r="L3662" s="2">
        <v>0.0</v>
      </c>
      <c r="M3662" s="2">
        <v>0.0</v>
      </c>
      <c r="N3662" s="2"/>
      <c r="O3662" s="2"/>
      <c r="P3662" s="2" t="s">
        <v>166</v>
      </c>
    </row>
    <row r="3663">
      <c r="A3663" s="3" t="s">
        <v>77</v>
      </c>
      <c r="B3663" s="2" t="s">
        <v>17</v>
      </c>
      <c r="C3663" s="2" t="s">
        <v>18</v>
      </c>
      <c r="D3663" s="2" t="s">
        <v>23</v>
      </c>
      <c r="E3663" s="2" t="s">
        <v>165</v>
      </c>
      <c r="F3663" s="2">
        <v>55.0</v>
      </c>
      <c r="G3663" s="2">
        <v>115.0</v>
      </c>
      <c r="H3663" s="2">
        <v>55.0</v>
      </c>
      <c r="I3663" s="2">
        <v>60.0</v>
      </c>
      <c r="J3663" s="2">
        <v>0.0</v>
      </c>
      <c r="K3663" s="2">
        <v>0.0</v>
      </c>
      <c r="L3663" s="2">
        <v>0.0</v>
      </c>
      <c r="M3663" s="2">
        <v>0.0</v>
      </c>
      <c r="N3663" s="2">
        <v>0.0</v>
      </c>
      <c r="O3663" s="2">
        <v>-55.0</v>
      </c>
      <c r="P3663" s="2" t="s">
        <v>166</v>
      </c>
    </row>
    <row r="3664">
      <c r="A3664" s="3" t="s">
        <v>78</v>
      </c>
      <c r="B3664" s="4">
        <v>45262.29166666667</v>
      </c>
      <c r="C3664" s="2" t="s">
        <v>18</v>
      </c>
      <c r="D3664" s="2" t="s">
        <v>79</v>
      </c>
      <c r="E3664" s="2" t="s">
        <v>165</v>
      </c>
      <c r="F3664" s="2"/>
      <c r="G3664" s="2">
        <v>115.0</v>
      </c>
      <c r="H3664" s="2">
        <v>55.0</v>
      </c>
      <c r="I3664" s="2">
        <v>60.0</v>
      </c>
      <c r="J3664" s="2">
        <v>0.0</v>
      </c>
      <c r="K3664" s="2">
        <v>0.0</v>
      </c>
      <c r="L3664" s="2">
        <v>0.0</v>
      </c>
      <c r="M3664" s="2"/>
      <c r="N3664" s="2"/>
      <c r="O3664" s="2"/>
      <c r="P3664" s="2" t="s">
        <v>166</v>
      </c>
    </row>
    <row r="3665">
      <c r="A3665" s="3" t="s">
        <v>81</v>
      </c>
      <c r="B3665" s="2" t="s">
        <v>17</v>
      </c>
      <c r="C3665" s="2" t="s">
        <v>18</v>
      </c>
      <c r="D3665" s="2" t="s">
        <v>164</v>
      </c>
      <c r="E3665" s="2" t="s">
        <v>165</v>
      </c>
      <c r="F3665" s="2">
        <v>300.0</v>
      </c>
      <c r="G3665" s="2">
        <v>185.0</v>
      </c>
      <c r="H3665" s="2">
        <v>95.0</v>
      </c>
      <c r="I3665" s="2">
        <v>90.0</v>
      </c>
      <c r="J3665" s="2">
        <v>0.0</v>
      </c>
      <c r="K3665" s="2">
        <v>0.0</v>
      </c>
      <c r="L3665" s="2">
        <v>0.0</v>
      </c>
      <c r="M3665" s="2">
        <v>205.0</v>
      </c>
      <c r="N3665" s="2"/>
      <c r="O3665" s="2"/>
      <c r="P3665" s="2" t="s">
        <v>166</v>
      </c>
    </row>
    <row r="3666">
      <c r="A3666" s="3" t="s">
        <v>82</v>
      </c>
      <c r="B3666" s="2" t="s">
        <v>17</v>
      </c>
      <c r="C3666" s="2" t="s">
        <v>18</v>
      </c>
      <c r="D3666" s="2" t="s">
        <v>23</v>
      </c>
      <c r="E3666" s="2" t="s">
        <v>165</v>
      </c>
      <c r="F3666" s="2">
        <v>300.0</v>
      </c>
      <c r="G3666" s="2">
        <v>185.0</v>
      </c>
      <c r="H3666" s="2">
        <v>95.0</v>
      </c>
      <c r="I3666" s="2">
        <v>90.0</v>
      </c>
      <c r="J3666" s="2">
        <v>0.0</v>
      </c>
      <c r="K3666" s="2">
        <v>0.0</v>
      </c>
      <c r="L3666" s="2">
        <v>0.0</v>
      </c>
      <c r="M3666" s="2">
        <v>205.0</v>
      </c>
      <c r="N3666" s="2">
        <v>0.0</v>
      </c>
      <c r="O3666" s="2">
        <v>110.0</v>
      </c>
      <c r="P3666" s="2" t="s">
        <v>166</v>
      </c>
    </row>
    <row r="3667">
      <c r="A3667" s="3" t="s">
        <v>83</v>
      </c>
      <c r="B3667" s="4">
        <v>45262.29166666667</v>
      </c>
      <c r="C3667" s="2" t="s">
        <v>18</v>
      </c>
      <c r="D3667" s="2" t="s">
        <v>164</v>
      </c>
      <c r="E3667" s="2" t="s">
        <v>165</v>
      </c>
      <c r="F3667" s="2"/>
      <c r="G3667" s="2">
        <v>185.0</v>
      </c>
      <c r="H3667" s="2">
        <v>95.0</v>
      </c>
      <c r="I3667" s="2">
        <v>90.0</v>
      </c>
      <c r="J3667" s="2">
        <v>0.0</v>
      </c>
      <c r="K3667" s="2">
        <v>0.0</v>
      </c>
      <c r="L3667" s="2">
        <v>0.0</v>
      </c>
      <c r="M3667" s="2"/>
      <c r="N3667" s="2"/>
      <c r="O3667" s="2"/>
      <c r="P3667" s="2" t="s">
        <v>166</v>
      </c>
    </row>
    <row r="3668">
      <c r="A3668" s="3" t="s">
        <v>84</v>
      </c>
      <c r="B3668" s="2" t="s">
        <v>17</v>
      </c>
      <c r="C3668" s="2" t="s">
        <v>18</v>
      </c>
      <c r="D3668" s="2" t="s">
        <v>127</v>
      </c>
      <c r="E3668" s="2" t="s">
        <v>410</v>
      </c>
      <c r="F3668" s="2">
        <v>55.0</v>
      </c>
      <c r="G3668" s="2">
        <v>74.0</v>
      </c>
      <c r="H3668" s="2">
        <v>55.0</v>
      </c>
      <c r="I3668" s="2">
        <v>19.0</v>
      </c>
      <c r="J3668" s="2">
        <v>0.0</v>
      </c>
      <c r="K3668" s="2">
        <v>0.0</v>
      </c>
      <c r="L3668" s="2">
        <v>0.0</v>
      </c>
      <c r="M3668" s="2">
        <v>0.0</v>
      </c>
      <c r="N3668" s="2"/>
      <c r="O3668" s="2"/>
      <c r="P3668" s="2" t="s">
        <v>92</v>
      </c>
    </row>
    <row r="3669">
      <c r="A3669" s="3" t="s">
        <v>85</v>
      </c>
      <c r="B3669" s="2" t="s">
        <v>17</v>
      </c>
      <c r="C3669" s="2" t="s">
        <v>18</v>
      </c>
      <c r="D3669" s="2" t="s">
        <v>127</v>
      </c>
      <c r="E3669" s="2" t="s">
        <v>411</v>
      </c>
      <c r="F3669" s="2">
        <v>23.0</v>
      </c>
      <c r="G3669" s="2">
        <v>39.0</v>
      </c>
      <c r="H3669" s="2">
        <v>23.0</v>
      </c>
      <c r="I3669" s="2">
        <v>16.0</v>
      </c>
      <c r="J3669" s="2">
        <v>0.0</v>
      </c>
      <c r="K3669" s="2">
        <v>0.0</v>
      </c>
      <c r="L3669" s="2">
        <v>0.0</v>
      </c>
      <c r="M3669" s="2">
        <v>0.0</v>
      </c>
      <c r="N3669" s="2"/>
      <c r="O3669" s="2"/>
      <c r="P3669" s="2" t="s">
        <v>92</v>
      </c>
    </row>
    <row r="3670">
      <c r="A3670" s="3" t="s">
        <v>86</v>
      </c>
      <c r="B3670" s="2" t="s">
        <v>17</v>
      </c>
      <c r="C3670" s="2" t="s">
        <v>18</v>
      </c>
      <c r="D3670" s="2" t="s">
        <v>127</v>
      </c>
      <c r="E3670" s="2" t="s">
        <v>412</v>
      </c>
      <c r="F3670" s="2">
        <v>16.0</v>
      </c>
      <c r="G3670" s="2">
        <v>25.0</v>
      </c>
      <c r="H3670" s="2">
        <v>16.0</v>
      </c>
      <c r="I3670" s="2">
        <v>9.0</v>
      </c>
      <c r="J3670" s="2">
        <v>0.0</v>
      </c>
      <c r="K3670" s="2">
        <v>0.0</v>
      </c>
      <c r="L3670" s="2">
        <v>0.0</v>
      </c>
      <c r="M3670" s="2">
        <v>0.0</v>
      </c>
      <c r="N3670" s="2"/>
      <c r="O3670" s="2"/>
      <c r="P3670" s="2" t="s">
        <v>92</v>
      </c>
    </row>
    <row r="3671">
      <c r="A3671" s="3" t="s">
        <v>87</v>
      </c>
      <c r="B3671" s="2" t="s">
        <v>17</v>
      </c>
      <c r="C3671" s="2" t="s">
        <v>18</v>
      </c>
      <c r="D3671" s="2" t="s">
        <v>23</v>
      </c>
      <c r="E3671" s="2" t="s">
        <v>410</v>
      </c>
      <c r="F3671" s="2">
        <v>55.0</v>
      </c>
      <c r="G3671" s="2">
        <v>74.0</v>
      </c>
      <c r="H3671" s="2">
        <v>55.0</v>
      </c>
      <c r="I3671" s="2">
        <v>19.0</v>
      </c>
      <c r="J3671" s="2">
        <v>0.0</v>
      </c>
      <c r="K3671" s="2">
        <v>0.0</v>
      </c>
      <c r="L3671" s="2">
        <v>0.0</v>
      </c>
      <c r="M3671" s="2">
        <v>0.0</v>
      </c>
      <c r="N3671" s="2">
        <v>0.0</v>
      </c>
      <c r="O3671" s="2">
        <v>-55.0</v>
      </c>
      <c r="P3671" s="2" t="s">
        <v>92</v>
      </c>
    </row>
    <row r="3672">
      <c r="A3672" s="3" t="s">
        <v>88</v>
      </c>
      <c r="B3672" s="2" t="s">
        <v>17</v>
      </c>
      <c r="C3672" s="2" t="s">
        <v>18</v>
      </c>
      <c r="D3672" s="2" t="s">
        <v>23</v>
      </c>
      <c r="E3672" s="2" t="s">
        <v>411</v>
      </c>
      <c r="F3672" s="2">
        <v>23.0</v>
      </c>
      <c r="G3672" s="2">
        <v>39.0</v>
      </c>
      <c r="H3672" s="2">
        <v>23.0</v>
      </c>
      <c r="I3672" s="2">
        <v>16.0</v>
      </c>
      <c r="J3672" s="2">
        <v>0.0</v>
      </c>
      <c r="K3672" s="2">
        <v>0.0</v>
      </c>
      <c r="L3672" s="2">
        <v>0.0</v>
      </c>
      <c r="M3672" s="2">
        <v>0.0</v>
      </c>
      <c r="N3672" s="2">
        <v>0.0</v>
      </c>
      <c r="O3672" s="2">
        <v>-23.0</v>
      </c>
      <c r="P3672" s="2" t="s">
        <v>92</v>
      </c>
    </row>
    <row r="3673">
      <c r="A3673" s="3" t="s">
        <v>89</v>
      </c>
      <c r="B3673" s="2" t="s">
        <v>17</v>
      </c>
      <c r="C3673" s="2" t="s">
        <v>18</v>
      </c>
      <c r="D3673" s="2" t="s">
        <v>23</v>
      </c>
      <c r="E3673" s="2" t="s">
        <v>412</v>
      </c>
      <c r="F3673" s="2">
        <v>16.0</v>
      </c>
      <c r="G3673" s="2">
        <v>25.0</v>
      </c>
      <c r="H3673" s="2">
        <v>16.0</v>
      </c>
      <c r="I3673" s="2">
        <v>9.0</v>
      </c>
      <c r="J3673" s="2">
        <v>0.0</v>
      </c>
      <c r="K3673" s="2">
        <v>0.0</v>
      </c>
      <c r="L3673" s="2">
        <v>0.0</v>
      </c>
      <c r="M3673" s="2">
        <v>0.0</v>
      </c>
      <c r="N3673" s="2">
        <v>0.0</v>
      </c>
      <c r="O3673" s="2">
        <v>-16.0</v>
      </c>
      <c r="P3673" s="2" t="s">
        <v>92</v>
      </c>
    </row>
    <row r="3674">
      <c r="A3674" s="3" t="s">
        <v>90</v>
      </c>
      <c r="B3674" s="4">
        <v>45232.25</v>
      </c>
      <c r="C3674" s="2" t="s">
        <v>18</v>
      </c>
      <c r="D3674" s="2" t="s">
        <v>127</v>
      </c>
      <c r="E3674" s="2" t="s">
        <v>410</v>
      </c>
      <c r="F3674" s="2"/>
      <c r="G3674" s="2">
        <v>74.0</v>
      </c>
      <c r="H3674" s="2">
        <v>55.0</v>
      </c>
      <c r="I3674" s="2">
        <v>19.0</v>
      </c>
      <c r="J3674" s="2">
        <v>0.0</v>
      </c>
      <c r="K3674" s="2">
        <v>0.0</v>
      </c>
      <c r="L3674" s="2">
        <v>0.0</v>
      </c>
      <c r="M3674" s="2"/>
      <c r="N3674" s="2"/>
      <c r="O3674" s="2"/>
      <c r="P3674" s="2" t="s">
        <v>92</v>
      </c>
    </row>
    <row r="3675">
      <c r="A3675" s="3" t="s">
        <v>93</v>
      </c>
      <c r="B3675" s="4">
        <v>45233.25</v>
      </c>
      <c r="C3675" s="2" t="s">
        <v>18</v>
      </c>
      <c r="D3675" s="2" t="s">
        <v>127</v>
      </c>
      <c r="E3675" s="2" t="s">
        <v>411</v>
      </c>
      <c r="F3675" s="2"/>
      <c r="G3675" s="2">
        <v>24.0</v>
      </c>
      <c r="H3675" s="2">
        <v>13.0</v>
      </c>
      <c r="I3675" s="2">
        <v>11.0</v>
      </c>
      <c r="J3675" s="2">
        <v>0.0</v>
      </c>
      <c r="K3675" s="2">
        <v>0.0</v>
      </c>
      <c r="L3675" s="2">
        <v>0.0</v>
      </c>
      <c r="M3675" s="2"/>
      <c r="N3675" s="2"/>
      <c r="O3675" s="2"/>
      <c r="P3675" s="2" t="s">
        <v>92</v>
      </c>
    </row>
    <row r="3676">
      <c r="A3676" s="3" t="s">
        <v>16</v>
      </c>
      <c r="B3676" s="4">
        <v>45234.25</v>
      </c>
      <c r="C3676" s="2" t="s">
        <v>18</v>
      </c>
      <c r="D3676" s="2" t="s">
        <v>127</v>
      </c>
      <c r="E3676" s="2" t="s">
        <v>412</v>
      </c>
      <c r="F3676" s="2"/>
      <c r="G3676" s="2">
        <v>25.0</v>
      </c>
      <c r="H3676" s="2">
        <v>16.0</v>
      </c>
      <c r="I3676" s="2">
        <v>9.0</v>
      </c>
      <c r="J3676" s="2">
        <v>0.0</v>
      </c>
      <c r="K3676" s="2">
        <v>0.0</v>
      </c>
      <c r="L3676" s="2">
        <v>0.0</v>
      </c>
      <c r="M3676" s="2"/>
      <c r="N3676" s="2"/>
      <c r="O3676" s="2"/>
      <c r="P3676" s="2" t="s">
        <v>92</v>
      </c>
    </row>
    <row r="3677">
      <c r="A3677" s="3" t="s">
        <v>94</v>
      </c>
      <c r="B3677" s="4">
        <v>45262.29166666667</v>
      </c>
      <c r="C3677" s="2" t="s">
        <v>18</v>
      </c>
      <c r="D3677" s="2" t="s">
        <v>127</v>
      </c>
      <c r="E3677" s="2" t="s">
        <v>410</v>
      </c>
      <c r="F3677" s="2"/>
      <c r="G3677" s="2">
        <v>0.0</v>
      </c>
      <c r="H3677" s="2">
        <v>0.0</v>
      </c>
      <c r="I3677" s="2">
        <v>0.0</v>
      </c>
      <c r="J3677" s="2">
        <v>0.0</v>
      </c>
      <c r="K3677" s="2">
        <v>0.0</v>
      </c>
      <c r="L3677" s="2">
        <v>0.0</v>
      </c>
      <c r="M3677" s="2"/>
      <c r="N3677" s="2"/>
      <c r="O3677" s="2"/>
      <c r="P3677" s="2" t="s">
        <v>92</v>
      </c>
    </row>
    <row r="3678">
      <c r="A3678" s="3" t="s">
        <v>95</v>
      </c>
      <c r="B3678" s="4">
        <v>45263.29166666667</v>
      </c>
      <c r="C3678" s="2" t="s">
        <v>18</v>
      </c>
      <c r="D3678" s="2" t="s">
        <v>127</v>
      </c>
      <c r="E3678" s="2" t="s">
        <v>411</v>
      </c>
      <c r="F3678" s="2"/>
      <c r="G3678" s="2">
        <v>15.0</v>
      </c>
      <c r="H3678" s="2">
        <v>10.0</v>
      </c>
      <c r="I3678" s="2">
        <v>5.0</v>
      </c>
      <c r="J3678" s="2">
        <v>0.0</v>
      </c>
      <c r="K3678" s="2">
        <v>0.0</v>
      </c>
      <c r="L3678" s="2">
        <v>0.0</v>
      </c>
      <c r="M3678" s="2"/>
      <c r="N3678" s="2"/>
      <c r="O3678" s="2"/>
      <c r="P3678" s="2" t="s">
        <v>92</v>
      </c>
    </row>
    <row r="3679">
      <c r="A3679" s="3" t="s">
        <v>97</v>
      </c>
      <c r="B3679" s="4">
        <v>45264.29166666667</v>
      </c>
      <c r="C3679" s="2" t="s">
        <v>18</v>
      </c>
      <c r="D3679" s="2" t="s">
        <v>127</v>
      </c>
      <c r="E3679" s="2" t="s">
        <v>412</v>
      </c>
      <c r="F3679" s="2"/>
      <c r="G3679" s="2">
        <v>0.0</v>
      </c>
      <c r="H3679" s="2">
        <v>0.0</v>
      </c>
      <c r="I3679" s="2">
        <v>0.0</v>
      </c>
      <c r="J3679" s="2">
        <v>0.0</v>
      </c>
      <c r="K3679" s="2">
        <v>0.0</v>
      </c>
      <c r="L3679" s="2">
        <v>0.0</v>
      </c>
      <c r="M3679" s="2"/>
      <c r="N3679" s="2"/>
      <c r="O3679" s="2"/>
      <c r="P3679" s="2" t="s">
        <v>92</v>
      </c>
    </row>
    <row r="3680">
      <c r="A3680" s="3" t="s">
        <v>98</v>
      </c>
      <c r="B3680" s="2" t="s">
        <v>17</v>
      </c>
      <c r="C3680" s="2" t="s">
        <v>18</v>
      </c>
      <c r="D3680" s="2" t="s">
        <v>164</v>
      </c>
      <c r="E3680" s="2" t="s">
        <v>165</v>
      </c>
      <c r="F3680" s="2">
        <v>350.0</v>
      </c>
      <c r="G3680" s="2">
        <v>73.0</v>
      </c>
      <c r="H3680" s="2">
        <v>24.0</v>
      </c>
      <c r="I3680" s="2">
        <v>49.0</v>
      </c>
      <c r="J3680" s="2">
        <v>0.0</v>
      </c>
      <c r="K3680" s="2">
        <v>0.0</v>
      </c>
      <c r="L3680" s="2">
        <v>0.0</v>
      </c>
      <c r="M3680" s="2">
        <v>326.0</v>
      </c>
      <c r="N3680" s="2"/>
      <c r="O3680" s="2"/>
      <c r="P3680" s="2" t="s">
        <v>166</v>
      </c>
    </row>
    <row r="3681">
      <c r="A3681" s="3" t="s">
        <v>99</v>
      </c>
      <c r="B3681" s="2" t="s">
        <v>17</v>
      </c>
      <c r="C3681" s="2" t="s">
        <v>18</v>
      </c>
      <c r="D3681" s="2" t="s">
        <v>23</v>
      </c>
      <c r="E3681" s="2" t="s">
        <v>165</v>
      </c>
      <c r="F3681" s="2">
        <v>1000.0</v>
      </c>
      <c r="G3681" s="2">
        <v>73.0</v>
      </c>
      <c r="H3681" s="2">
        <v>24.0</v>
      </c>
      <c r="I3681" s="2">
        <v>49.0</v>
      </c>
      <c r="J3681" s="2">
        <v>0.0</v>
      </c>
      <c r="K3681" s="2">
        <v>0.0</v>
      </c>
      <c r="L3681" s="2">
        <v>0.0</v>
      </c>
      <c r="M3681" s="2">
        <v>976.0</v>
      </c>
      <c r="N3681" s="2">
        <v>650.0</v>
      </c>
      <c r="O3681" s="2">
        <v>952.0</v>
      </c>
      <c r="P3681" s="2" t="s">
        <v>166</v>
      </c>
    </row>
    <row r="3682">
      <c r="A3682" s="3" t="s">
        <v>100</v>
      </c>
      <c r="B3682" s="4">
        <v>45232.25</v>
      </c>
      <c r="C3682" s="2" t="s">
        <v>18</v>
      </c>
      <c r="D3682" s="2" t="s">
        <v>164</v>
      </c>
      <c r="E3682" s="2" t="s">
        <v>165</v>
      </c>
      <c r="F3682" s="2"/>
      <c r="G3682" s="2">
        <v>73.0</v>
      </c>
      <c r="H3682" s="2">
        <v>24.0</v>
      </c>
      <c r="I3682" s="2">
        <v>49.0</v>
      </c>
      <c r="J3682" s="2">
        <v>0.0</v>
      </c>
      <c r="K3682" s="2">
        <v>0.0</v>
      </c>
      <c r="L3682" s="2">
        <v>0.0</v>
      </c>
      <c r="M3682" s="2"/>
      <c r="N3682" s="2"/>
      <c r="O3682" s="2"/>
      <c r="P3682" s="2" t="s">
        <v>166</v>
      </c>
    </row>
    <row r="3683">
      <c r="A3683" s="3" t="s">
        <v>101</v>
      </c>
      <c r="B3683" s="4">
        <v>45261.29166666667</v>
      </c>
      <c r="C3683" s="2" t="s">
        <v>18</v>
      </c>
      <c r="D3683" s="2" t="s">
        <v>164</v>
      </c>
      <c r="E3683" s="2" t="s">
        <v>165</v>
      </c>
      <c r="F3683" s="2"/>
      <c r="G3683" s="2">
        <v>0.0</v>
      </c>
      <c r="H3683" s="2">
        <v>0.0</v>
      </c>
      <c r="I3683" s="2">
        <v>0.0</v>
      </c>
      <c r="J3683" s="2">
        <v>0.0</v>
      </c>
      <c r="K3683" s="2">
        <v>0.0</v>
      </c>
      <c r="L3683" s="2">
        <v>0.0</v>
      </c>
      <c r="M3683" s="2"/>
      <c r="N3683" s="2"/>
      <c r="O3683" s="2"/>
      <c r="P3683" s="2" t="s">
        <v>166</v>
      </c>
    </row>
    <row r="3684">
      <c r="A3684" s="3" t="s">
        <v>102</v>
      </c>
      <c r="B3684" s="2" t="s">
        <v>17</v>
      </c>
      <c r="C3684" s="2" t="s">
        <v>18</v>
      </c>
      <c r="D3684" s="2" t="s">
        <v>79</v>
      </c>
      <c r="E3684" s="2" t="s">
        <v>165</v>
      </c>
      <c r="F3684" s="2">
        <v>208.0</v>
      </c>
      <c r="G3684" s="2">
        <v>316.0</v>
      </c>
      <c r="H3684" s="2">
        <v>208.0</v>
      </c>
      <c r="I3684" s="2">
        <v>108.0</v>
      </c>
      <c r="J3684" s="2">
        <v>0.0</v>
      </c>
      <c r="K3684" s="2">
        <v>0.0</v>
      </c>
      <c r="L3684" s="2">
        <v>0.0</v>
      </c>
      <c r="M3684" s="2">
        <v>0.0</v>
      </c>
      <c r="N3684" s="2"/>
      <c r="O3684" s="2"/>
      <c r="P3684" s="2" t="s">
        <v>166</v>
      </c>
    </row>
    <row r="3685">
      <c r="A3685" s="3" t="s">
        <v>103</v>
      </c>
      <c r="B3685" s="2" t="s">
        <v>17</v>
      </c>
      <c r="C3685" s="2" t="s">
        <v>18</v>
      </c>
      <c r="D3685" s="2" t="s">
        <v>23</v>
      </c>
      <c r="E3685" s="2" t="s">
        <v>165</v>
      </c>
      <c r="F3685" s="2">
        <v>208.0</v>
      </c>
      <c r="G3685" s="2">
        <v>316.0</v>
      </c>
      <c r="H3685" s="2">
        <v>208.0</v>
      </c>
      <c r="I3685" s="2">
        <v>108.0</v>
      </c>
      <c r="J3685" s="2">
        <v>0.0</v>
      </c>
      <c r="K3685" s="2">
        <v>0.0</v>
      </c>
      <c r="L3685" s="2">
        <v>0.0</v>
      </c>
      <c r="M3685" s="2">
        <v>0.0</v>
      </c>
      <c r="N3685" s="2">
        <v>0.0</v>
      </c>
      <c r="O3685" s="2">
        <v>-208.0</v>
      </c>
      <c r="P3685" s="2" t="s">
        <v>166</v>
      </c>
    </row>
    <row r="3686">
      <c r="A3686" s="3" t="s">
        <v>104</v>
      </c>
      <c r="B3686" s="4">
        <v>45262.29166666667</v>
      </c>
      <c r="C3686" s="2" t="s">
        <v>18</v>
      </c>
      <c r="D3686" s="2" t="s">
        <v>79</v>
      </c>
      <c r="E3686" s="2" t="s">
        <v>165</v>
      </c>
      <c r="F3686" s="2"/>
      <c r="G3686" s="2">
        <v>204.0</v>
      </c>
      <c r="H3686" s="2">
        <v>133.0</v>
      </c>
      <c r="I3686" s="2">
        <v>71.0</v>
      </c>
      <c r="J3686" s="2">
        <v>0.0</v>
      </c>
      <c r="K3686" s="2">
        <v>0.0</v>
      </c>
      <c r="L3686" s="2">
        <v>0.0</v>
      </c>
      <c r="M3686" s="2"/>
      <c r="N3686" s="2"/>
      <c r="O3686" s="2"/>
      <c r="P3686" s="2" t="s">
        <v>166</v>
      </c>
    </row>
    <row r="3687">
      <c r="A3687" s="3" t="s">
        <v>105</v>
      </c>
      <c r="B3687" s="4">
        <v>45296.29166666667</v>
      </c>
      <c r="C3687" s="2" t="s">
        <v>18</v>
      </c>
      <c r="D3687" s="2" t="s">
        <v>79</v>
      </c>
      <c r="E3687" s="2" t="s">
        <v>165</v>
      </c>
      <c r="F3687" s="2"/>
      <c r="G3687" s="2">
        <v>112.0</v>
      </c>
      <c r="H3687" s="2">
        <v>75.0</v>
      </c>
      <c r="I3687" s="2">
        <v>37.0</v>
      </c>
      <c r="J3687" s="2">
        <v>0.0</v>
      </c>
      <c r="K3687" s="2">
        <v>0.0</v>
      </c>
      <c r="L3687" s="2">
        <v>0.0</v>
      </c>
      <c r="M3687" s="2"/>
      <c r="N3687" s="2"/>
      <c r="O3687" s="2"/>
      <c r="P3687" s="2" t="s">
        <v>166</v>
      </c>
    </row>
    <row r="3688">
      <c r="A3688" s="3" t="s">
        <v>106</v>
      </c>
      <c r="B3688" s="2" t="s">
        <v>17</v>
      </c>
      <c r="C3688" s="2" t="s">
        <v>18</v>
      </c>
      <c r="D3688" s="2" t="s">
        <v>164</v>
      </c>
      <c r="E3688" s="2" t="s">
        <v>165</v>
      </c>
      <c r="F3688" s="2">
        <v>72.0</v>
      </c>
      <c r="G3688" s="2">
        <v>179.0</v>
      </c>
      <c r="H3688" s="2">
        <v>76.0</v>
      </c>
      <c r="I3688" s="2">
        <v>103.0</v>
      </c>
      <c r="J3688" s="2">
        <v>0.0</v>
      </c>
      <c r="K3688" s="2">
        <v>0.0</v>
      </c>
      <c r="L3688" s="2">
        <v>0.0</v>
      </c>
      <c r="M3688" s="2">
        <v>-4.0</v>
      </c>
      <c r="N3688" s="2"/>
      <c r="O3688" s="2"/>
      <c r="P3688" s="2" t="s">
        <v>166</v>
      </c>
    </row>
    <row r="3689">
      <c r="A3689" s="3" t="s">
        <v>107</v>
      </c>
      <c r="B3689" s="2" t="s">
        <v>17</v>
      </c>
      <c r="C3689" s="2" t="s">
        <v>18</v>
      </c>
      <c r="D3689" s="2" t="s">
        <v>23</v>
      </c>
      <c r="E3689" s="2" t="s">
        <v>165</v>
      </c>
      <c r="F3689" s="2">
        <v>72.0</v>
      </c>
      <c r="G3689" s="2">
        <v>179.0</v>
      </c>
      <c r="H3689" s="2">
        <v>76.0</v>
      </c>
      <c r="I3689" s="2">
        <v>103.0</v>
      </c>
      <c r="J3689" s="2">
        <v>0.0</v>
      </c>
      <c r="K3689" s="2">
        <v>0.0</v>
      </c>
      <c r="L3689" s="2">
        <v>0.0</v>
      </c>
      <c r="M3689" s="2">
        <v>-4.0</v>
      </c>
      <c r="N3689" s="2">
        <v>0.0</v>
      </c>
      <c r="O3689" s="2">
        <v>-80.0</v>
      </c>
      <c r="P3689" s="2" t="s">
        <v>166</v>
      </c>
    </row>
    <row r="3690">
      <c r="A3690" s="3" t="s">
        <v>108</v>
      </c>
      <c r="B3690" s="4">
        <v>45262.29166666667</v>
      </c>
      <c r="C3690" s="2" t="s">
        <v>18</v>
      </c>
      <c r="D3690" s="2" t="s">
        <v>164</v>
      </c>
      <c r="E3690" s="2" t="s">
        <v>165</v>
      </c>
      <c r="F3690" s="2"/>
      <c r="G3690" s="2">
        <v>137.0</v>
      </c>
      <c r="H3690" s="2">
        <v>47.0</v>
      </c>
      <c r="I3690" s="2">
        <v>90.0</v>
      </c>
      <c r="J3690" s="2">
        <v>0.0</v>
      </c>
      <c r="K3690" s="2">
        <v>0.0</v>
      </c>
      <c r="L3690" s="2">
        <v>0.0</v>
      </c>
      <c r="M3690" s="2"/>
      <c r="N3690" s="2"/>
      <c r="O3690" s="2"/>
      <c r="P3690" s="2" t="s">
        <v>166</v>
      </c>
    </row>
    <row r="3691">
      <c r="A3691" s="3" t="s">
        <v>112</v>
      </c>
      <c r="B3691" s="4">
        <v>45294.29166666667</v>
      </c>
      <c r="C3691" s="2" t="s">
        <v>18</v>
      </c>
      <c r="D3691" s="2" t="s">
        <v>164</v>
      </c>
      <c r="E3691" s="2" t="s">
        <v>165</v>
      </c>
      <c r="F3691" s="2"/>
      <c r="G3691" s="2">
        <v>42.0</v>
      </c>
      <c r="H3691" s="2">
        <v>29.0</v>
      </c>
      <c r="I3691" s="2">
        <v>13.0</v>
      </c>
      <c r="J3691" s="2">
        <v>0.0</v>
      </c>
      <c r="K3691" s="2">
        <v>0.0</v>
      </c>
      <c r="L3691" s="2">
        <v>0.0</v>
      </c>
      <c r="M3691" s="2"/>
      <c r="N3691" s="2"/>
      <c r="O3691" s="2"/>
      <c r="P3691" s="2" t="s">
        <v>166</v>
      </c>
    </row>
    <row r="3692">
      <c r="A3692" s="3" t="s">
        <v>115</v>
      </c>
      <c r="B3692" s="2" t="s">
        <v>17</v>
      </c>
      <c r="C3692" s="2" t="s">
        <v>18</v>
      </c>
      <c r="D3692" s="2" t="s">
        <v>164</v>
      </c>
      <c r="E3692" s="2" t="s">
        <v>165</v>
      </c>
      <c r="F3692" s="2">
        <v>40.0</v>
      </c>
      <c r="G3692" s="2">
        <v>66.0</v>
      </c>
      <c r="H3692" s="2">
        <v>21.0</v>
      </c>
      <c r="I3692" s="2">
        <v>45.0</v>
      </c>
      <c r="J3692" s="2">
        <v>0.0</v>
      </c>
      <c r="K3692" s="2">
        <v>0.0</v>
      </c>
      <c r="L3692" s="2">
        <v>0.0</v>
      </c>
      <c r="M3692" s="2">
        <v>19.0</v>
      </c>
      <c r="N3692" s="2"/>
      <c r="O3692" s="2"/>
      <c r="P3692" s="2" t="s">
        <v>166</v>
      </c>
    </row>
    <row r="3693">
      <c r="A3693" s="3" t="s">
        <v>117</v>
      </c>
      <c r="B3693" s="2" t="s">
        <v>17</v>
      </c>
      <c r="C3693" s="2" t="s">
        <v>18</v>
      </c>
      <c r="D3693" s="2" t="s">
        <v>23</v>
      </c>
      <c r="E3693" s="2" t="s">
        <v>165</v>
      </c>
      <c r="F3693" s="2">
        <v>40.0</v>
      </c>
      <c r="G3693" s="2">
        <v>66.0</v>
      </c>
      <c r="H3693" s="2">
        <v>21.0</v>
      </c>
      <c r="I3693" s="2">
        <v>45.0</v>
      </c>
      <c r="J3693" s="2">
        <v>0.0</v>
      </c>
      <c r="K3693" s="2">
        <v>0.0</v>
      </c>
      <c r="L3693" s="2">
        <v>0.0</v>
      </c>
      <c r="M3693" s="2">
        <v>19.0</v>
      </c>
      <c r="N3693" s="2">
        <v>0.0</v>
      </c>
      <c r="O3693" s="2">
        <v>-2.0</v>
      </c>
      <c r="P3693" s="2" t="s">
        <v>166</v>
      </c>
    </row>
    <row r="3694">
      <c r="A3694" s="3" t="s">
        <v>119</v>
      </c>
      <c r="B3694" s="4">
        <v>45232.25</v>
      </c>
      <c r="C3694" s="2" t="s">
        <v>18</v>
      </c>
      <c r="D3694" s="2" t="s">
        <v>164</v>
      </c>
      <c r="E3694" s="2" t="s">
        <v>165</v>
      </c>
      <c r="F3694" s="2"/>
      <c r="G3694" s="2">
        <v>0.0</v>
      </c>
      <c r="H3694" s="2">
        <v>0.0</v>
      </c>
      <c r="I3694" s="2">
        <v>0.0</v>
      </c>
      <c r="J3694" s="2">
        <v>0.0</v>
      </c>
      <c r="K3694" s="2">
        <v>0.0</v>
      </c>
      <c r="L3694" s="2">
        <v>0.0</v>
      </c>
      <c r="M3694" s="2"/>
      <c r="N3694" s="2"/>
      <c r="O3694" s="2"/>
      <c r="P3694" s="2" t="s">
        <v>166</v>
      </c>
    </row>
    <row r="3695">
      <c r="A3695" s="3" t="s">
        <v>121</v>
      </c>
      <c r="B3695" s="4">
        <v>45261.29166666667</v>
      </c>
      <c r="C3695" s="2" t="s">
        <v>18</v>
      </c>
      <c r="D3695" s="2" t="s">
        <v>164</v>
      </c>
      <c r="E3695" s="2" t="s">
        <v>165</v>
      </c>
      <c r="F3695" s="2"/>
      <c r="G3695" s="2">
        <v>66.0</v>
      </c>
      <c r="H3695" s="2">
        <v>21.0</v>
      </c>
      <c r="I3695" s="2">
        <v>45.0</v>
      </c>
      <c r="J3695" s="2">
        <v>0.0</v>
      </c>
      <c r="K3695" s="2">
        <v>0.0</v>
      </c>
      <c r="L3695" s="2">
        <v>0.0</v>
      </c>
      <c r="M3695" s="2"/>
      <c r="N3695" s="2"/>
      <c r="O3695" s="2"/>
      <c r="P3695" s="2" t="s">
        <v>166</v>
      </c>
    </row>
    <row r="3696">
      <c r="A3696" s="3" t="s">
        <v>16</v>
      </c>
      <c r="B3696" s="2" t="s">
        <v>17</v>
      </c>
      <c r="C3696" s="2" t="s">
        <v>18</v>
      </c>
      <c r="D3696" s="2" t="s">
        <v>19</v>
      </c>
      <c r="E3696" s="2" t="s">
        <v>151</v>
      </c>
      <c r="F3696" s="2">
        <v>15.0</v>
      </c>
      <c r="G3696" s="2">
        <v>26.0</v>
      </c>
      <c r="H3696" s="2">
        <v>14.0</v>
      </c>
      <c r="I3696" s="2">
        <v>5.0</v>
      </c>
      <c r="J3696" s="2">
        <v>3.0</v>
      </c>
      <c r="K3696" s="2">
        <v>4.0</v>
      </c>
      <c r="L3696" s="2">
        <v>7.0</v>
      </c>
      <c r="M3696" s="2">
        <v>1.0</v>
      </c>
      <c r="N3696" s="2"/>
      <c r="O3696" s="2"/>
      <c r="P3696" s="2" t="s">
        <v>195</v>
      </c>
    </row>
    <row r="3697">
      <c r="A3697" s="3" t="s">
        <v>124</v>
      </c>
      <c r="B3697" s="2" t="s">
        <v>17</v>
      </c>
      <c r="C3697" s="2" t="s">
        <v>18</v>
      </c>
      <c r="D3697" s="2" t="s">
        <v>23</v>
      </c>
      <c r="E3697" s="2" t="s">
        <v>151</v>
      </c>
      <c r="F3697" s="2">
        <v>15.0</v>
      </c>
      <c r="G3697" s="2">
        <v>26.0</v>
      </c>
      <c r="H3697" s="2">
        <v>14.0</v>
      </c>
      <c r="I3697" s="2">
        <v>5.0</v>
      </c>
      <c r="J3697" s="2">
        <v>3.0</v>
      </c>
      <c r="K3697" s="2">
        <v>4.0</v>
      </c>
      <c r="L3697" s="2">
        <v>7.0</v>
      </c>
      <c r="M3697" s="2">
        <v>1.0</v>
      </c>
      <c r="N3697" s="2">
        <v>0.0</v>
      </c>
      <c r="O3697" s="2">
        <v>-13.0</v>
      </c>
      <c r="P3697" s="2" t="s">
        <v>195</v>
      </c>
    </row>
    <row r="3698">
      <c r="A3698" s="3" t="s">
        <v>126</v>
      </c>
      <c r="B3698" s="4">
        <v>45232.25</v>
      </c>
      <c r="C3698" s="2" t="s">
        <v>18</v>
      </c>
      <c r="D3698" s="2" t="s">
        <v>19</v>
      </c>
      <c r="E3698" s="2" t="s">
        <v>151</v>
      </c>
      <c r="F3698" s="2"/>
      <c r="G3698" s="2">
        <v>19.0</v>
      </c>
      <c r="H3698" s="2">
        <v>12.0</v>
      </c>
      <c r="I3698" s="2">
        <v>4.0</v>
      </c>
      <c r="J3698" s="2">
        <v>3.0</v>
      </c>
      <c r="K3698" s="2">
        <v>0.0</v>
      </c>
      <c r="L3698" s="2">
        <v>0.0</v>
      </c>
      <c r="M3698" s="2"/>
      <c r="N3698" s="2"/>
      <c r="O3698" s="2"/>
      <c r="P3698" s="2" t="s">
        <v>195</v>
      </c>
    </row>
    <row r="3699">
      <c r="A3699" s="3" t="s">
        <v>128</v>
      </c>
      <c r="B3699" s="4">
        <v>45294.29166666667</v>
      </c>
      <c r="C3699" s="2" t="s">
        <v>18</v>
      </c>
      <c r="D3699" s="2" t="s">
        <v>19</v>
      </c>
      <c r="E3699" s="2" t="s">
        <v>151</v>
      </c>
      <c r="F3699" s="2"/>
      <c r="G3699" s="2">
        <v>7.0</v>
      </c>
      <c r="H3699" s="2">
        <v>2.0</v>
      </c>
      <c r="I3699" s="2">
        <v>1.0</v>
      </c>
      <c r="J3699" s="2">
        <v>0.0</v>
      </c>
      <c r="K3699" s="2">
        <v>4.0</v>
      </c>
      <c r="L3699" s="2">
        <v>7.0</v>
      </c>
      <c r="M3699" s="2"/>
      <c r="N3699" s="2"/>
      <c r="O3699" s="2"/>
      <c r="P3699" s="2" t="s">
        <v>195</v>
      </c>
    </row>
    <row r="3700">
      <c r="A3700" s="3" t="s">
        <v>129</v>
      </c>
      <c r="B3700" s="2" t="s">
        <v>17</v>
      </c>
      <c r="C3700" s="2" t="s">
        <v>18</v>
      </c>
      <c r="D3700" s="2" t="s">
        <v>164</v>
      </c>
      <c r="E3700" s="2" t="s">
        <v>165</v>
      </c>
      <c r="F3700" s="2">
        <v>180.0</v>
      </c>
      <c r="G3700" s="2">
        <v>22.0</v>
      </c>
      <c r="H3700" s="2">
        <v>15.0</v>
      </c>
      <c r="I3700" s="2">
        <v>7.0</v>
      </c>
      <c r="J3700" s="2">
        <v>0.0</v>
      </c>
      <c r="K3700" s="2">
        <v>0.0</v>
      </c>
      <c r="L3700" s="2">
        <v>0.0</v>
      </c>
      <c r="M3700" s="2">
        <v>165.0</v>
      </c>
      <c r="N3700" s="2"/>
      <c r="O3700" s="2"/>
      <c r="P3700" s="2" t="s">
        <v>166</v>
      </c>
    </row>
    <row r="3701">
      <c r="A3701" s="3" t="s">
        <v>130</v>
      </c>
      <c r="B3701" s="2" t="s">
        <v>17</v>
      </c>
      <c r="C3701" s="2" t="s">
        <v>18</v>
      </c>
      <c r="D3701" s="2" t="s">
        <v>23</v>
      </c>
      <c r="E3701" s="2" t="s">
        <v>165</v>
      </c>
      <c r="F3701" s="2">
        <v>180.0</v>
      </c>
      <c r="G3701" s="2">
        <v>22.0</v>
      </c>
      <c r="H3701" s="2">
        <v>15.0</v>
      </c>
      <c r="I3701" s="2">
        <v>7.0</v>
      </c>
      <c r="J3701" s="2">
        <v>0.0</v>
      </c>
      <c r="K3701" s="2">
        <v>0.0</v>
      </c>
      <c r="L3701" s="2">
        <v>0.0</v>
      </c>
      <c r="M3701" s="2">
        <v>165.0</v>
      </c>
      <c r="N3701" s="2">
        <v>0.0</v>
      </c>
      <c r="O3701" s="2">
        <v>150.0</v>
      </c>
      <c r="P3701" s="2" t="s">
        <v>166</v>
      </c>
    </row>
    <row r="3702">
      <c r="A3702" s="3" t="s">
        <v>131</v>
      </c>
      <c r="B3702" s="4">
        <v>45294.29166666667</v>
      </c>
      <c r="C3702" s="2" t="s">
        <v>18</v>
      </c>
      <c r="D3702" s="2" t="s">
        <v>164</v>
      </c>
      <c r="E3702" s="2" t="s">
        <v>165</v>
      </c>
      <c r="F3702" s="2"/>
      <c r="G3702" s="2">
        <v>22.0</v>
      </c>
      <c r="H3702" s="2">
        <v>15.0</v>
      </c>
      <c r="I3702" s="2">
        <v>7.0</v>
      </c>
      <c r="J3702" s="2">
        <v>0.0</v>
      </c>
      <c r="K3702" s="2">
        <v>0.0</v>
      </c>
      <c r="L3702" s="2">
        <v>0.0</v>
      </c>
      <c r="M3702" s="2"/>
      <c r="N3702" s="2"/>
      <c r="O3702" s="2"/>
      <c r="P3702" s="2" t="s">
        <v>166</v>
      </c>
    </row>
    <row r="3703">
      <c r="A3703" s="3" t="s">
        <v>132</v>
      </c>
      <c r="B3703" s="4">
        <v>45323.29166666667</v>
      </c>
      <c r="C3703" s="2" t="s">
        <v>18</v>
      </c>
      <c r="D3703" s="2" t="s">
        <v>164</v>
      </c>
      <c r="E3703" s="2" t="s">
        <v>165</v>
      </c>
      <c r="F3703" s="2"/>
      <c r="G3703" s="2">
        <v>0.0</v>
      </c>
      <c r="H3703" s="2">
        <v>0.0</v>
      </c>
      <c r="I3703" s="2">
        <v>0.0</v>
      </c>
      <c r="J3703" s="2">
        <v>0.0</v>
      </c>
      <c r="K3703" s="2">
        <v>0.0</v>
      </c>
      <c r="L3703" s="2">
        <v>0.0</v>
      </c>
      <c r="M3703" s="2"/>
      <c r="N3703" s="2"/>
      <c r="O3703" s="2"/>
      <c r="P3703" s="2" t="s">
        <v>166</v>
      </c>
    </row>
    <row r="3704">
      <c r="A3704" s="3" t="s">
        <v>133</v>
      </c>
      <c r="B3704" s="4">
        <v>45352.29166666667</v>
      </c>
      <c r="C3704" s="2" t="s">
        <v>18</v>
      </c>
      <c r="D3704" s="2" t="s">
        <v>164</v>
      </c>
      <c r="E3704" s="2" t="s">
        <v>165</v>
      </c>
      <c r="F3704" s="2"/>
      <c r="G3704" s="2">
        <v>0.0</v>
      </c>
      <c r="H3704" s="2">
        <v>0.0</v>
      </c>
      <c r="I3704" s="2">
        <v>0.0</v>
      </c>
      <c r="J3704" s="2">
        <v>0.0</v>
      </c>
      <c r="K3704" s="2">
        <v>0.0</v>
      </c>
      <c r="L3704" s="2">
        <v>0.0</v>
      </c>
      <c r="M3704" s="2"/>
      <c r="N3704" s="2"/>
      <c r="O3704" s="2"/>
      <c r="P3704" s="2" t="s">
        <v>166</v>
      </c>
    </row>
    <row r="3705">
      <c r="A3705" s="3" t="s">
        <v>134</v>
      </c>
      <c r="B3705" s="2" t="s">
        <v>17</v>
      </c>
      <c r="C3705" s="2" t="s">
        <v>18</v>
      </c>
      <c r="D3705" s="2" t="s">
        <v>30</v>
      </c>
      <c r="E3705" s="2" t="s">
        <v>27</v>
      </c>
      <c r="F3705" s="2">
        <v>40.0</v>
      </c>
      <c r="G3705" s="2">
        <v>35.0</v>
      </c>
      <c r="H3705" s="2">
        <v>0.0</v>
      </c>
      <c r="I3705" s="2">
        <v>6.0</v>
      </c>
      <c r="J3705" s="2">
        <v>29.0</v>
      </c>
      <c r="K3705" s="2">
        <v>0.0</v>
      </c>
      <c r="L3705" s="2">
        <v>0.0</v>
      </c>
      <c r="M3705" s="2">
        <v>40.0</v>
      </c>
      <c r="N3705" s="2"/>
      <c r="O3705" s="2"/>
      <c r="P3705" s="2" t="s">
        <v>184</v>
      </c>
    </row>
    <row r="3706">
      <c r="A3706" s="3" t="s">
        <v>136</v>
      </c>
      <c r="B3706" s="2" t="s">
        <v>17</v>
      </c>
      <c r="C3706" s="2" t="s">
        <v>18</v>
      </c>
      <c r="D3706" s="2" t="s">
        <v>19</v>
      </c>
      <c r="E3706" s="2" t="s">
        <v>27</v>
      </c>
      <c r="F3706" s="2">
        <v>45.0</v>
      </c>
      <c r="G3706" s="2">
        <v>23.0</v>
      </c>
      <c r="H3706" s="2">
        <v>19.0</v>
      </c>
      <c r="I3706" s="2">
        <v>4.0</v>
      </c>
      <c r="J3706" s="2">
        <v>0.0</v>
      </c>
      <c r="K3706" s="2">
        <v>0.0</v>
      </c>
      <c r="L3706" s="2">
        <v>0.0</v>
      </c>
      <c r="M3706" s="2">
        <v>26.0</v>
      </c>
      <c r="N3706" s="2"/>
      <c r="O3706" s="2"/>
      <c r="P3706" s="2" t="s">
        <v>184</v>
      </c>
    </row>
    <row r="3707">
      <c r="A3707" s="3" t="s">
        <v>137</v>
      </c>
      <c r="B3707" s="2" t="s">
        <v>17</v>
      </c>
      <c r="C3707" s="2" t="s">
        <v>18</v>
      </c>
      <c r="D3707" s="2" t="s">
        <v>23</v>
      </c>
      <c r="E3707" s="2" t="s">
        <v>27</v>
      </c>
      <c r="F3707" s="2">
        <v>45.0</v>
      </c>
      <c r="G3707" s="2">
        <v>58.0</v>
      </c>
      <c r="H3707" s="2">
        <v>19.0</v>
      </c>
      <c r="I3707" s="2">
        <v>10.0</v>
      </c>
      <c r="J3707" s="2">
        <v>29.0</v>
      </c>
      <c r="K3707" s="2">
        <v>0.0</v>
      </c>
      <c r="L3707" s="2">
        <v>0.0</v>
      </c>
      <c r="M3707" s="2">
        <v>26.0</v>
      </c>
      <c r="N3707" s="2">
        <v>-40.0</v>
      </c>
      <c r="O3707" s="2">
        <v>7.0</v>
      </c>
      <c r="P3707" s="2" t="s">
        <v>184</v>
      </c>
    </row>
    <row r="3708">
      <c r="A3708" s="3" t="s">
        <v>138</v>
      </c>
      <c r="B3708" s="4">
        <v>45292.29166666667</v>
      </c>
      <c r="C3708" s="2" t="s">
        <v>18</v>
      </c>
      <c r="D3708" s="2" t="s">
        <v>30</v>
      </c>
      <c r="E3708" s="2" t="s">
        <v>27</v>
      </c>
      <c r="F3708" s="2"/>
      <c r="G3708" s="2">
        <v>35.0</v>
      </c>
      <c r="H3708" s="2">
        <v>0.0</v>
      </c>
      <c r="I3708" s="2">
        <v>6.0</v>
      </c>
      <c r="J3708" s="2">
        <v>29.0</v>
      </c>
      <c r="K3708" s="2">
        <v>0.0</v>
      </c>
      <c r="L3708" s="2">
        <v>0.0</v>
      </c>
      <c r="M3708" s="2"/>
      <c r="N3708" s="2"/>
      <c r="O3708" s="2"/>
      <c r="P3708" s="2" t="s">
        <v>184</v>
      </c>
    </row>
    <row r="3709">
      <c r="A3709" s="3" t="s">
        <v>139</v>
      </c>
      <c r="B3709" s="4">
        <v>45293.29166666667</v>
      </c>
      <c r="C3709" s="2" t="s">
        <v>18</v>
      </c>
      <c r="D3709" s="2" t="s">
        <v>19</v>
      </c>
      <c r="E3709" s="2" t="s">
        <v>27</v>
      </c>
      <c r="F3709" s="2"/>
      <c r="G3709" s="2">
        <v>23.0</v>
      </c>
      <c r="H3709" s="2">
        <v>19.0</v>
      </c>
      <c r="I3709" s="2">
        <v>4.0</v>
      </c>
      <c r="J3709" s="2">
        <v>0.0</v>
      </c>
      <c r="K3709" s="2">
        <v>0.0</v>
      </c>
      <c r="L3709" s="2">
        <v>0.0</v>
      </c>
      <c r="M3709" s="2"/>
      <c r="N3709" s="2"/>
      <c r="O3709" s="2"/>
      <c r="P3709" s="2" t="s">
        <v>184</v>
      </c>
    </row>
    <row r="3710">
      <c r="A3710" s="3" t="s">
        <v>140</v>
      </c>
      <c r="B3710" s="2" t="s">
        <v>17</v>
      </c>
      <c r="C3710" s="2" t="s">
        <v>18</v>
      </c>
      <c r="D3710" s="2" t="s">
        <v>164</v>
      </c>
      <c r="E3710" s="2" t="s">
        <v>165</v>
      </c>
      <c r="F3710" s="2">
        <v>40.0</v>
      </c>
      <c r="G3710" s="2">
        <v>22.0</v>
      </c>
      <c r="H3710" s="2">
        <v>0.0</v>
      </c>
      <c r="I3710" s="2">
        <v>22.0</v>
      </c>
      <c r="J3710" s="2">
        <v>0.0</v>
      </c>
      <c r="K3710" s="2">
        <v>0.0</v>
      </c>
      <c r="L3710" s="2">
        <v>0.0</v>
      </c>
      <c r="M3710" s="2">
        <v>40.0</v>
      </c>
      <c r="N3710" s="2"/>
      <c r="O3710" s="2"/>
      <c r="P3710" s="2" t="s">
        <v>166</v>
      </c>
    </row>
    <row r="3711">
      <c r="A3711" s="3" t="s">
        <v>141</v>
      </c>
      <c r="B3711" s="2" t="s">
        <v>17</v>
      </c>
      <c r="C3711" s="2" t="s">
        <v>18</v>
      </c>
      <c r="D3711" s="2" t="s">
        <v>23</v>
      </c>
      <c r="E3711" s="2" t="s">
        <v>165</v>
      </c>
      <c r="F3711" s="2">
        <v>40.0</v>
      </c>
      <c r="G3711" s="2">
        <v>22.0</v>
      </c>
      <c r="H3711" s="2">
        <v>0.0</v>
      </c>
      <c r="I3711" s="2">
        <v>22.0</v>
      </c>
      <c r="J3711" s="2">
        <v>0.0</v>
      </c>
      <c r="K3711" s="2">
        <v>0.0</v>
      </c>
      <c r="L3711" s="2">
        <v>0.0</v>
      </c>
      <c r="M3711" s="2">
        <v>40.0</v>
      </c>
      <c r="N3711" s="2">
        <v>0.0</v>
      </c>
      <c r="O3711" s="2">
        <v>40.0</v>
      </c>
      <c r="P3711" s="2" t="s">
        <v>166</v>
      </c>
    </row>
    <row r="3712">
      <c r="A3712" s="3" t="s">
        <v>142</v>
      </c>
      <c r="B3712" s="4">
        <v>45232.25</v>
      </c>
      <c r="C3712" s="2" t="s">
        <v>18</v>
      </c>
      <c r="D3712" s="2" t="s">
        <v>164</v>
      </c>
      <c r="E3712" s="2" t="s">
        <v>165</v>
      </c>
      <c r="F3712" s="2"/>
      <c r="G3712" s="2">
        <v>22.0</v>
      </c>
      <c r="H3712" s="2">
        <v>0.0</v>
      </c>
      <c r="I3712" s="2">
        <v>22.0</v>
      </c>
      <c r="J3712" s="2">
        <v>0.0</v>
      </c>
      <c r="K3712" s="2">
        <v>0.0</v>
      </c>
      <c r="L3712" s="2">
        <v>0.0</v>
      </c>
      <c r="M3712" s="2"/>
      <c r="N3712" s="2"/>
      <c r="O3712" s="2"/>
      <c r="P3712" s="2" t="s">
        <v>166</v>
      </c>
    </row>
    <row r="3713">
      <c r="A3713" s="3" t="s">
        <v>143</v>
      </c>
      <c r="B3713" s="4">
        <v>45262.29166666667</v>
      </c>
      <c r="C3713" s="2" t="s">
        <v>18</v>
      </c>
      <c r="D3713" s="2" t="s">
        <v>164</v>
      </c>
      <c r="E3713" s="2" t="s">
        <v>165</v>
      </c>
      <c r="F3713" s="2"/>
      <c r="G3713" s="2">
        <v>0.0</v>
      </c>
      <c r="H3713" s="2">
        <v>0.0</v>
      </c>
      <c r="I3713" s="2">
        <v>0.0</v>
      </c>
      <c r="J3713" s="2">
        <v>0.0</v>
      </c>
      <c r="K3713" s="2">
        <v>0.0</v>
      </c>
      <c r="L3713" s="2">
        <v>0.0</v>
      </c>
      <c r="M3713" s="2"/>
      <c r="N3713" s="2"/>
      <c r="O3713" s="2"/>
      <c r="P3713" s="2" t="s">
        <v>166</v>
      </c>
    </row>
    <row r="3714">
      <c r="A3714" s="3" t="s">
        <v>144</v>
      </c>
      <c r="B3714" s="2" t="s">
        <v>17</v>
      </c>
      <c r="C3714" s="2" t="s">
        <v>113</v>
      </c>
      <c r="D3714" s="2" t="s">
        <v>30</v>
      </c>
      <c r="E3714" s="2" t="s">
        <v>27</v>
      </c>
      <c r="F3714" s="2">
        <v>43.0</v>
      </c>
      <c r="G3714" s="2">
        <v>63.0</v>
      </c>
      <c r="H3714" s="2">
        <v>43.0</v>
      </c>
      <c r="I3714" s="2">
        <v>20.0</v>
      </c>
      <c r="J3714" s="2">
        <v>0.0</v>
      </c>
      <c r="K3714" s="2">
        <v>0.0</v>
      </c>
      <c r="L3714" s="2">
        <v>0.0</v>
      </c>
      <c r="M3714" s="2">
        <v>0.0</v>
      </c>
      <c r="N3714" s="2"/>
      <c r="O3714" s="2"/>
      <c r="P3714" s="2" t="s">
        <v>92</v>
      </c>
    </row>
    <row r="3715">
      <c r="A3715" s="3" t="s">
        <v>145</v>
      </c>
      <c r="B3715" s="2" t="s">
        <v>17</v>
      </c>
      <c r="C3715" s="2" t="s">
        <v>113</v>
      </c>
      <c r="D3715" s="2" t="s">
        <v>30</v>
      </c>
      <c r="E3715" s="2" t="s">
        <v>155</v>
      </c>
      <c r="F3715" s="2">
        <v>25.0</v>
      </c>
      <c r="G3715" s="2">
        <v>39.0</v>
      </c>
      <c r="H3715" s="2">
        <v>25.0</v>
      </c>
      <c r="I3715" s="2">
        <v>14.0</v>
      </c>
      <c r="J3715" s="2">
        <v>0.0</v>
      </c>
      <c r="K3715" s="2">
        <v>0.0</v>
      </c>
      <c r="L3715" s="2">
        <v>0.0</v>
      </c>
      <c r="M3715" s="2">
        <v>0.0</v>
      </c>
      <c r="N3715" s="2"/>
      <c r="O3715" s="2"/>
      <c r="P3715" s="2" t="s">
        <v>92</v>
      </c>
    </row>
    <row r="3716">
      <c r="A3716" s="3" t="s">
        <v>16</v>
      </c>
      <c r="B3716" s="2" t="s">
        <v>17</v>
      </c>
      <c r="C3716" s="2" t="s">
        <v>148</v>
      </c>
      <c r="D3716" s="2" t="s">
        <v>19</v>
      </c>
      <c r="E3716" s="2" t="s">
        <v>27</v>
      </c>
      <c r="F3716" s="2">
        <v>20.0</v>
      </c>
      <c r="G3716" s="2">
        <v>3.0</v>
      </c>
      <c r="H3716" s="2">
        <v>1.0</v>
      </c>
      <c r="I3716" s="2">
        <v>2.0</v>
      </c>
      <c r="J3716" s="2">
        <v>0.0</v>
      </c>
      <c r="K3716" s="2">
        <v>0.0</v>
      </c>
      <c r="L3716" s="2">
        <v>0.0</v>
      </c>
      <c r="M3716" s="2">
        <v>19.0</v>
      </c>
      <c r="N3716" s="2"/>
      <c r="O3716" s="2"/>
      <c r="P3716" s="2" t="s">
        <v>92</v>
      </c>
    </row>
    <row r="3717">
      <c r="A3717" s="3" t="s">
        <v>22</v>
      </c>
      <c r="B3717" s="2" t="s">
        <v>17</v>
      </c>
      <c r="C3717" s="2" t="s">
        <v>148</v>
      </c>
      <c r="D3717" s="2" t="s">
        <v>19</v>
      </c>
      <c r="E3717" s="2" t="s">
        <v>155</v>
      </c>
      <c r="F3717" s="2">
        <v>28.0</v>
      </c>
      <c r="G3717" s="2">
        <v>3.0</v>
      </c>
      <c r="H3717" s="2">
        <v>3.0</v>
      </c>
      <c r="I3717" s="2">
        <v>0.0</v>
      </c>
      <c r="J3717" s="2">
        <v>0.0</v>
      </c>
      <c r="K3717" s="2">
        <v>0.0</v>
      </c>
      <c r="L3717" s="2">
        <v>0.0</v>
      </c>
      <c r="M3717" s="2">
        <v>25.0</v>
      </c>
      <c r="N3717" s="2"/>
      <c r="O3717" s="2"/>
      <c r="P3717" s="2" t="s">
        <v>92</v>
      </c>
    </row>
    <row r="3718">
      <c r="A3718" s="3" t="s">
        <v>24</v>
      </c>
      <c r="B3718" s="2" t="s">
        <v>17</v>
      </c>
      <c r="C3718" s="2" t="s">
        <v>18</v>
      </c>
      <c r="D3718" s="2" t="s">
        <v>23</v>
      </c>
      <c r="E3718" s="2" t="s">
        <v>27</v>
      </c>
      <c r="F3718" s="2">
        <v>45.0</v>
      </c>
      <c r="G3718" s="2">
        <v>66.0</v>
      </c>
      <c r="H3718" s="2">
        <v>44.0</v>
      </c>
      <c r="I3718" s="2">
        <v>22.0</v>
      </c>
      <c r="J3718" s="2">
        <v>0.0</v>
      </c>
      <c r="K3718" s="2">
        <v>0.0</v>
      </c>
      <c r="L3718" s="2">
        <v>0.0</v>
      </c>
      <c r="M3718" s="2">
        <v>1.0</v>
      </c>
      <c r="N3718" s="2">
        <v>-18.0</v>
      </c>
      <c r="O3718" s="2">
        <v>-43.0</v>
      </c>
      <c r="P3718" s="2" t="s">
        <v>92</v>
      </c>
    </row>
    <row r="3719">
      <c r="A3719" s="3" t="s">
        <v>25</v>
      </c>
      <c r="B3719" s="2" t="s">
        <v>17</v>
      </c>
      <c r="C3719" s="2" t="s">
        <v>113</v>
      </c>
      <c r="D3719" s="2" t="s">
        <v>23</v>
      </c>
      <c r="E3719" s="2" t="s">
        <v>155</v>
      </c>
      <c r="F3719" s="2">
        <v>28.0</v>
      </c>
      <c r="G3719" s="2">
        <v>42.0</v>
      </c>
      <c r="H3719" s="2">
        <v>28.0</v>
      </c>
      <c r="I3719" s="2">
        <v>14.0</v>
      </c>
      <c r="J3719" s="2">
        <v>0.0</v>
      </c>
      <c r="K3719" s="2">
        <v>0.0</v>
      </c>
      <c r="L3719" s="2">
        <v>0.0</v>
      </c>
      <c r="M3719" s="2">
        <v>0.0</v>
      </c>
      <c r="N3719" s="2">
        <v>-25.0</v>
      </c>
      <c r="O3719" s="2">
        <v>-28.0</v>
      </c>
      <c r="P3719" s="2" t="s">
        <v>92</v>
      </c>
    </row>
    <row r="3720">
      <c r="A3720" s="3" t="s">
        <v>26</v>
      </c>
      <c r="B3720" s="4">
        <v>45201.29166666667</v>
      </c>
      <c r="C3720" s="2" t="s">
        <v>18</v>
      </c>
      <c r="D3720" s="2" t="s">
        <v>19</v>
      </c>
      <c r="E3720" s="2" t="s">
        <v>27</v>
      </c>
      <c r="F3720" s="2"/>
      <c r="G3720" s="2">
        <v>1.0</v>
      </c>
      <c r="H3720" s="2">
        <v>0.0</v>
      </c>
      <c r="I3720" s="2">
        <v>1.0</v>
      </c>
      <c r="J3720" s="2">
        <v>0.0</v>
      </c>
      <c r="K3720" s="2">
        <v>0.0</v>
      </c>
      <c r="L3720" s="2">
        <v>0.0</v>
      </c>
      <c r="M3720" s="2"/>
      <c r="N3720" s="2"/>
      <c r="O3720" s="2"/>
      <c r="P3720" s="2" t="s">
        <v>92</v>
      </c>
    </row>
    <row r="3721">
      <c r="A3721" s="3" t="s">
        <v>28</v>
      </c>
      <c r="B3721" s="4">
        <v>45202.29166666667</v>
      </c>
      <c r="C3721" s="2" t="s">
        <v>18</v>
      </c>
      <c r="D3721" s="2" t="s">
        <v>19</v>
      </c>
      <c r="E3721" s="2" t="s">
        <v>155</v>
      </c>
      <c r="F3721" s="2"/>
      <c r="G3721" s="2">
        <v>3.0</v>
      </c>
      <c r="H3721" s="2">
        <v>3.0</v>
      </c>
      <c r="I3721" s="2">
        <v>0.0</v>
      </c>
      <c r="J3721" s="2">
        <v>0.0</v>
      </c>
      <c r="K3721" s="2">
        <v>0.0</v>
      </c>
      <c r="L3721" s="2">
        <v>0.0</v>
      </c>
      <c r="M3721" s="2"/>
      <c r="N3721" s="2"/>
      <c r="O3721" s="2"/>
      <c r="P3721" s="2" t="s">
        <v>92</v>
      </c>
    </row>
    <row r="3722">
      <c r="A3722" s="3" t="s">
        <v>29</v>
      </c>
      <c r="B3722" s="4">
        <v>45232.25</v>
      </c>
      <c r="C3722" s="2" t="s">
        <v>18</v>
      </c>
      <c r="D3722" s="2" t="s">
        <v>30</v>
      </c>
      <c r="E3722" s="2" t="s">
        <v>27</v>
      </c>
      <c r="F3722" s="2"/>
      <c r="G3722" s="2">
        <v>63.0</v>
      </c>
      <c r="H3722" s="2">
        <v>43.0</v>
      </c>
      <c r="I3722" s="2">
        <v>20.0</v>
      </c>
      <c r="J3722" s="2">
        <v>0.0</v>
      </c>
      <c r="K3722" s="2">
        <v>0.0</v>
      </c>
      <c r="L3722" s="2">
        <v>0.0</v>
      </c>
      <c r="M3722" s="2"/>
      <c r="N3722" s="2"/>
      <c r="O3722" s="2"/>
      <c r="P3722" s="2" t="s">
        <v>92</v>
      </c>
    </row>
    <row r="3723">
      <c r="A3723" s="3" t="s">
        <v>32</v>
      </c>
      <c r="B3723" s="4">
        <v>45232.25</v>
      </c>
      <c r="C3723" s="2" t="s">
        <v>18</v>
      </c>
      <c r="D3723" s="2" t="s">
        <v>30</v>
      </c>
      <c r="E3723" s="2" t="s">
        <v>155</v>
      </c>
      <c r="F3723" s="2"/>
      <c r="G3723" s="2">
        <v>39.0</v>
      </c>
      <c r="H3723" s="2">
        <v>25.0</v>
      </c>
      <c r="I3723" s="2">
        <v>14.0</v>
      </c>
      <c r="J3723" s="2">
        <v>0.0</v>
      </c>
      <c r="K3723" s="2">
        <v>0.0</v>
      </c>
      <c r="L3723" s="2">
        <v>0.0</v>
      </c>
      <c r="M3723" s="2"/>
      <c r="N3723" s="2"/>
      <c r="O3723" s="2"/>
      <c r="P3723" s="2" t="s">
        <v>92</v>
      </c>
    </row>
    <row r="3724">
      <c r="A3724" s="3" t="s">
        <v>34</v>
      </c>
      <c r="B3724" s="4">
        <v>45232.25</v>
      </c>
      <c r="C3724" s="2" t="s">
        <v>18</v>
      </c>
      <c r="D3724" s="2" t="s">
        <v>19</v>
      </c>
      <c r="E3724" s="2" t="s">
        <v>27</v>
      </c>
      <c r="F3724" s="2"/>
      <c r="G3724" s="2">
        <v>2.0</v>
      </c>
      <c r="H3724" s="2">
        <v>1.0</v>
      </c>
      <c r="I3724" s="2">
        <v>1.0</v>
      </c>
      <c r="J3724" s="2">
        <v>0.0</v>
      </c>
      <c r="K3724" s="2">
        <v>0.0</v>
      </c>
      <c r="L3724" s="2">
        <v>0.0</v>
      </c>
      <c r="M3724" s="2"/>
      <c r="N3724" s="2"/>
      <c r="O3724" s="2"/>
      <c r="P3724" s="2" t="s">
        <v>92</v>
      </c>
    </row>
    <row r="3725">
      <c r="A3725" s="3" t="s">
        <v>35</v>
      </c>
      <c r="B3725" s="4">
        <v>45232.25</v>
      </c>
      <c r="C3725" s="2" t="s">
        <v>18</v>
      </c>
      <c r="D3725" s="2" t="s">
        <v>19</v>
      </c>
      <c r="E3725" s="2" t="s">
        <v>155</v>
      </c>
      <c r="F3725" s="2"/>
      <c r="G3725" s="2">
        <v>0.0</v>
      </c>
      <c r="H3725" s="2">
        <v>0.0</v>
      </c>
      <c r="I3725" s="2">
        <v>0.0</v>
      </c>
      <c r="J3725" s="2">
        <v>0.0</v>
      </c>
      <c r="K3725" s="2">
        <v>0.0</v>
      </c>
      <c r="L3725" s="2">
        <v>0.0</v>
      </c>
      <c r="M3725" s="2"/>
      <c r="N3725" s="2"/>
      <c r="O3725" s="2"/>
      <c r="P3725" s="2" t="s">
        <v>92</v>
      </c>
    </row>
    <row r="3726">
      <c r="A3726" s="3" t="s">
        <v>36</v>
      </c>
      <c r="B3726" s="2" t="s">
        <v>17</v>
      </c>
      <c r="C3726" s="2" t="s">
        <v>18</v>
      </c>
      <c r="D3726" s="2" t="s">
        <v>79</v>
      </c>
      <c r="E3726" s="2" t="s">
        <v>165</v>
      </c>
      <c r="F3726" s="2">
        <v>4.0</v>
      </c>
      <c r="G3726" s="2">
        <v>6.0</v>
      </c>
      <c r="H3726" s="2">
        <v>2.0</v>
      </c>
      <c r="I3726" s="2">
        <v>4.0</v>
      </c>
      <c r="J3726" s="2">
        <v>0.0</v>
      </c>
      <c r="K3726" s="2">
        <v>0.0</v>
      </c>
      <c r="L3726" s="2">
        <v>6.0</v>
      </c>
      <c r="M3726" s="2">
        <v>2.0</v>
      </c>
      <c r="N3726" s="2"/>
      <c r="O3726" s="2"/>
      <c r="P3726" s="2" t="s">
        <v>166</v>
      </c>
    </row>
    <row r="3727">
      <c r="A3727" s="3" t="s">
        <v>37</v>
      </c>
      <c r="B3727" s="2" t="s">
        <v>17</v>
      </c>
      <c r="C3727" s="2" t="s">
        <v>18</v>
      </c>
      <c r="D3727" s="2" t="s">
        <v>23</v>
      </c>
      <c r="E3727" s="2" t="s">
        <v>165</v>
      </c>
      <c r="F3727" s="2">
        <v>4.0</v>
      </c>
      <c r="G3727" s="2">
        <v>6.0</v>
      </c>
      <c r="H3727" s="2">
        <v>2.0</v>
      </c>
      <c r="I3727" s="2">
        <v>4.0</v>
      </c>
      <c r="J3727" s="2">
        <v>0.0</v>
      </c>
      <c r="K3727" s="2">
        <v>0.0</v>
      </c>
      <c r="L3727" s="2">
        <v>6.0</v>
      </c>
      <c r="M3727" s="2">
        <v>2.0</v>
      </c>
      <c r="N3727" s="2">
        <v>0.0</v>
      </c>
      <c r="O3727" s="2">
        <v>0.0</v>
      </c>
      <c r="P3727" s="2" t="s">
        <v>166</v>
      </c>
    </row>
    <row r="3728">
      <c r="A3728" s="3" t="s">
        <v>38</v>
      </c>
      <c r="B3728" s="4">
        <v>45294.29166666667</v>
      </c>
      <c r="C3728" s="2" t="s">
        <v>18</v>
      </c>
      <c r="D3728" s="2" t="s">
        <v>79</v>
      </c>
      <c r="E3728" s="2" t="s">
        <v>165</v>
      </c>
      <c r="F3728" s="2"/>
      <c r="G3728" s="2">
        <v>6.0</v>
      </c>
      <c r="H3728" s="2">
        <v>2.0</v>
      </c>
      <c r="I3728" s="2">
        <v>4.0</v>
      </c>
      <c r="J3728" s="2">
        <v>0.0</v>
      </c>
      <c r="K3728" s="2">
        <v>0.0</v>
      </c>
      <c r="L3728" s="2">
        <v>6.0</v>
      </c>
      <c r="M3728" s="2"/>
      <c r="N3728" s="2"/>
      <c r="O3728" s="2"/>
      <c r="P3728" s="2" t="s">
        <v>166</v>
      </c>
    </row>
    <row r="3729">
      <c r="A3729" s="3" t="s">
        <v>39</v>
      </c>
      <c r="B3729" s="2" t="s">
        <v>17</v>
      </c>
      <c r="C3729" s="2" t="s">
        <v>18</v>
      </c>
      <c r="D3729" s="2" t="s">
        <v>91</v>
      </c>
      <c r="E3729" s="2" t="s">
        <v>27</v>
      </c>
      <c r="F3729" s="2">
        <v>25.0</v>
      </c>
      <c r="G3729" s="2">
        <v>36.0</v>
      </c>
      <c r="H3729" s="2">
        <v>25.0</v>
      </c>
      <c r="I3729" s="2">
        <v>11.0</v>
      </c>
      <c r="J3729" s="2">
        <v>0.0</v>
      </c>
      <c r="K3729" s="2">
        <v>0.0</v>
      </c>
      <c r="L3729" s="2">
        <v>0.0</v>
      </c>
      <c r="M3729" s="2">
        <v>0.0</v>
      </c>
      <c r="N3729" s="2"/>
      <c r="O3729" s="2"/>
      <c r="P3729" s="2" t="s">
        <v>146</v>
      </c>
    </row>
    <row r="3730">
      <c r="A3730" s="3" t="s">
        <v>40</v>
      </c>
      <c r="B3730" s="2" t="s">
        <v>17</v>
      </c>
      <c r="C3730" s="2" t="s">
        <v>148</v>
      </c>
      <c r="D3730" s="2" t="s">
        <v>19</v>
      </c>
      <c r="E3730" s="2" t="s">
        <v>27</v>
      </c>
      <c r="F3730" s="2">
        <v>10.0</v>
      </c>
      <c r="G3730" s="2">
        <v>0.0</v>
      </c>
      <c r="H3730" s="2">
        <v>0.0</v>
      </c>
      <c r="I3730" s="2">
        <v>0.0</v>
      </c>
      <c r="J3730" s="2">
        <v>0.0</v>
      </c>
      <c r="K3730" s="2">
        <v>0.0</v>
      </c>
      <c r="L3730" s="2">
        <v>0.0</v>
      </c>
      <c r="M3730" s="2">
        <v>10.0</v>
      </c>
      <c r="N3730" s="2"/>
      <c r="O3730" s="2"/>
      <c r="P3730" s="2" t="s">
        <v>146</v>
      </c>
    </row>
    <row r="3731">
      <c r="A3731" s="3" t="s">
        <v>41</v>
      </c>
      <c r="B3731" s="2" t="s">
        <v>17</v>
      </c>
      <c r="C3731" s="2" t="s">
        <v>18</v>
      </c>
      <c r="D3731" s="2" t="s">
        <v>23</v>
      </c>
      <c r="E3731" s="2" t="s">
        <v>27</v>
      </c>
      <c r="F3731" s="2">
        <v>25.0</v>
      </c>
      <c r="G3731" s="2">
        <v>36.0</v>
      </c>
      <c r="H3731" s="2">
        <v>25.0</v>
      </c>
      <c r="I3731" s="2">
        <v>11.0</v>
      </c>
      <c r="J3731" s="2">
        <v>0.0</v>
      </c>
      <c r="K3731" s="2">
        <v>0.0</v>
      </c>
      <c r="L3731" s="2">
        <v>0.0</v>
      </c>
      <c r="M3731" s="2">
        <v>0.0</v>
      </c>
      <c r="N3731" s="2">
        <v>-10.0</v>
      </c>
      <c r="O3731" s="2">
        <v>-25.0</v>
      </c>
      <c r="P3731" s="2" t="s">
        <v>146</v>
      </c>
    </row>
    <row r="3732">
      <c r="A3732" s="3" t="s">
        <v>42</v>
      </c>
      <c r="B3732" s="4">
        <v>45232.25</v>
      </c>
      <c r="C3732" s="2" t="s">
        <v>18</v>
      </c>
      <c r="D3732" s="2" t="s">
        <v>91</v>
      </c>
      <c r="E3732" s="2" t="s">
        <v>27</v>
      </c>
      <c r="F3732" s="2"/>
      <c r="G3732" s="2">
        <v>35.0</v>
      </c>
      <c r="H3732" s="2">
        <v>24.0</v>
      </c>
      <c r="I3732" s="2">
        <v>11.0</v>
      </c>
      <c r="J3732" s="2">
        <v>0.0</v>
      </c>
      <c r="K3732" s="2">
        <v>0.0</v>
      </c>
      <c r="L3732" s="2">
        <v>0.0</v>
      </c>
      <c r="M3732" s="2"/>
      <c r="N3732" s="2"/>
      <c r="O3732" s="2"/>
      <c r="P3732" s="2" t="s">
        <v>146</v>
      </c>
    </row>
    <row r="3733">
      <c r="A3733" s="3" t="s">
        <v>43</v>
      </c>
      <c r="B3733" s="4">
        <v>45262.29166666667</v>
      </c>
      <c r="C3733" s="2" t="s">
        <v>18</v>
      </c>
      <c r="D3733" s="2" t="s">
        <v>91</v>
      </c>
      <c r="E3733" s="2" t="s">
        <v>27</v>
      </c>
      <c r="F3733" s="2"/>
      <c r="G3733" s="2">
        <v>1.0</v>
      </c>
      <c r="H3733" s="2">
        <v>1.0</v>
      </c>
      <c r="I3733" s="2">
        <v>0.0</v>
      </c>
      <c r="J3733" s="2">
        <v>0.0</v>
      </c>
      <c r="K3733" s="2">
        <v>0.0</v>
      </c>
      <c r="L3733" s="2">
        <v>0.0</v>
      </c>
      <c r="M3733" s="2"/>
      <c r="N3733" s="2"/>
      <c r="O3733" s="2"/>
      <c r="P3733" s="2" t="s">
        <v>146</v>
      </c>
    </row>
    <row r="3734">
      <c r="A3734" s="3" t="s">
        <v>44</v>
      </c>
      <c r="B3734" s="2" t="s">
        <v>17</v>
      </c>
      <c r="C3734" s="2" t="s">
        <v>18</v>
      </c>
      <c r="D3734" s="2" t="s">
        <v>79</v>
      </c>
      <c r="E3734" s="2" t="s">
        <v>165</v>
      </c>
      <c r="F3734" s="2">
        <v>133.0</v>
      </c>
      <c r="G3734" s="2">
        <v>267.0</v>
      </c>
      <c r="H3734" s="2">
        <v>83.0</v>
      </c>
      <c r="I3734" s="2">
        <v>184.0</v>
      </c>
      <c r="J3734" s="2">
        <v>0.0</v>
      </c>
      <c r="K3734" s="2">
        <v>0.0</v>
      </c>
      <c r="L3734" s="2">
        <v>0.0</v>
      </c>
      <c r="M3734" s="2">
        <v>50.0</v>
      </c>
      <c r="N3734" s="2"/>
      <c r="O3734" s="2"/>
      <c r="P3734" s="2" t="s">
        <v>166</v>
      </c>
    </row>
    <row r="3735">
      <c r="A3735" s="3" t="s">
        <v>45</v>
      </c>
      <c r="B3735" s="2" t="s">
        <v>17</v>
      </c>
      <c r="C3735" s="2" t="s">
        <v>18</v>
      </c>
      <c r="D3735" s="2" t="s">
        <v>23</v>
      </c>
      <c r="E3735" s="2" t="s">
        <v>165</v>
      </c>
      <c r="F3735" s="2">
        <v>133.0</v>
      </c>
      <c r="G3735" s="2">
        <v>267.0</v>
      </c>
      <c r="H3735" s="2">
        <v>83.0</v>
      </c>
      <c r="I3735" s="2">
        <v>184.0</v>
      </c>
      <c r="J3735" s="2">
        <v>0.0</v>
      </c>
      <c r="K3735" s="2">
        <v>0.0</v>
      </c>
      <c r="L3735" s="2">
        <v>0.0</v>
      </c>
      <c r="M3735" s="2">
        <v>50.0</v>
      </c>
      <c r="N3735" s="2">
        <v>0.0</v>
      </c>
      <c r="O3735" s="2">
        <v>-33.0</v>
      </c>
      <c r="P3735" s="2" t="s">
        <v>166</v>
      </c>
    </row>
    <row r="3736">
      <c r="A3736" s="3" t="s">
        <v>16</v>
      </c>
      <c r="B3736" s="4">
        <v>45292.29166666667</v>
      </c>
      <c r="C3736" s="2" t="s">
        <v>18</v>
      </c>
      <c r="D3736" s="2" t="s">
        <v>79</v>
      </c>
      <c r="E3736" s="2" t="s">
        <v>165</v>
      </c>
      <c r="F3736" s="2"/>
      <c r="G3736" s="2">
        <v>267.0</v>
      </c>
      <c r="H3736" s="2">
        <v>83.0</v>
      </c>
      <c r="I3736" s="2">
        <v>184.0</v>
      </c>
      <c r="J3736" s="2">
        <v>0.0</v>
      </c>
      <c r="K3736" s="2">
        <v>0.0</v>
      </c>
      <c r="L3736" s="2">
        <v>0.0</v>
      </c>
      <c r="M3736" s="2"/>
      <c r="N3736" s="2"/>
      <c r="O3736" s="2"/>
      <c r="P3736" s="2" t="s">
        <v>166</v>
      </c>
    </row>
    <row r="3737">
      <c r="A3737" s="3" t="s">
        <v>47</v>
      </c>
      <c r="B3737" s="2" t="s">
        <v>17</v>
      </c>
      <c r="C3737" s="2" t="s">
        <v>18</v>
      </c>
      <c r="D3737" s="2" t="s">
        <v>79</v>
      </c>
      <c r="E3737" s="2" t="s">
        <v>165</v>
      </c>
      <c r="F3737" s="2">
        <v>42.0</v>
      </c>
      <c r="G3737" s="2">
        <v>87.0</v>
      </c>
      <c r="H3737" s="2">
        <v>47.0</v>
      </c>
      <c r="I3737" s="2">
        <v>40.0</v>
      </c>
      <c r="J3737" s="2">
        <v>0.0</v>
      </c>
      <c r="K3737" s="2">
        <v>0.0</v>
      </c>
      <c r="L3737" s="2">
        <v>0.0</v>
      </c>
      <c r="M3737" s="2">
        <v>-5.0</v>
      </c>
      <c r="N3737" s="2"/>
      <c r="O3737" s="2"/>
      <c r="P3737" s="2" t="s">
        <v>166</v>
      </c>
    </row>
    <row r="3738">
      <c r="A3738" s="3" t="s">
        <v>48</v>
      </c>
      <c r="B3738" s="2" t="s">
        <v>17</v>
      </c>
      <c r="C3738" s="2" t="s">
        <v>18</v>
      </c>
      <c r="D3738" s="2" t="s">
        <v>23</v>
      </c>
      <c r="E3738" s="2" t="s">
        <v>165</v>
      </c>
      <c r="F3738" s="2">
        <v>42.0</v>
      </c>
      <c r="G3738" s="2">
        <v>87.0</v>
      </c>
      <c r="H3738" s="2">
        <v>47.0</v>
      </c>
      <c r="I3738" s="2">
        <v>40.0</v>
      </c>
      <c r="J3738" s="2">
        <v>0.0</v>
      </c>
      <c r="K3738" s="2">
        <v>0.0</v>
      </c>
      <c r="L3738" s="2">
        <v>0.0</v>
      </c>
      <c r="M3738" s="2">
        <v>-5.0</v>
      </c>
      <c r="N3738" s="2">
        <v>0.0</v>
      </c>
      <c r="O3738" s="2">
        <v>-52.0</v>
      </c>
      <c r="P3738" s="2" t="s">
        <v>166</v>
      </c>
    </row>
    <row r="3739">
      <c r="A3739" s="3" t="s">
        <v>49</v>
      </c>
      <c r="B3739" s="4">
        <v>45266.29166666667</v>
      </c>
      <c r="C3739" s="2" t="s">
        <v>18</v>
      </c>
      <c r="D3739" s="2" t="s">
        <v>79</v>
      </c>
      <c r="E3739" s="2" t="s">
        <v>165</v>
      </c>
      <c r="F3739" s="2"/>
      <c r="G3739" s="2">
        <v>87.0</v>
      </c>
      <c r="H3739" s="2">
        <v>47.0</v>
      </c>
      <c r="I3739" s="2">
        <v>40.0</v>
      </c>
      <c r="J3739" s="2">
        <v>0.0</v>
      </c>
      <c r="K3739" s="2">
        <v>0.0</v>
      </c>
      <c r="L3739" s="2">
        <v>0.0</v>
      </c>
      <c r="M3739" s="2"/>
      <c r="N3739" s="2"/>
      <c r="O3739" s="2"/>
      <c r="P3739" s="2" t="s">
        <v>166</v>
      </c>
    </row>
    <row r="3740">
      <c r="A3740" s="3" t="s">
        <v>51</v>
      </c>
      <c r="B3740" s="4">
        <v>45293.29166666667</v>
      </c>
      <c r="C3740" s="2" t="s">
        <v>18</v>
      </c>
      <c r="D3740" s="2" t="s">
        <v>79</v>
      </c>
      <c r="E3740" s="2" t="s">
        <v>165</v>
      </c>
      <c r="F3740" s="2"/>
      <c r="G3740" s="2">
        <v>0.0</v>
      </c>
      <c r="H3740" s="2">
        <v>0.0</v>
      </c>
      <c r="I3740" s="2">
        <v>0.0</v>
      </c>
      <c r="J3740" s="2">
        <v>0.0</v>
      </c>
      <c r="K3740" s="2">
        <v>0.0</v>
      </c>
      <c r="L3740" s="2">
        <v>0.0</v>
      </c>
      <c r="M3740" s="2"/>
      <c r="N3740" s="2"/>
      <c r="O3740" s="2"/>
      <c r="P3740" s="2" t="s">
        <v>166</v>
      </c>
    </row>
    <row r="3741">
      <c r="A3741" s="3" t="s">
        <v>52</v>
      </c>
      <c r="B3741" s="2" t="s">
        <v>17</v>
      </c>
      <c r="C3741" s="2" t="s">
        <v>18</v>
      </c>
      <c r="D3741" s="2" t="s">
        <v>19</v>
      </c>
      <c r="E3741" s="2" t="s">
        <v>169</v>
      </c>
      <c r="F3741" s="2">
        <v>30.0</v>
      </c>
      <c r="G3741" s="2">
        <v>5.0</v>
      </c>
      <c r="H3741" s="2">
        <v>0.0</v>
      </c>
      <c r="I3741" s="2">
        <v>0.0</v>
      </c>
      <c r="J3741" s="2">
        <v>0.0</v>
      </c>
      <c r="K3741" s="2">
        <v>5.0</v>
      </c>
      <c r="L3741" s="2">
        <v>5.0</v>
      </c>
      <c r="M3741" s="2">
        <v>30.0</v>
      </c>
      <c r="N3741" s="2"/>
      <c r="O3741" s="2"/>
      <c r="P3741" s="2" t="s">
        <v>92</v>
      </c>
    </row>
    <row r="3742">
      <c r="A3742" s="3" t="s">
        <v>53</v>
      </c>
      <c r="B3742" s="2" t="s">
        <v>17</v>
      </c>
      <c r="C3742" s="2" t="s">
        <v>18</v>
      </c>
      <c r="D3742" s="2" t="s">
        <v>30</v>
      </c>
      <c r="E3742" s="2" t="s">
        <v>169</v>
      </c>
      <c r="F3742" s="2">
        <v>45.0</v>
      </c>
      <c r="G3742" s="2">
        <v>48.0</v>
      </c>
      <c r="H3742" s="2">
        <v>16.0</v>
      </c>
      <c r="I3742" s="2">
        <v>18.0</v>
      </c>
      <c r="J3742" s="2">
        <v>0.0</v>
      </c>
      <c r="K3742" s="2">
        <v>14.0</v>
      </c>
      <c r="L3742" s="2">
        <v>22.0</v>
      </c>
      <c r="M3742" s="2">
        <v>29.0</v>
      </c>
      <c r="N3742" s="2"/>
      <c r="O3742" s="2"/>
      <c r="P3742" s="2" t="s">
        <v>92</v>
      </c>
    </row>
    <row r="3743">
      <c r="A3743" s="3" t="s">
        <v>54</v>
      </c>
      <c r="B3743" s="2" t="s">
        <v>17</v>
      </c>
      <c r="C3743" s="2" t="s">
        <v>18</v>
      </c>
      <c r="D3743" s="2" t="s">
        <v>23</v>
      </c>
      <c r="E3743" s="2" t="s">
        <v>169</v>
      </c>
      <c r="F3743" s="2">
        <v>75.0</v>
      </c>
      <c r="G3743" s="2">
        <v>53.0</v>
      </c>
      <c r="H3743" s="2">
        <v>16.0</v>
      </c>
      <c r="I3743" s="2">
        <v>18.0</v>
      </c>
      <c r="J3743" s="2">
        <v>0.0</v>
      </c>
      <c r="K3743" s="2">
        <v>19.0</v>
      </c>
      <c r="L3743" s="2">
        <v>27.0</v>
      </c>
      <c r="M3743" s="2">
        <v>59.0</v>
      </c>
      <c r="N3743" s="2">
        <v>0.0</v>
      </c>
      <c r="O3743" s="2">
        <v>43.0</v>
      </c>
      <c r="P3743" s="2" t="s">
        <v>92</v>
      </c>
    </row>
    <row r="3744">
      <c r="A3744" s="3" t="s">
        <v>55</v>
      </c>
      <c r="B3744" s="4">
        <v>45294.29166666667</v>
      </c>
      <c r="C3744" s="2" t="s">
        <v>18</v>
      </c>
      <c r="D3744" s="2" t="s">
        <v>19</v>
      </c>
      <c r="E3744" s="2" t="s">
        <v>169</v>
      </c>
      <c r="F3744" s="2"/>
      <c r="G3744" s="2">
        <v>5.0</v>
      </c>
      <c r="H3744" s="2">
        <v>0.0</v>
      </c>
      <c r="I3744" s="2">
        <v>0.0</v>
      </c>
      <c r="J3744" s="2">
        <v>0.0</v>
      </c>
      <c r="K3744" s="2">
        <v>5.0</v>
      </c>
      <c r="L3744" s="2">
        <v>5.0</v>
      </c>
      <c r="M3744" s="2"/>
      <c r="N3744" s="2"/>
      <c r="O3744" s="2"/>
      <c r="P3744" s="2" t="s">
        <v>92</v>
      </c>
    </row>
    <row r="3745">
      <c r="A3745" s="3" t="s">
        <v>56</v>
      </c>
      <c r="B3745" s="4">
        <v>45294.29166666667</v>
      </c>
      <c r="C3745" s="2" t="s">
        <v>18</v>
      </c>
      <c r="D3745" s="2" t="s">
        <v>30</v>
      </c>
      <c r="E3745" s="2" t="s">
        <v>169</v>
      </c>
      <c r="F3745" s="2"/>
      <c r="G3745" s="2">
        <v>48.0</v>
      </c>
      <c r="H3745" s="2">
        <v>16.0</v>
      </c>
      <c r="I3745" s="2">
        <v>18.0</v>
      </c>
      <c r="J3745" s="2">
        <v>0.0</v>
      </c>
      <c r="K3745" s="2">
        <v>14.0</v>
      </c>
      <c r="L3745" s="2">
        <v>22.0</v>
      </c>
      <c r="M3745" s="2"/>
      <c r="N3745" s="2"/>
      <c r="O3745" s="2"/>
      <c r="P3745" s="2" t="s">
        <v>92</v>
      </c>
    </row>
    <row r="3746">
      <c r="A3746" s="3" t="s">
        <v>59</v>
      </c>
      <c r="B3746" s="2" t="s">
        <v>17</v>
      </c>
      <c r="C3746" s="2" t="s">
        <v>18</v>
      </c>
      <c r="D3746" s="2" t="s">
        <v>19</v>
      </c>
      <c r="E3746" s="2" t="s">
        <v>125</v>
      </c>
      <c r="F3746" s="2">
        <v>37.0</v>
      </c>
      <c r="G3746" s="2">
        <v>49.0</v>
      </c>
      <c r="H3746" s="2">
        <v>41.0</v>
      </c>
      <c r="I3746" s="2">
        <v>8.0</v>
      </c>
      <c r="J3746" s="2">
        <v>0.0</v>
      </c>
      <c r="K3746" s="2">
        <v>0.0</v>
      </c>
      <c r="L3746" s="2">
        <v>0.0</v>
      </c>
      <c r="M3746" s="2">
        <v>-4.0</v>
      </c>
      <c r="N3746" s="2"/>
      <c r="O3746" s="2"/>
      <c r="P3746" s="2" t="s">
        <v>67</v>
      </c>
    </row>
    <row r="3747">
      <c r="A3747" s="3" t="s">
        <v>60</v>
      </c>
      <c r="B3747" s="2" t="s">
        <v>17</v>
      </c>
      <c r="C3747" s="2" t="s">
        <v>18</v>
      </c>
      <c r="D3747" s="2" t="s">
        <v>23</v>
      </c>
      <c r="E3747" s="2" t="s">
        <v>125</v>
      </c>
      <c r="F3747" s="2">
        <v>37.0</v>
      </c>
      <c r="G3747" s="2">
        <v>49.0</v>
      </c>
      <c r="H3747" s="2">
        <v>41.0</v>
      </c>
      <c r="I3747" s="2">
        <v>8.0</v>
      </c>
      <c r="J3747" s="2">
        <v>0.0</v>
      </c>
      <c r="K3747" s="2">
        <v>0.0</v>
      </c>
      <c r="L3747" s="2">
        <v>0.0</v>
      </c>
      <c r="M3747" s="2">
        <v>-4.0</v>
      </c>
      <c r="N3747" s="2">
        <v>0.0</v>
      </c>
      <c r="O3747" s="2">
        <v>-45.0</v>
      </c>
      <c r="P3747" s="2" t="s">
        <v>67</v>
      </c>
    </row>
    <row r="3748">
      <c r="A3748" s="3" t="s">
        <v>61</v>
      </c>
      <c r="B3748" s="4">
        <v>45232.25</v>
      </c>
      <c r="C3748" s="2" t="s">
        <v>18</v>
      </c>
      <c r="D3748" s="2" t="s">
        <v>19</v>
      </c>
      <c r="E3748" s="2" t="s">
        <v>125</v>
      </c>
      <c r="F3748" s="2"/>
      <c r="G3748" s="2">
        <v>49.0</v>
      </c>
      <c r="H3748" s="2">
        <v>41.0</v>
      </c>
      <c r="I3748" s="2">
        <v>8.0</v>
      </c>
      <c r="J3748" s="2">
        <v>0.0</v>
      </c>
      <c r="K3748" s="2">
        <v>0.0</v>
      </c>
      <c r="L3748" s="2">
        <v>0.0</v>
      </c>
      <c r="M3748" s="2"/>
      <c r="N3748" s="2"/>
      <c r="O3748" s="2"/>
      <c r="P3748" s="2" t="s">
        <v>67</v>
      </c>
    </row>
    <row r="3749">
      <c r="A3749" s="3" t="s">
        <v>62</v>
      </c>
      <c r="B3749" s="2" t="s">
        <v>17</v>
      </c>
      <c r="C3749" s="2" t="s">
        <v>18</v>
      </c>
      <c r="D3749" s="2" t="s">
        <v>127</v>
      </c>
      <c r="E3749" s="2" t="s">
        <v>413</v>
      </c>
      <c r="F3749" s="2">
        <v>29.0</v>
      </c>
      <c r="G3749" s="2">
        <v>75.0</v>
      </c>
      <c r="H3749" s="2">
        <v>33.0</v>
      </c>
      <c r="I3749" s="2">
        <v>41.0</v>
      </c>
      <c r="J3749" s="2">
        <v>1.0</v>
      </c>
      <c r="K3749" s="2">
        <v>0.0</v>
      </c>
      <c r="L3749" s="2">
        <v>0.0</v>
      </c>
      <c r="M3749" s="2">
        <v>-4.0</v>
      </c>
      <c r="N3749" s="2"/>
      <c r="O3749" s="2"/>
      <c r="P3749" s="2" t="s">
        <v>92</v>
      </c>
    </row>
    <row r="3750">
      <c r="A3750" s="3" t="s">
        <v>63</v>
      </c>
      <c r="B3750" s="2" t="s">
        <v>17</v>
      </c>
      <c r="C3750" s="2" t="s">
        <v>18</v>
      </c>
      <c r="D3750" s="2" t="s">
        <v>19</v>
      </c>
      <c r="E3750" s="2" t="s">
        <v>413</v>
      </c>
      <c r="F3750" s="2">
        <v>1.0</v>
      </c>
      <c r="G3750" s="2">
        <v>1.0</v>
      </c>
      <c r="H3750" s="2">
        <v>1.0</v>
      </c>
      <c r="I3750" s="2">
        <v>0.0</v>
      </c>
      <c r="J3750" s="2">
        <v>0.0</v>
      </c>
      <c r="K3750" s="2">
        <v>0.0</v>
      </c>
      <c r="L3750" s="2">
        <v>0.0</v>
      </c>
      <c r="M3750" s="2">
        <v>0.0</v>
      </c>
      <c r="N3750" s="2"/>
      <c r="O3750" s="2"/>
      <c r="P3750" s="2" t="s">
        <v>92</v>
      </c>
    </row>
    <row r="3751">
      <c r="A3751" s="3" t="s">
        <v>64</v>
      </c>
      <c r="B3751" s="2" t="s">
        <v>17</v>
      </c>
      <c r="C3751" s="2" t="s">
        <v>18</v>
      </c>
      <c r="D3751" s="2" t="s">
        <v>23</v>
      </c>
      <c r="E3751" s="2" t="s">
        <v>413</v>
      </c>
      <c r="F3751" s="2">
        <v>30.0</v>
      </c>
      <c r="G3751" s="2">
        <v>76.0</v>
      </c>
      <c r="H3751" s="2">
        <v>34.0</v>
      </c>
      <c r="I3751" s="2">
        <v>41.0</v>
      </c>
      <c r="J3751" s="2">
        <v>1.0</v>
      </c>
      <c r="K3751" s="2">
        <v>0.0</v>
      </c>
      <c r="L3751" s="2">
        <v>0.0</v>
      </c>
      <c r="M3751" s="2">
        <v>-4.0</v>
      </c>
      <c r="N3751" s="2">
        <v>0.0</v>
      </c>
      <c r="O3751" s="2">
        <v>-38.0</v>
      </c>
      <c r="P3751" s="2" t="s">
        <v>92</v>
      </c>
    </row>
    <row r="3752">
      <c r="A3752" s="3" t="s">
        <v>65</v>
      </c>
      <c r="B3752" s="4">
        <v>45232.25</v>
      </c>
      <c r="C3752" s="2" t="s">
        <v>18</v>
      </c>
      <c r="D3752" s="2" t="s">
        <v>19</v>
      </c>
      <c r="E3752" s="2" t="s">
        <v>413</v>
      </c>
      <c r="F3752" s="2"/>
      <c r="G3752" s="2">
        <v>1.0</v>
      </c>
      <c r="H3752" s="2">
        <v>1.0</v>
      </c>
      <c r="I3752" s="2">
        <v>0.0</v>
      </c>
      <c r="J3752" s="2">
        <v>0.0</v>
      </c>
      <c r="K3752" s="2">
        <v>0.0</v>
      </c>
      <c r="L3752" s="2">
        <v>0.0</v>
      </c>
      <c r="M3752" s="2"/>
      <c r="N3752" s="2"/>
      <c r="O3752" s="2"/>
      <c r="P3752" s="2" t="s">
        <v>92</v>
      </c>
    </row>
    <row r="3753">
      <c r="A3753" s="3" t="s">
        <v>66</v>
      </c>
      <c r="B3753" s="4">
        <v>45232.25</v>
      </c>
      <c r="C3753" s="2" t="s">
        <v>18</v>
      </c>
      <c r="D3753" s="2" t="s">
        <v>127</v>
      </c>
      <c r="E3753" s="2" t="s">
        <v>413</v>
      </c>
      <c r="F3753" s="2"/>
      <c r="G3753" s="2">
        <v>40.0</v>
      </c>
      <c r="H3753" s="2">
        <v>19.0</v>
      </c>
      <c r="I3753" s="2">
        <v>20.0</v>
      </c>
      <c r="J3753" s="2">
        <v>1.0</v>
      </c>
      <c r="K3753" s="2">
        <v>0.0</v>
      </c>
      <c r="L3753" s="2">
        <v>0.0</v>
      </c>
      <c r="M3753" s="2"/>
      <c r="N3753" s="2"/>
      <c r="O3753" s="2"/>
      <c r="P3753" s="2" t="s">
        <v>92</v>
      </c>
    </row>
    <row r="3754">
      <c r="A3754" s="3" t="s">
        <v>68</v>
      </c>
      <c r="B3754" s="4">
        <v>45261.29166666667</v>
      </c>
      <c r="C3754" s="2" t="s">
        <v>18</v>
      </c>
      <c r="D3754" s="2" t="s">
        <v>127</v>
      </c>
      <c r="E3754" s="2" t="s">
        <v>413</v>
      </c>
      <c r="F3754" s="2"/>
      <c r="G3754" s="2">
        <v>35.0</v>
      </c>
      <c r="H3754" s="2">
        <v>14.0</v>
      </c>
      <c r="I3754" s="2">
        <v>21.0</v>
      </c>
      <c r="J3754" s="2">
        <v>0.0</v>
      </c>
      <c r="K3754" s="2">
        <v>0.0</v>
      </c>
      <c r="L3754" s="2">
        <v>0.0</v>
      </c>
      <c r="M3754" s="2"/>
      <c r="N3754" s="2"/>
      <c r="O3754" s="2"/>
      <c r="P3754" s="2" t="s">
        <v>92</v>
      </c>
    </row>
    <row r="3755">
      <c r="A3755" s="3" t="s">
        <v>70</v>
      </c>
      <c r="B3755" s="2" t="s">
        <v>17</v>
      </c>
      <c r="C3755" s="2" t="s">
        <v>18</v>
      </c>
      <c r="D3755" s="2" t="s">
        <v>79</v>
      </c>
      <c r="E3755" s="2" t="s">
        <v>414</v>
      </c>
      <c r="F3755" s="2">
        <v>100.0</v>
      </c>
      <c r="G3755" s="2">
        <v>162.0</v>
      </c>
      <c r="H3755" s="2">
        <v>85.0</v>
      </c>
      <c r="I3755" s="2">
        <v>77.0</v>
      </c>
      <c r="J3755" s="2">
        <v>0.0</v>
      </c>
      <c r="K3755" s="2">
        <v>0.0</v>
      </c>
      <c r="L3755" s="2">
        <v>0.0</v>
      </c>
      <c r="M3755" s="2">
        <v>15.0</v>
      </c>
      <c r="N3755" s="2"/>
      <c r="O3755" s="2"/>
      <c r="P3755" s="2" t="s">
        <v>166</v>
      </c>
    </row>
    <row r="3756">
      <c r="A3756" s="3" t="s">
        <v>16</v>
      </c>
      <c r="B3756" s="2" t="s">
        <v>17</v>
      </c>
      <c r="C3756" s="2" t="s">
        <v>113</v>
      </c>
      <c r="D3756" s="2" t="s">
        <v>79</v>
      </c>
      <c r="E3756" s="2" t="s">
        <v>415</v>
      </c>
      <c r="F3756" s="2">
        <v>100.0</v>
      </c>
      <c r="G3756" s="2">
        <v>217.0</v>
      </c>
      <c r="H3756" s="2">
        <v>123.0</v>
      </c>
      <c r="I3756" s="2">
        <v>94.0</v>
      </c>
      <c r="J3756" s="2">
        <v>0.0</v>
      </c>
      <c r="K3756" s="2">
        <v>0.0</v>
      </c>
      <c r="L3756" s="2">
        <v>0.0</v>
      </c>
      <c r="M3756" s="2">
        <v>-23.0</v>
      </c>
      <c r="N3756" s="2"/>
      <c r="O3756" s="2"/>
      <c r="P3756" s="2" t="s">
        <v>166</v>
      </c>
    </row>
    <row r="3757">
      <c r="A3757" s="3" t="s">
        <v>71</v>
      </c>
      <c r="B3757" s="2" t="s">
        <v>17</v>
      </c>
      <c r="C3757" s="2" t="s">
        <v>18</v>
      </c>
      <c r="D3757" s="2" t="s">
        <v>79</v>
      </c>
      <c r="E3757" s="2" t="s">
        <v>416</v>
      </c>
      <c r="F3757" s="2">
        <v>80.0</v>
      </c>
      <c r="G3757" s="2">
        <v>102.0</v>
      </c>
      <c r="H3757" s="2">
        <v>76.0</v>
      </c>
      <c r="I3757" s="2">
        <v>26.0</v>
      </c>
      <c r="J3757" s="2">
        <v>0.0</v>
      </c>
      <c r="K3757" s="2">
        <v>0.0</v>
      </c>
      <c r="L3757" s="2">
        <v>0.0</v>
      </c>
      <c r="M3757" s="2">
        <v>4.0</v>
      </c>
      <c r="N3757" s="2"/>
      <c r="O3757" s="2"/>
      <c r="P3757" s="2" t="s">
        <v>166</v>
      </c>
    </row>
    <row r="3758">
      <c r="A3758" s="3" t="s">
        <v>72</v>
      </c>
      <c r="B3758" s="2" t="s">
        <v>17</v>
      </c>
      <c r="C3758" s="2" t="s">
        <v>18</v>
      </c>
      <c r="D3758" s="2" t="s">
        <v>23</v>
      </c>
      <c r="E3758" s="2" t="s">
        <v>414</v>
      </c>
      <c r="F3758" s="2">
        <v>100.0</v>
      </c>
      <c r="G3758" s="2">
        <v>162.0</v>
      </c>
      <c r="H3758" s="2">
        <v>85.0</v>
      </c>
      <c r="I3758" s="2">
        <v>77.0</v>
      </c>
      <c r="J3758" s="2">
        <v>0.0</v>
      </c>
      <c r="K3758" s="2">
        <v>0.0</v>
      </c>
      <c r="L3758" s="2">
        <v>0.0</v>
      </c>
      <c r="M3758" s="2">
        <v>15.0</v>
      </c>
      <c r="N3758" s="2">
        <v>0.0</v>
      </c>
      <c r="O3758" s="2">
        <v>-70.0</v>
      </c>
      <c r="P3758" s="2" t="s">
        <v>166</v>
      </c>
    </row>
    <row r="3759">
      <c r="A3759" s="3" t="s">
        <v>73</v>
      </c>
      <c r="B3759" s="2" t="s">
        <v>17</v>
      </c>
      <c r="C3759" s="2" t="s">
        <v>18</v>
      </c>
      <c r="D3759" s="2" t="s">
        <v>23</v>
      </c>
      <c r="E3759" s="2" t="s">
        <v>415</v>
      </c>
      <c r="F3759" s="2">
        <v>100.0</v>
      </c>
      <c r="G3759" s="2">
        <v>217.0</v>
      </c>
      <c r="H3759" s="2">
        <v>123.0</v>
      </c>
      <c r="I3759" s="2">
        <v>94.0</v>
      </c>
      <c r="J3759" s="2">
        <v>0.0</v>
      </c>
      <c r="K3759" s="2">
        <v>0.0</v>
      </c>
      <c r="L3759" s="2">
        <v>0.0</v>
      </c>
      <c r="M3759" s="2">
        <v>-23.0</v>
      </c>
      <c r="N3759" s="2">
        <v>0.0</v>
      </c>
      <c r="O3759" s="2">
        <v>-146.0</v>
      </c>
      <c r="P3759" s="2" t="s">
        <v>166</v>
      </c>
    </row>
    <row r="3760">
      <c r="A3760" s="3" t="s">
        <v>74</v>
      </c>
      <c r="B3760" s="2" t="s">
        <v>17</v>
      </c>
      <c r="C3760" s="2" t="s">
        <v>18</v>
      </c>
      <c r="D3760" s="2" t="s">
        <v>23</v>
      </c>
      <c r="E3760" s="2" t="s">
        <v>416</v>
      </c>
      <c r="F3760" s="2">
        <v>80.0</v>
      </c>
      <c r="G3760" s="2">
        <v>102.0</v>
      </c>
      <c r="H3760" s="2">
        <v>76.0</v>
      </c>
      <c r="I3760" s="2">
        <v>26.0</v>
      </c>
      <c r="J3760" s="2">
        <v>0.0</v>
      </c>
      <c r="K3760" s="2">
        <v>0.0</v>
      </c>
      <c r="L3760" s="2">
        <v>0.0</v>
      </c>
      <c r="M3760" s="2">
        <v>4.0</v>
      </c>
      <c r="N3760" s="2">
        <v>0.0</v>
      </c>
      <c r="O3760" s="2">
        <v>-72.0</v>
      </c>
      <c r="P3760" s="2" t="s">
        <v>166</v>
      </c>
    </row>
    <row r="3761">
      <c r="A3761" s="3" t="s">
        <v>75</v>
      </c>
      <c r="B3761" s="4">
        <v>45232.25</v>
      </c>
      <c r="C3761" s="2" t="s">
        <v>18</v>
      </c>
      <c r="D3761" s="2" t="s">
        <v>79</v>
      </c>
      <c r="E3761" s="2" t="s">
        <v>414</v>
      </c>
      <c r="F3761" s="2"/>
      <c r="G3761" s="2">
        <v>84.0</v>
      </c>
      <c r="H3761" s="2">
        <v>42.0</v>
      </c>
      <c r="I3761" s="2">
        <v>42.0</v>
      </c>
      <c r="J3761" s="2">
        <v>0.0</v>
      </c>
      <c r="K3761" s="2">
        <v>0.0</v>
      </c>
      <c r="L3761" s="2">
        <v>0.0</v>
      </c>
      <c r="M3761" s="2"/>
      <c r="N3761" s="2"/>
      <c r="O3761" s="2"/>
      <c r="P3761" s="2" t="s">
        <v>166</v>
      </c>
    </row>
    <row r="3762">
      <c r="A3762" s="3" t="s">
        <v>76</v>
      </c>
      <c r="B3762" s="4">
        <v>45232.25</v>
      </c>
      <c r="C3762" s="2" t="s">
        <v>18</v>
      </c>
      <c r="D3762" s="2" t="s">
        <v>79</v>
      </c>
      <c r="E3762" s="2" t="s">
        <v>415</v>
      </c>
      <c r="F3762" s="2"/>
      <c r="G3762" s="2">
        <v>103.0</v>
      </c>
      <c r="H3762" s="2">
        <v>71.0</v>
      </c>
      <c r="I3762" s="2">
        <v>32.0</v>
      </c>
      <c r="J3762" s="2">
        <v>0.0</v>
      </c>
      <c r="K3762" s="2">
        <v>0.0</v>
      </c>
      <c r="L3762" s="2">
        <v>0.0</v>
      </c>
      <c r="M3762" s="2"/>
      <c r="N3762" s="2"/>
      <c r="O3762" s="2"/>
      <c r="P3762" s="2" t="s">
        <v>166</v>
      </c>
    </row>
    <row r="3763">
      <c r="A3763" s="3" t="s">
        <v>77</v>
      </c>
      <c r="B3763" s="4">
        <v>45232.25</v>
      </c>
      <c r="C3763" s="2" t="s">
        <v>18</v>
      </c>
      <c r="D3763" s="2" t="s">
        <v>79</v>
      </c>
      <c r="E3763" s="2" t="s">
        <v>416</v>
      </c>
      <c r="F3763" s="2"/>
      <c r="G3763" s="2">
        <v>46.0</v>
      </c>
      <c r="H3763" s="2">
        <v>38.0</v>
      </c>
      <c r="I3763" s="2">
        <v>8.0</v>
      </c>
      <c r="J3763" s="2">
        <v>0.0</v>
      </c>
      <c r="K3763" s="2">
        <v>0.0</v>
      </c>
      <c r="L3763" s="2">
        <v>0.0</v>
      </c>
      <c r="M3763" s="2"/>
      <c r="N3763" s="2"/>
      <c r="O3763" s="2"/>
      <c r="P3763" s="2" t="s">
        <v>166</v>
      </c>
    </row>
    <row r="3764">
      <c r="A3764" s="3" t="s">
        <v>78</v>
      </c>
      <c r="B3764" s="4">
        <v>45261.29166666667</v>
      </c>
      <c r="C3764" s="2" t="s">
        <v>18</v>
      </c>
      <c r="D3764" s="2" t="s">
        <v>79</v>
      </c>
      <c r="E3764" s="2" t="s">
        <v>414</v>
      </c>
      <c r="F3764" s="2"/>
      <c r="G3764" s="2">
        <v>78.0</v>
      </c>
      <c r="H3764" s="2">
        <v>43.0</v>
      </c>
      <c r="I3764" s="2">
        <v>35.0</v>
      </c>
      <c r="J3764" s="2">
        <v>0.0</v>
      </c>
      <c r="K3764" s="2">
        <v>0.0</v>
      </c>
      <c r="L3764" s="2">
        <v>0.0</v>
      </c>
      <c r="M3764" s="2"/>
      <c r="N3764" s="2"/>
      <c r="O3764" s="2"/>
      <c r="P3764" s="2" t="s">
        <v>166</v>
      </c>
    </row>
    <row r="3765">
      <c r="A3765" s="3" t="s">
        <v>81</v>
      </c>
      <c r="B3765" s="4">
        <v>45262.29166666667</v>
      </c>
      <c r="C3765" s="2" t="s">
        <v>18</v>
      </c>
      <c r="D3765" s="2" t="s">
        <v>79</v>
      </c>
      <c r="E3765" s="2" t="s">
        <v>415</v>
      </c>
      <c r="F3765" s="2"/>
      <c r="G3765" s="2">
        <v>114.0</v>
      </c>
      <c r="H3765" s="2">
        <v>52.0</v>
      </c>
      <c r="I3765" s="2">
        <v>62.0</v>
      </c>
      <c r="J3765" s="2">
        <v>0.0</v>
      </c>
      <c r="K3765" s="2">
        <v>0.0</v>
      </c>
      <c r="L3765" s="2">
        <v>0.0</v>
      </c>
      <c r="M3765" s="2"/>
      <c r="N3765" s="2"/>
      <c r="O3765" s="2"/>
      <c r="P3765" s="2" t="s">
        <v>166</v>
      </c>
    </row>
    <row r="3766">
      <c r="A3766" s="3" t="s">
        <v>82</v>
      </c>
      <c r="B3766" s="4">
        <v>45263.29166666667</v>
      </c>
      <c r="C3766" s="2" t="s">
        <v>18</v>
      </c>
      <c r="D3766" s="2" t="s">
        <v>79</v>
      </c>
      <c r="E3766" s="2" t="s">
        <v>416</v>
      </c>
      <c r="F3766" s="2"/>
      <c r="G3766" s="2">
        <v>56.0</v>
      </c>
      <c r="H3766" s="2">
        <v>38.0</v>
      </c>
      <c r="I3766" s="2">
        <v>18.0</v>
      </c>
      <c r="J3766" s="2">
        <v>0.0</v>
      </c>
      <c r="K3766" s="2">
        <v>0.0</v>
      </c>
      <c r="L3766" s="2">
        <v>0.0</v>
      </c>
      <c r="M3766" s="2"/>
      <c r="N3766" s="2"/>
      <c r="O3766" s="2"/>
      <c r="P3766" s="2" t="s">
        <v>166</v>
      </c>
    </row>
    <row r="3767">
      <c r="A3767" s="3" t="s">
        <v>83</v>
      </c>
      <c r="B3767" s="2" t="s">
        <v>17</v>
      </c>
      <c r="C3767" s="2" t="s">
        <v>18</v>
      </c>
      <c r="D3767" s="2" t="s">
        <v>19</v>
      </c>
      <c r="E3767" s="2" t="s">
        <v>27</v>
      </c>
      <c r="F3767" s="2">
        <v>53.0</v>
      </c>
      <c r="G3767" s="2">
        <v>26.0</v>
      </c>
      <c r="H3767" s="2">
        <v>17.0</v>
      </c>
      <c r="I3767" s="2">
        <v>9.0</v>
      </c>
      <c r="J3767" s="2">
        <v>0.0</v>
      </c>
      <c r="K3767" s="2">
        <v>0.0</v>
      </c>
      <c r="L3767" s="2">
        <v>0.0</v>
      </c>
      <c r="M3767" s="2">
        <v>36.0</v>
      </c>
      <c r="N3767" s="2"/>
      <c r="O3767" s="2"/>
      <c r="P3767" s="2" t="s">
        <v>67</v>
      </c>
    </row>
    <row r="3768">
      <c r="A3768" s="3" t="s">
        <v>84</v>
      </c>
      <c r="B3768" s="2" t="s">
        <v>17</v>
      </c>
      <c r="C3768" s="2" t="s">
        <v>18</v>
      </c>
      <c r="D3768" s="2" t="s">
        <v>23</v>
      </c>
      <c r="E3768" s="2" t="s">
        <v>27</v>
      </c>
      <c r="F3768" s="2">
        <v>53.0</v>
      </c>
      <c r="G3768" s="2">
        <v>26.0</v>
      </c>
      <c r="H3768" s="2">
        <v>17.0</v>
      </c>
      <c r="I3768" s="2">
        <v>9.0</v>
      </c>
      <c r="J3768" s="2">
        <v>0.0</v>
      </c>
      <c r="K3768" s="2">
        <v>0.0</v>
      </c>
      <c r="L3768" s="2">
        <v>0.0</v>
      </c>
      <c r="M3768" s="2">
        <v>36.0</v>
      </c>
      <c r="N3768" s="2">
        <v>0.0</v>
      </c>
      <c r="O3768" s="2">
        <v>19.0</v>
      </c>
      <c r="P3768" s="2" t="s">
        <v>67</v>
      </c>
    </row>
    <row r="3769">
      <c r="A3769" s="3" t="s">
        <v>85</v>
      </c>
      <c r="B3769" s="4">
        <v>45232.25</v>
      </c>
      <c r="C3769" s="2" t="s">
        <v>18</v>
      </c>
      <c r="D3769" s="2" t="s">
        <v>19</v>
      </c>
      <c r="E3769" s="2" t="s">
        <v>27</v>
      </c>
      <c r="F3769" s="2"/>
      <c r="G3769" s="2">
        <v>26.0</v>
      </c>
      <c r="H3769" s="2">
        <v>17.0</v>
      </c>
      <c r="I3769" s="2">
        <v>9.0</v>
      </c>
      <c r="J3769" s="2">
        <v>0.0</v>
      </c>
      <c r="K3769" s="2">
        <v>0.0</v>
      </c>
      <c r="L3769" s="2">
        <v>0.0</v>
      </c>
      <c r="M3769" s="2"/>
      <c r="N3769" s="2"/>
      <c r="O3769" s="2"/>
      <c r="P3769" s="2" t="s">
        <v>67</v>
      </c>
    </row>
    <row r="3770">
      <c r="A3770" s="3" t="s">
        <v>86</v>
      </c>
      <c r="B3770" s="2" t="s">
        <v>17</v>
      </c>
      <c r="C3770" s="2" t="s">
        <v>18</v>
      </c>
      <c r="D3770" s="2" t="s">
        <v>164</v>
      </c>
      <c r="E3770" s="2" t="s">
        <v>165</v>
      </c>
      <c r="F3770" s="2">
        <v>60.0</v>
      </c>
      <c r="G3770" s="2">
        <v>25.0</v>
      </c>
      <c r="H3770" s="2">
        <v>14.0</v>
      </c>
      <c r="I3770" s="2">
        <v>11.0</v>
      </c>
      <c r="J3770" s="2">
        <v>0.0</v>
      </c>
      <c r="K3770" s="2">
        <v>0.0</v>
      </c>
      <c r="L3770" s="2">
        <v>0.0</v>
      </c>
      <c r="M3770" s="2">
        <v>46.0</v>
      </c>
      <c r="N3770" s="2"/>
      <c r="O3770" s="2"/>
      <c r="P3770" s="2" t="s">
        <v>166</v>
      </c>
    </row>
    <row r="3771">
      <c r="A3771" s="3" t="s">
        <v>87</v>
      </c>
      <c r="B3771" s="2" t="s">
        <v>17</v>
      </c>
      <c r="C3771" s="2" t="s">
        <v>18</v>
      </c>
      <c r="D3771" s="2" t="s">
        <v>23</v>
      </c>
      <c r="E3771" s="2" t="s">
        <v>165</v>
      </c>
      <c r="F3771" s="2">
        <v>60.0</v>
      </c>
      <c r="G3771" s="2">
        <v>25.0</v>
      </c>
      <c r="H3771" s="2">
        <v>14.0</v>
      </c>
      <c r="I3771" s="2">
        <v>11.0</v>
      </c>
      <c r="J3771" s="2">
        <v>0.0</v>
      </c>
      <c r="K3771" s="2">
        <v>0.0</v>
      </c>
      <c r="L3771" s="2">
        <v>0.0</v>
      </c>
      <c r="M3771" s="2">
        <v>46.0</v>
      </c>
      <c r="N3771" s="2">
        <v>0.0</v>
      </c>
      <c r="O3771" s="2">
        <v>32.0</v>
      </c>
      <c r="P3771" s="2" t="s">
        <v>166</v>
      </c>
    </row>
    <row r="3772">
      <c r="A3772" s="3" t="s">
        <v>88</v>
      </c>
      <c r="B3772" s="4">
        <v>45262.29166666667</v>
      </c>
      <c r="C3772" s="2" t="s">
        <v>18</v>
      </c>
      <c r="D3772" s="2" t="s">
        <v>164</v>
      </c>
      <c r="E3772" s="2" t="s">
        <v>165</v>
      </c>
      <c r="F3772" s="2"/>
      <c r="G3772" s="2">
        <v>0.0</v>
      </c>
      <c r="H3772" s="2">
        <v>0.0</v>
      </c>
      <c r="I3772" s="2">
        <v>0.0</v>
      </c>
      <c r="J3772" s="2">
        <v>0.0</v>
      </c>
      <c r="K3772" s="2">
        <v>0.0</v>
      </c>
      <c r="L3772" s="2">
        <v>0.0</v>
      </c>
      <c r="M3772" s="2"/>
      <c r="N3772" s="2"/>
      <c r="O3772" s="2"/>
      <c r="P3772" s="2" t="s">
        <v>166</v>
      </c>
    </row>
    <row r="3773">
      <c r="A3773" s="3" t="s">
        <v>89</v>
      </c>
      <c r="B3773" s="4">
        <v>45292.29166666667</v>
      </c>
      <c r="C3773" s="2" t="s">
        <v>18</v>
      </c>
      <c r="D3773" s="2" t="s">
        <v>164</v>
      </c>
      <c r="E3773" s="2" t="s">
        <v>165</v>
      </c>
      <c r="F3773" s="2"/>
      <c r="G3773" s="2">
        <v>25.0</v>
      </c>
      <c r="H3773" s="2">
        <v>14.0</v>
      </c>
      <c r="I3773" s="2">
        <v>11.0</v>
      </c>
      <c r="J3773" s="2">
        <v>0.0</v>
      </c>
      <c r="K3773" s="2">
        <v>0.0</v>
      </c>
      <c r="L3773" s="2">
        <v>0.0</v>
      </c>
      <c r="M3773" s="2"/>
      <c r="N3773" s="2"/>
      <c r="O3773" s="2"/>
      <c r="P3773" s="2" t="s">
        <v>166</v>
      </c>
    </row>
    <row r="3774">
      <c r="A3774" s="3" t="s">
        <v>90</v>
      </c>
      <c r="B3774" s="2" t="s">
        <v>17</v>
      </c>
      <c r="C3774" s="2" t="s">
        <v>18</v>
      </c>
      <c r="D3774" s="2" t="s">
        <v>19</v>
      </c>
      <c r="E3774" s="2" t="s">
        <v>31</v>
      </c>
      <c r="F3774" s="2">
        <v>60.0</v>
      </c>
      <c r="G3774" s="2">
        <v>3.0</v>
      </c>
      <c r="H3774" s="2">
        <v>2.0</v>
      </c>
      <c r="I3774" s="2">
        <v>1.0</v>
      </c>
      <c r="J3774" s="2">
        <v>0.0</v>
      </c>
      <c r="K3774" s="2">
        <v>0.0</v>
      </c>
      <c r="L3774" s="2">
        <v>0.0</v>
      </c>
      <c r="M3774" s="2">
        <v>58.0</v>
      </c>
      <c r="N3774" s="2"/>
      <c r="O3774" s="2"/>
      <c r="P3774" s="2" t="s">
        <v>67</v>
      </c>
    </row>
    <row r="3775">
      <c r="A3775" s="3" t="s">
        <v>93</v>
      </c>
      <c r="B3775" s="2" t="s">
        <v>17</v>
      </c>
      <c r="C3775" s="2" t="s">
        <v>18</v>
      </c>
      <c r="D3775" s="2" t="s">
        <v>157</v>
      </c>
      <c r="E3775" s="2" t="s">
        <v>31</v>
      </c>
      <c r="F3775" s="2">
        <v>60.0</v>
      </c>
      <c r="G3775" s="2">
        <v>16.0</v>
      </c>
      <c r="H3775" s="2">
        <v>3.0</v>
      </c>
      <c r="I3775" s="2">
        <v>13.0</v>
      </c>
      <c r="J3775" s="2">
        <v>0.0</v>
      </c>
      <c r="K3775" s="2">
        <v>0.0</v>
      </c>
      <c r="L3775" s="2">
        <v>0.0</v>
      </c>
      <c r="M3775" s="2">
        <v>57.0</v>
      </c>
      <c r="N3775" s="2"/>
      <c r="O3775" s="2"/>
      <c r="P3775" s="2" t="s">
        <v>67</v>
      </c>
    </row>
    <row r="3776">
      <c r="A3776" s="3" t="s">
        <v>16</v>
      </c>
      <c r="B3776" s="2" t="s">
        <v>17</v>
      </c>
      <c r="C3776" s="2" t="s">
        <v>18</v>
      </c>
      <c r="D3776" s="2" t="s">
        <v>23</v>
      </c>
      <c r="E3776" s="2" t="s">
        <v>31</v>
      </c>
      <c r="F3776" s="2">
        <v>120.0</v>
      </c>
      <c r="G3776" s="2">
        <v>19.0</v>
      </c>
      <c r="H3776" s="2">
        <v>5.0</v>
      </c>
      <c r="I3776" s="2">
        <v>14.0</v>
      </c>
      <c r="J3776" s="2">
        <v>0.0</v>
      </c>
      <c r="K3776" s="2">
        <v>0.0</v>
      </c>
      <c r="L3776" s="2">
        <v>0.0</v>
      </c>
      <c r="M3776" s="2">
        <v>115.0</v>
      </c>
      <c r="N3776" s="2">
        <v>0.0</v>
      </c>
      <c r="O3776" s="2">
        <v>110.0</v>
      </c>
      <c r="P3776" s="2" t="s">
        <v>67</v>
      </c>
    </row>
    <row r="3777">
      <c r="A3777" s="3" t="s">
        <v>94</v>
      </c>
      <c r="B3777" s="4">
        <v>45232.25</v>
      </c>
      <c r="C3777" s="2" t="s">
        <v>18</v>
      </c>
      <c r="D3777" s="2" t="s">
        <v>19</v>
      </c>
      <c r="E3777" s="2" t="s">
        <v>31</v>
      </c>
      <c r="F3777" s="2"/>
      <c r="G3777" s="2">
        <v>3.0</v>
      </c>
      <c r="H3777" s="2">
        <v>2.0</v>
      </c>
      <c r="I3777" s="2">
        <v>1.0</v>
      </c>
      <c r="J3777" s="2">
        <v>0.0</v>
      </c>
      <c r="K3777" s="2">
        <v>0.0</v>
      </c>
      <c r="L3777" s="2">
        <v>0.0</v>
      </c>
      <c r="M3777" s="2"/>
      <c r="N3777" s="2"/>
      <c r="O3777" s="2"/>
      <c r="P3777" s="2" t="s">
        <v>67</v>
      </c>
    </row>
    <row r="3778">
      <c r="A3778" s="3" t="s">
        <v>95</v>
      </c>
      <c r="B3778" s="4">
        <v>45233.25</v>
      </c>
      <c r="C3778" s="2" t="s">
        <v>18</v>
      </c>
      <c r="D3778" s="2" t="s">
        <v>157</v>
      </c>
      <c r="E3778" s="2" t="s">
        <v>31</v>
      </c>
      <c r="F3778" s="2"/>
      <c r="G3778" s="2">
        <v>16.0</v>
      </c>
      <c r="H3778" s="2">
        <v>3.0</v>
      </c>
      <c r="I3778" s="2">
        <v>13.0</v>
      </c>
      <c r="J3778" s="2">
        <v>0.0</v>
      </c>
      <c r="K3778" s="2">
        <v>0.0</v>
      </c>
      <c r="L3778" s="2">
        <v>0.0</v>
      </c>
      <c r="M3778" s="2"/>
      <c r="N3778" s="2"/>
      <c r="O3778" s="2"/>
      <c r="P3778" s="2" t="s">
        <v>67</v>
      </c>
    </row>
    <row r="3779">
      <c r="A3779" s="3" t="s">
        <v>97</v>
      </c>
      <c r="B3779" s="2" t="s">
        <v>17</v>
      </c>
      <c r="C3779" s="2" t="s">
        <v>18</v>
      </c>
      <c r="D3779" s="2" t="s">
        <v>164</v>
      </c>
      <c r="E3779" s="2" t="s">
        <v>165</v>
      </c>
      <c r="F3779" s="2">
        <v>300.0</v>
      </c>
      <c r="G3779" s="2">
        <v>294.0</v>
      </c>
      <c r="H3779" s="2">
        <v>89.0</v>
      </c>
      <c r="I3779" s="2">
        <v>42.0</v>
      </c>
      <c r="J3779" s="2">
        <v>0.0</v>
      </c>
      <c r="K3779" s="2">
        <v>163.0</v>
      </c>
      <c r="L3779" s="2">
        <v>0.0</v>
      </c>
      <c r="M3779" s="2">
        <v>211.0</v>
      </c>
      <c r="N3779" s="2"/>
      <c r="O3779" s="2"/>
      <c r="P3779" s="2" t="s">
        <v>166</v>
      </c>
    </row>
    <row r="3780">
      <c r="A3780" s="3" t="s">
        <v>98</v>
      </c>
      <c r="B3780" s="2" t="s">
        <v>17</v>
      </c>
      <c r="C3780" s="2" t="s">
        <v>18</v>
      </c>
      <c r="D3780" s="2" t="s">
        <v>23</v>
      </c>
      <c r="E3780" s="2" t="s">
        <v>165</v>
      </c>
      <c r="F3780" s="2">
        <v>300.0</v>
      </c>
      <c r="G3780" s="2">
        <v>294.0</v>
      </c>
      <c r="H3780" s="2">
        <v>89.0</v>
      </c>
      <c r="I3780" s="2">
        <v>42.0</v>
      </c>
      <c r="J3780" s="2">
        <v>0.0</v>
      </c>
      <c r="K3780" s="2">
        <v>163.0</v>
      </c>
      <c r="L3780" s="2">
        <v>0.0</v>
      </c>
      <c r="M3780" s="2">
        <v>211.0</v>
      </c>
      <c r="N3780" s="2">
        <v>0.0</v>
      </c>
      <c r="O3780" s="2">
        <v>122.0</v>
      </c>
      <c r="P3780" s="2" t="s">
        <v>166</v>
      </c>
    </row>
    <row r="3781">
      <c r="A3781" s="3" t="s">
        <v>99</v>
      </c>
      <c r="B3781" s="2" t="s">
        <v>17</v>
      </c>
      <c r="C3781" s="2" t="s">
        <v>18</v>
      </c>
      <c r="D3781" s="2" t="s">
        <v>164</v>
      </c>
      <c r="E3781" s="2" t="s">
        <v>165</v>
      </c>
      <c r="F3781" s="2"/>
      <c r="G3781" s="2">
        <v>186.0</v>
      </c>
      <c r="H3781" s="2">
        <v>114.0</v>
      </c>
      <c r="I3781" s="2">
        <v>72.0</v>
      </c>
      <c r="J3781" s="2">
        <v>0.0</v>
      </c>
      <c r="K3781" s="2">
        <v>0.0</v>
      </c>
      <c r="L3781" s="2">
        <v>0.0</v>
      </c>
      <c r="M3781" s="2"/>
      <c r="N3781" s="2"/>
      <c r="O3781" s="2"/>
      <c r="P3781" s="2" t="s">
        <v>166</v>
      </c>
    </row>
    <row r="3782">
      <c r="A3782" s="3" t="s">
        <v>100</v>
      </c>
      <c r="B3782" s="4">
        <v>45323.29166666667</v>
      </c>
      <c r="C3782" s="2" t="s">
        <v>18</v>
      </c>
      <c r="D3782" s="2" t="s">
        <v>164</v>
      </c>
      <c r="E3782" s="2" t="s">
        <v>165</v>
      </c>
      <c r="F3782" s="2"/>
      <c r="G3782" s="2">
        <v>0.0</v>
      </c>
      <c r="H3782" s="2">
        <v>0.0</v>
      </c>
      <c r="I3782" s="2">
        <v>0.0</v>
      </c>
      <c r="J3782" s="2">
        <v>0.0</v>
      </c>
      <c r="K3782" s="2">
        <v>0.0</v>
      </c>
      <c r="L3782" s="2">
        <v>0.0</v>
      </c>
      <c r="M3782" s="2"/>
      <c r="N3782" s="2"/>
      <c r="O3782" s="2"/>
      <c r="P3782" s="2" t="s">
        <v>166</v>
      </c>
    </row>
    <row r="3783">
      <c r="A3783" s="3" t="s">
        <v>101</v>
      </c>
      <c r="B3783" s="2" t="s">
        <v>17</v>
      </c>
      <c r="C3783" s="2" t="s">
        <v>18</v>
      </c>
      <c r="D3783" s="2" t="s">
        <v>417</v>
      </c>
      <c r="E3783" s="2" t="s">
        <v>418</v>
      </c>
      <c r="F3783" s="2">
        <v>12.0</v>
      </c>
      <c r="G3783" s="2">
        <v>8.0</v>
      </c>
      <c r="H3783" s="2">
        <v>8.0</v>
      </c>
      <c r="I3783" s="2">
        <v>0.0</v>
      </c>
      <c r="J3783" s="2">
        <v>0.0</v>
      </c>
      <c r="K3783" s="2">
        <v>0.0</v>
      </c>
      <c r="L3783" s="2">
        <v>0.0</v>
      </c>
      <c r="M3783" s="2">
        <v>4.0</v>
      </c>
      <c r="N3783" s="2"/>
      <c r="O3783" s="2"/>
      <c r="P3783" s="2" t="s">
        <v>146</v>
      </c>
    </row>
    <row r="3784">
      <c r="A3784" s="3" t="s">
        <v>102</v>
      </c>
      <c r="B3784" s="2" t="s">
        <v>17</v>
      </c>
      <c r="C3784" s="2" t="s">
        <v>18</v>
      </c>
      <c r="D3784" s="2" t="s">
        <v>19</v>
      </c>
      <c r="E3784" s="2" t="s">
        <v>419</v>
      </c>
      <c r="F3784" s="2">
        <v>10.0</v>
      </c>
      <c r="G3784" s="2">
        <v>19.0</v>
      </c>
      <c r="H3784" s="2">
        <v>7.0</v>
      </c>
      <c r="I3784" s="2">
        <v>12.0</v>
      </c>
      <c r="J3784" s="2">
        <v>0.0</v>
      </c>
      <c r="K3784" s="2">
        <v>0.0</v>
      </c>
      <c r="L3784" s="2">
        <v>0.0</v>
      </c>
      <c r="M3784" s="2">
        <v>3.0</v>
      </c>
      <c r="N3784" s="2"/>
      <c r="O3784" s="2"/>
      <c r="P3784" s="2" t="s">
        <v>111</v>
      </c>
    </row>
    <row r="3785">
      <c r="A3785" s="3" t="s">
        <v>103</v>
      </c>
      <c r="B3785" s="2" t="s">
        <v>17</v>
      </c>
      <c r="C3785" s="2" t="s">
        <v>18</v>
      </c>
      <c r="D3785" s="2" t="s">
        <v>33</v>
      </c>
      <c r="E3785" s="2" t="s">
        <v>419</v>
      </c>
      <c r="F3785" s="2">
        <v>29.0</v>
      </c>
      <c r="G3785" s="2">
        <v>45.0</v>
      </c>
      <c r="H3785" s="2">
        <v>29.0</v>
      </c>
      <c r="I3785" s="2">
        <v>16.0</v>
      </c>
      <c r="J3785" s="2">
        <v>0.0</v>
      </c>
      <c r="K3785" s="2">
        <v>0.0</v>
      </c>
      <c r="L3785" s="2">
        <v>0.0</v>
      </c>
      <c r="M3785" s="2">
        <v>0.0</v>
      </c>
      <c r="N3785" s="2"/>
      <c r="O3785" s="2"/>
      <c r="P3785" s="2" t="s">
        <v>111</v>
      </c>
    </row>
    <row r="3786">
      <c r="A3786" s="3" t="s">
        <v>104</v>
      </c>
      <c r="B3786" s="2" t="s">
        <v>17</v>
      </c>
      <c r="C3786" s="2" t="s">
        <v>18</v>
      </c>
      <c r="D3786" s="2" t="s">
        <v>23</v>
      </c>
      <c r="E3786" s="2" t="s">
        <v>419</v>
      </c>
      <c r="F3786" s="2">
        <v>35.0</v>
      </c>
      <c r="G3786" s="2">
        <v>64.0</v>
      </c>
      <c r="H3786" s="2">
        <v>36.0</v>
      </c>
      <c r="I3786" s="2">
        <v>28.0</v>
      </c>
      <c r="J3786" s="2">
        <v>0.0</v>
      </c>
      <c r="K3786" s="2">
        <v>0.0</v>
      </c>
      <c r="L3786" s="2">
        <v>0.0</v>
      </c>
      <c r="M3786" s="2">
        <v>-1.0</v>
      </c>
      <c r="N3786" s="2">
        <v>-4.0</v>
      </c>
      <c r="O3786" s="2">
        <v>-34.0</v>
      </c>
      <c r="P3786" s="2" t="s">
        <v>111</v>
      </c>
    </row>
    <row r="3787">
      <c r="A3787" s="3" t="s">
        <v>105</v>
      </c>
      <c r="B3787" s="4">
        <v>45201.29166666667</v>
      </c>
      <c r="C3787" s="2" t="s">
        <v>18</v>
      </c>
      <c r="D3787" s="2" t="s">
        <v>19</v>
      </c>
      <c r="E3787" s="2" t="s">
        <v>419</v>
      </c>
      <c r="F3787" s="2"/>
      <c r="G3787" s="2">
        <v>6.0</v>
      </c>
      <c r="H3787" s="2">
        <v>3.0</v>
      </c>
      <c r="I3787" s="2">
        <v>3.0</v>
      </c>
      <c r="J3787" s="2">
        <v>0.0</v>
      </c>
      <c r="K3787" s="2">
        <v>0.0</v>
      </c>
      <c r="L3787" s="2">
        <v>0.0</v>
      </c>
      <c r="M3787" s="2"/>
      <c r="N3787" s="2"/>
      <c r="O3787" s="2"/>
      <c r="P3787" s="2" t="s">
        <v>111</v>
      </c>
    </row>
    <row r="3788">
      <c r="A3788" s="3" t="s">
        <v>106</v>
      </c>
      <c r="B3788" s="4">
        <v>45202.29166666667</v>
      </c>
      <c r="C3788" s="2" t="s">
        <v>18</v>
      </c>
      <c r="D3788" s="2" t="s">
        <v>33</v>
      </c>
      <c r="E3788" s="2" t="s">
        <v>419</v>
      </c>
      <c r="F3788" s="2"/>
      <c r="G3788" s="2">
        <v>11.0</v>
      </c>
      <c r="H3788" s="2">
        <v>8.0</v>
      </c>
      <c r="I3788" s="2">
        <v>3.0</v>
      </c>
      <c r="J3788" s="2">
        <v>0.0</v>
      </c>
      <c r="K3788" s="2">
        <v>0.0</v>
      </c>
      <c r="L3788" s="2">
        <v>0.0</v>
      </c>
      <c r="M3788" s="2"/>
      <c r="N3788" s="2"/>
      <c r="O3788" s="2"/>
      <c r="P3788" s="2" t="s">
        <v>111</v>
      </c>
    </row>
    <row r="3789">
      <c r="A3789" s="3" t="s">
        <v>107</v>
      </c>
      <c r="B3789" s="4">
        <v>45232.25</v>
      </c>
      <c r="C3789" s="2" t="s">
        <v>18</v>
      </c>
      <c r="D3789" s="2" t="s">
        <v>19</v>
      </c>
      <c r="E3789" s="2" t="s">
        <v>419</v>
      </c>
      <c r="F3789" s="2"/>
      <c r="G3789" s="2">
        <v>5.0</v>
      </c>
      <c r="H3789" s="2">
        <v>3.0</v>
      </c>
      <c r="I3789" s="2">
        <v>2.0</v>
      </c>
      <c r="J3789" s="2">
        <v>0.0</v>
      </c>
      <c r="K3789" s="2">
        <v>0.0</v>
      </c>
      <c r="L3789" s="2">
        <v>0.0</v>
      </c>
      <c r="M3789" s="2"/>
      <c r="N3789" s="2"/>
      <c r="O3789" s="2"/>
      <c r="P3789" s="2" t="s">
        <v>111</v>
      </c>
    </row>
    <row r="3790">
      <c r="A3790" s="3" t="s">
        <v>108</v>
      </c>
      <c r="B3790" s="4">
        <v>45233.25</v>
      </c>
      <c r="C3790" s="2" t="s">
        <v>18</v>
      </c>
      <c r="D3790" s="2" t="s">
        <v>33</v>
      </c>
      <c r="E3790" s="2" t="s">
        <v>419</v>
      </c>
      <c r="F3790" s="2"/>
      <c r="G3790" s="2">
        <v>11.0</v>
      </c>
      <c r="H3790" s="2">
        <v>10.0</v>
      </c>
      <c r="I3790" s="2">
        <v>1.0</v>
      </c>
      <c r="J3790" s="2">
        <v>0.0</v>
      </c>
      <c r="K3790" s="2">
        <v>0.0</v>
      </c>
      <c r="L3790" s="2">
        <v>0.0</v>
      </c>
      <c r="M3790" s="2"/>
      <c r="N3790" s="2"/>
      <c r="O3790" s="2"/>
      <c r="P3790" s="2" t="s">
        <v>111</v>
      </c>
    </row>
    <row r="3791">
      <c r="A3791" s="3" t="s">
        <v>112</v>
      </c>
      <c r="B3791" s="4">
        <v>45262.29166666667</v>
      </c>
      <c r="C3791" s="2" t="s">
        <v>18</v>
      </c>
      <c r="D3791" s="2" t="s">
        <v>19</v>
      </c>
      <c r="E3791" s="2" t="s">
        <v>419</v>
      </c>
      <c r="F3791" s="2"/>
      <c r="G3791" s="2">
        <v>2.0</v>
      </c>
      <c r="H3791" s="2">
        <v>0.0</v>
      </c>
      <c r="I3791" s="2">
        <v>2.0</v>
      </c>
      <c r="J3791" s="2">
        <v>0.0</v>
      </c>
      <c r="K3791" s="2">
        <v>0.0</v>
      </c>
      <c r="L3791" s="2">
        <v>0.0</v>
      </c>
      <c r="M3791" s="2"/>
      <c r="N3791" s="2"/>
      <c r="O3791" s="2"/>
      <c r="P3791" s="2" t="s">
        <v>111</v>
      </c>
    </row>
    <row r="3792">
      <c r="A3792" s="3" t="s">
        <v>115</v>
      </c>
      <c r="B3792" s="4">
        <v>45263.29166666667</v>
      </c>
      <c r="C3792" s="2" t="s">
        <v>18</v>
      </c>
      <c r="D3792" s="2" t="s">
        <v>33</v>
      </c>
      <c r="E3792" s="2" t="s">
        <v>419</v>
      </c>
      <c r="F3792" s="2"/>
      <c r="G3792" s="2">
        <v>19.0</v>
      </c>
      <c r="H3792" s="2">
        <v>8.0</v>
      </c>
      <c r="I3792" s="2">
        <v>11.0</v>
      </c>
      <c r="J3792" s="2">
        <v>0.0</v>
      </c>
      <c r="K3792" s="2">
        <v>0.0</v>
      </c>
      <c r="L3792" s="2">
        <v>0.0</v>
      </c>
      <c r="M3792" s="2"/>
      <c r="N3792" s="2"/>
      <c r="O3792" s="2"/>
      <c r="P3792" s="2" t="s">
        <v>111</v>
      </c>
    </row>
    <row r="3793">
      <c r="A3793" s="3" t="s">
        <v>117</v>
      </c>
      <c r="B3793" s="4">
        <v>45293.29166666667</v>
      </c>
      <c r="C3793" s="2" t="s">
        <v>18</v>
      </c>
      <c r="D3793" s="2" t="s">
        <v>19</v>
      </c>
      <c r="E3793" s="2" t="s">
        <v>419</v>
      </c>
      <c r="F3793" s="2"/>
      <c r="G3793" s="2">
        <v>6.0</v>
      </c>
      <c r="H3793" s="2">
        <v>1.0</v>
      </c>
      <c r="I3793" s="2">
        <v>5.0</v>
      </c>
      <c r="J3793" s="2">
        <v>0.0</v>
      </c>
      <c r="K3793" s="2">
        <v>0.0</v>
      </c>
      <c r="L3793" s="2">
        <v>0.0</v>
      </c>
      <c r="M3793" s="2"/>
      <c r="N3793" s="2"/>
      <c r="O3793" s="2"/>
      <c r="P3793" s="2" t="s">
        <v>111</v>
      </c>
    </row>
    <row r="3794">
      <c r="A3794" s="3" t="s">
        <v>119</v>
      </c>
      <c r="B3794" s="4">
        <v>45293.29166666667</v>
      </c>
      <c r="C3794" s="2" t="s">
        <v>18</v>
      </c>
      <c r="D3794" s="2" t="s">
        <v>33</v>
      </c>
      <c r="E3794" s="2" t="s">
        <v>419</v>
      </c>
      <c r="F3794" s="2"/>
      <c r="G3794" s="2">
        <v>0.0</v>
      </c>
      <c r="H3794" s="2">
        <v>0.0</v>
      </c>
      <c r="I3794" s="2">
        <v>0.0</v>
      </c>
      <c r="J3794" s="2">
        <v>0.0</v>
      </c>
      <c r="K3794" s="2">
        <v>0.0</v>
      </c>
      <c r="L3794" s="2">
        <v>0.0</v>
      </c>
      <c r="M3794" s="2"/>
      <c r="N3794" s="2"/>
      <c r="O3794" s="2"/>
      <c r="P3794" s="2" t="s">
        <v>111</v>
      </c>
    </row>
    <row r="3795">
      <c r="A3795" s="3" t="s">
        <v>121</v>
      </c>
      <c r="B3795" s="2" t="s">
        <v>17</v>
      </c>
      <c r="C3795" s="2" t="s">
        <v>18</v>
      </c>
      <c r="D3795" s="2" t="s">
        <v>164</v>
      </c>
      <c r="E3795" s="2" t="s">
        <v>165</v>
      </c>
      <c r="F3795" s="2">
        <v>68.0</v>
      </c>
      <c r="G3795" s="2">
        <v>89.0</v>
      </c>
      <c r="H3795" s="2">
        <v>72.0</v>
      </c>
      <c r="I3795" s="2">
        <v>17.0</v>
      </c>
      <c r="J3795" s="2">
        <v>0.0</v>
      </c>
      <c r="K3795" s="2">
        <v>0.0</v>
      </c>
      <c r="L3795" s="2">
        <v>0.0</v>
      </c>
      <c r="M3795" s="2">
        <v>-4.0</v>
      </c>
      <c r="N3795" s="2"/>
      <c r="O3795" s="2"/>
      <c r="P3795" s="2" t="s">
        <v>166</v>
      </c>
    </row>
    <row r="3796">
      <c r="A3796" s="3" t="s">
        <v>16</v>
      </c>
      <c r="B3796" s="2" t="s">
        <v>17</v>
      </c>
      <c r="C3796" s="2" t="s">
        <v>18</v>
      </c>
      <c r="D3796" s="2" t="s">
        <v>23</v>
      </c>
      <c r="E3796" s="2" t="s">
        <v>165</v>
      </c>
      <c r="F3796" s="2">
        <v>68.0</v>
      </c>
      <c r="G3796" s="2">
        <v>89.0</v>
      </c>
      <c r="H3796" s="2">
        <v>72.0</v>
      </c>
      <c r="I3796" s="2">
        <v>17.0</v>
      </c>
      <c r="J3796" s="2">
        <v>0.0</v>
      </c>
      <c r="K3796" s="2">
        <v>0.0</v>
      </c>
      <c r="L3796" s="2">
        <v>0.0</v>
      </c>
      <c r="M3796" s="2">
        <v>-4.0</v>
      </c>
      <c r="N3796" s="2">
        <v>0.0</v>
      </c>
      <c r="O3796" s="2">
        <v>-76.0</v>
      </c>
      <c r="P3796" s="2" t="s">
        <v>166</v>
      </c>
    </row>
    <row r="3797">
      <c r="A3797" s="3" t="s">
        <v>124</v>
      </c>
      <c r="B3797" s="4">
        <v>45232.25</v>
      </c>
      <c r="C3797" s="2" t="s">
        <v>18</v>
      </c>
      <c r="D3797" s="2" t="s">
        <v>164</v>
      </c>
      <c r="E3797" s="2" t="s">
        <v>165</v>
      </c>
      <c r="F3797" s="2"/>
      <c r="G3797" s="2">
        <v>43.0</v>
      </c>
      <c r="H3797" s="2">
        <v>36.0</v>
      </c>
      <c r="I3797" s="2">
        <v>7.0</v>
      </c>
      <c r="J3797" s="2">
        <v>0.0</v>
      </c>
      <c r="K3797" s="2">
        <v>0.0</v>
      </c>
      <c r="L3797" s="2">
        <v>0.0</v>
      </c>
      <c r="M3797" s="2"/>
      <c r="N3797" s="2"/>
      <c r="O3797" s="2"/>
      <c r="P3797" s="2" t="s">
        <v>166</v>
      </c>
    </row>
    <row r="3798">
      <c r="A3798" s="3" t="s">
        <v>126</v>
      </c>
      <c r="B3798" s="4">
        <v>45261.29166666667</v>
      </c>
      <c r="C3798" s="2" t="s">
        <v>18</v>
      </c>
      <c r="D3798" s="2" t="s">
        <v>164</v>
      </c>
      <c r="E3798" s="2" t="s">
        <v>165</v>
      </c>
      <c r="F3798" s="2"/>
      <c r="G3798" s="2">
        <v>36.0</v>
      </c>
      <c r="H3798" s="2">
        <v>29.0</v>
      </c>
      <c r="I3798" s="2">
        <v>7.0</v>
      </c>
      <c r="J3798" s="2">
        <v>0.0</v>
      </c>
      <c r="K3798" s="2">
        <v>0.0</v>
      </c>
      <c r="L3798" s="2">
        <v>0.0</v>
      </c>
      <c r="M3798" s="2"/>
      <c r="N3798" s="2"/>
      <c r="O3798" s="2"/>
      <c r="P3798" s="2" t="s">
        <v>166</v>
      </c>
    </row>
    <row r="3799">
      <c r="A3799" s="3" t="s">
        <v>128</v>
      </c>
      <c r="B3799" s="4">
        <v>45292.29166666667</v>
      </c>
      <c r="C3799" s="2" t="s">
        <v>18</v>
      </c>
      <c r="D3799" s="2" t="s">
        <v>164</v>
      </c>
      <c r="E3799" s="2" t="s">
        <v>165</v>
      </c>
      <c r="F3799" s="2"/>
      <c r="G3799" s="2">
        <v>10.0</v>
      </c>
      <c r="H3799" s="2">
        <v>7.0</v>
      </c>
      <c r="I3799" s="2">
        <v>3.0</v>
      </c>
      <c r="J3799" s="2">
        <v>0.0</v>
      </c>
      <c r="K3799" s="2">
        <v>0.0</v>
      </c>
      <c r="L3799" s="2">
        <v>0.0</v>
      </c>
      <c r="M3799" s="2"/>
      <c r="N3799" s="2"/>
      <c r="O3799" s="2"/>
      <c r="P3799" s="2" t="s">
        <v>166</v>
      </c>
    </row>
    <row r="3800">
      <c r="A3800" s="3" t="s">
        <v>129</v>
      </c>
      <c r="B3800" s="2" t="s">
        <v>17</v>
      </c>
      <c r="C3800" s="2" t="s">
        <v>18</v>
      </c>
      <c r="D3800" s="2" t="s">
        <v>127</v>
      </c>
      <c r="E3800" s="2" t="s">
        <v>27</v>
      </c>
      <c r="F3800" s="2">
        <v>13.0</v>
      </c>
      <c r="G3800" s="2">
        <v>26.0</v>
      </c>
      <c r="H3800" s="2">
        <v>13.0</v>
      </c>
      <c r="I3800" s="2">
        <v>13.0</v>
      </c>
      <c r="J3800" s="2">
        <v>0.0</v>
      </c>
      <c r="K3800" s="2">
        <v>0.0</v>
      </c>
      <c r="L3800" s="2">
        <v>0.0</v>
      </c>
      <c r="M3800" s="2">
        <v>0.0</v>
      </c>
      <c r="N3800" s="2"/>
      <c r="O3800" s="2"/>
      <c r="P3800" s="2" t="s">
        <v>80</v>
      </c>
    </row>
    <row r="3801">
      <c r="A3801" s="3" t="s">
        <v>130</v>
      </c>
      <c r="B3801" s="2" t="s">
        <v>17</v>
      </c>
      <c r="C3801" s="2" t="s">
        <v>57</v>
      </c>
      <c r="D3801" s="2" t="s">
        <v>19</v>
      </c>
      <c r="E3801" s="2" t="s">
        <v>27</v>
      </c>
      <c r="F3801" s="2">
        <v>25.0</v>
      </c>
      <c r="G3801" s="2">
        <v>19.0</v>
      </c>
      <c r="H3801" s="2">
        <v>14.0</v>
      </c>
      <c r="I3801" s="2">
        <v>3.0</v>
      </c>
      <c r="J3801" s="2">
        <v>2.0</v>
      </c>
      <c r="K3801" s="2">
        <v>0.0</v>
      </c>
      <c r="L3801" s="2">
        <v>0.0</v>
      </c>
      <c r="M3801" s="2">
        <v>11.0</v>
      </c>
      <c r="N3801" s="2"/>
      <c r="O3801" s="2"/>
      <c r="P3801" s="2" t="s">
        <v>80</v>
      </c>
    </row>
    <row r="3802">
      <c r="A3802" s="3" t="s">
        <v>131</v>
      </c>
      <c r="B3802" s="2" t="s">
        <v>17</v>
      </c>
      <c r="C3802" s="2" t="s">
        <v>18</v>
      </c>
      <c r="D3802" s="2" t="s">
        <v>23</v>
      </c>
      <c r="E3802" s="2" t="s">
        <v>27</v>
      </c>
      <c r="F3802" s="2">
        <v>25.0</v>
      </c>
      <c r="G3802" s="2">
        <v>45.0</v>
      </c>
      <c r="H3802" s="2">
        <v>27.0</v>
      </c>
      <c r="I3802" s="2">
        <v>16.0</v>
      </c>
      <c r="J3802" s="2">
        <v>2.0</v>
      </c>
      <c r="K3802" s="2">
        <v>0.0</v>
      </c>
      <c r="L3802" s="2">
        <v>0.0</v>
      </c>
      <c r="M3802" s="2">
        <v>-2.0</v>
      </c>
      <c r="N3802" s="2">
        <v>-13.0</v>
      </c>
      <c r="O3802" s="2">
        <v>-29.0</v>
      </c>
      <c r="P3802" s="2" t="s">
        <v>80</v>
      </c>
    </row>
    <row r="3803">
      <c r="A3803" s="3" t="s">
        <v>132</v>
      </c>
      <c r="B3803" s="4">
        <v>45262.29166666667</v>
      </c>
      <c r="C3803" s="2" t="s">
        <v>18</v>
      </c>
      <c r="D3803" s="2" t="s">
        <v>19</v>
      </c>
      <c r="E3803" s="2" t="s">
        <v>27</v>
      </c>
      <c r="F3803" s="2"/>
      <c r="G3803" s="2">
        <v>18.0</v>
      </c>
      <c r="H3803" s="2">
        <v>13.0</v>
      </c>
      <c r="I3803" s="2">
        <v>3.0</v>
      </c>
      <c r="J3803" s="2">
        <v>2.0</v>
      </c>
      <c r="K3803" s="2">
        <v>0.0</v>
      </c>
      <c r="L3803" s="2">
        <v>0.0</v>
      </c>
      <c r="M3803" s="2"/>
      <c r="N3803" s="2"/>
      <c r="O3803" s="2"/>
      <c r="P3803" s="2" t="s">
        <v>80</v>
      </c>
    </row>
    <row r="3804">
      <c r="A3804" s="3" t="s">
        <v>133</v>
      </c>
      <c r="B3804" s="4">
        <v>45293.29166666667</v>
      </c>
      <c r="C3804" s="2" t="s">
        <v>18</v>
      </c>
      <c r="D3804" s="2" t="s">
        <v>127</v>
      </c>
      <c r="E3804" s="2" t="s">
        <v>27</v>
      </c>
      <c r="F3804" s="2"/>
      <c r="G3804" s="2">
        <v>26.0</v>
      </c>
      <c r="H3804" s="2">
        <v>13.0</v>
      </c>
      <c r="I3804" s="2">
        <v>13.0</v>
      </c>
      <c r="J3804" s="2">
        <v>0.0</v>
      </c>
      <c r="K3804" s="2">
        <v>0.0</v>
      </c>
      <c r="L3804" s="2">
        <v>0.0</v>
      </c>
      <c r="M3804" s="2"/>
      <c r="N3804" s="2"/>
      <c r="O3804" s="2"/>
      <c r="P3804" s="2" t="s">
        <v>80</v>
      </c>
    </row>
    <row r="3805">
      <c r="A3805" s="3" t="s">
        <v>134</v>
      </c>
      <c r="B3805" s="4">
        <v>45294.29166666667</v>
      </c>
      <c r="C3805" s="2" t="s">
        <v>18</v>
      </c>
      <c r="D3805" s="2" t="s">
        <v>19</v>
      </c>
      <c r="E3805" s="2" t="s">
        <v>27</v>
      </c>
      <c r="F3805" s="2"/>
      <c r="G3805" s="2">
        <v>1.0</v>
      </c>
      <c r="H3805" s="2">
        <v>1.0</v>
      </c>
      <c r="I3805" s="2">
        <v>0.0</v>
      </c>
      <c r="J3805" s="2">
        <v>0.0</v>
      </c>
      <c r="K3805" s="2">
        <v>0.0</v>
      </c>
      <c r="L3805" s="2">
        <v>0.0</v>
      </c>
      <c r="M3805" s="2"/>
      <c r="N3805" s="2"/>
      <c r="O3805" s="2"/>
      <c r="P3805" s="2" t="s">
        <v>80</v>
      </c>
    </row>
    <row r="3806">
      <c r="A3806" s="3" t="s">
        <v>136</v>
      </c>
      <c r="B3806" s="2" t="s">
        <v>17</v>
      </c>
      <c r="C3806" s="2" t="s">
        <v>18</v>
      </c>
      <c r="D3806" s="2" t="s">
        <v>79</v>
      </c>
      <c r="E3806" s="2" t="s">
        <v>165</v>
      </c>
      <c r="F3806" s="2">
        <v>360.0</v>
      </c>
      <c r="G3806" s="2">
        <v>85.0</v>
      </c>
      <c r="H3806" s="2">
        <v>71.0</v>
      </c>
      <c r="I3806" s="2">
        <v>14.0</v>
      </c>
      <c r="J3806" s="2">
        <v>0.0</v>
      </c>
      <c r="K3806" s="2">
        <v>0.0</v>
      </c>
      <c r="L3806" s="2">
        <v>24.0</v>
      </c>
      <c r="M3806" s="2">
        <v>289.0</v>
      </c>
      <c r="N3806" s="2"/>
      <c r="O3806" s="2"/>
      <c r="P3806" s="2" t="s">
        <v>166</v>
      </c>
    </row>
    <row r="3807">
      <c r="A3807" s="3" t="s">
        <v>137</v>
      </c>
      <c r="B3807" s="2" t="s">
        <v>17</v>
      </c>
      <c r="C3807" s="2" t="s">
        <v>18</v>
      </c>
      <c r="D3807" s="2" t="s">
        <v>23</v>
      </c>
      <c r="E3807" s="2" t="s">
        <v>165</v>
      </c>
      <c r="F3807" s="2">
        <v>360.0</v>
      </c>
      <c r="G3807" s="2">
        <v>85.0</v>
      </c>
      <c r="H3807" s="2">
        <v>71.0</v>
      </c>
      <c r="I3807" s="2">
        <v>14.0</v>
      </c>
      <c r="J3807" s="2">
        <v>0.0</v>
      </c>
      <c r="K3807" s="2">
        <v>0.0</v>
      </c>
      <c r="L3807" s="2">
        <v>24.0</v>
      </c>
      <c r="M3807" s="2">
        <v>289.0</v>
      </c>
      <c r="N3807" s="2">
        <v>0.0</v>
      </c>
      <c r="O3807" s="2">
        <v>218.0</v>
      </c>
      <c r="P3807" s="2" t="s">
        <v>166</v>
      </c>
    </row>
    <row r="3808">
      <c r="A3808" s="3" t="s">
        <v>138</v>
      </c>
      <c r="B3808" s="4">
        <v>45262.29166666667</v>
      </c>
      <c r="C3808" s="2" t="s">
        <v>18</v>
      </c>
      <c r="D3808" s="2" t="s">
        <v>79</v>
      </c>
      <c r="E3808" s="2" t="s">
        <v>165</v>
      </c>
      <c r="F3808" s="2"/>
      <c r="G3808" s="2">
        <v>85.0</v>
      </c>
      <c r="H3808" s="2">
        <v>71.0</v>
      </c>
      <c r="I3808" s="2">
        <v>14.0</v>
      </c>
      <c r="J3808" s="2">
        <v>0.0</v>
      </c>
      <c r="K3808" s="2">
        <v>0.0</v>
      </c>
      <c r="L3808" s="2">
        <v>24.0</v>
      </c>
      <c r="M3808" s="2"/>
      <c r="N3808" s="2"/>
      <c r="O3808" s="2"/>
      <c r="P3808" s="2" t="s">
        <v>166</v>
      </c>
    </row>
    <row r="3809">
      <c r="A3809" s="3" t="s">
        <v>139</v>
      </c>
      <c r="B3809" s="2" t="s">
        <v>17</v>
      </c>
      <c r="C3809" s="2" t="s">
        <v>18</v>
      </c>
      <c r="D3809" s="2" t="s">
        <v>19</v>
      </c>
      <c r="E3809" s="2" t="s">
        <v>420</v>
      </c>
      <c r="F3809" s="2">
        <v>8.0</v>
      </c>
      <c r="G3809" s="2">
        <v>9.0</v>
      </c>
      <c r="H3809" s="2">
        <v>8.0</v>
      </c>
      <c r="I3809" s="2">
        <v>1.0</v>
      </c>
      <c r="J3809" s="2">
        <v>0.0</v>
      </c>
      <c r="K3809" s="2">
        <v>0.0</v>
      </c>
      <c r="L3809" s="2">
        <v>0.0</v>
      </c>
      <c r="M3809" s="2">
        <v>0.0</v>
      </c>
      <c r="N3809" s="2"/>
      <c r="O3809" s="2"/>
      <c r="P3809" s="2" t="s">
        <v>92</v>
      </c>
    </row>
    <row r="3810">
      <c r="A3810" s="3" t="s">
        <v>140</v>
      </c>
      <c r="B3810" s="2" t="s">
        <v>17</v>
      </c>
      <c r="C3810" s="2" t="s">
        <v>18</v>
      </c>
      <c r="D3810" s="2" t="s">
        <v>19</v>
      </c>
      <c r="E3810" s="2" t="s">
        <v>421</v>
      </c>
      <c r="F3810" s="2">
        <v>7.0</v>
      </c>
      <c r="G3810" s="2">
        <v>13.0</v>
      </c>
      <c r="H3810" s="2">
        <v>7.0</v>
      </c>
      <c r="I3810" s="2">
        <v>6.0</v>
      </c>
      <c r="J3810" s="2">
        <v>0.0</v>
      </c>
      <c r="K3810" s="2">
        <v>0.0</v>
      </c>
      <c r="L3810" s="2">
        <v>0.0</v>
      </c>
      <c r="M3810" s="2">
        <v>0.0</v>
      </c>
      <c r="N3810" s="2"/>
      <c r="O3810" s="2"/>
      <c r="P3810" s="2" t="s">
        <v>92</v>
      </c>
    </row>
    <row r="3811">
      <c r="A3811" s="3" t="s">
        <v>141</v>
      </c>
      <c r="B3811" s="2" t="s">
        <v>17</v>
      </c>
      <c r="C3811" s="2" t="s">
        <v>18</v>
      </c>
      <c r="D3811" s="2" t="s">
        <v>19</v>
      </c>
      <c r="E3811" s="2" t="s">
        <v>422</v>
      </c>
      <c r="F3811" s="2">
        <v>2.0</v>
      </c>
      <c r="G3811" s="2">
        <v>4.0</v>
      </c>
      <c r="H3811" s="2">
        <v>3.0</v>
      </c>
      <c r="I3811" s="2">
        <v>1.0</v>
      </c>
      <c r="J3811" s="2">
        <v>0.0</v>
      </c>
      <c r="K3811" s="2">
        <v>0.0</v>
      </c>
      <c r="L3811" s="2">
        <v>0.0</v>
      </c>
      <c r="M3811" s="2">
        <v>-1.0</v>
      </c>
      <c r="N3811" s="2"/>
      <c r="O3811" s="2"/>
      <c r="P3811" s="2" t="s">
        <v>92</v>
      </c>
    </row>
    <row r="3812">
      <c r="A3812" s="3" t="s">
        <v>142</v>
      </c>
      <c r="B3812" s="2" t="s">
        <v>17</v>
      </c>
      <c r="C3812" s="2" t="s">
        <v>18</v>
      </c>
      <c r="D3812" s="2" t="s">
        <v>19</v>
      </c>
      <c r="E3812" s="2" t="s">
        <v>423</v>
      </c>
      <c r="F3812" s="2">
        <v>9.0</v>
      </c>
      <c r="G3812" s="2">
        <v>11.0</v>
      </c>
      <c r="H3812" s="2">
        <v>7.0</v>
      </c>
      <c r="I3812" s="2">
        <v>4.0</v>
      </c>
      <c r="J3812" s="2">
        <v>0.0</v>
      </c>
      <c r="K3812" s="2">
        <v>0.0</v>
      </c>
      <c r="L3812" s="2">
        <v>0.0</v>
      </c>
      <c r="M3812" s="2">
        <v>2.0</v>
      </c>
      <c r="N3812" s="2"/>
      <c r="O3812" s="2"/>
      <c r="P3812" s="2" t="s">
        <v>92</v>
      </c>
    </row>
    <row r="3813">
      <c r="A3813" s="3" t="s">
        <v>143</v>
      </c>
      <c r="B3813" s="2" t="s">
        <v>17</v>
      </c>
      <c r="C3813" s="2" t="s">
        <v>18</v>
      </c>
      <c r="D3813" s="2" t="s">
        <v>19</v>
      </c>
      <c r="E3813" s="2" t="s">
        <v>424</v>
      </c>
      <c r="F3813" s="2">
        <v>3.0</v>
      </c>
      <c r="G3813" s="2">
        <v>3.0</v>
      </c>
      <c r="H3813" s="2">
        <v>3.0</v>
      </c>
      <c r="I3813" s="2">
        <v>0.0</v>
      </c>
      <c r="J3813" s="2">
        <v>0.0</v>
      </c>
      <c r="K3813" s="2">
        <v>0.0</v>
      </c>
      <c r="L3813" s="2">
        <v>0.0</v>
      </c>
      <c r="M3813" s="2">
        <v>0.0</v>
      </c>
      <c r="N3813" s="2"/>
      <c r="O3813" s="2"/>
      <c r="P3813" s="2" t="s">
        <v>92</v>
      </c>
    </row>
    <row r="3814">
      <c r="A3814" s="3" t="s">
        <v>144</v>
      </c>
      <c r="B3814" s="2" t="s">
        <v>17</v>
      </c>
      <c r="C3814" s="2" t="s">
        <v>18</v>
      </c>
      <c r="D3814" s="2" t="s">
        <v>19</v>
      </c>
      <c r="E3814" s="2" t="s">
        <v>425</v>
      </c>
      <c r="F3814" s="2">
        <v>6.0</v>
      </c>
      <c r="G3814" s="2">
        <v>6.0</v>
      </c>
      <c r="H3814" s="2">
        <v>6.0</v>
      </c>
      <c r="I3814" s="2">
        <v>0.0</v>
      </c>
      <c r="J3814" s="2">
        <v>0.0</v>
      </c>
      <c r="K3814" s="2">
        <v>0.0</v>
      </c>
      <c r="L3814" s="2">
        <v>0.0</v>
      </c>
      <c r="M3814" s="2">
        <v>0.0</v>
      </c>
      <c r="N3814" s="2"/>
      <c r="O3814" s="2"/>
      <c r="P3814" s="2" t="s">
        <v>92</v>
      </c>
    </row>
    <row r="3815">
      <c r="A3815" s="3" t="s">
        <v>145</v>
      </c>
      <c r="B3815" s="2" t="s">
        <v>17</v>
      </c>
      <c r="C3815" s="2" t="s">
        <v>18</v>
      </c>
      <c r="D3815" s="2" t="s">
        <v>19</v>
      </c>
      <c r="E3815" s="2" t="s">
        <v>426</v>
      </c>
      <c r="F3815" s="2">
        <v>3.0</v>
      </c>
      <c r="G3815" s="2">
        <v>3.0</v>
      </c>
      <c r="H3815" s="2">
        <v>3.0</v>
      </c>
      <c r="I3815" s="2">
        <v>0.0</v>
      </c>
      <c r="J3815" s="2">
        <v>0.0</v>
      </c>
      <c r="K3815" s="2">
        <v>0.0</v>
      </c>
      <c r="L3815" s="2">
        <v>0.0</v>
      </c>
      <c r="M3815" s="2">
        <v>0.0</v>
      </c>
      <c r="N3815" s="2"/>
      <c r="O3815" s="2"/>
      <c r="P3815" s="2" t="s">
        <v>92</v>
      </c>
    </row>
    <row r="3816">
      <c r="A3816" s="3" t="s">
        <v>16</v>
      </c>
      <c r="B3816" s="2" t="s">
        <v>17</v>
      </c>
      <c r="C3816" s="2" t="s">
        <v>18</v>
      </c>
      <c r="D3816" s="2" t="s">
        <v>19</v>
      </c>
      <c r="E3816" s="2" t="s">
        <v>427</v>
      </c>
      <c r="F3816" s="2">
        <v>6.0</v>
      </c>
      <c r="G3816" s="2">
        <v>8.0</v>
      </c>
      <c r="H3816" s="2">
        <v>6.0</v>
      </c>
      <c r="I3816" s="2">
        <v>2.0</v>
      </c>
      <c r="J3816" s="2">
        <v>0.0</v>
      </c>
      <c r="K3816" s="2">
        <v>0.0</v>
      </c>
      <c r="L3816" s="2">
        <v>0.0</v>
      </c>
      <c r="M3816" s="2">
        <v>0.0</v>
      </c>
      <c r="N3816" s="2"/>
      <c r="O3816" s="2"/>
      <c r="P3816" s="2" t="s">
        <v>92</v>
      </c>
    </row>
    <row r="3817">
      <c r="A3817" s="3" t="s">
        <v>22</v>
      </c>
      <c r="B3817" s="2" t="s">
        <v>17</v>
      </c>
      <c r="C3817" s="2" t="s">
        <v>18</v>
      </c>
      <c r="D3817" s="2" t="s">
        <v>19</v>
      </c>
      <c r="E3817" s="2" t="s">
        <v>428</v>
      </c>
      <c r="F3817" s="2">
        <v>10.0</v>
      </c>
      <c r="G3817" s="2">
        <v>7.0</v>
      </c>
      <c r="H3817" s="2">
        <v>1.0</v>
      </c>
      <c r="I3817" s="2">
        <v>6.0</v>
      </c>
      <c r="J3817" s="2">
        <v>0.0</v>
      </c>
      <c r="K3817" s="2">
        <v>0.0</v>
      </c>
      <c r="L3817" s="2">
        <v>0.0</v>
      </c>
      <c r="M3817" s="2">
        <v>9.0</v>
      </c>
      <c r="N3817" s="2"/>
      <c r="O3817" s="2"/>
      <c r="P3817" s="2" t="s">
        <v>92</v>
      </c>
    </row>
    <row r="3818">
      <c r="A3818" s="3" t="s">
        <v>24</v>
      </c>
      <c r="B3818" s="2" t="s">
        <v>17</v>
      </c>
      <c r="C3818" s="2" t="s">
        <v>18</v>
      </c>
      <c r="D3818" s="2" t="s">
        <v>19</v>
      </c>
      <c r="E3818" s="2" t="s">
        <v>429</v>
      </c>
      <c r="F3818" s="2">
        <v>2.0</v>
      </c>
      <c r="G3818" s="2">
        <v>15.0</v>
      </c>
      <c r="H3818" s="2">
        <v>11.0</v>
      </c>
      <c r="I3818" s="2">
        <v>4.0</v>
      </c>
      <c r="J3818" s="2">
        <v>0.0</v>
      </c>
      <c r="K3818" s="2">
        <v>0.0</v>
      </c>
      <c r="L3818" s="2">
        <v>0.0</v>
      </c>
      <c r="M3818" s="2">
        <v>-9.0</v>
      </c>
      <c r="N3818" s="2"/>
      <c r="O3818" s="2"/>
      <c r="P3818" s="2" t="s">
        <v>92</v>
      </c>
    </row>
    <row r="3819">
      <c r="A3819" s="3" t="s">
        <v>25</v>
      </c>
      <c r="B3819" s="2" t="s">
        <v>17</v>
      </c>
      <c r="C3819" s="2" t="s">
        <v>57</v>
      </c>
      <c r="D3819" s="2" t="s">
        <v>23</v>
      </c>
      <c r="E3819" s="2" t="s">
        <v>420</v>
      </c>
      <c r="F3819" s="2">
        <v>8.0</v>
      </c>
      <c r="G3819" s="2">
        <v>9.0</v>
      </c>
      <c r="H3819" s="2">
        <v>8.0</v>
      </c>
      <c r="I3819" s="2">
        <v>1.0</v>
      </c>
      <c r="J3819" s="2">
        <v>0.0</v>
      </c>
      <c r="K3819" s="2">
        <v>0.0</v>
      </c>
      <c r="L3819" s="2">
        <v>0.0</v>
      </c>
      <c r="M3819" s="2">
        <v>0.0</v>
      </c>
      <c r="N3819" s="2">
        <v>0.0</v>
      </c>
      <c r="O3819" s="2">
        <v>-8.0</v>
      </c>
      <c r="P3819" s="2" t="s">
        <v>92</v>
      </c>
    </row>
    <row r="3820">
      <c r="A3820" s="3" t="s">
        <v>26</v>
      </c>
      <c r="B3820" s="2" t="s">
        <v>17</v>
      </c>
      <c r="C3820" s="2" t="s">
        <v>57</v>
      </c>
      <c r="D3820" s="2" t="s">
        <v>23</v>
      </c>
      <c r="E3820" s="2" t="s">
        <v>421</v>
      </c>
      <c r="F3820" s="2">
        <v>7.0</v>
      </c>
      <c r="G3820" s="2">
        <v>13.0</v>
      </c>
      <c r="H3820" s="2">
        <v>7.0</v>
      </c>
      <c r="I3820" s="2">
        <v>6.0</v>
      </c>
      <c r="J3820" s="2">
        <v>0.0</v>
      </c>
      <c r="K3820" s="2">
        <v>0.0</v>
      </c>
      <c r="L3820" s="2">
        <v>0.0</v>
      </c>
      <c r="M3820" s="2">
        <v>0.0</v>
      </c>
      <c r="N3820" s="2">
        <v>0.0</v>
      </c>
      <c r="O3820" s="2">
        <v>-7.0</v>
      </c>
      <c r="P3820" s="2" t="s">
        <v>92</v>
      </c>
    </row>
    <row r="3821">
      <c r="A3821" s="3" t="s">
        <v>28</v>
      </c>
      <c r="B3821" s="2" t="s">
        <v>17</v>
      </c>
      <c r="C3821" s="2" t="s">
        <v>57</v>
      </c>
      <c r="D3821" s="2" t="s">
        <v>23</v>
      </c>
      <c r="E3821" s="2" t="s">
        <v>422</v>
      </c>
      <c r="F3821" s="2">
        <v>2.0</v>
      </c>
      <c r="G3821" s="2">
        <v>4.0</v>
      </c>
      <c r="H3821" s="2">
        <v>3.0</v>
      </c>
      <c r="I3821" s="2">
        <v>1.0</v>
      </c>
      <c r="J3821" s="2">
        <v>0.0</v>
      </c>
      <c r="K3821" s="2">
        <v>0.0</v>
      </c>
      <c r="L3821" s="2">
        <v>0.0</v>
      </c>
      <c r="M3821" s="2">
        <v>-1.0</v>
      </c>
      <c r="N3821" s="2">
        <v>0.0</v>
      </c>
      <c r="O3821" s="2">
        <v>-4.0</v>
      </c>
      <c r="P3821" s="2" t="s">
        <v>92</v>
      </c>
    </row>
    <row r="3822">
      <c r="A3822" s="3" t="s">
        <v>29</v>
      </c>
      <c r="B3822" s="2" t="s">
        <v>17</v>
      </c>
      <c r="C3822" s="2" t="s">
        <v>18</v>
      </c>
      <c r="D3822" s="2" t="s">
        <v>23</v>
      </c>
      <c r="E3822" s="2" t="s">
        <v>423</v>
      </c>
      <c r="F3822" s="2">
        <v>9.0</v>
      </c>
      <c r="G3822" s="2">
        <v>11.0</v>
      </c>
      <c r="H3822" s="2">
        <v>7.0</v>
      </c>
      <c r="I3822" s="2">
        <v>4.0</v>
      </c>
      <c r="J3822" s="2">
        <v>0.0</v>
      </c>
      <c r="K3822" s="2">
        <v>0.0</v>
      </c>
      <c r="L3822" s="2">
        <v>0.0</v>
      </c>
      <c r="M3822" s="2">
        <v>2.0</v>
      </c>
      <c r="N3822" s="2">
        <v>0.0</v>
      </c>
      <c r="O3822" s="2">
        <v>-5.0</v>
      </c>
      <c r="P3822" s="2" t="s">
        <v>92</v>
      </c>
    </row>
    <row r="3823">
      <c r="A3823" s="3" t="s">
        <v>32</v>
      </c>
      <c r="B3823" s="2" t="s">
        <v>17</v>
      </c>
      <c r="C3823" s="2" t="s">
        <v>57</v>
      </c>
      <c r="D3823" s="2" t="s">
        <v>23</v>
      </c>
      <c r="E3823" s="2" t="s">
        <v>424</v>
      </c>
      <c r="F3823" s="2">
        <v>3.0</v>
      </c>
      <c r="G3823" s="2">
        <v>3.0</v>
      </c>
      <c r="H3823" s="2">
        <v>3.0</v>
      </c>
      <c r="I3823" s="2">
        <v>0.0</v>
      </c>
      <c r="J3823" s="2">
        <v>0.0</v>
      </c>
      <c r="K3823" s="2">
        <v>0.0</v>
      </c>
      <c r="L3823" s="2">
        <v>0.0</v>
      </c>
      <c r="M3823" s="2">
        <v>0.0</v>
      </c>
      <c r="N3823" s="2">
        <v>0.0</v>
      </c>
      <c r="O3823" s="2">
        <v>-3.0</v>
      </c>
      <c r="P3823" s="2" t="s">
        <v>92</v>
      </c>
    </row>
    <row r="3824">
      <c r="A3824" s="3" t="s">
        <v>34</v>
      </c>
      <c r="B3824" s="2" t="s">
        <v>17</v>
      </c>
      <c r="C3824" s="2" t="s">
        <v>57</v>
      </c>
      <c r="D3824" s="2" t="s">
        <v>23</v>
      </c>
      <c r="E3824" s="2" t="s">
        <v>425</v>
      </c>
      <c r="F3824" s="2">
        <v>6.0</v>
      </c>
      <c r="G3824" s="2">
        <v>6.0</v>
      </c>
      <c r="H3824" s="2">
        <v>6.0</v>
      </c>
      <c r="I3824" s="2">
        <v>0.0</v>
      </c>
      <c r="J3824" s="2">
        <v>0.0</v>
      </c>
      <c r="K3824" s="2">
        <v>0.0</v>
      </c>
      <c r="L3824" s="2">
        <v>0.0</v>
      </c>
      <c r="M3824" s="2">
        <v>0.0</v>
      </c>
      <c r="N3824" s="2">
        <v>0.0</v>
      </c>
      <c r="O3824" s="2">
        <v>-6.0</v>
      </c>
      <c r="P3824" s="2" t="s">
        <v>92</v>
      </c>
    </row>
    <row r="3825">
      <c r="A3825" s="3" t="s">
        <v>35</v>
      </c>
      <c r="B3825" s="2" t="s">
        <v>17</v>
      </c>
      <c r="C3825" s="2" t="s">
        <v>57</v>
      </c>
      <c r="D3825" s="2" t="s">
        <v>23</v>
      </c>
      <c r="E3825" s="2" t="s">
        <v>426</v>
      </c>
      <c r="F3825" s="2">
        <v>3.0</v>
      </c>
      <c r="G3825" s="2">
        <v>3.0</v>
      </c>
      <c r="H3825" s="2">
        <v>3.0</v>
      </c>
      <c r="I3825" s="2">
        <v>0.0</v>
      </c>
      <c r="J3825" s="2">
        <v>0.0</v>
      </c>
      <c r="K3825" s="2">
        <v>0.0</v>
      </c>
      <c r="L3825" s="2">
        <v>0.0</v>
      </c>
      <c r="M3825" s="2">
        <v>0.0</v>
      </c>
      <c r="N3825" s="2">
        <v>0.0</v>
      </c>
      <c r="O3825" s="2">
        <v>-3.0</v>
      </c>
      <c r="P3825" s="2" t="s">
        <v>92</v>
      </c>
    </row>
    <row r="3826">
      <c r="A3826" s="3" t="s">
        <v>36</v>
      </c>
      <c r="B3826" s="2" t="s">
        <v>17</v>
      </c>
      <c r="C3826" s="2" t="s">
        <v>57</v>
      </c>
      <c r="D3826" s="2" t="s">
        <v>23</v>
      </c>
      <c r="E3826" s="2" t="s">
        <v>427</v>
      </c>
      <c r="F3826" s="2">
        <v>6.0</v>
      </c>
      <c r="G3826" s="2">
        <v>8.0</v>
      </c>
      <c r="H3826" s="2">
        <v>6.0</v>
      </c>
      <c r="I3826" s="2">
        <v>2.0</v>
      </c>
      <c r="J3826" s="2">
        <v>0.0</v>
      </c>
      <c r="K3826" s="2">
        <v>0.0</v>
      </c>
      <c r="L3826" s="2">
        <v>0.0</v>
      </c>
      <c r="M3826" s="2">
        <v>0.0</v>
      </c>
      <c r="N3826" s="2">
        <v>0.0</v>
      </c>
      <c r="O3826" s="2">
        <v>-6.0</v>
      </c>
      <c r="P3826" s="2" t="s">
        <v>92</v>
      </c>
    </row>
    <row r="3827">
      <c r="A3827" s="3" t="s">
        <v>37</v>
      </c>
      <c r="B3827" s="2" t="s">
        <v>17</v>
      </c>
      <c r="C3827" s="2" t="s">
        <v>57</v>
      </c>
      <c r="D3827" s="2" t="s">
        <v>23</v>
      </c>
      <c r="E3827" s="2" t="s">
        <v>429</v>
      </c>
      <c r="F3827" s="2">
        <v>10.0</v>
      </c>
      <c r="G3827" s="2">
        <v>15.0</v>
      </c>
      <c r="H3827" s="2">
        <v>11.0</v>
      </c>
      <c r="I3827" s="2">
        <v>4.0</v>
      </c>
      <c r="J3827" s="2">
        <v>0.0</v>
      </c>
      <c r="K3827" s="2">
        <v>0.0</v>
      </c>
      <c r="L3827" s="2">
        <v>0.0</v>
      </c>
      <c r="M3827" s="2">
        <v>-1.0</v>
      </c>
      <c r="N3827" s="2">
        <v>8.0</v>
      </c>
      <c r="O3827" s="2">
        <v>-12.0</v>
      </c>
      <c r="P3827" s="2" t="s">
        <v>92</v>
      </c>
    </row>
    <row r="3828">
      <c r="A3828" s="3" t="s">
        <v>38</v>
      </c>
      <c r="B3828" s="2" t="s">
        <v>17</v>
      </c>
      <c r="C3828" s="2" t="s">
        <v>18</v>
      </c>
      <c r="D3828" s="2" t="s">
        <v>23</v>
      </c>
      <c r="E3828" s="2" t="s">
        <v>428</v>
      </c>
      <c r="F3828" s="2">
        <v>2.0</v>
      </c>
      <c r="G3828" s="2">
        <v>7.0</v>
      </c>
      <c r="H3828" s="2">
        <v>1.0</v>
      </c>
      <c r="I3828" s="2">
        <v>6.0</v>
      </c>
      <c r="J3828" s="2">
        <v>0.0</v>
      </c>
      <c r="K3828" s="2">
        <v>0.0</v>
      </c>
      <c r="L3828" s="2">
        <v>0.0</v>
      </c>
      <c r="M3828" s="2">
        <v>1.0</v>
      </c>
      <c r="N3828" s="2">
        <v>-8.0</v>
      </c>
      <c r="O3828" s="2">
        <v>0.0</v>
      </c>
      <c r="P3828" s="2" t="s">
        <v>92</v>
      </c>
    </row>
    <row r="3829">
      <c r="A3829" s="3" t="s">
        <v>39</v>
      </c>
      <c r="B3829" s="4">
        <v>45231.25</v>
      </c>
      <c r="C3829" s="2" t="s">
        <v>18</v>
      </c>
      <c r="D3829" s="2" t="s">
        <v>19</v>
      </c>
      <c r="E3829" s="2" t="s">
        <v>420</v>
      </c>
      <c r="F3829" s="2"/>
      <c r="G3829" s="2">
        <v>9.0</v>
      </c>
      <c r="H3829" s="2">
        <v>8.0</v>
      </c>
      <c r="I3829" s="2">
        <v>1.0</v>
      </c>
      <c r="J3829" s="2">
        <v>0.0</v>
      </c>
      <c r="K3829" s="2">
        <v>0.0</v>
      </c>
      <c r="L3829" s="2">
        <v>0.0</v>
      </c>
      <c r="M3829" s="2"/>
      <c r="N3829" s="2"/>
      <c r="O3829" s="2"/>
      <c r="P3829" s="2" t="s">
        <v>92</v>
      </c>
    </row>
    <row r="3830">
      <c r="A3830" s="3" t="s">
        <v>40</v>
      </c>
      <c r="B3830" s="4">
        <v>45232.25</v>
      </c>
      <c r="C3830" s="2" t="s">
        <v>18</v>
      </c>
      <c r="D3830" s="2" t="s">
        <v>19</v>
      </c>
      <c r="E3830" s="2" t="s">
        <v>421</v>
      </c>
      <c r="F3830" s="2"/>
      <c r="G3830" s="2">
        <v>13.0</v>
      </c>
      <c r="H3830" s="2">
        <v>7.0</v>
      </c>
      <c r="I3830" s="2">
        <v>6.0</v>
      </c>
      <c r="J3830" s="2">
        <v>0.0</v>
      </c>
      <c r="K3830" s="2">
        <v>0.0</v>
      </c>
      <c r="L3830" s="2">
        <v>0.0</v>
      </c>
      <c r="M3830" s="2"/>
      <c r="N3830" s="2"/>
      <c r="O3830" s="2"/>
      <c r="P3830" s="2" t="s">
        <v>92</v>
      </c>
    </row>
    <row r="3831">
      <c r="A3831" s="3" t="s">
        <v>41</v>
      </c>
      <c r="B3831" s="4">
        <v>45233.25</v>
      </c>
      <c r="C3831" s="2" t="s">
        <v>18</v>
      </c>
      <c r="D3831" s="2" t="s">
        <v>19</v>
      </c>
      <c r="E3831" s="2" t="s">
        <v>422</v>
      </c>
      <c r="F3831" s="2"/>
      <c r="G3831" s="2">
        <v>4.0</v>
      </c>
      <c r="H3831" s="2">
        <v>3.0</v>
      </c>
      <c r="I3831" s="2">
        <v>1.0</v>
      </c>
      <c r="J3831" s="2">
        <v>0.0</v>
      </c>
      <c r="K3831" s="2">
        <v>0.0</v>
      </c>
      <c r="L3831" s="2">
        <v>0.0</v>
      </c>
      <c r="M3831" s="2"/>
      <c r="N3831" s="2"/>
      <c r="O3831" s="2"/>
      <c r="P3831" s="2" t="s">
        <v>92</v>
      </c>
    </row>
    <row r="3832">
      <c r="A3832" s="3" t="s">
        <v>42</v>
      </c>
      <c r="B3832" s="4">
        <v>45234.25</v>
      </c>
      <c r="C3832" s="2" t="s">
        <v>18</v>
      </c>
      <c r="D3832" s="2" t="s">
        <v>19</v>
      </c>
      <c r="E3832" s="2" t="s">
        <v>423</v>
      </c>
      <c r="F3832" s="2"/>
      <c r="G3832" s="2">
        <v>9.0</v>
      </c>
      <c r="H3832" s="2">
        <v>7.0</v>
      </c>
      <c r="I3832" s="2">
        <v>2.0</v>
      </c>
      <c r="J3832" s="2">
        <v>0.0</v>
      </c>
      <c r="K3832" s="2">
        <v>0.0</v>
      </c>
      <c r="L3832" s="2">
        <v>0.0</v>
      </c>
      <c r="M3832" s="2"/>
      <c r="N3832" s="2"/>
      <c r="O3832" s="2"/>
      <c r="P3832" s="2" t="s">
        <v>92</v>
      </c>
    </row>
    <row r="3833">
      <c r="A3833" s="3" t="s">
        <v>43</v>
      </c>
      <c r="B3833" s="4">
        <v>45235.25</v>
      </c>
      <c r="C3833" s="2" t="s">
        <v>18</v>
      </c>
      <c r="D3833" s="2" t="s">
        <v>19</v>
      </c>
      <c r="E3833" s="2" t="s">
        <v>424</v>
      </c>
      <c r="F3833" s="2"/>
      <c r="G3833" s="2">
        <v>3.0</v>
      </c>
      <c r="H3833" s="2">
        <v>3.0</v>
      </c>
      <c r="I3833" s="2">
        <v>0.0</v>
      </c>
      <c r="J3833" s="2">
        <v>0.0</v>
      </c>
      <c r="K3833" s="2">
        <v>0.0</v>
      </c>
      <c r="L3833" s="2">
        <v>0.0</v>
      </c>
      <c r="M3833" s="2"/>
      <c r="N3833" s="2"/>
      <c r="O3833" s="2"/>
      <c r="P3833" s="2" t="s">
        <v>92</v>
      </c>
    </row>
    <row r="3834">
      <c r="A3834" s="3" t="s">
        <v>44</v>
      </c>
      <c r="B3834" s="4">
        <v>45236.29166666667</v>
      </c>
      <c r="C3834" s="2" t="s">
        <v>18</v>
      </c>
      <c r="D3834" s="2" t="s">
        <v>19</v>
      </c>
      <c r="E3834" s="2" t="s">
        <v>425</v>
      </c>
      <c r="F3834" s="2"/>
      <c r="G3834" s="2">
        <v>6.0</v>
      </c>
      <c r="H3834" s="2">
        <v>6.0</v>
      </c>
      <c r="I3834" s="2">
        <v>0.0</v>
      </c>
      <c r="J3834" s="2">
        <v>0.0</v>
      </c>
      <c r="K3834" s="2">
        <v>0.0</v>
      </c>
      <c r="L3834" s="2">
        <v>0.0</v>
      </c>
      <c r="M3834" s="2"/>
      <c r="N3834" s="2"/>
      <c r="O3834" s="2"/>
      <c r="P3834" s="2" t="s">
        <v>92</v>
      </c>
    </row>
    <row r="3835">
      <c r="A3835" s="3" t="s">
        <v>45</v>
      </c>
      <c r="B3835" s="4">
        <v>45237.29166666667</v>
      </c>
      <c r="C3835" s="2" t="s">
        <v>18</v>
      </c>
      <c r="D3835" s="2" t="s">
        <v>19</v>
      </c>
      <c r="E3835" s="2" t="s">
        <v>426</v>
      </c>
      <c r="F3835" s="2"/>
      <c r="G3835" s="2">
        <v>3.0</v>
      </c>
      <c r="H3835" s="2">
        <v>3.0</v>
      </c>
      <c r="I3835" s="2">
        <v>0.0</v>
      </c>
      <c r="J3835" s="2">
        <v>0.0</v>
      </c>
      <c r="K3835" s="2">
        <v>0.0</v>
      </c>
      <c r="L3835" s="2">
        <v>0.0</v>
      </c>
      <c r="M3835" s="2"/>
      <c r="N3835" s="2"/>
      <c r="O3835" s="2"/>
      <c r="P3835" s="2" t="s">
        <v>92</v>
      </c>
    </row>
    <row r="3836">
      <c r="A3836" s="3" t="s">
        <v>16</v>
      </c>
      <c r="B3836" s="4">
        <v>45238.29166666667</v>
      </c>
      <c r="C3836" s="2" t="s">
        <v>18</v>
      </c>
      <c r="D3836" s="2" t="s">
        <v>19</v>
      </c>
      <c r="E3836" s="2" t="s">
        <v>427</v>
      </c>
      <c r="F3836" s="2"/>
      <c r="G3836" s="2">
        <v>8.0</v>
      </c>
      <c r="H3836" s="2">
        <v>6.0</v>
      </c>
      <c r="I3836" s="2">
        <v>2.0</v>
      </c>
      <c r="J3836" s="2">
        <v>0.0</v>
      </c>
      <c r="K3836" s="2">
        <v>0.0</v>
      </c>
      <c r="L3836" s="2">
        <v>0.0</v>
      </c>
      <c r="M3836" s="2"/>
      <c r="N3836" s="2"/>
      <c r="O3836" s="2"/>
      <c r="P3836" s="2" t="s">
        <v>92</v>
      </c>
    </row>
    <row r="3837">
      <c r="A3837" s="3" t="s">
        <v>47</v>
      </c>
      <c r="B3837" s="4">
        <v>45239.29166666667</v>
      </c>
      <c r="C3837" s="2" t="s">
        <v>18</v>
      </c>
      <c r="D3837" s="2" t="s">
        <v>19</v>
      </c>
      <c r="E3837" s="2" t="s">
        <v>428</v>
      </c>
      <c r="F3837" s="2"/>
      <c r="G3837" s="2">
        <v>2.0</v>
      </c>
      <c r="H3837" s="2">
        <v>1.0</v>
      </c>
      <c r="I3837" s="2">
        <v>1.0</v>
      </c>
      <c r="J3837" s="2">
        <v>0.0</v>
      </c>
      <c r="K3837" s="2">
        <v>0.0</v>
      </c>
      <c r="L3837" s="2">
        <v>0.0</v>
      </c>
      <c r="M3837" s="2"/>
      <c r="N3837" s="2"/>
      <c r="O3837" s="2"/>
      <c r="P3837" s="2" t="s">
        <v>92</v>
      </c>
    </row>
    <row r="3838">
      <c r="A3838" s="3" t="s">
        <v>48</v>
      </c>
      <c r="B3838" s="4">
        <v>45239.29166666667</v>
      </c>
      <c r="C3838" s="2" t="s">
        <v>18</v>
      </c>
      <c r="D3838" s="2" t="s">
        <v>19</v>
      </c>
      <c r="E3838" s="2" t="s">
        <v>429</v>
      </c>
      <c r="F3838" s="2"/>
      <c r="G3838" s="2">
        <v>15.0</v>
      </c>
      <c r="H3838" s="2">
        <v>11.0</v>
      </c>
      <c r="I3838" s="2">
        <v>4.0</v>
      </c>
      <c r="J3838" s="2">
        <v>0.0</v>
      </c>
      <c r="K3838" s="2">
        <v>0.0</v>
      </c>
      <c r="L3838" s="2">
        <v>0.0</v>
      </c>
      <c r="M3838" s="2"/>
      <c r="N3838" s="2"/>
      <c r="O3838" s="2"/>
      <c r="P3838" s="2" t="s">
        <v>92</v>
      </c>
    </row>
    <row r="3839">
      <c r="A3839" s="3" t="s">
        <v>49</v>
      </c>
      <c r="B3839" s="2" t="s">
        <v>17</v>
      </c>
      <c r="C3839" s="2" t="s">
        <v>18</v>
      </c>
      <c r="D3839" s="2" t="s">
        <v>19</v>
      </c>
      <c r="E3839" s="2" t="s">
        <v>430</v>
      </c>
      <c r="F3839" s="2">
        <v>19.0</v>
      </c>
      <c r="G3839" s="2">
        <v>26.0</v>
      </c>
      <c r="H3839" s="2">
        <v>19.0</v>
      </c>
      <c r="I3839" s="2">
        <v>7.0</v>
      </c>
      <c r="J3839" s="2">
        <v>0.0</v>
      </c>
      <c r="K3839" s="2">
        <v>0.0</v>
      </c>
      <c r="L3839" s="2">
        <v>0.0</v>
      </c>
      <c r="M3839" s="2">
        <v>0.0</v>
      </c>
      <c r="N3839" s="2"/>
      <c r="O3839" s="2"/>
      <c r="P3839" s="2" t="s">
        <v>92</v>
      </c>
    </row>
    <row r="3840">
      <c r="A3840" s="3" t="s">
        <v>51</v>
      </c>
      <c r="B3840" s="2" t="s">
        <v>17</v>
      </c>
      <c r="C3840" s="2" t="s">
        <v>18</v>
      </c>
      <c r="D3840" s="2" t="s">
        <v>19</v>
      </c>
      <c r="E3840" s="2" t="s">
        <v>431</v>
      </c>
      <c r="F3840" s="2">
        <v>9.0</v>
      </c>
      <c r="G3840" s="2">
        <v>2.0</v>
      </c>
      <c r="H3840" s="2">
        <v>2.0</v>
      </c>
      <c r="I3840" s="2">
        <v>0.0</v>
      </c>
      <c r="J3840" s="2">
        <v>0.0</v>
      </c>
      <c r="K3840" s="2">
        <v>0.0</v>
      </c>
      <c r="L3840" s="2">
        <v>0.0</v>
      </c>
      <c r="M3840" s="2">
        <v>7.0</v>
      </c>
      <c r="N3840" s="2"/>
      <c r="O3840" s="2"/>
      <c r="P3840" s="2" t="s">
        <v>92</v>
      </c>
    </row>
    <row r="3841">
      <c r="A3841" s="3" t="s">
        <v>52</v>
      </c>
      <c r="B3841" s="2" t="s">
        <v>17</v>
      </c>
      <c r="C3841" s="2" t="s">
        <v>18</v>
      </c>
      <c r="D3841" s="2" t="s">
        <v>19</v>
      </c>
      <c r="E3841" s="2" t="s">
        <v>432</v>
      </c>
      <c r="F3841" s="2">
        <v>12.0</v>
      </c>
      <c r="G3841" s="2">
        <v>5.0</v>
      </c>
      <c r="H3841" s="2">
        <v>5.0</v>
      </c>
      <c r="I3841" s="2">
        <v>0.0</v>
      </c>
      <c r="J3841" s="2">
        <v>0.0</v>
      </c>
      <c r="K3841" s="2">
        <v>0.0</v>
      </c>
      <c r="L3841" s="2">
        <v>0.0</v>
      </c>
      <c r="M3841" s="2">
        <v>7.0</v>
      </c>
      <c r="N3841" s="2"/>
      <c r="O3841" s="2"/>
      <c r="P3841" s="2" t="s">
        <v>92</v>
      </c>
    </row>
    <row r="3842">
      <c r="A3842" s="3" t="s">
        <v>53</v>
      </c>
      <c r="B3842" s="2" t="s">
        <v>17</v>
      </c>
      <c r="C3842" s="2" t="s">
        <v>18</v>
      </c>
      <c r="D3842" s="2" t="s">
        <v>19</v>
      </c>
      <c r="E3842" s="2" t="s">
        <v>433</v>
      </c>
      <c r="F3842" s="2">
        <v>12.0</v>
      </c>
      <c r="G3842" s="2">
        <v>7.0</v>
      </c>
      <c r="H3842" s="2">
        <v>5.0</v>
      </c>
      <c r="I3842" s="2">
        <v>2.0</v>
      </c>
      <c r="J3842" s="2">
        <v>0.0</v>
      </c>
      <c r="K3842" s="2">
        <v>0.0</v>
      </c>
      <c r="L3842" s="2">
        <v>0.0</v>
      </c>
      <c r="M3842" s="2">
        <v>7.0</v>
      </c>
      <c r="N3842" s="2"/>
      <c r="O3842" s="2"/>
      <c r="P3842" s="2" t="s">
        <v>92</v>
      </c>
    </row>
    <row r="3843">
      <c r="A3843" s="3" t="s">
        <v>54</v>
      </c>
      <c r="B3843" s="2" t="s">
        <v>17</v>
      </c>
      <c r="C3843" s="2" t="s">
        <v>18</v>
      </c>
      <c r="D3843" s="2" t="s">
        <v>19</v>
      </c>
      <c r="E3843" s="2" t="s">
        <v>434</v>
      </c>
      <c r="F3843" s="2">
        <v>2.0</v>
      </c>
      <c r="G3843" s="2">
        <v>4.0</v>
      </c>
      <c r="H3843" s="2">
        <v>2.0</v>
      </c>
      <c r="I3843" s="2">
        <v>2.0</v>
      </c>
      <c r="J3843" s="2">
        <v>0.0</v>
      </c>
      <c r="K3843" s="2">
        <v>0.0</v>
      </c>
      <c r="L3843" s="2">
        <v>0.0</v>
      </c>
      <c r="M3843" s="2">
        <v>0.0</v>
      </c>
      <c r="N3843" s="2"/>
      <c r="O3843" s="2"/>
      <c r="P3843" s="2" t="s">
        <v>92</v>
      </c>
    </row>
    <row r="3844">
      <c r="A3844" s="3" t="s">
        <v>55</v>
      </c>
      <c r="B3844" s="2" t="s">
        <v>17</v>
      </c>
      <c r="C3844" s="2" t="s">
        <v>18</v>
      </c>
      <c r="D3844" s="2" t="s">
        <v>127</v>
      </c>
      <c r="E3844" s="2" t="s">
        <v>431</v>
      </c>
      <c r="F3844" s="2">
        <v>6.0</v>
      </c>
      <c r="G3844" s="2">
        <v>17.0</v>
      </c>
      <c r="H3844" s="2">
        <v>11.0</v>
      </c>
      <c r="I3844" s="2">
        <v>6.0</v>
      </c>
      <c r="J3844" s="2">
        <v>0.0</v>
      </c>
      <c r="K3844" s="2">
        <v>0.0</v>
      </c>
      <c r="L3844" s="2">
        <v>0.0</v>
      </c>
      <c r="M3844" s="2">
        <v>-5.0</v>
      </c>
      <c r="N3844" s="2"/>
      <c r="O3844" s="2"/>
      <c r="P3844" s="2" t="s">
        <v>92</v>
      </c>
    </row>
    <row r="3845">
      <c r="A3845" s="3" t="s">
        <v>56</v>
      </c>
      <c r="B3845" s="2" t="s">
        <v>17</v>
      </c>
      <c r="C3845" s="2" t="s">
        <v>18</v>
      </c>
      <c r="D3845" s="2" t="s">
        <v>127</v>
      </c>
      <c r="E3845" s="2" t="s">
        <v>432</v>
      </c>
      <c r="F3845" s="2">
        <v>10.0</v>
      </c>
      <c r="G3845" s="2">
        <v>11.0</v>
      </c>
      <c r="H3845" s="2">
        <v>7.0</v>
      </c>
      <c r="I3845" s="2">
        <v>4.0</v>
      </c>
      <c r="J3845" s="2">
        <v>0.0</v>
      </c>
      <c r="K3845" s="2">
        <v>0.0</v>
      </c>
      <c r="L3845" s="2">
        <v>0.0</v>
      </c>
      <c r="M3845" s="2">
        <v>3.0</v>
      </c>
      <c r="N3845" s="2"/>
      <c r="O3845" s="2"/>
      <c r="P3845" s="2" t="s">
        <v>92</v>
      </c>
    </row>
    <row r="3846">
      <c r="A3846" s="3" t="s">
        <v>59</v>
      </c>
      <c r="B3846" s="2" t="s">
        <v>17</v>
      </c>
      <c r="C3846" s="2" t="s">
        <v>18</v>
      </c>
      <c r="D3846" s="2" t="s">
        <v>127</v>
      </c>
      <c r="E3846" s="2" t="s">
        <v>433</v>
      </c>
      <c r="F3846" s="2">
        <v>10.0</v>
      </c>
      <c r="G3846" s="2">
        <v>16.0</v>
      </c>
      <c r="H3846" s="2">
        <v>12.0</v>
      </c>
      <c r="I3846" s="2">
        <v>4.0</v>
      </c>
      <c r="J3846" s="2">
        <v>0.0</v>
      </c>
      <c r="K3846" s="2">
        <v>0.0</v>
      </c>
      <c r="L3846" s="2">
        <v>0.0</v>
      </c>
      <c r="M3846" s="2">
        <v>-2.0</v>
      </c>
      <c r="N3846" s="2"/>
      <c r="O3846" s="2"/>
      <c r="P3846" s="2" t="s">
        <v>92</v>
      </c>
    </row>
    <row r="3847">
      <c r="A3847" s="3" t="s">
        <v>60</v>
      </c>
      <c r="B3847" s="2" t="s">
        <v>17</v>
      </c>
      <c r="C3847" s="2" t="s">
        <v>57</v>
      </c>
      <c r="D3847" s="2" t="s">
        <v>23</v>
      </c>
      <c r="E3847" s="2" t="s">
        <v>430</v>
      </c>
      <c r="F3847" s="2">
        <v>19.0</v>
      </c>
      <c r="G3847" s="2">
        <v>26.0</v>
      </c>
      <c r="H3847" s="2">
        <v>19.0</v>
      </c>
      <c r="I3847" s="2">
        <v>7.0</v>
      </c>
      <c r="J3847" s="2">
        <v>0.0</v>
      </c>
      <c r="K3847" s="2">
        <v>0.0</v>
      </c>
      <c r="L3847" s="2">
        <v>0.0</v>
      </c>
      <c r="M3847" s="2">
        <v>0.0</v>
      </c>
      <c r="N3847" s="2">
        <v>0.0</v>
      </c>
      <c r="O3847" s="2">
        <v>-19.0</v>
      </c>
      <c r="P3847" s="2" t="s">
        <v>92</v>
      </c>
    </row>
    <row r="3848">
      <c r="A3848" s="3" t="s">
        <v>61</v>
      </c>
      <c r="B3848" s="2" t="s">
        <v>17</v>
      </c>
      <c r="C3848" s="2" t="s">
        <v>18</v>
      </c>
      <c r="D3848" s="2" t="s">
        <v>23</v>
      </c>
      <c r="E3848" s="2" t="s">
        <v>431</v>
      </c>
      <c r="F3848" s="2">
        <v>9.0</v>
      </c>
      <c r="G3848" s="2">
        <v>19.0</v>
      </c>
      <c r="H3848" s="2">
        <v>13.0</v>
      </c>
      <c r="I3848" s="2">
        <v>6.0</v>
      </c>
      <c r="J3848" s="2">
        <v>0.0</v>
      </c>
      <c r="K3848" s="2">
        <v>0.0</v>
      </c>
      <c r="L3848" s="2">
        <v>0.0</v>
      </c>
      <c r="M3848" s="2">
        <v>-4.0</v>
      </c>
      <c r="N3848" s="2">
        <v>-6.0</v>
      </c>
      <c r="O3848" s="2">
        <v>-17.0</v>
      </c>
      <c r="P3848" s="2" t="s">
        <v>92</v>
      </c>
    </row>
    <row r="3849">
      <c r="A3849" s="3" t="s">
        <v>62</v>
      </c>
      <c r="B3849" s="2" t="s">
        <v>17</v>
      </c>
      <c r="C3849" s="2" t="s">
        <v>18</v>
      </c>
      <c r="D3849" s="2" t="s">
        <v>23</v>
      </c>
      <c r="E3849" s="2" t="s">
        <v>432</v>
      </c>
      <c r="F3849" s="2">
        <v>12.0</v>
      </c>
      <c r="G3849" s="2">
        <v>16.0</v>
      </c>
      <c r="H3849" s="2">
        <v>12.0</v>
      </c>
      <c r="I3849" s="2">
        <v>4.0</v>
      </c>
      <c r="J3849" s="2">
        <v>0.0</v>
      </c>
      <c r="K3849" s="2">
        <v>0.0</v>
      </c>
      <c r="L3849" s="2">
        <v>0.0</v>
      </c>
      <c r="M3849" s="2">
        <v>0.0</v>
      </c>
      <c r="N3849" s="2">
        <v>-10.0</v>
      </c>
      <c r="O3849" s="2">
        <v>-12.0</v>
      </c>
      <c r="P3849" s="2" t="s">
        <v>92</v>
      </c>
    </row>
    <row r="3850">
      <c r="A3850" s="3" t="s">
        <v>63</v>
      </c>
      <c r="B3850" s="2" t="s">
        <v>17</v>
      </c>
      <c r="C3850" s="2" t="s">
        <v>18</v>
      </c>
      <c r="D3850" s="2" t="s">
        <v>23</v>
      </c>
      <c r="E3850" s="2" t="s">
        <v>433</v>
      </c>
      <c r="F3850" s="2">
        <v>12.0</v>
      </c>
      <c r="G3850" s="2">
        <v>23.0</v>
      </c>
      <c r="H3850" s="2">
        <v>17.0</v>
      </c>
      <c r="I3850" s="2">
        <v>6.0</v>
      </c>
      <c r="J3850" s="2">
        <v>0.0</v>
      </c>
      <c r="K3850" s="2">
        <v>0.0</v>
      </c>
      <c r="L3850" s="2">
        <v>0.0</v>
      </c>
      <c r="M3850" s="2">
        <v>-5.0</v>
      </c>
      <c r="N3850" s="2">
        <v>-10.0</v>
      </c>
      <c r="O3850" s="2">
        <v>-22.0</v>
      </c>
      <c r="P3850" s="2" t="s">
        <v>92</v>
      </c>
    </row>
    <row r="3851">
      <c r="A3851" s="3" t="s">
        <v>64</v>
      </c>
      <c r="B3851" s="2" t="s">
        <v>17</v>
      </c>
      <c r="C3851" s="2" t="s">
        <v>18</v>
      </c>
      <c r="D3851" s="2" t="s">
        <v>23</v>
      </c>
      <c r="E3851" s="2" t="s">
        <v>434</v>
      </c>
      <c r="F3851" s="2">
        <v>2.0</v>
      </c>
      <c r="G3851" s="2">
        <v>4.0</v>
      </c>
      <c r="H3851" s="2">
        <v>2.0</v>
      </c>
      <c r="I3851" s="2">
        <v>2.0</v>
      </c>
      <c r="J3851" s="2">
        <v>0.0</v>
      </c>
      <c r="K3851" s="2">
        <v>0.0</v>
      </c>
      <c r="L3851" s="2">
        <v>0.0</v>
      </c>
      <c r="M3851" s="2">
        <v>0.0</v>
      </c>
      <c r="N3851" s="2">
        <v>0.0</v>
      </c>
      <c r="O3851" s="2">
        <v>-2.0</v>
      </c>
      <c r="P3851" s="2" t="s">
        <v>92</v>
      </c>
    </row>
    <row r="3852">
      <c r="A3852" s="3" t="s">
        <v>65</v>
      </c>
      <c r="B3852" s="4">
        <v>45200.29166666667</v>
      </c>
      <c r="C3852" s="2" t="s">
        <v>18</v>
      </c>
      <c r="D3852" s="2" t="s">
        <v>19</v>
      </c>
      <c r="E3852" s="2" t="s">
        <v>430</v>
      </c>
      <c r="F3852" s="2"/>
      <c r="G3852" s="2">
        <v>6.0</v>
      </c>
      <c r="H3852" s="2">
        <v>3.0</v>
      </c>
      <c r="I3852" s="2">
        <v>3.0</v>
      </c>
      <c r="J3852" s="2">
        <v>0.0</v>
      </c>
      <c r="K3852" s="2">
        <v>0.0</v>
      </c>
      <c r="L3852" s="2">
        <v>0.0</v>
      </c>
      <c r="M3852" s="2"/>
      <c r="N3852" s="2"/>
      <c r="O3852" s="2"/>
      <c r="P3852" s="2" t="s">
        <v>92</v>
      </c>
    </row>
    <row r="3853">
      <c r="A3853" s="3" t="s">
        <v>66</v>
      </c>
      <c r="B3853" s="4">
        <v>45200.29166666667</v>
      </c>
      <c r="C3853" s="2" t="s">
        <v>18</v>
      </c>
      <c r="D3853" s="2" t="s">
        <v>19</v>
      </c>
      <c r="E3853" s="2" t="s">
        <v>431</v>
      </c>
      <c r="F3853" s="2"/>
      <c r="G3853" s="2">
        <v>0.0</v>
      </c>
      <c r="H3853" s="2">
        <v>0.0</v>
      </c>
      <c r="I3853" s="2">
        <v>0.0</v>
      </c>
      <c r="J3853" s="2">
        <v>0.0</v>
      </c>
      <c r="K3853" s="2">
        <v>0.0</v>
      </c>
      <c r="L3853" s="2">
        <v>0.0</v>
      </c>
      <c r="M3853" s="2"/>
      <c r="N3853" s="2"/>
      <c r="O3853" s="2"/>
      <c r="P3853" s="2" t="s">
        <v>92</v>
      </c>
    </row>
    <row r="3854">
      <c r="A3854" s="3" t="s">
        <v>68</v>
      </c>
      <c r="B3854" s="4">
        <v>45200.29166666667</v>
      </c>
      <c r="C3854" s="2" t="s">
        <v>18</v>
      </c>
      <c r="D3854" s="2" t="s">
        <v>19</v>
      </c>
      <c r="E3854" s="2" t="s">
        <v>432</v>
      </c>
      <c r="F3854" s="2"/>
      <c r="G3854" s="2">
        <v>0.0</v>
      </c>
      <c r="H3854" s="2">
        <v>0.0</v>
      </c>
      <c r="I3854" s="2">
        <v>0.0</v>
      </c>
      <c r="J3854" s="2">
        <v>0.0</v>
      </c>
      <c r="K3854" s="2">
        <v>0.0</v>
      </c>
      <c r="L3854" s="2">
        <v>0.0</v>
      </c>
      <c r="M3854" s="2"/>
      <c r="N3854" s="2"/>
      <c r="O3854" s="2"/>
      <c r="P3854" s="2" t="s">
        <v>92</v>
      </c>
    </row>
    <row r="3855">
      <c r="A3855" s="3" t="s">
        <v>70</v>
      </c>
      <c r="B3855" s="4">
        <v>45200.29166666667</v>
      </c>
      <c r="C3855" s="2" t="s">
        <v>18</v>
      </c>
      <c r="D3855" s="2" t="s">
        <v>19</v>
      </c>
      <c r="E3855" s="2" t="s">
        <v>433</v>
      </c>
      <c r="F3855" s="2"/>
      <c r="G3855" s="2">
        <v>0.0</v>
      </c>
      <c r="H3855" s="2">
        <v>0.0</v>
      </c>
      <c r="I3855" s="2">
        <v>0.0</v>
      </c>
      <c r="J3855" s="2">
        <v>0.0</v>
      </c>
      <c r="K3855" s="2">
        <v>0.0</v>
      </c>
      <c r="L3855" s="2">
        <v>0.0</v>
      </c>
      <c r="M3855" s="2"/>
      <c r="N3855" s="2"/>
      <c r="O3855" s="2"/>
      <c r="P3855" s="2" t="s">
        <v>92</v>
      </c>
    </row>
    <row r="3856">
      <c r="A3856" s="3" t="s">
        <v>16</v>
      </c>
      <c r="B3856" s="4">
        <v>45200.29166666667</v>
      </c>
      <c r="C3856" s="2" t="s">
        <v>18</v>
      </c>
      <c r="D3856" s="2" t="s">
        <v>19</v>
      </c>
      <c r="E3856" s="2" t="s">
        <v>434</v>
      </c>
      <c r="F3856" s="2"/>
      <c r="G3856" s="2">
        <v>0.0</v>
      </c>
      <c r="H3856" s="2">
        <v>0.0</v>
      </c>
      <c r="I3856" s="2">
        <v>0.0</v>
      </c>
      <c r="J3856" s="2">
        <v>0.0</v>
      </c>
      <c r="K3856" s="2">
        <v>0.0</v>
      </c>
      <c r="L3856" s="2">
        <v>0.0</v>
      </c>
      <c r="M3856" s="2"/>
      <c r="N3856" s="2"/>
      <c r="O3856" s="2"/>
      <c r="P3856" s="2" t="s">
        <v>92</v>
      </c>
    </row>
    <row r="3857">
      <c r="A3857" s="3" t="s">
        <v>71</v>
      </c>
      <c r="B3857" s="4">
        <v>45231.25</v>
      </c>
      <c r="C3857" s="2" t="s">
        <v>18</v>
      </c>
      <c r="D3857" s="2" t="s">
        <v>19</v>
      </c>
      <c r="E3857" s="2" t="s">
        <v>430</v>
      </c>
      <c r="F3857" s="2"/>
      <c r="G3857" s="2">
        <v>20.0</v>
      </c>
      <c r="H3857" s="2">
        <v>16.0</v>
      </c>
      <c r="I3857" s="2">
        <v>4.0</v>
      </c>
      <c r="J3857" s="2">
        <v>0.0</v>
      </c>
      <c r="K3857" s="2">
        <v>0.0</v>
      </c>
      <c r="L3857" s="2">
        <v>0.0</v>
      </c>
      <c r="M3857" s="2"/>
      <c r="N3857" s="2"/>
      <c r="O3857" s="2"/>
      <c r="P3857" s="2" t="s">
        <v>92</v>
      </c>
    </row>
    <row r="3858">
      <c r="A3858" s="3" t="s">
        <v>72</v>
      </c>
      <c r="B3858" s="4">
        <v>45232.25</v>
      </c>
      <c r="C3858" s="2" t="s">
        <v>18</v>
      </c>
      <c r="D3858" s="2" t="s">
        <v>19</v>
      </c>
      <c r="E3858" s="2" t="s">
        <v>431</v>
      </c>
      <c r="F3858" s="2"/>
      <c r="G3858" s="2">
        <v>2.0</v>
      </c>
      <c r="H3858" s="2">
        <v>2.0</v>
      </c>
      <c r="I3858" s="2">
        <v>0.0</v>
      </c>
      <c r="J3858" s="2">
        <v>0.0</v>
      </c>
      <c r="K3858" s="2">
        <v>0.0</v>
      </c>
      <c r="L3858" s="2">
        <v>0.0</v>
      </c>
      <c r="M3858" s="2"/>
      <c r="N3858" s="2"/>
      <c r="O3858" s="2"/>
      <c r="P3858" s="2" t="s">
        <v>92</v>
      </c>
    </row>
    <row r="3859">
      <c r="A3859" s="3" t="s">
        <v>73</v>
      </c>
      <c r="B3859" s="4">
        <v>45233.25</v>
      </c>
      <c r="C3859" s="2" t="s">
        <v>18</v>
      </c>
      <c r="D3859" s="2" t="s">
        <v>19</v>
      </c>
      <c r="E3859" s="2" t="s">
        <v>432</v>
      </c>
      <c r="F3859" s="2"/>
      <c r="G3859" s="2">
        <v>5.0</v>
      </c>
      <c r="H3859" s="2">
        <v>5.0</v>
      </c>
      <c r="I3859" s="2">
        <v>0.0</v>
      </c>
      <c r="J3859" s="2">
        <v>0.0</v>
      </c>
      <c r="K3859" s="2">
        <v>0.0</v>
      </c>
      <c r="L3859" s="2">
        <v>0.0</v>
      </c>
      <c r="M3859" s="2"/>
      <c r="N3859" s="2"/>
      <c r="O3859" s="2"/>
      <c r="P3859" s="2" t="s">
        <v>92</v>
      </c>
    </row>
    <row r="3860">
      <c r="A3860" s="3" t="s">
        <v>74</v>
      </c>
      <c r="B3860" s="4">
        <v>45234.25</v>
      </c>
      <c r="C3860" s="2" t="s">
        <v>18</v>
      </c>
      <c r="D3860" s="2" t="s">
        <v>19</v>
      </c>
      <c r="E3860" s="2" t="s">
        <v>433</v>
      </c>
      <c r="F3860" s="2"/>
      <c r="G3860" s="2">
        <v>7.0</v>
      </c>
      <c r="H3860" s="2">
        <v>5.0</v>
      </c>
      <c r="I3860" s="2">
        <v>2.0</v>
      </c>
      <c r="J3860" s="2">
        <v>0.0</v>
      </c>
      <c r="K3860" s="2">
        <v>0.0</v>
      </c>
      <c r="L3860" s="2">
        <v>0.0</v>
      </c>
      <c r="M3860" s="2"/>
      <c r="N3860" s="2"/>
      <c r="O3860" s="2"/>
      <c r="P3860" s="2" t="s">
        <v>92</v>
      </c>
    </row>
    <row r="3861">
      <c r="A3861" s="3" t="s">
        <v>75</v>
      </c>
      <c r="B3861" s="4">
        <v>45235.25</v>
      </c>
      <c r="C3861" s="2" t="s">
        <v>18</v>
      </c>
      <c r="D3861" s="2" t="s">
        <v>19</v>
      </c>
      <c r="E3861" s="2" t="s">
        <v>434</v>
      </c>
      <c r="F3861" s="2"/>
      <c r="G3861" s="2">
        <v>4.0</v>
      </c>
      <c r="H3861" s="2">
        <v>2.0</v>
      </c>
      <c r="I3861" s="2">
        <v>2.0</v>
      </c>
      <c r="J3861" s="2">
        <v>0.0</v>
      </c>
      <c r="K3861" s="2">
        <v>0.0</v>
      </c>
      <c r="L3861" s="2">
        <v>0.0</v>
      </c>
      <c r="M3861" s="2"/>
      <c r="N3861" s="2"/>
      <c r="O3861" s="2"/>
      <c r="P3861" s="2" t="s">
        <v>92</v>
      </c>
    </row>
    <row r="3862">
      <c r="A3862" s="3" t="s">
        <v>76</v>
      </c>
      <c r="B3862" s="4">
        <v>45236.29166666667</v>
      </c>
      <c r="C3862" s="2" t="s">
        <v>18</v>
      </c>
      <c r="D3862" s="2" t="s">
        <v>127</v>
      </c>
      <c r="E3862" s="2" t="s">
        <v>431</v>
      </c>
      <c r="F3862" s="2"/>
      <c r="G3862" s="2">
        <v>17.0</v>
      </c>
      <c r="H3862" s="2">
        <v>11.0</v>
      </c>
      <c r="I3862" s="2">
        <v>6.0</v>
      </c>
      <c r="J3862" s="2">
        <v>0.0</v>
      </c>
      <c r="K3862" s="2">
        <v>0.0</v>
      </c>
      <c r="L3862" s="2">
        <v>0.0</v>
      </c>
      <c r="M3862" s="2"/>
      <c r="N3862" s="2"/>
      <c r="O3862" s="2"/>
      <c r="P3862" s="2" t="s">
        <v>92</v>
      </c>
    </row>
    <row r="3863">
      <c r="A3863" s="3" t="s">
        <v>77</v>
      </c>
      <c r="B3863" s="4">
        <v>45237.29166666667</v>
      </c>
      <c r="C3863" s="2" t="s">
        <v>18</v>
      </c>
      <c r="D3863" s="2" t="s">
        <v>127</v>
      </c>
      <c r="E3863" s="2" t="s">
        <v>432</v>
      </c>
      <c r="F3863" s="2"/>
      <c r="G3863" s="2">
        <v>11.0</v>
      </c>
      <c r="H3863" s="2">
        <v>7.0</v>
      </c>
      <c r="I3863" s="2">
        <v>4.0</v>
      </c>
      <c r="J3863" s="2">
        <v>0.0</v>
      </c>
      <c r="K3863" s="2">
        <v>0.0</v>
      </c>
      <c r="L3863" s="2">
        <v>0.0</v>
      </c>
      <c r="M3863" s="2"/>
      <c r="N3863" s="2"/>
      <c r="O3863" s="2"/>
      <c r="P3863" s="2" t="s">
        <v>92</v>
      </c>
    </row>
    <row r="3864">
      <c r="A3864" s="3" t="s">
        <v>78</v>
      </c>
      <c r="B3864" s="4">
        <v>45238.29166666667</v>
      </c>
      <c r="C3864" s="2" t="s">
        <v>18</v>
      </c>
      <c r="D3864" s="2" t="s">
        <v>127</v>
      </c>
      <c r="E3864" s="2" t="s">
        <v>433</v>
      </c>
      <c r="F3864" s="2"/>
      <c r="G3864" s="2">
        <v>16.0</v>
      </c>
      <c r="H3864" s="2">
        <v>12.0</v>
      </c>
      <c r="I3864" s="2">
        <v>4.0</v>
      </c>
      <c r="J3864" s="2">
        <v>0.0</v>
      </c>
      <c r="K3864" s="2">
        <v>0.0</v>
      </c>
      <c r="L3864" s="2">
        <v>0.0</v>
      </c>
      <c r="M3864" s="2"/>
      <c r="N3864" s="2"/>
      <c r="O3864" s="2"/>
      <c r="P3864" s="2" t="s">
        <v>92</v>
      </c>
    </row>
    <row r="3865">
      <c r="A3865" s="3" t="s">
        <v>81</v>
      </c>
      <c r="B3865" s="2" t="s">
        <v>17</v>
      </c>
      <c r="C3865" s="2" t="s">
        <v>57</v>
      </c>
      <c r="D3865" s="2" t="s">
        <v>19</v>
      </c>
      <c r="E3865" s="2" t="s">
        <v>435</v>
      </c>
      <c r="F3865" s="2">
        <v>33.0</v>
      </c>
      <c r="G3865" s="2">
        <v>42.0</v>
      </c>
      <c r="H3865" s="2">
        <v>33.0</v>
      </c>
      <c r="I3865" s="2">
        <v>9.0</v>
      </c>
      <c r="J3865" s="2">
        <v>0.0</v>
      </c>
      <c r="K3865" s="2">
        <v>0.0</v>
      </c>
      <c r="L3865" s="2">
        <v>0.0</v>
      </c>
      <c r="M3865" s="2">
        <v>0.0</v>
      </c>
      <c r="N3865" s="2"/>
      <c r="O3865" s="2"/>
      <c r="P3865" s="2" t="s">
        <v>67</v>
      </c>
    </row>
    <row r="3866">
      <c r="A3866" s="3" t="s">
        <v>82</v>
      </c>
      <c r="B3866" s="2" t="s">
        <v>17</v>
      </c>
      <c r="C3866" s="2" t="s">
        <v>18</v>
      </c>
      <c r="D3866" s="2" t="s">
        <v>19</v>
      </c>
      <c r="E3866" s="2" t="s">
        <v>436</v>
      </c>
      <c r="F3866" s="2">
        <v>31.0</v>
      </c>
      <c r="G3866" s="2">
        <v>44.0</v>
      </c>
      <c r="H3866" s="2">
        <v>33.0</v>
      </c>
      <c r="I3866" s="2">
        <v>11.0</v>
      </c>
      <c r="J3866" s="2">
        <v>0.0</v>
      </c>
      <c r="K3866" s="2">
        <v>0.0</v>
      </c>
      <c r="L3866" s="2">
        <v>0.0</v>
      </c>
      <c r="M3866" s="2">
        <v>-2.0</v>
      </c>
      <c r="N3866" s="2"/>
      <c r="O3866" s="2"/>
      <c r="P3866" s="2" t="s">
        <v>67</v>
      </c>
    </row>
    <row r="3867">
      <c r="A3867" s="3" t="s">
        <v>83</v>
      </c>
      <c r="B3867" s="2" t="s">
        <v>17</v>
      </c>
      <c r="C3867" s="2" t="s">
        <v>57</v>
      </c>
      <c r="D3867" s="2" t="s">
        <v>19</v>
      </c>
      <c r="E3867" s="2" t="s">
        <v>437</v>
      </c>
      <c r="F3867" s="2">
        <v>24.0</v>
      </c>
      <c r="G3867" s="2">
        <v>30.0</v>
      </c>
      <c r="H3867" s="2">
        <v>24.0</v>
      </c>
      <c r="I3867" s="2">
        <v>6.0</v>
      </c>
      <c r="J3867" s="2">
        <v>0.0</v>
      </c>
      <c r="K3867" s="2">
        <v>0.0</v>
      </c>
      <c r="L3867" s="2">
        <v>0.0</v>
      </c>
      <c r="M3867" s="2">
        <v>0.0</v>
      </c>
      <c r="N3867" s="2"/>
      <c r="O3867" s="2"/>
      <c r="P3867" s="2" t="s">
        <v>67</v>
      </c>
    </row>
    <row r="3868">
      <c r="A3868" s="3" t="s">
        <v>84</v>
      </c>
      <c r="B3868" s="2" t="s">
        <v>17</v>
      </c>
      <c r="C3868" s="2" t="s">
        <v>57</v>
      </c>
      <c r="D3868" s="2" t="s">
        <v>19</v>
      </c>
      <c r="E3868" s="2" t="s">
        <v>438</v>
      </c>
      <c r="F3868" s="2">
        <v>10.0</v>
      </c>
      <c r="G3868" s="2">
        <v>14.0</v>
      </c>
      <c r="H3868" s="2">
        <v>11.0</v>
      </c>
      <c r="I3868" s="2">
        <v>3.0</v>
      </c>
      <c r="J3868" s="2">
        <v>0.0</v>
      </c>
      <c r="K3868" s="2">
        <v>0.0</v>
      </c>
      <c r="L3868" s="2">
        <v>0.0</v>
      </c>
      <c r="M3868" s="2">
        <v>-1.0</v>
      </c>
      <c r="N3868" s="2"/>
      <c r="O3868" s="2"/>
      <c r="P3868" s="2" t="s">
        <v>67</v>
      </c>
    </row>
    <row r="3869">
      <c r="A3869" s="3" t="s">
        <v>85</v>
      </c>
      <c r="B3869" s="2" t="s">
        <v>17</v>
      </c>
      <c r="C3869" s="2" t="s">
        <v>18</v>
      </c>
      <c r="D3869" s="2" t="s">
        <v>19</v>
      </c>
      <c r="E3869" s="2" t="s">
        <v>439</v>
      </c>
      <c r="F3869" s="2">
        <v>25.0</v>
      </c>
      <c r="G3869" s="2">
        <v>31.0</v>
      </c>
      <c r="H3869" s="2">
        <v>22.0</v>
      </c>
      <c r="I3869" s="2">
        <v>9.0</v>
      </c>
      <c r="J3869" s="2">
        <v>0.0</v>
      </c>
      <c r="K3869" s="2">
        <v>0.0</v>
      </c>
      <c r="L3869" s="2">
        <v>0.0</v>
      </c>
      <c r="M3869" s="2">
        <v>3.0</v>
      </c>
      <c r="N3869" s="2"/>
      <c r="O3869" s="2"/>
      <c r="P3869" s="2" t="s">
        <v>67</v>
      </c>
    </row>
    <row r="3870">
      <c r="A3870" s="3" t="s">
        <v>86</v>
      </c>
      <c r="B3870" s="2" t="s">
        <v>17</v>
      </c>
      <c r="C3870" s="2" t="s">
        <v>57</v>
      </c>
      <c r="D3870" s="2" t="s">
        <v>19</v>
      </c>
      <c r="E3870" s="2" t="s">
        <v>440</v>
      </c>
      <c r="F3870" s="2">
        <v>11.0</v>
      </c>
      <c r="G3870" s="2">
        <v>13.0</v>
      </c>
      <c r="H3870" s="2">
        <v>11.0</v>
      </c>
      <c r="I3870" s="2">
        <v>2.0</v>
      </c>
      <c r="J3870" s="2">
        <v>0.0</v>
      </c>
      <c r="K3870" s="2">
        <v>0.0</v>
      </c>
      <c r="L3870" s="2">
        <v>0.0</v>
      </c>
      <c r="M3870" s="2">
        <v>0.0</v>
      </c>
      <c r="N3870" s="2"/>
      <c r="O3870" s="2"/>
      <c r="P3870" s="2" t="s">
        <v>67</v>
      </c>
    </row>
    <row r="3871">
      <c r="A3871" s="3" t="s">
        <v>87</v>
      </c>
      <c r="B3871" s="2" t="s">
        <v>17</v>
      </c>
      <c r="C3871" s="2" t="s">
        <v>57</v>
      </c>
      <c r="D3871" s="2" t="s">
        <v>19</v>
      </c>
      <c r="E3871" s="2" t="s">
        <v>441</v>
      </c>
      <c r="F3871" s="2">
        <v>19.0</v>
      </c>
      <c r="G3871" s="2">
        <v>23.0</v>
      </c>
      <c r="H3871" s="2">
        <v>19.0</v>
      </c>
      <c r="I3871" s="2">
        <v>4.0</v>
      </c>
      <c r="J3871" s="2">
        <v>0.0</v>
      </c>
      <c r="K3871" s="2">
        <v>0.0</v>
      </c>
      <c r="L3871" s="2">
        <v>0.0</v>
      </c>
      <c r="M3871" s="2">
        <v>0.0</v>
      </c>
      <c r="N3871" s="2"/>
      <c r="O3871" s="2"/>
      <c r="P3871" s="2" t="s">
        <v>67</v>
      </c>
    </row>
    <row r="3872">
      <c r="A3872" s="3" t="s">
        <v>88</v>
      </c>
      <c r="B3872" s="2" t="s">
        <v>17</v>
      </c>
      <c r="C3872" s="2" t="s">
        <v>18</v>
      </c>
      <c r="D3872" s="2" t="s">
        <v>19</v>
      </c>
      <c r="E3872" s="2" t="s">
        <v>442</v>
      </c>
      <c r="F3872" s="2">
        <v>26.0</v>
      </c>
      <c r="G3872" s="2">
        <v>25.0</v>
      </c>
      <c r="H3872" s="2">
        <v>24.0</v>
      </c>
      <c r="I3872" s="2">
        <v>1.0</v>
      </c>
      <c r="J3872" s="2">
        <v>0.0</v>
      </c>
      <c r="K3872" s="2">
        <v>0.0</v>
      </c>
      <c r="L3872" s="2">
        <v>0.0</v>
      </c>
      <c r="M3872" s="2">
        <v>2.0</v>
      </c>
      <c r="N3872" s="2"/>
      <c r="O3872" s="2"/>
      <c r="P3872" s="2" t="s">
        <v>67</v>
      </c>
    </row>
    <row r="3873">
      <c r="A3873" s="3" t="s">
        <v>89</v>
      </c>
      <c r="B3873" s="2" t="s">
        <v>17</v>
      </c>
      <c r="C3873" s="2" t="s">
        <v>57</v>
      </c>
      <c r="D3873" s="2" t="s">
        <v>19</v>
      </c>
      <c r="E3873" s="2" t="s">
        <v>443</v>
      </c>
      <c r="F3873" s="2">
        <v>8.0</v>
      </c>
      <c r="G3873" s="2">
        <v>10.0</v>
      </c>
      <c r="H3873" s="2">
        <v>8.0</v>
      </c>
      <c r="I3873" s="2">
        <v>2.0</v>
      </c>
      <c r="J3873" s="2">
        <v>0.0</v>
      </c>
      <c r="K3873" s="2">
        <v>0.0</v>
      </c>
      <c r="L3873" s="2">
        <v>0.0</v>
      </c>
      <c r="M3873" s="2">
        <v>0.0</v>
      </c>
      <c r="N3873" s="2"/>
      <c r="O3873" s="2"/>
      <c r="P3873" s="2" t="s">
        <v>67</v>
      </c>
    </row>
    <row r="3874">
      <c r="A3874" s="3" t="s">
        <v>90</v>
      </c>
      <c r="B3874" s="2" t="s">
        <v>17</v>
      </c>
      <c r="C3874" s="2" t="s">
        <v>18</v>
      </c>
      <c r="D3874" s="2" t="s">
        <v>19</v>
      </c>
      <c r="E3874" s="2" t="s">
        <v>444</v>
      </c>
      <c r="F3874" s="2">
        <v>17.0</v>
      </c>
      <c r="G3874" s="2">
        <v>20.0</v>
      </c>
      <c r="H3874" s="2">
        <v>19.0</v>
      </c>
      <c r="I3874" s="2">
        <v>1.0</v>
      </c>
      <c r="J3874" s="2">
        <v>0.0</v>
      </c>
      <c r="K3874" s="2">
        <v>0.0</v>
      </c>
      <c r="L3874" s="2">
        <v>0.0</v>
      </c>
      <c r="M3874" s="2">
        <v>-2.0</v>
      </c>
      <c r="N3874" s="2"/>
      <c r="O3874" s="2"/>
      <c r="P3874" s="2" t="s">
        <v>67</v>
      </c>
    </row>
    <row r="3875">
      <c r="A3875" s="3" t="s">
        <v>93</v>
      </c>
      <c r="B3875" s="2" t="s">
        <v>17</v>
      </c>
      <c r="C3875" s="2" t="s">
        <v>18</v>
      </c>
      <c r="D3875" s="2" t="s">
        <v>19</v>
      </c>
      <c r="E3875" s="2" t="s">
        <v>445</v>
      </c>
      <c r="F3875" s="2">
        <v>21.0</v>
      </c>
      <c r="G3875" s="2">
        <v>22.0</v>
      </c>
      <c r="H3875" s="2">
        <v>17.0</v>
      </c>
      <c r="I3875" s="2">
        <v>5.0</v>
      </c>
      <c r="J3875" s="2">
        <v>0.0</v>
      </c>
      <c r="K3875" s="2">
        <v>0.0</v>
      </c>
      <c r="L3875" s="2">
        <v>0.0</v>
      </c>
      <c r="M3875" s="2">
        <v>4.0</v>
      </c>
      <c r="N3875" s="2"/>
      <c r="O3875" s="2"/>
      <c r="P3875" s="2" t="s">
        <v>67</v>
      </c>
    </row>
    <row r="3876">
      <c r="A3876" s="3" t="s">
        <v>16</v>
      </c>
      <c r="B3876" s="2" t="s">
        <v>17</v>
      </c>
      <c r="C3876" s="2" t="s">
        <v>57</v>
      </c>
      <c r="D3876" s="2" t="s">
        <v>19</v>
      </c>
      <c r="E3876" s="2" t="s">
        <v>446</v>
      </c>
      <c r="F3876" s="2">
        <v>15.0</v>
      </c>
      <c r="G3876" s="2">
        <v>26.0</v>
      </c>
      <c r="H3876" s="2">
        <v>15.0</v>
      </c>
      <c r="I3876" s="2">
        <v>11.0</v>
      </c>
      <c r="J3876" s="2">
        <v>0.0</v>
      </c>
      <c r="K3876" s="2">
        <v>0.0</v>
      </c>
      <c r="L3876" s="2">
        <v>0.0</v>
      </c>
      <c r="M3876" s="2">
        <v>0.0</v>
      </c>
      <c r="N3876" s="2"/>
      <c r="O3876" s="2"/>
      <c r="P3876" s="2" t="s">
        <v>67</v>
      </c>
    </row>
    <row r="3877">
      <c r="A3877" s="3" t="s">
        <v>94</v>
      </c>
      <c r="B3877" s="2" t="s">
        <v>17</v>
      </c>
      <c r="C3877" s="2" t="s">
        <v>18</v>
      </c>
      <c r="D3877" s="2" t="s">
        <v>19</v>
      </c>
      <c r="E3877" s="2" t="s">
        <v>447</v>
      </c>
      <c r="F3877" s="2">
        <v>9.0</v>
      </c>
      <c r="G3877" s="2">
        <v>15.0</v>
      </c>
      <c r="H3877" s="2">
        <v>9.0</v>
      </c>
      <c r="I3877" s="2">
        <v>6.0</v>
      </c>
      <c r="J3877" s="2">
        <v>0.0</v>
      </c>
      <c r="K3877" s="2">
        <v>0.0</v>
      </c>
      <c r="L3877" s="2">
        <v>0.0</v>
      </c>
      <c r="M3877" s="2">
        <v>0.0</v>
      </c>
      <c r="N3877" s="2"/>
      <c r="O3877" s="2"/>
      <c r="P3877" s="2" t="s">
        <v>67</v>
      </c>
    </row>
    <row r="3878">
      <c r="A3878" s="3" t="s">
        <v>95</v>
      </c>
      <c r="B3878" s="2" t="s">
        <v>17</v>
      </c>
      <c r="C3878" s="2" t="s">
        <v>57</v>
      </c>
      <c r="D3878" s="2" t="s">
        <v>19</v>
      </c>
      <c r="E3878" s="2" t="s">
        <v>448</v>
      </c>
      <c r="F3878" s="2">
        <v>11.0</v>
      </c>
      <c r="G3878" s="2">
        <v>14.0</v>
      </c>
      <c r="H3878" s="2">
        <v>11.0</v>
      </c>
      <c r="I3878" s="2">
        <v>3.0</v>
      </c>
      <c r="J3878" s="2">
        <v>0.0</v>
      </c>
      <c r="K3878" s="2">
        <v>0.0</v>
      </c>
      <c r="L3878" s="2">
        <v>0.0</v>
      </c>
      <c r="M3878" s="2">
        <v>0.0</v>
      </c>
      <c r="N3878" s="2"/>
      <c r="O3878" s="2"/>
      <c r="P3878" s="2" t="s">
        <v>67</v>
      </c>
    </row>
    <row r="3879">
      <c r="A3879" s="3" t="s">
        <v>97</v>
      </c>
      <c r="B3879" s="2" t="s">
        <v>17</v>
      </c>
      <c r="C3879" s="2" t="s">
        <v>18</v>
      </c>
      <c r="D3879" s="2" t="s">
        <v>30</v>
      </c>
      <c r="E3879" s="2" t="s">
        <v>436</v>
      </c>
      <c r="F3879" s="2">
        <v>3.0</v>
      </c>
      <c r="G3879" s="2">
        <v>3.0</v>
      </c>
      <c r="H3879" s="2">
        <v>3.0</v>
      </c>
      <c r="I3879" s="2">
        <v>0.0</v>
      </c>
      <c r="J3879" s="2">
        <v>0.0</v>
      </c>
      <c r="K3879" s="2">
        <v>0.0</v>
      </c>
      <c r="L3879" s="2">
        <v>0.0</v>
      </c>
      <c r="M3879" s="2">
        <v>0.0</v>
      </c>
      <c r="N3879" s="2"/>
      <c r="O3879" s="2"/>
      <c r="P3879" s="2" t="s">
        <v>67</v>
      </c>
    </row>
    <row r="3880">
      <c r="A3880" s="3" t="s">
        <v>98</v>
      </c>
      <c r="B3880" s="2" t="s">
        <v>17</v>
      </c>
      <c r="C3880" s="2" t="s">
        <v>113</v>
      </c>
      <c r="D3880" s="2" t="s">
        <v>30</v>
      </c>
      <c r="E3880" s="2" t="s">
        <v>437</v>
      </c>
      <c r="F3880" s="2">
        <v>7.0</v>
      </c>
      <c r="G3880" s="2">
        <v>6.0</v>
      </c>
      <c r="H3880" s="2">
        <v>6.0</v>
      </c>
      <c r="I3880" s="2">
        <v>0.0</v>
      </c>
      <c r="J3880" s="2">
        <v>0.0</v>
      </c>
      <c r="K3880" s="2">
        <v>0.0</v>
      </c>
      <c r="L3880" s="2">
        <v>0.0</v>
      </c>
      <c r="M3880" s="2">
        <v>1.0</v>
      </c>
      <c r="N3880" s="2"/>
      <c r="O3880" s="2"/>
      <c r="P3880" s="2" t="s">
        <v>67</v>
      </c>
    </row>
    <row r="3881">
      <c r="A3881" s="3" t="s">
        <v>99</v>
      </c>
      <c r="B3881" s="2" t="s">
        <v>17</v>
      </c>
      <c r="C3881" s="2" t="s">
        <v>18</v>
      </c>
      <c r="D3881" s="2" t="s">
        <v>30</v>
      </c>
      <c r="E3881" s="2" t="s">
        <v>439</v>
      </c>
      <c r="F3881" s="2">
        <v>9.0</v>
      </c>
      <c r="G3881" s="2">
        <v>6.0</v>
      </c>
      <c r="H3881" s="2">
        <v>4.0</v>
      </c>
      <c r="I3881" s="2">
        <v>2.0</v>
      </c>
      <c r="J3881" s="2">
        <v>0.0</v>
      </c>
      <c r="K3881" s="2">
        <v>0.0</v>
      </c>
      <c r="L3881" s="2">
        <v>0.0</v>
      </c>
      <c r="M3881" s="2">
        <v>5.0</v>
      </c>
      <c r="N3881" s="2"/>
      <c r="O3881" s="2"/>
      <c r="P3881" s="2" t="s">
        <v>67</v>
      </c>
    </row>
    <row r="3882">
      <c r="A3882" s="3" t="s">
        <v>100</v>
      </c>
      <c r="B3882" s="2" t="s">
        <v>17</v>
      </c>
      <c r="C3882" s="2" t="s">
        <v>57</v>
      </c>
      <c r="D3882" s="2" t="s">
        <v>30</v>
      </c>
      <c r="E3882" s="2" t="s">
        <v>440</v>
      </c>
      <c r="F3882" s="2">
        <v>2.0</v>
      </c>
      <c r="G3882" s="2">
        <v>2.0</v>
      </c>
      <c r="H3882" s="2">
        <v>2.0</v>
      </c>
      <c r="I3882" s="2">
        <v>0.0</v>
      </c>
      <c r="J3882" s="2">
        <v>0.0</v>
      </c>
      <c r="K3882" s="2">
        <v>0.0</v>
      </c>
      <c r="L3882" s="2">
        <v>0.0</v>
      </c>
      <c r="M3882" s="2">
        <v>0.0</v>
      </c>
      <c r="N3882" s="2"/>
      <c r="O3882" s="2"/>
      <c r="P3882" s="2" t="s">
        <v>67</v>
      </c>
    </row>
    <row r="3883">
      <c r="A3883" s="3" t="s">
        <v>101</v>
      </c>
      <c r="B3883" s="2" t="s">
        <v>17</v>
      </c>
      <c r="C3883" s="2" t="s">
        <v>18</v>
      </c>
      <c r="D3883" s="2" t="s">
        <v>30</v>
      </c>
      <c r="E3883" s="2" t="s">
        <v>442</v>
      </c>
      <c r="F3883" s="2">
        <v>7.0</v>
      </c>
      <c r="G3883" s="2">
        <v>6.0</v>
      </c>
      <c r="H3883" s="2">
        <v>6.0</v>
      </c>
      <c r="I3883" s="2">
        <v>0.0</v>
      </c>
      <c r="J3883" s="2">
        <v>0.0</v>
      </c>
      <c r="K3883" s="2">
        <v>0.0</v>
      </c>
      <c r="L3883" s="2">
        <v>0.0</v>
      </c>
      <c r="M3883" s="2">
        <v>1.0</v>
      </c>
      <c r="N3883" s="2"/>
      <c r="O3883" s="2"/>
      <c r="P3883" s="2" t="s">
        <v>67</v>
      </c>
    </row>
    <row r="3884">
      <c r="A3884" s="3" t="s">
        <v>102</v>
      </c>
      <c r="B3884" s="2" t="s">
        <v>17</v>
      </c>
      <c r="C3884" s="2" t="s">
        <v>57</v>
      </c>
      <c r="D3884" s="2" t="s">
        <v>30</v>
      </c>
      <c r="E3884" s="2" t="s">
        <v>443</v>
      </c>
      <c r="F3884" s="2">
        <v>1.0</v>
      </c>
      <c r="G3884" s="2">
        <v>0.0</v>
      </c>
      <c r="H3884" s="2">
        <v>0.0</v>
      </c>
      <c r="I3884" s="2">
        <v>0.0</v>
      </c>
      <c r="J3884" s="2">
        <v>0.0</v>
      </c>
      <c r="K3884" s="2">
        <v>0.0</v>
      </c>
      <c r="L3884" s="2">
        <v>0.0</v>
      </c>
      <c r="M3884" s="2">
        <v>1.0</v>
      </c>
      <c r="N3884" s="2"/>
      <c r="O3884" s="2"/>
      <c r="P3884" s="2" t="s">
        <v>67</v>
      </c>
    </row>
    <row r="3885">
      <c r="A3885" s="3" t="s">
        <v>103</v>
      </c>
      <c r="B3885" s="2" t="s">
        <v>17</v>
      </c>
      <c r="C3885" s="2" t="s">
        <v>18</v>
      </c>
      <c r="D3885" s="2" t="s">
        <v>30</v>
      </c>
      <c r="E3885" s="2" t="s">
        <v>444</v>
      </c>
      <c r="F3885" s="2">
        <v>5.0</v>
      </c>
      <c r="G3885" s="2">
        <v>6.0</v>
      </c>
      <c r="H3885" s="2">
        <v>5.0</v>
      </c>
      <c r="I3885" s="2">
        <v>1.0</v>
      </c>
      <c r="J3885" s="2">
        <v>0.0</v>
      </c>
      <c r="K3885" s="2">
        <v>0.0</v>
      </c>
      <c r="L3885" s="2">
        <v>0.0</v>
      </c>
      <c r="M3885" s="2">
        <v>0.0</v>
      </c>
      <c r="N3885" s="2"/>
      <c r="O3885" s="2"/>
      <c r="P3885" s="2" t="s">
        <v>67</v>
      </c>
    </row>
    <row r="3886">
      <c r="A3886" s="3" t="s">
        <v>104</v>
      </c>
      <c r="B3886" s="2" t="s">
        <v>17</v>
      </c>
      <c r="C3886" s="2" t="s">
        <v>18</v>
      </c>
      <c r="D3886" s="2" t="s">
        <v>30</v>
      </c>
      <c r="E3886" s="2" t="s">
        <v>445</v>
      </c>
      <c r="F3886" s="2">
        <v>11.0</v>
      </c>
      <c r="G3886" s="2">
        <v>8.0</v>
      </c>
      <c r="H3886" s="2">
        <v>7.0</v>
      </c>
      <c r="I3886" s="2">
        <v>1.0</v>
      </c>
      <c r="J3886" s="2">
        <v>0.0</v>
      </c>
      <c r="K3886" s="2">
        <v>0.0</v>
      </c>
      <c r="L3886" s="2">
        <v>0.0</v>
      </c>
      <c r="M3886" s="2">
        <v>4.0</v>
      </c>
      <c r="N3886" s="2"/>
      <c r="O3886" s="2"/>
      <c r="P3886" s="2" t="s">
        <v>67</v>
      </c>
    </row>
    <row r="3887">
      <c r="A3887" s="3" t="s">
        <v>105</v>
      </c>
      <c r="B3887" s="2" t="s">
        <v>17</v>
      </c>
      <c r="C3887" s="2" t="s">
        <v>113</v>
      </c>
      <c r="D3887" s="2" t="s">
        <v>30</v>
      </c>
      <c r="E3887" s="2" t="s">
        <v>446</v>
      </c>
      <c r="F3887" s="2">
        <v>6.0</v>
      </c>
      <c r="G3887" s="2">
        <v>4.0</v>
      </c>
      <c r="H3887" s="2">
        <v>4.0</v>
      </c>
      <c r="I3887" s="2">
        <v>0.0</v>
      </c>
      <c r="J3887" s="2">
        <v>0.0</v>
      </c>
      <c r="K3887" s="2">
        <v>0.0</v>
      </c>
      <c r="L3887" s="2">
        <v>0.0</v>
      </c>
      <c r="M3887" s="2">
        <v>2.0</v>
      </c>
      <c r="N3887" s="2"/>
      <c r="O3887" s="2"/>
      <c r="P3887" s="2" t="s">
        <v>67</v>
      </c>
    </row>
    <row r="3888">
      <c r="A3888" s="3" t="s">
        <v>106</v>
      </c>
      <c r="B3888" s="2" t="s">
        <v>17</v>
      </c>
      <c r="C3888" s="2" t="s">
        <v>18</v>
      </c>
      <c r="D3888" s="2" t="s">
        <v>30</v>
      </c>
      <c r="E3888" s="2" t="s">
        <v>447</v>
      </c>
      <c r="F3888" s="2">
        <v>3.0</v>
      </c>
      <c r="G3888" s="2">
        <v>7.0</v>
      </c>
      <c r="H3888" s="2">
        <v>6.0</v>
      </c>
      <c r="I3888" s="2">
        <v>1.0</v>
      </c>
      <c r="J3888" s="2">
        <v>0.0</v>
      </c>
      <c r="K3888" s="2">
        <v>0.0</v>
      </c>
      <c r="L3888" s="2">
        <v>0.0</v>
      </c>
      <c r="M3888" s="2">
        <v>-3.0</v>
      </c>
      <c r="N3888" s="2"/>
      <c r="O3888" s="2"/>
      <c r="P3888" s="2" t="s">
        <v>67</v>
      </c>
    </row>
    <row r="3889">
      <c r="A3889" s="3" t="s">
        <v>107</v>
      </c>
      <c r="B3889" s="2" t="s">
        <v>17</v>
      </c>
      <c r="C3889" s="2" t="s">
        <v>57</v>
      </c>
      <c r="D3889" s="2" t="s">
        <v>30</v>
      </c>
      <c r="E3889" s="2" t="s">
        <v>448</v>
      </c>
      <c r="F3889" s="2">
        <v>1.0</v>
      </c>
      <c r="G3889" s="2">
        <v>1.0</v>
      </c>
      <c r="H3889" s="2">
        <v>1.0</v>
      </c>
      <c r="I3889" s="2">
        <v>0.0</v>
      </c>
      <c r="J3889" s="2">
        <v>0.0</v>
      </c>
      <c r="K3889" s="2">
        <v>0.0</v>
      </c>
      <c r="L3889" s="2">
        <v>0.0</v>
      </c>
      <c r="M3889" s="2">
        <v>0.0</v>
      </c>
      <c r="N3889" s="2"/>
      <c r="O3889" s="2"/>
      <c r="P3889" s="2" t="s">
        <v>67</v>
      </c>
    </row>
    <row r="3890">
      <c r="A3890" s="3" t="s">
        <v>108</v>
      </c>
      <c r="B3890" s="2" t="s">
        <v>17</v>
      </c>
      <c r="C3890" s="2" t="s">
        <v>57</v>
      </c>
      <c r="D3890" s="2" t="s">
        <v>23</v>
      </c>
      <c r="E3890" s="2" t="s">
        <v>435</v>
      </c>
      <c r="F3890" s="2">
        <v>33.0</v>
      </c>
      <c r="G3890" s="2">
        <v>42.0</v>
      </c>
      <c r="H3890" s="2">
        <v>33.0</v>
      </c>
      <c r="I3890" s="2">
        <v>9.0</v>
      </c>
      <c r="J3890" s="2">
        <v>0.0</v>
      </c>
      <c r="K3890" s="2">
        <v>0.0</v>
      </c>
      <c r="L3890" s="2">
        <v>0.0</v>
      </c>
      <c r="M3890" s="2">
        <v>0.0</v>
      </c>
      <c r="N3890" s="2">
        <v>0.0</v>
      </c>
      <c r="O3890" s="2">
        <v>-33.0</v>
      </c>
      <c r="P3890" s="2" t="s">
        <v>67</v>
      </c>
    </row>
    <row r="3891">
      <c r="A3891" s="3" t="s">
        <v>112</v>
      </c>
      <c r="B3891" s="2" t="s">
        <v>17</v>
      </c>
      <c r="C3891" s="2" t="s">
        <v>18</v>
      </c>
      <c r="D3891" s="2" t="s">
        <v>23</v>
      </c>
      <c r="E3891" s="2" t="s">
        <v>436</v>
      </c>
      <c r="F3891" s="2">
        <v>31.0</v>
      </c>
      <c r="G3891" s="2">
        <v>47.0</v>
      </c>
      <c r="H3891" s="2">
        <v>36.0</v>
      </c>
      <c r="I3891" s="2">
        <v>11.0</v>
      </c>
      <c r="J3891" s="2">
        <v>0.0</v>
      </c>
      <c r="K3891" s="2">
        <v>0.0</v>
      </c>
      <c r="L3891" s="2">
        <v>0.0</v>
      </c>
      <c r="M3891" s="2">
        <v>-5.0</v>
      </c>
      <c r="N3891" s="2">
        <v>-3.0</v>
      </c>
      <c r="O3891" s="2">
        <v>-41.0</v>
      </c>
      <c r="P3891" s="2" t="s">
        <v>67</v>
      </c>
    </row>
    <row r="3892">
      <c r="A3892" s="3" t="s">
        <v>115</v>
      </c>
      <c r="B3892" s="2" t="s">
        <v>17</v>
      </c>
      <c r="C3892" s="2" t="s">
        <v>18</v>
      </c>
      <c r="D3892" s="2" t="s">
        <v>23</v>
      </c>
      <c r="E3892" s="2" t="s">
        <v>437</v>
      </c>
      <c r="F3892" s="2">
        <v>27.0</v>
      </c>
      <c r="G3892" s="2">
        <v>36.0</v>
      </c>
      <c r="H3892" s="2">
        <v>30.0</v>
      </c>
      <c r="I3892" s="2">
        <v>6.0</v>
      </c>
      <c r="J3892" s="2">
        <v>0.0</v>
      </c>
      <c r="K3892" s="2">
        <v>0.0</v>
      </c>
      <c r="L3892" s="2">
        <v>0.0</v>
      </c>
      <c r="M3892" s="2">
        <v>-3.0</v>
      </c>
      <c r="N3892" s="2">
        <v>-4.0</v>
      </c>
      <c r="O3892" s="2">
        <v>-33.0</v>
      </c>
      <c r="P3892" s="2" t="s">
        <v>67</v>
      </c>
    </row>
    <row r="3893">
      <c r="A3893" s="3" t="s">
        <v>117</v>
      </c>
      <c r="B3893" s="2" t="s">
        <v>17</v>
      </c>
      <c r="C3893" s="2" t="s">
        <v>57</v>
      </c>
      <c r="D3893" s="2" t="s">
        <v>23</v>
      </c>
      <c r="E3893" s="2" t="s">
        <v>438</v>
      </c>
      <c r="F3893" s="2">
        <v>10.0</v>
      </c>
      <c r="G3893" s="2">
        <v>14.0</v>
      </c>
      <c r="H3893" s="2">
        <v>11.0</v>
      </c>
      <c r="I3893" s="2">
        <v>3.0</v>
      </c>
      <c r="J3893" s="2">
        <v>0.0</v>
      </c>
      <c r="K3893" s="2">
        <v>0.0</v>
      </c>
      <c r="L3893" s="2">
        <v>0.0</v>
      </c>
      <c r="M3893" s="2">
        <v>-1.0</v>
      </c>
      <c r="N3893" s="2">
        <v>0.0</v>
      </c>
      <c r="O3893" s="2">
        <v>-12.0</v>
      </c>
      <c r="P3893" s="2" t="s">
        <v>67</v>
      </c>
    </row>
    <row r="3894">
      <c r="A3894" s="3" t="s">
        <v>119</v>
      </c>
      <c r="B3894" s="2" t="s">
        <v>17</v>
      </c>
      <c r="C3894" s="2" t="s">
        <v>18</v>
      </c>
      <c r="D3894" s="2" t="s">
        <v>23</v>
      </c>
      <c r="E3894" s="2" t="s">
        <v>439</v>
      </c>
      <c r="F3894" s="2">
        <v>25.0</v>
      </c>
      <c r="G3894" s="2">
        <v>37.0</v>
      </c>
      <c r="H3894" s="2">
        <v>26.0</v>
      </c>
      <c r="I3894" s="2">
        <v>11.0</v>
      </c>
      <c r="J3894" s="2">
        <v>0.0</v>
      </c>
      <c r="K3894" s="2">
        <v>0.0</v>
      </c>
      <c r="L3894" s="2">
        <v>0.0</v>
      </c>
      <c r="M3894" s="2">
        <v>-1.0</v>
      </c>
      <c r="N3894" s="2">
        <v>-9.0</v>
      </c>
      <c r="O3894" s="2">
        <v>-27.0</v>
      </c>
      <c r="P3894" s="2" t="s">
        <v>67</v>
      </c>
    </row>
    <row r="3895">
      <c r="A3895" s="3" t="s">
        <v>121</v>
      </c>
      <c r="B3895" s="2" t="s">
        <v>17</v>
      </c>
      <c r="C3895" s="2" t="s">
        <v>57</v>
      </c>
      <c r="D3895" s="2" t="s">
        <v>23</v>
      </c>
      <c r="E3895" s="2" t="s">
        <v>440</v>
      </c>
      <c r="F3895" s="2">
        <v>11.0</v>
      </c>
      <c r="G3895" s="2">
        <v>15.0</v>
      </c>
      <c r="H3895" s="2">
        <v>13.0</v>
      </c>
      <c r="I3895" s="2">
        <v>2.0</v>
      </c>
      <c r="J3895" s="2">
        <v>0.0</v>
      </c>
      <c r="K3895" s="2">
        <v>0.0</v>
      </c>
      <c r="L3895" s="2">
        <v>0.0</v>
      </c>
      <c r="M3895" s="2">
        <v>-2.0</v>
      </c>
      <c r="N3895" s="2">
        <v>-2.0</v>
      </c>
      <c r="O3895" s="2">
        <v>-15.0</v>
      </c>
      <c r="P3895" s="2" t="s">
        <v>67</v>
      </c>
    </row>
    <row r="3896">
      <c r="A3896" s="3" t="s">
        <v>16</v>
      </c>
      <c r="B3896" s="2" t="s">
        <v>17</v>
      </c>
      <c r="C3896" s="2" t="s">
        <v>57</v>
      </c>
      <c r="D3896" s="2" t="s">
        <v>23</v>
      </c>
      <c r="E3896" s="2" t="s">
        <v>441</v>
      </c>
      <c r="F3896" s="2">
        <v>19.0</v>
      </c>
      <c r="G3896" s="2">
        <v>23.0</v>
      </c>
      <c r="H3896" s="2">
        <v>19.0</v>
      </c>
      <c r="I3896" s="2">
        <v>4.0</v>
      </c>
      <c r="J3896" s="2">
        <v>0.0</v>
      </c>
      <c r="K3896" s="2">
        <v>0.0</v>
      </c>
      <c r="L3896" s="2">
        <v>0.0</v>
      </c>
      <c r="M3896" s="2">
        <v>0.0</v>
      </c>
      <c r="N3896" s="2">
        <v>0.0</v>
      </c>
      <c r="O3896" s="2">
        <v>-19.0</v>
      </c>
      <c r="P3896" s="2" t="s">
        <v>67</v>
      </c>
    </row>
    <row r="3897">
      <c r="A3897" s="3" t="s">
        <v>124</v>
      </c>
      <c r="B3897" s="2" t="s">
        <v>17</v>
      </c>
      <c r="C3897" s="2" t="s">
        <v>18</v>
      </c>
      <c r="D3897" s="2" t="s">
        <v>23</v>
      </c>
      <c r="E3897" s="2" t="s">
        <v>442</v>
      </c>
      <c r="F3897" s="2">
        <v>26.0</v>
      </c>
      <c r="G3897" s="2">
        <v>31.0</v>
      </c>
      <c r="H3897" s="2">
        <v>30.0</v>
      </c>
      <c r="I3897" s="2">
        <v>1.0</v>
      </c>
      <c r="J3897" s="2">
        <v>0.0</v>
      </c>
      <c r="K3897" s="2">
        <v>0.0</v>
      </c>
      <c r="L3897" s="2">
        <v>0.0</v>
      </c>
      <c r="M3897" s="2">
        <v>-4.0</v>
      </c>
      <c r="N3897" s="2">
        <v>-7.0</v>
      </c>
      <c r="O3897" s="2">
        <v>-34.0</v>
      </c>
      <c r="P3897" s="2" t="s">
        <v>67</v>
      </c>
    </row>
    <row r="3898">
      <c r="A3898" s="3" t="s">
        <v>126</v>
      </c>
      <c r="B3898" s="2" t="s">
        <v>17</v>
      </c>
      <c r="C3898" s="2" t="s">
        <v>57</v>
      </c>
      <c r="D3898" s="2" t="s">
        <v>23</v>
      </c>
      <c r="E3898" s="2" t="s">
        <v>443</v>
      </c>
      <c r="F3898" s="2">
        <v>8.0</v>
      </c>
      <c r="G3898" s="2">
        <v>10.0</v>
      </c>
      <c r="H3898" s="2">
        <v>8.0</v>
      </c>
      <c r="I3898" s="2">
        <v>2.0</v>
      </c>
      <c r="J3898" s="2">
        <v>0.0</v>
      </c>
      <c r="K3898" s="2">
        <v>0.0</v>
      </c>
      <c r="L3898" s="2">
        <v>0.0</v>
      </c>
      <c r="M3898" s="2">
        <v>0.0</v>
      </c>
      <c r="N3898" s="2">
        <v>-1.0</v>
      </c>
      <c r="O3898" s="2">
        <v>-8.0</v>
      </c>
      <c r="P3898" s="2" t="s">
        <v>67</v>
      </c>
    </row>
    <row r="3899">
      <c r="A3899" s="3" t="s">
        <v>128</v>
      </c>
      <c r="B3899" s="2" t="s">
        <v>17</v>
      </c>
      <c r="C3899" s="2" t="s">
        <v>18</v>
      </c>
      <c r="D3899" s="2" t="s">
        <v>23</v>
      </c>
      <c r="E3899" s="2" t="s">
        <v>444</v>
      </c>
      <c r="F3899" s="2">
        <v>17.0</v>
      </c>
      <c r="G3899" s="2">
        <v>26.0</v>
      </c>
      <c r="H3899" s="2">
        <v>24.0</v>
      </c>
      <c r="I3899" s="2">
        <v>2.0</v>
      </c>
      <c r="J3899" s="2">
        <v>0.0</v>
      </c>
      <c r="K3899" s="2">
        <v>0.0</v>
      </c>
      <c r="L3899" s="2">
        <v>0.0</v>
      </c>
      <c r="M3899" s="2">
        <v>-7.0</v>
      </c>
      <c r="N3899" s="2">
        <v>-5.0</v>
      </c>
      <c r="O3899" s="2">
        <v>-31.0</v>
      </c>
      <c r="P3899" s="2" t="s">
        <v>67</v>
      </c>
    </row>
    <row r="3900">
      <c r="A3900" s="3" t="s">
        <v>129</v>
      </c>
      <c r="B3900" s="2" t="s">
        <v>17</v>
      </c>
      <c r="C3900" s="2" t="s">
        <v>18</v>
      </c>
      <c r="D3900" s="2" t="s">
        <v>23</v>
      </c>
      <c r="E3900" s="2" t="s">
        <v>445</v>
      </c>
      <c r="F3900" s="2">
        <v>21.0</v>
      </c>
      <c r="G3900" s="2">
        <v>30.0</v>
      </c>
      <c r="H3900" s="2">
        <v>24.0</v>
      </c>
      <c r="I3900" s="2">
        <v>6.0</v>
      </c>
      <c r="J3900" s="2">
        <v>0.0</v>
      </c>
      <c r="K3900" s="2">
        <v>0.0</v>
      </c>
      <c r="L3900" s="2">
        <v>0.0</v>
      </c>
      <c r="M3900" s="2">
        <v>-3.0</v>
      </c>
      <c r="N3900" s="2">
        <v>-11.0</v>
      </c>
      <c r="O3900" s="2">
        <v>-27.0</v>
      </c>
      <c r="P3900" s="2" t="s">
        <v>67</v>
      </c>
    </row>
    <row r="3901">
      <c r="A3901" s="3" t="s">
        <v>130</v>
      </c>
      <c r="B3901" s="2" t="s">
        <v>17</v>
      </c>
      <c r="C3901" s="2" t="s">
        <v>18</v>
      </c>
      <c r="D3901" s="2" t="s">
        <v>23</v>
      </c>
      <c r="E3901" s="2" t="s">
        <v>446</v>
      </c>
      <c r="F3901" s="2">
        <v>18.0</v>
      </c>
      <c r="G3901" s="2">
        <v>30.0</v>
      </c>
      <c r="H3901" s="2">
        <v>19.0</v>
      </c>
      <c r="I3901" s="2">
        <v>11.0</v>
      </c>
      <c r="J3901" s="2">
        <v>0.0</v>
      </c>
      <c r="K3901" s="2">
        <v>0.0</v>
      </c>
      <c r="L3901" s="2">
        <v>0.0</v>
      </c>
      <c r="M3901" s="2">
        <v>-1.0</v>
      </c>
      <c r="N3901" s="2">
        <v>-3.0</v>
      </c>
      <c r="O3901" s="2">
        <v>-20.0</v>
      </c>
      <c r="P3901" s="2" t="s">
        <v>67</v>
      </c>
    </row>
    <row r="3902">
      <c r="A3902" s="3" t="s">
        <v>131</v>
      </c>
      <c r="B3902" s="2" t="s">
        <v>17</v>
      </c>
      <c r="C3902" s="2" t="s">
        <v>18</v>
      </c>
      <c r="D3902" s="2" t="s">
        <v>23</v>
      </c>
      <c r="E3902" s="2" t="s">
        <v>447</v>
      </c>
      <c r="F3902" s="2">
        <v>9.0</v>
      </c>
      <c r="G3902" s="2">
        <v>22.0</v>
      </c>
      <c r="H3902" s="2">
        <v>15.0</v>
      </c>
      <c r="I3902" s="2">
        <v>7.0</v>
      </c>
      <c r="J3902" s="2">
        <v>0.0</v>
      </c>
      <c r="K3902" s="2">
        <v>0.0</v>
      </c>
      <c r="L3902" s="2">
        <v>0.0</v>
      </c>
      <c r="M3902" s="2">
        <v>-6.0</v>
      </c>
      <c r="N3902" s="2">
        <v>-3.0</v>
      </c>
      <c r="O3902" s="2">
        <v>-21.0</v>
      </c>
      <c r="P3902" s="2" t="s">
        <v>67</v>
      </c>
    </row>
    <row r="3903">
      <c r="A3903" s="3" t="s">
        <v>132</v>
      </c>
      <c r="B3903" s="2" t="s">
        <v>17</v>
      </c>
      <c r="C3903" s="2" t="s">
        <v>57</v>
      </c>
      <c r="D3903" s="2" t="s">
        <v>23</v>
      </c>
      <c r="E3903" s="2" t="s">
        <v>448</v>
      </c>
      <c r="F3903" s="2">
        <v>11.0</v>
      </c>
      <c r="G3903" s="2">
        <v>15.0</v>
      </c>
      <c r="H3903" s="2">
        <v>12.0</v>
      </c>
      <c r="I3903" s="2">
        <v>3.0</v>
      </c>
      <c r="J3903" s="2">
        <v>0.0</v>
      </c>
      <c r="K3903" s="2">
        <v>0.0</v>
      </c>
      <c r="L3903" s="2">
        <v>0.0</v>
      </c>
      <c r="M3903" s="2">
        <v>-1.0</v>
      </c>
      <c r="N3903" s="2">
        <v>-1.0</v>
      </c>
      <c r="O3903" s="2">
        <v>-13.0</v>
      </c>
      <c r="P3903" s="2" t="s">
        <v>67</v>
      </c>
    </row>
    <row r="3904">
      <c r="A3904" s="3" t="s">
        <v>133</v>
      </c>
      <c r="B3904" s="4">
        <v>45201.29166666667</v>
      </c>
      <c r="C3904" s="2" t="s">
        <v>18</v>
      </c>
      <c r="D3904" s="2" t="s">
        <v>19</v>
      </c>
      <c r="E3904" s="2" t="s">
        <v>435</v>
      </c>
      <c r="F3904" s="2"/>
      <c r="G3904" s="2">
        <v>42.0</v>
      </c>
      <c r="H3904" s="2">
        <v>33.0</v>
      </c>
      <c r="I3904" s="2">
        <v>9.0</v>
      </c>
      <c r="J3904" s="2">
        <v>0.0</v>
      </c>
      <c r="K3904" s="2">
        <v>0.0</v>
      </c>
      <c r="L3904" s="2">
        <v>0.0</v>
      </c>
      <c r="M3904" s="2"/>
      <c r="N3904" s="2"/>
      <c r="O3904" s="2"/>
      <c r="P3904" s="2" t="s">
        <v>67</v>
      </c>
    </row>
    <row r="3905">
      <c r="A3905" s="3" t="s">
        <v>134</v>
      </c>
      <c r="B3905" s="4">
        <v>45202.29166666667</v>
      </c>
      <c r="C3905" s="2" t="s">
        <v>18</v>
      </c>
      <c r="D3905" s="2" t="s">
        <v>19</v>
      </c>
      <c r="E3905" s="2" t="s">
        <v>436</v>
      </c>
      <c r="F3905" s="2"/>
      <c r="G3905" s="2">
        <v>24.0</v>
      </c>
      <c r="H3905" s="2">
        <v>17.0</v>
      </c>
      <c r="I3905" s="2">
        <v>7.0</v>
      </c>
      <c r="J3905" s="2">
        <v>0.0</v>
      </c>
      <c r="K3905" s="2">
        <v>0.0</v>
      </c>
      <c r="L3905" s="2">
        <v>0.0</v>
      </c>
      <c r="M3905" s="2"/>
      <c r="N3905" s="2"/>
      <c r="O3905" s="2"/>
      <c r="P3905" s="2" t="s">
        <v>67</v>
      </c>
    </row>
    <row r="3906">
      <c r="A3906" s="3" t="s">
        <v>136</v>
      </c>
      <c r="B3906" s="4">
        <v>45203.29166666667</v>
      </c>
      <c r="C3906" s="2" t="s">
        <v>18</v>
      </c>
      <c r="D3906" s="2" t="s">
        <v>19</v>
      </c>
      <c r="E3906" s="2" t="s">
        <v>437</v>
      </c>
      <c r="F3906" s="2"/>
      <c r="G3906" s="2">
        <v>18.0</v>
      </c>
      <c r="H3906" s="2">
        <v>17.0</v>
      </c>
      <c r="I3906" s="2">
        <v>1.0</v>
      </c>
      <c r="J3906" s="2">
        <v>0.0</v>
      </c>
      <c r="K3906" s="2">
        <v>0.0</v>
      </c>
      <c r="L3906" s="2">
        <v>0.0</v>
      </c>
      <c r="M3906" s="2"/>
      <c r="N3906" s="2"/>
      <c r="O3906" s="2"/>
      <c r="P3906" s="2" t="s">
        <v>67</v>
      </c>
    </row>
    <row r="3907">
      <c r="A3907" s="3" t="s">
        <v>137</v>
      </c>
      <c r="B3907" s="4">
        <v>45204.29166666667</v>
      </c>
      <c r="C3907" s="2" t="s">
        <v>18</v>
      </c>
      <c r="D3907" s="2" t="s">
        <v>19</v>
      </c>
      <c r="E3907" s="2" t="s">
        <v>438</v>
      </c>
      <c r="F3907" s="2"/>
      <c r="G3907" s="2">
        <v>12.0</v>
      </c>
      <c r="H3907" s="2">
        <v>10.0</v>
      </c>
      <c r="I3907" s="2">
        <v>2.0</v>
      </c>
      <c r="J3907" s="2">
        <v>0.0</v>
      </c>
      <c r="K3907" s="2">
        <v>0.0</v>
      </c>
      <c r="L3907" s="2">
        <v>0.0</v>
      </c>
      <c r="M3907" s="2"/>
      <c r="N3907" s="2"/>
      <c r="O3907" s="2"/>
      <c r="P3907" s="2" t="s">
        <v>67</v>
      </c>
    </row>
    <row r="3908">
      <c r="A3908" s="3" t="s">
        <v>138</v>
      </c>
      <c r="B3908" s="4">
        <v>45205.29166666667</v>
      </c>
      <c r="C3908" s="2" t="s">
        <v>18</v>
      </c>
      <c r="D3908" s="2" t="s">
        <v>19</v>
      </c>
      <c r="E3908" s="2" t="s">
        <v>439</v>
      </c>
      <c r="F3908" s="2"/>
      <c r="G3908" s="2">
        <v>18.0</v>
      </c>
      <c r="H3908" s="2">
        <v>11.0</v>
      </c>
      <c r="I3908" s="2">
        <v>7.0</v>
      </c>
      <c r="J3908" s="2">
        <v>0.0</v>
      </c>
      <c r="K3908" s="2">
        <v>0.0</v>
      </c>
      <c r="L3908" s="2">
        <v>0.0</v>
      </c>
      <c r="M3908" s="2"/>
      <c r="N3908" s="2"/>
      <c r="O3908" s="2"/>
      <c r="P3908" s="2" t="s">
        <v>67</v>
      </c>
    </row>
    <row r="3909">
      <c r="A3909" s="3" t="s">
        <v>139</v>
      </c>
      <c r="B3909" s="4">
        <v>45206.29166666667</v>
      </c>
      <c r="C3909" s="2" t="s">
        <v>18</v>
      </c>
      <c r="D3909" s="2" t="s">
        <v>19</v>
      </c>
      <c r="E3909" s="2" t="s">
        <v>441</v>
      </c>
      <c r="F3909" s="2"/>
      <c r="G3909" s="2">
        <v>12.0</v>
      </c>
      <c r="H3909" s="2">
        <v>8.0</v>
      </c>
      <c r="I3909" s="2">
        <v>4.0</v>
      </c>
      <c r="J3909" s="2">
        <v>0.0</v>
      </c>
      <c r="K3909" s="2">
        <v>0.0</v>
      </c>
      <c r="L3909" s="2">
        <v>0.0</v>
      </c>
      <c r="M3909" s="2"/>
      <c r="N3909" s="2"/>
      <c r="O3909" s="2"/>
      <c r="P3909" s="2" t="s">
        <v>67</v>
      </c>
    </row>
    <row r="3910">
      <c r="A3910" s="3" t="s">
        <v>140</v>
      </c>
      <c r="B3910" s="4">
        <v>45207.29166666667</v>
      </c>
      <c r="C3910" s="2" t="s">
        <v>18</v>
      </c>
      <c r="D3910" s="2" t="s">
        <v>19</v>
      </c>
      <c r="E3910" s="2" t="s">
        <v>442</v>
      </c>
      <c r="F3910" s="2"/>
      <c r="G3910" s="2">
        <v>5.0</v>
      </c>
      <c r="H3910" s="2">
        <v>5.0</v>
      </c>
      <c r="I3910" s="2">
        <v>0.0</v>
      </c>
      <c r="J3910" s="2">
        <v>0.0</v>
      </c>
      <c r="K3910" s="2">
        <v>0.0</v>
      </c>
      <c r="L3910" s="2">
        <v>0.0</v>
      </c>
      <c r="M3910" s="2"/>
      <c r="N3910" s="2"/>
      <c r="O3910" s="2"/>
      <c r="P3910" s="2" t="s">
        <v>67</v>
      </c>
    </row>
    <row r="3911">
      <c r="A3911" s="3" t="s">
        <v>141</v>
      </c>
      <c r="B3911" s="4">
        <v>45208.29166666667</v>
      </c>
      <c r="C3911" s="2" t="s">
        <v>18</v>
      </c>
      <c r="D3911" s="2" t="s">
        <v>19</v>
      </c>
      <c r="E3911" s="2" t="s">
        <v>444</v>
      </c>
      <c r="F3911" s="2"/>
      <c r="G3911" s="2">
        <v>2.0</v>
      </c>
      <c r="H3911" s="2">
        <v>2.0</v>
      </c>
      <c r="I3911" s="2">
        <v>0.0</v>
      </c>
      <c r="J3911" s="2">
        <v>0.0</v>
      </c>
      <c r="K3911" s="2">
        <v>0.0</v>
      </c>
      <c r="L3911" s="2">
        <v>0.0</v>
      </c>
      <c r="M3911" s="2"/>
      <c r="N3911" s="2"/>
      <c r="O3911" s="2"/>
      <c r="P3911" s="2" t="s">
        <v>67</v>
      </c>
    </row>
    <row r="3912">
      <c r="A3912" s="3" t="s">
        <v>142</v>
      </c>
      <c r="B3912" s="4">
        <v>45209.29166666667</v>
      </c>
      <c r="C3912" s="2" t="s">
        <v>18</v>
      </c>
      <c r="D3912" s="2" t="s">
        <v>19</v>
      </c>
      <c r="E3912" s="2" t="s">
        <v>445</v>
      </c>
      <c r="F3912" s="2"/>
      <c r="G3912" s="2">
        <v>4.0</v>
      </c>
      <c r="H3912" s="2">
        <v>4.0</v>
      </c>
      <c r="I3912" s="2">
        <v>0.0</v>
      </c>
      <c r="J3912" s="2">
        <v>0.0</v>
      </c>
      <c r="K3912" s="2">
        <v>0.0</v>
      </c>
      <c r="L3912" s="2">
        <v>0.0</v>
      </c>
      <c r="M3912" s="2"/>
      <c r="N3912" s="2"/>
      <c r="O3912" s="2"/>
      <c r="P3912" s="2" t="s">
        <v>67</v>
      </c>
    </row>
    <row r="3913">
      <c r="A3913" s="3" t="s">
        <v>143</v>
      </c>
      <c r="B3913" s="4">
        <v>45210.29166666667</v>
      </c>
      <c r="C3913" s="2" t="s">
        <v>18</v>
      </c>
      <c r="D3913" s="2" t="s">
        <v>19</v>
      </c>
      <c r="E3913" s="2" t="s">
        <v>446</v>
      </c>
      <c r="F3913" s="2"/>
      <c r="G3913" s="2">
        <v>0.0</v>
      </c>
      <c r="H3913" s="2">
        <v>0.0</v>
      </c>
      <c r="I3913" s="2">
        <v>0.0</v>
      </c>
      <c r="J3913" s="2">
        <v>0.0</v>
      </c>
      <c r="K3913" s="2">
        <v>0.0</v>
      </c>
      <c r="L3913" s="2">
        <v>0.0</v>
      </c>
      <c r="M3913" s="2"/>
      <c r="N3913" s="2"/>
      <c r="O3913" s="2"/>
      <c r="P3913" s="2" t="s">
        <v>67</v>
      </c>
    </row>
    <row r="3914">
      <c r="A3914" s="3" t="s">
        <v>144</v>
      </c>
      <c r="B3914" s="4">
        <v>45232.25</v>
      </c>
      <c r="C3914" s="2" t="s">
        <v>18</v>
      </c>
      <c r="D3914" s="2" t="s">
        <v>19</v>
      </c>
      <c r="E3914" s="2" t="s">
        <v>435</v>
      </c>
      <c r="F3914" s="2"/>
      <c r="G3914" s="2">
        <v>0.0</v>
      </c>
      <c r="H3914" s="2">
        <v>0.0</v>
      </c>
      <c r="I3914" s="2">
        <v>0.0</v>
      </c>
      <c r="J3914" s="2">
        <v>0.0</v>
      </c>
      <c r="K3914" s="2">
        <v>0.0</v>
      </c>
      <c r="L3914" s="2">
        <v>0.0</v>
      </c>
      <c r="M3914" s="2"/>
      <c r="N3914" s="2"/>
      <c r="O3914" s="2"/>
      <c r="P3914" s="2" t="s">
        <v>67</v>
      </c>
    </row>
    <row r="3915">
      <c r="A3915" s="3" t="s">
        <v>145</v>
      </c>
      <c r="B3915" s="4">
        <v>45233.25</v>
      </c>
      <c r="C3915" s="2" t="s">
        <v>18</v>
      </c>
      <c r="D3915" s="2" t="s">
        <v>19</v>
      </c>
      <c r="E3915" s="2" t="s">
        <v>436</v>
      </c>
      <c r="F3915" s="2"/>
      <c r="G3915" s="2">
        <v>20.0</v>
      </c>
      <c r="H3915" s="2">
        <v>16.0</v>
      </c>
      <c r="I3915" s="2">
        <v>4.0</v>
      </c>
      <c r="J3915" s="2">
        <v>0.0</v>
      </c>
      <c r="K3915" s="2">
        <v>0.0</v>
      </c>
      <c r="L3915" s="2">
        <v>0.0</v>
      </c>
      <c r="M3915" s="2"/>
      <c r="N3915" s="2"/>
      <c r="O3915" s="2"/>
      <c r="P3915" s="2" t="s">
        <v>67</v>
      </c>
    </row>
    <row r="3916">
      <c r="A3916" s="3" t="s">
        <v>16</v>
      </c>
      <c r="B3916" s="4">
        <v>45235.25</v>
      </c>
      <c r="C3916" s="2" t="s">
        <v>18</v>
      </c>
      <c r="D3916" s="2" t="s">
        <v>19</v>
      </c>
      <c r="E3916" s="2" t="s">
        <v>437</v>
      </c>
      <c r="F3916" s="2"/>
      <c r="G3916" s="2">
        <v>12.0</v>
      </c>
      <c r="H3916" s="2">
        <v>7.0</v>
      </c>
      <c r="I3916" s="2">
        <v>5.0</v>
      </c>
      <c r="J3916" s="2">
        <v>0.0</v>
      </c>
      <c r="K3916" s="2">
        <v>0.0</v>
      </c>
      <c r="L3916" s="2">
        <v>0.0</v>
      </c>
      <c r="M3916" s="2"/>
      <c r="N3916" s="2"/>
      <c r="O3916" s="2"/>
      <c r="P3916" s="2" t="s">
        <v>67</v>
      </c>
    </row>
    <row r="3917">
      <c r="A3917" s="3" t="s">
        <v>22</v>
      </c>
      <c r="B3917" s="4">
        <v>45236.29166666667</v>
      </c>
      <c r="C3917" s="2" t="s">
        <v>18</v>
      </c>
      <c r="D3917" s="2" t="s">
        <v>19</v>
      </c>
      <c r="E3917" s="2" t="s">
        <v>438</v>
      </c>
      <c r="F3917" s="2"/>
      <c r="G3917" s="2">
        <v>2.0</v>
      </c>
      <c r="H3917" s="2">
        <v>1.0</v>
      </c>
      <c r="I3917" s="2">
        <v>1.0</v>
      </c>
      <c r="J3917" s="2">
        <v>0.0</v>
      </c>
      <c r="K3917" s="2">
        <v>0.0</v>
      </c>
      <c r="L3917" s="2">
        <v>0.0</v>
      </c>
      <c r="M3917" s="2"/>
      <c r="N3917" s="2"/>
      <c r="O3917" s="2"/>
      <c r="P3917" s="2" t="s">
        <v>67</v>
      </c>
    </row>
    <row r="3918">
      <c r="A3918" s="3" t="s">
        <v>24</v>
      </c>
      <c r="B3918" s="4">
        <v>45237.29166666667</v>
      </c>
      <c r="C3918" s="2" t="s">
        <v>18</v>
      </c>
      <c r="D3918" s="2" t="s">
        <v>19</v>
      </c>
      <c r="E3918" s="2" t="s">
        <v>439</v>
      </c>
      <c r="F3918" s="2"/>
      <c r="G3918" s="2">
        <v>13.0</v>
      </c>
      <c r="H3918" s="2">
        <v>11.0</v>
      </c>
      <c r="I3918" s="2">
        <v>2.0</v>
      </c>
      <c r="J3918" s="2">
        <v>0.0</v>
      </c>
      <c r="K3918" s="2">
        <v>0.0</v>
      </c>
      <c r="L3918" s="2">
        <v>0.0</v>
      </c>
      <c r="M3918" s="2"/>
      <c r="N3918" s="2"/>
      <c r="O3918" s="2"/>
      <c r="P3918" s="2" t="s">
        <v>67</v>
      </c>
    </row>
    <row r="3919">
      <c r="A3919" s="3" t="s">
        <v>25</v>
      </c>
      <c r="B3919" s="4">
        <v>45238.29166666667</v>
      </c>
      <c r="C3919" s="2" t="s">
        <v>18</v>
      </c>
      <c r="D3919" s="2" t="s">
        <v>19</v>
      </c>
      <c r="E3919" s="2" t="s">
        <v>440</v>
      </c>
      <c r="F3919" s="2"/>
      <c r="G3919" s="2">
        <v>13.0</v>
      </c>
      <c r="H3919" s="2">
        <v>11.0</v>
      </c>
      <c r="I3919" s="2">
        <v>2.0</v>
      </c>
      <c r="J3919" s="2">
        <v>0.0</v>
      </c>
      <c r="K3919" s="2">
        <v>0.0</v>
      </c>
      <c r="L3919" s="2">
        <v>0.0</v>
      </c>
      <c r="M3919" s="2"/>
      <c r="N3919" s="2"/>
      <c r="O3919" s="2"/>
      <c r="P3919" s="2" t="s">
        <v>67</v>
      </c>
    </row>
    <row r="3920">
      <c r="A3920" s="3" t="s">
        <v>26</v>
      </c>
      <c r="B3920" s="4">
        <v>45239.29166666667</v>
      </c>
      <c r="C3920" s="2" t="s">
        <v>18</v>
      </c>
      <c r="D3920" s="2" t="s">
        <v>19</v>
      </c>
      <c r="E3920" s="2" t="s">
        <v>441</v>
      </c>
      <c r="F3920" s="2"/>
      <c r="G3920" s="2">
        <v>11.0</v>
      </c>
      <c r="H3920" s="2">
        <v>11.0</v>
      </c>
      <c r="I3920" s="2">
        <v>0.0</v>
      </c>
      <c r="J3920" s="2">
        <v>0.0</v>
      </c>
      <c r="K3920" s="2">
        <v>0.0</v>
      </c>
      <c r="L3920" s="2">
        <v>0.0</v>
      </c>
      <c r="M3920" s="2"/>
      <c r="N3920" s="2"/>
      <c r="O3920" s="2"/>
      <c r="P3920" s="2" t="s">
        <v>67</v>
      </c>
    </row>
    <row r="3921">
      <c r="A3921" s="3" t="s">
        <v>28</v>
      </c>
      <c r="B3921" s="4">
        <v>45240.29166666667</v>
      </c>
      <c r="C3921" s="2" t="s">
        <v>18</v>
      </c>
      <c r="D3921" s="2" t="s">
        <v>19</v>
      </c>
      <c r="E3921" s="2" t="s">
        <v>442</v>
      </c>
      <c r="F3921" s="2"/>
      <c r="G3921" s="2">
        <v>20.0</v>
      </c>
      <c r="H3921" s="2">
        <v>19.0</v>
      </c>
      <c r="I3921" s="2">
        <v>1.0</v>
      </c>
      <c r="J3921" s="2">
        <v>0.0</v>
      </c>
      <c r="K3921" s="2">
        <v>0.0</v>
      </c>
      <c r="L3921" s="2">
        <v>0.0</v>
      </c>
      <c r="M3921" s="2"/>
      <c r="N3921" s="2"/>
      <c r="O3921" s="2"/>
      <c r="P3921" s="2" t="s">
        <v>67</v>
      </c>
    </row>
    <row r="3922">
      <c r="A3922" s="3" t="s">
        <v>29</v>
      </c>
      <c r="B3922" s="4">
        <v>45241.29166666667</v>
      </c>
      <c r="C3922" s="2" t="s">
        <v>18</v>
      </c>
      <c r="D3922" s="2" t="s">
        <v>19</v>
      </c>
      <c r="E3922" s="2" t="s">
        <v>443</v>
      </c>
      <c r="F3922" s="2"/>
      <c r="G3922" s="2">
        <v>10.0</v>
      </c>
      <c r="H3922" s="2">
        <v>8.0</v>
      </c>
      <c r="I3922" s="2">
        <v>2.0</v>
      </c>
      <c r="J3922" s="2">
        <v>0.0</v>
      </c>
      <c r="K3922" s="2">
        <v>0.0</v>
      </c>
      <c r="L3922" s="2">
        <v>0.0</v>
      </c>
      <c r="M3922" s="2"/>
      <c r="N3922" s="2"/>
      <c r="O3922" s="2"/>
      <c r="P3922" s="2" t="s">
        <v>67</v>
      </c>
    </row>
    <row r="3923">
      <c r="A3923" s="3" t="s">
        <v>32</v>
      </c>
      <c r="B3923" s="4">
        <v>45242.29166666667</v>
      </c>
      <c r="C3923" s="2" t="s">
        <v>18</v>
      </c>
      <c r="D3923" s="2" t="s">
        <v>19</v>
      </c>
      <c r="E3923" s="2" t="s">
        <v>444</v>
      </c>
      <c r="F3923" s="2"/>
      <c r="G3923" s="2">
        <v>18.0</v>
      </c>
      <c r="H3923" s="2">
        <v>17.0</v>
      </c>
      <c r="I3923" s="2">
        <v>1.0</v>
      </c>
      <c r="J3923" s="2">
        <v>0.0</v>
      </c>
      <c r="K3923" s="2">
        <v>0.0</v>
      </c>
      <c r="L3923" s="2">
        <v>0.0</v>
      </c>
      <c r="M3923" s="2"/>
      <c r="N3923" s="2"/>
      <c r="O3923" s="2"/>
      <c r="P3923" s="2" t="s">
        <v>67</v>
      </c>
    </row>
    <row r="3924">
      <c r="A3924" s="3" t="s">
        <v>34</v>
      </c>
      <c r="B3924" s="4">
        <v>45243.29166666667</v>
      </c>
      <c r="C3924" s="2" t="s">
        <v>18</v>
      </c>
      <c r="D3924" s="2" t="s">
        <v>19</v>
      </c>
      <c r="E3924" s="2" t="s">
        <v>445</v>
      </c>
      <c r="F3924" s="2"/>
      <c r="G3924" s="2">
        <v>18.0</v>
      </c>
      <c r="H3924" s="2">
        <v>13.0</v>
      </c>
      <c r="I3924" s="2">
        <v>5.0</v>
      </c>
      <c r="J3924" s="2">
        <v>0.0</v>
      </c>
      <c r="K3924" s="2">
        <v>0.0</v>
      </c>
      <c r="L3924" s="2">
        <v>0.0</v>
      </c>
      <c r="M3924" s="2"/>
      <c r="N3924" s="2"/>
      <c r="O3924" s="2"/>
      <c r="P3924" s="2" t="s">
        <v>67</v>
      </c>
    </row>
    <row r="3925">
      <c r="A3925" s="3" t="s">
        <v>35</v>
      </c>
      <c r="B3925" s="4">
        <v>45244.29166666667</v>
      </c>
      <c r="C3925" s="2" t="s">
        <v>18</v>
      </c>
      <c r="D3925" s="2" t="s">
        <v>19</v>
      </c>
      <c r="E3925" s="2" t="s">
        <v>446</v>
      </c>
      <c r="F3925" s="2"/>
      <c r="G3925" s="2">
        <v>26.0</v>
      </c>
      <c r="H3925" s="2">
        <v>15.0</v>
      </c>
      <c r="I3925" s="2">
        <v>11.0</v>
      </c>
      <c r="J3925" s="2">
        <v>0.0</v>
      </c>
      <c r="K3925" s="2">
        <v>0.0</v>
      </c>
      <c r="L3925" s="2">
        <v>0.0</v>
      </c>
      <c r="M3925" s="2"/>
      <c r="N3925" s="2"/>
      <c r="O3925" s="2"/>
      <c r="P3925" s="2" t="s">
        <v>67</v>
      </c>
    </row>
    <row r="3926">
      <c r="A3926" s="3" t="s">
        <v>36</v>
      </c>
      <c r="B3926" s="4">
        <v>45245.29166666667</v>
      </c>
      <c r="C3926" s="2" t="s">
        <v>18</v>
      </c>
      <c r="D3926" s="2" t="s">
        <v>19</v>
      </c>
      <c r="E3926" s="2" t="s">
        <v>447</v>
      </c>
      <c r="F3926" s="2"/>
      <c r="G3926" s="2">
        <v>15.0</v>
      </c>
      <c r="H3926" s="2">
        <v>9.0</v>
      </c>
      <c r="I3926" s="2">
        <v>6.0</v>
      </c>
      <c r="J3926" s="2">
        <v>0.0</v>
      </c>
      <c r="K3926" s="2">
        <v>0.0</v>
      </c>
      <c r="L3926" s="2">
        <v>0.0</v>
      </c>
      <c r="M3926" s="2"/>
      <c r="N3926" s="2"/>
      <c r="O3926" s="2"/>
      <c r="P3926" s="2" t="s">
        <v>67</v>
      </c>
    </row>
    <row r="3927">
      <c r="A3927" s="3" t="s">
        <v>37</v>
      </c>
      <c r="B3927" s="4">
        <v>45246.29166666667</v>
      </c>
      <c r="C3927" s="2" t="s">
        <v>18</v>
      </c>
      <c r="D3927" s="2" t="s">
        <v>19</v>
      </c>
      <c r="E3927" s="2" t="s">
        <v>448</v>
      </c>
      <c r="F3927" s="2"/>
      <c r="G3927" s="2">
        <v>14.0</v>
      </c>
      <c r="H3927" s="2">
        <v>11.0</v>
      </c>
      <c r="I3927" s="2">
        <v>3.0</v>
      </c>
      <c r="J3927" s="2">
        <v>0.0</v>
      </c>
      <c r="K3927" s="2">
        <v>0.0</v>
      </c>
      <c r="L3927" s="2">
        <v>0.0</v>
      </c>
      <c r="M3927" s="2"/>
      <c r="N3927" s="2"/>
      <c r="O3927" s="2"/>
      <c r="P3927" s="2" t="s">
        <v>67</v>
      </c>
    </row>
    <row r="3928">
      <c r="A3928" s="3" t="s">
        <v>38</v>
      </c>
      <c r="B3928" s="4">
        <v>45247.29166666667</v>
      </c>
      <c r="C3928" s="2" t="s">
        <v>18</v>
      </c>
      <c r="D3928" s="2" t="s">
        <v>30</v>
      </c>
      <c r="E3928" s="2" t="s">
        <v>436</v>
      </c>
      <c r="F3928" s="2"/>
      <c r="G3928" s="2">
        <v>3.0</v>
      </c>
      <c r="H3928" s="2">
        <v>3.0</v>
      </c>
      <c r="I3928" s="2">
        <v>0.0</v>
      </c>
      <c r="J3928" s="2">
        <v>0.0</v>
      </c>
      <c r="K3928" s="2">
        <v>0.0</v>
      </c>
      <c r="L3928" s="2">
        <v>0.0</v>
      </c>
      <c r="M3928" s="2"/>
      <c r="N3928" s="2"/>
      <c r="O3928" s="2"/>
      <c r="P3928" s="2" t="s">
        <v>67</v>
      </c>
    </row>
    <row r="3929">
      <c r="A3929" s="3" t="s">
        <v>39</v>
      </c>
      <c r="B3929" s="4">
        <v>45248.29166666667</v>
      </c>
      <c r="C3929" s="2" t="s">
        <v>18</v>
      </c>
      <c r="D3929" s="2" t="s">
        <v>30</v>
      </c>
      <c r="E3929" s="2" t="s">
        <v>437</v>
      </c>
      <c r="F3929" s="2"/>
      <c r="G3929" s="2">
        <v>6.0</v>
      </c>
      <c r="H3929" s="2">
        <v>6.0</v>
      </c>
      <c r="I3929" s="2">
        <v>0.0</v>
      </c>
      <c r="J3929" s="2">
        <v>0.0</v>
      </c>
      <c r="K3929" s="2">
        <v>0.0</v>
      </c>
      <c r="L3929" s="2">
        <v>0.0</v>
      </c>
      <c r="M3929" s="2"/>
      <c r="N3929" s="2"/>
      <c r="O3929" s="2"/>
      <c r="P3929" s="2" t="s">
        <v>67</v>
      </c>
    </row>
    <row r="3930">
      <c r="A3930" s="3" t="s">
        <v>40</v>
      </c>
      <c r="B3930" s="4">
        <v>45249.29166666667</v>
      </c>
      <c r="C3930" s="2" t="s">
        <v>18</v>
      </c>
      <c r="D3930" s="2" t="s">
        <v>30</v>
      </c>
      <c r="E3930" s="2" t="s">
        <v>439</v>
      </c>
      <c r="F3930" s="2"/>
      <c r="G3930" s="2">
        <v>6.0</v>
      </c>
      <c r="H3930" s="2">
        <v>4.0</v>
      </c>
      <c r="I3930" s="2">
        <v>2.0</v>
      </c>
      <c r="J3930" s="2">
        <v>0.0</v>
      </c>
      <c r="K3930" s="2">
        <v>0.0</v>
      </c>
      <c r="L3930" s="2">
        <v>0.0</v>
      </c>
      <c r="M3930" s="2"/>
      <c r="N3930" s="2"/>
      <c r="O3930" s="2"/>
      <c r="P3930" s="2" t="s">
        <v>67</v>
      </c>
    </row>
    <row r="3931">
      <c r="A3931" s="3" t="s">
        <v>41</v>
      </c>
      <c r="B3931" s="4">
        <v>45250.29166666667</v>
      </c>
      <c r="C3931" s="2" t="s">
        <v>18</v>
      </c>
      <c r="D3931" s="2" t="s">
        <v>30</v>
      </c>
      <c r="E3931" s="2" t="s">
        <v>440</v>
      </c>
      <c r="F3931" s="2"/>
      <c r="G3931" s="2">
        <v>2.0</v>
      </c>
      <c r="H3931" s="2">
        <v>2.0</v>
      </c>
      <c r="I3931" s="2">
        <v>0.0</v>
      </c>
      <c r="J3931" s="2">
        <v>0.0</v>
      </c>
      <c r="K3931" s="2">
        <v>0.0</v>
      </c>
      <c r="L3931" s="2">
        <v>0.0</v>
      </c>
      <c r="M3931" s="2"/>
      <c r="N3931" s="2"/>
      <c r="O3931" s="2"/>
      <c r="P3931" s="2" t="s">
        <v>67</v>
      </c>
    </row>
    <row r="3932">
      <c r="A3932" s="3" t="s">
        <v>42</v>
      </c>
      <c r="B3932" s="4">
        <v>45251.29166666667</v>
      </c>
      <c r="C3932" s="2" t="s">
        <v>18</v>
      </c>
      <c r="D3932" s="2" t="s">
        <v>30</v>
      </c>
      <c r="E3932" s="2" t="s">
        <v>442</v>
      </c>
      <c r="F3932" s="2"/>
      <c r="G3932" s="2">
        <v>6.0</v>
      </c>
      <c r="H3932" s="2">
        <v>6.0</v>
      </c>
      <c r="I3932" s="2">
        <v>0.0</v>
      </c>
      <c r="J3932" s="2">
        <v>0.0</v>
      </c>
      <c r="K3932" s="2">
        <v>0.0</v>
      </c>
      <c r="L3932" s="2">
        <v>0.0</v>
      </c>
      <c r="M3932" s="2"/>
      <c r="N3932" s="2"/>
      <c r="O3932" s="2"/>
      <c r="P3932" s="2" t="s">
        <v>67</v>
      </c>
    </row>
    <row r="3933">
      <c r="A3933" s="3" t="s">
        <v>43</v>
      </c>
      <c r="B3933" s="4">
        <v>45252.29166666667</v>
      </c>
      <c r="C3933" s="2" t="s">
        <v>18</v>
      </c>
      <c r="D3933" s="2" t="s">
        <v>30</v>
      </c>
      <c r="E3933" s="2" t="s">
        <v>443</v>
      </c>
      <c r="F3933" s="2"/>
      <c r="G3933" s="2">
        <v>0.0</v>
      </c>
      <c r="H3933" s="2">
        <v>0.0</v>
      </c>
      <c r="I3933" s="2">
        <v>0.0</v>
      </c>
      <c r="J3933" s="2">
        <v>0.0</v>
      </c>
      <c r="K3933" s="2">
        <v>0.0</v>
      </c>
      <c r="L3933" s="2">
        <v>0.0</v>
      </c>
      <c r="M3933" s="2"/>
      <c r="N3933" s="2"/>
      <c r="O3933" s="2"/>
      <c r="P3933" s="2" t="s">
        <v>67</v>
      </c>
    </row>
    <row r="3934">
      <c r="A3934" s="3" t="s">
        <v>44</v>
      </c>
      <c r="B3934" s="4">
        <v>45253.29166666667</v>
      </c>
      <c r="C3934" s="2" t="s">
        <v>18</v>
      </c>
      <c r="D3934" s="2" t="s">
        <v>30</v>
      </c>
      <c r="E3934" s="2" t="s">
        <v>444</v>
      </c>
      <c r="F3934" s="2"/>
      <c r="G3934" s="2">
        <v>6.0</v>
      </c>
      <c r="H3934" s="2">
        <v>5.0</v>
      </c>
      <c r="I3934" s="2">
        <v>1.0</v>
      </c>
      <c r="J3934" s="2">
        <v>0.0</v>
      </c>
      <c r="K3934" s="2">
        <v>0.0</v>
      </c>
      <c r="L3934" s="2">
        <v>0.0</v>
      </c>
      <c r="M3934" s="2"/>
      <c r="N3934" s="2"/>
      <c r="O3934" s="2"/>
      <c r="P3934" s="2" t="s">
        <v>67</v>
      </c>
    </row>
    <row r="3935">
      <c r="A3935" s="3" t="s">
        <v>45</v>
      </c>
      <c r="B3935" s="4">
        <v>45254.29166666667</v>
      </c>
      <c r="C3935" s="2" t="s">
        <v>18</v>
      </c>
      <c r="D3935" s="2" t="s">
        <v>30</v>
      </c>
      <c r="E3935" s="2" t="s">
        <v>445</v>
      </c>
      <c r="F3935" s="2"/>
      <c r="G3935" s="2">
        <v>8.0</v>
      </c>
      <c r="H3935" s="2">
        <v>7.0</v>
      </c>
      <c r="I3935" s="2">
        <v>1.0</v>
      </c>
      <c r="J3935" s="2">
        <v>0.0</v>
      </c>
      <c r="K3935" s="2">
        <v>0.0</v>
      </c>
      <c r="L3935" s="2">
        <v>0.0</v>
      </c>
      <c r="M3935" s="2"/>
      <c r="N3935" s="2"/>
      <c r="O3935" s="2"/>
      <c r="P3935" s="2" t="s">
        <v>67</v>
      </c>
    </row>
    <row r="3936">
      <c r="A3936" s="3" t="s">
        <v>16</v>
      </c>
      <c r="B3936" s="4">
        <v>45255.29166666667</v>
      </c>
      <c r="C3936" s="2" t="s">
        <v>18</v>
      </c>
      <c r="D3936" s="2" t="s">
        <v>30</v>
      </c>
      <c r="E3936" s="2" t="s">
        <v>446</v>
      </c>
      <c r="F3936" s="2"/>
      <c r="G3936" s="2">
        <v>4.0</v>
      </c>
      <c r="H3936" s="2">
        <v>4.0</v>
      </c>
      <c r="I3936" s="2">
        <v>0.0</v>
      </c>
      <c r="J3936" s="2">
        <v>0.0</v>
      </c>
      <c r="K3936" s="2">
        <v>0.0</v>
      </c>
      <c r="L3936" s="2">
        <v>0.0</v>
      </c>
      <c r="M3936" s="2"/>
      <c r="N3936" s="2"/>
      <c r="O3936" s="2"/>
      <c r="P3936" s="2" t="s">
        <v>67</v>
      </c>
    </row>
    <row r="3937">
      <c r="A3937" s="3" t="s">
        <v>47</v>
      </c>
      <c r="B3937" s="4">
        <v>45256.29166666667</v>
      </c>
      <c r="C3937" s="2" t="s">
        <v>18</v>
      </c>
      <c r="D3937" s="2" t="s">
        <v>30</v>
      </c>
      <c r="E3937" s="2" t="s">
        <v>447</v>
      </c>
      <c r="F3937" s="2"/>
      <c r="G3937" s="2">
        <v>7.0</v>
      </c>
      <c r="H3937" s="2">
        <v>6.0</v>
      </c>
      <c r="I3937" s="2">
        <v>1.0</v>
      </c>
      <c r="J3937" s="2">
        <v>0.0</v>
      </c>
      <c r="K3937" s="2">
        <v>0.0</v>
      </c>
      <c r="L3937" s="2">
        <v>0.0</v>
      </c>
      <c r="M3937" s="2"/>
      <c r="N3937" s="2"/>
      <c r="O3937" s="2"/>
      <c r="P3937" s="2" t="s">
        <v>67</v>
      </c>
    </row>
    <row r="3938">
      <c r="A3938" s="3" t="s">
        <v>48</v>
      </c>
      <c r="B3938" s="4">
        <v>45257.29166666667</v>
      </c>
      <c r="C3938" s="2" t="s">
        <v>18</v>
      </c>
      <c r="D3938" s="2" t="s">
        <v>30</v>
      </c>
      <c r="E3938" s="2" t="s">
        <v>448</v>
      </c>
      <c r="F3938" s="2"/>
      <c r="G3938" s="2">
        <v>1.0</v>
      </c>
      <c r="H3938" s="2">
        <v>1.0</v>
      </c>
      <c r="I3938" s="2">
        <v>0.0</v>
      </c>
      <c r="J3938" s="2">
        <v>0.0</v>
      </c>
      <c r="K3938" s="2">
        <v>0.0</v>
      </c>
      <c r="L3938" s="2">
        <v>0.0</v>
      </c>
      <c r="M3938" s="2"/>
      <c r="N3938" s="2"/>
      <c r="O3938" s="2"/>
      <c r="P3938" s="2" t="s">
        <v>67</v>
      </c>
    </row>
    <row r="3939">
      <c r="A3939" s="3" t="s">
        <v>49</v>
      </c>
      <c r="B3939" s="2" t="s">
        <v>17</v>
      </c>
      <c r="C3939" s="2" t="s">
        <v>57</v>
      </c>
      <c r="D3939" s="2" t="s">
        <v>19</v>
      </c>
      <c r="E3939" s="2" t="s">
        <v>449</v>
      </c>
      <c r="F3939" s="2">
        <v>19.0</v>
      </c>
      <c r="G3939" s="2">
        <v>0.0</v>
      </c>
      <c r="H3939" s="2">
        <v>0.0</v>
      </c>
      <c r="I3939" s="2">
        <v>0.0</v>
      </c>
      <c r="J3939" s="2">
        <v>0.0</v>
      </c>
      <c r="K3939" s="2">
        <v>0.0</v>
      </c>
      <c r="L3939" s="2">
        <v>0.0</v>
      </c>
      <c r="M3939" s="2">
        <v>19.0</v>
      </c>
      <c r="N3939" s="2"/>
      <c r="O3939" s="2"/>
      <c r="P3939" s="2" t="s">
        <v>67</v>
      </c>
    </row>
    <row r="3940">
      <c r="A3940" s="3" t="s">
        <v>51</v>
      </c>
      <c r="B3940" s="2" t="s">
        <v>17</v>
      </c>
      <c r="C3940" s="2" t="s">
        <v>57</v>
      </c>
      <c r="D3940" s="2" t="s">
        <v>19</v>
      </c>
      <c r="E3940" s="2" t="s">
        <v>450</v>
      </c>
      <c r="F3940" s="2">
        <v>14.0</v>
      </c>
      <c r="G3940" s="2">
        <v>0.0</v>
      </c>
      <c r="H3940" s="2">
        <v>0.0</v>
      </c>
      <c r="I3940" s="2">
        <v>0.0</v>
      </c>
      <c r="J3940" s="2">
        <v>0.0</v>
      </c>
      <c r="K3940" s="2">
        <v>0.0</v>
      </c>
      <c r="L3940" s="2">
        <v>0.0</v>
      </c>
      <c r="M3940" s="2">
        <v>14.0</v>
      </c>
      <c r="N3940" s="2"/>
      <c r="O3940" s="2"/>
      <c r="P3940" s="2" t="s">
        <v>67</v>
      </c>
    </row>
    <row r="3941">
      <c r="A3941" s="3" t="s">
        <v>52</v>
      </c>
      <c r="B3941" s="2" t="s">
        <v>17</v>
      </c>
      <c r="C3941" s="2" t="s">
        <v>57</v>
      </c>
      <c r="D3941" s="2" t="s">
        <v>19</v>
      </c>
      <c r="E3941" s="2" t="s">
        <v>192</v>
      </c>
      <c r="F3941" s="2">
        <v>0.0</v>
      </c>
      <c r="G3941" s="2">
        <v>0.0</v>
      </c>
      <c r="H3941" s="2">
        <v>0.0</v>
      </c>
      <c r="I3941" s="2">
        <v>0.0</v>
      </c>
      <c r="J3941" s="2">
        <v>0.0</v>
      </c>
      <c r="K3941" s="2">
        <v>0.0</v>
      </c>
      <c r="L3941" s="2">
        <v>0.0</v>
      </c>
      <c r="M3941" s="2">
        <v>0.0</v>
      </c>
      <c r="N3941" s="2"/>
      <c r="O3941" s="2"/>
      <c r="P3941" s="2" t="s">
        <v>67</v>
      </c>
    </row>
    <row r="3942">
      <c r="A3942" s="3" t="s">
        <v>53</v>
      </c>
      <c r="B3942" s="2" t="s">
        <v>17</v>
      </c>
      <c r="C3942" s="2" t="s">
        <v>57</v>
      </c>
      <c r="D3942" s="2" t="s">
        <v>19</v>
      </c>
      <c r="E3942" s="2" t="s">
        <v>188</v>
      </c>
      <c r="F3942" s="2">
        <v>8.0</v>
      </c>
      <c r="G3942" s="2">
        <v>0.0</v>
      </c>
      <c r="H3942" s="2">
        <v>0.0</v>
      </c>
      <c r="I3942" s="2">
        <v>0.0</v>
      </c>
      <c r="J3942" s="2">
        <v>0.0</v>
      </c>
      <c r="K3942" s="2">
        <v>0.0</v>
      </c>
      <c r="L3942" s="2">
        <v>0.0</v>
      </c>
      <c r="M3942" s="2">
        <v>8.0</v>
      </c>
      <c r="N3942" s="2"/>
      <c r="O3942" s="2"/>
      <c r="P3942" s="2" t="s">
        <v>67</v>
      </c>
    </row>
    <row r="3943">
      <c r="A3943" s="3" t="s">
        <v>54</v>
      </c>
      <c r="B3943" s="2" t="s">
        <v>17</v>
      </c>
      <c r="C3943" s="2" t="s">
        <v>57</v>
      </c>
      <c r="D3943" s="2" t="s">
        <v>19</v>
      </c>
      <c r="E3943" s="2" t="s">
        <v>189</v>
      </c>
      <c r="F3943" s="2">
        <v>6.0</v>
      </c>
      <c r="G3943" s="2">
        <v>1.0</v>
      </c>
      <c r="H3943" s="2">
        <v>1.0</v>
      </c>
      <c r="I3943" s="2">
        <v>0.0</v>
      </c>
      <c r="J3943" s="2">
        <v>0.0</v>
      </c>
      <c r="K3943" s="2">
        <v>0.0</v>
      </c>
      <c r="L3943" s="2">
        <v>0.0</v>
      </c>
      <c r="M3943" s="2">
        <v>5.0</v>
      </c>
      <c r="N3943" s="2"/>
      <c r="O3943" s="2"/>
      <c r="P3943" s="2" t="s">
        <v>67</v>
      </c>
    </row>
    <row r="3944">
      <c r="A3944" s="3" t="s">
        <v>55</v>
      </c>
      <c r="B3944" s="2" t="s">
        <v>17</v>
      </c>
      <c r="C3944" s="2" t="s">
        <v>18</v>
      </c>
      <c r="D3944" s="2" t="s">
        <v>91</v>
      </c>
      <c r="E3944" s="2" t="s">
        <v>449</v>
      </c>
      <c r="F3944" s="2">
        <v>41.0</v>
      </c>
      <c r="G3944" s="2">
        <v>37.0</v>
      </c>
      <c r="H3944" s="2">
        <v>27.0</v>
      </c>
      <c r="I3944" s="2">
        <v>10.0</v>
      </c>
      <c r="J3944" s="2">
        <v>0.0</v>
      </c>
      <c r="K3944" s="2">
        <v>0.0</v>
      </c>
      <c r="L3944" s="2">
        <v>0.0</v>
      </c>
      <c r="M3944" s="2">
        <v>14.0</v>
      </c>
      <c r="N3944" s="2"/>
      <c r="O3944" s="2"/>
      <c r="P3944" s="2" t="s">
        <v>67</v>
      </c>
    </row>
    <row r="3945">
      <c r="A3945" s="3" t="s">
        <v>56</v>
      </c>
      <c r="B3945" s="2" t="s">
        <v>17</v>
      </c>
      <c r="C3945" s="2" t="s">
        <v>18</v>
      </c>
      <c r="D3945" s="2" t="s">
        <v>91</v>
      </c>
      <c r="E3945" s="2" t="s">
        <v>450</v>
      </c>
      <c r="F3945" s="2">
        <v>17.0</v>
      </c>
      <c r="G3945" s="2">
        <v>3.0</v>
      </c>
      <c r="H3945" s="2">
        <v>1.0</v>
      </c>
      <c r="I3945" s="2">
        <v>2.0</v>
      </c>
      <c r="J3945" s="2">
        <v>0.0</v>
      </c>
      <c r="K3945" s="2">
        <v>0.0</v>
      </c>
      <c r="L3945" s="2">
        <v>0.0</v>
      </c>
      <c r="M3945" s="2">
        <v>16.0</v>
      </c>
      <c r="N3945" s="2"/>
      <c r="O3945" s="2"/>
      <c r="P3945" s="2" t="s">
        <v>67</v>
      </c>
    </row>
    <row r="3946">
      <c r="A3946" s="3" t="s">
        <v>59</v>
      </c>
      <c r="B3946" s="2" t="s">
        <v>17</v>
      </c>
      <c r="C3946" s="2" t="s">
        <v>18</v>
      </c>
      <c r="D3946" s="2" t="s">
        <v>91</v>
      </c>
      <c r="E3946" s="2" t="s">
        <v>192</v>
      </c>
      <c r="F3946" s="2">
        <v>2.0</v>
      </c>
      <c r="G3946" s="2">
        <v>7.0</v>
      </c>
      <c r="H3946" s="2">
        <v>4.0</v>
      </c>
      <c r="I3946" s="2">
        <v>3.0</v>
      </c>
      <c r="J3946" s="2">
        <v>0.0</v>
      </c>
      <c r="K3946" s="2">
        <v>0.0</v>
      </c>
      <c r="L3946" s="2">
        <v>0.0</v>
      </c>
      <c r="M3946" s="2">
        <v>-2.0</v>
      </c>
      <c r="N3946" s="2"/>
      <c r="O3946" s="2"/>
      <c r="P3946" s="2" t="s">
        <v>67</v>
      </c>
    </row>
    <row r="3947">
      <c r="A3947" s="3" t="s">
        <v>60</v>
      </c>
      <c r="B3947" s="2" t="s">
        <v>17</v>
      </c>
      <c r="C3947" s="2" t="s">
        <v>18</v>
      </c>
      <c r="D3947" s="2" t="s">
        <v>91</v>
      </c>
      <c r="E3947" s="2" t="s">
        <v>188</v>
      </c>
      <c r="F3947" s="2">
        <v>6.0</v>
      </c>
      <c r="G3947" s="2">
        <v>5.0</v>
      </c>
      <c r="H3947" s="2">
        <v>4.0</v>
      </c>
      <c r="I3947" s="2">
        <v>1.0</v>
      </c>
      <c r="J3947" s="2">
        <v>0.0</v>
      </c>
      <c r="K3947" s="2">
        <v>0.0</v>
      </c>
      <c r="L3947" s="2">
        <v>0.0</v>
      </c>
      <c r="M3947" s="2">
        <v>2.0</v>
      </c>
      <c r="N3947" s="2"/>
      <c r="O3947" s="2"/>
      <c r="P3947" s="2" t="s">
        <v>67</v>
      </c>
    </row>
    <row r="3948">
      <c r="A3948" s="3" t="s">
        <v>61</v>
      </c>
      <c r="B3948" s="2" t="s">
        <v>17</v>
      </c>
      <c r="C3948" s="2" t="s">
        <v>18</v>
      </c>
      <c r="D3948" s="2" t="s">
        <v>91</v>
      </c>
      <c r="E3948" s="2" t="s">
        <v>189</v>
      </c>
      <c r="F3948" s="2">
        <v>2.0</v>
      </c>
      <c r="G3948" s="2">
        <v>3.0</v>
      </c>
      <c r="H3948" s="2">
        <v>1.0</v>
      </c>
      <c r="I3948" s="2">
        <v>2.0</v>
      </c>
      <c r="J3948" s="2">
        <v>0.0</v>
      </c>
      <c r="K3948" s="2">
        <v>0.0</v>
      </c>
      <c r="L3948" s="2">
        <v>0.0</v>
      </c>
      <c r="M3948" s="2">
        <v>1.0</v>
      </c>
      <c r="N3948" s="2"/>
      <c r="O3948" s="2"/>
      <c r="P3948" s="2" t="s">
        <v>67</v>
      </c>
    </row>
    <row r="3949">
      <c r="A3949" s="3" t="s">
        <v>62</v>
      </c>
      <c r="B3949" s="2" t="s">
        <v>17</v>
      </c>
      <c r="C3949" s="2" t="s">
        <v>18</v>
      </c>
      <c r="D3949" s="2" t="s">
        <v>23</v>
      </c>
      <c r="E3949" s="2" t="s">
        <v>449</v>
      </c>
      <c r="F3949" s="2">
        <v>27.0</v>
      </c>
      <c r="G3949" s="2">
        <v>37.0</v>
      </c>
      <c r="H3949" s="2">
        <v>27.0</v>
      </c>
      <c r="I3949" s="2">
        <v>10.0</v>
      </c>
      <c r="J3949" s="2">
        <v>0.0</v>
      </c>
      <c r="K3949" s="2">
        <v>0.0</v>
      </c>
      <c r="L3949" s="2">
        <v>0.0</v>
      </c>
      <c r="M3949" s="2">
        <v>0.0</v>
      </c>
      <c r="N3949" s="2">
        <v>-33.0</v>
      </c>
      <c r="O3949" s="2">
        <v>-27.0</v>
      </c>
      <c r="P3949" s="2" t="s">
        <v>67</v>
      </c>
    </row>
    <row r="3950">
      <c r="A3950" s="3" t="s">
        <v>63</v>
      </c>
      <c r="B3950" s="2" t="s">
        <v>17</v>
      </c>
      <c r="C3950" s="2" t="s">
        <v>18</v>
      </c>
      <c r="D3950" s="2" t="s">
        <v>23</v>
      </c>
      <c r="E3950" s="2" t="s">
        <v>450</v>
      </c>
      <c r="F3950" s="2">
        <v>14.0</v>
      </c>
      <c r="G3950" s="2">
        <v>3.0</v>
      </c>
      <c r="H3950" s="2">
        <v>1.0</v>
      </c>
      <c r="I3950" s="2">
        <v>2.0</v>
      </c>
      <c r="J3950" s="2">
        <v>0.0</v>
      </c>
      <c r="K3950" s="2">
        <v>0.0</v>
      </c>
      <c r="L3950" s="2">
        <v>0.0</v>
      </c>
      <c r="M3950" s="2">
        <v>13.0</v>
      </c>
      <c r="N3950" s="2">
        <v>-17.0</v>
      </c>
      <c r="O3950" s="2">
        <v>12.0</v>
      </c>
      <c r="P3950" s="2" t="s">
        <v>67</v>
      </c>
    </row>
    <row r="3951">
      <c r="A3951" s="3" t="s">
        <v>64</v>
      </c>
      <c r="B3951" s="2" t="s">
        <v>17</v>
      </c>
      <c r="C3951" s="2" t="s">
        <v>18</v>
      </c>
      <c r="D3951" s="2" t="s">
        <v>23</v>
      </c>
      <c r="E3951" s="2" t="s">
        <v>192</v>
      </c>
      <c r="F3951" s="2">
        <v>4.0</v>
      </c>
      <c r="G3951" s="2">
        <v>7.0</v>
      </c>
      <c r="H3951" s="2">
        <v>4.0</v>
      </c>
      <c r="I3951" s="2">
        <v>3.0</v>
      </c>
      <c r="J3951" s="2">
        <v>0.0</v>
      </c>
      <c r="K3951" s="2">
        <v>0.0</v>
      </c>
      <c r="L3951" s="2">
        <v>0.0</v>
      </c>
      <c r="M3951" s="2">
        <v>0.0</v>
      </c>
      <c r="N3951" s="2">
        <v>2.0</v>
      </c>
      <c r="O3951" s="2">
        <v>-4.0</v>
      </c>
      <c r="P3951" s="2" t="s">
        <v>67</v>
      </c>
    </row>
    <row r="3952">
      <c r="A3952" s="3" t="s">
        <v>65</v>
      </c>
      <c r="B3952" s="2" t="s">
        <v>17</v>
      </c>
      <c r="C3952" s="2" t="s">
        <v>18</v>
      </c>
      <c r="D3952" s="2" t="s">
        <v>23</v>
      </c>
      <c r="E3952" s="2" t="s">
        <v>188</v>
      </c>
      <c r="F3952" s="2">
        <v>4.0</v>
      </c>
      <c r="G3952" s="2">
        <v>5.0</v>
      </c>
      <c r="H3952" s="2">
        <v>4.0</v>
      </c>
      <c r="I3952" s="2">
        <v>1.0</v>
      </c>
      <c r="J3952" s="2">
        <v>0.0</v>
      </c>
      <c r="K3952" s="2">
        <v>0.0</v>
      </c>
      <c r="L3952" s="2">
        <v>0.0</v>
      </c>
      <c r="M3952" s="2">
        <v>0.0</v>
      </c>
      <c r="N3952" s="2">
        <v>-10.0</v>
      </c>
      <c r="O3952" s="2">
        <v>-4.0</v>
      </c>
      <c r="P3952" s="2" t="s">
        <v>67</v>
      </c>
    </row>
    <row r="3953">
      <c r="A3953" s="3" t="s">
        <v>66</v>
      </c>
      <c r="B3953" s="2" t="s">
        <v>17</v>
      </c>
      <c r="C3953" s="2" t="s">
        <v>18</v>
      </c>
      <c r="D3953" s="2" t="s">
        <v>23</v>
      </c>
      <c r="E3953" s="2" t="s">
        <v>189</v>
      </c>
      <c r="F3953" s="2">
        <v>2.0</v>
      </c>
      <c r="G3953" s="2">
        <v>4.0</v>
      </c>
      <c r="H3953" s="2">
        <v>2.0</v>
      </c>
      <c r="I3953" s="2">
        <v>2.0</v>
      </c>
      <c r="J3953" s="2">
        <v>0.0</v>
      </c>
      <c r="K3953" s="2">
        <v>0.0</v>
      </c>
      <c r="L3953" s="2">
        <v>0.0</v>
      </c>
      <c r="M3953" s="2">
        <v>0.0</v>
      </c>
      <c r="N3953" s="2">
        <v>-6.0</v>
      </c>
      <c r="O3953" s="2">
        <v>-2.0</v>
      </c>
      <c r="P3953" s="2" t="s">
        <v>67</v>
      </c>
    </row>
    <row r="3954">
      <c r="A3954" s="3" t="s">
        <v>68</v>
      </c>
      <c r="B3954" s="4">
        <v>45201.29166666667</v>
      </c>
      <c r="C3954" s="2" t="s">
        <v>18</v>
      </c>
      <c r="D3954" s="2" t="s">
        <v>19</v>
      </c>
      <c r="E3954" s="2" t="s">
        <v>449</v>
      </c>
      <c r="F3954" s="2"/>
      <c r="G3954" s="2">
        <v>0.0</v>
      </c>
      <c r="H3954" s="2">
        <v>0.0</v>
      </c>
      <c r="I3954" s="2">
        <v>0.0</v>
      </c>
      <c r="J3954" s="2">
        <v>0.0</v>
      </c>
      <c r="K3954" s="2">
        <v>0.0</v>
      </c>
      <c r="L3954" s="2">
        <v>0.0</v>
      </c>
      <c r="M3954" s="2"/>
      <c r="N3954" s="2"/>
      <c r="O3954" s="2"/>
      <c r="P3954" s="2" t="s">
        <v>67</v>
      </c>
    </row>
    <row r="3955">
      <c r="A3955" s="3" t="s">
        <v>70</v>
      </c>
      <c r="B3955" s="4">
        <v>45202.29166666667</v>
      </c>
      <c r="C3955" s="2" t="s">
        <v>18</v>
      </c>
      <c r="D3955" s="2" t="s">
        <v>19</v>
      </c>
      <c r="E3955" s="2" t="s">
        <v>450</v>
      </c>
      <c r="F3955" s="2"/>
      <c r="G3955" s="2">
        <v>0.0</v>
      </c>
      <c r="H3955" s="2">
        <v>0.0</v>
      </c>
      <c r="I3955" s="2">
        <v>0.0</v>
      </c>
      <c r="J3955" s="2">
        <v>0.0</v>
      </c>
      <c r="K3955" s="2">
        <v>0.0</v>
      </c>
      <c r="L3955" s="2">
        <v>0.0</v>
      </c>
      <c r="M3955" s="2"/>
      <c r="N3955" s="2"/>
      <c r="O3955" s="2"/>
      <c r="P3955" s="2" t="s">
        <v>67</v>
      </c>
    </row>
    <row r="3956">
      <c r="A3956" s="3" t="s">
        <v>16</v>
      </c>
      <c r="B3956" s="4">
        <v>45203.29166666667</v>
      </c>
      <c r="C3956" s="2" t="s">
        <v>18</v>
      </c>
      <c r="D3956" s="2" t="s">
        <v>19</v>
      </c>
      <c r="E3956" s="2" t="s">
        <v>192</v>
      </c>
      <c r="F3956" s="2"/>
      <c r="G3956" s="2">
        <v>0.0</v>
      </c>
      <c r="H3956" s="2">
        <v>0.0</v>
      </c>
      <c r="I3956" s="2">
        <v>0.0</v>
      </c>
      <c r="J3956" s="2">
        <v>0.0</v>
      </c>
      <c r="K3956" s="2">
        <v>0.0</v>
      </c>
      <c r="L3956" s="2">
        <v>0.0</v>
      </c>
      <c r="M3956" s="2"/>
      <c r="N3956" s="2"/>
      <c r="O3956" s="2"/>
      <c r="P3956" s="2" t="s">
        <v>67</v>
      </c>
    </row>
    <row r="3957">
      <c r="A3957" s="3" t="s">
        <v>71</v>
      </c>
      <c r="B3957" s="4">
        <v>45204.29166666667</v>
      </c>
      <c r="C3957" s="2" t="s">
        <v>18</v>
      </c>
      <c r="D3957" s="2" t="s">
        <v>19</v>
      </c>
      <c r="E3957" s="2" t="s">
        <v>188</v>
      </c>
      <c r="F3957" s="2"/>
      <c r="G3957" s="2">
        <v>0.0</v>
      </c>
      <c r="H3957" s="2">
        <v>0.0</v>
      </c>
      <c r="I3957" s="2">
        <v>0.0</v>
      </c>
      <c r="J3957" s="2">
        <v>0.0</v>
      </c>
      <c r="K3957" s="2">
        <v>0.0</v>
      </c>
      <c r="L3957" s="2">
        <v>0.0</v>
      </c>
      <c r="M3957" s="2"/>
      <c r="N3957" s="2"/>
      <c r="O3957" s="2"/>
      <c r="P3957" s="2" t="s">
        <v>67</v>
      </c>
    </row>
    <row r="3958">
      <c r="A3958" s="3" t="s">
        <v>72</v>
      </c>
      <c r="B3958" s="4">
        <v>45205.29166666667</v>
      </c>
      <c r="C3958" s="2" t="s">
        <v>18</v>
      </c>
      <c r="D3958" s="2" t="s">
        <v>19</v>
      </c>
      <c r="E3958" s="2" t="s">
        <v>189</v>
      </c>
      <c r="F3958" s="2"/>
      <c r="G3958" s="2">
        <v>1.0</v>
      </c>
      <c r="H3958" s="2">
        <v>1.0</v>
      </c>
      <c r="I3958" s="2">
        <v>0.0</v>
      </c>
      <c r="J3958" s="2">
        <v>0.0</v>
      </c>
      <c r="K3958" s="2">
        <v>0.0</v>
      </c>
      <c r="L3958" s="2">
        <v>0.0</v>
      </c>
      <c r="M3958" s="2"/>
      <c r="N3958" s="2"/>
      <c r="O3958" s="2"/>
      <c r="P3958" s="2" t="s">
        <v>67</v>
      </c>
    </row>
    <row r="3959">
      <c r="A3959" s="3" t="s">
        <v>73</v>
      </c>
      <c r="B3959" s="4">
        <v>45206.29166666667</v>
      </c>
      <c r="C3959" s="2" t="s">
        <v>18</v>
      </c>
      <c r="D3959" s="2" t="s">
        <v>91</v>
      </c>
      <c r="E3959" s="2" t="s">
        <v>449</v>
      </c>
      <c r="F3959" s="2"/>
      <c r="G3959" s="2">
        <v>21.0</v>
      </c>
      <c r="H3959" s="2">
        <v>17.0</v>
      </c>
      <c r="I3959" s="2">
        <v>4.0</v>
      </c>
      <c r="J3959" s="2">
        <v>0.0</v>
      </c>
      <c r="K3959" s="2">
        <v>0.0</v>
      </c>
      <c r="L3959" s="2">
        <v>0.0</v>
      </c>
      <c r="M3959" s="2"/>
      <c r="N3959" s="2"/>
      <c r="O3959" s="2"/>
      <c r="P3959" s="2" t="s">
        <v>67</v>
      </c>
    </row>
    <row r="3960">
      <c r="A3960" s="3" t="s">
        <v>74</v>
      </c>
      <c r="B3960" s="4">
        <v>45207.29166666667</v>
      </c>
      <c r="C3960" s="2" t="s">
        <v>18</v>
      </c>
      <c r="D3960" s="2" t="s">
        <v>91</v>
      </c>
      <c r="E3960" s="2" t="s">
        <v>450</v>
      </c>
      <c r="F3960" s="2"/>
      <c r="G3960" s="2">
        <v>1.0</v>
      </c>
      <c r="H3960" s="2">
        <v>1.0</v>
      </c>
      <c r="I3960" s="2">
        <v>0.0</v>
      </c>
      <c r="J3960" s="2">
        <v>0.0</v>
      </c>
      <c r="K3960" s="2">
        <v>0.0</v>
      </c>
      <c r="L3960" s="2">
        <v>0.0</v>
      </c>
      <c r="M3960" s="2"/>
      <c r="N3960" s="2"/>
      <c r="O3960" s="2"/>
      <c r="P3960" s="2" t="s">
        <v>67</v>
      </c>
    </row>
    <row r="3961">
      <c r="A3961" s="3" t="s">
        <v>75</v>
      </c>
      <c r="B3961" s="4">
        <v>45208.29166666667</v>
      </c>
      <c r="C3961" s="2" t="s">
        <v>18</v>
      </c>
      <c r="D3961" s="2" t="s">
        <v>91</v>
      </c>
      <c r="E3961" s="2" t="s">
        <v>192</v>
      </c>
      <c r="F3961" s="2"/>
      <c r="G3961" s="2">
        <v>7.0</v>
      </c>
      <c r="H3961" s="2">
        <v>4.0</v>
      </c>
      <c r="I3961" s="2">
        <v>3.0</v>
      </c>
      <c r="J3961" s="2">
        <v>0.0</v>
      </c>
      <c r="K3961" s="2">
        <v>0.0</v>
      </c>
      <c r="L3961" s="2">
        <v>0.0</v>
      </c>
      <c r="M3961" s="2"/>
      <c r="N3961" s="2"/>
      <c r="O3961" s="2"/>
      <c r="P3961" s="2" t="s">
        <v>67</v>
      </c>
    </row>
    <row r="3962">
      <c r="A3962" s="3" t="s">
        <v>76</v>
      </c>
      <c r="B3962" s="4">
        <v>45209.29166666667</v>
      </c>
      <c r="C3962" s="2" t="s">
        <v>18</v>
      </c>
      <c r="D3962" s="2" t="s">
        <v>91</v>
      </c>
      <c r="E3962" s="2" t="s">
        <v>188</v>
      </c>
      <c r="F3962" s="2"/>
      <c r="G3962" s="2">
        <v>5.0</v>
      </c>
      <c r="H3962" s="2">
        <v>4.0</v>
      </c>
      <c r="I3962" s="2">
        <v>1.0</v>
      </c>
      <c r="J3962" s="2">
        <v>0.0</v>
      </c>
      <c r="K3962" s="2">
        <v>0.0</v>
      </c>
      <c r="L3962" s="2">
        <v>0.0</v>
      </c>
      <c r="M3962" s="2"/>
      <c r="N3962" s="2"/>
      <c r="O3962" s="2"/>
      <c r="P3962" s="2" t="s">
        <v>67</v>
      </c>
    </row>
    <row r="3963">
      <c r="A3963" s="3" t="s">
        <v>77</v>
      </c>
      <c r="B3963" s="4">
        <v>45210.29166666667</v>
      </c>
      <c r="C3963" s="2" t="s">
        <v>18</v>
      </c>
      <c r="D3963" s="2" t="s">
        <v>91</v>
      </c>
      <c r="E3963" s="2" t="s">
        <v>189</v>
      </c>
      <c r="F3963" s="2"/>
      <c r="G3963" s="2">
        <v>3.0</v>
      </c>
      <c r="H3963" s="2">
        <v>1.0</v>
      </c>
      <c r="I3963" s="2">
        <v>2.0</v>
      </c>
      <c r="J3963" s="2">
        <v>0.0</v>
      </c>
      <c r="K3963" s="2">
        <v>0.0</v>
      </c>
      <c r="L3963" s="2">
        <v>0.0</v>
      </c>
      <c r="M3963" s="2"/>
      <c r="N3963" s="2"/>
      <c r="O3963" s="2"/>
      <c r="P3963" s="2" t="s">
        <v>67</v>
      </c>
    </row>
    <row r="3964">
      <c r="A3964" s="3" t="s">
        <v>78</v>
      </c>
      <c r="B3964" s="4">
        <v>45231.25</v>
      </c>
      <c r="C3964" s="2" t="s">
        <v>18</v>
      </c>
      <c r="D3964" s="2" t="s">
        <v>91</v>
      </c>
      <c r="E3964" s="2" t="s">
        <v>449</v>
      </c>
      <c r="F3964" s="2"/>
      <c r="G3964" s="2">
        <v>16.0</v>
      </c>
      <c r="H3964" s="2">
        <v>10.0</v>
      </c>
      <c r="I3964" s="2">
        <v>6.0</v>
      </c>
      <c r="J3964" s="2">
        <v>0.0</v>
      </c>
      <c r="K3964" s="2">
        <v>0.0</v>
      </c>
      <c r="L3964" s="2">
        <v>0.0</v>
      </c>
      <c r="M3964" s="2"/>
      <c r="N3964" s="2"/>
      <c r="O3964" s="2"/>
      <c r="P3964" s="2" t="s">
        <v>67</v>
      </c>
    </row>
    <row r="3965">
      <c r="A3965" s="3" t="s">
        <v>81</v>
      </c>
      <c r="B3965" s="4">
        <v>45232.25</v>
      </c>
      <c r="C3965" s="2" t="s">
        <v>18</v>
      </c>
      <c r="D3965" s="2" t="s">
        <v>91</v>
      </c>
      <c r="E3965" s="2" t="s">
        <v>450</v>
      </c>
      <c r="F3965" s="2"/>
      <c r="G3965" s="2">
        <v>2.0</v>
      </c>
      <c r="H3965" s="2">
        <v>0.0</v>
      </c>
      <c r="I3965" s="2">
        <v>2.0</v>
      </c>
      <c r="J3965" s="2">
        <v>0.0</v>
      </c>
      <c r="K3965" s="2">
        <v>0.0</v>
      </c>
      <c r="L3965" s="2">
        <v>0.0</v>
      </c>
      <c r="M3965" s="2"/>
      <c r="N3965" s="2"/>
      <c r="O3965" s="2"/>
      <c r="P3965" s="2" t="s">
        <v>67</v>
      </c>
    </row>
    <row r="3966">
      <c r="A3966" s="3" t="s">
        <v>82</v>
      </c>
      <c r="B3966" s="4">
        <v>45233.25</v>
      </c>
      <c r="C3966" s="2" t="s">
        <v>18</v>
      </c>
      <c r="D3966" s="2" t="s">
        <v>91</v>
      </c>
      <c r="E3966" s="2" t="s">
        <v>192</v>
      </c>
      <c r="F3966" s="2"/>
      <c r="G3966" s="2">
        <v>0.0</v>
      </c>
      <c r="H3966" s="2">
        <v>0.0</v>
      </c>
      <c r="I3966" s="2">
        <v>0.0</v>
      </c>
      <c r="J3966" s="2">
        <v>0.0</v>
      </c>
      <c r="K3966" s="2">
        <v>0.0</v>
      </c>
      <c r="L3966" s="2">
        <v>0.0</v>
      </c>
      <c r="M3966" s="2"/>
      <c r="N3966" s="2"/>
      <c r="O3966" s="2"/>
      <c r="P3966" s="2" t="s">
        <v>67</v>
      </c>
    </row>
    <row r="3967">
      <c r="A3967" s="3" t="s">
        <v>83</v>
      </c>
      <c r="B3967" s="4">
        <v>45234.25</v>
      </c>
      <c r="C3967" s="2" t="s">
        <v>18</v>
      </c>
      <c r="D3967" s="2" t="s">
        <v>91</v>
      </c>
      <c r="E3967" s="2" t="s">
        <v>188</v>
      </c>
      <c r="F3967" s="2"/>
      <c r="G3967" s="2">
        <v>0.0</v>
      </c>
      <c r="H3967" s="2">
        <v>0.0</v>
      </c>
      <c r="I3967" s="2">
        <v>0.0</v>
      </c>
      <c r="J3967" s="2">
        <v>0.0</v>
      </c>
      <c r="K3967" s="2">
        <v>0.0</v>
      </c>
      <c r="L3967" s="2">
        <v>0.0</v>
      </c>
      <c r="M3967" s="2"/>
      <c r="N3967" s="2"/>
      <c r="O3967" s="2"/>
      <c r="P3967" s="2" t="s">
        <v>67</v>
      </c>
    </row>
    <row r="3968">
      <c r="A3968" s="3" t="s">
        <v>84</v>
      </c>
      <c r="B3968" s="4">
        <v>45235.25</v>
      </c>
      <c r="C3968" s="2" t="s">
        <v>18</v>
      </c>
      <c r="D3968" s="2" t="s">
        <v>91</v>
      </c>
      <c r="E3968" s="2" t="s">
        <v>189</v>
      </c>
      <c r="F3968" s="2"/>
      <c r="G3968" s="2">
        <v>0.0</v>
      </c>
      <c r="H3968" s="2">
        <v>0.0</v>
      </c>
      <c r="I3968" s="2">
        <v>0.0</v>
      </c>
      <c r="J3968" s="2">
        <v>0.0</v>
      </c>
      <c r="K3968" s="2">
        <v>0.0</v>
      </c>
      <c r="L3968" s="2">
        <v>0.0</v>
      </c>
      <c r="M3968" s="2"/>
      <c r="N3968" s="2"/>
      <c r="O3968" s="2"/>
      <c r="P3968" s="2" t="s">
        <v>67</v>
      </c>
    </row>
    <row r="3969">
      <c r="A3969" s="3" t="s">
        <v>85</v>
      </c>
      <c r="B3969" s="2" t="s">
        <v>17</v>
      </c>
      <c r="C3969" s="2" t="s">
        <v>18</v>
      </c>
      <c r="D3969" s="2" t="s">
        <v>164</v>
      </c>
      <c r="E3969" s="2" t="s">
        <v>165</v>
      </c>
      <c r="F3969" s="2">
        <v>100.0</v>
      </c>
      <c r="G3969" s="2">
        <v>72.0</v>
      </c>
      <c r="H3969" s="2">
        <v>19.0</v>
      </c>
      <c r="I3969" s="2">
        <v>53.0</v>
      </c>
      <c r="J3969" s="2">
        <v>0.0</v>
      </c>
      <c r="K3969" s="2">
        <v>0.0</v>
      </c>
      <c r="L3969" s="2">
        <v>0.0</v>
      </c>
      <c r="M3969" s="2">
        <v>81.0</v>
      </c>
      <c r="N3969" s="2"/>
      <c r="O3969" s="2"/>
      <c r="P3969" s="2" t="s">
        <v>166</v>
      </c>
    </row>
    <row r="3970">
      <c r="A3970" s="3" t="s">
        <v>86</v>
      </c>
      <c r="B3970" s="2" t="s">
        <v>17</v>
      </c>
      <c r="C3970" s="2" t="s">
        <v>18</v>
      </c>
      <c r="D3970" s="2" t="s">
        <v>23</v>
      </c>
      <c r="E3970" s="2" t="s">
        <v>165</v>
      </c>
      <c r="F3970" s="2">
        <v>150.0</v>
      </c>
      <c r="G3970" s="2">
        <v>72.0</v>
      </c>
      <c r="H3970" s="2">
        <v>19.0</v>
      </c>
      <c r="I3970" s="2">
        <v>53.0</v>
      </c>
      <c r="J3970" s="2">
        <v>0.0</v>
      </c>
      <c r="K3970" s="2">
        <v>0.0</v>
      </c>
      <c r="L3970" s="2">
        <v>0.0</v>
      </c>
      <c r="M3970" s="2">
        <v>131.0</v>
      </c>
      <c r="N3970" s="2">
        <v>50.0</v>
      </c>
      <c r="O3970" s="2">
        <v>112.0</v>
      </c>
      <c r="P3970" s="2" t="s">
        <v>166</v>
      </c>
    </row>
    <row r="3971">
      <c r="A3971" s="3" t="s">
        <v>87</v>
      </c>
      <c r="B3971" s="4">
        <v>45232.25</v>
      </c>
      <c r="C3971" s="2" t="s">
        <v>18</v>
      </c>
      <c r="D3971" s="2" t="s">
        <v>164</v>
      </c>
      <c r="E3971" s="2" t="s">
        <v>165</v>
      </c>
      <c r="F3971" s="2"/>
      <c r="G3971" s="2">
        <v>72.0</v>
      </c>
      <c r="H3971" s="2">
        <v>19.0</v>
      </c>
      <c r="I3971" s="2">
        <v>53.0</v>
      </c>
      <c r="J3971" s="2">
        <v>0.0</v>
      </c>
      <c r="K3971" s="2">
        <v>0.0</v>
      </c>
      <c r="L3971" s="2">
        <v>0.0</v>
      </c>
      <c r="M3971" s="2"/>
      <c r="N3971" s="2"/>
      <c r="O3971" s="2"/>
      <c r="P3971" s="2" t="s">
        <v>166</v>
      </c>
    </row>
    <row r="3972">
      <c r="A3972" s="3" t="s">
        <v>88</v>
      </c>
      <c r="B3972" s="2" t="s">
        <v>17</v>
      </c>
      <c r="C3972" s="2" t="s">
        <v>18</v>
      </c>
      <c r="D3972" s="2" t="s">
        <v>19</v>
      </c>
      <c r="E3972" s="2" t="s">
        <v>31</v>
      </c>
      <c r="F3972" s="2">
        <v>40.0</v>
      </c>
      <c r="G3972" s="2">
        <v>42.0</v>
      </c>
      <c r="H3972" s="2">
        <v>41.0</v>
      </c>
      <c r="I3972" s="2">
        <v>1.0</v>
      </c>
      <c r="J3972" s="2">
        <v>0.0</v>
      </c>
      <c r="K3972" s="2">
        <v>0.0</v>
      </c>
      <c r="L3972" s="2">
        <v>0.0</v>
      </c>
      <c r="M3972" s="2">
        <v>-1.0</v>
      </c>
      <c r="N3972" s="2"/>
      <c r="O3972" s="2"/>
      <c r="P3972" s="2" t="s">
        <v>111</v>
      </c>
    </row>
    <row r="3973">
      <c r="A3973" s="3" t="s">
        <v>89</v>
      </c>
      <c r="B3973" s="2" t="s">
        <v>17</v>
      </c>
      <c r="C3973" s="2" t="s">
        <v>18</v>
      </c>
      <c r="D3973" s="2" t="s">
        <v>23</v>
      </c>
      <c r="E3973" s="2" t="s">
        <v>31</v>
      </c>
      <c r="F3973" s="2">
        <v>40.0</v>
      </c>
      <c r="G3973" s="2">
        <v>42.0</v>
      </c>
      <c r="H3973" s="2">
        <v>41.0</v>
      </c>
      <c r="I3973" s="2">
        <v>1.0</v>
      </c>
      <c r="J3973" s="2">
        <v>0.0</v>
      </c>
      <c r="K3973" s="2">
        <v>0.0</v>
      </c>
      <c r="L3973" s="2">
        <v>0.0</v>
      </c>
      <c r="M3973" s="2">
        <v>-1.0</v>
      </c>
      <c r="N3973" s="2">
        <v>0.0</v>
      </c>
      <c r="O3973" s="2">
        <v>-42.0</v>
      </c>
      <c r="P3973" s="2" t="s">
        <v>111</v>
      </c>
    </row>
    <row r="3974">
      <c r="A3974" s="3" t="s">
        <v>90</v>
      </c>
      <c r="B3974" s="4">
        <v>45262.29166666667</v>
      </c>
      <c r="C3974" s="2" t="s">
        <v>18</v>
      </c>
      <c r="D3974" s="2" t="s">
        <v>19</v>
      </c>
      <c r="E3974" s="2" t="s">
        <v>31</v>
      </c>
      <c r="F3974" s="2"/>
      <c r="G3974" s="2">
        <v>42.0</v>
      </c>
      <c r="H3974" s="2">
        <v>41.0</v>
      </c>
      <c r="I3974" s="2">
        <v>1.0</v>
      </c>
      <c r="J3974" s="2">
        <v>0.0</v>
      </c>
      <c r="K3974" s="2">
        <v>0.0</v>
      </c>
      <c r="L3974" s="2">
        <v>0.0</v>
      </c>
      <c r="M3974" s="2"/>
      <c r="N3974" s="2"/>
      <c r="O3974" s="2"/>
      <c r="P3974" s="2" t="s">
        <v>111</v>
      </c>
    </row>
    <row r="3975">
      <c r="A3975" s="3" t="s">
        <v>93</v>
      </c>
      <c r="B3975" s="2" t="s">
        <v>17</v>
      </c>
      <c r="C3975" s="2" t="s">
        <v>18</v>
      </c>
      <c r="D3975" s="2" t="s">
        <v>30</v>
      </c>
      <c r="E3975" s="2" t="s">
        <v>171</v>
      </c>
      <c r="F3975" s="2">
        <v>133.0</v>
      </c>
      <c r="G3975" s="2">
        <v>158.0</v>
      </c>
      <c r="H3975" s="2">
        <v>116.0</v>
      </c>
      <c r="I3975" s="2">
        <v>42.0</v>
      </c>
      <c r="J3975" s="2">
        <v>0.0</v>
      </c>
      <c r="K3975" s="2">
        <v>0.0</v>
      </c>
      <c r="L3975" s="2">
        <v>0.0</v>
      </c>
      <c r="M3975" s="2">
        <v>17.0</v>
      </c>
      <c r="N3975" s="2"/>
      <c r="O3975" s="2"/>
      <c r="P3975" s="2" t="s">
        <v>67</v>
      </c>
    </row>
    <row r="3976">
      <c r="A3976" s="3" t="s">
        <v>16</v>
      </c>
      <c r="B3976" s="2" t="s">
        <v>17</v>
      </c>
      <c r="C3976" s="2" t="s">
        <v>18</v>
      </c>
      <c r="D3976" s="2" t="s">
        <v>19</v>
      </c>
      <c r="E3976" s="2" t="s">
        <v>171</v>
      </c>
      <c r="F3976" s="2">
        <v>15.0</v>
      </c>
      <c r="G3976" s="2">
        <v>12.0</v>
      </c>
      <c r="H3976" s="2">
        <v>5.0</v>
      </c>
      <c r="I3976" s="2">
        <v>7.0</v>
      </c>
      <c r="J3976" s="2">
        <v>0.0</v>
      </c>
      <c r="K3976" s="2">
        <v>0.0</v>
      </c>
      <c r="L3976" s="2">
        <v>0.0</v>
      </c>
      <c r="M3976" s="2">
        <v>10.0</v>
      </c>
      <c r="N3976" s="2"/>
      <c r="O3976" s="2"/>
      <c r="P3976" s="2" t="s">
        <v>67</v>
      </c>
    </row>
    <row r="3977">
      <c r="A3977" s="3" t="s">
        <v>94</v>
      </c>
      <c r="B3977" s="2" t="s">
        <v>17</v>
      </c>
      <c r="C3977" s="2" t="s">
        <v>18</v>
      </c>
      <c r="D3977" s="2" t="s">
        <v>23</v>
      </c>
      <c r="E3977" s="2" t="s">
        <v>171</v>
      </c>
      <c r="F3977" s="2">
        <v>131.0</v>
      </c>
      <c r="G3977" s="2">
        <v>170.0</v>
      </c>
      <c r="H3977" s="2">
        <v>121.0</v>
      </c>
      <c r="I3977" s="2">
        <v>49.0</v>
      </c>
      <c r="J3977" s="2">
        <v>0.0</v>
      </c>
      <c r="K3977" s="2">
        <v>0.0</v>
      </c>
      <c r="L3977" s="2">
        <v>0.0</v>
      </c>
      <c r="M3977" s="2">
        <v>10.0</v>
      </c>
      <c r="N3977" s="2">
        <v>-17.0</v>
      </c>
      <c r="O3977" s="2">
        <v>-111.0</v>
      </c>
      <c r="P3977" s="2" t="s">
        <v>67</v>
      </c>
    </row>
    <row r="3978">
      <c r="A3978" s="3" t="s">
        <v>95</v>
      </c>
      <c r="B3978" s="4">
        <v>45201.29166666667</v>
      </c>
      <c r="C3978" s="2" t="s">
        <v>18</v>
      </c>
      <c r="D3978" s="2" t="s">
        <v>19</v>
      </c>
      <c r="E3978" s="2" t="s">
        <v>171</v>
      </c>
      <c r="F3978" s="2"/>
      <c r="G3978" s="2">
        <v>6.0</v>
      </c>
      <c r="H3978" s="2">
        <v>3.0</v>
      </c>
      <c r="I3978" s="2">
        <v>3.0</v>
      </c>
      <c r="J3978" s="2">
        <v>0.0</v>
      </c>
      <c r="K3978" s="2">
        <v>0.0</v>
      </c>
      <c r="L3978" s="2">
        <v>0.0</v>
      </c>
      <c r="M3978" s="2"/>
      <c r="N3978" s="2"/>
      <c r="O3978" s="2"/>
      <c r="P3978" s="2" t="s">
        <v>67</v>
      </c>
    </row>
    <row r="3979">
      <c r="A3979" s="3" t="s">
        <v>97</v>
      </c>
      <c r="B3979" s="4">
        <v>45232.25</v>
      </c>
      <c r="C3979" s="2" t="s">
        <v>18</v>
      </c>
      <c r="D3979" s="2" t="s">
        <v>30</v>
      </c>
      <c r="E3979" s="2" t="s">
        <v>171</v>
      </c>
      <c r="F3979" s="2"/>
      <c r="G3979" s="2">
        <v>154.0</v>
      </c>
      <c r="H3979" s="2">
        <v>113.0</v>
      </c>
      <c r="I3979" s="2">
        <v>41.0</v>
      </c>
      <c r="J3979" s="2">
        <v>0.0</v>
      </c>
      <c r="K3979" s="2">
        <v>0.0</v>
      </c>
      <c r="L3979" s="2">
        <v>0.0</v>
      </c>
      <c r="M3979" s="2"/>
      <c r="N3979" s="2"/>
      <c r="O3979" s="2"/>
      <c r="P3979" s="2" t="s">
        <v>67</v>
      </c>
    </row>
    <row r="3980">
      <c r="A3980" s="3" t="s">
        <v>98</v>
      </c>
      <c r="B3980" s="4">
        <v>45233.25</v>
      </c>
      <c r="C3980" s="2" t="s">
        <v>18</v>
      </c>
      <c r="D3980" s="2" t="s">
        <v>19</v>
      </c>
      <c r="E3980" s="2" t="s">
        <v>171</v>
      </c>
      <c r="F3980" s="2"/>
      <c r="G3980" s="2">
        <v>5.0</v>
      </c>
      <c r="H3980" s="2">
        <v>2.0</v>
      </c>
      <c r="I3980" s="2">
        <v>3.0</v>
      </c>
      <c r="J3980" s="2">
        <v>0.0</v>
      </c>
      <c r="K3980" s="2">
        <v>0.0</v>
      </c>
      <c r="L3980" s="2">
        <v>0.0</v>
      </c>
      <c r="M3980" s="2"/>
      <c r="N3980" s="2"/>
      <c r="O3980" s="2"/>
      <c r="P3980" s="2" t="s">
        <v>67</v>
      </c>
    </row>
    <row r="3981">
      <c r="A3981" s="3" t="s">
        <v>99</v>
      </c>
      <c r="B3981" s="4">
        <v>45262.29166666667</v>
      </c>
      <c r="C3981" s="2" t="s">
        <v>18</v>
      </c>
      <c r="D3981" s="2" t="s">
        <v>30</v>
      </c>
      <c r="E3981" s="2" t="s">
        <v>171</v>
      </c>
      <c r="F3981" s="2"/>
      <c r="G3981" s="2">
        <v>4.0</v>
      </c>
      <c r="H3981" s="2">
        <v>3.0</v>
      </c>
      <c r="I3981" s="2">
        <v>1.0</v>
      </c>
      <c r="J3981" s="2">
        <v>0.0</v>
      </c>
      <c r="K3981" s="2">
        <v>0.0</v>
      </c>
      <c r="L3981" s="2">
        <v>0.0</v>
      </c>
      <c r="M3981" s="2"/>
      <c r="N3981" s="2"/>
      <c r="O3981" s="2"/>
      <c r="P3981" s="2" t="s">
        <v>67</v>
      </c>
    </row>
    <row r="3982">
      <c r="A3982" s="3" t="s">
        <v>100</v>
      </c>
      <c r="B3982" s="4">
        <v>45263.29166666667</v>
      </c>
      <c r="C3982" s="2" t="s">
        <v>18</v>
      </c>
      <c r="D3982" s="2" t="s">
        <v>19</v>
      </c>
      <c r="E3982" s="2" t="s">
        <v>171</v>
      </c>
      <c r="F3982" s="2"/>
      <c r="G3982" s="2">
        <v>1.0</v>
      </c>
      <c r="H3982" s="2">
        <v>0.0</v>
      </c>
      <c r="I3982" s="2">
        <v>1.0</v>
      </c>
      <c r="J3982" s="2">
        <v>0.0</v>
      </c>
      <c r="K3982" s="2">
        <v>0.0</v>
      </c>
      <c r="L3982" s="2">
        <v>0.0</v>
      </c>
      <c r="M3982" s="2"/>
      <c r="N3982" s="2"/>
      <c r="O3982" s="2"/>
      <c r="P3982" s="2" t="s">
        <v>67</v>
      </c>
    </row>
    <row r="3983">
      <c r="A3983" s="3" t="s">
        <v>101</v>
      </c>
      <c r="B3983" s="2" t="s">
        <v>17</v>
      </c>
      <c r="C3983" s="2" t="s">
        <v>18</v>
      </c>
      <c r="D3983" s="2" t="s">
        <v>30</v>
      </c>
      <c r="E3983" s="2" t="s">
        <v>171</v>
      </c>
      <c r="F3983" s="2">
        <v>15.0</v>
      </c>
      <c r="G3983" s="2">
        <v>21.0</v>
      </c>
      <c r="H3983" s="2">
        <v>14.0</v>
      </c>
      <c r="I3983" s="2">
        <v>7.0</v>
      </c>
      <c r="J3983" s="2">
        <v>0.0</v>
      </c>
      <c r="K3983" s="2">
        <v>0.0</v>
      </c>
      <c r="L3983" s="2">
        <v>0.0</v>
      </c>
      <c r="M3983" s="2">
        <v>1.0</v>
      </c>
      <c r="N3983" s="2"/>
      <c r="O3983" s="2"/>
      <c r="P3983" s="2" t="s">
        <v>92</v>
      </c>
    </row>
    <row r="3984">
      <c r="A3984" s="3" t="s">
        <v>102</v>
      </c>
      <c r="B3984" s="2" t="s">
        <v>17</v>
      </c>
      <c r="C3984" s="2" t="s">
        <v>18</v>
      </c>
      <c r="D3984" s="2" t="s">
        <v>23</v>
      </c>
      <c r="E3984" s="2" t="s">
        <v>171</v>
      </c>
      <c r="F3984" s="2">
        <v>15.0</v>
      </c>
      <c r="G3984" s="2">
        <v>21.0</v>
      </c>
      <c r="H3984" s="2">
        <v>14.0</v>
      </c>
      <c r="I3984" s="2">
        <v>7.0</v>
      </c>
      <c r="J3984" s="2">
        <v>0.0</v>
      </c>
      <c r="K3984" s="2">
        <v>0.0</v>
      </c>
      <c r="L3984" s="2">
        <v>0.0</v>
      </c>
      <c r="M3984" s="2">
        <v>1.0</v>
      </c>
      <c r="N3984" s="2">
        <v>0.0</v>
      </c>
      <c r="O3984" s="2">
        <v>-13.0</v>
      </c>
      <c r="P3984" s="2" t="s">
        <v>92</v>
      </c>
    </row>
    <row r="3985">
      <c r="A3985" s="3" t="s">
        <v>103</v>
      </c>
      <c r="B3985" s="4">
        <v>45262.29166666667</v>
      </c>
      <c r="C3985" s="2" t="s">
        <v>18</v>
      </c>
      <c r="D3985" s="2" t="s">
        <v>30</v>
      </c>
      <c r="E3985" s="2" t="s">
        <v>171</v>
      </c>
      <c r="F3985" s="2"/>
      <c r="G3985" s="2">
        <v>21.0</v>
      </c>
      <c r="H3985" s="2">
        <v>14.0</v>
      </c>
      <c r="I3985" s="2">
        <v>7.0</v>
      </c>
      <c r="J3985" s="2">
        <v>0.0</v>
      </c>
      <c r="K3985" s="2">
        <v>0.0</v>
      </c>
      <c r="L3985" s="2">
        <v>0.0</v>
      </c>
      <c r="M3985" s="2"/>
      <c r="N3985" s="2"/>
      <c r="O3985" s="2"/>
      <c r="P3985" s="2" t="s">
        <v>92</v>
      </c>
    </row>
    <row r="3986">
      <c r="A3986" s="3" t="s">
        <v>104</v>
      </c>
      <c r="B3986" s="2" t="s">
        <v>17</v>
      </c>
      <c r="C3986" s="2" t="s">
        <v>18</v>
      </c>
      <c r="D3986" s="2" t="s">
        <v>91</v>
      </c>
      <c r="E3986" s="2" t="s">
        <v>451</v>
      </c>
      <c r="F3986" s="2">
        <v>25.0</v>
      </c>
      <c r="G3986" s="2">
        <v>33.0</v>
      </c>
      <c r="H3986" s="2">
        <v>25.0</v>
      </c>
      <c r="I3986" s="2">
        <v>8.0</v>
      </c>
      <c r="J3986" s="2">
        <v>0.0</v>
      </c>
      <c r="K3986" s="2">
        <v>0.0</v>
      </c>
      <c r="L3986" s="2">
        <v>0.0</v>
      </c>
      <c r="M3986" s="2">
        <v>0.0</v>
      </c>
      <c r="N3986" s="2"/>
      <c r="O3986" s="2"/>
      <c r="P3986" s="2" t="s">
        <v>111</v>
      </c>
    </row>
    <row r="3987">
      <c r="A3987" s="3" t="s">
        <v>105</v>
      </c>
      <c r="B3987" s="2" t="s">
        <v>17</v>
      </c>
      <c r="C3987" s="2" t="s">
        <v>148</v>
      </c>
      <c r="D3987" s="2" t="s">
        <v>19</v>
      </c>
      <c r="E3987" s="2" t="s">
        <v>451</v>
      </c>
      <c r="F3987" s="2">
        <v>5.0</v>
      </c>
      <c r="G3987" s="2">
        <v>0.0</v>
      </c>
      <c r="H3987" s="2">
        <v>0.0</v>
      </c>
      <c r="I3987" s="2">
        <v>0.0</v>
      </c>
      <c r="J3987" s="2">
        <v>0.0</v>
      </c>
      <c r="K3987" s="2">
        <v>0.0</v>
      </c>
      <c r="L3987" s="2">
        <v>0.0</v>
      </c>
      <c r="M3987" s="2">
        <v>5.0</v>
      </c>
      <c r="N3987" s="2"/>
      <c r="O3987" s="2"/>
      <c r="P3987" s="2" t="s">
        <v>111</v>
      </c>
    </row>
    <row r="3988">
      <c r="A3988" s="3" t="s">
        <v>106</v>
      </c>
      <c r="B3988" s="2" t="s">
        <v>17</v>
      </c>
      <c r="C3988" s="2" t="s">
        <v>18</v>
      </c>
      <c r="D3988" s="2" t="s">
        <v>23</v>
      </c>
      <c r="E3988" s="2" t="s">
        <v>451</v>
      </c>
      <c r="F3988" s="2">
        <v>25.0</v>
      </c>
      <c r="G3988" s="2">
        <v>33.0</v>
      </c>
      <c r="H3988" s="2">
        <v>25.0</v>
      </c>
      <c r="I3988" s="2">
        <v>8.0</v>
      </c>
      <c r="J3988" s="2">
        <v>0.0</v>
      </c>
      <c r="K3988" s="2">
        <v>0.0</v>
      </c>
      <c r="L3988" s="2">
        <v>0.0</v>
      </c>
      <c r="M3988" s="2">
        <v>0.0</v>
      </c>
      <c r="N3988" s="2">
        <v>-5.0</v>
      </c>
      <c r="O3988" s="2">
        <v>-25.0</v>
      </c>
      <c r="P3988" s="2" t="s">
        <v>111</v>
      </c>
    </row>
    <row r="3989">
      <c r="A3989" s="3" t="s">
        <v>107</v>
      </c>
      <c r="B3989" s="4">
        <v>45232.25</v>
      </c>
      <c r="C3989" s="2" t="s">
        <v>18</v>
      </c>
      <c r="D3989" s="2" t="s">
        <v>91</v>
      </c>
      <c r="E3989" s="2" t="s">
        <v>451</v>
      </c>
      <c r="F3989" s="2"/>
      <c r="G3989" s="2">
        <v>33.0</v>
      </c>
      <c r="H3989" s="2">
        <v>25.0</v>
      </c>
      <c r="I3989" s="2">
        <v>8.0</v>
      </c>
      <c r="J3989" s="2">
        <v>0.0</v>
      </c>
      <c r="K3989" s="2">
        <v>0.0</v>
      </c>
      <c r="L3989" s="2">
        <v>0.0</v>
      </c>
      <c r="M3989" s="2"/>
      <c r="N3989" s="2"/>
      <c r="O3989" s="2"/>
      <c r="P3989" s="2" t="s">
        <v>111</v>
      </c>
    </row>
    <row r="3990">
      <c r="A3990" s="3" t="s">
        <v>108</v>
      </c>
      <c r="B3990" s="2" t="s">
        <v>17</v>
      </c>
      <c r="C3990" s="2" t="s">
        <v>18</v>
      </c>
      <c r="D3990" s="2" t="s">
        <v>79</v>
      </c>
      <c r="E3990" s="2" t="s">
        <v>165</v>
      </c>
      <c r="F3990" s="2">
        <v>210.0</v>
      </c>
      <c r="G3990" s="2">
        <v>75.0</v>
      </c>
      <c r="H3990" s="2">
        <v>53.0</v>
      </c>
      <c r="I3990" s="2">
        <v>19.0</v>
      </c>
      <c r="J3990" s="2">
        <v>0.0</v>
      </c>
      <c r="K3990" s="2">
        <v>3.0</v>
      </c>
      <c r="L3990" s="2">
        <v>0.0</v>
      </c>
      <c r="M3990" s="2">
        <v>157.0</v>
      </c>
      <c r="N3990" s="2"/>
      <c r="O3990" s="2"/>
      <c r="P3990" s="2" t="s">
        <v>166</v>
      </c>
    </row>
    <row r="3991">
      <c r="A3991" s="3" t="s">
        <v>112</v>
      </c>
      <c r="B3991" s="2" t="s">
        <v>17</v>
      </c>
      <c r="C3991" s="2" t="s">
        <v>18</v>
      </c>
      <c r="D3991" s="2" t="s">
        <v>23</v>
      </c>
      <c r="E3991" s="2" t="s">
        <v>165</v>
      </c>
      <c r="F3991" s="2">
        <v>210.0</v>
      </c>
      <c r="G3991" s="2">
        <v>75.0</v>
      </c>
      <c r="H3991" s="2">
        <v>53.0</v>
      </c>
      <c r="I3991" s="2">
        <v>19.0</v>
      </c>
      <c r="J3991" s="2">
        <v>0.0</v>
      </c>
      <c r="K3991" s="2">
        <v>3.0</v>
      </c>
      <c r="L3991" s="2">
        <v>0.0</v>
      </c>
      <c r="M3991" s="2">
        <v>157.0</v>
      </c>
      <c r="N3991" s="2">
        <v>0.0</v>
      </c>
      <c r="O3991" s="2">
        <v>104.0</v>
      </c>
      <c r="P3991" s="2" t="s">
        <v>166</v>
      </c>
    </row>
    <row r="3992">
      <c r="A3992" s="3" t="s">
        <v>115</v>
      </c>
      <c r="B3992" s="4">
        <v>45232.25</v>
      </c>
      <c r="C3992" s="2" t="s">
        <v>18</v>
      </c>
      <c r="D3992" s="2" t="s">
        <v>79</v>
      </c>
      <c r="E3992" s="2" t="s">
        <v>165</v>
      </c>
      <c r="F3992" s="2"/>
      <c r="G3992" s="2">
        <v>20.0</v>
      </c>
      <c r="H3992" s="2">
        <v>15.0</v>
      </c>
      <c r="I3992" s="2">
        <v>5.0</v>
      </c>
      <c r="J3992" s="2">
        <v>0.0</v>
      </c>
      <c r="K3992" s="2">
        <v>0.0</v>
      </c>
      <c r="L3992" s="2">
        <v>0.0</v>
      </c>
      <c r="M3992" s="2"/>
      <c r="N3992" s="2"/>
      <c r="O3992" s="2"/>
      <c r="P3992" s="2" t="s">
        <v>166</v>
      </c>
    </row>
    <row r="3993">
      <c r="A3993" s="3" t="s">
        <v>117</v>
      </c>
      <c r="B3993" s="4">
        <v>45261.29166666667</v>
      </c>
      <c r="C3993" s="2" t="s">
        <v>18</v>
      </c>
      <c r="D3993" s="2" t="s">
        <v>79</v>
      </c>
      <c r="E3993" s="2" t="s">
        <v>165</v>
      </c>
      <c r="F3993" s="2"/>
      <c r="G3993" s="2">
        <v>40.0</v>
      </c>
      <c r="H3993" s="2">
        <v>30.0</v>
      </c>
      <c r="I3993" s="2">
        <v>10.0</v>
      </c>
      <c r="J3993" s="2">
        <v>0.0</v>
      </c>
      <c r="K3993" s="2">
        <v>0.0</v>
      </c>
      <c r="L3993" s="2">
        <v>0.0</v>
      </c>
      <c r="M3993" s="2"/>
      <c r="N3993" s="2"/>
      <c r="O3993" s="2"/>
      <c r="P3993" s="2" t="s">
        <v>166</v>
      </c>
    </row>
    <row r="3994">
      <c r="A3994" s="3" t="s">
        <v>119</v>
      </c>
      <c r="B3994" s="2" t="s">
        <v>17</v>
      </c>
      <c r="C3994" s="2" t="s">
        <v>113</v>
      </c>
      <c r="D3994" s="2" t="s">
        <v>452</v>
      </c>
      <c r="E3994" s="2" t="s">
        <v>168</v>
      </c>
      <c r="F3994" s="2">
        <v>250.0</v>
      </c>
      <c r="G3994" s="2">
        <v>250.0</v>
      </c>
      <c r="H3994" s="2">
        <v>214.0</v>
      </c>
      <c r="I3994" s="2">
        <v>36.0</v>
      </c>
      <c r="J3994" s="2">
        <v>0.0</v>
      </c>
      <c r="K3994" s="2">
        <v>0.0</v>
      </c>
      <c r="L3994" s="2">
        <v>136.0</v>
      </c>
      <c r="M3994" s="2">
        <v>36.0</v>
      </c>
      <c r="N3994" s="2"/>
      <c r="O3994" s="2"/>
      <c r="P3994" s="2"/>
    </row>
    <row r="3995">
      <c r="A3995" s="3" t="s">
        <v>121</v>
      </c>
      <c r="B3995" s="2" t="s">
        <v>17</v>
      </c>
      <c r="C3995" s="2" t="s">
        <v>18</v>
      </c>
      <c r="D3995" s="2" t="s">
        <v>157</v>
      </c>
      <c r="E3995" s="2" t="s">
        <v>27</v>
      </c>
      <c r="F3995" s="2">
        <v>30.0</v>
      </c>
      <c r="G3995" s="2">
        <v>40.0</v>
      </c>
      <c r="H3995" s="2">
        <v>9.0</v>
      </c>
      <c r="I3995" s="2">
        <v>30.0</v>
      </c>
      <c r="J3995" s="2">
        <v>1.0</v>
      </c>
      <c r="K3995" s="2">
        <v>0.0</v>
      </c>
      <c r="L3995" s="2">
        <v>0.0</v>
      </c>
      <c r="M3995" s="2">
        <v>21.0</v>
      </c>
      <c r="N3995" s="2"/>
      <c r="O3995" s="2"/>
      <c r="P3995" s="2" t="s">
        <v>111</v>
      </c>
    </row>
    <row r="3996">
      <c r="A3996" s="3" t="s">
        <v>16</v>
      </c>
      <c r="B3996" s="2" t="s">
        <v>17</v>
      </c>
      <c r="C3996" s="2" t="s">
        <v>18</v>
      </c>
      <c r="D3996" s="2" t="s">
        <v>91</v>
      </c>
      <c r="E3996" s="2" t="s">
        <v>27</v>
      </c>
      <c r="F3996" s="2">
        <v>35.0</v>
      </c>
      <c r="G3996" s="2">
        <v>34.0</v>
      </c>
      <c r="H3996" s="2">
        <v>30.0</v>
      </c>
      <c r="I3996" s="2">
        <v>4.0</v>
      </c>
      <c r="J3996" s="2">
        <v>0.0</v>
      </c>
      <c r="K3996" s="2">
        <v>0.0</v>
      </c>
      <c r="L3996" s="2">
        <v>0.0</v>
      </c>
      <c r="M3996" s="2">
        <v>5.0</v>
      </c>
      <c r="N3996" s="2"/>
      <c r="O3996" s="2"/>
      <c r="P3996" s="2" t="s">
        <v>111</v>
      </c>
    </row>
    <row r="3997">
      <c r="A3997" s="3" t="s">
        <v>124</v>
      </c>
      <c r="B3997" s="2" t="s">
        <v>17</v>
      </c>
      <c r="C3997" s="2" t="s">
        <v>148</v>
      </c>
      <c r="D3997" s="2" t="s">
        <v>19</v>
      </c>
      <c r="E3997" s="2" t="s">
        <v>27</v>
      </c>
      <c r="F3997" s="2">
        <v>65.0</v>
      </c>
      <c r="G3997" s="2">
        <v>0.0</v>
      </c>
      <c r="H3997" s="2">
        <v>0.0</v>
      </c>
      <c r="I3997" s="2">
        <v>0.0</v>
      </c>
      <c r="J3997" s="2">
        <v>0.0</v>
      </c>
      <c r="K3997" s="2">
        <v>0.0</v>
      </c>
      <c r="L3997" s="2">
        <v>0.0</v>
      </c>
      <c r="M3997" s="2">
        <v>65.0</v>
      </c>
      <c r="N3997" s="2"/>
      <c r="O3997" s="2"/>
      <c r="P3997" s="2" t="s">
        <v>111</v>
      </c>
    </row>
    <row r="3998">
      <c r="A3998" s="3" t="s">
        <v>126</v>
      </c>
      <c r="B3998" s="2" t="s">
        <v>17</v>
      </c>
      <c r="C3998" s="2" t="s">
        <v>18</v>
      </c>
      <c r="D3998" s="2" t="s">
        <v>23</v>
      </c>
      <c r="E3998" s="2" t="s">
        <v>27</v>
      </c>
      <c r="F3998" s="2">
        <v>65.0</v>
      </c>
      <c r="G3998" s="2">
        <v>74.0</v>
      </c>
      <c r="H3998" s="2">
        <v>39.0</v>
      </c>
      <c r="I3998" s="2">
        <v>34.0</v>
      </c>
      <c r="J3998" s="2">
        <v>1.0</v>
      </c>
      <c r="K3998" s="2">
        <v>0.0</v>
      </c>
      <c r="L3998" s="2">
        <v>0.0</v>
      </c>
      <c r="M3998" s="2">
        <v>26.0</v>
      </c>
      <c r="N3998" s="2">
        <v>-65.0</v>
      </c>
      <c r="O3998" s="2">
        <v>5.0</v>
      </c>
      <c r="P3998" s="2" t="s">
        <v>111</v>
      </c>
    </row>
    <row r="3999">
      <c r="A3999" s="3" t="s">
        <v>128</v>
      </c>
      <c r="B3999" s="4">
        <v>45110.29166666667</v>
      </c>
      <c r="C3999" s="2" t="s">
        <v>18</v>
      </c>
      <c r="D3999" s="2" t="s">
        <v>157</v>
      </c>
      <c r="E3999" s="2" t="s">
        <v>27</v>
      </c>
      <c r="F3999" s="2"/>
      <c r="G3999" s="2">
        <v>22.0</v>
      </c>
      <c r="H3999" s="2">
        <v>0.0</v>
      </c>
      <c r="I3999" s="2">
        <v>22.0</v>
      </c>
      <c r="J3999" s="2">
        <v>0.0</v>
      </c>
      <c r="K3999" s="2">
        <v>0.0</v>
      </c>
      <c r="L3999" s="2">
        <v>0.0</v>
      </c>
      <c r="M3999" s="2"/>
      <c r="N3999" s="2"/>
      <c r="O3999" s="2"/>
      <c r="P3999" s="2" t="s">
        <v>111</v>
      </c>
    </row>
    <row r="4000">
      <c r="A4000" s="3" t="s">
        <v>129</v>
      </c>
      <c r="B4000" s="4">
        <v>45110.29166666667</v>
      </c>
      <c r="C4000" s="2" t="s">
        <v>18</v>
      </c>
      <c r="D4000" s="2" t="s">
        <v>91</v>
      </c>
      <c r="E4000" s="2" t="s">
        <v>27</v>
      </c>
      <c r="F4000" s="2"/>
      <c r="G4000" s="2">
        <v>0.0</v>
      </c>
      <c r="H4000" s="2">
        <v>0.0</v>
      </c>
      <c r="I4000" s="2">
        <v>0.0</v>
      </c>
      <c r="J4000" s="2">
        <v>0.0</v>
      </c>
      <c r="K4000" s="2">
        <v>0.0</v>
      </c>
      <c r="L4000" s="2">
        <v>0.0</v>
      </c>
      <c r="M4000" s="2"/>
      <c r="N4000" s="2"/>
      <c r="O4000" s="2"/>
      <c r="P4000" s="2" t="s">
        <v>111</v>
      </c>
    </row>
    <row r="4001">
      <c r="A4001" s="3" t="s">
        <v>130</v>
      </c>
      <c r="B4001" s="4">
        <v>45232.25</v>
      </c>
      <c r="C4001" s="2" t="s">
        <v>18</v>
      </c>
      <c r="D4001" s="2" t="s">
        <v>157</v>
      </c>
      <c r="E4001" s="2" t="s">
        <v>27</v>
      </c>
      <c r="F4001" s="2"/>
      <c r="G4001" s="2">
        <v>13.0</v>
      </c>
      <c r="H4001" s="2">
        <v>4.0</v>
      </c>
      <c r="I4001" s="2">
        <v>8.0</v>
      </c>
      <c r="J4001" s="2">
        <v>1.0</v>
      </c>
      <c r="K4001" s="2">
        <v>0.0</v>
      </c>
      <c r="L4001" s="2">
        <v>0.0</v>
      </c>
      <c r="M4001" s="2"/>
      <c r="N4001" s="2"/>
      <c r="O4001" s="2"/>
      <c r="P4001" s="2" t="s">
        <v>111</v>
      </c>
    </row>
    <row r="4002">
      <c r="A4002" s="3" t="s">
        <v>131</v>
      </c>
      <c r="B4002" s="4">
        <v>45232.25</v>
      </c>
      <c r="C4002" s="2" t="s">
        <v>18</v>
      </c>
      <c r="D4002" s="2" t="s">
        <v>91</v>
      </c>
      <c r="E4002" s="2" t="s">
        <v>27</v>
      </c>
      <c r="F4002" s="2"/>
      <c r="G4002" s="2">
        <v>21.0</v>
      </c>
      <c r="H4002" s="2">
        <v>17.0</v>
      </c>
      <c r="I4002" s="2">
        <v>4.0</v>
      </c>
      <c r="J4002" s="2">
        <v>0.0</v>
      </c>
      <c r="K4002" s="2">
        <v>0.0</v>
      </c>
      <c r="L4002" s="2">
        <v>0.0</v>
      </c>
      <c r="M4002" s="2"/>
      <c r="N4002" s="2"/>
      <c r="O4002" s="2"/>
      <c r="P4002" s="2" t="s">
        <v>111</v>
      </c>
    </row>
    <row r="4003">
      <c r="A4003" s="3" t="s">
        <v>132</v>
      </c>
      <c r="B4003" s="2" t="s">
        <v>17</v>
      </c>
      <c r="C4003" s="2" t="s">
        <v>18</v>
      </c>
      <c r="D4003" s="2" t="s">
        <v>19</v>
      </c>
      <c r="E4003" s="2" t="s">
        <v>394</v>
      </c>
      <c r="F4003" s="2">
        <v>207.0</v>
      </c>
      <c r="G4003" s="2">
        <v>241.0</v>
      </c>
      <c r="H4003" s="2">
        <v>209.0</v>
      </c>
      <c r="I4003" s="2">
        <v>32.0</v>
      </c>
      <c r="J4003" s="2">
        <v>0.0</v>
      </c>
      <c r="K4003" s="2">
        <v>0.0</v>
      </c>
      <c r="L4003" s="2">
        <v>1.0</v>
      </c>
      <c r="M4003" s="2">
        <v>-2.0</v>
      </c>
      <c r="N4003" s="2"/>
      <c r="O4003" s="2"/>
      <c r="P4003" s="2" t="s">
        <v>111</v>
      </c>
    </row>
    <row r="4004">
      <c r="A4004" s="3" t="s">
        <v>133</v>
      </c>
      <c r="B4004" s="2" t="s">
        <v>17</v>
      </c>
      <c r="C4004" s="2" t="s">
        <v>18</v>
      </c>
      <c r="D4004" s="2" t="s">
        <v>23</v>
      </c>
      <c r="E4004" s="2" t="s">
        <v>394</v>
      </c>
      <c r="F4004" s="2">
        <v>207.0</v>
      </c>
      <c r="G4004" s="2">
        <v>241.0</v>
      </c>
      <c r="H4004" s="2">
        <v>209.0</v>
      </c>
      <c r="I4004" s="2">
        <v>32.0</v>
      </c>
      <c r="J4004" s="2">
        <v>0.0</v>
      </c>
      <c r="K4004" s="2">
        <v>0.0</v>
      </c>
      <c r="L4004" s="2">
        <v>1.0</v>
      </c>
      <c r="M4004" s="2">
        <v>-2.0</v>
      </c>
      <c r="N4004" s="2">
        <v>0.0</v>
      </c>
      <c r="O4004" s="2">
        <v>-211.0</v>
      </c>
      <c r="P4004" s="2" t="s">
        <v>111</v>
      </c>
    </row>
    <row r="4005">
      <c r="A4005" s="3" t="s">
        <v>134</v>
      </c>
      <c r="B4005" s="4">
        <v>45262.29166666667</v>
      </c>
      <c r="C4005" s="2" t="s">
        <v>18</v>
      </c>
      <c r="D4005" s="2" t="s">
        <v>19</v>
      </c>
      <c r="E4005" s="2" t="s">
        <v>394</v>
      </c>
      <c r="F4005" s="2"/>
      <c r="G4005" s="2">
        <v>182.0</v>
      </c>
      <c r="H4005" s="2">
        <v>161.0</v>
      </c>
      <c r="I4005" s="2">
        <v>21.0</v>
      </c>
      <c r="J4005" s="2">
        <v>0.0</v>
      </c>
      <c r="K4005" s="2">
        <v>0.0</v>
      </c>
      <c r="L4005" s="2">
        <v>1.0</v>
      </c>
      <c r="M4005" s="2"/>
      <c r="N4005" s="2"/>
      <c r="O4005" s="2"/>
      <c r="P4005" s="2" t="s">
        <v>111</v>
      </c>
    </row>
    <row r="4006">
      <c r="A4006" s="3" t="s">
        <v>136</v>
      </c>
      <c r="B4006" s="4">
        <v>45293.29166666667</v>
      </c>
      <c r="C4006" s="2" t="s">
        <v>18</v>
      </c>
      <c r="D4006" s="2" t="s">
        <v>19</v>
      </c>
      <c r="E4006" s="2" t="s">
        <v>394</v>
      </c>
      <c r="F4006" s="2"/>
      <c r="G4006" s="2">
        <v>59.0</v>
      </c>
      <c r="H4006" s="2">
        <v>48.0</v>
      </c>
      <c r="I4006" s="2">
        <v>11.0</v>
      </c>
      <c r="J4006" s="2">
        <v>0.0</v>
      </c>
      <c r="K4006" s="2">
        <v>0.0</v>
      </c>
      <c r="L4006" s="2">
        <v>0.0</v>
      </c>
      <c r="M4006" s="2"/>
      <c r="N4006" s="2"/>
      <c r="O4006" s="2"/>
      <c r="P4006" s="2" t="s">
        <v>111</v>
      </c>
    </row>
    <row r="4007">
      <c r="A4007" s="3" t="s">
        <v>137</v>
      </c>
      <c r="B4007" s="2" t="s">
        <v>17</v>
      </c>
      <c r="C4007" s="2" t="s">
        <v>18</v>
      </c>
      <c r="D4007" s="2" t="s">
        <v>79</v>
      </c>
      <c r="E4007" s="2" t="s">
        <v>165</v>
      </c>
      <c r="F4007" s="2">
        <v>208.0</v>
      </c>
      <c r="G4007" s="2">
        <v>316.0</v>
      </c>
      <c r="H4007" s="2">
        <v>183.0</v>
      </c>
      <c r="I4007" s="2">
        <v>99.0</v>
      </c>
      <c r="J4007" s="2">
        <v>0.0</v>
      </c>
      <c r="K4007" s="2">
        <v>34.0</v>
      </c>
      <c r="L4007" s="2">
        <v>0.0</v>
      </c>
      <c r="M4007" s="2">
        <v>25.0</v>
      </c>
      <c r="N4007" s="2"/>
      <c r="O4007" s="2"/>
      <c r="P4007" s="2" t="s">
        <v>166</v>
      </c>
    </row>
    <row r="4008">
      <c r="A4008" s="3" t="s">
        <v>138</v>
      </c>
      <c r="B4008" s="2" t="s">
        <v>17</v>
      </c>
      <c r="C4008" s="2" t="s">
        <v>18</v>
      </c>
      <c r="D4008" s="2" t="s">
        <v>23</v>
      </c>
      <c r="E4008" s="2" t="s">
        <v>165</v>
      </c>
      <c r="F4008" s="2">
        <v>208.0</v>
      </c>
      <c r="G4008" s="2">
        <v>316.0</v>
      </c>
      <c r="H4008" s="2">
        <v>183.0</v>
      </c>
      <c r="I4008" s="2">
        <v>99.0</v>
      </c>
      <c r="J4008" s="2">
        <v>0.0</v>
      </c>
      <c r="K4008" s="2">
        <v>34.0</v>
      </c>
      <c r="L4008" s="2">
        <v>0.0</v>
      </c>
      <c r="M4008" s="2">
        <v>25.0</v>
      </c>
      <c r="N4008" s="2">
        <v>0.0</v>
      </c>
      <c r="O4008" s="2">
        <v>-158.0</v>
      </c>
      <c r="P4008" s="2" t="s">
        <v>166</v>
      </c>
    </row>
    <row r="4009">
      <c r="A4009" s="3" t="s">
        <v>139</v>
      </c>
      <c r="B4009" s="4">
        <v>45262.29166666667</v>
      </c>
      <c r="C4009" s="2" t="s">
        <v>18</v>
      </c>
      <c r="D4009" s="2" t="s">
        <v>79</v>
      </c>
      <c r="E4009" s="2" t="s">
        <v>165</v>
      </c>
      <c r="F4009" s="2"/>
      <c r="G4009" s="2">
        <v>204.0</v>
      </c>
      <c r="H4009" s="2">
        <v>133.0</v>
      </c>
      <c r="I4009" s="2">
        <v>71.0</v>
      </c>
      <c r="J4009" s="2">
        <v>0.0</v>
      </c>
      <c r="K4009" s="2">
        <v>0.0</v>
      </c>
      <c r="L4009" s="2">
        <v>0.0</v>
      </c>
      <c r="M4009" s="2"/>
      <c r="N4009" s="2"/>
      <c r="O4009" s="2"/>
      <c r="P4009" s="2" t="s">
        <v>166</v>
      </c>
    </row>
    <row r="4010">
      <c r="A4010" s="3" t="s">
        <v>140</v>
      </c>
      <c r="B4010" s="4">
        <v>45081.29166666667</v>
      </c>
      <c r="C4010" s="2" t="s">
        <v>18</v>
      </c>
      <c r="D4010" s="2" t="s">
        <v>157</v>
      </c>
      <c r="E4010" s="2" t="s">
        <v>96</v>
      </c>
      <c r="F4010" s="2"/>
      <c r="G4010" s="2">
        <v>27.0</v>
      </c>
      <c r="H4010" s="2">
        <v>14.0</v>
      </c>
      <c r="I4010" s="2">
        <v>13.0</v>
      </c>
      <c r="J4010" s="2">
        <v>0.0</v>
      </c>
      <c r="K4010" s="2">
        <v>0.0</v>
      </c>
      <c r="L4010" s="2">
        <v>0.0</v>
      </c>
      <c r="M4010" s="2"/>
      <c r="N4010" s="2"/>
      <c r="O4010" s="2"/>
      <c r="P4010" s="2" t="s">
        <v>111</v>
      </c>
    </row>
    <row r="4011">
      <c r="A4011" s="3" t="s">
        <v>141</v>
      </c>
      <c r="B4011" s="2" t="s">
        <v>17</v>
      </c>
      <c r="C4011" s="2" t="s">
        <v>18</v>
      </c>
      <c r="D4011" s="2" t="s">
        <v>19</v>
      </c>
      <c r="E4011" s="2" t="s">
        <v>125</v>
      </c>
      <c r="F4011" s="2">
        <v>39.0</v>
      </c>
      <c r="G4011" s="2">
        <v>73.0</v>
      </c>
      <c r="H4011" s="2">
        <v>19.0</v>
      </c>
      <c r="I4011" s="2">
        <v>54.0</v>
      </c>
      <c r="J4011" s="2">
        <v>0.0</v>
      </c>
      <c r="K4011" s="2">
        <v>0.0</v>
      </c>
      <c r="L4011" s="2">
        <v>0.0</v>
      </c>
      <c r="M4011" s="2">
        <v>20.0</v>
      </c>
      <c r="N4011" s="2"/>
      <c r="O4011" s="2"/>
      <c r="P4011" s="2" t="s">
        <v>184</v>
      </c>
    </row>
    <row r="4012">
      <c r="A4012" s="3" t="s">
        <v>142</v>
      </c>
      <c r="B4012" s="2" t="s">
        <v>17</v>
      </c>
      <c r="C4012" s="2" t="s">
        <v>18</v>
      </c>
      <c r="D4012" s="2" t="s">
        <v>23</v>
      </c>
      <c r="E4012" s="2" t="s">
        <v>125</v>
      </c>
      <c r="F4012" s="2">
        <v>39.0</v>
      </c>
      <c r="G4012" s="2">
        <v>73.0</v>
      </c>
      <c r="H4012" s="2">
        <v>19.0</v>
      </c>
      <c r="I4012" s="2">
        <v>54.0</v>
      </c>
      <c r="J4012" s="2">
        <v>0.0</v>
      </c>
      <c r="K4012" s="2">
        <v>0.0</v>
      </c>
      <c r="L4012" s="2">
        <v>0.0</v>
      </c>
      <c r="M4012" s="2">
        <v>20.0</v>
      </c>
      <c r="N4012" s="2">
        <v>0.0</v>
      </c>
      <c r="O4012" s="2">
        <v>1.0</v>
      </c>
      <c r="P4012" s="2" t="s">
        <v>184</v>
      </c>
    </row>
    <row r="4013">
      <c r="A4013" s="3" t="s">
        <v>143</v>
      </c>
      <c r="B4013" s="4">
        <v>45262.29166666667</v>
      </c>
      <c r="C4013" s="2" t="s">
        <v>18</v>
      </c>
      <c r="D4013" s="2" t="s">
        <v>19</v>
      </c>
      <c r="E4013" s="2" t="s">
        <v>125</v>
      </c>
      <c r="F4013" s="2"/>
      <c r="G4013" s="2">
        <v>73.0</v>
      </c>
      <c r="H4013" s="2">
        <v>19.0</v>
      </c>
      <c r="I4013" s="2">
        <v>54.0</v>
      </c>
      <c r="J4013" s="2">
        <v>0.0</v>
      </c>
      <c r="K4013" s="2">
        <v>0.0</v>
      </c>
      <c r="L4013" s="2">
        <v>0.0</v>
      </c>
      <c r="M4013" s="2"/>
      <c r="N4013" s="2"/>
      <c r="O4013" s="2"/>
      <c r="P4013" s="2" t="s">
        <v>184</v>
      </c>
    </row>
    <row r="4014">
      <c r="A4014" s="3" t="s">
        <v>144</v>
      </c>
      <c r="B4014" s="2" t="s">
        <v>17</v>
      </c>
      <c r="C4014" s="2" t="s">
        <v>18</v>
      </c>
      <c r="D4014" s="2" t="s">
        <v>164</v>
      </c>
      <c r="E4014" s="2" t="s">
        <v>165</v>
      </c>
      <c r="F4014" s="2">
        <v>12.0</v>
      </c>
      <c r="G4014" s="2">
        <v>34.0</v>
      </c>
      <c r="H4014" s="2">
        <v>18.0</v>
      </c>
      <c r="I4014" s="2">
        <v>16.0</v>
      </c>
      <c r="J4014" s="2">
        <v>0.0</v>
      </c>
      <c r="K4014" s="2">
        <v>0.0</v>
      </c>
      <c r="L4014" s="2">
        <v>0.0</v>
      </c>
      <c r="M4014" s="2">
        <v>-6.0</v>
      </c>
      <c r="N4014" s="2"/>
      <c r="O4014" s="2"/>
      <c r="P4014" s="2" t="s">
        <v>166</v>
      </c>
    </row>
    <row r="4015">
      <c r="A4015" s="3" t="s">
        <v>145</v>
      </c>
      <c r="B4015" s="2" t="s">
        <v>17</v>
      </c>
      <c r="C4015" s="2" t="s">
        <v>18</v>
      </c>
      <c r="D4015" s="2" t="s">
        <v>23</v>
      </c>
      <c r="E4015" s="2" t="s">
        <v>165</v>
      </c>
      <c r="F4015" s="2">
        <v>12.0</v>
      </c>
      <c r="G4015" s="2">
        <v>34.0</v>
      </c>
      <c r="H4015" s="2">
        <v>18.0</v>
      </c>
      <c r="I4015" s="2">
        <v>16.0</v>
      </c>
      <c r="J4015" s="2">
        <v>0.0</v>
      </c>
      <c r="K4015" s="2">
        <v>0.0</v>
      </c>
      <c r="L4015" s="2">
        <v>0.0</v>
      </c>
      <c r="M4015" s="2">
        <v>-6.0</v>
      </c>
      <c r="N4015" s="2">
        <v>0.0</v>
      </c>
      <c r="O4015" s="2">
        <v>-24.0</v>
      </c>
      <c r="P4015" s="2" t="s">
        <v>166</v>
      </c>
    </row>
    <row r="4016">
      <c r="A4016" s="3" t="s">
        <v>16</v>
      </c>
      <c r="B4016" s="4">
        <v>45201.29166666667</v>
      </c>
      <c r="C4016" s="2" t="s">
        <v>18</v>
      </c>
      <c r="D4016" s="2" t="s">
        <v>164</v>
      </c>
      <c r="E4016" s="2" t="s">
        <v>165</v>
      </c>
      <c r="F4016" s="2"/>
      <c r="G4016" s="2">
        <v>34.0</v>
      </c>
      <c r="H4016" s="2">
        <v>18.0</v>
      </c>
      <c r="I4016" s="2">
        <v>16.0</v>
      </c>
      <c r="J4016" s="2">
        <v>0.0</v>
      </c>
      <c r="K4016" s="2">
        <v>0.0</v>
      </c>
      <c r="L4016" s="2">
        <v>0.0</v>
      </c>
      <c r="M4016" s="2"/>
      <c r="N4016" s="2"/>
      <c r="O4016" s="2"/>
      <c r="P4016" s="2" t="s">
        <v>166</v>
      </c>
    </row>
    <row r="4017">
      <c r="A4017" s="3" t="s">
        <v>22</v>
      </c>
      <c r="B4017" s="2" t="s">
        <v>17</v>
      </c>
      <c r="C4017" s="2" t="s">
        <v>57</v>
      </c>
      <c r="D4017" s="2" t="s">
        <v>91</v>
      </c>
      <c r="E4017" s="2" t="s">
        <v>27</v>
      </c>
      <c r="F4017" s="2">
        <v>52.0</v>
      </c>
      <c r="G4017" s="2">
        <v>61.0</v>
      </c>
      <c r="H4017" s="2">
        <v>52.0</v>
      </c>
      <c r="I4017" s="2">
        <v>9.0</v>
      </c>
      <c r="J4017" s="2">
        <v>0.0</v>
      </c>
      <c r="K4017" s="2">
        <v>0.0</v>
      </c>
      <c r="L4017" s="2">
        <v>0.0</v>
      </c>
      <c r="M4017" s="2">
        <v>0.0</v>
      </c>
      <c r="N4017" s="2"/>
      <c r="O4017" s="2"/>
      <c r="P4017" s="2" t="s">
        <v>80</v>
      </c>
    </row>
    <row r="4018">
      <c r="A4018" s="3" t="s">
        <v>24</v>
      </c>
      <c r="B4018" s="2" t="s">
        <v>17</v>
      </c>
      <c r="C4018" s="2" t="s">
        <v>18</v>
      </c>
      <c r="D4018" s="2" t="s">
        <v>127</v>
      </c>
      <c r="E4018" s="2" t="s">
        <v>27</v>
      </c>
      <c r="F4018" s="2">
        <v>30.0</v>
      </c>
      <c r="G4018" s="2">
        <v>51.0</v>
      </c>
      <c r="H4018" s="2">
        <v>30.0</v>
      </c>
      <c r="I4018" s="2">
        <v>21.0</v>
      </c>
      <c r="J4018" s="2">
        <v>0.0</v>
      </c>
      <c r="K4018" s="2">
        <v>0.0</v>
      </c>
      <c r="L4018" s="2">
        <v>0.0</v>
      </c>
      <c r="M4018" s="2">
        <v>0.0</v>
      </c>
      <c r="N4018" s="2"/>
      <c r="O4018" s="2"/>
      <c r="P4018" s="2" t="s">
        <v>80</v>
      </c>
    </row>
    <row r="4019">
      <c r="A4019" s="3" t="s">
        <v>25</v>
      </c>
      <c r="B4019" s="2" t="s">
        <v>17</v>
      </c>
      <c r="C4019" s="2" t="s">
        <v>57</v>
      </c>
      <c r="D4019" s="2" t="s">
        <v>19</v>
      </c>
      <c r="E4019" s="2" t="s">
        <v>27</v>
      </c>
      <c r="F4019" s="2">
        <v>50.0</v>
      </c>
      <c r="G4019" s="2">
        <v>18.0</v>
      </c>
      <c r="H4019" s="2">
        <v>13.0</v>
      </c>
      <c r="I4019" s="2">
        <v>5.0</v>
      </c>
      <c r="J4019" s="2">
        <v>0.0</v>
      </c>
      <c r="K4019" s="2">
        <v>0.0</v>
      </c>
      <c r="L4019" s="2">
        <v>0.0</v>
      </c>
      <c r="M4019" s="2">
        <v>37.0</v>
      </c>
      <c r="N4019" s="2"/>
      <c r="O4019" s="2"/>
      <c r="P4019" s="2" t="s">
        <v>80</v>
      </c>
    </row>
    <row r="4020">
      <c r="A4020" s="3" t="s">
        <v>26</v>
      </c>
      <c r="B4020" s="2" t="s">
        <v>17</v>
      </c>
      <c r="C4020" s="2" t="s">
        <v>18</v>
      </c>
      <c r="D4020" s="2" t="s">
        <v>23</v>
      </c>
      <c r="E4020" s="2" t="s">
        <v>27</v>
      </c>
      <c r="F4020" s="2">
        <v>89.0</v>
      </c>
      <c r="G4020" s="2">
        <v>130.0</v>
      </c>
      <c r="H4020" s="2">
        <v>95.0</v>
      </c>
      <c r="I4020" s="2">
        <v>35.0</v>
      </c>
      <c r="J4020" s="2">
        <v>0.0</v>
      </c>
      <c r="K4020" s="2">
        <v>0.0</v>
      </c>
      <c r="L4020" s="2">
        <v>0.0</v>
      </c>
      <c r="M4020" s="2">
        <v>-6.0</v>
      </c>
      <c r="N4020" s="2">
        <v>-43.0</v>
      </c>
      <c r="O4020" s="2">
        <v>-101.0</v>
      </c>
      <c r="P4020" s="2" t="s">
        <v>80</v>
      </c>
    </row>
    <row r="4021">
      <c r="A4021" s="3" t="s">
        <v>28</v>
      </c>
      <c r="B4021" s="4">
        <v>45232.25</v>
      </c>
      <c r="C4021" s="2" t="s">
        <v>18</v>
      </c>
      <c r="D4021" s="2" t="s">
        <v>19</v>
      </c>
      <c r="E4021" s="2" t="s">
        <v>27</v>
      </c>
      <c r="F4021" s="2"/>
      <c r="G4021" s="2">
        <v>13.0</v>
      </c>
      <c r="H4021" s="2">
        <v>10.0</v>
      </c>
      <c r="I4021" s="2">
        <v>3.0</v>
      </c>
      <c r="J4021" s="2">
        <v>0.0</v>
      </c>
      <c r="K4021" s="2">
        <v>0.0</v>
      </c>
      <c r="L4021" s="2">
        <v>0.0</v>
      </c>
      <c r="M4021" s="2"/>
      <c r="N4021" s="2"/>
      <c r="O4021" s="2"/>
      <c r="P4021" s="2" t="s">
        <v>80</v>
      </c>
    </row>
    <row r="4022">
      <c r="A4022" s="3" t="s">
        <v>29</v>
      </c>
      <c r="B4022" s="4">
        <v>45233.25</v>
      </c>
      <c r="C4022" s="2" t="s">
        <v>18</v>
      </c>
      <c r="D4022" s="2" t="s">
        <v>91</v>
      </c>
      <c r="E4022" s="2" t="s">
        <v>27</v>
      </c>
      <c r="F4022" s="2"/>
      <c r="G4022" s="2">
        <v>19.0</v>
      </c>
      <c r="H4022" s="2">
        <v>16.0</v>
      </c>
      <c r="I4022" s="2">
        <v>3.0</v>
      </c>
      <c r="J4022" s="2">
        <v>0.0</v>
      </c>
      <c r="K4022" s="2">
        <v>0.0</v>
      </c>
      <c r="L4022" s="2">
        <v>0.0</v>
      </c>
      <c r="M4022" s="2"/>
      <c r="N4022" s="2"/>
      <c r="O4022" s="2"/>
      <c r="P4022" s="2" t="s">
        <v>80</v>
      </c>
    </row>
    <row r="4023">
      <c r="A4023" s="3" t="s">
        <v>32</v>
      </c>
      <c r="B4023" s="4">
        <v>45262.29166666667</v>
      </c>
      <c r="C4023" s="2" t="s">
        <v>18</v>
      </c>
      <c r="D4023" s="2" t="s">
        <v>19</v>
      </c>
      <c r="E4023" s="2" t="s">
        <v>27</v>
      </c>
      <c r="F4023" s="2"/>
      <c r="G4023" s="2">
        <v>5.0</v>
      </c>
      <c r="H4023" s="2">
        <v>3.0</v>
      </c>
      <c r="I4023" s="2">
        <v>2.0</v>
      </c>
      <c r="J4023" s="2">
        <v>0.0</v>
      </c>
      <c r="K4023" s="2">
        <v>0.0</v>
      </c>
      <c r="L4023" s="2">
        <v>0.0</v>
      </c>
      <c r="M4023" s="2"/>
      <c r="N4023" s="2"/>
      <c r="O4023" s="2"/>
      <c r="P4023" s="2" t="s">
        <v>80</v>
      </c>
    </row>
    <row r="4024">
      <c r="A4024" s="3" t="s">
        <v>34</v>
      </c>
      <c r="B4024" s="4">
        <v>45263.29166666667</v>
      </c>
      <c r="C4024" s="2" t="s">
        <v>18</v>
      </c>
      <c r="D4024" s="2" t="s">
        <v>91</v>
      </c>
      <c r="E4024" s="2" t="s">
        <v>27</v>
      </c>
      <c r="F4024" s="2"/>
      <c r="G4024" s="2">
        <v>42.0</v>
      </c>
      <c r="H4024" s="2">
        <v>36.0</v>
      </c>
      <c r="I4024" s="2">
        <v>6.0</v>
      </c>
      <c r="J4024" s="2">
        <v>0.0</v>
      </c>
      <c r="K4024" s="2">
        <v>0.0</v>
      </c>
      <c r="L4024" s="2">
        <v>0.0</v>
      </c>
      <c r="M4024" s="2"/>
      <c r="N4024" s="2"/>
      <c r="O4024" s="2"/>
      <c r="P4024" s="2" t="s">
        <v>80</v>
      </c>
    </row>
    <row r="4025">
      <c r="A4025" s="3" t="s">
        <v>35</v>
      </c>
      <c r="B4025" s="4">
        <v>45264.29166666667</v>
      </c>
      <c r="C4025" s="2" t="s">
        <v>18</v>
      </c>
      <c r="D4025" s="2" t="s">
        <v>127</v>
      </c>
      <c r="E4025" s="2" t="s">
        <v>27</v>
      </c>
      <c r="F4025" s="2"/>
      <c r="G4025" s="2">
        <v>51.0</v>
      </c>
      <c r="H4025" s="2">
        <v>30.0</v>
      </c>
      <c r="I4025" s="2">
        <v>21.0</v>
      </c>
      <c r="J4025" s="2">
        <v>0.0</v>
      </c>
      <c r="K4025" s="2">
        <v>0.0</v>
      </c>
      <c r="L4025" s="2">
        <v>0.0</v>
      </c>
      <c r="M4025" s="2"/>
      <c r="N4025" s="2"/>
      <c r="O4025" s="2"/>
      <c r="P4025" s="2" t="s">
        <v>80</v>
      </c>
    </row>
    <row r="4026">
      <c r="A4026" s="3" t="s">
        <v>36</v>
      </c>
      <c r="B4026" s="2" t="s">
        <v>17</v>
      </c>
      <c r="C4026" s="2" t="s">
        <v>18</v>
      </c>
      <c r="D4026" s="2" t="s">
        <v>19</v>
      </c>
      <c r="E4026" s="2" t="s">
        <v>453</v>
      </c>
      <c r="F4026" s="2">
        <v>188.0</v>
      </c>
      <c r="G4026" s="2">
        <v>32.0</v>
      </c>
      <c r="H4026" s="2">
        <v>17.0</v>
      </c>
      <c r="I4026" s="2">
        <v>15.0</v>
      </c>
      <c r="J4026" s="2">
        <v>0.0</v>
      </c>
      <c r="K4026" s="2">
        <v>0.0</v>
      </c>
      <c r="L4026" s="2">
        <v>0.0</v>
      </c>
      <c r="M4026" s="2">
        <v>171.0</v>
      </c>
      <c r="N4026" s="2"/>
      <c r="O4026" s="2"/>
      <c r="P4026" s="2" t="s">
        <v>92</v>
      </c>
    </row>
    <row r="4027">
      <c r="A4027" s="3" t="s">
        <v>37</v>
      </c>
      <c r="B4027" s="2" t="s">
        <v>17</v>
      </c>
      <c r="C4027" s="2" t="s">
        <v>18</v>
      </c>
      <c r="D4027" s="2" t="s">
        <v>23</v>
      </c>
      <c r="E4027" s="2" t="s">
        <v>453</v>
      </c>
      <c r="F4027" s="2">
        <v>188.0</v>
      </c>
      <c r="G4027" s="2">
        <v>32.0</v>
      </c>
      <c r="H4027" s="2">
        <v>17.0</v>
      </c>
      <c r="I4027" s="2">
        <v>15.0</v>
      </c>
      <c r="J4027" s="2">
        <v>0.0</v>
      </c>
      <c r="K4027" s="2">
        <v>0.0</v>
      </c>
      <c r="L4027" s="2">
        <v>0.0</v>
      </c>
      <c r="M4027" s="2">
        <v>171.0</v>
      </c>
      <c r="N4027" s="2">
        <v>0.0</v>
      </c>
      <c r="O4027" s="2">
        <v>154.0</v>
      </c>
      <c r="P4027" s="2" t="s">
        <v>92</v>
      </c>
    </row>
    <row r="4028">
      <c r="A4028" s="3" t="s">
        <v>38</v>
      </c>
      <c r="B4028" s="2" t="s">
        <v>17</v>
      </c>
      <c r="C4028" s="2" t="s">
        <v>18</v>
      </c>
      <c r="D4028" s="2" t="s">
        <v>23</v>
      </c>
      <c r="E4028" s="2" t="s">
        <v>454</v>
      </c>
      <c r="F4028" s="2">
        <v>270.0</v>
      </c>
      <c r="G4028" s="2">
        <v>0.0</v>
      </c>
      <c r="H4028" s="2">
        <v>0.0</v>
      </c>
      <c r="I4028" s="2">
        <v>0.0</v>
      </c>
      <c r="J4028" s="2">
        <v>0.0</v>
      </c>
      <c r="K4028" s="2">
        <v>0.0</v>
      </c>
      <c r="L4028" s="2">
        <v>0.0</v>
      </c>
      <c r="M4028" s="2">
        <v>270.0</v>
      </c>
      <c r="N4028" s="2">
        <v>270.0</v>
      </c>
      <c r="O4028" s="2">
        <v>270.0</v>
      </c>
      <c r="P4028" s="2" t="s">
        <v>92</v>
      </c>
    </row>
    <row r="4029">
      <c r="A4029" s="3" t="s">
        <v>39</v>
      </c>
      <c r="B4029" s="2" t="s">
        <v>17</v>
      </c>
      <c r="C4029" s="2" t="s">
        <v>18</v>
      </c>
      <c r="D4029" s="2" t="s">
        <v>23</v>
      </c>
      <c r="E4029" s="2" t="s">
        <v>455</v>
      </c>
      <c r="F4029" s="2">
        <v>248.0</v>
      </c>
      <c r="G4029" s="2">
        <v>0.0</v>
      </c>
      <c r="H4029" s="2">
        <v>0.0</v>
      </c>
      <c r="I4029" s="2">
        <v>0.0</v>
      </c>
      <c r="J4029" s="2">
        <v>0.0</v>
      </c>
      <c r="K4029" s="2">
        <v>0.0</v>
      </c>
      <c r="L4029" s="2">
        <v>0.0</v>
      </c>
      <c r="M4029" s="2">
        <v>248.0</v>
      </c>
      <c r="N4029" s="2">
        <v>248.0</v>
      </c>
      <c r="O4029" s="2">
        <v>248.0</v>
      </c>
      <c r="P4029" s="2" t="s">
        <v>92</v>
      </c>
    </row>
    <row r="4030">
      <c r="A4030" s="3" t="s">
        <v>40</v>
      </c>
      <c r="B4030" s="4">
        <v>45231.25</v>
      </c>
      <c r="C4030" s="2" t="s">
        <v>18</v>
      </c>
      <c r="D4030" s="2" t="s">
        <v>19</v>
      </c>
      <c r="E4030" s="2" t="s">
        <v>453</v>
      </c>
      <c r="F4030" s="2"/>
      <c r="G4030" s="2">
        <v>32.0</v>
      </c>
      <c r="H4030" s="2">
        <v>17.0</v>
      </c>
      <c r="I4030" s="2">
        <v>15.0</v>
      </c>
      <c r="J4030" s="2">
        <v>0.0</v>
      </c>
      <c r="K4030" s="2">
        <v>0.0</v>
      </c>
      <c r="L4030" s="2">
        <v>0.0</v>
      </c>
      <c r="M4030" s="2"/>
      <c r="N4030" s="2"/>
      <c r="O4030" s="2"/>
      <c r="P4030" s="2" t="s">
        <v>92</v>
      </c>
    </row>
    <row r="4031">
      <c r="A4031" s="3" t="s">
        <v>41</v>
      </c>
      <c r="B4031" s="2" t="s">
        <v>17</v>
      </c>
      <c r="C4031" s="2" t="s">
        <v>18</v>
      </c>
      <c r="D4031" s="2" t="s">
        <v>164</v>
      </c>
      <c r="E4031" s="2" t="s">
        <v>165</v>
      </c>
      <c r="F4031" s="2">
        <v>20.0</v>
      </c>
      <c r="G4031" s="2">
        <v>72.0</v>
      </c>
      <c r="H4031" s="2">
        <v>47.0</v>
      </c>
      <c r="I4031" s="2">
        <v>25.0</v>
      </c>
      <c r="J4031" s="2">
        <v>0.0</v>
      </c>
      <c r="K4031" s="2">
        <v>0.0</v>
      </c>
      <c r="L4031" s="2">
        <v>0.0</v>
      </c>
      <c r="M4031" s="2">
        <v>-27.0</v>
      </c>
      <c r="N4031" s="2"/>
      <c r="O4031" s="2"/>
      <c r="P4031" s="2" t="s">
        <v>166</v>
      </c>
    </row>
    <row r="4032">
      <c r="A4032" s="3" t="s">
        <v>42</v>
      </c>
      <c r="B4032" s="2" t="s">
        <v>17</v>
      </c>
      <c r="C4032" s="2" t="s">
        <v>18</v>
      </c>
      <c r="D4032" s="2" t="s">
        <v>23</v>
      </c>
      <c r="E4032" s="2" t="s">
        <v>165</v>
      </c>
      <c r="F4032" s="2">
        <v>20.0</v>
      </c>
      <c r="G4032" s="2">
        <v>72.0</v>
      </c>
      <c r="H4032" s="2">
        <v>47.0</v>
      </c>
      <c r="I4032" s="2">
        <v>25.0</v>
      </c>
      <c r="J4032" s="2">
        <v>0.0</v>
      </c>
      <c r="K4032" s="2">
        <v>0.0</v>
      </c>
      <c r="L4032" s="2">
        <v>0.0</v>
      </c>
      <c r="M4032" s="2">
        <v>-27.0</v>
      </c>
      <c r="N4032" s="2">
        <v>0.0</v>
      </c>
      <c r="O4032" s="2">
        <v>-74.0</v>
      </c>
      <c r="P4032" s="2" t="s">
        <v>166</v>
      </c>
    </row>
    <row r="4033">
      <c r="A4033" s="3" t="s">
        <v>43</v>
      </c>
      <c r="B4033" s="4">
        <v>45262.29166666667</v>
      </c>
      <c r="C4033" s="2" t="s">
        <v>18</v>
      </c>
      <c r="D4033" s="2" t="s">
        <v>164</v>
      </c>
      <c r="E4033" s="2" t="s">
        <v>165</v>
      </c>
      <c r="F4033" s="2"/>
      <c r="G4033" s="2">
        <v>72.0</v>
      </c>
      <c r="H4033" s="2">
        <v>47.0</v>
      </c>
      <c r="I4033" s="2">
        <v>25.0</v>
      </c>
      <c r="J4033" s="2">
        <v>0.0</v>
      </c>
      <c r="K4033" s="2">
        <v>0.0</v>
      </c>
      <c r="L4033" s="2">
        <v>0.0</v>
      </c>
      <c r="M4033" s="2"/>
      <c r="N4033" s="2"/>
      <c r="O4033" s="2"/>
      <c r="P4033" s="2" t="s">
        <v>166</v>
      </c>
    </row>
    <row r="4034">
      <c r="A4034" s="3" t="s">
        <v>44</v>
      </c>
      <c r="B4034" s="2" t="s">
        <v>17</v>
      </c>
      <c r="C4034" s="2" t="s">
        <v>18</v>
      </c>
      <c r="D4034" s="2" t="s">
        <v>79</v>
      </c>
      <c r="E4034" s="2" t="s">
        <v>165</v>
      </c>
      <c r="F4034" s="2">
        <v>673.0</v>
      </c>
      <c r="G4034" s="2">
        <v>1443.0</v>
      </c>
      <c r="H4034" s="2">
        <v>611.0</v>
      </c>
      <c r="I4034" s="2">
        <v>832.0</v>
      </c>
      <c r="J4034" s="2">
        <v>0.0</v>
      </c>
      <c r="K4034" s="2">
        <v>0.0</v>
      </c>
      <c r="L4034" s="2">
        <v>0.0</v>
      </c>
      <c r="M4034" s="2">
        <v>62.0</v>
      </c>
      <c r="N4034" s="2"/>
      <c r="O4034" s="2"/>
      <c r="P4034" s="2" t="s">
        <v>166</v>
      </c>
    </row>
    <row r="4035">
      <c r="A4035" s="3" t="s">
        <v>45</v>
      </c>
      <c r="B4035" s="2" t="s">
        <v>17</v>
      </c>
      <c r="C4035" s="2" t="s">
        <v>18</v>
      </c>
      <c r="D4035" s="2" t="s">
        <v>23</v>
      </c>
      <c r="E4035" s="2" t="s">
        <v>165</v>
      </c>
      <c r="F4035" s="2">
        <v>673.0</v>
      </c>
      <c r="G4035" s="2">
        <v>1443.0</v>
      </c>
      <c r="H4035" s="2">
        <v>611.0</v>
      </c>
      <c r="I4035" s="2">
        <v>832.0</v>
      </c>
      <c r="J4035" s="2">
        <v>0.0</v>
      </c>
      <c r="K4035" s="2">
        <v>0.0</v>
      </c>
      <c r="L4035" s="2">
        <v>0.0</v>
      </c>
      <c r="M4035" s="2">
        <v>62.0</v>
      </c>
      <c r="N4035" s="2">
        <v>-725.0</v>
      </c>
      <c r="O4035" s="2">
        <v>-549.0</v>
      </c>
      <c r="P4035" s="2" t="s">
        <v>166</v>
      </c>
    </row>
    <row r="4036">
      <c r="A4036" s="3" t="s">
        <v>16</v>
      </c>
      <c r="B4036" s="4">
        <v>45201.29166666667</v>
      </c>
      <c r="C4036" s="2" t="s">
        <v>18</v>
      </c>
      <c r="D4036" s="2" t="s">
        <v>79</v>
      </c>
      <c r="E4036" s="2" t="s">
        <v>165</v>
      </c>
      <c r="F4036" s="2">
        <v>236.0</v>
      </c>
      <c r="G4036" s="2">
        <v>449.0</v>
      </c>
      <c r="H4036" s="2">
        <v>236.0</v>
      </c>
      <c r="I4036" s="2">
        <v>213.0</v>
      </c>
      <c r="J4036" s="2">
        <v>0.0</v>
      </c>
      <c r="K4036" s="2">
        <v>0.0</v>
      </c>
      <c r="L4036" s="2">
        <v>0.0</v>
      </c>
      <c r="M4036" s="2"/>
      <c r="N4036" s="2"/>
      <c r="O4036" s="2"/>
      <c r="P4036" s="2" t="s">
        <v>166</v>
      </c>
    </row>
    <row r="4037">
      <c r="A4037" s="3" t="s">
        <v>47</v>
      </c>
      <c r="B4037" s="4">
        <v>45231.25</v>
      </c>
      <c r="C4037" s="2" t="s">
        <v>18</v>
      </c>
      <c r="D4037" s="2" t="s">
        <v>79</v>
      </c>
      <c r="E4037" s="2" t="s">
        <v>165</v>
      </c>
      <c r="F4037" s="2">
        <v>254.0</v>
      </c>
      <c r="G4037" s="2">
        <v>648.0</v>
      </c>
      <c r="H4037" s="2">
        <v>231.0</v>
      </c>
      <c r="I4037" s="2">
        <v>417.0</v>
      </c>
      <c r="J4037" s="2">
        <v>0.0</v>
      </c>
      <c r="K4037" s="2">
        <v>0.0</v>
      </c>
      <c r="L4037" s="2">
        <v>0.0</v>
      </c>
      <c r="M4037" s="2"/>
      <c r="N4037" s="2"/>
      <c r="O4037" s="2"/>
      <c r="P4037" s="2" t="s">
        <v>166</v>
      </c>
    </row>
    <row r="4038">
      <c r="A4038" s="3" t="s">
        <v>48</v>
      </c>
      <c r="B4038" s="4">
        <v>45261.29166666667</v>
      </c>
      <c r="C4038" s="2" t="s">
        <v>18</v>
      </c>
      <c r="D4038" s="2" t="s">
        <v>79</v>
      </c>
      <c r="E4038" s="2" t="s">
        <v>165</v>
      </c>
      <c r="F4038" s="2">
        <v>235.0</v>
      </c>
      <c r="G4038" s="2">
        <v>346.0</v>
      </c>
      <c r="H4038" s="2">
        <v>144.0</v>
      </c>
      <c r="I4038" s="2">
        <v>202.0</v>
      </c>
      <c r="J4038" s="2">
        <v>0.0</v>
      </c>
      <c r="K4038" s="2">
        <v>0.0</v>
      </c>
      <c r="L4038" s="2">
        <v>0.0</v>
      </c>
      <c r="M4038" s="2"/>
      <c r="N4038" s="2"/>
      <c r="O4038" s="2"/>
      <c r="P4038" s="2" t="s">
        <v>166</v>
      </c>
    </row>
    <row r="4039">
      <c r="A4039" s="3" t="s">
        <v>49</v>
      </c>
      <c r="B4039" s="2" t="s">
        <v>17</v>
      </c>
      <c r="C4039" s="2" t="s">
        <v>18</v>
      </c>
      <c r="D4039" s="2" t="s">
        <v>79</v>
      </c>
      <c r="E4039" s="2" t="s">
        <v>165</v>
      </c>
      <c r="F4039" s="2">
        <v>163.0</v>
      </c>
      <c r="G4039" s="2">
        <v>332.0</v>
      </c>
      <c r="H4039" s="2">
        <v>164.0</v>
      </c>
      <c r="I4039" s="2">
        <v>168.0</v>
      </c>
      <c r="J4039" s="2">
        <v>0.0</v>
      </c>
      <c r="K4039" s="2">
        <v>0.0</v>
      </c>
      <c r="L4039" s="2">
        <v>0.0</v>
      </c>
      <c r="M4039" s="2">
        <v>-1.0</v>
      </c>
      <c r="N4039" s="2"/>
      <c r="O4039" s="2"/>
      <c r="P4039" s="2" t="s">
        <v>166</v>
      </c>
    </row>
    <row r="4040">
      <c r="A4040" s="3" t="s">
        <v>51</v>
      </c>
      <c r="B4040" s="2" t="s">
        <v>17</v>
      </c>
      <c r="C4040" s="2" t="s">
        <v>18</v>
      </c>
      <c r="D4040" s="2" t="s">
        <v>23</v>
      </c>
      <c r="E4040" s="2" t="s">
        <v>165</v>
      </c>
      <c r="F4040" s="2">
        <v>163.0</v>
      </c>
      <c r="G4040" s="2">
        <v>332.0</v>
      </c>
      <c r="H4040" s="2">
        <v>164.0</v>
      </c>
      <c r="I4040" s="2">
        <v>168.0</v>
      </c>
      <c r="J4040" s="2">
        <v>0.0</v>
      </c>
      <c r="K4040" s="2">
        <v>0.0</v>
      </c>
      <c r="L4040" s="2">
        <v>0.0</v>
      </c>
      <c r="M4040" s="2">
        <v>-1.0</v>
      </c>
      <c r="N4040" s="2">
        <v>-180.0</v>
      </c>
      <c r="O4040" s="2">
        <v>-165.0</v>
      </c>
      <c r="P4040" s="2" t="s">
        <v>166</v>
      </c>
    </row>
    <row r="4041">
      <c r="A4041" s="3" t="s">
        <v>52</v>
      </c>
      <c r="B4041" s="4">
        <v>45201.29166666667</v>
      </c>
      <c r="C4041" s="2" t="s">
        <v>18</v>
      </c>
      <c r="D4041" s="2" t="s">
        <v>79</v>
      </c>
      <c r="E4041" s="2" t="s">
        <v>165</v>
      </c>
      <c r="F4041" s="2">
        <v>72.0</v>
      </c>
      <c r="G4041" s="2">
        <v>134.0</v>
      </c>
      <c r="H4041" s="2">
        <v>76.0</v>
      </c>
      <c r="I4041" s="2">
        <v>58.0</v>
      </c>
      <c r="J4041" s="2">
        <v>0.0</v>
      </c>
      <c r="K4041" s="2">
        <v>0.0</v>
      </c>
      <c r="L4041" s="2">
        <v>0.0</v>
      </c>
      <c r="M4041" s="2"/>
      <c r="N4041" s="2"/>
      <c r="O4041" s="2"/>
      <c r="P4041" s="2" t="s">
        <v>166</v>
      </c>
    </row>
    <row r="4042">
      <c r="A4042" s="3" t="s">
        <v>53</v>
      </c>
      <c r="B4042" s="4">
        <v>45231.25</v>
      </c>
      <c r="C4042" s="2" t="s">
        <v>18</v>
      </c>
      <c r="D4042" s="2" t="s">
        <v>79</v>
      </c>
      <c r="E4042" s="2" t="s">
        <v>165</v>
      </c>
      <c r="F4042" s="2">
        <v>72.0</v>
      </c>
      <c r="G4042" s="2">
        <v>118.0</v>
      </c>
      <c r="H4042" s="2">
        <v>51.0</v>
      </c>
      <c r="I4042" s="2">
        <v>67.0</v>
      </c>
      <c r="J4042" s="2">
        <v>0.0</v>
      </c>
      <c r="K4042" s="2">
        <v>0.0</v>
      </c>
      <c r="L4042" s="2">
        <v>0.0</v>
      </c>
      <c r="M4042" s="2"/>
      <c r="N4042" s="2"/>
      <c r="O4042" s="2"/>
      <c r="P4042" s="2" t="s">
        <v>166</v>
      </c>
    </row>
    <row r="4043">
      <c r="A4043" s="3" t="s">
        <v>54</v>
      </c>
      <c r="B4043" s="4">
        <v>45261.29166666667</v>
      </c>
      <c r="C4043" s="2" t="s">
        <v>18</v>
      </c>
      <c r="D4043" s="2" t="s">
        <v>79</v>
      </c>
      <c r="E4043" s="2" t="s">
        <v>165</v>
      </c>
      <c r="F4043" s="2">
        <v>36.0</v>
      </c>
      <c r="G4043" s="2">
        <v>80.0</v>
      </c>
      <c r="H4043" s="2">
        <v>37.0</v>
      </c>
      <c r="I4043" s="2">
        <v>43.0</v>
      </c>
      <c r="J4043" s="2">
        <v>0.0</v>
      </c>
      <c r="K4043" s="2">
        <v>0.0</v>
      </c>
      <c r="L4043" s="2">
        <v>0.0</v>
      </c>
      <c r="M4043" s="2"/>
      <c r="N4043" s="2"/>
      <c r="O4043" s="2"/>
      <c r="P4043" s="2" t="s">
        <v>166</v>
      </c>
    </row>
    <row r="4044">
      <c r="A4044" s="3" t="s">
        <v>55</v>
      </c>
      <c r="B4044" s="2" t="s">
        <v>17</v>
      </c>
      <c r="C4044" s="2" t="s">
        <v>18</v>
      </c>
      <c r="D4044" s="2" t="s">
        <v>164</v>
      </c>
      <c r="E4044" s="2" t="s">
        <v>165</v>
      </c>
      <c r="F4044" s="2">
        <v>90.0</v>
      </c>
      <c r="G4044" s="2">
        <v>83.0</v>
      </c>
      <c r="H4044" s="2">
        <v>45.0</v>
      </c>
      <c r="I4044" s="2">
        <v>38.0</v>
      </c>
      <c r="J4044" s="2">
        <v>0.0</v>
      </c>
      <c r="K4044" s="2">
        <v>0.0</v>
      </c>
      <c r="L4044" s="2">
        <v>0.0</v>
      </c>
      <c r="M4044" s="2">
        <v>45.0</v>
      </c>
      <c r="N4044" s="2"/>
      <c r="O4044" s="2"/>
      <c r="P4044" s="2" t="s">
        <v>166</v>
      </c>
    </row>
    <row r="4045">
      <c r="A4045" s="3" t="s">
        <v>56</v>
      </c>
      <c r="B4045" s="2" t="s">
        <v>17</v>
      </c>
      <c r="C4045" s="2" t="s">
        <v>18</v>
      </c>
      <c r="D4045" s="2" t="s">
        <v>23</v>
      </c>
      <c r="E4045" s="2" t="s">
        <v>165</v>
      </c>
      <c r="F4045" s="2">
        <v>90.0</v>
      </c>
      <c r="G4045" s="2">
        <v>83.0</v>
      </c>
      <c r="H4045" s="2">
        <v>45.0</v>
      </c>
      <c r="I4045" s="2">
        <v>38.0</v>
      </c>
      <c r="J4045" s="2">
        <v>0.0</v>
      </c>
      <c r="K4045" s="2">
        <v>0.0</v>
      </c>
      <c r="L4045" s="2">
        <v>0.0</v>
      </c>
      <c r="M4045" s="2">
        <v>45.0</v>
      </c>
      <c r="N4045" s="2">
        <v>0.0</v>
      </c>
      <c r="O4045" s="2">
        <v>0.0</v>
      </c>
      <c r="P4045" s="2" t="s">
        <v>166</v>
      </c>
    </row>
    <row r="4046">
      <c r="A4046" s="3" t="s">
        <v>59</v>
      </c>
      <c r="B4046" s="4">
        <v>45262.29166666667</v>
      </c>
      <c r="C4046" s="2" t="s">
        <v>18</v>
      </c>
      <c r="D4046" s="2" t="s">
        <v>164</v>
      </c>
      <c r="E4046" s="2" t="s">
        <v>165</v>
      </c>
      <c r="F4046" s="2"/>
      <c r="G4046" s="2">
        <v>83.0</v>
      </c>
      <c r="H4046" s="2">
        <v>45.0</v>
      </c>
      <c r="I4046" s="2">
        <v>38.0</v>
      </c>
      <c r="J4046" s="2">
        <v>0.0</v>
      </c>
      <c r="K4046" s="2">
        <v>0.0</v>
      </c>
      <c r="L4046" s="2">
        <v>0.0</v>
      </c>
      <c r="M4046" s="2"/>
      <c r="N4046" s="2"/>
      <c r="O4046" s="2"/>
      <c r="P4046" s="2" t="s">
        <v>166</v>
      </c>
    </row>
    <row r="4047">
      <c r="A4047" s="3" t="s">
        <v>60</v>
      </c>
      <c r="B4047" s="2" t="s">
        <v>17</v>
      </c>
      <c r="C4047" s="2" t="s">
        <v>18</v>
      </c>
      <c r="D4047" s="2" t="s">
        <v>164</v>
      </c>
      <c r="E4047" s="2" t="s">
        <v>165</v>
      </c>
      <c r="F4047" s="2">
        <v>30.0</v>
      </c>
      <c r="G4047" s="2">
        <v>73.0</v>
      </c>
      <c r="H4047" s="2">
        <v>45.0</v>
      </c>
      <c r="I4047" s="2">
        <v>28.0</v>
      </c>
      <c r="J4047" s="2">
        <v>0.0</v>
      </c>
      <c r="K4047" s="2">
        <v>0.0</v>
      </c>
      <c r="L4047" s="2">
        <v>0.0</v>
      </c>
      <c r="M4047" s="2">
        <v>-15.0</v>
      </c>
      <c r="N4047" s="2"/>
      <c r="O4047" s="2"/>
      <c r="P4047" s="2" t="s">
        <v>166</v>
      </c>
    </row>
    <row r="4048">
      <c r="A4048" s="3" t="s">
        <v>61</v>
      </c>
      <c r="B4048" s="2" t="s">
        <v>17</v>
      </c>
      <c r="C4048" s="2" t="s">
        <v>18</v>
      </c>
      <c r="D4048" s="2" t="s">
        <v>23</v>
      </c>
      <c r="E4048" s="2" t="s">
        <v>165</v>
      </c>
      <c r="F4048" s="2">
        <v>30.0</v>
      </c>
      <c r="G4048" s="2">
        <v>73.0</v>
      </c>
      <c r="H4048" s="2">
        <v>45.0</v>
      </c>
      <c r="I4048" s="2">
        <v>28.0</v>
      </c>
      <c r="J4048" s="2">
        <v>0.0</v>
      </c>
      <c r="K4048" s="2">
        <v>0.0</v>
      </c>
      <c r="L4048" s="2">
        <v>0.0</v>
      </c>
      <c r="M4048" s="2">
        <v>-15.0</v>
      </c>
      <c r="N4048" s="2">
        <v>0.0</v>
      </c>
      <c r="O4048" s="2">
        <v>-60.0</v>
      </c>
      <c r="P4048" s="2" t="s">
        <v>166</v>
      </c>
    </row>
    <row r="4049">
      <c r="A4049" s="3" t="s">
        <v>62</v>
      </c>
      <c r="B4049" s="4">
        <v>45261.29166666667</v>
      </c>
      <c r="C4049" s="2" t="s">
        <v>18</v>
      </c>
      <c r="D4049" s="2" t="s">
        <v>164</v>
      </c>
      <c r="E4049" s="2" t="s">
        <v>165</v>
      </c>
      <c r="F4049" s="2"/>
      <c r="G4049" s="2">
        <v>73.0</v>
      </c>
      <c r="H4049" s="2">
        <v>45.0</v>
      </c>
      <c r="I4049" s="2">
        <v>28.0</v>
      </c>
      <c r="J4049" s="2">
        <v>0.0</v>
      </c>
      <c r="K4049" s="2">
        <v>0.0</v>
      </c>
      <c r="L4049" s="2">
        <v>0.0</v>
      </c>
      <c r="M4049" s="2"/>
      <c r="N4049" s="2"/>
      <c r="O4049" s="2"/>
      <c r="P4049" s="2" t="s">
        <v>166</v>
      </c>
    </row>
    <row r="4050">
      <c r="A4050" s="3" t="s">
        <v>63</v>
      </c>
      <c r="B4050" s="2" t="s">
        <v>17</v>
      </c>
      <c r="C4050" s="2" t="s">
        <v>18</v>
      </c>
      <c r="D4050" s="2" t="s">
        <v>79</v>
      </c>
      <c r="E4050" s="2" t="s">
        <v>165</v>
      </c>
      <c r="F4050" s="2">
        <v>42.0</v>
      </c>
      <c r="G4050" s="2">
        <v>87.0</v>
      </c>
      <c r="H4050" s="2">
        <v>47.0</v>
      </c>
      <c r="I4050" s="2">
        <v>40.0</v>
      </c>
      <c r="J4050" s="2">
        <v>0.0</v>
      </c>
      <c r="K4050" s="2">
        <v>0.0</v>
      </c>
      <c r="L4050" s="2">
        <v>0.0</v>
      </c>
      <c r="M4050" s="2">
        <v>-5.0</v>
      </c>
      <c r="N4050" s="2"/>
      <c r="O4050" s="2"/>
      <c r="P4050" s="2" t="s">
        <v>166</v>
      </c>
    </row>
    <row r="4051">
      <c r="A4051" s="3" t="s">
        <v>64</v>
      </c>
      <c r="B4051" s="2" t="s">
        <v>17</v>
      </c>
      <c r="C4051" s="2" t="s">
        <v>18</v>
      </c>
      <c r="D4051" s="2" t="s">
        <v>23</v>
      </c>
      <c r="E4051" s="2" t="s">
        <v>165</v>
      </c>
      <c r="F4051" s="2">
        <v>42.0</v>
      </c>
      <c r="G4051" s="2">
        <v>87.0</v>
      </c>
      <c r="H4051" s="2">
        <v>47.0</v>
      </c>
      <c r="I4051" s="2">
        <v>40.0</v>
      </c>
      <c r="J4051" s="2">
        <v>0.0</v>
      </c>
      <c r="K4051" s="2">
        <v>0.0</v>
      </c>
      <c r="L4051" s="2">
        <v>0.0</v>
      </c>
      <c r="M4051" s="2">
        <v>-5.0</v>
      </c>
      <c r="N4051" s="2">
        <v>0.0</v>
      </c>
      <c r="O4051" s="2">
        <v>-52.0</v>
      </c>
      <c r="P4051" s="2" t="s">
        <v>166</v>
      </c>
    </row>
    <row r="4052">
      <c r="A4052" s="3" t="s">
        <v>65</v>
      </c>
      <c r="B4052" s="4">
        <v>45266.29166666667</v>
      </c>
      <c r="C4052" s="2" t="s">
        <v>18</v>
      </c>
      <c r="D4052" s="2" t="s">
        <v>79</v>
      </c>
      <c r="E4052" s="2" t="s">
        <v>165</v>
      </c>
      <c r="F4052" s="2"/>
      <c r="G4052" s="2">
        <v>87.0</v>
      </c>
      <c r="H4052" s="2">
        <v>47.0</v>
      </c>
      <c r="I4052" s="2">
        <v>40.0</v>
      </c>
      <c r="J4052" s="2">
        <v>0.0</v>
      </c>
      <c r="K4052" s="2">
        <v>0.0</v>
      </c>
      <c r="L4052" s="2">
        <v>0.0</v>
      </c>
      <c r="M4052" s="2"/>
      <c r="N4052" s="2"/>
      <c r="O4052" s="2"/>
      <c r="P4052" s="2" t="s">
        <v>166</v>
      </c>
    </row>
    <row r="4053">
      <c r="A4053" s="3" t="s">
        <v>66</v>
      </c>
      <c r="B4053" s="4">
        <v>45293.29166666667</v>
      </c>
      <c r="C4053" s="2" t="s">
        <v>18</v>
      </c>
      <c r="D4053" s="2" t="s">
        <v>79</v>
      </c>
      <c r="E4053" s="2" t="s">
        <v>165</v>
      </c>
      <c r="F4053" s="2"/>
      <c r="G4053" s="2">
        <v>0.0</v>
      </c>
      <c r="H4053" s="2">
        <v>0.0</v>
      </c>
      <c r="I4053" s="2">
        <v>0.0</v>
      </c>
      <c r="J4053" s="2">
        <v>0.0</v>
      </c>
      <c r="K4053" s="2">
        <v>0.0</v>
      </c>
      <c r="L4053" s="2">
        <v>0.0</v>
      </c>
      <c r="M4053" s="2"/>
      <c r="N4053" s="2"/>
      <c r="O4053" s="2"/>
      <c r="P4053" s="2" t="s">
        <v>166</v>
      </c>
    </row>
    <row r="4054">
      <c r="A4054" s="3" t="s">
        <v>68</v>
      </c>
      <c r="B4054" s="2" t="s">
        <v>17</v>
      </c>
      <c r="C4054" s="2" t="s">
        <v>18</v>
      </c>
      <c r="D4054" s="2" t="s">
        <v>19</v>
      </c>
      <c r="E4054" s="2" t="s">
        <v>125</v>
      </c>
      <c r="F4054" s="2">
        <v>57.0</v>
      </c>
      <c r="G4054" s="2">
        <v>125.0</v>
      </c>
      <c r="H4054" s="2">
        <v>58.0</v>
      </c>
      <c r="I4054" s="2">
        <v>52.0</v>
      </c>
      <c r="J4054" s="2">
        <v>0.0</v>
      </c>
      <c r="K4054" s="2">
        <v>15.0</v>
      </c>
      <c r="L4054" s="2">
        <v>0.0</v>
      </c>
      <c r="M4054" s="2">
        <v>-1.0</v>
      </c>
      <c r="N4054" s="2"/>
      <c r="O4054" s="2"/>
      <c r="P4054" s="2" t="s">
        <v>195</v>
      </c>
    </row>
    <row r="4055">
      <c r="A4055" s="3" t="s">
        <v>70</v>
      </c>
      <c r="B4055" s="2" t="s">
        <v>17</v>
      </c>
      <c r="C4055" s="2" t="s">
        <v>18</v>
      </c>
      <c r="D4055" s="2" t="s">
        <v>23</v>
      </c>
      <c r="E4055" s="2" t="s">
        <v>125</v>
      </c>
      <c r="F4055" s="2">
        <v>57.0</v>
      </c>
      <c r="G4055" s="2">
        <v>125.0</v>
      </c>
      <c r="H4055" s="2">
        <v>58.0</v>
      </c>
      <c r="I4055" s="2">
        <v>52.0</v>
      </c>
      <c r="J4055" s="2">
        <v>0.0</v>
      </c>
      <c r="K4055" s="2">
        <v>15.0</v>
      </c>
      <c r="L4055" s="2">
        <v>0.0</v>
      </c>
      <c r="M4055" s="2">
        <v>-1.0</v>
      </c>
      <c r="N4055" s="2">
        <v>0.0</v>
      </c>
      <c r="O4055" s="2">
        <v>-59.0</v>
      </c>
      <c r="P4055" s="2" t="s">
        <v>195</v>
      </c>
    </row>
    <row r="4056">
      <c r="A4056" s="3" t="s">
        <v>16</v>
      </c>
      <c r="B4056" s="4">
        <v>45232.25</v>
      </c>
      <c r="C4056" s="2" t="s">
        <v>18</v>
      </c>
      <c r="D4056" s="2" t="s">
        <v>19</v>
      </c>
      <c r="E4056" s="2" t="s">
        <v>125</v>
      </c>
      <c r="F4056" s="2"/>
      <c r="G4056" s="2">
        <v>79.0</v>
      </c>
      <c r="H4056" s="2">
        <v>35.0</v>
      </c>
      <c r="I4056" s="2">
        <v>44.0</v>
      </c>
      <c r="J4056" s="2">
        <v>0.0</v>
      </c>
      <c r="K4056" s="2">
        <v>0.0</v>
      </c>
      <c r="L4056" s="2">
        <v>0.0</v>
      </c>
      <c r="M4056" s="2"/>
      <c r="N4056" s="2"/>
      <c r="O4056" s="2"/>
      <c r="P4056" s="2" t="s">
        <v>195</v>
      </c>
    </row>
    <row r="4057">
      <c r="A4057" s="3" t="s">
        <v>71</v>
      </c>
      <c r="B4057" s="4">
        <v>45261.29166666667</v>
      </c>
      <c r="C4057" s="2" t="s">
        <v>18</v>
      </c>
      <c r="D4057" s="2" t="s">
        <v>19</v>
      </c>
      <c r="E4057" s="2" t="s">
        <v>125</v>
      </c>
      <c r="F4057" s="2"/>
      <c r="G4057" s="2">
        <v>46.0</v>
      </c>
      <c r="H4057" s="2">
        <v>23.0</v>
      </c>
      <c r="I4057" s="2">
        <v>8.0</v>
      </c>
      <c r="J4057" s="2">
        <v>0.0</v>
      </c>
      <c r="K4057" s="2">
        <v>15.0</v>
      </c>
      <c r="L4057" s="2">
        <v>0.0</v>
      </c>
      <c r="M4057" s="2"/>
      <c r="N4057" s="2"/>
      <c r="O4057" s="2"/>
      <c r="P4057" s="2" t="s">
        <v>195</v>
      </c>
    </row>
    <row r="4058">
      <c r="A4058" s="3" t="s">
        <v>72</v>
      </c>
      <c r="B4058" s="2" t="s">
        <v>17</v>
      </c>
      <c r="C4058" s="2" t="s">
        <v>18</v>
      </c>
      <c r="D4058" s="2" t="s">
        <v>19</v>
      </c>
      <c r="E4058" s="2" t="s">
        <v>125</v>
      </c>
      <c r="F4058" s="2">
        <v>75.0</v>
      </c>
      <c r="G4058" s="2">
        <v>97.0</v>
      </c>
      <c r="H4058" s="2">
        <v>68.0</v>
      </c>
      <c r="I4058" s="2">
        <v>24.0</v>
      </c>
      <c r="J4058" s="2">
        <v>5.0</v>
      </c>
      <c r="K4058" s="2">
        <v>0.0</v>
      </c>
      <c r="L4058" s="2">
        <v>0.0</v>
      </c>
      <c r="M4058" s="2">
        <v>7.0</v>
      </c>
      <c r="N4058" s="2"/>
      <c r="O4058" s="2"/>
      <c r="P4058" s="2" t="s">
        <v>67</v>
      </c>
    </row>
    <row r="4059">
      <c r="A4059" s="3" t="s">
        <v>73</v>
      </c>
      <c r="B4059" s="2" t="s">
        <v>17</v>
      </c>
      <c r="C4059" s="2" t="s">
        <v>18</v>
      </c>
      <c r="D4059" s="2" t="s">
        <v>23</v>
      </c>
      <c r="E4059" s="2" t="s">
        <v>125</v>
      </c>
      <c r="F4059" s="2">
        <v>75.0</v>
      </c>
      <c r="G4059" s="2">
        <v>97.0</v>
      </c>
      <c r="H4059" s="2">
        <v>68.0</v>
      </c>
      <c r="I4059" s="2">
        <v>24.0</v>
      </c>
      <c r="J4059" s="2">
        <v>5.0</v>
      </c>
      <c r="K4059" s="2">
        <v>0.0</v>
      </c>
      <c r="L4059" s="2">
        <v>0.0</v>
      </c>
      <c r="M4059" s="2">
        <v>7.0</v>
      </c>
      <c r="N4059" s="2">
        <v>0.0</v>
      </c>
      <c r="O4059" s="2">
        <v>-61.0</v>
      </c>
      <c r="P4059" s="2" t="s">
        <v>67</v>
      </c>
    </row>
    <row r="4060">
      <c r="A4060" s="3" t="s">
        <v>74</v>
      </c>
      <c r="B4060" s="4">
        <v>45232.25</v>
      </c>
      <c r="C4060" s="2" t="s">
        <v>18</v>
      </c>
      <c r="D4060" s="2" t="s">
        <v>19</v>
      </c>
      <c r="E4060" s="2" t="s">
        <v>125</v>
      </c>
      <c r="F4060" s="2"/>
      <c r="G4060" s="2">
        <v>83.0</v>
      </c>
      <c r="H4060" s="2">
        <v>60.0</v>
      </c>
      <c r="I4060" s="2">
        <v>18.0</v>
      </c>
      <c r="J4060" s="2">
        <v>5.0</v>
      </c>
      <c r="K4060" s="2">
        <v>0.0</v>
      </c>
      <c r="L4060" s="2">
        <v>0.0</v>
      </c>
      <c r="M4060" s="2"/>
      <c r="N4060" s="2"/>
      <c r="O4060" s="2"/>
      <c r="P4060" s="2" t="s">
        <v>67</v>
      </c>
    </row>
    <row r="4061">
      <c r="A4061" s="3" t="s">
        <v>75</v>
      </c>
      <c r="B4061" s="4">
        <v>45261.29166666667</v>
      </c>
      <c r="C4061" s="2" t="s">
        <v>18</v>
      </c>
      <c r="D4061" s="2" t="s">
        <v>19</v>
      </c>
      <c r="E4061" s="2" t="s">
        <v>125</v>
      </c>
      <c r="F4061" s="2"/>
      <c r="G4061" s="2">
        <v>14.0</v>
      </c>
      <c r="H4061" s="2">
        <v>8.0</v>
      </c>
      <c r="I4061" s="2">
        <v>6.0</v>
      </c>
      <c r="J4061" s="2">
        <v>0.0</v>
      </c>
      <c r="K4061" s="2">
        <v>0.0</v>
      </c>
      <c r="L4061" s="2">
        <v>0.0</v>
      </c>
      <c r="M4061" s="2"/>
      <c r="N4061" s="2"/>
      <c r="O4061" s="2"/>
      <c r="P4061" s="2" t="s">
        <v>67</v>
      </c>
    </row>
    <row r="4062">
      <c r="A4062" s="3" t="s">
        <v>76</v>
      </c>
      <c r="B4062" s="2" t="s">
        <v>17</v>
      </c>
      <c r="C4062" s="2" t="s">
        <v>18</v>
      </c>
      <c r="D4062" s="2" t="s">
        <v>164</v>
      </c>
      <c r="E4062" s="2" t="s">
        <v>165</v>
      </c>
      <c r="F4062" s="2">
        <v>600.0</v>
      </c>
      <c r="G4062" s="2">
        <v>87.0</v>
      </c>
      <c r="H4062" s="2">
        <v>63.0</v>
      </c>
      <c r="I4062" s="2">
        <v>24.0</v>
      </c>
      <c r="J4062" s="2">
        <v>0.0</v>
      </c>
      <c r="K4062" s="2">
        <v>0.0</v>
      </c>
      <c r="L4062" s="2">
        <v>0.0</v>
      </c>
      <c r="M4062" s="2">
        <v>537.0</v>
      </c>
      <c r="N4062" s="2"/>
      <c r="O4062" s="2"/>
      <c r="P4062" s="2" t="s">
        <v>166</v>
      </c>
    </row>
    <row r="4063">
      <c r="A4063" s="3" t="s">
        <v>77</v>
      </c>
      <c r="B4063" s="2" t="s">
        <v>17</v>
      </c>
      <c r="C4063" s="2" t="s">
        <v>18</v>
      </c>
      <c r="D4063" s="2" t="s">
        <v>23</v>
      </c>
      <c r="E4063" s="2" t="s">
        <v>165</v>
      </c>
      <c r="F4063" s="2">
        <v>600.0</v>
      </c>
      <c r="G4063" s="2">
        <v>87.0</v>
      </c>
      <c r="H4063" s="2">
        <v>63.0</v>
      </c>
      <c r="I4063" s="2">
        <v>24.0</v>
      </c>
      <c r="J4063" s="2">
        <v>0.0</v>
      </c>
      <c r="K4063" s="2">
        <v>0.0</v>
      </c>
      <c r="L4063" s="2">
        <v>0.0</v>
      </c>
      <c r="M4063" s="2">
        <v>537.0</v>
      </c>
      <c r="N4063" s="2">
        <v>0.0</v>
      </c>
      <c r="O4063" s="2">
        <v>474.0</v>
      </c>
      <c r="P4063" s="2" t="s">
        <v>166</v>
      </c>
    </row>
    <row r="4064">
      <c r="A4064" s="3" t="s">
        <v>78</v>
      </c>
      <c r="B4064" s="4">
        <v>45232.25</v>
      </c>
      <c r="C4064" s="2" t="s">
        <v>18</v>
      </c>
      <c r="D4064" s="2" t="s">
        <v>164</v>
      </c>
      <c r="E4064" s="2" t="s">
        <v>165</v>
      </c>
      <c r="F4064" s="2"/>
      <c r="G4064" s="2">
        <v>87.0</v>
      </c>
      <c r="H4064" s="2">
        <v>63.0</v>
      </c>
      <c r="I4064" s="2">
        <v>24.0</v>
      </c>
      <c r="J4064" s="2">
        <v>0.0</v>
      </c>
      <c r="K4064" s="2">
        <v>0.0</v>
      </c>
      <c r="L4064" s="2">
        <v>0.0</v>
      </c>
      <c r="M4064" s="2"/>
      <c r="N4064" s="2"/>
      <c r="O4064" s="2"/>
      <c r="P4064" s="2" t="s">
        <v>166</v>
      </c>
    </row>
    <row r="4065">
      <c r="A4065" s="3" t="s">
        <v>81</v>
      </c>
      <c r="B4065" s="2" t="s">
        <v>17</v>
      </c>
      <c r="C4065" s="2" t="s">
        <v>18</v>
      </c>
      <c r="D4065" s="2" t="s">
        <v>127</v>
      </c>
      <c r="E4065" s="2" t="s">
        <v>27</v>
      </c>
      <c r="F4065" s="2">
        <v>200.0</v>
      </c>
      <c r="G4065" s="2">
        <v>213.0</v>
      </c>
      <c r="H4065" s="2">
        <v>175.0</v>
      </c>
      <c r="I4065" s="2">
        <v>38.0</v>
      </c>
      <c r="J4065" s="2">
        <v>0.0</v>
      </c>
      <c r="K4065" s="2">
        <v>0.0</v>
      </c>
      <c r="L4065" s="2">
        <v>0.0</v>
      </c>
      <c r="M4065" s="2">
        <v>25.0</v>
      </c>
      <c r="N4065" s="2"/>
      <c r="O4065" s="2"/>
      <c r="P4065" s="2" t="s">
        <v>184</v>
      </c>
    </row>
    <row r="4066">
      <c r="A4066" s="3" t="s">
        <v>82</v>
      </c>
      <c r="B4066" s="2" t="s">
        <v>17</v>
      </c>
      <c r="C4066" s="2" t="s">
        <v>18</v>
      </c>
      <c r="D4066" s="2" t="s">
        <v>69</v>
      </c>
      <c r="E4066" s="2" t="s">
        <v>27</v>
      </c>
      <c r="F4066" s="2">
        <v>10.0</v>
      </c>
      <c r="G4066" s="2">
        <v>8.0</v>
      </c>
      <c r="H4066" s="2">
        <v>4.0</v>
      </c>
      <c r="I4066" s="2">
        <v>4.0</v>
      </c>
      <c r="J4066" s="2">
        <v>0.0</v>
      </c>
      <c r="K4066" s="2">
        <v>0.0</v>
      </c>
      <c r="L4066" s="2">
        <v>0.0</v>
      </c>
      <c r="M4066" s="2">
        <v>6.0</v>
      </c>
      <c r="N4066" s="2"/>
      <c r="O4066" s="2"/>
      <c r="P4066" s="2" t="s">
        <v>184</v>
      </c>
    </row>
    <row r="4067">
      <c r="A4067" s="3" t="s">
        <v>83</v>
      </c>
      <c r="B4067" s="2" t="s">
        <v>17</v>
      </c>
      <c r="C4067" s="2" t="s">
        <v>18</v>
      </c>
      <c r="D4067" s="2" t="s">
        <v>19</v>
      </c>
      <c r="E4067" s="2" t="s">
        <v>27</v>
      </c>
      <c r="F4067" s="2">
        <v>100.0</v>
      </c>
      <c r="G4067" s="2">
        <v>91.0</v>
      </c>
      <c r="H4067" s="2">
        <v>67.0</v>
      </c>
      <c r="I4067" s="2">
        <v>24.0</v>
      </c>
      <c r="J4067" s="2">
        <v>0.0</v>
      </c>
      <c r="K4067" s="2">
        <v>0.0</v>
      </c>
      <c r="L4067" s="2">
        <v>0.0</v>
      </c>
      <c r="M4067" s="2">
        <v>33.0</v>
      </c>
      <c r="N4067" s="2"/>
      <c r="O4067" s="2"/>
      <c r="P4067" s="2" t="s">
        <v>184</v>
      </c>
    </row>
    <row r="4068">
      <c r="A4068" s="3" t="s">
        <v>84</v>
      </c>
      <c r="B4068" s="2" t="s">
        <v>17</v>
      </c>
      <c r="C4068" s="2" t="s">
        <v>18</v>
      </c>
      <c r="D4068" s="2" t="s">
        <v>23</v>
      </c>
      <c r="E4068" s="2" t="s">
        <v>27</v>
      </c>
      <c r="F4068" s="2">
        <v>294.0</v>
      </c>
      <c r="G4068" s="2">
        <v>312.0</v>
      </c>
      <c r="H4068" s="2">
        <v>246.0</v>
      </c>
      <c r="I4068" s="2">
        <v>66.0</v>
      </c>
      <c r="J4068" s="2">
        <v>0.0</v>
      </c>
      <c r="K4068" s="2">
        <v>0.0</v>
      </c>
      <c r="L4068" s="2">
        <v>0.0</v>
      </c>
      <c r="M4068" s="2">
        <v>48.0</v>
      </c>
      <c r="N4068" s="2">
        <v>-16.0</v>
      </c>
      <c r="O4068" s="2">
        <v>-198.0</v>
      </c>
      <c r="P4068" s="2" t="s">
        <v>184</v>
      </c>
    </row>
    <row r="4069">
      <c r="A4069" s="3" t="s">
        <v>85</v>
      </c>
      <c r="B4069" s="4">
        <v>45232.25</v>
      </c>
      <c r="C4069" s="2" t="s">
        <v>18</v>
      </c>
      <c r="D4069" s="2" t="s">
        <v>69</v>
      </c>
      <c r="E4069" s="2" t="s">
        <v>27</v>
      </c>
      <c r="F4069" s="2"/>
      <c r="G4069" s="2">
        <v>2.0</v>
      </c>
      <c r="H4069" s="2">
        <v>1.0</v>
      </c>
      <c r="I4069" s="2">
        <v>1.0</v>
      </c>
      <c r="J4069" s="2">
        <v>0.0</v>
      </c>
      <c r="K4069" s="2">
        <v>0.0</v>
      </c>
      <c r="L4069" s="2">
        <v>0.0</v>
      </c>
      <c r="M4069" s="2"/>
      <c r="N4069" s="2"/>
      <c r="O4069" s="2"/>
      <c r="P4069" s="2" t="s">
        <v>184</v>
      </c>
    </row>
    <row r="4070">
      <c r="A4070" s="3" t="s">
        <v>86</v>
      </c>
      <c r="B4070" s="4">
        <v>45232.25</v>
      </c>
      <c r="C4070" s="2" t="s">
        <v>18</v>
      </c>
      <c r="D4070" s="2" t="s">
        <v>19</v>
      </c>
      <c r="E4070" s="2" t="s">
        <v>27</v>
      </c>
      <c r="F4070" s="2"/>
      <c r="G4070" s="2">
        <v>46.0</v>
      </c>
      <c r="H4070" s="2">
        <v>39.0</v>
      </c>
      <c r="I4070" s="2">
        <v>7.0</v>
      </c>
      <c r="J4070" s="2">
        <v>0.0</v>
      </c>
      <c r="K4070" s="2">
        <v>0.0</v>
      </c>
      <c r="L4070" s="2">
        <v>0.0</v>
      </c>
      <c r="M4070" s="2"/>
      <c r="N4070" s="2"/>
      <c r="O4070" s="2"/>
      <c r="P4070" s="2" t="s">
        <v>184</v>
      </c>
    </row>
    <row r="4071">
      <c r="A4071" s="3" t="s">
        <v>87</v>
      </c>
      <c r="B4071" s="4">
        <v>45262.29166666667</v>
      </c>
      <c r="C4071" s="2" t="s">
        <v>18</v>
      </c>
      <c r="D4071" s="2" t="s">
        <v>127</v>
      </c>
      <c r="E4071" s="2" t="s">
        <v>27</v>
      </c>
      <c r="F4071" s="2"/>
      <c r="G4071" s="2">
        <v>213.0</v>
      </c>
      <c r="H4071" s="2">
        <v>175.0</v>
      </c>
      <c r="I4071" s="2">
        <v>38.0</v>
      </c>
      <c r="J4071" s="2">
        <v>0.0</v>
      </c>
      <c r="K4071" s="2">
        <v>0.0</v>
      </c>
      <c r="L4071" s="2">
        <v>0.0</v>
      </c>
      <c r="M4071" s="2"/>
      <c r="N4071" s="2"/>
      <c r="O4071" s="2"/>
      <c r="P4071" s="2" t="s">
        <v>184</v>
      </c>
    </row>
    <row r="4072">
      <c r="A4072" s="3" t="s">
        <v>88</v>
      </c>
      <c r="B4072" s="4">
        <v>45263.29166666667</v>
      </c>
      <c r="C4072" s="2" t="s">
        <v>18</v>
      </c>
      <c r="D4072" s="2" t="s">
        <v>69</v>
      </c>
      <c r="E4072" s="2" t="s">
        <v>27</v>
      </c>
      <c r="F4072" s="2"/>
      <c r="G4072" s="2">
        <v>6.0</v>
      </c>
      <c r="H4072" s="2">
        <v>3.0</v>
      </c>
      <c r="I4072" s="2">
        <v>3.0</v>
      </c>
      <c r="J4072" s="2">
        <v>0.0</v>
      </c>
      <c r="K4072" s="2">
        <v>0.0</v>
      </c>
      <c r="L4072" s="2">
        <v>0.0</v>
      </c>
      <c r="M4072" s="2"/>
      <c r="N4072" s="2"/>
      <c r="O4072" s="2"/>
      <c r="P4072" s="2" t="s">
        <v>184</v>
      </c>
    </row>
    <row r="4073">
      <c r="A4073" s="3" t="s">
        <v>89</v>
      </c>
      <c r="B4073" s="4">
        <v>45264.29166666667</v>
      </c>
      <c r="C4073" s="2" t="s">
        <v>18</v>
      </c>
      <c r="D4073" s="2" t="s">
        <v>19</v>
      </c>
      <c r="E4073" s="2" t="s">
        <v>27</v>
      </c>
      <c r="F4073" s="2"/>
      <c r="G4073" s="2">
        <v>45.0</v>
      </c>
      <c r="H4073" s="2">
        <v>28.0</v>
      </c>
      <c r="I4073" s="2">
        <v>17.0</v>
      </c>
      <c r="J4073" s="2">
        <v>0.0</v>
      </c>
      <c r="K4073" s="2">
        <v>0.0</v>
      </c>
      <c r="L4073" s="2">
        <v>0.0</v>
      </c>
      <c r="M4073" s="2"/>
      <c r="N4073" s="2"/>
      <c r="O4073" s="2"/>
      <c r="P4073" s="2" t="s">
        <v>184</v>
      </c>
    </row>
    <row r="4074">
      <c r="A4074" s="3" t="s">
        <v>90</v>
      </c>
      <c r="B4074" s="2" t="s">
        <v>17</v>
      </c>
      <c r="C4074" s="2" t="s">
        <v>18</v>
      </c>
      <c r="D4074" s="2" t="s">
        <v>79</v>
      </c>
      <c r="E4074" s="2" t="s">
        <v>165</v>
      </c>
      <c r="F4074" s="2">
        <v>168.0</v>
      </c>
      <c r="G4074" s="2">
        <v>439.0</v>
      </c>
      <c r="H4074" s="2">
        <v>125.0</v>
      </c>
      <c r="I4074" s="2">
        <v>314.0</v>
      </c>
      <c r="J4074" s="2">
        <v>0.0</v>
      </c>
      <c r="K4074" s="2">
        <v>0.0</v>
      </c>
      <c r="L4074" s="2">
        <v>0.0</v>
      </c>
      <c r="M4074" s="2">
        <v>43.0</v>
      </c>
      <c r="N4074" s="2"/>
      <c r="O4074" s="2"/>
      <c r="P4074" s="2" t="s">
        <v>166</v>
      </c>
    </row>
    <row r="4075">
      <c r="A4075" s="3" t="s">
        <v>93</v>
      </c>
      <c r="B4075" s="2" t="s">
        <v>17</v>
      </c>
      <c r="C4075" s="2" t="s">
        <v>18</v>
      </c>
      <c r="D4075" s="2" t="s">
        <v>23</v>
      </c>
      <c r="E4075" s="2" t="s">
        <v>165</v>
      </c>
      <c r="F4075" s="2">
        <v>168.0</v>
      </c>
      <c r="G4075" s="2">
        <v>439.0</v>
      </c>
      <c r="H4075" s="2">
        <v>125.0</v>
      </c>
      <c r="I4075" s="2">
        <v>314.0</v>
      </c>
      <c r="J4075" s="2">
        <v>0.0</v>
      </c>
      <c r="K4075" s="2">
        <v>0.0</v>
      </c>
      <c r="L4075" s="2">
        <v>0.0</v>
      </c>
      <c r="M4075" s="2">
        <v>43.0</v>
      </c>
      <c r="N4075" s="2">
        <v>0.0</v>
      </c>
      <c r="O4075" s="2">
        <v>-82.0</v>
      </c>
      <c r="P4075" s="2" t="s">
        <v>166</v>
      </c>
    </row>
    <row r="4076">
      <c r="A4076" s="3" t="s">
        <v>16</v>
      </c>
      <c r="B4076" s="4">
        <v>45262.29166666667</v>
      </c>
      <c r="C4076" s="2" t="s">
        <v>18</v>
      </c>
      <c r="D4076" s="2" t="s">
        <v>79</v>
      </c>
      <c r="E4076" s="2" t="s">
        <v>165</v>
      </c>
      <c r="F4076" s="2"/>
      <c r="G4076" s="2">
        <v>439.0</v>
      </c>
      <c r="H4076" s="2">
        <v>125.0</v>
      </c>
      <c r="I4076" s="2">
        <v>314.0</v>
      </c>
      <c r="J4076" s="2">
        <v>0.0</v>
      </c>
      <c r="K4076" s="2">
        <v>0.0</v>
      </c>
      <c r="L4076" s="2">
        <v>0.0</v>
      </c>
      <c r="M4076" s="2"/>
      <c r="N4076" s="2"/>
      <c r="O4076" s="2"/>
      <c r="P4076" s="2" t="s">
        <v>166</v>
      </c>
    </row>
    <row r="4077">
      <c r="A4077" s="3" t="s">
        <v>94</v>
      </c>
      <c r="B4077" s="2" t="s">
        <v>17</v>
      </c>
      <c r="C4077" s="2" t="s">
        <v>18</v>
      </c>
      <c r="D4077" s="2" t="s">
        <v>19</v>
      </c>
      <c r="E4077" s="2" t="s">
        <v>456</v>
      </c>
      <c r="F4077" s="2">
        <v>80.0</v>
      </c>
      <c r="G4077" s="2">
        <v>109.0</v>
      </c>
      <c r="H4077" s="2">
        <v>76.0</v>
      </c>
      <c r="I4077" s="2">
        <v>33.0</v>
      </c>
      <c r="J4077" s="2">
        <v>0.0</v>
      </c>
      <c r="K4077" s="2">
        <v>0.0</v>
      </c>
      <c r="L4077" s="2">
        <v>0.0</v>
      </c>
      <c r="M4077" s="2">
        <v>4.0</v>
      </c>
      <c r="N4077" s="2"/>
      <c r="O4077" s="2"/>
      <c r="P4077" s="2" t="s">
        <v>67</v>
      </c>
    </row>
    <row r="4078">
      <c r="A4078" s="3" t="s">
        <v>95</v>
      </c>
      <c r="B4078" s="2" t="s">
        <v>17</v>
      </c>
      <c r="C4078" s="2" t="s">
        <v>18</v>
      </c>
      <c r="D4078" s="2" t="s">
        <v>19</v>
      </c>
      <c r="E4078" s="2" t="s">
        <v>457</v>
      </c>
      <c r="F4078" s="2">
        <v>22.0</v>
      </c>
      <c r="G4078" s="2">
        <v>18.0</v>
      </c>
      <c r="H4078" s="2">
        <v>12.0</v>
      </c>
      <c r="I4078" s="2">
        <v>6.0</v>
      </c>
      <c r="J4078" s="2">
        <v>0.0</v>
      </c>
      <c r="K4078" s="2">
        <v>0.0</v>
      </c>
      <c r="L4078" s="2">
        <v>0.0</v>
      </c>
      <c r="M4078" s="2">
        <v>10.0</v>
      </c>
      <c r="N4078" s="2"/>
      <c r="O4078" s="2"/>
      <c r="P4078" s="2" t="s">
        <v>67</v>
      </c>
    </row>
    <row r="4079">
      <c r="A4079" s="3" t="s">
        <v>97</v>
      </c>
      <c r="B4079" s="2" t="s">
        <v>17</v>
      </c>
      <c r="C4079" s="2" t="s">
        <v>148</v>
      </c>
      <c r="D4079" s="2" t="s">
        <v>69</v>
      </c>
      <c r="E4079" s="2" t="s">
        <v>456</v>
      </c>
      <c r="F4079" s="2">
        <v>20.0</v>
      </c>
      <c r="G4079" s="2">
        <v>0.0</v>
      </c>
      <c r="H4079" s="2">
        <v>0.0</v>
      </c>
      <c r="I4079" s="2">
        <v>0.0</v>
      </c>
      <c r="J4079" s="2">
        <v>0.0</v>
      </c>
      <c r="K4079" s="2">
        <v>0.0</v>
      </c>
      <c r="L4079" s="2">
        <v>0.0</v>
      </c>
      <c r="M4079" s="2">
        <v>20.0</v>
      </c>
      <c r="N4079" s="2"/>
      <c r="O4079" s="2"/>
      <c r="P4079" s="2" t="s">
        <v>67</v>
      </c>
    </row>
    <row r="4080">
      <c r="A4080" s="3" t="s">
        <v>98</v>
      </c>
      <c r="B4080" s="2" t="s">
        <v>17</v>
      </c>
      <c r="C4080" s="2" t="s">
        <v>148</v>
      </c>
      <c r="D4080" s="2" t="s">
        <v>69</v>
      </c>
      <c r="E4080" s="2" t="s">
        <v>457</v>
      </c>
      <c r="F4080" s="2">
        <v>20.0</v>
      </c>
      <c r="G4080" s="2">
        <v>0.0</v>
      </c>
      <c r="H4080" s="2">
        <v>0.0</v>
      </c>
      <c r="I4080" s="2">
        <v>0.0</v>
      </c>
      <c r="J4080" s="2">
        <v>0.0</v>
      </c>
      <c r="K4080" s="2">
        <v>0.0</v>
      </c>
      <c r="L4080" s="2">
        <v>0.0</v>
      </c>
      <c r="M4080" s="2">
        <v>20.0</v>
      </c>
      <c r="N4080" s="2"/>
      <c r="O4080" s="2"/>
      <c r="P4080" s="2" t="s">
        <v>67</v>
      </c>
    </row>
    <row r="4081">
      <c r="A4081" s="3" t="s">
        <v>99</v>
      </c>
      <c r="B4081" s="2" t="s">
        <v>17</v>
      </c>
      <c r="C4081" s="2" t="s">
        <v>18</v>
      </c>
      <c r="D4081" s="2" t="s">
        <v>30</v>
      </c>
      <c r="E4081" s="2" t="s">
        <v>456</v>
      </c>
      <c r="F4081" s="2">
        <v>162.0</v>
      </c>
      <c r="G4081" s="2">
        <v>204.0</v>
      </c>
      <c r="H4081" s="2">
        <v>164.0</v>
      </c>
      <c r="I4081" s="2">
        <v>40.0</v>
      </c>
      <c r="J4081" s="2">
        <v>0.0</v>
      </c>
      <c r="K4081" s="2">
        <v>0.0</v>
      </c>
      <c r="L4081" s="2">
        <v>0.0</v>
      </c>
      <c r="M4081" s="2">
        <v>-2.0</v>
      </c>
      <c r="N4081" s="2"/>
      <c r="O4081" s="2"/>
      <c r="P4081" s="2" t="s">
        <v>67</v>
      </c>
    </row>
    <row r="4082">
      <c r="A4082" s="3" t="s">
        <v>100</v>
      </c>
      <c r="B4082" s="2" t="s">
        <v>17</v>
      </c>
      <c r="C4082" s="2" t="s">
        <v>18</v>
      </c>
      <c r="D4082" s="2" t="s">
        <v>30</v>
      </c>
      <c r="E4082" s="2" t="s">
        <v>457</v>
      </c>
      <c r="F4082" s="2">
        <v>220.0</v>
      </c>
      <c r="G4082" s="2">
        <v>288.0</v>
      </c>
      <c r="H4082" s="2">
        <v>227.0</v>
      </c>
      <c r="I4082" s="2">
        <v>61.0</v>
      </c>
      <c r="J4082" s="2">
        <v>0.0</v>
      </c>
      <c r="K4082" s="2">
        <v>0.0</v>
      </c>
      <c r="L4082" s="2">
        <v>0.0</v>
      </c>
      <c r="M4082" s="2">
        <v>-7.0</v>
      </c>
      <c r="N4082" s="2"/>
      <c r="O4082" s="2"/>
      <c r="P4082" s="2" t="s">
        <v>67</v>
      </c>
    </row>
    <row r="4083">
      <c r="A4083" s="3" t="s">
        <v>101</v>
      </c>
      <c r="B4083" s="2" t="s">
        <v>17</v>
      </c>
      <c r="C4083" s="2" t="s">
        <v>18</v>
      </c>
      <c r="D4083" s="2" t="s">
        <v>23</v>
      </c>
      <c r="E4083" s="2" t="s">
        <v>456</v>
      </c>
      <c r="F4083" s="2">
        <v>242.0</v>
      </c>
      <c r="G4083" s="2">
        <v>313.0</v>
      </c>
      <c r="H4083" s="2">
        <v>240.0</v>
      </c>
      <c r="I4083" s="2">
        <v>73.0</v>
      </c>
      <c r="J4083" s="2">
        <v>0.0</v>
      </c>
      <c r="K4083" s="2">
        <v>0.0</v>
      </c>
      <c r="L4083" s="2">
        <v>0.0</v>
      </c>
      <c r="M4083" s="2">
        <v>2.0</v>
      </c>
      <c r="N4083" s="2"/>
      <c r="O4083" s="2">
        <v>-238.0</v>
      </c>
      <c r="P4083" s="2" t="s">
        <v>67</v>
      </c>
    </row>
    <row r="4084">
      <c r="A4084" s="3" t="s">
        <v>102</v>
      </c>
      <c r="B4084" s="2" t="s">
        <v>17</v>
      </c>
      <c r="C4084" s="2" t="s">
        <v>18</v>
      </c>
      <c r="D4084" s="2" t="s">
        <v>23</v>
      </c>
      <c r="E4084" s="2" t="s">
        <v>457</v>
      </c>
      <c r="F4084" s="2">
        <v>242.0</v>
      </c>
      <c r="G4084" s="2">
        <v>306.0</v>
      </c>
      <c r="H4084" s="2">
        <v>239.0</v>
      </c>
      <c r="I4084" s="2">
        <v>67.0</v>
      </c>
      <c r="J4084" s="2">
        <v>0.0</v>
      </c>
      <c r="K4084" s="2">
        <v>0.0</v>
      </c>
      <c r="L4084" s="2">
        <v>0.0</v>
      </c>
      <c r="M4084" s="2">
        <v>3.0</v>
      </c>
      <c r="N4084" s="2"/>
      <c r="O4084" s="2"/>
      <c r="P4084" s="2" t="s">
        <v>67</v>
      </c>
    </row>
    <row r="4085">
      <c r="A4085" s="3" t="s">
        <v>103</v>
      </c>
      <c r="B4085" s="4">
        <v>45201.29166666667</v>
      </c>
      <c r="C4085" s="2" t="s">
        <v>18</v>
      </c>
      <c r="D4085" s="2" t="s">
        <v>19</v>
      </c>
      <c r="E4085" s="2" t="s">
        <v>456</v>
      </c>
      <c r="F4085" s="2"/>
      <c r="G4085" s="2">
        <v>109.0</v>
      </c>
      <c r="H4085" s="2">
        <v>76.0</v>
      </c>
      <c r="I4085" s="2">
        <v>33.0</v>
      </c>
      <c r="J4085" s="2">
        <v>0.0</v>
      </c>
      <c r="K4085" s="2">
        <v>0.0</v>
      </c>
      <c r="L4085" s="2">
        <v>0.0</v>
      </c>
      <c r="M4085" s="2"/>
      <c r="N4085" s="2"/>
      <c r="O4085" s="2"/>
      <c r="P4085" s="2" t="s">
        <v>67</v>
      </c>
    </row>
    <row r="4086">
      <c r="A4086" s="3" t="s">
        <v>104</v>
      </c>
      <c r="B4086" s="4">
        <v>45202.29166666667</v>
      </c>
      <c r="C4086" s="2" t="s">
        <v>18</v>
      </c>
      <c r="D4086" s="2" t="s">
        <v>19</v>
      </c>
      <c r="E4086" s="2" t="s">
        <v>457</v>
      </c>
      <c r="F4086" s="2"/>
      <c r="G4086" s="2">
        <v>18.0</v>
      </c>
      <c r="H4086" s="2">
        <v>12.0</v>
      </c>
      <c r="I4086" s="2">
        <v>6.0</v>
      </c>
      <c r="J4086" s="2">
        <v>0.0</v>
      </c>
      <c r="K4086" s="2">
        <v>0.0</v>
      </c>
      <c r="L4086" s="2">
        <v>0.0</v>
      </c>
      <c r="M4086" s="2"/>
      <c r="N4086" s="2"/>
      <c r="O4086" s="2"/>
      <c r="P4086" s="2" t="s">
        <v>67</v>
      </c>
    </row>
    <row r="4087">
      <c r="A4087" s="3" t="s">
        <v>105</v>
      </c>
      <c r="B4087" s="4">
        <v>45203.29166666667</v>
      </c>
      <c r="C4087" s="2" t="s">
        <v>18</v>
      </c>
      <c r="D4087" s="2" t="s">
        <v>30</v>
      </c>
      <c r="E4087" s="2" t="s">
        <v>456</v>
      </c>
      <c r="F4087" s="2"/>
      <c r="G4087" s="2">
        <v>204.0</v>
      </c>
      <c r="H4087" s="2">
        <v>164.0</v>
      </c>
      <c r="I4087" s="2">
        <v>40.0</v>
      </c>
      <c r="J4087" s="2">
        <v>0.0</v>
      </c>
      <c r="K4087" s="2">
        <v>0.0</v>
      </c>
      <c r="L4087" s="2">
        <v>0.0</v>
      </c>
      <c r="M4087" s="2"/>
      <c r="N4087" s="2"/>
      <c r="O4087" s="2"/>
      <c r="P4087" s="2" t="s">
        <v>67</v>
      </c>
    </row>
    <row r="4088">
      <c r="A4088" s="3" t="s">
        <v>106</v>
      </c>
      <c r="B4088" s="4">
        <v>45204.29166666667</v>
      </c>
      <c r="C4088" s="2" t="s">
        <v>18</v>
      </c>
      <c r="D4088" s="2" t="s">
        <v>30</v>
      </c>
      <c r="E4088" s="2" t="s">
        <v>457</v>
      </c>
      <c r="F4088" s="2"/>
      <c r="G4088" s="2">
        <v>288.0</v>
      </c>
      <c r="H4088" s="2">
        <v>227.0</v>
      </c>
      <c r="I4088" s="2">
        <v>61.0</v>
      </c>
      <c r="J4088" s="2">
        <v>0.0</v>
      </c>
      <c r="K4088" s="2">
        <v>0.0</v>
      </c>
      <c r="L4088" s="2">
        <v>0.0</v>
      </c>
      <c r="M4088" s="2"/>
      <c r="N4088" s="2"/>
      <c r="O4088" s="2"/>
      <c r="P4088" s="2" t="s">
        <v>67</v>
      </c>
    </row>
    <row r="4089">
      <c r="A4089" s="3" t="s">
        <v>107</v>
      </c>
      <c r="B4089" s="2" t="s">
        <v>17</v>
      </c>
      <c r="C4089" s="2" t="s">
        <v>18</v>
      </c>
      <c r="D4089" s="2" t="s">
        <v>127</v>
      </c>
      <c r="E4089" s="2" t="s">
        <v>413</v>
      </c>
      <c r="F4089" s="2">
        <v>10.0</v>
      </c>
      <c r="G4089" s="2">
        <v>31.0</v>
      </c>
      <c r="H4089" s="2">
        <v>10.0</v>
      </c>
      <c r="I4089" s="2">
        <v>21.0</v>
      </c>
      <c r="J4089" s="2">
        <v>0.0</v>
      </c>
      <c r="K4089" s="2">
        <v>0.0</v>
      </c>
      <c r="L4089" s="2">
        <v>1.0</v>
      </c>
      <c r="M4089" s="2">
        <v>0.0</v>
      </c>
      <c r="N4089" s="2"/>
      <c r="O4089" s="2"/>
      <c r="P4089" s="2" t="s">
        <v>111</v>
      </c>
    </row>
    <row r="4090">
      <c r="A4090" s="3" t="s">
        <v>108</v>
      </c>
      <c r="B4090" s="2" t="s">
        <v>17</v>
      </c>
      <c r="C4090" s="2" t="s">
        <v>18</v>
      </c>
      <c r="D4090" s="2" t="s">
        <v>19</v>
      </c>
      <c r="E4090" s="2" t="s">
        <v>413</v>
      </c>
      <c r="F4090" s="2">
        <v>10.0</v>
      </c>
      <c r="G4090" s="2">
        <v>0.0</v>
      </c>
      <c r="H4090" s="2">
        <v>0.0</v>
      </c>
      <c r="I4090" s="2">
        <v>0.0</v>
      </c>
      <c r="J4090" s="2">
        <v>0.0</v>
      </c>
      <c r="K4090" s="2">
        <v>0.0</v>
      </c>
      <c r="L4090" s="2">
        <v>0.0</v>
      </c>
      <c r="M4090" s="2">
        <v>10.0</v>
      </c>
      <c r="N4090" s="2"/>
      <c r="O4090" s="2"/>
      <c r="P4090" s="2" t="s">
        <v>111</v>
      </c>
    </row>
    <row r="4091">
      <c r="A4091" s="3" t="s">
        <v>112</v>
      </c>
      <c r="B4091" s="2" t="s">
        <v>17</v>
      </c>
      <c r="C4091" s="2" t="s">
        <v>18</v>
      </c>
      <c r="D4091" s="2" t="s">
        <v>23</v>
      </c>
      <c r="E4091" s="2" t="s">
        <v>413</v>
      </c>
      <c r="F4091" s="2">
        <v>10.0</v>
      </c>
      <c r="G4091" s="2">
        <v>31.0</v>
      </c>
      <c r="H4091" s="2">
        <v>10.0</v>
      </c>
      <c r="I4091" s="2">
        <v>21.0</v>
      </c>
      <c r="J4091" s="2">
        <v>0.0</v>
      </c>
      <c r="K4091" s="2">
        <v>0.0</v>
      </c>
      <c r="L4091" s="2">
        <v>1.0</v>
      </c>
      <c r="M4091" s="2">
        <v>0.0</v>
      </c>
      <c r="N4091" s="2">
        <v>-10.0</v>
      </c>
      <c r="O4091" s="2">
        <v>-10.0</v>
      </c>
      <c r="P4091" s="2" t="s">
        <v>111</v>
      </c>
    </row>
    <row r="4092">
      <c r="A4092" s="3" t="s">
        <v>115</v>
      </c>
      <c r="B4092" s="4">
        <v>45232.25</v>
      </c>
      <c r="C4092" s="2" t="s">
        <v>18</v>
      </c>
      <c r="D4092" s="2" t="s">
        <v>19</v>
      </c>
      <c r="E4092" s="2" t="s">
        <v>413</v>
      </c>
      <c r="F4092" s="2"/>
      <c r="G4092" s="2">
        <v>0.0</v>
      </c>
      <c r="H4092" s="2">
        <v>0.0</v>
      </c>
      <c r="I4092" s="2">
        <v>0.0</v>
      </c>
      <c r="J4092" s="2">
        <v>0.0</v>
      </c>
      <c r="K4092" s="2">
        <v>0.0</v>
      </c>
      <c r="L4092" s="2">
        <v>0.0</v>
      </c>
      <c r="M4092" s="2"/>
      <c r="N4092" s="2"/>
      <c r="O4092" s="2"/>
      <c r="P4092" s="2" t="s">
        <v>111</v>
      </c>
    </row>
    <row r="4093">
      <c r="A4093" s="3" t="s">
        <v>117</v>
      </c>
      <c r="B4093" s="4">
        <v>45232.25</v>
      </c>
      <c r="C4093" s="2" t="s">
        <v>18</v>
      </c>
      <c r="D4093" s="2" t="s">
        <v>127</v>
      </c>
      <c r="E4093" s="2" t="s">
        <v>413</v>
      </c>
      <c r="F4093" s="2"/>
      <c r="G4093" s="2">
        <v>16.0</v>
      </c>
      <c r="H4093" s="2">
        <v>5.0</v>
      </c>
      <c r="I4093" s="2">
        <v>11.0</v>
      </c>
      <c r="J4093" s="2">
        <v>0.0</v>
      </c>
      <c r="K4093" s="2">
        <v>0.0</v>
      </c>
      <c r="L4093" s="2">
        <v>0.0</v>
      </c>
      <c r="M4093" s="2"/>
      <c r="N4093" s="2"/>
      <c r="O4093" s="2"/>
      <c r="P4093" s="2" t="s">
        <v>111</v>
      </c>
    </row>
    <row r="4094">
      <c r="A4094" s="3" t="s">
        <v>119</v>
      </c>
      <c r="B4094" s="4">
        <v>45261.29166666667</v>
      </c>
      <c r="C4094" s="2" t="s">
        <v>18</v>
      </c>
      <c r="D4094" s="2" t="s">
        <v>127</v>
      </c>
      <c r="E4094" s="2" t="s">
        <v>413</v>
      </c>
      <c r="F4094" s="2"/>
      <c r="G4094" s="2">
        <v>15.0</v>
      </c>
      <c r="H4094" s="2">
        <v>5.0</v>
      </c>
      <c r="I4094" s="2">
        <v>10.0</v>
      </c>
      <c r="J4094" s="2">
        <v>0.0</v>
      </c>
      <c r="K4094" s="2">
        <v>0.0</v>
      </c>
      <c r="L4094" s="2">
        <v>1.0</v>
      </c>
      <c r="M4094" s="2"/>
      <c r="N4094" s="2"/>
      <c r="O4094" s="2"/>
      <c r="P4094" s="2" t="s">
        <v>111</v>
      </c>
    </row>
    <row r="4095">
      <c r="A4095" s="3" t="s">
        <v>121</v>
      </c>
      <c r="B4095" s="2" t="s">
        <v>17</v>
      </c>
      <c r="C4095" s="2" t="s">
        <v>18</v>
      </c>
      <c r="D4095" s="2" t="s">
        <v>164</v>
      </c>
      <c r="E4095" s="2" t="s">
        <v>165</v>
      </c>
      <c r="F4095" s="2">
        <v>50.0</v>
      </c>
      <c r="G4095" s="2">
        <v>176.0</v>
      </c>
      <c r="H4095" s="2">
        <v>52.0</v>
      </c>
      <c r="I4095" s="2">
        <v>124.0</v>
      </c>
      <c r="J4095" s="2">
        <v>0.0</v>
      </c>
      <c r="K4095" s="2">
        <v>0.0</v>
      </c>
      <c r="L4095" s="2">
        <v>0.0</v>
      </c>
      <c r="M4095" s="2">
        <v>-2.0</v>
      </c>
      <c r="N4095" s="2"/>
      <c r="O4095" s="2"/>
      <c r="P4095" s="2" t="s">
        <v>166</v>
      </c>
    </row>
    <row r="4096">
      <c r="A4096" s="3" t="s">
        <v>16</v>
      </c>
      <c r="B4096" s="2" t="s">
        <v>17</v>
      </c>
      <c r="C4096" s="2" t="s">
        <v>18</v>
      </c>
      <c r="D4096" s="2" t="s">
        <v>23</v>
      </c>
      <c r="E4096" s="2" t="s">
        <v>165</v>
      </c>
      <c r="F4096" s="2">
        <v>50.0</v>
      </c>
      <c r="G4096" s="2">
        <v>176.0</v>
      </c>
      <c r="H4096" s="2">
        <v>52.0</v>
      </c>
      <c r="I4096" s="2">
        <v>124.0</v>
      </c>
      <c r="J4096" s="2">
        <v>0.0</v>
      </c>
      <c r="K4096" s="2">
        <v>0.0</v>
      </c>
      <c r="L4096" s="2">
        <v>0.0</v>
      </c>
      <c r="M4096" s="2">
        <v>-2.0</v>
      </c>
      <c r="N4096" s="2">
        <v>0.0</v>
      </c>
      <c r="O4096" s="2">
        <v>-54.0</v>
      </c>
      <c r="P4096" s="2" t="s">
        <v>166</v>
      </c>
    </row>
    <row r="4097">
      <c r="A4097" s="3" t="s">
        <v>124</v>
      </c>
      <c r="B4097" s="4">
        <v>45201.29166666667</v>
      </c>
      <c r="C4097" s="2" t="s">
        <v>18</v>
      </c>
      <c r="D4097" s="2" t="s">
        <v>164</v>
      </c>
      <c r="E4097" s="2" t="s">
        <v>165</v>
      </c>
      <c r="F4097" s="2"/>
      <c r="G4097" s="2">
        <v>113.0</v>
      </c>
      <c r="H4097" s="2">
        <v>21.0</v>
      </c>
      <c r="I4097" s="2">
        <v>92.0</v>
      </c>
      <c r="J4097" s="2">
        <v>0.0</v>
      </c>
      <c r="K4097" s="2">
        <v>0.0</v>
      </c>
      <c r="L4097" s="2">
        <v>0.0</v>
      </c>
      <c r="M4097" s="2"/>
      <c r="N4097" s="2"/>
      <c r="O4097" s="2"/>
      <c r="P4097" s="2" t="s">
        <v>166</v>
      </c>
    </row>
    <row r="4098">
      <c r="A4098" s="3" t="s">
        <v>126</v>
      </c>
      <c r="B4098" s="4">
        <v>45231.25</v>
      </c>
      <c r="C4098" s="2" t="s">
        <v>18</v>
      </c>
      <c r="D4098" s="2" t="s">
        <v>164</v>
      </c>
      <c r="E4098" s="2" t="s">
        <v>165</v>
      </c>
      <c r="F4098" s="2"/>
      <c r="G4098" s="2">
        <v>63.0</v>
      </c>
      <c r="H4098" s="2">
        <v>31.0</v>
      </c>
      <c r="I4098" s="2">
        <v>32.0</v>
      </c>
      <c r="J4098" s="2">
        <v>0.0</v>
      </c>
      <c r="K4098" s="2">
        <v>0.0</v>
      </c>
      <c r="L4098" s="2">
        <v>0.0</v>
      </c>
      <c r="M4098" s="2"/>
      <c r="N4098" s="2"/>
      <c r="O4098" s="2"/>
      <c r="P4098" s="2" t="s">
        <v>166</v>
      </c>
    </row>
    <row r="4099">
      <c r="A4099" s="3" t="s">
        <v>128</v>
      </c>
      <c r="B4099" s="2" t="s">
        <v>17</v>
      </c>
      <c r="C4099" s="2" t="s">
        <v>18</v>
      </c>
      <c r="D4099" s="2" t="s">
        <v>127</v>
      </c>
      <c r="E4099" s="2" t="s">
        <v>151</v>
      </c>
      <c r="F4099" s="2">
        <v>140.0</v>
      </c>
      <c r="G4099" s="2">
        <v>243.0</v>
      </c>
      <c r="H4099" s="2">
        <v>134.0</v>
      </c>
      <c r="I4099" s="2">
        <v>109.0</v>
      </c>
      <c r="J4099" s="2">
        <v>0.0</v>
      </c>
      <c r="K4099" s="2">
        <v>0.0</v>
      </c>
      <c r="L4099" s="2">
        <v>1.0</v>
      </c>
      <c r="M4099" s="2">
        <v>6.0</v>
      </c>
      <c r="N4099" s="2"/>
      <c r="O4099" s="2"/>
      <c r="P4099" s="2" t="s">
        <v>92</v>
      </c>
    </row>
    <row r="4100">
      <c r="A4100" s="3" t="s">
        <v>129</v>
      </c>
      <c r="B4100" s="2" t="s">
        <v>17</v>
      </c>
      <c r="C4100" s="2" t="s">
        <v>18</v>
      </c>
      <c r="D4100" s="2" t="s">
        <v>19</v>
      </c>
      <c r="E4100" s="2" t="s">
        <v>151</v>
      </c>
      <c r="F4100" s="2">
        <v>10.0</v>
      </c>
      <c r="G4100" s="2">
        <v>3.0</v>
      </c>
      <c r="H4100" s="2">
        <v>0.0</v>
      </c>
      <c r="I4100" s="2">
        <v>3.0</v>
      </c>
      <c r="J4100" s="2">
        <v>0.0</v>
      </c>
      <c r="K4100" s="2">
        <v>0.0</v>
      </c>
      <c r="L4100" s="2">
        <v>0.0</v>
      </c>
      <c r="M4100" s="2">
        <v>10.0</v>
      </c>
      <c r="N4100" s="2"/>
      <c r="O4100" s="2"/>
      <c r="P4100" s="2" t="s">
        <v>92</v>
      </c>
    </row>
    <row r="4101">
      <c r="A4101" s="3" t="s">
        <v>130</v>
      </c>
      <c r="B4101" s="2" t="s">
        <v>17</v>
      </c>
      <c r="C4101" s="2" t="s">
        <v>18</v>
      </c>
      <c r="D4101" s="2" t="s">
        <v>23</v>
      </c>
      <c r="E4101" s="2" t="s">
        <v>151</v>
      </c>
      <c r="F4101" s="2">
        <v>140.0</v>
      </c>
      <c r="G4101" s="2">
        <v>246.0</v>
      </c>
      <c r="H4101" s="2">
        <v>134.0</v>
      </c>
      <c r="I4101" s="2">
        <v>112.0</v>
      </c>
      <c r="J4101" s="2">
        <v>0.0</v>
      </c>
      <c r="K4101" s="2">
        <v>0.0</v>
      </c>
      <c r="L4101" s="2">
        <v>1.0</v>
      </c>
      <c r="M4101" s="2">
        <v>6.0</v>
      </c>
      <c r="N4101" s="2">
        <v>-10.0</v>
      </c>
      <c r="O4101" s="2">
        <v>-128.0</v>
      </c>
      <c r="P4101" s="2" t="s">
        <v>92</v>
      </c>
    </row>
    <row r="4102">
      <c r="A4102" s="3" t="s">
        <v>131</v>
      </c>
      <c r="B4102" s="4">
        <v>45232.25</v>
      </c>
      <c r="C4102" s="2" t="s">
        <v>18</v>
      </c>
      <c r="D4102" s="2" t="s">
        <v>127</v>
      </c>
      <c r="E4102" s="2" t="s">
        <v>151</v>
      </c>
      <c r="F4102" s="2"/>
      <c r="G4102" s="2">
        <v>243.0</v>
      </c>
      <c r="H4102" s="2">
        <v>134.0</v>
      </c>
      <c r="I4102" s="2">
        <v>109.0</v>
      </c>
      <c r="J4102" s="2">
        <v>0.0</v>
      </c>
      <c r="K4102" s="2">
        <v>0.0</v>
      </c>
      <c r="L4102" s="2">
        <v>1.0</v>
      </c>
      <c r="M4102" s="2"/>
      <c r="N4102" s="2"/>
      <c r="O4102" s="2"/>
      <c r="P4102" s="2" t="s">
        <v>92</v>
      </c>
    </row>
    <row r="4103">
      <c r="A4103" s="3" t="s">
        <v>132</v>
      </c>
      <c r="B4103" s="4">
        <v>45233.25</v>
      </c>
      <c r="C4103" s="2" t="s">
        <v>18</v>
      </c>
      <c r="D4103" s="2" t="s">
        <v>19</v>
      </c>
      <c r="E4103" s="2" t="s">
        <v>151</v>
      </c>
      <c r="F4103" s="2"/>
      <c r="G4103" s="2">
        <v>3.0</v>
      </c>
      <c r="H4103" s="2">
        <v>0.0</v>
      </c>
      <c r="I4103" s="2">
        <v>3.0</v>
      </c>
      <c r="J4103" s="2">
        <v>0.0</v>
      </c>
      <c r="K4103" s="2">
        <v>0.0</v>
      </c>
      <c r="L4103" s="2">
        <v>0.0</v>
      </c>
      <c r="M4103" s="2"/>
      <c r="N4103" s="2"/>
      <c r="O4103" s="2"/>
      <c r="P4103" s="2" t="s">
        <v>92</v>
      </c>
    </row>
    <row r="4104">
      <c r="A4104" s="3" t="s">
        <v>133</v>
      </c>
      <c r="B4104" s="2" t="s">
        <v>17</v>
      </c>
      <c r="C4104" s="2" t="s">
        <v>18</v>
      </c>
      <c r="D4104" s="2" t="s">
        <v>127</v>
      </c>
      <c r="E4104" s="2" t="s">
        <v>458</v>
      </c>
      <c r="F4104" s="2">
        <v>43.0</v>
      </c>
      <c r="G4104" s="2">
        <v>105.0</v>
      </c>
      <c r="H4104" s="2">
        <v>43.0</v>
      </c>
      <c r="I4104" s="2">
        <v>62.0</v>
      </c>
      <c r="J4104" s="2">
        <v>0.0</v>
      </c>
      <c r="K4104" s="2">
        <v>0.0</v>
      </c>
      <c r="L4104" s="2">
        <v>0.0</v>
      </c>
      <c r="M4104" s="2">
        <v>0.0</v>
      </c>
      <c r="N4104" s="2"/>
      <c r="O4104" s="2"/>
      <c r="P4104" s="2" t="s">
        <v>92</v>
      </c>
    </row>
    <row r="4105">
      <c r="A4105" s="3" t="s">
        <v>134</v>
      </c>
      <c r="B4105" s="2" t="s">
        <v>17</v>
      </c>
      <c r="C4105" s="2" t="s">
        <v>18</v>
      </c>
      <c r="D4105" s="2" t="s">
        <v>23</v>
      </c>
      <c r="E4105" s="2" t="s">
        <v>458</v>
      </c>
      <c r="F4105" s="2">
        <v>43.0</v>
      </c>
      <c r="G4105" s="2">
        <v>105.0</v>
      </c>
      <c r="H4105" s="2">
        <v>43.0</v>
      </c>
      <c r="I4105" s="2">
        <v>62.0</v>
      </c>
      <c r="J4105" s="2">
        <v>0.0</v>
      </c>
      <c r="K4105" s="2">
        <v>0.0</v>
      </c>
      <c r="L4105" s="2">
        <v>0.0</v>
      </c>
      <c r="M4105" s="2">
        <v>0.0</v>
      </c>
      <c r="N4105" s="2">
        <v>0.0</v>
      </c>
      <c r="O4105" s="2">
        <v>-43.0</v>
      </c>
      <c r="P4105" s="2" t="s">
        <v>92</v>
      </c>
    </row>
    <row r="4106">
      <c r="A4106" s="3" t="s">
        <v>136</v>
      </c>
      <c r="B4106" s="4">
        <v>45232.25</v>
      </c>
      <c r="C4106" s="2" t="s">
        <v>18</v>
      </c>
      <c r="D4106" s="2" t="s">
        <v>127</v>
      </c>
      <c r="E4106" s="2" t="s">
        <v>458</v>
      </c>
      <c r="F4106" s="2"/>
      <c r="G4106" s="2">
        <v>105.0</v>
      </c>
      <c r="H4106" s="2">
        <v>43.0</v>
      </c>
      <c r="I4106" s="2">
        <v>62.0</v>
      </c>
      <c r="J4106" s="2">
        <v>0.0</v>
      </c>
      <c r="K4106" s="2">
        <v>0.0</v>
      </c>
      <c r="L4106" s="2">
        <v>0.0</v>
      </c>
      <c r="M4106" s="2"/>
      <c r="N4106" s="2"/>
      <c r="O4106" s="2"/>
      <c r="P4106" s="2" t="s">
        <v>92</v>
      </c>
    </row>
    <row r="4107">
      <c r="A4107" s="3" t="s">
        <v>137</v>
      </c>
      <c r="B4107" s="2" t="s">
        <v>17</v>
      </c>
      <c r="C4107" s="2" t="s">
        <v>18</v>
      </c>
      <c r="D4107" s="2" t="s">
        <v>127</v>
      </c>
      <c r="E4107" s="2" t="s">
        <v>174</v>
      </c>
      <c r="F4107" s="2">
        <v>42.0</v>
      </c>
      <c r="G4107" s="2">
        <v>116.0</v>
      </c>
      <c r="H4107" s="2">
        <v>50.0</v>
      </c>
      <c r="I4107" s="2">
        <v>66.0</v>
      </c>
      <c r="J4107" s="2">
        <v>0.0</v>
      </c>
      <c r="K4107" s="2">
        <v>0.0</v>
      </c>
      <c r="L4107" s="2">
        <v>0.0</v>
      </c>
      <c r="M4107" s="2">
        <v>-8.0</v>
      </c>
      <c r="N4107" s="2"/>
      <c r="O4107" s="2"/>
      <c r="P4107" s="2" t="s">
        <v>92</v>
      </c>
    </row>
    <row r="4108">
      <c r="A4108" s="3" t="s">
        <v>138</v>
      </c>
      <c r="B4108" s="2" t="s">
        <v>17</v>
      </c>
      <c r="C4108" s="2" t="s">
        <v>18</v>
      </c>
      <c r="D4108" s="2" t="s">
        <v>23</v>
      </c>
      <c r="E4108" s="2" t="s">
        <v>174</v>
      </c>
      <c r="F4108" s="2">
        <v>42.0</v>
      </c>
      <c r="G4108" s="2">
        <v>116.0</v>
      </c>
      <c r="H4108" s="2">
        <v>50.0</v>
      </c>
      <c r="I4108" s="2">
        <v>66.0</v>
      </c>
      <c r="J4108" s="2">
        <v>0.0</v>
      </c>
      <c r="K4108" s="2">
        <v>0.0</v>
      </c>
      <c r="L4108" s="2">
        <v>0.0</v>
      </c>
      <c r="M4108" s="2">
        <v>-8.0</v>
      </c>
      <c r="N4108" s="2">
        <v>0.0</v>
      </c>
      <c r="O4108" s="2">
        <v>-58.0</v>
      </c>
      <c r="P4108" s="2" t="s">
        <v>92</v>
      </c>
    </row>
    <row r="4109">
      <c r="A4109" s="3" t="s">
        <v>139</v>
      </c>
      <c r="B4109" s="4">
        <v>45232.25</v>
      </c>
      <c r="C4109" s="2" t="s">
        <v>18</v>
      </c>
      <c r="D4109" s="2" t="s">
        <v>127</v>
      </c>
      <c r="E4109" s="2" t="s">
        <v>174</v>
      </c>
      <c r="F4109" s="2"/>
      <c r="G4109" s="2">
        <v>116.0</v>
      </c>
      <c r="H4109" s="2">
        <v>50.0</v>
      </c>
      <c r="I4109" s="2">
        <v>66.0</v>
      </c>
      <c r="J4109" s="2">
        <v>0.0</v>
      </c>
      <c r="K4109" s="2">
        <v>0.0</v>
      </c>
      <c r="L4109" s="2">
        <v>0.0</v>
      </c>
      <c r="M4109" s="2"/>
      <c r="N4109" s="2"/>
      <c r="O4109" s="2"/>
      <c r="P4109" s="2" t="s">
        <v>92</v>
      </c>
    </row>
    <row r="4110">
      <c r="A4110" s="3" t="s">
        <v>140</v>
      </c>
      <c r="B4110" s="2" t="s">
        <v>17</v>
      </c>
      <c r="C4110" s="2" t="s">
        <v>18</v>
      </c>
      <c r="D4110" s="2" t="s">
        <v>127</v>
      </c>
      <c r="E4110" s="2" t="s">
        <v>27</v>
      </c>
      <c r="F4110" s="2">
        <v>167.0</v>
      </c>
      <c r="G4110" s="2">
        <v>99.0</v>
      </c>
      <c r="H4110" s="2">
        <v>55.0</v>
      </c>
      <c r="I4110" s="2">
        <v>44.0</v>
      </c>
      <c r="J4110" s="2">
        <v>0.0</v>
      </c>
      <c r="K4110" s="2">
        <v>0.0</v>
      </c>
      <c r="L4110" s="2">
        <v>0.0</v>
      </c>
      <c r="M4110" s="2">
        <v>112.0</v>
      </c>
      <c r="N4110" s="2"/>
      <c r="O4110" s="2"/>
      <c r="P4110" s="2" t="s">
        <v>67</v>
      </c>
    </row>
    <row r="4111">
      <c r="A4111" s="3" t="s">
        <v>141</v>
      </c>
      <c r="B4111" s="2" t="s">
        <v>17</v>
      </c>
      <c r="C4111" s="2" t="s">
        <v>18</v>
      </c>
      <c r="D4111" s="2" t="s">
        <v>23</v>
      </c>
      <c r="E4111" s="2" t="s">
        <v>27</v>
      </c>
      <c r="F4111" s="2">
        <v>167.0</v>
      </c>
      <c r="G4111" s="2">
        <v>99.0</v>
      </c>
      <c r="H4111" s="2">
        <v>55.0</v>
      </c>
      <c r="I4111" s="2">
        <v>44.0</v>
      </c>
      <c r="J4111" s="2">
        <v>0.0</v>
      </c>
      <c r="K4111" s="2">
        <v>0.0</v>
      </c>
      <c r="L4111" s="2">
        <v>0.0</v>
      </c>
      <c r="M4111" s="2">
        <v>112.0</v>
      </c>
      <c r="N4111" s="2">
        <v>0.0</v>
      </c>
      <c r="O4111" s="2">
        <v>57.0</v>
      </c>
      <c r="P4111" s="2" t="s">
        <v>67</v>
      </c>
    </row>
    <row r="4112">
      <c r="A4112" s="3" t="s">
        <v>142</v>
      </c>
      <c r="B4112" s="4">
        <v>45201.29166666667</v>
      </c>
      <c r="C4112" s="2" t="s">
        <v>18</v>
      </c>
      <c r="D4112" s="2" t="s">
        <v>127</v>
      </c>
      <c r="E4112" s="2" t="s">
        <v>27</v>
      </c>
      <c r="F4112" s="2"/>
      <c r="G4112" s="2">
        <v>83.0</v>
      </c>
      <c r="H4112" s="2">
        <v>46.0</v>
      </c>
      <c r="I4112" s="2">
        <v>37.0</v>
      </c>
      <c r="J4112" s="2">
        <v>0.0</v>
      </c>
      <c r="K4112" s="2">
        <v>0.0</v>
      </c>
      <c r="L4112" s="2">
        <v>0.0</v>
      </c>
      <c r="M4112" s="2"/>
      <c r="N4112" s="2"/>
      <c r="O4112" s="2"/>
      <c r="P4112" s="2" t="s">
        <v>67</v>
      </c>
    </row>
    <row r="4113">
      <c r="A4113" s="3" t="s">
        <v>143</v>
      </c>
      <c r="B4113" s="4">
        <v>45232.25</v>
      </c>
      <c r="C4113" s="2" t="s">
        <v>18</v>
      </c>
      <c r="D4113" s="2" t="s">
        <v>127</v>
      </c>
      <c r="E4113" s="2" t="s">
        <v>27</v>
      </c>
      <c r="F4113" s="2"/>
      <c r="G4113" s="2">
        <v>16.0</v>
      </c>
      <c r="H4113" s="2">
        <v>9.0</v>
      </c>
      <c r="I4113" s="2">
        <v>7.0</v>
      </c>
      <c r="J4113" s="2">
        <v>0.0</v>
      </c>
      <c r="K4113" s="2">
        <v>0.0</v>
      </c>
      <c r="L4113" s="2">
        <v>0.0</v>
      </c>
      <c r="M4113" s="2"/>
      <c r="N4113" s="2"/>
      <c r="O4113" s="2"/>
      <c r="P4113" s="2" t="s">
        <v>67</v>
      </c>
    </row>
    <row r="4114">
      <c r="A4114" s="3" t="s">
        <v>144</v>
      </c>
      <c r="B4114" s="2" t="s">
        <v>17</v>
      </c>
      <c r="C4114" s="2" t="s">
        <v>57</v>
      </c>
      <c r="D4114" s="2" t="s">
        <v>127</v>
      </c>
      <c r="E4114" s="2" t="s">
        <v>177</v>
      </c>
      <c r="F4114" s="2">
        <v>60.0</v>
      </c>
      <c r="G4114" s="2">
        <v>88.0</v>
      </c>
      <c r="H4114" s="2">
        <v>60.0</v>
      </c>
      <c r="I4114" s="2">
        <v>28.0</v>
      </c>
      <c r="J4114" s="2">
        <v>0.0</v>
      </c>
      <c r="K4114" s="2">
        <v>0.0</v>
      </c>
      <c r="L4114" s="2">
        <v>0.0</v>
      </c>
      <c r="M4114" s="2">
        <v>0.0</v>
      </c>
      <c r="N4114" s="2"/>
      <c r="O4114" s="2"/>
      <c r="P4114" s="2" t="s">
        <v>146</v>
      </c>
    </row>
    <row r="4115">
      <c r="A4115" s="3" t="s">
        <v>145</v>
      </c>
      <c r="B4115" s="2" t="s">
        <v>17</v>
      </c>
      <c r="C4115" s="2" t="s">
        <v>113</v>
      </c>
      <c r="D4115" s="2" t="s">
        <v>109</v>
      </c>
      <c r="E4115" s="2" t="s">
        <v>177</v>
      </c>
      <c r="F4115" s="2">
        <v>50.0</v>
      </c>
      <c r="G4115" s="2">
        <v>34.0</v>
      </c>
      <c r="H4115" s="2">
        <v>18.0</v>
      </c>
      <c r="I4115" s="2">
        <v>16.0</v>
      </c>
      <c r="J4115" s="2">
        <v>0.0</v>
      </c>
      <c r="K4115" s="2">
        <v>0.0</v>
      </c>
      <c r="L4115" s="2">
        <v>0.0</v>
      </c>
      <c r="M4115" s="2">
        <v>32.0</v>
      </c>
      <c r="N4115" s="2"/>
      <c r="O4115" s="2"/>
      <c r="P4115" s="2" t="s">
        <v>146</v>
      </c>
    </row>
    <row r="4116">
      <c r="A4116" s="3" t="s">
        <v>16</v>
      </c>
      <c r="B4116" s="2" t="s">
        <v>17</v>
      </c>
      <c r="C4116" s="2" t="s">
        <v>148</v>
      </c>
      <c r="D4116" s="2" t="s">
        <v>231</v>
      </c>
      <c r="E4116" s="2" t="s">
        <v>177</v>
      </c>
      <c r="F4116" s="2">
        <v>0.0</v>
      </c>
      <c r="G4116" s="2">
        <v>0.0</v>
      </c>
      <c r="H4116" s="2">
        <v>0.0</v>
      </c>
      <c r="I4116" s="2">
        <v>0.0</v>
      </c>
      <c r="J4116" s="2">
        <v>0.0</v>
      </c>
      <c r="K4116" s="2">
        <v>0.0</v>
      </c>
      <c r="L4116" s="2">
        <v>0.0</v>
      </c>
      <c r="M4116" s="2">
        <v>0.0</v>
      </c>
      <c r="N4116" s="2"/>
      <c r="O4116" s="2"/>
      <c r="P4116" s="2" t="s">
        <v>146</v>
      </c>
    </row>
    <row r="4117">
      <c r="A4117" s="3" t="s">
        <v>22</v>
      </c>
      <c r="B4117" s="2" t="s">
        <v>17</v>
      </c>
      <c r="C4117" s="2" t="s">
        <v>113</v>
      </c>
      <c r="D4117" s="2" t="s">
        <v>30</v>
      </c>
      <c r="E4117" s="2" t="s">
        <v>177</v>
      </c>
      <c r="F4117" s="2">
        <v>50.0</v>
      </c>
      <c r="G4117" s="2">
        <v>33.0</v>
      </c>
      <c r="H4117" s="2">
        <v>27.0</v>
      </c>
      <c r="I4117" s="2">
        <v>6.0</v>
      </c>
      <c r="J4117" s="2">
        <v>0.0</v>
      </c>
      <c r="K4117" s="2">
        <v>0.0</v>
      </c>
      <c r="L4117" s="2">
        <v>0.0</v>
      </c>
      <c r="M4117" s="2">
        <v>23.0</v>
      </c>
      <c r="N4117" s="2"/>
      <c r="O4117" s="2"/>
      <c r="P4117" s="2" t="s">
        <v>146</v>
      </c>
    </row>
    <row r="4118">
      <c r="A4118" s="3" t="s">
        <v>24</v>
      </c>
      <c r="B4118" s="2" t="s">
        <v>17</v>
      </c>
      <c r="C4118" s="2" t="s">
        <v>18</v>
      </c>
      <c r="D4118" s="2" t="s">
        <v>23</v>
      </c>
      <c r="E4118" s="2" t="s">
        <v>177</v>
      </c>
      <c r="F4118" s="2">
        <v>120.0</v>
      </c>
      <c r="G4118" s="2">
        <v>155.0</v>
      </c>
      <c r="H4118" s="2">
        <v>105.0</v>
      </c>
      <c r="I4118" s="2">
        <v>50.0</v>
      </c>
      <c r="J4118" s="2">
        <v>0.0</v>
      </c>
      <c r="K4118" s="2">
        <v>0.0</v>
      </c>
      <c r="L4118" s="2">
        <v>0.0</v>
      </c>
      <c r="M4118" s="2">
        <v>15.0</v>
      </c>
      <c r="N4118" s="2">
        <v>-40.0</v>
      </c>
      <c r="O4118" s="2">
        <v>-90.0</v>
      </c>
      <c r="P4118" s="2" t="s">
        <v>146</v>
      </c>
    </row>
    <row r="4119">
      <c r="A4119" s="3" t="s">
        <v>25</v>
      </c>
      <c r="B4119" s="4">
        <v>45262.29166666667</v>
      </c>
      <c r="C4119" s="2" t="s">
        <v>18</v>
      </c>
      <c r="D4119" s="2" t="s">
        <v>127</v>
      </c>
      <c r="E4119" s="2" t="s">
        <v>177</v>
      </c>
      <c r="F4119" s="2"/>
      <c r="G4119" s="2">
        <v>88.0</v>
      </c>
      <c r="H4119" s="2">
        <v>60.0</v>
      </c>
      <c r="I4119" s="2">
        <v>28.0</v>
      </c>
      <c r="J4119" s="2">
        <v>0.0</v>
      </c>
      <c r="K4119" s="2">
        <v>0.0</v>
      </c>
      <c r="L4119" s="2">
        <v>0.0</v>
      </c>
      <c r="M4119" s="2"/>
      <c r="N4119" s="2"/>
      <c r="O4119" s="2"/>
      <c r="P4119" s="2" t="s">
        <v>146</v>
      </c>
    </row>
    <row r="4120">
      <c r="A4120" s="3" t="s">
        <v>26</v>
      </c>
      <c r="B4120" s="4">
        <v>45262.29166666667</v>
      </c>
      <c r="C4120" s="2" t="s">
        <v>18</v>
      </c>
      <c r="D4120" s="2" t="s">
        <v>109</v>
      </c>
      <c r="E4120" s="2" t="s">
        <v>177</v>
      </c>
      <c r="F4120" s="2"/>
      <c r="G4120" s="2">
        <v>34.0</v>
      </c>
      <c r="H4120" s="2">
        <v>18.0</v>
      </c>
      <c r="I4120" s="2">
        <v>16.0</v>
      </c>
      <c r="J4120" s="2">
        <v>0.0</v>
      </c>
      <c r="K4120" s="2">
        <v>0.0</v>
      </c>
      <c r="L4120" s="2">
        <v>0.0</v>
      </c>
      <c r="M4120" s="2"/>
      <c r="N4120" s="2"/>
      <c r="O4120" s="2"/>
      <c r="P4120" s="2" t="s">
        <v>146</v>
      </c>
    </row>
    <row r="4121">
      <c r="A4121" s="3" t="s">
        <v>28</v>
      </c>
      <c r="B4121" s="4">
        <v>45263.29166666667</v>
      </c>
      <c r="C4121" s="2" t="s">
        <v>18</v>
      </c>
      <c r="D4121" s="2" t="s">
        <v>30</v>
      </c>
      <c r="E4121" s="2" t="s">
        <v>177</v>
      </c>
      <c r="F4121" s="2"/>
      <c r="G4121" s="2">
        <v>33.0</v>
      </c>
      <c r="H4121" s="2">
        <v>27.0</v>
      </c>
      <c r="I4121" s="2">
        <v>6.0</v>
      </c>
      <c r="J4121" s="2">
        <v>0.0</v>
      </c>
      <c r="K4121" s="2">
        <v>0.0</v>
      </c>
      <c r="L4121" s="2">
        <v>0.0</v>
      </c>
      <c r="M4121" s="2"/>
      <c r="N4121" s="2"/>
      <c r="O4121" s="2"/>
      <c r="P4121" s="2" t="s">
        <v>146</v>
      </c>
    </row>
    <row r="4122">
      <c r="A4122" s="3" t="s">
        <v>29</v>
      </c>
      <c r="B4122" s="2" t="s">
        <v>17</v>
      </c>
      <c r="C4122" s="2" t="s">
        <v>18</v>
      </c>
      <c r="D4122" s="2" t="s">
        <v>79</v>
      </c>
      <c r="E4122" s="2" t="s">
        <v>165</v>
      </c>
      <c r="F4122" s="2">
        <v>90.0</v>
      </c>
      <c r="G4122" s="2">
        <v>134.0</v>
      </c>
      <c r="H4122" s="2">
        <v>90.0</v>
      </c>
      <c r="I4122" s="2">
        <v>44.0</v>
      </c>
      <c r="J4122" s="2">
        <v>0.0</v>
      </c>
      <c r="K4122" s="2">
        <v>0.0</v>
      </c>
      <c r="L4122" s="2">
        <v>0.0</v>
      </c>
      <c r="M4122" s="2">
        <v>0.0</v>
      </c>
      <c r="N4122" s="2"/>
      <c r="O4122" s="2"/>
      <c r="P4122" s="2" t="s">
        <v>166</v>
      </c>
    </row>
    <row r="4123">
      <c r="A4123" s="3" t="s">
        <v>32</v>
      </c>
      <c r="B4123" s="2" t="s">
        <v>17</v>
      </c>
      <c r="C4123" s="2" t="s">
        <v>18</v>
      </c>
      <c r="D4123" s="2" t="s">
        <v>23</v>
      </c>
      <c r="E4123" s="2" t="s">
        <v>165</v>
      </c>
      <c r="F4123" s="2">
        <v>90.0</v>
      </c>
      <c r="G4123" s="2">
        <v>134.0</v>
      </c>
      <c r="H4123" s="2">
        <v>90.0</v>
      </c>
      <c r="I4123" s="2">
        <v>44.0</v>
      </c>
      <c r="J4123" s="2">
        <v>0.0</v>
      </c>
      <c r="K4123" s="2">
        <v>0.0</v>
      </c>
      <c r="L4123" s="2">
        <v>0.0</v>
      </c>
      <c r="M4123" s="2">
        <v>0.0</v>
      </c>
      <c r="N4123" s="2">
        <v>0.0</v>
      </c>
      <c r="O4123" s="2">
        <v>-90.0</v>
      </c>
      <c r="P4123" s="2" t="s">
        <v>166</v>
      </c>
    </row>
    <row r="4124">
      <c r="A4124" s="3" t="s">
        <v>34</v>
      </c>
      <c r="B4124" s="4">
        <v>45232.25</v>
      </c>
      <c r="C4124" s="2" t="s">
        <v>18</v>
      </c>
      <c r="D4124" s="2" t="s">
        <v>79</v>
      </c>
      <c r="E4124" s="2" t="s">
        <v>165</v>
      </c>
      <c r="F4124" s="2"/>
      <c r="G4124" s="2">
        <v>74.0</v>
      </c>
      <c r="H4124" s="2">
        <v>60.0</v>
      </c>
      <c r="I4124" s="2">
        <v>14.0</v>
      </c>
      <c r="J4124" s="2">
        <v>0.0</v>
      </c>
      <c r="K4124" s="2">
        <v>0.0</v>
      </c>
      <c r="L4124" s="2">
        <v>0.0</v>
      </c>
      <c r="M4124" s="2"/>
      <c r="N4124" s="2"/>
      <c r="O4124" s="2"/>
      <c r="P4124" s="2" t="s">
        <v>166</v>
      </c>
    </row>
    <row r="4125">
      <c r="A4125" s="3" t="s">
        <v>35</v>
      </c>
      <c r="B4125" s="4">
        <v>45261.29166666667</v>
      </c>
      <c r="C4125" s="2" t="s">
        <v>18</v>
      </c>
      <c r="D4125" s="2" t="s">
        <v>79</v>
      </c>
      <c r="E4125" s="2" t="s">
        <v>165</v>
      </c>
      <c r="F4125" s="2"/>
      <c r="G4125" s="2">
        <v>60.0</v>
      </c>
      <c r="H4125" s="2">
        <v>30.0</v>
      </c>
      <c r="I4125" s="2">
        <v>30.0</v>
      </c>
      <c r="J4125" s="2">
        <v>0.0</v>
      </c>
      <c r="K4125" s="2">
        <v>0.0</v>
      </c>
      <c r="L4125" s="2">
        <v>0.0</v>
      </c>
      <c r="M4125" s="2"/>
      <c r="N4125" s="2"/>
      <c r="O4125" s="2"/>
      <c r="P4125" s="2" t="s">
        <v>166</v>
      </c>
    </row>
    <row r="4126">
      <c r="A4126" s="3" t="s">
        <v>36</v>
      </c>
      <c r="B4126" s="2" t="s">
        <v>17</v>
      </c>
      <c r="C4126" s="2" t="s">
        <v>18</v>
      </c>
      <c r="D4126" s="2" t="s">
        <v>19</v>
      </c>
      <c r="E4126" s="2" t="s">
        <v>114</v>
      </c>
      <c r="F4126" s="2">
        <v>150.0</v>
      </c>
      <c r="G4126" s="2">
        <v>147.0</v>
      </c>
      <c r="H4126" s="2">
        <v>102.0</v>
      </c>
      <c r="I4126" s="2">
        <v>45.0</v>
      </c>
      <c r="J4126" s="2">
        <v>0.0</v>
      </c>
      <c r="K4126" s="2">
        <v>0.0</v>
      </c>
      <c r="L4126" s="2">
        <v>0.0</v>
      </c>
      <c r="M4126" s="2">
        <v>48.0</v>
      </c>
      <c r="N4126" s="2"/>
      <c r="O4126" s="2"/>
      <c r="P4126" s="2" t="s">
        <v>67</v>
      </c>
    </row>
    <row r="4127">
      <c r="A4127" s="3" t="s">
        <v>37</v>
      </c>
      <c r="B4127" s="2" t="s">
        <v>17</v>
      </c>
      <c r="C4127" s="2" t="s">
        <v>18</v>
      </c>
      <c r="D4127" s="2" t="s">
        <v>23</v>
      </c>
      <c r="E4127" s="2" t="s">
        <v>114</v>
      </c>
      <c r="F4127" s="2">
        <v>150.0</v>
      </c>
      <c r="G4127" s="2">
        <v>147.0</v>
      </c>
      <c r="H4127" s="2">
        <v>102.0</v>
      </c>
      <c r="I4127" s="2">
        <v>45.0</v>
      </c>
      <c r="J4127" s="2">
        <v>0.0</v>
      </c>
      <c r="K4127" s="2">
        <v>0.0</v>
      </c>
      <c r="L4127" s="2">
        <v>0.0</v>
      </c>
      <c r="M4127" s="2">
        <v>48.0</v>
      </c>
      <c r="N4127" s="2">
        <v>0.0</v>
      </c>
      <c r="O4127" s="2">
        <v>-54.0</v>
      </c>
      <c r="P4127" s="2" t="s">
        <v>67</v>
      </c>
    </row>
    <row r="4128">
      <c r="A4128" s="3" t="s">
        <v>38</v>
      </c>
      <c r="B4128" s="4">
        <v>45232.25</v>
      </c>
      <c r="C4128" s="2" t="s">
        <v>18</v>
      </c>
      <c r="D4128" s="2" t="s">
        <v>19</v>
      </c>
      <c r="E4128" s="2" t="s">
        <v>114</v>
      </c>
      <c r="F4128" s="2"/>
      <c r="G4128" s="2">
        <v>127.0</v>
      </c>
      <c r="H4128" s="2">
        <v>86.0</v>
      </c>
      <c r="I4128" s="2">
        <v>41.0</v>
      </c>
      <c r="J4128" s="2">
        <v>0.0</v>
      </c>
      <c r="K4128" s="2">
        <v>0.0</v>
      </c>
      <c r="L4128" s="2">
        <v>0.0</v>
      </c>
      <c r="M4128" s="2"/>
      <c r="N4128" s="2"/>
      <c r="O4128" s="2"/>
      <c r="P4128" s="2" t="s">
        <v>67</v>
      </c>
    </row>
    <row r="4129">
      <c r="A4129" s="3" t="s">
        <v>39</v>
      </c>
      <c r="B4129" s="4">
        <v>45261.29166666667</v>
      </c>
      <c r="C4129" s="2" t="s">
        <v>18</v>
      </c>
      <c r="D4129" s="2" t="s">
        <v>19</v>
      </c>
      <c r="E4129" s="2" t="s">
        <v>114</v>
      </c>
      <c r="F4129" s="2"/>
      <c r="G4129" s="2">
        <v>20.0</v>
      </c>
      <c r="H4129" s="2">
        <v>16.0</v>
      </c>
      <c r="I4129" s="2">
        <v>4.0</v>
      </c>
      <c r="J4129" s="2">
        <v>0.0</v>
      </c>
      <c r="K4129" s="2">
        <v>0.0</v>
      </c>
      <c r="L4129" s="2">
        <v>0.0</v>
      </c>
      <c r="M4129" s="2"/>
      <c r="N4129" s="2"/>
      <c r="O4129" s="2"/>
      <c r="P4129" s="2" t="s">
        <v>67</v>
      </c>
    </row>
    <row r="4130">
      <c r="A4130" s="3" t="s">
        <v>40</v>
      </c>
      <c r="B4130" s="2" t="s">
        <v>17</v>
      </c>
      <c r="C4130" s="2" t="s">
        <v>18</v>
      </c>
      <c r="D4130" s="2" t="s">
        <v>19</v>
      </c>
      <c r="E4130" s="2" t="s">
        <v>116</v>
      </c>
      <c r="F4130" s="2">
        <v>48.0</v>
      </c>
      <c r="G4130" s="2">
        <v>56.0</v>
      </c>
      <c r="H4130" s="2">
        <v>48.0</v>
      </c>
      <c r="I4130" s="2">
        <v>8.0</v>
      </c>
      <c r="J4130" s="2">
        <v>0.0</v>
      </c>
      <c r="K4130" s="2">
        <v>0.0</v>
      </c>
      <c r="L4130" s="2">
        <v>0.0</v>
      </c>
      <c r="M4130" s="2">
        <v>0.0</v>
      </c>
      <c r="N4130" s="2"/>
      <c r="O4130" s="2"/>
      <c r="P4130" s="2" t="s">
        <v>195</v>
      </c>
    </row>
    <row r="4131">
      <c r="A4131" s="3" t="s">
        <v>41</v>
      </c>
      <c r="B4131" s="2" t="s">
        <v>17</v>
      </c>
      <c r="C4131" s="2" t="s">
        <v>18</v>
      </c>
      <c r="D4131" s="2" t="s">
        <v>23</v>
      </c>
      <c r="E4131" s="2" t="s">
        <v>116</v>
      </c>
      <c r="F4131" s="2">
        <v>48.0</v>
      </c>
      <c r="G4131" s="2">
        <v>56.0</v>
      </c>
      <c r="H4131" s="2">
        <v>48.0</v>
      </c>
      <c r="I4131" s="2">
        <v>8.0</v>
      </c>
      <c r="J4131" s="2">
        <v>0.0</v>
      </c>
      <c r="K4131" s="2">
        <v>0.0</v>
      </c>
      <c r="L4131" s="2">
        <v>0.0</v>
      </c>
      <c r="M4131" s="2">
        <v>0.0</v>
      </c>
      <c r="N4131" s="2">
        <v>0.0</v>
      </c>
      <c r="O4131" s="2">
        <v>-48.0</v>
      </c>
      <c r="P4131" s="2" t="s">
        <v>195</v>
      </c>
    </row>
    <row r="4132">
      <c r="A4132" s="3" t="s">
        <v>42</v>
      </c>
      <c r="B4132" s="4">
        <v>45232.25</v>
      </c>
      <c r="C4132" s="2" t="s">
        <v>18</v>
      </c>
      <c r="D4132" s="2" t="s">
        <v>19</v>
      </c>
      <c r="E4132" s="2" t="s">
        <v>116</v>
      </c>
      <c r="F4132" s="2"/>
      <c r="G4132" s="2">
        <v>54.0</v>
      </c>
      <c r="H4132" s="2">
        <v>47.0</v>
      </c>
      <c r="I4132" s="2">
        <v>7.0</v>
      </c>
      <c r="J4132" s="2">
        <v>0.0</v>
      </c>
      <c r="K4132" s="2">
        <v>0.0</v>
      </c>
      <c r="L4132" s="2">
        <v>0.0</v>
      </c>
      <c r="M4132" s="2"/>
      <c r="N4132" s="2"/>
      <c r="O4132" s="2"/>
      <c r="P4132" s="2" t="s">
        <v>195</v>
      </c>
    </row>
    <row r="4133">
      <c r="A4133" s="3" t="s">
        <v>43</v>
      </c>
      <c r="B4133" s="4">
        <v>45261.29166666667</v>
      </c>
      <c r="C4133" s="2" t="s">
        <v>18</v>
      </c>
      <c r="D4133" s="2" t="s">
        <v>19</v>
      </c>
      <c r="E4133" s="2" t="s">
        <v>116</v>
      </c>
      <c r="F4133" s="2"/>
      <c r="G4133" s="2">
        <v>2.0</v>
      </c>
      <c r="H4133" s="2">
        <v>1.0</v>
      </c>
      <c r="I4133" s="2">
        <v>1.0</v>
      </c>
      <c r="J4133" s="2">
        <v>0.0</v>
      </c>
      <c r="K4133" s="2">
        <v>0.0</v>
      </c>
      <c r="L4133" s="2">
        <v>0.0</v>
      </c>
      <c r="M4133" s="2"/>
      <c r="N4133" s="2"/>
      <c r="O4133" s="2"/>
      <c r="P4133" s="2" t="s">
        <v>195</v>
      </c>
    </row>
    <row r="4134">
      <c r="A4134" s="3" t="s">
        <v>44</v>
      </c>
      <c r="B4134" s="2" t="s">
        <v>17</v>
      </c>
      <c r="C4134" s="2" t="s">
        <v>18</v>
      </c>
      <c r="D4134" s="2" t="s">
        <v>157</v>
      </c>
      <c r="E4134" s="2" t="s">
        <v>459</v>
      </c>
      <c r="F4134" s="2">
        <v>40.0</v>
      </c>
      <c r="G4134" s="2">
        <v>45.0</v>
      </c>
      <c r="H4134" s="2">
        <v>27.0</v>
      </c>
      <c r="I4134" s="2">
        <v>18.0</v>
      </c>
      <c r="J4134" s="2">
        <v>0.0</v>
      </c>
      <c r="K4134" s="2">
        <v>0.0</v>
      </c>
      <c r="L4134" s="2">
        <v>0.0</v>
      </c>
      <c r="M4134" s="2">
        <v>13.0</v>
      </c>
      <c r="N4134" s="2"/>
      <c r="O4134" s="2"/>
      <c r="P4134" s="2" t="s">
        <v>146</v>
      </c>
    </row>
    <row r="4135">
      <c r="A4135" s="3" t="s">
        <v>45</v>
      </c>
      <c r="B4135" s="2" t="s">
        <v>17</v>
      </c>
      <c r="C4135" s="2" t="s">
        <v>18</v>
      </c>
      <c r="D4135" s="2" t="s">
        <v>19</v>
      </c>
      <c r="E4135" s="2" t="s">
        <v>459</v>
      </c>
      <c r="F4135" s="2">
        <v>100.0</v>
      </c>
      <c r="G4135" s="2">
        <v>133.0</v>
      </c>
      <c r="H4135" s="2">
        <v>67.0</v>
      </c>
      <c r="I4135" s="2">
        <v>66.0</v>
      </c>
      <c r="J4135" s="2">
        <v>0.0</v>
      </c>
      <c r="K4135" s="2">
        <v>0.0</v>
      </c>
      <c r="L4135" s="2">
        <v>0.0</v>
      </c>
      <c r="M4135" s="2">
        <v>33.0</v>
      </c>
      <c r="N4135" s="2"/>
      <c r="O4135" s="2"/>
      <c r="P4135" s="2" t="s">
        <v>146</v>
      </c>
    </row>
    <row r="4136">
      <c r="A4136" s="3" t="s">
        <v>16</v>
      </c>
      <c r="B4136" s="2" t="s">
        <v>17</v>
      </c>
      <c r="C4136" s="2" t="s">
        <v>18</v>
      </c>
      <c r="D4136" s="2" t="s">
        <v>23</v>
      </c>
      <c r="E4136" s="2" t="s">
        <v>459</v>
      </c>
      <c r="F4136" s="2">
        <v>100.0</v>
      </c>
      <c r="G4136" s="2">
        <v>178.0</v>
      </c>
      <c r="H4136" s="2">
        <v>94.0</v>
      </c>
      <c r="I4136" s="2">
        <v>84.0</v>
      </c>
      <c r="J4136" s="2">
        <v>0.0</v>
      </c>
      <c r="K4136" s="2">
        <v>0.0</v>
      </c>
      <c r="L4136" s="2">
        <v>0.0</v>
      </c>
      <c r="M4136" s="2">
        <v>6.0</v>
      </c>
      <c r="N4136" s="2">
        <v>-40.0</v>
      </c>
      <c r="O4136" s="2">
        <v>-88.0</v>
      </c>
      <c r="P4136" s="2" t="s">
        <v>146</v>
      </c>
    </row>
    <row r="4137">
      <c r="A4137" s="3" t="s">
        <v>47</v>
      </c>
      <c r="B4137" s="4">
        <v>45201.29166666667</v>
      </c>
      <c r="C4137" s="2" t="s">
        <v>18</v>
      </c>
      <c r="D4137" s="2" t="s">
        <v>19</v>
      </c>
      <c r="E4137" s="2" t="s">
        <v>459</v>
      </c>
      <c r="F4137" s="2"/>
      <c r="G4137" s="2">
        <v>23.0</v>
      </c>
      <c r="H4137" s="2">
        <v>14.0</v>
      </c>
      <c r="I4137" s="2">
        <v>9.0</v>
      </c>
      <c r="J4137" s="2">
        <v>0.0</v>
      </c>
      <c r="K4137" s="2">
        <v>0.0</v>
      </c>
      <c r="L4137" s="2">
        <v>0.0</v>
      </c>
      <c r="M4137" s="2"/>
      <c r="N4137" s="2"/>
      <c r="O4137" s="2"/>
      <c r="P4137" s="2" t="s">
        <v>146</v>
      </c>
    </row>
    <row r="4138">
      <c r="A4138" s="3" t="s">
        <v>48</v>
      </c>
      <c r="B4138" s="4">
        <v>45232.25</v>
      </c>
      <c r="C4138" s="2" t="s">
        <v>18</v>
      </c>
      <c r="D4138" s="2" t="s">
        <v>19</v>
      </c>
      <c r="E4138" s="2" t="s">
        <v>459</v>
      </c>
      <c r="F4138" s="2"/>
      <c r="G4138" s="2">
        <v>75.0</v>
      </c>
      <c r="H4138" s="2">
        <v>32.0</v>
      </c>
      <c r="I4138" s="2">
        <v>43.0</v>
      </c>
      <c r="J4138" s="2">
        <v>0.0</v>
      </c>
      <c r="K4138" s="2">
        <v>0.0</v>
      </c>
      <c r="L4138" s="2">
        <v>0.0</v>
      </c>
      <c r="M4138" s="2"/>
      <c r="N4138" s="2"/>
      <c r="O4138" s="2"/>
      <c r="P4138" s="2" t="s">
        <v>146</v>
      </c>
    </row>
    <row r="4139">
      <c r="A4139" s="3" t="s">
        <v>49</v>
      </c>
      <c r="B4139" s="4">
        <v>45262.29166666667</v>
      </c>
      <c r="C4139" s="2" t="s">
        <v>18</v>
      </c>
      <c r="D4139" s="2" t="s">
        <v>157</v>
      </c>
      <c r="E4139" s="2" t="s">
        <v>459</v>
      </c>
      <c r="F4139" s="2"/>
      <c r="G4139" s="2">
        <v>45.0</v>
      </c>
      <c r="H4139" s="2">
        <v>27.0</v>
      </c>
      <c r="I4139" s="2">
        <v>18.0</v>
      </c>
      <c r="J4139" s="2">
        <v>0.0</v>
      </c>
      <c r="K4139" s="2">
        <v>0.0</v>
      </c>
      <c r="L4139" s="2">
        <v>0.0</v>
      </c>
      <c r="M4139" s="2"/>
      <c r="N4139" s="2"/>
      <c r="O4139" s="2"/>
      <c r="P4139" s="2" t="s">
        <v>146</v>
      </c>
    </row>
    <row r="4140">
      <c r="A4140" s="3" t="s">
        <v>51</v>
      </c>
      <c r="B4140" s="4">
        <v>45263.29166666667</v>
      </c>
      <c r="C4140" s="2" t="s">
        <v>18</v>
      </c>
      <c r="D4140" s="2" t="s">
        <v>19</v>
      </c>
      <c r="E4140" s="2" t="s">
        <v>459</v>
      </c>
      <c r="F4140" s="2"/>
      <c r="G4140" s="2">
        <v>35.0</v>
      </c>
      <c r="H4140" s="2">
        <v>21.0</v>
      </c>
      <c r="I4140" s="2">
        <v>14.0</v>
      </c>
      <c r="J4140" s="2">
        <v>0.0</v>
      </c>
      <c r="K4140" s="2">
        <v>0.0</v>
      </c>
      <c r="L4140" s="2">
        <v>0.0</v>
      </c>
      <c r="M4140" s="2"/>
      <c r="N4140" s="2"/>
      <c r="O4140" s="2"/>
      <c r="P4140" s="2" t="s">
        <v>146</v>
      </c>
    </row>
    <row r="4141">
      <c r="A4141" s="3" t="s">
        <v>52</v>
      </c>
      <c r="B4141" s="2" t="s">
        <v>17</v>
      </c>
      <c r="C4141" s="2" t="s">
        <v>18</v>
      </c>
      <c r="D4141" s="2" t="s">
        <v>79</v>
      </c>
      <c r="E4141" s="2" t="s">
        <v>165</v>
      </c>
      <c r="F4141" s="2">
        <v>60.0</v>
      </c>
      <c r="G4141" s="2">
        <v>93.0</v>
      </c>
      <c r="H4141" s="2">
        <v>65.0</v>
      </c>
      <c r="I4141" s="2">
        <v>28.0</v>
      </c>
      <c r="J4141" s="2">
        <v>0.0</v>
      </c>
      <c r="K4141" s="2">
        <v>0.0</v>
      </c>
      <c r="L4141" s="2">
        <v>0.0</v>
      </c>
      <c r="M4141" s="2">
        <v>-5.0</v>
      </c>
      <c r="N4141" s="2"/>
      <c r="O4141" s="2"/>
      <c r="P4141" s="2" t="s">
        <v>166</v>
      </c>
    </row>
    <row r="4142">
      <c r="A4142" s="3" t="s">
        <v>53</v>
      </c>
      <c r="B4142" s="2" t="s">
        <v>17</v>
      </c>
      <c r="C4142" s="2" t="s">
        <v>18</v>
      </c>
      <c r="D4142" s="2" t="s">
        <v>23</v>
      </c>
      <c r="E4142" s="2" t="s">
        <v>165</v>
      </c>
      <c r="F4142" s="2">
        <v>60.0</v>
      </c>
      <c r="G4142" s="2">
        <v>93.0</v>
      </c>
      <c r="H4142" s="2">
        <v>65.0</v>
      </c>
      <c r="I4142" s="2">
        <v>28.0</v>
      </c>
      <c r="J4142" s="2">
        <v>0.0</v>
      </c>
      <c r="K4142" s="2">
        <v>0.0</v>
      </c>
      <c r="L4142" s="2">
        <v>0.0</v>
      </c>
      <c r="M4142" s="2">
        <v>-5.0</v>
      </c>
      <c r="N4142" s="2">
        <v>0.0</v>
      </c>
      <c r="O4142" s="2">
        <v>-63.0</v>
      </c>
      <c r="P4142" s="2" t="s">
        <v>166</v>
      </c>
    </row>
    <row r="4143">
      <c r="A4143" s="3" t="s">
        <v>54</v>
      </c>
      <c r="B4143" s="4">
        <v>45201.29166666667</v>
      </c>
      <c r="C4143" s="2" t="s">
        <v>18</v>
      </c>
      <c r="D4143" s="2" t="s">
        <v>79</v>
      </c>
      <c r="E4143" s="2" t="s">
        <v>165</v>
      </c>
      <c r="F4143" s="2"/>
      <c r="G4143" s="2">
        <v>83.0</v>
      </c>
      <c r="H4143" s="2">
        <v>58.0</v>
      </c>
      <c r="I4143" s="2">
        <v>25.0</v>
      </c>
      <c r="J4143" s="2">
        <v>0.0</v>
      </c>
      <c r="K4143" s="2">
        <v>0.0</v>
      </c>
      <c r="L4143" s="2">
        <v>0.0</v>
      </c>
      <c r="M4143" s="2"/>
      <c r="N4143" s="2"/>
      <c r="O4143" s="2"/>
      <c r="P4143" s="2" t="s">
        <v>166</v>
      </c>
    </row>
    <row r="4144">
      <c r="A4144" s="3" t="s">
        <v>55</v>
      </c>
      <c r="B4144" s="4">
        <v>45231.25</v>
      </c>
      <c r="C4144" s="2" t="s">
        <v>18</v>
      </c>
      <c r="D4144" s="2" t="s">
        <v>79</v>
      </c>
      <c r="E4144" s="2" t="s">
        <v>165</v>
      </c>
      <c r="F4144" s="2"/>
      <c r="G4144" s="2">
        <v>0.0</v>
      </c>
      <c r="H4144" s="2">
        <v>0.0</v>
      </c>
      <c r="I4144" s="2">
        <v>0.0</v>
      </c>
      <c r="J4144" s="2">
        <v>0.0</v>
      </c>
      <c r="K4144" s="2">
        <v>0.0</v>
      </c>
      <c r="L4144" s="2">
        <v>0.0</v>
      </c>
      <c r="M4144" s="2"/>
      <c r="N4144" s="2"/>
      <c r="O4144" s="2"/>
      <c r="P4144" s="2" t="s">
        <v>166</v>
      </c>
    </row>
    <row r="4145">
      <c r="A4145" s="3" t="s">
        <v>56</v>
      </c>
      <c r="B4145" s="2" t="s">
        <v>17</v>
      </c>
      <c r="C4145" s="2" t="s">
        <v>18</v>
      </c>
      <c r="D4145" s="2" t="s">
        <v>164</v>
      </c>
      <c r="E4145" s="2" t="s">
        <v>165</v>
      </c>
      <c r="F4145" s="2">
        <v>140.0</v>
      </c>
      <c r="G4145" s="2">
        <v>289.0</v>
      </c>
      <c r="H4145" s="2">
        <v>142.0</v>
      </c>
      <c r="I4145" s="2">
        <v>147.0</v>
      </c>
      <c r="J4145" s="2">
        <v>0.0</v>
      </c>
      <c r="K4145" s="2">
        <v>0.0</v>
      </c>
      <c r="L4145" s="2">
        <v>0.0</v>
      </c>
      <c r="M4145" s="2">
        <v>-2.0</v>
      </c>
      <c r="N4145" s="2"/>
      <c r="O4145" s="2"/>
      <c r="P4145" s="2" t="s">
        <v>166</v>
      </c>
    </row>
    <row r="4146">
      <c r="A4146" s="3" t="s">
        <v>59</v>
      </c>
      <c r="B4146" s="2" t="s">
        <v>17</v>
      </c>
      <c r="C4146" s="2" t="s">
        <v>18</v>
      </c>
      <c r="D4146" s="2" t="s">
        <v>23</v>
      </c>
      <c r="E4146" s="2" t="s">
        <v>165</v>
      </c>
      <c r="F4146" s="2">
        <v>140.0</v>
      </c>
      <c r="G4146" s="2">
        <v>289.0</v>
      </c>
      <c r="H4146" s="2">
        <v>142.0</v>
      </c>
      <c r="I4146" s="2">
        <v>147.0</v>
      </c>
      <c r="J4146" s="2">
        <v>0.0</v>
      </c>
      <c r="K4146" s="2">
        <v>0.0</v>
      </c>
      <c r="L4146" s="2">
        <v>0.0</v>
      </c>
      <c r="M4146" s="2">
        <v>-2.0</v>
      </c>
      <c r="N4146" s="2">
        <v>0.0</v>
      </c>
      <c r="O4146" s="2">
        <v>-144.0</v>
      </c>
      <c r="P4146" s="2" t="s">
        <v>166</v>
      </c>
    </row>
    <row r="4147">
      <c r="A4147" s="3" t="s">
        <v>60</v>
      </c>
      <c r="B4147" s="4">
        <v>45231.25</v>
      </c>
      <c r="C4147" s="2" t="s">
        <v>18</v>
      </c>
      <c r="D4147" s="2" t="s">
        <v>164</v>
      </c>
      <c r="E4147" s="2" t="s">
        <v>165</v>
      </c>
      <c r="F4147" s="2"/>
      <c r="G4147" s="2">
        <v>215.0</v>
      </c>
      <c r="H4147" s="2">
        <v>104.0</v>
      </c>
      <c r="I4147" s="2">
        <v>111.0</v>
      </c>
      <c r="J4147" s="2">
        <v>0.0</v>
      </c>
      <c r="K4147" s="2">
        <v>0.0</v>
      </c>
      <c r="L4147" s="2">
        <v>0.0</v>
      </c>
      <c r="M4147" s="2"/>
      <c r="N4147" s="2"/>
      <c r="O4147" s="2"/>
      <c r="P4147" s="2" t="s">
        <v>166</v>
      </c>
    </row>
    <row r="4148">
      <c r="A4148" s="3" t="s">
        <v>61</v>
      </c>
      <c r="B4148" s="4">
        <v>45261.29166666667</v>
      </c>
      <c r="C4148" s="2" t="s">
        <v>18</v>
      </c>
      <c r="D4148" s="2" t="s">
        <v>164</v>
      </c>
      <c r="E4148" s="2" t="s">
        <v>165</v>
      </c>
      <c r="F4148" s="2"/>
      <c r="G4148" s="2">
        <v>74.0</v>
      </c>
      <c r="H4148" s="2">
        <v>38.0</v>
      </c>
      <c r="I4148" s="2">
        <v>36.0</v>
      </c>
      <c r="J4148" s="2">
        <v>0.0</v>
      </c>
      <c r="K4148" s="2">
        <v>0.0</v>
      </c>
      <c r="L4148" s="2">
        <v>0.0</v>
      </c>
      <c r="M4148" s="2"/>
      <c r="N4148" s="2"/>
      <c r="O4148" s="2"/>
      <c r="P4148" s="2" t="s">
        <v>166</v>
      </c>
    </row>
    <row r="4149">
      <c r="A4149" s="3" t="s">
        <v>62</v>
      </c>
      <c r="B4149" s="2" t="s">
        <v>17</v>
      </c>
      <c r="C4149" s="2" t="s">
        <v>18</v>
      </c>
      <c r="D4149" s="2" t="s">
        <v>30</v>
      </c>
      <c r="E4149" s="2" t="s">
        <v>27</v>
      </c>
      <c r="F4149" s="2">
        <v>81.0</v>
      </c>
      <c r="G4149" s="2">
        <v>176.0</v>
      </c>
      <c r="H4149" s="2">
        <v>79.0</v>
      </c>
      <c r="I4149" s="2">
        <v>97.0</v>
      </c>
      <c r="J4149" s="2">
        <v>0.0</v>
      </c>
      <c r="K4149" s="2">
        <v>0.0</v>
      </c>
      <c r="L4149" s="2">
        <v>0.0</v>
      </c>
      <c r="M4149" s="2">
        <v>2.0</v>
      </c>
      <c r="N4149" s="2"/>
      <c r="O4149" s="2"/>
      <c r="P4149" s="2" t="s">
        <v>92</v>
      </c>
    </row>
    <row r="4150">
      <c r="A4150" s="3" t="s">
        <v>63</v>
      </c>
      <c r="B4150" s="2" t="s">
        <v>17</v>
      </c>
      <c r="C4150" s="2" t="s">
        <v>18</v>
      </c>
      <c r="D4150" s="2" t="s">
        <v>69</v>
      </c>
      <c r="E4150" s="2" t="s">
        <v>27</v>
      </c>
      <c r="F4150" s="2">
        <v>50.0</v>
      </c>
      <c r="G4150" s="2">
        <v>3.0</v>
      </c>
      <c r="H4150" s="2">
        <v>2.0</v>
      </c>
      <c r="I4150" s="2">
        <v>1.0</v>
      </c>
      <c r="J4150" s="2">
        <v>0.0</v>
      </c>
      <c r="K4150" s="2">
        <v>0.0</v>
      </c>
      <c r="L4150" s="2">
        <v>1.0</v>
      </c>
      <c r="M4150" s="2">
        <v>48.0</v>
      </c>
      <c r="N4150" s="2"/>
      <c r="O4150" s="2"/>
      <c r="P4150" s="2" t="s">
        <v>92</v>
      </c>
    </row>
    <row r="4151">
      <c r="A4151" s="3" t="s">
        <v>64</v>
      </c>
      <c r="B4151" s="2" t="s">
        <v>17</v>
      </c>
      <c r="C4151" s="2" t="s">
        <v>18</v>
      </c>
      <c r="D4151" s="2" t="s">
        <v>19</v>
      </c>
      <c r="E4151" s="2" t="s">
        <v>27</v>
      </c>
      <c r="F4151" s="2">
        <v>21.0</v>
      </c>
      <c r="G4151" s="2">
        <v>24.0</v>
      </c>
      <c r="H4151" s="2">
        <v>19.0</v>
      </c>
      <c r="I4151" s="2">
        <v>3.0</v>
      </c>
      <c r="J4151" s="2">
        <v>2.0</v>
      </c>
      <c r="K4151" s="2">
        <v>0.0</v>
      </c>
      <c r="L4151" s="2">
        <v>0.0</v>
      </c>
      <c r="M4151" s="2">
        <v>2.0</v>
      </c>
      <c r="N4151" s="2"/>
      <c r="O4151" s="2"/>
      <c r="P4151" s="2" t="s">
        <v>92</v>
      </c>
    </row>
    <row r="4152">
      <c r="A4152" s="3" t="s">
        <v>65</v>
      </c>
      <c r="B4152" s="2" t="s">
        <v>17</v>
      </c>
      <c r="C4152" s="2" t="s">
        <v>18</v>
      </c>
      <c r="D4152" s="2" t="s">
        <v>23</v>
      </c>
      <c r="E4152" s="2" t="s">
        <v>27</v>
      </c>
      <c r="F4152" s="2">
        <v>100.0</v>
      </c>
      <c r="G4152" s="2">
        <v>203.0</v>
      </c>
      <c r="H4152" s="2">
        <v>100.0</v>
      </c>
      <c r="I4152" s="2">
        <v>101.0</v>
      </c>
      <c r="J4152" s="2">
        <v>2.0</v>
      </c>
      <c r="K4152" s="2">
        <v>0.0</v>
      </c>
      <c r="L4152" s="2">
        <v>1.0</v>
      </c>
      <c r="M4152" s="2">
        <v>0.0</v>
      </c>
      <c r="N4152" s="2">
        <v>-52.0</v>
      </c>
      <c r="O4152" s="2">
        <v>-100.0</v>
      </c>
      <c r="P4152" s="2" t="s">
        <v>92</v>
      </c>
    </row>
    <row r="4153">
      <c r="A4153" s="3" t="s">
        <v>66</v>
      </c>
      <c r="B4153" s="4">
        <v>45201.29166666667</v>
      </c>
      <c r="C4153" s="2" t="s">
        <v>18</v>
      </c>
      <c r="D4153" s="2" t="s">
        <v>19</v>
      </c>
      <c r="E4153" s="2" t="s">
        <v>27</v>
      </c>
      <c r="F4153" s="2"/>
      <c r="G4153" s="2">
        <v>9.0</v>
      </c>
      <c r="H4153" s="2">
        <v>6.0</v>
      </c>
      <c r="I4153" s="2">
        <v>2.0</v>
      </c>
      <c r="J4153" s="2">
        <v>1.0</v>
      </c>
      <c r="K4153" s="2">
        <v>0.0</v>
      </c>
      <c r="L4153" s="2">
        <v>0.0</v>
      </c>
      <c r="M4153" s="2"/>
      <c r="N4153" s="2"/>
      <c r="O4153" s="2"/>
      <c r="P4153" s="2" t="s">
        <v>92</v>
      </c>
    </row>
    <row r="4154">
      <c r="A4154" s="3" t="s">
        <v>68</v>
      </c>
      <c r="B4154" s="4">
        <v>45231.25</v>
      </c>
      <c r="C4154" s="2" t="s">
        <v>18</v>
      </c>
      <c r="D4154" s="2" t="s">
        <v>19</v>
      </c>
      <c r="E4154" s="2" t="s">
        <v>27</v>
      </c>
      <c r="F4154" s="2"/>
      <c r="G4154" s="2">
        <v>15.0</v>
      </c>
      <c r="H4154" s="2">
        <v>13.0</v>
      </c>
      <c r="I4154" s="2">
        <v>1.0</v>
      </c>
      <c r="J4154" s="2">
        <v>1.0</v>
      </c>
      <c r="K4154" s="2">
        <v>0.0</v>
      </c>
      <c r="L4154" s="2">
        <v>0.0</v>
      </c>
      <c r="M4154" s="2"/>
      <c r="N4154" s="2"/>
      <c r="O4154" s="2"/>
      <c r="P4154" s="2" t="s">
        <v>92</v>
      </c>
    </row>
    <row r="4155">
      <c r="A4155" s="3" t="s">
        <v>70</v>
      </c>
      <c r="B4155" s="4">
        <v>45231.25</v>
      </c>
      <c r="C4155" s="2" t="s">
        <v>18</v>
      </c>
      <c r="D4155" s="2" t="s">
        <v>69</v>
      </c>
      <c r="E4155" s="2" t="s">
        <v>27</v>
      </c>
      <c r="F4155" s="2"/>
      <c r="G4155" s="2">
        <v>3.0</v>
      </c>
      <c r="H4155" s="2">
        <v>2.0</v>
      </c>
      <c r="I4155" s="2">
        <v>1.0</v>
      </c>
      <c r="J4155" s="2">
        <v>0.0</v>
      </c>
      <c r="K4155" s="2">
        <v>0.0</v>
      </c>
      <c r="L4155" s="2">
        <v>1.0</v>
      </c>
      <c r="M4155" s="2"/>
      <c r="N4155" s="2"/>
      <c r="O4155" s="2"/>
      <c r="P4155" s="2" t="s">
        <v>92</v>
      </c>
    </row>
    <row r="4156">
      <c r="A4156" s="3" t="s">
        <v>16</v>
      </c>
      <c r="B4156" s="4">
        <v>45232.25</v>
      </c>
      <c r="C4156" s="2" t="s">
        <v>18</v>
      </c>
      <c r="D4156" s="2" t="s">
        <v>30</v>
      </c>
      <c r="E4156" s="2" t="s">
        <v>27</v>
      </c>
      <c r="F4156" s="2"/>
      <c r="G4156" s="2">
        <v>176.0</v>
      </c>
      <c r="H4156" s="2">
        <v>79.0</v>
      </c>
      <c r="I4156" s="2">
        <v>97.0</v>
      </c>
      <c r="J4156" s="2">
        <v>0.0</v>
      </c>
      <c r="K4156" s="2">
        <v>0.0</v>
      </c>
      <c r="L4156" s="2">
        <v>0.0</v>
      </c>
      <c r="M4156" s="2"/>
      <c r="N4156" s="2"/>
      <c r="O4156" s="2"/>
      <c r="P4156" s="2" t="s">
        <v>92</v>
      </c>
    </row>
    <row r="4157">
      <c r="A4157" s="3" t="s">
        <v>71</v>
      </c>
      <c r="B4157" s="2" t="s">
        <v>17</v>
      </c>
      <c r="C4157" s="2" t="s">
        <v>148</v>
      </c>
      <c r="D4157" s="2" t="s">
        <v>19</v>
      </c>
      <c r="E4157" s="2" t="s">
        <v>171</v>
      </c>
      <c r="F4157" s="2">
        <v>5.0</v>
      </c>
      <c r="G4157" s="2">
        <v>2.0</v>
      </c>
      <c r="H4157" s="2">
        <v>0.0</v>
      </c>
      <c r="I4157" s="2">
        <v>2.0</v>
      </c>
      <c r="J4157" s="2">
        <v>0.0</v>
      </c>
      <c r="K4157" s="2">
        <v>0.0</v>
      </c>
      <c r="L4157" s="2">
        <v>0.0</v>
      </c>
      <c r="M4157" s="2">
        <v>5.0</v>
      </c>
      <c r="N4157" s="2"/>
      <c r="O4157" s="2"/>
      <c r="P4157" s="2" t="s">
        <v>92</v>
      </c>
    </row>
    <row r="4158">
      <c r="A4158" s="3" t="s">
        <v>72</v>
      </c>
      <c r="B4158" s="2" t="s">
        <v>17</v>
      </c>
      <c r="C4158" s="2" t="s">
        <v>148</v>
      </c>
      <c r="D4158" s="2" t="s">
        <v>19</v>
      </c>
      <c r="E4158" s="2" t="s">
        <v>208</v>
      </c>
      <c r="F4158" s="2">
        <v>5.0</v>
      </c>
      <c r="G4158" s="2">
        <v>2.0</v>
      </c>
      <c r="H4158" s="2">
        <v>0.0</v>
      </c>
      <c r="I4158" s="2">
        <v>2.0</v>
      </c>
      <c r="J4158" s="2">
        <v>0.0</v>
      </c>
      <c r="K4158" s="2">
        <v>0.0</v>
      </c>
      <c r="L4158" s="2">
        <v>0.0</v>
      </c>
      <c r="M4158" s="2">
        <v>5.0</v>
      </c>
      <c r="N4158" s="2"/>
      <c r="O4158" s="2"/>
      <c r="P4158" s="2" t="s">
        <v>92</v>
      </c>
    </row>
    <row r="4159">
      <c r="A4159" s="3" t="s">
        <v>73</v>
      </c>
      <c r="B4159" s="2" t="s">
        <v>17</v>
      </c>
      <c r="C4159" s="2" t="s">
        <v>148</v>
      </c>
      <c r="D4159" s="2" t="s">
        <v>19</v>
      </c>
      <c r="E4159" s="2" t="s">
        <v>163</v>
      </c>
      <c r="F4159" s="2">
        <v>5.0</v>
      </c>
      <c r="G4159" s="2">
        <v>5.0</v>
      </c>
      <c r="H4159" s="2">
        <v>0.0</v>
      </c>
      <c r="I4159" s="2">
        <v>5.0</v>
      </c>
      <c r="J4159" s="2">
        <v>0.0</v>
      </c>
      <c r="K4159" s="2">
        <v>0.0</v>
      </c>
      <c r="L4159" s="2">
        <v>0.0</v>
      </c>
      <c r="M4159" s="2">
        <v>5.0</v>
      </c>
      <c r="N4159" s="2"/>
      <c r="O4159" s="2"/>
      <c r="P4159" s="2" t="s">
        <v>92</v>
      </c>
    </row>
    <row r="4160">
      <c r="A4160" s="3" t="s">
        <v>74</v>
      </c>
      <c r="B4160" s="2" t="s">
        <v>17</v>
      </c>
      <c r="C4160" s="2" t="s">
        <v>148</v>
      </c>
      <c r="D4160" s="2" t="s">
        <v>19</v>
      </c>
      <c r="E4160" s="2" t="s">
        <v>316</v>
      </c>
      <c r="F4160" s="2">
        <v>10.0</v>
      </c>
      <c r="G4160" s="2">
        <v>2.0</v>
      </c>
      <c r="H4160" s="2">
        <v>0.0</v>
      </c>
      <c r="I4160" s="2">
        <v>2.0</v>
      </c>
      <c r="J4160" s="2">
        <v>0.0</v>
      </c>
      <c r="K4160" s="2">
        <v>0.0</v>
      </c>
      <c r="L4160" s="2">
        <v>0.0</v>
      </c>
      <c r="M4160" s="2">
        <v>10.0</v>
      </c>
      <c r="N4160" s="2"/>
      <c r="O4160" s="2"/>
      <c r="P4160" s="2" t="s">
        <v>92</v>
      </c>
    </row>
    <row r="4161">
      <c r="A4161" s="3" t="s">
        <v>75</v>
      </c>
      <c r="B4161" s="2" t="s">
        <v>17</v>
      </c>
      <c r="C4161" s="2" t="s">
        <v>148</v>
      </c>
      <c r="D4161" s="2" t="s">
        <v>19</v>
      </c>
      <c r="E4161" s="2" t="s">
        <v>209</v>
      </c>
      <c r="F4161" s="2">
        <v>10.0</v>
      </c>
      <c r="G4161" s="2">
        <v>2.0</v>
      </c>
      <c r="H4161" s="2">
        <v>0.0</v>
      </c>
      <c r="I4161" s="2">
        <v>2.0</v>
      </c>
      <c r="J4161" s="2">
        <v>0.0</v>
      </c>
      <c r="K4161" s="2">
        <v>0.0</v>
      </c>
      <c r="L4161" s="2">
        <v>0.0</v>
      </c>
      <c r="M4161" s="2">
        <v>10.0</v>
      </c>
      <c r="N4161" s="2"/>
      <c r="O4161" s="2"/>
      <c r="P4161" s="2" t="s">
        <v>92</v>
      </c>
    </row>
    <row r="4162">
      <c r="A4162" s="3" t="s">
        <v>76</v>
      </c>
      <c r="B4162" s="2" t="s">
        <v>17</v>
      </c>
      <c r="C4162" s="2" t="s">
        <v>18</v>
      </c>
      <c r="D4162" s="2" t="s">
        <v>127</v>
      </c>
      <c r="E4162" s="2" t="s">
        <v>171</v>
      </c>
      <c r="F4162" s="2">
        <v>41.0</v>
      </c>
      <c r="G4162" s="2">
        <v>73.0</v>
      </c>
      <c r="H4162" s="2">
        <v>39.0</v>
      </c>
      <c r="I4162" s="2">
        <v>34.0</v>
      </c>
      <c r="J4162" s="2">
        <v>0.0</v>
      </c>
      <c r="K4162" s="2">
        <v>0.0</v>
      </c>
      <c r="L4162" s="2">
        <v>0.0</v>
      </c>
      <c r="M4162" s="2">
        <v>2.0</v>
      </c>
      <c r="N4162" s="2"/>
      <c r="O4162" s="2"/>
      <c r="P4162" s="2" t="s">
        <v>92</v>
      </c>
    </row>
    <row r="4163">
      <c r="A4163" s="3" t="s">
        <v>77</v>
      </c>
      <c r="B4163" s="2" t="s">
        <v>17</v>
      </c>
      <c r="C4163" s="2" t="s">
        <v>18</v>
      </c>
      <c r="D4163" s="2" t="s">
        <v>127</v>
      </c>
      <c r="E4163" s="2" t="s">
        <v>208</v>
      </c>
      <c r="F4163" s="2">
        <v>38.0</v>
      </c>
      <c r="G4163" s="2">
        <v>79.0</v>
      </c>
      <c r="H4163" s="2">
        <v>37.0</v>
      </c>
      <c r="I4163" s="2">
        <v>42.0</v>
      </c>
      <c r="J4163" s="2">
        <v>0.0</v>
      </c>
      <c r="K4163" s="2">
        <v>0.0</v>
      </c>
      <c r="L4163" s="2">
        <v>0.0</v>
      </c>
      <c r="M4163" s="2">
        <v>1.0</v>
      </c>
      <c r="N4163" s="2"/>
      <c r="O4163" s="2"/>
      <c r="P4163" s="2" t="s">
        <v>92</v>
      </c>
    </row>
    <row r="4164">
      <c r="A4164" s="3" t="s">
        <v>78</v>
      </c>
      <c r="B4164" s="2" t="s">
        <v>17</v>
      </c>
      <c r="C4164" s="2" t="s">
        <v>18</v>
      </c>
      <c r="D4164" s="2" t="s">
        <v>127</v>
      </c>
      <c r="E4164" s="2" t="s">
        <v>163</v>
      </c>
      <c r="F4164" s="2">
        <v>23.0</v>
      </c>
      <c r="G4164" s="2">
        <v>48.0</v>
      </c>
      <c r="H4164" s="2">
        <v>23.0</v>
      </c>
      <c r="I4164" s="2">
        <v>25.0</v>
      </c>
      <c r="J4164" s="2">
        <v>0.0</v>
      </c>
      <c r="K4164" s="2">
        <v>0.0</v>
      </c>
      <c r="L4164" s="2">
        <v>0.0</v>
      </c>
      <c r="M4164" s="2">
        <v>0.0</v>
      </c>
      <c r="N4164" s="2"/>
      <c r="O4164" s="2"/>
      <c r="P4164" s="2" t="s">
        <v>92</v>
      </c>
    </row>
    <row r="4165">
      <c r="A4165" s="3" t="s">
        <v>81</v>
      </c>
      <c r="B4165" s="2" t="s">
        <v>17</v>
      </c>
      <c r="C4165" s="2" t="s">
        <v>18</v>
      </c>
      <c r="D4165" s="2" t="s">
        <v>127</v>
      </c>
      <c r="E4165" s="2" t="s">
        <v>316</v>
      </c>
      <c r="F4165" s="2">
        <v>21.0</v>
      </c>
      <c r="G4165" s="2">
        <v>35.0</v>
      </c>
      <c r="H4165" s="2">
        <v>9.0</v>
      </c>
      <c r="I4165" s="2">
        <v>26.0</v>
      </c>
      <c r="J4165" s="2">
        <v>0.0</v>
      </c>
      <c r="K4165" s="2">
        <v>0.0</v>
      </c>
      <c r="L4165" s="2">
        <v>0.0</v>
      </c>
      <c r="M4165" s="2">
        <v>12.0</v>
      </c>
      <c r="N4165" s="2"/>
      <c r="O4165" s="2"/>
      <c r="P4165" s="2" t="s">
        <v>92</v>
      </c>
    </row>
    <row r="4166">
      <c r="A4166" s="3" t="s">
        <v>82</v>
      </c>
      <c r="B4166" s="2" t="s">
        <v>17</v>
      </c>
      <c r="C4166" s="2" t="s">
        <v>18</v>
      </c>
      <c r="D4166" s="2" t="s">
        <v>127</v>
      </c>
      <c r="E4166" s="2" t="s">
        <v>209</v>
      </c>
      <c r="F4166" s="2">
        <v>33.0</v>
      </c>
      <c r="G4166" s="2">
        <v>53.0</v>
      </c>
      <c r="H4166" s="2">
        <v>30.0</v>
      </c>
      <c r="I4166" s="2">
        <v>23.0</v>
      </c>
      <c r="J4166" s="2">
        <v>0.0</v>
      </c>
      <c r="K4166" s="2">
        <v>0.0</v>
      </c>
      <c r="L4166" s="2">
        <v>0.0</v>
      </c>
      <c r="M4166" s="2">
        <v>3.0</v>
      </c>
      <c r="N4166" s="2"/>
      <c r="O4166" s="2"/>
      <c r="P4166" s="2" t="s">
        <v>92</v>
      </c>
    </row>
    <row r="4167">
      <c r="A4167" s="3" t="s">
        <v>83</v>
      </c>
      <c r="B4167" s="2" t="s">
        <v>17</v>
      </c>
      <c r="C4167" s="2" t="s">
        <v>18</v>
      </c>
      <c r="D4167" s="2" t="s">
        <v>23</v>
      </c>
      <c r="E4167" s="2" t="s">
        <v>171</v>
      </c>
      <c r="F4167" s="2">
        <v>41.0</v>
      </c>
      <c r="G4167" s="2">
        <v>75.0</v>
      </c>
      <c r="H4167" s="2">
        <v>39.0</v>
      </c>
      <c r="I4167" s="2">
        <v>36.0</v>
      </c>
      <c r="J4167" s="2">
        <v>0.0</v>
      </c>
      <c r="K4167" s="2">
        <v>0.0</v>
      </c>
      <c r="L4167" s="2">
        <v>0.0</v>
      </c>
      <c r="M4167" s="2">
        <v>2.0</v>
      </c>
      <c r="N4167" s="2">
        <v>-5.0</v>
      </c>
      <c r="O4167" s="2">
        <v>-37.0</v>
      </c>
      <c r="P4167" s="2" t="s">
        <v>92</v>
      </c>
    </row>
    <row r="4168">
      <c r="A4168" s="3" t="s">
        <v>84</v>
      </c>
      <c r="B4168" s="2" t="s">
        <v>17</v>
      </c>
      <c r="C4168" s="2" t="s">
        <v>18</v>
      </c>
      <c r="D4168" s="2" t="s">
        <v>23</v>
      </c>
      <c r="E4168" s="2" t="s">
        <v>208</v>
      </c>
      <c r="F4168" s="2">
        <v>38.0</v>
      </c>
      <c r="G4168" s="2">
        <v>81.0</v>
      </c>
      <c r="H4168" s="2">
        <v>37.0</v>
      </c>
      <c r="I4168" s="2">
        <v>44.0</v>
      </c>
      <c r="J4168" s="2">
        <v>0.0</v>
      </c>
      <c r="K4168" s="2">
        <v>0.0</v>
      </c>
      <c r="L4168" s="2">
        <v>0.0</v>
      </c>
      <c r="M4168" s="2">
        <v>1.0</v>
      </c>
      <c r="N4168" s="2">
        <v>-5.0</v>
      </c>
      <c r="O4168" s="2">
        <v>-36.0</v>
      </c>
      <c r="P4168" s="2" t="s">
        <v>92</v>
      </c>
    </row>
    <row r="4169">
      <c r="A4169" s="3" t="s">
        <v>85</v>
      </c>
      <c r="B4169" s="2" t="s">
        <v>17</v>
      </c>
      <c r="C4169" s="2" t="s">
        <v>18</v>
      </c>
      <c r="D4169" s="2" t="s">
        <v>23</v>
      </c>
      <c r="E4169" s="2" t="s">
        <v>163</v>
      </c>
      <c r="F4169" s="2">
        <v>23.0</v>
      </c>
      <c r="G4169" s="2">
        <v>53.0</v>
      </c>
      <c r="H4169" s="2">
        <v>23.0</v>
      </c>
      <c r="I4169" s="2">
        <v>30.0</v>
      </c>
      <c r="J4169" s="2">
        <v>0.0</v>
      </c>
      <c r="K4169" s="2">
        <v>0.0</v>
      </c>
      <c r="L4169" s="2">
        <v>0.0</v>
      </c>
      <c r="M4169" s="2">
        <v>0.0</v>
      </c>
      <c r="N4169" s="2">
        <v>-5.0</v>
      </c>
      <c r="O4169" s="2">
        <v>-23.0</v>
      </c>
      <c r="P4169" s="2" t="s">
        <v>92</v>
      </c>
    </row>
    <row r="4170">
      <c r="A4170" s="3" t="s">
        <v>86</v>
      </c>
      <c r="B4170" s="2" t="s">
        <v>17</v>
      </c>
      <c r="C4170" s="2" t="s">
        <v>18</v>
      </c>
      <c r="D4170" s="2" t="s">
        <v>23</v>
      </c>
      <c r="E4170" s="2" t="s">
        <v>316</v>
      </c>
      <c r="F4170" s="2">
        <v>21.0</v>
      </c>
      <c r="G4170" s="2">
        <v>37.0</v>
      </c>
      <c r="H4170" s="2">
        <v>9.0</v>
      </c>
      <c r="I4170" s="2">
        <v>28.0</v>
      </c>
      <c r="J4170" s="2">
        <v>0.0</v>
      </c>
      <c r="K4170" s="2">
        <v>0.0</v>
      </c>
      <c r="L4170" s="2">
        <v>0.0</v>
      </c>
      <c r="M4170" s="2">
        <v>12.0</v>
      </c>
      <c r="N4170" s="2">
        <v>-10.0</v>
      </c>
      <c r="O4170" s="2">
        <v>3.0</v>
      </c>
      <c r="P4170" s="2" t="s">
        <v>92</v>
      </c>
    </row>
    <row r="4171">
      <c r="A4171" s="3" t="s">
        <v>87</v>
      </c>
      <c r="B4171" s="2" t="s">
        <v>17</v>
      </c>
      <c r="C4171" s="2" t="s">
        <v>18</v>
      </c>
      <c r="D4171" s="2" t="s">
        <v>23</v>
      </c>
      <c r="E4171" s="2" t="s">
        <v>209</v>
      </c>
      <c r="F4171" s="2">
        <v>33.0</v>
      </c>
      <c r="G4171" s="2">
        <v>55.0</v>
      </c>
      <c r="H4171" s="2">
        <v>30.0</v>
      </c>
      <c r="I4171" s="2">
        <v>25.0</v>
      </c>
      <c r="J4171" s="2">
        <v>0.0</v>
      </c>
      <c r="K4171" s="2">
        <v>0.0</v>
      </c>
      <c r="L4171" s="2">
        <v>0.0</v>
      </c>
      <c r="M4171" s="2">
        <v>3.0</v>
      </c>
      <c r="N4171" s="2">
        <v>-10.0</v>
      </c>
      <c r="O4171" s="2">
        <v>-27.0</v>
      </c>
      <c r="P4171" s="2" t="s">
        <v>92</v>
      </c>
    </row>
    <row r="4172">
      <c r="A4172" s="3" t="s">
        <v>88</v>
      </c>
      <c r="B4172" s="4">
        <v>45232.25</v>
      </c>
      <c r="C4172" s="2" t="s">
        <v>18</v>
      </c>
      <c r="D4172" s="2" t="s">
        <v>19</v>
      </c>
      <c r="E4172" s="2" t="s">
        <v>171</v>
      </c>
      <c r="F4172" s="2"/>
      <c r="G4172" s="2">
        <v>2.0</v>
      </c>
      <c r="H4172" s="2">
        <v>0.0</v>
      </c>
      <c r="I4172" s="2">
        <v>2.0</v>
      </c>
      <c r="J4172" s="2">
        <v>0.0</v>
      </c>
      <c r="K4172" s="2">
        <v>0.0</v>
      </c>
      <c r="L4172" s="2">
        <v>0.0</v>
      </c>
      <c r="M4172" s="2"/>
      <c r="N4172" s="2"/>
      <c r="O4172" s="2"/>
      <c r="P4172" s="2" t="s">
        <v>92</v>
      </c>
    </row>
    <row r="4173">
      <c r="A4173" s="3" t="s">
        <v>89</v>
      </c>
      <c r="B4173" s="4">
        <v>45233.25</v>
      </c>
      <c r="C4173" s="2" t="s">
        <v>18</v>
      </c>
      <c r="D4173" s="2" t="s">
        <v>19</v>
      </c>
      <c r="E4173" s="2" t="s">
        <v>208</v>
      </c>
      <c r="F4173" s="2"/>
      <c r="G4173" s="2">
        <v>2.0</v>
      </c>
      <c r="H4173" s="2">
        <v>0.0</v>
      </c>
      <c r="I4173" s="2">
        <v>2.0</v>
      </c>
      <c r="J4173" s="2">
        <v>0.0</v>
      </c>
      <c r="K4173" s="2">
        <v>0.0</v>
      </c>
      <c r="L4173" s="2">
        <v>0.0</v>
      </c>
      <c r="M4173" s="2"/>
      <c r="N4173" s="2"/>
      <c r="O4173" s="2"/>
      <c r="P4173" s="2" t="s">
        <v>92</v>
      </c>
    </row>
    <row r="4174">
      <c r="A4174" s="3" t="s">
        <v>90</v>
      </c>
      <c r="B4174" s="4">
        <v>45234.25</v>
      </c>
      <c r="C4174" s="2" t="s">
        <v>18</v>
      </c>
      <c r="D4174" s="2" t="s">
        <v>19</v>
      </c>
      <c r="E4174" s="2" t="s">
        <v>163</v>
      </c>
      <c r="F4174" s="2"/>
      <c r="G4174" s="2">
        <v>5.0</v>
      </c>
      <c r="H4174" s="2">
        <v>0.0</v>
      </c>
      <c r="I4174" s="2">
        <v>5.0</v>
      </c>
      <c r="J4174" s="2">
        <v>0.0</v>
      </c>
      <c r="K4174" s="2">
        <v>0.0</v>
      </c>
      <c r="L4174" s="2">
        <v>0.0</v>
      </c>
      <c r="M4174" s="2"/>
      <c r="N4174" s="2"/>
      <c r="O4174" s="2"/>
      <c r="P4174" s="2" t="s">
        <v>92</v>
      </c>
    </row>
    <row r="4175">
      <c r="A4175" s="3" t="s">
        <v>93</v>
      </c>
      <c r="B4175" s="4">
        <v>45235.25</v>
      </c>
      <c r="C4175" s="2" t="s">
        <v>18</v>
      </c>
      <c r="D4175" s="2" t="s">
        <v>19</v>
      </c>
      <c r="E4175" s="2" t="s">
        <v>316</v>
      </c>
      <c r="F4175" s="2"/>
      <c r="G4175" s="2">
        <v>2.0</v>
      </c>
      <c r="H4175" s="2">
        <v>0.0</v>
      </c>
      <c r="I4175" s="2">
        <v>2.0</v>
      </c>
      <c r="J4175" s="2">
        <v>0.0</v>
      </c>
      <c r="K4175" s="2">
        <v>0.0</v>
      </c>
      <c r="L4175" s="2">
        <v>0.0</v>
      </c>
      <c r="M4175" s="2"/>
      <c r="N4175" s="2"/>
      <c r="O4175" s="2"/>
      <c r="P4175" s="2" t="s">
        <v>92</v>
      </c>
    </row>
    <row r="4176">
      <c r="A4176" s="3" t="s">
        <v>16</v>
      </c>
      <c r="B4176" s="4">
        <v>45236.29166666667</v>
      </c>
      <c r="C4176" s="2" t="s">
        <v>18</v>
      </c>
      <c r="D4176" s="2" t="s">
        <v>19</v>
      </c>
      <c r="E4176" s="2" t="s">
        <v>209</v>
      </c>
      <c r="F4176" s="2"/>
      <c r="G4176" s="2">
        <v>2.0</v>
      </c>
      <c r="H4176" s="2">
        <v>0.0</v>
      </c>
      <c r="I4176" s="2">
        <v>2.0</v>
      </c>
      <c r="J4176" s="2">
        <v>0.0</v>
      </c>
      <c r="K4176" s="2">
        <v>0.0</v>
      </c>
      <c r="L4176" s="2">
        <v>0.0</v>
      </c>
      <c r="M4176" s="2"/>
      <c r="N4176" s="2"/>
      <c r="O4176" s="2"/>
      <c r="P4176" s="2" t="s">
        <v>92</v>
      </c>
    </row>
    <row r="4177">
      <c r="A4177" s="3" t="s">
        <v>94</v>
      </c>
      <c r="B4177" s="4">
        <v>45237.29166666667</v>
      </c>
      <c r="C4177" s="2" t="s">
        <v>18</v>
      </c>
      <c r="D4177" s="2" t="s">
        <v>127</v>
      </c>
      <c r="E4177" s="2" t="s">
        <v>171</v>
      </c>
      <c r="F4177" s="2"/>
      <c r="G4177" s="2">
        <v>73.0</v>
      </c>
      <c r="H4177" s="2">
        <v>39.0</v>
      </c>
      <c r="I4177" s="2">
        <v>34.0</v>
      </c>
      <c r="J4177" s="2">
        <v>0.0</v>
      </c>
      <c r="K4177" s="2">
        <v>0.0</v>
      </c>
      <c r="L4177" s="2">
        <v>0.0</v>
      </c>
      <c r="M4177" s="2"/>
      <c r="N4177" s="2"/>
      <c r="O4177" s="2"/>
      <c r="P4177" s="2" t="s">
        <v>92</v>
      </c>
    </row>
    <row r="4178">
      <c r="A4178" s="3" t="s">
        <v>95</v>
      </c>
      <c r="B4178" s="4">
        <v>45238.29166666667</v>
      </c>
      <c r="C4178" s="2" t="s">
        <v>18</v>
      </c>
      <c r="D4178" s="2" t="s">
        <v>127</v>
      </c>
      <c r="E4178" s="2" t="s">
        <v>208</v>
      </c>
      <c r="F4178" s="2"/>
      <c r="G4178" s="2">
        <v>79.0</v>
      </c>
      <c r="H4178" s="2">
        <v>37.0</v>
      </c>
      <c r="I4178" s="2">
        <v>42.0</v>
      </c>
      <c r="J4178" s="2">
        <v>0.0</v>
      </c>
      <c r="K4178" s="2">
        <v>0.0</v>
      </c>
      <c r="L4178" s="2">
        <v>0.0</v>
      </c>
      <c r="M4178" s="2"/>
      <c r="N4178" s="2"/>
      <c r="O4178" s="2"/>
      <c r="P4178" s="2" t="s">
        <v>92</v>
      </c>
    </row>
    <row r="4179">
      <c r="A4179" s="3" t="s">
        <v>97</v>
      </c>
      <c r="B4179" s="4">
        <v>45239.29166666667</v>
      </c>
      <c r="C4179" s="2" t="s">
        <v>18</v>
      </c>
      <c r="D4179" s="2" t="s">
        <v>127</v>
      </c>
      <c r="E4179" s="2" t="s">
        <v>163</v>
      </c>
      <c r="F4179" s="2"/>
      <c r="G4179" s="2">
        <v>48.0</v>
      </c>
      <c r="H4179" s="2">
        <v>23.0</v>
      </c>
      <c r="I4179" s="2">
        <v>25.0</v>
      </c>
      <c r="J4179" s="2">
        <v>0.0</v>
      </c>
      <c r="K4179" s="2">
        <v>0.0</v>
      </c>
      <c r="L4179" s="2">
        <v>0.0</v>
      </c>
      <c r="M4179" s="2"/>
      <c r="N4179" s="2"/>
      <c r="O4179" s="2"/>
      <c r="P4179" s="2" t="s">
        <v>92</v>
      </c>
    </row>
    <row r="4180">
      <c r="A4180" s="3" t="s">
        <v>98</v>
      </c>
      <c r="B4180" s="4">
        <v>45240.29166666667</v>
      </c>
      <c r="C4180" s="2" t="s">
        <v>18</v>
      </c>
      <c r="D4180" s="2" t="s">
        <v>127</v>
      </c>
      <c r="E4180" s="2" t="s">
        <v>316</v>
      </c>
      <c r="F4180" s="2"/>
      <c r="G4180" s="2">
        <v>35.0</v>
      </c>
      <c r="H4180" s="2">
        <v>9.0</v>
      </c>
      <c r="I4180" s="2">
        <v>26.0</v>
      </c>
      <c r="J4180" s="2">
        <v>0.0</v>
      </c>
      <c r="K4180" s="2">
        <v>0.0</v>
      </c>
      <c r="L4180" s="2">
        <v>0.0</v>
      </c>
      <c r="M4180" s="2"/>
      <c r="N4180" s="2"/>
      <c r="O4180" s="2"/>
      <c r="P4180" s="2" t="s">
        <v>92</v>
      </c>
    </row>
    <row r="4181">
      <c r="A4181" s="3" t="s">
        <v>99</v>
      </c>
      <c r="B4181" s="4">
        <v>45241.29166666667</v>
      </c>
      <c r="C4181" s="2" t="s">
        <v>18</v>
      </c>
      <c r="D4181" s="2" t="s">
        <v>127</v>
      </c>
      <c r="E4181" s="2" t="s">
        <v>209</v>
      </c>
      <c r="F4181" s="2"/>
      <c r="G4181" s="2">
        <v>53.0</v>
      </c>
      <c r="H4181" s="2">
        <v>30.0</v>
      </c>
      <c r="I4181" s="2">
        <v>23.0</v>
      </c>
      <c r="J4181" s="2">
        <v>0.0</v>
      </c>
      <c r="K4181" s="2">
        <v>0.0</v>
      </c>
      <c r="L4181" s="2">
        <v>0.0</v>
      </c>
      <c r="M4181" s="2"/>
      <c r="N4181" s="2"/>
      <c r="O4181" s="2"/>
      <c r="P4181" s="2" t="s">
        <v>92</v>
      </c>
    </row>
    <row r="4182">
      <c r="A4182" s="3" t="s">
        <v>100</v>
      </c>
      <c r="B4182" s="2" t="s">
        <v>17</v>
      </c>
      <c r="C4182" s="2" t="s">
        <v>18</v>
      </c>
      <c r="D4182" s="2" t="s">
        <v>127</v>
      </c>
      <c r="E4182" s="2" t="s">
        <v>31</v>
      </c>
      <c r="F4182" s="2">
        <v>111.0</v>
      </c>
      <c r="G4182" s="2">
        <v>128.0</v>
      </c>
      <c r="H4182" s="2">
        <v>86.0</v>
      </c>
      <c r="I4182" s="2">
        <v>42.0</v>
      </c>
      <c r="J4182" s="2">
        <v>0.0</v>
      </c>
      <c r="K4182" s="2">
        <v>0.0</v>
      </c>
      <c r="L4182" s="2">
        <v>0.0</v>
      </c>
      <c r="M4182" s="2">
        <v>25.0</v>
      </c>
      <c r="N4182" s="2"/>
      <c r="O4182" s="2"/>
      <c r="P4182" s="2" t="s">
        <v>92</v>
      </c>
    </row>
    <row r="4183">
      <c r="A4183" s="3" t="s">
        <v>101</v>
      </c>
      <c r="B4183" s="2" t="s">
        <v>17</v>
      </c>
      <c r="C4183" s="2" t="s">
        <v>18</v>
      </c>
      <c r="D4183" s="2" t="s">
        <v>127</v>
      </c>
      <c r="E4183" s="2" t="s">
        <v>50</v>
      </c>
      <c r="F4183" s="2">
        <v>10.0</v>
      </c>
      <c r="G4183" s="2">
        <v>19.0</v>
      </c>
      <c r="H4183" s="2">
        <v>5.0</v>
      </c>
      <c r="I4183" s="2">
        <v>14.0</v>
      </c>
      <c r="J4183" s="2">
        <v>0.0</v>
      </c>
      <c r="K4183" s="2">
        <v>0.0</v>
      </c>
      <c r="L4183" s="2">
        <v>0.0</v>
      </c>
      <c r="M4183" s="2">
        <v>5.0</v>
      </c>
      <c r="N4183" s="2"/>
      <c r="O4183" s="2"/>
      <c r="P4183" s="2" t="s">
        <v>92</v>
      </c>
    </row>
    <row r="4184">
      <c r="A4184" s="3" t="s">
        <v>102</v>
      </c>
      <c r="B4184" s="2" t="s">
        <v>17</v>
      </c>
      <c r="C4184" s="2" t="s">
        <v>18</v>
      </c>
      <c r="D4184" s="2" t="s">
        <v>19</v>
      </c>
      <c r="E4184" s="2" t="s">
        <v>31</v>
      </c>
      <c r="F4184" s="2">
        <v>40.0</v>
      </c>
      <c r="G4184" s="2">
        <v>2.0</v>
      </c>
      <c r="H4184" s="2">
        <v>1.0</v>
      </c>
      <c r="I4184" s="2">
        <v>1.0</v>
      </c>
      <c r="J4184" s="2">
        <v>0.0</v>
      </c>
      <c r="K4184" s="2">
        <v>0.0</v>
      </c>
      <c r="L4184" s="2">
        <v>0.0</v>
      </c>
      <c r="M4184" s="2">
        <v>39.0</v>
      </c>
      <c r="N4184" s="2"/>
      <c r="O4184" s="2"/>
      <c r="P4184" s="2" t="s">
        <v>92</v>
      </c>
    </row>
    <row r="4185">
      <c r="A4185" s="3" t="s">
        <v>103</v>
      </c>
      <c r="B4185" s="2" t="s">
        <v>17</v>
      </c>
      <c r="C4185" s="2" t="s">
        <v>18</v>
      </c>
      <c r="D4185" s="2" t="s">
        <v>19</v>
      </c>
      <c r="E4185" s="2" t="s">
        <v>50</v>
      </c>
      <c r="F4185" s="2">
        <v>13.0</v>
      </c>
      <c r="G4185" s="2">
        <v>11.0</v>
      </c>
      <c r="H4185" s="2">
        <v>4.0</v>
      </c>
      <c r="I4185" s="2">
        <v>7.0</v>
      </c>
      <c r="J4185" s="2">
        <v>0.0</v>
      </c>
      <c r="K4185" s="2">
        <v>0.0</v>
      </c>
      <c r="L4185" s="2">
        <v>0.0</v>
      </c>
      <c r="M4185" s="2">
        <v>9.0</v>
      </c>
      <c r="N4185" s="2"/>
      <c r="O4185" s="2"/>
      <c r="P4185" s="2" t="s">
        <v>92</v>
      </c>
    </row>
    <row r="4186">
      <c r="A4186" s="3" t="s">
        <v>104</v>
      </c>
      <c r="B4186" s="2" t="s">
        <v>17</v>
      </c>
      <c r="C4186" s="2" t="s">
        <v>18</v>
      </c>
      <c r="D4186" s="2" t="s">
        <v>23</v>
      </c>
      <c r="E4186" s="2" t="s">
        <v>31</v>
      </c>
      <c r="F4186" s="2">
        <v>112.0</v>
      </c>
      <c r="G4186" s="2">
        <v>130.0</v>
      </c>
      <c r="H4186" s="2">
        <v>87.0</v>
      </c>
      <c r="I4186" s="2">
        <v>43.0</v>
      </c>
      <c r="J4186" s="2">
        <v>0.0</v>
      </c>
      <c r="K4186" s="2">
        <v>0.0</v>
      </c>
      <c r="L4186" s="2">
        <v>0.0</v>
      </c>
      <c r="M4186" s="2">
        <v>25.0</v>
      </c>
      <c r="N4186" s="2">
        <v>-39.0</v>
      </c>
      <c r="O4186" s="2">
        <v>-62.0</v>
      </c>
      <c r="P4186" s="2" t="s">
        <v>92</v>
      </c>
    </row>
    <row r="4187">
      <c r="A4187" s="3" t="s">
        <v>105</v>
      </c>
      <c r="B4187" s="2" t="s">
        <v>17</v>
      </c>
      <c r="C4187" s="2" t="s">
        <v>18</v>
      </c>
      <c r="D4187" s="2" t="s">
        <v>23</v>
      </c>
      <c r="E4187" s="2" t="s">
        <v>50</v>
      </c>
      <c r="F4187" s="2">
        <v>18.0</v>
      </c>
      <c r="G4187" s="2">
        <v>30.0</v>
      </c>
      <c r="H4187" s="2">
        <v>9.0</v>
      </c>
      <c r="I4187" s="2">
        <v>21.0</v>
      </c>
      <c r="J4187" s="2">
        <v>0.0</v>
      </c>
      <c r="K4187" s="2">
        <v>0.0</v>
      </c>
      <c r="L4187" s="2">
        <v>0.0</v>
      </c>
      <c r="M4187" s="2">
        <v>9.0</v>
      </c>
      <c r="N4187" s="2">
        <v>-5.0</v>
      </c>
      <c r="O4187" s="2">
        <v>0.0</v>
      </c>
      <c r="P4187" s="2" t="s">
        <v>92</v>
      </c>
    </row>
    <row r="4188">
      <c r="A4188" s="3" t="s">
        <v>106</v>
      </c>
      <c r="B4188" s="4">
        <v>45201.29166666667</v>
      </c>
      <c r="C4188" s="2" t="s">
        <v>18</v>
      </c>
      <c r="D4188" s="2" t="s">
        <v>19</v>
      </c>
      <c r="E4188" s="2" t="s">
        <v>31</v>
      </c>
      <c r="F4188" s="2"/>
      <c r="G4188" s="2">
        <v>1.0</v>
      </c>
      <c r="H4188" s="2">
        <v>0.0</v>
      </c>
      <c r="I4188" s="2">
        <v>1.0</v>
      </c>
      <c r="J4188" s="2">
        <v>0.0</v>
      </c>
      <c r="K4188" s="2">
        <v>0.0</v>
      </c>
      <c r="L4188" s="2">
        <v>0.0</v>
      </c>
      <c r="M4188" s="2"/>
      <c r="N4188" s="2"/>
      <c r="O4188" s="2"/>
      <c r="P4188" s="2" t="s">
        <v>92</v>
      </c>
    </row>
    <row r="4189">
      <c r="A4189" s="3" t="s">
        <v>107</v>
      </c>
      <c r="B4189" s="4">
        <v>45202.29166666667</v>
      </c>
      <c r="C4189" s="2" t="s">
        <v>18</v>
      </c>
      <c r="D4189" s="2" t="s">
        <v>19</v>
      </c>
      <c r="E4189" s="2" t="s">
        <v>50</v>
      </c>
      <c r="F4189" s="2"/>
      <c r="G4189" s="2">
        <v>0.0</v>
      </c>
      <c r="H4189" s="2">
        <v>0.0</v>
      </c>
      <c r="I4189" s="2">
        <v>0.0</v>
      </c>
      <c r="J4189" s="2">
        <v>0.0</v>
      </c>
      <c r="K4189" s="2">
        <v>0.0</v>
      </c>
      <c r="L4189" s="2">
        <v>0.0</v>
      </c>
      <c r="M4189" s="2"/>
      <c r="N4189" s="2"/>
      <c r="O4189" s="2"/>
      <c r="P4189" s="2" t="s">
        <v>92</v>
      </c>
    </row>
    <row r="4190">
      <c r="A4190" s="3" t="s">
        <v>108</v>
      </c>
      <c r="B4190" s="4">
        <v>45232.25</v>
      </c>
      <c r="C4190" s="2" t="s">
        <v>18</v>
      </c>
      <c r="D4190" s="2" t="s">
        <v>127</v>
      </c>
      <c r="E4190" s="2" t="s">
        <v>31</v>
      </c>
      <c r="F4190" s="2"/>
      <c r="G4190" s="2">
        <v>128.0</v>
      </c>
      <c r="H4190" s="2">
        <v>86.0</v>
      </c>
      <c r="I4190" s="2">
        <v>42.0</v>
      </c>
      <c r="J4190" s="2">
        <v>0.0</v>
      </c>
      <c r="K4190" s="2">
        <v>0.0</v>
      </c>
      <c r="L4190" s="2">
        <v>0.0</v>
      </c>
      <c r="M4190" s="2"/>
      <c r="N4190" s="2"/>
      <c r="O4190" s="2"/>
      <c r="P4190" s="2" t="s">
        <v>92</v>
      </c>
    </row>
    <row r="4191">
      <c r="A4191" s="3" t="s">
        <v>112</v>
      </c>
      <c r="B4191" s="4">
        <v>45233.25</v>
      </c>
      <c r="C4191" s="2" t="s">
        <v>18</v>
      </c>
      <c r="D4191" s="2" t="s">
        <v>127</v>
      </c>
      <c r="E4191" s="2" t="s">
        <v>50</v>
      </c>
      <c r="F4191" s="2"/>
      <c r="G4191" s="2">
        <v>19.0</v>
      </c>
      <c r="H4191" s="2">
        <v>5.0</v>
      </c>
      <c r="I4191" s="2">
        <v>14.0</v>
      </c>
      <c r="J4191" s="2">
        <v>0.0</v>
      </c>
      <c r="K4191" s="2">
        <v>0.0</v>
      </c>
      <c r="L4191" s="2">
        <v>0.0</v>
      </c>
      <c r="M4191" s="2"/>
      <c r="N4191" s="2"/>
      <c r="O4191" s="2"/>
      <c r="P4191" s="2" t="s">
        <v>92</v>
      </c>
    </row>
    <row r="4192">
      <c r="A4192" s="3" t="s">
        <v>115</v>
      </c>
      <c r="B4192" s="4">
        <v>45234.25</v>
      </c>
      <c r="C4192" s="2" t="s">
        <v>18</v>
      </c>
      <c r="D4192" s="2" t="s">
        <v>19</v>
      </c>
      <c r="E4192" s="2" t="s">
        <v>31</v>
      </c>
      <c r="F4192" s="2"/>
      <c r="G4192" s="2">
        <v>1.0</v>
      </c>
      <c r="H4192" s="2">
        <v>1.0</v>
      </c>
      <c r="I4192" s="2">
        <v>0.0</v>
      </c>
      <c r="J4192" s="2">
        <v>0.0</v>
      </c>
      <c r="K4192" s="2">
        <v>0.0</v>
      </c>
      <c r="L4192" s="2">
        <v>0.0</v>
      </c>
      <c r="M4192" s="2"/>
      <c r="N4192" s="2"/>
      <c r="O4192" s="2"/>
      <c r="P4192" s="2" t="s">
        <v>92</v>
      </c>
    </row>
    <row r="4193">
      <c r="A4193" s="3" t="s">
        <v>117</v>
      </c>
      <c r="B4193" s="4">
        <v>45235.25</v>
      </c>
      <c r="C4193" s="2" t="s">
        <v>18</v>
      </c>
      <c r="D4193" s="2" t="s">
        <v>19</v>
      </c>
      <c r="E4193" s="2" t="s">
        <v>50</v>
      </c>
      <c r="F4193" s="2"/>
      <c r="G4193" s="2">
        <v>11.0</v>
      </c>
      <c r="H4193" s="2">
        <v>4.0</v>
      </c>
      <c r="I4193" s="2">
        <v>7.0</v>
      </c>
      <c r="J4193" s="2">
        <v>0.0</v>
      </c>
      <c r="K4193" s="2">
        <v>0.0</v>
      </c>
      <c r="L4193" s="2">
        <v>0.0</v>
      </c>
      <c r="M4193" s="2"/>
      <c r="N4193" s="2"/>
      <c r="O4193" s="2"/>
      <c r="P4193" s="2" t="s">
        <v>92</v>
      </c>
    </row>
    <row r="4194">
      <c r="A4194" s="3" t="s">
        <v>119</v>
      </c>
      <c r="B4194" s="2" t="s">
        <v>17</v>
      </c>
      <c r="C4194" s="2" t="s">
        <v>18</v>
      </c>
      <c r="D4194" s="2" t="s">
        <v>19</v>
      </c>
      <c r="E4194" s="2" t="s">
        <v>170</v>
      </c>
      <c r="F4194" s="2">
        <v>2.0</v>
      </c>
      <c r="G4194" s="2">
        <v>2.0</v>
      </c>
      <c r="H4194" s="2">
        <v>0.0</v>
      </c>
      <c r="I4194" s="2">
        <v>1.0</v>
      </c>
      <c r="J4194" s="2">
        <v>0.0</v>
      </c>
      <c r="K4194" s="2">
        <v>1.0</v>
      </c>
      <c r="L4194" s="2">
        <v>0.0</v>
      </c>
      <c r="M4194" s="2">
        <v>2.0</v>
      </c>
      <c r="N4194" s="2"/>
      <c r="O4194" s="2"/>
      <c r="P4194" s="2" t="s">
        <v>21</v>
      </c>
    </row>
    <row r="4195">
      <c r="A4195" s="3" t="s">
        <v>121</v>
      </c>
      <c r="B4195" s="2" t="s">
        <v>17</v>
      </c>
      <c r="C4195" s="2" t="s">
        <v>18</v>
      </c>
      <c r="D4195" s="2" t="s">
        <v>23</v>
      </c>
      <c r="E4195" s="2" t="s">
        <v>170</v>
      </c>
      <c r="F4195" s="2">
        <v>2.0</v>
      </c>
      <c r="G4195" s="2">
        <v>2.0</v>
      </c>
      <c r="H4195" s="2">
        <v>0.0</v>
      </c>
      <c r="I4195" s="2">
        <v>1.0</v>
      </c>
      <c r="J4195" s="2">
        <v>0.0</v>
      </c>
      <c r="K4195" s="2">
        <v>1.0</v>
      </c>
      <c r="L4195" s="2">
        <v>0.0</v>
      </c>
      <c r="M4195" s="2">
        <v>2.0</v>
      </c>
      <c r="N4195" s="2">
        <v>0.0</v>
      </c>
      <c r="O4195" s="2">
        <v>2.0</v>
      </c>
      <c r="P4195" s="2" t="s">
        <v>21</v>
      </c>
    </row>
    <row r="4196">
      <c r="A4196" s="3" t="s">
        <v>16</v>
      </c>
      <c r="B4196" s="4">
        <v>45262.29166666667</v>
      </c>
      <c r="C4196" s="2" t="s">
        <v>18</v>
      </c>
      <c r="D4196" s="2" t="s">
        <v>19</v>
      </c>
      <c r="E4196" s="2" t="s">
        <v>170</v>
      </c>
      <c r="F4196" s="2"/>
      <c r="G4196" s="2">
        <v>2.0</v>
      </c>
      <c r="H4196" s="2">
        <v>0.0</v>
      </c>
      <c r="I4196" s="2">
        <v>1.0</v>
      </c>
      <c r="J4196" s="2">
        <v>0.0</v>
      </c>
      <c r="K4196" s="2">
        <v>1.0</v>
      </c>
      <c r="L4196" s="2">
        <v>0.0</v>
      </c>
      <c r="M4196" s="2"/>
      <c r="N4196" s="2"/>
      <c r="O4196" s="2"/>
      <c r="P4196" s="2" t="s">
        <v>21</v>
      </c>
    </row>
    <row r="4197">
      <c r="A4197" s="3" t="s">
        <v>124</v>
      </c>
      <c r="B4197" s="4">
        <v>45293.29166666667</v>
      </c>
      <c r="C4197" s="2" t="s">
        <v>18</v>
      </c>
      <c r="D4197" s="2" t="s">
        <v>19</v>
      </c>
      <c r="E4197" s="2" t="s">
        <v>170</v>
      </c>
      <c r="F4197" s="2"/>
      <c r="G4197" s="2">
        <v>0.0</v>
      </c>
      <c r="H4197" s="2">
        <v>0.0</v>
      </c>
      <c r="I4197" s="2">
        <v>0.0</v>
      </c>
      <c r="J4197" s="2">
        <v>0.0</v>
      </c>
      <c r="K4197" s="2">
        <v>0.0</v>
      </c>
      <c r="L4197" s="2">
        <v>0.0</v>
      </c>
      <c r="M4197" s="2"/>
      <c r="N4197" s="2"/>
      <c r="O4197" s="2"/>
      <c r="P4197" s="2" t="s">
        <v>21</v>
      </c>
    </row>
    <row r="4198">
      <c r="A4198" s="3" t="s">
        <v>126</v>
      </c>
      <c r="B4198" s="2" t="s">
        <v>17</v>
      </c>
      <c r="C4198" s="2" t="s">
        <v>18</v>
      </c>
      <c r="D4198" s="2" t="s">
        <v>157</v>
      </c>
      <c r="E4198" s="2" t="s">
        <v>163</v>
      </c>
      <c r="F4198" s="2">
        <v>50.0</v>
      </c>
      <c r="G4198" s="2">
        <v>54.0</v>
      </c>
      <c r="H4198" s="2">
        <v>32.0</v>
      </c>
      <c r="I4198" s="2">
        <v>22.0</v>
      </c>
      <c r="J4198" s="2">
        <v>0.0</v>
      </c>
      <c r="K4198" s="2">
        <v>0.0</v>
      </c>
      <c r="L4198" s="2">
        <v>0.0</v>
      </c>
      <c r="M4198" s="2">
        <v>18.0</v>
      </c>
      <c r="N4198" s="2"/>
      <c r="O4198" s="2"/>
      <c r="P4198" s="2" t="s">
        <v>92</v>
      </c>
    </row>
    <row r="4199">
      <c r="A4199" s="3" t="s">
        <v>128</v>
      </c>
      <c r="B4199" s="2" t="s">
        <v>17</v>
      </c>
      <c r="C4199" s="2" t="s">
        <v>18</v>
      </c>
      <c r="D4199" s="2" t="s">
        <v>23</v>
      </c>
      <c r="E4199" s="2" t="s">
        <v>163</v>
      </c>
      <c r="F4199" s="2">
        <v>50.0</v>
      </c>
      <c r="G4199" s="2">
        <v>54.0</v>
      </c>
      <c r="H4199" s="2">
        <v>32.0</v>
      </c>
      <c r="I4199" s="2">
        <v>22.0</v>
      </c>
      <c r="J4199" s="2">
        <v>0.0</v>
      </c>
      <c r="K4199" s="2">
        <v>0.0</v>
      </c>
      <c r="L4199" s="2">
        <v>0.0</v>
      </c>
      <c r="M4199" s="2">
        <v>18.0</v>
      </c>
      <c r="N4199" s="2">
        <v>0.0</v>
      </c>
      <c r="O4199" s="2">
        <v>-14.0</v>
      </c>
      <c r="P4199" s="2" t="s">
        <v>92</v>
      </c>
    </row>
    <row r="4200">
      <c r="A4200" s="3" t="s">
        <v>129</v>
      </c>
      <c r="B4200" s="4">
        <v>45232.25</v>
      </c>
      <c r="C4200" s="2" t="s">
        <v>18</v>
      </c>
      <c r="D4200" s="2" t="s">
        <v>157</v>
      </c>
      <c r="E4200" s="2" t="s">
        <v>163</v>
      </c>
      <c r="F4200" s="2"/>
      <c r="G4200" s="2">
        <v>54.0</v>
      </c>
      <c r="H4200" s="2">
        <v>32.0</v>
      </c>
      <c r="I4200" s="2">
        <v>22.0</v>
      </c>
      <c r="J4200" s="2">
        <v>0.0</v>
      </c>
      <c r="K4200" s="2">
        <v>0.0</v>
      </c>
      <c r="L4200" s="2">
        <v>0.0</v>
      </c>
      <c r="M4200" s="2"/>
      <c r="N4200" s="2"/>
      <c r="O4200" s="2"/>
      <c r="P4200" s="2" t="s">
        <v>92</v>
      </c>
    </row>
    <row r="4201">
      <c r="A4201" s="3" t="s">
        <v>130</v>
      </c>
      <c r="B4201" s="2" t="s">
        <v>17</v>
      </c>
      <c r="C4201" s="2" t="s">
        <v>18</v>
      </c>
      <c r="D4201" s="2" t="s">
        <v>91</v>
      </c>
      <c r="E4201" s="2" t="s">
        <v>198</v>
      </c>
      <c r="F4201" s="2">
        <v>130.0</v>
      </c>
      <c r="G4201" s="2">
        <v>96.0</v>
      </c>
      <c r="H4201" s="2">
        <v>66.0</v>
      </c>
      <c r="I4201" s="2">
        <v>30.0</v>
      </c>
      <c r="J4201" s="2">
        <v>0.0</v>
      </c>
      <c r="K4201" s="2">
        <v>0.0</v>
      </c>
      <c r="L4201" s="2">
        <v>0.0</v>
      </c>
      <c r="M4201" s="2">
        <v>64.0</v>
      </c>
      <c r="N4201" s="2"/>
      <c r="O4201" s="2"/>
      <c r="P4201" s="2" t="s">
        <v>92</v>
      </c>
    </row>
    <row r="4202">
      <c r="A4202" s="3" t="s">
        <v>131</v>
      </c>
      <c r="B4202" s="2" t="s">
        <v>17</v>
      </c>
      <c r="C4202" s="2" t="s">
        <v>18</v>
      </c>
      <c r="D4202" s="2" t="s">
        <v>23</v>
      </c>
      <c r="E4202" s="2" t="s">
        <v>198</v>
      </c>
      <c r="F4202" s="2">
        <v>130.0</v>
      </c>
      <c r="G4202" s="2">
        <v>96.0</v>
      </c>
      <c r="H4202" s="2">
        <v>66.0</v>
      </c>
      <c r="I4202" s="2">
        <v>30.0</v>
      </c>
      <c r="J4202" s="2">
        <v>0.0</v>
      </c>
      <c r="K4202" s="2">
        <v>0.0</v>
      </c>
      <c r="L4202" s="2">
        <v>0.0</v>
      </c>
      <c r="M4202" s="2">
        <v>64.0</v>
      </c>
      <c r="N4202" s="2">
        <v>0.0</v>
      </c>
      <c r="O4202" s="2">
        <v>-2.0</v>
      </c>
      <c r="P4202" s="2" t="s">
        <v>92</v>
      </c>
    </row>
    <row r="4203">
      <c r="A4203" s="3" t="s">
        <v>132</v>
      </c>
      <c r="B4203" s="4">
        <v>45201.29166666667</v>
      </c>
      <c r="C4203" s="2" t="s">
        <v>18</v>
      </c>
      <c r="D4203" s="2" t="s">
        <v>91</v>
      </c>
      <c r="E4203" s="2" t="s">
        <v>198</v>
      </c>
      <c r="F4203" s="2"/>
      <c r="G4203" s="2">
        <v>96.0</v>
      </c>
      <c r="H4203" s="2">
        <v>66.0</v>
      </c>
      <c r="I4203" s="2">
        <v>30.0</v>
      </c>
      <c r="J4203" s="2">
        <v>0.0</v>
      </c>
      <c r="K4203" s="2">
        <v>0.0</v>
      </c>
      <c r="L4203" s="2">
        <v>0.0</v>
      </c>
      <c r="M4203" s="2"/>
      <c r="N4203" s="2"/>
      <c r="O4203" s="2"/>
      <c r="P4203" s="2" t="s">
        <v>92</v>
      </c>
    </row>
    <row r="4204">
      <c r="A4204" s="3" t="s">
        <v>133</v>
      </c>
      <c r="B4204" s="2" t="s">
        <v>17</v>
      </c>
      <c r="C4204" s="2" t="s">
        <v>18</v>
      </c>
      <c r="D4204" s="2" t="s">
        <v>164</v>
      </c>
      <c r="E4204" s="2" t="s">
        <v>165</v>
      </c>
      <c r="F4204" s="2">
        <v>56.0</v>
      </c>
      <c r="G4204" s="2">
        <v>119.0</v>
      </c>
      <c r="H4204" s="2">
        <v>56.0</v>
      </c>
      <c r="I4204" s="2">
        <v>63.0</v>
      </c>
      <c r="J4204" s="2">
        <v>0.0</v>
      </c>
      <c r="K4204" s="2">
        <v>0.0</v>
      </c>
      <c r="L4204" s="2">
        <v>0.0</v>
      </c>
      <c r="M4204" s="2">
        <v>0.0</v>
      </c>
      <c r="N4204" s="2"/>
      <c r="O4204" s="2"/>
      <c r="P4204" s="2" t="s">
        <v>166</v>
      </c>
    </row>
    <row r="4205">
      <c r="A4205" s="3" t="s">
        <v>134</v>
      </c>
      <c r="B4205" s="2" t="s">
        <v>17</v>
      </c>
      <c r="C4205" s="2" t="s">
        <v>18</v>
      </c>
      <c r="D4205" s="2" t="s">
        <v>23</v>
      </c>
      <c r="E4205" s="2" t="s">
        <v>165</v>
      </c>
      <c r="F4205" s="2">
        <v>56.0</v>
      </c>
      <c r="G4205" s="2">
        <v>119.0</v>
      </c>
      <c r="H4205" s="2">
        <v>56.0</v>
      </c>
      <c r="I4205" s="2">
        <v>63.0</v>
      </c>
      <c r="J4205" s="2">
        <v>0.0</v>
      </c>
      <c r="K4205" s="2">
        <v>0.0</v>
      </c>
      <c r="L4205" s="2">
        <v>0.0</v>
      </c>
      <c r="M4205" s="2">
        <v>0.0</v>
      </c>
      <c r="N4205" s="2">
        <v>0.0</v>
      </c>
      <c r="O4205" s="2">
        <v>-56.0</v>
      </c>
      <c r="P4205" s="2" t="s">
        <v>166</v>
      </c>
    </row>
    <row r="4206">
      <c r="A4206" s="3" t="s">
        <v>136</v>
      </c>
      <c r="B4206" s="4">
        <v>45201.29166666667</v>
      </c>
      <c r="C4206" s="2" t="s">
        <v>18</v>
      </c>
      <c r="D4206" s="2" t="s">
        <v>164</v>
      </c>
      <c r="E4206" s="2" t="s">
        <v>165</v>
      </c>
      <c r="F4206" s="2"/>
      <c r="G4206" s="2">
        <v>75.0</v>
      </c>
      <c r="H4206" s="2">
        <v>32.0</v>
      </c>
      <c r="I4206" s="2">
        <v>43.0</v>
      </c>
      <c r="J4206" s="2">
        <v>0.0</v>
      </c>
      <c r="K4206" s="2">
        <v>0.0</v>
      </c>
      <c r="L4206" s="2">
        <v>0.0</v>
      </c>
      <c r="M4206" s="2"/>
      <c r="N4206" s="2"/>
      <c r="O4206" s="2"/>
      <c r="P4206" s="2" t="s">
        <v>166</v>
      </c>
    </row>
    <row r="4207">
      <c r="A4207" s="3" t="s">
        <v>137</v>
      </c>
      <c r="B4207" s="4">
        <v>45231.25</v>
      </c>
      <c r="C4207" s="2" t="s">
        <v>18</v>
      </c>
      <c r="D4207" s="2" t="s">
        <v>164</v>
      </c>
      <c r="E4207" s="2" t="s">
        <v>165</v>
      </c>
      <c r="F4207" s="2"/>
      <c r="G4207" s="2">
        <v>44.0</v>
      </c>
      <c r="H4207" s="2">
        <v>24.0</v>
      </c>
      <c r="I4207" s="2">
        <v>20.0</v>
      </c>
      <c r="J4207" s="2">
        <v>0.0</v>
      </c>
      <c r="K4207" s="2">
        <v>0.0</v>
      </c>
      <c r="L4207" s="2">
        <v>0.0</v>
      </c>
      <c r="M4207" s="2"/>
      <c r="N4207" s="2"/>
      <c r="O4207" s="2"/>
      <c r="P4207" s="2" t="s">
        <v>166</v>
      </c>
    </row>
    <row r="4208">
      <c r="A4208" s="3" t="s">
        <v>138</v>
      </c>
      <c r="B4208" s="2" t="s">
        <v>17</v>
      </c>
      <c r="C4208" s="2" t="s">
        <v>18</v>
      </c>
      <c r="D4208" s="2" t="s">
        <v>157</v>
      </c>
      <c r="E4208" s="2" t="s">
        <v>27</v>
      </c>
      <c r="F4208" s="2">
        <v>10.0</v>
      </c>
      <c r="G4208" s="2">
        <v>9.0</v>
      </c>
      <c r="H4208" s="2">
        <v>5.0</v>
      </c>
      <c r="I4208" s="2">
        <v>4.0</v>
      </c>
      <c r="J4208" s="2">
        <v>0.0</v>
      </c>
      <c r="K4208" s="2">
        <v>0.0</v>
      </c>
      <c r="L4208" s="2">
        <v>0.0</v>
      </c>
      <c r="M4208" s="2">
        <v>5.0</v>
      </c>
      <c r="N4208" s="2"/>
      <c r="O4208" s="2"/>
      <c r="P4208" s="2" t="s">
        <v>184</v>
      </c>
    </row>
    <row r="4209">
      <c r="A4209" s="3" t="s">
        <v>139</v>
      </c>
      <c r="B4209" s="2" t="s">
        <v>17</v>
      </c>
      <c r="C4209" s="2" t="s">
        <v>18</v>
      </c>
      <c r="D4209" s="2" t="s">
        <v>69</v>
      </c>
      <c r="E4209" s="2" t="s">
        <v>27</v>
      </c>
      <c r="F4209" s="2">
        <v>50.0</v>
      </c>
      <c r="G4209" s="2">
        <v>3.0</v>
      </c>
      <c r="H4209" s="2">
        <v>1.0</v>
      </c>
      <c r="I4209" s="2">
        <v>2.0</v>
      </c>
      <c r="J4209" s="2">
        <v>0.0</v>
      </c>
      <c r="K4209" s="2">
        <v>0.0</v>
      </c>
      <c r="L4209" s="2">
        <v>0.0</v>
      </c>
      <c r="M4209" s="2">
        <v>49.0</v>
      </c>
      <c r="N4209" s="2"/>
      <c r="O4209" s="2"/>
      <c r="P4209" s="2" t="s">
        <v>184</v>
      </c>
    </row>
    <row r="4210">
      <c r="A4210" s="3" t="s">
        <v>140</v>
      </c>
      <c r="B4210" s="2" t="s">
        <v>17</v>
      </c>
      <c r="C4210" s="2" t="s">
        <v>18</v>
      </c>
      <c r="D4210" s="2" t="s">
        <v>19</v>
      </c>
      <c r="E4210" s="2" t="s">
        <v>27</v>
      </c>
      <c r="F4210" s="2">
        <v>50.0</v>
      </c>
      <c r="G4210" s="2">
        <v>71.0</v>
      </c>
      <c r="H4210" s="2">
        <v>51.0</v>
      </c>
      <c r="I4210" s="2">
        <v>20.0</v>
      </c>
      <c r="J4210" s="2">
        <v>0.0</v>
      </c>
      <c r="K4210" s="2">
        <v>0.0</v>
      </c>
      <c r="L4210" s="2">
        <v>0.0</v>
      </c>
      <c r="M4210" s="2">
        <v>-1.0</v>
      </c>
      <c r="N4210" s="2"/>
      <c r="O4210" s="2"/>
      <c r="P4210" s="2" t="s">
        <v>184</v>
      </c>
    </row>
    <row r="4211">
      <c r="A4211" s="3" t="s">
        <v>141</v>
      </c>
      <c r="B4211" s="2" t="s">
        <v>17</v>
      </c>
      <c r="C4211" s="2" t="s">
        <v>18</v>
      </c>
      <c r="D4211" s="2" t="s">
        <v>23</v>
      </c>
      <c r="E4211" s="2" t="s">
        <v>27</v>
      </c>
      <c r="F4211" s="2">
        <v>50.0</v>
      </c>
      <c r="G4211" s="2">
        <v>83.0</v>
      </c>
      <c r="H4211" s="2">
        <v>57.0</v>
      </c>
      <c r="I4211" s="2">
        <v>26.0</v>
      </c>
      <c r="J4211" s="2">
        <v>0.0</v>
      </c>
      <c r="K4211" s="2">
        <v>0.0</v>
      </c>
      <c r="L4211" s="2">
        <v>0.0</v>
      </c>
      <c r="M4211" s="2">
        <v>-7.0</v>
      </c>
      <c r="N4211" s="2">
        <v>-60.0</v>
      </c>
      <c r="O4211" s="2">
        <v>-64.0</v>
      </c>
      <c r="P4211" s="2" t="s">
        <v>184</v>
      </c>
    </row>
    <row r="4212">
      <c r="A4212" s="3" t="s">
        <v>142</v>
      </c>
      <c r="B4212" s="4">
        <v>45201.29166666667</v>
      </c>
      <c r="C4212" s="2" t="s">
        <v>18</v>
      </c>
      <c r="D4212" s="2" t="s">
        <v>19</v>
      </c>
      <c r="E4212" s="2" t="s">
        <v>27</v>
      </c>
      <c r="F4212" s="2"/>
      <c r="G4212" s="2">
        <v>71.0</v>
      </c>
      <c r="H4212" s="2">
        <v>51.0</v>
      </c>
      <c r="I4212" s="2">
        <v>20.0</v>
      </c>
      <c r="J4212" s="2">
        <v>0.0</v>
      </c>
      <c r="K4212" s="2">
        <v>0.0</v>
      </c>
      <c r="L4212" s="2">
        <v>0.0</v>
      </c>
      <c r="M4212" s="2"/>
      <c r="N4212" s="2"/>
      <c r="O4212" s="2"/>
      <c r="P4212" s="2" t="s">
        <v>184</v>
      </c>
    </row>
    <row r="4213">
      <c r="A4213" s="3" t="s">
        <v>143</v>
      </c>
      <c r="B4213" s="4">
        <v>45202.29166666667</v>
      </c>
      <c r="C4213" s="2" t="s">
        <v>18</v>
      </c>
      <c r="D4213" s="2" t="s">
        <v>69</v>
      </c>
      <c r="E4213" s="2" t="s">
        <v>27</v>
      </c>
      <c r="F4213" s="2"/>
      <c r="G4213" s="2">
        <v>3.0</v>
      </c>
      <c r="H4213" s="2">
        <v>1.0</v>
      </c>
      <c r="I4213" s="2">
        <v>2.0</v>
      </c>
      <c r="J4213" s="2">
        <v>0.0</v>
      </c>
      <c r="K4213" s="2">
        <v>0.0</v>
      </c>
      <c r="L4213" s="2">
        <v>0.0</v>
      </c>
      <c r="M4213" s="2"/>
      <c r="N4213" s="2"/>
      <c r="O4213" s="2"/>
      <c r="P4213" s="2" t="s">
        <v>184</v>
      </c>
    </row>
    <row r="4214">
      <c r="A4214" s="3" t="s">
        <v>144</v>
      </c>
      <c r="B4214" s="4">
        <v>45203.29166666667</v>
      </c>
      <c r="C4214" s="2" t="s">
        <v>18</v>
      </c>
      <c r="D4214" s="2" t="s">
        <v>157</v>
      </c>
      <c r="E4214" s="2" t="s">
        <v>27</v>
      </c>
      <c r="F4214" s="2"/>
      <c r="G4214" s="2">
        <v>9.0</v>
      </c>
      <c r="H4214" s="2">
        <v>5.0</v>
      </c>
      <c r="I4214" s="2">
        <v>4.0</v>
      </c>
      <c r="J4214" s="2">
        <v>0.0</v>
      </c>
      <c r="K4214" s="2">
        <v>0.0</v>
      </c>
      <c r="L4214" s="2">
        <v>0.0</v>
      </c>
      <c r="M4214" s="2"/>
      <c r="N4214" s="2"/>
      <c r="O4214" s="2"/>
      <c r="P4214" s="2" t="s">
        <v>184</v>
      </c>
    </row>
    <row r="4215">
      <c r="A4215" s="3" t="s">
        <v>145</v>
      </c>
      <c r="B4215" s="2" t="s">
        <v>17</v>
      </c>
      <c r="C4215" s="2" t="s">
        <v>18</v>
      </c>
      <c r="D4215" s="2" t="s">
        <v>164</v>
      </c>
      <c r="E4215" s="2" t="s">
        <v>165</v>
      </c>
      <c r="F4215" s="2">
        <v>91.0</v>
      </c>
      <c r="G4215" s="2">
        <v>259.0</v>
      </c>
      <c r="H4215" s="2">
        <v>74.0</v>
      </c>
      <c r="I4215" s="2">
        <v>185.0</v>
      </c>
      <c r="J4215" s="2">
        <v>0.0</v>
      </c>
      <c r="K4215" s="2">
        <v>0.0</v>
      </c>
      <c r="L4215" s="2">
        <v>0.0</v>
      </c>
      <c r="M4215" s="2">
        <v>17.0</v>
      </c>
      <c r="N4215" s="2"/>
      <c r="O4215" s="2"/>
      <c r="P4215" s="2" t="s">
        <v>166</v>
      </c>
    </row>
    <row r="4216">
      <c r="A4216" s="3" t="s">
        <v>16</v>
      </c>
      <c r="B4216" s="2" t="s">
        <v>17</v>
      </c>
      <c r="C4216" s="2" t="s">
        <v>18</v>
      </c>
      <c r="D4216" s="2" t="s">
        <v>23</v>
      </c>
      <c r="E4216" s="2" t="s">
        <v>165</v>
      </c>
      <c r="F4216" s="2">
        <v>91.0</v>
      </c>
      <c r="G4216" s="2">
        <v>259.0</v>
      </c>
      <c r="H4216" s="2">
        <v>74.0</v>
      </c>
      <c r="I4216" s="2">
        <v>185.0</v>
      </c>
      <c r="J4216" s="2">
        <v>0.0</v>
      </c>
      <c r="K4216" s="2">
        <v>0.0</v>
      </c>
      <c r="L4216" s="2">
        <v>0.0</v>
      </c>
      <c r="M4216" s="2">
        <v>17.0</v>
      </c>
      <c r="N4216" s="2">
        <v>0.0</v>
      </c>
      <c r="O4216" s="2">
        <v>-57.0</v>
      </c>
      <c r="P4216" s="2" t="s">
        <v>166</v>
      </c>
    </row>
    <row r="4217">
      <c r="A4217" s="3" t="s">
        <v>22</v>
      </c>
      <c r="B4217" s="4">
        <v>45232.25</v>
      </c>
      <c r="C4217" s="2" t="s">
        <v>18</v>
      </c>
      <c r="D4217" s="2" t="s">
        <v>164</v>
      </c>
      <c r="E4217" s="2" t="s">
        <v>165</v>
      </c>
      <c r="F4217" s="2"/>
      <c r="G4217" s="2">
        <v>259.0</v>
      </c>
      <c r="H4217" s="2">
        <v>74.0</v>
      </c>
      <c r="I4217" s="2">
        <v>185.0</v>
      </c>
      <c r="J4217" s="2">
        <v>0.0</v>
      </c>
      <c r="K4217" s="2">
        <v>0.0</v>
      </c>
      <c r="L4217" s="2">
        <v>0.0</v>
      </c>
      <c r="M4217" s="2"/>
      <c r="N4217" s="2"/>
      <c r="O4217" s="2"/>
      <c r="P4217" s="2" t="s">
        <v>166</v>
      </c>
    </row>
    <row r="4218">
      <c r="A4218" s="3" t="s">
        <v>24</v>
      </c>
      <c r="B4218" s="2" t="s">
        <v>17</v>
      </c>
      <c r="C4218" s="2" t="s">
        <v>18</v>
      </c>
      <c r="D4218" s="2" t="s">
        <v>19</v>
      </c>
      <c r="E4218" s="2" t="s">
        <v>460</v>
      </c>
      <c r="F4218" s="2">
        <v>8.0</v>
      </c>
      <c r="G4218" s="2">
        <v>4.0</v>
      </c>
      <c r="H4218" s="2">
        <v>0.0</v>
      </c>
      <c r="I4218" s="2">
        <v>4.0</v>
      </c>
      <c r="J4218" s="2">
        <v>0.0</v>
      </c>
      <c r="K4218" s="2">
        <v>0.0</v>
      </c>
      <c r="L4218" s="2">
        <v>0.0</v>
      </c>
      <c r="M4218" s="2">
        <v>8.0</v>
      </c>
      <c r="N4218" s="2"/>
      <c r="O4218" s="2"/>
      <c r="P4218" s="2" t="s">
        <v>21</v>
      </c>
    </row>
    <row r="4219">
      <c r="A4219" s="3" t="s">
        <v>25</v>
      </c>
      <c r="B4219" s="2" t="s">
        <v>17</v>
      </c>
      <c r="C4219" s="2" t="s">
        <v>18</v>
      </c>
      <c r="D4219" s="2" t="s">
        <v>19</v>
      </c>
      <c r="E4219" s="2" t="s">
        <v>461</v>
      </c>
      <c r="F4219" s="2">
        <v>6.0</v>
      </c>
      <c r="G4219" s="2">
        <v>6.0</v>
      </c>
      <c r="H4219" s="2">
        <v>0.0</v>
      </c>
      <c r="I4219" s="2">
        <v>4.0</v>
      </c>
      <c r="J4219" s="2">
        <v>2.0</v>
      </c>
      <c r="K4219" s="2">
        <v>0.0</v>
      </c>
      <c r="L4219" s="2">
        <v>0.0</v>
      </c>
      <c r="M4219" s="2">
        <v>6.0</v>
      </c>
      <c r="N4219" s="2"/>
      <c r="O4219" s="2"/>
      <c r="P4219" s="2" t="s">
        <v>21</v>
      </c>
    </row>
    <row r="4220">
      <c r="A4220" s="3" t="s">
        <v>26</v>
      </c>
      <c r="B4220" s="2" t="s">
        <v>17</v>
      </c>
      <c r="C4220" s="2" t="s">
        <v>113</v>
      </c>
      <c r="D4220" s="2" t="s">
        <v>19</v>
      </c>
      <c r="E4220" s="2" t="s">
        <v>462</v>
      </c>
      <c r="F4220" s="2">
        <v>3.0</v>
      </c>
      <c r="G4220" s="2">
        <v>14.0</v>
      </c>
      <c r="H4220" s="2">
        <v>0.0</v>
      </c>
      <c r="I4220" s="2">
        <v>10.0</v>
      </c>
      <c r="J4220" s="2">
        <v>4.0</v>
      </c>
      <c r="K4220" s="2">
        <v>0.0</v>
      </c>
      <c r="L4220" s="2">
        <v>0.0</v>
      </c>
      <c r="M4220" s="2">
        <v>3.0</v>
      </c>
      <c r="N4220" s="2"/>
      <c r="O4220" s="2"/>
      <c r="P4220" s="2" t="s">
        <v>21</v>
      </c>
    </row>
    <row r="4221">
      <c r="A4221" s="3" t="s">
        <v>28</v>
      </c>
      <c r="B4221" s="2" t="s">
        <v>17</v>
      </c>
      <c r="C4221" s="2" t="s">
        <v>18</v>
      </c>
      <c r="D4221" s="2" t="s">
        <v>30</v>
      </c>
      <c r="E4221" s="2" t="s">
        <v>460</v>
      </c>
      <c r="F4221" s="2">
        <v>8.0</v>
      </c>
      <c r="G4221" s="2">
        <v>0.0</v>
      </c>
      <c r="H4221" s="2">
        <v>0.0</v>
      </c>
      <c r="I4221" s="2">
        <v>0.0</v>
      </c>
      <c r="J4221" s="2">
        <v>0.0</v>
      </c>
      <c r="K4221" s="2">
        <v>0.0</v>
      </c>
      <c r="L4221" s="2">
        <v>0.0</v>
      </c>
      <c r="M4221" s="2">
        <v>8.0</v>
      </c>
      <c r="N4221" s="2"/>
      <c r="O4221" s="2"/>
      <c r="P4221" s="2" t="s">
        <v>21</v>
      </c>
    </row>
    <row r="4222">
      <c r="A4222" s="3" t="s">
        <v>29</v>
      </c>
      <c r="B4222" s="2" t="s">
        <v>17</v>
      </c>
      <c r="C4222" s="2" t="s">
        <v>18</v>
      </c>
      <c r="D4222" s="2" t="s">
        <v>30</v>
      </c>
      <c r="E4222" s="2" t="s">
        <v>461</v>
      </c>
      <c r="F4222" s="2">
        <v>6.0</v>
      </c>
      <c r="G4222" s="2">
        <v>0.0</v>
      </c>
      <c r="H4222" s="2">
        <v>0.0</v>
      </c>
      <c r="I4222" s="2">
        <v>0.0</v>
      </c>
      <c r="J4222" s="2">
        <v>0.0</v>
      </c>
      <c r="K4222" s="2">
        <v>0.0</v>
      </c>
      <c r="L4222" s="2">
        <v>0.0</v>
      </c>
      <c r="M4222" s="2">
        <v>6.0</v>
      </c>
      <c r="N4222" s="2"/>
      <c r="O4222" s="2"/>
      <c r="P4222" s="2" t="s">
        <v>21</v>
      </c>
    </row>
    <row r="4223">
      <c r="A4223" s="3" t="s">
        <v>32</v>
      </c>
      <c r="B4223" s="2" t="s">
        <v>17</v>
      </c>
      <c r="C4223" s="2" t="s">
        <v>113</v>
      </c>
      <c r="D4223" s="2" t="s">
        <v>30</v>
      </c>
      <c r="E4223" s="2" t="s">
        <v>462</v>
      </c>
      <c r="F4223" s="2">
        <v>3.0</v>
      </c>
      <c r="G4223" s="2">
        <v>1.0</v>
      </c>
      <c r="H4223" s="2">
        <v>0.0</v>
      </c>
      <c r="I4223" s="2">
        <v>1.0</v>
      </c>
      <c r="J4223" s="2">
        <v>0.0</v>
      </c>
      <c r="K4223" s="2">
        <v>0.0</v>
      </c>
      <c r="L4223" s="2">
        <v>0.0</v>
      </c>
      <c r="M4223" s="2">
        <v>3.0</v>
      </c>
      <c r="N4223" s="2"/>
      <c r="O4223" s="2"/>
      <c r="P4223" s="2" t="s">
        <v>21</v>
      </c>
    </row>
    <row r="4224">
      <c r="A4224" s="3" t="s">
        <v>34</v>
      </c>
      <c r="B4224" s="2" t="s">
        <v>17</v>
      </c>
      <c r="C4224" s="2" t="s">
        <v>18</v>
      </c>
      <c r="D4224" s="2" t="s">
        <v>23</v>
      </c>
      <c r="E4224" s="2" t="s">
        <v>460</v>
      </c>
      <c r="F4224" s="2">
        <v>8.0</v>
      </c>
      <c r="G4224" s="2">
        <v>4.0</v>
      </c>
      <c r="H4224" s="2">
        <v>0.0</v>
      </c>
      <c r="I4224" s="2">
        <v>4.0</v>
      </c>
      <c r="J4224" s="2">
        <v>0.0</v>
      </c>
      <c r="K4224" s="2">
        <v>0.0</v>
      </c>
      <c r="L4224" s="2">
        <v>0.0</v>
      </c>
      <c r="M4224" s="2">
        <v>8.0</v>
      </c>
      <c r="N4224" s="2">
        <v>-8.0</v>
      </c>
      <c r="O4224" s="2">
        <v>8.0</v>
      </c>
      <c r="P4224" s="2" t="s">
        <v>21</v>
      </c>
    </row>
    <row r="4225">
      <c r="A4225" s="3" t="s">
        <v>35</v>
      </c>
      <c r="B4225" s="2" t="s">
        <v>17</v>
      </c>
      <c r="C4225" s="2" t="s">
        <v>18</v>
      </c>
      <c r="D4225" s="2" t="s">
        <v>23</v>
      </c>
      <c r="E4225" s="2" t="s">
        <v>461</v>
      </c>
      <c r="F4225" s="2">
        <v>6.0</v>
      </c>
      <c r="G4225" s="2">
        <v>6.0</v>
      </c>
      <c r="H4225" s="2">
        <v>0.0</v>
      </c>
      <c r="I4225" s="2">
        <v>4.0</v>
      </c>
      <c r="J4225" s="2">
        <v>2.0</v>
      </c>
      <c r="K4225" s="2">
        <v>0.0</v>
      </c>
      <c r="L4225" s="2">
        <v>0.0</v>
      </c>
      <c r="M4225" s="2">
        <v>6.0</v>
      </c>
      <c r="N4225" s="2">
        <v>-6.0</v>
      </c>
      <c r="O4225" s="2">
        <v>6.0</v>
      </c>
      <c r="P4225" s="2" t="s">
        <v>21</v>
      </c>
    </row>
    <row r="4226">
      <c r="A4226" s="3" t="s">
        <v>36</v>
      </c>
      <c r="B4226" s="2" t="s">
        <v>17</v>
      </c>
      <c r="C4226" s="2" t="s">
        <v>113</v>
      </c>
      <c r="D4226" s="2" t="s">
        <v>23</v>
      </c>
      <c r="E4226" s="2" t="s">
        <v>462</v>
      </c>
      <c r="F4226" s="2">
        <v>3.0</v>
      </c>
      <c r="G4226" s="2">
        <v>15.0</v>
      </c>
      <c r="H4226" s="2">
        <v>0.0</v>
      </c>
      <c r="I4226" s="2">
        <v>11.0</v>
      </c>
      <c r="J4226" s="2">
        <v>4.0</v>
      </c>
      <c r="K4226" s="2">
        <v>0.0</v>
      </c>
      <c r="L4226" s="2">
        <v>0.0</v>
      </c>
      <c r="M4226" s="2">
        <v>3.0</v>
      </c>
      <c r="N4226" s="2">
        <v>-3.0</v>
      </c>
      <c r="O4226" s="2">
        <v>3.0</v>
      </c>
      <c r="P4226" s="2" t="s">
        <v>21</v>
      </c>
    </row>
    <row r="4227">
      <c r="A4227" s="3" t="s">
        <v>37</v>
      </c>
      <c r="B4227" s="4">
        <v>45201.29166666667</v>
      </c>
      <c r="C4227" s="2" t="s">
        <v>18</v>
      </c>
      <c r="D4227" s="2" t="s">
        <v>19</v>
      </c>
      <c r="E4227" s="2" t="s">
        <v>460</v>
      </c>
      <c r="F4227" s="2"/>
      <c r="G4227" s="2">
        <v>0.0</v>
      </c>
      <c r="H4227" s="2">
        <v>0.0</v>
      </c>
      <c r="I4227" s="2">
        <v>0.0</v>
      </c>
      <c r="J4227" s="2">
        <v>0.0</v>
      </c>
      <c r="K4227" s="2">
        <v>0.0</v>
      </c>
      <c r="L4227" s="2">
        <v>0.0</v>
      </c>
      <c r="M4227" s="2"/>
      <c r="N4227" s="2"/>
      <c r="O4227" s="2"/>
      <c r="P4227" s="2" t="s">
        <v>21</v>
      </c>
    </row>
    <row r="4228">
      <c r="A4228" s="3" t="s">
        <v>38</v>
      </c>
      <c r="B4228" s="4">
        <v>45202.29166666667</v>
      </c>
      <c r="C4228" s="2" t="s">
        <v>18</v>
      </c>
      <c r="D4228" s="2" t="s">
        <v>19</v>
      </c>
      <c r="E4228" s="2" t="s">
        <v>461</v>
      </c>
      <c r="F4228" s="2"/>
      <c r="G4228" s="2">
        <v>2.0</v>
      </c>
      <c r="H4228" s="2">
        <v>0.0</v>
      </c>
      <c r="I4228" s="2">
        <v>0.0</v>
      </c>
      <c r="J4228" s="2">
        <v>2.0</v>
      </c>
      <c r="K4228" s="2">
        <v>0.0</v>
      </c>
      <c r="L4228" s="2">
        <v>0.0</v>
      </c>
      <c r="M4228" s="2"/>
      <c r="N4228" s="2"/>
      <c r="O4228" s="2"/>
      <c r="P4228" s="2" t="s">
        <v>21</v>
      </c>
    </row>
    <row r="4229">
      <c r="A4229" s="3" t="s">
        <v>39</v>
      </c>
      <c r="B4229" s="4">
        <v>45203.29166666667</v>
      </c>
      <c r="C4229" s="2" t="s">
        <v>18</v>
      </c>
      <c r="D4229" s="2" t="s">
        <v>19</v>
      </c>
      <c r="E4229" s="2" t="s">
        <v>462</v>
      </c>
      <c r="F4229" s="2"/>
      <c r="G4229" s="2">
        <v>10.0</v>
      </c>
      <c r="H4229" s="2">
        <v>0.0</v>
      </c>
      <c r="I4229" s="2">
        <v>6.0</v>
      </c>
      <c r="J4229" s="2">
        <v>4.0</v>
      </c>
      <c r="K4229" s="2">
        <v>0.0</v>
      </c>
      <c r="L4229" s="2">
        <v>0.0</v>
      </c>
      <c r="M4229" s="2"/>
      <c r="N4229" s="2"/>
      <c r="O4229" s="2"/>
      <c r="P4229" s="2" t="s">
        <v>21</v>
      </c>
    </row>
    <row r="4230">
      <c r="A4230" s="3" t="s">
        <v>40</v>
      </c>
      <c r="B4230" s="4">
        <v>45204.29166666667</v>
      </c>
      <c r="C4230" s="2" t="s">
        <v>18</v>
      </c>
      <c r="D4230" s="2" t="s">
        <v>30</v>
      </c>
      <c r="E4230" s="2" t="s">
        <v>460</v>
      </c>
      <c r="F4230" s="2"/>
      <c r="G4230" s="2">
        <v>0.0</v>
      </c>
      <c r="H4230" s="2">
        <v>0.0</v>
      </c>
      <c r="I4230" s="2">
        <v>0.0</v>
      </c>
      <c r="J4230" s="2">
        <v>0.0</v>
      </c>
      <c r="K4230" s="2">
        <v>0.0</v>
      </c>
      <c r="L4230" s="2">
        <v>0.0</v>
      </c>
      <c r="M4230" s="2"/>
      <c r="N4230" s="2"/>
      <c r="O4230" s="2"/>
      <c r="P4230" s="2" t="s">
        <v>21</v>
      </c>
    </row>
    <row r="4231">
      <c r="A4231" s="3" t="s">
        <v>41</v>
      </c>
      <c r="B4231" s="4">
        <v>45205.29166666667</v>
      </c>
      <c r="C4231" s="2" t="s">
        <v>18</v>
      </c>
      <c r="D4231" s="2" t="s">
        <v>30</v>
      </c>
      <c r="E4231" s="2" t="s">
        <v>461</v>
      </c>
      <c r="F4231" s="2"/>
      <c r="G4231" s="2">
        <v>0.0</v>
      </c>
      <c r="H4231" s="2">
        <v>0.0</v>
      </c>
      <c r="I4231" s="2">
        <v>0.0</v>
      </c>
      <c r="J4231" s="2">
        <v>0.0</v>
      </c>
      <c r="K4231" s="2">
        <v>0.0</v>
      </c>
      <c r="L4231" s="2">
        <v>0.0</v>
      </c>
      <c r="M4231" s="2"/>
      <c r="N4231" s="2"/>
      <c r="O4231" s="2"/>
      <c r="P4231" s="2" t="s">
        <v>21</v>
      </c>
    </row>
    <row r="4232">
      <c r="A4232" s="3" t="s">
        <v>42</v>
      </c>
      <c r="B4232" s="4">
        <v>45206.29166666667</v>
      </c>
      <c r="C4232" s="2" t="s">
        <v>18</v>
      </c>
      <c r="D4232" s="2" t="s">
        <v>30</v>
      </c>
      <c r="E4232" s="2" t="s">
        <v>462</v>
      </c>
      <c r="F4232" s="2"/>
      <c r="G4232" s="2">
        <v>0.0</v>
      </c>
      <c r="H4232" s="2">
        <v>0.0</v>
      </c>
      <c r="I4232" s="2">
        <v>0.0</v>
      </c>
      <c r="J4232" s="2">
        <v>0.0</v>
      </c>
      <c r="K4232" s="2">
        <v>0.0</v>
      </c>
      <c r="L4232" s="2">
        <v>0.0</v>
      </c>
      <c r="M4232" s="2"/>
      <c r="N4232" s="2"/>
      <c r="O4232" s="2"/>
      <c r="P4232" s="2" t="s">
        <v>21</v>
      </c>
    </row>
    <row r="4233">
      <c r="A4233" s="3" t="s">
        <v>43</v>
      </c>
      <c r="B4233" s="2" t="s">
        <v>17</v>
      </c>
      <c r="C4233" s="2" t="s">
        <v>18</v>
      </c>
      <c r="D4233" s="2" t="s">
        <v>164</v>
      </c>
      <c r="E4233" s="2" t="s">
        <v>165</v>
      </c>
      <c r="F4233" s="2">
        <v>72.0</v>
      </c>
      <c r="G4233" s="2">
        <v>137.0</v>
      </c>
      <c r="H4233" s="2">
        <v>35.0</v>
      </c>
      <c r="I4233" s="2">
        <v>92.0</v>
      </c>
      <c r="J4233" s="2">
        <v>0.0</v>
      </c>
      <c r="K4233" s="2">
        <v>10.0</v>
      </c>
      <c r="L4233" s="2">
        <v>0.0</v>
      </c>
      <c r="M4233" s="2">
        <v>37.0</v>
      </c>
      <c r="N4233" s="2"/>
      <c r="O4233" s="2"/>
      <c r="P4233" s="2" t="s">
        <v>166</v>
      </c>
    </row>
    <row r="4234">
      <c r="A4234" s="3" t="s">
        <v>44</v>
      </c>
      <c r="B4234" s="2" t="s">
        <v>17</v>
      </c>
      <c r="C4234" s="2" t="s">
        <v>18</v>
      </c>
      <c r="D4234" s="2" t="s">
        <v>23</v>
      </c>
      <c r="E4234" s="2" t="s">
        <v>165</v>
      </c>
      <c r="F4234" s="2">
        <v>72.0</v>
      </c>
      <c r="G4234" s="2">
        <v>137.0</v>
      </c>
      <c r="H4234" s="2">
        <v>35.0</v>
      </c>
      <c r="I4234" s="2">
        <v>92.0</v>
      </c>
      <c r="J4234" s="2">
        <v>0.0</v>
      </c>
      <c r="K4234" s="2">
        <v>10.0</v>
      </c>
      <c r="L4234" s="2">
        <v>0.0</v>
      </c>
      <c r="M4234" s="2">
        <v>37.0</v>
      </c>
      <c r="N4234" s="2">
        <v>0.0</v>
      </c>
      <c r="O4234" s="2">
        <v>2.0</v>
      </c>
      <c r="P4234" s="2" t="s">
        <v>166</v>
      </c>
    </row>
    <row r="4235">
      <c r="A4235" s="3" t="s">
        <v>45</v>
      </c>
      <c r="B4235" s="4">
        <v>45262.29166666667</v>
      </c>
      <c r="C4235" s="2" t="s">
        <v>18</v>
      </c>
      <c r="D4235" s="2" t="s">
        <v>164</v>
      </c>
      <c r="E4235" s="2" t="s">
        <v>165</v>
      </c>
      <c r="F4235" s="2"/>
      <c r="G4235" s="2">
        <v>137.0</v>
      </c>
      <c r="H4235" s="2">
        <v>35.0</v>
      </c>
      <c r="I4235" s="2">
        <v>92.0</v>
      </c>
      <c r="J4235" s="2">
        <v>0.0</v>
      </c>
      <c r="K4235" s="2">
        <v>10.0</v>
      </c>
      <c r="L4235" s="2">
        <v>0.0</v>
      </c>
      <c r="M4235" s="2"/>
      <c r="N4235" s="2"/>
      <c r="O4235" s="2"/>
      <c r="P4235" s="2" t="s">
        <v>166</v>
      </c>
    </row>
    <row r="4236">
      <c r="A4236" s="3" t="s">
        <v>16</v>
      </c>
      <c r="B4236" s="4">
        <v>45294.29166666667</v>
      </c>
      <c r="C4236" s="2" t="s">
        <v>18</v>
      </c>
      <c r="D4236" s="2" t="s">
        <v>164</v>
      </c>
      <c r="E4236" s="2" t="s">
        <v>165</v>
      </c>
      <c r="F4236" s="2"/>
      <c r="G4236" s="2">
        <v>0.0</v>
      </c>
      <c r="H4236" s="2">
        <v>0.0</v>
      </c>
      <c r="I4236" s="2">
        <v>0.0</v>
      </c>
      <c r="J4236" s="2">
        <v>0.0</v>
      </c>
      <c r="K4236" s="2">
        <v>0.0</v>
      </c>
      <c r="L4236" s="2">
        <v>0.0</v>
      </c>
      <c r="M4236" s="2"/>
      <c r="N4236" s="2"/>
      <c r="O4236" s="2"/>
      <c r="P4236" s="2" t="s">
        <v>166</v>
      </c>
    </row>
    <row r="4237">
      <c r="A4237" s="3" t="s">
        <v>47</v>
      </c>
      <c r="B4237" s="2" t="s">
        <v>17</v>
      </c>
      <c r="C4237" s="2" t="s">
        <v>18</v>
      </c>
      <c r="D4237" s="2" t="s">
        <v>19</v>
      </c>
      <c r="E4237" s="2" t="s">
        <v>27</v>
      </c>
      <c r="F4237" s="2">
        <v>20.0</v>
      </c>
      <c r="G4237" s="2">
        <v>39.0</v>
      </c>
      <c r="H4237" s="2">
        <v>30.0</v>
      </c>
      <c r="I4237" s="2">
        <v>9.0</v>
      </c>
      <c r="J4237" s="2">
        <v>0.0</v>
      </c>
      <c r="K4237" s="2">
        <v>0.0</v>
      </c>
      <c r="L4237" s="2">
        <v>0.0</v>
      </c>
      <c r="M4237" s="2">
        <v>-10.0</v>
      </c>
      <c r="N4237" s="2"/>
      <c r="O4237" s="2"/>
      <c r="P4237" s="2" t="s">
        <v>146</v>
      </c>
    </row>
    <row r="4238">
      <c r="A4238" s="3" t="s">
        <v>48</v>
      </c>
      <c r="B4238" s="2" t="s">
        <v>17</v>
      </c>
      <c r="C4238" s="2" t="s">
        <v>18</v>
      </c>
      <c r="D4238" s="2" t="s">
        <v>23</v>
      </c>
      <c r="E4238" s="2" t="s">
        <v>27</v>
      </c>
      <c r="F4238" s="2">
        <v>20.0</v>
      </c>
      <c r="G4238" s="2">
        <v>39.0</v>
      </c>
      <c r="H4238" s="2">
        <v>30.0</v>
      </c>
      <c r="I4238" s="2">
        <v>9.0</v>
      </c>
      <c r="J4238" s="2">
        <v>0.0</v>
      </c>
      <c r="K4238" s="2">
        <v>0.0</v>
      </c>
      <c r="L4238" s="2">
        <v>0.0</v>
      </c>
      <c r="M4238" s="2">
        <v>-10.0</v>
      </c>
      <c r="N4238" s="2">
        <v>0.0</v>
      </c>
      <c r="O4238" s="2">
        <v>-40.0</v>
      </c>
      <c r="P4238" s="2" t="s">
        <v>146</v>
      </c>
    </row>
    <row r="4239">
      <c r="A4239" s="3" t="s">
        <v>49</v>
      </c>
      <c r="B4239" s="4">
        <v>45232.25</v>
      </c>
      <c r="C4239" s="2" t="s">
        <v>18</v>
      </c>
      <c r="D4239" s="2" t="s">
        <v>19</v>
      </c>
      <c r="E4239" s="2" t="s">
        <v>27</v>
      </c>
      <c r="F4239" s="2"/>
      <c r="G4239" s="2">
        <v>39.0</v>
      </c>
      <c r="H4239" s="2">
        <v>30.0</v>
      </c>
      <c r="I4239" s="2">
        <v>9.0</v>
      </c>
      <c r="J4239" s="2">
        <v>0.0</v>
      </c>
      <c r="K4239" s="2">
        <v>0.0</v>
      </c>
      <c r="L4239" s="2">
        <v>0.0</v>
      </c>
      <c r="M4239" s="2"/>
      <c r="N4239" s="2"/>
      <c r="O4239" s="2"/>
      <c r="P4239" s="2" t="s">
        <v>146</v>
      </c>
    </row>
    <row r="4240">
      <c r="A4240" s="3" t="s">
        <v>51</v>
      </c>
      <c r="B4240" s="2" t="s">
        <v>17</v>
      </c>
      <c r="C4240" s="2" t="s">
        <v>18</v>
      </c>
      <c r="D4240" s="2" t="s">
        <v>79</v>
      </c>
      <c r="E4240" s="2" t="s">
        <v>165</v>
      </c>
      <c r="F4240" s="2">
        <v>55.0</v>
      </c>
      <c r="G4240" s="2">
        <v>115.0</v>
      </c>
      <c r="H4240" s="2">
        <v>0.0</v>
      </c>
      <c r="I4240" s="2">
        <v>0.0</v>
      </c>
      <c r="J4240" s="2">
        <v>0.0</v>
      </c>
      <c r="K4240" s="2">
        <v>115.0</v>
      </c>
      <c r="L4240" s="2">
        <v>0.0</v>
      </c>
      <c r="M4240" s="2">
        <v>55.0</v>
      </c>
      <c r="N4240" s="2"/>
      <c r="O4240" s="2"/>
      <c r="P4240" s="2" t="s">
        <v>166</v>
      </c>
    </row>
    <row r="4241">
      <c r="A4241" s="3" t="s">
        <v>52</v>
      </c>
      <c r="B4241" s="2" t="s">
        <v>17</v>
      </c>
      <c r="C4241" s="2" t="s">
        <v>18</v>
      </c>
      <c r="D4241" s="2" t="s">
        <v>23</v>
      </c>
      <c r="E4241" s="2" t="s">
        <v>165</v>
      </c>
      <c r="F4241" s="2">
        <v>55.0</v>
      </c>
      <c r="G4241" s="2">
        <v>115.0</v>
      </c>
      <c r="H4241" s="2">
        <v>0.0</v>
      </c>
      <c r="I4241" s="2">
        <v>0.0</v>
      </c>
      <c r="J4241" s="2">
        <v>0.0</v>
      </c>
      <c r="K4241" s="2">
        <v>115.0</v>
      </c>
      <c r="L4241" s="2">
        <v>0.0</v>
      </c>
      <c r="M4241" s="2">
        <v>55.0</v>
      </c>
      <c r="N4241" s="2">
        <v>0.0</v>
      </c>
      <c r="O4241" s="2">
        <v>55.0</v>
      </c>
      <c r="P4241" s="2" t="s">
        <v>166</v>
      </c>
    </row>
    <row r="4242">
      <c r="A4242" s="3" t="s">
        <v>53</v>
      </c>
      <c r="B4242" s="4">
        <v>45262.29166666667</v>
      </c>
      <c r="C4242" s="2" t="s">
        <v>18</v>
      </c>
      <c r="D4242" s="2" t="s">
        <v>79</v>
      </c>
      <c r="E4242" s="2" t="s">
        <v>165</v>
      </c>
      <c r="F4242" s="2"/>
      <c r="G4242" s="2">
        <v>115.0</v>
      </c>
      <c r="H4242" s="2">
        <v>0.0</v>
      </c>
      <c r="I4242" s="2">
        <v>0.0</v>
      </c>
      <c r="J4242" s="2">
        <v>0.0</v>
      </c>
      <c r="K4242" s="2">
        <v>115.0</v>
      </c>
      <c r="L4242" s="2">
        <v>0.0</v>
      </c>
      <c r="M4242" s="2"/>
      <c r="N4242" s="2"/>
      <c r="O4242" s="2"/>
      <c r="P4242" s="2" t="s">
        <v>166</v>
      </c>
    </row>
    <row r="4243">
      <c r="A4243" s="3" t="s">
        <v>54</v>
      </c>
      <c r="B4243" s="2" t="s">
        <v>17</v>
      </c>
      <c r="C4243" s="2" t="s">
        <v>18</v>
      </c>
      <c r="D4243" s="2" t="s">
        <v>79</v>
      </c>
      <c r="E4243" s="2" t="s">
        <v>27</v>
      </c>
      <c r="F4243" s="2">
        <v>12.0</v>
      </c>
      <c r="G4243" s="2">
        <v>14.0</v>
      </c>
      <c r="H4243" s="2">
        <v>8.0</v>
      </c>
      <c r="I4243" s="2">
        <v>4.0</v>
      </c>
      <c r="J4243" s="2">
        <v>0.0</v>
      </c>
      <c r="K4243" s="2">
        <v>2.0</v>
      </c>
      <c r="L4243" s="2">
        <v>0.0</v>
      </c>
      <c r="M4243" s="2">
        <v>4.0</v>
      </c>
      <c r="N4243" s="2"/>
      <c r="O4243" s="2"/>
      <c r="P4243" s="2" t="s">
        <v>146</v>
      </c>
    </row>
    <row r="4244">
      <c r="A4244" s="3" t="s">
        <v>55</v>
      </c>
      <c r="B4244" s="2" t="s">
        <v>17</v>
      </c>
      <c r="C4244" s="2" t="s">
        <v>18</v>
      </c>
      <c r="D4244" s="2" t="s">
        <v>33</v>
      </c>
      <c r="E4244" s="2" t="s">
        <v>27</v>
      </c>
      <c r="F4244" s="2">
        <v>200.0</v>
      </c>
      <c r="G4244" s="2">
        <v>22.0</v>
      </c>
      <c r="H4244" s="2">
        <v>10.0</v>
      </c>
      <c r="I4244" s="2">
        <v>12.0</v>
      </c>
      <c r="J4244" s="2">
        <v>0.0</v>
      </c>
      <c r="K4244" s="2">
        <v>0.0</v>
      </c>
      <c r="L4244" s="2">
        <v>0.0</v>
      </c>
      <c r="M4244" s="2">
        <v>190.0</v>
      </c>
      <c r="N4244" s="2"/>
      <c r="O4244" s="2"/>
      <c r="P4244" s="2" t="s">
        <v>146</v>
      </c>
    </row>
    <row r="4245">
      <c r="A4245" s="3" t="s">
        <v>56</v>
      </c>
      <c r="B4245" s="2" t="s">
        <v>17</v>
      </c>
      <c r="C4245" s="2" t="s">
        <v>18</v>
      </c>
      <c r="D4245" s="2" t="s">
        <v>109</v>
      </c>
      <c r="E4245" s="2" t="s">
        <v>27</v>
      </c>
      <c r="F4245" s="2">
        <v>150.0</v>
      </c>
      <c r="G4245" s="2">
        <v>15.0</v>
      </c>
      <c r="H4245" s="2">
        <v>6.0</v>
      </c>
      <c r="I4245" s="2">
        <v>9.0</v>
      </c>
      <c r="J4245" s="2">
        <v>0.0</v>
      </c>
      <c r="K4245" s="2">
        <v>0.0</v>
      </c>
      <c r="L4245" s="2">
        <v>0.0</v>
      </c>
      <c r="M4245" s="2">
        <v>144.0</v>
      </c>
      <c r="N4245" s="2"/>
      <c r="O4245" s="2"/>
      <c r="P4245" s="2" t="s">
        <v>146</v>
      </c>
    </row>
    <row r="4246">
      <c r="A4246" s="3" t="s">
        <v>59</v>
      </c>
      <c r="B4246" s="2" t="s">
        <v>17</v>
      </c>
      <c r="C4246" s="2" t="s">
        <v>18</v>
      </c>
      <c r="D4246" s="2" t="s">
        <v>19</v>
      </c>
      <c r="E4246" s="2" t="s">
        <v>27</v>
      </c>
      <c r="F4246" s="2">
        <v>100.0</v>
      </c>
      <c r="G4246" s="2">
        <v>29.0</v>
      </c>
      <c r="H4246" s="2">
        <v>21.0</v>
      </c>
      <c r="I4246" s="2">
        <v>8.0</v>
      </c>
      <c r="J4246" s="2">
        <v>0.0</v>
      </c>
      <c r="K4246" s="2">
        <v>0.0</v>
      </c>
      <c r="L4246" s="2">
        <v>0.0</v>
      </c>
      <c r="M4246" s="2">
        <v>79.0</v>
      </c>
      <c r="N4246" s="2"/>
      <c r="O4246" s="2"/>
      <c r="P4246" s="2" t="s">
        <v>146</v>
      </c>
    </row>
    <row r="4247">
      <c r="A4247" s="3" t="s">
        <v>60</v>
      </c>
      <c r="B4247" s="2" t="s">
        <v>17</v>
      </c>
      <c r="C4247" s="2" t="s">
        <v>18</v>
      </c>
      <c r="D4247" s="2" t="s">
        <v>23</v>
      </c>
      <c r="E4247" s="2" t="s">
        <v>27</v>
      </c>
      <c r="F4247" s="2">
        <v>108.0</v>
      </c>
      <c r="G4247" s="2">
        <v>80.0</v>
      </c>
      <c r="H4247" s="2">
        <v>45.0</v>
      </c>
      <c r="I4247" s="2">
        <v>33.0</v>
      </c>
      <c r="J4247" s="2">
        <v>0.0</v>
      </c>
      <c r="K4247" s="2">
        <v>2.0</v>
      </c>
      <c r="L4247" s="2">
        <v>0.0</v>
      </c>
      <c r="M4247" s="2">
        <v>63.0</v>
      </c>
      <c r="N4247" s="2">
        <v>-354.0</v>
      </c>
      <c r="O4247" s="2">
        <v>18.0</v>
      </c>
      <c r="P4247" s="2" t="s">
        <v>146</v>
      </c>
    </row>
    <row r="4248">
      <c r="A4248" s="3" t="s">
        <v>61</v>
      </c>
      <c r="B4248" s="4">
        <v>45201.29166666667</v>
      </c>
      <c r="C4248" s="2" t="s">
        <v>18</v>
      </c>
      <c r="D4248" s="2" t="s">
        <v>79</v>
      </c>
      <c r="E4248" s="2" t="s">
        <v>27</v>
      </c>
      <c r="F4248" s="2"/>
      <c r="G4248" s="2">
        <v>2.0</v>
      </c>
      <c r="H4248" s="2">
        <v>1.0</v>
      </c>
      <c r="I4248" s="2">
        <v>1.0</v>
      </c>
      <c r="J4248" s="2">
        <v>0.0</v>
      </c>
      <c r="K4248" s="2">
        <v>0.0</v>
      </c>
      <c r="L4248" s="2">
        <v>0.0</v>
      </c>
      <c r="M4248" s="2"/>
      <c r="N4248" s="2"/>
      <c r="O4248" s="2"/>
      <c r="P4248" s="2" t="s">
        <v>146</v>
      </c>
    </row>
    <row r="4249">
      <c r="A4249" s="3" t="s">
        <v>62</v>
      </c>
      <c r="B4249" s="4">
        <v>45202.29166666667</v>
      </c>
      <c r="C4249" s="2" t="s">
        <v>18</v>
      </c>
      <c r="D4249" s="2" t="s">
        <v>33</v>
      </c>
      <c r="E4249" s="2" t="s">
        <v>27</v>
      </c>
      <c r="F4249" s="2"/>
      <c r="G4249" s="2">
        <v>18.0</v>
      </c>
      <c r="H4249" s="2">
        <v>8.0</v>
      </c>
      <c r="I4249" s="2">
        <v>10.0</v>
      </c>
      <c r="J4249" s="2">
        <v>0.0</v>
      </c>
      <c r="K4249" s="2">
        <v>0.0</v>
      </c>
      <c r="L4249" s="2">
        <v>0.0</v>
      </c>
      <c r="M4249" s="2"/>
      <c r="N4249" s="2"/>
      <c r="O4249" s="2"/>
      <c r="P4249" s="2" t="s">
        <v>146</v>
      </c>
    </row>
    <row r="4250">
      <c r="A4250" s="3" t="s">
        <v>63</v>
      </c>
      <c r="B4250" s="4">
        <v>45203.29166666667</v>
      </c>
      <c r="C4250" s="2" t="s">
        <v>18</v>
      </c>
      <c r="D4250" s="2" t="s">
        <v>109</v>
      </c>
      <c r="E4250" s="2" t="s">
        <v>27</v>
      </c>
      <c r="F4250" s="2"/>
      <c r="G4250" s="2">
        <v>8.0</v>
      </c>
      <c r="H4250" s="2">
        <v>4.0</v>
      </c>
      <c r="I4250" s="2">
        <v>4.0</v>
      </c>
      <c r="J4250" s="2">
        <v>0.0</v>
      </c>
      <c r="K4250" s="2">
        <v>0.0</v>
      </c>
      <c r="L4250" s="2">
        <v>0.0</v>
      </c>
      <c r="M4250" s="2"/>
      <c r="N4250" s="2"/>
      <c r="O4250" s="2"/>
      <c r="P4250" s="2" t="s">
        <v>146</v>
      </c>
    </row>
    <row r="4251">
      <c r="A4251" s="3" t="s">
        <v>64</v>
      </c>
      <c r="B4251" s="4">
        <v>45204.29166666667</v>
      </c>
      <c r="C4251" s="2" t="s">
        <v>18</v>
      </c>
      <c r="D4251" s="2" t="s">
        <v>19</v>
      </c>
      <c r="E4251" s="2" t="s">
        <v>27</v>
      </c>
      <c r="F4251" s="2"/>
      <c r="G4251" s="2">
        <v>24.0</v>
      </c>
      <c r="H4251" s="2">
        <v>18.0</v>
      </c>
      <c r="I4251" s="2">
        <v>6.0</v>
      </c>
      <c r="J4251" s="2">
        <v>0.0</v>
      </c>
      <c r="K4251" s="2">
        <v>0.0</v>
      </c>
      <c r="L4251" s="2">
        <v>0.0</v>
      </c>
      <c r="M4251" s="2"/>
      <c r="N4251" s="2"/>
      <c r="O4251" s="2"/>
      <c r="P4251" s="2" t="s">
        <v>146</v>
      </c>
    </row>
    <row r="4252">
      <c r="A4252" s="3" t="s">
        <v>65</v>
      </c>
      <c r="B4252" s="4">
        <v>45232.25</v>
      </c>
      <c r="C4252" s="2" t="s">
        <v>18</v>
      </c>
      <c r="D4252" s="2" t="s">
        <v>79</v>
      </c>
      <c r="E4252" s="2" t="s">
        <v>27</v>
      </c>
      <c r="F4252" s="2"/>
      <c r="G4252" s="2">
        <v>10.0</v>
      </c>
      <c r="H4252" s="2">
        <v>7.0</v>
      </c>
      <c r="I4252" s="2">
        <v>3.0</v>
      </c>
      <c r="J4252" s="2">
        <v>0.0</v>
      </c>
      <c r="K4252" s="2">
        <v>0.0</v>
      </c>
      <c r="L4252" s="2">
        <v>0.0</v>
      </c>
      <c r="M4252" s="2"/>
      <c r="N4252" s="2"/>
      <c r="O4252" s="2"/>
      <c r="P4252" s="2" t="s">
        <v>146</v>
      </c>
    </row>
    <row r="4253">
      <c r="A4253" s="3" t="s">
        <v>66</v>
      </c>
      <c r="B4253" s="4">
        <v>45233.25</v>
      </c>
      <c r="C4253" s="2" t="s">
        <v>18</v>
      </c>
      <c r="D4253" s="2" t="s">
        <v>33</v>
      </c>
      <c r="E4253" s="2" t="s">
        <v>27</v>
      </c>
      <c r="F4253" s="2"/>
      <c r="G4253" s="2">
        <v>4.0</v>
      </c>
      <c r="H4253" s="2">
        <v>2.0</v>
      </c>
      <c r="I4253" s="2">
        <v>2.0</v>
      </c>
      <c r="J4253" s="2">
        <v>0.0</v>
      </c>
      <c r="K4253" s="2">
        <v>0.0</v>
      </c>
      <c r="L4253" s="2">
        <v>0.0</v>
      </c>
      <c r="M4253" s="2"/>
      <c r="N4253" s="2"/>
      <c r="O4253" s="2"/>
      <c r="P4253" s="2" t="s">
        <v>146</v>
      </c>
    </row>
    <row r="4254">
      <c r="A4254" s="3" t="s">
        <v>68</v>
      </c>
      <c r="B4254" s="4">
        <v>45234.25</v>
      </c>
      <c r="C4254" s="2" t="s">
        <v>18</v>
      </c>
      <c r="D4254" s="2" t="s">
        <v>109</v>
      </c>
      <c r="E4254" s="2" t="s">
        <v>27</v>
      </c>
      <c r="F4254" s="2"/>
      <c r="G4254" s="2">
        <v>7.0</v>
      </c>
      <c r="H4254" s="2">
        <v>2.0</v>
      </c>
      <c r="I4254" s="2">
        <v>5.0</v>
      </c>
      <c r="J4254" s="2">
        <v>0.0</v>
      </c>
      <c r="K4254" s="2">
        <v>0.0</v>
      </c>
      <c r="L4254" s="2">
        <v>0.0</v>
      </c>
      <c r="M4254" s="2"/>
      <c r="N4254" s="2"/>
      <c r="O4254" s="2"/>
      <c r="P4254" s="2" t="s">
        <v>146</v>
      </c>
    </row>
    <row r="4255">
      <c r="A4255" s="3" t="s">
        <v>70</v>
      </c>
      <c r="B4255" s="4">
        <v>45235.25</v>
      </c>
      <c r="C4255" s="2" t="s">
        <v>18</v>
      </c>
      <c r="D4255" s="2" t="s">
        <v>19</v>
      </c>
      <c r="E4255" s="2" t="s">
        <v>27</v>
      </c>
      <c r="F4255" s="2"/>
      <c r="G4255" s="2">
        <v>5.0</v>
      </c>
      <c r="H4255" s="2">
        <v>3.0</v>
      </c>
      <c r="I4255" s="2">
        <v>2.0</v>
      </c>
      <c r="J4255" s="2">
        <v>0.0</v>
      </c>
      <c r="K4255" s="2">
        <v>0.0</v>
      </c>
      <c r="L4255" s="2">
        <v>0.0</v>
      </c>
      <c r="M4255" s="2"/>
      <c r="N4255" s="2"/>
      <c r="O4255" s="2"/>
      <c r="P4255" s="2" t="s">
        <v>146</v>
      </c>
    </row>
    <row r="4256">
      <c r="A4256" s="3" t="s">
        <v>16</v>
      </c>
      <c r="B4256" s="4">
        <v>45262.29166666667</v>
      </c>
      <c r="C4256" s="2" t="s">
        <v>18</v>
      </c>
      <c r="D4256" s="2" t="s">
        <v>79</v>
      </c>
      <c r="E4256" s="2" t="s">
        <v>27</v>
      </c>
      <c r="F4256" s="2"/>
      <c r="G4256" s="2">
        <v>2.0</v>
      </c>
      <c r="H4256" s="2">
        <v>0.0</v>
      </c>
      <c r="I4256" s="2">
        <v>0.0</v>
      </c>
      <c r="J4256" s="2">
        <v>0.0</v>
      </c>
      <c r="K4256" s="2">
        <v>2.0</v>
      </c>
      <c r="L4256" s="2">
        <v>0.0</v>
      </c>
      <c r="M4256" s="2"/>
      <c r="N4256" s="2"/>
      <c r="O4256" s="2"/>
      <c r="P4256" s="2" t="s">
        <v>146</v>
      </c>
    </row>
    <row r="4257">
      <c r="A4257" s="3" t="s">
        <v>71</v>
      </c>
      <c r="B4257" s="2" t="s">
        <v>17</v>
      </c>
      <c r="C4257" s="2" t="s">
        <v>18</v>
      </c>
      <c r="D4257" s="2" t="s">
        <v>19</v>
      </c>
      <c r="E4257" s="2" t="s">
        <v>50</v>
      </c>
      <c r="F4257" s="2">
        <v>27.0</v>
      </c>
      <c r="G4257" s="2">
        <v>39.0</v>
      </c>
      <c r="H4257" s="2">
        <v>29.0</v>
      </c>
      <c r="I4257" s="2">
        <v>10.0</v>
      </c>
      <c r="J4257" s="2">
        <v>0.0</v>
      </c>
      <c r="K4257" s="2">
        <v>0.0</v>
      </c>
      <c r="L4257" s="2">
        <v>0.0</v>
      </c>
      <c r="M4257" s="2">
        <v>-2.0</v>
      </c>
      <c r="N4257" s="2"/>
      <c r="O4257" s="2"/>
      <c r="P4257" s="2" t="s">
        <v>80</v>
      </c>
    </row>
    <row r="4258">
      <c r="A4258" s="3" t="s">
        <v>72</v>
      </c>
      <c r="B4258" s="2" t="s">
        <v>17</v>
      </c>
      <c r="C4258" s="2" t="s">
        <v>18</v>
      </c>
      <c r="D4258" s="2" t="s">
        <v>23</v>
      </c>
      <c r="E4258" s="2" t="s">
        <v>50</v>
      </c>
      <c r="F4258" s="2">
        <v>27.0</v>
      </c>
      <c r="G4258" s="2">
        <v>39.0</v>
      </c>
      <c r="H4258" s="2">
        <v>29.0</v>
      </c>
      <c r="I4258" s="2">
        <v>10.0</v>
      </c>
      <c r="J4258" s="2">
        <v>0.0</v>
      </c>
      <c r="K4258" s="2">
        <v>0.0</v>
      </c>
      <c r="L4258" s="2">
        <v>0.0</v>
      </c>
      <c r="M4258" s="2">
        <v>-2.0</v>
      </c>
      <c r="N4258" s="2">
        <v>0.0</v>
      </c>
      <c r="O4258" s="2">
        <v>-31.0</v>
      </c>
      <c r="P4258" s="2" t="s">
        <v>80</v>
      </c>
    </row>
    <row r="4259">
      <c r="A4259" s="3" t="s">
        <v>73</v>
      </c>
      <c r="B4259" s="4">
        <v>45201.29166666667</v>
      </c>
      <c r="C4259" s="2" t="s">
        <v>18</v>
      </c>
      <c r="D4259" s="2" t="s">
        <v>19</v>
      </c>
      <c r="E4259" s="2" t="s">
        <v>50</v>
      </c>
      <c r="F4259" s="2"/>
      <c r="G4259" s="2">
        <v>8.0</v>
      </c>
      <c r="H4259" s="2">
        <v>6.0</v>
      </c>
      <c r="I4259" s="2">
        <v>2.0</v>
      </c>
      <c r="J4259" s="2">
        <v>0.0</v>
      </c>
      <c r="K4259" s="2">
        <v>0.0</v>
      </c>
      <c r="L4259" s="2">
        <v>0.0</v>
      </c>
      <c r="M4259" s="2"/>
      <c r="N4259" s="2"/>
      <c r="O4259" s="2"/>
      <c r="P4259" s="2" t="s">
        <v>80</v>
      </c>
    </row>
    <row r="4260">
      <c r="A4260" s="3" t="s">
        <v>74</v>
      </c>
      <c r="B4260" s="4">
        <v>45232.25</v>
      </c>
      <c r="C4260" s="2" t="s">
        <v>18</v>
      </c>
      <c r="D4260" s="2" t="s">
        <v>19</v>
      </c>
      <c r="E4260" s="2" t="s">
        <v>50</v>
      </c>
      <c r="F4260" s="2"/>
      <c r="G4260" s="2">
        <v>31.0</v>
      </c>
      <c r="H4260" s="2">
        <v>23.0</v>
      </c>
      <c r="I4260" s="2">
        <v>8.0</v>
      </c>
      <c r="J4260" s="2">
        <v>0.0</v>
      </c>
      <c r="K4260" s="2">
        <v>0.0</v>
      </c>
      <c r="L4260" s="2">
        <v>0.0</v>
      </c>
      <c r="M4260" s="2"/>
      <c r="N4260" s="2"/>
      <c r="O4260" s="2"/>
      <c r="P4260" s="2" t="s">
        <v>80</v>
      </c>
    </row>
    <row r="4261">
      <c r="A4261" s="3" t="s">
        <v>75</v>
      </c>
      <c r="B4261" s="2" t="s">
        <v>17</v>
      </c>
      <c r="C4261" s="2" t="s">
        <v>18</v>
      </c>
      <c r="D4261" s="2" t="s">
        <v>33</v>
      </c>
      <c r="E4261" s="2" t="s">
        <v>27</v>
      </c>
      <c r="F4261" s="2">
        <v>150.0</v>
      </c>
      <c r="G4261" s="2">
        <v>13.0</v>
      </c>
      <c r="H4261" s="2">
        <v>2.0</v>
      </c>
      <c r="I4261" s="2">
        <v>11.0</v>
      </c>
      <c r="J4261" s="2">
        <v>0.0</v>
      </c>
      <c r="K4261" s="2">
        <v>0.0</v>
      </c>
      <c r="L4261" s="2">
        <v>0.0</v>
      </c>
      <c r="M4261" s="2">
        <v>148.0</v>
      </c>
      <c r="N4261" s="2"/>
      <c r="O4261" s="2"/>
      <c r="P4261" s="2" t="s">
        <v>67</v>
      </c>
    </row>
    <row r="4262">
      <c r="A4262" s="3" t="s">
        <v>76</v>
      </c>
      <c r="B4262" s="2" t="s">
        <v>17</v>
      </c>
      <c r="C4262" s="2" t="s">
        <v>18</v>
      </c>
      <c r="D4262" s="2" t="s">
        <v>109</v>
      </c>
      <c r="E4262" s="2" t="s">
        <v>27</v>
      </c>
      <c r="F4262" s="2">
        <v>150.0</v>
      </c>
      <c r="G4262" s="2">
        <v>11.0</v>
      </c>
      <c r="H4262" s="2">
        <v>3.0</v>
      </c>
      <c r="I4262" s="2">
        <v>8.0</v>
      </c>
      <c r="J4262" s="2">
        <v>0.0</v>
      </c>
      <c r="K4262" s="2">
        <v>0.0</v>
      </c>
      <c r="L4262" s="2">
        <v>0.0</v>
      </c>
      <c r="M4262" s="2">
        <v>147.0</v>
      </c>
      <c r="N4262" s="2"/>
      <c r="O4262" s="2"/>
      <c r="P4262" s="2" t="s">
        <v>67</v>
      </c>
    </row>
    <row r="4263">
      <c r="A4263" s="3" t="s">
        <v>77</v>
      </c>
      <c r="B4263" s="2" t="s">
        <v>17</v>
      </c>
      <c r="C4263" s="2" t="s">
        <v>18</v>
      </c>
      <c r="D4263" s="2" t="s">
        <v>19</v>
      </c>
      <c r="E4263" s="2" t="s">
        <v>27</v>
      </c>
      <c r="F4263" s="2">
        <v>462.0</v>
      </c>
      <c r="G4263" s="2">
        <v>43.0</v>
      </c>
      <c r="H4263" s="2">
        <v>28.0</v>
      </c>
      <c r="I4263" s="2">
        <v>15.0</v>
      </c>
      <c r="J4263" s="2">
        <v>0.0</v>
      </c>
      <c r="K4263" s="2">
        <v>0.0</v>
      </c>
      <c r="L4263" s="2">
        <v>0.0</v>
      </c>
      <c r="M4263" s="2">
        <v>434.0</v>
      </c>
      <c r="N4263" s="2"/>
      <c r="O4263" s="2"/>
      <c r="P4263" s="2" t="s">
        <v>67</v>
      </c>
    </row>
    <row r="4264">
      <c r="A4264" s="3" t="s">
        <v>78</v>
      </c>
      <c r="B4264" s="2" t="s">
        <v>17</v>
      </c>
      <c r="C4264" s="2" t="s">
        <v>18</v>
      </c>
      <c r="D4264" s="2" t="s">
        <v>69</v>
      </c>
      <c r="E4264" s="2" t="s">
        <v>27</v>
      </c>
      <c r="F4264" s="2">
        <v>50.0</v>
      </c>
      <c r="G4264" s="2">
        <v>8.0</v>
      </c>
      <c r="H4264" s="2">
        <v>4.0</v>
      </c>
      <c r="I4264" s="2">
        <v>4.0</v>
      </c>
      <c r="J4264" s="2">
        <v>0.0</v>
      </c>
      <c r="K4264" s="2">
        <v>0.0</v>
      </c>
      <c r="L4264" s="2">
        <v>0.0</v>
      </c>
      <c r="M4264" s="2">
        <v>46.0</v>
      </c>
      <c r="N4264" s="2"/>
      <c r="O4264" s="2"/>
      <c r="P4264" s="2" t="s">
        <v>67</v>
      </c>
    </row>
    <row r="4265">
      <c r="A4265" s="3" t="s">
        <v>81</v>
      </c>
      <c r="B4265" s="2" t="s">
        <v>17</v>
      </c>
      <c r="C4265" s="2" t="s">
        <v>18</v>
      </c>
      <c r="D4265" s="2" t="s">
        <v>23</v>
      </c>
      <c r="E4265" s="2" t="s">
        <v>27</v>
      </c>
      <c r="F4265" s="2">
        <v>462.0</v>
      </c>
      <c r="G4265" s="2">
        <v>75.0</v>
      </c>
      <c r="H4265" s="2">
        <v>37.0</v>
      </c>
      <c r="I4265" s="2">
        <v>38.0</v>
      </c>
      <c r="J4265" s="2">
        <v>0.0</v>
      </c>
      <c r="K4265" s="2">
        <v>0.0</v>
      </c>
      <c r="L4265" s="2">
        <v>0.0</v>
      </c>
      <c r="M4265" s="2">
        <v>425.0</v>
      </c>
      <c r="N4265" s="2">
        <v>-350.0</v>
      </c>
      <c r="O4265" s="2">
        <v>388.0</v>
      </c>
      <c r="P4265" s="2" t="s">
        <v>67</v>
      </c>
    </row>
    <row r="4266">
      <c r="A4266" s="3" t="s">
        <v>82</v>
      </c>
      <c r="B4266" s="4">
        <v>45201.29166666667</v>
      </c>
      <c r="C4266" s="2" t="s">
        <v>18</v>
      </c>
      <c r="D4266" s="2" t="s">
        <v>33</v>
      </c>
      <c r="E4266" s="2" t="s">
        <v>27</v>
      </c>
      <c r="F4266" s="2"/>
      <c r="G4266" s="2">
        <v>13.0</v>
      </c>
      <c r="H4266" s="2">
        <v>2.0</v>
      </c>
      <c r="I4266" s="2">
        <v>11.0</v>
      </c>
      <c r="J4266" s="2">
        <v>0.0</v>
      </c>
      <c r="K4266" s="2">
        <v>0.0</v>
      </c>
      <c r="L4266" s="2">
        <v>0.0</v>
      </c>
      <c r="M4266" s="2"/>
      <c r="N4266" s="2"/>
      <c r="O4266" s="2"/>
      <c r="P4266" s="2" t="s">
        <v>67</v>
      </c>
    </row>
    <row r="4267">
      <c r="A4267" s="3" t="s">
        <v>83</v>
      </c>
      <c r="B4267" s="4">
        <v>45202.29166666667</v>
      </c>
      <c r="C4267" s="2" t="s">
        <v>18</v>
      </c>
      <c r="D4267" s="2" t="s">
        <v>109</v>
      </c>
      <c r="E4267" s="2" t="s">
        <v>27</v>
      </c>
      <c r="F4267" s="2"/>
      <c r="G4267" s="2">
        <v>11.0</v>
      </c>
      <c r="H4267" s="2">
        <v>3.0</v>
      </c>
      <c r="I4267" s="2">
        <v>8.0</v>
      </c>
      <c r="J4267" s="2">
        <v>0.0</v>
      </c>
      <c r="K4267" s="2">
        <v>0.0</v>
      </c>
      <c r="L4267" s="2">
        <v>0.0</v>
      </c>
      <c r="M4267" s="2"/>
      <c r="N4267" s="2"/>
      <c r="O4267" s="2"/>
      <c r="P4267" s="2" t="s">
        <v>67</v>
      </c>
    </row>
    <row r="4268">
      <c r="A4268" s="3" t="s">
        <v>84</v>
      </c>
      <c r="B4268" s="4">
        <v>45203.29166666667</v>
      </c>
      <c r="C4268" s="2" t="s">
        <v>18</v>
      </c>
      <c r="D4268" s="2" t="s">
        <v>19</v>
      </c>
      <c r="E4268" s="2" t="s">
        <v>27</v>
      </c>
      <c r="F4268" s="2"/>
      <c r="G4268" s="2">
        <v>43.0</v>
      </c>
      <c r="H4268" s="2">
        <v>28.0</v>
      </c>
      <c r="I4268" s="2">
        <v>15.0</v>
      </c>
      <c r="J4268" s="2">
        <v>0.0</v>
      </c>
      <c r="K4268" s="2">
        <v>0.0</v>
      </c>
      <c r="L4268" s="2">
        <v>0.0</v>
      </c>
      <c r="M4268" s="2"/>
      <c r="N4268" s="2"/>
      <c r="O4268" s="2"/>
      <c r="P4268" s="2" t="s">
        <v>67</v>
      </c>
    </row>
    <row r="4269">
      <c r="A4269" s="3" t="s">
        <v>85</v>
      </c>
      <c r="B4269" s="4">
        <v>45204.29166666667</v>
      </c>
      <c r="C4269" s="2" t="s">
        <v>18</v>
      </c>
      <c r="D4269" s="2" t="s">
        <v>69</v>
      </c>
      <c r="E4269" s="2" t="s">
        <v>27</v>
      </c>
      <c r="F4269" s="2"/>
      <c r="G4269" s="2">
        <v>8.0</v>
      </c>
      <c r="H4269" s="2">
        <v>4.0</v>
      </c>
      <c r="I4269" s="2">
        <v>4.0</v>
      </c>
      <c r="J4269" s="2">
        <v>0.0</v>
      </c>
      <c r="K4269" s="2">
        <v>0.0</v>
      </c>
      <c r="L4269" s="2">
        <v>0.0</v>
      </c>
      <c r="M4269" s="2"/>
      <c r="N4269" s="2"/>
      <c r="O4269" s="2"/>
      <c r="P4269" s="2" t="s">
        <v>67</v>
      </c>
    </row>
    <row r="4270">
      <c r="A4270" s="3" t="s">
        <v>86</v>
      </c>
      <c r="B4270" s="2" t="s">
        <v>17</v>
      </c>
      <c r="C4270" s="2" t="s">
        <v>18</v>
      </c>
      <c r="D4270" s="2" t="s">
        <v>19</v>
      </c>
      <c r="E4270" s="2" t="s">
        <v>27</v>
      </c>
      <c r="F4270" s="2">
        <v>25.0</v>
      </c>
      <c r="G4270" s="2">
        <v>68.0</v>
      </c>
      <c r="H4270" s="2">
        <v>27.0</v>
      </c>
      <c r="I4270" s="2">
        <v>31.0</v>
      </c>
      <c r="J4270" s="2">
        <v>10.0</v>
      </c>
      <c r="K4270" s="2">
        <v>0.0</v>
      </c>
      <c r="L4270" s="2">
        <v>0.0</v>
      </c>
      <c r="M4270" s="2">
        <v>-2.0</v>
      </c>
      <c r="N4270" s="2"/>
      <c r="O4270" s="2"/>
      <c r="P4270" s="2" t="s">
        <v>146</v>
      </c>
    </row>
    <row r="4271">
      <c r="A4271" s="3" t="s">
        <v>87</v>
      </c>
      <c r="B4271" s="2" t="s">
        <v>17</v>
      </c>
      <c r="C4271" s="2" t="s">
        <v>18</v>
      </c>
      <c r="D4271" s="2" t="s">
        <v>23</v>
      </c>
      <c r="E4271" s="2" t="s">
        <v>27</v>
      </c>
      <c r="F4271" s="2">
        <v>25.0</v>
      </c>
      <c r="G4271" s="2">
        <v>68.0</v>
      </c>
      <c r="H4271" s="2">
        <v>27.0</v>
      </c>
      <c r="I4271" s="2">
        <v>31.0</v>
      </c>
      <c r="J4271" s="2">
        <v>10.0</v>
      </c>
      <c r="K4271" s="2">
        <v>0.0</v>
      </c>
      <c r="L4271" s="2">
        <v>0.0</v>
      </c>
      <c r="M4271" s="2">
        <v>-2.0</v>
      </c>
      <c r="N4271" s="2">
        <v>0.0</v>
      </c>
      <c r="O4271" s="2">
        <v>-29.0</v>
      </c>
      <c r="P4271" s="2" t="s">
        <v>146</v>
      </c>
    </row>
    <row r="4272">
      <c r="A4272" s="3" t="s">
        <v>88</v>
      </c>
      <c r="B4272" s="4">
        <v>45171.29166666667</v>
      </c>
      <c r="C4272" s="2" t="s">
        <v>18</v>
      </c>
      <c r="D4272" s="2" t="s">
        <v>19</v>
      </c>
      <c r="E4272" s="2" t="s">
        <v>27</v>
      </c>
      <c r="F4272" s="2"/>
      <c r="G4272" s="2">
        <v>30.0</v>
      </c>
      <c r="H4272" s="2">
        <v>12.0</v>
      </c>
      <c r="I4272" s="2">
        <v>8.0</v>
      </c>
      <c r="J4272" s="2">
        <v>10.0</v>
      </c>
      <c r="K4272" s="2">
        <v>0.0</v>
      </c>
      <c r="L4272" s="2">
        <v>0.0</v>
      </c>
      <c r="M4272" s="2"/>
      <c r="N4272" s="2"/>
      <c r="O4272" s="2"/>
      <c r="P4272" s="2" t="s">
        <v>146</v>
      </c>
    </row>
    <row r="4273">
      <c r="A4273" s="3" t="s">
        <v>89</v>
      </c>
      <c r="B4273" s="4">
        <v>45200.29166666667</v>
      </c>
      <c r="C4273" s="2" t="s">
        <v>18</v>
      </c>
      <c r="D4273" s="2" t="s">
        <v>19</v>
      </c>
      <c r="E4273" s="2" t="s">
        <v>27</v>
      </c>
      <c r="F4273" s="2"/>
      <c r="G4273" s="2">
        <v>38.0</v>
      </c>
      <c r="H4273" s="2">
        <v>15.0</v>
      </c>
      <c r="I4273" s="2">
        <v>23.0</v>
      </c>
      <c r="J4273" s="2">
        <v>0.0</v>
      </c>
      <c r="K4273" s="2">
        <v>0.0</v>
      </c>
      <c r="L4273" s="2">
        <v>0.0</v>
      </c>
      <c r="M4273" s="2"/>
      <c r="N4273" s="2"/>
      <c r="O4273" s="2"/>
      <c r="P4273" s="2" t="s">
        <v>146</v>
      </c>
    </row>
    <row r="4274">
      <c r="A4274" s="3" t="s">
        <v>90</v>
      </c>
      <c r="B4274" s="2" t="s">
        <v>17</v>
      </c>
      <c r="C4274" s="2" t="s">
        <v>18</v>
      </c>
      <c r="D4274" s="2" t="s">
        <v>164</v>
      </c>
      <c r="E4274" s="2" t="s">
        <v>165</v>
      </c>
      <c r="F4274" s="2">
        <v>10.0</v>
      </c>
      <c r="G4274" s="2">
        <v>31.0</v>
      </c>
      <c r="H4274" s="2">
        <v>13.0</v>
      </c>
      <c r="I4274" s="2">
        <v>18.0</v>
      </c>
      <c r="J4274" s="2">
        <v>0.0</v>
      </c>
      <c r="K4274" s="2">
        <v>0.0</v>
      </c>
      <c r="L4274" s="2">
        <v>0.0</v>
      </c>
      <c r="M4274" s="2">
        <v>-3.0</v>
      </c>
      <c r="N4274" s="2"/>
      <c r="O4274" s="2"/>
      <c r="P4274" s="2" t="s">
        <v>166</v>
      </c>
    </row>
    <row r="4275">
      <c r="A4275" s="3" t="s">
        <v>93</v>
      </c>
      <c r="B4275" s="2" t="s">
        <v>17</v>
      </c>
      <c r="C4275" s="2" t="s">
        <v>18</v>
      </c>
      <c r="D4275" s="2" t="s">
        <v>23</v>
      </c>
      <c r="E4275" s="2" t="s">
        <v>165</v>
      </c>
      <c r="F4275" s="2">
        <v>10.0</v>
      </c>
      <c r="G4275" s="2">
        <v>31.0</v>
      </c>
      <c r="H4275" s="2">
        <v>13.0</v>
      </c>
      <c r="I4275" s="2">
        <v>18.0</v>
      </c>
      <c r="J4275" s="2">
        <v>0.0</v>
      </c>
      <c r="K4275" s="2">
        <v>0.0</v>
      </c>
      <c r="L4275" s="2">
        <v>0.0</v>
      </c>
      <c r="M4275" s="2">
        <v>-3.0</v>
      </c>
      <c r="N4275" s="2">
        <v>0.0</v>
      </c>
      <c r="O4275" s="2">
        <v>-16.0</v>
      </c>
      <c r="P4275" s="2" t="s">
        <v>166</v>
      </c>
    </row>
    <row r="4276">
      <c r="A4276" s="3" t="s">
        <v>16</v>
      </c>
      <c r="B4276" s="4">
        <v>45232.25</v>
      </c>
      <c r="C4276" s="2" t="s">
        <v>18</v>
      </c>
      <c r="D4276" s="2" t="s">
        <v>164</v>
      </c>
      <c r="E4276" s="2" t="s">
        <v>165</v>
      </c>
      <c r="F4276" s="2"/>
      <c r="G4276" s="2">
        <v>31.0</v>
      </c>
      <c r="H4276" s="2">
        <v>13.0</v>
      </c>
      <c r="I4276" s="2">
        <v>18.0</v>
      </c>
      <c r="J4276" s="2">
        <v>0.0</v>
      </c>
      <c r="K4276" s="2">
        <v>0.0</v>
      </c>
      <c r="L4276" s="2">
        <v>0.0</v>
      </c>
      <c r="M4276" s="2"/>
      <c r="N4276" s="2"/>
      <c r="O4276" s="2"/>
      <c r="P4276" s="2" t="s">
        <v>166</v>
      </c>
    </row>
    <row r="4277">
      <c r="A4277" s="3" t="s">
        <v>94</v>
      </c>
      <c r="B4277" s="2" t="s">
        <v>17</v>
      </c>
      <c r="C4277" s="2" t="s">
        <v>18</v>
      </c>
      <c r="D4277" s="2" t="s">
        <v>91</v>
      </c>
      <c r="E4277" s="2" t="s">
        <v>283</v>
      </c>
      <c r="F4277" s="2">
        <v>11.0</v>
      </c>
      <c r="G4277" s="2">
        <v>1.0</v>
      </c>
      <c r="H4277" s="2">
        <v>1.0</v>
      </c>
      <c r="I4277" s="2">
        <v>0.0</v>
      </c>
      <c r="J4277" s="2">
        <v>0.0</v>
      </c>
      <c r="K4277" s="2">
        <v>0.0</v>
      </c>
      <c r="L4277" s="2">
        <v>0.0</v>
      </c>
      <c r="M4277" s="2">
        <v>10.0</v>
      </c>
      <c r="N4277" s="2"/>
      <c r="O4277" s="2"/>
      <c r="P4277" s="2" t="s">
        <v>146</v>
      </c>
    </row>
    <row r="4278">
      <c r="A4278" s="3" t="s">
        <v>95</v>
      </c>
      <c r="B4278" s="2" t="s">
        <v>17</v>
      </c>
      <c r="C4278" s="2" t="s">
        <v>18</v>
      </c>
      <c r="D4278" s="2" t="s">
        <v>19</v>
      </c>
      <c r="E4278" s="2" t="s">
        <v>283</v>
      </c>
      <c r="F4278" s="2">
        <v>15.0</v>
      </c>
      <c r="G4278" s="2">
        <v>13.0</v>
      </c>
      <c r="H4278" s="2">
        <v>9.0</v>
      </c>
      <c r="I4278" s="2">
        <v>4.0</v>
      </c>
      <c r="J4278" s="2">
        <v>0.0</v>
      </c>
      <c r="K4278" s="2">
        <v>0.0</v>
      </c>
      <c r="L4278" s="2">
        <v>0.0</v>
      </c>
      <c r="M4278" s="2">
        <v>6.0</v>
      </c>
      <c r="N4278" s="2"/>
      <c r="O4278" s="2"/>
      <c r="P4278" s="2" t="s">
        <v>146</v>
      </c>
    </row>
    <row r="4279">
      <c r="A4279" s="3" t="s">
        <v>97</v>
      </c>
      <c r="B4279" s="2" t="s">
        <v>17</v>
      </c>
      <c r="C4279" s="2" t="s">
        <v>18</v>
      </c>
      <c r="D4279" s="2" t="s">
        <v>23</v>
      </c>
      <c r="E4279" s="2" t="s">
        <v>283</v>
      </c>
      <c r="F4279" s="2">
        <v>15.0</v>
      </c>
      <c r="G4279" s="2">
        <v>14.0</v>
      </c>
      <c r="H4279" s="2">
        <v>10.0</v>
      </c>
      <c r="I4279" s="2">
        <v>4.0</v>
      </c>
      <c r="J4279" s="2">
        <v>0.0</v>
      </c>
      <c r="K4279" s="2">
        <v>0.0</v>
      </c>
      <c r="L4279" s="2">
        <v>0.0</v>
      </c>
      <c r="M4279" s="2">
        <v>5.0</v>
      </c>
      <c r="N4279" s="2">
        <v>-11.0</v>
      </c>
      <c r="O4279" s="2">
        <v>-5.0</v>
      </c>
      <c r="P4279" s="2" t="s">
        <v>146</v>
      </c>
    </row>
    <row r="4280">
      <c r="A4280" s="3" t="s">
        <v>98</v>
      </c>
      <c r="B4280" s="4">
        <v>45201.29166666667</v>
      </c>
      <c r="C4280" s="2" t="s">
        <v>18</v>
      </c>
      <c r="D4280" s="2" t="s">
        <v>19</v>
      </c>
      <c r="E4280" s="2" t="s">
        <v>283</v>
      </c>
      <c r="F4280" s="2"/>
      <c r="G4280" s="2">
        <v>5.0</v>
      </c>
      <c r="H4280" s="2">
        <v>3.0</v>
      </c>
      <c r="I4280" s="2">
        <v>2.0</v>
      </c>
      <c r="J4280" s="2">
        <v>0.0</v>
      </c>
      <c r="K4280" s="2">
        <v>0.0</v>
      </c>
      <c r="L4280" s="2">
        <v>0.0</v>
      </c>
      <c r="M4280" s="2"/>
      <c r="N4280" s="2"/>
      <c r="O4280" s="2"/>
      <c r="P4280" s="2" t="s">
        <v>146</v>
      </c>
    </row>
    <row r="4281">
      <c r="A4281" s="3" t="s">
        <v>99</v>
      </c>
      <c r="B4281" s="4">
        <v>45231.25</v>
      </c>
      <c r="C4281" s="2" t="s">
        <v>18</v>
      </c>
      <c r="D4281" s="2" t="s">
        <v>19</v>
      </c>
      <c r="E4281" s="2" t="s">
        <v>283</v>
      </c>
      <c r="F4281" s="2"/>
      <c r="G4281" s="2">
        <v>8.0</v>
      </c>
      <c r="H4281" s="2">
        <v>6.0</v>
      </c>
      <c r="I4281" s="2">
        <v>2.0</v>
      </c>
      <c r="J4281" s="2">
        <v>0.0</v>
      </c>
      <c r="K4281" s="2">
        <v>0.0</v>
      </c>
      <c r="L4281" s="2">
        <v>0.0</v>
      </c>
      <c r="M4281" s="2"/>
      <c r="N4281" s="2"/>
      <c r="O4281" s="2"/>
      <c r="P4281" s="2" t="s">
        <v>146</v>
      </c>
    </row>
    <row r="4282">
      <c r="A4282" s="3" t="s">
        <v>100</v>
      </c>
      <c r="B4282" s="4">
        <v>45231.25</v>
      </c>
      <c r="C4282" s="2" t="s">
        <v>18</v>
      </c>
      <c r="D4282" s="2" t="s">
        <v>91</v>
      </c>
      <c r="E4282" s="2" t="s">
        <v>283</v>
      </c>
      <c r="F4282" s="2"/>
      <c r="G4282" s="2">
        <v>1.0</v>
      </c>
      <c r="H4282" s="2">
        <v>1.0</v>
      </c>
      <c r="I4282" s="2">
        <v>0.0</v>
      </c>
      <c r="J4282" s="2">
        <v>0.0</v>
      </c>
      <c r="K4282" s="2">
        <v>0.0</v>
      </c>
      <c r="L4282" s="2">
        <v>0.0</v>
      </c>
      <c r="M4282" s="2"/>
      <c r="N4282" s="2"/>
      <c r="O4282" s="2"/>
      <c r="P4282" s="2" t="s">
        <v>146</v>
      </c>
    </row>
    <row r="4283">
      <c r="A4283" s="3" t="s">
        <v>101</v>
      </c>
      <c r="B4283" s="2" t="s">
        <v>17</v>
      </c>
      <c r="C4283" s="2" t="s">
        <v>18</v>
      </c>
      <c r="D4283" s="2" t="s">
        <v>164</v>
      </c>
      <c r="E4283" s="2" t="s">
        <v>165</v>
      </c>
      <c r="F4283" s="2">
        <v>772.0</v>
      </c>
      <c r="G4283" s="2">
        <v>1285.0</v>
      </c>
      <c r="H4283" s="2">
        <v>609.0</v>
      </c>
      <c r="I4283" s="2">
        <v>676.0</v>
      </c>
      <c r="J4283" s="2">
        <v>0.0</v>
      </c>
      <c r="K4283" s="2">
        <v>0.0</v>
      </c>
      <c r="L4283" s="2">
        <v>0.0</v>
      </c>
      <c r="M4283" s="2">
        <v>163.0</v>
      </c>
      <c r="N4283" s="2"/>
      <c r="O4283" s="2"/>
      <c r="P4283" s="2" t="s">
        <v>166</v>
      </c>
    </row>
    <row r="4284">
      <c r="A4284" s="3" t="s">
        <v>102</v>
      </c>
      <c r="B4284" s="2" t="s">
        <v>17</v>
      </c>
      <c r="C4284" s="2" t="s">
        <v>18</v>
      </c>
      <c r="D4284" s="2" t="s">
        <v>23</v>
      </c>
      <c r="E4284" s="2" t="s">
        <v>165</v>
      </c>
      <c r="F4284" s="2">
        <v>772.0</v>
      </c>
      <c r="G4284" s="2">
        <v>1285.0</v>
      </c>
      <c r="H4284" s="2">
        <v>609.0</v>
      </c>
      <c r="I4284" s="2">
        <v>676.0</v>
      </c>
      <c r="J4284" s="2">
        <v>0.0</v>
      </c>
      <c r="K4284" s="2">
        <v>0.0</v>
      </c>
      <c r="L4284" s="2">
        <v>0.0</v>
      </c>
      <c r="M4284" s="2">
        <v>163.0</v>
      </c>
      <c r="N4284" s="2">
        <v>-772.0</v>
      </c>
      <c r="O4284" s="2">
        <v>-446.0</v>
      </c>
      <c r="P4284" s="2" t="s">
        <v>166</v>
      </c>
    </row>
    <row r="4285">
      <c r="A4285" s="3" t="s">
        <v>103</v>
      </c>
      <c r="B4285" s="4">
        <v>45019.29166666667</v>
      </c>
      <c r="C4285" s="2" t="s">
        <v>18</v>
      </c>
      <c r="D4285" s="2" t="s">
        <v>164</v>
      </c>
      <c r="E4285" s="2" t="s">
        <v>165</v>
      </c>
      <c r="F4285" s="2">
        <v>48.0</v>
      </c>
      <c r="G4285" s="2">
        <v>109.0</v>
      </c>
      <c r="H4285" s="2">
        <v>48.0</v>
      </c>
      <c r="I4285" s="2">
        <v>61.0</v>
      </c>
      <c r="J4285" s="2">
        <v>0.0</v>
      </c>
      <c r="K4285" s="2">
        <v>0.0</v>
      </c>
      <c r="L4285" s="2">
        <v>0.0</v>
      </c>
      <c r="M4285" s="2"/>
      <c r="N4285" s="2"/>
      <c r="O4285" s="2"/>
      <c r="P4285" s="2" t="s">
        <v>166</v>
      </c>
    </row>
    <row r="4286">
      <c r="A4286" s="3" t="s">
        <v>104</v>
      </c>
      <c r="B4286" s="4">
        <v>45077.29166666667</v>
      </c>
      <c r="C4286" s="2" t="s">
        <v>18</v>
      </c>
      <c r="D4286" s="2" t="s">
        <v>164</v>
      </c>
      <c r="E4286" s="2" t="s">
        <v>165</v>
      </c>
      <c r="F4286" s="2">
        <v>353.0</v>
      </c>
      <c r="G4286" s="2">
        <v>675.0</v>
      </c>
      <c r="H4286" s="2">
        <v>353.0</v>
      </c>
      <c r="I4286" s="2">
        <v>322.0</v>
      </c>
      <c r="J4286" s="2">
        <v>0.0</v>
      </c>
      <c r="K4286" s="2">
        <v>0.0</v>
      </c>
      <c r="L4286" s="2">
        <v>0.0</v>
      </c>
      <c r="M4286" s="2"/>
      <c r="N4286" s="2"/>
      <c r="O4286" s="2"/>
      <c r="P4286" s="2" t="s">
        <v>166</v>
      </c>
    </row>
    <row r="4287">
      <c r="A4287" s="3" t="s">
        <v>105</v>
      </c>
      <c r="B4287" s="4">
        <v>45106.29166666667</v>
      </c>
      <c r="C4287" s="2" t="s">
        <v>18</v>
      </c>
      <c r="D4287" s="2" t="s">
        <v>164</v>
      </c>
      <c r="E4287" s="2" t="s">
        <v>165</v>
      </c>
      <c r="F4287" s="2">
        <v>208.0</v>
      </c>
      <c r="G4287" s="2">
        <v>447.0</v>
      </c>
      <c r="H4287" s="2">
        <v>208.0</v>
      </c>
      <c r="I4287" s="2">
        <v>239.0</v>
      </c>
      <c r="J4287" s="2">
        <v>0.0</v>
      </c>
      <c r="K4287" s="2">
        <v>0.0</v>
      </c>
      <c r="L4287" s="2">
        <v>0.0</v>
      </c>
      <c r="M4287" s="2"/>
      <c r="N4287" s="2"/>
      <c r="O4287" s="2"/>
      <c r="P4287" s="2" t="s">
        <v>166</v>
      </c>
    </row>
    <row r="4288">
      <c r="A4288" s="3" t="s">
        <v>106</v>
      </c>
      <c r="B4288" s="4">
        <v>45139.29166666667</v>
      </c>
      <c r="C4288" s="2" t="s">
        <v>18</v>
      </c>
      <c r="D4288" s="2" t="s">
        <v>164</v>
      </c>
      <c r="E4288" s="2" t="s">
        <v>165</v>
      </c>
      <c r="F4288" s="2">
        <v>163.0</v>
      </c>
      <c r="G4288" s="2">
        <v>54.0</v>
      </c>
      <c r="H4288" s="2">
        <v>0.0</v>
      </c>
      <c r="I4288" s="2">
        <v>54.0</v>
      </c>
      <c r="J4288" s="2">
        <v>0.0</v>
      </c>
      <c r="K4288" s="2">
        <v>0.0</v>
      </c>
      <c r="L4288" s="2">
        <v>0.0</v>
      </c>
      <c r="M4288" s="2"/>
      <c r="N4288" s="2"/>
      <c r="O4288" s="2"/>
      <c r="P4288" s="2" t="s">
        <v>166</v>
      </c>
    </row>
    <row r="4289">
      <c r="A4289" s="3" t="s">
        <v>107</v>
      </c>
      <c r="B4289" s="2" t="s">
        <v>17</v>
      </c>
      <c r="C4289" s="2" t="s">
        <v>18</v>
      </c>
      <c r="D4289" s="2" t="s">
        <v>164</v>
      </c>
      <c r="E4289" s="2" t="s">
        <v>165</v>
      </c>
      <c r="F4289" s="2">
        <v>511.0</v>
      </c>
      <c r="G4289" s="2">
        <v>649.0</v>
      </c>
      <c r="H4289" s="2">
        <v>339.0</v>
      </c>
      <c r="I4289" s="2">
        <v>310.0</v>
      </c>
      <c r="J4289" s="2">
        <v>0.0</v>
      </c>
      <c r="K4289" s="2">
        <v>0.0</v>
      </c>
      <c r="L4289" s="2">
        <v>0.0</v>
      </c>
      <c r="M4289" s="2">
        <v>172.0</v>
      </c>
      <c r="N4289" s="2"/>
      <c r="O4289" s="2"/>
      <c r="P4289" s="2" t="s">
        <v>166</v>
      </c>
    </row>
    <row r="4290">
      <c r="A4290" s="3" t="s">
        <v>108</v>
      </c>
      <c r="B4290" s="2" t="s">
        <v>17</v>
      </c>
      <c r="C4290" s="2" t="s">
        <v>18</v>
      </c>
      <c r="D4290" s="2" t="s">
        <v>23</v>
      </c>
      <c r="E4290" s="2" t="s">
        <v>165</v>
      </c>
      <c r="F4290" s="2">
        <v>511.0</v>
      </c>
      <c r="G4290" s="2">
        <v>649.0</v>
      </c>
      <c r="H4290" s="2">
        <v>339.0</v>
      </c>
      <c r="I4290" s="2">
        <v>310.0</v>
      </c>
      <c r="J4290" s="2">
        <v>0.0</v>
      </c>
      <c r="K4290" s="2">
        <v>0.0</v>
      </c>
      <c r="L4290" s="2">
        <v>0.0</v>
      </c>
      <c r="M4290" s="2">
        <v>172.0</v>
      </c>
      <c r="N4290" s="2">
        <v>-511.0</v>
      </c>
      <c r="O4290" s="2">
        <v>-167.0</v>
      </c>
      <c r="P4290" s="2" t="s">
        <v>166</v>
      </c>
    </row>
    <row r="4291">
      <c r="A4291" s="3" t="s">
        <v>112</v>
      </c>
      <c r="B4291" s="4">
        <v>45019.29166666667</v>
      </c>
      <c r="C4291" s="2" t="s">
        <v>18</v>
      </c>
      <c r="D4291" s="2" t="s">
        <v>164</v>
      </c>
      <c r="E4291" s="2" t="s">
        <v>165</v>
      </c>
      <c r="F4291" s="2">
        <v>25.0</v>
      </c>
      <c r="G4291" s="2">
        <v>72.0</v>
      </c>
      <c r="H4291" s="2">
        <v>25.0</v>
      </c>
      <c r="I4291" s="2">
        <v>47.0</v>
      </c>
      <c r="J4291" s="2">
        <v>0.0</v>
      </c>
      <c r="K4291" s="2">
        <v>0.0</v>
      </c>
      <c r="L4291" s="2">
        <v>0.0</v>
      </c>
      <c r="M4291" s="2"/>
      <c r="N4291" s="2"/>
      <c r="O4291" s="2"/>
      <c r="P4291" s="2" t="s">
        <v>166</v>
      </c>
    </row>
    <row r="4292">
      <c r="A4292" s="3" t="s">
        <v>115</v>
      </c>
      <c r="B4292" s="4">
        <v>45077.29166666667</v>
      </c>
      <c r="C4292" s="2" t="s">
        <v>18</v>
      </c>
      <c r="D4292" s="2" t="s">
        <v>164</v>
      </c>
      <c r="E4292" s="2" t="s">
        <v>165</v>
      </c>
      <c r="F4292" s="2">
        <v>296.0</v>
      </c>
      <c r="G4292" s="2">
        <v>499.0</v>
      </c>
      <c r="H4292" s="2">
        <v>296.0</v>
      </c>
      <c r="I4292" s="2">
        <v>203.0</v>
      </c>
      <c r="J4292" s="2">
        <v>0.0</v>
      </c>
      <c r="K4292" s="2">
        <v>0.0</v>
      </c>
      <c r="L4292" s="2">
        <v>0.0</v>
      </c>
      <c r="M4292" s="2"/>
      <c r="N4292" s="2"/>
      <c r="O4292" s="2"/>
      <c r="P4292" s="2" t="s">
        <v>166</v>
      </c>
    </row>
    <row r="4293">
      <c r="A4293" s="3" t="s">
        <v>117</v>
      </c>
      <c r="B4293" s="4">
        <v>45105.29166666667</v>
      </c>
      <c r="C4293" s="2" t="s">
        <v>18</v>
      </c>
      <c r="D4293" s="2" t="s">
        <v>164</v>
      </c>
      <c r="E4293" s="2" t="s">
        <v>165</v>
      </c>
      <c r="F4293" s="2">
        <v>18.0</v>
      </c>
      <c r="G4293" s="2">
        <v>29.0</v>
      </c>
      <c r="H4293" s="2">
        <v>18.0</v>
      </c>
      <c r="I4293" s="2">
        <v>11.0</v>
      </c>
      <c r="J4293" s="2">
        <v>0.0</v>
      </c>
      <c r="K4293" s="2">
        <v>0.0</v>
      </c>
      <c r="L4293" s="2">
        <v>0.0</v>
      </c>
      <c r="M4293" s="2"/>
      <c r="N4293" s="2"/>
      <c r="O4293" s="2"/>
      <c r="P4293" s="2" t="s">
        <v>166</v>
      </c>
    </row>
    <row r="4294">
      <c r="A4294" s="3" t="s">
        <v>119</v>
      </c>
      <c r="B4294" s="4">
        <v>45139.29166666667</v>
      </c>
      <c r="C4294" s="2" t="s">
        <v>18</v>
      </c>
      <c r="D4294" s="2" t="s">
        <v>164</v>
      </c>
      <c r="E4294" s="2" t="s">
        <v>165</v>
      </c>
      <c r="F4294" s="2">
        <v>172.0</v>
      </c>
      <c r="G4294" s="2">
        <v>49.0</v>
      </c>
      <c r="H4294" s="2">
        <v>0.0</v>
      </c>
      <c r="I4294" s="2">
        <v>49.0</v>
      </c>
      <c r="J4294" s="2">
        <v>0.0</v>
      </c>
      <c r="K4294" s="2">
        <v>0.0</v>
      </c>
      <c r="L4294" s="2">
        <v>0.0</v>
      </c>
      <c r="M4294" s="2"/>
      <c r="N4294" s="2"/>
      <c r="O4294" s="2"/>
      <c r="P4294" s="2" t="s">
        <v>166</v>
      </c>
    </row>
    <row r="4295">
      <c r="A4295" s="3" t="s">
        <v>121</v>
      </c>
      <c r="B4295" s="2" t="s">
        <v>17</v>
      </c>
      <c r="C4295" s="2" t="s">
        <v>18</v>
      </c>
      <c r="D4295" s="2" t="s">
        <v>79</v>
      </c>
      <c r="E4295" s="2" t="s">
        <v>165</v>
      </c>
      <c r="F4295" s="2">
        <v>40.0</v>
      </c>
      <c r="G4295" s="2">
        <v>94.0</v>
      </c>
      <c r="H4295" s="2">
        <v>40.0</v>
      </c>
      <c r="I4295" s="2">
        <v>54.0</v>
      </c>
      <c r="J4295" s="2">
        <v>0.0</v>
      </c>
      <c r="K4295" s="2">
        <v>0.0</v>
      </c>
      <c r="L4295" s="2">
        <v>0.0</v>
      </c>
      <c r="M4295" s="2">
        <v>0.0</v>
      </c>
      <c r="N4295" s="2"/>
      <c r="O4295" s="2"/>
      <c r="P4295" s="2" t="s">
        <v>166</v>
      </c>
    </row>
    <row r="4296">
      <c r="A4296" s="3" t="s">
        <v>16</v>
      </c>
      <c r="B4296" s="2" t="s">
        <v>17</v>
      </c>
      <c r="C4296" s="2" t="s">
        <v>18</v>
      </c>
      <c r="D4296" s="2" t="s">
        <v>23</v>
      </c>
      <c r="E4296" s="2" t="s">
        <v>165</v>
      </c>
      <c r="F4296" s="2">
        <v>40.0</v>
      </c>
      <c r="G4296" s="2">
        <v>94.0</v>
      </c>
      <c r="H4296" s="2">
        <v>40.0</v>
      </c>
      <c r="I4296" s="2">
        <v>54.0</v>
      </c>
      <c r="J4296" s="2">
        <v>0.0</v>
      </c>
      <c r="K4296" s="2">
        <v>0.0</v>
      </c>
      <c r="L4296" s="2">
        <v>0.0</v>
      </c>
      <c r="M4296" s="2">
        <v>0.0</v>
      </c>
      <c r="N4296" s="2">
        <v>0.0</v>
      </c>
      <c r="O4296" s="2">
        <v>-40.0</v>
      </c>
      <c r="P4296" s="2" t="s">
        <v>166</v>
      </c>
    </row>
    <row r="4297">
      <c r="A4297" s="3" t="s">
        <v>124</v>
      </c>
      <c r="B4297" s="4">
        <v>45112.29166666667</v>
      </c>
      <c r="C4297" s="2" t="s">
        <v>18</v>
      </c>
      <c r="D4297" s="2" t="s">
        <v>79</v>
      </c>
      <c r="E4297" s="2" t="s">
        <v>165</v>
      </c>
      <c r="F4297" s="2"/>
      <c r="G4297" s="2">
        <v>42.0</v>
      </c>
      <c r="H4297" s="2">
        <v>22.0</v>
      </c>
      <c r="I4297" s="2">
        <v>20.0</v>
      </c>
      <c r="J4297" s="2">
        <v>0.0</v>
      </c>
      <c r="K4297" s="2">
        <v>0.0</v>
      </c>
      <c r="L4297" s="2">
        <v>0.0</v>
      </c>
      <c r="M4297" s="2"/>
      <c r="N4297" s="2"/>
      <c r="O4297" s="2"/>
      <c r="P4297" s="2" t="s">
        <v>166</v>
      </c>
    </row>
    <row r="4298">
      <c r="A4298" s="3" t="s">
        <v>126</v>
      </c>
      <c r="B4298" s="4">
        <v>45139.29166666667</v>
      </c>
      <c r="C4298" s="2" t="s">
        <v>18</v>
      </c>
      <c r="D4298" s="2" t="s">
        <v>79</v>
      </c>
      <c r="E4298" s="2" t="s">
        <v>165</v>
      </c>
      <c r="F4298" s="2"/>
      <c r="G4298" s="2">
        <v>52.0</v>
      </c>
      <c r="H4298" s="2">
        <v>18.0</v>
      </c>
      <c r="I4298" s="2">
        <v>34.0</v>
      </c>
      <c r="J4298" s="2">
        <v>0.0</v>
      </c>
      <c r="K4298" s="2">
        <v>0.0</v>
      </c>
      <c r="L4298" s="2">
        <v>0.0</v>
      </c>
      <c r="M4298" s="2"/>
      <c r="N4298" s="2"/>
      <c r="O4298" s="2"/>
      <c r="P4298" s="2" t="s">
        <v>166</v>
      </c>
    </row>
    <row r="4299">
      <c r="A4299" s="3" t="s">
        <v>128</v>
      </c>
      <c r="B4299" s="2" t="s">
        <v>17</v>
      </c>
      <c r="C4299" s="2" t="s">
        <v>18</v>
      </c>
      <c r="D4299" s="2" t="s">
        <v>19</v>
      </c>
      <c r="E4299" s="2" t="s">
        <v>149</v>
      </c>
      <c r="F4299" s="2">
        <v>30.0</v>
      </c>
      <c r="G4299" s="2">
        <v>22.0</v>
      </c>
      <c r="H4299" s="2">
        <v>19.0</v>
      </c>
      <c r="I4299" s="2">
        <v>3.0</v>
      </c>
      <c r="J4299" s="2">
        <v>0.0</v>
      </c>
      <c r="K4299" s="2">
        <v>0.0</v>
      </c>
      <c r="L4299" s="2">
        <v>0.0</v>
      </c>
      <c r="M4299" s="2">
        <v>11.0</v>
      </c>
      <c r="N4299" s="2"/>
      <c r="O4299" s="2"/>
      <c r="P4299" s="2" t="s">
        <v>153</v>
      </c>
    </row>
    <row r="4300">
      <c r="A4300" s="3" t="s">
        <v>129</v>
      </c>
      <c r="B4300" s="2" t="s">
        <v>17</v>
      </c>
      <c r="C4300" s="2" t="s">
        <v>18</v>
      </c>
      <c r="D4300" s="2" t="s">
        <v>23</v>
      </c>
      <c r="E4300" s="2" t="s">
        <v>149</v>
      </c>
      <c r="F4300" s="2">
        <v>30.0</v>
      </c>
      <c r="G4300" s="2">
        <v>22.0</v>
      </c>
      <c r="H4300" s="2">
        <v>19.0</v>
      </c>
      <c r="I4300" s="2">
        <v>3.0</v>
      </c>
      <c r="J4300" s="2">
        <v>0.0</v>
      </c>
      <c r="K4300" s="2">
        <v>0.0</v>
      </c>
      <c r="L4300" s="2">
        <v>0.0</v>
      </c>
      <c r="M4300" s="2">
        <v>11.0</v>
      </c>
      <c r="N4300" s="2">
        <v>0.0</v>
      </c>
      <c r="O4300" s="2">
        <v>-8.0</v>
      </c>
      <c r="P4300" s="2" t="s">
        <v>153</v>
      </c>
    </row>
    <row r="4301">
      <c r="A4301" s="3" t="s">
        <v>130</v>
      </c>
      <c r="B4301" s="4">
        <v>45111.29166666667</v>
      </c>
      <c r="C4301" s="2" t="s">
        <v>18</v>
      </c>
      <c r="D4301" s="2" t="s">
        <v>19</v>
      </c>
      <c r="E4301" s="2" t="s">
        <v>149</v>
      </c>
      <c r="F4301" s="2"/>
      <c r="G4301" s="2">
        <v>19.0</v>
      </c>
      <c r="H4301" s="2">
        <v>16.0</v>
      </c>
      <c r="I4301" s="2">
        <v>3.0</v>
      </c>
      <c r="J4301" s="2">
        <v>0.0</v>
      </c>
      <c r="K4301" s="2">
        <v>0.0</v>
      </c>
      <c r="L4301" s="2">
        <v>0.0</v>
      </c>
      <c r="M4301" s="2"/>
      <c r="N4301" s="2"/>
      <c r="O4301" s="2"/>
      <c r="P4301" s="2" t="s">
        <v>153</v>
      </c>
    </row>
    <row r="4302">
      <c r="A4302" s="3" t="s">
        <v>131</v>
      </c>
      <c r="B4302" s="4">
        <v>45139.29166666667</v>
      </c>
      <c r="C4302" s="2" t="s">
        <v>18</v>
      </c>
      <c r="D4302" s="2" t="s">
        <v>19</v>
      </c>
      <c r="E4302" s="2" t="s">
        <v>149</v>
      </c>
      <c r="F4302" s="2"/>
      <c r="G4302" s="2">
        <v>3.0</v>
      </c>
      <c r="H4302" s="2">
        <v>3.0</v>
      </c>
      <c r="I4302" s="2">
        <v>0.0</v>
      </c>
      <c r="J4302" s="2">
        <v>0.0</v>
      </c>
      <c r="K4302" s="2">
        <v>0.0</v>
      </c>
      <c r="L4302" s="2">
        <v>0.0</v>
      </c>
      <c r="M4302" s="2"/>
      <c r="N4302" s="2"/>
      <c r="O4302" s="2"/>
      <c r="P4302" s="2" t="s">
        <v>153</v>
      </c>
    </row>
    <row r="4303">
      <c r="A4303" s="3" t="s">
        <v>132</v>
      </c>
      <c r="B4303" s="2" t="s">
        <v>17</v>
      </c>
      <c r="C4303" s="2" t="s">
        <v>18</v>
      </c>
      <c r="D4303" s="2" t="s">
        <v>313</v>
      </c>
      <c r="E4303" s="2" t="s">
        <v>165</v>
      </c>
      <c r="F4303" s="2">
        <v>136.0</v>
      </c>
      <c r="G4303" s="2">
        <v>181.0</v>
      </c>
      <c r="H4303" s="2">
        <v>88.0</v>
      </c>
      <c r="I4303" s="2">
        <v>93.0</v>
      </c>
      <c r="J4303" s="2">
        <v>0.0</v>
      </c>
      <c r="K4303" s="2">
        <v>0.0</v>
      </c>
      <c r="L4303" s="2">
        <v>0.0</v>
      </c>
      <c r="M4303" s="2">
        <v>48.0</v>
      </c>
      <c r="N4303" s="2"/>
      <c r="O4303" s="2"/>
      <c r="P4303" s="2" t="s">
        <v>166</v>
      </c>
    </row>
    <row r="4304">
      <c r="A4304" s="3" t="s">
        <v>133</v>
      </c>
      <c r="B4304" s="2" t="s">
        <v>17</v>
      </c>
      <c r="C4304" s="2" t="s">
        <v>18</v>
      </c>
      <c r="D4304" s="2" t="s">
        <v>23</v>
      </c>
      <c r="E4304" s="2" t="s">
        <v>165</v>
      </c>
      <c r="F4304" s="2">
        <v>136.0</v>
      </c>
      <c r="G4304" s="2">
        <v>181.0</v>
      </c>
      <c r="H4304" s="2">
        <v>88.0</v>
      </c>
      <c r="I4304" s="2">
        <v>93.0</v>
      </c>
      <c r="J4304" s="2">
        <v>0.0</v>
      </c>
      <c r="K4304" s="2">
        <v>0.0</v>
      </c>
      <c r="L4304" s="2">
        <v>0.0</v>
      </c>
      <c r="M4304" s="2">
        <v>48.0</v>
      </c>
      <c r="N4304" s="2">
        <v>-134.0</v>
      </c>
      <c r="O4304" s="2">
        <v>-40.0</v>
      </c>
      <c r="P4304" s="2" t="s">
        <v>166</v>
      </c>
    </row>
    <row r="4305">
      <c r="A4305" s="3" t="s">
        <v>134</v>
      </c>
      <c r="B4305" s="4">
        <v>45016.29166666667</v>
      </c>
      <c r="C4305" s="2" t="s">
        <v>18</v>
      </c>
      <c r="D4305" s="2" t="s">
        <v>313</v>
      </c>
      <c r="E4305" s="2" t="s">
        <v>165</v>
      </c>
      <c r="F4305" s="2">
        <v>18.0</v>
      </c>
      <c r="G4305" s="2">
        <v>33.0</v>
      </c>
      <c r="H4305" s="2">
        <v>17.0</v>
      </c>
      <c r="I4305" s="2">
        <v>16.0</v>
      </c>
      <c r="J4305" s="2">
        <v>0.0</v>
      </c>
      <c r="K4305" s="2">
        <v>0.0</v>
      </c>
      <c r="L4305" s="2">
        <v>0.0</v>
      </c>
      <c r="M4305" s="2"/>
      <c r="N4305" s="2"/>
      <c r="O4305" s="2"/>
      <c r="P4305" s="2" t="s">
        <v>166</v>
      </c>
    </row>
    <row r="4306">
      <c r="A4306" s="3" t="s">
        <v>136</v>
      </c>
      <c r="B4306" s="4">
        <v>45045.29166666667</v>
      </c>
      <c r="C4306" s="2" t="s">
        <v>18</v>
      </c>
      <c r="D4306" s="2" t="s">
        <v>313</v>
      </c>
      <c r="E4306" s="2" t="s">
        <v>165</v>
      </c>
      <c r="F4306" s="2">
        <v>10.0</v>
      </c>
      <c r="G4306" s="2">
        <v>25.0</v>
      </c>
      <c r="H4306" s="2">
        <v>10.0</v>
      </c>
      <c r="I4306" s="2">
        <v>15.0</v>
      </c>
      <c r="J4306" s="2">
        <v>0.0</v>
      </c>
      <c r="K4306" s="2">
        <v>0.0</v>
      </c>
      <c r="L4306" s="2">
        <v>0.0</v>
      </c>
      <c r="M4306" s="2"/>
      <c r="N4306" s="2"/>
      <c r="O4306" s="2"/>
      <c r="P4306" s="2" t="s">
        <v>166</v>
      </c>
    </row>
    <row r="4307">
      <c r="A4307" s="3" t="s">
        <v>137</v>
      </c>
      <c r="B4307" s="4">
        <v>45047.29166666667</v>
      </c>
      <c r="C4307" s="2" t="s">
        <v>18</v>
      </c>
      <c r="D4307" s="2" t="s">
        <v>313</v>
      </c>
      <c r="E4307" s="2" t="s">
        <v>165</v>
      </c>
      <c r="F4307" s="2">
        <v>15.0</v>
      </c>
      <c r="G4307" s="2">
        <v>39.0</v>
      </c>
      <c r="H4307" s="2">
        <v>15.0</v>
      </c>
      <c r="I4307" s="2">
        <v>24.0</v>
      </c>
      <c r="J4307" s="2">
        <v>0.0</v>
      </c>
      <c r="K4307" s="2">
        <v>0.0</v>
      </c>
      <c r="L4307" s="2">
        <v>0.0</v>
      </c>
      <c r="M4307" s="2"/>
      <c r="N4307" s="2"/>
      <c r="O4307" s="2"/>
      <c r="P4307" s="2" t="s">
        <v>166</v>
      </c>
    </row>
    <row r="4308">
      <c r="A4308" s="3" t="s">
        <v>138</v>
      </c>
      <c r="B4308" s="4">
        <v>45078.29166666667</v>
      </c>
      <c r="C4308" s="2" t="s">
        <v>18</v>
      </c>
      <c r="D4308" s="2" t="s">
        <v>313</v>
      </c>
      <c r="E4308" s="2" t="s">
        <v>165</v>
      </c>
      <c r="F4308" s="2">
        <v>21.0</v>
      </c>
      <c r="G4308" s="2">
        <v>59.0</v>
      </c>
      <c r="H4308" s="2">
        <v>26.0</v>
      </c>
      <c r="I4308" s="2">
        <v>33.0</v>
      </c>
      <c r="J4308" s="2">
        <v>0.0</v>
      </c>
      <c r="K4308" s="2">
        <v>0.0</v>
      </c>
      <c r="L4308" s="2">
        <v>0.0</v>
      </c>
      <c r="M4308" s="2"/>
      <c r="N4308" s="2"/>
      <c r="O4308" s="2"/>
      <c r="P4308" s="2" t="s">
        <v>166</v>
      </c>
    </row>
    <row r="4309">
      <c r="A4309" s="3" t="s">
        <v>139</v>
      </c>
      <c r="B4309" s="4">
        <v>45108.29166666667</v>
      </c>
      <c r="C4309" s="2" t="s">
        <v>18</v>
      </c>
      <c r="D4309" s="2" t="s">
        <v>313</v>
      </c>
      <c r="E4309" s="2" t="s">
        <v>165</v>
      </c>
      <c r="F4309" s="2">
        <v>20.0</v>
      </c>
      <c r="G4309" s="2">
        <v>25.0</v>
      </c>
      <c r="H4309" s="2">
        <v>20.0</v>
      </c>
      <c r="I4309" s="2">
        <v>5.0</v>
      </c>
      <c r="J4309" s="2">
        <v>0.0</v>
      </c>
      <c r="K4309" s="2">
        <v>0.0</v>
      </c>
      <c r="L4309" s="2">
        <v>0.0</v>
      </c>
      <c r="M4309" s="2"/>
      <c r="N4309" s="2"/>
      <c r="O4309" s="2"/>
      <c r="P4309" s="2" t="s">
        <v>166</v>
      </c>
    </row>
    <row r="4310">
      <c r="A4310" s="3" t="s">
        <v>140</v>
      </c>
      <c r="B4310" s="4">
        <v>45139.29166666667</v>
      </c>
      <c r="C4310" s="2" t="s">
        <v>18</v>
      </c>
      <c r="D4310" s="2" t="s">
        <v>313</v>
      </c>
      <c r="E4310" s="2" t="s">
        <v>165</v>
      </c>
      <c r="F4310" s="2">
        <v>10.0</v>
      </c>
      <c r="G4310" s="2">
        <v>0.0</v>
      </c>
      <c r="H4310" s="2">
        <v>0.0</v>
      </c>
      <c r="I4310" s="2">
        <v>0.0</v>
      </c>
      <c r="J4310" s="2">
        <v>0.0</v>
      </c>
      <c r="K4310" s="2">
        <v>0.0</v>
      </c>
      <c r="L4310" s="2">
        <v>0.0</v>
      </c>
      <c r="M4310" s="2"/>
      <c r="N4310" s="2"/>
      <c r="O4310" s="2"/>
      <c r="P4310" s="2" t="s">
        <v>166</v>
      </c>
    </row>
    <row r="4311">
      <c r="A4311" s="3" t="s">
        <v>141</v>
      </c>
      <c r="B4311" s="4">
        <v>45170.29166666667</v>
      </c>
      <c r="C4311" s="2" t="s">
        <v>18</v>
      </c>
      <c r="D4311" s="2" t="s">
        <v>313</v>
      </c>
      <c r="E4311" s="2" t="s">
        <v>165</v>
      </c>
      <c r="F4311" s="2">
        <v>10.0</v>
      </c>
      <c r="G4311" s="2">
        <v>0.0</v>
      </c>
      <c r="H4311" s="2">
        <v>0.0</v>
      </c>
      <c r="I4311" s="2">
        <v>0.0</v>
      </c>
      <c r="J4311" s="2">
        <v>0.0</v>
      </c>
      <c r="K4311" s="2">
        <v>0.0</v>
      </c>
      <c r="L4311" s="2">
        <v>0.0</v>
      </c>
      <c r="M4311" s="2"/>
      <c r="N4311" s="2"/>
      <c r="O4311" s="2"/>
      <c r="P4311" s="2" t="s">
        <v>166</v>
      </c>
    </row>
    <row r="4312">
      <c r="A4312" s="3" t="s">
        <v>142</v>
      </c>
      <c r="B4312" s="4">
        <v>45200.29166666667</v>
      </c>
      <c r="C4312" s="2" t="s">
        <v>18</v>
      </c>
      <c r="D4312" s="2" t="s">
        <v>313</v>
      </c>
      <c r="E4312" s="2" t="s">
        <v>165</v>
      </c>
      <c r="F4312" s="2">
        <v>10.0</v>
      </c>
      <c r="G4312" s="2">
        <v>0.0</v>
      </c>
      <c r="H4312" s="2">
        <v>0.0</v>
      </c>
      <c r="I4312" s="2">
        <v>0.0</v>
      </c>
      <c r="J4312" s="2">
        <v>0.0</v>
      </c>
      <c r="K4312" s="2">
        <v>0.0</v>
      </c>
      <c r="L4312" s="2">
        <v>0.0</v>
      </c>
      <c r="M4312" s="2"/>
      <c r="N4312" s="2"/>
      <c r="O4312" s="2"/>
      <c r="P4312" s="2" t="s">
        <v>166</v>
      </c>
    </row>
    <row r="4313">
      <c r="A4313" s="3" t="s">
        <v>143</v>
      </c>
      <c r="B4313" s="4">
        <v>45231.25</v>
      </c>
      <c r="C4313" s="2" t="s">
        <v>18</v>
      </c>
      <c r="D4313" s="2" t="s">
        <v>313</v>
      </c>
      <c r="E4313" s="2" t="s">
        <v>165</v>
      </c>
      <c r="F4313" s="2">
        <v>10.0</v>
      </c>
      <c r="G4313" s="2">
        <v>0.0</v>
      </c>
      <c r="H4313" s="2">
        <v>0.0</v>
      </c>
      <c r="I4313" s="2">
        <v>0.0</v>
      </c>
      <c r="J4313" s="2">
        <v>0.0</v>
      </c>
      <c r="K4313" s="2">
        <v>0.0</v>
      </c>
      <c r="L4313" s="2">
        <v>0.0</v>
      </c>
      <c r="M4313" s="2"/>
      <c r="N4313" s="2"/>
      <c r="O4313" s="2"/>
      <c r="P4313" s="2" t="s">
        <v>166</v>
      </c>
    </row>
    <row r="4314">
      <c r="A4314" s="3" t="s">
        <v>144</v>
      </c>
      <c r="B4314" s="4">
        <v>45261.29166666667</v>
      </c>
      <c r="C4314" s="2" t="s">
        <v>18</v>
      </c>
      <c r="D4314" s="2" t="s">
        <v>313</v>
      </c>
      <c r="E4314" s="2" t="s">
        <v>165</v>
      </c>
      <c r="F4314" s="2">
        <v>10.0</v>
      </c>
      <c r="G4314" s="2">
        <v>0.0</v>
      </c>
      <c r="H4314" s="2">
        <v>0.0</v>
      </c>
      <c r="I4314" s="2">
        <v>0.0</v>
      </c>
      <c r="J4314" s="2">
        <v>0.0</v>
      </c>
      <c r="K4314" s="2">
        <v>0.0</v>
      </c>
      <c r="L4314" s="2">
        <v>0.0</v>
      </c>
      <c r="M4314" s="2"/>
      <c r="N4314" s="2"/>
      <c r="O4314" s="2"/>
      <c r="P4314" s="2" t="s">
        <v>166</v>
      </c>
    </row>
    <row r="4315">
      <c r="A4315" s="3" t="s">
        <v>145</v>
      </c>
      <c r="B4315" s="2" t="s">
        <v>17</v>
      </c>
      <c r="C4315" s="2" t="s">
        <v>18</v>
      </c>
      <c r="D4315" s="2" t="s">
        <v>19</v>
      </c>
      <c r="E4315" s="2" t="s">
        <v>27</v>
      </c>
      <c r="F4315" s="2">
        <v>16.0</v>
      </c>
      <c r="G4315" s="2">
        <v>2.0</v>
      </c>
      <c r="H4315" s="2">
        <v>2.0</v>
      </c>
      <c r="I4315" s="2">
        <v>0.0</v>
      </c>
      <c r="J4315" s="2">
        <v>0.0</v>
      </c>
      <c r="K4315" s="2">
        <v>0.0</v>
      </c>
      <c r="L4315" s="2">
        <v>0.0</v>
      </c>
      <c r="M4315" s="2">
        <v>14.0</v>
      </c>
      <c r="N4315" s="2"/>
      <c r="O4315" s="2"/>
      <c r="P4315" s="2" t="s">
        <v>92</v>
      </c>
    </row>
    <row r="4316">
      <c r="A4316" s="3" t="s">
        <v>16</v>
      </c>
      <c r="B4316" s="2" t="s">
        <v>17</v>
      </c>
      <c r="C4316" s="2" t="s">
        <v>18</v>
      </c>
      <c r="D4316" s="2" t="s">
        <v>127</v>
      </c>
      <c r="E4316" s="2" t="s">
        <v>27</v>
      </c>
      <c r="F4316" s="2">
        <v>84.0</v>
      </c>
      <c r="G4316" s="2">
        <v>110.0</v>
      </c>
      <c r="H4316" s="2">
        <v>96.0</v>
      </c>
      <c r="I4316" s="2">
        <v>13.0</v>
      </c>
      <c r="J4316" s="2">
        <v>1.0</v>
      </c>
      <c r="K4316" s="2">
        <v>0.0</v>
      </c>
      <c r="L4316" s="2">
        <v>0.0</v>
      </c>
      <c r="M4316" s="2">
        <v>-12.0</v>
      </c>
      <c r="N4316" s="2"/>
      <c r="O4316" s="2"/>
      <c r="P4316" s="2" t="s">
        <v>92</v>
      </c>
    </row>
    <row r="4317">
      <c r="A4317" s="3" t="s">
        <v>22</v>
      </c>
      <c r="B4317" s="2" t="s">
        <v>17</v>
      </c>
      <c r="C4317" s="2" t="s">
        <v>18</v>
      </c>
      <c r="D4317" s="2" t="s">
        <v>23</v>
      </c>
      <c r="E4317" s="2" t="s">
        <v>27</v>
      </c>
      <c r="F4317" s="2">
        <v>86.0</v>
      </c>
      <c r="G4317" s="2">
        <v>112.0</v>
      </c>
      <c r="H4317" s="2">
        <v>98.0</v>
      </c>
      <c r="I4317" s="2">
        <v>13.0</v>
      </c>
      <c r="J4317" s="2">
        <v>1.0</v>
      </c>
      <c r="K4317" s="2">
        <v>0.0</v>
      </c>
      <c r="L4317" s="2">
        <v>0.0</v>
      </c>
      <c r="M4317" s="2">
        <v>-12.0</v>
      </c>
      <c r="N4317" s="2">
        <v>-14.0</v>
      </c>
      <c r="O4317" s="2">
        <v>-110.0</v>
      </c>
      <c r="P4317" s="2" t="s">
        <v>92</v>
      </c>
    </row>
    <row r="4318">
      <c r="A4318" s="3" t="s">
        <v>24</v>
      </c>
      <c r="B4318" s="4">
        <v>45111.29166666667</v>
      </c>
      <c r="C4318" s="2" t="s">
        <v>18</v>
      </c>
      <c r="D4318" s="2" t="s">
        <v>19</v>
      </c>
      <c r="E4318" s="2" t="s">
        <v>27</v>
      </c>
      <c r="F4318" s="2"/>
      <c r="G4318" s="2">
        <v>2.0</v>
      </c>
      <c r="H4318" s="2">
        <v>2.0</v>
      </c>
      <c r="I4318" s="2">
        <v>0.0</v>
      </c>
      <c r="J4318" s="2">
        <v>0.0</v>
      </c>
      <c r="K4318" s="2">
        <v>0.0</v>
      </c>
      <c r="L4318" s="2">
        <v>0.0</v>
      </c>
      <c r="M4318" s="2"/>
      <c r="N4318" s="2"/>
      <c r="O4318" s="2"/>
      <c r="P4318" s="2" t="s">
        <v>92</v>
      </c>
    </row>
    <row r="4319">
      <c r="A4319" s="3" t="s">
        <v>25</v>
      </c>
      <c r="B4319" s="4">
        <v>45112.29166666667</v>
      </c>
      <c r="C4319" s="2" t="s">
        <v>18</v>
      </c>
      <c r="D4319" s="2" t="s">
        <v>127</v>
      </c>
      <c r="E4319" s="2" t="s">
        <v>27</v>
      </c>
      <c r="F4319" s="2"/>
      <c r="G4319" s="2">
        <v>59.0</v>
      </c>
      <c r="H4319" s="2">
        <v>51.0</v>
      </c>
      <c r="I4319" s="2">
        <v>7.0</v>
      </c>
      <c r="J4319" s="2">
        <v>1.0</v>
      </c>
      <c r="K4319" s="2">
        <v>0.0</v>
      </c>
      <c r="L4319" s="2">
        <v>0.0</v>
      </c>
      <c r="M4319" s="2"/>
      <c r="N4319" s="2"/>
      <c r="O4319" s="2"/>
      <c r="P4319" s="2" t="s">
        <v>92</v>
      </c>
    </row>
    <row r="4320">
      <c r="A4320" s="3" t="s">
        <v>26</v>
      </c>
      <c r="B4320" s="4">
        <v>45140.29166666667</v>
      </c>
      <c r="C4320" s="2" t="s">
        <v>18</v>
      </c>
      <c r="D4320" s="2" t="s">
        <v>127</v>
      </c>
      <c r="E4320" s="2" t="s">
        <v>27</v>
      </c>
      <c r="F4320" s="2"/>
      <c r="G4320" s="2">
        <v>51.0</v>
      </c>
      <c r="H4320" s="2">
        <v>45.0</v>
      </c>
      <c r="I4320" s="2">
        <v>6.0</v>
      </c>
      <c r="J4320" s="2">
        <v>0.0</v>
      </c>
      <c r="K4320" s="2">
        <v>0.0</v>
      </c>
      <c r="L4320" s="2">
        <v>0.0</v>
      </c>
      <c r="M4320" s="2"/>
      <c r="N4320" s="2"/>
      <c r="O4320" s="2"/>
      <c r="P4320" s="2" t="s">
        <v>92</v>
      </c>
    </row>
    <row r="4321">
      <c r="A4321" s="3" t="s">
        <v>28</v>
      </c>
      <c r="B4321" s="2" t="s">
        <v>17</v>
      </c>
      <c r="C4321" s="2" t="s">
        <v>18</v>
      </c>
      <c r="D4321" s="2" t="s">
        <v>164</v>
      </c>
      <c r="E4321" s="2" t="s">
        <v>165</v>
      </c>
      <c r="F4321" s="2">
        <v>150.0</v>
      </c>
      <c r="G4321" s="2">
        <v>25.0</v>
      </c>
      <c r="H4321" s="2">
        <v>13.0</v>
      </c>
      <c r="I4321" s="2">
        <v>12.0</v>
      </c>
      <c r="J4321" s="2">
        <v>0.0</v>
      </c>
      <c r="K4321" s="2">
        <v>0.0</v>
      </c>
      <c r="L4321" s="2">
        <v>0.0</v>
      </c>
      <c r="M4321" s="2">
        <v>137.0</v>
      </c>
      <c r="N4321" s="2"/>
      <c r="O4321" s="2"/>
      <c r="P4321" s="2" t="s">
        <v>166</v>
      </c>
    </row>
    <row r="4322">
      <c r="A4322" s="3" t="s">
        <v>29</v>
      </c>
      <c r="B4322" s="2" t="s">
        <v>17</v>
      </c>
      <c r="C4322" s="2" t="s">
        <v>18</v>
      </c>
      <c r="D4322" s="2" t="s">
        <v>23</v>
      </c>
      <c r="E4322" s="2" t="s">
        <v>165</v>
      </c>
      <c r="F4322" s="2">
        <v>150.0</v>
      </c>
      <c r="G4322" s="2">
        <v>25.0</v>
      </c>
      <c r="H4322" s="2">
        <v>13.0</v>
      </c>
      <c r="I4322" s="2">
        <v>12.0</v>
      </c>
      <c r="J4322" s="2">
        <v>0.0</v>
      </c>
      <c r="K4322" s="2">
        <v>0.0</v>
      </c>
      <c r="L4322" s="2">
        <v>0.0</v>
      </c>
      <c r="M4322" s="2">
        <v>137.0</v>
      </c>
      <c r="N4322" s="2">
        <v>0.0</v>
      </c>
      <c r="O4322" s="2">
        <v>124.0</v>
      </c>
      <c r="P4322" s="2" t="s">
        <v>166</v>
      </c>
    </row>
    <row r="4323">
      <c r="A4323" s="3" t="s">
        <v>32</v>
      </c>
      <c r="B4323" s="4">
        <v>45112.29166666667</v>
      </c>
      <c r="C4323" s="2" t="s">
        <v>18</v>
      </c>
      <c r="D4323" s="2" t="s">
        <v>164</v>
      </c>
      <c r="E4323" s="2" t="s">
        <v>165</v>
      </c>
      <c r="F4323" s="2"/>
      <c r="G4323" s="2">
        <v>13.0</v>
      </c>
      <c r="H4323" s="2">
        <v>10.0</v>
      </c>
      <c r="I4323" s="2">
        <v>3.0</v>
      </c>
      <c r="J4323" s="2">
        <v>0.0</v>
      </c>
      <c r="K4323" s="2">
        <v>0.0</v>
      </c>
      <c r="L4323" s="2">
        <v>0.0</v>
      </c>
      <c r="M4323" s="2"/>
      <c r="N4323" s="2"/>
      <c r="O4323" s="2"/>
      <c r="P4323" s="2" t="s">
        <v>166</v>
      </c>
    </row>
    <row r="4324">
      <c r="A4324" s="3" t="s">
        <v>34</v>
      </c>
      <c r="B4324" s="4">
        <v>45139.29166666667</v>
      </c>
      <c r="C4324" s="2" t="s">
        <v>18</v>
      </c>
      <c r="D4324" s="2" t="s">
        <v>164</v>
      </c>
      <c r="E4324" s="2" t="s">
        <v>165</v>
      </c>
      <c r="F4324" s="2"/>
      <c r="G4324" s="2">
        <v>12.0</v>
      </c>
      <c r="H4324" s="2">
        <v>3.0</v>
      </c>
      <c r="I4324" s="2">
        <v>9.0</v>
      </c>
      <c r="J4324" s="2">
        <v>0.0</v>
      </c>
      <c r="K4324" s="2">
        <v>0.0</v>
      </c>
      <c r="L4324" s="2">
        <v>0.0</v>
      </c>
      <c r="M4324" s="2"/>
      <c r="N4324" s="2"/>
      <c r="O4324" s="2"/>
      <c r="P4324" s="2" t="s">
        <v>166</v>
      </c>
    </row>
    <row r="4325">
      <c r="A4325" s="3" t="s">
        <v>35</v>
      </c>
      <c r="B4325" s="2" t="s">
        <v>17</v>
      </c>
      <c r="C4325" s="2" t="s">
        <v>18</v>
      </c>
      <c r="D4325" s="2" t="s">
        <v>19</v>
      </c>
      <c r="E4325" s="2" t="s">
        <v>147</v>
      </c>
      <c r="F4325" s="2">
        <v>35.0</v>
      </c>
      <c r="G4325" s="2">
        <v>45.0</v>
      </c>
      <c r="H4325" s="2">
        <v>21.0</v>
      </c>
      <c r="I4325" s="2">
        <v>24.0</v>
      </c>
      <c r="J4325" s="2">
        <v>0.0</v>
      </c>
      <c r="K4325" s="2">
        <v>0.0</v>
      </c>
      <c r="L4325" s="2">
        <v>0.0</v>
      </c>
      <c r="M4325" s="2">
        <v>14.0</v>
      </c>
      <c r="N4325" s="2"/>
      <c r="O4325" s="2"/>
      <c r="P4325" s="2" t="s">
        <v>146</v>
      </c>
    </row>
    <row r="4326">
      <c r="A4326" s="3" t="s">
        <v>36</v>
      </c>
      <c r="B4326" s="2" t="s">
        <v>17</v>
      </c>
      <c r="C4326" s="2" t="s">
        <v>18</v>
      </c>
      <c r="D4326" s="2" t="s">
        <v>23</v>
      </c>
      <c r="E4326" s="2" t="s">
        <v>147</v>
      </c>
      <c r="F4326" s="2">
        <v>35.0</v>
      </c>
      <c r="G4326" s="2">
        <v>45.0</v>
      </c>
      <c r="H4326" s="2">
        <v>21.0</v>
      </c>
      <c r="I4326" s="2">
        <v>24.0</v>
      </c>
      <c r="J4326" s="2">
        <v>0.0</v>
      </c>
      <c r="K4326" s="2">
        <v>0.0</v>
      </c>
      <c r="L4326" s="2">
        <v>0.0</v>
      </c>
      <c r="M4326" s="2">
        <v>14.0</v>
      </c>
      <c r="N4326" s="2">
        <v>0.0</v>
      </c>
      <c r="O4326" s="2">
        <v>-6.0</v>
      </c>
      <c r="P4326" s="2" t="s">
        <v>146</v>
      </c>
    </row>
    <row r="4327">
      <c r="A4327" s="3" t="s">
        <v>37</v>
      </c>
      <c r="B4327" s="4">
        <v>45079.29166666667</v>
      </c>
      <c r="C4327" s="2" t="s">
        <v>18</v>
      </c>
      <c r="D4327" s="2" t="s">
        <v>19</v>
      </c>
      <c r="E4327" s="2" t="s">
        <v>147</v>
      </c>
      <c r="F4327" s="2"/>
      <c r="G4327" s="2">
        <v>36.0</v>
      </c>
      <c r="H4327" s="2">
        <v>17.0</v>
      </c>
      <c r="I4327" s="2">
        <v>19.0</v>
      </c>
      <c r="J4327" s="2">
        <v>0.0</v>
      </c>
      <c r="K4327" s="2">
        <v>0.0</v>
      </c>
      <c r="L4327" s="2">
        <v>0.0</v>
      </c>
      <c r="M4327" s="2"/>
      <c r="N4327" s="2"/>
      <c r="O4327" s="2"/>
      <c r="P4327" s="2" t="s">
        <v>146</v>
      </c>
    </row>
    <row r="4328">
      <c r="A4328" s="3" t="s">
        <v>38</v>
      </c>
      <c r="B4328" s="4">
        <v>45140.29166666667</v>
      </c>
      <c r="C4328" s="2" t="s">
        <v>18</v>
      </c>
      <c r="D4328" s="2" t="s">
        <v>19</v>
      </c>
      <c r="E4328" s="2" t="s">
        <v>147</v>
      </c>
      <c r="F4328" s="2"/>
      <c r="G4328" s="2">
        <v>8.0</v>
      </c>
      <c r="H4328" s="2">
        <v>3.0</v>
      </c>
      <c r="I4328" s="2">
        <v>5.0</v>
      </c>
      <c r="J4328" s="2">
        <v>0.0</v>
      </c>
      <c r="K4328" s="2">
        <v>0.0</v>
      </c>
      <c r="L4328" s="2">
        <v>0.0</v>
      </c>
      <c r="M4328" s="2"/>
      <c r="N4328" s="2"/>
      <c r="O4328" s="2"/>
      <c r="P4328" s="2" t="s">
        <v>146</v>
      </c>
    </row>
    <row r="4329">
      <c r="A4329" s="3" t="s">
        <v>39</v>
      </c>
      <c r="B4329" s="2" t="s">
        <v>17</v>
      </c>
      <c r="C4329" s="2" t="s">
        <v>18</v>
      </c>
      <c r="D4329" s="2" t="s">
        <v>19</v>
      </c>
      <c r="E4329" s="2" t="s">
        <v>50</v>
      </c>
      <c r="F4329" s="2">
        <v>30.0</v>
      </c>
      <c r="G4329" s="2">
        <v>68.0</v>
      </c>
      <c r="H4329" s="2">
        <v>32.0</v>
      </c>
      <c r="I4329" s="2">
        <v>19.0</v>
      </c>
      <c r="J4329" s="2">
        <v>17.0</v>
      </c>
      <c r="K4329" s="2">
        <v>0.0</v>
      </c>
      <c r="L4329" s="2">
        <v>0.0</v>
      </c>
      <c r="M4329" s="2">
        <v>-2.0</v>
      </c>
      <c r="N4329" s="2"/>
      <c r="O4329" s="2"/>
      <c r="P4329" s="2" t="s">
        <v>146</v>
      </c>
    </row>
    <row r="4330">
      <c r="A4330" s="3" t="s">
        <v>40</v>
      </c>
      <c r="B4330" s="2" t="s">
        <v>17</v>
      </c>
      <c r="C4330" s="2" t="s">
        <v>18</v>
      </c>
      <c r="D4330" s="2" t="s">
        <v>23</v>
      </c>
      <c r="E4330" s="2" t="s">
        <v>50</v>
      </c>
      <c r="F4330" s="2">
        <v>30.0</v>
      </c>
      <c r="G4330" s="2">
        <v>68.0</v>
      </c>
      <c r="H4330" s="2">
        <v>32.0</v>
      </c>
      <c r="I4330" s="2">
        <v>19.0</v>
      </c>
      <c r="J4330" s="2">
        <v>17.0</v>
      </c>
      <c r="K4330" s="2">
        <v>0.0</v>
      </c>
      <c r="L4330" s="2">
        <v>0.0</v>
      </c>
      <c r="M4330" s="2">
        <v>-2.0</v>
      </c>
      <c r="N4330" s="2">
        <v>0.0</v>
      </c>
      <c r="O4330" s="2">
        <v>-34.0</v>
      </c>
      <c r="P4330" s="2" t="s">
        <v>146</v>
      </c>
    </row>
    <row r="4331">
      <c r="A4331" s="3" t="s">
        <v>41</v>
      </c>
      <c r="B4331" s="4">
        <v>45112.29166666667</v>
      </c>
      <c r="C4331" s="2" t="s">
        <v>18</v>
      </c>
      <c r="D4331" s="2" t="s">
        <v>19</v>
      </c>
      <c r="E4331" s="2" t="s">
        <v>50</v>
      </c>
      <c r="F4331" s="2"/>
      <c r="G4331" s="2">
        <v>58.0</v>
      </c>
      <c r="H4331" s="2">
        <v>25.0</v>
      </c>
      <c r="I4331" s="2">
        <v>16.0</v>
      </c>
      <c r="J4331" s="2">
        <v>17.0</v>
      </c>
      <c r="K4331" s="2">
        <v>0.0</v>
      </c>
      <c r="L4331" s="2">
        <v>0.0</v>
      </c>
      <c r="M4331" s="2"/>
      <c r="N4331" s="2"/>
      <c r="O4331" s="2"/>
      <c r="P4331" s="2" t="s">
        <v>146</v>
      </c>
    </row>
    <row r="4332">
      <c r="A4332" s="3" t="s">
        <v>42</v>
      </c>
      <c r="B4332" s="4">
        <v>45140.29166666667</v>
      </c>
      <c r="C4332" s="2" t="s">
        <v>18</v>
      </c>
      <c r="D4332" s="2" t="s">
        <v>19</v>
      </c>
      <c r="E4332" s="2" t="s">
        <v>50</v>
      </c>
      <c r="F4332" s="2"/>
      <c r="G4332" s="2">
        <v>10.0</v>
      </c>
      <c r="H4332" s="2">
        <v>7.0</v>
      </c>
      <c r="I4332" s="2">
        <v>3.0</v>
      </c>
      <c r="J4332" s="2">
        <v>0.0</v>
      </c>
      <c r="K4332" s="2">
        <v>0.0</v>
      </c>
      <c r="L4332" s="2">
        <v>0.0</v>
      </c>
      <c r="M4332" s="2"/>
      <c r="N4332" s="2"/>
      <c r="O4332" s="2"/>
      <c r="P4332" s="2" t="s">
        <v>146</v>
      </c>
    </row>
    <row r="4333">
      <c r="A4333" s="3" t="s">
        <v>43</v>
      </c>
      <c r="B4333" s="2" t="s">
        <v>17</v>
      </c>
      <c r="C4333" s="2" t="s">
        <v>18</v>
      </c>
      <c r="D4333" s="2" t="s">
        <v>19</v>
      </c>
      <c r="E4333" s="2" t="s">
        <v>96</v>
      </c>
      <c r="F4333" s="2">
        <v>20.0</v>
      </c>
      <c r="G4333" s="2">
        <v>26.0</v>
      </c>
      <c r="H4333" s="2">
        <v>23.0</v>
      </c>
      <c r="I4333" s="2">
        <v>3.0</v>
      </c>
      <c r="J4333" s="2">
        <v>0.0</v>
      </c>
      <c r="K4333" s="2">
        <v>0.0</v>
      </c>
      <c r="L4333" s="2">
        <v>0.0</v>
      </c>
      <c r="M4333" s="2">
        <v>-3.0</v>
      </c>
      <c r="N4333" s="2"/>
      <c r="O4333" s="2"/>
      <c r="P4333" s="2" t="s">
        <v>111</v>
      </c>
    </row>
    <row r="4334">
      <c r="A4334" s="3" t="s">
        <v>44</v>
      </c>
      <c r="B4334" s="2" t="s">
        <v>17</v>
      </c>
      <c r="C4334" s="2" t="s">
        <v>18</v>
      </c>
      <c r="D4334" s="2" t="s">
        <v>23</v>
      </c>
      <c r="E4334" s="2" t="s">
        <v>96</v>
      </c>
      <c r="F4334" s="2">
        <v>20.0</v>
      </c>
      <c r="G4334" s="2">
        <v>26.0</v>
      </c>
      <c r="H4334" s="2">
        <v>23.0</v>
      </c>
      <c r="I4334" s="2">
        <v>3.0</v>
      </c>
      <c r="J4334" s="2">
        <v>0.0</v>
      </c>
      <c r="K4334" s="2">
        <v>0.0</v>
      </c>
      <c r="L4334" s="2">
        <v>0.0</v>
      </c>
      <c r="M4334" s="2">
        <v>-3.0</v>
      </c>
      <c r="N4334" s="2">
        <v>0.0</v>
      </c>
      <c r="O4334" s="2">
        <v>-26.0</v>
      </c>
      <c r="P4334" s="2" t="s">
        <v>111</v>
      </c>
    </row>
    <row r="4335">
      <c r="A4335" s="3" t="s">
        <v>45</v>
      </c>
      <c r="B4335" s="4">
        <v>45108.29166666667</v>
      </c>
      <c r="C4335" s="2" t="s">
        <v>18</v>
      </c>
      <c r="D4335" s="2" t="s">
        <v>19</v>
      </c>
      <c r="E4335" s="2" t="s">
        <v>96</v>
      </c>
      <c r="F4335" s="2"/>
      <c r="G4335" s="2">
        <v>26.0</v>
      </c>
      <c r="H4335" s="2">
        <v>23.0</v>
      </c>
      <c r="I4335" s="2">
        <v>3.0</v>
      </c>
      <c r="J4335" s="2">
        <v>0.0</v>
      </c>
      <c r="K4335" s="2">
        <v>0.0</v>
      </c>
      <c r="L4335" s="2">
        <v>0.0</v>
      </c>
      <c r="M4335" s="2"/>
      <c r="N4335" s="2"/>
      <c r="O4335" s="2"/>
      <c r="P4335" s="2" t="s">
        <v>111</v>
      </c>
    </row>
    <row r="4336">
      <c r="A4336" s="3" t="s">
        <v>16</v>
      </c>
      <c r="B4336" s="4">
        <v>45139.29166666667</v>
      </c>
      <c r="C4336" s="2" t="s">
        <v>18</v>
      </c>
      <c r="D4336" s="2" t="s">
        <v>19</v>
      </c>
      <c r="E4336" s="2" t="s">
        <v>96</v>
      </c>
      <c r="F4336" s="2"/>
      <c r="G4336" s="2">
        <v>0.0</v>
      </c>
      <c r="H4336" s="2">
        <v>0.0</v>
      </c>
      <c r="I4336" s="2">
        <v>0.0</v>
      </c>
      <c r="J4336" s="2">
        <v>0.0</v>
      </c>
      <c r="K4336" s="2">
        <v>0.0</v>
      </c>
      <c r="L4336" s="2">
        <v>0.0</v>
      </c>
      <c r="M4336" s="2"/>
      <c r="N4336" s="2"/>
      <c r="O4336" s="2"/>
      <c r="P4336" s="2" t="s">
        <v>111</v>
      </c>
    </row>
    <row r="4337">
      <c r="A4337" s="3" t="s">
        <v>47</v>
      </c>
      <c r="B4337" s="4">
        <v>45170.29166666667</v>
      </c>
      <c r="C4337" s="2" t="s">
        <v>18</v>
      </c>
      <c r="D4337" s="2" t="s">
        <v>19</v>
      </c>
      <c r="E4337" s="2" t="s">
        <v>96</v>
      </c>
      <c r="F4337" s="2"/>
      <c r="G4337" s="2">
        <v>0.0</v>
      </c>
      <c r="H4337" s="2">
        <v>0.0</v>
      </c>
      <c r="I4337" s="2">
        <v>0.0</v>
      </c>
      <c r="J4337" s="2">
        <v>0.0</v>
      </c>
      <c r="K4337" s="2">
        <v>0.0</v>
      </c>
      <c r="L4337" s="2">
        <v>0.0</v>
      </c>
      <c r="M4337" s="2"/>
      <c r="N4337" s="2"/>
      <c r="O4337" s="2"/>
      <c r="P4337" s="2" t="s">
        <v>111</v>
      </c>
    </row>
    <row r="4338">
      <c r="A4338" s="3" t="s">
        <v>48</v>
      </c>
      <c r="B4338" s="2" t="s">
        <v>17</v>
      </c>
      <c r="C4338" s="2" t="s">
        <v>18</v>
      </c>
      <c r="D4338" s="2" t="s">
        <v>19</v>
      </c>
      <c r="E4338" s="2" t="s">
        <v>96</v>
      </c>
      <c r="F4338" s="2">
        <v>20.0</v>
      </c>
      <c r="G4338" s="2">
        <v>29.0</v>
      </c>
      <c r="H4338" s="2">
        <v>27.0</v>
      </c>
      <c r="I4338" s="2">
        <v>2.0</v>
      </c>
      <c r="J4338" s="2">
        <v>0.0</v>
      </c>
      <c r="K4338" s="2">
        <v>0.0</v>
      </c>
      <c r="L4338" s="2">
        <v>0.0</v>
      </c>
      <c r="M4338" s="2">
        <v>-7.0</v>
      </c>
      <c r="N4338" s="2"/>
      <c r="O4338" s="2"/>
      <c r="P4338" s="2" t="s">
        <v>111</v>
      </c>
    </row>
    <row r="4339">
      <c r="A4339" s="3" t="s">
        <v>49</v>
      </c>
      <c r="B4339" s="2" t="s">
        <v>17</v>
      </c>
      <c r="C4339" s="2" t="s">
        <v>18</v>
      </c>
      <c r="D4339" s="2" t="s">
        <v>23</v>
      </c>
      <c r="E4339" s="2" t="s">
        <v>96</v>
      </c>
      <c r="F4339" s="2">
        <v>20.0</v>
      </c>
      <c r="G4339" s="2">
        <v>29.0</v>
      </c>
      <c r="H4339" s="2">
        <v>27.0</v>
      </c>
      <c r="I4339" s="2">
        <v>2.0</v>
      </c>
      <c r="J4339" s="2">
        <v>0.0</v>
      </c>
      <c r="K4339" s="2">
        <v>0.0</v>
      </c>
      <c r="L4339" s="2">
        <v>0.0</v>
      </c>
      <c r="M4339" s="2">
        <v>-7.0</v>
      </c>
      <c r="N4339" s="2">
        <v>0.0</v>
      </c>
      <c r="O4339" s="2">
        <v>-34.0</v>
      </c>
      <c r="P4339" s="2" t="s">
        <v>111</v>
      </c>
    </row>
    <row r="4340">
      <c r="A4340" s="3" t="s">
        <v>51</v>
      </c>
      <c r="B4340" s="4">
        <v>45111.29166666667</v>
      </c>
      <c r="C4340" s="2" t="s">
        <v>18</v>
      </c>
      <c r="D4340" s="2" t="s">
        <v>19</v>
      </c>
      <c r="E4340" s="2" t="s">
        <v>96</v>
      </c>
      <c r="F4340" s="2"/>
      <c r="G4340" s="2">
        <v>29.0</v>
      </c>
      <c r="H4340" s="2">
        <v>27.0</v>
      </c>
      <c r="I4340" s="2">
        <v>2.0</v>
      </c>
      <c r="J4340" s="2">
        <v>0.0</v>
      </c>
      <c r="K4340" s="2">
        <v>0.0</v>
      </c>
      <c r="L4340" s="2">
        <v>0.0</v>
      </c>
      <c r="M4340" s="2"/>
      <c r="N4340" s="2"/>
      <c r="O4340" s="2"/>
      <c r="P4340" s="2" t="s">
        <v>111</v>
      </c>
    </row>
    <row r="4341">
      <c r="A4341" s="3" t="s">
        <v>52</v>
      </c>
      <c r="B4341" s="4">
        <v>45140.29166666667</v>
      </c>
      <c r="C4341" s="2" t="s">
        <v>18</v>
      </c>
      <c r="D4341" s="2" t="s">
        <v>19</v>
      </c>
      <c r="E4341" s="2" t="s">
        <v>96</v>
      </c>
      <c r="F4341" s="2"/>
      <c r="G4341" s="2">
        <v>0.0</v>
      </c>
      <c r="H4341" s="2">
        <v>0.0</v>
      </c>
      <c r="I4341" s="2">
        <v>0.0</v>
      </c>
      <c r="J4341" s="2">
        <v>0.0</v>
      </c>
      <c r="K4341" s="2">
        <v>0.0</v>
      </c>
      <c r="L4341" s="2">
        <v>0.0</v>
      </c>
      <c r="M4341" s="2"/>
      <c r="N4341" s="2"/>
      <c r="O4341" s="2"/>
      <c r="P4341" s="2" t="s">
        <v>111</v>
      </c>
    </row>
    <row r="4342">
      <c r="A4342" s="3" t="s">
        <v>53</v>
      </c>
      <c r="B4342" s="4">
        <v>45173.29166666667</v>
      </c>
      <c r="C4342" s="2" t="s">
        <v>18</v>
      </c>
      <c r="D4342" s="2" t="s">
        <v>19</v>
      </c>
      <c r="E4342" s="2" t="s">
        <v>96</v>
      </c>
      <c r="F4342" s="2"/>
      <c r="G4342" s="2">
        <v>0.0</v>
      </c>
      <c r="H4342" s="2">
        <v>0.0</v>
      </c>
      <c r="I4342" s="2">
        <v>0.0</v>
      </c>
      <c r="J4342" s="2">
        <v>0.0</v>
      </c>
      <c r="K4342" s="2">
        <v>0.0</v>
      </c>
      <c r="L4342" s="2">
        <v>0.0</v>
      </c>
      <c r="M4342" s="2"/>
      <c r="N4342" s="2"/>
      <c r="O4342" s="2"/>
      <c r="P4342" s="2" t="s">
        <v>111</v>
      </c>
    </row>
    <row r="4343">
      <c r="A4343" s="3" t="s">
        <v>54</v>
      </c>
      <c r="B4343" s="2" t="s">
        <v>17</v>
      </c>
      <c r="C4343" s="2" t="s">
        <v>18</v>
      </c>
      <c r="D4343" s="2" t="s">
        <v>91</v>
      </c>
      <c r="E4343" s="2" t="s">
        <v>463</v>
      </c>
      <c r="F4343" s="2">
        <v>6.0</v>
      </c>
      <c r="G4343" s="2">
        <v>9.0</v>
      </c>
      <c r="H4343" s="2">
        <v>6.0</v>
      </c>
      <c r="I4343" s="2">
        <v>3.0</v>
      </c>
      <c r="J4343" s="2">
        <v>0.0</v>
      </c>
      <c r="K4343" s="2">
        <v>0.0</v>
      </c>
      <c r="L4343" s="2">
        <v>0.0</v>
      </c>
      <c r="M4343" s="2">
        <v>0.0</v>
      </c>
      <c r="N4343" s="2"/>
      <c r="O4343" s="2"/>
      <c r="P4343" s="2" t="s">
        <v>153</v>
      </c>
    </row>
    <row r="4344">
      <c r="A4344" s="3" t="s">
        <v>55</v>
      </c>
      <c r="B4344" s="2" t="s">
        <v>17</v>
      </c>
      <c r="C4344" s="2" t="s">
        <v>148</v>
      </c>
      <c r="D4344" s="2" t="s">
        <v>19</v>
      </c>
      <c r="E4344" s="2" t="s">
        <v>463</v>
      </c>
      <c r="F4344" s="2">
        <v>11.0</v>
      </c>
      <c r="G4344" s="2">
        <v>16.0</v>
      </c>
      <c r="H4344" s="2">
        <v>5.0</v>
      </c>
      <c r="I4344" s="2">
        <v>5.0</v>
      </c>
      <c r="J4344" s="2">
        <v>6.0</v>
      </c>
      <c r="K4344" s="2">
        <v>0.0</v>
      </c>
      <c r="L4344" s="2">
        <v>0.0</v>
      </c>
      <c r="M4344" s="2">
        <v>6.0</v>
      </c>
      <c r="N4344" s="2"/>
      <c r="O4344" s="2"/>
      <c r="P4344" s="2" t="s">
        <v>153</v>
      </c>
    </row>
    <row r="4345">
      <c r="A4345" s="3" t="s">
        <v>56</v>
      </c>
      <c r="B4345" s="2" t="s">
        <v>17</v>
      </c>
      <c r="C4345" s="2" t="s">
        <v>18</v>
      </c>
      <c r="D4345" s="2" t="s">
        <v>23</v>
      </c>
      <c r="E4345" s="2" t="s">
        <v>463</v>
      </c>
      <c r="F4345" s="2">
        <v>11.0</v>
      </c>
      <c r="G4345" s="2">
        <v>25.0</v>
      </c>
      <c r="H4345" s="2">
        <v>11.0</v>
      </c>
      <c r="I4345" s="2">
        <v>8.0</v>
      </c>
      <c r="J4345" s="2">
        <v>6.0</v>
      </c>
      <c r="K4345" s="2">
        <v>0.0</v>
      </c>
      <c r="L4345" s="2">
        <v>0.0</v>
      </c>
      <c r="M4345" s="2">
        <v>0.0</v>
      </c>
      <c r="N4345" s="2">
        <v>-6.0</v>
      </c>
      <c r="O4345" s="2">
        <v>-11.0</v>
      </c>
      <c r="P4345" s="2" t="s">
        <v>153</v>
      </c>
    </row>
    <row r="4346">
      <c r="A4346" s="3" t="s">
        <v>59</v>
      </c>
      <c r="B4346" s="4">
        <v>45079.29166666667</v>
      </c>
      <c r="C4346" s="2" t="s">
        <v>18</v>
      </c>
      <c r="D4346" s="2" t="s">
        <v>19</v>
      </c>
      <c r="E4346" s="2" t="s">
        <v>463</v>
      </c>
      <c r="F4346" s="2"/>
      <c r="G4346" s="2">
        <v>7.0</v>
      </c>
      <c r="H4346" s="2">
        <v>0.0</v>
      </c>
      <c r="I4346" s="2">
        <v>1.0</v>
      </c>
      <c r="J4346" s="2">
        <v>6.0</v>
      </c>
      <c r="K4346" s="2">
        <v>0.0</v>
      </c>
      <c r="L4346" s="2">
        <v>0.0</v>
      </c>
      <c r="M4346" s="2"/>
      <c r="N4346" s="2"/>
      <c r="O4346" s="2"/>
      <c r="P4346" s="2" t="s">
        <v>153</v>
      </c>
    </row>
    <row r="4347">
      <c r="A4347" s="3" t="s">
        <v>60</v>
      </c>
      <c r="B4347" s="4">
        <v>45110.29166666667</v>
      </c>
      <c r="C4347" s="2" t="s">
        <v>18</v>
      </c>
      <c r="D4347" s="2" t="s">
        <v>91</v>
      </c>
      <c r="E4347" s="2" t="s">
        <v>463</v>
      </c>
      <c r="F4347" s="2"/>
      <c r="G4347" s="2">
        <v>6.0</v>
      </c>
      <c r="H4347" s="2">
        <v>5.0</v>
      </c>
      <c r="I4347" s="2">
        <v>1.0</v>
      </c>
      <c r="J4347" s="2">
        <v>0.0</v>
      </c>
      <c r="K4347" s="2">
        <v>0.0</v>
      </c>
      <c r="L4347" s="2">
        <v>0.0</v>
      </c>
      <c r="M4347" s="2"/>
      <c r="N4347" s="2"/>
      <c r="O4347" s="2"/>
      <c r="P4347" s="2" t="s">
        <v>153</v>
      </c>
    </row>
    <row r="4348">
      <c r="A4348" s="3" t="s">
        <v>61</v>
      </c>
      <c r="B4348" s="4">
        <v>45111.29166666667</v>
      </c>
      <c r="C4348" s="2" t="s">
        <v>18</v>
      </c>
      <c r="D4348" s="2" t="s">
        <v>19</v>
      </c>
      <c r="E4348" s="2" t="s">
        <v>463</v>
      </c>
      <c r="F4348" s="2"/>
      <c r="G4348" s="2">
        <v>9.0</v>
      </c>
      <c r="H4348" s="2">
        <v>5.0</v>
      </c>
      <c r="I4348" s="2">
        <v>4.0</v>
      </c>
      <c r="J4348" s="2">
        <v>0.0</v>
      </c>
      <c r="K4348" s="2">
        <v>0.0</v>
      </c>
      <c r="L4348" s="2">
        <v>0.0</v>
      </c>
      <c r="M4348" s="2"/>
      <c r="N4348" s="2"/>
      <c r="O4348" s="2"/>
      <c r="P4348" s="2" t="s">
        <v>153</v>
      </c>
    </row>
    <row r="4349">
      <c r="A4349" s="3" t="s">
        <v>62</v>
      </c>
      <c r="B4349" s="4">
        <v>45140.29166666667</v>
      </c>
      <c r="C4349" s="2" t="s">
        <v>18</v>
      </c>
      <c r="D4349" s="2" t="s">
        <v>91</v>
      </c>
      <c r="E4349" s="2" t="s">
        <v>463</v>
      </c>
      <c r="F4349" s="2"/>
      <c r="G4349" s="2">
        <v>3.0</v>
      </c>
      <c r="H4349" s="2">
        <v>1.0</v>
      </c>
      <c r="I4349" s="2">
        <v>2.0</v>
      </c>
      <c r="J4349" s="2">
        <v>0.0</v>
      </c>
      <c r="K4349" s="2">
        <v>0.0</v>
      </c>
      <c r="L4349" s="2">
        <v>0.0</v>
      </c>
      <c r="M4349" s="2"/>
      <c r="N4349" s="2"/>
      <c r="O4349" s="2"/>
      <c r="P4349" s="2" t="s">
        <v>153</v>
      </c>
    </row>
    <row r="4350">
      <c r="A4350" s="3" t="s">
        <v>63</v>
      </c>
      <c r="B4350" s="2" t="s">
        <v>17</v>
      </c>
      <c r="C4350" s="2" t="s">
        <v>18</v>
      </c>
      <c r="D4350" s="2" t="s">
        <v>30</v>
      </c>
      <c r="E4350" s="2" t="s">
        <v>163</v>
      </c>
      <c r="F4350" s="2">
        <v>100.0</v>
      </c>
      <c r="G4350" s="2">
        <v>136.0</v>
      </c>
      <c r="H4350" s="2">
        <v>86.0</v>
      </c>
      <c r="I4350" s="2">
        <v>50.0</v>
      </c>
      <c r="J4350" s="2">
        <v>0.0</v>
      </c>
      <c r="K4350" s="2">
        <v>0.0</v>
      </c>
      <c r="L4350" s="2">
        <v>0.0</v>
      </c>
      <c r="M4350" s="2">
        <v>14.0</v>
      </c>
      <c r="N4350" s="2"/>
      <c r="O4350" s="2"/>
      <c r="P4350" s="2" t="s">
        <v>195</v>
      </c>
    </row>
    <row r="4351">
      <c r="A4351" s="3" t="s">
        <v>64</v>
      </c>
      <c r="B4351" s="2" t="s">
        <v>17</v>
      </c>
      <c r="C4351" s="2" t="s">
        <v>148</v>
      </c>
      <c r="D4351" s="2" t="s">
        <v>19</v>
      </c>
      <c r="E4351" s="2" t="s">
        <v>163</v>
      </c>
      <c r="F4351" s="2">
        <v>60.0</v>
      </c>
      <c r="G4351" s="2">
        <v>1.0</v>
      </c>
      <c r="H4351" s="2">
        <v>0.0</v>
      </c>
      <c r="I4351" s="2">
        <v>1.0</v>
      </c>
      <c r="J4351" s="2">
        <v>0.0</v>
      </c>
      <c r="K4351" s="2">
        <v>0.0</v>
      </c>
      <c r="L4351" s="2">
        <v>0.0</v>
      </c>
      <c r="M4351" s="2">
        <v>60.0</v>
      </c>
      <c r="N4351" s="2"/>
      <c r="O4351" s="2"/>
      <c r="P4351" s="2" t="s">
        <v>195</v>
      </c>
    </row>
    <row r="4352">
      <c r="A4352" s="3" t="s">
        <v>65</v>
      </c>
      <c r="B4352" s="2" t="s">
        <v>17</v>
      </c>
      <c r="C4352" s="2" t="s">
        <v>18</v>
      </c>
      <c r="D4352" s="2" t="s">
        <v>23</v>
      </c>
      <c r="E4352" s="2" t="s">
        <v>163</v>
      </c>
      <c r="F4352" s="2">
        <v>100.0</v>
      </c>
      <c r="G4352" s="2">
        <v>137.0</v>
      </c>
      <c r="H4352" s="2">
        <v>86.0</v>
      </c>
      <c r="I4352" s="2">
        <v>51.0</v>
      </c>
      <c r="J4352" s="2">
        <v>0.0</v>
      </c>
      <c r="K4352" s="2">
        <v>0.0</v>
      </c>
      <c r="L4352" s="2">
        <v>0.0</v>
      </c>
      <c r="M4352" s="2">
        <v>14.0</v>
      </c>
      <c r="N4352" s="2">
        <v>-60.0</v>
      </c>
      <c r="O4352" s="2">
        <v>-72.0</v>
      </c>
      <c r="P4352" s="2" t="s">
        <v>195</v>
      </c>
    </row>
    <row r="4353">
      <c r="A4353" s="3" t="s">
        <v>66</v>
      </c>
      <c r="B4353" s="4">
        <v>45111.29166666667</v>
      </c>
      <c r="C4353" s="2" t="s">
        <v>18</v>
      </c>
      <c r="D4353" s="2" t="s">
        <v>30</v>
      </c>
      <c r="E4353" s="2" t="s">
        <v>163</v>
      </c>
      <c r="F4353" s="2"/>
      <c r="G4353" s="2">
        <v>7.0</v>
      </c>
      <c r="H4353" s="2">
        <v>7.0</v>
      </c>
      <c r="I4353" s="2">
        <v>0.0</v>
      </c>
      <c r="J4353" s="2">
        <v>0.0</v>
      </c>
      <c r="K4353" s="2">
        <v>0.0</v>
      </c>
      <c r="L4353" s="2">
        <v>0.0</v>
      </c>
      <c r="M4353" s="2"/>
      <c r="N4353" s="2"/>
      <c r="O4353" s="2"/>
      <c r="P4353" s="2" t="s">
        <v>195</v>
      </c>
    </row>
    <row r="4354">
      <c r="A4354" s="3" t="s">
        <v>68</v>
      </c>
      <c r="B4354" s="4">
        <v>45112.29166666667</v>
      </c>
      <c r="C4354" s="2" t="s">
        <v>148</v>
      </c>
      <c r="D4354" s="2" t="s">
        <v>19</v>
      </c>
      <c r="E4354" s="2" t="s">
        <v>163</v>
      </c>
      <c r="F4354" s="2"/>
      <c r="G4354" s="2">
        <v>1.0</v>
      </c>
      <c r="H4354" s="2">
        <v>0.0</v>
      </c>
      <c r="I4354" s="2">
        <v>1.0</v>
      </c>
      <c r="J4354" s="2">
        <v>0.0</v>
      </c>
      <c r="K4354" s="2">
        <v>0.0</v>
      </c>
      <c r="L4354" s="2">
        <v>0.0</v>
      </c>
      <c r="M4354" s="2"/>
      <c r="N4354" s="2"/>
      <c r="O4354" s="2"/>
      <c r="P4354" s="2" t="s">
        <v>195</v>
      </c>
    </row>
    <row r="4355">
      <c r="A4355" s="3" t="s">
        <v>70</v>
      </c>
      <c r="B4355" s="4">
        <v>45140.29166666667</v>
      </c>
      <c r="C4355" s="2" t="s">
        <v>18</v>
      </c>
      <c r="D4355" s="2" t="s">
        <v>30</v>
      </c>
      <c r="E4355" s="2" t="s">
        <v>163</v>
      </c>
      <c r="F4355" s="2"/>
      <c r="G4355" s="2">
        <v>129.0</v>
      </c>
      <c r="H4355" s="2">
        <v>79.0</v>
      </c>
      <c r="I4355" s="2">
        <v>50.0</v>
      </c>
      <c r="J4355" s="2">
        <v>0.0</v>
      </c>
      <c r="K4355" s="2">
        <v>0.0</v>
      </c>
      <c r="L4355" s="2">
        <v>0.0</v>
      </c>
      <c r="M4355" s="2"/>
      <c r="N4355" s="2"/>
      <c r="O4355" s="2"/>
      <c r="P4355" s="2" t="s">
        <v>195</v>
      </c>
    </row>
    <row r="4356">
      <c r="A4356" s="3" t="s">
        <v>16</v>
      </c>
      <c r="B4356" s="2" t="s">
        <v>17</v>
      </c>
      <c r="C4356" s="2" t="s">
        <v>18</v>
      </c>
      <c r="D4356" s="2" t="s">
        <v>127</v>
      </c>
      <c r="E4356" s="2" t="s">
        <v>463</v>
      </c>
      <c r="F4356" s="2">
        <v>2.0</v>
      </c>
      <c r="G4356" s="2">
        <v>0.0</v>
      </c>
      <c r="H4356" s="2">
        <v>0.0</v>
      </c>
      <c r="I4356" s="2">
        <v>0.0</v>
      </c>
      <c r="J4356" s="2">
        <v>0.0</v>
      </c>
      <c r="K4356" s="2">
        <v>0.0</v>
      </c>
      <c r="L4356" s="2">
        <v>0.0</v>
      </c>
      <c r="M4356" s="2">
        <v>2.0</v>
      </c>
      <c r="N4356" s="2"/>
      <c r="O4356" s="2"/>
      <c r="P4356" s="2" t="s">
        <v>146</v>
      </c>
    </row>
    <row r="4357">
      <c r="A4357" s="3" t="s">
        <v>71</v>
      </c>
      <c r="B4357" s="2" t="s">
        <v>17</v>
      </c>
      <c r="C4357" s="2" t="s">
        <v>148</v>
      </c>
      <c r="D4357" s="2" t="s">
        <v>19</v>
      </c>
      <c r="E4357" s="2" t="s">
        <v>463</v>
      </c>
      <c r="F4357" s="2">
        <v>5.0</v>
      </c>
      <c r="G4357" s="2">
        <v>0.0</v>
      </c>
      <c r="H4357" s="2">
        <v>0.0</v>
      </c>
      <c r="I4357" s="2">
        <v>0.0</v>
      </c>
      <c r="J4357" s="2">
        <v>0.0</v>
      </c>
      <c r="K4357" s="2">
        <v>0.0</v>
      </c>
      <c r="L4357" s="2">
        <v>0.0</v>
      </c>
      <c r="M4357" s="2">
        <v>5.0</v>
      </c>
      <c r="N4357" s="2"/>
      <c r="O4357" s="2"/>
      <c r="P4357" s="2" t="s">
        <v>146</v>
      </c>
    </row>
    <row r="4358">
      <c r="A4358" s="3" t="s">
        <v>72</v>
      </c>
      <c r="B4358" s="2" t="s">
        <v>17</v>
      </c>
      <c r="C4358" s="2" t="s">
        <v>18</v>
      </c>
      <c r="D4358" s="2" t="s">
        <v>23</v>
      </c>
      <c r="E4358" s="2" t="s">
        <v>463</v>
      </c>
      <c r="F4358" s="2">
        <v>5.0</v>
      </c>
      <c r="G4358" s="2">
        <v>4.0</v>
      </c>
      <c r="H4358" s="2">
        <v>2.0</v>
      </c>
      <c r="I4358" s="2">
        <v>2.0</v>
      </c>
      <c r="J4358" s="2">
        <v>0.0</v>
      </c>
      <c r="K4358" s="2">
        <v>0.0</v>
      </c>
      <c r="L4358" s="2">
        <v>0.0</v>
      </c>
      <c r="M4358" s="2">
        <v>3.0</v>
      </c>
      <c r="N4358" s="2">
        <v>-2.0</v>
      </c>
      <c r="O4358" s="2">
        <v>3.0</v>
      </c>
      <c r="P4358" s="2" t="s">
        <v>146</v>
      </c>
    </row>
    <row r="4359">
      <c r="A4359" s="3" t="s">
        <v>73</v>
      </c>
      <c r="B4359" s="4">
        <v>45140.29166666667</v>
      </c>
      <c r="C4359" s="2" t="s">
        <v>18</v>
      </c>
      <c r="D4359" s="2" t="s">
        <v>127</v>
      </c>
      <c r="E4359" s="2" t="s">
        <v>463</v>
      </c>
      <c r="F4359" s="2"/>
      <c r="G4359" s="2">
        <v>4.0</v>
      </c>
      <c r="H4359" s="2">
        <v>2.0</v>
      </c>
      <c r="I4359" s="2">
        <v>2.0</v>
      </c>
      <c r="J4359" s="2">
        <v>0.0</v>
      </c>
      <c r="K4359" s="2">
        <v>0.0</v>
      </c>
      <c r="L4359" s="2">
        <v>0.0</v>
      </c>
      <c r="M4359" s="2"/>
      <c r="N4359" s="2"/>
      <c r="O4359" s="2"/>
      <c r="P4359" s="2" t="s">
        <v>146</v>
      </c>
    </row>
    <row r="4360">
      <c r="A4360" s="3" t="s">
        <v>74</v>
      </c>
      <c r="B4360" s="2" t="s">
        <v>17</v>
      </c>
      <c r="C4360" s="2" t="s">
        <v>18</v>
      </c>
      <c r="D4360" s="2" t="s">
        <v>127</v>
      </c>
      <c r="E4360" s="2" t="s">
        <v>27</v>
      </c>
      <c r="F4360" s="2">
        <v>70.0</v>
      </c>
      <c r="G4360" s="2">
        <v>0.0</v>
      </c>
      <c r="H4360" s="2">
        <v>0.0</v>
      </c>
      <c r="I4360" s="2">
        <v>0.0</v>
      </c>
      <c r="J4360" s="2">
        <v>0.0</v>
      </c>
      <c r="K4360" s="2">
        <v>0.0</v>
      </c>
      <c r="L4360" s="2">
        <v>0.0</v>
      </c>
      <c r="M4360" s="2">
        <v>70.0</v>
      </c>
      <c r="N4360" s="2"/>
      <c r="O4360" s="2"/>
      <c r="P4360" s="2" t="s">
        <v>184</v>
      </c>
    </row>
    <row r="4361">
      <c r="A4361" s="3" t="s">
        <v>75</v>
      </c>
      <c r="B4361" s="2" t="s">
        <v>17</v>
      </c>
      <c r="C4361" s="2" t="s">
        <v>18</v>
      </c>
      <c r="D4361" s="2" t="s">
        <v>19</v>
      </c>
      <c r="E4361" s="2" t="s">
        <v>27</v>
      </c>
      <c r="F4361" s="2">
        <v>30.0</v>
      </c>
      <c r="G4361" s="2">
        <v>5.0</v>
      </c>
      <c r="H4361" s="2">
        <v>0.0</v>
      </c>
      <c r="I4361" s="2">
        <v>5.0</v>
      </c>
      <c r="J4361" s="2">
        <v>0.0</v>
      </c>
      <c r="K4361" s="2">
        <v>0.0</v>
      </c>
      <c r="L4361" s="2">
        <v>0.0</v>
      </c>
      <c r="M4361" s="2">
        <v>30.0</v>
      </c>
      <c r="N4361" s="2"/>
      <c r="O4361" s="2"/>
      <c r="P4361" s="2" t="s">
        <v>184</v>
      </c>
    </row>
    <row r="4362">
      <c r="A4362" s="3" t="s">
        <v>76</v>
      </c>
      <c r="B4362" s="2" t="s">
        <v>17</v>
      </c>
      <c r="C4362" s="2" t="s">
        <v>18</v>
      </c>
      <c r="D4362" s="2" t="s">
        <v>23</v>
      </c>
      <c r="E4362" s="2" t="s">
        <v>27</v>
      </c>
      <c r="F4362" s="2">
        <v>100.0</v>
      </c>
      <c r="G4362" s="2">
        <v>5.0</v>
      </c>
      <c r="H4362" s="2">
        <v>0.0</v>
      </c>
      <c r="I4362" s="2">
        <v>5.0</v>
      </c>
      <c r="J4362" s="2">
        <v>0.0</v>
      </c>
      <c r="K4362" s="2">
        <v>0.0</v>
      </c>
      <c r="L4362" s="2">
        <v>0.0</v>
      </c>
      <c r="M4362" s="2">
        <v>100.0</v>
      </c>
      <c r="N4362" s="2">
        <v>0.0</v>
      </c>
      <c r="O4362" s="2">
        <v>100.0</v>
      </c>
      <c r="P4362" s="2" t="s">
        <v>184</v>
      </c>
    </row>
    <row r="4363">
      <c r="A4363" s="3" t="s">
        <v>77</v>
      </c>
      <c r="B4363" s="4">
        <v>45141.29166666667</v>
      </c>
      <c r="C4363" s="2" t="s">
        <v>18</v>
      </c>
      <c r="D4363" s="2" t="s">
        <v>19</v>
      </c>
      <c r="E4363" s="2" t="s">
        <v>27</v>
      </c>
      <c r="F4363" s="2"/>
      <c r="G4363" s="2">
        <v>5.0</v>
      </c>
      <c r="H4363" s="2">
        <v>0.0</v>
      </c>
      <c r="I4363" s="2">
        <v>5.0</v>
      </c>
      <c r="J4363" s="2">
        <v>0.0</v>
      </c>
      <c r="K4363" s="2">
        <v>0.0</v>
      </c>
      <c r="L4363" s="2">
        <v>0.0</v>
      </c>
      <c r="M4363" s="2"/>
      <c r="N4363" s="2"/>
      <c r="O4363" s="2"/>
      <c r="P4363" s="2" t="s">
        <v>184</v>
      </c>
    </row>
    <row r="4364">
      <c r="A4364" s="3" t="s">
        <v>78</v>
      </c>
      <c r="B4364" s="2" t="s">
        <v>17</v>
      </c>
      <c r="C4364" s="2" t="s">
        <v>18</v>
      </c>
      <c r="D4364" s="2" t="s">
        <v>164</v>
      </c>
      <c r="E4364" s="2" t="s">
        <v>165</v>
      </c>
      <c r="F4364" s="2">
        <v>33.0</v>
      </c>
      <c r="G4364" s="2">
        <v>28.0</v>
      </c>
      <c r="H4364" s="2">
        <v>18.0</v>
      </c>
      <c r="I4364" s="2">
        <v>10.0</v>
      </c>
      <c r="J4364" s="2">
        <v>0.0</v>
      </c>
      <c r="K4364" s="2">
        <v>0.0</v>
      </c>
      <c r="L4364" s="2">
        <v>0.0</v>
      </c>
      <c r="M4364" s="2">
        <v>15.0</v>
      </c>
      <c r="N4364" s="2"/>
      <c r="O4364" s="2"/>
      <c r="P4364" s="2" t="s">
        <v>166</v>
      </c>
    </row>
    <row r="4365">
      <c r="A4365" s="3" t="s">
        <v>81</v>
      </c>
      <c r="B4365" s="2" t="s">
        <v>17</v>
      </c>
      <c r="C4365" s="2" t="s">
        <v>18</v>
      </c>
      <c r="D4365" s="2" t="s">
        <v>23</v>
      </c>
      <c r="E4365" s="2" t="s">
        <v>165</v>
      </c>
      <c r="F4365" s="2">
        <v>33.0</v>
      </c>
      <c r="G4365" s="2">
        <v>28.0</v>
      </c>
      <c r="H4365" s="2">
        <v>18.0</v>
      </c>
      <c r="I4365" s="2">
        <v>10.0</v>
      </c>
      <c r="J4365" s="2">
        <v>0.0</v>
      </c>
      <c r="K4365" s="2">
        <v>0.0</v>
      </c>
      <c r="L4365" s="2">
        <v>0.0</v>
      </c>
      <c r="M4365" s="2">
        <v>15.0</v>
      </c>
      <c r="N4365" s="2">
        <v>0.0</v>
      </c>
      <c r="O4365" s="2">
        <v>-3.0</v>
      </c>
      <c r="P4365" s="2" t="s">
        <v>166</v>
      </c>
    </row>
    <row r="4366">
      <c r="A4366" s="3" t="s">
        <v>82</v>
      </c>
      <c r="B4366" s="4">
        <v>45112.29166666667</v>
      </c>
      <c r="C4366" s="2" t="s">
        <v>18</v>
      </c>
      <c r="D4366" s="2" t="s">
        <v>164</v>
      </c>
      <c r="E4366" s="2" t="s">
        <v>165</v>
      </c>
      <c r="F4366" s="2"/>
      <c r="G4366" s="2">
        <v>28.0</v>
      </c>
      <c r="H4366" s="2">
        <v>18.0</v>
      </c>
      <c r="I4366" s="2">
        <v>10.0</v>
      </c>
      <c r="J4366" s="2">
        <v>0.0</v>
      </c>
      <c r="K4366" s="2">
        <v>0.0</v>
      </c>
      <c r="L4366" s="2">
        <v>0.0</v>
      </c>
      <c r="M4366" s="2"/>
      <c r="N4366" s="2"/>
      <c r="O4366" s="2"/>
      <c r="P4366" s="2" t="s">
        <v>166</v>
      </c>
    </row>
    <row r="4367">
      <c r="A4367" s="3" t="s">
        <v>83</v>
      </c>
      <c r="B4367" s="2" t="s">
        <v>17</v>
      </c>
      <c r="C4367" s="2" t="s">
        <v>57</v>
      </c>
      <c r="D4367" s="2" t="s">
        <v>19</v>
      </c>
      <c r="E4367" s="2" t="s">
        <v>27</v>
      </c>
      <c r="F4367" s="2">
        <v>72.0</v>
      </c>
      <c r="G4367" s="2">
        <v>93.0</v>
      </c>
      <c r="H4367" s="2">
        <v>72.0</v>
      </c>
      <c r="I4367" s="2">
        <v>21.0</v>
      </c>
      <c r="J4367" s="2">
        <v>0.0</v>
      </c>
      <c r="K4367" s="2">
        <v>0.0</v>
      </c>
      <c r="L4367" s="2">
        <v>0.0</v>
      </c>
      <c r="M4367" s="2">
        <v>0.0</v>
      </c>
      <c r="N4367" s="2"/>
      <c r="O4367" s="2"/>
      <c r="P4367" s="2" t="s">
        <v>153</v>
      </c>
    </row>
    <row r="4368">
      <c r="A4368" s="3" t="s">
        <v>84</v>
      </c>
      <c r="B4368" s="2" t="s">
        <v>17</v>
      </c>
      <c r="C4368" s="2" t="s">
        <v>57</v>
      </c>
      <c r="D4368" s="2" t="s">
        <v>19</v>
      </c>
      <c r="E4368" s="2" t="s">
        <v>464</v>
      </c>
      <c r="F4368" s="2">
        <v>8.0</v>
      </c>
      <c r="G4368" s="2">
        <v>11.0</v>
      </c>
      <c r="H4368" s="2">
        <v>8.0</v>
      </c>
      <c r="I4368" s="2">
        <v>3.0</v>
      </c>
      <c r="J4368" s="2">
        <v>0.0</v>
      </c>
      <c r="K4368" s="2">
        <v>0.0</v>
      </c>
      <c r="L4368" s="2">
        <v>0.0</v>
      </c>
      <c r="M4368" s="2">
        <v>0.0</v>
      </c>
      <c r="N4368" s="2"/>
      <c r="O4368" s="2"/>
      <c r="P4368" s="2" t="s">
        <v>153</v>
      </c>
    </row>
    <row r="4369">
      <c r="A4369" s="3" t="s">
        <v>85</v>
      </c>
      <c r="B4369" s="2" t="s">
        <v>17</v>
      </c>
      <c r="C4369" s="2" t="s">
        <v>57</v>
      </c>
      <c r="D4369" s="2" t="s">
        <v>19</v>
      </c>
      <c r="E4369" s="2" t="s">
        <v>465</v>
      </c>
      <c r="F4369" s="2">
        <v>30.0</v>
      </c>
      <c r="G4369" s="2">
        <v>45.0</v>
      </c>
      <c r="H4369" s="2">
        <v>30.0</v>
      </c>
      <c r="I4369" s="2">
        <v>15.0</v>
      </c>
      <c r="J4369" s="2">
        <v>0.0</v>
      </c>
      <c r="K4369" s="2">
        <v>0.0</v>
      </c>
      <c r="L4369" s="2">
        <v>0.0</v>
      </c>
      <c r="M4369" s="2">
        <v>0.0</v>
      </c>
      <c r="N4369" s="2"/>
      <c r="O4369" s="2"/>
      <c r="P4369" s="2" t="s">
        <v>153</v>
      </c>
    </row>
    <row r="4370">
      <c r="A4370" s="3" t="s">
        <v>86</v>
      </c>
      <c r="B4370" s="2" t="s">
        <v>17</v>
      </c>
      <c r="C4370" s="2" t="s">
        <v>57</v>
      </c>
      <c r="D4370" s="2" t="s">
        <v>157</v>
      </c>
      <c r="E4370" s="2" t="s">
        <v>27</v>
      </c>
      <c r="F4370" s="2">
        <v>9.0</v>
      </c>
      <c r="G4370" s="2">
        <v>11.0</v>
      </c>
      <c r="H4370" s="2">
        <v>9.0</v>
      </c>
      <c r="I4370" s="2">
        <v>2.0</v>
      </c>
      <c r="J4370" s="2">
        <v>0.0</v>
      </c>
      <c r="K4370" s="2">
        <v>0.0</v>
      </c>
      <c r="L4370" s="2">
        <v>0.0</v>
      </c>
      <c r="M4370" s="2">
        <v>0.0</v>
      </c>
      <c r="N4370" s="2"/>
      <c r="O4370" s="2"/>
      <c r="P4370" s="2" t="s">
        <v>153</v>
      </c>
    </row>
    <row r="4371">
      <c r="A4371" s="3" t="s">
        <v>87</v>
      </c>
      <c r="B4371" s="2" t="s">
        <v>17</v>
      </c>
      <c r="C4371" s="2" t="s">
        <v>18</v>
      </c>
      <c r="D4371" s="2" t="s">
        <v>157</v>
      </c>
      <c r="E4371" s="2" t="s">
        <v>464</v>
      </c>
      <c r="F4371" s="2">
        <v>29.0</v>
      </c>
      <c r="G4371" s="2">
        <v>39.0</v>
      </c>
      <c r="H4371" s="2">
        <v>32.0</v>
      </c>
      <c r="I4371" s="2">
        <v>7.0</v>
      </c>
      <c r="J4371" s="2">
        <v>0.0</v>
      </c>
      <c r="K4371" s="2">
        <v>0.0</v>
      </c>
      <c r="L4371" s="2">
        <v>0.0</v>
      </c>
      <c r="M4371" s="2">
        <v>-3.0</v>
      </c>
      <c r="N4371" s="2"/>
      <c r="O4371" s="2"/>
      <c r="P4371" s="2" t="s">
        <v>153</v>
      </c>
    </row>
    <row r="4372">
      <c r="A4372" s="3" t="s">
        <v>88</v>
      </c>
      <c r="B4372" s="2" t="s">
        <v>17</v>
      </c>
      <c r="C4372" s="2" t="s">
        <v>57</v>
      </c>
      <c r="D4372" s="2" t="s">
        <v>23</v>
      </c>
      <c r="E4372" s="2" t="s">
        <v>27</v>
      </c>
      <c r="F4372" s="2">
        <v>81.0</v>
      </c>
      <c r="G4372" s="2">
        <v>104.0</v>
      </c>
      <c r="H4372" s="2">
        <v>81.0</v>
      </c>
      <c r="I4372" s="2">
        <v>23.0</v>
      </c>
      <c r="J4372" s="2">
        <v>0.0</v>
      </c>
      <c r="K4372" s="2">
        <v>0.0</v>
      </c>
      <c r="L4372" s="2">
        <v>0.0</v>
      </c>
      <c r="M4372" s="2">
        <v>0.0</v>
      </c>
      <c r="N4372" s="2">
        <v>0.0</v>
      </c>
      <c r="O4372" s="2">
        <v>-81.0</v>
      </c>
      <c r="P4372" s="2" t="s">
        <v>153</v>
      </c>
    </row>
    <row r="4373">
      <c r="A4373" s="3" t="s">
        <v>89</v>
      </c>
      <c r="B4373" s="2" t="s">
        <v>17</v>
      </c>
      <c r="C4373" s="2" t="s">
        <v>18</v>
      </c>
      <c r="D4373" s="2" t="s">
        <v>23</v>
      </c>
      <c r="E4373" s="2" t="s">
        <v>464</v>
      </c>
      <c r="F4373" s="2">
        <v>37.0</v>
      </c>
      <c r="G4373" s="2">
        <v>50.0</v>
      </c>
      <c r="H4373" s="2">
        <v>40.0</v>
      </c>
      <c r="I4373" s="2">
        <v>10.0</v>
      </c>
      <c r="J4373" s="2">
        <v>0.0</v>
      </c>
      <c r="K4373" s="2">
        <v>0.0</v>
      </c>
      <c r="L4373" s="2">
        <v>0.0</v>
      </c>
      <c r="M4373" s="2">
        <v>-3.0</v>
      </c>
      <c r="N4373" s="2">
        <v>0.0</v>
      </c>
      <c r="O4373" s="2">
        <v>-43.0</v>
      </c>
      <c r="P4373" s="2" t="s">
        <v>153</v>
      </c>
    </row>
    <row r="4374">
      <c r="A4374" s="3" t="s">
        <v>90</v>
      </c>
      <c r="B4374" s="2" t="s">
        <v>17</v>
      </c>
      <c r="C4374" s="2" t="s">
        <v>57</v>
      </c>
      <c r="D4374" s="2" t="s">
        <v>23</v>
      </c>
      <c r="E4374" s="2" t="s">
        <v>465</v>
      </c>
      <c r="F4374" s="2">
        <v>30.0</v>
      </c>
      <c r="G4374" s="2">
        <v>45.0</v>
      </c>
      <c r="H4374" s="2">
        <v>30.0</v>
      </c>
      <c r="I4374" s="2">
        <v>15.0</v>
      </c>
      <c r="J4374" s="2">
        <v>0.0</v>
      </c>
      <c r="K4374" s="2">
        <v>0.0</v>
      </c>
      <c r="L4374" s="2">
        <v>0.0</v>
      </c>
      <c r="M4374" s="2">
        <v>0.0</v>
      </c>
      <c r="N4374" s="2">
        <v>0.0</v>
      </c>
      <c r="O4374" s="2">
        <v>-30.0</v>
      </c>
      <c r="P4374" s="2" t="s">
        <v>153</v>
      </c>
    </row>
    <row r="4375">
      <c r="A4375" s="3" t="s">
        <v>93</v>
      </c>
      <c r="B4375" s="4">
        <v>45079.29166666667</v>
      </c>
      <c r="C4375" s="2" t="s">
        <v>57</v>
      </c>
      <c r="D4375" s="2" t="s">
        <v>19</v>
      </c>
      <c r="E4375" s="2" t="s">
        <v>27</v>
      </c>
      <c r="F4375" s="2"/>
      <c r="G4375" s="2">
        <v>34.0</v>
      </c>
      <c r="H4375" s="2">
        <v>28.0</v>
      </c>
      <c r="I4375" s="2">
        <v>6.0</v>
      </c>
      <c r="J4375" s="2">
        <v>0.0</v>
      </c>
      <c r="K4375" s="2">
        <v>0.0</v>
      </c>
      <c r="L4375" s="2">
        <v>0.0</v>
      </c>
      <c r="M4375" s="2"/>
      <c r="N4375" s="2"/>
      <c r="O4375" s="2"/>
      <c r="P4375" s="2" t="s">
        <v>153</v>
      </c>
    </row>
    <row r="4376">
      <c r="A4376" s="3" t="s">
        <v>16</v>
      </c>
      <c r="B4376" s="4">
        <v>45080.29166666667</v>
      </c>
      <c r="C4376" s="2" t="s">
        <v>18</v>
      </c>
      <c r="D4376" s="2" t="s">
        <v>19</v>
      </c>
      <c r="E4376" s="2" t="s">
        <v>464</v>
      </c>
      <c r="F4376" s="2"/>
      <c r="G4376" s="2">
        <v>9.0</v>
      </c>
      <c r="H4376" s="2">
        <v>7.0</v>
      </c>
      <c r="I4376" s="2">
        <v>2.0</v>
      </c>
      <c r="J4376" s="2">
        <v>0.0</v>
      </c>
      <c r="K4376" s="2">
        <v>0.0</v>
      </c>
      <c r="L4376" s="2">
        <v>0.0</v>
      </c>
      <c r="M4376" s="2"/>
      <c r="N4376" s="2"/>
      <c r="O4376" s="2"/>
      <c r="P4376" s="2" t="s">
        <v>153</v>
      </c>
    </row>
    <row r="4377">
      <c r="A4377" s="3" t="s">
        <v>94</v>
      </c>
      <c r="B4377" s="4">
        <v>45081.29166666667</v>
      </c>
      <c r="C4377" s="2" t="s">
        <v>57</v>
      </c>
      <c r="D4377" s="2" t="s">
        <v>19</v>
      </c>
      <c r="E4377" s="2" t="s">
        <v>465</v>
      </c>
      <c r="F4377" s="2"/>
      <c r="G4377" s="2">
        <v>21.0</v>
      </c>
      <c r="H4377" s="2">
        <v>11.0</v>
      </c>
      <c r="I4377" s="2">
        <v>10.0</v>
      </c>
      <c r="J4377" s="2">
        <v>0.0</v>
      </c>
      <c r="K4377" s="2">
        <v>0.0</v>
      </c>
      <c r="L4377" s="2">
        <v>0.0</v>
      </c>
      <c r="M4377" s="2"/>
      <c r="N4377" s="2"/>
      <c r="O4377" s="2"/>
      <c r="P4377" s="2" t="s">
        <v>153</v>
      </c>
    </row>
    <row r="4378">
      <c r="A4378" s="3" t="s">
        <v>95</v>
      </c>
      <c r="B4378" s="4">
        <v>45110.29166666667</v>
      </c>
      <c r="C4378" s="2" t="s">
        <v>18</v>
      </c>
      <c r="D4378" s="2" t="s">
        <v>19</v>
      </c>
      <c r="E4378" s="2" t="s">
        <v>27</v>
      </c>
      <c r="F4378" s="2"/>
      <c r="G4378" s="2">
        <v>59.0</v>
      </c>
      <c r="H4378" s="2">
        <v>44.0</v>
      </c>
      <c r="I4378" s="2">
        <v>15.0</v>
      </c>
      <c r="J4378" s="2">
        <v>0.0</v>
      </c>
      <c r="K4378" s="2">
        <v>0.0</v>
      </c>
      <c r="L4378" s="2">
        <v>0.0</v>
      </c>
      <c r="M4378" s="2"/>
      <c r="N4378" s="2"/>
      <c r="O4378" s="2"/>
      <c r="P4378" s="2" t="s">
        <v>153</v>
      </c>
    </row>
    <row r="4379">
      <c r="A4379" s="3" t="s">
        <v>97</v>
      </c>
      <c r="B4379" s="4">
        <v>45110.29166666667</v>
      </c>
      <c r="C4379" s="2" t="s">
        <v>18</v>
      </c>
      <c r="D4379" s="2" t="s">
        <v>19</v>
      </c>
      <c r="E4379" s="2" t="s">
        <v>464</v>
      </c>
      <c r="F4379" s="2"/>
      <c r="G4379" s="2">
        <v>2.0</v>
      </c>
      <c r="H4379" s="2">
        <v>1.0</v>
      </c>
      <c r="I4379" s="2">
        <v>1.0</v>
      </c>
      <c r="J4379" s="2">
        <v>0.0</v>
      </c>
      <c r="K4379" s="2">
        <v>0.0</v>
      </c>
      <c r="L4379" s="2">
        <v>0.0</v>
      </c>
      <c r="M4379" s="2"/>
      <c r="N4379" s="2"/>
      <c r="O4379" s="2"/>
      <c r="P4379" s="2" t="s">
        <v>153</v>
      </c>
    </row>
    <row r="4380">
      <c r="A4380" s="3" t="s">
        <v>98</v>
      </c>
      <c r="B4380" s="4">
        <v>45110.29166666667</v>
      </c>
      <c r="C4380" s="2" t="s">
        <v>57</v>
      </c>
      <c r="D4380" s="2" t="s">
        <v>19</v>
      </c>
      <c r="E4380" s="2" t="s">
        <v>465</v>
      </c>
      <c r="F4380" s="2"/>
      <c r="G4380" s="2">
        <v>24.0</v>
      </c>
      <c r="H4380" s="2">
        <v>19.0</v>
      </c>
      <c r="I4380" s="2">
        <v>5.0</v>
      </c>
      <c r="J4380" s="2">
        <v>0.0</v>
      </c>
      <c r="K4380" s="2">
        <v>0.0</v>
      </c>
      <c r="L4380" s="2">
        <v>0.0</v>
      </c>
      <c r="M4380" s="2"/>
      <c r="N4380" s="2"/>
      <c r="O4380" s="2"/>
      <c r="P4380" s="2" t="s">
        <v>153</v>
      </c>
    </row>
    <row r="4381">
      <c r="A4381" s="3" t="s">
        <v>99</v>
      </c>
      <c r="B4381" s="4">
        <v>45111.29166666667</v>
      </c>
      <c r="C4381" s="2" t="s">
        <v>57</v>
      </c>
      <c r="D4381" s="2" t="s">
        <v>157</v>
      </c>
      <c r="E4381" s="2" t="s">
        <v>27</v>
      </c>
      <c r="F4381" s="2"/>
      <c r="G4381" s="2">
        <v>11.0</v>
      </c>
      <c r="H4381" s="2">
        <v>9.0</v>
      </c>
      <c r="I4381" s="2">
        <v>2.0</v>
      </c>
      <c r="J4381" s="2">
        <v>0.0</v>
      </c>
      <c r="K4381" s="2">
        <v>0.0</v>
      </c>
      <c r="L4381" s="2">
        <v>0.0</v>
      </c>
      <c r="M4381" s="2"/>
      <c r="N4381" s="2"/>
      <c r="O4381" s="2"/>
      <c r="P4381" s="2" t="s">
        <v>153</v>
      </c>
    </row>
    <row r="4382">
      <c r="A4382" s="3" t="s">
        <v>100</v>
      </c>
      <c r="B4382" s="4">
        <v>45112.29166666667</v>
      </c>
      <c r="C4382" s="2" t="s">
        <v>57</v>
      </c>
      <c r="D4382" s="2" t="s">
        <v>157</v>
      </c>
      <c r="E4382" s="2" t="s">
        <v>464</v>
      </c>
      <c r="F4382" s="2"/>
      <c r="G4382" s="2">
        <v>31.0</v>
      </c>
      <c r="H4382" s="2">
        <v>25.0</v>
      </c>
      <c r="I4382" s="2">
        <v>6.0</v>
      </c>
      <c r="J4382" s="2">
        <v>0.0</v>
      </c>
      <c r="K4382" s="2">
        <v>0.0</v>
      </c>
      <c r="L4382" s="2">
        <v>0.0</v>
      </c>
      <c r="M4382" s="2"/>
      <c r="N4382" s="2"/>
      <c r="O4382" s="2"/>
      <c r="P4382" s="2" t="s">
        <v>153</v>
      </c>
    </row>
    <row r="4383">
      <c r="A4383" s="3" t="s">
        <v>101</v>
      </c>
      <c r="B4383" s="4">
        <v>45140.29166666667</v>
      </c>
      <c r="C4383" s="2" t="s">
        <v>18</v>
      </c>
      <c r="D4383" s="2" t="s">
        <v>157</v>
      </c>
      <c r="E4383" s="2" t="s">
        <v>464</v>
      </c>
      <c r="F4383" s="2"/>
      <c r="G4383" s="2">
        <v>8.0</v>
      </c>
      <c r="H4383" s="2">
        <v>7.0</v>
      </c>
      <c r="I4383" s="2">
        <v>1.0</v>
      </c>
      <c r="J4383" s="2">
        <v>0.0</v>
      </c>
      <c r="K4383" s="2">
        <v>0.0</v>
      </c>
      <c r="L4383" s="2">
        <v>0.0</v>
      </c>
      <c r="M4383" s="2"/>
      <c r="N4383" s="2"/>
      <c r="O4383" s="2"/>
      <c r="P4383" s="2" t="s">
        <v>153</v>
      </c>
    </row>
    <row r="4384">
      <c r="A4384" s="3" t="s">
        <v>102</v>
      </c>
      <c r="B4384" s="2" t="s">
        <v>17</v>
      </c>
      <c r="C4384" s="2" t="s">
        <v>18</v>
      </c>
      <c r="D4384" s="2" t="s">
        <v>157</v>
      </c>
      <c r="E4384" s="2" t="s">
        <v>466</v>
      </c>
      <c r="F4384" s="2">
        <v>11.0</v>
      </c>
      <c r="G4384" s="2">
        <v>18.0</v>
      </c>
      <c r="H4384" s="2">
        <v>12.0</v>
      </c>
      <c r="I4384" s="2">
        <v>6.0</v>
      </c>
      <c r="J4384" s="2">
        <v>0.0</v>
      </c>
      <c r="K4384" s="2">
        <v>0.0</v>
      </c>
      <c r="L4384" s="2">
        <v>0.0</v>
      </c>
      <c r="M4384" s="2">
        <v>-1.0</v>
      </c>
      <c r="N4384" s="2"/>
      <c r="O4384" s="2"/>
      <c r="P4384" s="2" t="s">
        <v>67</v>
      </c>
    </row>
    <row r="4385">
      <c r="A4385" s="3" t="s">
        <v>103</v>
      </c>
      <c r="B4385" s="2" t="s">
        <v>17</v>
      </c>
      <c r="C4385" s="2" t="s">
        <v>18</v>
      </c>
      <c r="D4385" s="2" t="s">
        <v>19</v>
      </c>
      <c r="E4385" s="2" t="s">
        <v>466</v>
      </c>
      <c r="F4385" s="2">
        <v>13.0</v>
      </c>
      <c r="G4385" s="2">
        <v>3.0</v>
      </c>
      <c r="H4385" s="2">
        <v>2.0</v>
      </c>
      <c r="I4385" s="2">
        <v>0.0</v>
      </c>
      <c r="J4385" s="2">
        <v>1.0</v>
      </c>
      <c r="K4385" s="2">
        <v>0.0</v>
      </c>
      <c r="L4385" s="2">
        <v>0.0</v>
      </c>
      <c r="M4385" s="2">
        <v>11.0</v>
      </c>
      <c r="N4385" s="2"/>
      <c r="O4385" s="2"/>
      <c r="P4385" s="2" t="s">
        <v>67</v>
      </c>
    </row>
    <row r="4386">
      <c r="A4386" s="3" t="s">
        <v>104</v>
      </c>
      <c r="B4386" s="2" t="s">
        <v>17</v>
      </c>
      <c r="C4386" s="2" t="s">
        <v>18</v>
      </c>
      <c r="D4386" s="2" t="s">
        <v>23</v>
      </c>
      <c r="E4386" s="2" t="s">
        <v>466</v>
      </c>
      <c r="F4386" s="2">
        <v>14.0</v>
      </c>
      <c r="G4386" s="2">
        <v>21.0</v>
      </c>
      <c r="H4386" s="2">
        <v>14.0</v>
      </c>
      <c r="I4386" s="2">
        <v>6.0</v>
      </c>
      <c r="J4386" s="2">
        <v>1.0</v>
      </c>
      <c r="K4386" s="2">
        <v>0.0</v>
      </c>
      <c r="L4386" s="2">
        <v>0.0</v>
      </c>
      <c r="M4386" s="2">
        <v>0.0</v>
      </c>
      <c r="N4386" s="2">
        <v>-10.0</v>
      </c>
      <c r="O4386" s="2">
        <v>-14.0</v>
      </c>
      <c r="P4386" s="2" t="s">
        <v>67</v>
      </c>
    </row>
    <row r="4387">
      <c r="A4387" s="3" t="s">
        <v>105</v>
      </c>
      <c r="B4387" s="4">
        <v>45110.29166666667</v>
      </c>
      <c r="C4387" s="2" t="s">
        <v>18</v>
      </c>
      <c r="D4387" s="2" t="s">
        <v>157</v>
      </c>
      <c r="E4387" s="2" t="s">
        <v>466</v>
      </c>
      <c r="F4387" s="2"/>
      <c r="G4387" s="2">
        <v>18.0</v>
      </c>
      <c r="H4387" s="2">
        <v>12.0</v>
      </c>
      <c r="I4387" s="2">
        <v>6.0</v>
      </c>
      <c r="J4387" s="2">
        <v>0.0</v>
      </c>
      <c r="K4387" s="2">
        <v>0.0</v>
      </c>
      <c r="L4387" s="2">
        <v>0.0</v>
      </c>
      <c r="M4387" s="2"/>
      <c r="N4387" s="2"/>
      <c r="O4387" s="2"/>
      <c r="P4387" s="2" t="s">
        <v>67</v>
      </c>
    </row>
    <row r="4388">
      <c r="A4388" s="3" t="s">
        <v>16</v>
      </c>
      <c r="B4388" s="4">
        <v>45111.29166666667</v>
      </c>
      <c r="C4388" s="2" t="s">
        <v>18</v>
      </c>
      <c r="D4388" s="2" t="s">
        <v>19</v>
      </c>
      <c r="E4388" s="2" t="s">
        <v>466</v>
      </c>
      <c r="F4388" s="2"/>
      <c r="G4388" s="2">
        <v>3.0</v>
      </c>
      <c r="H4388" s="2">
        <v>2.0</v>
      </c>
      <c r="I4388" s="2">
        <v>0.0</v>
      </c>
      <c r="J4388" s="2">
        <v>1.0</v>
      </c>
      <c r="K4388" s="2">
        <v>0.0</v>
      </c>
      <c r="L4388" s="2">
        <v>0.0</v>
      </c>
      <c r="M4388" s="2"/>
      <c r="N4388" s="2"/>
      <c r="O4388" s="2"/>
      <c r="P4388" s="2" t="s">
        <v>67</v>
      </c>
    </row>
    <row r="4389">
      <c r="A4389" s="3" t="s">
        <v>22</v>
      </c>
      <c r="B4389" s="2" t="s">
        <v>17</v>
      </c>
      <c r="C4389" s="2" t="s">
        <v>18</v>
      </c>
      <c r="D4389" s="2" t="s">
        <v>19</v>
      </c>
      <c r="E4389" s="2" t="s">
        <v>467</v>
      </c>
      <c r="F4389" s="2">
        <v>150.0</v>
      </c>
      <c r="G4389" s="2">
        <v>163.0</v>
      </c>
      <c r="H4389" s="2">
        <v>78.0</v>
      </c>
      <c r="I4389" s="2">
        <v>85.0</v>
      </c>
      <c r="J4389" s="2">
        <v>0.0</v>
      </c>
      <c r="K4389" s="2">
        <v>0.0</v>
      </c>
      <c r="L4389" s="2">
        <v>14.0</v>
      </c>
      <c r="M4389" s="2">
        <v>72.0</v>
      </c>
      <c r="N4389" s="2"/>
      <c r="O4389" s="2"/>
      <c r="P4389" s="2" t="s">
        <v>67</v>
      </c>
    </row>
    <row r="4390">
      <c r="A4390" s="3" t="s">
        <v>24</v>
      </c>
      <c r="B4390" s="2" t="s">
        <v>17</v>
      </c>
      <c r="C4390" s="2" t="s">
        <v>18</v>
      </c>
      <c r="D4390" s="2" t="s">
        <v>23</v>
      </c>
      <c r="E4390" s="2" t="s">
        <v>467</v>
      </c>
      <c r="F4390" s="2">
        <v>150.0</v>
      </c>
      <c r="G4390" s="2">
        <v>163.0</v>
      </c>
      <c r="H4390" s="2">
        <v>78.0</v>
      </c>
      <c r="I4390" s="2">
        <v>85.0</v>
      </c>
      <c r="J4390" s="2">
        <v>0.0</v>
      </c>
      <c r="K4390" s="2">
        <v>0.0</v>
      </c>
      <c r="L4390" s="2">
        <v>14.0</v>
      </c>
      <c r="M4390" s="2">
        <v>72.0</v>
      </c>
      <c r="N4390" s="2">
        <v>0.0</v>
      </c>
      <c r="O4390" s="2">
        <v>-6.0</v>
      </c>
      <c r="P4390" s="2" t="s">
        <v>67</v>
      </c>
    </row>
    <row r="4391">
      <c r="A4391" s="3" t="s">
        <v>25</v>
      </c>
      <c r="B4391" s="4">
        <v>45110.29166666667</v>
      </c>
      <c r="C4391" s="2" t="s">
        <v>18</v>
      </c>
      <c r="D4391" s="2" t="s">
        <v>19</v>
      </c>
      <c r="E4391" s="2" t="s">
        <v>467</v>
      </c>
      <c r="F4391" s="2"/>
      <c r="G4391" s="2">
        <v>163.0</v>
      </c>
      <c r="H4391" s="2">
        <v>78.0</v>
      </c>
      <c r="I4391" s="2">
        <v>85.0</v>
      </c>
      <c r="J4391" s="2">
        <v>0.0</v>
      </c>
      <c r="K4391" s="2">
        <v>0.0</v>
      </c>
      <c r="L4391" s="2">
        <v>14.0</v>
      </c>
      <c r="M4391" s="2"/>
      <c r="N4391" s="2"/>
      <c r="O4391" s="2"/>
      <c r="P4391" s="2" t="s">
        <v>67</v>
      </c>
    </row>
    <row r="4392">
      <c r="A4392" s="3" t="s">
        <v>26</v>
      </c>
      <c r="B4392" s="2" t="s">
        <v>17</v>
      </c>
      <c r="C4392" s="2" t="s">
        <v>18</v>
      </c>
      <c r="D4392" s="2" t="s">
        <v>91</v>
      </c>
      <c r="E4392" s="2" t="s">
        <v>177</v>
      </c>
      <c r="F4392" s="2">
        <v>35.0</v>
      </c>
      <c r="G4392" s="2">
        <v>13.0</v>
      </c>
      <c r="H4392" s="2">
        <v>10.0</v>
      </c>
      <c r="I4392" s="2">
        <v>3.0</v>
      </c>
      <c r="J4392" s="2">
        <v>0.0</v>
      </c>
      <c r="K4392" s="2">
        <v>0.0</v>
      </c>
      <c r="L4392" s="2">
        <v>0.0</v>
      </c>
      <c r="M4392" s="2">
        <v>25.0</v>
      </c>
      <c r="N4392" s="2"/>
      <c r="O4392" s="2"/>
      <c r="P4392" s="2" t="s">
        <v>92</v>
      </c>
    </row>
    <row r="4393">
      <c r="A4393" s="3" t="s">
        <v>28</v>
      </c>
      <c r="B4393" s="2" t="s">
        <v>17</v>
      </c>
      <c r="C4393" s="2" t="s">
        <v>18</v>
      </c>
      <c r="D4393" s="2" t="s">
        <v>19</v>
      </c>
      <c r="E4393" s="2" t="s">
        <v>177</v>
      </c>
      <c r="F4393" s="2">
        <v>35.0</v>
      </c>
      <c r="G4393" s="2">
        <v>0.0</v>
      </c>
      <c r="H4393" s="2">
        <v>0.0</v>
      </c>
      <c r="I4393" s="2">
        <v>0.0</v>
      </c>
      <c r="J4393" s="2">
        <v>0.0</v>
      </c>
      <c r="K4393" s="2">
        <v>0.0</v>
      </c>
      <c r="L4393" s="2">
        <v>0.0</v>
      </c>
      <c r="M4393" s="2">
        <v>35.0</v>
      </c>
      <c r="N4393" s="2"/>
      <c r="O4393" s="2"/>
      <c r="P4393" s="2" t="s">
        <v>92</v>
      </c>
    </row>
    <row r="4394">
      <c r="A4394" s="3" t="s">
        <v>29</v>
      </c>
      <c r="B4394" s="2" t="s">
        <v>17</v>
      </c>
      <c r="C4394" s="2" t="s">
        <v>18</v>
      </c>
      <c r="D4394" s="2" t="s">
        <v>23</v>
      </c>
      <c r="E4394" s="2" t="s">
        <v>177</v>
      </c>
      <c r="F4394" s="2">
        <v>35.0</v>
      </c>
      <c r="G4394" s="2">
        <v>13.0</v>
      </c>
      <c r="H4394" s="2">
        <v>10.0</v>
      </c>
      <c r="I4394" s="2">
        <v>3.0</v>
      </c>
      <c r="J4394" s="2">
        <v>0.0</v>
      </c>
      <c r="K4394" s="2">
        <v>0.0</v>
      </c>
      <c r="L4394" s="2">
        <v>0.0</v>
      </c>
      <c r="M4394" s="2">
        <v>25.0</v>
      </c>
      <c r="N4394" s="2">
        <v>-35.0</v>
      </c>
      <c r="O4394" s="2">
        <v>15.0</v>
      </c>
      <c r="P4394" s="2" t="s">
        <v>92</v>
      </c>
    </row>
    <row r="4395">
      <c r="A4395" s="3" t="s">
        <v>32</v>
      </c>
      <c r="B4395" s="4">
        <v>45111.29166666667</v>
      </c>
      <c r="C4395" s="2" t="s">
        <v>18</v>
      </c>
      <c r="D4395" s="2" t="s">
        <v>91</v>
      </c>
      <c r="E4395" s="2" t="s">
        <v>177</v>
      </c>
      <c r="F4395" s="2"/>
      <c r="G4395" s="2">
        <v>13.0</v>
      </c>
      <c r="H4395" s="2">
        <v>10.0</v>
      </c>
      <c r="I4395" s="2">
        <v>3.0</v>
      </c>
      <c r="J4395" s="2">
        <v>0.0</v>
      </c>
      <c r="K4395" s="2">
        <v>0.0</v>
      </c>
      <c r="L4395" s="2">
        <v>0.0</v>
      </c>
      <c r="M4395" s="2"/>
      <c r="N4395" s="2"/>
      <c r="O4395" s="2"/>
      <c r="P4395" s="2" t="s">
        <v>92</v>
      </c>
    </row>
    <row r="4396">
      <c r="A4396" s="3" t="s">
        <v>34</v>
      </c>
      <c r="B4396" s="2" t="s">
        <v>17</v>
      </c>
      <c r="C4396" s="2" t="s">
        <v>18</v>
      </c>
      <c r="D4396" s="2" t="s">
        <v>407</v>
      </c>
      <c r="E4396" s="2" t="s">
        <v>177</v>
      </c>
      <c r="F4396" s="2">
        <v>60.0</v>
      </c>
      <c r="G4396" s="2">
        <v>71.0</v>
      </c>
      <c r="H4396" s="2">
        <v>62.0</v>
      </c>
      <c r="I4396" s="2">
        <v>9.0</v>
      </c>
      <c r="J4396" s="2">
        <v>0.0</v>
      </c>
      <c r="K4396" s="2">
        <v>0.0</v>
      </c>
      <c r="L4396" s="2">
        <v>0.0</v>
      </c>
      <c r="M4396" s="2">
        <v>-2.0</v>
      </c>
      <c r="N4396" s="2"/>
      <c r="O4396" s="2"/>
      <c r="P4396" s="2" t="s">
        <v>195</v>
      </c>
    </row>
    <row r="4397">
      <c r="A4397" s="3" t="s">
        <v>35</v>
      </c>
      <c r="B4397" s="2" t="s">
        <v>17</v>
      </c>
      <c r="C4397" s="2" t="s">
        <v>18</v>
      </c>
      <c r="D4397" s="2" t="s">
        <v>19</v>
      </c>
      <c r="E4397" s="2" t="s">
        <v>177</v>
      </c>
      <c r="F4397" s="2">
        <v>60.0</v>
      </c>
      <c r="G4397" s="2">
        <v>1.0</v>
      </c>
      <c r="H4397" s="2">
        <v>1.0</v>
      </c>
      <c r="I4397" s="2">
        <v>0.0</v>
      </c>
      <c r="J4397" s="2">
        <v>0.0</v>
      </c>
      <c r="K4397" s="2">
        <v>0.0</v>
      </c>
      <c r="L4397" s="2">
        <v>0.0</v>
      </c>
      <c r="M4397" s="2">
        <v>59.0</v>
      </c>
      <c r="N4397" s="2"/>
      <c r="O4397" s="2"/>
      <c r="P4397" s="2" t="s">
        <v>195</v>
      </c>
    </row>
    <row r="4398">
      <c r="A4398" s="3" t="s">
        <v>36</v>
      </c>
      <c r="B4398" s="2" t="s">
        <v>17</v>
      </c>
      <c r="C4398" s="2" t="s">
        <v>18</v>
      </c>
      <c r="D4398" s="2" t="s">
        <v>23</v>
      </c>
      <c r="E4398" s="2" t="s">
        <v>177</v>
      </c>
      <c r="F4398" s="2">
        <v>60.0</v>
      </c>
      <c r="G4398" s="2">
        <v>72.0</v>
      </c>
      <c r="H4398" s="2">
        <v>63.0</v>
      </c>
      <c r="I4398" s="2">
        <v>9.0</v>
      </c>
      <c r="J4398" s="2">
        <v>0.0</v>
      </c>
      <c r="K4398" s="2">
        <v>0.0</v>
      </c>
      <c r="L4398" s="2">
        <v>0.0</v>
      </c>
      <c r="M4398" s="2">
        <v>-3.0</v>
      </c>
      <c r="N4398" s="2">
        <v>-60.0</v>
      </c>
      <c r="O4398" s="2">
        <v>-66.0</v>
      </c>
      <c r="P4398" s="2" t="s">
        <v>195</v>
      </c>
    </row>
    <row r="4399">
      <c r="A4399" s="3" t="s">
        <v>37</v>
      </c>
      <c r="B4399" s="4">
        <v>45111.29166666667</v>
      </c>
      <c r="C4399" s="2" t="s">
        <v>18</v>
      </c>
      <c r="D4399" s="2" t="s">
        <v>407</v>
      </c>
      <c r="E4399" s="2" t="s">
        <v>177</v>
      </c>
      <c r="F4399" s="2"/>
      <c r="G4399" s="2">
        <v>71.0</v>
      </c>
      <c r="H4399" s="2">
        <v>62.0</v>
      </c>
      <c r="I4399" s="2">
        <v>9.0</v>
      </c>
      <c r="J4399" s="2">
        <v>0.0</v>
      </c>
      <c r="K4399" s="2">
        <v>0.0</v>
      </c>
      <c r="L4399" s="2">
        <v>0.0</v>
      </c>
      <c r="M4399" s="2"/>
      <c r="N4399" s="2"/>
      <c r="O4399" s="2"/>
      <c r="P4399" s="2" t="s">
        <v>195</v>
      </c>
    </row>
    <row r="4400">
      <c r="A4400" s="3" t="s">
        <v>38</v>
      </c>
      <c r="B4400" s="4">
        <v>45112.29166666667</v>
      </c>
      <c r="C4400" s="2" t="s">
        <v>18</v>
      </c>
      <c r="D4400" s="2" t="s">
        <v>19</v>
      </c>
      <c r="E4400" s="2" t="s">
        <v>177</v>
      </c>
      <c r="F4400" s="2"/>
      <c r="G4400" s="2">
        <v>1.0</v>
      </c>
      <c r="H4400" s="2">
        <v>1.0</v>
      </c>
      <c r="I4400" s="2">
        <v>0.0</v>
      </c>
      <c r="J4400" s="2">
        <v>0.0</v>
      </c>
      <c r="K4400" s="2">
        <v>0.0</v>
      </c>
      <c r="L4400" s="2">
        <v>0.0</v>
      </c>
      <c r="M4400" s="2"/>
      <c r="N4400" s="2"/>
      <c r="O4400" s="2"/>
      <c r="P4400" s="2" t="s">
        <v>195</v>
      </c>
    </row>
    <row r="4401">
      <c r="A4401" s="3" t="s">
        <v>39</v>
      </c>
      <c r="B4401" s="2" t="s">
        <v>17</v>
      </c>
      <c r="C4401" s="2" t="s">
        <v>18</v>
      </c>
      <c r="D4401" s="2" t="s">
        <v>19</v>
      </c>
      <c r="E4401" s="2" t="s">
        <v>169</v>
      </c>
      <c r="F4401" s="2">
        <v>35.0</v>
      </c>
      <c r="G4401" s="2">
        <v>48.0</v>
      </c>
      <c r="H4401" s="2">
        <v>30.0</v>
      </c>
      <c r="I4401" s="2">
        <v>18.0</v>
      </c>
      <c r="J4401" s="2">
        <v>0.0</v>
      </c>
      <c r="K4401" s="2">
        <v>0.0</v>
      </c>
      <c r="L4401" s="2">
        <v>0.0</v>
      </c>
      <c r="M4401" s="2">
        <v>5.0</v>
      </c>
      <c r="N4401" s="2"/>
      <c r="O4401" s="2"/>
      <c r="P4401" s="2" t="s">
        <v>67</v>
      </c>
    </row>
    <row r="4402">
      <c r="A4402" s="3" t="s">
        <v>40</v>
      </c>
      <c r="B4402" s="2" t="s">
        <v>17</v>
      </c>
      <c r="C4402" s="2" t="s">
        <v>18</v>
      </c>
      <c r="D4402" s="2" t="s">
        <v>91</v>
      </c>
      <c r="E4402" s="2" t="s">
        <v>169</v>
      </c>
      <c r="F4402" s="2">
        <v>15.0</v>
      </c>
      <c r="G4402" s="2">
        <v>5.0</v>
      </c>
      <c r="H4402" s="2">
        <v>3.0</v>
      </c>
      <c r="I4402" s="2">
        <v>2.0</v>
      </c>
      <c r="J4402" s="2">
        <v>0.0</v>
      </c>
      <c r="K4402" s="2">
        <v>0.0</v>
      </c>
      <c r="L4402" s="2">
        <v>0.0</v>
      </c>
      <c r="M4402" s="2">
        <v>12.0</v>
      </c>
      <c r="N4402" s="2"/>
      <c r="O4402" s="2"/>
      <c r="P4402" s="2" t="s">
        <v>67</v>
      </c>
    </row>
    <row r="4403">
      <c r="A4403" s="3" t="s">
        <v>41</v>
      </c>
      <c r="B4403" s="2" t="s">
        <v>17</v>
      </c>
      <c r="C4403" s="2" t="s">
        <v>18</v>
      </c>
      <c r="D4403" s="2" t="s">
        <v>23</v>
      </c>
      <c r="E4403" s="2" t="s">
        <v>169</v>
      </c>
      <c r="F4403" s="2">
        <v>50.0</v>
      </c>
      <c r="G4403" s="2">
        <v>53.0</v>
      </c>
      <c r="H4403" s="2">
        <v>33.0</v>
      </c>
      <c r="I4403" s="2">
        <v>20.0</v>
      </c>
      <c r="J4403" s="2">
        <v>0.0</v>
      </c>
      <c r="K4403" s="2">
        <v>0.0</v>
      </c>
      <c r="L4403" s="2">
        <v>0.0</v>
      </c>
      <c r="M4403" s="2">
        <v>17.0</v>
      </c>
      <c r="N4403" s="2">
        <v>0.0</v>
      </c>
      <c r="O4403" s="2">
        <v>-16.0</v>
      </c>
      <c r="P4403" s="2" t="s">
        <v>67</v>
      </c>
    </row>
    <row r="4404">
      <c r="A4404" s="3" t="s">
        <v>42</v>
      </c>
      <c r="B4404" s="4">
        <v>45048.29166666667</v>
      </c>
      <c r="C4404" s="2" t="s">
        <v>18</v>
      </c>
      <c r="D4404" s="2" t="s">
        <v>19</v>
      </c>
      <c r="E4404" s="2" t="s">
        <v>169</v>
      </c>
      <c r="F4404" s="2"/>
      <c r="G4404" s="2">
        <v>0.0</v>
      </c>
      <c r="H4404" s="2">
        <v>0.0</v>
      </c>
      <c r="I4404" s="2">
        <v>0.0</v>
      </c>
      <c r="J4404" s="2">
        <v>0.0</v>
      </c>
      <c r="K4404" s="2">
        <v>0.0</v>
      </c>
      <c r="L4404" s="2">
        <v>0.0</v>
      </c>
      <c r="M4404" s="2"/>
      <c r="N4404" s="2"/>
      <c r="O4404" s="2"/>
      <c r="P4404" s="2" t="s">
        <v>67</v>
      </c>
    </row>
    <row r="4405">
      <c r="A4405" s="3" t="s">
        <v>43</v>
      </c>
      <c r="B4405" s="4">
        <v>45078.29166666667</v>
      </c>
      <c r="C4405" s="2" t="s">
        <v>18</v>
      </c>
      <c r="D4405" s="2" t="s">
        <v>19</v>
      </c>
      <c r="E4405" s="2" t="s">
        <v>169</v>
      </c>
      <c r="F4405" s="2"/>
      <c r="G4405" s="2">
        <v>35.0</v>
      </c>
      <c r="H4405" s="2">
        <v>24.0</v>
      </c>
      <c r="I4405" s="2">
        <v>11.0</v>
      </c>
      <c r="J4405" s="2">
        <v>0.0</v>
      </c>
      <c r="K4405" s="2">
        <v>0.0</v>
      </c>
      <c r="L4405" s="2">
        <v>0.0</v>
      </c>
      <c r="M4405" s="2"/>
      <c r="N4405" s="2"/>
      <c r="O4405" s="2"/>
      <c r="P4405" s="2" t="s">
        <v>67</v>
      </c>
    </row>
    <row r="4406">
      <c r="A4406" s="3" t="s">
        <v>44</v>
      </c>
      <c r="B4406" s="4">
        <v>45108.29166666667</v>
      </c>
      <c r="C4406" s="2" t="s">
        <v>18</v>
      </c>
      <c r="D4406" s="2" t="s">
        <v>19</v>
      </c>
      <c r="E4406" s="2" t="s">
        <v>169</v>
      </c>
      <c r="F4406" s="2"/>
      <c r="G4406" s="2">
        <v>13.0</v>
      </c>
      <c r="H4406" s="2">
        <v>6.0</v>
      </c>
      <c r="I4406" s="2">
        <v>7.0</v>
      </c>
      <c r="J4406" s="2">
        <v>0.0</v>
      </c>
      <c r="K4406" s="2">
        <v>0.0</v>
      </c>
      <c r="L4406" s="2">
        <v>0.0</v>
      </c>
      <c r="M4406" s="2"/>
      <c r="N4406" s="2"/>
      <c r="O4406" s="2"/>
      <c r="P4406" s="2" t="s">
        <v>67</v>
      </c>
    </row>
    <row r="4407">
      <c r="A4407" s="3" t="s">
        <v>45</v>
      </c>
      <c r="B4407" s="4">
        <v>45109.29166666667</v>
      </c>
      <c r="C4407" s="2" t="s">
        <v>18</v>
      </c>
      <c r="D4407" s="2" t="s">
        <v>91</v>
      </c>
      <c r="E4407" s="2" t="s">
        <v>169</v>
      </c>
      <c r="F4407" s="2"/>
      <c r="G4407" s="2">
        <v>5.0</v>
      </c>
      <c r="H4407" s="2">
        <v>3.0</v>
      </c>
      <c r="I4407" s="2">
        <v>2.0</v>
      </c>
      <c r="J4407" s="2">
        <v>0.0</v>
      </c>
      <c r="K4407" s="2">
        <v>0.0</v>
      </c>
      <c r="L4407" s="2">
        <v>0.0</v>
      </c>
      <c r="M4407" s="2"/>
      <c r="N4407" s="2"/>
      <c r="O4407" s="2"/>
      <c r="P4407" s="2" t="s">
        <v>67</v>
      </c>
    </row>
    <row r="4408">
      <c r="A4408" s="3" t="s">
        <v>16</v>
      </c>
      <c r="B4408" s="2" t="s">
        <v>17</v>
      </c>
      <c r="C4408" s="2" t="s">
        <v>18</v>
      </c>
      <c r="D4408" s="2" t="s">
        <v>91</v>
      </c>
      <c r="E4408" s="2" t="s">
        <v>250</v>
      </c>
      <c r="F4408" s="2">
        <v>7.0</v>
      </c>
      <c r="G4408" s="2">
        <v>15.0</v>
      </c>
      <c r="H4408" s="2">
        <v>13.0</v>
      </c>
      <c r="I4408" s="2">
        <v>2.0</v>
      </c>
      <c r="J4408" s="2">
        <v>0.0</v>
      </c>
      <c r="K4408" s="2">
        <v>0.0</v>
      </c>
      <c r="L4408" s="2">
        <v>0.0</v>
      </c>
      <c r="M4408" s="2">
        <v>-6.0</v>
      </c>
      <c r="N4408" s="2"/>
      <c r="O4408" s="2"/>
      <c r="P4408" s="2" t="s">
        <v>111</v>
      </c>
    </row>
    <row r="4409">
      <c r="A4409" s="3" t="s">
        <v>47</v>
      </c>
      <c r="B4409" s="2" t="s">
        <v>17</v>
      </c>
      <c r="C4409" s="2" t="s">
        <v>18</v>
      </c>
      <c r="D4409" s="2" t="s">
        <v>19</v>
      </c>
      <c r="E4409" s="2" t="s">
        <v>250</v>
      </c>
      <c r="F4409" s="2">
        <v>10.0</v>
      </c>
      <c r="G4409" s="2">
        <v>11.0</v>
      </c>
      <c r="H4409" s="2">
        <v>10.0</v>
      </c>
      <c r="I4409" s="2">
        <v>1.0</v>
      </c>
      <c r="J4409" s="2">
        <v>0.0</v>
      </c>
      <c r="K4409" s="2">
        <v>0.0</v>
      </c>
      <c r="L4409" s="2">
        <v>0.0</v>
      </c>
      <c r="M4409" s="2">
        <v>0.0</v>
      </c>
      <c r="N4409" s="2"/>
      <c r="O4409" s="2"/>
      <c r="P4409" s="2" t="s">
        <v>111</v>
      </c>
    </row>
    <row r="4410">
      <c r="A4410" s="3" t="s">
        <v>48</v>
      </c>
      <c r="B4410" s="2" t="s">
        <v>17</v>
      </c>
      <c r="C4410" s="2" t="s">
        <v>18</v>
      </c>
      <c r="D4410" s="2" t="s">
        <v>23</v>
      </c>
      <c r="E4410" s="2" t="s">
        <v>250</v>
      </c>
      <c r="F4410" s="2">
        <v>17.0</v>
      </c>
      <c r="G4410" s="2">
        <v>26.0</v>
      </c>
      <c r="H4410" s="2">
        <v>23.0</v>
      </c>
      <c r="I4410" s="2">
        <v>3.0</v>
      </c>
      <c r="J4410" s="2">
        <v>0.0</v>
      </c>
      <c r="K4410" s="2">
        <v>0.0</v>
      </c>
      <c r="L4410" s="2">
        <v>0.0</v>
      </c>
      <c r="M4410" s="2">
        <v>-6.0</v>
      </c>
      <c r="N4410" s="2">
        <v>0.0</v>
      </c>
      <c r="O4410" s="2">
        <v>-29.0</v>
      </c>
      <c r="P4410" s="2" t="s">
        <v>111</v>
      </c>
    </row>
    <row r="4411">
      <c r="A4411" s="3" t="s">
        <v>49</v>
      </c>
      <c r="B4411" s="4">
        <v>45079.29166666667</v>
      </c>
      <c r="C4411" s="2" t="s">
        <v>18</v>
      </c>
      <c r="D4411" s="2" t="s">
        <v>19</v>
      </c>
      <c r="E4411" s="2" t="s">
        <v>250</v>
      </c>
      <c r="F4411" s="2"/>
      <c r="G4411" s="2">
        <v>4.0</v>
      </c>
      <c r="H4411" s="2">
        <v>4.0</v>
      </c>
      <c r="I4411" s="2">
        <v>0.0</v>
      </c>
      <c r="J4411" s="2">
        <v>0.0</v>
      </c>
      <c r="K4411" s="2">
        <v>0.0</v>
      </c>
      <c r="L4411" s="2">
        <v>0.0</v>
      </c>
      <c r="M4411" s="2"/>
      <c r="N4411" s="2"/>
      <c r="O4411" s="2"/>
      <c r="P4411" s="2" t="s">
        <v>111</v>
      </c>
    </row>
    <row r="4412">
      <c r="A4412" s="3" t="s">
        <v>51</v>
      </c>
      <c r="B4412" s="4">
        <v>45109.29166666667</v>
      </c>
      <c r="C4412" s="2" t="s">
        <v>18</v>
      </c>
      <c r="D4412" s="2" t="s">
        <v>91</v>
      </c>
      <c r="E4412" s="2" t="s">
        <v>250</v>
      </c>
      <c r="F4412" s="2"/>
      <c r="G4412" s="2">
        <v>14.0</v>
      </c>
      <c r="H4412" s="2">
        <v>12.0</v>
      </c>
      <c r="I4412" s="2">
        <v>2.0</v>
      </c>
      <c r="J4412" s="2">
        <v>0.0</v>
      </c>
      <c r="K4412" s="2">
        <v>0.0</v>
      </c>
      <c r="L4412" s="2">
        <v>0.0</v>
      </c>
      <c r="M4412" s="2"/>
      <c r="N4412" s="2"/>
      <c r="O4412" s="2"/>
      <c r="P4412" s="2" t="s">
        <v>111</v>
      </c>
    </row>
    <row r="4413">
      <c r="A4413" s="3" t="s">
        <v>52</v>
      </c>
      <c r="B4413" s="4">
        <v>45110.29166666667</v>
      </c>
      <c r="C4413" s="2" t="s">
        <v>18</v>
      </c>
      <c r="D4413" s="2" t="s">
        <v>19</v>
      </c>
      <c r="E4413" s="2" t="s">
        <v>250</v>
      </c>
      <c r="F4413" s="2"/>
      <c r="G4413" s="2">
        <v>7.0</v>
      </c>
      <c r="H4413" s="2">
        <v>6.0</v>
      </c>
      <c r="I4413" s="2">
        <v>1.0</v>
      </c>
      <c r="J4413" s="2">
        <v>0.0</v>
      </c>
      <c r="K4413" s="2">
        <v>0.0</v>
      </c>
      <c r="L4413" s="2">
        <v>0.0</v>
      </c>
      <c r="M4413" s="2"/>
      <c r="N4413" s="2"/>
      <c r="O4413" s="2"/>
      <c r="P4413" s="2" t="s">
        <v>111</v>
      </c>
    </row>
    <row r="4414">
      <c r="A4414" s="3" t="s">
        <v>53</v>
      </c>
      <c r="B4414" s="4">
        <v>45140.29166666667</v>
      </c>
      <c r="C4414" s="2" t="s">
        <v>18</v>
      </c>
      <c r="D4414" s="2" t="s">
        <v>91</v>
      </c>
      <c r="E4414" s="2" t="s">
        <v>250</v>
      </c>
      <c r="F4414" s="2"/>
      <c r="G4414" s="2">
        <v>1.0</v>
      </c>
      <c r="H4414" s="2">
        <v>1.0</v>
      </c>
      <c r="I4414" s="2">
        <v>0.0</v>
      </c>
      <c r="J4414" s="2">
        <v>0.0</v>
      </c>
      <c r="K4414" s="2">
        <v>0.0</v>
      </c>
      <c r="L4414" s="2">
        <v>0.0</v>
      </c>
      <c r="M4414" s="2"/>
      <c r="N4414" s="2"/>
      <c r="O4414" s="2"/>
      <c r="P4414" s="2" t="s">
        <v>111</v>
      </c>
    </row>
    <row r="4415">
      <c r="A4415" s="3" t="s">
        <v>54</v>
      </c>
      <c r="B4415" s="2" t="s">
        <v>17</v>
      </c>
      <c r="C4415" s="2" t="s">
        <v>18</v>
      </c>
      <c r="D4415" s="2" t="s">
        <v>19</v>
      </c>
      <c r="E4415" s="2" t="s">
        <v>468</v>
      </c>
      <c r="F4415" s="2">
        <v>33.0</v>
      </c>
      <c r="G4415" s="2">
        <v>47.0</v>
      </c>
      <c r="H4415" s="2">
        <v>35.0</v>
      </c>
      <c r="I4415" s="2">
        <v>12.0</v>
      </c>
      <c r="J4415" s="2">
        <v>0.0</v>
      </c>
      <c r="K4415" s="2">
        <v>0.0</v>
      </c>
      <c r="L4415" s="2">
        <v>0.0</v>
      </c>
      <c r="M4415" s="2">
        <v>-2.0</v>
      </c>
      <c r="N4415" s="2"/>
      <c r="O4415" s="2"/>
      <c r="P4415" s="2" t="s">
        <v>92</v>
      </c>
    </row>
    <row r="4416">
      <c r="A4416" s="3" t="s">
        <v>55</v>
      </c>
      <c r="B4416" s="2" t="s">
        <v>17</v>
      </c>
      <c r="C4416" s="2" t="s">
        <v>18</v>
      </c>
      <c r="D4416" s="2" t="s">
        <v>23</v>
      </c>
      <c r="E4416" s="2" t="s">
        <v>468</v>
      </c>
      <c r="F4416" s="2">
        <v>33.0</v>
      </c>
      <c r="G4416" s="2">
        <v>47.0</v>
      </c>
      <c r="H4416" s="2">
        <v>35.0</v>
      </c>
      <c r="I4416" s="2">
        <v>12.0</v>
      </c>
      <c r="J4416" s="2">
        <v>0.0</v>
      </c>
      <c r="K4416" s="2">
        <v>0.0</v>
      </c>
      <c r="L4416" s="2">
        <v>0.0</v>
      </c>
      <c r="M4416" s="2">
        <v>-2.0</v>
      </c>
      <c r="N4416" s="2">
        <v>0.0</v>
      </c>
      <c r="O4416" s="2">
        <v>-37.0</v>
      </c>
      <c r="P4416" s="2" t="s">
        <v>92</v>
      </c>
    </row>
    <row r="4417">
      <c r="A4417" s="3" t="s">
        <v>56</v>
      </c>
      <c r="B4417" s="4">
        <v>45111.29166666667</v>
      </c>
      <c r="C4417" s="2" t="s">
        <v>18</v>
      </c>
      <c r="D4417" s="2" t="s">
        <v>19</v>
      </c>
      <c r="E4417" s="2" t="s">
        <v>468</v>
      </c>
      <c r="F4417" s="2"/>
      <c r="G4417" s="2">
        <v>47.0</v>
      </c>
      <c r="H4417" s="2">
        <v>35.0</v>
      </c>
      <c r="I4417" s="2">
        <v>12.0</v>
      </c>
      <c r="J4417" s="2">
        <v>0.0</v>
      </c>
      <c r="K4417" s="2">
        <v>0.0</v>
      </c>
      <c r="L4417" s="2">
        <v>0.0</v>
      </c>
      <c r="M4417" s="2"/>
      <c r="N4417" s="2"/>
      <c r="O4417" s="2"/>
      <c r="P4417" s="2" t="s">
        <v>92</v>
      </c>
    </row>
    <row r="4418">
      <c r="A4418" s="3" t="s">
        <v>59</v>
      </c>
      <c r="B4418" s="2" t="s">
        <v>17</v>
      </c>
      <c r="C4418" s="2" t="s">
        <v>18</v>
      </c>
      <c r="D4418" s="2" t="s">
        <v>164</v>
      </c>
      <c r="E4418" s="2" t="s">
        <v>390</v>
      </c>
      <c r="F4418" s="2">
        <v>33.0</v>
      </c>
      <c r="G4418" s="2">
        <v>12.0</v>
      </c>
      <c r="H4418" s="2">
        <v>5.0</v>
      </c>
      <c r="I4418" s="2">
        <v>7.0</v>
      </c>
      <c r="J4418" s="2">
        <v>0.0</v>
      </c>
      <c r="K4418" s="2">
        <v>0.0</v>
      </c>
      <c r="L4418" s="2">
        <v>0.0</v>
      </c>
      <c r="M4418" s="2">
        <v>28.0</v>
      </c>
      <c r="N4418" s="2"/>
      <c r="O4418" s="2"/>
      <c r="P4418" s="2" t="s">
        <v>166</v>
      </c>
    </row>
    <row r="4419">
      <c r="A4419" s="3" t="s">
        <v>60</v>
      </c>
      <c r="B4419" s="2" t="s">
        <v>17</v>
      </c>
      <c r="C4419" s="2" t="s">
        <v>18</v>
      </c>
      <c r="D4419" s="2" t="s">
        <v>164</v>
      </c>
      <c r="E4419" s="2" t="s">
        <v>391</v>
      </c>
      <c r="F4419" s="2">
        <v>59.0</v>
      </c>
      <c r="G4419" s="2">
        <v>1.0</v>
      </c>
      <c r="H4419" s="2">
        <v>1.0</v>
      </c>
      <c r="I4419" s="2">
        <v>0.0</v>
      </c>
      <c r="J4419" s="2">
        <v>0.0</v>
      </c>
      <c r="K4419" s="2">
        <v>0.0</v>
      </c>
      <c r="L4419" s="2">
        <v>0.0</v>
      </c>
      <c r="M4419" s="2">
        <v>58.0</v>
      </c>
      <c r="N4419" s="2"/>
      <c r="O4419" s="2"/>
      <c r="P4419" s="2" t="s">
        <v>166</v>
      </c>
    </row>
    <row r="4420">
      <c r="A4420" s="3" t="s">
        <v>61</v>
      </c>
      <c r="B4420" s="2" t="s">
        <v>17</v>
      </c>
      <c r="C4420" s="2" t="s">
        <v>18</v>
      </c>
      <c r="D4420" s="2" t="s">
        <v>164</v>
      </c>
      <c r="E4420" s="2" t="s">
        <v>392</v>
      </c>
      <c r="F4420" s="2">
        <v>57.0</v>
      </c>
      <c r="G4420" s="2">
        <v>17.0</v>
      </c>
      <c r="H4420" s="2">
        <v>5.0</v>
      </c>
      <c r="I4420" s="2">
        <v>12.0</v>
      </c>
      <c r="J4420" s="2">
        <v>0.0</v>
      </c>
      <c r="K4420" s="2">
        <v>0.0</v>
      </c>
      <c r="L4420" s="2">
        <v>0.0</v>
      </c>
      <c r="M4420" s="2">
        <v>52.0</v>
      </c>
      <c r="N4420" s="2"/>
      <c r="O4420" s="2"/>
      <c r="P4420" s="2" t="s">
        <v>166</v>
      </c>
    </row>
    <row r="4421">
      <c r="A4421" s="3" t="s">
        <v>62</v>
      </c>
      <c r="B4421" s="2" t="s">
        <v>17</v>
      </c>
      <c r="C4421" s="2" t="s">
        <v>18</v>
      </c>
      <c r="D4421" s="2" t="s">
        <v>33</v>
      </c>
      <c r="E4421" s="2" t="s">
        <v>390</v>
      </c>
      <c r="F4421" s="2">
        <v>29.0</v>
      </c>
      <c r="G4421" s="2">
        <v>11.0</v>
      </c>
      <c r="H4421" s="2">
        <v>5.0</v>
      </c>
      <c r="I4421" s="2">
        <v>6.0</v>
      </c>
      <c r="J4421" s="2">
        <v>0.0</v>
      </c>
      <c r="K4421" s="2">
        <v>0.0</v>
      </c>
      <c r="L4421" s="2">
        <v>0.0</v>
      </c>
      <c r="M4421" s="2">
        <v>24.0</v>
      </c>
      <c r="N4421" s="2"/>
      <c r="O4421" s="2"/>
      <c r="P4421" s="2" t="s">
        <v>166</v>
      </c>
    </row>
    <row r="4422">
      <c r="A4422" s="3" t="s">
        <v>63</v>
      </c>
      <c r="B4422" s="2" t="s">
        <v>17</v>
      </c>
      <c r="C4422" s="2" t="s">
        <v>18</v>
      </c>
      <c r="D4422" s="2" t="s">
        <v>33</v>
      </c>
      <c r="E4422" s="2" t="s">
        <v>391</v>
      </c>
      <c r="F4422" s="2">
        <v>58.0</v>
      </c>
      <c r="G4422" s="2">
        <v>0.0</v>
      </c>
      <c r="H4422" s="2">
        <v>0.0</v>
      </c>
      <c r="I4422" s="2">
        <v>0.0</v>
      </c>
      <c r="J4422" s="2">
        <v>0.0</v>
      </c>
      <c r="K4422" s="2">
        <v>0.0</v>
      </c>
      <c r="L4422" s="2">
        <v>0.0</v>
      </c>
      <c r="M4422" s="2">
        <v>58.0</v>
      </c>
      <c r="N4422" s="2"/>
      <c r="O4422" s="2"/>
      <c r="P4422" s="2" t="s">
        <v>166</v>
      </c>
    </row>
    <row r="4423">
      <c r="A4423" s="3" t="s">
        <v>64</v>
      </c>
      <c r="B4423" s="2" t="s">
        <v>17</v>
      </c>
      <c r="C4423" s="2" t="s">
        <v>18</v>
      </c>
      <c r="D4423" s="2" t="s">
        <v>33</v>
      </c>
      <c r="E4423" s="2" t="s">
        <v>392</v>
      </c>
      <c r="F4423" s="2">
        <v>52.0</v>
      </c>
      <c r="G4423" s="2">
        <v>7.0</v>
      </c>
      <c r="H4423" s="2">
        <v>4.0</v>
      </c>
      <c r="I4423" s="2">
        <v>3.0</v>
      </c>
      <c r="J4423" s="2">
        <v>0.0</v>
      </c>
      <c r="K4423" s="2">
        <v>0.0</v>
      </c>
      <c r="L4423" s="2">
        <v>0.0</v>
      </c>
      <c r="M4423" s="2">
        <v>48.0</v>
      </c>
      <c r="N4423" s="2"/>
      <c r="O4423" s="2"/>
      <c r="P4423" s="2" t="s">
        <v>166</v>
      </c>
    </row>
    <row r="4424">
      <c r="A4424" s="3" t="s">
        <v>65</v>
      </c>
      <c r="B4424" s="2" t="s">
        <v>17</v>
      </c>
      <c r="C4424" s="2" t="s">
        <v>18</v>
      </c>
      <c r="D4424" s="2" t="s">
        <v>23</v>
      </c>
      <c r="E4424" s="2" t="s">
        <v>390</v>
      </c>
      <c r="F4424" s="2">
        <v>33.0</v>
      </c>
      <c r="G4424" s="2">
        <v>23.0</v>
      </c>
      <c r="H4424" s="2">
        <v>10.0</v>
      </c>
      <c r="I4424" s="2">
        <v>13.0</v>
      </c>
      <c r="J4424" s="2">
        <v>0.0</v>
      </c>
      <c r="K4424" s="2">
        <v>0.0</v>
      </c>
      <c r="L4424" s="2">
        <v>0.0</v>
      </c>
      <c r="M4424" s="2">
        <v>23.0</v>
      </c>
      <c r="N4424" s="2">
        <v>-91.0</v>
      </c>
      <c r="O4424" s="2">
        <v>13.0</v>
      </c>
      <c r="P4424" s="2" t="s">
        <v>166</v>
      </c>
    </row>
    <row r="4425">
      <c r="A4425" s="3" t="s">
        <v>66</v>
      </c>
      <c r="B4425" s="2" t="s">
        <v>17</v>
      </c>
      <c r="C4425" s="2" t="s">
        <v>18</v>
      </c>
      <c r="D4425" s="2" t="s">
        <v>23</v>
      </c>
      <c r="E4425" s="2" t="s">
        <v>391</v>
      </c>
      <c r="F4425" s="2">
        <v>59.0</v>
      </c>
      <c r="G4425" s="2">
        <v>1.0</v>
      </c>
      <c r="H4425" s="2">
        <v>1.0</v>
      </c>
      <c r="I4425" s="2">
        <v>0.0</v>
      </c>
      <c r="J4425" s="2">
        <v>0.0</v>
      </c>
      <c r="K4425" s="2">
        <v>0.0</v>
      </c>
      <c r="L4425" s="2">
        <v>0.0</v>
      </c>
      <c r="M4425" s="2">
        <v>58.0</v>
      </c>
      <c r="N4425" s="2">
        <v>-175.0</v>
      </c>
      <c r="O4425" s="2">
        <v>57.0</v>
      </c>
      <c r="P4425" s="2" t="s">
        <v>166</v>
      </c>
    </row>
    <row r="4426">
      <c r="A4426" s="3" t="s">
        <v>68</v>
      </c>
      <c r="B4426" s="2" t="s">
        <v>17</v>
      </c>
      <c r="C4426" s="2" t="s">
        <v>18</v>
      </c>
      <c r="D4426" s="2" t="s">
        <v>23</v>
      </c>
      <c r="E4426" s="2" t="s">
        <v>392</v>
      </c>
      <c r="F4426" s="2">
        <v>57.0</v>
      </c>
      <c r="G4426" s="2">
        <v>24.0</v>
      </c>
      <c r="H4426" s="2">
        <v>9.0</v>
      </c>
      <c r="I4426" s="2">
        <v>15.0</v>
      </c>
      <c r="J4426" s="2">
        <v>0.0</v>
      </c>
      <c r="K4426" s="2">
        <v>0.0</v>
      </c>
      <c r="L4426" s="2">
        <v>0.0</v>
      </c>
      <c r="M4426" s="2">
        <v>48.0</v>
      </c>
      <c r="N4426" s="2">
        <v>-161.0</v>
      </c>
      <c r="O4426" s="2">
        <v>39.0</v>
      </c>
      <c r="P4426" s="2" t="s">
        <v>166</v>
      </c>
    </row>
    <row r="4427">
      <c r="A4427" s="3" t="s">
        <v>70</v>
      </c>
      <c r="B4427" s="4">
        <v>45112.29166666667</v>
      </c>
      <c r="C4427" s="2" t="s">
        <v>18</v>
      </c>
      <c r="D4427" s="2" t="s">
        <v>164</v>
      </c>
      <c r="E4427" s="2" t="s">
        <v>390</v>
      </c>
      <c r="F4427" s="2">
        <v>33.0</v>
      </c>
      <c r="G4427" s="2">
        <v>12.0</v>
      </c>
      <c r="H4427" s="2">
        <v>5.0</v>
      </c>
      <c r="I4427" s="2">
        <v>7.0</v>
      </c>
      <c r="J4427" s="2">
        <v>0.0</v>
      </c>
      <c r="K4427" s="2">
        <v>0.0</v>
      </c>
      <c r="L4427" s="2">
        <v>0.0</v>
      </c>
      <c r="M4427" s="2"/>
      <c r="N4427" s="2"/>
      <c r="O4427" s="2"/>
      <c r="P4427" s="2" t="s">
        <v>166</v>
      </c>
    </row>
    <row r="4428">
      <c r="A4428" s="3" t="s">
        <v>16</v>
      </c>
      <c r="B4428" s="4">
        <v>45113.29166666667</v>
      </c>
      <c r="C4428" s="2" t="s">
        <v>18</v>
      </c>
      <c r="D4428" s="2" t="s">
        <v>164</v>
      </c>
      <c r="E4428" s="2" t="s">
        <v>391</v>
      </c>
      <c r="F4428" s="2">
        <v>59.0</v>
      </c>
      <c r="G4428" s="2">
        <v>1.0</v>
      </c>
      <c r="H4428" s="2">
        <v>1.0</v>
      </c>
      <c r="I4428" s="2">
        <v>0.0</v>
      </c>
      <c r="J4428" s="2">
        <v>0.0</v>
      </c>
      <c r="K4428" s="2">
        <v>0.0</v>
      </c>
      <c r="L4428" s="2">
        <v>0.0</v>
      </c>
      <c r="M4428" s="2"/>
      <c r="N4428" s="2"/>
      <c r="O4428" s="2"/>
      <c r="P4428" s="2" t="s">
        <v>166</v>
      </c>
    </row>
    <row r="4429">
      <c r="A4429" s="3" t="s">
        <v>71</v>
      </c>
      <c r="B4429" s="4">
        <v>45114.29166666667</v>
      </c>
      <c r="C4429" s="2" t="s">
        <v>18</v>
      </c>
      <c r="D4429" s="2" t="s">
        <v>164</v>
      </c>
      <c r="E4429" s="2" t="s">
        <v>392</v>
      </c>
      <c r="F4429" s="2">
        <v>57.0</v>
      </c>
      <c r="G4429" s="2">
        <v>17.0</v>
      </c>
      <c r="H4429" s="2">
        <v>5.0</v>
      </c>
      <c r="I4429" s="2">
        <v>12.0</v>
      </c>
      <c r="J4429" s="2">
        <v>0.0</v>
      </c>
      <c r="K4429" s="2">
        <v>0.0</v>
      </c>
      <c r="L4429" s="2">
        <v>0.0</v>
      </c>
      <c r="M4429" s="2"/>
      <c r="N4429" s="2"/>
      <c r="O4429" s="2"/>
      <c r="P4429" s="2" t="s">
        <v>166</v>
      </c>
    </row>
    <row r="4430">
      <c r="A4430" s="3" t="s">
        <v>72</v>
      </c>
      <c r="B4430" s="4">
        <v>45115.29166666667</v>
      </c>
      <c r="C4430" s="2" t="s">
        <v>18</v>
      </c>
      <c r="D4430" s="2" t="s">
        <v>33</v>
      </c>
      <c r="E4430" s="2" t="s">
        <v>390</v>
      </c>
      <c r="F4430" s="2">
        <v>29.0</v>
      </c>
      <c r="G4430" s="2">
        <v>11.0</v>
      </c>
      <c r="H4430" s="2">
        <v>5.0</v>
      </c>
      <c r="I4430" s="2">
        <v>6.0</v>
      </c>
      <c r="J4430" s="2">
        <v>0.0</v>
      </c>
      <c r="K4430" s="2">
        <v>0.0</v>
      </c>
      <c r="L4430" s="2">
        <v>0.0</v>
      </c>
      <c r="M4430" s="2"/>
      <c r="N4430" s="2"/>
      <c r="O4430" s="2"/>
      <c r="P4430" s="2" t="s">
        <v>166</v>
      </c>
    </row>
    <row r="4431">
      <c r="A4431" s="3" t="s">
        <v>73</v>
      </c>
      <c r="B4431" s="4">
        <v>45116.29166666667</v>
      </c>
      <c r="C4431" s="2" t="s">
        <v>18</v>
      </c>
      <c r="D4431" s="2" t="s">
        <v>33</v>
      </c>
      <c r="E4431" s="2" t="s">
        <v>391</v>
      </c>
      <c r="F4431" s="2">
        <v>58.0</v>
      </c>
      <c r="G4431" s="2">
        <v>0.0</v>
      </c>
      <c r="H4431" s="2">
        <v>0.0</v>
      </c>
      <c r="I4431" s="2">
        <v>0.0</v>
      </c>
      <c r="J4431" s="2">
        <v>0.0</v>
      </c>
      <c r="K4431" s="2">
        <v>0.0</v>
      </c>
      <c r="L4431" s="2">
        <v>0.0</v>
      </c>
      <c r="M4431" s="2"/>
      <c r="N4431" s="2"/>
      <c r="O4431" s="2"/>
      <c r="P4431" s="2" t="s">
        <v>166</v>
      </c>
    </row>
    <row r="4432">
      <c r="A4432" s="3" t="s">
        <v>74</v>
      </c>
      <c r="B4432" s="4">
        <v>45117.29166666667</v>
      </c>
      <c r="C4432" s="2" t="s">
        <v>18</v>
      </c>
      <c r="D4432" s="2" t="s">
        <v>33</v>
      </c>
      <c r="E4432" s="2" t="s">
        <v>392</v>
      </c>
      <c r="F4432" s="2">
        <v>52.0</v>
      </c>
      <c r="G4432" s="2">
        <v>7.0</v>
      </c>
      <c r="H4432" s="2">
        <v>4.0</v>
      </c>
      <c r="I4432" s="2">
        <v>3.0</v>
      </c>
      <c r="J4432" s="2">
        <v>0.0</v>
      </c>
      <c r="K4432" s="2">
        <v>0.0</v>
      </c>
      <c r="L4432" s="2">
        <v>0.0</v>
      </c>
      <c r="M4432" s="2"/>
      <c r="N4432" s="2"/>
      <c r="O4432" s="2"/>
      <c r="P4432" s="2" t="s">
        <v>166</v>
      </c>
    </row>
    <row r="4433">
      <c r="A4433" s="3" t="s">
        <v>75</v>
      </c>
      <c r="B4433" s="2" t="s">
        <v>17</v>
      </c>
      <c r="C4433" s="2" t="s">
        <v>18</v>
      </c>
      <c r="D4433" s="2" t="s">
        <v>19</v>
      </c>
      <c r="E4433" s="2" t="s">
        <v>27</v>
      </c>
      <c r="F4433" s="2">
        <v>75.0</v>
      </c>
      <c r="G4433" s="2">
        <v>27.0</v>
      </c>
      <c r="H4433" s="2">
        <v>20.0</v>
      </c>
      <c r="I4433" s="2">
        <v>7.0</v>
      </c>
      <c r="J4433" s="2">
        <v>0.0</v>
      </c>
      <c r="K4433" s="2">
        <v>0.0</v>
      </c>
      <c r="L4433" s="2">
        <v>0.0</v>
      </c>
      <c r="M4433" s="2">
        <v>55.0</v>
      </c>
      <c r="N4433" s="2"/>
      <c r="O4433" s="2"/>
      <c r="P4433" s="2" t="s">
        <v>67</v>
      </c>
    </row>
    <row r="4434">
      <c r="A4434" s="3" t="s">
        <v>76</v>
      </c>
      <c r="B4434" s="2" t="s">
        <v>17</v>
      </c>
      <c r="C4434" s="2" t="s">
        <v>57</v>
      </c>
      <c r="D4434" s="2" t="s">
        <v>19</v>
      </c>
      <c r="E4434" s="2" t="s">
        <v>464</v>
      </c>
      <c r="F4434" s="2">
        <v>22.0</v>
      </c>
      <c r="G4434" s="2">
        <v>35.0</v>
      </c>
      <c r="H4434" s="2">
        <v>24.0</v>
      </c>
      <c r="I4434" s="2">
        <v>11.0</v>
      </c>
      <c r="J4434" s="2">
        <v>0.0</v>
      </c>
      <c r="K4434" s="2">
        <v>0.0</v>
      </c>
      <c r="L4434" s="2">
        <v>0.0</v>
      </c>
      <c r="M4434" s="2">
        <v>-2.0</v>
      </c>
      <c r="N4434" s="2"/>
      <c r="O4434" s="2"/>
      <c r="P4434" s="2" t="s">
        <v>67</v>
      </c>
    </row>
    <row r="4435">
      <c r="A4435" s="3" t="s">
        <v>77</v>
      </c>
      <c r="B4435" s="2" t="s">
        <v>17</v>
      </c>
      <c r="C4435" s="2" t="s">
        <v>57</v>
      </c>
      <c r="D4435" s="2" t="s">
        <v>19</v>
      </c>
      <c r="E4435" s="2" t="s">
        <v>465</v>
      </c>
      <c r="F4435" s="2">
        <v>20.0</v>
      </c>
      <c r="G4435" s="2">
        <v>7.0</v>
      </c>
      <c r="H4435" s="2">
        <v>3.0</v>
      </c>
      <c r="I4435" s="2">
        <v>4.0</v>
      </c>
      <c r="J4435" s="2">
        <v>0.0</v>
      </c>
      <c r="K4435" s="2">
        <v>0.0</v>
      </c>
      <c r="L4435" s="2">
        <v>0.0</v>
      </c>
      <c r="M4435" s="2">
        <v>17.0</v>
      </c>
      <c r="N4435" s="2"/>
      <c r="O4435" s="2"/>
      <c r="P4435" s="2" t="s">
        <v>67</v>
      </c>
    </row>
    <row r="4436">
      <c r="A4436" s="3" t="s">
        <v>78</v>
      </c>
      <c r="B4436" s="2" t="s">
        <v>17</v>
      </c>
      <c r="C4436" s="2" t="s">
        <v>18</v>
      </c>
      <c r="D4436" s="2" t="s">
        <v>157</v>
      </c>
      <c r="E4436" s="2" t="s">
        <v>27</v>
      </c>
      <c r="F4436" s="2">
        <v>50.0</v>
      </c>
      <c r="G4436" s="2">
        <v>72.0</v>
      </c>
      <c r="H4436" s="2">
        <v>56.0</v>
      </c>
      <c r="I4436" s="2">
        <v>16.0</v>
      </c>
      <c r="J4436" s="2">
        <v>0.0</v>
      </c>
      <c r="K4436" s="2">
        <v>0.0</v>
      </c>
      <c r="L4436" s="2">
        <v>0.0</v>
      </c>
      <c r="M4436" s="2">
        <v>-6.0</v>
      </c>
      <c r="N4436" s="2"/>
      <c r="O4436" s="2"/>
      <c r="P4436" s="2" t="s">
        <v>67</v>
      </c>
    </row>
    <row r="4437">
      <c r="A4437" s="3" t="s">
        <v>81</v>
      </c>
      <c r="B4437" s="2" t="s">
        <v>17</v>
      </c>
      <c r="C4437" s="2" t="s">
        <v>57</v>
      </c>
      <c r="D4437" s="2" t="s">
        <v>157</v>
      </c>
      <c r="E4437" s="2" t="s">
        <v>465</v>
      </c>
      <c r="F4437" s="2">
        <v>19.0</v>
      </c>
      <c r="G4437" s="2">
        <v>23.0</v>
      </c>
      <c r="H4437" s="2">
        <v>17.0</v>
      </c>
      <c r="I4437" s="2">
        <v>6.0</v>
      </c>
      <c r="J4437" s="2">
        <v>0.0</v>
      </c>
      <c r="K4437" s="2">
        <v>0.0</v>
      </c>
      <c r="L4437" s="2">
        <v>0.0</v>
      </c>
      <c r="M4437" s="2">
        <v>2.0</v>
      </c>
      <c r="N4437" s="2"/>
      <c r="O4437" s="2"/>
      <c r="P4437" s="2" t="s">
        <v>67</v>
      </c>
    </row>
    <row r="4438">
      <c r="A4438" s="3" t="s">
        <v>82</v>
      </c>
      <c r="B4438" s="2" t="s">
        <v>17</v>
      </c>
      <c r="C4438" s="2" t="s">
        <v>18</v>
      </c>
      <c r="D4438" s="2" t="s">
        <v>23</v>
      </c>
      <c r="E4438" s="2" t="s">
        <v>27</v>
      </c>
      <c r="F4438" s="2">
        <v>75.0</v>
      </c>
      <c r="G4438" s="2">
        <v>99.0</v>
      </c>
      <c r="H4438" s="2">
        <v>76.0</v>
      </c>
      <c r="I4438" s="2">
        <v>23.0</v>
      </c>
      <c r="J4438" s="2">
        <v>0.0</v>
      </c>
      <c r="K4438" s="2">
        <v>0.0</v>
      </c>
      <c r="L4438" s="2">
        <v>0.0</v>
      </c>
      <c r="M4438" s="2">
        <v>-1.0</v>
      </c>
      <c r="N4438" s="2">
        <v>-50.0</v>
      </c>
      <c r="O4438" s="2">
        <v>-77.0</v>
      </c>
      <c r="P4438" s="2" t="s">
        <v>67</v>
      </c>
    </row>
    <row r="4439">
      <c r="A4439" s="3" t="s">
        <v>83</v>
      </c>
      <c r="B4439" s="2" t="s">
        <v>17</v>
      </c>
      <c r="C4439" s="2" t="s">
        <v>57</v>
      </c>
      <c r="D4439" s="2" t="s">
        <v>23</v>
      </c>
      <c r="E4439" s="2" t="s">
        <v>464</v>
      </c>
      <c r="F4439" s="2">
        <v>22.0</v>
      </c>
      <c r="G4439" s="2">
        <v>35.0</v>
      </c>
      <c r="H4439" s="2">
        <v>24.0</v>
      </c>
      <c r="I4439" s="2">
        <v>11.0</v>
      </c>
      <c r="J4439" s="2">
        <v>0.0</v>
      </c>
      <c r="K4439" s="2">
        <v>0.0</v>
      </c>
      <c r="L4439" s="2">
        <v>0.0</v>
      </c>
      <c r="M4439" s="2">
        <v>-2.0</v>
      </c>
      <c r="N4439" s="2">
        <v>0.0</v>
      </c>
      <c r="O4439" s="2">
        <v>-26.0</v>
      </c>
      <c r="P4439" s="2" t="s">
        <v>67</v>
      </c>
    </row>
    <row r="4440">
      <c r="A4440" s="3" t="s">
        <v>84</v>
      </c>
      <c r="B4440" s="2" t="s">
        <v>17</v>
      </c>
      <c r="C4440" s="2" t="s">
        <v>57</v>
      </c>
      <c r="D4440" s="2" t="s">
        <v>23</v>
      </c>
      <c r="E4440" s="2" t="s">
        <v>465</v>
      </c>
      <c r="F4440" s="2">
        <v>22.0</v>
      </c>
      <c r="G4440" s="2">
        <v>30.0</v>
      </c>
      <c r="H4440" s="2">
        <v>20.0</v>
      </c>
      <c r="I4440" s="2">
        <v>10.0</v>
      </c>
      <c r="J4440" s="2">
        <v>0.0</v>
      </c>
      <c r="K4440" s="2">
        <v>0.0</v>
      </c>
      <c r="L4440" s="2">
        <v>0.0</v>
      </c>
      <c r="M4440" s="2">
        <v>2.0</v>
      </c>
      <c r="N4440" s="2">
        <v>-17.0</v>
      </c>
      <c r="O4440" s="2">
        <v>-18.0</v>
      </c>
      <c r="P4440" s="2" t="s">
        <v>67</v>
      </c>
    </row>
    <row r="4441">
      <c r="A4441" s="3" t="s">
        <v>85</v>
      </c>
      <c r="B4441" s="4">
        <v>45110.29166666667</v>
      </c>
      <c r="C4441" s="2" t="s">
        <v>18</v>
      </c>
      <c r="D4441" s="2" t="s">
        <v>19</v>
      </c>
      <c r="E4441" s="2" t="s">
        <v>27</v>
      </c>
      <c r="F4441" s="2"/>
      <c r="G4441" s="2">
        <v>27.0</v>
      </c>
      <c r="H4441" s="2">
        <v>20.0</v>
      </c>
      <c r="I4441" s="2">
        <v>7.0</v>
      </c>
      <c r="J4441" s="2">
        <v>0.0</v>
      </c>
      <c r="K4441" s="2">
        <v>0.0</v>
      </c>
      <c r="L4441" s="2">
        <v>0.0</v>
      </c>
      <c r="M4441" s="2"/>
      <c r="N4441" s="2"/>
      <c r="O4441" s="2"/>
      <c r="P4441" s="2" t="s">
        <v>67</v>
      </c>
    </row>
    <row r="4442">
      <c r="A4442" s="3" t="s">
        <v>86</v>
      </c>
      <c r="B4442" s="4">
        <v>45110.29166666667</v>
      </c>
      <c r="C4442" s="2" t="s">
        <v>18</v>
      </c>
      <c r="D4442" s="2" t="s">
        <v>19</v>
      </c>
      <c r="E4442" s="2" t="s">
        <v>464</v>
      </c>
      <c r="F4442" s="2"/>
      <c r="G4442" s="2">
        <v>35.0</v>
      </c>
      <c r="H4442" s="2">
        <v>24.0</v>
      </c>
      <c r="I4442" s="2">
        <v>11.0</v>
      </c>
      <c r="J4442" s="2">
        <v>0.0</v>
      </c>
      <c r="K4442" s="2">
        <v>0.0</v>
      </c>
      <c r="L4442" s="2">
        <v>0.0</v>
      </c>
      <c r="M4442" s="2"/>
      <c r="N4442" s="2"/>
      <c r="O4442" s="2"/>
      <c r="P4442" s="2" t="s">
        <v>67</v>
      </c>
    </row>
    <row r="4443">
      <c r="A4443" s="3" t="s">
        <v>87</v>
      </c>
      <c r="B4443" s="4">
        <v>45110.29166666667</v>
      </c>
      <c r="C4443" s="2" t="s">
        <v>18</v>
      </c>
      <c r="D4443" s="2" t="s">
        <v>19</v>
      </c>
      <c r="E4443" s="2" t="s">
        <v>465</v>
      </c>
      <c r="F4443" s="2"/>
      <c r="G4443" s="2">
        <v>7.0</v>
      </c>
      <c r="H4443" s="2">
        <v>3.0</v>
      </c>
      <c r="I4443" s="2">
        <v>4.0</v>
      </c>
      <c r="J4443" s="2">
        <v>0.0</v>
      </c>
      <c r="K4443" s="2">
        <v>0.0</v>
      </c>
      <c r="L4443" s="2">
        <v>0.0</v>
      </c>
      <c r="M4443" s="2"/>
      <c r="N4443" s="2"/>
      <c r="O4443" s="2"/>
      <c r="P4443" s="2" t="s">
        <v>67</v>
      </c>
    </row>
    <row r="4444">
      <c r="A4444" s="3" t="s">
        <v>88</v>
      </c>
      <c r="B4444" s="4">
        <v>45111.29166666667</v>
      </c>
      <c r="C4444" s="2" t="s">
        <v>18</v>
      </c>
      <c r="D4444" s="2" t="s">
        <v>157</v>
      </c>
      <c r="E4444" s="2" t="s">
        <v>27</v>
      </c>
      <c r="F4444" s="2"/>
      <c r="G4444" s="2">
        <v>72.0</v>
      </c>
      <c r="H4444" s="2">
        <v>56.0</v>
      </c>
      <c r="I4444" s="2">
        <v>16.0</v>
      </c>
      <c r="J4444" s="2">
        <v>0.0</v>
      </c>
      <c r="K4444" s="2">
        <v>0.0</v>
      </c>
      <c r="L4444" s="2">
        <v>0.0</v>
      </c>
      <c r="M4444" s="2"/>
      <c r="N4444" s="2"/>
      <c r="O4444" s="2"/>
      <c r="P4444" s="2" t="s">
        <v>67</v>
      </c>
    </row>
    <row r="4445">
      <c r="A4445" s="3" t="s">
        <v>89</v>
      </c>
      <c r="B4445" s="4">
        <v>45112.29166666667</v>
      </c>
      <c r="C4445" s="2" t="s">
        <v>18</v>
      </c>
      <c r="D4445" s="2" t="s">
        <v>157</v>
      </c>
      <c r="E4445" s="2" t="s">
        <v>465</v>
      </c>
      <c r="F4445" s="2"/>
      <c r="G4445" s="2">
        <v>23.0</v>
      </c>
      <c r="H4445" s="2">
        <v>17.0</v>
      </c>
      <c r="I4445" s="2">
        <v>6.0</v>
      </c>
      <c r="J4445" s="2">
        <v>0.0</v>
      </c>
      <c r="K4445" s="2">
        <v>0.0</v>
      </c>
      <c r="L4445" s="2">
        <v>0.0</v>
      </c>
      <c r="M4445" s="2"/>
      <c r="N4445" s="2"/>
      <c r="O4445" s="2"/>
      <c r="P4445" s="2" t="s">
        <v>67</v>
      </c>
    </row>
    <row r="4446">
      <c r="A4446" s="3" t="s">
        <v>90</v>
      </c>
      <c r="B4446" s="2" t="s">
        <v>17</v>
      </c>
      <c r="C4446" s="2" t="s">
        <v>18</v>
      </c>
      <c r="D4446" s="2" t="s">
        <v>19</v>
      </c>
      <c r="E4446" s="2" t="s">
        <v>27</v>
      </c>
      <c r="F4446" s="2">
        <v>100.0</v>
      </c>
      <c r="G4446" s="2">
        <v>81.0</v>
      </c>
      <c r="H4446" s="2">
        <v>33.0</v>
      </c>
      <c r="I4446" s="2">
        <v>46.0</v>
      </c>
      <c r="J4446" s="2">
        <v>2.0</v>
      </c>
      <c r="K4446" s="2">
        <v>0.0</v>
      </c>
      <c r="L4446" s="2">
        <v>0.0</v>
      </c>
      <c r="M4446" s="2">
        <v>67.0</v>
      </c>
      <c r="N4446" s="2"/>
      <c r="O4446" s="2"/>
      <c r="P4446" s="2" t="s">
        <v>146</v>
      </c>
    </row>
    <row r="4447">
      <c r="A4447" s="3" t="s">
        <v>93</v>
      </c>
      <c r="B4447" s="2" t="s">
        <v>17</v>
      </c>
      <c r="C4447" s="2" t="s">
        <v>18</v>
      </c>
      <c r="D4447" s="2" t="s">
        <v>127</v>
      </c>
      <c r="E4447" s="2" t="s">
        <v>27</v>
      </c>
      <c r="F4447" s="2">
        <v>266.0</v>
      </c>
      <c r="G4447" s="2">
        <v>343.0</v>
      </c>
      <c r="H4447" s="2">
        <v>264.0</v>
      </c>
      <c r="I4447" s="2">
        <v>77.0</v>
      </c>
      <c r="J4447" s="2">
        <v>2.0</v>
      </c>
      <c r="K4447" s="2">
        <v>0.0</v>
      </c>
      <c r="L4447" s="2">
        <v>0.0</v>
      </c>
      <c r="M4447" s="2">
        <v>2.0</v>
      </c>
      <c r="N4447" s="2"/>
      <c r="O4447" s="2"/>
      <c r="P4447" s="2" t="s">
        <v>146</v>
      </c>
    </row>
    <row r="4448">
      <c r="A4448" s="3" t="s">
        <v>16</v>
      </c>
      <c r="B4448" s="2" t="s">
        <v>17</v>
      </c>
      <c r="C4448" s="2" t="s">
        <v>148</v>
      </c>
      <c r="D4448" s="2" t="s">
        <v>313</v>
      </c>
      <c r="E4448" s="2" t="s">
        <v>27</v>
      </c>
      <c r="F4448" s="2">
        <v>7.0</v>
      </c>
      <c r="G4448" s="2">
        <v>22.0</v>
      </c>
      <c r="H4448" s="2">
        <v>7.0</v>
      </c>
      <c r="I4448" s="2">
        <v>15.0</v>
      </c>
      <c r="J4448" s="2">
        <v>0.0</v>
      </c>
      <c r="K4448" s="2">
        <v>0.0</v>
      </c>
      <c r="L4448" s="2">
        <v>0.0</v>
      </c>
      <c r="M4448" s="2">
        <v>0.0</v>
      </c>
      <c r="N4448" s="2"/>
      <c r="O4448" s="2"/>
      <c r="P4448" s="2" t="s">
        <v>146</v>
      </c>
    </row>
    <row r="4449">
      <c r="A4449" s="3" t="s">
        <v>94</v>
      </c>
      <c r="B4449" s="2" t="s">
        <v>17</v>
      </c>
      <c r="C4449" s="2" t="s">
        <v>18</v>
      </c>
      <c r="D4449" s="2" t="s">
        <v>23</v>
      </c>
      <c r="E4449" s="2" t="s">
        <v>27</v>
      </c>
      <c r="F4449" s="2">
        <v>301.0</v>
      </c>
      <c r="G4449" s="2">
        <v>446.0</v>
      </c>
      <c r="H4449" s="2">
        <v>304.0</v>
      </c>
      <c r="I4449" s="2">
        <v>138.0</v>
      </c>
      <c r="J4449" s="2">
        <v>4.0</v>
      </c>
      <c r="K4449" s="2">
        <v>0.0</v>
      </c>
      <c r="L4449" s="2">
        <v>0.0</v>
      </c>
      <c r="M4449" s="2">
        <v>-3.0</v>
      </c>
      <c r="N4449" s="2">
        <v>-72.0</v>
      </c>
      <c r="O4449" s="2">
        <v>-307.0</v>
      </c>
      <c r="P4449" s="2" t="s">
        <v>146</v>
      </c>
    </row>
    <row r="4450">
      <c r="A4450" s="3" t="s">
        <v>95</v>
      </c>
      <c r="B4450" s="4">
        <v>45048.29166666667</v>
      </c>
      <c r="C4450" s="2" t="s">
        <v>18</v>
      </c>
      <c r="D4450" s="2" t="s">
        <v>19</v>
      </c>
      <c r="E4450" s="2" t="s">
        <v>27</v>
      </c>
      <c r="F4450" s="2"/>
      <c r="G4450" s="2">
        <v>60.0</v>
      </c>
      <c r="H4450" s="2">
        <v>27.0</v>
      </c>
      <c r="I4450" s="2">
        <v>31.0</v>
      </c>
      <c r="J4450" s="2">
        <v>2.0</v>
      </c>
      <c r="K4450" s="2">
        <v>0.0</v>
      </c>
      <c r="L4450" s="2">
        <v>0.0</v>
      </c>
      <c r="M4450" s="2"/>
      <c r="N4450" s="2"/>
      <c r="O4450" s="2"/>
      <c r="P4450" s="2" t="s">
        <v>146</v>
      </c>
    </row>
    <row r="4451">
      <c r="A4451" s="3" t="s">
        <v>97</v>
      </c>
      <c r="B4451" s="4">
        <v>45079.29166666667</v>
      </c>
      <c r="C4451" s="2" t="s">
        <v>18</v>
      </c>
      <c r="D4451" s="2" t="s">
        <v>19</v>
      </c>
      <c r="E4451" s="2" t="s">
        <v>27</v>
      </c>
      <c r="F4451" s="2"/>
      <c r="G4451" s="2">
        <v>21.0</v>
      </c>
      <c r="H4451" s="2">
        <v>6.0</v>
      </c>
      <c r="I4451" s="2">
        <v>15.0</v>
      </c>
      <c r="J4451" s="2">
        <v>0.0</v>
      </c>
      <c r="K4451" s="2">
        <v>0.0</v>
      </c>
      <c r="L4451" s="2">
        <v>0.0</v>
      </c>
      <c r="M4451" s="2"/>
      <c r="N4451" s="2"/>
      <c r="O4451" s="2"/>
      <c r="P4451" s="2" t="s">
        <v>146</v>
      </c>
    </row>
    <row r="4452">
      <c r="A4452" s="3" t="s">
        <v>98</v>
      </c>
      <c r="B4452" s="4">
        <v>45080.29166666667</v>
      </c>
      <c r="C4452" s="2" t="s">
        <v>18</v>
      </c>
      <c r="D4452" s="2" t="s">
        <v>127</v>
      </c>
      <c r="E4452" s="2" t="s">
        <v>27</v>
      </c>
      <c r="F4452" s="2"/>
      <c r="G4452" s="2">
        <v>338.0</v>
      </c>
      <c r="H4452" s="2">
        <v>259.0</v>
      </c>
      <c r="I4452" s="2">
        <v>77.0</v>
      </c>
      <c r="J4452" s="2">
        <v>2.0</v>
      </c>
      <c r="K4452" s="2">
        <v>0.0</v>
      </c>
      <c r="L4452" s="2">
        <v>0.0</v>
      </c>
      <c r="M4452" s="2"/>
      <c r="N4452" s="2"/>
      <c r="O4452" s="2"/>
      <c r="P4452" s="2" t="s">
        <v>146</v>
      </c>
    </row>
    <row r="4453">
      <c r="A4453" s="3" t="s">
        <v>99</v>
      </c>
      <c r="B4453" s="4">
        <v>45081.29166666667</v>
      </c>
      <c r="C4453" s="2" t="s">
        <v>18</v>
      </c>
      <c r="D4453" s="2" t="s">
        <v>313</v>
      </c>
      <c r="E4453" s="2" t="s">
        <v>27</v>
      </c>
      <c r="F4453" s="2"/>
      <c r="G4453" s="2">
        <v>22.0</v>
      </c>
      <c r="H4453" s="2">
        <v>7.0</v>
      </c>
      <c r="I4453" s="2">
        <v>15.0</v>
      </c>
      <c r="J4453" s="2">
        <v>0.0</v>
      </c>
      <c r="K4453" s="2">
        <v>0.0</v>
      </c>
      <c r="L4453" s="2">
        <v>0.0</v>
      </c>
      <c r="M4453" s="2"/>
      <c r="N4453" s="2"/>
      <c r="O4453" s="2"/>
      <c r="P4453" s="2" t="s">
        <v>146</v>
      </c>
    </row>
    <row r="4454">
      <c r="A4454" s="3" t="s">
        <v>100</v>
      </c>
      <c r="B4454" s="4">
        <v>45111.29166666667</v>
      </c>
      <c r="C4454" s="2" t="s">
        <v>18</v>
      </c>
      <c r="D4454" s="2" t="s">
        <v>127</v>
      </c>
      <c r="E4454" s="2" t="s">
        <v>27</v>
      </c>
      <c r="F4454" s="2"/>
      <c r="G4454" s="2">
        <v>5.0</v>
      </c>
      <c r="H4454" s="2">
        <v>5.0</v>
      </c>
      <c r="I4454" s="2">
        <v>0.0</v>
      </c>
      <c r="J4454" s="2">
        <v>0.0</v>
      </c>
      <c r="K4454" s="2">
        <v>0.0</v>
      </c>
      <c r="L4454" s="2">
        <v>0.0</v>
      </c>
      <c r="M4454" s="2"/>
      <c r="N4454" s="2"/>
      <c r="O4454" s="2"/>
      <c r="P4454" s="2" t="s">
        <v>146</v>
      </c>
    </row>
    <row r="4455">
      <c r="A4455" s="3" t="s">
        <v>16</v>
      </c>
      <c r="B4455" s="2" t="s">
        <v>17</v>
      </c>
      <c r="C4455" s="2" t="s">
        <v>18</v>
      </c>
      <c r="D4455" s="2" t="s">
        <v>79</v>
      </c>
      <c r="E4455" s="2" t="s">
        <v>165</v>
      </c>
      <c r="F4455" s="2">
        <v>100.0</v>
      </c>
      <c r="G4455" s="2">
        <v>115.0</v>
      </c>
      <c r="H4455" s="2">
        <v>100.0</v>
      </c>
      <c r="I4455" s="2">
        <v>15.0</v>
      </c>
      <c r="J4455" s="2">
        <v>0.0</v>
      </c>
      <c r="K4455" s="2">
        <v>0.0</v>
      </c>
      <c r="L4455" s="2">
        <v>0.0</v>
      </c>
      <c r="M4455" s="2">
        <v>0.0</v>
      </c>
      <c r="N4455" s="2"/>
      <c r="O4455" s="2"/>
      <c r="P4455" s="2" t="s">
        <v>166</v>
      </c>
    </row>
    <row r="4456">
      <c r="A4456" s="3" t="s">
        <v>22</v>
      </c>
      <c r="B4456" s="2" t="s">
        <v>17</v>
      </c>
      <c r="C4456" s="2" t="s">
        <v>18</v>
      </c>
      <c r="D4456" s="2" t="s">
        <v>23</v>
      </c>
      <c r="E4456" s="2" t="s">
        <v>165</v>
      </c>
      <c r="F4456" s="2">
        <v>100.0</v>
      </c>
      <c r="G4456" s="2">
        <v>115.0</v>
      </c>
      <c r="H4456" s="2">
        <v>100.0</v>
      </c>
      <c r="I4456" s="2">
        <v>15.0</v>
      </c>
      <c r="J4456" s="2">
        <v>0.0</v>
      </c>
      <c r="K4456" s="2">
        <v>0.0</v>
      </c>
      <c r="L4456" s="2">
        <v>0.0</v>
      </c>
      <c r="M4456" s="2">
        <v>0.0</v>
      </c>
      <c r="N4456" s="2">
        <v>0.0</v>
      </c>
      <c r="O4456" s="2">
        <v>-100.0</v>
      </c>
      <c r="P4456" s="2" t="s">
        <v>166</v>
      </c>
    </row>
    <row r="4457">
      <c r="A4457" s="3" t="s">
        <v>24</v>
      </c>
      <c r="B4457" s="4">
        <v>45112.29166666667</v>
      </c>
      <c r="C4457" s="2" t="s">
        <v>18</v>
      </c>
      <c r="D4457" s="2" t="s">
        <v>79</v>
      </c>
      <c r="E4457" s="2" t="s">
        <v>165</v>
      </c>
      <c r="F4457" s="2"/>
      <c r="G4457" s="2">
        <v>115.0</v>
      </c>
      <c r="H4457" s="2">
        <v>100.0</v>
      </c>
      <c r="I4457" s="2">
        <v>15.0</v>
      </c>
      <c r="J4457" s="2">
        <v>0.0</v>
      </c>
      <c r="K4457" s="2">
        <v>0.0</v>
      </c>
      <c r="L4457" s="2">
        <v>0.0</v>
      </c>
      <c r="M4457" s="2"/>
      <c r="N4457" s="2"/>
      <c r="O4457" s="2"/>
      <c r="P4457" s="2" t="s">
        <v>166</v>
      </c>
    </row>
    <row r="4458">
      <c r="A4458" s="3" t="s">
        <v>25</v>
      </c>
      <c r="B4458" s="2" t="s">
        <v>17</v>
      </c>
      <c r="C4458" s="2" t="s">
        <v>18</v>
      </c>
      <c r="D4458" s="2" t="s">
        <v>19</v>
      </c>
      <c r="E4458" s="2" t="s">
        <v>114</v>
      </c>
      <c r="F4458" s="2">
        <v>34.0</v>
      </c>
      <c r="G4458" s="2">
        <v>0.0</v>
      </c>
      <c r="H4458" s="2">
        <v>0.0</v>
      </c>
      <c r="I4458" s="2">
        <v>0.0</v>
      </c>
      <c r="J4458" s="2">
        <v>0.0</v>
      </c>
      <c r="K4458" s="2">
        <v>0.0</v>
      </c>
      <c r="L4458" s="2">
        <v>0.0</v>
      </c>
      <c r="M4458" s="2">
        <v>34.0</v>
      </c>
      <c r="N4458" s="2"/>
      <c r="O4458" s="2"/>
      <c r="P4458" s="2" t="s">
        <v>92</v>
      </c>
    </row>
    <row r="4459">
      <c r="A4459" s="3" t="s">
        <v>26</v>
      </c>
      <c r="B4459" s="2" t="s">
        <v>17</v>
      </c>
      <c r="C4459" s="2" t="s">
        <v>18</v>
      </c>
      <c r="D4459" s="2" t="s">
        <v>127</v>
      </c>
      <c r="E4459" s="2" t="s">
        <v>114</v>
      </c>
      <c r="F4459" s="2">
        <v>34.0</v>
      </c>
      <c r="G4459" s="2">
        <v>42.0</v>
      </c>
      <c r="H4459" s="2">
        <v>37.0</v>
      </c>
      <c r="I4459" s="2">
        <v>5.0</v>
      </c>
      <c r="J4459" s="2">
        <v>0.0</v>
      </c>
      <c r="K4459" s="2">
        <v>0.0</v>
      </c>
      <c r="L4459" s="2">
        <v>0.0</v>
      </c>
      <c r="M4459" s="2">
        <v>-3.0</v>
      </c>
      <c r="N4459" s="2"/>
      <c r="O4459" s="2"/>
      <c r="P4459" s="2" t="s">
        <v>92</v>
      </c>
    </row>
    <row r="4460">
      <c r="A4460" s="3" t="s">
        <v>28</v>
      </c>
      <c r="B4460" s="2" t="s">
        <v>17</v>
      </c>
      <c r="C4460" s="2" t="s">
        <v>18</v>
      </c>
      <c r="D4460" s="2" t="s">
        <v>23</v>
      </c>
      <c r="E4460" s="2" t="s">
        <v>114</v>
      </c>
      <c r="F4460" s="2">
        <v>34.0</v>
      </c>
      <c r="G4460" s="2">
        <v>42.0</v>
      </c>
      <c r="H4460" s="2">
        <v>37.0</v>
      </c>
      <c r="I4460" s="2">
        <v>5.0</v>
      </c>
      <c r="J4460" s="2">
        <v>0.0</v>
      </c>
      <c r="K4460" s="2">
        <v>0.0</v>
      </c>
      <c r="L4460" s="2">
        <v>0.0</v>
      </c>
      <c r="M4460" s="2">
        <v>-3.0</v>
      </c>
      <c r="N4460" s="2">
        <v>-34.0</v>
      </c>
      <c r="O4460" s="2">
        <v>-40.0</v>
      </c>
      <c r="P4460" s="2" t="s">
        <v>92</v>
      </c>
    </row>
    <row r="4461">
      <c r="A4461" s="3" t="s">
        <v>29</v>
      </c>
      <c r="B4461" s="4">
        <v>45112.29166666667</v>
      </c>
      <c r="C4461" s="2" t="s">
        <v>18</v>
      </c>
      <c r="D4461" s="2" t="s">
        <v>127</v>
      </c>
      <c r="E4461" s="2" t="s">
        <v>114</v>
      </c>
      <c r="F4461" s="2"/>
      <c r="G4461" s="2">
        <v>42.0</v>
      </c>
      <c r="H4461" s="2">
        <v>37.0</v>
      </c>
      <c r="I4461" s="2">
        <v>5.0</v>
      </c>
      <c r="J4461" s="2">
        <v>0.0</v>
      </c>
      <c r="K4461" s="2">
        <v>0.0</v>
      </c>
      <c r="L4461" s="2">
        <v>0.0</v>
      </c>
      <c r="M4461" s="2"/>
      <c r="N4461" s="2"/>
      <c r="O4461" s="2"/>
      <c r="P4461" s="2" t="s">
        <v>92</v>
      </c>
    </row>
    <row r="4462">
      <c r="A4462" s="3" t="s">
        <v>32</v>
      </c>
      <c r="B4462" s="2" t="s">
        <v>17</v>
      </c>
      <c r="C4462" s="2" t="s">
        <v>18</v>
      </c>
      <c r="D4462" s="2" t="s">
        <v>91</v>
      </c>
      <c r="E4462" s="2" t="s">
        <v>283</v>
      </c>
      <c r="F4462" s="2">
        <v>9.0</v>
      </c>
      <c r="G4462" s="2">
        <v>18.0</v>
      </c>
      <c r="H4462" s="2">
        <v>9.0</v>
      </c>
      <c r="I4462" s="2">
        <v>9.0</v>
      </c>
      <c r="J4462" s="2">
        <v>0.0</v>
      </c>
      <c r="K4462" s="2">
        <v>0.0</v>
      </c>
      <c r="L4462" s="2">
        <v>0.0</v>
      </c>
      <c r="M4462" s="2">
        <v>0.0</v>
      </c>
      <c r="N4462" s="2"/>
      <c r="O4462" s="2"/>
      <c r="P4462" s="2" t="s">
        <v>92</v>
      </c>
    </row>
    <row r="4463">
      <c r="A4463" s="3" t="s">
        <v>34</v>
      </c>
      <c r="B4463" s="2" t="s">
        <v>17</v>
      </c>
      <c r="C4463" s="2" t="s">
        <v>18</v>
      </c>
      <c r="D4463" s="2" t="s">
        <v>23</v>
      </c>
      <c r="E4463" s="2" t="s">
        <v>283</v>
      </c>
      <c r="F4463" s="2">
        <v>9.0</v>
      </c>
      <c r="G4463" s="2">
        <v>18.0</v>
      </c>
      <c r="H4463" s="2">
        <v>9.0</v>
      </c>
      <c r="I4463" s="2">
        <v>9.0</v>
      </c>
      <c r="J4463" s="2">
        <v>0.0</v>
      </c>
      <c r="K4463" s="2">
        <v>0.0</v>
      </c>
      <c r="L4463" s="2">
        <v>0.0</v>
      </c>
      <c r="M4463" s="2">
        <v>0.0</v>
      </c>
      <c r="N4463" s="2">
        <v>0.0</v>
      </c>
      <c r="O4463" s="2">
        <v>-9.0</v>
      </c>
      <c r="P4463" s="2" t="s">
        <v>92</v>
      </c>
    </row>
    <row r="4464">
      <c r="A4464" s="3" t="s">
        <v>35</v>
      </c>
      <c r="B4464" s="4">
        <v>45048.29166666667</v>
      </c>
      <c r="C4464" s="2" t="s">
        <v>18</v>
      </c>
      <c r="D4464" s="2" t="s">
        <v>91</v>
      </c>
      <c r="E4464" s="2" t="s">
        <v>283</v>
      </c>
      <c r="F4464" s="2"/>
      <c r="G4464" s="2">
        <v>12.0</v>
      </c>
      <c r="H4464" s="2">
        <v>5.0</v>
      </c>
      <c r="I4464" s="2">
        <v>7.0</v>
      </c>
      <c r="J4464" s="2">
        <v>0.0</v>
      </c>
      <c r="K4464" s="2">
        <v>0.0</v>
      </c>
      <c r="L4464" s="2">
        <v>0.0</v>
      </c>
      <c r="M4464" s="2"/>
      <c r="N4464" s="2"/>
      <c r="O4464" s="2"/>
      <c r="P4464" s="2" t="s">
        <v>92</v>
      </c>
    </row>
    <row r="4465">
      <c r="A4465" s="3" t="s">
        <v>36</v>
      </c>
      <c r="B4465" s="4">
        <v>45079.29166666667</v>
      </c>
      <c r="C4465" s="2" t="s">
        <v>18</v>
      </c>
      <c r="D4465" s="2" t="s">
        <v>91</v>
      </c>
      <c r="E4465" s="2" t="s">
        <v>283</v>
      </c>
      <c r="F4465" s="2"/>
      <c r="G4465" s="2">
        <v>4.0</v>
      </c>
      <c r="H4465" s="2">
        <v>2.0</v>
      </c>
      <c r="I4465" s="2">
        <v>2.0</v>
      </c>
      <c r="J4465" s="2">
        <v>0.0</v>
      </c>
      <c r="K4465" s="2">
        <v>0.0</v>
      </c>
      <c r="L4465" s="2">
        <v>0.0</v>
      </c>
      <c r="M4465" s="2"/>
      <c r="N4465" s="2"/>
      <c r="O4465" s="2"/>
      <c r="P4465" s="2" t="s">
        <v>92</v>
      </c>
    </row>
    <row r="4466">
      <c r="A4466" s="3" t="s">
        <v>37</v>
      </c>
      <c r="B4466" s="4">
        <v>45110.29166666667</v>
      </c>
      <c r="C4466" s="2" t="s">
        <v>18</v>
      </c>
      <c r="D4466" s="2" t="s">
        <v>91</v>
      </c>
      <c r="E4466" s="2" t="s">
        <v>283</v>
      </c>
      <c r="F4466" s="2"/>
      <c r="G4466" s="2">
        <v>2.0</v>
      </c>
      <c r="H4466" s="2">
        <v>2.0</v>
      </c>
      <c r="I4466" s="2">
        <v>0.0</v>
      </c>
      <c r="J4466" s="2">
        <v>0.0</v>
      </c>
      <c r="K4466" s="2">
        <v>0.0</v>
      </c>
      <c r="L4466" s="2">
        <v>0.0</v>
      </c>
      <c r="M4466" s="2"/>
      <c r="N4466" s="2"/>
      <c r="O4466" s="2"/>
      <c r="P4466" s="2" t="s">
        <v>92</v>
      </c>
    </row>
    <row r="4467">
      <c r="A4467" s="3" t="s">
        <v>38</v>
      </c>
      <c r="B4467" s="2" t="s">
        <v>17</v>
      </c>
      <c r="C4467" s="2" t="s">
        <v>148</v>
      </c>
      <c r="D4467" s="2" t="s">
        <v>19</v>
      </c>
      <c r="E4467" s="2" t="s">
        <v>27</v>
      </c>
      <c r="F4467" s="2">
        <v>166.0</v>
      </c>
      <c r="G4467" s="2">
        <v>0.0</v>
      </c>
      <c r="H4467" s="2">
        <v>0.0</v>
      </c>
      <c r="I4467" s="2">
        <v>0.0</v>
      </c>
      <c r="J4467" s="2">
        <v>0.0</v>
      </c>
      <c r="K4467" s="2">
        <v>0.0</v>
      </c>
      <c r="L4467" s="2">
        <v>0.0</v>
      </c>
      <c r="M4467" s="2">
        <v>166.0</v>
      </c>
      <c r="N4467" s="2"/>
      <c r="O4467" s="2"/>
      <c r="P4467" s="2" t="s">
        <v>80</v>
      </c>
    </row>
    <row r="4468">
      <c r="A4468" s="3" t="s">
        <v>39</v>
      </c>
      <c r="B4468" s="2" t="s">
        <v>17</v>
      </c>
      <c r="C4468" s="2" t="s">
        <v>148</v>
      </c>
      <c r="D4468" s="2" t="s">
        <v>19</v>
      </c>
      <c r="E4468" s="2" t="s">
        <v>169</v>
      </c>
      <c r="F4468" s="2">
        <v>19.0</v>
      </c>
      <c r="G4468" s="2">
        <v>0.0</v>
      </c>
      <c r="H4468" s="2">
        <v>0.0</v>
      </c>
      <c r="I4468" s="2">
        <v>0.0</v>
      </c>
      <c r="J4468" s="2">
        <v>0.0</v>
      </c>
      <c r="K4468" s="2">
        <v>0.0</v>
      </c>
      <c r="L4468" s="2">
        <v>0.0</v>
      </c>
      <c r="M4468" s="2">
        <v>19.0</v>
      </c>
      <c r="N4468" s="2"/>
      <c r="O4468" s="2"/>
      <c r="P4468" s="2" t="s">
        <v>80</v>
      </c>
    </row>
    <row r="4469">
      <c r="A4469" s="3" t="s">
        <v>40</v>
      </c>
      <c r="B4469" s="2" t="s">
        <v>17</v>
      </c>
      <c r="C4469" s="2" t="s">
        <v>18</v>
      </c>
      <c r="D4469" s="2" t="s">
        <v>79</v>
      </c>
      <c r="E4469" s="2" t="s">
        <v>27</v>
      </c>
      <c r="F4469" s="2">
        <v>30.0</v>
      </c>
      <c r="G4469" s="2">
        <v>44.0</v>
      </c>
      <c r="H4469" s="2">
        <v>19.0</v>
      </c>
      <c r="I4469" s="2">
        <v>24.0</v>
      </c>
      <c r="J4469" s="2">
        <v>1.0</v>
      </c>
      <c r="K4469" s="2">
        <v>0.0</v>
      </c>
      <c r="L4469" s="2">
        <v>0.0</v>
      </c>
      <c r="M4469" s="2">
        <v>11.0</v>
      </c>
      <c r="N4469" s="2"/>
      <c r="O4469" s="2"/>
      <c r="P4469" s="2" t="s">
        <v>80</v>
      </c>
    </row>
    <row r="4470">
      <c r="A4470" s="3" t="s">
        <v>41</v>
      </c>
      <c r="B4470" s="2" t="s">
        <v>17</v>
      </c>
      <c r="C4470" s="2" t="s">
        <v>113</v>
      </c>
      <c r="D4470" s="2" t="s">
        <v>79</v>
      </c>
      <c r="E4470" s="2" t="s">
        <v>169</v>
      </c>
      <c r="F4470" s="2">
        <v>10.0</v>
      </c>
      <c r="G4470" s="2">
        <v>10.0</v>
      </c>
      <c r="H4470" s="2">
        <v>4.0</v>
      </c>
      <c r="I4470" s="2">
        <v>6.0</v>
      </c>
      <c r="J4470" s="2">
        <v>0.0</v>
      </c>
      <c r="K4470" s="2">
        <v>0.0</v>
      </c>
      <c r="L4470" s="2">
        <v>0.0</v>
      </c>
      <c r="M4470" s="2">
        <v>6.0</v>
      </c>
      <c r="N4470" s="2"/>
      <c r="O4470" s="2"/>
      <c r="P4470" s="2" t="s">
        <v>80</v>
      </c>
    </row>
    <row r="4471">
      <c r="A4471" s="3" t="s">
        <v>42</v>
      </c>
      <c r="B4471" s="2" t="s">
        <v>17</v>
      </c>
      <c r="C4471" s="2" t="s">
        <v>18</v>
      </c>
      <c r="D4471" s="2" t="s">
        <v>33</v>
      </c>
      <c r="E4471" s="2" t="s">
        <v>27</v>
      </c>
      <c r="F4471" s="2">
        <v>111.0</v>
      </c>
      <c r="G4471" s="2">
        <v>82.0</v>
      </c>
      <c r="H4471" s="2">
        <v>56.0</v>
      </c>
      <c r="I4471" s="2">
        <v>26.0</v>
      </c>
      <c r="J4471" s="2">
        <v>0.0</v>
      </c>
      <c r="K4471" s="2">
        <v>0.0</v>
      </c>
      <c r="L4471" s="2">
        <v>0.0</v>
      </c>
      <c r="M4471" s="2">
        <v>55.0</v>
      </c>
      <c r="N4471" s="2"/>
      <c r="O4471" s="2"/>
      <c r="P4471" s="2" t="s">
        <v>80</v>
      </c>
    </row>
    <row r="4472">
      <c r="A4472" s="3" t="s">
        <v>43</v>
      </c>
      <c r="B4472" s="2" t="s">
        <v>17</v>
      </c>
      <c r="C4472" s="2" t="s">
        <v>113</v>
      </c>
      <c r="D4472" s="2" t="s">
        <v>33</v>
      </c>
      <c r="E4472" s="2" t="s">
        <v>169</v>
      </c>
      <c r="F4472" s="2">
        <v>9.0</v>
      </c>
      <c r="G4472" s="2">
        <v>7.0</v>
      </c>
      <c r="H4472" s="2">
        <v>6.0</v>
      </c>
      <c r="I4472" s="2">
        <v>1.0</v>
      </c>
      <c r="J4472" s="2">
        <v>0.0</v>
      </c>
      <c r="K4472" s="2">
        <v>0.0</v>
      </c>
      <c r="L4472" s="2">
        <v>0.0</v>
      </c>
      <c r="M4472" s="2">
        <v>3.0</v>
      </c>
      <c r="N4472" s="2"/>
      <c r="O4472" s="2"/>
      <c r="P4472" s="2" t="s">
        <v>80</v>
      </c>
    </row>
    <row r="4473">
      <c r="A4473" s="3" t="s">
        <v>44</v>
      </c>
      <c r="B4473" s="2" t="s">
        <v>17</v>
      </c>
      <c r="C4473" s="2" t="s">
        <v>18</v>
      </c>
      <c r="D4473" s="2" t="s">
        <v>109</v>
      </c>
      <c r="E4473" s="2" t="s">
        <v>27</v>
      </c>
      <c r="F4473" s="2">
        <v>100.0</v>
      </c>
      <c r="G4473" s="2">
        <v>64.0</v>
      </c>
      <c r="H4473" s="2">
        <v>23.0</v>
      </c>
      <c r="I4473" s="2">
        <v>41.0</v>
      </c>
      <c r="J4473" s="2">
        <v>0.0</v>
      </c>
      <c r="K4473" s="2">
        <v>0.0</v>
      </c>
      <c r="L4473" s="2">
        <v>0.0</v>
      </c>
      <c r="M4473" s="2">
        <v>77.0</v>
      </c>
      <c r="N4473" s="2"/>
      <c r="O4473" s="2"/>
      <c r="P4473" s="2" t="s">
        <v>80</v>
      </c>
    </row>
    <row r="4474">
      <c r="A4474" s="3" t="s">
        <v>45</v>
      </c>
      <c r="B4474" s="2" t="s">
        <v>17</v>
      </c>
      <c r="C4474" s="2" t="s">
        <v>113</v>
      </c>
      <c r="D4474" s="2" t="s">
        <v>109</v>
      </c>
      <c r="E4474" s="2" t="s">
        <v>169</v>
      </c>
      <c r="F4474" s="2">
        <v>10.0</v>
      </c>
      <c r="G4474" s="2">
        <v>13.0</v>
      </c>
      <c r="H4474" s="2">
        <v>0.0</v>
      </c>
      <c r="I4474" s="2">
        <v>13.0</v>
      </c>
      <c r="J4474" s="2">
        <v>0.0</v>
      </c>
      <c r="K4474" s="2">
        <v>0.0</v>
      </c>
      <c r="L4474" s="2">
        <v>0.0</v>
      </c>
      <c r="M4474" s="2">
        <v>10.0</v>
      </c>
      <c r="N4474" s="2"/>
      <c r="O4474" s="2"/>
      <c r="P4474" s="2" t="s">
        <v>80</v>
      </c>
    </row>
    <row r="4475">
      <c r="A4475" s="3" t="s">
        <v>16</v>
      </c>
      <c r="B4475" s="2" t="s">
        <v>17</v>
      </c>
      <c r="C4475" s="2" t="s">
        <v>18</v>
      </c>
      <c r="D4475" s="2" t="s">
        <v>23</v>
      </c>
      <c r="E4475" s="2" t="s">
        <v>27</v>
      </c>
      <c r="F4475" s="2">
        <v>107.0</v>
      </c>
      <c r="G4475" s="2">
        <v>190.0</v>
      </c>
      <c r="H4475" s="2">
        <v>98.0</v>
      </c>
      <c r="I4475" s="2">
        <v>91.0</v>
      </c>
      <c r="J4475" s="2">
        <v>1.0</v>
      </c>
      <c r="K4475" s="2">
        <v>0.0</v>
      </c>
      <c r="L4475" s="2">
        <v>0.0</v>
      </c>
      <c r="M4475" s="2">
        <v>9.0</v>
      </c>
      <c r="N4475" s="2">
        <v>-300.0</v>
      </c>
      <c r="O4475" s="2">
        <v>-89.0</v>
      </c>
      <c r="P4475" s="2" t="s">
        <v>80</v>
      </c>
    </row>
    <row r="4476">
      <c r="A4476" s="3" t="s">
        <v>47</v>
      </c>
      <c r="B4476" s="2" t="s">
        <v>17</v>
      </c>
      <c r="C4476" s="2" t="s">
        <v>113</v>
      </c>
      <c r="D4476" s="2" t="s">
        <v>23</v>
      </c>
      <c r="E4476" s="2" t="s">
        <v>169</v>
      </c>
      <c r="F4476" s="2">
        <v>11.0</v>
      </c>
      <c r="G4476" s="2">
        <v>30.0</v>
      </c>
      <c r="H4476" s="2">
        <v>10.0</v>
      </c>
      <c r="I4476" s="2">
        <v>20.0</v>
      </c>
      <c r="J4476" s="2">
        <v>0.0</v>
      </c>
      <c r="K4476" s="2">
        <v>0.0</v>
      </c>
      <c r="L4476" s="2">
        <v>0.0</v>
      </c>
      <c r="M4476" s="2">
        <v>1.0</v>
      </c>
      <c r="N4476" s="2">
        <v>-37.0</v>
      </c>
      <c r="O4476" s="2">
        <v>-9.0</v>
      </c>
      <c r="P4476" s="2" t="s">
        <v>80</v>
      </c>
    </row>
    <row r="4477">
      <c r="A4477" s="3" t="s">
        <v>48</v>
      </c>
      <c r="B4477" s="4">
        <v>45050.29166666667</v>
      </c>
      <c r="C4477" s="2" t="s">
        <v>18</v>
      </c>
      <c r="D4477" s="2" t="s">
        <v>79</v>
      </c>
      <c r="E4477" s="2" t="s">
        <v>27</v>
      </c>
      <c r="F4477" s="2"/>
      <c r="G4477" s="2">
        <v>6.0</v>
      </c>
      <c r="H4477" s="2">
        <v>4.0</v>
      </c>
      <c r="I4477" s="2">
        <v>2.0</v>
      </c>
      <c r="J4477" s="2">
        <v>0.0</v>
      </c>
      <c r="K4477" s="2">
        <v>0.0</v>
      </c>
      <c r="L4477" s="2">
        <v>0.0</v>
      </c>
      <c r="M4477" s="2"/>
      <c r="N4477" s="2"/>
      <c r="O4477" s="2"/>
      <c r="P4477" s="2" t="s">
        <v>80</v>
      </c>
    </row>
    <row r="4478">
      <c r="A4478" s="3" t="s">
        <v>49</v>
      </c>
      <c r="B4478" s="4">
        <v>45051.29166666667</v>
      </c>
      <c r="C4478" s="2" t="s">
        <v>18</v>
      </c>
      <c r="D4478" s="2" t="s">
        <v>79</v>
      </c>
      <c r="E4478" s="2" t="s">
        <v>169</v>
      </c>
      <c r="F4478" s="2"/>
      <c r="G4478" s="2">
        <v>0.0</v>
      </c>
      <c r="H4478" s="2">
        <v>0.0</v>
      </c>
      <c r="I4478" s="2">
        <v>0.0</v>
      </c>
      <c r="J4478" s="2">
        <v>0.0</v>
      </c>
      <c r="K4478" s="2">
        <v>0.0</v>
      </c>
      <c r="L4478" s="2">
        <v>0.0</v>
      </c>
      <c r="M4478" s="2"/>
      <c r="N4478" s="2"/>
      <c r="O4478" s="2"/>
      <c r="P4478" s="2" t="s">
        <v>80</v>
      </c>
    </row>
    <row r="4479">
      <c r="A4479" s="3" t="s">
        <v>51</v>
      </c>
      <c r="B4479" s="4">
        <v>45048.29166666667</v>
      </c>
      <c r="C4479" s="2" t="s">
        <v>18</v>
      </c>
      <c r="D4479" s="2" t="s">
        <v>33</v>
      </c>
      <c r="E4479" s="2" t="s">
        <v>27</v>
      </c>
      <c r="F4479" s="2"/>
      <c r="G4479" s="2">
        <v>11.0</v>
      </c>
      <c r="H4479" s="2">
        <v>8.0</v>
      </c>
      <c r="I4479" s="2">
        <v>3.0</v>
      </c>
      <c r="J4479" s="2">
        <v>0.0</v>
      </c>
      <c r="K4479" s="2">
        <v>0.0</v>
      </c>
      <c r="L4479" s="2">
        <v>0.0</v>
      </c>
      <c r="M4479" s="2"/>
      <c r="N4479" s="2"/>
      <c r="O4479" s="2"/>
      <c r="P4479" s="2" t="s">
        <v>80</v>
      </c>
    </row>
    <row r="4480">
      <c r="A4480" s="3" t="s">
        <v>52</v>
      </c>
      <c r="B4480" s="4">
        <v>45049.29166666667</v>
      </c>
      <c r="C4480" s="2" t="s">
        <v>18</v>
      </c>
      <c r="D4480" s="2" t="s">
        <v>33</v>
      </c>
      <c r="E4480" s="2" t="s">
        <v>169</v>
      </c>
      <c r="F4480" s="2"/>
      <c r="G4480" s="2">
        <v>5.0</v>
      </c>
      <c r="H4480" s="2">
        <v>4.0</v>
      </c>
      <c r="I4480" s="2">
        <v>1.0</v>
      </c>
      <c r="J4480" s="2">
        <v>0.0</v>
      </c>
      <c r="K4480" s="2">
        <v>0.0</v>
      </c>
      <c r="L4480" s="2">
        <v>0.0</v>
      </c>
      <c r="M4480" s="2"/>
      <c r="N4480" s="2"/>
      <c r="O4480" s="2"/>
      <c r="P4480" s="2" t="s">
        <v>80</v>
      </c>
    </row>
    <row r="4481">
      <c r="A4481" s="3" t="s">
        <v>53</v>
      </c>
      <c r="B4481" s="4">
        <v>45078.29166666667</v>
      </c>
      <c r="C4481" s="2" t="s">
        <v>18</v>
      </c>
      <c r="D4481" s="2" t="s">
        <v>79</v>
      </c>
      <c r="E4481" s="2" t="s">
        <v>27</v>
      </c>
      <c r="F4481" s="2"/>
      <c r="G4481" s="2">
        <v>24.0</v>
      </c>
      <c r="H4481" s="2">
        <v>11.0</v>
      </c>
      <c r="I4481" s="2">
        <v>12.0</v>
      </c>
      <c r="J4481" s="2">
        <v>1.0</v>
      </c>
      <c r="K4481" s="2">
        <v>0.0</v>
      </c>
      <c r="L4481" s="2">
        <v>0.0</v>
      </c>
      <c r="M4481" s="2"/>
      <c r="N4481" s="2"/>
      <c r="O4481" s="2"/>
      <c r="P4481" s="2" t="s">
        <v>80</v>
      </c>
    </row>
    <row r="4482">
      <c r="A4482" s="3" t="s">
        <v>54</v>
      </c>
      <c r="B4482" s="4">
        <v>45079.29166666667</v>
      </c>
      <c r="C4482" s="2" t="s">
        <v>18</v>
      </c>
      <c r="D4482" s="2" t="s">
        <v>79</v>
      </c>
      <c r="E4482" s="2" t="s">
        <v>169</v>
      </c>
      <c r="F4482" s="2"/>
      <c r="G4482" s="2">
        <v>7.0</v>
      </c>
      <c r="H4482" s="2">
        <v>2.0</v>
      </c>
      <c r="I4482" s="2">
        <v>5.0</v>
      </c>
      <c r="J4482" s="2">
        <v>0.0</v>
      </c>
      <c r="K4482" s="2">
        <v>0.0</v>
      </c>
      <c r="L4482" s="2">
        <v>0.0</v>
      </c>
      <c r="M4482" s="2"/>
      <c r="N4482" s="2"/>
      <c r="O4482" s="2"/>
      <c r="P4482" s="2" t="s">
        <v>80</v>
      </c>
    </row>
    <row r="4483">
      <c r="A4483" s="3" t="s">
        <v>55</v>
      </c>
      <c r="B4483" s="4">
        <v>45080.29166666667</v>
      </c>
      <c r="C4483" s="2" t="s">
        <v>18</v>
      </c>
      <c r="D4483" s="2" t="s">
        <v>33</v>
      </c>
      <c r="E4483" s="2" t="s">
        <v>27</v>
      </c>
      <c r="F4483" s="2"/>
      <c r="G4483" s="2">
        <v>30.0</v>
      </c>
      <c r="H4483" s="2">
        <v>24.0</v>
      </c>
      <c r="I4483" s="2">
        <v>6.0</v>
      </c>
      <c r="J4483" s="2">
        <v>0.0</v>
      </c>
      <c r="K4483" s="2">
        <v>0.0</v>
      </c>
      <c r="L4483" s="2">
        <v>0.0</v>
      </c>
      <c r="M4483" s="2"/>
      <c r="N4483" s="2"/>
      <c r="O4483" s="2"/>
      <c r="P4483" s="2" t="s">
        <v>80</v>
      </c>
    </row>
    <row r="4484">
      <c r="A4484" s="3" t="s">
        <v>56</v>
      </c>
      <c r="B4484" s="4">
        <v>45081.29166666667</v>
      </c>
      <c r="C4484" s="2" t="s">
        <v>18</v>
      </c>
      <c r="D4484" s="2" t="s">
        <v>33</v>
      </c>
      <c r="E4484" s="2" t="s">
        <v>169</v>
      </c>
      <c r="F4484" s="2"/>
      <c r="G4484" s="2">
        <v>2.0</v>
      </c>
      <c r="H4484" s="2">
        <v>2.0</v>
      </c>
      <c r="I4484" s="2">
        <v>0.0</v>
      </c>
      <c r="J4484" s="2">
        <v>0.0</v>
      </c>
      <c r="K4484" s="2">
        <v>0.0</v>
      </c>
      <c r="L4484" s="2">
        <v>0.0</v>
      </c>
      <c r="M4484" s="2"/>
      <c r="N4484" s="2"/>
      <c r="O4484" s="2"/>
      <c r="P4484" s="2" t="s">
        <v>80</v>
      </c>
    </row>
    <row r="4485">
      <c r="A4485" s="3" t="s">
        <v>59</v>
      </c>
      <c r="B4485" s="4">
        <v>45082.29166666667</v>
      </c>
      <c r="C4485" s="2" t="s">
        <v>18</v>
      </c>
      <c r="D4485" s="2" t="s">
        <v>109</v>
      </c>
      <c r="E4485" s="2" t="s">
        <v>27</v>
      </c>
      <c r="F4485" s="2"/>
      <c r="G4485" s="2">
        <v>4.0</v>
      </c>
      <c r="H4485" s="2">
        <v>0.0</v>
      </c>
      <c r="I4485" s="2">
        <v>4.0</v>
      </c>
      <c r="J4485" s="2">
        <v>0.0</v>
      </c>
      <c r="K4485" s="2">
        <v>0.0</v>
      </c>
      <c r="L4485" s="2">
        <v>0.0</v>
      </c>
      <c r="M4485" s="2"/>
      <c r="N4485" s="2"/>
      <c r="O4485" s="2"/>
      <c r="P4485" s="2" t="s">
        <v>80</v>
      </c>
    </row>
    <row r="4486">
      <c r="A4486" s="3" t="s">
        <v>60</v>
      </c>
      <c r="B4486" s="4">
        <v>45083.29166666667</v>
      </c>
      <c r="C4486" s="2" t="s">
        <v>18</v>
      </c>
      <c r="D4486" s="2" t="s">
        <v>109</v>
      </c>
      <c r="E4486" s="2" t="s">
        <v>169</v>
      </c>
      <c r="F4486" s="2"/>
      <c r="G4486" s="2">
        <v>12.0</v>
      </c>
      <c r="H4486" s="2">
        <v>0.0</v>
      </c>
      <c r="I4486" s="2">
        <v>12.0</v>
      </c>
      <c r="J4486" s="2">
        <v>0.0</v>
      </c>
      <c r="K4486" s="2">
        <v>0.0</v>
      </c>
      <c r="L4486" s="2">
        <v>0.0</v>
      </c>
      <c r="M4486" s="2"/>
      <c r="N4486" s="2"/>
      <c r="O4486" s="2"/>
      <c r="P4486" s="2" t="s">
        <v>80</v>
      </c>
    </row>
    <row r="4487">
      <c r="A4487" s="3" t="s">
        <v>61</v>
      </c>
      <c r="B4487" s="4">
        <v>45108.29166666667</v>
      </c>
      <c r="C4487" s="2" t="s">
        <v>18</v>
      </c>
      <c r="D4487" s="2" t="s">
        <v>79</v>
      </c>
      <c r="E4487" s="2" t="s">
        <v>27</v>
      </c>
      <c r="F4487" s="2"/>
      <c r="G4487" s="2">
        <v>14.0</v>
      </c>
      <c r="H4487" s="2">
        <v>4.0</v>
      </c>
      <c r="I4487" s="2">
        <v>10.0</v>
      </c>
      <c r="J4487" s="2">
        <v>0.0</v>
      </c>
      <c r="K4487" s="2">
        <v>0.0</v>
      </c>
      <c r="L4487" s="2">
        <v>0.0</v>
      </c>
      <c r="M4487" s="2"/>
      <c r="N4487" s="2"/>
      <c r="O4487" s="2"/>
      <c r="P4487" s="2" t="s">
        <v>80</v>
      </c>
    </row>
    <row r="4488">
      <c r="A4488" s="3" t="s">
        <v>62</v>
      </c>
      <c r="B4488" s="4">
        <v>45109.29166666667</v>
      </c>
      <c r="C4488" s="2" t="s">
        <v>113</v>
      </c>
      <c r="D4488" s="2" t="s">
        <v>79</v>
      </c>
      <c r="E4488" s="2" t="s">
        <v>169</v>
      </c>
      <c r="F4488" s="2"/>
      <c r="G4488" s="2">
        <v>3.0</v>
      </c>
      <c r="H4488" s="2">
        <v>2.0</v>
      </c>
      <c r="I4488" s="2">
        <v>1.0</v>
      </c>
      <c r="J4488" s="2">
        <v>0.0</v>
      </c>
      <c r="K4488" s="2">
        <v>0.0</v>
      </c>
      <c r="L4488" s="2">
        <v>0.0</v>
      </c>
      <c r="M4488" s="2"/>
      <c r="N4488" s="2"/>
      <c r="O4488" s="2"/>
      <c r="P4488" s="2" t="s">
        <v>80</v>
      </c>
    </row>
    <row r="4489">
      <c r="A4489" s="3" t="s">
        <v>63</v>
      </c>
      <c r="B4489" s="4">
        <v>45110.29166666667</v>
      </c>
      <c r="C4489" s="2" t="s">
        <v>18</v>
      </c>
      <c r="D4489" s="2" t="s">
        <v>33</v>
      </c>
      <c r="E4489" s="2" t="s">
        <v>27</v>
      </c>
      <c r="F4489" s="2"/>
      <c r="G4489" s="2">
        <v>41.0</v>
      </c>
      <c r="H4489" s="2">
        <v>24.0</v>
      </c>
      <c r="I4489" s="2">
        <v>17.0</v>
      </c>
      <c r="J4489" s="2">
        <v>0.0</v>
      </c>
      <c r="K4489" s="2">
        <v>0.0</v>
      </c>
      <c r="L4489" s="2">
        <v>0.0</v>
      </c>
      <c r="M4489" s="2"/>
      <c r="N4489" s="2"/>
      <c r="O4489" s="2"/>
      <c r="P4489" s="2" t="s">
        <v>80</v>
      </c>
    </row>
    <row r="4490">
      <c r="A4490" s="3" t="s">
        <v>64</v>
      </c>
      <c r="B4490" s="4">
        <v>45111.29166666667</v>
      </c>
      <c r="C4490" s="2" t="s">
        <v>113</v>
      </c>
      <c r="D4490" s="2" t="s">
        <v>33</v>
      </c>
      <c r="E4490" s="2" t="s">
        <v>169</v>
      </c>
      <c r="F4490" s="2"/>
      <c r="G4490" s="2">
        <v>0.0</v>
      </c>
      <c r="H4490" s="2">
        <v>0.0</v>
      </c>
      <c r="I4490" s="2">
        <v>0.0</v>
      </c>
      <c r="J4490" s="2">
        <v>0.0</v>
      </c>
      <c r="K4490" s="2">
        <v>0.0</v>
      </c>
      <c r="L4490" s="2">
        <v>0.0</v>
      </c>
      <c r="M4490" s="2"/>
      <c r="N4490" s="2"/>
      <c r="O4490" s="2"/>
      <c r="P4490" s="2" t="s">
        <v>80</v>
      </c>
    </row>
    <row r="4491">
      <c r="A4491" s="3" t="s">
        <v>65</v>
      </c>
      <c r="B4491" s="4">
        <v>45112.29166666667</v>
      </c>
      <c r="C4491" s="2" t="s">
        <v>18</v>
      </c>
      <c r="D4491" s="2" t="s">
        <v>109</v>
      </c>
      <c r="E4491" s="2" t="s">
        <v>27</v>
      </c>
      <c r="F4491" s="2"/>
      <c r="G4491" s="2">
        <v>60.0</v>
      </c>
      <c r="H4491" s="2">
        <v>23.0</v>
      </c>
      <c r="I4491" s="2">
        <v>37.0</v>
      </c>
      <c r="J4491" s="2">
        <v>0.0</v>
      </c>
      <c r="K4491" s="2">
        <v>0.0</v>
      </c>
      <c r="L4491" s="2">
        <v>0.0</v>
      </c>
      <c r="M4491" s="2"/>
      <c r="N4491" s="2"/>
      <c r="O4491" s="2"/>
      <c r="P4491" s="2" t="s">
        <v>80</v>
      </c>
    </row>
    <row r="4492">
      <c r="A4492" s="3" t="s">
        <v>66</v>
      </c>
      <c r="B4492" s="4">
        <v>45113.29166666667</v>
      </c>
      <c r="C4492" s="2" t="s">
        <v>113</v>
      </c>
      <c r="D4492" s="2" t="s">
        <v>109</v>
      </c>
      <c r="E4492" s="2" t="s">
        <v>169</v>
      </c>
      <c r="F4492" s="2"/>
      <c r="G4492" s="2">
        <v>1.0</v>
      </c>
      <c r="H4492" s="2">
        <v>0.0</v>
      </c>
      <c r="I4492" s="2">
        <v>1.0</v>
      </c>
      <c r="J4492" s="2">
        <v>0.0</v>
      </c>
      <c r="K4492" s="2">
        <v>0.0</v>
      </c>
      <c r="L4492" s="2">
        <v>0.0</v>
      </c>
      <c r="M4492" s="2"/>
      <c r="N4492" s="2"/>
      <c r="O4492" s="2"/>
      <c r="P4492" s="2" t="s">
        <v>80</v>
      </c>
    </row>
    <row r="4493">
      <c r="A4493" s="3" t="s">
        <v>68</v>
      </c>
      <c r="B4493" s="2" t="s">
        <v>17</v>
      </c>
      <c r="C4493" s="2" t="s">
        <v>18</v>
      </c>
      <c r="D4493" s="2" t="s">
        <v>127</v>
      </c>
      <c r="E4493" s="2" t="s">
        <v>250</v>
      </c>
      <c r="F4493" s="2">
        <v>199.0</v>
      </c>
      <c r="G4493" s="2">
        <v>317.0</v>
      </c>
      <c r="H4493" s="2">
        <v>201.0</v>
      </c>
      <c r="I4493" s="2">
        <v>108.0</v>
      </c>
      <c r="J4493" s="2">
        <v>8.0</v>
      </c>
      <c r="K4493" s="2">
        <v>0.0</v>
      </c>
      <c r="L4493" s="2">
        <v>0.0</v>
      </c>
      <c r="M4493" s="2">
        <v>-2.0</v>
      </c>
      <c r="N4493" s="2"/>
      <c r="O4493" s="2"/>
      <c r="P4493" s="2" t="s">
        <v>80</v>
      </c>
    </row>
    <row r="4494">
      <c r="A4494" s="3" t="s">
        <v>70</v>
      </c>
      <c r="B4494" s="2" t="s">
        <v>17</v>
      </c>
      <c r="C4494" s="2" t="s">
        <v>18</v>
      </c>
      <c r="D4494" s="2" t="s">
        <v>33</v>
      </c>
      <c r="E4494" s="2" t="s">
        <v>250</v>
      </c>
      <c r="F4494" s="2">
        <v>100.0</v>
      </c>
      <c r="G4494" s="2">
        <v>20.0</v>
      </c>
      <c r="H4494" s="2">
        <v>11.0</v>
      </c>
      <c r="I4494" s="2">
        <v>4.0</v>
      </c>
      <c r="J4494" s="2">
        <v>5.0</v>
      </c>
      <c r="K4494" s="2">
        <v>0.0</v>
      </c>
      <c r="L4494" s="2">
        <v>0.0</v>
      </c>
      <c r="M4494" s="2">
        <v>89.0</v>
      </c>
      <c r="N4494" s="2"/>
      <c r="O4494" s="2"/>
      <c r="P4494" s="2" t="s">
        <v>80</v>
      </c>
    </row>
    <row r="4495">
      <c r="A4495" s="3" t="s">
        <v>16</v>
      </c>
      <c r="B4495" s="2" t="s">
        <v>17</v>
      </c>
      <c r="C4495" s="2" t="s">
        <v>18</v>
      </c>
      <c r="D4495" s="2" t="s">
        <v>23</v>
      </c>
      <c r="E4495" s="2" t="s">
        <v>250</v>
      </c>
      <c r="F4495" s="2">
        <v>210.0</v>
      </c>
      <c r="G4495" s="2">
        <v>337.0</v>
      </c>
      <c r="H4495" s="2">
        <v>212.0</v>
      </c>
      <c r="I4495" s="2">
        <v>112.0</v>
      </c>
      <c r="J4495" s="2">
        <v>13.0</v>
      </c>
      <c r="K4495" s="2">
        <v>0.0</v>
      </c>
      <c r="L4495" s="2">
        <v>0.0</v>
      </c>
      <c r="M4495" s="2">
        <v>-2.0</v>
      </c>
      <c r="N4495" s="2">
        <v>-89.0</v>
      </c>
      <c r="O4495" s="2">
        <v>-214.0</v>
      </c>
      <c r="P4495" s="2" t="s">
        <v>80</v>
      </c>
    </row>
    <row r="4496">
      <c r="A4496" s="3" t="s">
        <v>71</v>
      </c>
      <c r="B4496" s="4">
        <v>45048.29166666667</v>
      </c>
      <c r="C4496" s="2" t="s">
        <v>18</v>
      </c>
      <c r="D4496" s="2" t="s">
        <v>33</v>
      </c>
      <c r="E4496" s="2" t="s">
        <v>250</v>
      </c>
      <c r="F4496" s="2"/>
      <c r="G4496" s="2">
        <v>1.0</v>
      </c>
      <c r="H4496" s="2">
        <v>0.0</v>
      </c>
      <c r="I4496" s="2">
        <v>0.0</v>
      </c>
      <c r="J4496" s="2">
        <v>1.0</v>
      </c>
      <c r="K4496" s="2">
        <v>0.0</v>
      </c>
      <c r="L4496" s="2">
        <v>0.0</v>
      </c>
      <c r="M4496" s="2"/>
      <c r="N4496" s="2"/>
      <c r="O4496" s="2"/>
      <c r="P4496" s="2" t="s">
        <v>80</v>
      </c>
    </row>
    <row r="4497">
      <c r="A4497" s="3" t="s">
        <v>72</v>
      </c>
      <c r="B4497" s="4">
        <v>45079.29166666667</v>
      </c>
      <c r="C4497" s="2" t="s">
        <v>18</v>
      </c>
      <c r="D4497" s="2" t="s">
        <v>33</v>
      </c>
      <c r="E4497" s="2" t="s">
        <v>250</v>
      </c>
      <c r="F4497" s="2"/>
      <c r="G4497" s="2">
        <v>19.0</v>
      </c>
      <c r="H4497" s="2">
        <v>11.0</v>
      </c>
      <c r="I4497" s="2">
        <v>4.0</v>
      </c>
      <c r="J4497" s="2">
        <v>4.0</v>
      </c>
      <c r="K4497" s="2">
        <v>0.0</v>
      </c>
      <c r="L4497" s="2">
        <v>0.0</v>
      </c>
      <c r="M4497" s="2"/>
      <c r="N4497" s="2"/>
      <c r="O4497" s="2"/>
      <c r="P4497" s="2" t="s">
        <v>80</v>
      </c>
    </row>
    <row r="4498">
      <c r="A4498" s="3" t="s">
        <v>73</v>
      </c>
      <c r="B4498" s="4">
        <v>45080.29166666667</v>
      </c>
      <c r="C4498" s="2" t="s">
        <v>18</v>
      </c>
      <c r="D4498" s="2" t="s">
        <v>127</v>
      </c>
      <c r="E4498" s="2" t="s">
        <v>250</v>
      </c>
      <c r="F4498" s="2"/>
      <c r="G4498" s="2">
        <v>295.0</v>
      </c>
      <c r="H4498" s="2">
        <v>182.0</v>
      </c>
      <c r="I4498" s="2">
        <v>105.0</v>
      </c>
      <c r="J4498" s="2">
        <v>8.0</v>
      </c>
      <c r="K4498" s="2">
        <v>0.0</v>
      </c>
      <c r="L4498" s="2">
        <v>0.0</v>
      </c>
      <c r="M4498" s="2"/>
      <c r="N4498" s="2"/>
      <c r="O4498" s="2"/>
      <c r="P4498" s="2" t="s">
        <v>80</v>
      </c>
    </row>
    <row r="4499">
      <c r="A4499" s="3" t="s">
        <v>74</v>
      </c>
      <c r="B4499" s="4">
        <v>45111.29166666667</v>
      </c>
      <c r="C4499" s="2" t="s">
        <v>18</v>
      </c>
      <c r="D4499" s="2" t="s">
        <v>127</v>
      </c>
      <c r="E4499" s="2" t="s">
        <v>250</v>
      </c>
      <c r="F4499" s="2"/>
      <c r="G4499" s="2">
        <v>22.0</v>
      </c>
      <c r="H4499" s="2">
        <v>19.0</v>
      </c>
      <c r="I4499" s="2">
        <v>3.0</v>
      </c>
      <c r="J4499" s="2">
        <v>0.0</v>
      </c>
      <c r="K4499" s="2">
        <v>0.0</v>
      </c>
      <c r="L4499" s="2">
        <v>0.0</v>
      </c>
      <c r="M4499" s="2"/>
      <c r="N4499" s="2"/>
      <c r="O4499" s="2"/>
      <c r="P4499" s="2" t="s">
        <v>80</v>
      </c>
    </row>
    <row r="4500">
      <c r="A4500" s="3" t="s">
        <v>75</v>
      </c>
      <c r="B4500" s="2" t="s">
        <v>17</v>
      </c>
      <c r="C4500" s="2" t="s">
        <v>18</v>
      </c>
      <c r="D4500" s="2" t="s">
        <v>19</v>
      </c>
      <c r="E4500" s="2" t="s">
        <v>250</v>
      </c>
      <c r="F4500" s="2">
        <v>9.0</v>
      </c>
      <c r="G4500" s="2">
        <v>14.0</v>
      </c>
      <c r="H4500" s="2">
        <v>9.0</v>
      </c>
      <c r="I4500" s="2">
        <v>5.0</v>
      </c>
      <c r="J4500" s="2">
        <v>0.0</v>
      </c>
      <c r="K4500" s="2">
        <v>0.0</v>
      </c>
      <c r="L4500" s="2">
        <v>0.0</v>
      </c>
      <c r="M4500" s="2">
        <v>0.0</v>
      </c>
      <c r="N4500" s="2"/>
      <c r="O4500" s="2"/>
      <c r="P4500" s="2" t="s">
        <v>111</v>
      </c>
    </row>
    <row r="4501">
      <c r="A4501" s="3" t="s">
        <v>76</v>
      </c>
      <c r="B4501" s="2" t="s">
        <v>17</v>
      </c>
      <c r="C4501" s="2" t="s">
        <v>18</v>
      </c>
      <c r="D4501" s="2" t="s">
        <v>23</v>
      </c>
      <c r="E4501" s="2" t="s">
        <v>250</v>
      </c>
      <c r="F4501" s="2">
        <v>9.0</v>
      </c>
      <c r="G4501" s="2">
        <v>14.0</v>
      </c>
      <c r="H4501" s="2">
        <v>9.0</v>
      </c>
      <c r="I4501" s="2">
        <v>5.0</v>
      </c>
      <c r="J4501" s="2">
        <v>0.0</v>
      </c>
      <c r="K4501" s="2">
        <v>0.0</v>
      </c>
      <c r="L4501" s="2">
        <v>0.0</v>
      </c>
      <c r="M4501" s="2">
        <v>0.0</v>
      </c>
      <c r="N4501" s="2">
        <v>0.0</v>
      </c>
      <c r="O4501" s="2">
        <v>-9.0</v>
      </c>
      <c r="P4501" s="2" t="s">
        <v>111</v>
      </c>
    </row>
    <row r="4502">
      <c r="A4502" s="3" t="s">
        <v>77</v>
      </c>
      <c r="B4502" s="4">
        <v>45079.29166666667</v>
      </c>
      <c r="C4502" s="2" t="s">
        <v>18</v>
      </c>
      <c r="D4502" s="2" t="s">
        <v>19</v>
      </c>
      <c r="E4502" s="2" t="s">
        <v>250</v>
      </c>
      <c r="F4502" s="2"/>
      <c r="G4502" s="2">
        <v>11.0</v>
      </c>
      <c r="H4502" s="2">
        <v>7.0</v>
      </c>
      <c r="I4502" s="2">
        <v>4.0</v>
      </c>
      <c r="J4502" s="2">
        <v>0.0</v>
      </c>
      <c r="K4502" s="2">
        <v>0.0</v>
      </c>
      <c r="L4502" s="2">
        <v>0.0</v>
      </c>
      <c r="M4502" s="2"/>
      <c r="N4502" s="2"/>
      <c r="O4502" s="2"/>
      <c r="P4502" s="2" t="s">
        <v>111</v>
      </c>
    </row>
    <row r="4503">
      <c r="A4503" s="3" t="s">
        <v>78</v>
      </c>
      <c r="B4503" s="4">
        <v>45111.29166666667</v>
      </c>
      <c r="C4503" s="2" t="s">
        <v>18</v>
      </c>
      <c r="D4503" s="2" t="s">
        <v>19</v>
      </c>
      <c r="E4503" s="2" t="s">
        <v>250</v>
      </c>
      <c r="F4503" s="2"/>
      <c r="G4503" s="2">
        <v>3.0</v>
      </c>
      <c r="H4503" s="2">
        <v>2.0</v>
      </c>
      <c r="I4503" s="2">
        <v>1.0</v>
      </c>
      <c r="J4503" s="2">
        <v>0.0</v>
      </c>
      <c r="K4503" s="2">
        <v>0.0</v>
      </c>
      <c r="L4503" s="2">
        <v>0.0</v>
      </c>
      <c r="M4503" s="2"/>
      <c r="N4503" s="2"/>
      <c r="O4503" s="2"/>
      <c r="P4503" s="2" t="s">
        <v>111</v>
      </c>
    </row>
    <row r="4504">
      <c r="A4504" s="3" t="s">
        <v>81</v>
      </c>
      <c r="B4504" s="2" t="s">
        <v>17</v>
      </c>
      <c r="C4504" s="2" t="s">
        <v>57</v>
      </c>
      <c r="D4504" s="2" t="s">
        <v>19</v>
      </c>
      <c r="E4504" s="2" t="s">
        <v>96</v>
      </c>
      <c r="F4504" s="2">
        <v>10.0</v>
      </c>
      <c r="G4504" s="2">
        <v>15.0</v>
      </c>
      <c r="H4504" s="2">
        <v>10.0</v>
      </c>
      <c r="I4504" s="2">
        <v>5.0</v>
      </c>
      <c r="J4504" s="2">
        <v>0.0</v>
      </c>
      <c r="K4504" s="2">
        <v>0.0</v>
      </c>
      <c r="L4504" s="2">
        <v>0.0</v>
      </c>
      <c r="M4504" s="2">
        <v>0.0</v>
      </c>
      <c r="N4504" s="2"/>
      <c r="O4504" s="2"/>
      <c r="P4504" s="2" t="s">
        <v>153</v>
      </c>
    </row>
    <row r="4505">
      <c r="A4505" s="3" t="s">
        <v>82</v>
      </c>
      <c r="B4505" s="2" t="s">
        <v>17</v>
      </c>
      <c r="C4505" s="2" t="s">
        <v>18</v>
      </c>
      <c r="D4505" s="2" t="s">
        <v>91</v>
      </c>
      <c r="E4505" s="2" t="s">
        <v>96</v>
      </c>
      <c r="F4505" s="2">
        <v>11.0</v>
      </c>
      <c r="G4505" s="2">
        <v>14.0</v>
      </c>
      <c r="H4505" s="2">
        <v>11.0</v>
      </c>
      <c r="I4505" s="2">
        <v>2.0</v>
      </c>
      <c r="J4505" s="2">
        <v>1.0</v>
      </c>
      <c r="K4505" s="2">
        <v>0.0</v>
      </c>
      <c r="L4505" s="2">
        <v>0.0</v>
      </c>
      <c r="M4505" s="2">
        <v>0.0</v>
      </c>
      <c r="N4505" s="2"/>
      <c r="O4505" s="2"/>
      <c r="P4505" s="2" t="s">
        <v>153</v>
      </c>
    </row>
    <row r="4506">
      <c r="A4506" s="3" t="s">
        <v>83</v>
      </c>
      <c r="B4506" s="2" t="s">
        <v>17</v>
      </c>
      <c r="C4506" s="2" t="s">
        <v>18</v>
      </c>
      <c r="D4506" s="2" t="s">
        <v>23</v>
      </c>
      <c r="E4506" s="2" t="s">
        <v>96</v>
      </c>
      <c r="F4506" s="2">
        <v>21.0</v>
      </c>
      <c r="G4506" s="2">
        <v>29.0</v>
      </c>
      <c r="H4506" s="2">
        <v>21.0</v>
      </c>
      <c r="I4506" s="2">
        <v>7.0</v>
      </c>
      <c r="J4506" s="2">
        <v>1.0</v>
      </c>
      <c r="K4506" s="2">
        <v>0.0</v>
      </c>
      <c r="L4506" s="2">
        <v>0.0</v>
      </c>
      <c r="M4506" s="2">
        <v>0.0</v>
      </c>
      <c r="N4506" s="2">
        <v>0.0</v>
      </c>
      <c r="O4506" s="2">
        <v>-21.0</v>
      </c>
      <c r="P4506" s="2" t="s">
        <v>153</v>
      </c>
    </row>
    <row r="4507">
      <c r="A4507" s="3" t="s">
        <v>84</v>
      </c>
      <c r="B4507" s="4">
        <v>45079.29166666667</v>
      </c>
      <c r="C4507" s="2" t="s">
        <v>18</v>
      </c>
      <c r="D4507" s="2" t="s">
        <v>19</v>
      </c>
      <c r="E4507" s="2" t="s">
        <v>96</v>
      </c>
      <c r="F4507" s="2"/>
      <c r="G4507" s="2">
        <v>12.0</v>
      </c>
      <c r="H4507" s="2">
        <v>9.0</v>
      </c>
      <c r="I4507" s="2">
        <v>3.0</v>
      </c>
      <c r="J4507" s="2">
        <v>0.0</v>
      </c>
      <c r="K4507" s="2">
        <v>0.0</v>
      </c>
      <c r="L4507" s="2">
        <v>0.0</v>
      </c>
      <c r="M4507" s="2"/>
      <c r="N4507" s="2"/>
      <c r="O4507" s="2"/>
      <c r="P4507" s="2" t="s">
        <v>153</v>
      </c>
    </row>
    <row r="4508">
      <c r="A4508" s="3" t="s">
        <v>85</v>
      </c>
      <c r="B4508" s="4">
        <v>45080.29166666667</v>
      </c>
      <c r="C4508" s="2" t="s">
        <v>18</v>
      </c>
      <c r="D4508" s="2" t="s">
        <v>91</v>
      </c>
      <c r="E4508" s="2" t="s">
        <v>96</v>
      </c>
      <c r="F4508" s="2"/>
      <c r="G4508" s="2">
        <v>11.0</v>
      </c>
      <c r="H4508" s="2">
        <v>9.0</v>
      </c>
      <c r="I4508" s="2">
        <v>1.0</v>
      </c>
      <c r="J4508" s="2">
        <v>1.0</v>
      </c>
      <c r="K4508" s="2">
        <v>0.0</v>
      </c>
      <c r="L4508" s="2">
        <v>0.0</v>
      </c>
      <c r="M4508" s="2"/>
      <c r="N4508" s="2"/>
      <c r="O4508" s="2"/>
      <c r="P4508" s="2" t="s">
        <v>153</v>
      </c>
    </row>
    <row r="4509">
      <c r="A4509" s="3" t="s">
        <v>86</v>
      </c>
      <c r="B4509" s="4">
        <v>45108.29166666667</v>
      </c>
      <c r="C4509" s="2" t="s">
        <v>18</v>
      </c>
      <c r="D4509" s="2" t="s">
        <v>19</v>
      </c>
      <c r="E4509" s="2" t="s">
        <v>96</v>
      </c>
      <c r="F4509" s="2"/>
      <c r="G4509" s="2">
        <v>3.0</v>
      </c>
      <c r="H4509" s="2">
        <v>1.0</v>
      </c>
      <c r="I4509" s="2">
        <v>2.0</v>
      </c>
      <c r="J4509" s="2">
        <v>0.0</v>
      </c>
      <c r="K4509" s="2">
        <v>0.0</v>
      </c>
      <c r="L4509" s="2">
        <v>0.0</v>
      </c>
      <c r="M4509" s="2"/>
      <c r="N4509" s="2"/>
      <c r="O4509" s="2"/>
      <c r="P4509" s="2" t="s">
        <v>153</v>
      </c>
    </row>
    <row r="4510">
      <c r="A4510" s="3" t="s">
        <v>87</v>
      </c>
      <c r="B4510" s="4">
        <v>45109.29166666667</v>
      </c>
      <c r="C4510" s="2" t="s">
        <v>18</v>
      </c>
      <c r="D4510" s="2" t="s">
        <v>91</v>
      </c>
      <c r="E4510" s="2" t="s">
        <v>96</v>
      </c>
      <c r="F4510" s="2"/>
      <c r="G4510" s="2">
        <v>3.0</v>
      </c>
      <c r="H4510" s="2">
        <v>2.0</v>
      </c>
      <c r="I4510" s="2">
        <v>1.0</v>
      </c>
      <c r="J4510" s="2">
        <v>0.0</v>
      </c>
      <c r="K4510" s="2">
        <v>0.0</v>
      </c>
      <c r="L4510" s="2">
        <v>0.0</v>
      </c>
      <c r="M4510" s="2"/>
      <c r="N4510" s="2"/>
      <c r="O4510" s="2"/>
      <c r="P4510" s="2" t="s">
        <v>153</v>
      </c>
    </row>
    <row r="4511">
      <c r="A4511" s="3" t="s">
        <v>88</v>
      </c>
      <c r="B4511" s="2" t="s">
        <v>17</v>
      </c>
      <c r="C4511" s="2" t="s">
        <v>18</v>
      </c>
      <c r="D4511" s="2" t="s">
        <v>164</v>
      </c>
      <c r="E4511" s="2" t="s">
        <v>165</v>
      </c>
      <c r="F4511" s="2">
        <v>145.0</v>
      </c>
      <c r="G4511" s="2">
        <v>300.0</v>
      </c>
      <c r="H4511" s="2">
        <v>146.0</v>
      </c>
      <c r="I4511" s="2">
        <v>154.0</v>
      </c>
      <c r="J4511" s="2">
        <v>0.0</v>
      </c>
      <c r="K4511" s="2">
        <v>0.0</v>
      </c>
      <c r="L4511" s="2">
        <v>0.0</v>
      </c>
      <c r="M4511" s="2">
        <v>-1.0</v>
      </c>
      <c r="N4511" s="2"/>
      <c r="O4511" s="2"/>
      <c r="P4511" s="2" t="s">
        <v>166</v>
      </c>
    </row>
    <row r="4512">
      <c r="A4512" s="3" t="s">
        <v>89</v>
      </c>
      <c r="B4512" s="2" t="s">
        <v>17</v>
      </c>
      <c r="C4512" s="2" t="s">
        <v>18</v>
      </c>
      <c r="D4512" s="2" t="s">
        <v>23</v>
      </c>
      <c r="E4512" s="2" t="s">
        <v>165</v>
      </c>
      <c r="F4512" s="2">
        <v>145.0</v>
      </c>
      <c r="G4512" s="2">
        <v>300.0</v>
      </c>
      <c r="H4512" s="2">
        <v>146.0</v>
      </c>
      <c r="I4512" s="2">
        <v>154.0</v>
      </c>
      <c r="J4512" s="2">
        <v>0.0</v>
      </c>
      <c r="K4512" s="2">
        <v>0.0</v>
      </c>
      <c r="L4512" s="2">
        <v>0.0</v>
      </c>
      <c r="M4512" s="2">
        <v>-1.0</v>
      </c>
      <c r="N4512" s="2">
        <v>-145.0</v>
      </c>
      <c r="O4512" s="2">
        <v>-147.0</v>
      </c>
      <c r="P4512" s="2" t="s">
        <v>166</v>
      </c>
    </row>
    <row r="4513">
      <c r="A4513" s="3" t="s">
        <v>90</v>
      </c>
      <c r="B4513" s="4">
        <v>45048.29166666667</v>
      </c>
      <c r="C4513" s="2" t="s">
        <v>18</v>
      </c>
      <c r="D4513" s="2" t="s">
        <v>164</v>
      </c>
      <c r="E4513" s="2" t="s">
        <v>165</v>
      </c>
      <c r="F4513" s="2">
        <v>33.0</v>
      </c>
      <c r="G4513" s="2">
        <v>62.0</v>
      </c>
      <c r="H4513" s="2">
        <v>33.0</v>
      </c>
      <c r="I4513" s="2">
        <v>29.0</v>
      </c>
      <c r="J4513" s="2">
        <v>0.0</v>
      </c>
      <c r="K4513" s="2">
        <v>0.0</v>
      </c>
      <c r="L4513" s="2">
        <v>0.0</v>
      </c>
      <c r="M4513" s="2"/>
      <c r="N4513" s="2"/>
      <c r="O4513" s="2"/>
      <c r="P4513" s="2" t="s">
        <v>166</v>
      </c>
    </row>
    <row r="4514">
      <c r="A4514" s="3" t="s">
        <v>93</v>
      </c>
      <c r="B4514" s="4">
        <v>45078.29166666667</v>
      </c>
      <c r="C4514" s="2" t="s">
        <v>18</v>
      </c>
      <c r="D4514" s="2" t="s">
        <v>164</v>
      </c>
      <c r="E4514" s="2" t="s">
        <v>165</v>
      </c>
      <c r="F4514" s="2">
        <v>67.0</v>
      </c>
      <c r="G4514" s="2">
        <v>186.0</v>
      </c>
      <c r="H4514" s="2">
        <v>87.0</v>
      </c>
      <c r="I4514" s="2">
        <v>99.0</v>
      </c>
      <c r="J4514" s="2">
        <v>0.0</v>
      </c>
      <c r="K4514" s="2">
        <v>0.0</v>
      </c>
      <c r="L4514" s="2">
        <v>0.0</v>
      </c>
      <c r="M4514" s="2"/>
      <c r="N4514" s="2"/>
      <c r="O4514" s="2"/>
      <c r="P4514" s="2" t="s">
        <v>166</v>
      </c>
    </row>
    <row r="4515">
      <c r="A4515" s="3" t="s">
        <v>16</v>
      </c>
      <c r="B4515" s="4">
        <v>45108.29166666667</v>
      </c>
      <c r="C4515" s="2" t="s">
        <v>18</v>
      </c>
      <c r="D4515" s="2" t="s">
        <v>164</v>
      </c>
      <c r="E4515" s="2" t="s">
        <v>165</v>
      </c>
      <c r="F4515" s="2">
        <v>45.0</v>
      </c>
      <c r="G4515" s="2">
        <v>52.0</v>
      </c>
      <c r="H4515" s="2">
        <v>26.0</v>
      </c>
      <c r="I4515" s="2">
        <v>26.0</v>
      </c>
      <c r="J4515" s="2">
        <v>0.0</v>
      </c>
      <c r="K4515" s="2">
        <v>0.0</v>
      </c>
      <c r="L4515" s="2">
        <v>0.0</v>
      </c>
      <c r="M4515" s="2"/>
      <c r="N4515" s="2"/>
      <c r="O4515" s="2"/>
      <c r="P4515" s="2" t="s">
        <v>166</v>
      </c>
    </row>
    <row r="4516">
      <c r="A4516" s="3" t="s">
        <v>94</v>
      </c>
      <c r="B4516" s="2" t="s">
        <v>17</v>
      </c>
      <c r="C4516" s="2" t="s">
        <v>18</v>
      </c>
      <c r="D4516" s="2" t="s">
        <v>79</v>
      </c>
      <c r="E4516" s="2" t="s">
        <v>165</v>
      </c>
      <c r="F4516" s="2">
        <v>31.0</v>
      </c>
      <c r="G4516" s="2">
        <v>35.0</v>
      </c>
      <c r="H4516" s="2">
        <v>33.0</v>
      </c>
      <c r="I4516" s="2">
        <v>2.0</v>
      </c>
      <c r="J4516" s="2">
        <v>0.0</v>
      </c>
      <c r="K4516" s="2">
        <v>0.0</v>
      </c>
      <c r="L4516" s="2">
        <v>0.0</v>
      </c>
      <c r="M4516" s="2">
        <v>-2.0</v>
      </c>
      <c r="N4516" s="2"/>
      <c r="O4516" s="2"/>
      <c r="P4516" s="2" t="s">
        <v>166</v>
      </c>
    </row>
    <row r="4517">
      <c r="A4517" s="1"/>
    </row>
    <row r="4518">
      <c r="A4518" s="1"/>
      <c r="B4518" s="4"/>
    </row>
    <row r="4519">
      <c r="A4519" s="1"/>
    </row>
    <row r="4520">
      <c r="A4520" s="1"/>
    </row>
    <row r="4521">
      <c r="A4521" s="1"/>
    </row>
    <row r="4522">
      <c r="A4522" s="1"/>
    </row>
    <row r="4523">
      <c r="A4523" s="1"/>
    </row>
    <row r="4524">
      <c r="A4524" s="1"/>
      <c r="B4524" s="4"/>
    </row>
    <row r="4525">
      <c r="A4525" s="1"/>
      <c r="B4525" s="4"/>
    </row>
    <row r="4526">
      <c r="A4526" s="1"/>
      <c r="B4526" s="4"/>
    </row>
    <row r="4527">
      <c r="A4527" s="1"/>
    </row>
    <row r="4528">
      <c r="A4528" s="1"/>
    </row>
    <row r="4529">
      <c r="A4529" s="1"/>
    </row>
    <row r="4530">
      <c r="A4530" s="1"/>
      <c r="B4530" s="4"/>
    </row>
    <row r="4531">
      <c r="A4531" s="1"/>
      <c r="B4531" s="4"/>
    </row>
    <row r="4532">
      <c r="A4532" s="1"/>
      <c r="B4532" s="4"/>
    </row>
    <row r="4533">
      <c r="A4533" s="1"/>
      <c r="B4533" s="4"/>
    </row>
    <row r="4534">
      <c r="A4534" s="1"/>
    </row>
    <row r="4535">
      <c r="A4535" s="1"/>
    </row>
    <row r="4536">
      <c r="A4536" s="1"/>
    </row>
    <row r="4537">
      <c r="A4537" s="1"/>
    </row>
    <row r="4538">
      <c r="A4538" s="1"/>
    </row>
    <row r="4539">
      <c r="A4539" s="1"/>
      <c r="B4539" s="4"/>
    </row>
    <row r="4540">
      <c r="A4540" s="1"/>
      <c r="B4540" s="4"/>
    </row>
    <row r="4541">
      <c r="A4541" s="1"/>
      <c r="B4541" s="4"/>
    </row>
    <row r="4542">
      <c r="A4542" s="1"/>
      <c r="B4542" s="4"/>
    </row>
    <row r="4543">
      <c r="A4543" s="1"/>
      <c r="B4543" s="4"/>
    </row>
    <row r="4544">
      <c r="A4544" s="1"/>
      <c r="B4544" s="4"/>
    </row>
    <row r="4545">
      <c r="A4545" s="1"/>
      <c r="B4545" s="4"/>
    </row>
    <row r="4546">
      <c r="A4546" s="1"/>
      <c r="B4546" s="4"/>
    </row>
    <row r="4547">
      <c r="A4547" s="1"/>
      <c r="B4547" s="4"/>
    </row>
    <row r="4548">
      <c r="A4548" s="1"/>
      <c r="B4548" s="4"/>
    </row>
    <row r="4549">
      <c r="A4549" s="1"/>
      <c r="B4549" s="4"/>
    </row>
    <row r="4550">
      <c r="A4550" s="1"/>
      <c r="B4550" s="4"/>
    </row>
    <row r="4551">
      <c r="A4551" s="1"/>
      <c r="B4551" s="4"/>
    </row>
    <row r="4552">
      <c r="A4552" s="1"/>
      <c r="B4552" s="4"/>
    </row>
    <row r="4553">
      <c r="A4553" s="1"/>
      <c r="B4553" s="4"/>
    </row>
    <row r="4554">
      <c r="A4554" s="1"/>
      <c r="B4554" s="4"/>
    </row>
    <row r="4555">
      <c r="A4555" s="1"/>
      <c r="B4555" s="4"/>
    </row>
    <row r="4556">
      <c r="A4556" s="1"/>
      <c r="B4556" s="4"/>
    </row>
    <row r="4557">
      <c r="A4557" s="1"/>
      <c r="B4557" s="4"/>
    </row>
    <row r="4558">
      <c r="A4558" s="1"/>
    </row>
    <row r="4559">
      <c r="A4559" s="1"/>
    </row>
    <row r="4560">
      <c r="A4560" s="1"/>
    </row>
    <row r="4561">
      <c r="A4561" s="1"/>
      <c r="B4561" s="4"/>
    </row>
    <row r="4562">
      <c r="A4562" s="1"/>
      <c r="B4562" s="4"/>
    </row>
    <row r="4563">
      <c r="A4563" s="1"/>
      <c r="B4563" s="4"/>
    </row>
    <row r="4564">
      <c r="A4564" s="1"/>
    </row>
    <row r="4565">
      <c r="A4565" s="1"/>
    </row>
    <row r="4566">
      <c r="A4566" s="1"/>
    </row>
    <row r="4567">
      <c r="A4567" s="1"/>
    </row>
    <row r="4568">
      <c r="A4568" s="1"/>
    </row>
    <row r="4569">
      <c r="A4569" s="1"/>
    </row>
    <row r="4570">
      <c r="A4570" s="1"/>
      <c r="B4570" s="4"/>
    </row>
    <row r="4571">
      <c r="A4571" s="1"/>
      <c r="B4571" s="4"/>
    </row>
    <row r="4572">
      <c r="A4572" s="1"/>
      <c r="B4572" s="4"/>
    </row>
    <row r="4573">
      <c r="A4573" s="1"/>
      <c r="B4573" s="4"/>
    </row>
    <row r="4574">
      <c r="A4574" s="1"/>
      <c r="B4574" s="4"/>
    </row>
    <row r="4575">
      <c r="A4575" s="1"/>
      <c r="B4575" s="4"/>
    </row>
    <row r="4576">
      <c r="A4576" s="1"/>
    </row>
    <row r="4577">
      <c r="A4577" s="1"/>
    </row>
    <row r="4578">
      <c r="A4578" s="1"/>
    </row>
    <row r="4579">
      <c r="A4579" s="1"/>
      <c r="B4579" s="4"/>
    </row>
    <row r="4580">
      <c r="A4580" s="1"/>
      <c r="B4580" s="4"/>
    </row>
    <row r="4581">
      <c r="A4581" s="1"/>
      <c r="B4581" s="4"/>
    </row>
    <row r="4582">
      <c r="A4582" s="1"/>
      <c r="B4582" s="4"/>
    </row>
    <row r="4583">
      <c r="A4583" s="1"/>
    </row>
    <row r="4584">
      <c r="A4584" s="1"/>
    </row>
    <row r="4585">
      <c r="A4585" s="1"/>
    </row>
    <row r="4586">
      <c r="A4586" s="1"/>
    </row>
    <row r="4587">
      <c r="A4587" s="1"/>
    </row>
    <row r="4588">
      <c r="A4588" s="1"/>
    </row>
    <row r="4589">
      <c r="A4589" s="1"/>
    </row>
    <row r="4590">
      <c r="A4590" s="1"/>
    </row>
    <row r="4591">
      <c r="A4591" s="1"/>
    </row>
    <row r="4592">
      <c r="A4592" s="1"/>
    </row>
    <row r="4593">
      <c r="A4593" s="1"/>
    </row>
    <row r="4594">
      <c r="A4594" s="1"/>
      <c r="B4594" s="4"/>
    </row>
    <row r="4595">
      <c r="A4595" s="1"/>
      <c r="B4595" s="4"/>
    </row>
    <row r="4596">
      <c r="A4596" s="1"/>
      <c r="B4596" s="4"/>
    </row>
    <row r="4597">
      <c r="A4597" s="1"/>
      <c r="B4597" s="4"/>
    </row>
    <row r="4598">
      <c r="A4598" s="1"/>
      <c r="B4598" s="4"/>
    </row>
    <row r="4599">
      <c r="A4599" s="1"/>
      <c r="B4599" s="4"/>
    </row>
    <row r="4600">
      <c r="A4600" s="1"/>
      <c r="B4600" s="4"/>
    </row>
    <row r="4601">
      <c r="A4601" s="1"/>
      <c r="B4601" s="4"/>
    </row>
    <row r="4602">
      <c r="A4602" s="1"/>
      <c r="B4602" s="4"/>
    </row>
    <row r="4603">
      <c r="A4603" s="1"/>
      <c r="B4603" s="4"/>
    </row>
    <row r="4604">
      <c r="A4604" s="1"/>
      <c r="B4604" s="4"/>
    </row>
    <row r="4605">
      <c r="A4605" s="1"/>
    </row>
    <row r="4606">
      <c r="A4606" s="1"/>
    </row>
    <row r="4607">
      <c r="A4607" s="1"/>
    </row>
    <row r="4608">
      <c r="A4608" s="1"/>
    </row>
    <row r="4609">
      <c r="A4609" s="1"/>
    </row>
    <row r="4610">
      <c r="A4610" s="1"/>
    </row>
    <row r="4611">
      <c r="A4611" s="1"/>
    </row>
    <row r="4612">
      <c r="A4612" s="1"/>
    </row>
    <row r="4613">
      <c r="A4613" s="1"/>
      <c r="B4613" s="4"/>
    </row>
    <row r="4614">
      <c r="A4614" s="1"/>
      <c r="B4614" s="4"/>
    </row>
    <row r="4615">
      <c r="A4615" s="1"/>
      <c r="B4615" s="4"/>
    </row>
    <row r="4616">
      <c r="A4616" s="1"/>
      <c r="B4616" s="4"/>
    </row>
    <row r="4617">
      <c r="A4617" s="1"/>
    </row>
    <row r="4618">
      <c r="A4618" s="1"/>
    </row>
    <row r="4619">
      <c r="A4619" s="1"/>
      <c r="B4619" s="4"/>
    </row>
    <row r="4620">
      <c r="A4620" s="1"/>
      <c r="B4620" s="4"/>
    </row>
    <row r="4621">
      <c r="A4621" s="1"/>
    </row>
    <row r="4622">
      <c r="A4622" s="1"/>
    </row>
    <row r="4623">
      <c r="A4623" s="1"/>
      <c r="B4623" s="4"/>
    </row>
    <row r="4624">
      <c r="A4624" s="1"/>
      <c r="B4624" s="4"/>
    </row>
    <row r="4625">
      <c r="A4625" s="1"/>
    </row>
    <row r="4626">
      <c r="A4626" s="1"/>
    </row>
    <row r="4627">
      <c r="A4627" s="1"/>
      <c r="B4627" s="4"/>
    </row>
    <row r="4628">
      <c r="A4628" s="1"/>
      <c r="B4628" s="4"/>
    </row>
    <row r="4629">
      <c r="A4629" s="1"/>
    </row>
    <row r="4630">
      <c r="A4630" s="1"/>
    </row>
    <row r="4631">
      <c r="A4631" s="1"/>
      <c r="B4631" s="4"/>
    </row>
    <row r="4632">
      <c r="A4632" s="1"/>
      <c r="B4632" s="4"/>
    </row>
    <row r="4633">
      <c r="A4633" s="1"/>
    </row>
    <row r="4634">
      <c r="A4634" s="1"/>
    </row>
    <row r="4635">
      <c r="A4635" s="1"/>
      <c r="B4635" s="4"/>
    </row>
    <row r="4636">
      <c r="A4636" s="1"/>
    </row>
    <row r="4637">
      <c r="A4637" s="1"/>
    </row>
    <row r="4638">
      <c r="A4638" s="1"/>
      <c r="B4638" s="4"/>
    </row>
    <row r="4639">
      <c r="A4639" s="1"/>
      <c r="B4639" s="4"/>
    </row>
    <row r="4640">
      <c r="A4640" s="1"/>
    </row>
    <row r="4641">
      <c r="A4641" s="1"/>
    </row>
    <row r="4642">
      <c r="A4642" s="1"/>
    </row>
    <row r="4643">
      <c r="A4643" s="1"/>
    </row>
    <row r="4644">
      <c r="A4644" s="1"/>
    </row>
    <row r="4645">
      <c r="A4645" s="1"/>
    </row>
    <row r="4646">
      <c r="A4646" s="1"/>
    </row>
    <row r="4647">
      <c r="A4647" s="1"/>
    </row>
    <row r="4648">
      <c r="A4648" s="1"/>
      <c r="B4648" s="4"/>
    </row>
    <row r="4649">
      <c r="A4649" s="1"/>
      <c r="B4649" s="4"/>
    </row>
    <row r="4650">
      <c r="A4650" s="1"/>
      <c r="B4650" s="4"/>
    </row>
    <row r="4651">
      <c r="A4651" s="1"/>
      <c r="B4651" s="4"/>
    </row>
    <row r="4652">
      <c r="A4652" s="1"/>
      <c r="B4652" s="4"/>
    </row>
    <row r="4653">
      <c r="A4653" s="1"/>
      <c r="B4653" s="4"/>
    </row>
    <row r="4654">
      <c r="A4654" s="1"/>
      <c r="B4654" s="4"/>
    </row>
    <row r="4655">
      <c r="A4655" s="1"/>
      <c r="B4655" s="4"/>
    </row>
    <row r="4656">
      <c r="A4656" s="1"/>
      <c r="B4656" s="4"/>
    </row>
    <row r="4657">
      <c r="A4657" s="1"/>
      <c r="B4657" s="4"/>
    </row>
    <row r="4658">
      <c r="A4658" s="1"/>
      <c r="B4658" s="4"/>
    </row>
    <row r="4659">
      <c r="A4659" s="1"/>
      <c r="B4659" s="4"/>
    </row>
    <row r="4660">
      <c r="A4660" s="1"/>
      <c r="B4660" s="4"/>
    </row>
    <row r="4661">
      <c r="A4661" s="1"/>
      <c r="B4661" s="4"/>
    </row>
    <row r="4662">
      <c r="A4662" s="1"/>
    </row>
    <row r="4663">
      <c r="A4663" s="1"/>
    </row>
    <row r="4664">
      <c r="A4664" s="1"/>
    </row>
    <row r="4665">
      <c r="A4665" s="1"/>
      <c r="B4665" s="4"/>
    </row>
    <row r="4666">
      <c r="A4666" s="1"/>
      <c r="B4666" s="4"/>
    </row>
    <row r="4667">
      <c r="A4667" s="1"/>
    </row>
    <row r="4668">
      <c r="A4668" s="1"/>
    </row>
    <row r="4669">
      <c r="A4669" s="1"/>
    </row>
    <row r="4670">
      <c r="A4670" s="1"/>
      <c r="B4670" s="4"/>
    </row>
    <row r="4671">
      <c r="A4671" s="1"/>
      <c r="B4671" s="4"/>
    </row>
    <row r="4672">
      <c r="A4672" s="1"/>
    </row>
    <row r="4673">
      <c r="A4673" s="1"/>
    </row>
    <row r="4674">
      <c r="A4674" s="1"/>
    </row>
    <row r="4675">
      <c r="A4675" s="1"/>
      <c r="B4675" s="4"/>
    </row>
    <row r="4676">
      <c r="A4676" s="1"/>
      <c r="B4676" s="4"/>
    </row>
    <row r="4677">
      <c r="A4677" s="1"/>
      <c r="B4677" s="4"/>
    </row>
    <row r="4678">
      <c r="A4678" s="1"/>
    </row>
    <row r="4679">
      <c r="A4679" s="1"/>
    </row>
    <row r="4680">
      <c r="A4680" s="1"/>
      <c r="B4680" s="4"/>
    </row>
    <row r="4681">
      <c r="A4681" s="1"/>
      <c r="B4681" s="4"/>
    </row>
    <row r="4682">
      <c r="A4682" s="1"/>
    </row>
    <row r="4683">
      <c r="A4683" s="1"/>
    </row>
    <row r="4684">
      <c r="A4684" s="1"/>
    </row>
    <row r="4685">
      <c r="A4685" s="1"/>
    </row>
    <row r="4686">
      <c r="A4686" s="1"/>
      <c r="B4686" s="4"/>
    </row>
    <row r="4687">
      <c r="A4687" s="1"/>
      <c r="B4687" s="4"/>
    </row>
    <row r="4688">
      <c r="A4688" s="1"/>
      <c r="B4688" s="4"/>
    </row>
    <row r="4689">
      <c r="A4689" s="1"/>
      <c r="B4689" s="4"/>
    </row>
    <row r="4690">
      <c r="A4690" s="1"/>
      <c r="B4690" s="4"/>
    </row>
    <row r="4691">
      <c r="A4691" s="1"/>
      <c r="B4691" s="4"/>
    </row>
    <row r="4692">
      <c r="A4692" s="1"/>
    </row>
    <row r="4693">
      <c r="A4693" s="1"/>
    </row>
    <row r="4694">
      <c r="A4694" s="1"/>
    </row>
    <row r="4695">
      <c r="A4695" s="1"/>
      <c r="B4695" s="4"/>
    </row>
    <row r="4696">
      <c r="A4696" s="1"/>
      <c r="B4696" s="4"/>
    </row>
    <row r="4697">
      <c r="A4697" s="1"/>
      <c r="B4697" s="4"/>
    </row>
    <row r="4698">
      <c r="A4698" s="1"/>
      <c r="B4698" s="4"/>
    </row>
    <row r="4699">
      <c r="A4699" s="1"/>
      <c r="B4699" s="4"/>
    </row>
    <row r="4700">
      <c r="A4700" s="1"/>
      <c r="B4700" s="4"/>
    </row>
    <row r="4701">
      <c r="A4701" s="1"/>
      <c r="B4701" s="4"/>
    </row>
    <row r="4702">
      <c r="A4702" s="1"/>
    </row>
    <row r="4703">
      <c r="A4703" s="1"/>
    </row>
    <row r="4704">
      <c r="A4704" s="1"/>
      <c r="B4704" s="4"/>
    </row>
    <row r="4705">
      <c r="A4705" s="1"/>
    </row>
    <row r="4706">
      <c r="A4706" s="1"/>
    </row>
    <row r="4707">
      <c r="A4707" s="1"/>
      <c r="B4707" s="4"/>
    </row>
    <row r="4708">
      <c r="A4708" s="1"/>
    </row>
    <row r="4709">
      <c r="A4709" s="1"/>
    </row>
    <row r="4710">
      <c r="A4710" s="1"/>
      <c r="B4710" s="4"/>
    </row>
    <row r="4711">
      <c r="A4711" s="1"/>
      <c r="B4711" s="4"/>
    </row>
    <row r="4712">
      <c r="A4712" s="1"/>
    </row>
    <row r="4713">
      <c r="A4713" s="1"/>
    </row>
    <row r="4714">
      <c r="A4714" s="1"/>
      <c r="B4714" s="4"/>
    </row>
    <row r="4715">
      <c r="A4715" s="1"/>
      <c r="B4715" s="4"/>
    </row>
    <row r="4716">
      <c r="A4716" s="1"/>
    </row>
    <row r="4717">
      <c r="A4717" s="1"/>
    </row>
    <row r="4718">
      <c r="A4718" s="1"/>
    </row>
    <row r="4719">
      <c r="A4719" s="1"/>
    </row>
    <row r="4720">
      <c r="A4720" s="1"/>
    </row>
    <row r="4721">
      <c r="A4721" s="1"/>
    </row>
    <row r="4722">
      <c r="A4722" s="1"/>
    </row>
    <row r="4723">
      <c r="A4723" s="1"/>
    </row>
    <row r="4724">
      <c r="A4724" s="1"/>
      <c r="B4724" s="4"/>
    </row>
    <row r="4725">
      <c r="A4725" s="1"/>
      <c r="B4725" s="4"/>
    </row>
    <row r="4726">
      <c r="A4726" s="1"/>
      <c r="B4726" s="4"/>
    </row>
    <row r="4727">
      <c r="A4727" s="1"/>
      <c r="B4727" s="4"/>
    </row>
    <row r="4728">
      <c r="A4728" s="1"/>
    </row>
    <row r="4729">
      <c r="A4729" s="1"/>
    </row>
    <row r="4730">
      <c r="A4730" s="1"/>
      <c r="B4730" s="4"/>
    </row>
    <row r="4731">
      <c r="A4731" s="1"/>
    </row>
    <row r="4732">
      <c r="A4732" s="1"/>
    </row>
    <row r="4733">
      <c r="A4733" s="1"/>
      <c r="B4733" s="4"/>
    </row>
    <row r="4734">
      <c r="A4734" s="1"/>
      <c r="B4734" s="4"/>
    </row>
    <row r="4735">
      <c r="A4735" s="1"/>
      <c r="B4735" s="4"/>
    </row>
    <row r="4736">
      <c r="A4736" s="1"/>
      <c r="B4736" s="4"/>
    </row>
    <row r="4737">
      <c r="A4737" s="1"/>
      <c r="B4737" s="4"/>
    </row>
    <row r="4738">
      <c r="A4738" s="1"/>
      <c r="B4738" s="4"/>
    </row>
    <row r="4739">
      <c r="A4739" s="1"/>
      <c r="B4739" s="4"/>
    </row>
    <row r="4740">
      <c r="A4740" s="1"/>
    </row>
    <row r="4741">
      <c r="A4741" s="1"/>
    </row>
    <row r="4742">
      <c r="A4742" s="1"/>
    </row>
    <row r="4743">
      <c r="A4743" s="1"/>
    </row>
    <row r="4744">
      <c r="A4744" s="1"/>
      <c r="B4744" s="4"/>
    </row>
    <row r="4745">
      <c r="A4745" s="1"/>
      <c r="B4745" s="4"/>
    </row>
    <row r="4746">
      <c r="A4746" s="1"/>
      <c r="B4746" s="4"/>
    </row>
    <row r="4747">
      <c r="A4747" s="1"/>
    </row>
    <row r="4748">
      <c r="A4748" s="1"/>
    </row>
    <row r="4749">
      <c r="A4749" s="1"/>
      <c r="B4749" s="4"/>
    </row>
    <row r="4750">
      <c r="A4750" s="1"/>
      <c r="B4750" s="4"/>
    </row>
    <row r="4751">
      <c r="A4751" s="1"/>
    </row>
    <row r="4752">
      <c r="A4752" s="1"/>
    </row>
    <row r="4753">
      <c r="A4753" s="1"/>
      <c r="B4753" s="4"/>
    </row>
    <row r="4754">
      <c r="A4754" s="1"/>
      <c r="B4754" s="4"/>
    </row>
    <row r="4755">
      <c r="A4755" s="1"/>
      <c r="B4755" s="4"/>
    </row>
    <row r="4756">
      <c r="A4756" s="1"/>
    </row>
    <row r="4757">
      <c r="A4757" s="1"/>
    </row>
    <row r="4758">
      <c r="A4758" s="1"/>
    </row>
    <row r="4759">
      <c r="A4759" s="1"/>
    </row>
    <row r="4760">
      <c r="A4760" s="1"/>
      <c r="B4760" s="4"/>
    </row>
    <row r="4761">
      <c r="A4761" s="1"/>
      <c r="B4761" s="4"/>
    </row>
    <row r="4762">
      <c r="A4762" s="1"/>
      <c r="B4762" s="4"/>
    </row>
    <row r="4763">
      <c r="A4763" s="1"/>
    </row>
    <row r="4764">
      <c r="A4764" s="1"/>
    </row>
    <row r="4765">
      <c r="A4765" s="1"/>
    </row>
    <row r="4766">
      <c r="A4766" s="1"/>
      <c r="B4766" s="4"/>
    </row>
    <row r="4767">
      <c r="A4767" s="1"/>
      <c r="B4767" s="4"/>
    </row>
    <row r="4768">
      <c r="A4768" s="1"/>
      <c r="B4768" s="4"/>
    </row>
    <row r="4769">
      <c r="A4769" s="1"/>
    </row>
    <row r="4770">
      <c r="A4770" s="1"/>
    </row>
    <row r="4771">
      <c r="A4771" s="1"/>
    </row>
    <row r="4772">
      <c r="A4772" s="1"/>
    </row>
    <row r="4773">
      <c r="A4773" s="1"/>
      <c r="B4773" s="4"/>
    </row>
    <row r="4774">
      <c r="A4774" s="1"/>
      <c r="B4774" s="4"/>
    </row>
    <row r="4775">
      <c r="A4775" s="1"/>
      <c r="B4775" s="4"/>
    </row>
    <row r="4776">
      <c r="A4776" s="1"/>
      <c r="B4776" s="4"/>
    </row>
    <row r="4777">
      <c r="A4777" s="1"/>
      <c r="B4777" s="4"/>
    </row>
    <row r="4778">
      <c r="A4778" s="1"/>
    </row>
    <row r="4779">
      <c r="A4779" s="1"/>
    </row>
    <row r="4780">
      <c r="A4780" s="1"/>
    </row>
    <row r="4781">
      <c r="A4781" s="1"/>
    </row>
    <row r="4782">
      <c r="A4782" s="1"/>
      <c r="B4782" s="4"/>
    </row>
    <row r="4783">
      <c r="A4783" s="1"/>
      <c r="B4783" s="4"/>
    </row>
    <row r="4784">
      <c r="A4784" s="1"/>
      <c r="B4784" s="4"/>
    </row>
    <row r="4785">
      <c r="A4785" s="1"/>
    </row>
    <row r="4786">
      <c r="A4786" s="1"/>
    </row>
    <row r="4787">
      <c r="A4787" s="1"/>
      <c r="B4787" s="4"/>
    </row>
    <row r="4788">
      <c r="A4788" s="1"/>
    </row>
    <row r="4789">
      <c r="A4789" s="1"/>
    </row>
    <row r="4790">
      <c r="A4790" s="1"/>
    </row>
    <row r="4791">
      <c r="A4791" s="1"/>
      <c r="B4791" s="4"/>
    </row>
    <row r="4792">
      <c r="A4792" s="1"/>
      <c r="B4792" s="4"/>
    </row>
    <row r="4793">
      <c r="A4793" s="1"/>
      <c r="B4793" s="4"/>
    </row>
    <row r="4794">
      <c r="A4794" s="1"/>
      <c r="B4794" s="4"/>
    </row>
    <row r="4795">
      <c r="A4795" s="1"/>
    </row>
    <row r="4796">
      <c r="A4796" s="1"/>
    </row>
    <row r="4797">
      <c r="A4797" s="1"/>
    </row>
    <row r="4798">
      <c r="A4798" s="1"/>
    </row>
    <row r="4799">
      <c r="A4799" s="1"/>
      <c r="B4799" s="4"/>
    </row>
    <row r="4800">
      <c r="A4800" s="1"/>
      <c r="B4800" s="4"/>
    </row>
    <row r="4801">
      <c r="A4801" s="1"/>
      <c r="B4801" s="4"/>
    </row>
    <row r="4802">
      <c r="A4802" s="1"/>
      <c r="B4802" s="4"/>
    </row>
    <row r="4803">
      <c r="A4803" s="1"/>
      <c r="B4803" s="4"/>
    </row>
    <row r="4804">
      <c r="A4804" s="1"/>
    </row>
    <row r="4805">
      <c r="A4805" s="1"/>
    </row>
    <row r="4806">
      <c r="A4806" s="1"/>
      <c r="B4806" s="4"/>
    </row>
    <row r="4807">
      <c r="A4807" s="1"/>
    </row>
    <row r="4808">
      <c r="A4808" s="1"/>
    </row>
    <row r="4809">
      <c r="A4809" s="1"/>
    </row>
    <row r="4810">
      <c r="A4810" s="1"/>
      <c r="B4810" s="4"/>
    </row>
    <row r="4811">
      <c r="A4811" s="1"/>
      <c r="B4811" s="4"/>
    </row>
    <row r="4812">
      <c r="A4812" s="1"/>
    </row>
    <row r="4813">
      <c r="A4813" s="1"/>
    </row>
    <row r="4814">
      <c r="A4814" s="1"/>
    </row>
    <row r="4815">
      <c r="A4815" s="1"/>
    </row>
    <row r="4816">
      <c r="A4816" s="1"/>
    </row>
    <row r="4817">
      <c r="A4817" s="1"/>
    </row>
    <row r="4818">
      <c r="A4818" s="1"/>
    </row>
    <row r="4819">
      <c r="A4819" s="1"/>
    </row>
    <row r="4820">
      <c r="A4820" s="1"/>
    </row>
    <row r="4821">
      <c r="A4821" s="1"/>
    </row>
    <row r="4822">
      <c r="A4822" s="1"/>
    </row>
    <row r="4823">
      <c r="A4823" s="1"/>
    </row>
    <row r="4824">
      <c r="A4824" s="1"/>
    </row>
    <row r="4825">
      <c r="A4825" s="1"/>
    </row>
    <row r="4826">
      <c r="A4826" s="1"/>
    </row>
    <row r="4827">
      <c r="A4827" s="1"/>
    </row>
    <row r="4828">
      <c r="A4828" s="1"/>
    </row>
    <row r="4829">
      <c r="A4829" s="1"/>
    </row>
    <row r="4830">
      <c r="A4830" s="1"/>
    </row>
    <row r="4831">
      <c r="A4831" s="1"/>
    </row>
    <row r="4832">
      <c r="A4832" s="1"/>
    </row>
    <row r="4833">
      <c r="A4833" s="1"/>
      <c r="B4833" s="4"/>
    </row>
    <row r="4834">
      <c r="A4834" s="1"/>
      <c r="B4834" s="4"/>
    </row>
    <row r="4835">
      <c r="A4835" s="1"/>
      <c r="B4835" s="4"/>
    </row>
    <row r="4836">
      <c r="A4836" s="1"/>
      <c r="B4836" s="4"/>
    </row>
    <row r="4837">
      <c r="A4837" s="1"/>
      <c r="B4837" s="4"/>
    </row>
    <row r="4838">
      <c r="A4838" s="1"/>
      <c r="B4838" s="4"/>
    </row>
    <row r="4839">
      <c r="A4839" s="1"/>
      <c r="B4839" s="4"/>
    </row>
    <row r="4840">
      <c r="A4840" s="1"/>
      <c r="B4840" s="4"/>
    </row>
    <row r="4841">
      <c r="A4841" s="1"/>
      <c r="B4841" s="4"/>
    </row>
    <row r="4842">
      <c r="A4842" s="1"/>
      <c r="B4842" s="4"/>
    </row>
    <row r="4843">
      <c r="A4843" s="1"/>
      <c r="B4843" s="4"/>
    </row>
    <row r="4844">
      <c r="A4844" s="1"/>
      <c r="B4844" s="4"/>
    </row>
    <row r="4845">
      <c r="A4845" s="1"/>
      <c r="B4845" s="4"/>
    </row>
    <row r="4846">
      <c r="A4846" s="1"/>
      <c r="B4846" s="4"/>
    </row>
    <row r="4847">
      <c r="A4847" s="1"/>
      <c r="B4847" s="4"/>
    </row>
    <row r="4848">
      <c r="A4848" s="1"/>
      <c r="B4848" s="4"/>
    </row>
    <row r="4849">
      <c r="A4849" s="1"/>
      <c r="B4849" s="4"/>
    </row>
    <row r="4850">
      <c r="A4850" s="1"/>
      <c r="B4850" s="4"/>
    </row>
    <row r="4851">
      <c r="A4851" s="1"/>
      <c r="B4851" s="4"/>
    </row>
    <row r="4852">
      <c r="A4852" s="1"/>
      <c r="B4852" s="4"/>
    </row>
    <row r="4853">
      <c r="A4853" s="1"/>
      <c r="B4853" s="4"/>
    </row>
    <row r="4854">
      <c r="A4854" s="1"/>
      <c r="B4854" s="4"/>
    </row>
    <row r="4855">
      <c r="A4855" s="1"/>
      <c r="B4855" s="4"/>
    </row>
    <row r="4856">
      <c r="A4856" s="1"/>
      <c r="B4856" s="4"/>
    </row>
    <row r="4857">
      <c r="A4857" s="1"/>
      <c r="B4857" s="4"/>
    </row>
    <row r="4858">
      <c r="A4858" s="1"/>
      <c r="B4858" s="4"/>
    </row>
    <row r="4859">
      <c r="A4859" s="1"/>
      <c r="B4859" s="4"/>
    </row>
    <row r="4860">
      <c r="A4860" s="1"/>
      <c r="B4860" s="4"/>
    </row>
    <row r="4861">
      <c r="A4861" s="1"/>
      <c r="B4861" s="4"/>
    </row>
    <row r="4862">
      <c r="A4862" s="1"/>
      <c r="B4862" s="4"/>
    </row>
    <row r="4863">
      <c r="A4863" s="1"/>
      <c r="B4863" s="4"/>
    </row>
    <row r="4864">
      <c r="A4864" s="1"/>
      <c r="B4864" s="4"/>
    </row>
    <row r="4865">
      <c r="A4865" s="1"/>
      <c r="B4865" s="4"/>
    </row>
    <row r="4866">
      <c r="A4866" s="1"/>
      <c r="B4866" s="4"/>
    </row>
    <row r="4867">
      <c r="A4867" s="1"/>
    </row>
    <row r="4868">
      <c r="A4868" s="1"/>
    </row>
    <row r="4869">
      <c r="A4869" s="1"/>
    </row>
    <row r="4870">
      <c r="A4870" s="1"/>
      <c r="B4870" s="4"/>
    </row>
    <row r="4871">
      <c r="A4871" s="1"/>
      <c r="B4871" s="4"/>
    </row>
    <row r="4872">
      <c r="A4872" s="1"/>
    </row>
    <row r="4873">
      <c r="A4873" s="1"/>
    </row>
    <row r="4874">
      <c r="A4874" s="1"/>
      <c r="B4874" s="4"/>
    </row>
    <row r="4875">
      <c r="A4875" s="1"/>
    </row>
    <row r="4876">
      <c r="A4876" s="1"/>
    </row>
    <row r="4877">
      <c r="A4877" s="1"/>
    </row>
    <row r="4878">
      <c r="A4878" s="1"/>
    </row>
    <row r="4879">
      <c r="A4879" s="1"/>
      <c r="B4879" s="4"/>
    </row>
    <row r="4880">
      <c r="A4880" s="1"/>
      <c r="B4880" s="4"/>
    </row>
    <row r="4881">
      <c r="A4881" s="1"/>
      <c r="B4881" s="4"/>
    </row>
    <row r="4882">
      <c r="A4882" s="1"/>
      <c r="B4882" s="4"/>
    </row>
    <row r="4883">
      <c r="A4883" s="1"/>
      <c r="B4883" s="4"/>
    </row>
    <row r="4884">
      <c r="A4884" s="1"/>
      <c r="B4884" s="4"/>
    </row>
    <row r="4885">
      <c r="A4885" s="1"/>
      <c r="B4885" s="4"/>
    </row>
    <row r="4886">
      <c r="A4886" s="1"/>
    </row>
    <row r="4887">
      <c r="A4887" s="1"/>
    </row>
    <row r="4888">
      <c r="A4888" s="1"/>
    </row>
    <row r="4889">
      <c r="A4889" s="1"/>
    </row>
    <row r="4890">
      <c r="A4890" s="1"/>
    </row>
    <row r="4891">
      <c r="A4891" s="1"/>
    </row>
    <row r="4892">
      <c r="A4892" s="1"/>
      <c r="B4892" s="4"/>
    </row>
    <row r="4893">
      <c r="A4893" s="1"/>
      <c r="B4893" s="4"/>
    </row>
    <row r="4894">
      <c r="A4894" s="1"/>
    </row>
    <row r="4895">
      <c r="A4895" s="1"/>
    </row>
    <row r="4896">
      <c r="A4896" s="1"/>
    </row>
    <row r="4897">
      <c r="A4897" s="1"/>
      <c r="B4897" s="4"/>
    </row>
    <row r="4898">
      <c r="A4898" s="1"/>
      <c r="B4898" s="4"/>
    </row>
    <row r="4899">
      <c r="A4899" s="1"/>
    </row>
    <row r="4900">
      <c r="A4900" s="1"/>
    </row>
    <row r="4901">
      <c r="A4901" s="1"/>
    </row>
    <row r="4902">
      <c r="A4902" s="1"/>
      <c r="B4902" s="4"/>
    </row>
    <row r="4903">
      <c r="A4903" s="1"/>
    </row>
    <row r="4904">
      <c r="A4904" s="1"/>
    </row>
    <row r="4905">
      <c r="A4905" s="1"/>
    </row>
    <row r="4906">
      <c r="A4906" s="1"/>
      <c r="B4906" s="4"/>
    </row>
    <row r="4907">
      <c r="A4907" s="1"/>
      <c r="B4907" s="4"/>
    </row>
    <row r="4908">
      <c r="A4908" s="1"/>
    </row>
    <row r="4909">
      <c r="A4909" s="1"/>
    </row>
    <row r="4910">
      <c r="A4910" s="1"/>
    </row>
    <row r="4911">
      <c r="A4911" s="1"/>
      <c r="B4911" s="4"/>
    </row>
    <row r="4912">
      <c r="A4912" s="1"/>
      <c r="B4912" s="4"/>
    </row>
    <row r="4913">
      <c r="A4913" s="1"/>
      <c r="B4913" s="4"/>
    </row>
    <row r="4914">
      <c r="A4914" s="1"/>
    </row>
    <row r="4915">
      <c r="A4915" s="1"/>
    </row>
    <row r="4916">
      <c r="A4916" s="1"/>
      <c r="B4916" s="4"/>
    </row>
    <row r="4917">
      <c r="A4917" s="1"/>
    </row>
    <row r="4918">
      <c r="A4918" s="1"/>
    </row>
    <row r="4919">
      <c r="A4919" s="1"/>
    </row>
    <row r="4920">
      <c r="A4920" s="1"/>
    </row>
    <row r="4921">
      <c r="A4921" s="1"/>
    </row>
    <row r="4922">
      <c r="A4922" s="1"/>
    </row>
    <row r="4923">
      <c r="A4923" s="1"/>
      <c r="B4923" s="4"/>
    </row>
    <row r="4924">
      <c r="A4924" s="1"/>
      <c r="B4924" s="4"/>
    </row>
    <row r="4925">
      <c r="A4925" s="1"/>
      <c r="B4925" s="4"/>
    </row>
    <row r="4926">
      <c r="A4926" s="1"/>
      <c r="B4926" s="4"/>
    </row>
    <row r="4927">
      <c r="A4927" s="1"/>
      <c r="B4927" s="4"/>
    </row>
    <row r="4928">
      <c r="A4928" s="1"/>
    </row>
    <row r="4929">
      <c r="A4929" s="1"/>
    </row>
    <row r="4930">
      <c r="A4930" s="1"/>
      <c r="B4930" s="4"/>
    </row>
    <row r="4931">
      <c r="A4931" s="1"/>
      <c r="B4931" s="4"/>
    </row>
    <row r="4932">
      <c r="A4932" s="1"/>
    </row>
    <row r="4933">
      <c r="A4933" s="1"/>
    </row>
    <row r="4934">
      <c r="A4934" s="1"/>
    </row>
    <row r="4935">
      <c r="A4935" s="1"/>
      <c r="B4935" s="4"/>
    </row>
    <row r="4936">
      <c r="A4936" s="1"/>
      <c r="B4936" s="4"/>
    </row>
    <row r="4937">
      <c r="A4937" s="1"/>
    </row>
    <row r="4938">
      <c r="A4938" s="1"/>
    </row>
    <row r="4939">
      <c r="A4939" s="1"/>
      <c r="B4939" s="4"/>
    </row>
    <row r="4940">
      <c r="A4940" s="1"/>
    </row>
    <row r="4941">
      <c r="A4941" s="1"/>
    </row>
    <row r="4942">
      <c r="A4942" s="1"/>
    </row>
    <row r="4943">
      <c r="A4943" s="1"/>
      <c r="B4943" s="4"/>
    </row>
    <row r="4944">
      <c r="A4944" s="1"/>
      <c r="B4944" s="4"/>
    </row>
    <row r="4945">
      <c r="A4945" s="1"/>
    </row>
    <row r="4946">
      <c r="A4946" s="1"/>
    </row>
    <row r="4947">
      <c r="A4947" s="1"/>
    </row>
    <row r="4948">
      <c r="A4948" s="1"/>
      <c r="B4948" s="4"/>
    </row>
    <row r="4949">
      <c r="A4949" s="1"/>
      <c r="B4949" s="4"/>
    </row>
    <row r="4950">
      <c r="A4950" s="1"/>
      <c r="B4950" s="4"/>
    </row>
    <row r="4951">
      <c r="A4951" s="1"/>
      <c r="B4951" s="4"/>
    </row>
    <row r="4952">
      <c r="A4952" s="1"/>
      <c r="B4952" s="4"/>
    </row>
    <row r="4953">
      <c r="A4953" s="1"/>
    </row>
    <row r="4954">
      <c r="A4954" s="1"/>
    </row>
    <row r="4955">
      <c r="A4955" s="1"/>
      <c r="B4955" s="4"/>
    </row>
    <row r="4956">
      <c r="A4956" s="1"/>
    </row>
    <row r="4957">
      <c r="A4957" s="1"/>
    </row>
    <row r="4958">
      <c r="A4958" s="1"/>
    </row>
    <row r="4959">
      <c r="A4959" s="1"/>
      <c r="B4959" s="4"/>
    </row>
    <row r="4960">
      <c r="A4960" s="1"/>
      <c r="B4960" s="4"/>
    </row>
    <row r="4961">
      <c r="A4961" s="1"/>
    </row>
    <row r="4962">
      <c r="A4962" s="1"/>
    </row>
    <row r="4963">
      <c r="A4963" s="1"/>
    </row>
    <row r="4964">
      <c r="A4964" s="1"/>
      <c r="B4964" s="4"/>
    </row>
    <row r="4965">
      <c r="A4965" s="1"/>
      <c r="B4965" s="4"/>
    </row>
    <row r="4966">
      <c r="A4966" s="1"/>
      <c r="B4966" s="4"/>
    </row>
    <row r="4967">
      <c r="A4967" s="1"/>
      <c r="B4967" s="4"/>
    </row>
    <row r="4968">
      <c r="A4968" s="1"/>
    </row>
    <row r="4969">
      <c r="A4969" s="1"/>
    </row>
    <row r="4970">
      <c r="A4970" s="1"/>
      <c r="B4970" s="4"/>
    </row>
    <row r="4971">
      <c r="A4971" s="1"/>
      <c r="B4971" s="4"/>
    </row>
    <row r="4972">
      <c r="A4972" s="1"/>
      <c r="B4972" s="4"/>
    </row>
    <row r="4973">
      <c r="A4973" s="1"/>
    </row>
    <row r="4974">
      <c r="A4974" s="1"/>
    </row>
    <row r="4975">
      <c r="A4975" s="1"/>
    </row>
    <row r="4976">
      <c r="A4976" s="1"/>
      <c r="B4976" s="4"/>
    </row>
    <row r="4977">
      <c r="A4977" s="1"/>
      <c r="B4977" s="4"/>
    </row>
    <row r="4978">
      <c r="A4978" s="1"/>
      <c r="B4978" s="4"/>
    </row>
    <row r="4979">
      <c r="A4979" s="1"/>
    </row>
    <row r="4980">
      <c r="A4980" s="1"/>
    </row>
    <row r="4981">
      <c r="A4981" s="1"/>
      <c r="B4981" s="4"/>
    </row>
    <row r="4982">
      <c r="A4982" s="1"/>
      <c r="B4982" s="4"/>
    </row>
    <row r="4983">
      <c r="A4983" s="1"/>
      <c r="B4983" s="4"/>
    </row>
    <row r="4984">
      <c r="A4984" s="1"/>
    </row>
    <row r="4985">
      <c r="A4985" s="1"/>
    </row>
    <row r="4986">
      <c r="A4986" s="1"/>
      <c r="B4986" s="4"/>
    </row>
    <row r="4987">
      <c r="A4987" s="1"/>
      <c r="B4987" s="4"/>
    </row>
    <row r="4988">
      <c r="A4988" s="1"/>
    </row>
    <row r="4989">
      <c r="A4989" s="1"/>
    </row>
    <row r="4990">
      <c r="A4990" s="1"/>
      <c r="B4990" s="4"/>
    </row>
    <row r="4991">
      <c r="A4991" s="1"/>
      <c r="B4991" s="4"/>
    </row>
    <row r="4992">
      <c r="A4992" s="1"/>
    </row>
    <row r="4993">
      <c r="A4993" s="1"/>
    </row>
    <row r="4994">
      <c r="A4994" s="1"/>
      <c r="B4994" s="4"/>
    </row>
    <row r="4995">
      <c r="A4995" s="1"/>
      <c r="B4995" s="4"/>
    </row>
    <row r="4996">
      <c r="A4996" s="1"/>
      <c r="B4996" s="4"/>
    </row>
    <row r="4997">
      <c r="A4997" s="1"/>
    </row>
    <row r="4998">
      <c r="A4998" s="1"/>
    </row>
    <row r="4999">
      <c r="A4999" s="1"/>
      <c r="B4999" s="4"/>
    </row>
    <row r="5000">
      <c r="A5000" s="1"/>
    </row>
    <row r="5001">
      <c r="A5001" s="1"/>
    </row>
    <row r="5002">
      <c r="A5002" s="1"/>
      <c r="B5002" s="4"/>
    </row>
    <row r="5003">
      <c r="A5003" s="1"/>
    </row>
    <row r="5004">
      <c r="A5004" s="1"/>
    </row>
    <row r="5005">
      <c r="A5005" s="1"/>
    </row>
    <row r="5006">
      <c r="A5006" s="1"/>
    </row>
    <row r="5007">
      <c r="A5007" s="1"/>
    </row>
    <row r="5008">
      <c r="A5008" s="1"/>
    </row>
    <row r="5009">
      <c r="A5009" s="1"/>
      <c r="B5009" s="4"/>
    </row>
    <row r="5010">
      <c r="A5010" s="1"/>
      <c r="B5010" s="4"/>
    </row>
    <row r="5011">
      <c r="A5011" s="1"/>
      <c r="B5011" s="4"/>
    </row>
    <row r="5012">
      <c r="A5012" s="1"/>
      <c r="B5012" s="4"/>
    </row>
    <row r="5013">
      <c r="A5013" s="1"/>
    </row>
    <row r="5014">
      <c r="A5014" s="1"/>
    </row>
    <row r="5015">
      <c r="A5015" s="1"/>
      <c r="B5015" s="4"/>
    </row>
    <row r="5016">
      <c r="A5016" s="1"/>
    </row>
    <row r="5017">
      <c r="A5017" s="1"/>
    </row>
    <row r="5018">
      <c r="A5018" s="1"/>
    </row>
    <row r="5019">
      <c r="A5019" s="1"/>
    </row>
    <row r="5020">
      <c r="A5020" s="1"/>
    </row>
    <row r="5021">
      <c r="A5021" s="1"/>
    </row>
    <row r="5022">
      <c r="A5022" s="1"/>
    </row>
    <row r="5023">
      <c r="A5023" s="1"/>
    </row>
    <row r="5024">
      <c r="A5024" s="1"/>
    </row>
    <row r="5025">
      <c r="A5025" s="1"/>
    </row>
    <row r="5026">
      <c r="A5026" s="1"/>
    </row>
    <row r="5027">
      <c r="A5027" s="1"/>
    </row>
    <row r="5028">
      <c r="A5028" s="1"/>
    </row>
    <row r="5029">
      <c r="A5029" s="1"/>
    </row>
    <row r="5030">
      <c r="A5030" s="1"/>
      <c r="B5030" s="4"/>
    </row>
    <row r="5031">
      <c r="A5031" s="1"/>
      <c r="B5031" s="4"/>
    </row>
    <row r="5032">
      <c r="A5032" s="1"/>
      <c r="B5032" s="4"/>
    </row>
    <row r="5033">
      <c r="A5033" s="1"/>
      <c r="B5033" s="4"/>
    </row>
    <row r="5034">
      <c r="A5034" s="1"/>
      <c r="B5034" s="4"/>
    </row>
    <row r="5035">
      <c r="A5035" s="1"/>
      <c r="B5035" s="4"/>
    </row>
    <row r="5036">
      <c r="A5036" s="1"/>
      <c r="B5036" s="4"/>
    </row>
    <row r="5037">
      <c r="A5037" s="1"/>
      <c r="B5037" s="4"/>
    </row>
    <row r="5038">
      <c r="A5038" s="1"/>
      <c r="B5038" s="4"/>
    </row>
    <row r="5039">
      <c r="A5039" s="1"/>
      <c r="B5039" s="4"/>
    </row>
    <row r="5040">
      <c r="A5040" s="1"/>
      <c r="B5040" s="4"/>
    </row>
    <row r="5041">
      <c r="A5041" s="1"/>
      <c r="B5041" s="4"/>
    </row>
    <row r="5042">
      <c r="A5042" s="1"/>
      <c r="B5042" s="4"/>
    </row>
    <row r="5043">
      <c r="A5043" s="1"/>
      <c r="B5043" s="4"/>
    </row>
    <row r="5044">
      <c r="A5044" s="1"/>
      <c r="B5044" s="4"/>
    </row>
    <row r="5045">
      <c r="A5045" s="1"/>
      <c r="B5045" s="4"/>
    </row>
    <row r="5046">
      <c r="A5046" s="1"/>
    </row>
    <row r="5047">
      <c r="A5047" s="1"/>
    </row>
    <row r="5048">
      <c r="A5048" s="1"/>
      <c r="B5048" s="4"/>
    </row>
    <row r="5049">
      <c r="A5049" s="1"/>
      <c r="B5049" s="4"/>
    </row>
    <row r="5050">
      <c r="A5050" s="1"/>
    </row>
    <row r="5051">
      <c r="A5051" s="1"/>
    </row>
    <row r="5052">
      <c r="A5052" s="1"/>
      <c r="B5052" s="4"/>
    </row>
    <row r="5053">
      <c r="A5053" s="1"/>
      <c r="B5053" s="4"/>
    </row>
    <row r="5054">
      <c r="A5054" s="1"/>
    </row>
    <row r="5055">
      <c r="A5055" s="1"/>
    </row>
    <row r="5056">
      <c r="A5056" s="1"/>
    </row>
    <row r="5057">
      <c r="A5057" s="1"/>
    </row>
    <row r="5058">
      <c r="A5058" s="1"/>
      <c r="B5058" s="4"/>
    </row>
    <row r="5059">
      <c r="A5059" s="1"/>
      <c r="B5059" s="4"/>
    </row>
    <row r="5060">
      <c r="A5060" s="1"/>
      <c r="B5060" s="4"/>
    </row>
    <row r="5061">
      <c r="A5061" s="1"/>
      <c r="B5061" s="4"/>
    </row>
    <row r="5062">
      <c r="A5062" s="1"/>
    </row>
    <row r="5063">
      <c r="A5063" s="1"/>
    </row>
    <row r="5064">
      <c r="A5064" s="1"/>
      <c r="B5064" s="4"/>
    </row>
    <row r="5065">
      <c r="A5065" s="1"/>
      <c r="B5065" s="4"/>
    </row>
    <row r="5066">
      <c r="A5066" s="1"/>
    </row>
    <row r="5067">
      <c r="A5067" s="1"/>
    </row>
    <row r="5068">
      <c r="A5068" s="1"/>
    </row>
    <row r="5069">
      <c r="A5069" s="1"/>
    </row>
    <row r="5070">
      <c r="A5070" s="1"/>
      <c r="B5070" s="4"/>
    </row>
    <row r="5071">
      <c r="A5071" s="1"/>
      <c r="B5071" s="4"/>
    </row>
    <row r="5072">
      <c r="A5072" s="1"/>
      <c r="B5072" s="4"/>
    </row>
    <row r="5073">
      <c r="A5073" s="1"/>
    </row>
    <row r="5074">
      <c r="A5074" s="1"/>
    </row>
    <row r="5075">
      <c r="A5075" s="1"/>
      <c r="B5075" s="4"/>
    </row>
    <row r="5076">
      <c r="A5076" s="1"/>
      <c r="B5076" s="4"/>
    </row>
    <row r="5077">
      <c r="A5077" s="1"/>
      <c r="B5077" s="4"/>
    </row>
    <row r="5078">
      <c r="A5078" s="1"/>
    </row>
    <row r="5079">
      <c r="A5079" s="1"/>
    </row>
    <row r="5080">
      <c r="A5080" s="1"/>
    </row>
    <row r="5081">
      <c r="A5081" s="1"/>
      <c r="B5081" s="4"/>
    </row>
    <row r="5082">
      <c r="A5082" s="1"/>
      <c r="B5082" s="4"/>
    </row>
    <row r="5083">
      <c r="A5083" s="1"/>
      <c r="B5083" s="4"/>
    </row>
    <row r="5084">
      <c r="A5084" s="1"/>
      <c r="B5084" s="4"/>
    </row>
    <row r="5085">
      <c r="A5085" s="1"/>
      <c r="B5085" s="4"/>
    </row>
    <row r="5086">
      <c r="A5086" s="1"/>
      <c r="B5086" s="4"/>
    </row>
    <row r="5087">
      <c r="A5087" s="1"/>
    </row>
    <row r="5088">
      <c r="A5088" s="1"/>
    </row>
    <row r="5089">
      <c r="A5089" s="1"/>
    </row>
    <row r="5090">
      <c r="A5090" s="1"/>
      <c r="B5090" s="4"/>
    </row>
    <row r="5091">
      <c r="A5091" s="1"/>
      <c r="B5091" s="4"/>
    </row>
    <row r="5092">
      <c r="A5092" s="1"/>
      <c r="B5092" s="4"/>
    </row>
    <row r="5093">
      <c r="A5093" s="1"/>
      <c r="B5093" s="4"/>
    </row>
    <row r="5094">
      <c r="A5094" s="1"/>
    </row>
    <row r="5095">
      <c r="A5095" s="1"/>
    </row>
    <row r="5096">
      <c r="A5096" s="1"/>
      <c r="B5096" s="4"/>
    </row>
    <row r="5097">
      <c r="A5097" s="1"/>
      <c r="B5097" s="4"/>
    </row>
    <row r="5098">
      <c r="A5098" s="1"/>
      <c r="B5098" s="4"/>
    </row>
    <row r="5099">
      <c r="A5099" s="1"/>
    </row>
    <row r="5100">
      <c r="A5100" s="1"/>
    </row>
    <row r="5101">
      <c r="A5101" s="1"/>
    </row>
    <row r="5102">
      <c r="A5102" s="1"/>
      <c r="B5102" s="4"/>
    </row>
    <row r="5103">
      <c r="A5103" s="1"/>
      <c r="B5103" s="4"/>
    </row>
    <row r="5104">
      <c r="A5104" s="1"/>
      <c r="B5104" s="4"/>
    </row>
    <row r="5105">
      <c r="A5105" s="1"/>
      <c r="B5105" s="4"/>
    </row>
    <row r="5106">
      <c r="A5106" s="1"/>
    </row>
    <row r="5107">
      <c r="A5107" s="1"/>
    </row>
    <row r="5108">
      <c r="A5108" s="1"/>
    </row>
    <row r="5109">
      <c r="A5109" s="1"/>
    </row>
    <row r="5110">
      <c r="A5110" s="1"/>
      <c r="B5110" s="4"/>
    </row>
    <row r="5111">
      <c r="A5111" s="1"/>
      <c r="B5111" s="4"/>
    </row>
    <row r="5112">
      <c r="A5112" s="1"/>
      <c r="B5112" s="4"/>
    </row>
    <row r="5113">
      <c r="A5113" s="1"/>
      <c r="B5113" s="4"/>
    </row>
    <row r="5114">
      <c r="A5114" s="1"/>
      <c r="B5114" s="4"/>
    </row>
    <row r="5115">
      <c r="A5115" s="1"/>
    </row>
    <row r="5116">
      <c r="A5116" s="1"/>
    </row>
    <row r="5117">
      <c r="A5117" s="1"/>
      <c r="B5117" s="4"/>
    </row>
    <row r="5118">
      <c r="A5118" s="1"/>
      <c r="B5118" s="4"/>
    </row>
    <row r="5119">
      <c r="A5119" s="1"/>
    </row>
    <row r="5120">
      <c r="A5120" s="1"/>
    </row>
    <row r="5121">
      <c r="A5121" s="1"/>
      <c r="B5121" s="4"/>
    </row>
    <row r="5122">
      <c r="A5122" s="1"/>
    </row>
    <row r="5123">
      <c r="A5123" s="1"/>
    </row>
    <row r="5124">
      <c r="A5124" s="1"/>
      <c r="B5124" s="4"/>
    </row>
    <row r="5125">
      <c r="A5125" s="1"/>
    </row>
    <row r="5126">
      <c r="A5126" s="1"/>
    </row>
    <row r="5127">
      <c r="A5127" s="1"/>
      <c r="B5127" s="4"/>
    </row>
    <row r="5128">
      <c r="A5128" s="1"/>
    </row>
    <row r="5129">
      <c r="A5129" s="1"/>
    </row>
    <row r="5130">
      <c r="A5130" s="1"/>
      <c r="B5130" s="4"/>
    </row>
    <row r="5131">
      <c r="A5131" s="1"/>
    </row>
    <row r="5132">
      <c r="A5132" s="1"/>
    </row>
    <row r="5133">
      <c r="A5133" s="1"/>
      <c r="B5133" s="4"/>
    </row>
    <row r="5134">
      <c r="A5134" s="1"/>
    </row>
    <row r="5135">
      <c r="A5135" s="1"/>
    </row>
    <row r="5136">
      <c r="A5136" s="1"/>
      <c r="B5136" s="4"/>
    </row>
    <row r="5137">
      <c r="A5137" s="1"/>
      <c r="B5137" s="4"/>
    </row>
    <row r="5138">
      <c r="A5138" s="1"/>
      <c r="B5138" s="4"/>
    </row>
    <row r="5139">
      <c r="A5139" s="1"/>
    </row>
    <row r="5140">
      <c r="A5140" s="1"/>
    </row>
    <row r="5141">
      <c r="A5141" s="1"/>
    </row>
    <row r="5142">
      <c r="A5142" s="1"/>
      <c r="B5142" s="4"/>
    </row>
    <row r="5143">
      <c r="A5143" s="1"/>
      <c r="B5143" s="4"/>
    </row>
    <row r="5144">
      <c r="A5144" s="1"/>
      <c r="B5144" s="4"/>
    </row>
    <row r="5145">
      <c r="A5145" s="1"/>
      <c r="B5145" s="4"/>
    </row>
    <row r="5146">
      <c r="A5146" s="1"/>
    </row>
    <row r="5147">
      <c r="A5147" s="1"/>
    </row>
    <row r="5148">
      <c r="A5148" s="1"/>
      <c r="B5148" s="4"/>
    </row>
    <row r="5149">
      <c r="A5149" s="1"/>
    </row>
    <row r="5150">
      <c r="A5150" s="1"/>
    </row>
    <row r="5151">
      <c r="A5151" s="1"/>
      <c r="B5151" s="4"/>
    </row>
    <row r="5152">
      <c r="A5152" s="1"/>
    </row>
    <row r="5153">
      <c r="A5153" s="1"/>
    </row>
    <row r="5154">
      <c r="A5154" s="1"/>
      <c r="B5154" s="4"/>
    </row>
    <row r="5155">
      <c r="A5155" s="1"/>
    </row>
    <row r="5156">
      <c r="A5156" s="1"/>
    </row>
    <row r="5157">
      <c r="A5157" s="1"/>
      <c r="B5157" s="4"/>
    </row>
    <row r="5158">
      <c r="A5158" s="1"/>
      <c r="B5158" s="4"/>
    </row>
    <row r="5159">
      <c r="A5159" s="1"/>
    </row>
    <row r="5160">
      <c r="A5160" s="1"/>
    </row>
    <row r="5161">
      <c r="A5161" s="1"/>
      <c r="B5161" s="4"/>
    </row>
    <row r="5162">
      <c r="A5162" s="1"/>
      <c r="B5162" s="4"/>
    </row>
    <row r="5163">
      <c r="A5163" s="1"/>
      <c r="B5163" s="4"/>
    </row>
    <row r="5164">
      <c r="A5164" s="1"/>
      <c r="B5164" s="4"/>
    </row>
    <row r="5165">
      <c r="A5165" s="1"/>
    </row>
    <row r="5166">
      <c r="A5166" s="1"/>
    </row>
    <row r="5167">
      <c r="A5167" s="1"/>
      <c r="B5167" s="4"/>
    </row>
    <row r="5168">
      <c r="A5168" s="1"/>
      <c r="B5168" s="4"/>
    </row>
    <row r="5169">
      <c r="A5169" s="1"/>
    </row>
    <row r="5170">
      <c r="A5170" s="1"/>
    </row>
    <row r="5171">
      <c r="A5171" s="1"/>
      <c r="B5171" s="4"/>
    </row>
    <row r="5172">
      <c r="A5172" s="1"/>
    </row>
    <row r="5173">
      <c r="A5173" s="1"/>
    </row>
    <row r="5174">
      <c r="A5174" s="1"/>
      <c r="B5174" s="4"/>
    </row>
    <row r="5175">
      <c r="A5175" s="1"/>
      <c r="B5175" s="4"/>
    </row>
    <row r="5176">
      <c r="A5176" s="1"/>
    </row>
    <row r="5177">
      <c r="A5177" s="1"/>
    </row>
    <row r="5178">
      <c r="A5178" s="1"/>
    </row>
    <row r="5179">
      <c r="A5179" s="1"/>
      <c r="B5179" s="4"/>
    </row>
    <row r="5180">
      <c r="A5180" s="1"/>
      <c r="B5180" s="4"/>
    </row>
    <row r="5181">
      <c r="A5181" s="1"/>
    </row>
    <row r="5182">
      <c r="A5182" s="1"/>
    </row>
    <row r="5183">
      <c r="A5183" s="1"/>
    </row>
    <row r="5184">
      <c r="A5184" s="1"/>
    </row>
    <row r="5185">
      <c r="A5185" s="1"/>
      <c r="B5185" s="4"/>
    </row>
    <row r="5186">
      <c r="A5186" s="1"/>
      <c r="B5186" s="4"/>
    </row>
    <row r="5187">
      <c r="A5187" s="1"/>
      <c r="B5187" s="4"/>
    </row>
    <row r="5188">
      <c r="A5188" s="1"/>
    </row>
    <row r="5189">
      <c r="A5189" s="1"/>
    </row>
    <row r="5190">
      <c r="A5190" s="1"/>
    </row>
    <row r="5191">
      <c r="A5191" s="1"/>
      <c r="B5191" s="4"/>
    </row>
    <row r="5192">
      <c r="A5192" s="1"/>
      <c r="B5192" s="4"/>
    </row>
    <row r="5193">
      <c r="A5193" s="1"/>
    </row>
    <row r="5194">
      <c r="A5194" s="1"/>
    </row>
    <row r="5195">
      <c r="A5195" s="1"/>
      <c r="B5195" s="4"/>
    </row>
    <row r="5196">
      <c r="A5196" s="1"/>
    </row>
    <row r="5197">
      <c r="A5197" s="1"/>
    </row>
    <row r="5198">
      <c r="A5198" s="1"/>
      <c r="B5198" s="4"/>
    </row>
    <row r="5199">
      <c r="A5199" s="1"/>
    </row>
    <row r="5200">
      <c r="A5200" s="1"/>
    </row>
    <row r="5201">
      <c r="A5201" s="1"/>
      <c r="B5201" s="4"/>
    </row>
    <row r="5202">
      <c r="A5202" s="1"/>
      <c r="B5202" s="4"/>
    </row>
    <row r="5203">
      <c r="A5203" s="1"/>
      <c r="B5203" s="4"/>
    </row>
    <row r="5204">
      <c r="A5204" s="1"/>
    </row>
    <row r="5205">
      <c r="A5205" s="1"/>
    </row>
    <row r="5206">
      <c r="A5206" s="1"/>
      <c r="B5206" s="4"/>
    </row>
    <row r="5207">
      <c r="A5207" s="1"/>
      <c r="B5207" s="4"/>
    </row>
    <row r="5208">
      <c r="A5208" s="1"/>
      <c r="B5208" s="4"/>
    </row>
    <row r="5209">
      <c r="A5209" s="1"/>
    </row>
    <row r="5210">
      <c r="A5210" s="1"/>
    </row>
    <row r="5211">
      <c r="A5211" s="1"/>
      <c r="B5211" s="4"/>
    </row>
    <row r="5212">
      <c r="A5212" s="1"/>
      <c r="B5212" s="4"/>
    </row>
    <row r="5213">
      <c r="A5213" s="1"/>
      <c r="B5213" s="4"/>
    </row>
    <row r="5214">
      <c r="A5214" s="1"/>
    </row>
    <row r="5215">
      <c r="A5215" s="1"/>
    </row>
    <row r="5216">
      <c r="A5216" s="1"/>
      <c r="B5216" s="4"/>
    </row>
    <row r="5217">
      <c r="A5217" s="1"/>
      <c r="B5217" s="4"/>
    </row>
    <row r="5218">
      <c r="A5218" s="1"/>
      <c r="B5218" s="4"/>
    </row>
    <row r="5219">
      <c r="A5219" s="1"/>
    </row>
    <row r="5220">
      <c r="A5220" s="1"/>
    </row>
    <row r="5221">
      <c r="A5221" s="1"/>
      <c r="B5221" s="4"/>
    </row>
    <row r="5222">
      <c r="A5222" s="1"/>
    </row>
    <row r="5223">
      <c r="A5223" s="1"/>
    </row>
    <row r="5224">
      <c r="A5224" s="1"/>
      <c r="B5224" s="4"/>
    </row>
    <row r="5225">
      <c r="A5225" s="1"/>
    </row>
    <row r="5226">
      <c r="A5226" s="1"/>
    </row>
    <row r="5227">
      <c r="A5227" s="1"/>
      <c r="B5227" s="4"/>
    </row>
    <row r="5228">
      <c r="A5228" s="1"/>
      <c r="B5228" s="4"/>
    </row>
    <row r="5229">
      <c r="A5229" s="1"/>
    </row>
    <row r="5230">
      <c r="A5230" s="1"/>
    </row>
    <row r="5231">
      <c r="A5231" s="1"/>
    </row>
    <row r="5232">
      <c r="A5232" s="1"/>
      <c r="B5232" s="4"/>
    </row>
    <row r="5233">
      <c r="A5233" s="1"/>
      <c r="B5233" s="4"/>
    </row>
    <row r="5234">
      <c r="A5234" s="1"/>
    </row>
    <row r="5235">
      <c r="A5235" s="1"/>
    </row>
    <row r="5236">
      <c r="A5236" s="1"/>
      <c r="B5236" s="4"/>
    </row>
    <row r="5237">
      <c r="A5237" s="1"/>
      <c r="B5237" s="4"/>
    </row>
    <row r="5238">
      <c r="A5238" s="1"/>
    </row>
    <row r="5239">
      <c r="A5239" s="1"/>
    </row>
    <row r="5240">
      <c r="A5240" s="1"/>
      <c r="B5240" s="4"/>
    </row>
    <row r="5241">
      <c r="A5241" s="1"/>
      <c r="B5241" s="4"/>
    </row>
    <row r="5242">
      <c r="A5242" s="1"/>
      <c r="B5242" s="4"/>
    </row>
    <row r="5243">
      <c r="A5243" s="1"/>
    </row>
    <row r="5244">
      <c r="A5244" s="1"/>
    </row>
    <row r="5245">
      <c r="A5245" s="1"/>
      <c r="B5245" s="4"/>
    </row>
    <row r="5246">
      <c r="A5246" s="1"/>
      <c r="B5246" s="4"/>
    </row>
    <row r="5247">
      <c r="A5247" s="1"/>
      <c r="B5247" s="4"/>
    </row>
    <row r="5248">
      <c r="A5248" s="1"/>
    </row>
    <row r="5249">
      <c r="A5249" s="1"/>
    </row>
    <row r="5250">
      <c r="A5250" s="1"/>
      <c r="B5250" s="4"/>
    </row>
    <row r="5251">
      <c r="A5251" s="1"/>
      <c r="B5251" s="4"/>
    </row>
    <row r="5252">
      <c r="A5252" s="1"/>
      <c r="B5252" s="4"/>
    </row>
    <row r="5253">
      <c r="A5253" s="1"/>
    </row>
    <row r="5254">
      <c r="A5254" s="1"/>
    </row>
    <row r="5255">
      <c r="A5255" s="1"/>
      <c r="B5255" s="4"/>
    </row>
    <row r="5256">
      <c r="A5256" s="1"/>
      <c r="B5256" s="4"/>
    </row>
    <row r="5257">
      <c r="A5257" s="1"/>
      <c r="B5257" s="4"/>
    </row>
    <row r="5258">
      <c r="A5258" s="1"/>
    </row>
    <row r="5259">
      <c r="A5259" s="1"/>
    </row>
    <row r="5260">
      <c r="A5260" s="1"/>
      <c r="B5260" s="4"/>
    </row>
    <row r="5261">
      <c r="A5261" s="1"/>
      <c r="B5261" s="4"/>
    </row>
    <row r="5262">
      <c r="A5262" s="1"/>
      <c r="B5262" s="4"/>
    </row>
    <row r="5263">
      <c r="A5263" s="1"/>
    </row>
    <row r="5264">
      <c r="A5264" s="1"/>
    </row>
    <row r="5265">
      <c r="A5265" s="1"/>
      <c r="B5265" s="4"/>
    </row>
    <row r="5266">
      <c r="A5266" s="1"/>
      <c r="B5266" s="4"/>
    </row>
    <row r="5267">
      <c r="A5267" s="1"/>
      <c r="B5267" s="4"/>
    </row>
    <row r="5268">
      <c r="A5268" s="1"/>
    </row>
    <row r="5269">
      <c r="A5269" s="1"/>
    </row>
    <row r="5270">
      <c r="A5270" s="1"/>
      <c r="B5270" s="4"/>
    </row>
    <row r="5271">
      <c r="A5271" s="1"/>
      <c r="B5271" s="4"/>
    </row>
    <row r="5272">
      <c r="A5272" s="1"/>
      <c r="B5272" s="4"/>
    </row>
    <row r="5273">
      <c r="A5273" s="1"/>
    </row>
    <row r="5274">
      <c r="A5274" s="1"/>
    </row>
    <row r="5275">
      <c r="A5275" s="1"/>
      <c r="B5275" s="4"/>
    </row>
    <row r="5276">
      <c r="A5276" s="1"/>
      <c r="B5276" s="4"/>
    </row>
    <row r="5277">
      <c r="A5277" s="1"/>
      <c r="B5277" s="4"/>
    </row>
    <row r="5278">
      <c r="A5278" s="1"/>
    </row>
    <row r="5279">
      <c r="A5279" s="1"/>
    </row>
    <row r="5280">
      <c r="A5280" s="1"/>
      <c r="B5280" s="4"/>
    </row>
    <row r="5281">
      <c r="A5281" s="1"/>
      <c r="B5281" s="4"/>
    </row>
    <row r="5282">
      <c r="A5282" s="1"/>
      <c r="B5282" s="4"/>
    </row>
    <row r="5283">
      <c r="A5283" s="1"/>
    </row>
    <row r="5284">
      <c r="A5284" s="1"/>
    </row>
    <row r="5285">
      <c r="A5285" s="1"/>
      <c r="B5285" s="4"/>
    </row>
    <row r="5286">
      <c r="A5286" s="1"/>
      <c r="B5286" s="4"/>
    </row>
    <row r="5287">
      <c r="A5287" s="1"/>
      <c r="B5287" s="4"/>
    </row>
    <row r="5288">
      <c r="A5288" s="1"/>
    </row>
    <row r="5289">
      <c r="A5289" s="1"/>
    </row>
    <row r="5290">
      <c r="A5290" s="1"/>
      <c r="B5290" s="4"/>
    </row>
    <row r="5291">
      <c r="A5291" s="1"/>
    </row>
    <row r="5292">
      <c r="A5292" s="1"/>
    </row>
    <row r="5293">
      <c r="A5293" s="1"/>
      <c r="B5293" s="4"/>
    </row>
    <row r="5294">
      <c r="A5294" s="1"/>
    </row>
    <row r="5295">
      <c r="A5295" s="1"/>
    </row>
    <row r="5296">
      <c r="A5296" s="1"/>
    </row>
    <row r="5297">
      <c r="A5297" s="1"/>
    </row>
    <row r="5298">
      <c r="A5298" s="1"/>
      <c r="B5298" s="4"/>
    </row>
    <row r="5299">
      <c r="A5299" s="1"/>
      <c r="B5299" s="4"/>
    </row>
    <row r="5300">
      <c r="A5300" s="1"/>
    </row>
    <row r="5301">
      <c r="A5301" s="1"/>
    </row>
    <row r="5302">
      <c r="A5302" s="1"/>
    </row>
    <row r="5303">
      <c r="A5303" s="1"/>
      <c r="B5303" s="4"/>
    </row>
    <row r="5304">
      <c r="A5304" s="1"/>
      <c r="B5304" s="4"/>
    </row>
    <row r="5305">
      <c r="A5305" s="1"/>
      <c r="B5305" s="4"/>
    </row>
    <row r="5306">
      <c r="A5306" s="1"/>
    </row>
    <row r="5307">
      <c r="A5307" s="1"/>
    </row>
    <row r="5308">
      <c r="A5308" s="1"/>
      <c r="B5308" s="4"/>
    </row>
    <row r="5309">
      <c r="A5309" s="1"/>
    </row>
    <row r="5310">
      <c r="A5310" s="1"/>
    </row>
    <row r="5311">
      <c r="A5311" s="1"/>
    </row>
    <row r="5312">
      <c r="A5312" s="1"/>
    </row>
    <row r="5313">
      <c r="A5313" s="1"/>
      <c r="B5313" s="4"/>
    </row>
    <row r="5314">
      <c r="A5314" s="1"/>
      <c r="B5314" s="4"/>
    </row>
    <row r="5315">
      <c r="A5315" s="1"/>
      <c r="B5315" s="4"/>
    </row>
    <row r="5316">
      <c r="A5316" s="1"/>
      <c r="B5316" s="4"/>
    </row>
    <row r="5317">
      <c r="A5317" s="1"/>
    </row>
    <row r="5318">
      <c r="A5318" s="1"/>
    </row>
    <row r="5319">
      <c r="A5319" s="1"/>
    </row>
    <row r="5320">
      <c r="A5320" s="1"/>
      <c r="B5320" s="4"/>
    </row>
    <row r="5321">
      <c r="A5321" s="1"/>
      <c r="B5321" s="4"/>
    </row>
    <row r="5322">
      <c r="A5322" s="1"/>
      <c r="B5322" s="4"/>
    </row>
    <row r="5323">
      <c r="A5323" s="1"/>
      <c r="B5323" s="4"/>
    </row>
    <row r="5324">
      <c r="A5324" s="1"/>
    </row>
    <row r="5325">
      <c r="A5325" s="1"/>
    </row>
    <row r="5326">
      <c r="A5326" s="1"/>
      <c r="B5326" s="4"/>
    </row>
    <row r="5327">
      <c r="A5327" s="1"/>
      <c r="B5327" s="4"/>
    </row>
    <row r="5328">
      <c r="A5328" s="1"/>
      <c r="B5328" s="4"/>
    </row>
    <row r="5329">
      <c r="A5329" s="1"/>
    </row>
    <row r="5330">
      <c r="A5330" s="1"/>
    </row>
    <row r="5331">
      <c r="A5331" s="1"/>
      <c r="B5331" s="4"/>
    </row>
    <row r="5332">
      <c r="A5332" s="1"/>
      <c r="B5332" s="4"/>
    </row>
    <row r="5333">
      <c r="A5333" s="1"/>
      <c r="B5333" s="4"/>
    </row>
    <row r="5334">
      <c r="A5334" s="1"/>
    </row>
    <row r="5335">
      <c r="A5335" s="1"/>
    </row>
    <row r="5336">
      <c r="A5336" s="1"/>
      <c r="B5336" s="4"/>
    </row>
    <row r="5337">
      <c r="A5337" s="1"/>
    </row>
    <row r="5338">
      <c r="A5338" s="1"/>
    </row>
    <row r="5339">
      <c r="A5339" s="1"/>
      <c r="B5339" s="4"/>
    </row>
    <row r="5340">
      <c r="A5340" s="1"/>
    </row>
    <row r="5341">
      <c r="A5341" s="1"/>
    </row>
    <row r="5342">
      <c r="A5342" s="1"/>
      <c r="B5342" s="4"/>
    </row>
    <row r="5343">
      <c r="A5343" s="1"/>
      <c r="B5343" s="4"/>
    </row>
    <row r="5344">
      <c r="A5344" s="1"/>
    </row>
    <row r="5345">
      <c r="A5345" s="1"/>
    </row>
    <row r="5346">
      <c r="A5346" s="1"/>
      <c r="B5346" s="4"/>
    </row>
    <row r="5347">
      <c r="A5347" s="1"/>
      <c r="B5347" s="4"/>
    </row>
    <row r="5348">
      <c r="A5348" s="1"/>
    </row>
    <row r="5349">
      <c r="A5349" s="1"/>
    </row>
    <row r="5350">
      <c r="A5350" s="1"/>
      <c r="B5350" s="4"/>
    </row>
    <row r="5351">
      <c r="A5351" s="1"/>
    </row>
    <row r="5352">
      <c r="A5352" s="1"/>
    </row>
    <row r="5353">
      <c r="A5353" s="1"/>
    </row>
    <row r="5354">
      <c r="A5354" s="1"/>
      <c r="B5354" s="4"/>
    </row>
    <row r="5355">
      <c r="A5355" s="1"/>
      <c r="B5355" s="4"/>
    </row>
    <row r="5356">
      <c r="A5356" s="1"/>
    </row>
    <row r="5357">
      <c r="A5357" s="1"/>
    </row>
    <row r="5358">
      <c r="A5358" s="1"/>
    </row>
    <row r="5359">
      <c r="A5359" s="1"/>
      <c r="B5359" s="4"/>
    </row>
    <row r="5360">
      <c r="A5360" s="1"/>
      <c r="B5360" s="4"/>
    </row>
    <row r="5361">
      <c r="A5361" s="1"/>
      <c r="B5361" s="4"/>
    </row>
    <row r="5362">
      <c r="A5362" s="1"/>
      <c r="B5362" s="4"/>
    </row>
    <row r="5363">
      <c r="A5363" s="1"/>
    </row>
    <row r="5364">
      <c r="A5364" s="1"/>
    </row>
    <row r="5365">
      <c r="A5365" s="1"/>
      <c r="B5365" s="4"/>
    </row>
    <row r="5366">
      <c r="A5366" s="1"/>
    </row>
    <row r="5367">
      <c r="A5367" s="1"/>
    </row>
    <row r="5368">
      <c r="A5368" s="1"/>
      <c r="B5368" s="4"/>
    </row>
    <row r="5369">
      <c r="A5369" s="1"/>
    </row>
    <row r="5370">
      <c r="A5370" s="1"/>
    </row>
    <row r="5371">
      <c r="A5371" s="1"/>
    </row>
    <row r="5372">
      <c r="A5372" s="1"/>
      <c r="B5372" s="4"/>
    </row>
    <row r="5373">
      <c r="A5373" s="1"/>
      <c r="B5373" s="4"/>
    </row>
    <row r="5374">
      <c r="A5374" s="1"/>
    </row>
    <row r="5375">
      <c r="A5375" s="1"/>
    </row>
    <row r="5376">
      <c r="A5376" s="1"/>
      <c r="B5376" s="4"/>
    </row>
    <row r="5377">
      <c r="A5377" s="1"/>
      <c r="B5377" s="4"/>
    </row>
    <row r="5378">
      <c r="A5378" s="1"/>
    </row>
    <row r="5379">
      <c r="A5379" s="1"/>
    </row>
    <row r="5380">
      <c r="A5380" s="1"/>
    </row>
    <row r="5381">
      <c r="A5381" s="1"/>
      <c r="B5381" s="4"/>
    </row>
    <row r="5382">
      <c r="A5382" s="1"/>
      <c r="B5382" s="4"/>
    </row>
    <row r="5383">
      <c r="A5383" s="1"/>
    </row>
    <row r="5384">
      <c r="A5384" s="1"/>
    </row>
    <row r="5385">
      <c r="A5385" s="1"/>
    </row>
    <row r="5386">
      <c r="A5386" s="1"/>
      <c r="B5386" s="4"/>
    </row>
    <row r="5387">
      <c r="A5387" s="1"/>
      <c r="B5387" s="4"/>
    </row>
    <row r="5388">
      <c r="A5388" s="1"/>
      <c r="B5388" s="4"/>
    </row>
    <row r="5389">
      <c r="A5389" s="1"/>
      <c r="B5389" s="4"/>
    </row>
    <row r="5390">
      <c r="A5390" s="1"/>
      <c r="B5390" s="4"/>
    </row>
    <row r="5391">
      <c r="A5391" s="1"/>
    </row>
    <row r="5392">
      <c r="A5392" s="1"/>
    </row>
    <row r="5393">
      <c r="A5393" s="1"/>
      <c r="B5393" s="4"/>
    </row>
    <row r="5394">
      <c r="A5394" s="1"/>
      <c r="B5394" s="4"/>
    </row>
    <row r="5395">
      <c r="A5395" s="1"/>
    </row>
    <row r="5396">
      <c r="A5396" s="1"/>
    </row>
    <row r="5397">
      <c r="A5397" s="1"/>
      <c r="B5397" s="4"/>
    </row>
    <row r="5398">
      <c r="A5398" s="1"/>
      <c r="B5398" s="4"/>
    </row>
    <row r="5399">
      <c r="A5399" s="1"/>
    </row>
    <row r="5400">
      <c r="A5400" s="1"/>
    </row>
    <row r="5401">
      <c r="A5401" s="1"/>
      <c r="B5401" s="4"/>
    </row>
    <row r="5402">
      <c r="A5402" s="1"/>
    </row>
    <row r="5403">
      <c r="A5403" s="1"/>
    </row>
    <row r="5404">
      <c r="A5404" s="1"/>
    </row>
    <row r="5405">
      <c r="A5405" s="1"/>
    </row>
    <row r="5406">
      <c r="A5406" s="1"/>
      <c r="B5406" s="4"/>
    </row>
    <row r="5407">
      <c r="A5407" s="1"/>
      <c r="B5407" s="4"/>
    </row>
    <row r="5408">
      <c r="A5408" s="1"/>
      <c r="B5408" s="4"/>
    </row>
    <row r="5409">
      <c r="A5409" s="1"/>
      <c r="B5409" s="4"/>
    </row>
    <row r="5410">
      <c r="A5410" s="1"/>
    </row>
    <row r="5411">
      <c r="A5411" s="1"/>
    </row>
    <row r="5412">
      <c r="A5412" s="1"/>
      <c r="B5412" s="4"/>
    </row>
    <row r="5413">
      <c r="A5413" s="1"/>
      <c r="B5413" s="4"/>
    </row>
    <row r="5414">
      <c r="A5414" s="1"/>
      <c r="B5414" s="4"/>
    </row>
    <row r="5415">
      <c r="A5415" s="1"/>
    </row>
    <row r="5416">
      <c r="A5416" s="1"/>
    </row>
    <row r="5417">
      <c r="A5417" s="1"/>
    </row>
    <row r="5418">
      <c r="A5418" s="1"/>
      <c r="B5418" s="4"/>
    </row>
    <row r="5419">
      <c r="A5419" s="1"/>
      <c r="B5419" s="4"/>
    </row>
    <row r="5420">
      <c r="A5420" s="1"/>
    </row>
    <row r="5421">
      <c r="A5421" s="1"/>
    </row>
    <row r="5422">
      <c r="A5422" s="1"/>
      <c r="B5422" s="4"/>
    </row>
    <row r="5423">
      <c r="A5423" s="1"/>
      <c r="B5423" s="4"/>
    </row>
    <row r="5424">
      <c r="A5424" s="1"/>
      <c r="B5424" s="4"/>
    </row>
    <row r="5425">
      <c r="A5425" s="1"/>
    </row>
    <row r="5426">
      <c r="A5426" s="1"/>
    </row>
    <row r="5427">
      <c r="A5427" s="1"/>
    </row>
    <row r="5428">
      <c r="A5428" s="1"/>
    </row>
    <row r="5429">
      <c r="A5429" s="1"/>
      <c r="B5429" s="4"/>
    </row>
    <row r="5430">
      <c r="A5430" s="1"/>
      <c r="B5430" s="4"/>
    </row>
    <row r="5431">
      <c r="A5431" s="1"/>
      <c r="B5431" s="4"/>
    </row>
    <row r="5432">
      <c r="A5432" s="1"/>
      <c r="B5432" s="4"/>
    </row>
    <row r="5433">
      <c r="A5433" s="1"/>
      <c r="B5433" s="4"/>
    </row>
    <row r="5434">
      <c r="A5434" s="1"/>
      <c r="B5434" s="4"/>
    </row>
    <row r="5435">
      <c r="A5435" s="1"/>
      <c r="B5435" s="4"/>
    </row>
    <row r="5436">
      <c r="A5436" s="1"/>
    </row>
    <row r="5437">
      <c r="A5437" s="1"/>
    </row>
    <row r="5438">
      <c r="A5438" s="1"/>
    </row>
    <row r="5439">
      <c r="A5439" s="1"/>
      <c r="B5439" s="4"/>
    </row>
    <row r="5440">
      <c r="A5440" s="1"/>
      <c r="B5440" s="4"/>
    </row>
    <row r="5441">
      <c r="A5441" s="1"/>
    </row>
    <row r="5442">
      <c r="A5442" s="1"/>
    </row>
    <row r="5443">
      <c r="A5443" s="1"/>
      <c r="B5443" s="4"/>
    </row>
    <row r="5444">
      <c r="A5444" s="1"/>
    </row>
    <row r="5445">
      <c r="A5445" s="1"/>
    </row>
    <row r="5446">
      <c r="A5446" s="1"/>
      <c r="B5446" s="4"/>
    </row>
    <row r="5447">
      <c r="A5447" s="1"/>
      <c r="B5447" s="4"/>
    </row>
    <row r="5448">
      <c r="A5448" s="1"/>
    </row>
    <row r="5449">
      <c r="A5449" s="1"/>
    </row>
    <row r="5450">
      <c r="A5450" s="1"/>
    </row>
    <row r="5451">
      <c r="A5451" s="1"/>
      <c r="B5451" s="4"/>
    </row>
    <row r="5452">
      <c r="A5452" s="1"/>
      <c r="B5452" s="4"/>
    </row>
    <row r="5453">
      <c r="A5453" s="1"/>
    </row>
    <row r="5454">
      <c r="A5454" s="1"/>
    </row>
    <row r="5455">
      <c r="A5455" s="1"/>
    </row>
    <row r="5456">
      <c r="A5456" s="1"/>
      <c r="B5456" s="4"/>
    </row>
    <row r="5457">
      <c r="A5457" s="1"/>
      <c r="B5457" s="4"/>
    </row>
    <row r="5458">
      <c r="A5458" s="1"/>
      <c r="B5458" s="4"/>
    </row>
    <row r="5459">
      <c r="A5459" s="1"/>
      <c r="B5459" s="4"/>
    </row>
    <row r="5460">
      <c r="A5460" s="1"/>
    </row>
    <row r="5461">
      <c r="A5461" s="1"/>
    </row>
    <row r="5462">
      <c r="A5462" s="1"/>
    </row>
    <row r="5463">
      <c r="A5463" s="1"/>
      <c r="B5463" s="4"/>
    </row>
    <row r="5464">
      <c r="A5464" s="1"/>
      <c r="B5464" s="4"/>
    </row>
    <row r="5465">
      <c r="A5465" s="1"/>
    </row>
    <row r="5466">
      <c r="A5466" s="1"/>
    </row>
    <row r="5467">
      <c r="A5467" s="1"/>
    </row>
    <row r="5468">
      <c r="A5468" s="1"/>
    </row>
    <row r="5469">
      <c r="A5469" s="1"/>
    </row>
    <row r="5470">
      <c r="A5470" s="1"/>
    </row>
    <row r="5471">
      <c r="A5471" s="1"/>
    </row>
    <row r="5472">
      <c r="A5472" s="1"/>
    </row>
    <row r="5473">
      <c r="A5473" s="1"/>
    </row>
    <row r="5474">
      <c r="A5474" s="1"/>
    </row>
    <row r="5475">
      <c r="A5475" s="1"/>
      <c r="B5475" s="4"/>
    </row>
    <row r="5476">
      <c r="A5476" s="1"/>
      <c r="B5476" s="4"/>
    </row>
    <row r="5477">
      <c r="A5477" s="1"/>
      <c r="B5477" s="4"/>
    </row>
    <row r="5478">
      <c r="A5478" s="1"/>
      <c r="B5478" s="4"/>
    </row>
    <row r="5479">
      <c r="A5479" s="1"/>
      <c r="B5479" s="4"/>
    </row>
    <row r="5480">
      <c r="A5480" s="1"/>
      <c r="B5480" s="4"/>
    </row>
    <row r="5481">
      <c r="A5481" s="1"/>
      <c r="B5481" s="4"/>
    </row>
    <row r="5482">
      <c r="A5482" s="1"/>
      <c r="B5482" s="4"/>
    </row>
    <row r="5483">
      <c r="A5483" s="1"/>
      <c r="B5483" s="4"/>
    </row>
    <row r="5484">
      <c r="A5484" s="1"/>
    </row>
    <row r="5485">
      <c r="A5485" s="1"/>
    </row>
    <row r="5486">
      <c r="A5486" s="1"/>
      <c r="B5486" s="4"/>
    </row>
    <row r="5487">
      <c r="A5487" s="1"/>
    </row>
    <row r="5488">
      <c r="A5488" s="1"/>
    </row>
    <row r="5489">
      <c r="A5489" s="1"/>
    </row>
    <row r="5490">
      <c r="A5490" s="1"/>
      <c r="B5490" s="4"/>
    </row>
    <row r="5491">
      <c r="A5491" s="1"/>
      <c r="B5491" s="4"/>
    </row>
    <row r="5492">
      <c r="A5492" s="1"/>
    </row>
    <row r="5493">
      <c r="A5493" s="1"/>
    </row>
    <row r="5494">
      <c r="A5494" s="1"/>
      <c r="B5494" s="4"/>
    </row>
    <row r="5495">
      <c r="A5495" s="1"/>
    </row>
    <row r="5496">
      <c r="A5496" s="1"/>
    </row>
    <row r="5497">
      <c r="A5497" s="1"/>
      <c r="B5497" s="4"/>
    </row>
    <row r="5498">
      <c r="A5498" s="1"/>
      <c r="B5498" s="4"/>
    </row>
    <row r="5499">
      <c r="A5499" s="1"/>
      <c r="B5499" s="4"/>
    </row>
    <row r="5500">
      <c r="A5500" s="1"/>
    </row>
    <row r="5501">
      <c r="A5501" s="1"/>
    </row>
    <row r="5502">
      <c r="A5502" s="1"/>
      <c r="B5502" s="4"/>
    </row>
    <row r="5503">
      <c r="A5503" s="1"/>
      <c r="B5503" s="4"/>
    </row>
    <row r="5504">
      <c r="A5504" s="1"/>
      <c r="B5504" s="4"/>
    </row>
    <row r="5505">
      <c r="A5505" s="1"/>
    </row>
    <row r="5506">
      <c r="A5506" s="1"/>
    </row>
    <row r="5507">
      <c r="A5507" s="1"/>
      <c r="B5507" s="4"/>
    </row>
    <row r="5508">
      <c r="A5508" s="1"/>
      <c r="B5508" s="4"/>
    </row>
    <row r="5509">
      <c r="A5509" s="1"/>
    </row>
    <row r="5510">
      <c r="A5510" s="1"/>
    </row>
    <row r="5511">
      <c r="A5511" s="1"/>
      <c r="B5511" s="4"/>
    </row>
    <row r="5512">
      <c r="A5512" s="1"/>
      <c r="B5512" s="4"/>
    </row>
    <row r="5513">
      <c r="A5513" s="1"/>
    </row>
    <row r="5514">
      <c r="A5514" s="1"/>
    </row>
    <row r="5515">
      <c r="A5515" s="1"/>
      <c r="B5515" s="4"/>
    </row>
    <row r="5516">
      <c r="A5516" s="1"/>
      <c r="B5516" s="4"/>
    </row>
    <row r="5517">
      <c r="A5517" s="1"/>
    </row>
    <row r="5518">
      <c r="A5518" s="1"/>
    </row>
    <row r="5519">
      <c r="A5519" s="1"/>
      <c r="B5519" s="4"/>
    </row>
    <row r="5520">
      <c r="A5520" s="1"/>
      <c r="B5520" s="4"/>
    </row>
    <row r="5521">
      <c r="A5521" s="1"/>
      <c r="B5521" s="4"/>
    </row>
    <row r="5522">
      <c r="A5522" s="1"/>
    </row>
    <row r="5523">
      <c r="A5523" s="1"/>
    </row>
    <row r="5524">
      <c r="A5524" s="1"/>
      <c r="B5524" s="4"/>
    </row>
    <row r="5525">
      <c r="A5525" s="1"/>
      <c r="B5525" s="4"/>
    </row>
    <row r="5526">
      <c r="A5526" s="1"/>
      <c r="B5526" s="4"/>
    </row>
    <row r="5527">
      <c r="A5527" s="1"/>
      <c r="B5527" s="4"/>
    </row>
    <row r="5528">
      <c r="A5528" s="1"/>
      <c r="B5528" s="4"/>
    </row>
    <row r="5529">
      <c r="A5529" s="1"/>
    </row>
    <row r="5530">
      <c r="A5530" s="1"/>
    </row>
    <row r="5531">
      <c r="A5531" s="1"/>
    </row>
    <row r="5532">
      <c r="A5532" s="1"/>
      <c r="B5532" s="4"/>
    </row>
    <row r="5533">
      <c r="A5533" s="1"/>
      <c r="B5533" s="4"/>
    </row>
    <row r="5534">
      <c r="A5534" s="1"/>
      <c r="B5534" s="4"/>
    </row>
    <row r="5535">
      <c r="A5535" s="1"/>
      <c r="B5535" s="4"/>
    </row>
    <row r="5536">
      <c r="A5536" s="1"/>
    </row>
    <row r="5537">
      <c r="A5537" s="1"/>
    </row>
    <row r="5538">
      <c r="A5538" s="1"/>
    </row>
    <row r="5539">
      <c r="A5539" s="1"/>
      <c r="B5539" s="4"/>
    </row>
    <row r="5540">
      <c r="A5540" s="1"/>
      <c r="B5540" s="4"/>
    </row>
    <row r="5541">
      <c r="A5541" s="1"/>
      <c r="B5541" s="4"/>
    </row>
    <row r="5542">
      <c r="A5542" s="1"/>
      <c r="B5542" s="4"/>
    </row>
    <row r="5543">
      <c r="A5543" s="1"/>
      <c r="B5543" s="4"/>
    </row>
    <row r="5544">
      <c r="A5544" s="1"/>
    </row>
    <row r="5545">
      <c r="A5545" s="1"/>
    </row>
    <row r="5546">
      <c r="A5546" s="1"/>
      <c r="B5546" s="4"/>
    </row>
    <row r="5547">
      <c r="A5547" s="1"/>
    </row>
    <row r="5548">
      <c r="A5548" s="1"/>
    </row>
    <row r="5549">
      <c r="A5549" s="1"/>
      <c r="B5549" s="4"/>
    </row>
    <row r="5550">
      <c r="A5550" s="1"/>
      <c r="B5550" s="4"/>
    </row>
    <row r="5551">
      <c r="A5551" s="1"/>
    </row>
    <row r="5552">
      <c r="A5552" s="1"/>
    </row>
    <row r="5553">
      <c r="A5553" s="1"/>
      <c r="B5553" s="4"/>
    </row>
    <row r="5554">
      <c r="A5554" s="1"/>
      <c r="B5554" s="4"/>
    </row>
    <row r="5555">
      <c r="A5555" s="1"/>
    </row>
    <row r="5556">
      <c r="A5556" s="1"/>
    </row>
    <row r="5557">
      <c r="A5557" s="1"/>
      <c r="B5557" s="4"/>
    </row>
    <row r="5558">
      <c r="A5558" s="1"/>
      <c r="B5558" s="4"/>
    </row>
    <row r="5559">
      <c r="A5559" s="1"/>
    </row>
    <row r="5560">
      <c r="A5560" s="1"/>
    </row>
    <row r="5561">
      <c r="A5561" s="1"/>
      <c r="B5561" s="4"/>
    </row>
    <row r="5562">
      <c r="A5562" s="1"/>
      <c r="B5562" s="4"/>
    </row>
    <row r="5563">
      <c r="A5563" s="1"/>
    </row>
    <row r="5564">
      <c r="A5564" s="1"/>
    </row>
    <row r="5565">
      <c r="A5565" s="1"/>
      <c r="B5565" s="4"/>
    </row>
    <row r="5566">
      <c r="A5566" s="1"/>
      <c r="B5566" s="4"/>
    </row>
    <row r="5567">
      <c r="A5567" s="1"/>
    </row>
    <row r="5568">
      <c r="A5568" s="1"/>
    </row>
    <row r="5569">
      <c r="A5569" s="1"/>
    </row>
    <row r="5570">
      <c r="A5570" s="1"/>
      <c r="B5570" s="4"/>
    </row>
    <row r="5571">
      <c r="A5571" s="1"/>
    </row>
    <row r="5572">
      <c r="A5572" s="1"/>
    </row>
    <row r="5573">
      <c r="A5573" s="1"/>
    </row>
    <row r="5574">
      <c r="A5574" s="1"/>
    </row>
    <row r="5575">
      <c r="A5575" s="1"/>
    </row>
    <row r="5576">
      <c r="A5576" s="1"/>
    </row>
    <row r="5577">
      <c r="A5577" s="1"/>
      <c r="B5577" s="4"/>
    </row>
    <row r="5578">
      <c r="A5578" s="1"/>
      <c r="B5578" s="4"/>
    </row>
    <row r="5579">
      <c r="A5579" s="1"/>
      <c r="B5579" s="4"/>
    </row>
    <row r="5580">
      <c r="A5580" s="1"/>
      <c r="B5580" s="4"/>
    </row>
    <row r="5581">
      <c r="A5581" s="1"/>
      <c r="B5581" s="4"/>
    </row>
    <row r="5582">
      <c r="A5582" s="1"/>
      <c r="B5582" s="4"/>
    </row>
    <row r="5583">
      <c r="A5583" s="1"/>
    </row>
    <row r="5584">
      <c r="A5584" s="1"/>
    </row>
    <row r="5585">
      <c r="A5585" s="1"/>
      <c r="B5585" s="4"/>
    </row>
    <row r="5586">
      <c r="A5586" s="1"/>
      <c r="B5586" s="4"/>
    </row>
    <row r="5587">
      <c r="A5587" s="1"/>
      <c r="B5587" s="4"/>
    </row>
    <row r="5588">
      <c r="A5588" s="1"/>
    </row>
    <row r="5589">
      <c r="A5589" s="1"/>
    </row>
    <row r="5590">
      <c r="A5590" s="1"/>
      <c r="B5590" s="4"/>
    </row>
    <row r="5591">
      <c r="A5591" s="1"/>
    </row>
    <row r="5592">
      <c r="A5592" s="1"/>
    </row>
    <row r="5593">
      <c r="A5593" s="1"/>
    </row>
    <row r="5594">
      <c r="A5594" s="1"/>
      <c r="B5594" s="4"/>
    </row>
    <row r="5595">
      <c r="A5595" s="1"/>
      <c r="B5595" s="4"/>
    </row>
    <row r="5596">
      <c r="A5596" s="1"/>
    </row>
    <row r="5597">
      <c r="A5597" s="1"/>
    </row>
    <row r="5598">
      <c r="A5598" s="1"/>
    </row>
    <row r="5599">
      <c r="A5599" s="1"/>
      <c r="B5599" s="4"/>
    </row>
    <row r="5600">
      <c r="A5600" s="1"/>
      <c r="B5600" s="4"/>
    </row>
    <row r="5601">
      <c r="A5601" s="1"/>
    </row>
    <row r="5602">
      <c r="A5602" s="1"/>
    </row>
    <row r="5603">
      <c r="A5603" s="1"/>
      <c r="B5603" s="4"/>
    </row>
    <row r="5604">
      <c r="A5604" s="1"/>
      <c r="B5604" s="4"/>
    </row>
    <row r="5605">
      <c r="A5605" s="1"/>
    </row>
    <row r="5606">
      <c r="A5606" s="1"/>
    </row>
    <row r="5607">
      <c r="A5607" s="1"/>
      <c r="B5607" s="4"/>
    </row>
    <row r="5608">
      <c r="A5608" s="1"/>
      <c r="B5608" s="4"/>
    </row>
    <row r="5609">
      <c r="A5609" s="1"/>
      <c r="B5609" s="4"/>
    </row>
    <row r="5610">
      <c r="A5610" s="1"/>
    </row>
    <row r="5611">
      <c r="A5611" s="1"/>
    </row>
    <row r="5612">
      <c r="A5612" s="1"/>
    </row>
    <row r="5613">
      <c r="A5613" s="1"/>
      <c r="B5613" s="4"/>
    </row>
    <row r="5614">
      <c r="A5614" s="1"/>
      <c r="B5614" s="4"/>
    </row>
    <row r="5615">
      <c r="A5615" s="1"/>
      <c r="B5615" s="4"/>
    </row>
    <row r="5616">
      <c r="A5616" s="1"/>
      <c r="B5616" s="4"/>
    </row>
    <row r="5617">
      <c r="A5617" s="1"/>
      <c r="B5617" s="4"/>
    </row>
    <row r="5618">
      <c r="A5618" s="1"/>
      <c r="B5618" s="4"/>
    </row>
    <row r="5619">
      <c r="A5619" s="1"/>
    </row>
    <row r="5620">
      <c r="A5620" s="1"/>
    </row>
    <row r="5621">
      <c r="A5621" s="1"/>
    </row>
    <row r="5622">
      <c r="A5622" s="1"/>
      <c r="B5622" s="4"/>
    </row>
    <row r="5623">
      <c r="A5623" s="1"/>
      <c r="B5623" s="4"/>
    </row>
    <row r="5624">
      <c r="A5624" s="1"/>
    </row>
    <row r="5625">
      <c r="A5625" s="1"/>
    </row>
    <row r="5626">
      <c r="A5626" s="1"/>
    </row>
    <row r="5627">
      <c r="A5627" s="1"/>
    </row>
    <row r="5628">
      <c r="A5628" s="1"/>
      <c r="B5628" s="4"/>
    </row>
    <row r="5629">
      <c r="A5629" s="1"/>
      <c r="B5629" s="4"/>
    </row>
    <row r="5630">
      <c r="A5630" s="1"/>
      <c r="B5630" s="4"/>
    </row>
    <row r="5631">
      <c r="A5631" s="1"/>
      <c r="B5631" s="4"/>
    </row>
    <row r="5632">
      <c r="A5632" s="1"/>
      <c r="B5632" s="4"/>
    </row>
    <row r="5633">
      <c r="A5633" s="1"/>
    </row>
    <row r="5634">
      <c r="A5634" s="1"/>
    </row>
    <row r="5635">
      <c r="A5635" s="1"/>
      <c r="B5635" s="4"/>
    </row>
    <row r="5636">
      <c r="A5636" s="1"/>
      <c r="B5636" s="4"/>
    </row>
    <row r="5637">
      <c r="A5637" s="1"/>
    </row>
    <row r="5638">
      <c r="A5638" s="1"/>
    </row>
    <row r="5639">
      <c r="A5639" s="1"/>
    </row>
    <row r="5640">
      <c r="A5640" s="1"/>
    </row>
    <row r="5641">
      <c r="A5641" s="1"/>
    </row>
    <row r="5642">
      <c r="A5642" s="1"/>
    </row>
    <row r="5643">
      <c r="A5643" s="1"/>
      <c r="B5643" s="4"/>
    </row>
    <row r="5644">
      <c r="A5644" s="1"/>
      <c r="B5644" s="4"/>
    </row>
    <row r="5645">
      <c r="A5645" s="1"/>
      <c r="B5645" s="4"/>
    </row>
    <row r="5646">
      <c r="A5646" s="1"/>
      <c r="B5646" s="4"/>
    </row>
    <row r="5647">
      <c r="A5647" s="1"/>
      <c r="B5647" s="4"/>
    </row>
    <row r="5648">
      <c r="A5648" s="1"/>
      <c r="B5648" s="4"/>
    </row>
    <row r="5649">
      <c r="A5649" s="1"/>
      <c r="B5649" s="4"/>
    </row>
    <row r="5650">
      <c r="A5650" s="1"/>
      <c r="B5650" s="4"/>
    </row>
    <row r="5651">
      <c r="A5651" s="1"/>
      <c r="B5651" s="4"/>
    </row>
    <row r="5652">
      <c r="A5652" s="1"/>
      <c r="B5652" s="4"/>
    </row>
    <row r="5653">
      <c r="A5653" s="1"/>
      <c r="B5653" s="4"/>
    </row>
    <row r="5654">
      <c r="A5654" s="1"/>
      <c r="B5654" s="4"/>
    </row>
    <row r="5655">
      <c r="A5655" s="1"/>
      <c r="B5655" s="4"/>
    </row>
    <row r="5656">
      <c r="A5656" s="1"/>
    </row>
    <row r="5657">
      <c r="A5657" s="1"/>
    </row>
    <row r="5658">
      <c r="A5658" s="1"/>
    </row>
    <row r="5659">
      <c r="A5659" s="1"/>
      <c r="B5659" s="4"/>
    </row>
    <row r="5660">
      <c r="A5660" s="1"/>
      <c r="B5660" s="4"/>
    </row>
    <row r="5661">
      <c r="A5661" s="1"/>
    </row>
    <row r="5662">
      <c r="A5662" s="1"/>
    </row>
    <row r="5663">
      <c r="A5663" s="1"/>
    </row>
    <row r="5664">
      <c r="A5664" s="1"/>
      <c r="B5664" s="4"/>
    </row>
    <row r="5665">
      <c r="A5665" s="1"/>
      <c r="B5665" s="4"/>
    </row>
    <row r="5666">
      <c r="A5666" s="1"/>
    </row>
    <row r="5667">
      <c r="A5667" s="1"/>
    </row>
    <row r="5668">
      <c r="A5668" s="1"/>
      <c r="B5668" s="4"/>
    </row>
    <row r="5669">
      <c r="A5669" s="1"/>
      <c r="B5669" s="4"/>
    </row>
    <row r="5670">
      <c r="A5670" s="1"/>
    </row>
    <row r="5671">
      <c r="A5671" s="1"/>
    </row>
    <row r="5672">
      <c r="A5672" s="1"/>
      <c r="B5672" s="4"/>
    </row>
    <row r="5673">
      <c r="A5673" s="1"/>
    </row>
    <row r="5674">
      <c r="A5674" s="1"/>
    </row>
    <row r="5675">
      <c r="A5675" s="1"/>
    </row>
    <row r="5676">
      <c r="A5676" s="1"/>
      <c r="B5676" s="4"/>
    </row>
    <row r="5677">
      <c r="A5677" s="1"/>
      <c r="B5677" s="4"/>
    </row>
    <row r="5678">
      <c r="A5678" s="1"/>
      <c r="B5678" s="4"/>
    </row>
    <row r="5679">
      <c r="A5679" s="1"/>
    </row>
    <row r="5680">
      <c r="A5680" s="1"/>
    </row>
    <row r="5681">
      <c r="A5681" s="1"/>
      <c r="B5681" s="4"/>
    </row>
    <row r="5682">
      <c r="A5682" s="1"/>
    </row>
    <row r="5683">
      <c r="A5683" s="1"/>
    </row>
    <row r="5684">
      <c r="A5684" s="1"/>
      <c r="B5684" s="4"/>
    </row>
    <row r="5685">
      <c r="A5685" s="1"/>
      <c r="B5685" s="4"/>
    </row>
    <row r="5686">
      <c r="A5686" s="1"/>
    </row>
    <row r="5687">
      <c r="A5687" s="1"/>
    </row>
    <row r="5688">
      <c r="A5688" s="1"/>
      <c r="B5688" s="4"/>
    </row>
    <row r="5689">
      <c r="A5689" s="1"/>
    </row>
    <row r="5690">
      <c r="A5690" s="1"/>
    </row>
    <row r="5691">
      <c r="A5691" s="1"/>
      <c r="B5691" s="4"/>
    </row>
    <row r="5692">
      <c r="A5692" s="1"/>
    </row>
    <row r="5693">
      <c r="A5693" s="1"/>
    </row>
    <row r="5694">
      <c r="A5694" s="1"/>
      <c r="B5694" s="4"/>
    </row>
    <row r="5695">
      <c r="A5695" s="1"/>
    </row>
    <row r="5696">
      <c r="A5696" s="1"/>
    </row>
    <row r="5697">
      <c r="A5697" s="1"/>
      <c r="B5697" s="4"/>
    </row>
    <row r="5698">
      <c r="A5698" s="1"/>
    </row>
    <row r="5699">
      <c r="A5699" s="1"/>
    </row>
    <row r="5700">
      <c r="A5700" s="1"/>
    </row>
    <row r="5701">
      <c r="A5701" s="1"/>
    </row>
    <row r="5702">
      <c r="A5702" s="1"/>
    </row>
    <row r="5703">
      <c r="A5703" s="1"/>
    </row>
    <row r="5704">
      <c r="A5704" s="1"/>
    </row>
    <row r="5705">
      <c r="A5705" s="1"/>
    </row>
    <row r="5706">
      <c r="A5706" s="1"/>
    </row>
    <row r="5707">
      <c r="A5707" s="1"/>
    </row>
    <row r="5708">
      <c r="A5708" s="1"/>
    </row>
    <row r="5709">
      <c r="A5709" s="1"/>
    </row>
    <row r="5710">
      <c r="A5710" s="1"/>
    </row>
    <row r="5711">
      <c r="A5711" s="1"/>
    </row>
    <row r="5712">
      <c r="A5712" s="1"/>
    </row>
    <row r="5713">
      <c r="A5713" s="1"/>
    </row>
    <row r="5714">
      <c r="A5714" s="1"/>
    </row>
    <row r="5715">
      <c r="A5715" s="1"/>
    </row>
    <row r="5716">
      <c r="A5716" s="1"/>
    </row>
    <row r="5717">
      <c r="A5717" s="1"/>
    </row>
    <row r="5718">
      <c r="A5718" s="1"/>
    </row>
    <row r="5719">
      <c r="A5719" s="1"/>
    </row>
    <row r="5720">
      <c r="A5720" s="1"/>
    </row>
    <row r="5721">
      <c r="A5721" s="1"/>
    </row>
    <row r="5722">
      <c r="A5722" s="1"/>
    </row>
    <row r="5723">
      <c r="A5723" s="1"/>
    </row>
    <row r="5724">
      <c r="A5724" s="1"/>
    </row>
    <row r="5725">
      <c r="A5725" s="1"/>
    </row>
    <row r="5726">
      <c r="A5726" s="1"/>
    </row>
    <row r="5727">
      <c r="A5727" s="1"/>
    </row>
    <row r="5728">
      <c r="A5728" s="1"/>
    </row>
    <row r="5729">
      <c r="A5729" s="1"/>
    </row>
    <row r="5730">
      <c r="A5730" s="1"/>
    </row>
    <row r="5731">
      <c r="A5731" s="1"/>
    </row>
    <row r="5732">
      <c r="A5732" s="1"/>
    </row>
    <row r="5733">
      <c r="A5733" s="1"/>
    </row>
    <row r="5734">
      <c r="A5734" s="1"/>
    </row>
    <row r="5735">
      <c r="A5735" s="1"/>
    </row>
    <row r="5736">
      <c r="A5736" s="1"/>
    </row>
    <row r="5737">
      <c r="A5737" s="1"/>
    </row>
    <row r="5738">
      <c r="A5738" s="1"/>
    </row>
    <row r="5739">
      <c r="A5739" s="1"/>
    </row>
    <row r="5740">
      <c r="A5740" s="1"/>
    </row>
    <row r="5741">
      <c r="A5741" s="1"/>
    </row>
    <row r="5742">
      <c r="A5742" s="1"/>
    </row>
    <row r="5743">
      <c r="A5743" s="1"/>
    </row>
    <row r="5744">
      <c r="A5744" s="1"/>
    </row>
    <row r="5745">
      <c r="A5745" s="1"/>
    </row>
    <row r="5746">
      <c r="A5746" s="1"/>
    </row>
    <row r="5747">
      <c r="A5747" s="1"/>
    </row>
    <row r="5748">
      <c r="A5748" s="1"/>
    </row>
    <row r="5749">
      <c r="A5749" s="1"/>
    </row>
    <row r="5750">
      <c r="A5750" s="1"/>
    </row>
    <row r="5751">
      <c r="A5751" s="1"/>
    </row>
    <row r="5752">
      <c r="A5752" s="1"/>
    </row>
    <row r="5753">
      <c r="A5753" s="1"/>
    </row>
    <row r="5754">
      <c r="A5754" s="1"/>
    </row>
    <row r="5755">
      <c r="A5755" s="1"/>
    </row>
    <row r="5756">
      <c r="A5756" s="1"/>
    </row>
    <row r="5757">
      <c r="A5757" s="1"/>
    </row>
    <row r="5758">
      <c r="A5758" s="1"/>
    </row>
    <row r="5759">
      <c r="A5759" s="1"/>
    </row>
    <row r="5760">
      <c r="A5760" s="1"/>
    </row>
    <row r="5761">
      <c r="A5761" s="1"/>
    </row>
    <row r="5762">
      <c r="A5762" s="1"/>
    </row>
    <row r="5763">
      <c r="A5763" s="1"/>
    </row>
    <row r="5764">
      <c r="A5764" s="1"/>
    </row>
    <row r="5765">
      <c r="A5765" s="1"/>
    </row>
    <row r="5766">
      <c r="A5766" s="1"/>
    </row>
    <row r="5767">
      <c r="A5767" s="1"/>
    </row>
    <row r="5768">
      <c r="A5768" s="1"/>
    </row>
    <row r="5769">
      <c r="A5769" s="1"/>
    </row>
    <row r="5770">
      <c r="A5770" s="1"/>
    </row>
    <row r="5771">
      <c r="A5771" s="1"/>
    </row>
    <row r="5772">
      <c r="A5772" s="1"/>
    </row>
    <row r="5773">
      <c r="A5773" s="1"/>
    </row>
    <row r="5774">
      <c r="A5774" s="1"/>
    </row>
    <row r="5775">
      <c r="A5775" s="1"/>
    </row>
    <row r="5776">
      <c r="A5776" s="1"/>
    </row>
    <row r="5777">
      <c r="A5777" s="1"/>
    </row>
    <row r="5778">
      <c r="A5778" s="1"/>
    </row>
    <row r="5779">
      <c r="A5779" s="1"/>
    </row>
    <row r="5780">
      <c r="A5780" s="1"/>
    </row>
    <row r="5781">
      <c r="A5781" s="1"/>
    </row>
    <row r="5782">
      <c r="A5782" s="1"/>
    </row>
    <row r="5783">
      <c r="A5783" s="1"/>
    </row>
    <row r="5784">
      <c r="A5784" s="1"/>
    </row>
    <row r="5785">
      <c r="A5785" s="1"/>
    </row>
    <row r="5786">
      <c r="A5786" s="1"/>
    </row>
    <row r="5787">
      <c r="A5787" s="1"/>
    </row>
    <row r="5788">
      <c r="A5788" s="1"/>
    </row>
    <row r="5789">
      <c r="A5789" s="1"/>
    </row>
    <row r="5790">
      <c r="A5790" s="1"/>
    </row>
    <row r="5791">
      <c r="A5791" s="1"/>
    </row>
    <row r="5792">
      <c r="A5792" s="1"/>
    </row>
    <row r="5793">
      <c r="A5793" s="1"/>
    </row>
    <row r="5794">
      <c r="A5794" s="1"/>
    </row>
    <row r="5795">
      <c r="A5795" s="1"/>
    </row>
    <row r="5796">
      <c r="A5796" s="1"/>
    </row>
    <row r="5797">
      <c r="A5797" s="1"/>
    </row>
    <row r="5798">
      <c r="A5798" s="1"/>
    </row>
    <row r="5799">
      <c r="A5799" s="1"/>
    </row>
    <row r="5800">
      <c r="A5800" s="1"/>
    </row>
    <row r="5801">
      <c r="A5801" s="1"/>
    </row>
    <row r="5802">
      <c r="A5802" s="1"/>
    </row>
    <row r="5803">
      <c r="A5803" s="1"/>
    </row>
    <row r="5804">
      <c r="A5804" s="1"/>
    </row>
    <row r="5805">
      <c r="A5805" s="1"/>
    </row>
    <row r="5806">
      <c r="A5806" s="1"/>
    </row>
    <row r="5807">
      <c r="A5807" s="1"/>
    </row>
    <row r="5808">
      <c r="A5808" s="1"/>
    </row>
    <row r="5809">
      <c r="A5809" s="1"/>
    </row>
    <row r="5810">
      <c r="A5810" s="1"/>
    </row>
    <row r="5811">
      <c r="A5811" s="1"/>
    </row>
    <row r="5812">
      <c r="A5812" s="1"/>
    </row>
    <row r="5813">
      <c r="A5813" s="1"/>
    </row>
    <row r="5814">
      <c r="A5814" s="1"/>
    </row>
    <row r="5815">
      <c r="A5815" s="1"/>
    </row>
    <row r="5816">
      <c r="A5816" s="1"/>
    </row>
    <row r="5817">
      <c r="A5817" s="1"/>
    </row>
    <row r="5818">
      <c r="A5818" s="1"/>
    </row>
    <row r="5819">
      <c r="A5819" s="1"/>
    </row>
    <row r="5820">
      <c r="A5820" s="1"/>
    </row>
    <row r="5821">
      <c r="A5821" s="1"/>
    </row>
    <row r="5822">
      <c r="A5822" s="1"/>
    </row>
    <row r="5823">
      <c r="A5823" s="1"/>
    </row>
    <row r="5824">
      <c r="A5824" s="1"/>
    </row>
    <row r="5825">
      <c r="A5825" s="1"/>
    </row>
    <row r="5826">
      <c r="A5826" s="1"/>
    </row>
    <row r="5827">
      <c r="A5827" s="1"/>
    </row>
    <row r="5828">
      <c r="A5828" s="1"/>
    </row>
    <row r="5829">
      <c r="A5829" s="1"/>
    </row>
    <row r="5830">
      <c r="A5830" s="1"/>
    </row>
    <row r="5831">
      <c r="A5831" s="1"/>
    </row>
    <row r="5832">
      <c r="A5832" s="1"/>
    </row>
    <row r="5833">
      <c r="A5833" s="1"/>
    </row>
    <row r="5834">
      <c r="A5834" s="1"/>
    </row>
    <row r="5835">
      <c r="A5835" s="1"/>
    </row>
    <row r="5836">
      <c r="A5836" s="1"/>
    </row>
    <row r="5837">
      <c r="A5837" s="1"/>
    </row>
    <row r="5838">
      <c r="A5838" s="1"/>
    </row>
    <row r="5839">
      <c r="A5839" s="1"/>
    </row>
    <row r="5840">
      <c r="A5840" s="1"/>
    </row>
    <row r="5841">
      <c r="A5841" s="1"/>
    </row>
    <row r="5842">
      <c r="A5842" s="1"/>
    </row>
    <row r="5843">
      <c r="A5843" s="1"/>
    </row>
    <row r="5844">
      <c r="A5844" s="1"/>
    </row>
    <row r="5845">
      <c r="A5845" s="1"/>
    </row>
    <row r="5846">
      <c r="A5846" s="1"/>
    </row>
    <row r="5847">
      <c r="A5847" s="1"/>
    </row>
    <row r="5848">
      <c r="A5848" s="1"/>
    </row>
    <row r="5849">
      <c r="A5849" s="1"/>
    </row>
    <row r="5850">
      <c r="A5850" s="1"/>
    </row>
    <row r="5851">
      <c r="A5851" s="1"/>
    </row>
    <row r="5852">
      <c r="A5852" s="1"/>
    </row>
    <row r="5853">
      <c r="A5853" s="1"/>
    </row>
    <row r="5854">
      <c r="A5854" s="1"/>
    </row>
    <row r="5855">
      <c r="A5855" s="1"/>
    </row>
    <row r="5856">
      <c r="A5856" s="1"/>
    </row>
    <row r="5857">
      <c r="A5857" s="1"/>
    </row>
    <row r="5858">
      <c r="A5858" s="1"/>
    </row>
    <row r="5859">
      <c r="A5859" s="1"/>
    </row>
    <row r="5860">
      <c r="A5860" s="1"/>
    </row>
    <row r="5861">
      <c r="A5861" s="1"/>
    </row>
    <row r="5862">
      <c r="A5862" s="1"/>
    </row>
    <row r="5863">
      <c r="A5863" s="1"/>
    </row>
    <row r="5864">
      <c r="A5864" s="1"/>
    </row>
    <row r="5865">
      <c r="A5865" s="1"/>
    </row>
    <row r="5866">
      <c r="A5866" s="1"/>
    </row>
    <row r="5867">
      <c r="A5867" s="1"/>
    </row>
    <row r="5868">
      <c r="A5868" s="1"/>
    </row>
    <row r="5869">
      <c r="A5869" s="1"/>
    </row>
    <row r="5870">
      <c r="A5870" s="1"/>
    </row>
    <row r="5871">
      <c r="A5871" s="1"/>
    </row>
    <row r="5872">
      <c r="A5872" s="1"/>
    </row>
    <row r="5873">
      <c r="A5873" s="1"/>
    </row>
    <row r="5874">
      <c r="A5874" s="1"/>
    </row>
    <row r="5875">
      <c r="A5875" s="1"/>
    </row>
    <row r="5876">
      <c r="A5876" s="1"/>
    </row>
    <row r="5877">
      <c r="A5877" s="1"/>
    </row>
    <row r="5878">
      <c r="A5878" s="1"/>
    </row>
    <row r="5879">
      <c r="A5879" s="1"/>
    </row>
    <row r="5880">
      <c r="A5880" s="1"/>
    </row>
    <row r="5881">
      <c r="A5881" s="1"/>
    </row>
    <row r="5882">
      <c r="A5882" s="1"/>
    </row>
    <row r="5883">
      <c r="A5883" s="1"/>
    </row>
    <row r="5884">
      <c r="A5884" s="1"/>
    </row>
    <row r="5885">
      <c r="A5885" s="1"/>
    </row>
    <row r="5886">
      <c r="A5886" s="1"/>
    </row>
    <row r="5887">
      <c r="A5887" s="1"/>
    </row>
    <row r="5888">
      <c r="A5888" s="1"/>
    </row>
    <row r="5889">
      <c r="A5889" s="1"/>
    </row>
    <row r="5890">
      <c r="A5890" s="1"/>
    </row>
    <row r="5891">
      <c r="A5891" s="1"/>
    </row>
    <row r="5892">
      <c r="A5892" s="1"/>
    </row>
    <row r="5893">
      <c r="A5893" s="1"/>
    </row>
    <row r="5894">
      <c r="A5894" s="1"/>
    </row>
    <row r="5895">
      <c r="A5895" s="1"/>
    </row>
    <row r="5896">
      <c r="A5896" s="1"/>
    </row>
    <row r="5897">
      <c r="A5897" s="1"/>
    </row>
    <row r="5898">
      <c r="A5898" s="1"/>
    </row>
    <row r="5899">
      <c r="A5899" s="1"/>
    </row>
    <row r="5900">
      <c r="A5900" s="1"/>
    </row>
    <row r="5901">
      <c r="A5901" s="1"/>
    </row>
    <row r="5902">
      <c r="A5902" s="1"/>
    </row>
    <row r="5903">
      <c r="A5903" s="1"/>
    </row>
    <row r="5904">
      <c r="A5904" s="1"/>
    </row>
    <row r="5905">
      <c r="A5905" s="1"/>
    </row>
    <row r="5906">
      <c r="A5906" s="1"/>
    </row>
    <row r="5907">
      <c r="A5907" s="1"/>
    </row>
    <row r="5908">
      <c r="A5908" s="1"/>
    </row>
    <row r="5909">
      <c r="A5909" s="1"/>
    </row>
    <row r="5910">
      <c r="A5910" s="1"/>
    </row>
    <row r="5911">
      <c r="A5911" s="1"/>
    </row>
    <row r="5912">
      <c r="A5912" s="1"/>
    </row>
    <row r="5913">
      <c r="A5913" s="1"/>
    </row>
    <row r="5914">
      <c r="A5914" s="1"/>
    </row>
    <row r="5915">
      <c r="A5915" s="1"/>
    </row>
    <row r="5916">
      <c r="A5916" s="1"/>
    </row>
    <row r="5917">
      <c r="A5917" s="1"/>
    </row>
    <row r="5918">
      <c r="A5918" s="1"/>
    </row>
    <row r="5919">
      <c r="A5919" s="1"/>
    </row>
    <row r="5920">
      <c r="A5920" s="1"/>
    </row>
    <row r="5921">
      <c r="A5921" s="1"/>
    </row>
    <row r="5922">
      <c r="A5922" s="1"/>
    </row>
    <row r="5923">
      <c r="A5923" s="1"/>
    </row>
    <row r="5924">
      <c r="A5924" s="1"/>
    </row>
    <row r="5925">
      <c r="A5925" s="1"/>
    </row>
    <row r="5926">
      <c r="A5926" s="1"/>
    </row>
    <row r="5927">
      <c r="A5927" s="1"/>
    </row>
    <row r="5928">
      <c r="A5928" s="1"/>
    </row>
    <row r="5929">
      <c r="A5929" s="1"/>
    </row>
    <row r="5930">
      <c r="A5930" s="1"/>
    </row>
    <row r="5931">
      <c r="A5931" s="1"/>
    </row>
    <row r="5932">
      <c r="A5932" s="1"/>
    </row>
    <row r="5933">
      <c r="A5933" s="1"/>
    </row>
    <row r="5934">
      <c r="A5934" s="1"/>
    </row>
    <row r="5935">
      <c r="A5935" s="1"/>
    </row>
    <row r="5936">
      <c r="A5936" s="1"/>
    </row>
    <row r="5937">
      <c r="A5937" s="1"/>
    </row>
    <row r="5938">
      <c r="A5938" s="1"/>
    </row>
    <row r="5939">
      <c r="A5939" s="1"/>
    </row>
    <row r="5940">
      <c r="A5940" s="1"/>
    </row>
    <row r="5941">
      <c r="A5941" s="1"/>
    </row>
    <row r="5942">
      <c r="A5942" s="1"/>
    </row>
    <row r="5943">
      <c r="A5943" s="1"/>
    </row>
    <row r="5944">
      <c r="A5944" s="1"/>
    </row>
    <row r="5945">
      <c r="A5945" s="1"/>
    </row>
    <row r="5946">
      <c r="A5946" s="1"/>
    </row>
    <row r="5947">
      <c r="A5947" s="1"/>
    </row>
    <row r="5948">
      <c r="A5948" s="1"/>
    </row>
    <row r="5949">
      <c r="A5949" s="1"/>
    </row>
    <row r="5950">
      <c r="A5950" s="1"/>
    </row>
    <row r="5951">
      <c r="A5951" s="1"/>
    </row>
    <row r="5952">
      <c r="A5952" s="1"/>
    </row>
    <row r="5953">
      <c r="A5953" s="1"/>
    </row>
    <row r="5954">
      <c r="A5954" s="1"/>
    </row>
    <row r="5955">
      <c r="A5955" s="1"/>
    </row>
    <row r="5956">
      <c r="A5956" s="1"/>
    </row>
    <row r="5957">
      <c r="A5957" s="1"/>
    </row>
    <row r="5958">
      <c r="A5958" s="1"/>
    </row>
    <row r="5959">
      <c r="A5959" s="1"/>
    </row>
    <row r="5960">
      <c r="A5960" s="1"/>
    </row>
    <row r="5961">
      <c r="A5961" s="1"/>
    </row>
    <row r="5962">
      <c r="A5962" s="1"/>
    </row>
    <row r="5963">
      <c r="A5963" s="1"/>
    </row>
    <row r="5964">
      <c r="A5964" s="1"/>
    </row>
    <row r="5965">
      <c r="A5965" s="1"/>
    </row>
    <row r="5966">
      <c r="A5966" s="1"/>
    </row>
    <row r="5967">
      <c r="A5967" s="1"/>
    </row>
    <row r="5968">
      <c r="A5968" s="1"/>
    </row>
    <row r="5969">
      <c r="A5969" s="1"/>
    </row>
    <row r="5970">
      <c r="A5970" s="1"/>
    </row>
    <row r="5971">
      <c r="A5971" s="1"/>
    </row>
    <row r="5972">
      <c r="A5972" s="1"/>
    </row>
    <row r="5973">
      <c r="A5973" s="1"/>
    </row>
    <row r="5974">
      <c r="A5974" s="1"/>
    </row>
    <row r="5975">
      <c r="A5975" s="1"/>
    </row>
    <row r="5976">
      <c r="A5976" s="1"/>
    </row>
    <row r="5977">
      <c r="A5977" s="1"/>
    </row>
    <row r="5978">
      <c r="A5978" s="1"/>
    </row>
    <row r="5979">
      <c r="A5979" s="1"/>
    </row>
    <row r="5980">
      <c r="A5980" s="1"/>
    </row>
    <row r="5981">
      <c r="A5981" s="1"/>
    </row>
    <row r="5982">
      <c r="A5982" s="1"/>
    </row>
    <row r="5983">
      <c r="A5983" s="1"/>
    </row>
    <row r="5984">
      <c r="A5984" s="1"/>
    </row>
    <row r="5985">
      <c r="A5985" s="1"/>
    </row>
    <row r="5986">
      <c r="A5986" s="1"/>
    </row>
    <row r="5987">
      <c r="A5987" s="1"/>
    </row>
    <row r="5988">
      <c r="A5988" s="1"/>
    </row>
    <row r="5989">
      <c r="A5989" s="1"/>
    </row>
    <row r="5990">
      <c r="A5990" s="1"/>
    </row>
    <row r="5991">
      <c r="A5991" s="1"/>
    </row>
    <row r="5992">
      <c r="A5992" s="1"/>
    </row>
    <row r="5993">
      <c r="A5993" s="1"/>
    </row>
    <row r="5994">
      <c r="A5994" s="1"/>
    </row>
    <row r="5995">
      <c r="A5995" s="1"/>
    </row>
    <row r="5996">
      <c r="A5996" s="1"/>
    </row>
    <row r="5997">
      <c r="A5997" s="1"/>
    </row>
    <row r="5998">
      <c r="A5998" s="1"/>
    </row>
    <row r="5999">
      <c r="A5999" s="1"/>
    </row>
    <row r="6000">
      <c r="A6000" s="1"/>
    </row>
    <row r="6001">
      <c r="A6001" s="1"/>
    </row>
    <row r="6002">
      <c r="A6002" s="1"/>
    </row>
    <row r="6003">
      <c r="A6003" s="1"/>
    </row>
    <row r="6004">
      <c r="A6004" s="1"/>
    </row>
    <row r="6005">
      <c r="A6005" s="1"/>
    </row>
    <row r="6006">
      <c r="A6006" s="1"/>
    </row>
    <row r="6007">
      <c r="A6007" s="1"/>
    </row>
    <row r="6008">
      <c r="A6008" s="1"/>
    </row>
    <row r="6009">
      <c r="A6009" s="1"/>
    </row>
    <row r="6010">
      <c r="A6010" s="1"/>
    </row>
    <row r="6011">
      <c r="A6011" s="1"/>
    </row>
    <row r="6012">
      <c r="A6012" s="1"/>
    </row>
    <row r="6013">
      <c r="A6013" s="1"/>
    </row>
    <row r="6014">
      <c r="A6014" s="1"/>
    </row>
    <row r="6015">
      <c r="A6015" s="1"/>
    </row>
    <row r="6016">
      <c r="A6016" s="1"/>
    </row>
    <row r="6017">
      <c r="A6017" s="1"/>
    </row>
    <row r="6018">
      <c r="A6018" s="1"/>
    </row>
    <row r="6019">
      <c r="A6019" s="1"/>
    </row>
    <row r="6020">
      <c r="A6020" s="1"/>
    </row>
    <row r="6021">
      <c r="A6021" s="1"/>
    </row>
    <row r="6022">
      <c r="A6022" s="1"/>
    </row>
    <row r="6023">
      <c r="A6023" s="1"/>
    </row>
    <row r="6024">
      <c r="A6024" s="1"/>
    </row>
    <row r="6025">
      <c r="A6025" s="1"/>
    </row>
    <row r="6026">
      <c r="A6026" s="1"/>
    </row>
    <row r="6027">
      <c r="A6027" s="1"/>
    </row>
    <row r="6028">
      <c r="A6028" s="1"/>
    </row>
    <row r="6029">
      <c r="A6029" s="1"/>
    </row>
    <row r="6030">
      <c r="A6030" s="1"/>
    </row>
    <row r="6031">
      <c r="A6031" s="1"/>
    </row>
    <row r="6032">
      <c r="A6032" s="1"/>
    </row>
    <row r="6033">
      <c r="A6033" s="1"/>
    </row>
    <row r="6034">
      <c r="A6034" s="1"/>
    </row>
    <row r="6035">
      <c r="A6035" s="1"/>
    </row>
    <row r="6036">
      <c r="A6036" s="1"/>
    </row>
    <row r="6037">
      <c r="A6037" s="1"/>
    </row>
    <row r="6038">
      <c r="A6038" s="1"/>
    </row>
    <row r="6039">
      <c r="A6039" s="1"/>
    </row>
    <row r="6040">
      <c r="A6040" s="1"/>
    </row>
    <row r="6041">
      <c r="A6041" s="1"/>
    </row>
    <row r="6042">
      <c r="A6042" s="1"/>
    </row>
    <row r="6043">
      <c r="A6043" s="1"/>
    </row>
    <row r="6044">
      <c r="A6044" s="1"/>
    </row>
    <row r="6045">
      <c r="A6045" s="1"/>
    </row>
    <row r="6046">
      <c r="A6046" s="1"/>
    </row>
    <row r="6047">
      <c r="A6047" s="1"/>
    </row>
    <row r="6048">
      <c r="A6048" s="1"/>
    </row>
    <row r="6049">
      <c r="A6049" s="1"/>
    </row>
    <row r="6050">
      <c r="A6050" s="1"/>
    </row>
    <row r="6051">
      <c r="A6051" s="1"/>
    </row>
    <row r="6052">
      <c r="A6052" s="1"/>
    </row>
    <row r="6053">
      <c r="A6053" s="1"/>
    </row>
    <row r="6054">
      <c r="A6054" s="1"/>
    </row>
    <row r="6055">
      <c r="A6055" s="1"/>
    </row>
    <row r="6056">
      <c r="A6056" s="1"/>
    </row>
    <row r="6057">
      <c r="A6057" s="1"/>
    </row>
    <row r="6058">
      <c r="A6058" s="1"/>
    </row>
    <row r="6059">
      <c r="A6059" s="1"/>
    </row>
    <row r="6060">
      <c r="A6060" s="1"/>
    </row>
    <row r="6061">
      <c r="A6061" s="1"/>
    </row>
    <row r="6062">
      <c r="A6062" s="1"/>
    </row>
    <row r="6063">
      <c r="A6063" s="1"/>
    </row>
    <row r="6064">
      <c r="A6064" s="1"/>
    </row>
    <row r="6065">
      <c r="A6065" s="1"/>
    </row>
    <row r="6066">
      <c r="A6066" s="1"/>
    </row>
    <row r="6067">
      <c r="A6067" s="1"/>
    </row>
    <row r="6068">
      <c r="A6068" s="1"/>
    </row>
    <row r="6069">
      <c r="A6069" s="1"/>
    </row>
    <row r="6070">
      <c r="A6070" s="1"/>
    </row>
    <row r="6071">
      <c r="A6071" s="1"/>
    </row>
    <row r="6072">
      <c r="A6072" s="1"/>
    </row>
    <row r="6073">
      <c r="A6073" s="1"/>
    </row>
    <row r="6074">
      <c r="A6074" s="1"/>
    </row>
    <row r="6075">
      <c r="A6075" s="1"/>
    </row>
    <row r="6076">
      <c r="A6076" s="1"/>
    </row>
    <row r="6077">
      <c r="A6077" s="1"/>
    </row>
    <row r="6078">
      <c r="A6078" s="1"/>
    </row>
    <row r="6079">
      <c r="A6079" s="1"/>
    </row>
    <row r="6080">
      <c r="A6080" s="1"/>
    </row>
    <row r="6081">
      <c r="A6081" s="1"/>
    </row>
    <row r="6082">
      <c r="A6082" s="1"/>
    </row>
    <row r="6083">
      <c r="A6083" s="1"/>
    </row>
    <row r="6084">
      <c r="A6084" s="1"/>
    </row>
    <row r="6085">
      <c r="A6085" s="1"/>
    </row>
    <row r="6086">
      <c r="A6086" s="1"/>
    </row>
    <row r="6087">
      <c r="A6087" s="1"/>
    </row>
    <row r="6088">
      <c r="A6088" s="1"/>
    </row>
    <row r="6089">
      <c r="A6089" s="1"/>
    </row>
    <row r="6090">
      <c r="A6090" s="1"/>
    </row>
    <row r="6091">
      <c r="A6091" s="1"/>
    </row>
    <row r="6092">
      <c r="A6092" s="1"/>
    </row>
    <row r="6093">
      <c r="A6093" s="1"/>
    </row>
    <row r="6094">
      <c r="A6094" s="1"/>
    </row>
    <row r="6095">
      <c r="A6095" s="1"/>
    </row>
    <row r="6096">
      <c r="A6096" s="1"/>
    </row>
    <row r="6097">
      <c r="A6097" s="1"/>
    </row>
    <row r="6098">
      <c r="A6098" s="1"/>
    </row>
    <row r="6099">
      <c r="A6099" s="1"/>
    </row>
    <row r="6100">
      <c r="A6100" s="1"/>
    </row>
    <row r="6101">
      <c r="A6101" s="1"/>
    </row>
    <row r="6102">
      <c r="A6102" s="1"/>
    </row>
    <row r="6103">
      <c r="A6103" s="1"/>
    </row>
    <row r="6104">
      <c r="A6104" s="1"/>
    </row>
    <row r="6105">
      <c r="A6105" s="1"/>
    </row>
    <row r="6106">
      <c r="A6106" s="1"/>
    </row>
    <row r="6107">
      <c r="A6107" s="1"/>
    </row>
    <row r="6108">
      <c r="A6108" s="1"/>
    </row>
    <row r="6109">
      <c r="A6109" s="1"/>
    </row>
    <row r="6110">
      <c r="A6110" s="1"/>
    </row>
    <row r="6111">
      <c r="A6111" s="1"/>
    </row>
    <row r="6112">
      <c r="A6112" s="1"/>
    </row>
    <row r="6113">
      <c r="A6113" s="1"/>
    </row>
    <row r="6114">
      <c r="A6114" s="1"/>
    </row>
    <row r="6115">
      <c r="A6115" s="1"/>
    </row>
    <row r="6116">
      <c r="A6116" s="1"/>
    </row>
    <row r="6117">
      <c r="A6117" s="1"/>
    </row>
    <row r="6118">
      <c r="A6118" s="1"/>
    </row>
    <row r="6119">
      <c r="A6119" s="1"/>
    </row>
    <row r="6120">
      <c r="A6120" s="1"/>
    </row>
    <row r="6121">
      <c r="A6121" s="1"/>
    </row>
    <row r="6122">
      <c r="A6122" s="1"/>
    </row>
    <row r="6123">
      <c r="A6123" s="1"/>
    </row>
    <row r="6124">
      <c r="A6124" s="1"/>
    </row>
    <row r="6125">
      <c r="A6125" s="1"/>
    </row>
    <row r="6126">
      <c r="A6126" s="1"/>
    </row>
    <row r="6127">
      <c r="A6127" s="1"/>
    </row>
    <row r="6128">
      <c r="A6128" s="1"/>
    </row>
    <row r="6129">
      <c r="A6129" s="1"/>
    </row>
    <row r="6130">
      <c r="A6130" s="1"/>
    </row>
    <row r="6131">
      <c r="A6131" s="1"/>
    </row>
    <row r="6132">
      <c r="A6132" s="1"/>
    </row>
    <row r="6133">
      <c r="A6133" s="1"/>
    </row>
    <row r="6134">
      <c r="A6134" s="1"/>
    </row>
    <row r="6135">
      <c r="A6135" s="1"/>
    </row>
    <row r="6136">
      <c r="A6136" s="1"/>
    </row>
    <row r="6137">
      <c r="A6137" s="1"/>
    </row>
    <row r="6138">
      <c r="A6138" s="1"/>
    </row>
    <row r="6139">
      <c r="A6139" s="1"/>
    </row>
    <row r="6140">
      <c r="A6140" s="1"/>
    </row>
    <row r="6141">
      <c r="A6141" s="1"/>
    </row>
    <row r="6142">
      <c r="A6142" s="1"/>
    </row>
    <row r="6143">
      <c r="A6143" s="1"/>
    </row>
    <row r="6144">
      <c r="A6144" s="1"/>
    </row>
    <row r="6145">
      <c r="A6145" s="1"/>
    </row>
    <row r="6146">
      <c r="A6146" s="1"/>
    </row>
    <row r="6147">
      <c r="A6147" s="1"/>
    </row>
    <row r="6148">
      <c r="A6148" s="1"/>
    </row>
    <row r="6149">
      <c r="A6149" s="1"/>
    </row>
    <row r="6150">
      <c r="A6150" s="1"/>
    </row>
    <row r="6151">
      <c r="A6151" s="1"/>
    </row>
    <row r="6152">
      <c r="A6152" s="1"/>
    </row>
    <row r="6153">
      <c r="A6153" s="1"/>
    </row>
    <row r="6154">
      <c r="A6154" s="1"/>
    </row>
    <row r="6155">
      <c r="A6155" s="1"/>
    </row>
    <row r="6156">
      <c r="A6156" s="1"/>
    </row>
    <row r="6157">
      <c r="A6157" s="1"/>
    </row>
    <row r="6158">
      <c r="A6158" s="1"/>
    </row>
    <row r="6159">
      <c r="A6159" s="1"/>
    </row>
    <row r="6160">
      <c r="A6160" s="1"/>
    </row>
    <row r="6161">
      <c r="A6161" s="1"/>
    </row>
    <row r="6162">
      <c r="A6162" s="1"/>
    </row>
    <row r="6163">
      <c r="A6163" s="1"/>
    </row>
    <row r="6164">
      <c r="A6164" s="1"/>
    </row>
    <row r="6165">
      <c r="A6165" s="1"/>
    </row>
    <row r="6166">
      <c r="A6166" s="1"/>
    </row>
    <row r="6167">
      <c r="A6167" s="1"/>
    </row>
    <row r="6168">
      <c r="A6168" s="1"/>
    </row>
    <row r="6169">
      <c r="A6169" s="1"/>
    </row>
    <row r="6170">
      <c r="A6170" s="1"/>
    </row>
    <row r="6171">
      <c r="A6171" s="1"/>
    </row>
    <row r="6172">
      <c r="A6172" s="1"/>
    </row>
    <row r="6173">
      <c r="A6173" s="1"/>
    </row>
    <row r="6174">
      <c r="A6174" s="1"/>
    </row>
    <row r="6175">
      <c r="A6175" s="1"/>
    </row>
    <row r="6176">
      <c r="A6176" s="1"/>
    </row>
    <row r="6177">
      <c r="A6177" s="1"/>
    </row>
    <row r="6178">
      <c r="A6178" s="1"/>
    </row>
    <row r="6179">
      <c r="A6179" s="1"/>
    </row>
    <row r="6180">
      <c r="A6180" s="1"/>
    </row>
    <row r="6181">
      <c r="A6181" s="1"/>
    </row>
    <row r="6182">
      <c r="A6182" s="1"/>
    </row>
    <row r="6183">
      <c r="A6183" s="1"/>
    </row>
    <row r="6184">
      <c r="A6184" s="1"/>
    </row>
    <row r="6185">
      <c r="A6185" s="1"/>
    </row>
    <row r="6186">
      <c r="A6186" s="1"/>
    </row>
    <row r="6187">
      <c r="A6187" s="1"/>
    </row>
    <row r="6188">
      <c r="A6188" s="1"/>
    </row>
    <row r="6189">
      <c r="A6189" s="1"/>
    </row>
    <row r="6190">
      <c r="A6190" s="1"/>
    </row>
    <row r="6191">
      <c r="A6191" s="1"/>
    </row>
    <row r="6192">
      <c r="A6192" s="1"/>
    </row>
    <row r="6193">
      <c r="A6193" s="1"/>
    </row>
    <row r="6194">
      <c r="A6194" s="1"/>
    </row>
    <row r="6195">
      <c r="A6195" s="1"/>
    </row>
    <row r="6196">
      <c r="A6196" s="1"/>
    </row>
    <row r="6197">
      <c r="A6197" s="1"/>
    </row>
    <row r="6198">
      <c r="A6198" s="1"/>
    </row>
    <row r="6199">
      <c r="A6199" s="1"/>
    </row>
    <row r="6200">
      <c r="A6200" s="1"/>
    </row>
    <row r="6201">
      <c r="A6201" s="1"/>
    </row>
    <row r="6202">
      <c r="A6202" s="1"/>
    </row>
    <row r="6203">
      <c r="A6203" s="1"/>
    </row>
    <row r="6204">
      <c r="A6204" s="1"/>
    </row>
    <row r="6205">
      <c r="A6205" s="1"/>
    </row>
    <row r="6206">
      <c r="A6206" s="1"/>
    </row>
    <row r="6207">
      <c r="A6207" s="1"/>
    </row>
    <row r="6208">
      <c r="A6208" s="1"/>
    </row>
    <row r="6209">
      <c r="A6209" s="1"/>
    </row>
    <row r="6210">
      <c r="A6210" s="1"/>
    </row>
    <row r="6211">
      <c r="A6211" s="1"/>
    </row>
    <row r="6212">
      <c r="A6212" s="1"/>
    </row>
    <row r="6213">
      <c r="A6213" s="1"/>
    </row>
    <row r="6214">
      <c r="A6214" s="1"/>
    </row>
    <row r="6215">
      <c r="A6215" s="1"/>
    </row>
    <row r="6216">
      <c r="A6216" s="1"/>
    </row>
    <row r="6217">
      <c r="A6217" s="1"/>
    </row>
    <row r="6218">
      <c r="A6218" s="1"/>
    </row>
    <row r="6219">
      <c r="A6219" s="1"/>
    </row>
    <row r="6220">
      <c r="A6220" s="1"/>
    </row>
    <row r="6221">
      <c r="A6221" s="1"/>
    </row>
    <row r="6222">
      <c r="A6222" s="1"/>
    </row>
    <row r="6223">
      <c r="A6223" s="1"/>
    </row>
    <row r="6224">
      <c r="A6224" s="1"/>
    </row>
    <row r="6225">
      <c r="A6225" s="1"/>
    </row>
    <row r="6226">
      <c r="A6226" s="1"/>
    </row>
    <row r="6227">
      <c r="A6227" s="1"/>
    </row>
    <row r="6228">
      <c r="A6228" s="1"/>
    </row>
    <row r="6229">
      <c r="A6229" s="1"/>
    </row>
    <row r="6230">
      <c r="A6230" s="1"/>
    </row>
    <row r="6231">
      <c r="A6231" s="1"/>
    </row>
    <row r="6232">
      <c r="A6232" s="1"/>
    </row>
    <row r="6233">
      <c r="A6233" s="1"/>
    </row>
    <row r="6234">
      <c r="A6234" s="1"/>
    </row>
    <row r="6235">
      <c r="A6235" s="1"/>
    </row>
    <row r="6236">
      <c r="A6236" s="1"/>
    </row>
    <row r="6237">
      <c r="A6237" s="1"/>
    </row>
    <row r="6238">
      <c r="A6238" s="1"/>
    </row>
    <row r="6239">
      <c r="A6239" s="1"/>
    </row>
    <row r="6240">
      <c r="A6240" s="1"/>
    </row>
    <row r="6241">
      <c r="A6241" s="1"/>
    </row>
    <row r="6242">
      <c r="A6242" s="1"/>
    </row>
    <row r="6243">
      <c r="A6243" s="1"/>
    </row>
    <row r="6244">
      <c r="A6244" s="1"/>
    </row>
    <row r="6245">
      <c r="A6245" s="1"/>
    </row>
    <row r="6246">
      <c r="A6246" s="1"/>
    </row>
    <row r="6247">
      <c r="A6247" s="1"/>
    </row>
    <row r="6248">
      <c r="A6248" s="1"/>
    </row>
    <row r="6249">
      <c r="A6249" s="1"/>
    </row>
    <row r="6250">
      <c r="A6250" s="1"/>
    </row>
    <row r="6251">
      <c r="A6251" s="1"/>
    </row>
    <row r="6252">
      <c r="A6252" s="1"/>
    </row>
    <row r="6253">
      <c r="A6253" s="1"/>
    </row>
    <row r="6254">
      <c r="A6254" s="1"/>
    </row>
    <row r="6255">
      <c r="A6255" s="1"/>
    </row>
    <row r="6256">
      <c r="A6256" s="1"/>
    </row>
    <row r="6257">
      <c r="A6257" s="1"/>
    </row>
    <row r="6258">
      <c r="A6258" s="1"/>
    </row>
    <row r="6259">
      <c r="A6259" s="1"/>
    </row>
    <row r="6260">
      <c r="A6260" s="1"/>
    </row>
    <row r="6261">
      <c r="A6261" s="1"/>
    </row>
    <row r="6262">
      <c r="A6262" s="1"/>
    </row>
    <row r="6263">
      <c r="A6263" s="1"/>
    </row>
    <row r="6264">
      <c r="A6264" s="1"/>
    </row>
    <row r="6265">
      <c r="A6265" s="1"/>
    </row>
    <row r="6266">
      <c r="A6266" s="1"/>
    </row>
    <row r="6267">
      <c r="A6267" s="1"/>
    </row>
    <row r="6268">
      <c r="A6268" s="1"/>
    </row>
    <row r="6269">
      <c r="A6269" s="1"/>
    </row>
    <row r="6270">
      <c r="A6270" s="1"/>
    </row>
    <row r="6271">
      <c r="A6271" s="1"/>
    </row>
    <row r="6272">
      <c r="A6272" s="1"/>
    </row>
    <row r="6273">
      <c r="A6273" s="1"/>
    </row>
    <row r="6274">
      <c r="A6274" s="1"/>
    </row>
    <row r="6275">
      <c r="A6275" s="1"/>
    </row>
    <row r="6276">
      <c r="A6276" s="1"/>
    </row>
    <row r="6277">
      <c r="A6277" s="1"/>
    </row>
    <row r="6278">
      <c r="A6278" s="1"/>
    </row>
    <row r="6279">
      <c r="A6279" s="1"/>
    </row>
    <row r="6280">
      <c r="A6280" s="1"/>
    </row>
    <row r="6281">
      <c r="A6281" s="1"/>
    </row>
    <row r="6282">
      <c r="A6282" s="1"/>
    </row>
    <row r="6283">
      <c r="A6283" s="1"/>
    </row>
    <row r="6284">
      <c r="A6284" s="1"/>
    </row>
    <row r="6285">
      <c r="A6285" s="1"/>
    </row>
    <row r="6286">
      <c r="A6286" s="1"/>
    </row>
    <row r="6287">
      <c r="A6287" s="1"/>
    </row>
    <row r="6288">
      <c r="A6288" s="1"/>
    </row>
    <row r="6289">
      <c r="A6289" s="1"/>
    </row>
    <row r="6290">
      <c r="A6290" s="1"/>
    </row>
    <row r="6291">
      <c r="A6291" s="1"/>
    </row>
    <row r="6292">
      <c r="A6292" s="1"/>
    </row>
    <row r="6293">
      <c r="A6293" s="1"/>
    </row>
    <row r="6294">
      <c r="A6294" s="1"/>
    </row>
    <row r="6295">
      <c r="A6295" s="1"/>
    </row>
    <row r="6296">
      <c r="A6296" s="1"/>
    </row>
    <row r="6297">
      <c r="A6297" s="1"/>
    </row>
    <row r="6298">
      <c r="A6298" s="1"/>
    </row>
    <row r="6299">
      <c r="A6299" s="1"/>
    </row>
    <row r="6300">
      <c r="A6300" s="1"/>
    </row>
    <row r="6301">
      <c r="A6301" s="1"/>
    </row>
    <row r="6302">
      <c r="A6302" s="1"/>
    </row>
    <row r="6303">
      <c r="A6303" s="1"/>
    </row>
    <row r="6304">
      <c r="A6304" s="1"/>
    </row>
    <row r="6305">
      <c r="A6305" s="1"/>
    </row>
    <row r="6306">
      <c r="A6306" s="1"/>
    </row>
    <row r="6307">
      <c r="A6307" s="1"/>
    </row>
    <row r="6308">
      <c r="A6308" s="1"/>
    </row>
    <row r="6309">
      <c r="A6309" s="1"/>
    </row>
    <row r="6310">
      <c r="A6310" s="1"/>
    </row>
    <row r="6311">
      <c r="A6311" s="1"/>
    </row>
    <row r="6312">
      <c r="A6312" s="1"/>
    </row>
    <row r="6313">
      <c r="A6313" s="1"/>
    </row>
    <row r="6314">
      <c r="A6314" s="1"/>
    </row>
    <row r="6315">
      <c r="A6315" s="1"/>
    </row>
    <row r="6316">
      <c r="A6316" s="1"/>
    </row>
    <row r="6317">
      <c r="A6317" s="1"/>
    </row>
    <row r="6318">
      <c r="A6318" s="1"/>
    </row>
    <row r="6319">
      <c r="A6319" s="1"/>
    </row>
    <row r="6320">
      <c r="A6320" s="1"/>
    </row>
    <row r="6321">
      <c r="A6321" s="1"/>
    </row>
    <row r="6322">
      <c r="A6322" s="1"/>
    </row>
    <row r="6323">
      <c r="A6323" s="1"/>
    </row>
    <row r="6324">
      <c r="A6324" s="1"/>
    </row>
    <row r="6325">
      <c r="A6325" s="1"/>
    </row>
    <row r="6326">
      <c r="A6326" s="1"/>
    </row>
    <row r="6327">
      <c r="A6327" s="1"/>
    </row>
    <row r="6328">
      <c r="A6328" s="1"/>
    </row>
    <row r="6329">
      <c r="A6329" s="1"/>
    </row>
    <row r="6330">
      <c r="A6330" s="1"/>
    </row>
    <row r="6331">
      <c r="A6331" s="1"/>
    </row>
    <row r="6332">
      <c r="A6332" s="1"/>
    </row>
    <row r="6333">
      <c r="A6333" s="1"/>
    </row>
    <row r="6334">
      <c r="A6334" s="1"/>
    </row>
    <row r="6335">
      <c r="A6335" s="1"/>
    </row>
    <row r="6336">
      <c r="A6336" s="1"/>
    </row>
    <row r="6337">
      <c r="A6337" s="1"/>
    </row>
    <row r="6338">
      <c r="A6338" s="1"/>
    </row>
    <row r="6339">
      <c r="A6339" s="1"/>
    </row>
    <row r="6340">
      <c r="A6340" s="1"/>
    </row>
    <row r="6341">
      <c r="A6341" s="1"/>
    </row>
    <row r="6342">
      <c r="A6342" s="1"/>
    </row>
    <row r="6343">
      <c r="A6343" s="1"/>
    </row>
    <row r="6344">
      <c r="A6344" s="1"/>
    </row>
    <row r="6345">
      <c r="A6345" s="1"/>
    </row>
    <row r="6346">
      <c r="A6346" s="1"/>
    </row>
    <row r="6347">
      <c r="A6347" s="1"/>
    </row>
    <row r="6348">
      <c r="A6348" s="1"/>
    </row>
    <row r="6349">
      <c r="A6349" s="1"/>
    </row>
    <row r="6350">
      <c r="A6350" s="1"/>
    </row>
    <row r="6351">
      <c r="A6351" s="1"/>
    </row>
    <row r="6352">
      <c r="A6352" s="1"/>
    </row>
    <row r="6353">
      <c r="A6353" s="1"/>
    </row>
    <row r="6354">
      <c r="A6354" s="1"/>
    </row>
    <row r="6355">
      <c r="A6355" s="1"/>
    </row>
    <row r="6356">
      <c r="A6356" s="1"/>
    </row>
    <row r="6357">
      <c r="A6357" s="1"/>
    </row>
    <row r="6358">
      <c r="A6358" s="1"/>
    </row>
    <row r="6359">
      <c r="A6359" s="1"/>
    </row>
    <row r="6360">
      <c r="A6360" s="1"/>
    </row>
    <row r="6361">
      <c r="A6361" s="1"/>
    </row>
    <row r="6362">
      <c r="A6362" s="1"/>
    </row>
    <row r="6363">
      <c r="A6363" s="1"/>
    </row>
    <row r="6364">
      <c r="A6364" s="1"/>
    </row>
    <row r="6365">
      <c r="A6365" s="1"/>
    </row>
    <row r="6366">
      <c r="A6366" s="1"/>
    </row>
    <row r="6367">
      <c r="A6367" s="1"/>
    </row>
    <row r="6368">
      <c r="A6368" s="1"/>
    </row>
    <row r="6369">
      <c r="A6369" s="1"/>
    </row>
    <row r="6370">
      <c r="A6370" s="1"/>
    </row>
    <row r="6371">
      <c r="A6371" s="1"/>
    </row>
    <row r="6372">
      <c r="A6372" s="1"/>
    </row>
    <row r="6373">
      <c r="A6373" s="1"/>
    </row>
    <row r="6374">
      <c r="A6374" s="1"/>
    </row>
    <row r="6375">
      <c r="A6375" s="1"/>
    </row>
    <row r="6376">
      <c r="A6376" s="1"/>
    </row>
    <row r="6377">
      <c r="A6377" s="1"/>
    </row>
    <row r="6378">
      <c r="A6378" s="1"/>
    </row>
    <row r="6379">
      <c r="A6379" s="1"/>
    </row>
    <row r="6380">
      <c r="A6380" s="1"/>
    </row>
    <row r="6381">
      <c r="A6381" s="1"/>
    </row>
    <row r="6382">
      <c r="A6382" s="1"/>
    </row>
    <row r="6383">
      <c r="A6383" s="1"/>
    </row>
    <row r="6384">
      <c r="A6384" s="1"/>
    </row>
    <row r="6385">
      <c r="A6385" s="1"/>
    </row>
    <row r="6386">
      <c r="A6386" s="1"/>
    </row>
    <row r="6387">
      <c r="A6387" s="1"/>
    </row>
    <row r="6388">
      <c r="A6388" s="1"/>
    </row>
    <row r="6389">
      <c r="A6389" s="1"/>
    </row>
    <row r="6390">
      <c r="A6390" s="1"/>
    </row>
    <row r="6391">
      <c r="A6391" s="1"/>
    </row>
    <row r="6392">
      <c r="A6392" s="1"/>
    </row>
    <row r="6393">
      <c r="A6393" s="1"/>
    </row>
    <row r="6394">
      <c r="A6394" s="1"/>
    </row>
    <row r="6395">
      <c r="A6395" s="1"/>
    </row>
    <row r="6396">
      <c r="A6396" s="1"/>
    </row>
    <row r="6397">
      <c r="A6397" s="1"/>
    </row>
    <row r="6398">
      <c r="A6398" s="1"/>
    </row>
    <row r="6399">
      <c r="A6399" s="1"/>
    </row>
    <row r="6400">
      <c r="A6400" s="1"/>
    </row>
    <row r="6401">
      <c r="A6401" s="1"/>
    </row>
    <row r="6402">
      <c r="A6402" s="1"/>
    </row>
    <row r="6403">
      <c r="A6403" s="1"/>
    </row>
    <row r="6404">
      <c r="A6404" s="1"/>
    </row>
    <row r="6405">
      <c r="A6405" s="1"/>
    </row>
    <row r="6406">
      <c r="A6406" s="1"/>
    </row>
    <row r="6407">
      <c r="A6407" s="1"/>
    </row>
    <row r="6408">
      <c r="A6408" s="1"/>
    </row>
    <row r="6409">
      <c r="A6409" s="1"/>
    </row>
    <row r="6410">
      <c r="A6410" s="1"/>
    </row>
    <row r="6411">
      <c r="A6411" s="1"/>
    </row>
    <row r="6412">
      <c r="A6412" s="1"/>
    </row>
    <row r="6413">
      <c r="A6413" s="1"/>
    </row>
    <row r="6414">
      <c r="A6414" s="1"/>
    </row>
    <row r="6415">
      <c r="A6415" s="1"/>
    </row>
    <row r="6416">
      <c r="A6416" s="1"/>
    </row>
    <row r="6417">
      <c r="A6417" s="1"/>
    </row>
    <row r="6418">
      <c r="A6418" s="1"/>
    </row>
    <row r="6419">
      <c r="A6419" s="1"/>
    </row>
    <row r="6420">
      <c r="A6420" s="1"/>
    </row>
    <row r="6421">
      <c r="A6421" s="1"/>
    </row>
    <row r="6422">
      <c r="A6422" s="1"/>
    </row>
    <row r="6423">
      <c r="A6423" s="1"/>
    </row>
    <row r="6424">
      <c r="A6424" s="1"/>
    </row>
    <row r="6425">
      <c r="A6425" s="1"/>
    </row>
    <row r="6426">
      <c r="A6426" s="1"/>
    </row>
    <row r="6427">
      <c r="A6427" s="1"/>
    </row>
    <row r="6428">
      <c r="A6428" s="1"/>
    </row>
    <row r="6429">
      <c r="A6429" s="1"/>
    </row>
    <row r="6430">
      <c r="A6430" s="1"/>
    </row>
    <row r="6431">
      <c r="A6431" s="1"/>
    </row>
    <row r="6432">
      <c r="A6432" s="1"/>
    </row>
    <row r="6433">
      <c r="A6433" s="1"/>
    </row>
    <row r="6434">
      <c r="A6434" s="1"/>
    </row>
    <row r="6435">
      <c r="A6435" s="1"/>
    </row>
    <row r="6436">
      <c r="A6436" s="1"/>
    </row>
    <row r="6437">
      <c r="A6437" s="1"/>
    </row>
    <row r="6438">
      <c r="A6438" s="1"/>
    </row>
    <row r="6439">
      <c r="A6439" s="1"/>
    </row>
    <row r="6440">
      <c r="A6440" s="1"/>
    </row>
    <row r="6441">
      <c r="A6441" s="1"/>
    </row>
    <row r="6442">
      <c r="A6442" s="1"/>
    </row>
    <row r="6443">
      <c r="A6443" s="1"/>
    </row>
    <row r="6444">
      <c r="A6444" s="1"/>
    </row>
    <row r="6445">
      <c r="A6445" s="1"/>
    </row>
    <row r="6446">
      <c r="A6446" s="1"/>
    </row>
    <row r="6447">
      <c r="A6447" s="1"/>
    </row>
    <row r="6448">
      <c r="A6448" s="1"/>
    </row>
    <row r="6449">
      <c r="A6449" s="1"/>
    </row>
    <row r="6450">
      <c r="A6450" s="1"/>
    </row>
    <row r="6451">
      <c r="A6451" s="1"/>
    </row>
    <row r="6452">
      <c r="A6452" s="1"/>
    </row>
    <row r="6453">
      <c r="A6453" s="1"/>
    </row>
    <row r="6454">
      <c r="A6454" s="1"/>
    </row>
    <row r="6455">
      <c r="A6455" s="1"/>
    </row>
    <row r="6456">
      <c r="A6456" s="1"/>
    </row>
    <row r="6457">
      <c r="A6457" s="1"/>
    </row>
    <row r="6458">
      <c r="A6458" s="1"/>
    </row>
    <row r="6459">
      <c r="A6459" s="1"/>
    </row>
    <row r="6460">
      <c r="A6460" s="1"/>
    </row>
    <row r="6461">
      <c r="A6461" s="1"/>
    </row>
    <row r="6462">
      <c r="A6462" s="1"/>
    </row>
    <row r="6463">
      <c r="A6463" s="1"/>
    </row>
    <row r="6464">
      <c r="A6464" s="1"/>
    </row>
    <row r="6465">
      <c r="A6465" s="1"/>
    </row>
    <row r="6466">
      <c r="A6466" s="1"/>
    </row>
    <row r="6467">
      <c r="A6467" s="1"/>
    </row>
    <row r="6468">
      <c r="A6468" s="1"/>
    </row>
    <row r="6469">
      <c r="A6469" s="1"/>
    </row>
    <row r="6470">
      <c r="A6470" s="1"/>
    </row>
    <row r="6471">
      <c r="A6471" s="1"/>
    </row>
    <row r="6472">
      <c r="A6472" s="1"/>
    </row>
    <row r="6473">
      <c r="A6473" s="1"/>
    </row>
    <row r="6474">
      <c r="A6474" s="1"/>
    </row>
    <row r="6475">
      <c r="A6475" s="1"/>
    </row>
    <row r="6476">
      <c r="A6476" s="1"/>
    </row>
    <row r="6477">
      <c r="A6477" s="1"/>
    </row>
    <row r="6478">
      <c r="A6478" s="1"/>
    </row>
    <row r="6479">
      <c r="A6479" s="1"/>
    </row>
    <row r="6480">
      <c r="A6480" s="1"/>
    </row>
    <row r="6481">
      <c r="A6481" s="1"/>
    </row>
    <row r="6482">
      <c r="A6482" s="1"/>
    </row>
    <row r="6483">
      <c r="A6483" s="1"/>
    </row>
    <row r="6484">
      <c r="A6484" s="1"/>
    </row>
    <row r="6485">
      <c r="A6485" s="1"/>
    </row>
    <row r="6486">
      <c r="A6486" s="1"/>
    </row>
    <row r="6487">
      <c r="A6487" s="1"/>
    </row>
    <row r="6488">
      <c r="A6488" s="1"/>
    </row>
    <row r="6489">
      <c r="A6489" s="1"/>
    </row>
    <row r="6490">
      <c r="A6490" s="1"/>
    </row>
    <row r="6491">
      <c r="A6491" s="1"/>
    </row>
    <row r="6492">
      <c r="A6492" s="1"/>
    </row>
    <row r="6493">
      <c r="A6493" s="1"/>
    </row>
    <row r="6494">
      <c r="A6494" s="1"/>
    </row>
    <row r="6495">
      <c r="A6495" s="1"/>
    </row>
    <row r="6496">
      <c r="A6496" s="1"/>
    </row>
    <row r="6497">
      <c r="A6497" s="1"/>
    </row>
    <row r="6498">
      <c r="A6498" s="1"/>
    </row>
    <row r="6499">
      <c r="A6499" s="1"/>
    </row>
    <row r="6500">
      <c r="A6500" s="1"/>
    </row>
    <row r="6501">
      <c r="A6501" s="1"/>
    </row>
    <row r="6502">
      <c r="A6502" s="1"/>
    </row>
    <row r="6503">
      <c r="A6503" s="1"/>
    </row>
    <row r="6504">
      <c r="A6504" s="1"/>
    </row>
    <row r="6505">
      <c r="A6505" s="1"/>
    </row>
    <row r="6506">
      <c r="A6506" s="1"/>
    </row>
    <row r="6507">
      <c r="A6507" s="1"/>
    </row>
    <row r="6508">
      <c r="A6508" s="1"/>
    </row>
    <row r="6509">
      <c r="A6509" s="1"/>
    </row>
    <row r="6510">
      <c r="A6510" s="1"/>
    </row>
    <row r="6511">
      <c r="A6511" s="1"/>
    </row>
    <row r="6512">
      <c r="A6512" s="1"/>
      <c r="B6512" s="4"/>
    </row>
    <row r="6513">
      <c r="A6513" s="1"/>
      <c r="B6513" s="4"/>
    </row>
    <row r="6514">
      <c r="A6514" s="1"/>
      <c r="B6514" s="4"/>
    </row>
    <row r="6515">
      <c r="A6515" s="1"/>
      <c r="B6515" s="4"/>
    </row>
    <row r="6516">
      <c r="A6516" s="1"/>
      <c r="B6516" s="4"/>
    </row>
    <row r="6517">
      <c r="A6517" s="1"/>
      <c r="B6517" s="4"/>
    </row>
    <row r="6518">
      <c r="A6518" s="1"/>
      <c r="B6518" s="4"/>
    </row>
    <row r="6519">
      <c r="A6519" s="1"/>
      <c r="B6519" s="4"/>
    </row>
    <row r="6520">
      <c r="A6520" s="1"/>
      <c r="B6520" s="4"/>
    </row>
    <row r="6521">
      <c r="A6521" s="1"/>
      <c r="B6521" s="4"/>
    </row>
    <row r="6522">
      <c r="A6522" s="1"/>
      <c r="B6522" s="4"/>
    </row>
    <row r="6523">
      <c r="A6523" s="1"/>
      <c r="B6523" s="4"/>
    </row>
    <row r="6524">
      <c r="A6524" s="1"/>
      <c r="B6524" s="4"/>
    </row>
    <row r="6525">
      <c r="A6525" s="1"/>
      <c r="B6525" s="4"/>
    </row>
    <row r="6526">
      <c r="A6526" s="1"/>
      <c r="B6526" s="4"/>
    </row>
    <row r="6527">
      <c r="A6527" s="1"/>
      <c r="B6527" s="4"/>
    </row>
    <row r="6528">
      <c r="A6528" s="1"/>
      <c r="B6528" s="4"/>
    </row>
    <row r="6529">
      <c r="A6529" s="1"/>
      <c r="B6529" s="4"/>
    </row>
    <row r="6530">
      <c r="A6530" s="1"/>
      <c r="B6530" s="4"/>
    </row>
    <row r="6531">
      <c r="A6531" s="1"/>
      <c r="B6531" s="4"/>
    </row>
    <row r="6532">
      <c r="A6532" s="1"/>
      <c r="B6532" s="4"/>
    </row>
    <row r="6533">
      <c r="A6533" s="1"/>
      <c r="B6533" s="4"/>
    </row>
    <row r="6534">
      <c r="A6534" s="1"/>
      <c r="B6534" s="4"/>
    </row>
    <row r="6535">
      <c r="A6535" s="1"/>
      <c r="B6535" s="4"/>
    </row>
    <row r="6536">
      <c r="A6536" s="1"/>
      <c r="B6536" s="4"/>
    </row>
    <row r="6537">
      <c r="A6537" s="1"/>
      <c r="B6537" s="4"/>
    </row>
    <row r="6538">
      <c r="A6538" s="1"/>
      <c r="B6538" s="4"/>
    </row>
    <row r="6539">
      <c r="A6539" s="1"/>
      <c r="B6539" s="4"/>
    </row>
    <row r="6540">
      <c r="A6540" s="1"/>
      <c r="B6540" s="4"/>
    </row>
    <row r="6541">
      <c r="A6541" s="1"/>
      <c r="B6541" s="4"/>
    </row>
    <row r="6542">
      <c r="A6542" s="1"/>
      <c r="B6542" s="4"/>
    </row>
    <row r="6543">
      <c r="A6543" s="1"/>
      <c r="B6543" s="4"/>
    </row>
    <row r="6544">
      <c r="A6544" s="1"/>
      <c r="B6544" s="4"/>
    </row>
    <row r="6545">
      <c r="A6545" s="1"/>
      <c r="B6545" s="4"/>
    </row>
    <row r="6546">
      <c r="A6546" s="1"/>
      <c r="B6546" s="4"/>
    </row>
    <row r="6547">
      <c r="A6547" s="1"/>
      <c r="B6547" s="4"/>
    </row>
    <row r="6548">
      <c r="A6548" s="1"/>
      <c r="B6548" s="4"/>
    </row>
    <row r="6549">
      <c r="A6549" s="1"/>
      <c r="B6549" s="4"/>
    </row>
    <row r="6550">
      <c r="A6550" s="1"/>
      <c r="B6550" s="4"/>
    </row>
    <row r="6551">
      <c r="A6551" s="1"/>
      <c r="B6551" s="4"/>
    </row>
    <row r="6552">
      <c r="A6552" s="1"/>
      <c r="B6552" s="4"/>
    </row>
    <row r="6553">
      <c r="A6553" s="1"/>
      <c r="B6553" s="4"/>
    </row>
    <row r="6554">
      <c r="A6554" s="1"/>
      <c r="B6554" s="4"/>
    </row>
    <row r="6555">
      <c r="A6555" s="1"/>
      <c r="B6555" s="4"/>
    </row>
    <row r="6556">
      <c r="A6556" s="1"/>
      <c r="B6556" s="4"/>
    </row>
    <row r="6557">
      <c r="A6557" s="1"/>
      <c r="B6557" s="4"/>
    </row>
    <row r="6558">
      <c r="A6558" s="1"/>
      <c r="B6558" s="4"/>
    </row>
    <row r="6559">
      <c r="A6559" s="1"/>
      <c r="B6559" s="4"/>
    </row>
    <row r="6560">
      <c r="A6560" s="1"/>
      <c r="B6560" s="4"/>
    </row>
    <row r="6561">
      <c r="A6561" s="1"/>
      <c r="B6561" s="4"/>
    </row>
    <row r="6562">
      <c r="A6562" s="1"/>
      <c r="B6562" s="4"/>
    </row>
    <row r="6563">
      <c r="A6563" s="1"/>
      <c r="B6563" s="4"/>
    </row>
    <row r="6564">
      <c r="A6564" s="1"/>
      <c r="B6564" s="4"/>
    </row>
    <row r="6565">
      <c r="A6565" s="1"/>
      <c r="B6565" s="4"/>
    </row>
    <row r="6566">
      <c r="A6566" s="1"/>
      <c r="B6566" s="4"/>
    </row>
    <row r="6567">
      <c r="A6567" s="1"/>
      <c r="B6567" s="4"/>
    </row>
    <row r="6568">
      <c r="A6568" s="1"/>
      <c r="B6568" s="4"/>
    </row>
    <row r="6569">
      <c r="A6569" s="1"/>
      <c r="B6569" s="4"/>
    </row>
    <row r="6570">
      <c r="A6570" s="1"/>
      <c r="B6570" s="4"/>
    </row>
    <row r="6571">
      <c r="A6571" s="1"/>
      <c r="B6571" s="4"/>
    </row>
    <row r="6572">
      <c r="A6572" s="1"/>
      <c r="B6572" s="4"/>
    </row>
    <row r="6573">
      <c r="A6573" s="1"/>
      <c r="B6573" s="4"/>
    </row>
    <row r="6574">
      <c r="A6574" s="1"/>
      <c r="B6574" s="4"/>
    </row>
    <row r="6575">
      <c r="A6575" s="1"/>
      <c r="B6575" s="4"/>
    </row>
    <row r="6576">
      <c r="A6576" s="1"/>
      <c r="B6576" s="4"/>
    </row>
    <row r="6577">
      <c r="A6577" s="1"/>
      <c r="B6577" s="4"/>
    </row>
    <row r="6578">
      <c r="A6578" s="1"/>
      <c r="B6578" s="4"/>
    </row>
    <row r="6579">
      <c r="A6579" s="1"/>
      <c r="B6579" s="4"/>
    </row>
    <row r="6580">
      <c r="A6580" s="1"/>
      <c r="B6580" s="4"/>
    </row>
    <row r="6581">
      <c r="A6581" s="1"/>
      <c r="B6581" s="4"/>
    </row>
    <row r="6582">
      <c r="A6582" s="1"/>
      <c r="B6582" s="4"/>
    </row>
    <row r="6583">
      <c r="A6583" s="1"/>
      <c r="B6583" s="4"/>
    </row>
    <row r="6584">
      <c r="A6584" s="1"/>
      <c r="B6584" s="4"/>
    </row>
    <row r="6585">
      <c r="A6585" s="1"/>
      <c r="B6585" s="4"/>
    </row>
    <row r="6586">
      <c r="A6586" s="1"/>
      <c r="B6586" s="4"/>
    </row>
    <row r="6587">
      <c r="A6587" s="1"/>
      <c r="B6587" s="4"/>
    </row>
    <row r="6588">
      <c r="A6588" s="1"/>
      <c r="B6588" s="4"/>
    </row>
    <row r="6589">
      <c r="A6589" s="1"/>
      <c r="B6589" s="4"/>
    </row>
    <row r="6590">
      <c r="A6590" s="1"/>
      <c r="B6590" s="4"/>
    </row>
    <row r="6591">
      <c r="A6591" s="1"/>
      <c r="B6591" s="4"/>
    </row>
    <row r="6592">
      <c r="A6592" s="1"/>
      <c r="B6592" s="4"/>
    </row>
    <row r="6593">
      <c r="A6593" s="1"/>
      <c r="B6593" s="4"/>
    </row>
    <row r="6594">
      <c r="A6594" s="1"/>
      <c r="B6594" s="4"/>
    </row>
    <row r="6595">
      <c r="A6595" s="1"/>
      <c r="B6595" s="4"/>
    </row>
    <row r="6596">
      <c r="A6596" s="1"/>
      <c r="B6596" s="4"/>
    </row>
    <row r="6597">
      <c r="A6597" s="1"/>
      <c r="B6597" s="4"/>
    </row>
    <row r="6598">
      <c r="A6598" s="1"/>
      <c r="B6598" s="4"/>
    </row>
    <row r="6599">
      <c r="A6599" s="1"/>
      <c r="B6599" s="4"/>
    </row>
    <row r="6600">
      <c r="A6600" s="1"/>
      <c r="B6600" s="4"/>
    </row>
    <row r="6601">
      <c r="A6601" s="1"/>
      <c r="B6601" s="4"/>
    </row>
    <row r="6602">
      <c r="A6602" s="1"/>
      <c r="B6602" s="4"/>
    </row>
    <row r="6603">
      <c r="A6603" s="1"/>
      <c r="B6603" s="4"/>
    </row>
    <row r="6604">
      <c r="A6604" s="1"/>
      <c r="B6604" s="4"/>
    </row>
    <row r="6605">
      <c r="A6605" s="1"/>
    </row>
    <row r="6606">
      <c r="A6606" s="1"/>
    </row>
    <row r="6607">
      <c r="A6607" s="1"/>
    </row>
    <row r="6608">
      <c r="A6608" s="1"/>
    </row>
    <row r="6609">
      <c r="A6609" s="1"/>
    </row>
    <row r="6610">
      <c r="A6610" s="1"/>
    </row>
    <row r="6611">
      <c r="A6611" s="1"/>
    </row>
    <row r="6612">
      <c r="A6612" s="1"/>
    </row>
    <row r="6613">
      <c r="A6613" s="1"/>
    </row>
    <row r="6614">
      <c r="A6614" s="1"/>
    </row>
    <row r="6615">
      <c r="A6615" s="1"/>
    </row>
    <row r="6616">
      <c r="A6616" s="1"/>
    </row>
    <row r="6617">
      <c r="A6617" s="1"/>
    </row>
    <row r="6618">
      <c r="A6618" s="1"/>
    </row>
    <row r="6619">
      <c r="A6619" s="1"/>
    </row>
    <row r="6620">
      <c r="A6620" s="1"/>
    </row>
    <row r="6621">
      <c r="A6621" s="1"/>
    </row>
    <row r="6622">
      <c r="A6622" s="1"/>
    </row>
    <row r="6623">
      <c r="A6623" s="1"/>
    </row>
    <row r="6624">
      <c r="A6624" s="1"/>
    </row>
    <row r="6625">
      <c r="A6625" s="1"/>
    </row>
    <row r="6626">
      <c r="A6626" s="1"/>
    </row>
    <row r="6627">
      <c r="A6627" s="1"/>
    </row>
    <row r="6628">
      <c r="A6628" s="1"/>
    </row>
    <row r="6629">
      <c r="A6629" s="1"/>
    </row>
    <row r="6630">
      <c r="A6630" s="1"/>
    </row>
    <row r="6631">
      <c r="A6631" s="1"/>
    </row>
    <row r="6632">
      <c r="A6632" s="1"/>
    </row>
    <row r="6633">
      <c r="A6633" s="1"/>
    </row>
    <row r="6634">
      <c r="A6634" s="1"/>
    </row>
    <row r="6635">
      <c r="A6635" s="1"/>
    </row>
    <row r="6636">
      <c r="A6636" s="1"/>
    </row>
    <row r="6637">
      <c r="A6637" s="1"/>
    </row>
    <row r="6638">
      <c r="A6638" s="1"/>
    </row>
    <row r="6639">
      <c r="A6639" s="1"/>
    </row>
    <row r="6640">
      <c r="A6640" s="1"/>
    </row>
    <row r="6641">
      <c r="A6641" s="1"/>
    </row>
    <row r="6642">
      <c r="A6642" s="1"/>
    </row>
    <row r="6643">
      <c r="A6643" s="1"/>
    </row>
    <row r="6644">
      <c r="A6644" s="1"/>
    </row>
    <row r="6645">
      <c r="A6645" s="1"/>
    </row>
    <row r="6646">
      <c r="A6646" s="1"/>
    </row>
    <row r="6647">
      <c r="A6647" s="1"/>
    </row>
    <row r="6648">
      <c r="A6648" s="1"/>
    </row>
    <row r="6649">
      <c r="A6649" s="1"/>
    </row>
    <row r="6650">
      <c r="A6650" s="1"/>
    </row>
    <row r="6651">
      <c r="A6651" s="1"/>
    </row>
    <row r="6652">
      <c r="A6652" s="1"/>
    </row>
    <row r="6653">
      <c r="A6653" s="1"/>
    </row>
    <row r="6654">
      <c r="A6654" s="1"/>
    </row>
    <row r="6655">
      <c r="A6655" s="1"/>
    </row>
    <row r="6656">
      <c r="A6656" s="1"/>
    </row>
    <row r="6657">
      <c r="A6657" s="1"/>
    </row>
    <row r="6658">
      <c r="A6658" s="1"/>
    </row>
    <row r="6659">
      <c r="A6659" s="1"/>
    </row>
    <row r="6660">
      <c r="A6660" s="1"/>
    </row>
    <row r="6661">
      <c r="A6661" s="1"/>
    </row>
    <row r="6662">
      <c r="A6662" s="1"/>
    </row>
    <row r="6663">
      <c r="A6663" s="1"/>
    </row>
    <row r="6664">
      <c r="A6664" s="1"/>
    </row>
    <row r="6665">
      <c r="A6665" s="1"/>
    </row>
    <row r="6666">
      <c r="A6666" s="1"/>
    </row>
    <row r="6667">
      <c r="A6667" s="1"/>
    </row>
    <row r="6668">
      <c r="A6668" s="1"/>
    </row>
    <row r="6669">
      <c r="A6669" s="1"/>
    </row>
    <row r="6670">
      <c r="A6670" s="1"/>
    </row>
    <row r="6671">
      <c r="A6671" s="1"/>
    </row>
    <row r="6672">
      <c r="A6672" s="1"/>
    </row>
    <row r="6673">
      <c r="A6673" s="1"/>
    </row>
    <row r="6674">
      <c r="A6674" s="1"/>
    </row>
    <row r="6675">
      <c r="A6675" s="1"/>
    </row>
    <row r="6676">
      <c r="A6676" s="1"/>
    </row>
    <row r="6677">
      <c r="A6677" s="1"/>
    </row>
    <row r="6678">
      <c r="A6678" s="1"/>
    </row>
    <row r="6679">
      <c r="A6679" s="1"/>
    </row>
    <row r="6680">
      <c r="A6680" s="1"/>
    </row>
    <row r="6681">
      <c r="A6681" s="1"/>
    </row>
    <row r="6682">
      <c r="A6682" s="1"/>
    </row>
    <row r="6683">
      <c r="A6683" s="1"/>
    </row>
    <row r="6684">
      <c r="A6684" s="1"/>
    </row>
    <row r="6685">
      <c r="A6685" s="1"/>
    </row>
    <row r="6686">
      <c r="A6686" s="1"/>
    </row>
    <row r="6687">
      <c r="A6687" s="1"/>
    </row>
    <row r="6688">
      <c r="A6688" s="1"/>
    </row>
    <row r="6689">
      <c r="A6689" s="1"/>
    </row>
    <row r="6690">
      <c r="A6690" s="1"/>
    </row>
    <row r="6691">
      <c r="A6691" s="1"/>
    </row>
    <row r="6692">
      <c r="A6692" s="1"/>
    </row>
    <row r="6693">
      <c r="A6693" s="1"/>
    </row>
    <row r="6694">
      <c r="A6694" s="1"/>
    </row>
    <row r="6695">
      <c r="A6695" s="1"/>
    </row>
    <row r="6696">
      <c r="A6696" s="1"/>
    </row>
    <row r="6697">
      <c r="A6697" s="1"/>
    </row>
    <row r="6698">
      <c r="A6698" s="1"/>
    </row>
    <row r="6699">
      <c r="A6699" s="1"/>
    </row>
    <row r="6700">
      <c r="A6700" s="1"/>
    </row>
    <row r="6701">
      <c r="A6701" s="1"/>
    </row>
    <row r="6702">
      <c r="A6702" s="1"/>
    </row>
    <row r="6703">
      <c r="A6703" s="1"/>
    </row>
    <row r="6704">
      <c r="A6704" s="1"/>
    </row>
    <row r="6705">
      <c r="A6705" s="1"/>
    </row>
    <row r="6706">
      <c r="A6706" s="1"/>
    </row>
    <row r="6707">
      <c r="A6707" s="1"/>
    </row>
    <row r="6708">
      <c r="A6708" s="1"/>
    </row>
    <row r="6709">
      <c r="A6709" s="1"/>
    </row>
    <row r="6710">
      <c r="A6710" s="1"/>
    </row>
    <row r="6711">
      <c r="A6711" s="1"/>
    </row>
    <row r="6712">
      <c r="A6712" s="1"/>
    </row>
    <row r="6713">
      <c r="A6713" s="1"/>
    </row>
    <row r="6714">
      <c r="A6714" s="1"/>
    </row>
    <row r="6715">
      <c r="A6715" s="1"/>
    </row>
    <row r="6716">
      <c r="A6716" s="1"/>
    </row>
    <row r="6717">
      <c r="A6717" s="1"/>
    </row>
    <row r="6718">
      <c r="A6718" s="1"/>
    </row>
    <row r="6719">
      <c r="A6719" s="1"/>
    </row>
    <row r="6720">
      <c r="A6720" s="1"/>
    </row>
    <row r="6721">
      <c r="A6721" s="1"/>
    </row>
    <row r="6722">
      <c r="A6722" s="1"/>
    </row>
    <row r="6723">
      <c r="A6723" s="1"/>
    </row>
    <row r="6724">
      <c r="A6724" s="1"/>
    </row>
    <row r="6725">
      <c r="A6725" s="1"/>
    </row>
    <row r="6726">
      <c r="A6726" s="1"/>
    </row>
    <row r="6727">
      <c r="A6727" s="1"/>
    </row>
    <row r="6728">
      <c r="A6728" s="1"/>
    </row>
    <row r="6729">
      <c r="A6729" s="1"/>
    </row>
    <row r="6730">
      <c r="A6730" s="1"/>
    </row>
    <row r="6731">
      <c r="A6731" s="1"/>
    </row>
    <row r="6732">
      <c r="A6732" s="1"/>
    </row>
    <row r="6733">
      <c r="A6733" s="1"/>
    </row>
    <row r="6734">
      <c r="A6734" s="1"/>
    </row>
    <row r="6735">
      <c r="A6735" s="1"/>
    </row>
    <row r="6736">
      <c r="A6736" s="1"/>
    </row>
    <row r="6737">
      <c r="A6737" s="1"/>
    </row>
    <row r="6738">
      <c r="A6738" s="1"/>
    </row>
    <row r="6739">
      <c r="A6739" s="1"/>
    </row>
    <row r="6740">
      <c r="A6740" s="1"/>
    </row>
    <row r="6741">
      <c r="A6741" s="1"/>
    </row>
    <row r="6742">
      <c r="A6742" s="1"/>
    </row>
    <row r="6743">
      <c r="A6743" s="1"/>
    </row>
    <row r="6744">
      <c r="A6744" s="1"/>
    </row>
    <row r="6745">
      <c r="A6745" s="1"/>
    </row>
    <row r="6746">
      <c r="A6746" s="1"/>
    </row>
    <row r="6747">
      <c r="A6747" s="1"/>
    </row>
    <row r="6748">
      <c r="A6748" s="1"/>
    </row>
    <row r="6749">
      <c r="A6749" s="1"/>
    </row>
    <row r="6750">
      <c r="A6750" s="1"/>
    </row>
    <row r="6751">
      <c r="A6751" s="1"/>
    </row>
    <row r="6752">
      <c r="A6752" s="1"/>
    </row>
    <row r="6753">
      <c r="A6753" s="1"/>
    </row>
    <row r="6754">
      <c r="A6754" s="1"/>
    </row>
    <row r="6755">
      <c r="A6755" s="1"/>
    </row>
    <row r="6756">
      <c r="A6756" s="1"/>
    </row>
    <row r="6757">
      <c r="A6757" s="1"/>
    </row>
    <row r="6758">
      <c r="A6758" s="1"/>
    </row>
    <row r="6759">
      <c r="A6759" s="1"/>
    </row>
    <row r="6760">
      <c r="A6760" s="1"/>
    </row>
    <row r="6761">
      <c r="A6761" s="1"/>
    </row>
    <row r="6762">
      <c r="A6762" s="1"/>
    </row>
    <row r="6763">
      <c r="A6763" s="1"/>
    </row>
    <row r="6764">
      <c r="A6764" s="1"/>
    </row>
    <row r="6765">
      <c r="A6765" s="1"/>
    </row>
    <row r="6766">
      <c r="A6766" s="1"/>
    </row>
    <row r="6767">
      <c r="A6767" s="1"/>
    </row>
    <row r="6768">
      <c r="A6768" s="1"/>
    </row>
    <row r="6769">
      <c r="A6769" s="1"/>
    </row>
    <row r="6770">
      <c r="A6770" s="1"/>
    </row>
    <row r="6771">
      <c r="A6771" s="1"/>
    </row>
    <row r="6772">
      <c r="A6772" s="1"/>
    </row>
    <row r="6773">
      <c r="A6773" s="1"/>
    </row>
    <row r="6774">
      <c r="A6774" s="1"/>
    </row>
    <row r="6775">
      <c r="A6775" s="1"/>
    </row>
    <row r="6776">
      <c r="A6776" s="1"/>
    </row>
    <row r="6777">
      <c r="A6777" s="1"/>
    </row>
    <row r="6778">
      <c r="A6778" s="1"/>
    </row>
    <row r="6779">
      <c r="A6779" s="1"/>
    </row>
    <row r="6780">
      <c r="A6780" s="1"/>
    </row>
    <row r="6781">
      <c r="A6781" s="1"/>
    </row>
    <row r="6782">
      <c r="A6782" s="1"/>
    </row>
    <row r="6783">
      <c r="A6783" s="1"/>
    </row>
    <row r="6784">
      <c r="A6784" s="1"/>
    </row>
    <row r="6785">
      <c r="A6785" s="1"/>
    </row>
    <row r="6786">
      <c r="A6786" s="1"/>
    </row>
    <row r="6787">
      <c r="A6787" s="1"/>
    </row>
    <row r="6788">
      <c r="A6788" s="1"/>
    </row>
    <row r="6789">
      <c r="A6789" s="1"/>
    </row>
    <row r="6790">
      <c r="A6790" s="1"/>
    </row>
    <row r="6791">
      <c r="A6791" s="1"/>
    </row>
    <row r="6792">
      <c r="A6792" s="1"/>
    </row>
    <row r="6793">
      <c r="A6793" s="1"/>
    </row>
    <row r="6794">
      <c r="A6794" s="1"/>
    </row>
    <row r="6795">
      <c r="A6795" s="1"/>
    </row>
    <row r="6796">
      <c r="A6796" s="1"/>
    </row>
    <row r="6797">
      <c r="A6797" s="1"/>
    </row>
    <row r="6798">
      <c r="A6798" s="1"/>
    </row>
    <row r="6799">
      <c r="A6799" s="1"/>
    </row>
    <row r="6800">
      <c r="A6800" s="1"/>
    </row>
    <row r="6801">
      <c r="A6801" s="1"/>
    </row>
    <row r="6802">
      <c r="A6802" s="1"/>
    </row>
    <row r="6803">
      <c r="A6803" s="1"/>
    </row>
    <row r="6804">
      <c r="A6804" s="1"/>
    </row>
    <row r="6805">
      <c r="A6805" s="1"/>
    </row>
    <row r="6806">
      <c r="A6806" s="1"/>
    </row>
    <row r="6807">
      <c r="A6807" s="1"/>
    </row>
    <row r="6808">
      <c r="A6808" s="1"/>
    </row>
    <row r="6809">
      <c r="A6809" s="1"/>
    </row>
    <row r="6810">
      <c r="A6810" s="1"/>
    </row>
    <row r="6811">
      <c r="A6811" s="1"/>
    </row>
    <row r="6812">
      <c r="A6812" s="1"/>
    </row>
    <row r="6813">
      <c r="A6813" s="1"/>
    </row>
    <row r="6814">
      <c r="A6814" s="1"/>
    </row>
    <row r="6815">
      <c r="A6815" s="1"/>
    </row>
    <row r="6816">
      <c r="A6816" s="1"/>
    </row>
    <row r="6817">
      <c r="A6817" s="1"/>
    </row>
    <row r="6818">
      <c r="A6818" s="1"/>
    </row>
    <row r="6819">
      <c r="A6819" s="1"/>
    </row>
    <row r="6820">
      <c r="A6820" s="1"/>
    </row>
    <row r="6821">
      <c r="A6821" s="1"/>
    </row>
    <row r="6822">
      <c r="A6822" s="1"/>
    </row>
    <row r="6823">
      <c r="A6823" s="1"/>
    </row>
    <row r="6824">
      <c r="A6824" s="1"/>
    </row>
    <row r="6825">
      <c r="A6825" s="1"/>
    </row>
    <row r="6826">
      <c r="A6826" s="1"/>
    </row>
    <row r="6827">
      <c r="A6827" s="1"/>
    </row>
    <row r="6828">
      <c r="A6828" s="1"/>
    </row>
    <row r="6829">
      <c r="A6829" s="1"/>
    </row>
    <row r="6830">
      <c r="A6830" s="1"/>
    </row>
    <row r="6831">
      <c r="A6831" s="1"/>
    </row>
    <row r="6832">
      <c r="A6832" s="1"/>
    </row>
    <row r="6833">
      <c r="A6833" s="1"/>
    </row>
    <row r="6834">
      <c r="A6834" s="1"/>
    </row>
    <row r="6835">
      <c r="A6835" s="1"/>
    </row>
    <row r="6836">
      <c r="A6836" s="1"/>
    </row>
    <row r="6837">
      <c r="A6837" s="1"/>
    </row>
    <row r="6838">
      <c r="A6838" s="1"/>
    </row>
    <row r="6839">
      <c r="A6839" s="1"/>
    </row>
    <row r="6840">
      <c r="A6840" s="1"/>
    </row>
    <row r="6841">
      <c r="A6841" s="1"/>
    </row>
    <row r="6842">
      <c r="A6842" s="1"/>
    </row>
    <row r="6843">
      <c r="A6843" s="1"/>
    </row>
    <row r="6844">
      <c r="A6844" s="1"/>
    </row>
    <row r="6845">
      <c r="A6845" s="1"/>
    </row>
    <row r="6846">
      <c r="A6846" s="1"/>
    </row>
    <row r="6847">
      <c r="A6847" s="1"/>
    </row>
    <row r="6848">
      <c r="A6848" s="1"/>
    </row>
    <row r="6849">
      <c r="A6849" s="1"/>
    </row>
    <row r="6850">
      <c r="A6850" s="1"/>
    </row>
    <row r="6851">
      <c r="A6851" s="1"/>
    </row>
    <row r="6852">
      <c r="A6852" s="1"/>
    </row>
    <row r="6853">
      <c r="A6853" s="1"/>
    </row>
    <row r="6854">
      <c r="A6854" s="1"/>
    </row>
    <row r="6855">
      <c r="A6855" s="1"/>
    </row>
    <row r="6856">
      <c r="A6856" s="1"/>
    </row>
    <row r="6857">
      <c r="A6857" s="1"/>
    </row>
    <row r="6858">
      <c r="A6858" s="1"/>
    </row>
    <row r="6859">
      <c r="A6859" s="1"/>
    </row>
    <row r="6860">
      <c r="A6860" s="1"/>
    </row>
    <row r="6861">
      <c r="A6861" s="1"/>
      <c r="B6861" s="4"/>
    </row>
    <row r="6862">
      <c r="A6862" s="1"/>
      <c r="B6862" s="4"/>
    </row>
    <row r="6863">
      <c r="A6863" s="1"/>
      <c r="B6863" s="4"/>
    </row>
    <row r="6864">
      <c r="A6864" s="1"/>
    </row>
    <row r="6865">
      <c r="A6865" s="1"/>
    </row>
    <row r="6866">
      <c r="A6866" s="1"/>
    </row>
    <row r="6867">
      <c r="A6867" s="1"/>
    </row>
    <row r="6868">
      <c r="A6868" s="1"/>
    </row>
    <row r="6869">
      <c r="A6869" s="1"/>
    </row>
    <row r="6870">
      <c r="A6870" s="1"/>
    </row>
    <row r="6871">
      <c r="A6871" s="1"/>
    </row>
    <row r="6872">
      <c r="A6872" s="1"/>
    </row>
    <row r="6873">
      <c r="A6873" s="1"/>
    </row>
    <row r="6874">
      <c r="A6874" s="1"/>
    </row>
    <row r="6875">
      <c r="A6875" s="1"/>
    </row>
    <row r="6876">
      <c r="A6876" s="1"/>
    </row>
    <row r="6877">
      <c r="A6877" s="1"/>
    </row>
    <row r="6878">
      <c r="A6878" s="1"/>
    </row>
    <row r="6879">
      <c r="A6879" s="1"/>
    </row>
    <row r="6880">
      <c r="A6880" s="1"/>
    </row>
    <row r="6881">
      <c r="A6881" s="1"/>
    </row>
    <row r="6882">
      <c r="A6882" s="1"/>
    </row>
    <row r="6883">
      <c r="A6883" s="1"/>
    </row>
    <row r="6884">
      <c r="A6884" s="1"/>
    </row>
    <row r="6885">
      <c r="A6885" s="1"/>
    </row>
    <row r="6886">
      <c r="A6886" s="1"/>
    </row>
    <row r="6887">
      <c r="A6887" s="1"/>
    </row>
    <row r="6888">
      <c r="A6888" s="1"/>
    </row>
    <row r="6889">
      <c r="A6889" s="1"/>
    </row>
    <row r="6890">
      <c r="A6890" s="1"/>
    </row>
    <row r="6891">
      <c r="A6891" s="1"/>
    </row>
    <row r="6892">
      <c r="A6892" s="1"/>
    </row>
    <row r="6893">
      <c r="A6893" s="1"/>
    </row>
    <row r="6894">
      <c r="A6894" s="1"/>
    </row>
    <row r="6895">
      <c r="A6895" s="1"/>
    </row>
    <row r="6896">
      <c r="A6896" s="1"/>
    </row>
    <row r="6897">
      <c r="A6897" s="1"/>
    </row>
    <row r="6898">
      <c r="A6898" s="1"/>
    </row>
    <row r="6899">
      <c r="A6899" s="1"/>
    </row>
    <row r="6900">
      <c r="A6900" s="1"/>
    </row>
    <row r="6901">
      <c r="A6901" s="1"/>
    </row>
    <row r="6902">
      <c r="A6902" s="1"/>
    </row>
    <row r="6903">
      <c r="A6903" s="1"/>
    </row>
    <row r="6904">
      <c r="A6904" s="1"/>
    </row>
    <row r="6905">
      <c r="A6905" s="1"/>
    </row>
    <row r="6906">
      <c r="A6906" s="1"/>
    </row>
    <row r="6907">
      <c r="A6907" s="1"/>
    </row>
    <row r="6908">
      <c r="A6908" s="1"/>
    </row>
    <row r="6909">
      <c r="A6909" s="1"/>
    </row>
    <row r="6910">
      <c r="A6910" s="1"/>
    </row>
    <row r="6911">
      <c r="A6911" s="1"/>
    </row>
    <row r="6912">
      <c r="A6912" s="1"/>
    </row>
    <row r="6913">
      <c r="A6913" s="1"/>
    </row>
    <row r="6914">
      <c r="A6914" s="1"/>
    </row>
    <row r="6915">
      <c r="A6915" s="1"/>
    </row>
    <row r="6916">
      <c r="A6916" s="1"/>
    </row>
    <row r="6917">
      <c r="A6917" s="1"/>
    </row>
    <row r="6918">
      <c r="A6918" s="1"/>
    </row>
    <row r="6919">
      <c r="A6919" s="1"/>
    </row>
    <row r="6920">
      <c r="A6920" s="1"/>
    </row>
    <row r="6921">
      <c r="A6921" s="1"/>
    </row>
    <row r="6922">
      <c r="A6922" s="1"/>
    </row>
    <row r="6923">
      <c r="A6923" s="1"/>
    </row>
    <row r="6924">
      <c r="A6924" s="1"/>
    </row>
    <row r="6925">
      <c r="A6925" s="1"/>
    </row>
    <row r="6926">
      <c r="A6926" s="1"/>
    </row>
    <row r="6927">
      <c r="A6927" s="1"/>
    </row>
    <row r="6928">
      <c r="A6928" s="1"/>
    </row>
    <row r="6929">
      <c r="A6929" s="1"/>
    </row>
    <row r="6930">
      <c r="A6930" s="1"/>
    </row>
    <row r="6931">
      <c r="A6931" s="1"/>
    </row>
    <row r="6932">
      <c r="A6932" s="1"/>
    </row>
    <row r="6933">
      <c r="A6933" s="1"/>
    </row>
    <row r="6934">
      <c r="A6934" s="1"/>
    </row>
    <row r="6935">
      <c r="A6935" s="1"/>
    </row>
    <row r="6936">
      <c r="A6936" s="1"/>
    </row>
    <row r="6937">
      <c r="A6937" s="1"/>
    </row>
    <row r="6938">
      <c r="A6938" s="1"/>
    </row>
    <row r="6939">
      <c r="A6939" s="1"/>
    </row>
    <row r="6940">
      <c r="A6940" s="1"/>
    </row>
    <row r="6941">
      <c r="A6941" s="1"/>
    </row>
    <row r="6942">
      <c r="A6942" s="1"/>
    </row>
    <row r="6943">
      <c r="A6943" s="1"/>
    </row>
    <row r="6944">
      <c r="A6944" s="1"/>
    </row>
    <row r="6945">
      <c r="A6945" s="1"/>
    </row>
    <row r="6946">
      <c r="A6946" s="1"/>
    </row>
    <row r="6947">
      <c r="A6947" s="1"/>
    </row>
    <row r="6948">
      <c r="A6948" s="1"/>
    </row>
    <row r="6949">
      <c r="A6949" s="1"/>
    </row>
    <row r="6950">
      <c r="A6950" s="1"/>
    </row>
    <row r="6951">
      <c r="A6951" s="1"/>
    </row>
    <row r="6952">
      <c r="A6952" s="1"/>
    </row>
    <row r="6953">
      <c r="A6953" s="1"/>
    </row>
    <row r="6954">
      <c r="A6954" s="1"/>
    </row>
    <row r="6955">
      <c r="A6955" s="1"/>
    </row>
    <row r="6956">
      <c r="A6956" s="1"/>
    </row>
    <row r="6957">
      <c r="A6957" s="1"/>
    </row>
    <row r="6958">
      <c r="A6958" s="1"/>
    </row>
    <row r="6959">
      <c r="A6959" s="1"/>
    </row>
    <row r="6960">
      <c r="A6960" s="1"/>
    </row>
    <row r="6961">
      <c r="A6961" s="1"/>
    </row>
    <row r="6962">
      <c r="A6962" s="1"/>
    </row>
    <row r="6963">
      <c r="A6963" s="1"/>
    </row>
    <row r="6964">
      <c r="A6964" s="1"/>
    </row>
    <row r="6965">
      <c r="A6965" s="1"/>
    </row>
    <row r="6966">
      <c r="A6966" s="1"/>
    </row>
    <row r="6967">
      <c r="A6967" s="1"/>
    </row>
    <row r="6968">
      <c r="A6968" s="1"/>
    </row>
    <row r="6969">
      <c r="A6969" s="1"/>
    </row>
    <row r="6970">
      <c r="A6970" s="1"/>
    </row>
    <row r="6971">
      <c r="A6971" s="1"/>
    </row>
    <row r="6972">
      <c r="A6972" s="1"/>
    </row>
    <row r="6973">
      <c r="A6973" s="1"/>
    </row>
    <row r="6974">
      <c r="A6974" s="1"/>
    </row>
    <row r="6975">
      <c r="A6975" s="1"/>
    </row>
    <row r="6976">
      <c r="A6976" s="1"/>
    </row>
    <row r="6977">
      <c r="A6977" s="1"/>
    </row>
    <row r="6978">
      <c r="A6978" s="1"/>
    </row>
    <row r="6979">
      <c r="A6979" s="1"/>
    </row>
    <row r="6980">
      <c r="A6980" s="1"/>
    </row>
    <row r="6981">
      <c r="A6981" s="1"/>
    </row>
    <row r="6982">
      <c r="A6982" s="1"/>
    </row>
    <row r="6983">
      <c r="A6983" s="1"/>
    </row>
    <row r="6984">
      <c r="A6984" s="1"/>
    </row>
    <row r="6985">
      <c r="A6985" s="1"/>
    </row>
    <row r="6986">
      <c r="A6986" s="1"/>
    </row>
    <row r="6987">
      <c r="A6987" s="1"/>
    </row>
    <row r="6988">
      <c r="A6988" s="1"/>
    </row>
    <row r="6989">
      <c r="A6989" s="1"/>
    </row>
    <row r="6990">
      <c r="A6990" s="1"/>
    </row>
    <row r="6991">
      <c r="A6991" s="1"/>
    </row>
    <row r="6992">
      <c r="A6992" s="1"/>
    </row>
    <row r="6993">
      <c r="A6993" s="1"/>
    </row>
    <row r="6994">
      <c r="A6994" s="1"/>
    </row>
    <row r="6995">
      <c r="A6995" s="1"/>
    </row>
    <row r="6996">
      <c r="A6996" s="1"/>
    </row>
    <row r="6997">
      <c r="A6997" s="1"/>
    </row>
    <row r="6998">
      <c r="A6998" s="1"/>
    </row>
    <row r="6999">
      <c r="A6999" s="1"/>
    </row>
    <row r="7000">
      <c r="A7000" s="1"/>
    </row>
    <row r="7001">
      <c r="A7001" s="1"/>
    </row>
    <row r="7002">
      <c r="A7002" s="1"/>
    </row>
    <row r="7003">
      <c r="A7003" s="1"/>
    </row>
    <row r="7004">
      <c r="A7004" s="1"/>
    </row>
    <row r="7005">
      <c r="A7005" s="1"/>
    </row>
    <row r="7006">
      <c r="A7006" s="1"/>
    </row>
    <row r="7007">
      <c r="A7007" s="1"/>
    </row>
    <row r="7008">
      <c r="A7008" s="1"/>
    </row>
    <row r="7009">
      <c r="A7009" s="1"/>
    </row>
    <row r="7010">
      <c r="A7010" s="1"/>
    </row>
    <row r="7011">
      <c r="A7011" s="1"/>
    </row>
    <row r="7012">
      <c r="A7012" s="1"/>
    </row>
    <row r="7013">
      <c r="A7013" s="1"/>
    </row>
    <row r="7014">
      <c r="A7014" s="1"/>
    </row>
    <row r="7015">
      <c r="A7015" s="1"/>
    </row>
    <row r="7016">
      <c r="A7016" s="1"/>
    </row>
    <row r="7017">
      <c r="A7017" s="1"/>
    </row>
    <row r="7018">
      <c r="A7018" s="1"/>
    </row>
    <row r="7019">
      <c r="A7019" s="1"/>
    </row>
    <row r="7020">
      <c r="A7020" s="1"/>
    </row>
    <row r="7021">
      <c r="A7021" s="1"/>
    </row>
    <row r="7022">
      <c r="A7022" s="1"/>
    </row>
    <row r="7023">
      <c r="A7023" s="1"/>
    </row>
    <row r="7024">
      <c r="A7024" s="1"/>
    </row>
    <row r="7025">
      <c r="A7025" s="1"/>
    </row>
    <row r="7026">
      <c r="A7026" s="1"/>
    </row>
    <row r="7027">
      <c r="A7027" s="1"/>
    </row>
    <row r="7028">
      <c r="A7028" s="1"/>
    </row>
    <row r="7029">
      <c r="A7029" s="1"/>
    </row>
    <row r="7030">
      <c r="A7030" s="1"/>
    </row>
    <row r="7031">
      <c r="A7031" s="1"/>
    </row>
    <row r="7032">
      <c r="A7032" s="1"/>
    </row>
    <row r="7033">
      <c r="A7033" s="1"/>
    </row>
    <row r="7034">
      <c r="A7034" s="1"/>
    </row>
    <row r="7035">
      <c r="A7035" s="1"/>
    </row>
    <row r="7036">
      <c r="A7036" s="1"/>
    </row>
    <row r="7037">
      <c r="A7037" s="1"/>
    </row>
    <row r="7038">
      <c r="A7038" s="1"/>
    </row>
    <row r="7039">
      <c r="A7039" s="1"/>
    </row>
    <row r="7040">
      <c r="A7040" s="1"/>
    </row>
    <row r="7041">
      <c r="A7041" s="1"/>
    </row>
    <row r="7042">
      <c r="A7042" s="1"/>
    </row>
    <row r="7043">
      <c r="A7043" s="1"/>
    </row>
    <row r="7044">
      <c r="A7044" s="1"/>
    </row>
    <row r="7045">
      <c r="A7045" s="1"/>
    </row>
    <row r="7046">
      <c r="A7046" s="1"/>
    </row>
    <row r="7047">
      <c r="A7047" s="1"/>
    </row>
    <row r="7048">
      <c r="A7048" s="1"/>
    </row>
    <row r="7049">
      <c r="A7049" s="1"/>
    </row>
    <row r="7050">
      <c r="A7050" s="1"/>
    </row>
    <row r="7051">
      <c r="A7051" s="1"/>
    </row>
    <row r="7052">
      <c r="A7052" s="1"/>
    </row>
    <row r="7053">
      <c r="A7053" s="1"/>
    </row>
    <row r="7054">
      <c r="A7054" s="1"/>
    </row>
    <row r="7055">
      <c r="A7055" s="1"/>
    </row>
    <row r="7056">
      <c r="A7056" s="1"/>
    </row>
    <row r="7057">
      <c r="A7057" s="1"/>
    </row>
    <row r="7058">
      <c r="A7058" s="1"/>
    </row>
    <row r="7059">
      <c r="A7059" s="1"/>
    </row>
    <row r="7060">
      <c r="A7060" s="1"/>
    </row>
    <row r="7061">
      <c r="A7061" s="1"/>
    </row>
    <row r="7062">
      <c r="A7062" s="1"/>
    </row>
    <row r="7063">
      <c r="A7063" s="1"/>
    </row>
    <row r="7064">
      <c r="A7064" s="1"/>
    </row>
    <row r="7065">
      <c r="A7065" s="1"/>
    </row>
    <row r="7066">
      <c r="A7066" s="1"/>
    </row>
    <row r="7067">
      <c r="A7067" s="1"/>
    </row>
    <row r="7068">
      <c r="A7068" s="1"/>
    </row>
    <row r="7069">
      <c r="A7069" s="1"/>
    </row>
    <row r="7070">
      <c r="A7070" s="1"/>
    </row>
    <row r="7071">
      <c r="A7071" s="1"/>
    </row>
    <row r="7072">
      <c r="A7072" s="1"/>
    </row>
    <row r="7073">
      <c r="A7073" s="1"/>
    </row>
    <row r="7074">
      <c r="A7074" s="1"/>
    </row>
    <row r="7075">
      <c r="A7075" s="1"/>
    </row>
    <row r="7076">
      <c r="A7076" s="1"/>
    </row>
    <row r="7077">
      <c r="A7077" s="1"/>
    </row>
    <row r="7078">
      <c r="A7078" s="1"/>
    </row>
    <row r="7079">
      <c r="A7079" s="1"/>
    </row>
    <row r="7080">
      <c r="A7080" s="1"/>
    </row>
    <row r="7081">
      <c r="A7081" s="1"/>
    </row>
    <row r="7082">
      <c r="A7082" s="1"/>
    </row>
    <row r="7083">
      <c r="A7083" s="1"/>
    </row>
    <row r="7084">
      <c r="A7084" s="1"/>
    </row>
    <row r="7085">
      <c r="A7085" s="1"/>
    </row>
    <row r="7086">
      <c r="A7086" s="1"/>
    </row>
    <row r="7087">
      <c r="A7087" s="1"/>
    </row>
    <row r="7088">
      <c r="A7088" s="1"/>
    </row>
    <row r="7089">
      <c r="A7089" s="1"/>
    </row>
    <row r="7090">
      <c r="A7090" s="1"/>
    </row>
    <row r="7091">
      <c r="A7091" s="1"/>
    </row>
    <row r="7092">
      <c r="A7092" s="1"/>
    </row>
    <row r="7093">
      <c r="A7093" s="1"/>
    </row>
    <row r="7094">
      <c r="A7094" s="1"/>
    </row>
    <row r="7095">
      <c r="A7095" s="1"/>
    </row>
    <row r="7096">
      <c r="A7096" s="1"/>
    </row>
    <row r="7097">
      <c r="A7097" s="1"/>
    </row>
    <row r="7098">
      <c r="A7098" s="1"/>
    </row>
    <row r="7099">
      <c r="A7099" s="1"/>
    </row>
    <row r="7100">
      <c r="A7100" s="1"/>
    </row>
    <row r="7101">
      <c r="A7101" s="1"/>
    </row>
    <row r="7102">
      <c r="A7102" s="1"/>
    </row>
    <row r="7103">
      <c r="A7103" s="1"/>
    </row>
    <row r="7104">
      <c r="A7104" s="1"/>
    </row>
    <row r="7105">
      <c r="A7105" s="1"/>
    </row>
    <row r="7106">
      <c r="A7106" s="1"/>
    </row>
    <row r="7107">
      <c r="A7107" s="1"/>
    </row>
    <row r="7108">
      <c r="A7108" s="1"/>
    </row>
    <row r="7109">
      <c r="A7109" s="1"/>
    </row>
    <row r="7110">
      <c r="A7110" s="1"/>
    </row>
    <row r="7111">
      <c r="A7111" s="1"/>
    </row>
    <row r="7112">
      <c r="A7112" s="1"/>
    </row>
    <row r="7113">
      <c r="A7113" s="1"/>
    </row>
    <row r="7114">
      <c r="A7114" s="1"/>
    </row>
    <row r="7115">
      <c r="A7115" s="1"/>
    </row>
    <row r="7116">
      <c r="A7116" s="1"/>
    </row>
    <row r="7117">
      <c r="A7117" s="1"/>
    </row>
    <row r="7118">
      <c r="A7118" s="1"/>
    </row>
    <row r="7119">
      <c r="A7119" s="1"/>
    </row>
    <row r="7120">
      <c r="A7120" s="1"/>
    </row>
    <row r="7121">
      <c r="A7121" s="1"/>
    </row>
    <row r="7122">
      <c r="A7122" s="1"/>
    </row>
    <row r="7123">
      <c r="A7123" s="1"/>
    </row>
    <row r="7124">
      <c r="A7124" s="1"/>
    </row>
    <row r="7125">
      <c r="A7125" s="1"/>
    </row>
    <row r="7126">
      <c r="A7126" s="1"/>
    </row>
    <row r="7127">
      <c r="A7127" s="1"/>
    </row>
    <row r="7128">
      <c r="A7128" s="1"/>
    </row>
    <row r="7129">
      <c r="A7129" s="1"/>
    </row>
    <row r="7130">
      <c r="A7130" s="1"/>
    </row>
    <row r="7131">
      <c r="A7131" s="1"/>
    </row>
    <row r="7132">
      <c r="A7132" s="1"/>
    </row>
    <row r="7133">
      <c r="A7133" s="1"/>
    </row>
    <row r="7134">
      <c r="A7134" s="1"/>
    </row>
    <row r="7135">
      <c r="A7135" s="1"/>
    </row>
    <row r="7136">
      <c r="A7136" s="1"/>
    </row>
    <row r="7137">
      <c r="A7137" s="1"/>
    </row>
    <row r="7138">
      <c r="A7138" s="1"/>
    </row>
    <row r="7139">
      <c r="A7139" s="1"/>
    </row>
    <row r="7140">
      <c r="A7140" s="1"/>
    </row>
    <row r="7141">
      <c r="A7141" s="1"/>
    </row>
    <row r="7142">
      <c r="A7142" s="1"/>
    </row>
    <row r="7143">
      <c r="A7143" s="1"/>
    </row>
    <row r="7144">
      <c r="A7144" s="1"/>
    </row>
    <row r="7145">
      <c r="A7145" s="1"/>
    </row>
    <row r="7146">
      <c r="A7146" s="1"/>
    </row>
    <row r="7147">
      <c r="A7147" s="1"/>
    </row>
    <row r="7148">
      <c r="A7148" s="1"/>
    </row>
    <row r="7149">
      <c r="A7149" s="1"/>
    </row>
    <row r="7150">
      <c r="A7150" s="1"/>
    </row>
    <row r="7151">
      <c r="A7151" s="1"/>
    </row>
    <row r="7152">
      <c r="A7152" s="1"/>
    </row>
    <row r="7153">
      <c r="A7153" s="1"/>
    </row>
    <row r="7154">
      <c r="A7154" s="1"/>
    </row>
    <row r="7155">
      <c r="A7155" s="1"/>
    </row>
    <row r="7156">
      <c r="A7156" s="1"/>
    </row>
    <row r="7157">
      <c r="A7157" s="1"/>
    </row>
    <row r="7158">
      <c r="A7158" s="1"/>
    </row>
    <row r="7159">
      <c r="A7159" s="1"/>
    </row>
    <row r="7160">
      <c r="A7160" s="1"/>
    </row>
    <row r="7161">
      <c r="A7161" s="1"/>
    </row>
    <row r="7162">
      <c r="A7162" s="1"/>
    </row>
    <row r="7163">
      <c r="A7163" s="1"/>
    </row>
    <row r="7164">
      <c r="A7164" s="1"/>
    </row>
    <row r="7165">
      <c r="A7165" s="1"/>
    </row>
    <row r="7166">
      <c r="A7166" s="1"/>
    </row>
    <row r="7167">
      <c r="A7167" s="1"/>
    </row>
    <row r="7168">
      <c r="A7168" s="1"/>
    </row>
    <row r="7169">
      <c r="A7169" s="1"/>
    </row>
    <row r="7170">
      <c r="A7170" s="1"/>
    </row>
    <row r="7171">
      <c r="A7171" s="1"/>
    </row>
    <row r="7172">
      <c r="A7172" s="1"/>
    </row>
    <row r="7173">
      <c r="A7173" s="1"/>
    </row>
    <row r="7174">
      <c r="A7174" s="1"/>
    </row>
    <row r="7175">
      <c r="A7175" s="1"/>
    </row>
    <row r="7176">
      <c r="A7176" s="1"/>
    </row>
    <row r="7177">
      <c r="A7177" s="1"/>
    </row>
    <row r="7178">
      <c r="A7178" s="1"/>
    </row>
    <row r="7179">
      <c r="A7179" s="1"/>
    </row>
    <row r="7180">
      <c r="A7180" s="1"/>
    </row>
    <row r="7181">
      <c r="A7181" s="1"/>
    </row>
    <row r="7182">
      <c r="A7182" s="1"/>
    </row>
    <row r="7183">
      <c r="A7183" s="1"/>
    </row>
    <row r="7184">
      <c r="A7184" s="1"/>
    </row>
    <row r="7185">
      <c r="A7185" s="1"/>
    </row>
    <row r="7186">
      <c r="A7186" s="1"/>
    </row>
    <row r="7187">
      <c r="A7187" s="1"/>
    </row>
    <row r="7188">
      <c r="A7188" s="1"/>
    </row>
    <row r="7189">
      <c r="A7189" s="1"/>
    </row>
    <row r="7190">
      <c r="A7190" s="1"/>
    </row>
    <row r="7191">
      <c r="A7191" s="1"/>
    </row>
    <row r="7192">
      <c r="A7192" s="1"/>
    </row>
    <row r="7193">
      <c r="A7193" s="1"/>
    </row>
    <row r="7194">
      <c r="A7194" s="1"/>
    </row>
    <row r="7195">
      <c r="A7195" s="1"/>
    </row>
    <row r="7196">
      <c r="A7196" s="1"/>
    </row>
    <row r="7197">
      <c r="A7197" s="1"/>
    </row>
    <row r="7198">
      <c r="A7198" s="1"/>
    </row>
    <row r="7199">
      <c r="A7199" s="1"/>
    </row>
    <row r="7200">
      <c r="A7200" s="1"/>
    </row>
    <row r="7201">
      <c r="A7201" s="1"/>
    </row>
    <row r="7202">
      <c r="A7202" s="1"/>
    </row>
    <row r="7203">
      <c r="A7203" s="1"/>
    </row>
    <row r="7204">
      <c r="A7204" s="1"/>
    </row>
    <row r="7205">
      <c r="A7205" s="1"/>
    </row>
    <row r="7206">
      <c r="A7206" s="1"/>
    </row>
    <row r="7207">
      <c r="A7207" s="1"/>
    </row>
    <row r="7208">
      <c r="A7208" s="1"/>
    </row>
    <row r="7209">
      <c r="A7209" s="1"/>
    </row>
    <row r="7210">
      <c r="A7210" s="1"/>
    </row>
    <row r="7211">
      <c r="A7211" s="1"/>
    </row>
    <row r="7212">
      <c r="A7212" s="1"/>
    </row>
    <row r="7213">
      <c r="A7213" s="1"/>
    </row>
    <row r="7214">
      <c r="A7214" s="1"/>
    </row>
    <row r="7215">
      <c r="A7215" s="1"/>
    </row>
    <row r="7216">
      <c r="A7216" s="1"/>
    </row>
    <row r="7217">
      <c r="A7217" s="1"/>
    </row>
    <row r="7218">
      <c r="A7218" s="1"/>
    </row>
    <row r="7219">
      <c r="A7219" s="1"/>
    </row>
    <row r="7220">
      <c r="A7220" s="1"/>
    </row>
    <row r="7221">
      <c r="A7221" s="1"/>
    </row>
    <row r="7222">
      <c r="A7222" s="1"/>
    </row>
    <row r="7223">
      <c r="A7223" s="1"/>
    </row>
    <row r="7224">
      <c r="A7224" s="1"/>
    </row>
    <row r="7225">
      <c r="A7225" s="1"/>
    </row>
    <row r="7226">
      <c r="A7226" s="1"/>
    </row>
    <row r="7227">
      <c r="A7227" s="1"/>
    </row>
    <row r="7228">
      <c r="A7228" s="1"/>
    </row>
    <row r="7229">
      <c r="A7229" s="1"/>
    </row>
    <row r="7230">
      <c r="A7230" s="1"/>
    </row>
    <row r="7231">
      <c r="A7231" s="1"/>
    </row>
    <row r="7232">
      <c r="A7232" s="1"/>
    </row>
    <row r="7233">
      <c r="A7233" s="1"/>
    </row>
    <row r="7234">
      <c r="A7234" s="1"/>
    </row>
    <row r="7235">
      <c r="A7235" s="1"/>
    </row>
    <row r="7236">
      <c r="A7236" s="1"/>
    </row>
    <row r="7237">
      <c r="A7237" s="1"/>
    </row>
    <row r="7238">
      <c r="A7238" s="1"/>
    </row>
    <row r="7239">
      <c r="A7239" s="1"/>
    </row>
    <row r="7240">
      <c r="A7240" s="1"/>
    </row>
    <row r="7241">
      <c r="A7241" s="1"/>
    </row>
    <row r="7242">
      <c r="A7242" s="1"/>
    </row>
    <row r="7243">
      <c r="A7243" s="1"/>
    </row>
    <row r="7244">
      <c r="A7244" s="1"/>
    </row>
    <row r="7245">
      <c r="A7245" s="1"/>
    </row>
    <row r="7246">
      <c r="A7246" s="1"/>
    </row>
    <row r="7247">
      <c r="A7247" s="1"/>
    </row>
    <row r="7248">
      <c r="A7248" s="1"/>
    </row>
    <row r="7249">
      <c r="A7249" s="1"/>
    </row>
    <row r="7250">
      <c r="A7250" s="1"/>
    </row>
    <row r="7251">
      <c r="A7251" s="1"/>
    </row>
    <row r="7252">
      <c r="A7252" s="1"/>
    </row>
    <row r="7253">
      <c r="A7253" s="1"/>
    </row>
    <row r="7254">
      <c r="A7254" s="1"/>
    </row>
    <row r="7255">
      <c r="A7255" s="1"/>
    </row>
    <row r="7256">
      <c r="A7256" s="1"/>
    </row>
    <row r="7257">
      <c r="A7257" s="1"/>
    </row>
    <row r="7258">
      <c r="A7258" s="1"/>
    </row>
    <row r="7259">
      <c r="A7259" s="1"/>
    </row>
    <row r="7260">
      <c r="A7260" s="1"/>
    </row>
    <row r="7261">
      <c r="A7261" s="1"/>
    </row>
    <row r="7262">
      <c r="A7262" s="1"/>
    </row>
    <row r="7263">
      <c r="A7263" s="1"/>
    </row>
    <row r="7264">
      <c r="A7264" s="1"/>
    </row>
    <row r="7265">
      <c r="A7265" s="1"/>
    </row>
    <row r="7266">
      <c r="A7266" s="1"/>
    </row>
    <row r="7267">
      <c r="A7267" s="1"/>
    </row>
    <row r="7268">
      <c r="A7268" s="1"/>
    </row>
    <row r="7269">
      <c r="A7269" s="1"/>
    </row>
    <row r="7270">
      <c r="A7270" s="1"/>
    </row>
    <row r="7271">
      <c r="A7271" s="1"/>
    </row>
    <row r="7272">
      <c r="A7272" s="1"/>
    </row>
    <row r="7273">
      <c r="A7273" s="1"/>
    </row>
    <row r="7274">
      <c r="A7274" s="1"/>
    </row>
    <row r="7275">
      <c r="A7275" s="1"/>
    </row>
    <row r="7276">
      <c r="A7276" s="1"/>
    </row>
    <row r="7277">
      <c r="A7277" s="1"/>
    </row>
    <row r="7278">
      <c r="A7278" s="1"/>
    </row>
    <row r="7279">
      <c r="A7279" s="1"/>
    </row>
    <row r="7280">
      <c r="A7280" s="1"/>
    </row>
    <row r="7281">
      <c r="A7281" s="1"/>
    </row>
    <row r="7282">
      <c r="A7282" s="1"/>
    </row>
    <row r="7283">
      <c r="A7283" s="1"/>
    </row>
    <row r="7284">
      <c r="A7284" s="1"/>
    </row>
    <row r="7285">
      <c r="A7285" s="1"/>
    </row>
    <row r="7286">
      <c r="A7286" s="1"/>
    </row>
    <row r="7287">
      <c r="A7287" s="1"/>
    </row>
    <row r="7288">
      <c r="A7288" s="1"/>
    </row>
    <row r="7289">
      <c r="A7289" s="1"/>
    </row>
    <row r="7290">
      <c r="A7290" s="1"/>
    </row>
    <row r="7291">
      <c r="A7291" s="1"/>
    </row>
    <row r="7292">
      <c r="A7292" s="1"/>
    </row>
    <row r="7293">
      <c r="A7293" s="1"/>
    </row>
    <row r="7294">
      <c r="A7294" s="1"/>
    </row>
    <row r="7295">
      <c r="A7295" s="1"/>
    </row>
    <row r="7296">
      <c r="A7296" s="1"/>
    </row>
    <row r="7297">
      <c r="A7297" s="1"/>
    </row>
    <row r="7298">
      <c r="A7298" s="1"/>
    </row>
    <row r="7299">
      <c r="A7299" s="1"/>
    </row>
    <row r="7300">
      <c r="A7300" s="1"/>
    </row>
    <row r="7301">
      <c r="A7301" s="1"/>
    </row>
    <row r="7302">
      <c r="A7302" s="1"/>
    </row>
    <row r="7303">
      <c r="A7303" s="1"/>
    </row>
    <row r="7304">
      <c r="A7304" s="1"/>
    </row>
    <row r="7305">
      <c r="A7305" s="1"/>
    </row>
    <row r="7306">
      <c r="A7306" s="1"/>
    </row>
    <row r="7307">
      <c r="A7307" s="1"/>
    </row>
    <row r="7308">
      <c r="A7308" s="1"/>
    </row>
    <row r="7309">
      <c r="A7309" s="1"/>
    </row>
    <row r="7310">
      <c r="A7310" s="1"/>
    </row>
    <row r="7311">
      <c r="A7311" s="1"/>
    </row>
    <row r="7312">
      <c r="A7312" s="1"/>
    </row>
    <row r="7313">
      <c r="A7313" s="1"/>
    </row>
    <row r="7314">
      <c r="A7314" s="1"/>
    </row>
    <row r="7315">
      <c r="A7315" s="1"/>
    </row>
    <row r="7316">
      <c r="A7316" s="1"/>
    </row>
    <row r="7317">
      <c r="A7317" s="1"/>
    </row>
    <row r="7318">
      <c r="A7318" s="1"/>
    </row>
    <row r="7319">
      <c r="A7319" s="1"/>
    </row>
    <row r="7320">
      <c r="A7320" s="1"/>
    </row>
    <row r="7321">
      <c r="A7321" s="1"/>
    </row>
    <row r="7322">
      <c r="A7322" s="1"/>
    </row>
    <row r="7323">
      <c r="A7323" s="1"/>
    </row>
    <row r="7324">
      <c r="A7324" s="1"/>
    </row>
    <row r="7325">
      <c r="A7325" s="1"/>
    </row>
    <row r="7326">
      <c r="A7326" s="1"/>
    </row>
    <row r="7327">
      <c r="A7327" s="1"/>
    </row>
    <row r="7328">
      <c r="A7328" s="1"/>
    </row>
    <row r="7329">
      <c r="A7329" s="1"/>
    </row>
    <row r="7330">
      <c r="A7330" s="1"/>
    </row>
    <row r="7331">
      <c r="A7331" s="1"/>
    </row>
    <row r="7332">
      <c r="A7332" s="1"/>
    </row>
    <row r="7333">
      <c r="A7333" s="1"/>
    </row>
    <row r="7334">
      <c r="A7334" s="1"/>
    </row>
    <row r="7335">
      <c r="A7335" s="1"/>
    </row>
    <row r="7336">
      <c r="A7336" s="1"/>
    </row>
    <row r="7337">
      <c r="A7337" s="1"/>
    </row>
    <row r="7338">
      <c r="A7338" s="1"/>
    </row>
    <row r="7339">
      <c r="A7339" s="1"/>
    </row>
    <row r="7340">
      <c r="A7340" s="1"/>
    </row>
    <row r="7341">
      <c r="A7341" s="1"/>
    </row>
    <row r="7342">
      <c r="A7342" s="1"/>
    </row>
    <row r="7343">
      <c r="A7343" s="1"/>
    </row>
    <row r="7344">
      <c r="A7344" s="1"/>
    </row>
    <row r="7345">
      <c r="A7345" s="1"/>
    </row>
    <row r="7346">
      <c r="A7346" s="1"/>
    </row>
    <row r="7347">
      <c r="A7347" s="1"/>
    </row>
    <row r="7348">
      <c r="A7348" s="1"/>
    </row>
    <row r="7349">
      <c r="A7349" s="1"/>
    </row>
    <row r="7350">
      <c r="A7350" s="1"/>
    </row>
    <row r="7351">
      <c r="A7351" s="1"/>
    </row>
    <row r="7352">
      <c r="A7352" s="1"/>
    </row>
    <row r="7353">
      <c r="A7353" s="1"/>
    </row>
    <row r="7354">
      <c r="A7354" s="1"/>
    </row>
    <row r="7355">
      <c r="A7355" s="1"/>
    </row>
    <row r="7356">
      <c r="A7356" s="1"/>
    </row>
    <row r="7357">
      <c r="A7357" s="1"/>
    </row>
    <row r="7358">
      <c r="A7358" s="1"/>
    </row>
    <row r="7359">
      <c r="A7359" s="1"/>
    </row>
    <row r="7360">
      <c r="A7360" s="1"/>
    </row>
    <row r="7361">
      <c r="A7361" s="1"/>
    </row>
    <row r="7362">
      <c r="A7362" s="1"/>
    </row>
    <row r="7363">
      <c r="A7363" s="1"/>
    </row>
    <row r="7364">
      <c r="A7364" s="1"/>
    </row>
    <row r="7365">
      <c r="A7365" s="1"/>
    </row>
    <row r="7366">
      <c r="A7366" s="1"/>
    </row>
    <row r="7367">
      <c r="A7367" s="1"/>
    </row>
    <row r="7368">
      <c r="A7368" s="1"/>
    </row>
    <row r="7369">
      <c r="A7369" s="1"/>
    </row>
    <row r="7370">
      <c r="A7370" s="1"/>
    </row>
    <row r="7371">
      <c r="A7371" s="1"/>
    </row>
    <row r="7372">
      <c r="A7372" s="1"/>
    </row>
    <row r="7373">
      <c r="A7373" s="1"/>
    </row>
    <row r="7374">
      <c r="A7374" s="1"/>
    </row>
    <row r="7375">
      <c r="A7375" s="1"/>
    </row>
    <row r="7376">
      <c r="A7376" s="1"/>
    </row>
    <row r="7377">
      <c r="A7377" s="1"/>
    </row>
    <row r="7378">
      <c r="A7378" s="1"/>
    </row>
    <row r="7379">
      <c r="A7379" s="1"/>
    </row>
    <row r="7380">
      <c r="A7380" s="1"/>
    </row>
    <row r="7381">
      <c r="A7381" s="1"/>
    </row>
    <row r="7382">
      <c r="A7382" s="1"/>
    </row>
    <row r="7383">
      <c r="A7383" s="1"/>
    </row>
    <row r="7384">
      <c r="A7384" s="1"/>
    </row>
    <row r="7385">
      <c r="A7385" s="1"/>
    </row>
    <row r="7386">
      <c r="A7386" s="1"/>
    </row>
    <row r="7387">
      <c r="A7387" s="1"/>
    </row>
    <row r="7388">
      <c r="A7388" s="1"/>
    </row>
    <row r="7389">
      <c r="A7389" s="1"/>
    </row>
    <row r="7390">
      <c r="A7390" s="1"/>
    </row>
    <row r="7391">
      <c r="A7391" s="1"/>
    </row>
    <row r="7392">
      <c r="A7392" s="1"/>
    </row>
    <row r="7393">
      <c r="A7393" s="1"/>
    </row>
    <row r="7394">
      <c r="A7394" s="1"/>
    </row>
    <row r="7395">
      <c r="A7395" s="1"/>
    </row>
    <row r="7396">
      <c r="A7396" s="1"/>
    </row>
    <row r="7397">
      <c r="A7397" s="1"/>
    </row>
    <row r="7398">
      <c r="A7398" s="1"/>
    </row>
    <row r="7399">
      <c r="A7399" s="1"/>
    </row>
    <row r="7400">
      <c r="A7400" s="1"/>
    </row>
    <row r="7401">
      <c r="A7401" s="1"/>
    </row>
    <row r="7402">
      <c r="A7402" s="1"/>
    </row>
    <row r="7403">
      <c r="A7403" s="1"/>
    </row>
    <row r="7404">
      <c r="A7404" s="1"/>
    </row>
    <row r="7405">
      <c r="A7405" s="1"/>
    </row>
    <row r="7406">
      <c r="A7406" s="1"/>
    </row>
    <row r="7407">
      <c r="A7407" s="1"/>
    </row>
    <row r="7408">
      <c r="A7408" s="1"/>
    </row>
    <row r="7409">
      <c r="A7409" s="1"/>
    </row>
    <row r="7410">
      <c r="A7410" s="1"/>
    </row>
    <row r="7411">
      <c r="A7411" s="1"/>
    </row>
    <row r="7412">
      <c r="A7412" s="1"/>
    </row>
    <row r="7413">
      <c r="A7413" s="1"/>
    </row>
    <row r="7414">
      <c r="A7414" s="1"/>
    </row>
    <row r="7415">
      <c r="A7415" s="1"/>
    </row>
    <row r="7416">
      <c r="A7416" s="1"/>
    </row>
    <row r="7417">
      <c r="A7417" s="1"/>
    </row>
    <row r="7418">
      <c r="A7418" s="1"/>
    </row>
    <row r="7419">
      <c r="A7419" s="1"/>
    </row>
    <row r="7420">
      <c r="A7420" s="1"/>
    </row>
    <row r="7421">
      <c r="A7421" s="1"/>
    </row>
    <row r="7422">
      <c r="A7422" s="1"/>
    </row>
    <row r="7423">
      <c r="A7423" s="1"/>
    </row>
    <row r="7424">
      <c r="A7424" s="1"/>
    </row>
    <row r="7425">
      <c r="A7425" s="1"/>
    </row>
    <row r="7426">
      <c r="A7426" s="1"/>
    </row>
    <row r="7427">
      <c r="A7427" s="1"/>
    </row>
    <row r="7428">
      <c r="A7428" s="1"/>
    </row>
    <row r="7429">
      <c r="A7429" s="1"/>
    </row>
    <row r="7430">
      <c r="A7430" s="1"/>
    </row>
    <row r="7431">
      <c r="A7431" s="1"/>
    </row>
    <row r="7432">
      <c r="A7432" s="1"/>
    </row>
    <row r="7433">
      <c r="A7433" s="1"/>
    </row>
    <row r="7434">
      <c r="A7434" s="1"/>
    </row>
    <row r="7435">
      <c r="A7435" s="1"/>
    </row>
    <row r="7436">
      <c r="A7436" s="1"/>
    </row>
    <row r="7437">
      <c r="A7437" s="1"/>
    </row>
    <row r="7438">
      <c r="A7438" s="1"/>
    </row>
    <row r="7439">
      <c r="A7439" s="1"/>
    </row>
    <row r="7440">
      <c r="A7440" s="1"/>
    </row>
    <row r="7441">
      <c r="A7441" s="1"/>
    </row>
    <row r="7442">
      <c r="A7442" s="1"/>
    </row>
    <row r="7443">
      <c r="A7443" s="1"/>
    </row>
    <row r="7444">
      <c r="A7444" s="1"/>
    </row>
    <row r="7445">
      <c r="A7445" s="1"/>
    </row>
    <row r="7446">
      <c r="A7446" s="1"/>
    </row>
    <row r="7447">
      <c r="A7447" s="1"/>
    </row>
    <row r="7448">
      <c r="A7448" s="1"/>
    </row>
    <row r="7449">
      <c r="A7449" s="1"/>
    </row>
    <row r="7450">
      <c r="A7450" s="1"/>
    </row>
    <row r="7451">
      <c r="A7451" s="1"/>
    </row>
    <row r="7452">
      <c r="A7452" s="1"/>
    </row>
    <row r="7453">
      <c r="A7453" s="1"/>
    </row>
    <row r="7454">
      <c r="A7454" s="1"/>
    </row>
    <row r="7455">
      <c r="A7455" s="1"/>
    </row>
    <row r="7456">
      <c r="A7456" s="1"/>
    </row>
    <row r="7457">
      <c r="A7457" s="1"/>
    </row>
    <row r="7458">
      <c r="A7458" s="1"/>
    </row>
    <row r="7459">
      <c r="A7459" s="1"/>
    </row>
    <row r="7460">
      <c r="A7460" s="1"/>
    </row>
    <row r="7461">
      <c r="A7461" s="1"/>
    </row>
    <row r="7462">
      <c r="A7462" s="1"/>
    </row>
    <row r="7463">
      <c r="A7463" s="1"/>
    </row>
    <row r="7464">
      <c r="A7464" s="1"/>
    </row>
    <row r="7465">
      <c r="A7465" s="1"/>
    </row>
    <row r="7466">
      <c r="A7466" s="1"/>
    </row>
    <row r="7467">
      <c r="A7467" s="1"/>
    </row>
    <row r="7468">
      <c r="A7468" s="1"/>
    </row>
    <row r="7469">
      <c r="A7469" s="1"/>
    </row>
    <row r="7470">
      <c r="A7470" s="1"/>
    </row>
    <row r="7471">
      <c r="A7471" s="1"/>
    </row>
    <row r="7472">
      <c r="A7472" s="1"/>
    </row>
    <row r="7473">
      <c r="A7473" s="1"/>
    </row>
    <row r="7474">
      <c r="A7474" s="1"/>
    </row>
    <row r="7475">
      <c r="A7475" s="1"/>
    </row>
    <row r="7476">
      <c r="A7476" s="1"/>
    </row>
    <row r="7477">
      <c r="A7477" s="1"/>
    </row>
    <row r="7478">
      <c r="A7478" s="1"/>
    </row>
    <row r="7479">
      <c r="A7479" s="1"/>
    </row>
    <row r="7480">
      <c r="A7480" s="1"/>
    </row>
    <row r="7481">
      <c r="A7481" s="1"/>
    </row>
    <row r="7482">
      <c r="A7482" s="1"/>
    </row>
    <row r="7483">
      <c r="A7483" s="1"/>
    </row>
    <row r="7484">
      <c r="A7484" s="1"/>
    </row>
    <row r="7485">
      <c r="A7485" s="1"/>
    </row>
    <row r="7486">
      <c r="A7486" s="1"/>
    </row>
    <row r="7487">
      <c r="A7487" s="1"/>
    </row>
    <row r="7488">
      <c r="A7488" s="1"/>
    </row>
    <row r="7489">
      <c r="A7489" s="1"/>
    </row>
    <row r="7490">
      <c r="A7490" s="1"/>
    </row>
    <row r="7491">
      <c r="A7491" s="1"/>
    </row>
    <row r="7492">
      <c r="A7492" s="1"/>
    </row>
    <row r="7493">
      <c r="A7493" s="1"/>
    </row>
    <row r="7494">
      <c r="A7494" s="1"/>
    </row>
    <row r="7495">
      <c r="A7495" s="1"/>
    </row>
    <row r="7496">
      <c r="A7496" s="1"/>
    </row>
    <row r="7497">
      <c r="A7497" s="1"/>
    </row>
    <row r="7498">
      <c r="A7498" s="1"/>
    </row>
    <row r="7499">
      <c r="A7499" s="1"/>
    </row>
    <row r="7500">
      <c r="A7500" s="1"/>
    </row>
    <row r="7501">
      <c r="A7501" s="1"/>
    </row>
    <row r="7502">
      <c r="A7502" s="1"/>
    </row>
    <row r="7503">
      <c r="A7503" s="1"/>
    </row>
    <row r="7504">
      <c r="A7504" s="1"/>
    </row>
    <row r="7505">
      <c r="A7505" s="1"/>
    </row>
    <row r="7506">
      <c r="A7506" s="1"/>
    </row>
    <row r="7507">
      <c r="A7507" s="1"/>
    </row>
    <row r="7508">
      <c r="A7508" s="1"/>
    </row>
    <row r="7509">
      <c r="A7509" s="1"/>
    </row>
    <row r="7510">
      <c r="A7510" s="1"/>
    </row>
    <row r="7511">
      <c r="A7511" s="1"/>
    </row>
    <row r="7512">
      <c r="A7512" s="1"/>
    </row>
    <row r="7513">
      <c r="A7513" s="1"/>
    </row>
    <row r="7514">
      <c r="A7514" s="1"/>
    </row>
    <row r="7515">
      <c r="A7515" s="1"/>
    </row>
    <row r="7516">
      <c r="A7516" s="1"/>
    </row>
    <row r="7517">
      <c r="A7517" s="1"/>
    </row>
    <row r="7518">
      <c r="A7518" s="1"/>
    </row>
    <row r="7519">
      <c r="A7519" s="1"/>
    </row>
    <row r="7520">
      <c r="A7520" s="1"/>
    </row>
    <row r="7521">
      <c r="A7521" s="1"/>
    </row>
    <row r="7522">
      <c r="A7522" s="1"/>
    </row>
    <row r="7523">
      <c r="A7523" s="1"/>
    </row>
    <row r="7524">
      <c r="A7524" s="1"/>
    </row>
    <row r="7525">
      <c r="A7525" s="1"/>
    </row>
    <row r="7526">
      <c r="A7526" s="1"/>
    </row>
    <row r="7527">
      <c r="A7527" s="1"/>
    </row>
    <row r="7528">
      <c r="A7528" s="1"/>
    </row>
    <row r="7529">
      <c r="A7529" s="1"/>
    </row>
    <row r="7530">
      <c r="A7530" s="1"/>
    </row>
    <row r="7531">
      <c r="A7531" s="1"/>
    </row>
    <row r="7532">
      <c r="A7532" s="1"/>
    </row>
    <row r="7533">
      <c r="A7533" s="1"/>
    </row>
    <row r="7534">
      <c r="A7534" s="1"/>
    </row>
    <row r="7535">
      <c r="A7535" s="1"/>
    </row>
    <row r="7536">
      <c r="A7536" s="1"/>
    </row>
    <row r="7537">
      <c r="A7537" s="1"/>
    </row>
    <row r="7538">
      <c r="A7538" s="1"/>
    </row>
    <row r="7539">
      <c r="A7539" s="1"/>
    </row>
    <row r="7540">
      <c r="A7540" s="1"/>
    </row>
    <row r="7541">
      <c r="A7541" s="1"/>
    </row>
    <row r="7542">
      <c r="A7542" s="1"/>
    </row>
    <row r="7543">
      <c r="A7543" s="1"/>
    </row>
    <row r="7544">
      <c r="A7544" s="1"/>
    </row>
    <row r="7545">
      <c r="A7545" s="1"/>
    </row>
    <row r="7546">
      <c r="A7546" s="1"/>
    </row>
    <row r="7547">
      <c r="A7547" s="1"/>
    </row>
    <row r="7548">
      <c r="A7548" s="1"/>
    </row>
    <row r="7549">
      <c r="A7549" s="1"/>
    </row>
    <row r="7550">
      <c r="A7550" s="1"/>
    </row>
    <row r="7551">
      <c r="A7551" s="1"/>
    </row>
    <row r="7552">
      <c r="A7552" s="1"/>
    </row>
    <row r="7553">
      <c r="A7553" s="1"/>
    </row>
    <row r="7554">
      <c r="A7554" s="1"/>
    </row>
    <row r="7555">
      <c r="A7555" s="1"/>
    </row>
    <row r="7556">
      <c r="A7556" s="1"/>
    </row>
    <row r="7557">
      <c r="A7557" s="1"/>
    </row>
    <row r="7558">
      <c r="A7558" s="1"/>
    </row>
    <row r="7559">
      <c r="A7559" s="1"/>
    </row>
    <row r="7560">
      <c r="A7560" s="1"/>
    </row>
    <row r="7561">
      <c r="A7561" s="1"/>
    </row>
    <row r="7562">
      <c r="A7562" s="1"/>
    </row>
    <row r="7563">
      <c r="A7563" s="1"/>
    </row>
    <row r="7564">
      <c r="A7564" s="1"/>
    </row>
    <row r="7565">
      <c r="A7565" s="1"/>
    </row>
    <row r="7566">
      <c r="A7566" s="1"/>
    </row>
    <row r="7567">
      <c r="A7567" s="1"/>
    </row>
    <row r="7568">
      <c r="A7568" s="1"/>
    </row>
    <row r="7569">
      <c r="A7569" s="1"/>
    </row>
    <row r="7570">
      <c r="A7570" s="1"/>
    </row>
    <row r="7571">
      <c r="A7571" s="1"/>
    </row>
    <row r="7572">
      <c r="A7572" s="1"/>
    </row>
    <row r="7573">
      <c r="A7573" s="1"/>
    </row>
    <row r="7574">
      <c r="A7574" s="1"/>
    </row>
    <row r="7575">
      <c r="A7575" s="1"/>
    </row>
    <row r="7576">
      <c r="A7576" s="1"/>
    </row>
    <row r="7577">
      <c r="A7577" s="1"/>
    </row>
    <row r="7578">
      <c r="A7578" s="1"/>
    </row>
    <row r="7579">
      <c r="A7579" s="1"/>
    </row>
    <row r="7580">
      <c r="A7580" s="1"/>
    </row>
    <row r="7581">
      <c r="A7581" s="1"/>
    </row>
    <row r="7582">
      <c r="A7582" s="1"/>
    </row>
    <row r="7583">
      <c r="A7583" s="1"/>
    </row>
    <row r="7584">
      <c r="A7584" s="1"/>
    </row>
    <row r="7585">
      <c r="A7585" s="1"/>
    </row>
    <row r="7586">
      <c r="A7586" s="1"/>
    </row>
    <row r="7587">
      <c r="A7587" s="1"/>
    </row>
    <row r="7588">
      <c r="A7588" s="1"/>
    </row>
    <row r="7589">
      <c r="A7589" s="1"/>
    </row>
    <row r="7590">
      <c r="A7590" s="1"/>
    </row>
    <row r="7591">
      <c r="A7591" s="1"/>
    </row>
    <row r="7592">
      <c r="A7592" s="1"/>
    </row>
    <row r="7593">
      <c r="A7593" s="1"/>
    </row>
    <row r="7594">
      <c r="A7594" s="1"/>
    </row>
    <row r="7595">
      <c r="A7595" s="1"/>
    </row>
    <row r="7596">
      <c r="A7596" s="1"/>
    </row>
    <row r="7597">
      <c r="A7597" s="1"/>
    </row>
    <row r="7598">
      <c r="A7598" s="1"/>
    </row>
    <row r="7599">
      <c r="A7599" s="1"/>
    </row>
    <row r="7600">
      <c r="A7600" s="1"/>
    </row>
    <row r="7601">
      <c r="A7601" s="1"/>
    </row>
    <row r="7602">
      <c r="A7602" s="1"/>
    </row>
    <row r="7603">
      <c r="A7603" s="1"/>
    </row>
    <row r="7604">
      <c r="A7604" s="1"/>
    </row>
    <row r="7605">
      <c r="A7605" s="1"/>
    </row>
    <row r="7606">
      <c r="A7606" s="1"/>
    </row>
    <row r="7607">
      <c r="A7607" s="1"/>
    </row>
    <row r="7608">
      <c r="A7608" s="1"/>
    </row>
    <row r="7609">
      <c r="A7609" s="1"/>
    </row>
    <row r="7610">
      <c r="A7610" s="1"/>
    </row>
    <row r="7611">
      <c r="A7611" s="1"/>
    </row>
    <row r="7612">
      <c r="A7612" s="1"/>
    </row>
    <row r="7613">
      <c r="A7613" s="1"/>
    </row>
    <row r="7614">
      <c r="A7614" s="1"/>
    </row>
    <row r="7615">
      <c r="A7615" s="1"/>
    </row>
    <row r="7616">
      <c r="A7616" s="1"/>
    </row>
    <row r="7617">
      <c r="A7617" s="1"/>
    </row>
    <row r="7618">
      <c r="A7618" s="1"/>
    </row>
    <row r="7619">
      <c r="A7619" s="1"/>
    </row>
    <row r="7620">
      <c r="A7620" s="1"/>
    </row>
    <row r="7621">
      <c r="A7621" s="1"/>
    </row>
    <row r="7622">
      <c r="A7622" s="1"/>
    </row>
    <row r="7623">
      <c r="A7623" s="1"/>
    </row>
    <row r="7624">
      <c r="A7624" s="1"/>
    </row>
    <row r="7625">
      <c r="A7625" s="1"/>
    </row>
    <row r="7626">
      <c r="A7626" s="1"/>
    </row>
    <row r="7627">
      <c r="A7627" s="1"/>
    </row>
    <row r="7628">
      <c r="A7628" s="1"/>
    </row>
    <row r="7629">
      <c r="A7629" s="1"/>
    </row>
    <row r="7630">
      <c r="A7630" s="1"/>
    </row>
    <row r="7631">
      <c r="A7631" s="1"/>
    </row>
    <row r="7632">
      <c r="A7632" s="1"/>
    </row>
    <row r="7633">
      <c r="A7633" s="1"/>
    </row>
    <row r="7634">
      <c r="A7634" s="1"/>
    </row>
    <row r="7635">
      <c r="A7635" s="1"/>
    </row>
    <row r="7636">
      <c r="A7636" s="1"/>
    </row>
    <row r="7637">
      <c r="A7637" s="1"/>
    </row>
    <row r="7638">
      <c r="A7638" s="1"/>
    </row>
    <row r="7639">
      <c r="A7639" s="1"/>
    </row>
    <row r="7640">
      <c r="A7640" s="1"/>
    </row>
    <row r="7641">
      <c r="A7641" s="1"/>
    </row>
    <row r="7642">
      <c r="A7642" s="1"/>
    </row>
    <row r="7643">
      <c r="A7643" s="1"/>
    </row>
    <row r="7644">
      <c r="A7644" s="1"/>
    </row>
    <row r="7645">
      <c r="A7645" s="1"/>
    </row>
    <row r="7646">
      <c r="A7646" s="1"/>
    </row>
    <row r="7647">
      <c r="A7647" s="1"/>
    </row>
    <row r="7648">
      <c r="A7648" s="1"/>
    </row>
    <row r="7649">
      <c r="A7649" s="1"/>
    </row>
    <row r="7650">
      <c r="A7650" s="1"/>
    </row>
    <row r="7651">
      <c r="A7651" s="1"/>
    </row>
    <row r="7652">
      <c r="A7652" s="1"/>
    </row>
    <row r="7653">
      <c r="A7653" s="1"/>
    </row>
    <row r="7654">
      <c r="A7654" s="1"/>
    </row>
    <row r="7655">
      <c r="A7655" s="1"/>
    </row>
    <row r="7656">
      <c r="A7656" s="1"/>
    </row>
    <row r="7657">
      <c r="A7657" s="1"/>
    </row>
    <row r="7658">
      <c r="A7658" s="1"/>
    </row>
    <row r="7659">
      <c r="A7659" s="1"/>
    </row>
    <row r="7660">
      <c r="A7660" s="1"/>
    </row>
    <row r="7661">
      <c r="A7661" s="1"/>
    </row>
    <row r="7662">
      <c r="A7662" s="1"/>
    </row>
    <row r="7663">
      <c r="A7663" s="1"/>
    </row>
    <row r="7664">
      <c r="A7664" s="1"/>
    </row>
    <row r="7665">
      <c r="A7665" s="1"/>
    </row>
    <row r="7666">
      <c r="A7666" s="1"/>
    </row>
    <row r="7667">
      <c r="A7667" s="1"/>
    </row>
    <row r="7668">
      <c r="A7668" s="1"/>
    </row>
    <row r="7669">
      <c r="A7669" s="1"/>
    </row>
    <row r="7670">
      <c r="A7670" s="1"/>
    </row>
    <row r="7671">
      <c r="A7671" s="1"/>
    </row>
    <row r="7672">
      <c r="A7672" s="1"/>
    </row>
    <row r="7673">
      <c r="A7673" s="1"/>
    </row>
    <row r="7674">
      <c r="A7674" s="1"/>
    </row>
    <row r="7675">
      <c r="A7675" s="1"/>
    </row>
    <row r="7676">
      <c r="A7676" s="1"/>
    </row>
    <row r="7677">
      <c r="A7677" s="1"/>
    </row>
    <row r="7678">
      <c r="A7678" s="1"/>
    </row>
    <row r="7679">
      <c r="A7679" s="1"/>
    </row>
    <row r="7680">
      <c r="A7680" s="1"/>
    </row>
    <row r="7681">
      <c r="A7681" s="1"/>
    </row>
    <row r="7682">
      <c r="A7682" s="1"/>
    </row>
    <row r="7683">
      <c r="A7683" s="1"/>
    </row>
    <row r="7684">
      <c r="A7684" s="1"/>
    </row>
    <row r="7685">
      <c r="A7685" s="1"/>
    </row>
    <row r="7686">
      <c r="A7686" s="1"/>
    </row>
    <row r="7687">
      <c r="A7687" s="1"/>
    </row>
    <row r="7688">
      <c r="A7688" s="1"/>
    </row>
    <row r="7689">
      <c r="A7689" s="1"/>
    </row>
    <row r="7690">
      <c r="A7690" s="1"/>
    </row>
    <row r="7691">
      <c r="A7691" s="1"/>
    </row>
    <row r="7692">
      <c r="A7692" s="1"/>
    </row>
    <row r="7693">
      <c r="A7693" s="1"/>
    </row>
    <row r="7694">
      <c r="A7694" s="1"/>
    </row>
    <row r="7695">
      <c r="A7695" s="1"/>
    </row>
    <row r="7696">
      <c r="A7696" s="1"/>
    </row>
    <row r="7697">
      <c r="A7697" s="1"/>
    </row>
    <row r="7698">
      <c r="A7698" s="1"/>
    </row>
    <row r="7699">
      <c r="A7699" s="1"/>
    </row>
    <row r="7700">
      <c r="A7700" s="1"/>
    </row>
    <row r="7701">
      <c r="A7701" s="1"/>
    </row>
    <row r="7702">
      <c r="A7702" s="1"/>
    </row>
    <row r="7703">
      <c r="A7703" s="1"/>
    </row>
    <row r="7704">
      <c r="A7704" s="1"/>
    </row>
    <row r="7705">
      <c r="A7705" s="1"/>
    </row>
    <row r="7706">
      <c r="A7706" s="1"/>
    </row>
    <row r="7707">
      <c r="A7707" s="1"/>
    </row>
    <row r="7708">
      <c r="A7708" s="1"/>
    </row>
    <row r="7709">
      <c r="A7709" s="1"/>
    </row>
    <row r="7710">
      <c r="A7710" s="1"/>
    </row>
    <row r="7711">
      <c r="A7711" s="1"/>
    </row>
    <row r="7712">
      <c r="A7712" s="1"/>
    </row>
    <row r="7713">
      <c r="A7713" s="1"/>
    </row>
    <row r="7714">
      <c r="A7714" s="1"/>
    </row>
    <row r="7715">
      <c r="A7715" s="1"/>
    </row>
    <row r="7716">
      <c r="A7716" s="1"/>
    </row>
    <row r="7717">
      <c r="A7717" s="1"/>
    </row>
    <row r="7718">
      <c r="A7718" s="1"/>
    </row>
    <row r="7719">
      <c r="A7719" s="1"/>
    </row>
    <row r="7720">
      <c r="A7720" s="1"/>
    </row>
    <row r="7721">
      <c r="A7721" s="1"/>
    </row>
    <row r="7722">
      <c r="A7722" s="1"/>
    </row>
    <row r="7723">
      <c r="A7723" s="1"/>
    </row>
    <row r="7724">
      <c r="A7724" s="1"/>
    </row>
    <row r="7725">
      <c r="A7725" s="1"/>
    </row>
    <row r="7726">
      <c r="A7726" s="1"/>
    </row>
    <row r="7727">
      <c r="A7727" s="1"/>
    </row>
    <row r="7728">
      <c r="A7728" s="1"/>
    </row>
    <row r="7729">
      <c r="A7729" s="1"/>
    </row>
    <row r="7730">
      <c r="A7730" s="1"/>
    </row>
    <row r="7731">
      <c r="A7731" s="1"/>
    </row>
    <row r="7732">
      <c r="A7732" s="1"/>
    </row>
    <row r="7733">
      <c r="A7733" s="1"/>
    </row>
    <row r="7734">
      <c r="A7734" s="1"/>
    </row>
    <row r="7735">
      <c r="A7735" s="1"/>
    </row>
    <row r="7736">
      <c r="A7736" s="1"/>
    </row>
    <row r="7737">
      <c r="A7737" s="1"/>
    </row>
    <row r="7738">
      <c r="A7738" s="1"/>
    </row>
    <row r="7739">
      <c r="A7739" s="1"/>
    </row>
    <row r="7740">
      <c r="A7740" s="1"/>
    </row>
    <row r="7741">
      <c r="A7741" s="1"/>
    </row>
    <row r="7742">
      <c r="A7742" s="1"/>
    </row>
    <row r="7743">
      <c r="A7743" s="1"/>
    </row>
    <row r="7744">
      <c r="A7744" s="1"/>
    </row>
    <row r="7745">
      <c r="A7745" s="1"/>
    </row>
    <row r="7746">
      <c r="A7746" s="1"/>
    </row>
    <row r="7747">
      <c r="A7747" s="1"/>
    </row>
    <row r="7748">
      <c r="A7748" s="1"/>
    </row>
    <row r="7749">
      <c r="A7749" s="1"/>
    </row>
    <row r="7750">
      <c r="A7750" s="1"/>
    </row>
    <row r="7751">
      <c r="A7751" s="1"/>
    </row>
    <row r="7752">
      <c r="A7752" s="1"/>
    </row>
    <row r="7753">
      <c r="A7753" s="1"/>
    </row>
    <row r="7754">
      <c r="A7754" s="1"/>
    </row>
    <row r="7755">
      <c r="A7755" s="1"/>
    </row>
    <row r="7756">
      <c r="A7756" s="1"/>
    </row>
    <row r="7757">
      <c r="A7757" s="1"/>
    </row>
    <row r="7758">
      <c r="A7758" s="1"/>
    </row>
    <row r="7759">
      <c r="A7759" s="1"/>
    </row>
    <row r="7760">
      <c r="A7760" s="1"/>
    </row>
    <row r="7761">
      <c r="A7761" s="1"/>
    </row>
    <row r="7762">
      <c r="A7762" s="1"/>
    </row>
    <row r="7763">
      <c r="A7763" s="1"/>
    </row>
    <row r="7764">
      <c r="A7764" s="1"/>
    </row>
    <row r="7765">
      <c r="A7765" s="1"/>
    </row>
    <row r="7766">
      <c r="A7766" s="1"/>
    </row>
    <row r="7767">
      <c r="A7767" s="1"/>
    </row>
    <row r="7768">
      <c r="A7768" s="1"/>
    </row>
    <row r="7769">
      <c r="A7769" s="1"/>
    </row>
    <row r="7770">
      <c r="A7770" s="1"/>
    </row>
    <row r="7771">
      <c r="A7771" s="1"/>
    </row>
    <row r="7772">
      <c r="A7772" s="1"/>
    </row>
    <row r="7773">
      <c r="A7773" s="1"/>
    </row>
    <row r="7774">
      <c r="A7774" s="1"/>
    </row>
    <row r="7775">
      <c r="A7775" s="1"/>
    </row>
    <row r="7776">
      <c r="A7776" s="1"/>
    </row>
    <row r="7777">
      <c r="A7777" s="1"/>
    </row>
    <row r="7778">
      <c r="A7778" s="1"/>
    </row>
    <row r="7779">
      <c r="A7779" s="1"/>
    </row>
    <row r="7780">
      <c r="A7780" s="1"/>
    </row>
    <row r="7781">
      <c r="A7781" s="1"/>
    </row>
    <row r="7782">
      <c r="A7782" s="1"/>
    </row>
    <row r="7783">
      <c r="A7783" s="1"/>
    </row>
    <row r="7784">
      <c r="A7784" s="1"/>
    </row>
    <row r="7785">
      <c r="A7785" s="1"/>
    </row>
    <row r="7786">
      <c r="A7786" s="1"/>
    </row>
    <row r="7787">
      <c r="A7787" s="1"/>
    </row>
    <row r="7788">
      <c r="A7788" s="1"/>
    </row>
    <row r="7789">
      <c r="A7789" s="1"/>
    </row>
    <row r="7790">
      <c r="A7790" s="1"/>
    </row>
    <row r="7791">
      <c r="A7791" s="1"/>
    </row>
    <row r="7792">
      <c r="A7792" s="1"/>
    </row>
    <row r="7793">
      <c r="A7793" s="1"/>
    </row>
    <row r="7794">
      <c r="A7794" s="1"/>
    </row>
    <row r="7795">
      <c r="A7795" s="1"/>
    </row>
    <row r="7796">
      <c r="A7796" s="1"/>
    </row>
    <row r="7797">
      <c r="A7797" s="1"/>
    </row>
    <row r="7798">
      <c r="A7798" s="1"/>
    </row>
    <row r="7799">
      <c r="A7799" s="1"/>
    </row>
    <row r="7800">
      <c r="A7800" s="1"/>
    </row>
    <row r="7801">
      <c r="A7801" s="1"/>
    </row>
    <row r="7802">
      <c r="A7802" s="1"/>
    </row>
    <row r="7803">
      <c r="A7803" s="1"/>
    </row>
    <row r="7804">
      <c r="A7804" s="1"/>
    </row>
    <row r="7805">
      <c r="A7805" s="1"/>
    </row>
    <row r="7806">
      <c r="A7806" s="1"/>
    </row>
    <row r="7807">
      <c r="A7807" s="1"/>
    </row>
    <row r="7808">
      <c r="A7808" s="1"/>
    </row>
    <row r="7809">
      <c r="A7809" s="1"/>
    </row>
    <row r="7810">
      <c r="A7810" s="1"/>
    </row>
    <row r="7811">
      <c r="A7811" s="1"/>
    </row>
    <row r="7812">
      <c r="A7812" s="1"/>
    </row>
    <row r="7813">
      <c r="A7813" s="1"/>
    </row>
    <row r="7814">
      <c r="A7814" s="1"/>
    </row>
    <row r="7815">
      <c r="A7815" s="1"/>
    </row>
    <row r="7816">
      <c r="A7816" s="1"/>
    </row>
    <row r="7817">
      <c r="A7817" s="1"/>
    </row>
    <row r="7818">
      <c r="A7818" s="1"/>
    </row>
    <row r="7819">
      <c r="A7819" s="1"/>
    </row>
    <row r="7820">
      <c r="A7820" s="1"/>
    </row>
    <row r="7821">
      <c r="A7821" s="1"/>
    </row>
    <row r="7822">
      <c r="A7822" s="1"/>
    </row>
    <row r="7823">
      <c r="A7823" s="1"/>
    </row>
    <row r="7824">
      <c r="A7824" s="1"/>
    </row>
    <row r="7825">
      <c r="A7825" s="1"/>
    </row>
    <row r="7826">
      <c r="A7826" s="1"/>
    </row>
    <row r="7827">
      <c r="A7827" s="1"/>
    </row>
    <row r="7828">
      <c r="A7828" s="1"/>
    </row>
    <row r="7829">
      <c r="A7829" s="1"/>
    </row>
    <row r="7830">
      <c r="A7830" s="1"/>
    </row>
    <row r="7831">
      <c r="A7831" s="1"/>
    </row>
    <row r="7832">
      <c r="A7832" s="1"/>
    </row>
    <row r="7833">
      <c r="A7833" s="1"/>
    </row>
    <row r="7834">
      <c r="A7834" s="1"/>
    </row>
    <row r="7835">
      <c r="A7835" s="1"/>
    </row>
    <row r="7836">
      <c r="A7836" s="1"/>
    </row>
    <row r="7837">
      <c r="A7837" s="1"/>
    </row>
    <row r="7838">
      <c r="A7838" s="1"/>
    </row>
    <row r="7839">
      <c r="A7839" s="1"/>
    </row>
    <row r="7840">
      <c r="A7840" s="1"/>
    </row>
    <row r="7841">
      <c r="A7841" s="1"/>
    </row>
    <row r="7842">
      <c r="A7842" s="1"/>
    </row>
    <row r="7843">
      <c r="A7843" s="1"/>
    </row>
    <row r="7844">
      <c r="A7844" s="1"/>
    </row>
    <row r="7845">
      <c r="A7845" s="1"/>
    </row>
    <row r="7846">
      <c r="A7846" s="1"/>
    </row>
    <row r="7847">
      <c r="A7847" s="1"/>
    </row>
    <row r="7848">
      <c r="A7848" s="1"/>
    </row>
    <row r="7849">
      <c r="A7849" s="1"/>
    </row>
    <row r="7850">
      <c r="A7850" s="1"/>
    </row>
    <row r="7851">
      <c r="A7851" s="1"/>
    </row>
    <row r="7852">
      <c r="A7852" s="1"/>
    </row>
    <row r="7853">
      <c r="A7853" s="1"/>
    </row>
    <row r="7854">
      <c r="A7854" s="1"/>
    </row>
    <row r="7855">
      <c r="A7855" s="1"/>
    </row>
    <row r="7856">
      <c r="A7856" s="1"/>
    </row>
    <row r="7857">
      <c r="A7857" s="1"/>
    </row>
    <row r="7858">
      <c r="A7858" s="1"/>
    </row>
    <row r="7859">
      <c r="A7859" s="1"/>
    </row>
    <row r="7860">
      <c r="A7860" s="1"/>
    </row>
    <row r="7861">
      <c r="A7861" s="1"/>
    </row>
    <row r="7862">
      <c r="A7862" s="1"/>
    </row>
    <row r="7863">
      <c r="A7863" s="1"/>
    </row>
    <row r="7864">
      <c r="A7864" s="1"/>
    </row>
    <row r="7865">
      <c r="A7865" s="1"/>
    </row>
    <row r="7866">
      <c r="A7866" s="1"/>
    </row>
    <row r="7867">
      <c r="A7867" s="1"/>
    </row>
    <row r="7868">
      <c r="A7868" s="1"/>
    </row>
    <row r="7869">
      <c r="A7869" s="1"/>
    </row>
    <row r="7870">
      <c r="A7870" s="1"/>
    </row>
    <row r="7871">
      <c r="A7871" s="1"/>
    </row>
    <row r="7872">
      <c r="A7872" s="1"/>
    </row>
    <row r="7873">
      <c r="A7873" s="1"/>
    </row>
    <row r="7874">
      <c r="A7874" s="1"/>
    </row>
    <row r="7875">
      <c r="A7875" s="1"/>
    </row>
    <row r="7876">
      <c r="A7876" s="1"/>
    </row>
    <row r="7877">
      <c r="A7877" s="1"/>
    </row>
    <row r="7878">
      <c r="A7878" s="1"/>
    </row>
    <row r="7879">
      <c r="A7879" s="1"/>
    </row>
    <row r="7880">
      <c r="A7880" s="1"/>
    </row>
    <row r="7881">
      <c r="A7881" s="1"/>
    </row>
    <row r="7882">
      <c r="A7882" s="1"/>
    </row>
    <row r="7883">
      <c r="A7883" s="1"/>
    </row>
    <row r="7884">
      <c r="A7884" s="1"/>
    </row>
    <row r="7885">
      <c r="A7885" s="1"/>
    </row>
    <row r="7886">
      <c r="A7886" s="1"/>
    </row>
    <row r="7887">
      <c r="A7887" s="1"/>
    </row>
    <row r="7888">
      <c r="A7888" s="1"/>
    </row>
    <row r="7889">
      <c r="A7889" s="1"/>
    </row>
    <row r="7890">
      <c r="A7890" s="1"/>
    </row>
    <row r="7891">
      <c r="A7891" s="1"/>
    </row>
    <row r="7892">
      <c r="A7892" s="1"/>
    </row>
    <row r="7893">
      <c r="A7893" s="1"/>
    </row>
    <row r="7894">
      <c r="A7894" s="1"/>
    </row>
    <row r="7895">
      <c r="A7895" s="1"/>
    </row>
    <row r="7896">
      <c r="A7896" s="1"/>
    </row>
    <row r="7897">
      <c r="A7897" s="1"/>
    </row>
    <row r="7898">
      <c r="A7898" s="1"/>
    </row>
    <row r="7899">
      <c r="A7899" s="1"/>
    </row>
    <row r="7900">
      <c r="A7900" s="1"/>
    </row>
    <row r="7901">
      <c r="A7901" s="1"/>
    </row>
    <row r="7902">
      <c r="A7902" s="1"/>
    </row>
    <row r="7903">
      <c r="A7903" s="1"/>
    </row>
    <row r="7904">
      <c r="A7904" s="1"/>
    </row>
    <row r="7905">
      <c r="A7905" s="1"/>
    </row>
    <row r="7906">
      <c r="A7906" s="1"/>
    </row>
    <row r="7907">
      <c r="A7907" s="1"/>
    </row>
    <row r="7908">
      <c r="A7908" s="1"/>
    </row>
    <row r="7909">
      <c r="A7909" s="1"/>
    </row>
    <row r="7910">
      <c r="A7910" s="1"/>
    </row>
    <row r="7911">
      <c r="A7911" s="1"/>
    </row>
    <row r="7912">
      <c r="A7912" s="1"/>
    </row>
    <row r="7913">
      <c r="A7913" s="1"/>
    </row>
    <row r="7914">
      <c r="A7914" s="1"/>
    </row>
    <row r="7915">
      <c r="A7915" s="1"/>
    </row>
    <row r="7916">
      <c r="A7916" s="1"/>
    </row>
    <row r="7917">
      <c r="A7917" s="1"/>
    </row>
    <row r="7918">
      <c r="A7918" s="1"/>
    </row>
    <row r="7919">
      <c r="A7919" s="1"/>
    </row>
    <row r="7920">
      <c r="A7920" s="1"/>
    </row>
    <row r="7921">
      <c r="A7921" s="1"/>
    </row>
    <row r="7922">
      <c r="A7922" s="1"/>
    </row>
    <row r="7923">
      <c r="A7923" s="1"/>
    </row>
    <row r="7924">
      <c r="A7924" s="1"/>
    </row>
    <row r="7925">
      <c r="A7925" s="1"/>
    </row>
    <row r="7926">
      <c r="A7926" s="1"/>
    </row>
    <row r="7927">
      <c r="A7927" s="1"/>
    </row>
    <row r="7928">
      <c r="A7928" s="1"/>
    </row>
    <row r="7929">
      <c r="A7929" s="1"/>
    </row>
    <row r="7930">
      <c r="A7930" s="1"/>
    </row>
    <row r="7931">
      <c r="A7931" s="1"/>
    </row>
    <row r="7932">
      <c r="A7932" s="1"/>
    </row>
    <row r="7933">
      <c r="A7933" s="1"/>
    </row>
    <row r="7934">
      <c r="A7934" s="1"/>
    </row>
    <row r="7935">
      <c r="A7935" s="1"/>
    </row>
    <row r="7936">
      <c r="A7936" s="1"/>
    </row>
    <row r="7937">
      <c r="A7937" s="1"/>
    </row>
    <row r="7938">
      <c r="A7938" s="1"/>
    </row>
    <row r="7939">
      <c r="A7939" s="1"/>
    </row>
    <row r="7940">
      <c r="A7940" s="1"/>
    </row>
    <row r="7941">
      <c r="A7941" s="1"/>
    </row>
    <row r="7942">
      <c r="A7942" s="1"/>
    </row>
    <row r="7943">
      <c r="A7943" s="1"/>
    </row>
    <row r="7944">
      <c r="A7944" s="1"/>
    </row>
    <row r="7945">
      <c r="A7945" s="1"/>
    </row>
    <row r="7946">
      <c r="A7946" s="1"/>
    </row>
    <row r="7947">
      <c r="A7947" s="1"/>
    </row>
    <row r="7948">
      <c r="A7948" s="1"/>
    </row>
    <row r="7949">
      <c r="A7949" s="1"/>
    </row>
    <row r="7950">
      <c r="A7950" s="1"/>
    </row>
    <row r="7951">
      <c r="A7951" s="1"/>
    </row>
    <row r="7952">
      <c r="A7952" s="1"/>
    </row>
    <row r="7953">
      <c r="A7953" s="1"/>
    </row>
    <row r="7954">
      <c r="A7954" s="1"/>
    </row>
    <row r="7955">
      <c r="A7955" s="1"/>
    </row>
    <row r="7956">
      <c r="A7956" s="1"/>
    </row>
    <row r="7957">
      <c r="A7957" s="1"/>
    </row>
    <row r="7958">
      <c r="A7958" s="1"/>
    </row>
    <row r="7959">
      <c r="A7959" s="1"/>
    </row>
    <row r="7960">
      <c r="A7960" s="1"/>
    </row>
    <row r="7961">
      <c r="A7961" s="1"/>
    </row>
    <row r="7962">
      <c r="A7962" s="1"/>
    </row>
    <row r="7963">
      <c r="A7963" s="1"/>
    </row>
    <row r="7964">
      <c r="A7964" s="1"/>
    </row>
    <row r="7965">
      <c r="A7965" s="1"/>
    </row>
    <row r="7966">
      <c r="A7966" s="1"/>
    </row>
    <row r="7967">
      <c r="A7967" s="1"/>
    </row>
    <row r="7968">
      <c r="A7968" s="1"/>
    </row>
    <row r="7969">
      <c r="A7969" s="1"/>
    </row>
    <row r="7970">
      <c r="A7970" s="1"/>
    </row>
    <row r="7971">
      <c r="A7971" s="1"/>
    </row>
    <row r="7972">
      <c r="A7972" s="1"/>
    </row>
    <row r="7973">
      <c r="A7973" s="1"/>
    </row>
    <row r="7974">
      <c r="A7974" s="1"/>
    </row>
    <row r="7975">
      <c r="A7975" s="1"/>
    </row>
    <row r="7976">
      <c r="A7976" s="1"/>
    </row>
    <row r="7977">
      <c r="A7977" s="1"/>
    </row>
    <row r="7978">
      <c r="A7978" s="1"/>
    </row>
    <row r="7979">
      <c r="A7979" s="1"/>
    </row>
    <row r="7980">
      <c r="A7980" s="1"/>
    </row>
    <row r="7981">
      <c r="A7981" s="1"/>
    </row>
    <row r="7982">
      <c r="A7982" s="1"/>
    </row>
    <row r="7983">
      <c r="A7983" s="1"/>
    </row>
    <row r="7984">
      <c r="A7984" s="1"/>
    </row>
    <row r="7985">
      <c r="A7985" s="1"/>
    </row>
    <row r="7986">
      <c r="A7986" s="1"/>
    </row>
    <row r="7987">
      <c r="A7987" s="1"/>
    </row>
    <row r="7988">
      <c r="A7988" s="1"/>
    </row>
    <row r="7989">
      <c r="A7989" s="1"/>
    </row>
    <row r="7990">
      <c r="A7990" s="1"/>
    </row>
    <row r="7991">
      <c r="A7991" s="1"/>
    </row>
    <row r="7992">
      <c r="A7992" s="1"/>
    </row>
    <row r="7993">
      <c r="A7993" s="1"/>
    </row>
    <row r="7994">
      <c r="A7994" s="1"/>
    </row>
    <row r="7995">
      <c r="A7995" s="1"/>
    </row>
    <row r="7996">
      <c r="A7996" s="1"/>
    </row>
    <row r="7997">
      <c r="A7997" s="1"/>
    </row>
    <row r="7998">
      <c r="A7998" s="1"/>
    </row>
    <row r="7999">
      <c r="A7999" s="1"/>
    </row>
    <row r="8000">
      <c r="A8000" s="1"/>
    </row>
    <row r="8001">
      <c r="A8001" s="1"/>
    </row>
    <row r="8002">
      <c r="A8002" s="1"/>
    </row>
    <row r="8003">
      <c r="A8003" s="1"/>
    </row>
    <row r="8004">
      <c r="A8004" s="1"/>
    </row>
    <row r="8005">
      <c r="A8005" s="1"/>
    </row>
    <row r="8006">
      <c r="A8006" s="1"/>
    </row>
    <row r="8007">
      <c r="A8007" s="1"/>
    </row>
    <row r="8008">
      <c r="A8008" s="1"/>
    </row>
    <row r="8009">
      <c r="A8009" s="1"/>
    </row>
    <row r="8010">
      <c r="A8010" s="1"/>
    </row>
    <row r="8011">
      <c r="A8011" s="1"/>
    </row>
    <row r="8012">
      <c r="A8012" s="1"/>
    </row>
    <row r="8013">
      <c r="A8013" s="1"/>
    </row>
    <row r="8014">
      <c r="A8014" s="1"/>
    </row>
    <row r="8015">
      <c r="A8015" s="1"/>
    </row>
    <row r="8016">
      <c r="A8016" s="1"/>
    </row>
    <row r="8017">
      <c r="A8017" s="1"/>
    </row>
    <row r="8018">
      <c r="A8018" s="1"/>
    </row>
    <row r="8019">
      <c r="A8019" s="1"/>
    </row>
    <row r="8020">
      <c r="A8020" s="1"/>
    </row>
    <row r="8021">
      <c r="A8021" s="1"/>
    </row>
    <row r="8022">
      <c r="A8022" s="1"/>
    </row>
    <row r="8023">
      <c r="A8023" s="1"/>
    </row>
    <row r="8024">
      <c r="A8024" s="1"/>
    </row>
    <row r="8025">
      <c r="A8025" s="1"/>
    </row>
    <row r="8026">
      <c r="A8026" s="1"/>
    </row>
    <row r="8027">
      <c r="A8027" s="1"/>
    </row>
    <row r="8028">
      <c r="A8028" s="1"/>
    </row>
    <row r="8029">
      <c r="A8029" s="1"/>
    </row>
    <row r="8030">
      <c r="A8030" s="1"/>
    </row>
    <row r="8031">
      <c r="A8031" s="1"/>
    </row>
    <row r="8032">
      <c r="A8032" s="1"/>
    </row>
    <row r="8033">
      <c r="A8033" s="1"/>
    </row>
    <row r="8034">
      <c r="A8034" s="1"/>
    </row>
    <row r="8035">
      <c r="A8035" s="1"/>
    </row>
    <row r="8036">
      <c r="A8036" s="1"/>
    </row>
    <row r="8037">
      <c r="A8037" s="1"/>
    </row>
    <row r="8038">
      <c r="A8038" s="1"/>
    </row>
    <row r="8039">
      <c r="A8039" s="1"/>
    </row>
    <row r="8040">
      <c r="A8040" s="1"/>
    </row>
    <row r="8041">
      <c r="A8041" s="1"/>
    </row>
    <row r="8042">
      <c r="A8042" s="1"/>
    </row>
    <row r="8043">
      <c r="A8043" s="1"/>
    </row>
    <row r="8044">
      <c r="A8044" s="1"/>
    </row>
    <row r="8045">
      <c r="A8045" s="1"/>
    </row>
    <row r="8046">
      <c r="A8046" s="1"/>
    </row>
    <row r="8047">
      <c r="A8047" s="1"/>
    </row>
    <row r="8048">
      <c r="A8048" s="1"/>
    </row>
    <row r="8049">
      <c r="A8049" s="1"/>
    </row>
    <row r="8050">
      <c r="A8050" s="1"/>
    </row>
    <row r="8051">
      <c r="A8051" s="1"/>
    </row>
    <row r="8052">
      <c r="A8052" s="1"/>
    </row>
    <row r="8053">
      <c r="A8053" s="1"/>
    </row>
    <row r="8054">
      <c r="A8054" s="1"/>
    </row>
    <row r="8055">
      <c r="A8055" s="1"/>
    </row>
    <row r="8056">
      <c r="A8056" s="1"/>
    </row>
    <row r="8057">
      <c r="A8057" s="1"/>
    </row>
    <row r="8058">
      <c r="A8058" s="1"/>
    </row>
    <row r="8059">
      <c r="A8059" s="1"/>
    </row>
    <row r="8060">
      <c r="A8060" s="1"/>
    </row>
    <row r="8061">
      <c r="A8061" s="1"/>
    </row>
    <row r="8062">
      <c r="A8062" s="1"/>
    </row>
    <row r="8063">
      <c r="A8063" s="1"/>
    </row>
    <row r="8064">
      <c r="A8064" s="1"/>
    </row>
    <row r="8065">
      <c r="A8065" s="1"/>
    </row>
    <row r="8066">
      <c r="A8066" s="1"/>
    </row>
    <row r="8067">
      <c r="A8067" s="1"/>
    </row>
    <row r="8068">
      <c r="A8068" s="1"/>
    </row>
    <row r="8069">
      <c r="A8069" s="1"/>
    </row>
    <row r="8070">
      <c r="A8070" s="1"/>
    </row>
    <row r="8071">
      <c r="A8071" s="1"/>
    </row>
    <row r="8072">
      <c r="A8072" s="1"/>
    </row>
    <row r="8073">
      <c r="A8073" s="1"/>
    </row>
    <row r="8074">
      <c r="A8074" s="1"/>
    </row>
    <row r="8075">
      <c r="A8075" s="1"/>
    </row>
    <row r="8076">
      <c r="A8076" s="1"/>
    </row>
    <row r="8077">
      <c r="A8077" s="1"/>
    </row>
    <row r="8078">
      <c r="A8078" s="1"/>
    </row>
    <row r="8079">
      <c r="A8079" s="1"/>
    </row>
    <row r="8080">
      <c r="A8080" s="1"/>
    </row>
    <row r="8081">
      <c r="A8081" s="1"/>
    </row>
    <row r="8082">
      <c r="A8082" s="1"/>
    </row>
    <row r="8083">
      <c r="A8083" s="1"/>
    </row>
    <row r="8084">
      <c r="A8084" s="1"/>
    </row>
    <row r="8085">
      <c r="A8085" s="1"/>
    </row>
    <row r="8086">
      <c r="A8086" s="1"/>
    </row>
    <row r="8087">
      <c r="A8087" s="1"/>
    </row>
    <row r="8088">
      <c r="A8088" s="1"/>
    </row>
    <row r="8089">
      <c r="A8089" s="1"/>
    </row>
    <row r="8090">
      <c r="A8090" s="1"/>
    </row>
    <row r="8091">
      <c r="A8091" s="1"/>
    </row>
    <row r="8092">
      <c r="A8092" s="1"/>
    </row>
    <row r="8093">
      <c r="A8093" s="1"/>
    </row>
    <row r="8094">
      <c r="A8094" s="1"/>
    </row>
    <row r="8095">
      <c r="A8095" s="1"/>
    </row>
    <row r="8096">
      <c r="A8096" s="1"/>
    </row>
    <row r="8097">
      <c r="A8097" s="1"/>
    </row>
    <row r="8098">
      <c r="A8098" s="1"/>
    </row>
    <row r="8099">
      <c r="A8099" s="1"/>
    </row>
    <row r="8100">
      <c r="A8100" s="1"/>
    </row>
    <row r="8101">
      <c r="A8101" s="1"/>
    </row>
    <row r="8102">
      <c r="A8102" s="1"/>
    </row>
    <row r="8103">
      <c r="A8103" s="1"/>
    </row>
    <row r="8104">
      <c r="A8104" s="1"/>
    </row>
    <row r="8105">
      <c r="A8105" s="1"/>
    </row>
    <row r="8106">
      <c r="A8106" s="1"/>
    </row>
    <row r="8107">
      <c r="A8107" s="1"/>
    </row>
    <row r="8108">
      <c r="A8108" s="1"/>
    </row>
    <row r="8109">
      <c r="A8109" s="1"/>
    </row>
    <row r="8110">
      <c r="A8110" s="1"/>
    </row>
    <row r="8111">
      <c r="A8111" s="1"/>
    </row>
    <row r="8112">
      <c r="A8112" s="1"/>
    </row>
    <row r="8113">
      <c r="A8113" s="1"/>
    </row>
    <row r="8114">
      <c r="A8114" s="1"/>
    </row>
    <row r="8115">
      <c r="A8115" s="1"/>
    </row>
    <row r="8116">
      <c r="A8116" s="1"/>
    </row>
    <row r="8117">
      <c r="A8117" s="1"/>
    </row>
    <row r="8118">
      <c r="A8118" s="1"/>
    </row>
    <row r="8119">
      <c r="A8119" s="1"/>
    </row>
    <row r="8120">
      <c r="A8120" s="1"/>
    </row>
    <row r="8121">
      <c r="A8121" s="1"/>
    </row>
    <row r="8122">
      <c r="A8122" s="1"/>
    </row>
    <row r="8123">
      <c r="A8123" s="1"/>
    </row>
    <row r="8124">
      <c r="A8124" s="1"/>
    </row>
    <row r="8125">
      <c r="A8125" s="1"/>
    </row>
    <row r="8126">
      <c r="A8126" s="1"/>
    </row>
    <row r="8127">
      <c r="A8127" s="1"/>
    </row>
    <row r="8128">
      <c r="A8128" s="1"/>
    </row>
    <row r="8129">
      <c r="A8129" s="1"/>
    </row>
    <row r="8130">
      <c r="A8130" s="1"/>
    </row>
    <row r="8131">
      <c r="A8131" s="1"/>
    </row>
    <row r="8132">
      <c r="A8132" s="1"/>
    </row>
    <row r="8133">
      <c r="A8133" s="1"/>
    </row>
    <row r="8134">
      <c r="A8134" s="1"/>
    </row>
    <row r="8135">
      <c r="A8135" s="1"/>
    </row>
    <row r="8136">
      <c r="A8136" s="1"/>
    </row>
    <row r="8137">
      <c r="A8137" s="1"/>
    </row>
    <row r="8138">
      <c r="A8138" s="1"/>
    </row>
    <row r="8139">
      <c r="A8139" s="1"/>
    </row>
    <row r="8140">
      <c r="A8140" s="1"/>
    </row>
    <row r="8141">
      <c r="A8141" s="1"/>
    </row>
    <row r="8142">
      <c r="A8142" s="1"/>
    </row>
    <row r="8143">
      <c r="A8143" s="1"/>
    </row>
    <row r="8144">
      <c r="A8144" s="1"/>
    </row>
    <row r="8145">
      <c r="A8145" s="1"/>
    </row>
    <row r="8146">
      <c r="A8146" s="1"/>
    </row>
    <row r="8147">
      <c r="A8147" s="1"/>
    </row>
    <row r="8148">
      <c r="A8148" s="1"/>
    </row>
    <row r="8149">
      <c r="A8149" s="1"/>
    </row>
    <row r="8150">
      <c r="A8150" s="1"/>
    </row>
    <row r="8151">
      <c r="A8151" s="1"/>
    </row>
    <row r="8152">
      <c r="A8152" s="1"/>
    </row>
    <row r="8153">
      <c r="A8153" s="1"/>
    </row>
    <row r="8154">
      <c r="A8154" s="1"/>
    </row>
    <row r="8155">
      <c r="A8155" s="1"/>
    </row>
    <row r="8156">
      <c r="A8156" s="1"/>
    </row>
    <row r="8157">
      <c r="A8157" s="1"/>
    </row>
    <row r="8158">
      <c r="A8158" s="1"/>
    </row>
    <row r="8159">
      <c r="A8159" s="1"/>
    </row>
    <row r="8160">
      <c r="A8160" s="1"/>
    </row>
    <row r="8161">
      <c r="A8161" s="1"/>
    </row>
    <row r="8162">
      <c r="A8162" s="1"/>
    </row>
    <row r="8163">
      <c r="A8163" s="1"/>
    </row>
    <row r="8164">
      <c r="A8164" s="1"/>
    </row>
    <row r="8165">
      <c r="A8165" s="1"/>
    </row>
    <row r="8166">
      <c r="A8166" s="1"/>
    </row>
    <row r="8167">
      <c r="A8167" s="1"/>
    </row>
    <row r="8168">
      <c r="A8168" s="1"/>
    </row>
    <row r="8169">
      <c r="A8169" s="1"/>
    </row>
    <row r="8170">
      <c r="A8170" s="1"/>
    </row>
    <row r="8171">
      <c r="A8171" s="1"/>
    </row>
    <row r="8172">
      <c r="A8172" s="1"/>
    </row>
    <row r="8173">
      <c r="A8173" s="1"/>
    </row>
    <row r="8174">
      <c r="A8174" s="1"/>
    </row>
    <row r="8175">
      <c r="A8175" s="1"/>
    </row>
    <row r="8176">
      <c r="A8176" s="1"/>
    </row>
    <row r="8177">
      <c r="A8177" s="1"/>
    </row>
    <row r="8178">
      <c r="A8178" s="1"/>
    </row>
    <row r="8179">
      <c r="A8179" s="1"/>
    </row>
    <row r="8180">
      <c r="A8180" s="1"/>
    </row>
    <row r="8181">
      <c r="A8181" s="1"/>
    </row>
    <row r="8182">
      <c r="A8182" s="1"/>
    </row>
    <row r="8183">
      <c r="A8183" s="1"/>
    </row>
    <row r="8184">
      <c r="A8184" s="1"/>
    </row>
    <row r="8185">
      <c r="A8185" s="1"/>
    </row>
    <row r="8186">
      <c r="A8186" s="1"/>
    </row>
    <row r="8187">
      <c r="A8187" s="1"/>
    </row>
    <row r="8188">
      <c r="A8188" s="1"/>
    </row>
    <row r="8189">
      <c r="A8189" s="1"/>
    </row>
    <row r="8190">
      <c r="A8190" s="1"/>
    </row>
    <row r="8191">
      <c r="A8191" s="1"/>
    </row>
    <row r="8192">
      <c r="A8192" s="1"/>
    </row>
    <row r="8193">
      <c r="A8193" s="1"/>
    </row>
    <row r="8194">
      <c r="A8194" s="1"/>
    </row>
    <row r="8195">
      <c r="A8195" s="1"/>
    </row>
    <row r="8196">
      <c r="A8196" s="1"/>
    </row>
    <row r="8197">
      <c r="A8197" s="1"/>
    </row>
    <row r="8198">
      <c r="A8198" s="1"/>
    </row>
    <row r="8199">
      <c r="A8199" s="1"/>
    </row>
    <row r="8200">
      <c r="A8200" s="1"/>
    </row>
    <row r="8201">
      <c r="A8201" s="1"/>
    </row>
    <row r="8202">
      <c r="A8202" s="1"/>
    </row>
    <row r="8203">
      <c r="A8203" s="1"/>
    </row>
    <row r="8204">
      <c r="A8204" s="1"/>
    </row>
    <row r="8205">
      <c r="A8205" s="1"/>
    </row>
    <row r="8206">
      <c r="A8206" s="1"/>
    </row>
    <row r="8207">
      <c r="A8207" s="1"/>
    </row>
    <row r="8208">
      <c r="A8208" s="1"/>
    </row>
    <row r="8209">
      <c r="A8209" s="1"/>
    </row>
    <row r="8210">
      <c r="A8210" s="1"/>
    </row>
    <row r="8211">
      <c r="A8211" s="1"/>
    </row>
    <row r="8212">
      <c r="A8212" s="1"/>
    </row>
    <row r="8213">
      <c r="A8213" s="1"/>
    </row>
    <row r="8214">
      <c r="A8214" s="1"/>
    </row>
    <row r="8215">
      <c r="A8215" s="1"/>
    </row>
    <row r="8216">
      <c r="A8216" s="1"/>
    </row>
    <row r="8217">
      <c r="A8217" s="1"/>
    </row>
    <row r="8218">
      <c r="A8218" s="1"/>
    </row>
    <row r="8219">
      <c r="A8219" s="1"/>
    </row>
    <row r="8220">
      <c r="A8220" s="1"/>
    </row>
    <row r="8221">
      <c r="A8221" s="1"/>
    </row>
    <row r="8222">
      <c r="A8222" s="1"/>
    </row>
    <row r="8223">
      <c r="A8223" s="1"/>
    </row>
    <row r="8224">
      <c r="A8224" s="1"/>
    </row>
    <row r="8225">
      <c r="A8225" s="1"/>
    </row>
    <row r="8226">
      <c r="A8226" s="1"/>
    </row>
    <row r="8227">
      <c r="A8227" s="1"/>
    </row>
    <row r="8228">
      <c r="A8228" s="1"/>
    </row>
    <row r="8229">
      <c r="A8229" s="1"/>
    </row>
    <row r="8230">
      <c r="A8230" s="1"/>
    </row>
    <row r="8231">
      <c r="A8231" s="1"/>
    </row>
    <row r="8232">
      <c r="A8232" s="1"/>
    </row>
    <row r="8233">
      <c r="A8233" s="1"/>
    </row>
    <row r="8234">
      <c r="A8234" s="1"/>
    </row>
    <row r="8235">
      <c r="A8235" s="1"/>
    </row>
    <row r="8236">
      <c r="A8236" s="1"/>
    </row>
    <row r="8237">
      <c r="A8237" s="1"/>
    </row>
    <row r="8238">
      <c r="A8238" s="1"/>
    </row>
    <row r="8239">
      <c r="A8239" s="1"/>
    </row>
    <row r="8240">
      <c r="A8240" s="1"/>
    </row>
    <row r="8241">
      <c r="A8241" s="1"/>
    </row>
    <row r="8242">
      <c r="A8242" s="1"/>
    </row>
    <row r="8243">
      <c r="A8243" s="1"/>
    </row>
    <row r="8244">
      <c r="A8244" s="1"/>
    </row>
    <row r="8245">
      <c r="A8245" s="1"/>
    </row>
    <row r="8246">
      <c r="A8246" s="1"/>
    </row>
    <row r="8247">
      <c r="A8247" s="1"/>
    </row>
    <row r="8248">
      <c r="A8248" s="1"/>
    </row>
    <row r="8249">
      <c r="A8249" s="1"/>
    </row>
    <row r="8250">
      <c r="A8250" s="1"/>
    </row>
    <row r="8251">
      <c r="A8251" s="1"/>
    </row>
    <row r="8252">
      <c r="A8252" s="1"/>
    </row>
    <row r="8253">
      <c r="A8253" s="1"/>
    </row>
    <row r="8254">
      <c r="A8254" s="1"/>
    </row>
    <row r="8255">
      <c r="A8255" s="1"/>
    </row>
    <row r="8256">
      <c r="A8256" s="1"/>
    </row>
    <row r="8257">
      <c r="A8257" s="1"/>
    </row>
    <row r="8258">
      <c r="A8258" s="1"/>
    </row>
    <row r="8259">
      <c r="A8259" s="1"/>
    </row>
    <row r="8260">
      <c r="A8260" s="1"/>
    </row>
    <row r="8261">
      <c r="A8261" s="1"/>
    </row>
    <row r="8262">
      <c r="A8262" s="1"/>
    </row>
    <row r="8263">
      <c r="A8263" s="1"/>
    </row>
    <row r="8264">
      <c r="A8264" s="1"/>
    </row>
    <row r="8265">
      <c r="A8265" s="1"/>
    </row>
    <row r="8266">
      <c r="A8266" s="1"/>
    </row>
    <row r="8267">
      <c r="A8267" s="1"/>
    </row>
    <row r="8268">
      <c r="A8268" s="1"/>
    </row>
    <row r="8269">
      <c r="A8269" s="1"/>
    </row>
    <row r="8270">
      <c r="A8270" s="1"/>
    </row>
    <row r="8271">
      <c r="A8271" s="1"/>
    </row>
    <row r="8272">
      <c r="A8272" s="1"/>
    </row>
    <row r="8273">
      <c r="A8273" s="1"/>
    </row>
    <row r="8274">
      <c r="A8274" s="1"/>
    </row>
    <row r="8275">
      <c r="A8275" s="1"/>
    </row>
    <row r="8276">
      <c r="A8276" s="1"/>
    </row>
    <row r="8277">
      <c r="A8277" s="1"/>
    </row>
    <row r="8278">
      <c r="A8278" s="1"/>
    </row>
    <row r="8279">
      <c r="A8279" s="1"/>
    </row>
    <row r="8280">
      <c r="A8280" s="1"/>
    </row>
    <row r="8281">
      <c r="A8281" s="1"/>
    </row>
    <row r="8282">
      <c r="A8282" s="1"/>
    </row>
    <row r="8283">
      <c r="A8283" s="1"/>
    </row>
    <row r="8284">
      <c r="A8284" s="1"/>
    </row>
    <row r="8285">
      <c r="A8285" s="1"/>
    </row>
    <row r="8286">
      <c r="A8286" s="1"/>
    </row>
    <row r="8287">
      <c r="A8287" s="1"/>
    </row>
    <row r="8288">
      <c r="A8288" s="1"/>
    </row>
    <row r="8289">
      <c r="A8289" s="1"/>
    </row>
    <row r="8290">
      <c r="A8290" s="1"/>
    </row>
    <row r="8291">
      <c r="A8291" s="1"/>
    </row>
    <row r="8292">
      <c r="A8292" s="1"/>
    </row>
    <row r="8293">
      <c r="A8293" s="1"/>
    </row>
    <row r="8294">
      <c r="A8294" s="1"/>
    </row>
    <row r="8295">
      <c r="A8295" s="1"/>
    </row>
    <row r="8296">
      <c r="A8296" s="1"/>
    </row>
    <row r="8297">
      <c r="A8297" s="1"/>
    </row>
    <row r="8298">
      <c r="A8298" s="1"/>
    </row>
    <row r="8299">
      <c r="A8299" s="1"/>
    </row>
    <row r="8300">
      <c r="A8300" s="1"/>
    </row>
    <row r="8301">
      <c r="A8301" s="1"/>
    </row>
    <row r="8302">
      <c r="A8302" s="1"/>
    </row>
    <row r="8303">
      <c r="A8303" s="1"/>
    </row>
    <row r="8304">
      <c r="A8304" s="1"/>
    </row>
    <row r="8305">
      <c r="A8305" s="1"/>
    </row>
    <row r="8306">
      <c r="A8306" s="1"/>
    </row>
    <row r="8307">
      <c r="A8307" s="1"/>
    </row>
    <row r="8308">
      <c r="A8308" s="1"/>
    </row>
    <row r="8309">
      <c r="A8309" s="1"/>
    </row>
    <row r="8310">
      <c r="A8310" s="1"/>
    </row>
    <row r="8311">
      <c r="A8311" s="1"/>
    </row>
    <row r="8312">
      <c r="A8312" s="1"/>
    </row>
    <row r="8313">
      <c r="A8313" s="1"/>
    </row>
    <row r="8314">
      <c r="A8314" s="1"/>
    </row>
    <row r="8315">
      <c r="A8315" s="1"/>
    </row>
    <row r="8316">
      <c r="A8316" s="1"/>
    </row>
    <row r="8317">
      <c r="A8317" s="1"/>
    </row>
    <row r="8318">
      <c r="A8318" s="1"/>
    </row>
    <row r="8319">
      <c r="A8319" s="1"/>
    </row>
    <row r="8320">
      <c r="A8320" s="1"/>
    </row>
    <row r="8321">
      <c r="A8321" s="1"/>
    </row>
    <row r="8322">
      <c r="A8322" s="1"/>
    </row>
    <row r="8323">
      <c r="A8323" s="1"/>
    </row>
    <row r="8324">
      <c r="A8324" s="1"/>
    </row>
    <row r="8325">
      <c r="A8325" s="1"/>
    </row>
    <row r="8326">
      <c r="A8326" s="1"/>
    </row>
    <row r="8327">
      <c r="A8327" s="1"/>
    </row>
    <row r="8328">
      <c r="A8328" s="1"/>
    </row>
    <row r="8329">
      <c r="A8329" s="1"/>
    </row>
    <row r="8330">
      <c r="A8330" s="1"/>
    </row>
    <row r="8331">
      <c r="A8331" s="1"/>
    </row>
    <row r="8332">
      <c r="A8332" s="1"/>
    </row>
    <row r="8333">
      <c r="A8333" s="1"/>
    </row>
    <row r="8334">
      <c r="A8334" s="1"/>
    </row>
    <row r="8335">
      <c r="A8335" s="1"/>
    </row>
    <row r="8336">
      <c r="A8336" s="1"/>
    </row>
    <row r="8337">
      <c r="A8337" s="1"/>
    </row>
    <row r="8338">
      <c r="A8338" s="1"/>
    </row>
    <row r="8339">
      <c r="A8339" s="1"/>
    </row>
    <row r="8340">
      <c r="A8340" s="1"/>
    </row>
    <row r="8341">
      <c r="A8341" s="1"/>
    </row>
    <row r="8342">
      <c r="A8342" s="1"/>
    </row>
    <row r="8343">
      <c r="A8343" s="1"/>
    </row>
    <row r="8344">
      <c r="A8344" s="1"/>
    </row>
    <row r="8345">
      <c r="A8345" s="1"/>
    </row>
    <row r="8346">
      <c r="A8346" s="1"/>
    </row>
    <row r="8347">
      <c r="A8347" s="1"/>
    </row>
    <row r="8348">
      <c r="A8348" s="1"/>
    </row>
    <row r="8349">
      <c r="A8349" s="1"/>
    </row>
    <row r="8350">
      <c r="A8350" s="1"/>
    </row>
    <row r="8351">
      <c r="A8351" s="1"/>
    </row>
    <row r="8352">
      <c r="A8352" s="1"/>
    </row>
    <row r="8353">
      <c r="A8353" s="1"/>
    </row>
    <row r="8354">
      <c r="A8354" s="1"/>
    </row>
    <row r="8355">
      <c r="A8355" s="1"/>
    </row>
    <row r="8356">
      <c r="A8356" s="1"/>
    </row>
    <row r="8357">
      <c r="A8357" s="1"/>
    </row>
    <row r="8358">
      <c r="A8358" s="1"/>
    </row>
    <row r="8359">
      <c r="A8359" s="1"/>
    </row>
    <row r="8360">
      <c r="A8360" s="1"/>
    </row>
    <row r="8361">
      <c r="A8361" s="1"/>
    </row>
    <row r="8362">
      <c r="A8362" s="1"/>
    </row>
    <row r="8363">
      <c r="A8363" s="1"/>
    </row>
    <row r="8364">
      <c r="A8364" s="1"/>
    </row>
    <row r="8365">
      <c r="A8365" s="1"/>
    </row>
    <row r="8366">
      <c r="A8366" s="1"/>
    </row>
    <row r="8367">
      <c r="A8367" s="1"/>
    </row>
    <row r="8368">
      <c r="A8368" s="1"/>
    </row>
    <row r="8369">
      <c r="A8369" s="1"/>
    </row>
    <row r="8370">
      <c r="A8370" s="1"/>
    </row>
    <row r="8371">
      <c r="A8371" s="1"/>
    </row>
    <row r="8372">
      <c r="A8372" s="1"/>
    </row>
    <row r="8373">
      <c r="A8373" s="1"/>
    </row>
    <row r="8374">
      <c r="A8374" s="1"/>
    </row>
    <row r="8375">
      <c r="A8375" s="1"/>
    </row>
    <row r="8376">
      <c r="A8376" s="1"/>
    </row>
    <row r="8377">
      <c r="A8377" s="1"/>
    </row>
    <row r="8378">
      <c r="A8378" s="1"/>
    </row>
    <row r="8379">
      <c r="A8379" s="1"/>
    </row>
    <row r="8380">
      <c r="A8380" s="1"/>
    </row>
    <row r="8381">
      <c r="A8381" s="1"/>
    </row>
    <row r="8382">
      <c r="A8382" s="1"/>
    </row>
    <row r="8383">
      <c r="A8383" s="1"/>
    </row>
    <row r="8384">
      <c r="A8384" s="1"/>
    </row>
    <row r="8385">
      <c r="A8385" s="1"/>
    </row>
    <row r="8386">
      <c r="A8386" s="1"/>
    </row>
    <row r="8387">
      <c r="A8387" s="1"/>
    </row>
    <row r="8388">
      <c r="A8388" s="1"/>
    </row>
    <row r="8389">
      <c r="A8389" s="1"/>
    </row>
    <row r="8390">
      <c r="A8390" s="1"/>
    </row>
    <row r="8391">
      <c r="A8391" s="1"/>
    </row>
    <row r="8392">
      <c r="A8392" s="1"/>
    </row>
    <row r="8393">
      <c r="A8393" s="1"/>
    </row>
    <row r="8394">
      <c r="A8394" s="1"/>
    </row>
    <row r="8395">
      <c r="A8395" s="1"/>
    </row>
    <row r="8396">
      <c r="A8396" s="1"/>
    </row>
    <row r="8397">
      <c r="A8397" s="1"/>
    </row>
    <row r="8398">
      <c r="A8398" s="1"/>
    </row>
    <row r="8399">
      <c r="A8399" s="1"/>
    </row>
    <row r="8400">
      <c r="A8400" s="1"/>
    </row>
    <row r="8401">
      <c r="A8401" s="1"/>
    </row>
    <row r="8402">
      <c r="A8402" s="1"/>
    </row>
    <row r="8403">
      <c r="A8403" s="1"/>
    </row>
    <row r="8404">
      <c r="A8404" s="1"/>
    </row>
    <row r="8405">
      <c r="A8405" s="1"/>
    </row>
    <row r="8406">
      <c r="A8406" s="1"/>
    </row>
    <row r="8407">
      <c r="A8407" s="1"/>
    </row>
    <row r="8408">
      <c r="A8408" s="1"/>
    </row>
    <row r="8409">
      <c r="A8409" s="1"/>
    </row>
    <row r="8410">
      <c r="A8410" s="1"/>
    </row>
    <row r="8411">
      <c r="A8411" s="1"/>
    </row>
    <row r="8412">
      <c r="A8412" s="1"/>
    </row>
    <row r="8413">
      <c r="A8413" s="1"/>
    </row>
    <row r="8414">
      <c r="A8414" s="1"/>
    </row>
    <row r="8415">
      <c r="A8415" s="1"/>
    </row>
    <row r="8416">
      <c r="A8416" s="1"/>
    </row>
    <row r="8417">
      <c r="A8417" s="1"/>
    </row>
    <row r="8418">
      <c r="A8418" s="1"/>
    </row>
    <row r="8419">
      <c r="A8419" s="1"/>
    </row>
    <row r="8420">
      <c r="A8420" s="1"/>
    </row>
    <row r="8421">
      <c r="A8421" s="1"/>
    </row>
    <row r="8422">
      <c r="A8422" s="1"/>
    </row>
    <row r="8423">
      <c r="A8423" s="1"/>
    </row>
    <row r="8424">
      <c r="A8424" s="1"/>
    </row>
    <row r="8425">
      <c r="A8425" s="1"/>
    </row>
    <row r="8426">
      <c r="A8426" s="1"/>
    </row>
    <row r="8427">
      <c r="A8427" s="1"/>
    </row>
    <row r="8428">
      <c r="A8428" s="1"/>
    </row>
    <row r="8429">
      <c r="A8429" s="1"/>
    </row>
    <row r="8430">
      <c r="A8430" s="1"/>
    </row>
    <row r="8431">
      <c r="A8431" s="1"/>
    </row>
    <row r="8432">
      <c r="A8432" s="1"/>
    </row>
    <row r="8433">
      <c r="A8433" s="1"/>
    </row>
    <row r="8434">
      <c r="A8434" s="1"/>
    </row>
    <row r="8435">
      <c r="A8435" s="1"/>
    </row>
    <row r="8436">
      <c r="A8436" s="1"/>
    </row>
    <row r="8437">
      <c r="A8437" s="1"/>
    </row>
    <row r="8438">
      <c r="A8438" s="1"/>
    </row>
    <row r="8439">
      <c r="A8439" s="1"/>
    </row>
    <row r="8440">
      <c r="A8440" s="1"/>
    </row>
    <row r="8441">
      <c r="A8441" s="1"/>
    </row>
    <row r="8442">
      <c r="A8442" s="1"/>
    </row>
    <row r="8443">
      <c r="A8443" s="1"/>
    </row>
    <row r="8444">
      <c r="A8444" s="1"/>
    </row>
    <row r="8445">
      <c r="A8445" s="1"/>
    </row>
    <row r="8446">
      <c r="A8446" s="1"/>
    </row>
    <row r="8447">
      <c r="A8447" s="1"/>
    </row>
    <row r="8448">
      <c r="A8448" s="1"/>
    </row>
    <row r="8449">
      <c r="A8449" s="1"/>
    </row>
    <row r="8450">
      <c r="A8450" s="1"/>
    </row>
    <row r="8451">
      <c r="A8451" s="1"/>
    </row>
    <row r="8452">
      <c r="A8452" s="1"/>
    </row>
    <row r="8453">
      <c r="A8453" s="1"/>
    </row>
    <row r="8454">
      <c r="A8454" s="1"/>
    </row>
    <row r="8455">
      <c r="A8455" s="1"/>
    </row>
    <row r="8456">
      <c r="A8456" s="1"/>
    </row>
    <row r="8457">
      <c r="A8457" s="1"/>
    </row>
    <row r="8458">
      <c r="A8458" s="1"/>
    </row>
    <row r="8459">
      <c r="A8459" s="1"/>
    </row>
    <row r="8460">
      <c r="A8460" s="1"/>
    </row>
    <row r="8461">
      <c r="A8461" s="1"/>
    </row>
    <row r="8462">
      <c r="A8462" s="1"/>
    </row>
    <row r="8463">
      <c r="A8463" s="1"/>
    </row>
    <row r="8464">
      <c r="A8464" s="1"/>
    </row>
    <row r="8465">
      <c r="A8465" s="1"/>
    </row>
    <row r="8466">
      <c r="A8466" s="1"/>
    </row>
    <row r="8467">
      <c r="A8467" s="1"/>
    </row>
    <row r="8468">
      <c r="A8468" s="1"/>
    </row>
    <row r="8469">
      <c r="A8469" s="1"/>
    </row>
    <row r="8470">
      <c r="A8470" s="1"/>
    </row>
    <row r="8471">
      <c r="A8471" s="1"/>
    </row>
    <row r="8472">
      <c r="A8472" s="1"/>
    </row>
    <row r="8473">
      <c r="A8473" s="1"/>
    </row>
    <row r="8474">
      <c r="A8474" s="1"/>
    </row>
    <row r="8475">
      <c r="A8475" s="1"/>
    </row>
    <row r="8476">
      <c r="A8476" s="1"/>
    </row>
    <row r="8477">
      <c r="A8477" s="1"/>
    </row>
    <row r="8478">
      <c r="A8478" s="1"/>
    </row>
    <row r="8479">
      <c r="A8479" s="1"/>
    </row>
    <row r="8480">
      <c r="A8480" s="1"/>
    </row>
    <row r="8481">
      <c r="A8481" s="1"/>
    </row>
    <row r="8482">
      <c r="A8482" s="1"/>
    </row>
    <row r="8483">
      <c r="A8483" s="1"/>
    </row>
    <row r="8484">
      <c r="A8484" s="1"/>
    </row>
    <row r="8485">
      <c r="A8485" s="1"/>
    </row>
    <row r="8486">
      <c r="A8486" s="1"/>
    </row>
    <row r="8487">
      <c r="A8487" s="1"/>
    </row>
    <row r="8488">
      <c r="A8488" s="1"/>
    </row>
    <row r="8489">
      <c r="A8489" s="1"/>
    </row>
    <row r="8490">
      <c r="A8490" s="1"/>
    </row>
    <row r="8491">
      <c r="A8491" s="1"/>
    </row>
    <row r="8492">
      <c r="A8492" s="1"/>
    </row>
    <row r="8493">
      <c r="A8493" s="1"/>
    </row>
    <row r="8494">
      <c r="A8494" s="1"/>
    </row>
    <row r="8495">
      <c r="A8495" s="1"/>
    </row>
    <row r="8496">
      <c r="A8496" s="1"/>
    </row>
    <row r="8497">
      <c r="A8497" s="1"/>
    </row>
    <row r="8498">
      <c r="A8498" s="1"/>
    </row>
    <row r="8499">
      <c r="A8499" s="1"/>
    </row>
    <row r="8500">
      <c r="A8500" s="1"/>
    </row>
    <row r="8501">
      <c r="A8501" s="1"/>
    </row>
    <row r="8502">
      <c r="A8502" s="1"/>
    </row>
    <row r="8503">
      <c r="A8503" s="1"/>
    </row>
    <row r="8504">
      <c r="A8504" s="1"/>
    </row>
    <row r="8505">
      <c r="A8505" s="1"/>
    </row>
    <row r="8506">
      <c r="A8506" s="1"/>
    </row>
    <row r="8507">
      <c r="A8507" s="1"/>
    </row>
    <row r="8508">
      <c r="A8508" s="1"/>
    </row>
    <row r="8509">
      <c r="A8509" s="1"/>
    </row>
    <row r="8510">
      <c r="A8510" s="1"/>
    </row>
    <row r="8511">
      <c r="A8511" s="1"/>
    </row>
    <row r="8512">
      <c r="A8512" s="1"/>
    </row>
    <row r="8513">
      <c r="A8513" s="1"/>
    </row>
    <row r="8514">
      <c r="A8514" s="1"/>
    </row>
    <row r="8515">
      <c r="A8515" s="1"/>
    </row>
    <row r="8516">
      <c r="A8516" s="1"/>
    </row>
    <row r="8517">
      <c r="A8517" s="1"/>
    </row>
    <row r="8518">
      <c r="A8518" s="1"/>
    </row>
    <row r="8519">
      <c r="A8519" s="1"/>
    </row>
    <row r="8520">
      <c r="A8520" s="1"/>
    </row>
    <row r="8521">
      <c r="A8521" s="1"/>
    </row>
    <row r="8522">
      <c r="A8522" s="1"/>
    </row>
    <row r="8523">
      <c r="A8523" s="1"/>
    </row>
    <row r="8524">
      <c r="A8524" s="1"/>
    </row>
    <row r="8525">
      <c r="A8525" s="1"/>
    </row>
    <row r="8526">
      <c r="A8526" s="1"/>
    </row>
    <row r="8527">
      <c r="A8527" s="1"/>
    </row>
    <row r="8528">
      <c r="A8528" s="1"/>
    </row>
    <row r="8529">
      <c r="A8529" s="1"/>
    </row>
    <row r="8530">
      <c r="A8530" s="1"/>
    </row>
    <row r="8531">
      <c r="A8531" s="1"/>
    </row>
    <row r="8532">
      <c r="A8532" s="1"/>
    </row>
    <row r="8533">
      <c r="A8533" s="1"/>
    </row>
    <row r="8534">
      <c r="A8534" s="1"/>
    </row>
    <row r="8535">
      <c r="A8535" s="1"/>
    </row>
    <row r="8536">
      <c r="A8536" s="1"/>
    </row>
    <row r="8537">
      <c r="A8537" s="1"/>
    </row>
    <row r="8538">
      <c r="A8538" s="1"/>
    </row>
    <row r="8539">
      <c r="A8539" s="1"/>
    </row>
    <row r="8540">
      <c r="A8540" s="1"/>
    </row>
    <row r="8541">
      <c r="A8541" s="1"/>
    </row>
    <row r="8542">
      <c r="A8542" s="1"/>
    </row>
    <row r="8543">
      <c r="A8543" s="1"/>
    </row>
    <row r="8544">
      <c r="A8544" s="1"/>
    </row>
    <row r="8545">
      <c r="A8545" s="1"/>
    </row>
    <row r="8546">
      <c r="A8546" s="1"/>
    </row>
    <row r="8547">
      <c r="A8547" s="1"/>
    </row>
    <row r="8548">
      <c r="A8548" s="1"/>
    </row>
    <row r="8549">
      <c r="A8549" s="1"/>
    </row>
    <row r="8550">
      <c r="A8550" s="1"/>
    </row>
    <row r="8551">
      <c r="A8551" s="1"/>
    </row>
    <row r="8552">
      <c r="A8552" s="1"/>
    </row>
    <row r="8553">
      <c r="A8553" s="1"/>
    </row>
    <row r="8554">
      <c r="A8554" s="1"/>
    </row>
    <row r="8555">
      <c r="A8555" s="1"/>
    </row>
    <row r="8556">
      <c r="A8556" s="1"/>
    </row>
    <row r="8557">
      <c r="A8557" s="1"/>
    </row>
    <row r="8558">
      <c r="A8558" s="1"/>
    </row>
    <row r="8559">
      <c r="A8559" s="1"/>
    </row>
    <row r="8560">
      <c r="A8560" s="1"/>
    </row>
    <row r="8561">
      <c r="A8561" s="1"/>
    </row>
    <row r="8562">
      <c r="A8562" s="1"/>
    </row>
    <row r="8563">
      <c r="A8563" s="1"/>
    </row>
    <row r="8564">
      <c r="A8564" s="1"/>
    </row>
    <row r="8565">
      <c r="A8565" s="1"/>
    </row>
    <row r="8566">
      <c r="A8566" s="1"/>
    </row>
    <row r="8567">
      <c r="A8567" s="1"/>
    </row>
    <row r="8568">
      <c r="A8568" s="1"/>
    </row>
    <row r="8569">
      <c r="A8569" s="1"/>
    </row>
    <row r="8570">
      <c r="A8570" s="1"/>
    </row>
    <row r="8571">
      <c r="A8571" s="1"/>
    </row>
    <row r="8572">
      <c r="A8572" s="1"/>
    </row>
    <row r="8573">
      <c r="A8573" s="1"/>
    </row>
    <row r="8574">
      <c r="A8574" s="1"/>
    </row>
    <row r="8575">
      <c r="A8575" s="1"/>
    </row>
    <row r="8576">
      <c r="A8576" s="1"/>
    </row>
    <row r="8577">
      <c r="A8577" s="1"/>
    </row>
    <row r="8578">
      <c r="A8578" s="1"/>
    </row>
    <row r="8579">
      <c r="A8579" s="1"/>
    </row>
    <row r="8580">
      <c r="A8580" s="1"/>
    </row>
    <row r="8581">
      <c r="A8581" s="1"/>
    </row>
    <row r="8582">
      <c r="A8582" s="1"/>
    </row>
    <row r="8583">
      <c r="A8583" s="1"/>
    </row>
    <row r="8584">
      <c r="A8584" s="1"/>
    </row>
    <row r="8585">
      <c r="A8585" s="1"/>
      <c r="B8585" s="4"/>
    </row>
    <row r="8586">
      <c r="A8586" s="1"/>
    </row>
    <row r="8587">
      <c r="A8587" s="1"/>
    </row>
    <row r="8588">
      <c r="A8588" s="1"/>
    </row>
    <row r="8589">
      <c r="A8589" s="1"/>
    </row>
    <row r="8590">
      <c r="A8590" s="1"/>
    </row>
    <row r="8591">
      <c r="A8591" s="1"/>
    </row>
    <row r="8592">
      <c r="A8592" s="1"/>
    </row>
    <row r="8593">
      <c r="A8593" s="1"/>
    </row>
    <row r="8594">
      <c r="A8594" s="1"/>
    </row>
    <row r="8595">
      <c r="A8595" s="1"/>
    </row>
    <row r="8596">
      <c r="A8596" s="1"/>
    </row>
    <row r="8597">
      <c r="A8597" s="1"/>
    </row>
    <row r="8598">
      <c r="A8598" s="1"/>
    </row>
    <row r="8599">
      <c r="A8599" s="1"/>
    </row>
    <row r="8600">
      <c r="A8600" s="1"/>
    </row>
    <row r="8601">
      <c r="A8601" s="1"/>
    </row>
    <row r="8602">
      <c r="A8602" s="1"/>
    </row>
    <row r="8603">
      <c r="A8603" s="1"/>
    </row>
    <row r="8604">
      <c r="A8604" s="1"/>
      <c r="B8604" s="4"/>
    </row>
    <row r="8605">
      <c r="A8605" s="1"/>
      <c r="B8605" s="4"/>
    </row>
    <row r="8606">
      <c r="A8606" s="1"/>
    </row>
    <row r="8607">
      <c r="A8607" s="1"/>
    </row>
    <row r="8608">
      <c r="A8608" s="1"/>
      <c r="B8608" s="4"/>
    </row>
    <row r="8609">
      <c r="A8609" s="1"/>
    </row>
    <row r="8610">
      <c r="A8610" s="1"/>
    </row>
    <row r="8611">
      <c r="A8611" s="1"/>
      <c r="B8611" s="4"/>
    </row>
    <row r="8612">
      <c r="A8612" s="1"/>
    </row>
    <row r="8613">
      <c r="A8613" s="1"/>
    </row>
    <row r="8614">
      <c r="A8614" s="1"/>
    </row>
    <row r="8615">
      <c r="A8615" s="1"/>
    </row>
    <row r="8616">
      <c r="A8616" s="1"/>
    </row>
    <row r="8617">
      <c r="A8617" s="1"/>
    </row>
    <row r="8618">
      <c r="A8618" s="1"/>
      <c r="B8618" s="4"/>
    </row>
    <row r="8619">
      <c r="A8619" s="1"/>
      <c r="B8619" s="4"/>
    </row>
    <row r="8620">
      <c r="A8620" s="1"/>
      <c r="B8620" s="4"/>
    </row>
    <row r="8621">
      <c r="A8621" s="1"/>
      <c r="B8621" s="4"/>
    </row>
    <row r="8622">
      <c r="A8622" s="1"/>
      <c r="B8622" s="4"/>
    </row>
    <row r="8623">
      <c r="A8623" s="1"/>
      <c r="B8623" s="4"/>
    </row>
    <row r="8624">
      <c r="A8624" s="1"/>
      <c r="B8624" s="4"/>
    </row>
    <row r="8625">
      <c r="A8625" s="1"/>
      <c r="B8625" s="4"/>
    </row>
    <row r="8626">
      <c r="A8626" s="1"/>
      <c r="B8626" s="4"/>
    </row>
    <row r="8627">
      <c r="A8627" s="1"/>
      <c r="B8627" s="4"/>
    </row>
    <row r="8628">
      <c r="A8628" s="1"/>
      <c r="B8628" s="4"/>
    </row>
    <row r="8629">
      <c r="A8629" s="1"/>
      <c r="B8629" s="4"/>
    </row>
    <row r="8630">
      <c r="A8630" s="1"/>
      <c r="B8630" s="4"/>
    </row>
    <row r="8631">
      <c r="A8631" s="1"/>
      <c r="B8631" s="4"/>
    </row>
    <row r="8632">
      <c r="A8632" s="1"/>
      <c r="B8632" s="4"/>
    </row>
    <row r="8633">
      <c r="A8633" s="1"/>
      <c r="B8633" s="4"/>
    </row>
    <row r="8634">
      <c r="A8634" s="1"/>
      <c r="B8634" s="4"/>
    </row>
    <row r="8635">
      <c r="A8635" s="1"/>
      <c r="B8635" s="4"/>
    </row>
    <row r="8636">
      <c r="A8636" s="1"/>
      <c r="B8636" s="4"/>
    </row>
    <row r="8637">
      <c r="A8637" s="1"/>
      <c r="B8637" s="4"/>
    </row>
    <row r="8638">
      <c r="A8638" s="1"/>
      <c r="B8638" s="4"/>
    </row>
    <row r="8639">
      <c r="A8639" s="1"/>
      <c r="B8639" s="4"/>
    </row>
    <row r="8640">
      <c r="A8640" s="1"/>
      <c r="B8640" s="4"/>
    </row>
    <row r="8641">
      <c r="A8641" s="1"/>
      <c r="B8641" s="4"/>
    </row>
    <row r="8642">
      <c r="A8642" s="1"/>
      <c r="B8642" s="4"/>
    </row>
    <row r="8643">
      <c r="A8643" s="1"/>
      <c r="B8643" s="4"/>
    </row>
    <row r="8644">
      <c r="A8644" s="1"/>
      <c r="B8644" s="4"/>
    </row>
    <row r="8645">
      <c r="A8645" s="1"/>
      <c r="B8645" s="4"/>
    </row>
    <row r="8646">
      <c r="A8646" s="1"/>
      <c r="B8646" s="4"/>
    </row>
    <row r="8647">
      <c r="A8647" s="1"/>
      <c r="B8647" s="4"/>
    </row>
    <row r="8648">
      <c r="A8648" s="1"/>
      <c r="B8648" s="4"/>
    </row>
    <row r="8649">
      <c r="A8649" s="1"/>
      <c r="B8649" s="4"/>
    </row>
    <row r="8650">
      <c r="A8650" s="1"/>
      <c r="B8650" s="4"/>
    </row>
    <row r="8651">
      <c r="A8651" s="1"/>
      <c r="B8651" s="4"/>
    </row>
    <row r="8652">
      <c r="A8652" s="1"/>
      <c r="B8652" s="4"/>
    </row>
    <row r="8653">
      <c r="A8653" s="1"/>
      <c r="B8653" s="4"/>
    </row>
    <row r="8654">
      <c r="A8654" s="1"/>
      <c r="B8654" s="4"/>
    </row>
    <row r="8655">
      <c r="A8655" s="1"/>
      <c r="B8655" s="4"/>
    </row>
    <row r="8656">
      <c r="A8656" s="1"/>
      <c r="B8656" s="4"/>
    </row>
    <row r="8657">
      <c r="A8657" s="1"/>
      <c r="B8657" s="4"/>
    </row>
    <row r="8658">
      <c r="A8658" s="1"/>
      <c r="B8658" s="4"/>
    </row>
    <row r="8659">
      <c r="A8659" s="1"/>
      <c r="B8659" s="4"/>
    </row>
    <row r="8660">
      <c r="A8660" s="1"/>
      <c r="B8660" s="4"/>
    </row>
    <row r="8661">
      <c r="A8661" s="1"/>
      <c r="B8661" s="4"/>
    </row>
    <row r="8662">
      <c r="A8662" s="1"/>
      <c r="B8662" s="4"/>
    </row>
    <row r="8663">
      <c r="A8663" s="1"/>
      <c r="B8663" s="4"/>
    </row>
    <row r="8664">
      <c r="A8664" s="1"/>
      <c r="B8664" s="4"/>
    </row>
    <row r="8665">
      <c r="A8665" s="1"/>
      <c r="B8665" s="4"/>
    </row>
    <row r="8666">
      <c r="A8666" s="1"/>
      <c r="B8666" s="4"/>
    </row>
    <row r="8667">
      <c r="A8667" s="1"/>
      <c r="B8667" s="4"/>
    </row>
    <row r="8668">
      <c r="A8668" s="1"/>
      <c r="B8668" s="4"/>
    </row>
    <row r="8669">
      <c r="A8669" s="1"/>
      <c r="B8669" s="4"/>
    </row>
    <row r="8670">
      <c r="A8670" s="1"/>
      <c r="B8670" s="4"/>
    </row>
    <row r="8671">
      <c r="A8671" s="1"/>
      <c r="B8671" s="4"/>
    </row>
    <row r="8672">
      <c r="A8672" s="1"/>
      <c r="B8672" s="4"/>
    </row>
    <row r="8673">
      <c r="A8673" s="1"/>
      <c r="B8673" s="4"/>
    </row>
    <row r="8674">
      <c r="A8674" s="1"/>
      <c r="B8674" s="4"/>
    </row>
    <row r="8675">
      <c r="A8675" s="1"/>
      <c r="B8675" s="4"/>
    </row>
    <row r="8676">
      <c r="A8676" s="1"/>
      <c r="B8676" s="4"/>
    </row>
    <row r="8677">
      <c r="A8677" s="1"/>
      <c r="B8677" s="4"/>
    </row>
    <row r="8678">
      <c r="A8678" s="1"/>
      <c r="B8678" s="4"/>
    </row>
    <row r="8679">
      <c r="A8679" s="1"/>
      <c r="B8679" s="4"/>
    </row>
    <row r="8680">
      <c r="A8680" s="1"/>
      <c r="B8680" s="4"/>
    </row>
    <row r="8681">
      <c r="A8681" s="1"/>
      <c r="B8681" s="4"/>
    </row>
    <row r="8682">
      <c r="A8682" s="1"/>
      <c r="B8682" s="4"/>
    </row>
    <row r="8683">
      <c r="A8683" s="1"/>
      <c r="B8683" s="4"/>
    </row>
    <row r="8684">
      <c r="A8684" s="1"/>
      <c r="B8684" s="4"/>
    </row>
    <row r="8685">
      <c r="A8685" s="1"/>
      <c r="B8685" s="4"/>
    </row>
    <row r="8686">
      <c r="A8686" s="1"/>
      <c r="B8686" s="4"/>
    </row>
    <row r="8687">
      <c r="A8687" s="1"/>
      <c r="B8687" s="4"/>
    </row>
    <row r="8688">
      <c r="A8688" s="1"/>
      <c r="B8688" s="4"/>
    </row>
    <row r="8689">
      <c r="A8689" s="1"/>
      <c r="B8689" s="4"/>
    </row>
    <row r="8690">
      <c r="A8690" s="1"/>
      <c r="B8690" s="4"/>
    </row>
    <row r="8691">
      <c r="A8691" s="1"/>
      <c r="B8691" s="4"/>
    </row>
    <row r="8692">
      <c r="A8692" s="1"/>
      <c r="B8692" s="4"/>
    </row>
    <row r="8693">
      <c r="A8693" s="1"/>
      <c r="B8693" s="4"/>
    </row>
    <row r="8694">
      <c r="A8694" s="1"/>
      <c r="B8694" s="4"/>
    </row>
    <row r="8695">
      <c r="A8695" s="1"/>
      <c r="B8695" s="4"/>
    </row>
    <row r="8696">
      <c r="A8696" s="1"/>
      <c r="B8696" s="4"/>
    </row>
    <row r="8697">
      <c r="A8697" s="1"/>
      <c r="B8697" s="4"/>
    </row>
    <row r="8698">
      <c r="A8698" s="1"/>
      <c r="B8698" s="4"/>
    </row>
    <row r="8699">
      <c r="A8699" s="1"/>
      <c r="B8699" s="4"/>
    </row>
    <row r="8700">
      <c r="A8700" s="1"/>
      <c r="B8700" s="4"/>
    </row>
    <row r="8701">
      <c r="A8701" s="1"/>
      <c r="B8701" s="4"/>
    </row>
    <row r="8702">
      <c r="A8702" s="1"/>
      <c r="B8702" s="4"/>
    </row>
    <row r="8703">
      <c r="A8703" s="1"/>
      <c r="B8703" s="4"/>
    </row>
    <row r="8704">
      <c r="A8704" s="1"/>
      <c r="B8704" s="4"/>
    </row>
    <row r="8705">
      <c r="A8705" s="1"/>
      <c r="B8705" s="4"/>
    </row>
    <row r="8706">
      <c r="A8706" s="1"/>
      <c r="B8706" s="4"/>
    </row>
    <row r="8707">
      <c r="A8707" s="1"/>
      <c r="B8707" s="4"/>
    </row>
    <row r="8708">
      <c r="A8708" s="1"/>
      <c r="B8708" s="4"/>
    </row>
    <row r="8709">
      <c r="A8709" s="1"/>
      <c r="B8709" s="4"/>
    </row>
    <row r="8710">
      <c r="A8710" s="1"/>
      <c r="B8710" s="4"/>
    </row>
    <row r="8711">
      <c r="A8711" s="1"/>
      <c r="B8711" s="4"/>
    </row>
    <row r="8712">
      <c r="A8712" s="1"/>
      <c r="B8712" s="4"/>
    </row>
    <row r="8713">
      <c r="A8713" s="1"/>
      <c r="B8713" s="4"/>
    </row>
    <row r="8714">
      <c r="A8714" s="1"/>
      <c r="B8714" s="4"/>
    </row>
    <row r="8715">
      <c r="A8715" s="1"/>
      <c r="B8715" s="4"/>
    </row>
    <row r="8716">
      <c r="A8716" s="1"/>
      <c r="B8716" s="4"/>
    </row>
    <row r="8717">
      <c r="A8717" s="1"/>
      <c r="B8717" s="4"/>
    </row>
    <row r="8718">
      <c r="A8718" s="1"/>
      <c r="B8718" s="4"/>
    </row>
    <row r="8719">
      <c r="A8719" s="1"/>
      <c r="B8719" s="4"/>
    </row>
    <row r="8720">
      <c r="A8720" s="1"/>
      <c r="B8720" s="4"/>
    </row>
    <row r="8721">
      <c r="A8721" s="1"/>
      <c r="B8721" s="4"/>
    </row>
    <row r="8722">
      <c r="A8722" s="1"/>
      <c r="B8722" s="4"/>
    </row>
    <row r="8723">
      <c r="A8723" s="1"/>
      <c r="B8723" s="4"/>
    </row>
    <row r="8724">
      <c r="A8724" s="1"/>
      <c r="B8724" s="4"/>
    </row>
    <row r="8725">
      <c r="A8725" s="1"/>
      <c r="B8725" s="4"/>
    </row>
    <row r="8726">
      <c r="A8726" s="1"/>
      <c r="B8726" s="4"/>
    </row>
    <row r="8727">
      <c r="A8727" s="1"/>
      <c r="B8727" s="4"/>
    </row>
    <row r="8728">
      <c r="A8728" s="1"/>
      <c r="B8728" s="4"/>
    </row>
    <row r="8729">
      <c r="A8729" s="1"/>
      <c r="B8729" s="4"/>
    </row>
    <row r="8730">
      <c r="A8730" s="1"/>
      <c r="B8730" s="4"/>
    </row>
    <row r="8731">
      <c r="A8731" s="1"/>
      <c r="B8731" s="4"/>
    </row>
    <row r="8732">
      <c r="A8732" s="1"/>
      <c r="B8732" s="4"/>
    </row>
    <row r="8733">
      <c r="A8733" s="1"/>
      <c r="B8733" s="4"/>
    </row>
    <row r="8734">
      <c r="A8734" s="1"/>
      <c r="B8734" s="4"/>
    </row>
    <row r="8735">
      <c r="A8735" s="1"/>
      <c r="B8735" s="4"/>
    </row>
    <row r="8736">
      <c r="A8736" s="1"/>
      <c r="B8736" s="4"/>
    </row>
    <row r="8737">
      <c r="A8737" s="1"/>
      <c r="B8737" s="4"/>
    </row>
    <row r="8738">
      <c r="A8738" s="1"/>
      <c r="B8738" s="4"/>
    </row>
    <row r="8739">
      <c r="A8739" s="1"/>
      <c r="B8739" s="4"/>
    </row>
    <row r="8740">
      <c r="A8740" s="1"/>
      <c r="B8740" s="4"/>
    </row>
    <row r="8741">
      <c r="A8741" s="1"/>
      <c r="B8741" s="4"/>
    </row>
    <row r="8742">
      <c r="A8742" s="1"/>
      <c r="B8742" s="4"/>
    </row>
    <row r="8743">
      <c r="A8743" s="1"/>
      <c r="B8743" s="4"/>
    </row>
    <row r="8744">
      <c r="A8744" s="1"/>
      <c r="B8744" s="4"/>
    </row>
    <row r="8745">
      <c r="A8745" s="1"/>
      <c r="B8745" s="4"/>
    </row>
    <row r="8746">
      <c r="A8746" s="1"/>
      <c r="B8746" s="4"/>
    </row>
    <row r="8747">
      <c r="A8747" s="1"/>
      <c r="B8747" s="4"/>
    </row>
    <row r="8748">
      <c r="A8748" s="1"/>
      <c r="B8748" s="4"/>
    </row>
    <row r="8749">
      <c r="A8749" s="1"/>
      <c r="B8749" s="4"/>
    </row>
    <row r="8750">
      <c r="A8750" s="1"/>
      <c r="B8750" s="4"/>
    </row>
    <row r="8751">
      <c r="A8751" s="1"/>
      <c r="B8751" s="4"/>
    </row>
    <row r="8752">
      <c r="A8752" s="1"/>
      <c r="B8752" s="4"/>
    </row>
    <row r="8753">
      <c r="A8753" s="1"/>
      <c r="B8753" s="4"/>
    </row>
    <row r="8754">
      <c r="A8754" s="1"/>
      <c r="B8754" s="4"/>
    </row>
    <row r="8755">
      <c r="A8755" s="1"/>
      <c r="B8755" s="4"/>
    </row>
    <row r="8756">
      <c r="A8756" s="1"/>
      <c r="B8756" s="4"/>
    </row>
    <row r="8757">
      <c r="A8757" s="1"/>
      <c r="B8757" s="4"/>
    </row>
    <row r="8758">
      <c r="A8758" s="1"/>
      <c r="B8758" s="4"/>
    </row>
    <row r="8759">
      <c r="A8759" s="1"/>
      <c r="B8759" s="4"/>
    </row>
    <row r="8760">
      <c r="A8760" s="1"/>
      <c r="B8760" s="4"/>
    </row>
    <row r="8761">
      <c r="A8761" s="1"/>
      <c r="B8761" s="4"/>
    </row>
    <row r="8762">
      <c r="A8762" s="1"/>
      <c r="B8762" s="4"/>
    </row>
    <row r="8763">
      <c r="A8763" s="1"/>
      <c r="B8763" s="4"/>
    </row>
    <row r="8764">
      <c r="A8764" s="1"/>
      <c r="B8764" s="4"/>
    </row>
    <row r="8765">
      <c r="A8765" s="1"/>
      <c r="B8765" s="4"/>
    </row>
    <row r="8766">
      <c r="A8766" s="1"/>
      <c r="B8766" s="4"/>
    </row>
    <row r="8767">
      <c r="A8767" s="1"/>
      <c r="B8767" s="4"/>
    </row>
    <row r="8768">
      <c r="A8768" s="1"/>
      <c r="B8768" s="4"/>
    </row>
    <row r="8769">
      <c r="A8769" s="1"/>
      <c r="B8769" s="4"/>
    </row>
    <row r="8770">
      <c r="A8770" s="1"/>
      <c r="B8770" s="4"/>
    </row>
    <row r="8771">
      <c r="A8771" s="1"/>
      <c r="B8771" s="4"/>
    </row>
    <row r="8772">
      <c r="A8772" s="1"/>
      <c r="B8772" s="4"/>
    </row>
    <row r="8773">
      <c r="A8773" s="1"/>
      <c r="B8773" s="4"/>
    </row>
    <row r="8774">
      <c r="A8774" s="1"/>
      <c r="B8774" s="4"/>
    </row>
    <row r="8775">
      <c r="A8775" s="1"/>
      <c r="B8775" s="4"/>
    </row>
    <row r="8776">
      <c r="A8776" s="1"/>
      <c r="B8776" s="4"/>
    </row>
    <row r="8777">
      <c r="A8777" s="1"/>
      <c r="B8777" s="4"/>
    </row>
    <row r="8778">
      <c r="A8778" s="1"/>
      <c r="B8778" s="4"/>
    </row>
    <row r="8779">
      <c r="A8779" s="1"/>
      <c r="B8779" s="4"/>
    </row>
    <row r="8780">
      <c r="A8780" s="1"/>
      <c r="B8780" s="4"/>
    </row>
    <row r="8781">
      <c r="A8781" s="1"/>
      <c r="B8781" s="4"/>
    </row>
    <row r="8782">
      <c r="A8782" s="1"/>
      <c r="B8782" s="4"/>
    </row>
    <row r="8783">
      <c r="A8783" s="1"/>
      <c r="B8783" s="4"/>
    </row>
    <row r="8784">
      <c r="A8784" s="1"/>
      <c r="B8784" s="4"/>
    </row>
    <row r="8785">
      <c r="A8785" s="1"/>
      <c r="B8785" s="4"/>
    </row>
    <row r="8786">
      <c r="A8786" s="1"/>
      <c r="B8786" s="4"/>
    </row>
    <row r="8787">
      <c r="A8787" s="1"/>
      <c r="B8787" s="4"/>
    </row>
    <row r="8788">
      <c r="A8788" s="1"/>
      <c r="B8788" s="4"/>
    </row>
    <row r="8789">
      <c r="A8789" s="1"/>
      <c r="B8789" s="4"/>
    </row>
    <row r="8790">
      <c r="A8790" s="1"/>
      <c r="B8790" s="4"/>
    </row>
    <row r="8791">
      <c r="A8791" s="1"/>
      <c r="B8791" s="4"/>
    </row>
    <row r="8792">
      <c r="A8792" s="1"/>
      <c r="B8792" s="4"/>
    </row>
    <row r="8793">
      <c r="A8793" s="1"/>
      <c r="B8793" s="4"/>
    </row>
    <row r="8794">
      <c r="A8794" s="1"/>
      <c r="B8794" s="4"/>
    </row>
    <row r="8795">
      <c r="A8795" s="1"/>
      <c r="B8795" s="4"/>
    </row>
    <row r="8796">
      <c r="A8796" s="1"/>
      <c r="B8796" s="4"/>
    </row>
    <row r="8797">
      <c r="A8797" s="1"/>
      <c r="B8797" s="4"/>
    </row>
    <row r="8798">
      <c r="A8798" s="1"/>
      <c r="B8798" s="4"/>
    </row>
    <row r="8799">
      <c r="A8799" s="1"/>
      <c r="B8799" s="4"/>
    </row>
    <row r="8800">
      <c r="A8800" s="1"/>
      <c r="B8800" s="4"/>
    </row>
    <row r="8801">
      <c r="A8801" s="1"/>
      <c r="B8801" s="4"/>
    </row>
    <row r="8802">
      <c r="A8802" s="1"/>
      <c r="B8802" s="4"/>
    </row>
    <row r="8803">
      <c r="A8803" s="1"/>
      <c r="B8803" s="4"/>
    </row>
    <row r="8804">
      <c r="A8804" s="1"/>
      <c r="B8804" s="4"/>
    </row>
    <row r="8805">
      <c r="A8805" s="1"/>
      <c r="B8805" s="4"/>
    </row>
    <row r="8806">
      <c r="A8806" s="1"/>
      <c r="B8806" s="4"/>
    </row>
    <row r="8807">
      <c r="A8807" s="1"/>
      <c r="B8807" s="4"/>
    </row>
    <row r="8808">
      <c r="A8808" s="1"/>
      <c r="B8808" s="4"/>
    </row>
    <row r="8809">
      <c r="A8809" s="1"/>
      <c r="B8809" s="4"/>
    </row>
    <row r="8810">
      <c r="A8810" s="1"/>
      <c r="B8810" s="4"/>
    </row>
    <row r="8811">
      <c r="A8811" s="1"/>
      <c r="B8811" s="4"/>
    </row>
    <row r="8812">
      <c r="A8812" s="1"/>
      <c r="B8812" s="4"/>
    </row>
    <row r="8813">
      <c r="A8813" s="1"/>
      <c r="B8813" s="4"/>
    </row>
    <row r="8814">
      <c r="A8814" s="1"/>
      <c r="B8814" s="4"/>
    </row>
    <row r="8815">
      <c r="A8815" s="1"/>
      <c r="B8815" s="4"/>
    </row>
    <row r="8816">
      <c r="A8816" s="1"/>
      <c r="B8816" s="4"/>
    </row>
    <row r="8817">
      <c r="A8817" s="1"/>
      <c r="B8817" s="4"/>
    </row>
    <row r="8818">
      <c r="A8818" s="1"/>
      <c r="B8818" s="4"/>
    </row>
    <row r="8819">
      <c r="A8819" s="1"/>
      <c r="B8819" s="4"/>
    </row>
    <row r="8820">
      <c r="A8820" s="1"/>
      <c r="B8820" s="4"/>
    </row>
    <row r="8821">
      <c r="A8821" s="1"/>
      <c r="B8821" s="4"/>
    </row>
    <row r="8822">
      <c r="A8822" s="1"/>
      <c r="B8822" s="4"/>
    </row>
    <row r="8823">
      <c r="A8823" s="1"/>
      <c r="B8823" s="4"/>
    </row>
    <row r="8824">
      <c r="A8824" s="1"/>
      <c r="B8824" s="4"/>
    </row>
    <row r="8825">
      <c r="A8825" s="1"/>
      <c r="B8825" s="4"/>
    </row>
    <row r="8826">
      <c r="A8826" s="1"/>
      <c r="B8826" s="4"/>
    </row>
    <row r="8827">
      <c r="A8827" s="1"/>
      <c r="B8827" s="4"/>
    </row>
    <row r="8828">
      <c r="A8828" s="1"/>
      <c r="B8828" s="4"/>
    </row>
    <row r="8829">
      <c r="A8829" s="1"/>
      <c r="B8829" s="4"/>
    </row>
    <row r="8830">
      <c r="A8830" s="1"/>
      <c r="B8830" s="4"/>
    </row>
    <row r="8831">
      <c r="A8831" s="1"/>
      <c r="B8831" s="4"/>
    </row>
    <row r="8832">
      <c r="A8832" s="1"/>
      <c r="B8832" s="4"/>
    </row>
    <row r="8833">
      <c r="A8833" s="1"/>
      <c r="B8833" s="4"/>
    </row>
    <row r="8834">
      <c r="A8834" s="1"/>
      <c r="B8834" s="4"/>
    </row>
    <row r="8835">
      <c r="A8835" s="1"/>
      <c r="B8835" s="4"/>
    </row>
    <row r="8836">
      <c r="A8836" s="1"/>
      <c r="B8836" s="4"/>
    </row>
    <row r="8837">
      <c r="A8837" s="1"/>
      <c r="B8837" s="4"/>
    </row>
    <row r="8838">
      <c r="A8838" s="1"/>
      <c r="B8838" s="4"/>
    </row>
    <row r="8839">
      <c r="A8839" s="1"/>
      <c r="B8839" s="4"/>
    </row>
    <row r="8840">
      <c r="A8840" s="1"/>
      <c r="B8840" s="4"/>
    </row>
    <row r="8841">
      <c r="A8841" s="1"/>
      <c r="B8841" s="4"/>
    </row>
    <row r="8842">
      <c r="A8842" s="1"/>
      <c r="B8842" s="4"/>
    </row>
    <row r="8843">
      <c r="A8843" s="1"/>
      <c r="B8843" s="4"/>
    </row>
    <row r="8844">
      <c r="A8844" s="1"/>
      <c r="B8844" s="4"/>
    </row>
    <row r="8845">
      <c r="A8845" s="1"/>
      <c r="B8845" s="4"/>
    </row>
    <row r="8846">
      <c r="A8846" s="1"/>
      <c r="B8846" s="4"/>
    </row>
    <row r="8847">
      <c r="A8847" s="1"/>
      <c r="B8847" s="4"/>
    </row>
    <row r="8848">
      <c r="A8848" s="1"/>
      <c r="B8848" s="4"/>
    </row>
    <row r="8849">
      <c r="A8849" s="1"/>
      <c r="B8849" s="4"/>
    </row>
    <row r="8850">
      <c r="A8850" s="1"/>
      <c r="B8850" s="4"/>
    </row>
    <row r="8851">
      <c r="A8851" s="1"/>
      <c r="B8851" s="4"/>
    </row>
    <row r="8852">
      <c r="A8852" s="1"/>
      <c r="B8852" s="4"/>
    </row>
    <row r="8853">
      <c r="A8853" s="1"/>
      <c r="B8853" s="4"/>
    </row>
    <row r="8854">
      <c r="A8854" s="1"/>
      <c r="B8854" s="4"/>
    </row>
    <row r="8855">
      <c r="A8855" s="1"/>
      <c r="B8855" s="4"/>
    </row>
    <row r="8856">
      <c r="A8856" s="1"/>
      <c r="B8856" s="4"/>
    </row>
    <row r="8857">
      <c r="A8857" s="1"/>
      <c r="B8857" s="4"/>
    </row>
    <row r="8858">
      <c r="A8858" s="1"/>
      <c r="B8858" s="4"/>
    </row>
    <row r="8859">
      <c r="A8859" s="1"/>
      <c r="B8859" s="4"/>
    </row>
    <row r="8860">
      <c r="A8860" s="1"/>
      <c r="B8860" s="4"/>
    </row>
    <row r="8861">
      <c r="A8861" s="1"/>
      <c r="B8861" s="4"/>
    </row>
    <row r="8862">
      <c r="A8862" s="1"/>
      <c r="B8862" s="4"/>
    </row>
    <row r="8863">
      <c r="A8863" s="1"/>
      <c r="B8863" s="4"/>
    </row>
    <row r="8864">
      <c r="A8864" s="1"/>
      <c r="B8864" s="4"/>
    </row>
    <row r="8865">
      <c r="A8865" s="1"/>
      <c r="B8865" s="4"/>
    </row>
    <row r="8866">
      <c r="A8866" s="1"/>
      <c r="B8866" s="4"/>
    </row>
    <row r="8867">
      <c r="A8867" s="1"/>
      <c r="B8867" s="4"/>
    </row>
    <row r="8868">
      <c r="A8868" s="1"/>
      <c r="B8868" s="4"/>
    </row>
    <row r="8869">
      <c r="A8869" s="1"/>
      <c r="B8869" s="4"/>
    </row>
    <row r="8870">
      <c r="A8870" s="1"/>
      <c r="B8870" s="4"/>
    </row>
    <row r="8871">
      <c r="A8871" s="1"/>
      <c r="B8871" s="4"/>
    </row>
    <row r="8872">
      <c r="A8872" s="1"/>
      <c r="B8872" s="4"/>
    </row>
    <row r="8873">
      <c r="A8873" s="1"/>
      <c r="B8873" s="4"/>
    </row>
    <row r="8874">
      <c r="A8874" s="1"/>
      <c r="B8874" s="4"/>
    </row>
    <row r="8875">
      <c r="A8875" s="1"/>
      <c r="B8875" s="4"/>
    </row>
    <row r="8876">
      <c r="A8876" s="1"/>
      <c r="B8876" s="4"/>
    </row>
    <row r="8877">
      <c r="A8877" s="1"/>
      <c r="B8877" s="4"/>
    </row>
    <row r="8878">
      <c r="A8878" s="1"/>
      <c r="B8878" s="4"/>
    </row>
    <row r="8879">
      <c r="A8879" s="1"/>
      <c r="B8879" s="4"/>
    </row>
    <row r="8880">
      <c r="A8880" s="1"/>
      <c r="B8880" s="4"/>
    </row>
    <row r="8881">
      <c r="A8881" s="1"/>
      <c r="B8881" s="4"/>
    </row>
    <row r="8882">
      <c r="A8882" s="1"/>
      <c r="B8882" s="4"/>
    </row>
    <row r="8883">
      <c r="A8883" s="1"/>
      <c r="B8883" s="4"/>
    </row>
    <row r="8884">
      <c r="A8884" s="1"/>
      <c r="B8884" s="4"/>
    </row>
    <row r="8885">
      <c r="A8885" s="1"/>
      <c r="B8885" s="4"/>
    </row>
    <row r="8886">
      <c r="A8886" s="1"/>
      <c r="B8886" s="4"/>
    </row>
    <row r="8887">
      <c r="A8887" s="1"/>
      <c r="B8887" s="4"/>
    </row>
    <row r="8888">
      <c r="A8888" s="1"/>
      <c r="B8888" s="4"/>
    </row>
    <row r="8889">
      <c r="A8889" s="1"/>
      <c r="B8889" s="4"/>
    </row>
    <row r="8890">
      <c r="A8890" s="1"/>
      <c r="B8890" s="4"/>
    </row>
    <row r="8891">
      <c r="A8891" s="1"/>
      <c r="B8891" s="4"/>
    </row>
    <row r="8892">
      <c r="A8892" s="1"/>
      <c r="B8892" s="4"/>
    </row>
    <row r="8893">
      <c r="A8893" s="1"/>
      <c r="B8893" s="4"/>
    </row>
    <row r="8894">
      <c r="A8894" s="1"/>
      <c r="B8894" s="4"/>
    </row>
    <row r="8895">
      <c r="A8895" s="1"/>
      <c r="B8895" s="4"/>
    </row>
    <row r="8896">
      <c r="A8896" s="1"/>
      <c r="B8896" s="4"/>
    </row>
    <row r="8897">
      <c r="A8897" s="1"/>
      <c r="B8897" s="4"/>
    </row>
    <row r="8898">
      <c r="A8898" s="1"/>
      <c r="B8898" s="4"/>
    </row>
    <row r="8899">
      <c r="A8899" s="1"/>
      <c r="B8899" s="4"/>
    </row>
    <row r="8900">
      <c r="A8900" s="1"/>
      <c r="B8900" s="4"/>
    </row>
    <row r="8901">
      <c r="A8901" s="1"/>
      <c r="B8901" s="4"/>
    </row>
    <row r="8902">
      <c r="A8902" s="1"/>
      <c r="B8902" s="4"/>
    </row>
    <row r="8903">
      <c r="A8903" s="1"/>
      <c r="B8903" s="4"/>
    </row>
    <row r="8904">
      <c r="A8904" s="1"/>
      <c r="B8904" s="4"/>
    </row>
    <row r="8905">
      <c r="A8905" s="1"/>
      <c r="B8905" s="4"/>
    </row>
    <row r="8906">
      <c r="A8906" s="1"/>
      <c r="B8906" s="4"/>
    </row>
    <row r="8907">
      <c r="A8907" s="1"/>
      <c r="B8907" s="4"/>
    </row>
    <row r="8908">
      <c r="A8908" s="1"/>
      <c r="B8908" s="4"/>
    </row>
    <row r="8909">
      <c r="A8909" s="1"/>
      <c r="B8909" s="4"/>
    </row>
    <row r="8910">
      <c r="A8910" s="1"/>
      <c r="B8910" s="4"/>
    </row>
    <row r="8911">
      <c r="A8911" s="1"/>
      <c r="B8911" s="4"/>
    </row>
    <row r="8912">
      <c r="A8912" s="1"/>
      <c r="B8912" s="4"/>
    </row>
    <row r="8913">
      <c r="A8913" s="1"/>
      <c r="B8913" s="4"/>
    </row>
    <row r="8914">
      <c r="A8914" s="1"/>
      <c r="B8914" s="4"/>
    </row>
    <row r="8915">
      <c r="A8915" s="1"/>
      <c r="B8915" s="4"/>
    </row>
    <row r="8916">
      <c r="A8916" s="1"/>
      <c r="B8916" s="4"/>
    </row>
    <row r="8917">
      <c r="A8917" s="1"/>
      <c r="B8917" s="4"/>
    </row>
    <row r="8918">
      <c r="A8918" s="1"/>
      <c r="B8918" s="4"/>
    </row>
    <row r="8919">
      <c r="A8919" s="1"/>
      <c r="B8919" s="4"/>
    </row>
    <row r="8920">
      <c r="A8920" s="1"/>
      <c r="B8920" s="4"/>
    </row>
    <row r="8921">
      <c r="A8921" s="1"/>
      <c r="B8921" s="4"/>
    </row>
    <row r="8922">
      <c r="A8922" s="1"/>
      <c r="B8922" s="4"/>
    </row>
    <row r="8923">
      <c r="A8923" s="1"/>
      <c r="B8923" s="4"/>
    </row>
    <row r="8924">
      <c r="A8924" s="1"/>
      <c r="B8924" s="4"/>
    </row>
    <row r="8925">
      <c r="A8925" s="1"/>
      <c r="B8925" s="4"/>
    </row>
    <row r="8926">
      <c r="A8926" s="1"/>
      <c r="B8926" s="4"/>
    </row>
    <row r="8927">
      <c r="A8927" s="1"/>
      <c r="B8927" s="4"/>
    </row>
    <row r="8928">
      <c r="A8928" s="1"/>
      <c r="B8928" s="4"/>
    </row>
    <row r="8929">
      <c r="A8929" s="1"/>
      <c r="B8929" s="4"/>
    </row>
    <row r="8930">
      <c r="A8930" s="1"/>
      <c r="B8930" s="4"/>
    </row>
    <row r="8931">
      <c r="A8931" s="1"/>
      <c r="B8931" s="4"/>
    </row>
    <row r="8932">
      <c r="A8932" s="1"/>
      <c r="B8932" s="4"/>
    </row>
    <row r="8933">
      <c r="A8933" s="1"/>
      <c r="B8933" s="4"/>
    </row>
    <row r="8934">
      <c r="A8934" s="1"/>
      <c r="B8934" s="4"/>
    </row>
    <row r="8935">
      <c r="A8935" s="1"/>
      <c r="B8935" s="4"/>
    </row>
    <row r="8936">
      <c r="A8936" s="1"/>
      <c r="B8936" s="4"/>
    </row>
    <row r="8937">
      <c r="A8937" s="1"/>
      <c r="B8937" s="4"/>
    </row>
    <row r="8938">
      <c r="A8938" s="1"/>
      <c r="B8938" s="4"/>
    </row>
    <row r="8939">
      <c r="A8939" s="1"/>
      <c r="B8939" s="4"/>
    </row>
    <row r="8940">
      <c r="A8940" s="1"/>
      <c r="B8940" s="4"/>
    </row>
    <row r="8941">
      <c r="A8941" s="1"/>
      <c r="B8941" s="4"/>
    </row>
    <row r="8942">
      <c r="A8942" s="1"/>
      <c r="B8942" s="4"/>
    </row>
    <row r="8943">
      <c r="A8943" s="1"/>
      <c r="B8943" s="4"/>
    </row>
    <row r="8944">
      <c r="A8944" s="1"/>
      <c r="B8944" s="4"/>
    </row>
    <row r="8945">
      <c r="A8945" s="1"/>
      <c r="B8945" s="4"/>
    </row>
    <row r="8946">
      <c r="A8946" s="1"/>
      <c r="B8946" s="4"/>
    </row>
    <row r="8947">
      <c r="A8947" s="1"/>
      <c r="B8947" s="4"/>
    </row>
    <row r="8948">
      <c r="A8948" s="1"/>
      <c r="B8948" s="4"/>
    </row>
    <row r="8949">
      <c r="A8949" s="1"/>
      <c r="B8949" s="4"/>
    </row>
    <row r="8950">
      <c r="A8950" s="1"/>
      <c r="B8950" s="4"/>
    </row>
    <row r="8951">
      <c r="A8951" s="1"/>
      <c r="B8951" s="4"/>
    </row>
    <row r="8952">
      <c r="A8952" s="1"/>
      <c r="B8952" s="4"/>
    </row>
    <row r="8953">
      <c r="A8953" s="1"/>
      <c r="B8953" s="4"/>
    </row>
    <row r="8954">
      <c r="A8954" s="1"/>
      <c r="B8954" s="4"/>
    </row>
    <row r="8955">
      <c r="A8955" s="1"/>
      <c r="B8955" s="4"/>
    </row>
    <row r="8956">
      <c r="A8956" s="1"/>
      <c r="B8956" s="4"/>
    </row>
    <row r="8957">
      <c r="A8957" s="1"/>
      <c r="B8957" s="4"/>
    </row>
    <row r="8958">
      <c r="A8958" s="1"/>
      <c r="B8958" s="4"/>
    </row>
    <row r="8959">
      <c r="A8959" s="1"/>
      <c r="B8959" s="4"/>
    </row>
    <row r="8960">
      <c r="A8960" s="1"/>
      <c r="B8960" s="4"/>
    </row>
    <row r="8961">
      <c r="A8961" s="1"/>
      <c r="B8961" s="4"/>
    </row>
    <row r="8962">
      <c r="A8962" s="1"/>
      <c r="B8962" s="4"/>
    </row>
    <row r="8963">
      <c r="A8963" s="1"/>
      <c r="B8963" s="4"/>
    </row>
    <row r="8964">
      <c r="A8964" s="1"/>
      <c r="B8964" s="4"/>
    </row>
    <row r="8965">
      <c r="A8965" s="1"/>
      <c r="B8965" s="4"/>
    </row>
    <row r="8966">
      <c r="A8966" s="1"/>
      <c r="B8966" s="4"/>
    </row>
    <row r="8967">
      <c r="A8967" s="1"/>
      <c r="B8967" s="4"/>
    </row>
    <row r="8968">
      <c r="A8968" s="1"/>
      <c r="B8968" s="4"/>
    </row>
    <row r="8969">
      <c r="A8969" s="1"/>
      <c r="B8969" s="4"/>
    </row>
    <row r="8970">
      <c r="A8970" s="1"/>
      <c r="B8970" s="4"/>
    </row>
    <row r="8971">
      <c r="A8971" s="1"/>
      <c r="B8971" s="4"/>
    </row>
    <row r="8972">
      <c r="A8972" s="1"/>
      <c r="B8972" s="4"/>
    </row>
    <row r="8973">
      <c r="A8973" s="1"/>
      <c r="B8973" s="4"/>
    </row>
    <row r="8974">
      <c r="A8974" s="1"/>
      <c r="B8974" s="4"/>
    </row>
    <row r="8975">
      <c r="A8975" s="1"/>
      <c r="B8975" s="4"/>
    </row>
    <row r="8976">
      <c r="A8976" s="1"/>
      <c r="B8976" s="4"/>
    </row>
    <row r="8977">
      <c r="A8977" s="1"/>
      <c r="B8977" s="4"/>
    </row>
    <row r="8978">
      <c r="A8978" s="1"/>
      <c r="B8978" s="4"/>
    </row>
    <row r="8979">
      <c r="A8979" s="1"/>
      <c r="B8979" s="4"/>
    </row>
    <row r="8980">
      <c r="A8980" s="1"/>
      <c r="B8980" s="4"/>
    </row>
    <row r="8981">
      <c r="A8981" s="1"/>
      <c r="B8981" s="4"/>
    </row>
    <row r="8982">
      <c r="A8982" s="1"/>
      <c r="B8982" s="4"/>
    </row>
    <row r="8983">
      <c r="A8983" s="1"/>
      <c r="B8983" s="4"/>
    </row>
    <row r="8984">
      <c r="A8984" s="1"/>
      <c r="B8984" s="4"/>
    </row>
    <row r="8985">
      <c r="A8985" s="1"/>
      <c r="B8985" s="4"/>
    </row>
    <row r="8986">
      <c r="A8986" s="1"/>
      <c r="B8986" s="4"/>
    </row>
    <row r="8987">
      <c r="A8987" s="1"/>
      <c r="B8987" s="4"/>
    </row>
    <row r="8988">
      <c r="A8988" s="1"/>
      <c r="B8988" s="4"/>
    </row>
    <row r="8989">
      <c r="A8989" s="1"/>
      <c r="B8989" s="4"/>
    </row>
    <row r="8990">
      <c r="A8990" s="1"/>
      <c r="B8990" s="4"/>
    </row>
    <row r="8991">
      <c r="A8991" s="1"/>
      <c r="B8991" s="4"/>
    </row>
    <row r="8992">
      <c r="A8992" s="1"/>
      <c r="B8992" s="4"/>
    </row>
    <row r="8993">
      <c r="A8993" s="1"/>
      <c r="B8993" s="4"/>
    </row>
    <row r="8994">
      <c r="A8994" s="1"/>
      <c r="B8994" s="4"/>
    </row>
    <row r="8995">
      <c r="A8995" s="1"/>
      <c r="B8995" s="4"/>
    </row>
    <row r="8996">
      <c r="A8996" s="1"/>
      <c r="B8996" s="4"/>
    </row>
    <row r="8997">
      <c r="A8997" s="1"/>
      <c r="B8997" s="4"/>
    </row>
    <row r="8998">
      <c r="A8998" s="1"/>
      <c r="B8998" s="4"/>
    </row>
    <row r="8999">
      <c r="A8999" s="1"/>
      <c r="B8999" s="4"/>
    </row>
    <row r="9000">
      <c r="A9000" s="1"/>
      <c r="B9000" s="4"/>
    </row>
    <row r="9001">
      <c r="A9001" s="1"/>
      <c r="B9001" s="4"/>
    </row>
    <row r="9002">
      <c r="A9002" s="1"/>
      <c r="B9002" s="4"/>
    </row>
    <row r="9003">
      <c r="A9003" s="1"/>
      <c r="B9003" s="4"/>
    </row>
    <row r="9004">
      <c r="A9004" s="1"/>
      <c r="B9004" s="4"/>
    </row>
    <row r="9005">
      <c r="A9005" s="1"/>
      <c r="B9005" s="4"/>
    </row>
    <row r="9006">
      <c r="A9006" s="1"/>
      <c r="B9006" s="4"/>
    </row>
    <row r="9007">
      <c r="A9007" s="1"/>
      <c r="B9007" s="4"/>
    </row>
    <row r="9008">
      <c r="A9008" s="1"/>
      <c r="B9008" s="4"/>
    </row>
    <row r="9009">
      <c r="A9009" s="1"/>
      <c r="B9009" s="4"/>
    </row>
    <row r="9010">
      <c r="A9010" s="1"/>
      <c r="B9010" s="4"/>
    </row>
    <row r="9011">
      <c r="A9011" s="1"/>
      <c r="B9011" s="4"/>
    </row>
    <row r="9012">
      <c r="A9012" s="1"/>
      <c r="B9012" s="4"/>
    </row>
    <row r="9013">
      <c r="A9013" s="1"/>
      <c r="B9013" s="4"/>
    </row>
    <row r="9014">
      <c r="A9014" s="1"/>
      <c r="B9014" s="4"/>
    </row>
    <row r="9015">
      <c r="A9015" s="1"/>
      <c r="B9015" s="4"/>
    </row>
    <row r="9016">
      <c r="A9016" s="1"/>
      <c r="B9016" s="4"/>
    </row>
    <row r="9017">
      <c r="A9017" s="1"/>
      <c r="B9017" s="4"/>
    </row>
    <row r="9018">
      <c r="A9018" s="1"/>
      <c r="B9018" s="4"/>
    </row>
    <row r="9019">
      <c r="A9019" s="1"/>
      <c r="B9019" s="4"/>
    </row>
    <row r="9020">
      <c r="A9020" s="1"/>
      <c r="B9020" s="4"/>
    </row>
    <row r="9021">
      <c r="A9021" s="1"/>
      <c r="B9021" s="4"/>
    </row>
    <row r="9022">
      <c r="A9022" s="1"/>
      <c r="B9022" s="4"/>
    </row>
    <row r="9023">
      <c r="A9023" s="1"/>
      <c r="B9023" s="4"/>
    </row>
    <row r="9024">
      <c r="A9024" s="1"/>
      <c r="B9024" s="4"/>
    </row>
    <row r="9025">
      <c r="A9025" s="1"/>
      <c r="B9025" s="4"/>
    </row>
    <row r="9026">
      <c r="A9026" s="1"/>
      <c r="B9026" s="4"/>
    </row>
    <row r="9027">
      <c r="A9027" s="1"/>
      <c r="B9027" s="4"/>
    </row>
    <row r="9028">
      <c r="A9028" s="1"/>
      <c r="B9028" s="4"/>
    </row>
    <row r="9029">
      <c r="A9029" s="1"/>
      <c r="B9029" s="4"/>
    </row>
    <row r="9030">
      <c r="A9030" s="1"/>
      <c r="B9030" s="4"/>
    </row>
    <row r="9031">
      <c r="A9031" s="1"/>
      <c r="B9031" s="4"/>
    </row>
    <row r="9032">
      <c r="A9032" s="1"/>
      <c r="B9032" s="4"/>
    </row>
    <row r="9033">
      <c r="A9033" s="1"/>
    </row>
    <row r="9034">
      <c r="A9034" s="1"/>
    </row>
    <row r="9035">
      <c r="A9035" s="1"/>
    </row>
    <row r="9036">
      <c r="A9036" s="1"/>
    </row>
    <row r="9037">
      <c r="A9037" s="1"/>
    </row>
    <row r="9038">
      <c r="A9038" s="1"/>
    </row>
    <row r="9039">
      <c r="A9039" s="1"/>
    </row>
    <row r="9040">
      <c r="A9040" s="1"/>
    </row>
    <row r="9041">
      <c r="A9041" s="1"/>
    </row>
    <row r="9042">
      <c r="A9042" s="1"/>
    </row>
    <row r="9043">
      <c r="A9043" s="1"/>
    </row>
    <row r="9044">
      <c r="A9044" s="1"/>
    </row>
    <row r="9045">
      <c r="A9045" s="1"/>
    </row>
    <row r="9046">
      <c r="A9046" s="1"/>
    </row>
    <row r="9047">
      <c r="A9047" s="1"/>
    </row>
    <row r="9048">
      <c r="A9048" s="1"/>
    </row>
    <row r="9049">
      <c r="A9049" s="1"/>
    </row>
    <row r="9050">
      <c r="A9050" s="1"/>
    </row>
    <row r="9051">
      <c r="A9051" s="1"/>
    </row>
    <row r="9052">
      <c r="A9052" s="1"/>
    </row>
    <row r="9053">
      <c r="A9053" s="1"/>
    </row>
    <row r="9054">
      <c r="A9054" s="1"/>
    </row>
    <row r="9055">
      <c r="A9055" s="1"/>
    </row>
    <row r="9056">
      <c r="A9056" s="1"/>
    </row>
    <row r="9057">
      <c r="A9057" s="1"/>
    </row>
    <row r="9058">
      <c r="A9058" s="1"/>
    </row>
    <row r="9059">
      <c r="A9059" s="1"/>
    </row>
    <row r="9060">
      <c r="A9060" s="1"/>
    </row>
    <row r="9061">
      <c r="A9061" s="1"/>
    </row>
    <row r="9062">
      <c r="A9062" s="1"/>
    </row>
    <row r="9063">
      <c r="A9063" s="1"/>
    </row>
    <row r="9064">
      <c r="A9064" s="1"/>
    </row>
    <row r="9065">
      <c r="A9065" s="1"/>
    </row>
    <row r="9066">
      <c r="A9066" s="1"/>
    </row>
    <row r="9067">
      <c r="A9067" s="1"/>
    </row>
    <row r="9068">
      <c r="A9068" s="1"/>
    </row>
    <row r="9069">
      <c r="A9069" s="1"/>
    </row>
    <row r="9070">
      <c r="A9070" s="1"/>
    </row>
    <row r="9071">
      <c r="A9071" s="1"/>
    </row>
    <row r="9072">
      <c r="A9072" s="1"/>
    </row>
    <row r="9073">
      <c r="A9073" s="1"/>
    </row>
    <row r="9074">
      <c r="A9074" s="1"/>
    </row>
    <row r="9075">
      <c r="A9075" s="1"/>
    </row>
    <row r="9076">
      <c r="A9076" s="1"/>
    </row>
    <row r="9077">
      <c r="A9077" s="1"/>
    </row>
    <row r="9078">
      <c r="A9078" s="1"/>
    </row>
    <row r="9079">
      <c r="A9079" s="1"/>
    </row>
    <row r="9080">
      <c r="A9080" s="1"/>
    </row>
    <row r="9081">
      <c r="A9081" s="1"/>
    </row>
    <row r="9082">
      <c r="A9082" s="1"/>
    </row>
    <row r="9083">
      <c r="A9083" s="1"/>
    </row>
    <row r="9084">
      <c r="A9084" s="1"/>
    </row>
    <row r="9085">
      <c r="A9085" s="1"/>
    </row>
    <row r="9086">
      <c r="A9086" s="1"/>
    </row>
    <row r="9087">
      <c r="A9087" s="1"/>
    </row>
    <row r="9088">
      <c r="A9088" s="1"/>
    </row>
    <row r="9089">
      <c r="A9089" s="1"/>
    </row>
    <row r="9090">
      <c r="A9090" s="1"/>
    </row>
    <row r="9091">
      <c r="A9091" s="1"/>
    </row>
    <row r="9092">
      <c r="A9092" s="1"/>
    </row>
    <row r="9093">
      <c r="A9093" s="1"/>
    </row>
    <row r="9094">
      <c r="A9094" s="1"/>
    </row>
    <row r="9095">
      <c r="A9095" s="1"/>
    </row>
    <row r="9096">
      <c r="A9096" s="1"/>
    </row>
    <row r="9097">
      <c r="A9097" s="1"/>
    </row>
    <row r="9098">
      <c r="A9098" s="1"/>
    </row>
    <row r="9099">
      <c r="A9099" s="1"/>
    </row>
    <row r="9100">
      <c r="A9100" s="1"/>
    </row>
    <row r="9101">
      <c r="A9101" s="1"/>
    </row>
    <row r="9102">
      <c r="A9102" s="1"/>
    </row>
    <row r="9103">
      <c r="A9103" s="1"/>
    </row>
    <row r="9104">
      <c r="A9104" s="1"/>
    </row>
    <row r="9105">
      <c r="A9105" s="1"/>
    </row>
    <row r="9106">
      <c r="A9106" s="1"/>
    </row>
    <row r="9107">
      <c r="A9107" s="1"/>
    </row>
    <row r="9108">
      <c r="A9108" s="1"/>
    </row>
    <row r="9109">
      <c r="A9109" s="1"/>
    </row>
    <row r="9110">
      <c r="A9110" s="1"/>
    </row>
    <row r="9111">
      <c r="A9111" s="1"/>
    </row>
    <row r="9112">
      <c r="A9112" s="1"/>
    </row>
    <row r="9113">
      <c r="A9113" s="1"/>
    </row>
    <row r="9114">
      <c r="A9114" s="1"/>
    </row>
    <row r="9115">
      <c r="A9115" s="1"/>
    </row>
    <row r="9116">
      <c r="A9116" s="1"/>
    </row>
    <row r="9117">
      <c r="A9117" s="1"/>
    </row>
    <row r="9118">
      <c r="A9118" s="1"/>
    </row>
    <row r="9119">
      <c r="A9119" s="1"/>
    </row>
    <row r="9120">
      <c r="A9120" s="1"/>
    </row>
    <row r="9121">
      <c r="A9121" s="1"/>
    </row>
    <row r="9122">
      <c r="A9122" s="1"/>
    </row>
    <row r="9123">
      <c r="A9123" s="1"/>
    </row>
    <row r="9124">
      <c r="A9124" s="1"/>
    </row>
    <row r="9125">
      <c r="A9125" s="1"/>
    </row>
    <row r="9126">
      <c r="A9126" s="1"/>
    </row>
    <row r="9127">
      <c r="A9127" s="1"/>
    </row>
    <row r="9128">
      <c r="A9128" s="1"/>
    </row>
    <row r="9129">
      <c r="A9129" s="1"/>
    </row>
    <row r="9130">
      <c r="A9130" s="1"/>
    </row>
    <row r="9131">
      <c r="A9131" s="1"/>
    </row>
    <row r="9132">
      <c r="A9132" s="1"/>
    </row>
    <row r="9133">
      <c r="A9133" s="1"/>
    </row>
    <row r="9134">
      <c r="A9134" s="1"/>
    </row>
    <row r="9135">
      <c r="A9135" s="1"/>
    </row>
    <row r="9136">
      <c r="A9136" s="1"/>
    </row>
    <row r="9137">
      <c r="A9137" s="1"/>
    </row>
    <row r="9138">
      <c r="A9138" s="1"/>
    </row>
    <row r="9139">
      <c r="A9139" s="1"/>
    </row>
    <row r="9140">
      <c r="A9140" s="1"/>
    </row>
    <row r="9141">
      <c r="A9141" s="1"/>
    </row>
    <row r="9142">
      <c r="A9142" s="1"/>
    </row>
    <row r="9143">
      <c r="A9143" s="1"/>
    </row>
    <row r="9144">
      <c r="A9144" s="1"/>
    </row>
    <row r="9145">
      <c r="A9145" s="1"/>
    </row>
    <row r="9146">
      <c r="A9146" s="1"/>
    </row>
    <row r="9147">
      <c r="A9147" s="1"/>
    </row>
    <row r="9148">
      <c r="A9148" s="1"/>
    </row>
    <row r="9149">
      <c r="A9149" s="1"/>
    </row>
    <row r="9150">
      <c r="A9150" s="1"/>
    </row>
    <row r="9151">
      <c r="A9151" s="1"/>
    </row>
    <row r="9152">
      <c r="A9152" s="1"/>
    </row>
    <row r="9153">
      <c r="A9153" s="1"/>
    </row>
    <row r="9154">
      <c r="A9154" s="1"/>
    </row>
    <row r="9155">
      <c r="A9155" s="1"/>
    </row>
    <row r="9156">
      <c r="A9156" s="1"/>
    </row>
    <row r="9157">
      <c r="A9157" s="1"/>
    </row>
    <row r="9158">
      <c r="A9158" s="1"/>
    </row>
    <row r="9159">
      <c r="A9159" s="1"/>
    </row>
    <row r="9160">
      <c r="A9160" s="1"/>
    </row>
    <row r="9161">
      <c r="A9161" s="1"/>
    </row>
    <row r="9162">
      <c r="A9162" s="1"/>
    </row>
    <row r="9163">
      <c r="A9163" s="1"/>
    </row>
    <row r="9164">
      <c r="A9164" s="1"/>
    </row>
    <row r="9165">
      <c r="A9165" s="1"/>
    </row>
    <row r="9166">
      <c r="A9166" s="1"/>
    </row>
    <row r="9167">
      <c r="A9167" s="1"/>
    </row>
    <row r="9168">
      <c r="A9168" s="1"/>
    </row>
    <row r="9169">
      <c r="A9169" s="1"/>
    </row>
    <row r="9170">
      <c r="A9170" s="1"/>
    </row>
    <row r="9171">
      <c r="A9171" s="1"/>
    </row>
    <row r="9172">
      <c r="A9172" s="1"/>
    </row>
    <row r="9173">
      <c r="A9173" s="1"/>
    </row>
    <row r="9174">
      <c r="A9174" s="1"/>
    </row>
    <row r="9175">
      <c r="A9175" s="1"/>
    </row>
    <row r="9176">
      <c r="A9176" s="1"/>
    </row>
    <row r="9177">
      <c r="A9177" s="1"/>
    </row>
    <row r="9178">
      <c r="A9178" s="1"/>
    </row>
    <row r="9179">
      <c r="A9179" s="1"/>
    </row>
    <row r="9180">
      <c r="A9180" s="1"/>
    </row>
    <row r="9181">
      <c r="A9181" s="1"/>
    </row>
    <row r="9182">
      <c r="A9182" s="1"/>
    </row>
    <row r="9183">
      <c r="A9183" s="1"/>
    </row>
    <row r="9184">
      <c r="A9184" s="1"/>
    </row>
    <row r="9185">
      <c r="A9185" s="1"/>
    </row>
    <row r="9186">
      <c r="A9186" s="1"/>
    </row>
    <row r="9187">
      <c r="A9187" s="1"/>
    </row>
    <row r="9188">
      <c r="A9188" s="1"/>
    </row>
    <row r="9189">
      <c r="A9189" s="1"/>
    </row>
    <row r="9190">
      <c r="A9190" s="1"/>
    </row>
    <row r="9191">
      <c r="A9191" s="1"/>
    </row>
    <row r="9192">
      <c r="A9192" s="1"/>
    </row>
    <row r="9193">
      <c r="A9193" s="1"/>
    </row>
    <row r="9194">
      <c r="A9194" s="1"/>
    </row>
    <row r="9195">
      <c r="A9195" s="1"/>
    </row>
    <row r="9196">
      <c r="A9196" s="1"/>
    </row>
    <row r="9197">
      <c r="A9197" s="1"/>
    </row>
    <row r="9198">
      <c r="A9198" s="1"/>
    </row>
    <row r="9199">
      <c r="A9199" s="1"/>
    </row>
    <row r="9200">
      <c r="A9200" s="1"/>
    </row>
    <row r="9201">
      <c r="A9201" s="1"/>
    </row>
    <row r="9202">
      <c r="A9202" s="1"/>
    </row>
    <row r="9203">
      <c r="A9203" s="1"/>
    </row>
    <row r="9204">
      <c r="A9204" s="1"/>
    </row>
    <row r="9205">
      <c r="A9205" s="1"/>
    </row>
    <row r="9206">
      <c r="A9206" s="1"/>
    </row>
    <row r="9207">
      <c r="A9207" s="1"/>
    </row>
    <row r="9208">
      <c r="A9208" s="1"/>
    </row>
    <row r="9209">
      <c r="A9209" s="1"/>
    </row>
    <row r="9210">
      <c r="A9210" s="1"/>
    </row>
    <row r="9211">
      <c r="A9211" s="1"/>
    </row>
    <row r="9212">
      <c r="A9212" s="1"/>
    </row>
    <row r="9213">
      <c r="A9213" s="1"/>
    </row>
    <row r="9214">
      <c r="A9214" s="1"/>
    </row>
    <row r="9215">
      <c r="A9215" s="1"/>
    </row>
    <row r="9216">
      <c r="A9216" s="1"/>
    </row>
    <row r="9217">
      <c r="A9217" s="1"/>
    </row>
    <row r="9218">
      <c r="A9218" s="1"/>
    </row>
    <row r="9219">
      <c r="A9219" s="1"/>
    </row>
    <row r="9220">
      <c r="A9220" s="1"/>
    </row>
    <row r="9221">
      <c r="A9221" s="1"/>
    </row>
    <row r="9222">
      <c r="A9222" s="1"/>
    </row>
    <row r="9223">
      <c r="A9223" s="1"/>
    </row>
    <row r="9224">
      <c r="A9224" s="1"/>
    </row>
    <row r="9225">
      <c r="A9225" s="1"/>
    </row>
    <row r="9226">
      <c r="A9226" s="1"/>
    </row>
    <row r="9227">
      <c r="A9227" s="1"/>
    </row>
    <row r="9228">
      <c r="A9228" s="1"/>
    </row>
    <row r="9229">
      <c r="A9229" s="1"/>
    </row>
    <row r="9230">
      <c r="A9230" s="1"/>
    </row>
    <row r="9231">
      <c r="A9231" s="1"/>
    </row>
    <row r="9232">
      <c r="A9232" s="1"/>
    </row>
    <row r="9233">
      <c r="A9233" s="1"/>
    </row>
    <row r="9234">
      <c r="A9234" s="1"/>
    </row>
    <row r="9235">
      <c r="A9235" s="1"/>
    </row>
    <row r="9236">
      <c r="A9236" s="1"/>
    </row>
    <row r="9237">
      <c r="A9237" s="1"/>
    </row>
    <row r="9238">
      <c r="A9238" s="1"/>
    </row>
    <row r="9239">
      <c r="A9239" s="1"/>
    </row>
    <row r="9240">
      <c r="A9240" s="1"/>
    </row>
    <row r="9241">
      <c r="A9241" s="1"/>
    </row>
    <row r="9242">
      <c r="A9242" s="1"/>
    </row>
    <row r="9243">
      <c r="A9243" s="1"/>
    </row>
    <row r="9244">
      <c r="A9244" s="1"/>
    </row>
    <row r="9245">
      <c r="A9245" s="1"/>
    </row>
    <row r="9246">
      <c r="A9246" s="1"/>
    </row>
    <row r="9247">
      <c r="A9247" s="1"/>
    </row>
    <row r="9248">
      <c r="A9248" s="1"/>
    </row>
    <row r="9249">
      <c r="A9249" s="1"/>
    </row>
    <row r="9250">
      <c r="A9250" s="1"/>
    </row>
    <row r="9251">
      <c r="A9251" s="1"/>
    </row>
    <row r="9252">
      <c r="A9252" s="1"/>
    </row>
    <row r="9253">
      <c r="A9253" s="1"/>
    </row>
    <row r="9254">
      <c r="A9254" s="1"/>
    </row>
    <row r="9255">
      <c r="A9255" s="1"/>
    </row>
    <row r="9256">
      <c r="A9256" s="1"/>
    </row>
    <row r="9257">
      <c r="A9257" s="1"/>
    </row>
    <row r="9258">
      <c r="A9258" s="1"/>
    </row>
    <row r="9259">
      <c r="A9259" s="1"/>
    </row>
    <row r="9260">
      <c r="A9260" s="1"/>
    </row>
    <row r="9261">
      <c r="A9261" s="1"/>
    </row>
    <row r="9262">
      <c r="A9262" s="1"/>
    </row>
    <row r="9263">
      <c r="A9263" s="1"/>
    </row>
    <row r="9264">
      <c r="A9264" s="1"/>
    </row>
    <row r="9265">
      <c r="A9265" s="1"/>
    </row>
    <row r="9266">
      <c r="A9266" s="1"/>
    </row>
    <row r="9267">
      <c r="A9267" s="1"/>
    </row>
    <row r="9268">
      <c r="A9268" s="1"/>
    </row>
    <row r="9269">
      <c r="A9269" s="1"/>
    </row>
    <row r="9270">
      <c r="A9270" s="1"/>
    </row>
    <row r="9271">
      <c r="A9271" s="1"/>
    </row>
    <row r="9272">
      <c r="A9272" s="1"/>
    </row>
    <row r="9273">
      <c r="A9273" s="1"/>
    </row>
    <row r="9274">
      <c r="A9274" s="1"/>
    </row>
    <row r="9275">
      <c r="A9275" s="1"/>
    </row>
    <row r="9276">
      <c r="A9276" s="1"/>
    </row>
    <row r="9277">
      <c r="A9277" s="1"/>
    </row>
    <row r="9278">
      <c r="A9278" s="1"/>
    </row>
    <row r="9279">
      <c r="A9279" s="1"/>
    </row>
    <row r="9280">
      <c r="A9280" s="1"/>
    </row>
    <row r="9281">
      <c r="A9281" s="1"/>
    </row>
    <row r="9282">
      <c r="A9282" s="1"/>
    </row>
    <row r="9283">
      <c r="A9283" s="1"/>
    </row>
    <row r="9284">
      <c r="A9284" s="1"/>
    </row>
    <row r="9285">
      <c r="A9285" s="1"/>
    </row>
    <row r="9286">
      <c r="A9286" s="1"/>
    </row>
    <row r="9287">
      <c r="A9287" s="1"/>
    </row>
    <row r="9288">
      <c r="A9288" s="1"/>
    </row>
    <row r="9289">
      <c r="A9289" s="1"/>
    </row>
    <row r="9290">
      <c r="A9290" s="1"/>
    </row>
    <row r="9291">
      <c r="A9291" s="1"/>
    </row>
    <row r="9292">
      <c r="A9292" s="1"/>
    </row>
    <row r="9293">
      <c r="A9293" s="1"/>
    </row>
    <row r="9294">
      <c r="A9294" s="1"/>
    </row>
    <row r="9295">
      <c r="A9295" s="1"/>
    </row>
    <row r="9296">
      <c r="A9296" s="1"/>
    </row>
    <row r="9297">
      <c r="A9297" s="1"/>
    </row>
    <row r="9298">
      <c r="A9298" s="1"/>
    </row>
    <row r="9299">
      <c r="A9299" s="1"/>
    </row>
    <row r="9300">
      <c r="A9300" s="1"/>
    </row>
    <row r="9301">
      <c r="A9301" s="1"/>
    </row>
    <row r="9302">
      <c r="A9302" s="1"/>
    </row>
    <row r="9303">
      <c r="A9303" s="1"/>
    </row>
    <row r="9304">
      <c r="A9304" s="1"/>
    </row>
    <row r="9305">
      <c r="A9305" s="1"/>
    </row>
    <row r="9306">
      <c r="A9306" s="1"/>
    </row>
    <row r="9307">
      <c r="A9307" s="1"/>
    </row>
    <row r="9308">
      <c r="A9308" s="1"/>
    </row>
    <row r="9309">
      <c r="A9309" s="1"/>
    </row>
    <row r="9310">
      <c r="A9310" s="1"/>
    </row>
    <row r="9311">
      <c r="A9311" s="1"/>
    </row>
    <row r="9312">
      <c r="A9312" s="1"/>
    </row>
    <row r="9313">
      <c r="A9313" s="1"/>
    </row>
    <row r="9314">
      <c r="A9314" s="1"/>
    </row>
    <row r="9315">
      <c r="A9315" s="1"/>
    </row>
    <row r="9316">
      <c r="A9316" s="1"/>
    </row>
    <row r="9317">
      <c r="A9317" s="1"/>
    </row>
    <row r="9318">
      <c r="A9318" s="1"/>
    </row>
    <row r="9319">
      <c r="A9319" s="1"/>
    </row>
    <row r="9320">
      <c r="A9320" s="1"/>
    </row>
    <row r="9321">
      <c r="A9321" s="1"/>
    </row>
    <row r="9322">
      <c r="A9322" s="1"/>
    </row>
    <row r="9323">
      <c r="A9323" s="1"/>
    </row>
    <row r="9324">
      <c r="A9324" s="1"/>
    </row>
    <row r="9325">
      <c r="A9325" s="1"/>
    </row>
    <row r="9326">
      <c r="A9326" s="1"/>
    </row>
    <row r="9327">
      <c r="A9327" s="1"/>
    </row>
    <row r="9328">
      <c r="A9328" s="1"/>
    </row>
    <row r="9329">
      <c r="A9329" s="1"/>
    </row>
    <row r="9330">
      <c r="A9330" s="1"/>
    </row>
    <row r="9331">
      <c r="A9331" s="1"/>
    </row>
    <row r="9332">
      <c r="A9332" s="1"/>
    </row>
    <row r="9333">
      <c r="A9333" s="1"/>
    </row>
    <row r="9334">
      <c r="A9334" s="1"/>
    </row>
    <row r="9335">
      <c r="A9335" s="1"/>
    </row>
    <row r="9336">
      <c r="A9336" s="1"/>
    </row>
    <row r="9337">
      <c r="A9337" s="1"/>
    </row>
    <row r="9338">
      <c r="A9338" s="1"/>
    </row>
    <row r="9339">
      <c r="A9339" s="1"/>
    </row>
    <row r="9340">
      <c r="A9340" s="1"/>
    </row>
    <row r="9341">
      <c r="A9341" s="1"/>
    </row>
    <row r="9342">
      <c r="A9342" s="1"/>
    </row>
    <row r="9343">
      <c r="A9343" s="1"/>
    </row>
    <row r="9344">
      <c r="A9344" s="1"/>
    </row>
    <row r="9345">
      <c r="A9345" s="1"/>
    </row>
    <row r="9346">
      <c r="A9346" s="1"/>
    </row>
    <row r="9347">
      <c r="A9347" s="1"/>
    </row>
    <row r="9348">
      <c r="A9348" s="1"/>
    </row>
    <row r="9349">
      <c r="A9349" s="1"/>
    </row>
    <row r="9350">
      <c r="A9350" s="1"/>
    </row>
    <row r="9351">
      <c r="A9351" s="1"/>
    </row>
    <row r="9352">
      <c r="A9352" s="1"/>
    </row>
    <row r="9353">
      <c r="A9353" s="1"/>
    </row>
    <row r="9354">
      <c r="A9354" s="1"/>
    </row>
    <row r="9355">
      <c r="A9355" s="1"/>
    </row>
    <row r="9356">
      <c r="A9356" s="1"/>
    </row>
    <row r="9357">
      <c r="A9357" s="1"/>
    </row>
    <row r="9358">
      <c r="A9358" s="1"/>
    </row>
    <row r="9359">
      <c r="A9359" s="1"/>
    </row>
    <row r="9360">
      <c r="A9360" s="1"/>
    </row>
    <row r="9361">
      <c r="A9361" s="1"/>
    </row>
    <row r="9362">
      <c r="A9362" s="1"/>
    </row>
    <row r="9363">
      <c r="A9363" s="1"/>
    </row>
    <row r="9364">
      <c r="A9364" s="1"/>
    </row>
    <row r="9365">
      <c r="A9365" s="1"/>
    </row>
    <row r="9366">
      <c r="A9366" s="1"/>
    </row>
    <row r="9367">
      <c r="A9367" s="1"/>
    </row>
    <row r="9368">
      <c r="A9368" s="1"/>
    </row>
    <row r="9369">
      <c r="A9369" s="1"/>
    </row>
    <row r="9370">
      <c r="A9370" s="1"/>
    </row>
    <row r="9371">
      <c r="A9371" s="1"/>
    </row>
    <row r="9372">
      <c r="A9372" s="1"/>
    </row>
    <row r="9373">
      <c r="A9373" s="1"/>
    </row>
    <row r="9374">
      <c r="A9374" s="1"/>
    </row>
    <row r="9375">
      <c r="A9375" s="1"/>
    </row>
    <row r="9376">
      <c r="A9376" s="1"/>
    </row>
    <row r="9377">
      <c r="A9377" s="1"/>
    </row>
    <row r="9378">
      <c r="A9378" s="1"/>
    </row>
    <row r="9379">
      <c r="A9379" s="1"/>
    </row>
    <row r="9380">
      <c r="A9380" s="1"/>
    </row>
    <row r="9381">
      <c r="A9381" s="1"/>
    </row>
    <row r="9382">
      <c r="A9382" s="1"/>
    </row>
    <row r="9383">
      <c r="A9383" s="1"/>
    </row>
    <row r="9384">
      <c r="A9384" s="1"/>
    </row>
    <row r="9385">
      <c r="A9385" s="1"/>
    </row>
    <row r="9386">
      <c r="A9386" s="1"/>
    </row>
    <row r="9387">
      <c r="A9387" s="1"/>
    </row>
    <row r="9388">
      <c r="A9388" s="1"/>
    </row>
    <row r="9389">
      <c r="A9389" s="1"/>
    </row>
    <row r="9390">
      <c r="A9390" s="1"/>
    </row>
    <row r="9391">
      <c r="A9391" s="1"/>
    </row>
    <row r="9392">
      <c r="A9392" s="1"/>
    </row>
    <row r="9393">
      <c r="A9393" s="1"/>
    </row>
    <row r="9394">
      <c r="A9394" s="1"/>
    </row>
    <row r="9395">
      <c r="A9395" s="1"/>
    </row>
    <row r="9396">
      <c r="A9396" s="1"/>
    </row>
    <row r="9397">
      <c r="A9397" s="1"/>
    </row>
    <row r="9398">
      <c r="A9398" s="1"/>
    </row>
    <row r="9399">
      <c r="A9399" s="1"/>
    </row>
    <row r="9400">
      <c r="A9400" s="1"/>
    </row>
    <row r="9401">
      <c r="A9401" s="1"/>
    </row>
    <row r="9402">
      <c r="A9402" s="1"/>
    </row>
    <row r="9403">
      <c r="A9403" s="1"/>
    </row>
    <row r="9404">
      <c r="A9404" s="1"/>
    </row>
    <row r="9405">
      <c r="A9405" s="1"/>
    </row>
    <row r="9406">
      <c r="A9406" s="1"/>
    </row>
    <row r="9407">
      <c r="A9407" s="1"/>
    </row>
    <row r="9408">
      <c r="A9408" s="1"/>
    </row>
    <row r="9409">
      <c r="A9409" s="1"/>
    </row>
    <row r="9410">
      <c r="A9410" s="1"/>
    </row>
    <row r="9411">
      <c r="A9411" s="1"/>
    </row>
    <row r="9412">
      <c r="A9412" s="1"/>
    </row>
    <row r="9413">
      <c r="A9413" s="1"/>
    </row>
    <row r="9414">
      <c r="A9414" s="1"/>
    </row>
    <row r="9415">
      <c r="A9415" s="1"/>
    </row>
    <row r="9416">
      <c r="A9416" s="1"/>
    </row>
    <row r="9417">
      <c r="A9417" s="1"/>
    </row>
    <row r="9418">
      <c r="A9418" s="1"/>
    </row>
    <row r="9419">
      <c r="A9419" s="1"/>
    </row>
    <row r="9420">
      <c r="A9420" s="1"/>
    </row>
    <row r="9421">
      <c r="A9421" s="1"/>
    </row>
    <row r="9422">
      <c r="A9422" s="1"/>
    </row>
    <row r="9423">
      <c r="A9423" s="1"/>
    </row>
    <row r="9424">
      <c r="A9424" s="1"/>
    </row>
    <row r="9425">
      <c r="A9425" s="1"/>
    </row>
    <row r="9426">
      <c r="A9426" s="1"/>
    </row>
    <row r="9427">
      <c r="A9427" s="1"/>
    </row>
    <row r="9428">
      <c r="A9428" s="1"/>
    </row>
    <row r="9429">
      <c r="A9429" s="1"/>
    </row>
    <row r="9430">
      <c r="A9430" s="1"/>
    </row>
    <row r="9431">
      <c r="A9431" s="1"/>
    </row>
    <row r="9432">
      <c r="A9432" s="1"/>
    </row>
    <row r="9433">
      <c r="A9433" s="1"/>
    </row>
    <row r="9434">
      <c r="A9434" s="1"/>
    </row>
    <row r="9435">
      <c r="A9435" s="1"/>
    </row>
    <row r="9436">
      <c r="A9436" s="1"/>
    </row>
    <row r="9437">
      <c r="A9437" s="1"/>
    </row>
    <row r="9438">
      <c r="A9438" s="1"/>
    </row>
    <row r="9439">
      <c r="A9439" s="1"/>
    </row>
    <row r="9440">
      <c r="A9440" s="1"/>
    </row>
    <row r="9441">
      <c r="A9441" s="1"/>
    </row>
    <row r="9442">
      <c r="A9442" s="1"/>
    </row>
    <row r="9443">
      <c r="A9443" s="1"/>
    </row>
    <row r="9444">
      <c r="A9444" s="1"/>
    </row>
    <row r="9445">
      <c r="A9445" s="1"/>
    </row>
    <row r="9446">
      <c r="A9446" s="1"/>
    </row>
    <row r="9447">
      <c r="A9447" s="1"/>
    </row>
    <row r="9448">
      <c r="A9448" s="1"/>
    </row>
    <row r="9449">
      <c r="A9449" s="1"/>
    </row>
    <row r="9450">
      <c r="A9450" s="1"/>
    </row>
    <row r="9451">
      <c r="A9451" s="1"/>
    </row>
    <row r="9452">
      <c r="A9452" s="1"/>
    </row>
    <row r="9453">
      <c r="A9453" s="1"/>
    </row>
    <row r="9454">
      <c r="A9454" s="1"/>
    </row>
    <row r="9455">
      <c r="A9455" s="1"/>
    </row>
    <row r="9456">
      <c r="A9456" s="1"/>
    </row>
    <row r="9457">
      <c r="A9457" s="1"/>
    </row>
    <row r="9458">
      <c r="A9458" s="1"/>
    </row>
    <row r="9459">
      <c r="A9459" s="1"/>
    </row>
    <row r="9460">
      <c r="A9460" s="1"/>
    </row>
    <row r="9461">
      <c r="A9461" s="1"/>
    </row>
    <row r="9462">
      <c r="A9462" s="1"/>
    </row>
    <row r="9463">
      <c r="A9463" s="1"/>
    </row>
    <row r="9464">
      <c r="A9464" s="1"/>
    </row>
    <row r="9465">
      <c r="A9465" s="1"/>
    </row>
    <row r="9466">
      <c r="A9466" s="1"/>
    </row>
    <row r="9467">
      <c r="A9467" s="1"/>
    </row>
    <row r="9468">
      <c r="A9468" s="1"/>
    </row>
    <row r="9469">
      <c r="A9469" s="1"/>
    </row>
    <row r="9470">
      <c r="A9470" s="1"/>
    </row>
    <row r="9471">
      <c r="A9471" s="1"/>
    </row>
    <row r="9472">
      <c r="A9472" s="1"/>
    </row>
    <row r="9473">
      <c r="A9473" s="1"/>
    </row>
    <row r="9474">
      <c r="A9474" s="1"/>
    </row>
    <row r="9475">
      <c r="A9475" s="1"/>
    </row>
    <row r="9476">
      <c r="A9476" s="1"/>
    </row>
    <row r="9477">
      <c r="A9477" s="1"/>
    </row>
    <row r="9478">
      <c r="A9478" s="1"/>
    </row>
    <row r="9479">
      <c r="A9479" s="1"/>
    </row>
    <row r="9480">
      <c r="A9480" s="1"/>
    </row>
    <row r="9481">
      <c r="A9481" s="1"/>
    </row>
    <row r="9482">
      <c r="A9482" s="1"/>
    </row>
    <row r="9483">
      <c r="A9483" s="1"/>
    </row>
    <row r="9484">
      <c r="A9484" s="1"/>
    </row>
    <row r="9485">
      <c r="A9485" s="1"/>
    </row>
    <row r="9486">
      <c r="A9486" s="1"/>
    </row>
    <row r="9487">
      <c r="A9487" s="1"/>
    </row>
    <row r="9488">
      <c r="A9488" s="1"/>
    </row>
    <row r="9489">
      <c r="A9489" s="1"/>
    </row>
    <row r="9490">
      <c r="A9490" s="1"/>
    </row>
    <row r="9491">
      <c r="A9491" s="1"/>
    </row>
    <row r="9492">
      <c r="A9492" s="1"/>
    </row>
    <row r="9493">
      <c r="A9493" s="1"/>
    </row>
    <row r="9494">
      <c r="A9494" s="1"/>
    </row>
    <row r="9495">
      <c r="A9495" s="1"/>
    </row>
    <row r="9496">
      <c r="A9496" s="1"/>
    </row>
    <row r="9497">
      <c r="A9497" s="1"/>
    </row>
    <row r="9498">
      <c r="A9498" s="1"/>
    </row>
    <row r="9499">
      <c r="A9499" s="1"/>
    </row>
    <row r="9500">
      <c r="A9500" s="1"/>
    </row>
    <row r="9501">
      <c r="A9501" s="1"/>
    </row>
    <row r="9502">
      <c r="A9502" s="1"/>
    </row>
    <row r="9503">
      <c r="A9503" s="1"/>
    </row>
    <row r="9504">
      <c r="A9504" s="1"/>
    </row>
    <row r="9505">
      <c r="A9505" s="1"/>
    </row>
    <row r="9506">
      <c r="A9506" s="1"/>
    </row>
    <row r="9507">
      <c r="A9507" s="1"/>
    </row>
    <row r="9508">
      <c r="A9508" s="1"/>
    </row>
    <row r="9509">
      <c r="A9509" s="1"/>
    </row>
    <row r="9510">
      <c r="A9510" s="1"/>
    </row>
    <row r="9511">
      <c r="A9511" s="1"/>
    </row>
    <row r="9512">
      <c r="A9512" s="1"/>
    </row>
    <row r="9513">
      <c r="A9513" s="1"/>
    </row>
    <row r="9514">
      <c r="A9514" s="1"/>
    </row>
    <row r="9515">
      <c r="A9515" s="1"/>
    </row>
    <row r="9516">
      <c r="A9516" s="1"/>
    </row>
    <row r="9517">
      <c r="A9517" s="1"/>
    </row>
    <row r="9518">
      <c r="A9518" s="1"/>
    </row>
    <row r="9519">
      <c r="A9519" s="1"/>
    </row>
    <row r="9520">
      <c r="A9520" s="1"/>
    </row>
    <row r="9521">
      <c r="A9521" s="1"/>
    </row>
    <row r="9522">
      <c r="A9522" s="1"/>
    </row>
    <row r="9523">
      <c r="A9523" s="1"/>
    </row>
    <row r="9524">
      <c r="A9524" s="1"/>
    </row>
    <row r="9525">
      <c r="A9525" s="1"/>
    </row>
    <row r="9526">
      <c r="A9526" s="1"/>
    </row>
    <row r="9527">
      <c r="A9527" s="1"/>
    </row>
    <row r="9528">
      <c r="A9528" s="1"/>
    </row>
    <row r="9529">
      <c r="A9529" s="1"/>
    </row>
    <row r="9530">
      <c r="A9530" s="1"/>
    </row>
    <row r="9531">
      <c r="A9531" s="1"/>
    </row>
    <row r="9532">
      <c r="A9532" s="1"/>
    </row>
    <row r="9533">
      <c r="A9533" s="1"/>
    </row>
    <row r="9534">
      <c r="A9534" s="1"/>
    </row>
    <row r="9535">
      <c r="A9535" s="1"/>
    </row>
    <row r="9536">
      <c r="A9536" s="1"/>
    </row>
    <row r="9537">
      <c r="A9537" s="1"/>
    </row>
    <row r="9538">
      <c r="A9538" s="1"/>
    </row>
    <row r="9539">
      <c r="A9539" s="1"/>
    </row>
    <row r="9540">
      <c r="A9540" s="1"/>
    </row>
    <row r="9541">
      <c r="A9541" s="1"/>
    </row>
    <row r="9542">
      <c r="A9542" s="1"/>
    </row>
    <row r="9543">
      <c r="A9543" s="1"/>
    </row>
    <row r="9544">
      <c r="A9544" s="1"/>
    </row>
    <row r="9545">
      <c r="A9545" s="1"/>
    </row>
    <row r="9546">
      <c r="A9546" s="1"/>
    </row>
    <row r="9547">
      <c r="A9547" s="1"/>
    </row>
    <row r="9548">
      <c r="A9548" s="1"/>
    </row>
    <row r="9549">
      <c r="A9549" s="1"/>
    </row>
    <row r="9550">
      <c r="A9550" s="1"/>
    </row>
    <row r="9551">
      <c r="A9551" s="1"/>
    </row>
    <row r="9552">
      <c r="A9552" s="1"/>
    </row>
    <row r="9553">
      <c r="A9553" s="1"/>
    </row>
    <row r="9554">
      <c r="A9554" s="1"/>
    </row>
    <row r="9555">
      <c r="A9555" s="1"/>
    </row>
    <row r="9556">
      <c r="A9556" s="1"/>
    </row>
    <row r="9557">
      <c r="A9557" s="1"/>
    </row>
    <row r="9558">
      <c r="A9558" s="1"/>
    </row>
    <row r="9559">
      <c r="A9559" s="1"/>
    </row>
    <row r="9560">
      <c r="A9560" s="1"/>
    </row>
    <row r="9561">
      <c r="A9561" s="1"/>
    </row>
    <row r="9562">
      <c r="A9562" s="1"/>
    </row>
    <row r="9563">
      <c r="A9563" s="1"/>
    </row>
    <row r="9564">
      <c r="A9564" s="1"/>
    </row>
    <row r="9565">
      <c r="A9565" s="1"/>
    </row>
    <row r="9566">
      <c r="A9566" s="1"/>
    </row>
    <row r="9567">
      <c r="A9567" s="1"/>
    </row>
    <row r="9568">
      <c r="A9568" s="1"/>
    </row>
    <row r="9569">
      <c r="A9569" s="1"/>
    </row>
    <row r="9570">
      <c r="A9570" s="1"/>
    </row>
    <row r="9571">
      <c r="A9571" s="1"/>
    </row>
    <row r="9572">
      <c r="A9572" s="1"/>
    </row>
    <row r="9573">
      <c r="A9573" s="1"/>
    </row>
    <row r="9574">
      <c r="A9574" s="1"/>
    </row>
    <row r="9575">
      <c r="A9575" s="1"/>
    </row>
    <row r="9576">
      <c r="A9576" s="1"/>
    </row>
    <row r="9577">
      <c r="A9577" s="1"/>
    </row>
    <row r="9578">
      <c r="A9578" s="1"/>
    </row>
    <row r="9579">
      <c r="A9579" s="1"/>
    </row>
    <row r="9580">
      <c r="A9580" s="1"/>
    </row>
    <row r="9581">
      <c r="A9581" s="1"/>
    </row>
    <row r="9582">
      <c r="A9582" s="1"/>
    </row>
    <row r="9583">
      <c r="A9583" s="1"/>
    </row>
    <row r="9584">
      <c r="A9584" s="1"/>
    </row>
    <row r="9585">
      <c r="A9585" s="1"/>
    </row>
    <row r="9586">
      <c r="A9586" s="1"/>
    </row>
    <row r="9587">
      <c r="A9587" s="1"/>
    </row>
    <row r="9588">
      <c r="A9588" s="1"/>
    </row>
    <row r="9589">
      <c r="A9589" s="1"/>
    </row>
    <row r="9590">
      <c r="A9590" s="1"/>
    </row>
    <row r="9591">
      <c r="A9591" s="1"/>
    </row>
    <row r="9592">
      <c r="A9592" s="1"/>
    </row>
    <row r="9593">
      <c r="A9593" s="1"/>
    </row>
    <row r="9594">
      <c r="A9594" s="1"/>
    </row>
    <row r="9595">
      <c r="A9595" s="1"/>
    </row>
    <row r="9596">
      <c r="A9596" s="1"/>
    </row>
    <row r="9597">
      <c r="A9597" s="1"/>
    </row>
    <row r="9598">
      <c r="A9598" s="1"/>
    </row>
    <row r="9599">
      <c r="A9599" s="1"/>
    </row>
    <row r="9600">
      <c r="A9600" s="1"/>
    </row>
    <row r="9601">
      <c r="A9601" s="1"/>
    </row>
    <row r="9602">
      <c r="A9602" s="1"/>
    </row>
    <row r="9603">
      <c r="A9603" s="1"/>
    </row>
    <row r="9604">
      <c r="A9604" s="1"/>
    </row>
    <row r="9605">
      <c r="A9605" s="1"/>
    </row>
    <row r="9606">
      <c r="A9606" s="1"/>
    </row>
    <row r="9607">
      <c r="A9607" s="1"/>
    </row>
    <row r="9608">
      <c r="A9608" s="1"/>
    </row>
    <row r="9609">
      <c r="A9609" s="1"/>
    </row>
    <row r="9610">
      <c r="A9610" s="1"/>
    </row>
    <row r="9611">
      <c r="A9611" s="1"/>
    </row>
    <row r="9612">
      <c r="A9612" s="1"/>
    </row>
    <row r="9613">
      <c r="A9613" s="1"/>
    </row>
    <row r="9614">
      <c r="A9614" s="1"/>
    </row>
    <row r="9615">
      <c r="A9615" s="1"/>
    </row>
    <row r="9616">
      <c r="A9616" s="1"/>
    </row>
    <row r="9617">
      <c r="A9617" s="1"/>
    </row>
    <row r="9618">
      <c r="A9618" s="1"/>
    </row>
    <row r="9619">
      <c r="A9619" s="1"/>
    </row>
    <row r="9620">
      <c r="A9620" s="1"/>
    </row>
    <row r="9621">
      <c r="A9621" s="1"/>
    </row>
    <row r="9622">
      <c r="A9622" s="1"/>
    </row>
    <row r="9623">
      <c r="A9623" s="1"/>
    </row>
    <row r="9624">
      <c r="A9624" s="1"/>
    </row>
    <row r="9625">
      <c r="A9625" s="1"/>
    </row>
    <row r="9626">
      <c r="A9626" s="1"/>
    </row>
    <row r="9627">
      <c r="A9627" s="1"/>
    </row>
    <row r="9628">
      <c r="A9628" s="1"/>
    </row>
    <row r="9629">
      <c r="A9629" s="1"/>
    </row>
    <row r="9630">
      <c r="A9630" s="1"/>
    </row>
    <row r="9631">
      <c r="A9631" s="1"/>
    </row>
    <row r="9632">
      <c r="A9632" s="1"/>
    </row>
    <row r="9633">
      <c r="A9633" s="1"/>
    </row>
    <row r="9634">
      <c r="A9634" s="1"/>
    </row>
    <row r="9635">
      <c r="A9635" s="1"/>
    </row>
    <row r="9636">
      <c r="A9636" s="1"/>
    </row>
    <row r="9637">
      <c r="A9637" s="1"/>
    </row>
    <row r="9638">
      <c r="A9638" s="1"/>
    </row>
    <row r="9639">
      <c r="A9639" s="1"/>
    </row>
    <row r="9640">
      <c r="A9640" s="1"/>
    </row>
    <row r="9641">
      <c r="A9641" s="1"/>
    </row>
    <row r="9642">
      <c r="A9642" s="1"/>
    </row>
    <row r="9643">
      <c r="A9643" s="1"/>
    </row>
    <row r="9644">
      <c r="A9644" s="1"/>
    </row>
    <row r="9645">
      <c r="A9645" s="1"/>
    </row>
    <row r="9646">
      <c r="A9646" s="1"/>
    </row>
    <row r="9647">
      <c r="A9647" s="1"/>
    </row>
    <row r="9648">
      <c r="A9648" s="1"/>
    </row>
    <row r="9649">
      <c r="A9649" s="1"/>
    </row>
    <row r="9650">
      <c r="A9650" s="1"/>
    </row>
    <row r="9651">
      <c r="A9651" s="1"/>
    </row>
    <row r="9652">
      <c r="A9652" s="1"/>
    </row>
    <row r="9653">
      <c r="A9653" s="1"/>
    </row>
    <row r="9654">
      <c r="A9654" s="1"/>
    </row>
    <row r="9655">
      <c r="A9655" s="1"/>
    </row>
    <row r="9656">
      <c r="A9656" s="1"/>
    </row>
    <row r="9657">
      <c r="A9657" s="1"/>
    </row>
    <row r="9658">
      <c r="A9658" s="1"/>
    </row>
    <row r="9659">
      <c r="A9659" s="1"/>
    </row>
    <row r="9660">
      <c r="A9660" s="1"/>
    </row>
    <row r="9661">
      <c r="A9661" s="1"/>
    </row>
    <row r="9662">
      <c r="A9662" s="1"/>
    </row>
    <row r="9663">
      <c r="A9663" s="1"/>
    </row>
    <row r="9664">
      <c r="A9664" s="1"/>
    </row>
    <row r="9665">
      <c r="A9665" s="1"/>
    </row>
    <row r="9666">
      <c r="A9666" s="1"/>
    </row>
    <row r="9667">
      <c r="A9667" s="1"/>
    </row>
    <row r="9668">
      <c r="A9668" s="1"/>
    </row>
    <row r="9669">
      <c r="A9669" s="1"/>
    </row>
    <row r="9670">
      <c r="A9670" s="1"/>
    </row>
    <row r="9671">
      <c r="A9671" s="1"/>
    </row>
    <row r="9672">
      <c r="A9672" s="1"/>
    </row>
    <row r="9673">
      <c r="A9673" s="1"/>
    </row>
    <row r="9674">
      <c r="A9674" s="1"/>
    </row>
    <row r="9675">
      <c r="A9675" s="1"/>
    </row>
    <row r="9676">
      <c r="A9676" s="1"/>
    </row>
    <row r="9677">
      <c r="A9677" s="1"/>
    </row>
    <row r="9678">
      <c r="A9678" s="1"/>
    </row>
    <row r="9679">
      <c r="A9679" s="1"/>
    </row>
    <row r="9680">
      <c r="A9680" s="1"/>
    </row>
    <row r="9681">
      <c r="A9681" s="1"/>
    </row>
    <row r="9682">
      <c r="A9682" s="1"/>
    </row>
    <row r="9683">
      <c r="A9683" s="1"/>
    </row>
    <row r="9684">
      <c r="A9684" s="1"/>
    </row>
    <row r="9685">
      <c r="A9685" s="1"/>
    </row>
    <row r="9686">
      <c r="A9686" s="1"/>
    </row>
    <row r="9687">
      <c r="A9687" s="1"/>
    </row>
    <row r="9688">
      <c r="A9688" s="1"/>
    </row>
    <row r="9689">
      <c r="A9689" s="1"/>
    </row>
    <row r="9690">
      <c r="A9690" s="1"/>
    </row>
    <row r="9691">
      <c r="A9691" s="1"/>
    </row>
    <row r="9692">
      <c r="A9692" s="1"/>
    </row>
    <row r="9693">
      <c r="A9693" s="1"/>
    </row>
    <row r="9694">
      <c r="A9694" s="1"/>
    </row>
    <row r="9695">
      <c r="A9695" s="1"/>
    </row>
    <row r="9696">
      <c r="A9696" s="1"/>
    </row>
    <row r="9697">
      <c r="A9697" s="1"/>
    </row>
    <row r="9698">
      <c r="A9698" s="1"/>
    </row>
    <row r="9699">
      <c r="A9699" s="1"/>
    </row>
    <row r="9700">
      <c r="A9700" s="1"/>
    </row>
    <row r="9701">
      <c r="A9701" s="1"/>
    </row>
    <row r="9702">
      <c r="A9702" s="1"/>
    </row>
    <row r="9703">
      <c r="A9703" s="1"/>
    </row>
    <row r="9704">
      <c r="A9704" s="1"/>
    </row>
    <row r="9705">
      <c r="A9705" s="1"/>
    </row>
    <row r="9706">
      <c r="A9706" s="1"/>
    </row>
    <row r="9707">
      <c r="A9707" s="1"/>
    </row>
    <row r="9708">
      <c r="A9708" s="1"/>
    </row>
    <row r="9709">
      <c r="A9709" s="1"/>
    </row>
    <row r="9710">
      <c r="A9710" s="1"/>
    </row>
    <row r="9711">
      <c r="A9711" s="1"/>
    </row>
    <row r="9712">
      <c r="A9712" s="1"/>
    </row>
    <row r="9713">
      <c r="A9713" s="1"/>
    </row>
    <row r="9714">
      <c r="A9714" s="1"/>
    </row>
    <row r="9715">
      <c r="A9715" s="1"/>
    </row>
    <row r="9716">
      <c r="A9716" s="1"/>
    </row>
    <row r="9717">
      <c r="A9717" s="1"/>
    </row>
    <row r="9718">
      <c r="A9718" s="1"/>
    </row>
    <row r="9719">
      <c r="A9719" s="1"/>
    </row>
    <row r="9720">
      <c r="A9720" s="1"/>
    </row>
    <row r="9721">
      <c r="A9721" s="1"/>
    </row>
    <row r="9722">
      <c r="A9722" s="1"/>
    </row>
    <row r="9723">
      <c r="A9723" s="1"/>
    </row>
    <row r="9724">
      <c r="A9724" s="1"/>
    </row>
    <row r="9725">
      <c r="A9725" s="1"/>
    </row>
    <row r="9726">
      <c r="A9726" s="1"/>
    </row>
    <row r="9727">
      <c r="A9727" s="1"/>
    </row>
    <row r="9728">
      <c r="A9728" s="1"/>
    </row>
    <row r="9729">
      <c r="A9729" s="1"/>
    </row>
    <row r="9730">
      <c r="A9730" s="1"/>
    </row>
    <row r="9731">
      <c r="A9731" s="1"/>
    </row>
    <row r="9732">
      <c r="A9732" s="1"/>
    </row>
    <row r="9733">
      <c r="A9733" s="1"/>
    </row>
    <row r="9734">
      <c r="A9734" s="1"/>
    </row>
    <row r="9735">
      <c r="A9735" s="1"/>
    </row>
    <row r="9736">
      <c r="A9736" s="1"/>
    </row>
    <row r="9737">
      <c r="A9737" s="1"/>
    </row>
    <row r="9738">
      <c r="A9738" s="1"/>
    </row>
    <row r="9739">
      <c r="A9739" s="1"/>
    </row>
    <row r="9740">
      <c r="A9740" s="1"/>
    </row>
    <row r="9741">
      <c r="A9741" s="1"/>
    </row>
    <row r="9742">
      <c r="A9742" s="1"/>
    </row>
    <row r="9743">
      <c r="A9743" s="1"/>
    </row>
    <row r="9744">
      <c r="A9744" s="1"/>
    </row>
    <row r="9745">
      <c r="A9745" s="1"/>
    </row>
    <row r="9746">
      <c r="A9746" s="1"/>
    </row>
    <row r="9747">
      <c r="A9747" s="1"/>
    </row>
    <row r="9748">
      <c r="A9748" s="1"/>
    </row>
    <row r="9749">
      <c r="A9749" s="1"/>
    </row>
    <row r="9750">
      <c r="A9750" s="1"/>
    </row>
    <row r="9751">
      <c r="A9751" s="1"/>
    </row>
    <row r="9752">
      <c r="A9752" s="1"/>
    </row>
    <row r="9753">
      <c r="A9753" s="1"/>
    </row>
    <row r="9754">
      <c r="A9754" s="1"/>
    </row>
    <row r="9755">
      <c r="A9755" s="1"/>
    </row>
    <row r="9756">
      <c r="A9756" s="1"/>
    </row>
    <row r="9757">
      <c r="A9757" s="1"/>
    </row>
    <row r="9758">
      <c r="A9758" s="1"/>
    </row>
    <row r="9759">
      <c r="A9759" s="1"/>
    </row>
    <row r="9760">
      <c r="A9760" s="1"/>
    </row>
    <row r="9761">
      <c r="A9761" s="1"/>
    </row>
    <row r="9762">
      <c r="A9762" s="1"/>
    </row>
    <row r="9763">
      <c r="A9763" s="1"/>
    </row>
    <row r="9764">
      <c r="A9764" s="1"/>
    </row>
    <row r="9765">
      <c r="A9765" s="1"/>
    </row>
    <row r="9766">
      <c r="A9766" s="1"/>
    </row>
    <row r="9767">
      <c r="A9767" s="1"/>
    </row>
    <row r="9768">
      <c r="A9768" s="1"/>
    </row>
    <row r="9769">
      <c r="A9769" s="1"/>
    </row>
    <row r="9770">
      <c r="A9770" s="1"/>
    </row>
    <row r="9771">
      <c r="A9771" s="1"/>
    </row>
    <row r="9772">
      <c r="A9772" s="1"/>
    </row>
    <row r="9773">
      <c r="A9773" s="1"/>
    </row>
    <row r="9774">
      <c r="A9774" s="1"/>
    </row>
    <row r="9775">
      <c r="A9775" s="1"/>
    </row>
    <row r="9776">
      <c r="A9776" s="1"/>
    </row>
    <row r="9777">
      <c r="A9777" s="1"/>
    </row>
    <row r="9778">
      <c r="A9778" s="1"/>
    </row>
    <row r="9779">
      <c r="A9779" s="1"/>
    </row>
    <row r="9780">
      <c r="A9780" s="1"/>
    </row>
    <row r="9781">
      <c r="A9781" s="1"/>
    </row>
    <row r="9782">
      <c r="A9782" s="1"/>
    </row>
    <row r="9783">
      <c r="A9783" s="1"/>
    </row>
    <row r="9784">
      <c r="A9784" s="1"/>
    </row>
    <row r="9785">
      <c r="A9785" s="1"/>
    </row>
    <row r="9786">
      <c r="A9786" s="1"/>
    </row>
    <row r="9787">
      <c r="A9787" s="1"/>
    </row>
    <row r="9788">
      <c r="A9788" s="1"/>
    </row>
    <row r="9789">
      <c r="A9789" s="1"/>
    </row>
    <row r="9790">
      <c r="A9790" s="1"/>
    </row>
    <row r="9791">
      <c r="A9791" s="1"/>
    </row>
    <row r="9792">
      <c r="A9792" s="1"/>
    </row>
    <row r="9793">
      <c r="A9793" s="1"/>
    </row>
    <row r="9794">
      <c r="A9794" s="1"/>
    </row>
    <row r="9795">
      <c r="A9795" s="1"/>
    </row>
    <row r="9796">
      <c r="A9796" s="1"/>
    </row>
    <row r="9797">
      <c r="A9797" s="1"/>
    </row>
    <row r="9798">
      <c r="A9798" s="1"/>
    </row>
    <row r="9799">
      <c r="A9799" s="1"/>
    </row>
    <row r="9800">
      <c r="A9800" s="1"/>
    </row>
    <row r="9801">
      <c r="A9801" s="1"/>
    </row>
    <row r="9802">
      <c r="A9802" s="1"/>
    </row>
    <row r="9803">
      <c r="A9803" s="1"/>
    </row>
    <row r="9804">
      <c r="A9804" s="1"/>
    </row>
    <row r="9805">
      <c r="A9805" s="1"/>
    </row>
    <row r="9806">
      <c r="A9806" s="1"/>
    </row>
    <row r="9807">
      <c r="A9807" s="1"/>
    </row>
    <row r="9808">
      <c r="A9808" s="1"/>
    </row>
    <row r="9809">
      <c r="A9809" s="1"/>
    </row>
    <row r="9810">
      <c r="A9810" s="1"/>
    </row>
    <row r="9811">
      <c r="A9811" s="1"/>
    </row>
    <row r="9812">
      <c r="A9812" s="1"/>
    </row>
    <row r="9813">
      <c r="A9813" s="1"/>
    </row>
    <row r="9814">
      <c r="A9814" s="1"/>
    </row>
    <row r="9815">
      <c r="A9815" s="1"/>
    </row>
    <row r="9816">
      <c r="A9816" s="1"/>
    </row>
    <row r="9817">
      <c r="A9817" s="1"/>
    </row>
    <row r="9818">
      <c r="A9818" s="1"/>
    </row>
    <row r="9819">
      <c r="A9819" s="1"/>
    </row>
    <row r="9820">
      <c r="A9820" s="1"/>
    </row>
    <row r="9821">
      <c r="A9821" s="1"/>
    </row>
    <row r="9822">
      <c r="A9822" s="1"/>
    </row>
    <row r="9823">
      <c r="A9823" s="1"/>
    </row>
    <row r="9824">
      <c r="A9824" s="1"/>
    </row>
    <row r="9825">
      <c r="A9825" s="1"/>
    </row>
    <row r="9826">
      <c r="A9826" s="1"/>
    </row>
    <row r="9827">
      <c r="A9827" s="1"/>
    </row>
    <row r="9828">
      <c r="A9828" s="1"/>
    </row>
    <row r="9829">
      <c r="A9829" s="1"/>
    </row>
    <row r="9830">
      <c r="A9830" s="1"/>
    </row>
    <row r="9831">
      <c r="A9831" s="1"/>
    </row>
    <row r="9832">
      <c r="A9832" s="1"/>
    </row>
    <row r="9833">
      <c r="A9833" s="1"/>
    </row>
    <row r="9834">
      <c r="A9834" s="1"/>
    </row>
    <row r="9835">
      <c r="A9835" s="1"/>
    </row>
    <row r="9836">
      <c r="A9836" s="1"/>
    </row>
    <row r="9837">
      <c r="A9837" s="1"/>
    </row>
    <row r="9838">
      <c r="A9838" s="1"/>
    </row>
    <row r="9839">
      <c r="A9839" s="1"/>
    </row>
    <row r="9840">
      <c r="A9840" s="1"/>
    </row>
    <row r="9841">
      <c r="A9841" s="1"/>
    </row>
    <row r="9842">
      <c r="A9842" s="1"/>
    </row>
    <row r="9843">
      <c r="A9843" s="1"/>
    </row>
    <row r="9844">
      <c r="A9844" s="1"/>
    </row>
    <row r="9845">
      <c r="A9845" s="1"/>
    </row>
    <row r="9846">
      <c r="A9846" s="1"/>
    </row>
    <row r="9847">
      <c r="A9847" s="1"/>
    </row>
    <row r="9848">
      <c r="A9848" s="1"/>
    </row>
    <row r="9849">
      <c r="A9849" s="1"/>
    </row>
    <row r="9850">
      <c r="A9850" s="1"/>
    </row>
    <row r="9851">
      <c r="A9851" s="1"/>
    </row>
    <row r="9852">
      <c r="A9852" s="1"/>
    </row>
    <row r="9853">
      <c r="A9853" s="1"/>
    </row>
    <row r="9854">
      <c r="A9854" s="1"/>
    </row>
    <row r="9855">
      <c r="A9855" s="1"/>
    </row>
    <row r="9856">
      <c r="A9856" s="1"/>
    </row>
    <row r="9857">
      <c r="A9857" s="1"/>
    </row>
    <row r="9858">
      <c r="A9858" s="1"/>
    </row>
    <row r="9859">
      <c r="A9859" s="1"/>
    </row>
    <row r="9860">
      <c r="A9860" s="1"/>
    </row>
    <row r="9861">
      <c r="A9861" s="1"/>
    </row>
    <row r="9862">
      <c r="A9862" s="1"/>
    </row>
    <row r="9863">
      <c r="A9863" s="1"/>
    </row>
    <row r="9864">
      <c r="A9864" s="1"/>
    </row>
    <row r="9865">
      <c r="A9865" s="1"/>
    </row>
    <row r="9866">
      <c r="A9866" s="1"/>
    </row>
    <row r="9867">
      <c r="A9867" s="1"/>
    </row>
    <row r="9868">
      <c r="A9868" s="1"/>
    </row>
    <row r="9869">
      <c r="A9869" s="1"/>
    </row>
    <row r="9870">
      <c r="A9870" s="1"/>
    </row>
    <row r="9871">
      <c r="A9871" s="1"/>
    </row>
    <row r="9872">
      <c r="A9872" s="1"/>
    </row>
    <row r="9873">
      <c r="A9873" s="1"/>
    </row>
    <row r="9874">
      <c r="A9874" s="1"/>
    </row>
    <row r="9875">
      <c r="A9875" s="1"/>
    </row>
    <row r="9876">
      <c r="A9876" s="1"/>
    </row>
    <row r="9877">
      <c r="A9877" s="1"/>
    </row>
    <row r="9878">
      <c r="A9878" s="1"/>
    </row>
    <row r="9879">
      <c r="A9879" s="1"/>
    </row>
    <row r="9880">
      <c r="A9880" s="1"/>
    </row>
    <row r="9881">
      <c r="A9881" s="1"/>
    </row>
    <row r="9882">
      <c r="A9882" s="1"/>
    </row>
    <row r="9883">
      <c r="A9883" s="1"/>
    </row>
    <row r="9884">
      <c r="A9884" s="1"/>
    </row>
    <row r="9885">
      <c r="A9885" s="1"/>
    </row>
    <row r="9886">
      <c r="A9886" s="1"/>
    </row>
    <row r="9887">
      <c r="A9887" s="1"/>
    </row>
    <row r="9888">
      <c r="A9888" s="1"/>
    </row>
    <row r="9889">
      <c r="A9889" s="1"/>
    </row>
    <row r="9890">
      <c r="A9890" s="1"/>
    </row>
    <row r="9891">
      <c r="A9891" s="1"/>
    </row>
    <row r="9892">
      <c r="A9892" s="1"/>
    </row>
    <row r="9893">
      <c r="A9893" s="1"/>
    </row>
    <row r="9894">
      <c r="A9894" s="1"/>
    </row>
    <row r="9895">
      <c r="A9895" s="1"/>
    </row>
    <row r="9896">
      <c r="A9896" s="1"/>
    </row>
    <row r="9897">
      <c r="A9897" s="1"/>
    </row>
    <row r="9898">
      <c r="A9898" s="1"/>
    </row>
    <row r="9899">
      <c r="A9899" s="1"/>
    </row>
    <row r="9900">
      <c r="A9900" s="1"/>
    </row>
    <row r="9901">
      <c r="A9901" s="1"/>
    </row>
    <row r="9902">
      <c r="A9902" s="1"/>
    </row>
    <row r="9903">
      <c r="A9903" s="1"/>
    </row>
    <row r="9904">
      <c r="A9904" s="1"/>
    </row>
    <row r="9905">
      <c r="A9905" s="1"/>
    </row>
    <row r="9906">
      <c r="A9906" s="1"/>
    </row>
    <row r="9907">
      <c r="A9907" s="1"/>
    </row>
    <row r="9908">
      <c r="A9908" s="1"/>
    </row>
    <row r="9909">
      <c r="A9909" s="1"/>
    </row>
    <row r="9910">
      <c r="A9910" s="1"/>
    </row>
    <row r="9911">
      <c r="A9911" s="1"/>
    </row>
    <row r="9912">
      <c r="A9912" s="1"/>
    </row>
    <row r="9913">
      <c r="A9913" s="1"/>
    </row>
    <row r="9914">
      <c r="A9914" s="1"/>
    </row>
    <row r="9915">
      <c r="A9915" s="1"/>
    </row>
    <row r="9916">
      <c r="A9916" s="1"/>
    </row>
    <row r="9917">
      <c r="A9917" s="1"/>
    </row>
    <row r="9918">
      <c r="A9918" s="1"/>
    </row>
    <row r="9919">
      <c r="A9919" s="1"/>
    </row>
    <row r="9920">
      <c r="A9920" s="1"/>
    </row>
    <row r="9921">
      <c r="A9921" s="1"/>
    </row>
    <row r="9922">
      <c r="A9922" s="1"/>
    </row>
    <row r="9923">
      <c r="A9923" s="1"/>
    </row>
    <row r="9924">
      <c r="A9924" s="1"/>
    </row>
    <row r="9925">
      <c r="A9925" s="1"/>
    </row>
    <row r="9926">
      <c r="A9926" s="1"/>
    </row>
    <row r="9927">
      <c r="A9927" s="1"/>
    </row>
    <row r="9928">
      <c r="A9928" s="1"/>
    </row>
    <row r="9929">
      <c r="A9929" s="1"/>
    </row>
    <row r="9930">
      <c r="A9930" s="1"/>
    </row>
    <row r="9931">
      <c r="A9931" s="1"/>
    </row>
    <row r="9932">
      <c r="A9932" s="1"/>
    </row>
    <row r="9933">
      <c r="A9933" s="1"/>
    </row>
    <row r="9934">
      <c r="A9934" s="1"/>
    </row>
    <row r="9935">
      <c r="A9935" s="1"/>
    </row>
    <row r="9936">
      <c r="A9936" s="1"/>
    </row>
    <row r="9937">
      <c r="A9937" s="1"/>
    </row>
    <row r="9938">
      <c r="A9938" s="1"/>
    </row>
    <row r="9939">
      <c r="A9939" s="1"/>
    </row>
    <row r="9940">
      <c r="A9940" s="1"/>
    </row>
    <row r="9941">
      <c r="A9941" s="1"/>
    </row>
    <row r="9942">
      <c r="A9942" s="1"/>
    </row>
    <row r="9943">
      <c r="A9943" s="1"/>
    </row>
    <row r="9944">
      <c r="A9944" s="1"/>
    </row>
    <row r="9945">
      <c r="A9945" s="1"/>
    </row>
    <row r="9946">
      <c r="A9946" s="1"/>
    </row>
    <row r="9947">
      <c r="A9947" s="1"/>
    </row>
    <row r="9948">
      <c r="A9948" s="1"/>
    </row>
    <row r="9949">
      <c r="A9949" s="1"/>
    </row>
    <row r="9950">
      <c r="A9950" s="1"/>
    </row>
    <row r="9951">
      <c r="A9951" s="1"/>
    </row>
    <row r="9952">
      <c r="A9952" s="1"/>
    </row>
    <row r="9953">
      <c r="A9953" s="1"/>
    </row>
    <row r="9954">
      <c r="A9954" s="1"/>
    </row>
    <row r="9955">
      <c r="A9955" s="1"/>
    </row>
    <row r="9956">
      <c r="A9956" s="1"/>
    </row>
    <row r="9957">
      <c r="A9957" s="1"/>
    </row>
    <row r="9958">
      <c r="A9958" s="1"/>
    </row>
    <row r="9959">
      <c r="A9959" s="1"/>
    </row>
    <row r="9960">
      <c r="A9960" s="1"/>
    </row>
    <row r="9961">
      <c r="A9961" s="1"/>
    </row>
    <row r="9962">
      <c r="A9962" s="1"/>
    </row>
    <row r="9963">
      <c r="A9963" s="1"/>
    </row>
    <row r="9964">
      <c r="A9964" s="1"/>
    </row>
    <row r="9965">
      <c r="A9965" s="1"/>
    </row>
    <row r="9966">
      <c r="A9966" s="1"/>
    </row>
    <row r="9967">
      <c r="A9967" s="1"/>
    </row>
    <row r="9968">
      <c r="A9968" s="1"/>
    </row>
    <row r="9969">
      <c r="A9969" s="1"/>
    </row>
    <row r="9970">
      <c r="A9970" s="1"/>
    </row>
    <row r="9971">
      <c r="A9971" s="1"/>
    </row>
    <row r="9972">
      <c r="A9972" s="1"/>
    </row>
    <row r="9973">
      <c r="A9973" s="1"/>
    </row>
    <row r="9974">
      <c r="A9974" s="1"/>
    </row>
    <row r="9975">
      <c r="A9975" s="1"/>
    </row>
    <row r="9976">
      <c r="A9976" s="1"/>
    </row>
    <row r="9977">
      <c r="A9977" s="1"/>
    </row>
    <row r="9978">
      <c r="A9978" s="1"/>
    </row>
    <row r="9979">
      <c r="A9979" s="1"/>
    </row>
    <row r="9980">
      <c r="A9980" s="1"/>
    </row>
    <row r="9981">
      <c r="A9981" s="1"/>
    </row>
    <row r="9982">
      <c r="A9982" s="1"/>
    </row>
    <row r="9983">
      <c r="A9983" s="1"/>
    </row>
    <row r="9984">
      <c r="A9984" s="1"/>
    </row>
    <row r="9985">
      <c r="A9985" s="1"/>
    </row>
    <row r="9986">
      <c r="A9986" s="1"/>
    </row>
    <row r="9987">
      <c r="A9987" s="1"/>
    </row>
    <row r="9988">
      <c r="A9988" s="1"/>
    </row>
    <row r="9989">
      <c r="A9989" s="1"/>
    </row>
    <row r="9990">
      <c r="A9990" s="1"/>
    </row>
    <row r="9991">
      <c r="A9991" s="1"/>
    </row>
    <row r="9992">
      <c r="A9992" s="1"/>
    </row>
    <row r="9993">
      <c r="A9993" s="1"/>
    </row>
    <row r="9994">
      <c r="A9994" s="1"/>
    </row>
    <row r="9995">
      <c r="A9995" s="1"/>
    </row>
    <row r="9996">
      <c r="A9996" s="1"/>
    </row>
    <row r="9997">
      <c r="A9997" s="1"/>
    </row>
    <row r="9998">
      <c r="A9998" s="1"/>
    </row>
    <row r="9999">
      <c r="A9999" s="1"/>
    </row>
    <row r="10000">
      <c r="A10000" s="1"/>
    </row>
    <row r="10001">
      <c r="A10001" s="1"/>
    </row>
    <row r="10002">
      <c r="A10002" s="1"/>
    </row>
    <row r="10003">
      <c r="A10003" s="1"/>
    </row>
    <row r="10004">
      <c r="A10004" s="1"/>
    </row>
    <row r="10005">
      <c r="A10005" s="1"/>
    </row>
    <row r="10006">
      <c r="A10006" s="1"/>
    </row>
    <row r="10007">
      <c r="A10007" s="1"/>
    </row>
    <row r="10008">
      <c r="A10008" s="1"/>
    </row>
    <row r="10009">
      <c r="A10009" s="1"/>
    </row>
    <row r="10010">
      <c r="A10010" s="1"/>
    </row>
    <row r="10011">
      <c r="A10011" s="1"/>
    </row>
    <row r="10012">
      <c r="A10012" s="1"/>
    </row>
    <row r="10013">
      <c r="A10013" s="1"/>
    </row>
    <row r="10014">
      <c r="A10014" s="1"/>
    </row>
    <row r="10015">
      <c r="A10015" s="1"/>
    </row>
    <row r="10016">
      <c r="A10016" s="1"/>
    </row>
    <row r="10017">
      <c r="A10017" s="1"/>
    </row>
    <row r="10018">
      <c r="A10018" s="1"/>
    </row>
    <row r="10019">
      <c r="A10019" s="1"/>
    </row>
    <row r="10020">
      <c r="A10020" s="1"/>
    </row>
    <row r="10021">
      <c r="A10021" s="1"/>
    </row>
    <row r="10022">
      <c r="A10022" s="1"/>
    </row>
    <row r="10023">
      <c r="A10023" s="1"/>
    </row>
    <row r="10024">
      <c r="A10024" s="1"/>
    </row>
    <row r="10025">
      <c r="A10025" s="1"/>
    </row>
    <row r="10026">
      <c r="A10026" s="1"/>
    </row>
    <row r="10027">
      <c r="A10027" s="1"/>
    </row>
    <row r="10028">
      <c r="A10028" s="1"/>
    </row>
    <row r="10029">
      <c r="A10029" s="1"/>
    </row>
    <row r="10030">
      <c r="A10030" s="1"/>
    </row>
    <row r="10031">
      <c r="A10031" s="1"/>
    </row>
    <row r="10032">
      <c r="A10032" s="1"/>
    </row>
    <row r="10033">
      <c r="A10033" s="1"/>
    </row>
    <row r="10034">
      <c r="A10034" s="1"/>
    </row>
    <row r="10035">
      <c r="A10035" s="1"/>
    </row>
    <row r="10036">
      <c r="A10036" s="1"/>
    </row>
    <row r="10037">
      <c r="A10037" s="1"/>
    </row>
    <row r="10038">
      <c r="A10038" s="1"/>
    </row>
    <row r="10039">
      <c r="A10039" s="1"/>
    </row>
    <row r="10040">
      <c r="A10040" s="1"/>
    </row>
    <row r="10041">
      <c r="A10041" s="1"/>
    </row>
    <row r="10042">
      <c r="A10042" s="1"/>
    </row>
    <row r="10043">
      <c r="A10043" s="1"/>
    </row>
    <row r="10044">
      <c r="A10044" s="1"/>
    </row>
    <row r="10045">
      <c r="A10045" s="1"/>
    </row>
    <row r="10046">
      <c r="A10046" s="1"/>
    </row>
    <row r="10047">
      <c r="A10047" s="1"/>
    </row>
    <row r="10048">
      <c r="A10048" s="1"/>
    </row>
    <row r="10049">
      <c r="A10049" s="1"/>
    </row>
    <row r="10050">
      <c r="A10050" s="1"/>
    </row>
    <row r="10051">
      <c r="A10051" s="1"/>
    </row>
    <row r="10052">
      <c r="A10052" s="1"/>
    </row>
    <row r="10053">
      <c r="A10053" s="1"/>
    </row>
    <row r="10054">
      <c r="A10054" s="1"/>
    </row>
    <row r="10055">
      <c r="A10055" s="1"/>
    </row>
    <row r="10056">
      <c r="A10056" s="1"/>
    </row>
    <row r="10057">
      <c r="A10057" s="1"/>
    </row>
    <row r="10058">
      <c r="A10058" s="1"/>
    </row>
    <row r="10059">
      <c r="A10059" s="1"/>
    </row>
    <row r="10060">
      <c r="A10060" s="1"/>
    </row>
    <row r="10061">
      <c r="A10061" s="1"/>
    </row>
    <row r="10062">
      <c r="A10062" s="1"/>
    </row>
    <row r="10063">
      <c r="A10063" s="1"/>
    </row>
    <row r="10064">
      <c r="A10064" s="1"/>
    </row>
    <row r="10065">
      <c r="A10065" s="1"/>
    </row>
    <row r="10066">
      <c r="A10066" s="1"/>
    </row>
    <row r="10067">
      <c r="A10067" s="1"/>
    </row>
    <row r="10068">
      <c r="A10068" s="1"/>
    </row>
    <row r="10069">
      <c r="A10069" s="1"/>
    </row>
    <row r="10070">
      <c r="A10070" s="1"/>
    </row>
    <row r="10071">
      <c r="A10071" s="1"/>
    </row>
    <row r="10072">
      <c r="A10072" s="1"/>
    </row>
    <row r="10073">
      <c r="A10073" s="1"/>
    </row>
    <row r="10074">
      <c r="A10074" s="1"/>
    </row>
    <row r="10075">
      <c r="A10075" s="1"/>
    </row>
    <row r="10076">
      <c r="A10076" s="1"/>
    </row>
    <row r="10077">
      <c r="A10077" s="1"/>
    </row>
    <row r="10078">
      <c r="A10078" s="1"/>
    </row>
    <row r="10079">
      <c r="A10079" s="1"/>
    </row>
    <row r="10080">
      <c r="A10080" s="1"/>
    </row>
    <row r="10081">
      <c r="A10081" s="1"/>
    </row>
    <row r="10082">
      <c r="A10082" s="1"/>
    </row>
    <row r="10083">
      <c r="A10083" s="1"/>
    </row>
    <row r="10084">
      <c r="A10084" s="1"/>
    </row>
    <row r="10085">
      <c r="A10085" s="1"/>
    </row>
    <row r="10086">
      <c r="A10086" s="1"/>
    </row>
    <row r="10087">
      <c r="A10087" s="1"/>
    </row>
    <row r="10088">
      <c r="A10088" s="1"/>
    </row>
    <row r="10089">
      <c r="A10089" s="1"/>
    </row>
    <row r="10090">
      <c r="A10090" s="1"/>
    </row>
    <row r="10091">
      <c r="A10091" s="1"/>
    </row>
    <row r="10092">
      <c r="A10092" s="1"/>
    </row>
    <row r="10093">
      <c r="A10093" s="1"/>
    </row>
    <row r="10094">
      <c r="A10094" s="1"/>
    </row>
    <row r="10095">
      <c r="A10095" s="1"/>
    </row>
    <row r="10096">
      <c r="A10096" s="1"/>
    </row>
    <row r="10097">
      <c r="A10097" s="1"/>
    </row>
    <row r="10098">
      <c r="A10098" s="1"/>
    </row>
    <row r="10099">
      <c r="A10099" s="1"/>
    </row>
    <row r="10100">
      <c r="A10100" s="1"/>
    </row>
    <row r="10101">
      <c r="A10101" s="1"/>
    </row>
    <row r="10102">
      <c r="A10102" s="1"/>
    </row>
    <row r="10103">
      <c r="A10103" s="1"/>
    </row>
    <row r="10104">
      <c r="A10104" s="1"/>
    </row>
    <row r="10105">
      <c r="A10105" s="1"/>
    </row>
    <row r="10106">
      <c r="A10106" s="1"/>
    </row>
    <row r="10107">
      <c r="A10107" s="1"/>
    </row>
    <row r="10108">
      <c r="A10108" s="1"/>
    </row>
    <row r="10109">
      <c r="A10109" s="1"/>
    </row>
    <row r="10110">
      <c r="A10110" s="1"/>
    </row>
    <row r="10111">
      <c r="A10111" s="1"/>
    </row>
    <row r="10112">
      <c r="A10112" s="1"/>
    </row>
    <row r="10113">
      <c r="A10113" s="1"/>
    </row>
    <row r="10114">
      <c r="A10114" s="1"/>
    </row>
    <row r="10115">
      <c r="A10115" s="1"/>
    </row>
    <row r="10116">
      <c r="A10116" s="1"/>
    </row>
    <row r="10117">
      <c r="A10117" s="1"/>
    </row>
    <row r="10118">
      <c r="A10118" s="1"/>
    </row>
    <row r="10119">
      <c r="A10119" s="1"/>
    </row>
    <row r="10120">
      <c r="A10120" s="1"/>
    </row>
    <row r="10121">
      <c r="A10121" s="1"/>
    </row>
    <row r="10122">
      <c r="A10122" s="1"/>
    </row>
    <row r="10123">
      <c r="A10123" s="1"/>
    </row>
    <row r="10124">
      <c r="A10124" s="1"/>
    </row>
    <row r="10125">
      <c r="A10125" s="1"/>
    </row>
    <row r="10126">
      <c r="A10126" s="1"/>
    </row>
    <row r="10127">
      <c r="A10127" s="1"/>
    </row>
    <row r="10128">
      <c r="A10128" s="1"/>
    </row>
    <row r="10129">
      <c r="A10129" s="1"/>
    </row>
    <row r="10130">
      <c r="A10130" s="1"/>
    </row>
    <row r="10131">
      <c r="A10131" s="1"/>
    </row>
    <row r="10132">
      <c r="A10132" s="1"/>
    </row>
    <row r="10133">
      <c r="A10133" s="1"/>
    </row>
    <row r="10134">
      <c r="A10134" s="1"/>
    </row>
    <row r="10135">
      <c r="A10135" s="1"/>
    </row>
    <row r="10136">
      <c r="A10136" s="1"/>
    </row>
    <row r="10137">
      <c r="A10137" s="1"/>
    </row>
    <row r="10138">
      <c r="A10138" s="1"/>
    </row>
    <row r="10139">
      <c r="A10139" s="1"/>
    </row>
    <row r="10140">
      <c r="A10140" s="1"/>
    </row>
    <row r="10141">
      <c r="A10141" s="1"/>
    </row>
    <row r="10142">
      <c r="A10142" s="1"/>
    </row>
    <row r="10143">
      <c r="A10143" s="1"/>
    </row>
    <row r="10144">
      <c r="A10144" s="1"/>
    </row>
    <row r="10145">
      <c r="A10145" s="1"/>
    </row>
    <row r="10146">
      <c r="A10146" s="1"/>
    </row>
    <row r="10147">
      <c r="A10147" s="1"/>
    </row>
    <row r="10148">
      <c r="A10148" s="1"/>
    </row>
    <row r="10149">
      <c r="A10149" s="1"/>
    </row>
    <row r="10150">
      <c r="A10150" s="1"/>
    </row>
    <row r="10151">
      <c r="A10151" s="1"/>
    </row>
    <row r="10152">
      <c r="A10152" s="1"/>
    </row>
    <row r="10153">
      <c r="A10153" s="1"/>
    </row>
    <row r="10154">
      <c r="A10154" s="1"/>
    </row>
    <row r="10155">
      <c r="A10155" s="1"/>
    </row>
    <row r="10156">
      <c r="A10156" s="1"/>
    </row>
    <row r="10157">
      <c r="A10157" s="1"/>
    </row>
    <row r="10158">
      <c r="A10158" s="1"/>
    </row>
    <row r="10159">
      <c r="A10159" s="1"/>
    </row>
    <row r="10160">
      <c r="A10160" s="1"/>
    </row>
    <row r="10161">
      <c r="A10161" s="1"/>
    </row>
    <row r="10162">
      <c r="A10162" s="1"/>
    </row>
    <row r="10163">
      <c r="A10163" s="1"/>
    </row>
    <row r="10164">
      <c r="A10164" s="1"/>
    </row>
    <row r="10165">
      <c r="A10165" s="1"/>
    </row>
    <row r="10166">
      <c r="A10166" s="1"/>
    </row>
    <row r="10167">
      <c r="A10167" s="1"/>
    </row>
    <row r="10168">
      <c r="A10168" s="1"/>
    </row>
    <row r="10169">
      <c r="A10169" s="1"/>
    </row>
    <row r="10170">
      <c r="A10170" s="1"/>
    </row>
    <row r="10171">
      <c r="A10171" s="1"/>
    </row>
    <row r="10172">
      <c r="A10172" s="1"/>
    </row>
    <row r="10173">
      <c r="A10173" s="1"/>
    </row>
    <row r="10174">
      <c r="A10174" s="1"/>
    </row>
    <row r="10175">
      <c r="A10175" s="1"/>
    </row>
    <row r="10176">
      <c r="A10176" s="1"/>
    </row>
    <row r="10177">
      <c r="A10177" s="1"/>
    </row>
    <row r="10178">
      <c r="A10178" s="1"/>
    </row>
    <row r="10179">
      <c r="A10179" s="1"/>
    </row>
    <row r="10180">
      <c r="A10180" s="1"/>
    </row>
    <row r="10181">
      <c r="A10181" s="1"/>
    </row>
    <row r="10182">
      <c r="A10182" s="1"/>
    </row>
    <row r="10183">
      <c r="A10183" s="1"/>
    </row>
    <row r="10184">
      <c r="A10184" s="1"/>
    </row>
    <row r="10185">
      <c r="A10185" s="1"/>
    </row>
    <row r="10186">
      <c r="A10186" s="1"/>
    </row>
    <row r="10187">
      <c r="A10187" s="1"/>
    </row>
    <row r="10188">
      <c r="A10188" s="1"/>
    </row>
    <row r="10189">
      <c r="A10189" s="1"/>
    </row>
    <row r="10190">
      <c r="A10190" s="1"/>
    </row>
    <row r="10191">
      <c r="A10191" s="1"/>
    </row>
    <row r="10192">
      <c r="A10192" s="1"/>
    </row>
    <row r="10193">
      <c r="A10193" s="1"/>
    </row>
    <row r="10194">
      <c r="A10194" s="1"/>
    </row>
    <row r="10195">
      <c r="A10195" s="1"/>
    </row>
    <row r="10196">
      <c r="A10196" s="1"/>
    </row>
    <row r="10197">
      <c r="A10197" s="1"/>
    </row>
    <row r="10198">
      <c r="A10198" s="1"/>
    </row>
    <row r="10199">
      <c r="A10199" s="1"/>
    </row>
    <row r="10200">
      <c r="A10200" s="1"/>
    </row>
    <row r="10201">
      <c r="A10201" s="1"/>
    </row>
    <row r="10202">
      <c r="A10202" s="1"/>
    </row>
    <row r="10203">
      <c r="A10203" s="1"/>
    </row>
    <row r="10204">
      <c r="A10204" s="1"/>
    </row>
    <row r="10205">
      <c r="A10205" s="1"/>
    </row>
    <row r="10206">
      <c r="A10206" s="1"/>
    </row>
    <row r="10207">
      <c r="A10207" s="1"/>
    </row>
    <row r="10208">
      <c r="A10208" s="1"/>
    </row>
    <row r="10209">
      <c r="A10209" s="1"/>
    </row>
    <row r="10210">
      <c r="A10210" s="1"/>
    </row>
    <row r="10211">
      <c r="A10211" s="1"/>
    </row>
    <row r="10212">
      <c r="A10212" s="1"/>
    </row>
    <row r="10213">
      <c r="A10213" s="1"/>
    </row>
    <row r="10214">
      <c r="A10214" s="1"/>
    </row>
    <row r="10215">
      <c r="A10215" s="1"/>
    </row>
    <row r="10216">
      <c r="A10216" s="1"/>
    </row>
    <row r="10217">
      <c r="A10217" s="1"/>
    </row>
    <row r="10218">
      <c r="A10218" s="1"/>
    </row>
    <row r="10219">
      <c r="A10219" s="1"/>
    </row>
    <row r="10220">
      <c r="A10220" s="1"/>
    </row>
    <row r="10221">
      <c r="A10221" s="1"/>
    </row>
    <row r="10222">
      <c r="A10222" s="1"/>
    </row>
    <row r="10223">
      <c r="A10223" s="1"/>
    </row>
    <row r="10224">
      <c r="A10224" s="1"/>
    </row>
    <row r="10225">
      <c r="A10225" s="1"/>
    </row>
    <row r="10226">
      <c r="A10226" s="1"/>
    </row>
    <row r="10227">
      <c r="A10227" s="1"/>
    </row>
    <row r="10228">
      <c r="A10228" s="1"/>
    </row>
    <row r="10229">
      <c r="A10229" s="1"/>
    </row>
    <row r="10230">
      <c r="A10230" s="1"/>
    </row>
    <row r="10231">
      <c r="A10231" s="1"/>
    </row>
    <row r="10232">
      <c r="A10232" s="1"/>
    </row>
    <row r="10233">
      <c r="A10233" s="1"/>
    </row>
    <row r="10234">
      <c r="A10234" s="1"/>
    </row>
    <row r="10235">
      <c r="A10235" s="1"/>
    </row>
    <row r="10236">
      <c r="A10236" s="1"/>
    </row>
    <row r="10237">
      <c r="A10237" s="1"/>
    </row>
    <row r="10238">
      <c r="A10238" s="1"/>
    </row>
    <row r="10239">
      <c r="A10239" s="1"/>
    </row>
    <row r="10240">
      <c r="A10240" s="1"/>
    </row>
    <row r="10241">
      <c r="A10241" s="1"/>
    </row>
    <row r="10242">
      <c r="A10242" s="1"/>
    </row>
    <row r="10243">
      <c r="A10243" s="1"/>
    </row>
    <row r="10244">
      <c r="A10244" s="1"/>
    </row>
    <row r="10245">
      <c r="A10245" s="1"/>
    </row>
    <row r="10246">
      <c r="A10246" s="1"/>
    </row>
    <row r="10247">
      <c r="A10247" s="1"/>
    </row>
    <row r="10248">
      <c r="A10248" s="1"/>
    </row>
    <row r="10249">
      <c r="A10249" s="1"/>
    </row>
    <row r="10250">
      <c r="A10250" s="1"/>
    </row>
    <row r="10251">
      <c r="A10251" s="1"/>
    </row>
    <row r="10252">
      <c r="A10252" s="1"/>
    </row>
    <row r="10253">
      <c r="A10253" s="1"/>
    </row>
    <row r="10254">
      <c r="A10254" s="1"/>
    </row>
    <row r="10255">
      <c r="A10255" s="1"/>
    </row>
    <row r="10256">
      <c r="A10256" s="1"/>
    </row>
    <row r="10257">
      <c r="A10257" s="1"/>
    </row>
    <row r="10258">
      <c r="A10258" s="1"/>
    </row>
    <row r="10259">
      <c r="A10259" s="1"/>
    </row>
    <row r="10260">
      <c r="A10260" s="1"/>
    </row>
    <row r="10261">
      <c r="A10261" s="1"/>
    </row>
    <row r="10262">
      <c r="A10262" s="1"/>
    </row>
    <row r="10263">
      <c r="A10263" s="1"/>
    </row>
    <row r="10264">
      <c r="A10264" s="1"/>
    </row>
    <row r="10265">
      <c r="A10265" s="1"/>
    </row>
    <row r="10266">
      <c r="A10266" s="1"/>
    </row>
    <row r="10267">
      <c r="A10267" s="1"/>
    </row>
    <row r="10268">
      <c r="A10268" s="1"/>
    </row>
    <row r="10269">
      <c r="A10269" s="1"/>
    </row>
    <row r="10270">
      <c r="A10270" s="1"/>
    </row>
    <row r="10271">
      <c r="A10271" s="1"/>
    </row>
    <row r="10272">
      <c r="A10272" s="1"/>
    </row>
    <row r="10273">
      <c r="A10273" s="1"/>
    </row>
    <row r="10274">
      <c r="A10274" s="1"/>
    </row>
    <row r="10275">
      <c r="A10275" s="1"/>
    </row>
    <row r="10276">
      <c r="A10276" s="1"/>
    </row>
    <row r="10277">
      <c r="A10277" s="1"/>
    </row>
    <row r="10278">
      <c r="A10278" s="1"/>
    </row>
    <row r="10279">
      <c r="A10279" s="1"/>
    </row>
    <row r="10280">
      <c r="A10280" s="1"/>
    </row>
    <row r="10281">
      <c r="A10281" s="1"/>
    </row>
    <row r="10282">
      <c r="A10282" s="1"/>
    </row>
    <row r="10283">
      <c r="A10283" s="1"/>
    </row>
    <row r="10284">
      <c r="A10284" s="1"/>
    </row>
    <row r="10285">
      <c r="A10285" s="1"/>
    </row>
    <row r="10286">
      <c r="A10286" s="1"/>
    </row>
    <row r="10287">
      <c r="A10287" s="1"/>
    </row>
    <row r="10288">
      <c r="A10288" s="1"/>
    </row>
    <row r="10289">
      <c r="A10289" s="1"/>
    </row>
    <row r="10290">
      <c r="A10290" s="1"/>
    </row>
    <row r="10291">
      <c r="A10291" s="1"/>
    </row>
    <row r="10292">
      <c r="A10292" s="1"/>
    </row>
    <row r="10293">
      <c r="A10293" s="1"/>
    </row>
    <row r="10294">
      <c r="A10294" s="1"/>
    </row>
    <row r="10295">
      <c r="A10295" s="1"/>
    </row>
    <row r="10296">
      <c r="A10296" s="1"/>
    </row>
    <row r="10297">
      <c r="A10297" s="1"/>
    </row>
    <row r="10298">
      <c r="A10298" s="1"/>
    </row>
    <row r="10299">
      <c r="A10299" s="1"/>
    </row>
    <row r="10300">
      <c r="A10300" s="1"/>
    </row>
    <row r="10301">
      <c r="A10301" s="1"/>
    </row>
    <row r="10302">
      <c r="A10302" s="1"/>
    </row>
    <row r="10303">
      <c r="A10303" s="1"/>
    </row>
    <row r="10304">
      <c r="A10304" s="1"/>
    </row>
    <row r="10305">
      <c r="A10305" s="1"/>
    </row>
    <row r="10306">
      <c r="A10306" s="1"/>
    </row>
    <row r="10307">
      <c r="A10307" s="1"/>
    </row>
    <row r="10308">
      <c r="A10308" s="1"/>
    </row>
    <row r="10309">
      <c r="A10309" s="1"/>
    </row>
    <row r="10310">
      <c r="A10310" s="1"/>
    </row>
    <row r="10311">
      <c r="A10311" s="1"/>
    </row>
    <row r="10312">
      <c r="A10312" s="1"/>
    </row>
    <row r="10313">
      <c r="A10313" s="1"/>
    </row>
    <row r="10314">
      <c r="A10314" s="1"/>
    </row>
    <row r="10315">
      <c r="A10315" s="1"/>
    </row>
    <row r="10316">
      <c r="A10316" s="1"/>
    </row>
    <row r="10317">
      <c r="A10317" s="1"/>
    </row>
    <row r="10318">
      <c r="A10318" s="1"/>
    </row>
    <row r="10319">
      <c r="A10319" s="1"/>
    </row>
    <row r="10320">
      <c r="A10320" s="1"/>
    </row>
    <row r="10321">
      <c r="A10321" s="1"/>
    </row>
    <row r="10322">
      <c r="A10322" s="1"/>
    </row>
    <row r="10323">
      <c r="A10323" s="1"/>
    </row>
    <row r="10324">
      <c r="A10324" s="1"/>
    </row>
    <row r="10325">
      <c r="A10325" s="1"/>
    </row>
    <row r="10326">
      <c r="A10326" s="1"/>
    </row>
    <row r="10327">
      <c r="A10327" s="1"/>
    </row>
    <row r="10328">
      <c r="A10328" s="1"/>
    </row>
    <row r="10329">
      <c r="A10329" s="1"/>
    </row>
    <row r="10330">
      <c r="A10330" s="1"/>
    </row>
    <row r="10331">
      <c r="A10331" s="1"/>
    </row>
    <row r="10332">
      <c r="A10332" s="1"/>
    </row>
    <row r="10333">
      <c r="A10333" s="1"/>
    </row>
    <row r="10334">
      <c r="A10334" s="1"/>
    </row>
    <row r="10335">
      <c r="A10335" s="1"/>
    </row>
    <row r="10336">
      <c r="A10336" s="1"/>
    </row>
    <row r="10337">
      <c r="A10337" s="1"/>
    </row>
    <row r="10338">
      <c r="A10338" s="1"/>
    </row>
    <row r="10339">
      <c r="A10339" s="1"/>
    </row>
    <row r="10340">
      <c r="A10340" s="1"/>
    </row>
    <row r="10341">
      <c r="A10341" s="1"/>
    </row>
    <row r="10342">
      <c r="A10342" s="1"/>
    </row>
    <row r="10343">
      <c r="A10343" s="1"/>
    </row>
    <row r="10344">
      <c r="A10344" s="1"/>
    </row>
    <row r="10345">
      <c r="A10345" s="1"/>
    </row>
    <row r="10346">
      <c r="A10346" s="1"/>
    </row>
    <row r="10347">
      <c r="A10347" s="1"/>
    </row>
    <row r="10348">
      <c r="A10348" s="1"/>
    </row>
    <row r="10349">
      <c r="A10349" s="1"/>
    </row>
    <row r="10350">
      <c r="A10350" s="1"/>
    </row>
    <row r="10351">
      <c r="A10351" s="1"/>
    </row>
    <row r="10352">
      <c r="A10352" s="1"/>
    </row>
    <row r="10353">
      <c r="A10353" s="1"/>
    </row>
    <row r="10354">
      <c r="A10354" s="1"/>
    </row>
    <row r="10355">
      <c r="A10355" s="1"/>
    </row>
    <row r="10356">
      <c r="A10356" s="1"/>
    </row>
    <row r="10357">
      <c r="A10357" s="1"/>
    </row>
    <row r="10358">
      <c r="A10358" s="1"/>
    </row>
    <row r="10359">
      <c r="A10359" s="1"/>
    </row>
    <row r="10360">
      <c r="A10360" s="1"/>
    </row>
    <row r="10361">
      <c r="A10361" s="1"/>
    </row>
    <row r="10362">
      <c r="A10362" s="1"/>
    </row>
    <row r="10363">
      <c r="A10363" s="1"/>
    </row>
    <row r="10364">
      <c r="A10364" s="1"/>
    </row>
    <row r="10365">
      <c r="A10365" s="1"/>
    </row>
    <row r="10366">
      <c r="A10366" s="1"/>
    </row>
    <row r="10367">
      <c r="A10367" s="1"/>
    </row>
    <row r="10368">
      <c r="A10368" s="1"/>
    </row>
    <row r="10369">
      <c r="A10369" s="1"/>
    </row>
    <row r="10370">
      <c r="A10370" s="1"/>
    </row>
    <row r="10371">
      <c r="A10371" s="1"/>
    </row>
    <row r="10372">
      <c r="A10372" s="1"/>
    </row>
    <row r="10373">
      <c r="A10373" s="1"/>
    </row>
    <row r="10374">
      <c r="A10374" s="1"/>
    </row>
    <row r="10375">
      <c r="A10375" s="1"/>
    </row>
    <row r="10376">
      <c r="A10376" s="1"/>
    </row>
    <row r="10377">
      <c r="A10377" s="1"/>
    </row>
    <row r="10378">
      <c r="A10378" s="1"/>
    </row>
    <row r="10379">
      <c r="A10379" s="1"/>
    </row>
    <row r="10380">
      <c r="A10380" s="1"/>
    </row>
    <row r="10381">
      <c r="A10381" s="1"/>
    </row>
    <row r="10382">
      <c r="A10382" s="1"/>
    </row>
    <row r="10383">
      <c r="A10383" s="1"/>
    </row>
    <row r="10384">
      <c r="A10384" s="1"/>
    </row>
    <row r="10385">
      <c r="A10385" s="1"/>
    </row>
    <row r="10386">
      <c r="A10386" s="1"/>
    </row>
    <row r="10387">
      <c r="A10387" s="1"/>
    </row>
    <row r="10388">
      <c r="A10388" s="1"/>
    </row>
    <row r="10389">
      <c r="A10389" s="1"/>
    </row>
    <row r="10390">
      <c r="A10390" s="1"/>
    </row>
    <row r="10391">
      <c r="A10391" s="1"/>
    </row>
    <row r="10392">
      <c r="A10392" s="1"/>
    </row>
    <row r="10393">
      <c r="A10393" s="1"/>
    </row>
    <row r="10394">
      <c r="A10394" s="1"/>
    </row>
    <row r="10395">
      <c r="A10395" s="1"/>
    </row>
    <row r="10396">
      <c r="A10396" s="1"/>
    </row>
    <row r="10397">
      <c r="A10397" s="1"/>
    </row>
    <row r="10398">
      <c r="A10398" s="1"/>
    </row>
    <row r="10399">
      <c r="A10399" s="1"/>
    </row>
    <row r="10400">
      <c r="A10400" s="1"/>
    </row>
    <row r="10401">
      <c r="A10401" s="1"/>
    </row>
    <row r="10402">
      <c r="A10402" s="1"/>
    </row>
    <row r="10403">
      <c r="A10403" s="1"/>
    </row>
    <row r="10404">
      <c r="A10404" s="1"/>
    </row>
    <row r="10405">
      <c r="A10405" s="1"/>
    </row>
    <row r="10406">
      <c r="A10406" s="1"/>
    </row>
    <row r="10407">
      <c r="A10407" s="1"/>
    </row>
    <row r="10408">
      <c r="A10408" s="1"/>
    </row>
    <row r="10409">
      <c r="A10409" s="1"/>
    </row>
    <row r="10410">
      <c r="A10410" s="1"/>
    </row>
    <row r="10411">
      <c r="A10411" s="1"/>
    </row>
    <row r="10412">
      <c r="A10412" s="1"/>
    </row>
    <row r="10413">
      <c r="A10413" s="1"/>
    </row>
    <row r="10414">
      <c r="A10414" s="1"/>
    </row>
    <row r="10415">
      <c r="A10415" s="1"/>
    </row>
    <row r="10416">
      <c r="A10416" s="1"/>
    </row>
    <row r="10417">
      <c r="A10417" s="1"/>
    </row>
    <row r="10418">
      <c r="A10418" s="1"/>
    </row>
    <row r="10419">
      <c r="A10419" s="1"/>
    </row>
    <row r="10420">
      <c r="A10420" s="1"/>
    </row>
    <row r="10421">
      <c r="A10421" s="1"/>
    </row>
    <row r="10422">
      <c r="A10422" s="1"/>
    </row>
    <row r="10423">
      <c r="A10423" s="1"/>
    </row>
    <row r="10424">
      <c r="A10424" s="1"/>
    </row>
    <row r="10425">
      <c r="A10425" s="1"/>
    </row>
    <row r="10426">
      <c r="A10426" s="1"/>
    </row>
    <row r="10427">
      <c r="A10427" s="1"/>
    </row>
    <row r="10428">
      <c r="A10428" s="1"/>
    </row>
    <row r="10429">
      <c r="A10429" s="1"/>
    </row>
    <row r="10430">
      <c r="A10430" s="1"/>
    </row>
    <row r="10431">
      <c r="A10431" s="1"/>
    </row>
    <row r="10432">
      <c r="A10432" s="1"/>
    </row>
    <row r="10433">
      <c r="A10433" s="1"/>
    </row>
    <row r="10434">
      <c r="A10434" s="1"/>
    </row>
    <row r="10435">
      <c r="A10435" s="1"/>
    </row>
    <row r="10436">
      <c r="A10436" s="1"/>
    </row>
    <row r="10437">
      <c r="A10437" s="1"/>
    </row>
    <row r="10438">
      <c r="A10438" s="1"/>
    </row>
    <row r="10439">
      <c r="A10439" s="1"/>
    </row>
    <row r="10440">
      <c r="A10440" s="1"/>
    </row>
    <row r="10441">
      <c r="A10441" s="1"/>
    </row>
    <row r="10442">
      <c r="A10442" s="1"/>
    </row>
    <row r="10443">
      <c r="A10443" s="1"/>
    </row>
    <row r="10444">
      <c r="A10444" s="1"/>
    </row>
    <row r="10445">
      <c r="A10445" s="1"/>
    </row>
    <row r="10446">
      <c r="A10446" s="1"/>
    </row>
    <row r="10447">
      <c r="A10447" s="1"/>
    </row>
    <row r="10448">
      <c r="A10448" s="1"/>
    </row>
    <row r="10449">
      <c r="A10449" s="1"/>
    </row>
    <row r="10450">
      <c r="A10450" s="1"/>
    </row>
    <row r="10451">
      <c r="A10451" s="1"/>
    </row>
    <row r="10452">
      <c r="A10452" s="1"/>
    </row>
    <row r="10453">
      <c r="A10453" s="1"/>
    </row>
    <row r="10454">
      <c r="A10454" s="1"/>
    </row>
    <row r="10455">
      <c r="A10455" s="1"/>
    </row>
    <row r="10456">
      <c r="A10456" s="1"/>
    </row>
    <row r="10457">
      <c r="A10457" s="1"/>
    </row>
    <row r="10458">
      <c r="A10458" s="1"/>
    </row>
    <row r="10459">
      <c r="A10459" s="1"/>
    </row>
    <row r="10460">
      <c r="A10460" s="1"/>
    </row>
    <row r="10461">
      <c r="A10461" s="1"/>
    </row>
    <row r="10462">
      <c r="A10462" s="1"/>
    </row>
    <row r="10463">
      <c r="A10463" s="1"/>
    </row>
    <row r="10464">
      <c r="A10464" s="1"/>
    </row>
    <row r="10465">
      <c r="A10465" s="1"/>
    </row>
    <row r="10466">
      <c r="A10466" s="1"/>
    </row>
    <row r="10467">
      <c r="A10467" s="1"/>
    </row>
    <row r="10468">
      <c r="A10468" s="1"/>
    </row>
    <row r="10469">
      <c r="A10469" s="1"/>
    </row>
    <row r="10470">
      <c r="A10470" s="1"/>
    </row>
    <row r="10471">
      <c r="A10471" s="1"/>
    </row>
    <row r="10472">
      <c r="A10472" s="1"/>
    </row>
    <row r="10473">
      <c r="A10473" s="1"/>
    </row>
    <row r="10474">
      <c r="A10474" s="1"/>
    </row>
    <row r="10475">
      <c r="A10475" s="1"/>
    </row>
    <row r="10476">
      <c r="A10476" s="1"/>
    </row>
    <row r="10477">
      <c r="A10477" s="1"/>
    </row>
    <row r="10478">
      <c r="A10478" s="1"/>
    </row>
    <row r="10479">
      <c r="A10479" s="1"/>
    </row>
    <row r="10480">
      <c r="A10480" s="1"/>
    </row>
    <row r="10481">
      <c r="A10481" s="1"/>
    </row>
    <row r="10482">
      <c r="A10482" s="1"/>
    </row>
    <row r="10483">
      <c r="A10483" s="1"/>
    </row>
    <row r="10484">
      <c r="A10484" s="1"/>
    </row>
    <row r="10485">
      <c r="A10485" s="1"/>
    </row>
    <row r="10486">
      <c r="A10486" s="1"/>
    </row>
    <row r="10487">
      <c r="A10487" s="1"/>
    </row>
    <row r="10488">
      <c r="A10488" s="1"/>
    </row>
    <row r="10489">
      <c r="A10489" s="1"/>
    </row>
    <row r="10490">
      <c r="A10490" s="1"/>
    </row>
    <row r="10491">
      <c r="A10491" s="1"/>
    </row>
    <row r="10492">
      <c r="A10492" s="1"/>
    </row>
    <row r="10493">
      <c r="A10493" s="1"/>
    </row>
    <row r="10494">
      <c r="A10494" s="1"/>
    </row>
    <row r="10495">
      <c r="A10495" s="1"/>
    </row>
    <row r="10496">
      <c r="A10496" s="1"/>
    </row>
    <row r="10497">
      <c r="A10497" s="1"/>
    </row>
    <row r="10498">
      <c r="A10498" s="1"/>
    </row>
    <row r="10499">
      <c r="A10499" s="1"/>
    </row>
    <row r="10500">
      <c r="A10500" s="1"/>
    </row>
    <row r="10501">
      <c r="A10501" s="1"/>
    </row>
    <row r="10502">
      <c r="A10502" s="1"/>
    </row>
    <row r="10503">
      <c r="A10503" s="1"/>
    </row>
    <row r="10504">
      <c r="A10504" s="1"/>
    </row>
    <row r="10505">
      <c r="A10505" s="1"/>
    </row>
    <row r="10506">
      <c r="A10506" s="1"/>
    </row>
    <row r="10507">
      <c r="A10507" s="1"/>
    </row>
    <row r="10508">
      <c r="A10508" s="1"/>
    </row>
    <row r="10509">
      <c r="A10509" s="1"/>
    </row>
    <row r="10510">
      <c r="A10510" s="1"/>
    </row>
    <row r="10511">
      <c r="A10511" s="1"/>
    </row>
    <row r="10512">
      <c r="A10512" s="1"/>
    </row>
    <row r="10513">
      <c r="A10513" s="1"/>
    </row>
    <row r="10514">
      <c r="A10514" s="1"/>
    </row>
    <row r="10515">
      <c r="A10515" s="1"/>
    </row>
    <row r="10516">
      <c r="A10516" s="1"/>
    </row>
    <row r="10517">
      <c r="A10517" s="1"/>
    </row>
    <row r="10518">
      <c r="A10518" s="1"/>
    </row>
    <row r="10519">
      <c r="A10519" s="1"/>
    </row>
    <row r="10520">
      <c r="A10520" s="1"/>
    </row>
    <row r="10521">
      <c r="A10521" s="1"/>
    </row>
    <row r="10522">
      <c r="A10522" s="1"/>
    </row>
    <row r="10523">
      <c r="A10523" s="1"/>
    </row>
    <row r="10524">
      <c r="A10524" s="1"/>
    </row>
    <row r="10525">
      <c r="A10525" s="1"/>
    </row>
    <row r="10526">
      <c r="A10526" s="1"/>
    </row>
    <row r="10527">
      <c r="A10527" s="1"/>
    </row>
    <row r="10528">
      <c r="A10528" s="1"/>
    </row>
    <row r="10529">
      <c r="A10529" s="1"/>
    </row>
    <row r="10530">
      <c r="A10530" s="1"/>
    </row>
    <row r="10531">
      <c r="A10531" s="1"/>
    </row>
    <row r="10532">
      <c r="A10532" s="1"/>
    </row>
    <row r="10533">
      <c r="A10533" s="1"/>
    </row>
    <row r="10534">
      <c r="A10534" s="1"/>
    </row>
    <row r="10535">
      <c r="A10535" s="1"/>
    </row>
    <row r="10536">
      <c r="A10536" s="1"/>
    </row>
    <row r="10537">
      <c r="A10537" s="1"/>
    </row>
    <row r="10538">
      <c r="A10538" s="1"/>
    </row>
    <row r="10539">
      <c r="A10539" s="1"/>
    </row>
    <row r="10540">
      <c r="A10540" s="1"/>
    </row>
    <row r="10541">
      <c r="A10541" s="1"/>
    </row>
    <row r="10542">
      <c r="A10542" s="1"/>
    </row>
    <row r="10543">
      <c r="A10543" s="1"/>
    </row>
    <row r="10544">
      <c r="A10544" s="1"/>
    </row>
    <row r="10545">
      <c r="A10545" s="1"/>
    </row>
    <row r="10546">
      <c r="A10546" s="1"/>
    </row>
    <row r="10547">
      <c r="A10547" s="1"/>
    </row>
    <row r="10548">
      <c r="A10548" s="1"/>
    </row>
    <row r="10549">
      <c r="A10549" s="1"/>
    </row>
    <row r="10550">
      <c r="A10550" s="1"/>
    </row>
    <row r="10551">
      <c r="A10551" s="1"/>
    </row>
    <row r="10552">
      <c r="A10552" s="1"/>
    </row>
    <row r="10553">
      <c r="A10553" s="1"/>
    </row>
    <row r="10554">
      <c r="A10554" s="1"/>
    </row>
    <row r="10555">
      <c r="A10555" s="1"/>
    </row>
    <row r="10556">
      <c r="A10556" s="1"/>
    </row>
    <row r="10557">
      <c r="A10557" s="1"/>
    </row>
    <row r="10558">
      <c r="A10558" s="1"/>
    </row>
    <row r="10559">
      <c r="A10559" s="1"/>
    </row>
    <row r="10560">
      <c r="A10560" s="1"/>
    </row>
    <row r="10561">
      <c r="A10561" s="1"/>
    </row>
    <row r="10562">
      <c r="A10562" s="1"/>
    </row>
    <row r="10563">
      <c r="A10563" s="1"/>
    </row>
    <row r="10564">
      <c r="A10564" s="1"/>
    </row>
    <row r="10565">
      <c r="A10565" s="1"/>
    </row>
    <row r="10566">
      <c r="A10566" s="1"/>
    </row>
    <row r="10567">
      <c r="A10567" s="1"/>
    </row>
    <row r="10568">
      <c r="A10568" s="1"/>
    </row>
    <row r="10569">
      <c r="A10569" s="1"/>
    </row>
    <row r="10570">
      <c r="A10570" s="1"/>
    </row>
    <row r="10571">
      <c r="A10571" s="1"/>
    </row>
    <row r="10572">
      <c r="A10572" s="1"/>
    </row>
    <row r="10573">
      <c r="A10573" s="1"/>
    </row>
    <row r="10574">
      <c r="A10574" s="1"/>
    </row>
    <row r="10575">
      <c r="A10575" s="1"/>
    </row>
    <row r="10576">
      <c r="A10576" s="1"/>
    </row>
    <row r="10577">
      <c r="A10577" s="1"/>
    </row>
    <row r="10578">
      <c r="A10578" s="1"/>
    </row>
    <row r="10579">
      <c r="A10579" s="1"/>
    </row>
    <row r="10580">
      <c r="A10580" s="1"/>
    </row>
    <row r="10581">
      <c r="A10581" s="1"/>
    </row>
    <row r="10582">
      <c r="A10582" s="1"/>
    </row>
    <row r="10583">
      <c r="A10583" s="1"/>
    </row>
    <row r="10584">
      <c r="A10584" s="1"/>
    </row>
    <row r="10585">
      <c r="A10585" s="1"/>
    </row>
    <row r="10586">
      <c r="A10586" s="1"/>
    </row>
    <row r="10587">
      <c r="A10587" s="1"/>
    </row>
    <row r="10588">
      <c r="A10588" s="1"/>
    </row>
    <row r="10589">
      <c r="A10589" s="1"/>
    </row>
    <row r="10590">
      <c r="A10590" s="1"/>
    </row>
    <row r="10591">
      <c r="A10591" s="1"/>
    </row>
    <row r="10592">
      <c r="A10592" s="1"/>
    </row>
    <row r="10593">
      <c r="A10593" s="1"/>
    </row>
    <row r="10594">
      <c r="A10594" s="1"/>
    </row>
    <row r="10595">
      <c r="A10595" s="1"/>
    </row>
    <row r="10596">
      <c r="A10596" s="1"/>
    </row>
    <row r="10597">
      <c r="A10597" s="1"/>
    </row>
    <row r="10598">
      <c r="A10598" s="1"/>
    </row>
    <row r="10599">
      <c r="A10599" s="1"/>
    </row>
    <row r="10600">
      <c r="A10600" s="1"/>
    </row>
    <row r="10601">
      <c r="A10601" s="1"/>
    </row>
    <row r="10602">
      <c r="A10602" s="1"/>
    </row>
    <row r="10603">
      <c r="A10603" s="1"/>
    </row>
    <row r="10604">
      <c r="A10604" s="1"/>
    </row>
    <row r="10605">
      <c r="A10605" s="1"/>
    </row>
    <row r="10606">
      <c r="A10606" s="1"/>
    </row>
    <row r="10607">
      <c r="A10607" s="1"/>
    </row>
    <row r="10608">
      <c r="A10608" s="1"/>
    </row>
    <row r="10609">
      <c r="A10609" s="1"/>
    </row>
    <row r="10610">
      <c r="A10610" s="1"/>
    </row>
    <row r="10611">
      <c r="A10611" s="1"/>
    </row>
    <row r="10612">
      <c r="A10612" s="1"/>
    </row>
    <row r="10613">
      <c r="A10613" s="1"/>
    </row>
    <row r="10614">
      <c r="A10614" s="1"/>
    </row>
    <row r="10615">
      <c r="A10615" s="1"/>
    </row>
    <row r="10616">
      <c r="A10616" s="1"/>
    </row>
    <row r="10617">
      <c r="A10617" s="1"/>
    </row>
    <row r="10618">
      <c r="A10618" s="1"/>
    </row>
    <row r="10619">
      <c r="A10619" s="1"/>
    </row>
    <row r="10620">
      <c r="A10620" s="1"/>
    </row>
    <row r="10621">
      <c r="A10621" s="1"/>
    </row>
    <row r="10622">
      <c r="A10622" s="1"/>
    </row>
    <row r="10623">
      <c r="A10623" s="1"/>
    </row>
    <row r="10624">
      <c r="A10624" s="1"/>
    </row>
    <row r="10625">
      <c r="A10625" s="1"/>
    </row>
    <row r="10626">
      <c r="A10626" s="1"/>
    </row>
    <row r="10627">
      <c r="A10627" s="1"/>
    </row>
    <row r="10628">
      <c r="A10628" s="1"/>
    </row>
    <row r="10629">
      <c r="A10629" s="1"/>
    </row>
    <row r="10630">
      <c r="A10630" s="1"/>
    </row>
    <row r="10631">
      <c r="A10631" s="1"/>
    </row>
    <row r="10632">
      <c r="A10632" s="1"/>
    </row>
    <row r="10633">
      <c r="A10633" s="1"/>
    </row>
    <row r="10634">
      <c r="A10634" s="1"/>
    </row>
    <row r="10635">
      <c r="A10635" s="1"/>
    </row>
    <row r="10636">
      <c r="A10636" s="1"/>
    </row>
    <row r="10637">
      <c r="A10637" s="1"/>
    </row>
    <row r="10638">
      <c r="A10638" s="1"/>
    </row>
    <row r="10639">
      <c r="A10639" s="1"/>
    </row>
    <row r="10640">
      <c r="A10640" s="1"/>
    </row>
    <row r="10641">
      <c r="A10641" s="1"/>
    </row>
    <row r="10642">
      <c r="A10642" s="1"/>
    </row>
    <row r="10643">
      <c r="A10643" s="1"/>
    </row>
    <row r="10644">
      <c r="A10644" s="1"/>
    </row>
    <row r="10645">
      <c r="A10645" s="1"/>
    </row>
    <row r="10646">
      <c r="A10646" s="1"/>
    </row>
    <row r="10647">
      <c r="A10647" s="1"/>
    </row>
    <row r="10648">
      <c r="A10648" s="1"/>
    </row>
    <row r="10649">
      <c r="A10649" s="1"/>
    </row>
    <row r="10650">
      <c r="A10650" s="1"/>
    </row>
    <row r="10651">
      <c r="A10651" s="1"/>
    </row>
    <row r="10652">
      <c r="A10652" s="1"/>
    </row>
    <row r="10653">
      <c r="A10653" s="1"/>
    </row>
    <row r="10654">
      <c r="A10654" s="1"/>
    </row>
    <row r="10655">
      <c r="A10655" s="1"/>
    </row>
    <row r="10656">
      <c r="A10656" s="1"/>
    </row>
    <row r="10657">
      <c r="A10657" s="1"/>
    </row>
    <row r="10658">
      <c r="A10658" s="1"/>
    </row>
    <row r="10659">
      <c r="A10659" s="1"/>
    </row>
    <row r="10660">
      <c r="A10660" s="1"/>
    </row>
    <row r="10661">
      <c r="A10661" s="1"/>
    </row>
    <row r="10662">
      <c r="A10662" s="1"/>
    </row>
    <row r="10663">
      <c r="A10663" s="1"/>
    </row>
    <row r="10664">
      <c r="A10664" s="1"/>
    </row>
    <row r="10665">
      <c r="A10665" s="1"/>
    </row>
    <row r="10666">
      <c r="A10666" s="1"/>
    </row>
    <row r="10667">
      <c r="A10667" s="1"/>
    </row>
    <row r="10668">
      <c r="A10668" s="1"/>
    </row>
    <row r="10669">
      <c r="A10669" s="1"/>
    </row>
    <row r="10670">
      <c r="A10670" s="1"/>
    </row>
    <row r="10671">
      <c r="A10671" s="1"/>
    </row>
    <row r="10672">
      <c r="A10672" s="1"/>
    </row>
    <row r="10673">
      <c r="A10673" s="1"/>
    </row>
    <row r="10674">
      <c r="A10674" s="1"/>
    </row>
    <row r="10675">
      <c r="A10675" s="1"/>
    </row>
    <row r="10676">
      <c r="A10676" s="1"/>
    </row>
    <row r="10677">
      <c r="A10677" s="1"/>
    </row>
    <row r="10678">
      <c r="A10678" s="1"/>
    </row>
    <row r="10679">
      <c r="A10679" s="1"/>
    </row>
    <row r="10680">
      <c r="A10680" s="1"/>
    </row>
    <row r="10681">
      <c r="A10681" s="1"/>
    </row>
    <row r="10682">
      <c r="A10682" s="1"/>
    </row>
    <row r="10683">
      <c r="A10683" s="1"/>
    </row>
    <row r="10684">
      <c r="A10684" s="1"/>
    </row>
    <row r="10685">
      <c r="A10685" s="1"/>
    </row>
    <row r="10686">
      <c r="A10686" s="1"/>
    </row>
    <row r="10687">
      <c r="A10687" s="1"/>
    </row>
    <row r="10688">
      <c r="A10688" s="1"/>
    </row>
    <row r="10689">
      <c r="A10689" s="1"/>
    </row>
    <row r="10690">
      <c r="A10690" s="1"/>
    </row>
    <row r="10691">
      <c r="A10691" s="1"/>
    </row>
    <row r="10692">
      <c r="A10692" s="1"/>
    </row>
    <row r="10693">
      <c r="A10693" s="1"/>
    </row>
    <row r="10694">
      <c r="A10694" s="1"/>
    </row>
    <row r="10695">
      <c r="A10695" s="1"/>
    </row>
    <row r="10696">
      <c r="A10696" s="1"/>
    </row>
    <row r="10697">
      <c r="A10697" s="1"/>
    </row>
    <row r="10698">
      <c r="A10698" s="1"/>
    </row>
    <row r="10699">
      <c r="A10699" s="1"/>
    </row>
    <row r="10700">
      <c r="A10700" s="1"/>
    </row>
    <row r="10701">
      <c r="A10701" s="1"/>
    </row>
    <row r="10702">
      <c r="A10702" s="1"/>
    </row>
    <row r="10703">
      <c r="A10703" s="1"/>
    </row>
    <row r="10704">
      <c r="A10704" s="1"/>
    </row>
    <row r="10705">
      <c r="A10705" s="1"/>
    </row>
    <row r="10706">
      <c r="A10706" s="1"/>
    </row>
    <row r="10707">
      <c r="A10707" s="1"/>
    </row>
    <row r="10708">
      <c r="A10708" s="1"/>
    </row>
    <row r="10709">
      <c r="A10709" s="1"/>
    </row>
    <row r="10710">
      <c r="A10710" s="1"/>
    </row>
    <row r="10711">
      <c r="A10711" s="1"/>
    </row>
    <row r="10712">
      <c r="A10712" s="1"/>
    </row>
    <row r="10713">
      <c r="A10713" s="1"/>
    </row>
    <row r="10714">
      <c r="A10714" s="1"/>
    </row>
    <row r="10715">
      <c r="A10715" s="1"/>
    </row>
    <row r="10716">
      <c r="A10716" s="1"/>
    </row>
    <row r="10717">
      <c r="A10717" s="1"/>
    </row>
    <row r="10718">
      <c r="A10718" s="1"/>
    </row>
    <row r="10719">
      <c r="A10719" s="1"/>
    </row>
    <row r="10720">
      <c r="A10720" s="1"/>
    </row>
    <row r="10721">
      <c r="A10721" s="1"/>
    </row>
    <row r="10722">
      <c r="A10722" s="1"/>
    </row>
    <row r="10723">
      <c r="A10723" s="1"/>
    </row>
    <row r="10724">
      <c r="A10724" s="1"/>
    </row>
    <row r="10725">
      <c r="A10725" s="1"/>
    </row>
    <row r="10726">
      <c r="A10726" s="1"/>
    </row>
    <row r="10727">
      <c r="A10727" s="1"/>
    </row>
    <row r="10728">
      <c r="A10728" s="1"/>
    </row>
    <row r="10729">
      <c r="A10729" s="1"/>
    </row>
    <row r="10730">
      <c r="A10730" s="1"/>
    </row>
    <row r="10731">
      <c r="A10731" s="1"/>
    </row>
    <row r="10732">
      <c r="A10732" s="1"/>
    </row>
    <row r="10733">
      <c r="A10733" s="1"/>
    </row>
    <row r="10734">
      <c r="A10734" s="1"/>
    </row>
    <row r="10735">
      <c r="A10735" s="1"/>
    </row>
    <row r="10736">
      <c r="A10736" s="1"/>
    </row>
    <row r="10737">
      <c r="A10737" s="1"/>
    </row>
    <row r="10738">
      <c r="A10738" s="1"/>
    </row>
    <row r="10739">
      <c r="A10739" s="1"/>
    </row>
    <row r="10740">
      <c r="A10740" s="1"/>
    </row>
    <row r="10741">
      <c r="A10741" s="1"/>
    </row>
    <row r="10742">
      <c r="A10742" s="1"/>
    </row>
    <row r="10743">
      <c r="A10743" s="1"/>
    </row>
    <row r="10744">
      <c r="A10744" s="1"/>
    </row>
    <row r="10745">
      <c r="A10745" s="1"/>
    </row>
    <row r="10746">
      <c r="A10746" s="1"/>
    </row>
    <row r="10747">
      <c r="A10747" s="1"/>
    </row>
    <row r="10748">
      <c r="A10748" s="1"/>
    </row>
    <row r="10749">
      <c r="A10749" s="1"/>
    </row>
    <row r="10750">
      <c r="A10750" s="1"/>
    </row>
    <row r="10751">
      <c r="A10751" s="1"/>
    </row>
    <row r="10752">
      <c r="A10752" s="1"/>
    </row>
    <row r="10753">
      <c r="A10753" s="1"/>
    </row>
    <row r="10754">
      <c r="A10754" s="1"/>
    </row>
    <row r="10755">
      <c r="A10755" s="1"/>
    </row>
    <row r="10756">
      <c r="A10756" s="1"/>
    </row>
    <row r="10757">
      <c r="A10757" s="1"/>
    </row>
    <row r="10758">
      <c r="A10758" s="1"/>
    </row>
    <row r="10759">
      <c r="A10759" s="1"/>
    </row>
    <row r="10760">
      <c r="A10760" s="1"/>
    </row>
    <row r="10761">
      <c r="A10761" s="1"/>
    </row>
    <row r="10762">
      <c r="A10762" s="1"/>
    </row>
    <row r="10763">
      <c r="A10763" s="1"/>
    </row>
    <row r="10764">
      <c r="A10764" s="1"/>
    </row>
    <row r="10765">
      <c r="A10765" s="1"/>
    </row>
    <row r="10766">
      <c r="A10766" s="1"/>
    </row>
    <row r="10767">
      <c r="A10767" s="1"/>
    </row>
    <row r="10768">
      <c r="A10768" s="1"/>
    </row>
    <row r="10769">
      <c r="A10769" s="1"/>
    </row>
    <row r="10770">
      <c r="A10770" s="1"/>
    </row>
    <row r="10771">
      <c r="A10771" s="1"/>
    </row>
    <row r="10772">
      <c r="A10772" s="1"/>
    </row>
    <row r="10773">
      <c r="A10773" s="1"/>
    </row>
    <row r="10774">
      <c r="A10774" s="1"/>
    </row>
    <row r="10775">
      <c r="A10775" s="1"/>
    </row>
    <row r="10776">
      <c r="A10776" s="1"/>
    </row>
    <row r="10777">
      <c r="A10777" s="1"/>
    </row>
    <row r="10778">
      <c r="A10778" s="1"/>
    </row>
    <row r="10779">
      <c r="A10779" s="1"/>
    </row>
    <row r="10780">
      <c r="A10780" s="1"/>
    </row>
    <row r="10781">
      <c r="A10781" s="1"/>
    </row>
    <row r="10782">
      <c r="A10782" s="1"/>
    </row>
    <row r="10783">
      <c r="A10783" s="1"/>
    </row>
    <row r="10784">
      <c r="A10784" s="1"/>
    </row>
    <row r="10785">
      <c r="A10785" s="1"/>
    </row>
    <row r="10786">
      <c r="A10786" s="1"/>
    </row>
    <row r="10787">
      <c r="A10787" s="1"/>
    </row>
    <row r="10788">
      <c r="A10788" s="1"/>
    </row>
    <row r="10789">
      <c r="A10789" s="1"/>
    </row>
    <row r="10790">
      <c r="A10790" s="1"/>
    </row>
    <row r="10791">
      <c r="A10791" s="1"/>
    </row>
    <row r="10792">
      <c r="A10792" s="1"/>
    </row>
    <row r="10793">
      <c r="A10793" s="1"/>
    </row>
    <row r="10794">
      <c r="A10794" s="1"/>
    </row>
    <row r="10795">
      <c r="A10795" s="1"/>
    </row>
    <row r="10796">
      <c r="A10796" s="1"/>
    </row>
    <row r="10797">
      <c r="A10797" s="1"/>
    </row>
    <row r="10798">
      <c r="A10798" s="1"/>
    </row>
    <row r="10799">
      <c r="A10799" s="1"/>
    </row>
    <row r="10800">
      <c r="A10800" s="1"/>
    </row>
    <row r="10801">
      <c r="A10801" s="1"/>
    </row>
    <row r="10802">
      <c r="A10802" s="1"/>
    </row>
    <row r="10803">
      <c r="A10803" s="1"/>
    </row>
    <row r="10804">
      <c r="A10804" s="1"/>
    </row>
    <row r="10805">
      <c r="A10805" s="1"/>
    </row>
    <row r="10806">
      <c r="A10806" s="1"/>
    </row>
    <row r="10807">
      <c r="A10807" s="1"/>
    </row>
    <row r="10808">
      <c r="A10808" s="1"/>
    </row>
    <row r="10809">
      <c r="A10809" s="1"/>
    </row>
    <row r="10810">
      <c r="A10810" s="1"/>
    </row>
    <row r="10811">
      <c r="A10811" s="1"/>
    </row>
    <row r="10812">
      <c r="A10812" s="1"/>
    </row>
    <row r="10813">
      <c r="A10813" s="1"/>
    </row>
    <row r="10814">
      <c r="A10814" s="1"/>
    </row>
    <row r="10815">
      <c r="A10815" s="1"/>
    </row>
    <row r="10816">
      <c r="A10816" s="1"/>
    </row>
    <row r="10817">
      <c r="A10817" s="1"/>
    </row>
    <row r="10818">
      <c r="A10818" s="1"/>
    </row>
    <row r="10819">
      <c r="A10819" s="1"/>
    </row>
    <row r="10820">
      <c r="A10820" s="1"/>
    </row>
    <row r="10821">
      <c r="A10821" s="1"/>
    </row>
    <row r="10822">
      <c r="A10822" s="1"/>
    </row>
    <row r="10823">
      <c r="A10823" s="1"/>
    </row>
    <row r="10824">
      <c r="A10824" s="1"/>
    </row>
    <row r="10825">
      <c r="A10825" s="1"/>
    </row>
    <row r="10826">
      <c r="A10826" s="1"/>
    </row>
    <row r="10827">
      <c r="A10827" s="1"/>
    </row>
    <row r="10828">
      <c r="A10828" s="1"/>
    </row>
    <row r="10829">
      <c r="A10829" s="1"/>
    </row>
    <row r="10830">
      <c r="A10830" s="1"/>
    </row>
    <row r="10831">
      <c r="A10831" s="1"/>
    </row>
    <row r="10832">
      <c r="A10832" s="1"/>
    </row>
    <row r="10833">
      <c r="A10833" s="1"/>
    </row>
    <row r="10834">
      <c r="A10834" s="1"/>
    </row>
    <row r="10835">
      <c r="A10835" s="1"/>
    </row>
    <row r="10836">
      <c r="A10836" s="1"/>
    </row>
    <row r="10837">
      <c r="A10837" s="1"/>
    </row>
    <row r="10838">
      <c r="A10838" s="1"/>
    </row>
    <row r="10839">
      <c r="A10839" s="1"/>
    </row>
    <row r="10840">
      <c r="A10840" s="1"/>
    </row>
    <row r="10841">
      <c r="A10841" s="1"/>
    </row>
    <row r="10842">
      <c r="A10842" s="1"/>
    </row>
    <row r="10843">
      <c r="A10843" s="1"/>
    </row>
    <row r="10844">
      <c r="A10844" s="1"/>
    </row>
    <row r="10845">
      <c r="A10845" s="1"/>
    </row>
    <row r="10846">
      <c r="A10846" s="1"/>
    </row>
    <row r="10847">
      <c r="A10847" s="1"/>
    </row>
    <row r="10848">
      <c r="A10848" s="1"/>
    </row>
    <row r="10849">
      <c r="A10849" s="1"/>
    </row>
    <row r="10850">
      <c r="A10850" s="1"/>
    </row>
    <row r="10851">
      <c r="A10851" s="1"/>
    </row>
    <row r="10852">
      <c r="A10852" s="1"/>
    </row>
    <row r="10853">
      <c r="A10853" s="1"/>
    </row>
    <row r="10854">
      <c r="A10854" s="1"/>
    </row>
    <row r="10855">
      <c r="A10855" s="1"/>
    </row>
    <row r="10856">
      <c r="A10856" s="1"/>
    </row>
    <row r="10857">
      <c r="A10857" s="1"/>
    </row>
    <row r="10858">
      <c r="A10858" s="1"/>
    </row>
    <row r="10859">
      <c r="A10859" s="1"/>
    </row>
    <row r="10860">
      <c r="A10860" s="1"/>
    </row>
    <row r="10861">
      <c r="A10861" s="1"/>
    </row>
    <row r="10862">
      <c r="A10862" s="1"/>
    </row>
    <row r="10863">
      <c r="A10863" s="1"/>
    </row>
    <row r="10864">
      <c r="A10864" s="1"/>
    </row>
    <row r="10865">
      <c r="A10865" s="1"/>
    </row>
    <row r="10866">
      <c r="A10866" s="1"/>
    </row>
    <row r="10867">
      <c r="A10867" s="1"/>
    </row>
    <row r="10868">
      <c r="A10868" s="1"/>
    </row>
    <row r="10869">
      <c r="A10869" s="1"/>
    </row>
    <row r="10870">
      <c r="A10870" s="1"/>
    </row>
    <row r="10871">
      <c r="A10871" s="1"/>
    </row>
    <row r="10872">
      <c r="A10872" s="1"/>
    </row>
    <row r="10873">
      <c r="A10873" s="1"/>
    </row>
    <row r="10874">
      <c r="A10874" s="1"/>
    </row>
    <row r="10875">
      <c r="A10875" s="1"/>
    </row>
    <row r="10876">
      <c r="A10876" s="1"/>
    </row>
    <row r="10877">
      <c r="A10877" s="1"/>
    </row>
    <row r="10878">
      <c r="A10878" s="1"/>
    </row>
    <row r="10879">
      <c r="A10879" s="1"/>
    </row>
    <row r="10880">
      <c r="A10880" s="1"/>
    </row>
    <row r="10881">
      <c r="A10881" s="1"/>
    </row>
    <row r="10882">
      <c r="A10882" s="1"/>
    </row>
    <row r="10883">
      <c r="A10883" s="1"/>
    </row>
    <row r="10884">
      <c r="A10884" s="1"/>
    </row>
    <row r="10885">
      <c r="A10885" s="1"/>
    </row>
    <row r="10886">
      <c r="A10886" s="1"/>
    </row>
    <row r="10887">
      <c r="A10887" s="1"/>
    </row>
    <row r="10888">
      <c r="A10888" s="1"/>
    </row>
    <row r="10889">
      <c r="A10889" s="1"/>
    </row>
    <row r="10890">
      <c r="A10890" s="1"/>
    </row>
    <row r="10891">
      <c r="A10891" s="1"/>
    </row>
    <row r="10892">
      <c r="A10892" s="1"/>
    </row>
    <row r="10893">
      <c r="A10893" s="1"/>
    </row>
    <row r="10894">
      <c r="A10894" s="1"/>
    </row>
    <row r="10895">
      <c r="A10895" s="1"/>
    </row>
    <row r="10896">
      <c r="A10896" s="1"/>
    </row>
    <row r="10897">
      <c r="A10897" s="1"/>
    </row>
    <row r="10898">
      <c r="A10898" s="1"/>
    </row>
    <row r="10899">
      <c r="A10899" s="1"/>
    </row>
    <row r="10900">
      <c r="A10900" s="1"/>
    </row>
    <row r="10901">
      <c r="A10901" s="1"/>
    </row>
    <row r="10902">
      <c r="A10902" s="1"/>
    </row>
    <row r="10903">
      <c r="A10903" s="1"/>
    </row>
    <row r="10904">
      <c r="A10904" s="1"/>
    </row>
    <row r="10905">
      <c r="A10905" s="1"/>
    </row>
    <row r="10906">
      <c r="A10906" s="1"/>
    </row>
    <row r="10907">
      <c r="A10907" s="1"/>
    </row>
    <row r="10908">
      <c r="A10908" s="1"/>
    </row>
    <row r="10909">
      <c r="A10909" s="1"/>
    </row>
    <row r="10910">
      <c r="A10910" s="1"/>
    </row>
    <row r="10911">
      <c r="A10911" s="1"/>
    </row>
    <row r="10912">
      <c r="A10912" s="1"/>
    </row>
    <row r="10913">
      <c r="A10913" s="1"/>
    </row>
    <row r="10914">
      <c r="A10914" s="1"/>
    </row>
    <row r="10915">
      <c r="A10915" s="1"/>
    </row>
    <row r="10916">
      <c r="A10916" s="1"/>
    </row>
    <row r="10917">
      <c r="A10917" s="1"/>
    </row>
    <row r="10918">
      <c r="A10918" s="1"/>
    </row>
    <row r="10919">
      <c r="A10919" s="1"/>
    </row>
    <row r="10920">
      <c r="A10920" s="1"/>
    </row>
    <row r="10921">
      <c r="A10921" s="1"/>
    </row>
    <row r="10922">
      <c r="A10922" s="1"/>
    </row>
    <row r="10923">
      <c r="A10923" s="1"/>
    </row>
    <row r="10924">
      <c r="A10924" s="1"/>
    </row>
    <row r="10925">
      <c r="A10925" s="1"/>
    </row>
    <row r="10926">
      <c r="A10926" s="1"/>
    </row>
    <row r="10927">
      <c r="A10927" s="1"/>
    </row>
    <row r="10928">
      <c r="A10928" s="1"/>
    </row>
    <row r="10929">
      <c r="A10929" s="1"/>
    </row>
    <row r="10930">
      <c r="A10930" s="1"/>
    </row>
    <row r="10931">
      <c r="A10931" s="1"/>
    </row>
    <row r="10932">
      <c r="A10932" s="1"/>
    </row>
    <row r="10933">
      <c r="A10933" s="1"/>
    </row>
    <row r="10934">
      <c r="A10934" s="1"/>
    </row>
    <row r="10935">
      <c r="A10935" s="1"/>
    </row>
    <row r="10936">
      <c r="A10936" s="1"/>
    </row>
    <row r="10937">
      <c r="A10937" s="1"/>
    </row>
    <row r="10938">
      <c r="A10938" s="1"/>
    </row>
    <row r="10939">
      <c r="A10939" s="1"/>
    </row>
    <row r="10940">
      <c r="A10940" s="1"/>
    </row>
    <row r="10941">
      <c r="A10941" s="1"/>
    </row>
    <row r="10942">
      <c r="A10942" s="1"/>
    </row>
    <row r="10943">
      <c r="A10943" s="1"/>
    </row>
    <row r="10944">
      <c r="A10944" s="1"/>
    </row>
    <row r="10945">
      <c r="A10945" s="1"/>
    </row>
    <row r="10946">
      <c r="A10946" s="1"/>
    </row>
    <row r="10947">
      <c r="A10947" s="1"/>
    </row>
    <row r="10948">
      <c r="A10948" s="1"/>
    </row>
    <row r="10949">
      <c r="A10949" s="1"/>
    </row>
    <row r="10950">
      <c r="A10950" s="1"/>
    </row>
    <row r="10951">
      <c r="A10951" s="1"/>
    </row>
    <row r="10952">
      <c r="A10952" s="1"/>
    </row>
    <row r="10953">
      <c r="A10953" s="1"/>
    </row>
    <row r="10954">
      <c r="A10954" s="1"/>
    </row>
    <row r="10955">
      <c r="A10955" s="1"/>
    </row>
    <row r="10956">
      <c r="A10956" s="1"/>
    </row>
    <row r="10957">
      <c r="A10957" s="1"/>
    </row>
    <row r="10958">
      <c r="A10958" s="1"/>
    </row>
    <row r="10959">
      <c r="A10959" s="1"/>
    </row>
    <row r="10960">
      <c r="A10960" s="1"/>
    </row>
    <row r="10961">
      <c r="A10961" s="1"/>
    </row>
    <row r="10962">
      <c r="A10962" s="1"/>
    </row>
    <row r="10963">
      <c r="A10963" s="1"/>
    </row>
    <row r="10964">
      <c r="A10964" s="1"/>
    </row>
    <row r="10965">
      <c r="A10965" s="1"/>
    </row>
    <row r="10966">
      <c r="A10966" s="1"/>
    </row>
    <row r="10967">
      <c r="A10967" s="1"/>
    </row>
    <row r="10968">
      <c r="A10968" s="1"/>
    </row>
    <row r="10969">
      <c r="A10969" s="1"/>
    </row>
    <row r="10970">
      <c r="A10970" s="1"/>
    </row>
    <row r="10971">
      <c r="A10971" s="1"/>
    </row>
    <row r="10972">
      <c r="A10972" s="1"/>
    </row>
    <row r="10973">
      <c r="A10973" s="1"/>
    </row>
    <row r="10974">
      <c r="A10974" s="1"/>
    </row>
    <row r="10975">
      <c r="A10975" s="1"/>
    </row>
    <row r="10976">
      <c r="A10976" s="1"/>
    </row>
    <row r="10977">
      <c r="A10977" s="1"/>
    </row>
    <row r="10978">
      <c r="A10978" s="1"/>
    </row>
    <row r="10979">
      <c r="A10979" s="1"/>
    </row>
    <row r="10980">
      <c r="A10980" s="1"/>
    </row>
    <row r="10981">
      <c r="A10981" s="1"/>
    </row>
    <row r="10982">
      <c r="A10982" s="1"/>
    </row>
    <row r="10983">
      <c r="A10983" s="1"/>
    </row>
    <row r="10984">
      <c r="A10984" s="1"/>
    </row>
    <row r="10985">
      <c r="A10985" s="1"/>
    </row>
    <row r="10986">
      <c r="A10986" s="1"/>
    </row>
    <row r="10987">
      <c r="A10987" s="1"/>
    </row>
    <row r="10988">
      <c r="A10988" s="1"/>
    </row>
    <row r="10989">
      <c r="A10989" s="1"/>
    </row>
    <row r="10990">
      <c r="A10990" s="1"/>
    </row>
    <row r="10991">
      <c r="A10991" s="1"/>
    </row>
    <row r="10992">
      <c r="A10992" s="1"/>
    </row>
    <row r="10993">
      <c r="A10993" s="1"/>
    </row>
    <row r="10994">
      <c r="A10994" s="1"/>
    </row>
    <row r="10995">
      <c r="A10995" s="1"/>
    </row>
    <row r="10996">
      <c r="A10996" s="1"/>
    </row>
    <row r="10997">
      <c r="A10997" s="1"/>
    </row>
    <row r="10998">
      <c r="A10998" s="1"/>
    </row>
    <row r="10999">
      <c r="A10999" s="1"/>
    </row>
    <row r="11000">
      <c r="A11000" s="1"/>
    </row>
    <row r="11001">
      <c r="A11001" s="1"/>
    </row>
    <row r="11002">
      <c r="A11002" s="1"/>
    </row>
    <row r="11003">
      <c r="A11003" s="1"/>
    </row>
    <row r="11004">
      <c r="A11004" s="1"/>
    </row>
    <row r="11005">
      <c r="A11005" s="1"/>
    </row>
    <row r="11006">
      <c r="A11006" s="1"/>
    </row>
    <row r="11007">
      <c r="A11007" s="1"/>
    </row>
    <row r="11008">
      <c r="A11008" s="1"/>
    </row>
    <row r="11009">
      <c r="A11009" s="1"/>
    </row>
    <row r="11010">
      <c r="A11010" s="1"/>
    </row>
    <row r="11011">
      <c r="A11011" s="1"/>
    </row>
    <row r="11012">
      <c r="A11012" s="1"/>
    </row>
    <row r="11013">
      <c r="A11013" s="1"/>
    </row>
    <row r="11014">
      <c r="A11014" s="1"/>
    </row>
    <row r="11015">
      <c r="A11015" s="1"/>
    </row>
    <row r="11016">
      <c r="A11016" s="1"/>
    </row>
    <row r="11017">
      <c r="A11017" s="1"/>
    </row>
    <row r="11018">
      <c r="A11018" s="1"/>
    </row>
    <row r="11019">
      <c r="A11019" s="1"/>
    </row>
    <row r="11020">
      <c r="A11020" s="1"/>
    </row>
    <row r="11021">
      <c r="A11021" s="1"/>
    </row>
    <row r="11022">
      <c r="A11022" s="1"/>
    </row>
    <row r="11023">
      <c r="A11023" s="1"/>
    </row>
    <row r="11024">
      <c r="A11024" s="1"/>
    </row>
    <row r="11025">
      <c r="A11025" s="1"/>
    </row>
    <row r="11026">
      <c r="A11026" s="1"/>
    </row>
    <row r="11027">
      <c r="A11027" s="1"/>
    </row>
    <row r="11028">
      <c r="A11028" s="1"/>
    </row>
    <row r="11029">
      <c r="A11029" s="1"/>
    </row>
    <row r="11030">
      <c r="A11030" s="1"/>
    </row>
    <row r="11031">
      <c r="A11031" s="1"/>
    </row>
    <row r="11032">
      <c r="A11032" s="1"/>
    </row>
    <row r="11033">
      <c r="A11033" s="1"/>
    </row>
    <row r="11034">
      <c r="A11034" s="1"/>
    </row>
    <row r="11035">
      <c r="A11035" s="1"/>
    </row>
    <row r="11036">
      <c r="A11036" s="1"/>
    </row>
    <row r="11037">
      <c r="A11037" s="1"/>
    </row>
    <row r="11038">
      <c r="A11038" s="1"/>
    </row>
    <row r="11039">
      <c r="A11039" s="1"/>
    </row>
    <row r="11040">
      <c r="A11040" s="1"/>
    </row>
    <row r="11041">
      <c r="A11041" s="1"/>
    </row>
    <row r="11042">
      <c r="A11042" s="1"/>
    </row>
    <row r="11043">
      <c r="A11043" s="1"/>
    </row>
    <row r="11044">
      <c r="A11044" s="1"/>
    </row>
    <row r="11045">
      <c r="A11045" s="1"/>
    </row>
    <row r="11046">
      <c r="A11046" s="1"/>
    </row>
    <row r="11047">
      <c r="A11047" s="1"/>
    </row>
    <row r="11048">
      <c r="A11048" s="1"/>
    </row>
    <row r="11049">
      <c r="A11049" s="1"/>
    </row>
    <row r="11050">
      <c r="A11050" s="1"/>
    </row>
    <row r="11051">
      <c r="A11051" s="1"/>
    </row>
    <row r="11052">
      <c r="A11052" s="1"/>
    </row>
    <row r="11053">
      <c r="A11053" s="1"/>
    </row>
    <row r="11054">
      <c r="A11054" s="1"/>
    </row>
    <row r="11055">
      <c r="A11055" s="1"/>
    </row>
    <row r="11056">
      <c r="A11056" s="1"/>
    </row>
    <row r="11057">
      <c r="A11057" s="1"/>
    </row>
    <row r="11058">
      <c r="A11058" s="1"/>
    </row>
    <row r="11059">
      <c r="A11059" s="1"/>
    </row>
    <row r="11060">
      <c r="A11060" s="1"/>
    </row>
    <row r="11061">
      <c r="A11061" s="1"/>
    </row>
    <row r="11062">
      <c r="A11062" s="1"/>
    </row>
    <row r="11063">
      <c r="A11063" s="1"/>
    </row>
    <row r="11064">
      <c r="A11064" s="1"/>
    </row>
    <row r="11065">
      <c r="A11065" s="1"/>
    </row>
    <row r="11066">
      <c r="A11066" s="1"/>
    </row>
    <row r="11067">
      <c r="A11067" s="1"/>
    </row>
    <row r="11068">
      <c r="A11068" s="1"/>
    </row>
    <row r="11069">
      <c r="A11069" s="1"/>
    </row>
    <row r="11070">
      <c r="A11070" s="1"/>
    </row>
    <row r="11071">
      <c r="A11071" s="1"/>
    </row>
    <row r="11072">
      <c r="A11072" s="1"/>
    </row>
    <row r="11073">
      <c r="A11073" s="1"/>
    </row>
    <row r="11074">
      <c r="A11074" s="1"/>
    </row>
    <row r="11075">
      <c r="A11075" s="1"/>
    </row>
    <row r="11076">
      <c r="A11076" s="1"/>
    </row>
    <row r="11077">
      <c r="A11077" s="1"/>
    </row>
    <row r="11078">
      <c r="A11078" s="1"/>
    </row>
    <row r="11079">
      <c r="A11079" s="1"/>
    </row>
    <row r="11080">
      <c r="A11080" s="1"/>
    </row>
    <row r="11081">
      <c r="A11081" s="1"/>
    </row>
    <row r="11082">
      <c r="A11082" s="1"/>
    </row>
    <row r="11083">
      <c r="A11083" s="1"/>
    </row>
    <row r="11084">
      <c r="A11084" s="1"/>
    </row>
    <row r="11085">
      <c r="A11085" s="1"/>
    </row>
    <row r="11086">
      <c r="A11086" s="1"/>
    </row>
    <row r="11087">
      <c r="A11087" s="1"/>
    </row>
    <row r="11088">
      <c r="A11088" s="1"/>
    </row>
    <row r="11089">
      <c r="A11089" s="1"/>
    </row>
    <row r="11090">
      <c r="A11090" s="1"/>
    </row>
    <row r="11091">
      <c r="A11091" s="1"/>
    </row>
    <row r="11092">
      <c r="A11092" s="1"/>
    </row>
    <row r="11093">
      <c r="A11093" s="1"/>
    </row>
    <row r="11094">
      <c r="A11094" s="1"/>
    </row>
    <row r="11095">
      <c r="A11095" s="1"/>
    </row>
    <row r="11096">
      <c r="A11096" s="1"/>
    </row>
    <row r="11097">
      <c r="A11097" s="1"/>
    </row>
    <row r="11098">
      <c r="A11098" s="1"/>
    </row>
    <row r="11099">
      <c r="A11099" s="1"/>
    </row>
    <row r="11100">
      <c r="A11100" s="1"/>
    </row>
    <row r="11101">
      <c r="A11101" s="1"/>
    </row>
    <row r="11102">
      <c r="A11102" s="1"/>
    </row>
    <row r="11103">
      <c r="A11103" s="1"/>
    </row>
    <row r="11104">
      <c r="A11104" s="1"/>
    </row>
    <row r="11105">
      <c r="A11105" s="1"/>
    </row>
    <row r="11106">
      <c r="A11106" s="1"/>
    </row>
    <row r="11107">
      <c r="A11107" s="1"/>
    </row>
    <row r="11108">
      <c r="A11108" s="1"/>
    </row>
    <row r="11109">
      <c r="A11109" s="1"/>
    </row>
    <row r="11110">
      <c r="A11110" s="1"/>
    </row>
    <row r="11111">
      <c r="A11111" s="1"/>
    </row>
    <row r="11112">
      <c r="A11112" s="1"/>
    </row>
    <row r="11113">
      <c r="A11113" s="1"/>
    </row>
    <row r="11114">
      <c r="A11114" s="1"/>
    </row>
    <row r="11115">
      <c r="A11115" s="1"/>
    </row>
    <row r="11116">
      <c r="A11116" s="1"/>
    </row>
    <row r="11117">
      <c r="A11117" s="1"/>
    </row>
    <row r="11118">
      <c r="A11118" s="1"/>
    </row>
    <row r="11119">
      <c r="A11119" s="1"/>
    </row>
    <row r="11120">
      <c r="A11120" s="1"/>
    </row>
    <row r="11121">
      <c r="A11121" s="1"/>
    </row>
    <row r="11122">
      <c r="A11122" s="1"/>
    </row>
    <row r="11123">
      <c r="A11123" s="1"/>
    </row>
    <row r="11124">
      <c r="A11124" s="1"/>
    </row>
    <row r="11125">
      <c r="A11125" s="1"/>
    </row>
    <row r="11126">
      <c r="A11126" s="1"/>
    </row>
    <row r="11127">
      <c r="A11127" s="1"/>
    </row>
    <row r="11128">
      <c r="A11128" s="1"/>
    </row>
    <row r="11129">
      <c r="A11129" s="1"/>
    </row>
    <row r="11130">
      <c r="A11130" s="1"/>
    </row>
    <row r="11131">
      <c r="A11131" s="1"/>
    </row>
    <row r="11132">
      <c r="A11132" s="1"/>
    </row>
    <row r="11133">
      <c r="A11133" s="1"/>
    </row>
    <row r="11134">
      <c r="A11134" s="1"/>
    </row>
    <row r="11135">
      <c r="A11135" s="1"/>
    </row>
    <row r="11136">
      <c r="A11136" s="1"/>
    </row>
    <row r="11137">
      <c r="A11137" s="1"/>
    </row>
    <row r="11138">
      <c r="A11138" s="1"/>
    </row>
    <row r="11139">
      <c r="A11139" s="1"/>
    </row>
    <row r="11140">
      <c r="A11140" s="1"/>
    </row>
    <row r="11141">
      <c r="A11141" s="1"/>
    </row>
    <row r="11142">
      <c r="A11142" s="1"/>
    </row>
    <row r="11143">
      <c r="A11143" s="1"/>
    </row>
    <row r="11144">
      <c r="A11144" s="1"/>
    </row>
    <row r="11145">
      <c r="A11145" s="1"/>
    </row>
    <row r="11146">
      <c r="A11146" s="1"/>
    </row>
    <row r="11147">
      <c r="A11147" s="1"/>
    </row>
    <row r="11148">
      <c r="A11148" s="1"/>
    </row>
    <row r="11149">
      <c r="A11149" s="1"/>
    </row>
    <row r="11150">
      <c r="A11150" s="1"/>
    </row>
    <row r="11151">
      <c r="A11151" s="1"/>
    </row>
    <row r="11152">
      <c r="A11152" s="1"/>
    </row>
    <row r="11153">
      <c r="A11153" s="1"/>
    </row>
    <row r="11154">
      <c r="A11154" s="1"/>
    </row>
    <row r="11155">
      <c r="A11155" s="1"/>
    </row>
    <row r="11156">
      <c r="A11156" s="1"/>
    </row>
    <row r="11157">
      <c r="A11157" s="1"/>
    </row>
    <row r="11158">
      <c r="A11158" s="1"/>
    </row>
    <row r="11159">
      <c r="A11159" s="1"/>
    </row>
    <row r="11160">
      <c r="A11160" s="1"/>
    </row>
    <row r="11161">
      <c r="A11161" s="1"/>
    </row>
    <row r="11162">
      <c r="A11162" s="1"/>
    </row>
    <row r="11163">
      <c r="A11163" s="1"/>
    </row>
    <row r="11164">
      <c r="A11164" s="1"/>
    </row>
    <row r="11165">
      <c r="A11165" s="1"/>
    </row>
    <row r="11166">
      <c r="A11166" s="1"/>
    </row>
    <row r="11167">
      <c r="A11167" s="1"/>
    </row>
    <row r="11168">
      <c r="A11168" s="1"/>
    </row>
    <row r="11169">
      <c r="A11169" s="1"/>
    </row>
    <row r="11170">
      <c r="A11170" s="1"/>
    </row>
    <row r="11171">
      <c r="A11171" s="1"/>
    </row>
    <row r="11172">
      <c r="A11172" s="1"/>
    </row>
    <row r="11173">
      <c r="A11173" s="1"/>
    </row>
    <row r="11174">
      <c r="A11174" s="1"/>
    </row>
    <row r="11175">
      <c r="A11175" s="1"/>
    </row>
    <row r="11176">
      <c r="A11176" s="1"/>
    </row>
    <row r="11177">
      <c r="A11177" s="1"/>
    </row>
    <row r="11178">
      <c r="A11178" s="1"/>
    </row>
    <row r="11179">
      <c r="A11179" s="1"/>
    </row>
    <row r="11180">
      <c r="A11180" s="1"/>
    </row>
    <row r="11181">
      <c r="A11181" s="1"/>
    </row>
    <row r="11182">
      <c r="A11182" s="1"/>
    </row>
    <row r="11183">
      <c r="A11183" s="1"/>
    </row>
    <row r="11184">
      <c r="A11184" s="1"/>
    </row>
    <row r="11185">
      <c r="A11185" s="1"/>
    </row>
    <row r="11186">
      <c r="A11186" s="1"/>
    </row>
    <row r="11187">
      <c r="A11187" s="1"/>
    </row>
    <row r="11188">
      <c r="A11188" s="1"/>
    </row>
    <row r="11189">
      <c r="A11189" s="1"/>
    </row>
    <row r="11190">
      <c r="A11190" s="1"/>
    </row>
    <row r="11191">
      <c r="A11191" s="1"/>
    </row>
    <row r="11192">
      <c r="A11192" s="1"/>
    </row>
    <row r="11193">
      <c r="A11193" s="1"/>
    </row>
    <row r="11194">
      <c r="A11194" s="1"/>
    </row>
    <row r="11195">
      <c r="A11195" s="1"/>
    </row>
    <row r="11196">
      <c r="A11196" s="1"/>
    </row>
    <row r="11197">
      <c r="A11197" s="1"/>
    </row>
    <row r="11198">
      <c r="A11198" s="1"/>
    </row>
    <row r="11199">
      <c r="A11199" s="1"/>
    </row>
    <row r="11200">
      <c r="A11200" s="1"/>
    </row>
    <row r="11201">
      <c r="A11201" s="1"/>
    </row>
    <row r="11202">
      <c r="A11202" s="1"/>
    </row>
    <row r="11203">
      <c r="A11203" s="1"/>
    </row>
    <row r="11204">
      <c r="A11204" s="1"/>
    </row>
    <row r="11205">
      <c r="A11205" s="1"/>
    </row>
    <row r="11206">
      <c r="A11206" s="1"/>
    </row>
    <row r="11207">
      <c r="A11207" s="1"/>
    </row>
    <row r="11208">
      <c r="A11208" s="1"/>
    </row>
    <row r="11209">
      <c r="A11209" s="1"/>
    </row>
    <row r="11210">
      <c r="A11210" s="1"/>
    </row>
    <row r="11211">
      <c r="A11211" s="1"/>
    </row>
    <row r="11212">
      <c r="A11212" s="1"/>
    </row>
    <row r="11213">
      <c r="A11213" s="1"/>
    </row>
    <row r="11214">
      <c r="A11214" s="1"/>
    </row>
    <row r="11215">
      <c r="A11215" s="1"/>
    </row>
    <row r="11216">
      <c r="A11216" s="1"/>
    </row>
    <row r="11217">
      <c r="A11217" s="1"/>
    </row>
    <row r="11218">
      <c r="A11218" s="1"/>
    </row>
    <row r="11219">
      <c r="A11219" s="1"/>
    </row>
    <row r="11220">
      <c r="A11220" s="1"/>
    </row>
    <row r="11221">
      <c r="A11221" s="1"/>
    </row>
    <row r="11222">
      <c r="A11222" s="1"/>
    </row>
    <row r="11223">
      <c r="A11223" s="1"/>
    </row>
    <row r="11224">
      <c r="A11224" s="1"/>
    </row>
    <row r="11225">
      <c r="A11225" s="1"/>
    </row>
    <row r="11226">
      <c r="A11226" s="1"/>
    </row>
    <row r="11227">
      <c r="A11227" s="1"/>
    </row>
    <row r="11228">
      <c r="A11228" s="1"/>
    </row>
    <row r="11229">
      <c r="A11229" s="1"/>
    </row>
    <row r="11230">
      <c r="A11230" s="1"/>
    </row>
    <row r="11231">
      <c r="A11231" s="1"/>
    </row>
    <row r="11232">
      <c r="A11232" s="1"/>
    </row>
    <row r="11233">
      <c r="A11233" s="1"/>
    </row>
    <row r="11234">
      <c r="A11234" s="1"/>
    </row>
    <row r="11235">
      <c r="A11235" s="1"/>
    </row>
    <row r="11236">
      <c r="A11236" s="1"/>
    </row>
    <row r="11237">
      <c r="A11237" s="1"/>
    </row>
    <row r="11238">
      <c r="A11238" s="1"/>
    </row>
    <row r="11239">
      <c r="A11239" s="1"/>
    </row>
    <row r="11240">
      <c r="A11240" s="1"/>
    </row>
    <row r="11241">
      <c r="A11241" s="1"/>
    </row>
    <row r="11242">
      <c r="A11242" s="1"/>
    </row>
    <row r="11243">
      <c r="A11243" s="1"/>
    </row>
    <row r="11244">
      <c r="A11244" s="1"/>
    </row>
    <row r="11245">
      <c r="A11245" s="1"/>
    </row>
    <row r="11246">
      <c r="A11246" s="1"/>
    </row>
    <row r="11247">
      <c r="A11247" s="1"/>
    </row>
    <row r="11248">
      <c r="A11248" s="1"/>
    </row>
    <row r="11249">
      <c r="A11249" s="1"/>
    </row>
    <row r="11250">
      <c r="A11250" s="1"/>
    </row>
    <row r="11251">
      <c r="A11251" s="1"/>
    </row>
    <row r="11252">
      <c r="A11252" s="1"/>
    </row>
    <row r="11253">
      <c r="A11253" s="1"/>
    </row>
    <row r="11254">
      <c r="A11254" s="1"/>
    </row>
    <row r="11255">
      <c r="A11255" s="1"/>
    </row>
    <row r="11256">
      <c r="A11256" s="1"/>
    </row>
    <row r="11257">
      <c r="A11257" s="1"/>
    </row>
    <row r="11258">
      <c r="A11258" s="1"/>
    </row>
    <row r="11259">
      <c r="A11259" s="1"/>
    </row>
    <row r="11260">
      <c r="A11260" s="1"/>
    </row>
    <row r="11261">
      <c r="A11261" s="1"/>
    </row>
    <row r="11262">
      <c r="A11262" s="1"/>
    </row>
    <row r="11263">
      <c r="A11263" s="1"/>
    </row>
    <row r="11264">
      <c r="A11264" s="1"/>
    </row>
    <row r="11265">
      <c r="A11265" s="1"/>
    </row>
    <row r="11266">
      <c r="A11266" s="1"/>
    </row>
    <row r="11267">
      <c r="A11267" s="1"/>
    </row>
    <row r="11268">
      <c r="A11268" s="1"/>
    </row>
    <row r="11269">
      <c r="A11269" s="1"/>
    </row>
    <row r="11270">
      <c r="A11270" s="1"/>
    </row>
    <row r="11271">
      <c r="A11271" s="1"/>
    </row>
    <row r="11272">
      <c r="A11272" s="1"/>
    </row>
    <row r="11273">
      <c r="A11273" s="1"/>
    </row>
    <row r="11274">
      <c r="A11274" s="1"/>
    </row>
    <row r="11275">
      <c r="A11275" s="1"/>
    </row>
    <row r="11276">
      <c r="A11276" s="1"/>
    </row>
    <row r="11277">
      <c r="A11277" s="1"/>
    </row>
    <row r="11278">
      <c r="A11278" s="1"/>
    </row>
    <row r="11279">
      <c r="A11279" s="1"/>
    </row>
    <row r="11280">
      <c r="A11280" s="1"/>
    </row>
    <row r="11281">
      <c r="A11281" s="1"/>
    </row>
    <row r="11282">
      <c r="A11282" s="1"/>
    </row>
    <row r="11283">
      <c r="A11283" s="1"/>
    </row>
    <row r="11284">
      <c r="A11284" s="1"/>
    </row>
    <row r="11285">
      <c r="A11285" s="1"/>
    </row>
    <row r="11286">
      <c r="A11286" s="1"/>
    </row>
    <row r="11287">
      <c r="A11287" s="1"/>
    </row>
    <row r="11288">
      <c r="A11288" s="1"/>
    </row>
    <row r="11289">
      <c r="A11289" s="1"/>
    </row>
    <row r="11290">
      <c r="A11290" s="1"/>
    </row>
    <row r="11291">
      <c r="A11291" s="1"/>
    </row>
    <row r="11292">
      <c r="A11292" s="1"/>
    </row>
    <row r="11293">
      <c r="A11293" s="1"/>
    </row>
    <row r="11294">
      <c r="A11294" s="1"/>
    </row>
    <row r="11295">
      <c r="A11295" s="1"/>
    </row>
    <row r="11296">
      <c r="A11296" s="1"/>
    </row>
    <row r="11297">
      <c r="A11297" s="1"/>
    </row>
    <row r="11298">
      <c r="A11298" s="1"/>
    </row>
    <row r="11299">
      <c r="A11299" s="1"/>
    </row>
    <row r="11300">
      <c r="A11300" s="1"/>
    </row>
    <row r="11301">
      <c r="A11301" s="1"/>
    </row>
    <row r="11302">
      <c r="A11302" s="1"/>
    </row>
    <row r="11303">
      <c r="A11303" s="1"/>
    </row>
    <row r="11304">
      <c r="A11304" s="1"/>
    </row>
    <row r="11305">
      <c r="A11305" s="1"/>
    </row>
    <row r="11306">
      <c r="A11306" s="1"/>
    </row>
    <row r="11307">
      <c r="A11307" s="1"/>
    </row>
    <row r="11308">
      <c r="A11308" s="1"/>
    </row>
    <row r="11309">
      <c r="A11309" s="1"/>
    </row>
    <row r="11310">
      <c r="A11310" s="1"/>
    </row>
    <row r="11311">
      <c r="A11311" s="1"/>
    </row>
    <row r="11312">
      <c r="A11312" s="1"/>
    </row>
    <row r="11313">
      <c r="A11313" s="1"/>
    </row>
    <row r="11314">
      <c r="A11314" s="1"/>
    </row>
    <row r="11315">
      <c r="A11315" s="1"/>
    </row>
    <row r="11316">
      <c r="A11316" s="1"/>
    </row>
    <row r="11317">
      <c r="A11317" s="1"/>
    </row>
    <row r="11318">
      <c r="A11318" s="1"/>
    </row>
    <row r="11319">
      <c r="A11319" s="1"/>
    </row>
    <row r="11320">
      <c r="A11320" s="1"/>
    </row>
    <row r="11321">
      <c r="A11321" s="1"/>
    </row>
    <row r="11322">
      <c r="A11322" s="1"/>
    </row>
    <row r="11323">
      <c r="A11323" s="1"/>
    </row>
    <row r="11324">
      <c r="A11324" s="1"/>
    </row>
    <row r="11325">
      <c r="A11325" s="1"/>
    </row>
    <row r="11326">
      <c r="A11326" s="1"/>
    </row>
    <row r="11327">
      <c r="A11327" s="1"/>
    </row>
    <row r="11328">
      <c r="A11328" s="1"/>
    </row>
    <row r="11329">
      <c r="A11329" s="1"/>
    </row>
    <row r="11330">
      <c r="A11330" s="1"/>
    </row>
    <row r="11331">
      <c r="A11331" s="1"/>
    </row>
    <row r="11332">
      <c r="A11332" s="1"/>
    </row>
    <row r="11333">
      <c r="A11333" s="1"/>
    </row>
    <row r="11334">
      <c r="A11334" s="1"/>
    </row>
    <row r="11335">
      <c r="A11335" s="1"/>
    </row>
    <row r="11336">
      <c r="A11336" s="1"/>
    </row>
    <row r="11337">
      <c r="A11337" s="1"/>
    </row>
    <row r="11338">
      <c r="A11338" s="1"/>
    </row>
    <row r="11339">
      <c r="A11339" s="1"/>
    </row>
    <row r="11340">
      <c r="A11340" s="1"/>
    </row>
    <row r="11341">
      <c r="A11341" s="1"/>
    </row>
    <row r="11342">
      <c r="A11342" s="1"/>
    </row>
    <row r="11343">
      <c r="A11343" s="1"/>
    </row>
    <row r="11344">
      <c r="A11344" s="1"/>
    </row>
    <row r="11345">
      <c r="A11345" s="1"/>
    </row>
    <row r="11346">
      <c r="A11346" s="1"/>
    </row>
    <row r="11347">
      <c r="A11347" s="1"/>
    </row>
    <row r="11348">
      <c r="A11348" s="1"/>
    </row>
    <row r="11349">
      <c r="A11349" s="1"/>
    </row>
    <row r="11350">
      <c r="A11350" s="1"/>
    </row>
    <row r="11351">
      <c r="A11351" s="1"/>
    </row>
    <row r="11352">
      <c r="A11352" s="1"/>
    </row>
    <row r="11353">
      <c r="A11353" s="1"/>
    </row>
    <row r="11354">
      <c r="A11354" s="1"/>
    </row>
    <row r="11355">
      <c r="A11355" s="1"/>
    </row>
    <row r="11356">
      <c r="A11356" s="1"/>
    </row>
    <row r="11357">
      <c r="A11357" s="1"/>
    </row>
    <row r="11358">
      <c r="A11358" s="1"/>
    </row>
    <row r="11359">
      <c r="A11359" s="1"/>
    </row>
    <row r="11360">
      <c r="A11360" s="1"/>
    </row>
    <row r="11361">
      <c r="A11361" s="1"/>
    </row>
    <row r="11362">
      <c r="A11362" s="1"/>
    </row>
    <row r="11363">
      <c r="A11363" s="1"/>
    </row>
    <row r="11364">
      <c r="A11364" s="1"/>
    </row>
    <row r="11365">
      <c r="A11365" s="1"/>
    </row>
    <row r="11366">
      <c r="A11366" s="1"/>
    </row>
    <row r="11367">
      <c r="A11367" s="1"/>
    </row>
    <row r="11368">
      <c r="A11368" s="1"/>
    </row>
    <row r="11369">
      <c r="A11369" s="1"/>
    </row>
    <row r="11370">
      <c r="A11370" s="1"/>
    </row>
    <row r="11371">
      <c r="A11371" s="1"/>
    </row>
    <row r="11372">
      <c r="A11372" s="1"/>
    </row>
    <row r="11373">
      <c r="A11373" s="1"/>
    </row>
    <row r="11374">
      <c r="A11374" s="1"/>
    </row>
    <row r="11375">
      <c r="A11375" s="1"/>
    </row>
    <row r="11376">
      <c r="A11376" s="1"/>
    </row>
    <row r="11377">
      <c r="A11377" s="1"/>
    </row>
    <row r="11378">
      <c r="A11378" s="1"/>
    </row>
    <row r="11379">
      <c r="A11379" s="1"/>
    </row>
    <row r="11380">
      <c r="A11380" s="1"/>
    </row>
    <row r="11381">
      <c r="A11381" s="1"/>
    </row>
    <row r="11382">
      <c r="A11382" s="1"/>
    </row>
    <row r="11383">
      <c r="A11383" s="1"/>
    </row>
    <row r="11384">
      <c r="A11384" s="1"/>
    </row>
    <row r="11385">
      <c r="A11385" s="1"/>
    </row>
    <row r="11386">
      <c r="A11386" s="1"/>
    </row>
    <row r="11387">
      <c r="A11387" s="1"/>
    </row>
    <row r="11388">
      <c r="A11388" s="1"/>
    </row>
    <row r="11389">
      <c r="A11389" s="1"/>
    </row>
    <row r="11390">
      <c r="A11390" s="1"/>
    </row>
    <row r="11391">
      <c r="A11391" s="1"/>
    </row>
    <row r="11392">
      <c r="A11392" s="1"/>
    </row>
    <row r="11393">
      <c r="A11393" s="1"/>
    </row>
    <row r="11394">
      <c r="A11394" s="1"/>
    </row>
    <row r="11395">
      <c r="A11395" s="1"/>
    </row>
    <row r="11396">
      <c r="A11396" s="1"/>
    </row>
    <row r="11397">
      <c r="A11397" s="1"/>
    </row>
    <row r="11398">
      <c r="A11398" s="1"/>
    </row>
    <row r="11399">
      <c r="A11399" s="1"/>
    </row>
    <row r="11400">
      <c r="A11400" s="1"/>
    </row>
    <row r="11401">
      <c r="A11401" s="1"/>
    </row>
    <row r="11402">
      <c r="A11402" s="1"/>
    </row>
    <row r="11403">
      <c r="A11403" s="1"/>
    </row>
    <row r="11404">
      <c r="A11404" s="1"/>
    </row>
    <row r="11405">
      <c r="A11405" s="1"/>
    </row>
    <row r="11406">
      <c r="A11406" s="1"/>
    </row>
    <row r="11407">
      <c r="A11407" s="1"/>
    </row>
    <row r="11408">
      <c r="A11408" s="1"/>
    </row>
    <row r="11409">
      <c r="A11409" s="1"/>
    </row>
    <row r="11410">
      <c r="A11410" s="1"/>
    </row>
    <row r="11411">
      <c r="A11411" s="1"/>
    </row>
    <row r="11412">
      <c r="A11412" s="1"/>
    </row>
    <row r="11413">
      <c r="A11413" s="1"/>
    </row>
    <row r="11414">
      <c r="A11414" s="1"/>
    </row>
    <row r="11415">
      <c r="A11415" s="1"/>
    </row>
    <row r="11416">
      <c r="A11416" s="1"/>
    </row>
    <row r="11417">
      <c r="A11417" s="1"/>
    </row>
    <row r="11418">
      <c r="A11418" s="1"/>
    </row>
    <row r="11419">
      <c r="A11419" s="1"/>
    </row>
    <row r="11420">
      <c r="A11420" s="1"/>
    </row>
    <row r="11421">
      <c r="A11421" s="1"/>
    </row>
    <row r="11422">
      <c r="A11422" s="1"/>
    </row>
    <row r="11423">
      <c r="A11423" s="1"/>
    </row>
    <row r="11424">
      <c r="A11424" s="1"/>
    </row>
    <row r="11425">
      <c r="A11425" s="1"/>
    </row>
    <row r="11426">
      <c r="A11426" s="1"/>
    </row>
    <row r="11427">
      <c r="A11427" s="1"/>
    </row>
    <row r="11428">
      <c r="A11428" s="1"/>
    </row>
    <row r="11429">
      <c r="A11429" s="1"/>
    </row>
    <row r="11430">
      <c r="A11430" s="1"/>
    </row>
    <row r="11431">
      <c r="A11431" s="1"/>
    </row>
    <row r="11432">
      <c r="A11432" s="1"/>
    </row>
    <row r="11433">
      <c r="A11433" s="1"/>
    </row>
    <row r="11434">
      <c r="A11434" s="1"/>
    </row>
    <row r="11435">
      <c r="A11435" s="1"/>
    </row>
    <row r="11436">
      <c r="A11436" s="1"/>
    </row>
    <row r="11437">
      <c r="A11437" s="1"/>
    </row>
    <row r="11438">
      <c r="A11438" s="1"/>
    </row>
    <row r="11439">
      <c r="A11439" s="1"/>
    </row>
    <row r="11440">
      <c r="A11440" s="1"/>
    </row>
    <row r="11441">
      <c r="A11441" s="1"/>
    </row>
    <row r="11442">
      <c r="A11442" s="1"/>
    </row>
    <row r="11443">
      <c r="A11443" s="1"/>
    </row>
    <row r="11444">
      <c r="A11444" s="1"/>
    </row>
    <row r="11445">
      <c r="A11445" s="1"/>
    </row>
    <row r="11446">
      <c r="A11446" s="1"/>
    </row>
    <row r="11447">
      <c r="A11447" s="1"/>
    </row>
    <row r="11448">
      <c r="A11448" s="1"/>
    </row>
    <row r="11449">
      <c r="A11449" s="1"/>
    </row>
    <row r="11450">
      <c r="A11450" s="1"/>
    </row>
    <row r="11451">
      <c r="A11451" s="1"/>
    </row>
    <row r="11452">
      <c r="A11452" s="1"/>
    </row>
    <row r="11453">
      <c r="A11453" s="1"/>
    </row>
    <row r="11454">
      <c r="A11454" s="1"/>
    </row>
    <row r="11455">
      <c r="A11455" s="1"/>
    </row>
    <row r="11456">
      <c r="A11456" s="1"/>
    </row>
    <row r="11457">
      <c r="A11457" s="1"/>
    </row>
    <row r="11458">
      <c r="A11458" s="1"/>
    </row>
    <row r="11459">
      <c r="A11459" s="1"/>
    </row>
    <row r="11460">
      <c r="A11460" s="1"/>
    </row>
    <row r="11461">
      <c r="A11461" s="1"/>
    </row>
    <row r="11462">
      <c r="A11462" s="1"/>
    </row>
    <row r="11463">
      <c r="A11463" s="1"/>
    </row>
    <row r="11464">
      <c r="A11464" s="1"/>
    </row>
    <row r="11465">
      <c r="A11465" s="1"/>
    </row>
    <row r="11466">
      <c r="A11466" s="1"/>
    </row>
    <row r="11467">
      <c r="A11467" s="1"/>
    </row>
    <row r="11468">
      <c r="A11468" s="1"/>
    </row>
    <row r="11469">
      <c r="A11469" s="1"/>
    </row>
    <row r="11470">
      <c r="A11470" s="1"/>
    </row>
    <row r="11471">
      <c r="A11471" s="1"/>
    </row>
    <row r="11472">
      <c r="A11472" s="1"/>
    </row>
    <row r="11473">
      <c r="A11473" s="1"/>
    </row>
    <row r="11474">
      <c r="A11474" s="1"/>
    </row>
    <row r="11475">
      <c r="A11475" s="1"/>
    </row>
    <row r="11476">
      <c r="A11476" s="1"/>
    </row>
    <row r="11477">
      <c r="A11477" s="1"/>
    </row>
    <row r="11478">
      <c r="A11478" s="1"/>
    </row>
    <row r="11479">
      <c r="A11479" s="1"/>
    </row>
    <row r="11480">
      <c r="A11480" s="1"/>
    </row>
    <row r="11481">
      <c r="A11481" s="1"/>
    </row>
    <row r="11482">
      <c r="A11482" s="1"/>
    </row>
    <row r="11483">
      <c r="A11483" s="1"/>
    </row>
    <row r="11484">
      <c r="A11484" s="1"/>
    </row>
    <row r="11485">
      <c r="A11485" s="1"/>
    </row>
    <row r="11486">
      <c r="A11486" s="1"/>
    </row>
    <row r="11487">
      <c r="A11487" s="1"/>
    </row>
    <row r="11488">
      <c r="A11488" s="1"/>
    </row>
    <row r="11489">
      <c r="A11489" s="1"/>
    </row>
    <row r="11490">
      <c r="A11490" s="1"/>
    </row>
    <row r="11491">
      <c r="A11491" s="1"/>
    </row>
    <row r="11492">
      <c r="A11492" s="1"/>
    </row>
    <row r="11493">
      <c r="A11493" s="1"/>
    </row>
    <row r="11494">
      <c r="A11494" s="1"/>
    </row>
    <row r="11495">
      <c r="A11495" s="1"/>
    </row>
    <row r="11496">
      <c r="A11496" s="1"/>
    </row>
    <row r="11497">
      <c r="A11497" s="1"/>
    </row>
    <row r="11498">
      <c r="A11498" s="1"/>
    </row>
    <row r="11499">
      <c r="A11499" s="1"/>
    </row>
    <row r="11500">
      <c r="A11500" s="1"/>
    </row>
    <row r="11501">
      <c r="A11501" s="1"/>
    </row>
    <row r="11502">
      <c r="A11502" s="1"/>
    </row>
    <row r="11503">
      <c r="A11503" s="1"/>
    </row>
    <row r="11504">
      <c r="A11504" s="1"/>
    </row>
    <row r="11505">
      <c r="A11505" s="1"/>
    </row>
    <row r="11506">
      <c r="A11506" s="1"/>
    </row>
    <row r="11507">
      <c r="A11507" s="1"/>
    </row>
    <row r="11508">
      <c r="A11508" s="1"/>
    </row>
    <row r="11509">
      <c r="A11509" s="1"/>
    </row>
    <row r="11510">
      <c r="A11510" s="1"/>
    </row>
    <row r="11511">
      <c r="A11511" s="1"/>
    </row>
    <row r="11512">
      <c r="A11512" s="1"/>
    </row>
    <row r="11513">
      <c r="A11513" s="1"/>
    </row>
    <row r="11514">
      <c r="A11514" s="1"/>
    </row>
    <row r="11515">
      <c r="A11515" s="1"/>
    </row>
    <row r="11516">
      <c r="A11516" s="1"/>
    </row>
    <row r="11517">
      <c r="A11517" s="1"/>
    </row>
    <row r="11518">
      <c r="A11518" s="1"/>
    </row>
    <row r="11519">
      <c r="A11519" s="1"/>
    </row>
    <row r="11520">
      <c r="A11520" s="1"/>
    </row>
    <row r="11521">
      <c r="A11521" s="1"/>
    </row>
    <row r="11522">
      <c r="A11522" s="1"/>
    </row>
    <row r="11523">
      <c r="A11523" s="1"/>
    </row>
    <row r="11524">
      <c r="A11524" s="1"/>
    </row>
    <row r="11525">
      <c r="A11525" s="1"/>
    </row>
    <row r="11526">
      <c r="A11526" s="1"/>
    </row>
    <row r="11527">
      <c r="A11527" s="1"/>
    </row>
    <row r="11528">
      <c r="A11528" s="1"/>
    </row>
    <row r="11529">
      <c r="A11529" s="1"/>
    </row>
    <row r="11530">
      <c r="A11530" s="1"/>
    </row>
    <row r="11531">
      <c r="A11531" s="1"/>
    </row>
    <row r="11532">
      <c r="A11532" s="1"/>
    </row>
    <row r="11533">
      <c r="A11533" s="1"/>
    </row>
    <row r="11534">
      <c r="A11534" s="1"/>
    </row>
    <row r="11535">
      <c r="A11535" s="1"/>
    </row>
    <row r="11536">
      <c r="A11536" s="1"/>
    </row>
    <row r="11537">
      <c r="A11537" s="1"/>
    </row>
    <row r="11538">
      <c r="A11538" s="1"/>
    </row>
    <row r="11539">
      <c r="A11539" s="1"/>
    </row>
    <row r="11540">
      <c r="A11540" s="1"/>
    </row>
    <row r="11541">
      <c r="A11541" s="1"/>
    </row>
    <row r="11542">
      <c r="A11542" s="1"/>
    </row>
    <row r="11543">
      <c r="A11543" s="1"/>
    </row>
    <row r="11544">
      <c r="A11544" s="1"/>
    </row>
    <row r="11545">
      <c r="A11545" s="1"/>
    </row>
    <row r="11546">
      <c r="A11546" s="1"/>
    </row>
    <row r="11547">
      <c r="A11547" s="1"/>
    </row>
    <row r="11548">
      <c r="A11548" s="1"/>
    </row>
    <row r="11549">
      <c r="A11549" s="1"/>
    </row>
    <row r="11550">
      <c r="A11550" s="1"/>
    </row>
    <row r="11551">
      <c r="A11551" s="1"/>
    </row>
    <row r="11552">
      <c r="A11552" s="1"/>
    </row>
    <row r="11553">
      <c r="A11553" s="1"/>
    </row>
    <row r="11554">
      <c r="A11554" s="1"/>
    </row>
    <row r="11555">
      <c r="A11555" s="1"/>
    </row>
    <row r="11556">
      <c r="A11556" s="1"/>
    </row>
    <row r="11557">
      <c r="A11557" s="1"/>
    </row>
    <row r="11558">
      <c r="A11558" s="1"/>
    </row>
    <row r="11559">
      <c r="A11559" s="1"/>
    </row>
    <row r="11560">
      <c r="A11560" s="1"/>
    </row>
    <row r="11561">
      <c r="A11561" s="1"/>
    </row>
    <row r="11562">
      <c r="A11562" s="1"/>
    </row>
    <row r="11563">
      <c r="A11563" s="1"/>
    </row>
    <row r="11564">
      <c r="A11564" s="1"/>
    </row>
    <row r="11565">
      <c r="A11565" s="1"/>
    </row>
    <row r="11566">
      <c r="A11566" s="1"/>
    </row>
    <row r="11567">
      <c r="A11567" s="1"/>
    </row>
    <row r="11568">
      <c r="A11568" s="1"/>
    </row>
    <row r="11569">
      <c r="A11569" s="1"/>
    </row>
    <row r="11570">
      <c r="A11570" s="1"/>
    </row>
    <row r="11571">
      <c r="A11571" s="1"/>
    </row>
    <row r="11572">
      <c r="A11572" s="1"/>
    </row>
    <row r="11573">
      <c r="A11573" s="1"/>
    </row>
    <row r="11574">
      <c r="A11574" s="1"/>
    </row>
    <row r="11575">
      <c r="A11575" s="1"/>
    </row>
    <row r="11576">
      <c r="A11576" s="1"/>
    </row>
    <row r="11577">
      <c r="A11577" s="1"/>
    </row>
    <row r="11578">
      <c r="A11578" s="1"/>
    </row>
    <row r="11579">
      <c r="A11579" s="1"/>
    </row>
    <row r="11580">
      <c r="A11580" s="1"/>
    </row>
    <row r="11581">
      <c r="A11581" s="1"/>
    </row>
    <row r="11582">
      <c r="A11582" s="1"/>
    </row>
    <row r="11583">
      <c r="A11583" s="1"/>
    </row>
    <row r="11584">
      <c r="A11584" s="1"/>
    </row>
    <row r="11585">
      <c r="A11585" s="1"/>
    </row>
    <row r="11586">
      <c r="A11586" s="1"/>
    </row>
    <row r="11587">
      <c r="A11587" s="1"/>
    </row>
    <row r="11588">
      <c r="A11588" s="1"/>
    </row>
    <row r="11589">
      <c r="A11589" s="1"/>
    </row>
    <row r="11590">
      <c r="A11590" s="1"/>
    </row>
    <row r="11591">
      <c r="A11591" s="1"/>
    </row>
    <row r="11592">
      <c r="A11592" s="1"/>
    </row>
    <row r="11593">
      <c r="A11593" s="1"/>
    </row>
    <row r="11594">
      <c r="A11594" s="1"/>
    </row>
    <row r="11595">
      <c r="A11595" s="1"/>
    </row>
    <row r="11596">
      <c r="A11596" s="1"/>
    </row>
    <row r="11597">
      <c r="A11597" s="1"/>
    </row>
    <row r="11598">
      <c r="A11598" s="1"/>
    </row>
    <row r="11599">
      <c r="A11599" s="1"/>
    </row>
    <row r="11600">
      <c r="A11600" s="1"/>
    </row>
    <row r="11601">
      <c r="A11601" s="1"/>
    </row>
    <row r="11602">
      <c r="A11602" s="1"/>
    </row>
    <row r="11603">
      <c r="A11603" s="1"/>
    </row>
    <row r="11604">
      <c r="A11604" s="1"/>
    </row>
    <row r="11605">
      <c r="A11605" s="1"/>
    </row>
    <row r="11606">
      <c r="A11606" s="1"/>
    </row>
    <row r="11607">
      <c r="A11607" s="1"/>
    </row>
    <row r="11608">
      <c r="A11608" s="1"/>
    </row>
    <row r="11609">
      <c r="A11609" s="1"/>
    </row>
    <row r="11610">
      <c r="A11610" s="1"/>
    </row>
    <row r="11611">
      <c r="A11611" s="1"/>
    </row>
    <row r="11612">
      <c r="A11612" s="1"/>
    </row>
    <row r="11613">
      <c r="A11613" s="1"/>
    </row>
    <row r="11614">
      <c r="A11614" s="1"/>
    </row>
    <row r="11615">
      <c r="A11615" s="1"/>
    </row>
    <row r="11616">
      <c r="A11616" s="1"/>
    </row>
    <row r="11617">
      <c r="A11617" s="1"/>
    </row>
    <row r="11618">
      <c r="A11618" s="1"/>
    </row>
    <row r="11619">
      <c r="A11619" s="1"/>
    </row>
    <row r="11620">
      <c r="A11620" s="1"/>
    </row>
    <row r="11621">
      <c r="A11621" s="1"/>
    </row>
    <row r="11622">
      <c r="A11622" s="1"/>
    </row>
    <row r="11623">
      <c r="A11623" s="1"/>
    </row>
    <row r="11624">
      <c r="A11624" s="1"/>
    </row>
    <row r="11625">
      <c r="A11625" s="1"/>
    </row>
    <row r="11626">
      <c r="A11626" s="1"/>
    </row>
    <row r="11627">
      <c r="A11627" s="1"/>
    </row>
    <row r="11628">
      <c r="A11628" s="1"/>
    </row>
    <row r="11629">
      <c r="A11629" s="1"/>
    </row>
    <row r="11630">
      <c r="A11630" s="1"/>
    </row>
    <row r="11631">
      <c r="A11631" s="1"/>
    </row>
    <row r="11632">
      <c r="A11632" s="1"/>
    </row>
    <row r="11633">
      <c r="A11633" s="1"/>
    </row>
    <row r="11634">
      <c r="A11634" s="1"/>
    </row>
    <row r="11635">
      <c r="A11635" s="1"/>
    </row>
    <row r="11636">
      <c r="A11636" s="1"/>
    </row>
    <row r="11637">
      <c r="A11637" s="1"/>
    </row>
    <row r="11638">
      <c r="A11638" s="1"/>
    </row>
    <row r="11639">
      <c r="A11639" s="1"/>
    </row>
    <row r="11640">
      <c r="A11640" s="1"/>
    </row>
    <row r="11641">
      <c r="A11641" s="1"/>
    </row>
    <row r="11642">
      <c r="A11642" s="1"/>
    </row>
    <row r="11643">
      <c r="A11643" s="1"/>
    </row>
    <row r="11644">
      <c r="A11644" s="1"/>
    </row>
    <row r="11645">
      <c r="A11645" s="1"/>
    </row>
    <row r="11646">
      <c r="A11646" s="1"/>
    </row>
    <row r="11647">
      <c r="A11647" s="1"/>
    </row>
    <row r="11648">
      <c r="A11648" s="1"/>
    </row>
    <row r="11649">
      <c r="A11649" s="1"/>
    </row>
    <row r="11650">
      <c r="A11650" s="1"/>
    </row>
    <row r="11651">
      <c r="A11651" s="1"/>
    </row>
    <row r="11652">
      <c r="A11652" s="1"/>
    </row>
    <row r="11653">
      <c r="A11653" s="1"/>
    </row>
    <row r="11654">
      <c r="A11654" s="1"/>
    </row>
    <row r="11655">
      <c r="A11655" s="1"/>
    </row>
    <row r="11656">
      <c r="A11656" s="1"/>
    </row>
    <row r="11657">
      <c r="A11657" s="1"/>
    </row>
    <row r="11658">
      <c r="A11658" s="1"/>
    </row>
    <row r="11659">
      <c r="A11659" s="1"/>
    </row>
    <row r="11660">
      <c r="A11660" s="1"/>
    </row>
    <row r="11661">
      <c r="A11661" s="1"/>
    </row>
    <row r="11662">
      <c r="A11662" s="1"/>
    </row>
    <row r="11663">
      <c r="A11663" s="1"/>
    </row>
    <row r="11664">
      <c r="A11664" s="1"/>
    </row>
    <row r="11665">
      <c r="A11665" s="1"/>
    </row>
    <row r="11666">
      <c r="A11666" s="1"/>
    </row>
    <row r="11667">
      <c r="A11667" s="1"/>
    </row>
    <row r="11668">
      <c r="A11668" s="1"/>
    </row>
    <row r="11669">
      <c r="A11669" s="1"/>
    </row>
    <row r="11670">
      <c r="A11670" s="1"/>
    </row>
    <row r="11671">
      <c r="A11671" s="1"/>
    </row>
    <row r="11672">
      <c r="A11672" s="1"/>
    </row>
    <row r="11673">
      <c r="A11673" s="1"/>
    </row>
    <row r="11674">
      <c r="A11674" s="1"/>
    </row>
    <row r="11675">
      <c r="A11675" s="1"/>
    </row>
    <row r="11676">
      <c r="A11676" s="1"/>
    </row>
    <row r="11677">
      <c r="A11677" s="1"/>
    </row>
    <row r="11678">
      <c r="A11678" s="1"/>
    </row>
    <row r="11679">
      <c r="A11679" s="1"/>
    </row>
    <row r="11680">
      <c r="A11680" s="1"/>
    </row>
    <row r="11681">
      <c r="A11681" s="1"/>
    </row>
    <row r="11682">
      <c r="A11682" s="1"/>
    </row>
    <row r="11683">
      <c r="A11683" s="1"/>
    </row>
    <row r="11684">
      <c r="A11684" s="1"/>
    </row>
    <row r="11685">
      <c r="A11685" s="1"/>
    </row>
    <row r="11686">
      <c r="A11686" s="1"/>
    </row>
    <row r="11687">
      <c r="A11687" s="1"/>
    </row>
    <row r="11688">
      <c r="A11688" s="1"/>
    </row>
    <row r="11689">
      <c r="A11689" s="1"/>
    </row>
    <row r="11690">
      <c r="A11690" s="1"/>
    </row>
    <row r="11691">
      <c r="A11691" s="1"/>
    </row>
    <row r="11692">
      <c r="A11692" s="1"/>
    </row>
    <row r="11693">
      <c r="A11693" s="1"/>
    </row>
    <row r="11694">
      <c r="A11694" s="1"/>
    </row>
    <row r="11695">
      <c r="A11695" s="1"/>
    </row>
    <row r="11696">
      <c r="A11696" s="1"/>
    </row>
    <row r="11697">
      <c r="A11697" s="1"/>
    </row>
    <row r="11698">
      <c r="A11698" s="1"/>
    </row>
    <row r="11699">
      <c r="A11699" s="1"/>
    </row>
    <row r="11700">
      <c r="A11700" s="1"/>
    </row>
    <row r="11701">
      <c r="A11701" s="1"/>
    </row>
    <row r="11702">
      <c r="A11702" s="1"/>
    </row>
    <row r="11703">
      <c r="A11703" s="1"/>
    </row>
    <row r="11704">
      <c r="A11704" s="1"/>
    </row>
    <row r="11705">
      <c r="A11705" s="1"/>
    </row>
    <row r="11706">
      <c r="A11706" s="1"/>
    </row>
    <row r="11707">
      <c r="A11707" s="1"/>
    </row>
    <row r="11708">
      <c r="A11708" s="1"/>
    </row>
    <row r="11709">
      <c r="A11709" s="1"/>
    </row>
    <row r="11710">
      <c r="A11710" s="1"/>
    </row>
    <row r="11711">
      <c r="A11711" s="1"/>
    </row>
    <row r="11712">
      <c r="A11712" s="1"/>
    </row>
    <row r="11713">
      <c r="A11713" s="1"/>
    </row>
    <row r="11714">
      <c r="A11714" s="1"/>
    </row>
    <row r="11715">
      <c r="A11715" s="1"/>
    </row>
    <row r="11716">
      <c r="A11716" s="1"/>
    </row>
    <row r="11717">
      <c r="A11717" s="1"/>
    </row>
    <row r="11718">
      <c r="A11718" s="1"/>
    </row>
    <row r="11719">
      <c r="A11719" s="1"/>
    </row>
    <row r="11720">
      <c r="A11720" s="1"/>
    </row>
    <row r="11721">
      <c r="A11721" s="1"/>
    </row>
    <row r="11722">
      <c r="A11722" s="1"/>
    </row>
    <row r="11723">
      <c r="A11723" s="1"/>
    </row>
    <row r="11724">
      <c r="A11724" s="1"/>
    </row>
    <row r="11725">
      <c r="A11725" s="1"/>
    </row>
    <row r="11726">
      <c r="A11726" s="1"/>
    </row>
    <row r="11727">
      <c r="A11727" s="1"/>
    </row>
    <row r="11728">
      <c r="A11728" s="1"/>
    </row>
    <row r="11729">
      <c r="A11729" s="1"/>
    </row>
    <row r="11730">
      <c r="A11730" s="1"/>
    </row>
    <row r="11731">
      <c r="A11731" s="1"/>
    </row>
    <row r="11732">
      <c r="A11732" s="1"/>
    </row>
    <row r="11733">
      <c r="A11733" s="1"/>
    </row>
    <row r="11734">
      <c r="A11734" s="1"/>
    </row>
    <row r="11735">
      <c r="A11735" s="1"/>
    </row>
    <row r="11736">
      <c r="A11736" s="1"/>
    </row>
    <row r="11737">
      <c r="A11737" s="1"/>
    </row>
    <row r="11738">
      <c r="A11738" s="1"/>
    </row>
    <row r="11739">
      <c r="A11739" s="1"/>
    </row>
    <row r="11740">
      <c r="A11740" s="1"/>
    </row>
    <row r="11741">
      <c r="A11741" s="1"/>
    </row>
    <row r="11742">
      <c r="A11742" s="1"/>
    </row>
    <row r="11743">
      <c r="A11743" s="1"/>
    </row>
    <row r="11744">
      <c r="A11744" s="1"/>
    </row>
    <row r="11745">
      <c r="A11745" s="1"/>
    </row>
    <row r="11746">
      <c r="A11746" s="1"/>
    </row>
    <row r="11747">
      <c r="A11747" s="1"/>
    </row>
    <row r="11748">
      <c r="A11748" s="1"/>
    </row>
    <row r="11749">
      <c r="A11749" s="1"/>
    </row>
    <row r="11750">
      <c r="A11750" s="1"/>
    </row>
    <row r="11751">
      <c r="A11751" s="1"/>
    </row>
    <row r="11752">
      <c r="A11752" s="1"/>
    </row>
    <row r="11753">
      <c r="A11753" s="1"/>
    </row>
    <row r="11754">
      <c r="A11754" s="1"/>
    </row>
    <row r="11755">
      <c r="A11755" s="1"/>
    </row>
    <row r="11756">
      <c r="A11756" s="1"/>
    </row>
    <row r="11757">
      <c r="A11757" s="1"/>
    </row>
    <row r="11758">
      <c r="A11758" s="1"/>
    </row>
    <row r="11759">
      <c r="A11759" s="1"/>
    </row>
    <row r="11760">
      <c r="A11760" s="1"/>
    </row>
    <row r="11761">
      <c r="A11761" s="1"/>
    </row>
    <row r="11762">
      <c r="A11762" s="1"/>
    </row>
    <row r="11763">
      <c r="A11763" s="1"/>
    </row>
    <row r="11764">
      <c r="A11764" s="1"/>
    </row>
    <row r="11765">
      <c r="A11765" s="1"/>
    </row>
    <row r="11766">
      <c r="A11766" s="1"/>
    </row>
    <row r="11767">
      <c r="A11767" s="1"/>
    </row>
    <row r="11768">
      <c r="A11768" s="1"/>
    </row>
    <row r="11769">
      <c r="A11769" s="1"/>
    </row>
    <row r="11770">
      <c r="A11770" s="1"/>
    </row>
    <row r="11771">
      <c r="A11771" s="1"/>
    </row>
    <row r="11772">
      <c r="A11772" s="1"/>
    </row>
    <row r="11773">
      <c r="A11773" s="1"/>
    </row>
    <row r="11774">
      <c r="A11774" s="1"/>
    </row>
    <row r="11775">
      <c r="A11775" s="1"/>
    </row>
    <row r="11776">
      <c r="A11776" s="1"/>
    </row>
    <row r="11777">
      <c r="A11777" s="1"/>
    </row>
    <row r="11778">
      <c r="A11778" s="1"/>
    </row>
    <row r="11779">
      <c r="A11779" s="1"/>
    </row>
    <row r="11780">
      <c r="A11780" s="1"/>
    </row>
    <row r="11781">
      <c r="A11781" s="1"/>
    </row>
    <row r="11782">
      <c r="A11782" s="1"/>
    </row>
    <row r="11783">
      <c r="A11783" s="1"/>
    </row>
    <row r="11784">
      <c r="A11784" s="1"/>
    </row>
    <row r="11785">
      <c r="A11785" s="1"/>
    </row>
    <row r="11786">
      <c r="A11786" s="1"/>
    </row>
    <row r="11787">
      <c r="A11787" s="1"/>
    </row>
    <row r="11788">
      <c r="A11788" s="1"/>
    </row>
    <row r="11789">
      <c r="A11789" s="1"/>
    </row>
    <row r="11790">
      <c r="A11790" s="1"/>
    </row>
    <row r="11791">
      <c r="A11791" s="1"/>
    </row>
    <row r="11792">
      <c r="A11792" s="1"/>
    </row>
    <row r="11793">
      <c r="A11793" s="1"/>
    </row>
    <row r="11794">
      <c r="A11794" s="1"/>
    </row>
    <row r="11795">
      <c r="A11795" s="1"/>
    </row>
    <row r="11796">
      <c r="A11796" s="1"/>
    </row>
    <row r="11797">
      <c r="A11797" s="1"/>
    </row>
    <row r="11798">
      <c r="A11798" s="1"/>
    </row>
    <row r="11799">
      <c r="A11799" s="1"/>
    </row>
    <row r="11800">
      <c r="A11800" s="1"/>
    </row>
    <row r="11801">
      <c r="A11801" s="1"/>
    </row>
    <row r="11802">
      <c r="A11802" s="1"/>
    </row>
    <row r="11803">
      <c r="A11803" s="1"/>
    </row>
    <row r="11804">
      <c r="A11804" s="1"/>
    </row>
    <row r="11805">
      <c r="A11805" s="1"/>
    </row>
    <row r="11806">
      <c r="A11806" s="1"/>
    </row>
    <row r="11807">
      <c r="A11807" s="1"/>
    </row>
    <row r="11808">
      <c r="A11808" s="1"/>
    </row>
    <row r="11809">
      <c r="A11809" s="1"/>
    </row>
    <row r="11810">
      <c r="A11810" s="1"/>
    </row>
    <row r="11811">
      <c r="A11811" s="1"/>
    </row>
    <row r="11812">
      <c r="A11812" s="1"/>
    </row>
    <row r="11813">
      <c r="A11813" s="1"/>
    </row>
    <row r="11814">
      <c r="A11814" s="1"/>
    </row>
    <row r="11815">
      <c r="A11815" s="1"/>
    </row>
    <row r="11816">
      <c r="A11816" s="1"/>
    </row>
    <row r="11817">
      <c r="A11817" s="1"/>
    </row>
    <row r="11818">
      <c r="A11818" s="1"/>
    </row>
    <row r="11819">
      <c r="A11819" s="1"/>
    </row>
    <row r="11820">
      <c r="A11820" s="1"/>
    </row>
    <row r="11821">
      <c r="A11821" s="1"/>
    </row>
    <row r="11822">
      <c r="A11822" s="1"/>
    </row>
    <row r="11823">
      <c r="A11823" s="1"/>
    </row>
    <row r="11824">
      <c r="A11824" s="1"/>
    </row>
    <row r="11825">
      <c r="A11825" s="1"/>
    </row>
    <row r="11826">
      <c r="A11826" s="1"/>
    </row>
    <row r="11827">
      <c r="A11827" s="1"/>
    </row>
    <row r="11828">
      <c r="A11828" s="1"/>
    </row>
    <row r="11829">
      <c r="A11829" s="1"/>
    </row>
    <row r="11830">
      <c r="A11830" s="1"/>
    </row>
    <row r="11831">
      <c r="A11831" s="1"/>
    </row>
    <row r="11832">
      <c r="A11832" s="1"/>
    </row>
    <row r="11833">
      <c r="A11833" s="1"/>
    </row>
    <row r="11834">
      <c r="A11834" s="1"/>
    </row>
    <row r="11835">
      <c r="A11835" s="1"/>
    </row>
    <row r="11836">
      <c r="A11836" s="1"/>
    </row>
    <row r="11837">
      <c r="A11837" s="1"/>
    </row>
    <row r="11838">
      <c r="A11838" s="1"/>
    </row>
    <row r="11839">
      <c r="A11839" s="1"/>
    </row>
    <row r="11840">
      <c r="A11840" s="1"/>
    </row>
    <row r="11841">
      <c r="A11841" s="1"/>
    </row>
    <row r="11842">
      <c r="A11842" s="1"/>
    </row>
    <row r="11843">
      <c r="A11843" s="1"/>
    </row>
    <row r="11844">
      <c r="A11844" s="1"/>
    </row>
    <row r="11845">
      <c r="A11845" s="1"/>
    </row>
    <row r="11846">
      <c r="A11846" s="1"/>
    </row>
    <row r="11847">
      <c r="A11847" s="1"/>
    </row>
    <row r="11848">
      <c r="A11848" s="1"/>
    </row>
    <row r="11849">
      <c r="A11849" s="1"/>
    </row>
    <row r="11850">
      <c r="A11850" s="1"/>
    </row>
    <row r="11851">
      <c r="A11851" s="1"/>
    </row>
    <row r="11852">
      <c r="A11852" s="1"/>
    </row>
    <row r="11853">
      <c r="A11853" s="1"/>
    </row>
    <row r="11854">
      <c r="A11854" s="1"/>
    </row>
    <row r="11855">
      <c r="A11855" s="1"/>
    </row>
    <row r="11856">
      <c r="A11856" s="1"/>
    </row>
    <row r="11857">
      <c r="A11857" s="1"/>
    </row>
    <row r="11858">
      <c r="A11858" s="1"/>
    </row>
    <row r="11859">
      <c r="A11859" s="1"/>
    </row>
    <row r="11860">
      <c r="A11860" s="1"/>
    </row>
    <row r="11861">
      <c r="A11861" s="1"/>
    </row>
    <row r="11862">
      <c r="A11862" s="1"/>
    </row>
    <row r="11863">
      <c r="A11863" s="1"/>
    </row>
    <row r="11864">
      <c r="A11864" s="1"/>
    </row>
    <row r="11865">
      <c r="A11865" s="1"/>
    </row>
    <row r="11866">
      <c r="A11866" s="1"/>
    </row>
    <row r="11867">
      <c r="A11867" s="1"/>
    </row>
    <row r="11868">
      <c r="A11868" s="1"/>
    </row>
    <row r="11869">
      <c r="A11869" s="1"/>
    </row>
    <row r="11870">
      <c r="A11870" s="1"/>
    </row>
    <row r="11871">
      <c r="A11871" s="1"/>
    </row>
    <row r="11872">
      <c r="A11872" s="1"/>
    </row>
    <row r="11873">
      <c r="A11873" s="1"/>
    </row>
    <row r="11874">
      <c r="A11874" s="1"/>
    </row>
    <row r="11875">
      <c r="A11875" s="1"/>
    </row>
    <row r="11876">
      <c r="A11876" s="1"/>
    </row>
    <row r="11877">
      <c r="A11877" s="1"/>
    </row>
    <row r="11878">
      <c r="A11878" s="1"/>
    </row>
    <row r="11879">
      <c r="A11879" s="1"/>
    </row>
    <row r="11880">
      <c r="A11880" s="1"/>
    </row>
    <row r="11881">
      <c r="A11881" s="1"/>
    </row>
    <row r="11882">
      <c r="A11882" s="1"/>
    </row>
    <row r="11883">
      <c r="A11883" s="1"/>
    </row>
    <row r="11884">
      <c r="A11884" s="1"/>
    </row>
    <row r="11885">
      <c r="A11885" s="1"/>
    </row>
    <row r="11886">
      <c r="A11886" s="1"/>
    </row>
    <row r="11887">
      <c r="A11887" s="1"/>
    </row>
    <row r="11888">
      <c r="A11888" s="1"/>
    </row>
    <row r="11889">
      <c r="A11889" s="1"/>
    </row>
    <row r="11890">
      <c r="A11890" s="1"/>
    </row>
    <row r="11891">
      <c r="A11891" s="1"/>
    </row>
    <row r="11892">
      <c r="A11892" s="1"/>
    </row>
    <row r="11893">
      <c r="A11893" s="1"/>
    </row>
    <row r="11894">
      <c r="A11894" s="1"/>
    </row>
    <row r="11895">
      <c r="A11895" s="1"/>
    </row>
    <row r="11896">
      <c r="A11896" s="1"/>
    </row>
    <row r="11897">
      <c r="A11897" s="1"/>
    </row>
    <row r="11898">
      <c r="A11898" s="1"/>
    </row>
    <row r="11899">
      <c r="A11899" s="1"/>
    </row>
    <row r="11900">
      <c r="A11900" s="1"/>
    </row>
    <row r="11901">
      <c r="A11901" s="1"/>
    </row>
    <row r="11902">
      <c r="A11902" s="1"/>
    </row>
    <row r="11903">
      <c r="A11903" s="1"/>
    </row>
    <row r="11904">
      <c r="A11904" s="1"/>
    </row>
    <row r="11905">
      <c r="A11905" s="1"/>
    </row>
    <row r="11906">
      <c r="A11906" s="1"/>
    </row>
    <row r="11907">
      <c r="A11907" s="1"/>
    </row>
    <row r="11908">
      <c r="A11908" s="1"/>
    </row>
    <row r="11909">
      <c r="A11909" s="1"/>
    </row>
    <row r="11910">
      <c r="A11910" s="1"/>
    </row>
    <row r="11911">
      <c r="A11911" s="1"/>
    </row>
    <row r="11912">
      <c r="A11912" s="1"/>
    </row>
    <row r="11913">
      <c r="A11913" s="1"/>
    </row>
    <row r="11914">
      <c r="A11914" s="1"/>
    </row>
    <row r="11915">
      <c r="A11915" s="1"/>
    </row>
    <row r="11916">
      <c r="A11916" s="1"/>
    </row>
    <row r="11917">
      <c r="A11917" s="1"/>
    </row>
    <row r="11918">
      <c r="A11918" s="1"/>
    </row>
    <row r="11919">
      <c r="A11919" s="1"/>
    </row>
    <row r="11920">
      <c r="A11920" s="1"/>
    </row>
    <row r="11921">
      <c r="A11921" s="1"/>
    </row>
    <row r="11922">
      <c r="A11922" s="1"/>
    </row>
    <row r="11923">
      <c r="A11923" s="1"/>
    </row>
    <row r="11924">
      <c r="A11924" s="1"/>
    </row>
    <row r="11925">
      <c r="A11925" s="1"/>
    </row>
    <row r="11926">
      <c r="A11926" s="1"/>
    </row>
    <row r="11927">
      <c r="A11927" s="1"/>
    </row>
    <row r="11928">
      <c r="A11928" s="1"/>
    </row>
    <row r="11929">
      <c r="A11929" s="1"/>
    </row>
    <row r="11930">
      <c r="A11930" s="1"/>
    </row>
    <row r="11931">
      <c r="A11931" s="1"/>
    </row>
    <row r="11932">
      <c r="A11932" s="1"/>
    </row>
    <row r="11933">
      <c r="A11933" s="1"/>
    </row>
    <row r="11934">
      <c r="A11934" s="1"/>
    </row>
    <row r="11935">
      <c r="A11935" s="1"/>
    </row>
    <row r="11936">
      <c r="A11936" s="1"/>
    </row>
    <row r="11937">
      <c r="A11937" s="1"/>
    </row>
    <row r="11938">
      <c r="A11938" s="1"/>
    </row>
    <row r="11939">
      <c r="A11939" s="1"/>
    </row>
    <row r="11940">
      <c r="A11940" s="1"/>
    </row>
    <row r="11941">
      <c r="A11941" s="1"/>
    </row>
    <row r="11942">
      <c r="A11942" s="1"/>
    </row>
    <row r="11943">
      <c r="A11943" s="1"/>
    </row>
    <row r="11944">
      <c r="A11944" s="1"/>
    </row>
    <row r="11945">
      <c r="A11945" s="1"/>
    </row>
    <row r="11946">
      <c r="A11946" s="1"/>
    </row>
    <row r="11947">
      <c r="A11947" s="1"/>
    </row>
    <row r="11948">
      <c r="A11948" s="1"/>
    </row>
    <row r="11949">
      <c r="A11949" s="1"/>
    </row>
    <row r="11950">
      <c r="A11950" s="1"/>
    </row>
    <row r="11951">
      <c r="A11951" s="1"/>
    </row>
    <row r="11952">
      <c r="A11952" s="1"/>
    </row>
    <row r="11953">
      <c r="A11953" s="1"/>
    </row>
    <row r="11954">
      <c r="A11954" s="1"/>
    </row>
    <row r="11955">
      <c r="A11955" s="1"/>
    </row>
    <row r="11956">
      <c r="A11956" s="1"/>
    </row>
    <row r="11957">
      <c r="A11957" s="1"/>
    </row>
    <row r="11958">
      <c r="A11958" s="1"/>
    </row>
    <row r="11959">
      <c r="A11959" s="1"/>
    </row>
    <row r="11960">
      <c r="A11960" s="1"/>
    </row>
    <row r="11961">
      <c r="A11961" s="1"/>
    </row>
    <row r="11962">
      <c r="A11962" s="1"/>
    </row>
    <row r="11963">
      <c r="A11963" s="1"/>
    </row>
    <row r="11964">
      <c r="A11964" s="1"/>
    </row>
    <row r="11965">
      <c r="A11965" s="1"/>
    </row>
    <row r="11966">
      <c r="A11966" s="1"/>
    </row>
    <row r="11967">
      <c r="A11967" s="1"/>
    </row>
    <row r="11968">
      <c r="A11968" s="1"/>
    </row>
    <row r="11969">
      <c r="A11969" s="1"/>
    </row>
    <row r="11970">
      <c r="A11970" s="1"/>
    </row>
    <row r="11971">
      <c r="A11971" s="1"/>
    </row>
    <row r="11972">
      <c r="A11972" s="1"/>
    </row>
    <row r="11973">
      <c r="A11973" s="1"/>
    </row>
    <row r="11974">
      <c r="A11974" s="1"/>
    </row>
    <row r="11975">
      <c r="A11975" s="1"/>
    </row>
    <row r="11976">
      <c r="A11976" s="1"/>
    </row>
    <row r="11977">
      <c r="A11977" s="1"/>
    </row>
    <row r="11978">
      <c r="A11978" s="1"/>
    </row>
    <row r="11979">
      <c r="A11979" s="1"/>
    </row>
    <row r="11980">
      <c r="A11980" s="1"/>
    </row>
    <row r="11981">
      <c r="A11981" s="1"/>
    </row>
    <row r="11982">
      <c r="A11982" s="1"/>
    </row>
    <row r="11983">
      <c r="A11983" s="1"/>
    </row>
    <row r="11984">
      <c r="A11984" s="1"/>
    </row>
    <row r="11985">
      <c r="A11985" s="1"/>
    </row>
    <row r="11986">
      <c r="A11986" s="1"/>
    </row>
    <row r="11987">
      <c r="A11987" s="1"/>
    </row>
    <row r="11988">
      <c r="A11988" s="1"/>
    </row>
    <row r="11989">
      <c r="A11989" s="1"/>
    </row>
    <row r="11990">
      <c r="A11990" s="1"/>
    </row>
    <row r="11991">
      <c r="A11991" s="1"/>
    </row>
    <row r="11992">
      <c r="A11992" s="1"/>
    </row>
    <row r="11993">
      <c r="A11993" s="1"/>
    </row>
    <row r="11994">
      <c r="A11994" s="1"/>
    </row>
    <row r="11995">
      <c r="A11995" s="1"/>
    </row>
    <row r="11996">
      <c r="A11996" s="1"/>
    </row>
    <row r="11997">
      <c r="A11997" s="1"/>
    </row>
    <row r="11998">
      <c r="A11998" s="1"/>
    </row>
    <row r="11999">
      <c r="A11999" s="1"/>
    </row>
    <row r="12000">
      <c r="A12000" s="1"/>
    </row>
    <row r="12001">
      <c r="A12001" s="1"/>
    </row>
    <row r="12002">
      <c r="A12002" s="1"/>
    </row>
    <row r="12003">
      <c r="A12003" s="1"/>
    </row>
    <row r="12004">
      <c r="A12004" s="1"/>
    </row>
    <row r="12005">
      <c r="A12005" s="1"/>
    </row>
    <row r="12006">
      <c r="A12006" s="1"/>
    </row>
    <row r="12007">
      <c r="A12007" s="1"/>
    </row>
    <row r="12008">
      <c r="A12008" s="1"/>
    </row>
    <row r="12009">
      <c r="A12009" s="1"/>
    </row>
    <row r="12010">
      <c r="A12010" s="1"/>
    </row>
    <row r="12011">
      <c r="A12011" s="1"/>
    </row>
    <row r="12012">
      <c r="A12012" s="1"/>
    </row>
    <row r="12013">
      <c r="A12013" s="1"/>
    </row>
    <row r="12014">
      <c r="A12014" s="1"/>
    </row>
    <row r="12015">
      <c r="A12015" s="1"/>
    </row>
    <row r="12016">
      <c r="A12016" s="1"/>
    </row>
    <row r="12017">
      <c r="A12017" s="1"/>
    </row>
    <row r="12018">
      <c r="A12018" s="1"/>
    </row>
    <row r="12019">
      <c r="A12019" s="1"/>
    </row>
    <row r="12020">
      <c r="A12020" s="1"/>
    </row>
    <row r="12021">
      <c r="A12021" s="1"/>
    </row>
    <row r="12022">
      <c r="A12022" s="1"/>
    </row>
    <row r="12023">
      <c r="A12023" s="1"/>
    </row>
    <row r="12024">
      <c r="A12024" s="1"/>
    </row>
    <row r="12025">
      <c r="A12025" s="1"/>
    </row>
    <row r="12026">
      <c r="A12026" s="1"/>
    </row>
    <row r="12027">
      <c r="A12027" s="1"/>
    </row>
    <row r="12028">
      <c r="A12028" s="1"/>
    </row>
    <row r="12029">
      <c r="A12029" s="1"/>
    </row>
    <row r="12030">
      <c r="A12030" s="1"/>
    </row>
    <row r="12031">
      <c r="A12031" s="1"/>
    </row>
    <row r="12032">
      <c r="A12032" s="1"/>
    </row>
    <row r="12033">
      <c r="A12033" s="1"/>
    </row>
    <row r="12034">
      <c r="A12034" s="1"/>
    </row>
    <row r="12035">
      <c r="A12035" s="1"/>
    </row>
    <row r="12036">
      <c r="A12036" s="1"/>
    </row>
    <row r="12037">
      <c r="A12037" s="1"/>
    </row>
    <row r="12038">
      <c r="A12038" s="1"/>
    </row>
    <row r="12039">
      <c r="A12039" s="1"/>
    </row>
    <row r="12040">
      <c r="A12040" s="1"/>
    </row>
    <row r="12041">
      <c r="A12041" s="1"/>
    </row>
    <row r="12042">
      <c r="A12042" s="1"/>
    </row>
    <row r="12043">
      <c r="A12043" s="1"/>
    </row>
    <row r="12044">
      <c r="A12044" s="1"/>
    </row>
    <row r="12045">
      <c r="A12045" s="1"/>
    </row>
    <row r="12046">
      <c r="A12046" s="1"/>
    </row>
    <row r="12047">
      <c r="A12047" s="1"/>
    </row>
    <row r="12048">
      <c r="A12048" s="1"/>
    </row>
    <row r="12049">
      <c r="A12049" s="1"/>
    </row>
    <row r="12050">
      <c r="A12050" s="1"/>
    </row>
    <row r="12051">
      <c r="A12051" s="1"/>
    </row>
    <row r="12052">
      <c r="A12052" s="1"/>
    </row>
    <row r="12053">
      <c r="A12053" s="1"/>
    </row>
    <row r="12054">
      <c r="A12054" s="1"/>
    </row>
    <row r="12055">
      <c r="A12055" s="1"/>
    </row>
    <row r="12056">
      <c r="A12056" s="1"/>
    </row>
    <row r="12057">
      <c r="A12057" s="1"/>
    </row>
    <row r="12058">
      <c r="A12058" s="1"/>
    </row>
    <row r="12059">
      <c r="A12059" s="1"/>
    </row>
    <row r="12060">
      <c r="A12060" s="1"/>
    </row>
    <row r="12061">
      <c r="A12061" s="1"/>
    </row>
    <row r="12062">
      <c r="A12062" s="1"/>
    </row>
    <row r="12063">
      <c r="A12063" s="1"/>
    </row>
    <row r="12064">
      <c r="A12064" s="1"/>
    </row>
    <row r="12065">
      <c r="A12065" s="1"/>
    </row>
    <row r="12066">
      <c r="A12066" s="1"/>
    </row>
    <row r="12067">
      <c r="A12067" s="1"/>
    </row>
    <row r="12068">
      <c r="A12068" s="1"/>
    </row>
    <row r="12069">
      <c r="A12069" s="1"/>
    </row>
    <row r="12070">
      <c r="A12070" s="1"/>
    </row>
    <row r="12071">
      <c r="A12071" s="1"/>
    </row>
    <row r="12072">
      <c r="A12072" s="1"/>
    </row>
    <row r="12073">
      <c r="A12073" s="1"/>
    </row>
    <row r="12074">
      <c r="A12074" s="1"/>
    </row>
    <row r="12075">
      <c r="A12075" s="1"/>
    </row>
    <row r="12076">
      <c r="A12076" s="1"/>
    </row>
    <row r="12077">
      <c r="A12077" s="1"/>
    </row>
    <row r="12078">
      <c r="A12078" s="1"/>
    </row>
    <row r="12079">
      <c r="A12079" s="1"/>
    </row>
    <row r="12080">
      <c r="A12080" s="1"/>
    </row>
    <row r="12081">
      <c r="A12081" s="1"/>
    </row>
    <row r="12082">
      <c r="A12082" s="1"/>
    </row>
    <row r="12083">
      <c r="A12083" s="1"/>
    </row>
    <row r="12084">
      <c r="A12084" s="1"/>
    </row>
    <row r="12085">
      <c r="A12085" s="1"/>
    </row>
    <row r="12086">
      <c r="A12086" s="1"/>
    </row>
    <row r="12087">
      <c r="A12087" s="1"/>
    </row>
    <row r="12088">
      <c r="A12088" s="1"/>
    </row>
    <row r="12089">
      <c r="A12089" s="1"/>
    </row>
    <row r="12090">
      <c r="A12090" s="1"/>
    </row>
    <row r="12091">
      <c r="A12091" s="1"/>
    </row>
    <row r="12092">
      <c r="A12092" s="1"/>
    </row>
    <row r="12093">
      <c r="A12093" s="1"/>
    </row>
    <row r="12094">
      <c r="A12094" s="1"/>
    </row>
    <row r="12095">
      <c r="A12095" s="1"/>
    </row>
    <row r="12096">
      <c r="A12096" s="1"/>
    </row>
    <row r="12097">
      <c r="A12097" s="1"/>
    </row>
    <row r="12098">
      <c r="A12098" s="1"/>
    </row>
    <row r="12099">
      <c r="A12099" s="1"/>
    </row>
    <row r="12100">
      <c r="A12100" s="1"/>
    </row>
    <row r="12101">
      <c r="A12101" s="1"/>
    </row>
    <row r="12102">
      <c r="A12102" s="1"/>
    </row>
    <row r="12103">
      <c r="A12103" s="1"/>
    </row>
    <row r="12104">
      <c r="A12104" s="1"/>
    </row>
    <row r="12105">
      <c r="A12105" s="1"/>
    </row>
    <row r="12106">
      <c r="A12106" s="1"/>
    </row>
    <row r="12107">
      <c r="A12107" s="1"/>
    </row>
    <row r="12108">
      <c r="A12108" s="1"/>
    </row>
    <row r="12109">
      <c r="A12109" s="1"/>
    </row>
    <row r="12110">
      <c r="A12110" s="1"/>
    </row>
    <row r="12111">
      <c r="A12111" s="1"/>
    </row>
    <row r="12112">
      <c r="A12112" s="1"/>
    </row>
    <row r="12113">
      <c r="A12113" s="1"/>
    </row>
    <row r="12114">
      <c r="A12114" s="1"/>
    </row>
    <row r="12115">
      <c r="A12115" s="1"/>
    </row>
    <row r="12116">
      <c r="A12116" s="1"/>
    </row>
    <row r="12117">
      <c r="A12117" s="1"/>
    </row>
    <row r="12118">
      <c r="A12118" s="1"/>
    </row>
    <row r="12119">
      <c r="A12119" s="1"/>
    </row>
    <row r="12120">
      <c r="A12120" s="1"/>
    </row>
    <row r="12121">
      <c r="A12121" s="1"/>
    </row>
    <row r="12122">
      <c r="A12122" s="1"/>
    </row>
    <row r="12123">
      <c r="A12123" s="1"/>
    </row>
    <row r="12124">
      <c r="A12124" s="1"/>
    </row>
    <row r="12125">
      <c r="A12125" s="1"/>
    </row>
    <row r="12126">
      <c r="A12126" s="1"/>
    </row>
    <row r="12127">
      <c r="A12127" s="1"/>
    </row>
    <row r="12128">
      <c r="A12128" s="1"/>
    </row>
    <row r="12129">
      <c r="A12129" s="1"/>
    </row>
    <row r="12130">
      <c r="A12130" s="1"/>
    </row>
    <row r="12131">
      <c r="A12131" s="1"/>
    </row>
    <row r="12132">
      <c r="A12132" s="1"/>
    </row>
    <row r="12133">
      <c r="A12133" s="1"/>
    </row>
    <row r="12134">
      <c r="A12134" s="1"/>
    </row>
    <row r="12135">
      <c r="A12135" s="1"/>
    </row>
    <row r="12136">
      <c r="A12136" s="1"/>
    </row>
    <row r="12137">
      <c r="A12137" s="1"/>
    </row>
    <row r="12138">
      <c r="A12138" s="1"/>
    </row>
    <row r="12139">
      <c r="A12139" s="1"/>
    </row>
    <row r="12140">
      <c r="A12140" s="1"/>
    </row>
    <row r="12141">
      <c r="A12141" s="1"/>
    </row>
    <row r="12142">
      <c r="A12142" s="1"/>
    </row>
    <row r="12143">
      <c r="A12143" s="1"/>
    </row>
    <row r="12144">
      <c r="A12144" s="1"/>
    </row>
    <row r="12145">
      <c r="A12145" s="1"/>
    </row>
    <row r="12146">
      <c r="A12146" s="1"/>
    </row>
    <row r="12147">
      <c r="A12147" s="1"/>
    </row>
    <row r="12148">
      <c r="A12148" s="1"/>
    </row>
    <row r="12149">
      <c r="A12149" s="1"/>
    </row>
    <row r="12150">
      <c r="A12150" s="1"/>
    </row>
    <row r="12151">
      <c r="A12151" s="1"/>
    </row>
    <row r="12152">
      <c r="A12152" s="1"/>
    </row>
    <row r="12153">
      <c r="A12153" s="1"/>
    </row>
    <row r="12154">
      <c r="A12154" s="1"/>
    </row>
    <row r="12155">
      <c r="A12155" s="1"/>
    </row>
    <row r="12156">
      <c r="A12156" s="1"/>
    </row>
    <row r="12157">
      <c r="A12157" s="1"/>
    </row>
    <row r="12158">
      <c r="A12158" s="1"/>
    </row>
    <row r="12159">
      <c r="A12159" s="1"/>
    </row>
    <row r="12160">
      <c r="A12160" s="1"/>
    </row>
    <row r="12161">
      <c r="A12161" s="1"/>
    </row>
    <row r="12162">
      <c r="A12162" s="1"/>
    </row>
    <row r="12163">
      <c r="A12163" s="1"/>
    </row>
    <row r="12164">
      <c r="A12164" s="1"/>
    </row>
    <row r="12165">
      <c r="A12165" s="1"/>
    </row>
    <row r="12166">
      <c r="A12166" s="1"/>
    </row>
    <row r="12167">
      <c r="A12167" s="1"/>
    </row>
    <row r="12168">
      <c r="A12168" s="1"/>
    </row>
    <row r="12169">
      <c r="A12169" s="1"/>
    </row>
    <row r="12170">
      <c r="A12170" s="1"/>
    </row>
    <row r="12171">
      <c r="A12171" s="1"/>
    </row>
    <row r="12172">
      <c r="A12172" s="1"/>
    </row>
    <row r="12173">
      <c r="A12173" s="1"/>
    </row>
    <row r="12174">
      <c r="A12174" s="1"/>
    </row>
    <row r="12175">
      <c r="A12175" s="1"/>
    </row>
    <row r="12176">
      <c r="A12176" s="1"/>
    </row>
    <row r="12177">
      <c r="A12177" s="1"/>
    </row>
    <row r="12178">
      <c r="A12178" s="1"/>
    </row>
    <row r="12179">
      <c r="A12179" s="1"/>
    </row>
    <row r="12180">
      <c r="A12180" s="1"/>
    </row>
    <row r="12181">
      <c r="A12181" s="1"/>
    </row>
    <row r="12182">
      <c r="A12182" s="1"/>
    </row>
    <row r="12183">
      <c r="A12183" s="1"/>
    </row>
    <row r="12184">
      <c r="A12184" s="1"/>
    </row>
    <row r="12185">
      <c r="A12185" s="1"/>
    </row>
    <row r="12186">
      <c r="A12186" s="1"/>
    </row>
    <row r="12187">
      <c r="A12187" s="1"/>
    </row>
    <row r="12188">
      <c r="A12188" s="1"/>
    </row>
    <row r="12189">
      <c r="A12189" s="1"/>
    </row>
    <row r="12190">
      <c r="A12190" s="1"/>
    </row>
    <row r="12191">
      <c r="A12191" s="1"/>
    </row>
    <row r="12192">
      <c r="A12192" s="1"/>
    </row>
    <row r="12193">
      <c r="A12193" s="1"/>
    </row>
    <row r="12194">
      <c r="A12194" s="1"/>
    </row>
    <row r="12195">
      <c r="A12195" s="1"/>
    </row>
    <row r="12196">
      <c r="A12196" s="1"/>
    </row>
    <row r="12197">
      <c r="A12197" s="1"/>
    </row>
    <row r="12198">
      <c r="A12198" s="1"/>
    </row>
    <row r="12199">
      <c r="A12199" s="1"/>
    </row>
    <row r="12200">
      <c r="A12200" s="1"/>
    </row>
    <row r="12201">
      <c r="A12201" s="1"/>
    </row>
    <row r="12202">
      <c r="A12202" s="1"/>
    </row>
    <row r="12203">
      <c r="A12203" s="1"/>
    </row>
    <row r="12204">
      <c r="A12204" s="1"/>
    </row>
    <row r="12205">
      <c r="A12205" s="1"/>
    </row>
    <row r="12206">
      <c r="A12206" s="1"/>
    </row>
    <row r="12207">
      <c r="A12207" s="1"/>
    </row>
    <row r="12208">
      <c r="A12208" s="1"/>
    </row>
    <row r="12209">
      <c r="A12209" s="1"/>
    </row>
    <row r="12210">
      <c r="A12210" s="1"/>
    </row>
    <row r="12211">
      <c r="A12211" s="1"/>
    </row>
    <row r="12212">
      <c r="A12212" s="1"/>
    </row>
    <row r="12213">
      <c r="A12213" s="1"/>
    </row>
    <row r="12214">
      <c r="A12214" s="1"/>
    </row>
    <row r="12215">
      <c r="A12215" s="1"/>
    </row>
    <row r="12216">
      <c r="A12216" s="1"/>
    </row>
    <row r="12217">
      <c r="A12217" s="1"/>
    </row>
    <row r="12218">
      <c r="A12218" s="1"/>
    </row>
    <row r="12219">
      <c r="A12219" s="1"/>
    </row>
    <row r="12220">
      <c r="A12220" s="1"/>
    </row>
    <row r="12221">
      <c r="A12221" s="1"/>
    </row>
    <row r="12222">
      <c r="A12222" s="1"/>
    </row>
    <row r="12223">
      <c r="A12223" s="1"/>
    </row>
    <row r="12224">
      <c r="A12224" s="1"/>
    </row>
    <row r="12225">
      <c r="A12225" s="1"/>
    </row>
    <row r="12226">
      <c r="A12226" s="1"/>
    </row>
    <row r="12227">
      <c r="A12227" s="1"/>
    </row>
    <row r="12228">
      <c r="A12228" s="1"/>
    </row>
    <row r="12229">
      <c r="A12229" s="1"/>
    </row>
    <row r="12230">
      <c r="A12230" s="1"/>
    </row>
    <row r="12231">
      <c r="A12231" s="1"/>
    </row>
    <row r="12232">
      <c r="A12232" s="1"/>
    </row>
    <row r="12233">
      <c r="A12233" s="1"/>
    </row>
    <row r="12234">
      <c r="A12234" s="1"/>
    </row>
    <row r="12235">
      <c r="A12235" s="1"/>
    </row>
    <row r="12236">
      <c r="A12236" s="1"/>
    </row>
    <row r="12237">
      <c r="A12237" s="1"/>
    </row>
    <row r="12238">
      <c r="A12238" s="1"/>
    </row>
    <row r="12239">
      <c r="A12239" s="1"/>
    </row>
    <row r="12240">
      <c r="A12240" s="1"/>
    </row>
    <row r="12241">
      <c r="A12241" s="1"/>
    </row>
    <row r="12242">
      <c r="A12242" s="1"/>
    </row>
    <row r="12243">
      <c r="A12243" s="1"/>
    </row>
    <row r="12244">
      <c r="A12244" s="1"/>
    </row>
    <row r="12245">
      <c r="A12245" s="1"/>
    </row>
    <row r="12246">
      <c r="A12246" s="1"/>
    </row>
    <row r="12247">
      <c r="A12247" s="1"/>
    </row>
    <row r="12248">
      <c r="A12248" s="1"/>
    </row>
    <row r="12249">
      <c r="A12249" s="1"/>
    </row>
    <row r="12250">
      <c r="A12250" s="1"/>
    </row>
    <row r="12251">
      <c r="A12251" s="1"/>
    </row>
    <row r="12252">
      <c r="A12252" s="1"/>
    </row>
    <row r="12253">
      <c r="A12253" s="1"/>
    </row>
    <row r="12254">
      <c r="A12254" s="1"/>
    </row>
    <row r="12255">
      <c r="A12255" s="1"/>
    </row>
    <row r="12256">
      <c r="A12256" s="1"/>
    </row>
    <row r="12257">
      <c r="A12257" s="1"/>
    </row>
    <row r="12258">
      <c r="A12258" s="1"/>
    </row>
    <row r="12259">
      <c r="A12259" s="1"/>
    </row>
    <row r="12260">
      <c r="A12260" s="1"/>
    </row>
    <row r="12261">
      <c r="A12261" s="1"/>
    </row>
    <row r="12262">
      <c r="A12262" s="1"/>
    </row>
    <row r="12263">
      <c r="A12263" s="1"/>
    </row>
    <row r="12264">
      <c r="A12264" s="1"/>
    </row>
    <row r="12265">
      <c r="A12265" s="1"/>
    </row>
    <row r="12266">
      <c r="A12266" s="1"/>
    </row>
    <row r="12267">
      <c r="A12267" s="1"/>
    </row>
    <row r="12268">
      <c r="A12268" s="1"/>
    </row>
    <row r="12269">
      <c r="A12269" s="1"/>
    </row>
    <row r="12270">
      <c r="A12270" s="1"/>
    </row>
    <row r="12271">
      <c r="A12271" s="1"/>
    </row>
    <row r="12272">
      <c r="A12272" s="1"/>
    </row>
    <row r="12273">
      <c r="A12273" s="1"/>
    </row>
    <row r="12274">
      <c r="A12274" s="1"/>
    </row>
    <row r="12275">
      <c r="A12275" s="1"/>
    </row>
    <row r="12276">
      <c r="A12276" s="1"/>
    </row>
    <row r="12277">
      <c r="A12277" s="1"/>
    </row>
    <row r="12278">
      <c r="A12278" s="1"/>
    </row>
    <row r="12279">
      <c r="A12279" s="1"/>
    </row>
    <row r="12280">
      <c r="A12280" s="1"/>
    </row>
    <row r="12281">
      <c r="A12281" s="1"/>
    </row>
    <row r="12282">
      <c r="A12282" s="1"/>
    </row>
    <row r="12283">
      <c r="A12283" s="1"/>
    </row>
    <row r="12284">
      <c r="A12284" s="1"/>
    </row>
    <row r="12285">
      <c r="A12285" s="1"/>
    </row>
    <row r="12286">
      <c r="A12286" s="1"/>
    </row>
    <row r="12287">
      <c r="A12287" s="1"/>
    </row>
    <row r="12288">
      <c r="A12288" s="1"/>
    </row>
    <row r="12289">
      <c r="A12289" s="1"/>
    </row>
    <row r="12290">
      <c r="A12290" s="1"/>
    </row>
    <row r="12291">
      <c r="A12291" s="1"/>
    </row>
    <row r="12292">
      <c r="A12292" s="1"/>
    </row>
    <row r="12293">
      <c r="A12293" s="1"/>
    </row>
    <row r="12294">
      <c r="A12294" s="1"/>
    </row>
    <row r="12295">
      <c r="A12295" s="1"/>
    </row>
    <row r="12296">
      <c r="A12296" s="1"/>
    </row>
    <row r="12297">
      <c r="A12297" s="1"/>
    </row>
    <row r="12298">
      <c r="A12298" s="1"/>
    </row>
    <row r="12299">
      <c r="A12299" s="1"/>
    </row>
    <row r="12300">
      <c r="A12300" s="1"/>
    </row>
    <row r="12301">
      <c r="A12301" s="1"/>
    </row>
    <row r="12302">
      <c r="A12302" s="1"/>
    </row>
    <row r="12303">
      <c r="A12303" s="1"/>
    </row>
    <row r="12304">
      <c r="A12304" s="1"/>
    </row>
    <row r="12305">
      <c r="A12305" s="1"/>
    </row>
    <row r="12306">
      <c r="A12306" s="1"/>
    </row>
    <row r="12307">
      <c r="A12307" s="1"/>
    </row>
    <row r="12308">
      <c r="A12308" s="1"/>
    </row>
    <row r="12309">
      <c r="A12309" s="1"/>
    </row>
    <row r="12310">
      <c r="A12310" s="1"/>
    </row>
    <row r="12311">
      <c r="A12311" s="1"/>
    </row>
    <row r="12312">
      <c r="A12312" s="1"/>
    </row>
    <row r="12313">
      <c r="A12313" s="1"/>
    </row>
    <row r="12314">
      <c r="A12314" s="1"/>
    </row>
    <row r="12315">
      <c r="A12315" s="1"/>
    </row>
    <row r="12316">
      <c r="A12316" s="1"/>
    </row>
    <row r="12317">
      <c r="A12317" s="1"/>
    </row>
    <row r="12318">
      <c r="A12318" s="1"/>
    </row>
    <row r="12319">
      <c r="A12319" s="1"/>
    </row>
    <row r="12320">
      <c r="A12320" s="1"/>
    </row>
    <row r="12321">
      <c r="A12321" s="1"/>
    </row>
    <row r="12322">
      <c r="A12322" s="1"/>
    </row>
    <row r="12323">
      <c r="A12323" s="1"/>
    </row>
    <row r="12324">
      <c r="A12324" s="1"/>
    </row>
    <row r="12325">
      <c r="A12325" s="1"/>
    </row>
    <row r="12326">
      <c r="A12326" s="1"/>
    </row>
    <row r="12327">
      <c r="A12327" s="1"/>
    </row>
    <row r="12328">
      <c r="A12328" s="1"/>
    </row>
    <row r="12329">
      <c r="A12329" s="1"/>
    </row>
    <row r="12330">
      <c r="A12330" s="1"/>
    </row>
    <row r="12331">
      <c r="A12331" s="1"/>
    </row>
    <row r="12332">
      <c r="A12332" s="1"/>
    </row>
    <row r="12333">
      <c r="A12333" s="1"/>
    </row>
    <row r="12334">
      <c r="A12334" s="1"/>
    </row>
    <row r="12335">
      <c r="A12335" s="1"/>
    </row>
    <row r="12336">
      <c r="A12336" s="1"/>
    </row>
    <row r="12337">
      <c r="A12337" s="1"/>
    </row>
    <row r="12338">
      <c r="A12338" s="1"/>
    </row>
    <row r="12339">
      <c r="A12339" s="1"/>
    </row>
    <row r="12340">
      <c r="A12340" s="1"/>
    </row>
    <row r="12341">
      <c r="A12341" s="1"/>
    </row>
    <row r="12342">
      <c r="A12342" s="1"/>
    </row>
    <row r="12343">
      <c r="A12343" s="1"/>
    </row>
    <row r="12344">
      <c r="A12344" s="1"/>
    </row>
    <row r="12345">
      <c r="A12345" s="1"/>
    </row>
    <row r="12346">
      <c r="A12346" s="1"/>
    </row>
    <row r="12347">
      <c r="A12347" s="1"/>
    </row>
    <row r="12348">
      <c r="A12348" s="1"/>
    </row>
    <row r="12349">
      <c r="A12349" s="1"/>
    </row>
    <row r="12350">
      <c r="A12350" s="1"/>
    </row>
    <row r="12351">
      <c r="A12351" s="1"/>
    </row>
    <row r="12352">
      <c r="A12352" s="1"/>
    </row>
    <row r="12353">
      <c r="A12353" s="1"/>
    </row>
    <row r="12354">
      <c r="A12354" s="1"/>
    </row>
    <row r="12355">
      <c r="A12355" s="1"/>
    </row>
    <row r="12356">
      <c r="A12356" s="1"/>
    </row>
    <row r="12357">
      <c r="A12357" s="1"/>
    </row>
    <row r="12358">
      <c r="A12358" s="1"/>
    </row>
    <row r="12359">
      <c r="A12359" s="1"/>
    </row>
    <row r="12360">
      <c r="A12360" s="1"/>
    </row>
    <row r="12361">
      <c r="A12361" s="1"/>
    </row>
    <row r="12362">
      <c r="A12362" s="1"/>
    </row>
    <row r="12363">
      <c r="A12363" s="1"/>
    </row>
    <row r="12364">
      <c r="A12364" s="1"/>
    </row>
    <row r="12365">
      <c r="A12365" s="1"/>
    </row>
    <row r="12366">
      <c r="A12366" s="1"/>
    </row>
    <row r="12367">
      <c r="A12367" s="1"/>
    </row>
    <row r="12368">
      <c r="A12368" s="1"/>
    </row>
    <row r="12369">
      <c r="A12369" s="1"/>
    </row>
    <row r="12370">
      <c r="A12370" s="1"/>
    </row>
    <row r="12371">
      <c r="A12371" s="1"/>
    </row>
    <row r="12372">
      <c r="A12372" s="1"/>
    </row>
    <row r="12373">
      <c r="A12373" s="1"/>
    </row>
    <row r="12374">
      <c r="A12374" s="1"/>
    </row>
    <row r="12375">
      <c r="A12375" s="1"/>
    </row>
    <row r="12376">
      <c r="A12376" s="1"/>
    </row>
    <row r="12377">
      <c r="A12377" s="1"/>
    </row>
    <row r="12378">
      <c r="A12378" s="1"/>
    </row>
    <row r="12379">
      <c r="A12379" s="1"/>
    </row>
    <row r="12380">
      <c r="A12380" s="1"/>
    </row>
    <row r="12381">
      <c r="A12381" s="1"/>
    </row>
    <row r="12382">
      <c r="A12382" s="1"/>
    </row>
    <row r="12383">
      <c r="A12383" s="1"/>
    </row>
    <row r="12384">
      <c r="A12384" s="1"/>
    </row>
    <row r="12385">
      <c r="A12385" s="1"/>
    </row>
    <row r="12386">
      <c r="A12386" s="1"/>
    </row>
    <row r="12387">
      <c r="A12387" s="1"/>
    </row>
    <row r="12388">
      <c r="A12388" s="1"/>
    </row>
    <row r="12389">
      <c r="A12389" s="1"/>
    </row>
    <row r="12390">
      <c r="A12390" s="1"/>
    </row>
    <row r="12391">
      <c r="A12391" s="1"/>
    </row>
    <row r="12392">
      <c r="A12392" s="1"/>
    </row>
    <row r="12393">
      <c r="A12393" s="1"/>
    </row>
    <row r="12394">
      <c r="A12394" s="1"/>
    </row>
    <row r="12395">
      <c r="A12395" s="1"/>
    </row>
    <row r="12396">
      <c r="A12396" s="1"/>
    </row>
    <row r="12397">
      <c r="A12397" s="1"/>
    </row>
    <row r="12398">
      <c r="A12398" s="1"/>
    </row>
    <row r="12399">
      <c r="A12399" s="1"/>
    </row>
    <row r="12400">
      <c r="A12400" s="1"/>
    </row>
    <row r="12401">
      <c r="A12401" s="1"/>
    </row>
    <row r="12402">
      <c r="A12402" s="1"/>
    </row>
    <row r="12403">
      <c r="A12403" s="1"/>
    </row>
    <row r="12404">
      <c r="A12404" s="1"/>
    </row>
    <row r="12405">
      <c r="A12405" s="1"/>
    </row>
    <row r="12406">
      <c r="A12406" s="1"/>
    </row>
    <row r="12407">
      <c r="A12407" s="1"/>
    </row>
    <row r="12408">
      <c r="A12408" s="1"/>
    </row>
    <row r="12409">
      <c r="A12409" s="1"/>
    </row>
    <row r="12410">
      <c r="A12410" s="1"/>
    </row>
    <row r="12411">
      <c r="A12411" s="1"/>
    </row>
    <row r="12412">
      <c r="A12412" s="1"/>
    </row>
    <row r="12413">
      <c r="A12413" s="1"/>
    </row>
    <row r="12414">
      <c r="A12414" s="1"/>
    </row>
    <row r="12415">
      <c r="A12415" s="1"/>
    </row>
    <row r="12416">
      <c r="A12416" s="1"/>
    </row>
    <row r="12417">
      <c r="A12417" s="1"/>
    </row>
    <row r="12418">
      <c r="A12418" s="1"/>
    </row>
    <row r="12419">
      <c r="A12419" s="1"/>
    </row>
    <row r="12420">
      <c r="A12420" s="1"/>
    </row>
    <row r="12421">
      <c r="A12421" s="1"/>
    </row>
    <row r="12422">
      <c r="A12422" s="1"/>
    </row>
    <row r="12423">
      <c r="A12423" s="1"/>
    </row>
    <row r="12424">
      <c r="A12424" s="1"/>
    </row>
    <row r="12425">
      <c r="A12425" s="1"/>
    </row>
    <row r="12426">
      <c r="A12426" s="1"/>
    </row>
    <row r="12427">
      <c r="A12427" s="1"/>
    </row>
    <row r="12428">
      <c r="A12428" s="1"/>
    </row>
    <row r="12429">
      <c r="A12429" s="1"/>
    </row>
    <row r="12430">
      <c r="A12430" s="1"/>
    </row>
    <row r="12431">
      <c r="A12431" s="1"/>
    </row>
    <row r="12432">
      <c r="A12432" s="1"/>
    </row>
    <row r="12433">
      <c r="A12433" s="1"/>
    </row>
    <row r="12434">
      <c r="A12434" s="1"/>
    </row>
    <row r="12435">
      <c r="A12435" s="1"/>
    </row>
    <row r="12436">
      <c r="A12436" s="1"/>
    </row>
    <row r="12437">
      <c r="A12437" s="1"/>
    </row>
    <row r="12438">
      <c r="A12438" s="1"/>
    </row>
    <row r="12439">
      <c r="A12439" s="1"/>
    </row>
    <row r="12440">
      <c r="A12440" s="1"/>
    </row>
    <row r="12441">
      <c r="A12441" s="1"/>
    </row>
    <row r="12442">
      <c r="A12442" s="1"/>
    </row>
    <row r="12443">
      <c r="A12443" s="1"/>
    </row>
    <row r="12444">
      <c r="A12444" s="1"/>
    </row>
    <row r="12445">
      <c r="A12445" s="1"/>
    </row>
    <row r="12446">
      <c r="A12446" s="1"/>
    </row>
    <row r="12447">
      <c r="A12447" s="1"/>
    </row>
    <row r="12448">
      <c r="A12448" s="1"/>
    </row>
    <row r="12449">
      <c r="A12449" s="1"/>
    </row>
    <row r="12450">
      <c r="A12450" s="1"/>
    </row>
    <row r="12451">
      <c r="A12451" s="1"/>
    </row>
    <row r="12452">
      <c r="A12452" s="1"/>
    </row>
    <row r="12453">
      <c r="A12453" s="1"/>
    </row>
    <row r="12454">
      <c r="A12454" s="1"/>
    </row>
    <row r="12455">
      <c r="A12455" s="1"/>
    </row>
    <row r="12456">
      <c r="A12456" s="1"/>
    </row>
    <row r="12457">
      <c r="A12457" s="1"/>
    </row>
    <row r="12458">
      <c r="A12458" s="1"/>
    </row>
    <row r="12459">
      <c r="A12459" s="1"/>
    </row>
    <row r="12460">
      <c r="A12460" s="1"/>
    </row>
    <row r="12461">
      <c r="A12461" s="1"/>
    </row>
    <row r="12462">
      <c r="A12462" s="1"/>
    </row>
    <row r="12463">
      <c r="A12463" s="1"/>
    </row>
    <row r="12464">
      <c r="A12464" s="1"/>
    </row>
    <row r="12465">
      <c r="A12465" s="1"/>
    </row>
    <row r="12466">
      <c r="A12466" s="1"/>
    </row>
    <row r="12467">
      <c r="A12467" s="1"/>
    </row>
    <row r="12468">
      <c r="A12468" s="1"/>
    </row>
    <row r="12469">
      <c r="A12469" s="1"/>
    </row>
    <row r="12470">
      <c r="A12470" s="1"/>
    </row>
    <row r="12471">
      <c r="A12471" s="1"/>
    </row>
    <row r="12472">
      <c r="A12472" s="1"/>
    </row>
    <row r="12473">
      <c r="A12473" s="1"/>
    </row>
    <row r="12474">
      <c r="A12474" s="1"/>
    </row>
    <row r="12475">
      <c r="A12475" s="1"/>
    </row>
    <row r="12476">
      <c r="A12476" s="1"/>
    </row>
    <row r="12477">
      <c r="A12477" s="1"/>
    </row>
    <row r="12478">
      <c r="A12478" s="1"/>
    </row>
    <row r="12479">
      <c r="A12479" s="1"/>
    </row>
    <row r="12480">
      <c r="A12480" s="1"/>
    </row>
    <row r="12481">
      <c r="A12481" s="1"/>
    </row>
    <row r="12482">
      <c r="A12482" s="1"/>
    </row>
    <row r="12483">
      <c r="A12483" s="1"/>
    </row>
    <row r="12484">
      <c r="A12484" s="1"/>
    </row>
    <row r="12485">
      <c r="A12485" s="1"/>
    </row>
    <row r="12486">
      <c r="A12486" s="1"/>
    </row>
    <row r="12487">
      <c r="A12487" s="1"/>
    </row>
    <row r="12488">
      <c r="A12488" s="1"/>
    </row>
    <row r="12489">
      <c r="A12489" s="1"/>
    </row>
    <row r="12490">
      <c r="A12490" s="1"/>
    </row>
    <row r="12491">
      <c r="A12491" s="1"/>
    </row>
    <row r="12492">
      <c r="A12492" s="1"/>
    </row>
    <row r="12493">
      <c r="A12493" s="1"/>
    </row>
    <row r="12494">
      <c r="A12494" s="1"/>
    </row>
    <row r="12495">
      <c r="A12495" s="1"/>
    </row>
    <row r="12496">
      <c r="A12496" s="1"/>
    </row>
    <row r="12497">
      <c r="A12497" s="1"/>
    </row>
    <row r="12498">
      <c r="A12498" s="1"/>
    </row>
    <row r="12499">
      <c r="A12499" s="1"/>
    </row>
    <row r="12500">
      <c r="A12500" s="1"/>
    </row>
    <row r="12501">
      <c r="A12501" s="1"/>
    </row>
    <row r="12502">
      <c r="A12502" s="1"/>
    </row>
    <row r="12503">
      <c r="A12503" s="1"/>
    </row>
    <row r="12504">
      <c r="A12504" s="1"/>
    </row>
    <row r="12505">
      <c r="A12505" s="1"/>
    </row>
    <row r="12506">
      <c r="A12506" s="1"/>
    </row>
    <row r="12507">
      <c r="A12507" s="1"/>
    </row>
    <row r="12508">
      <c r="A12508" s="1"/>
    </row>
    <row r="12509">
      <c r="A12509" s="1"/>
    </row>
    <row r="12510">
      <c r="A12510" s="1"/>
    </row>
    <row r="12511">
      <c r="A12511" s="1"/>
    </row>
    <row r="12512">
      <c r="A12512" s="1"/>
    </row>
    <row r="12513">
      <c r="A12513" s="1"/>
    </row>
    <row r="12514">
      <c r="A12514" s="1"/>
    </row>
    <row r="12515">
      <c r="A12515" s="1"/>
    </row>
    <row r="12516">
      <c r="A12516" s="1"/>
    </row>
    <row r="12517">
      <c r="A12517" s="1"/>
    </row>
    <row r="12518">
      <c r="A12518" s="1"/>
    </row>
    <row r="12519">
      <c r="A12519" s="1"/>
    </row>
    <row r="12520">
      <c r="A12520" s="1"/>
    </row>
    <row r="12521">
      <c r="A12521" s="1"/>
    </row>
    <row r="12522">
      <c r="A12522" s="1"/>
    </row>
    <row r="12523">
      <c r="A12523" s="1"/>
    </row>
    <row r="12524">
      <c r="A12524" s="1"/>
    </row>
    <row r="12525">
      <c r="A12525" s="1"/>
    </row>
    <row r="12526">
      <c r="A12526" s="1"/>
    </row>
    <row r="12527">
      <c r="A12527" s="1"/>
    </row>
    <row r="12528">
      <c r="A12528" s="1"/>
    </row>
    <row r="12529">
      <c r="A12529" s="1"/>
    </row>
    <row r="12530">
      <c r="A12530" s="1"/>
    </row>
    <row r="12531">
      <c r="A12531" s="1"/>
    </row>
    <row r="12532">
      <c r="A12532" s="1"/>
    </row>
    <row r="12533">
      <c r="A12533" s="1"/>
    </row>
    <row r="12534">
      <c r="A12534" s="1"/>
    </row>
    <row r="12535">
      <c r="A12535" s="1"/>
    </row>
    <row r="12536">
      <c r="A12536" s="1"/>
    </row>
    <row r="12537">
      <c r="A12537" s="1"/>
    </row>
    <row r="12538">
      <c r="A12538" s="1"/>
    </row>
    <row r="12539">
      <c r="A12539" s="1"/>
    </row>
    <row r="12540">
      <c r="A12540" s="1"/>
    </row>
    <row r="12541">
      <c r="A12541" s="1"/>
    </row>
    <row r="12542">
      <c r="A12542" s="1"/>
    </row>
    <row r="12543">
      <c r="A12543" s="1"/>
    </row>
    <row r="12544">
      <c r="A12544" s="1"/>
    </row>
    <row r="12545">
      <c r="A12545" s="1"/>
    </row>
    <row r="12546">
      <c r="A12546" s="1"/>
    </row>
    <row r="12547">
      <c r="A12547" s="1"/>
    </row>
    <row r="12548">
      <c r="A12548" s="1"/>
    </row>
    <row r="12549">
      <c r="A12549" s="1"/>
    </row>
    <row r="12550">
      <c r="A12550" s="1"/>
    </row>
    <row r="12551">
      <c r="A12551" s="1"/>
    </row>
    <row r="12552">
      <c r="A12552" s="1"/>
    </row>
    <row r="12553">
      <c r="A12553" s="1"/>
    </row>
    <row r="12554">
      <c r="A12554" s="1"/>
    </row>
    <row r="12555">
      <c r="A12555" s="1"/>
    </row>
    <row r="12556">
      <c r="A12556" s="1"/>
    </row>
    <row r="12557">
      <c r="A12557" s="1"/>
    </row>
    <row r="12558">
      <c r="A12558" s="1"/>
    </row>
    <row r="12559">
      <c r="A12559" s="1"/>
    </row>
    <row r="12560">
      <c r="A12560" s="1"/>
    </row>
    <row r="12561">
      <c r="A12561" s="1"/>
    </row>
    <row r="12562">
      <c r="A12562" s="1"/>
    </row>
    <row r="12563">
      <c r="A12563" s="1"/>
    </row>
    <row r="12564">
      <c r="A12564" s="1"/>
    </row>
    <row r="12565">
      <c r="A12565" s="1"/>
    </row>
    <row r="12566">
      <c r="A12566" s="1"/>
    </row>
    <row r="12567">
      <c r="A12567" s="1"/>
    </row>
    <row r="12568">
      <c r="A12568" s="1"/>
    </row>
    <row r="12569">
      <c r="A12569" s="1"/>
    </row>
    <row r="12570">
      <c r="A12570" s="1"/>
    </row>
    <row r="12571">
      <c r="A12571" s="1"/>
    </row>
    <row r="12572">
      <c r="A12572" s="1"/>
    </row>
    <row r="12573">
      <c r="A12573" s="1"/>
    </row>
    <row r="12574">
      <c r="A12574" s="1"/>
    </row>
    <row r="12575">
      <c r="A12575" s="1"/>
    </row>
    <row r="12576">
      <c r="A12576" s="1"/>
    </row>
    <row r="12577">
      <c r="A12577" s="1"/>
    </row>
    <row r="12578">
      <c r="A12578" s="1"/>
    </row>
    <row r="12579">
      <c r="A12579" s="1"/>
    </row>
    <row r="12580">
      <c r="A12580" s="1"/>
    </row>
    <row r="12581">
      <c r="A12581" s="1"/>
    </row>
    <row r="12582">
      <c r="A12582" s="1"/>
    </row>
    <row r="12583">
      <c r="A12583" s="1"/>
    </row>
    <row r="12584">
      <c r="A12584" s="1"/>
    </row>
    <row r="12585">
      <c r="A12585" s="1"/>
    </row>
    <row r="12586">
      <c r="A12586" s="1"/>
    </row>
    <row r="12587">
      <c r="A12587" s="1"/>
    </row>
    <row r="12588">
      <c r="A12588" s="1"/>
    </row>
    <row r="12589">
      <c r="A12589" s="1"/>
    </row>
    <row r="12590">
      <c r="A12590" s="1"/>
    </row>
    <row r="12591">
      <c r="A12591" s="1"/>
    </row>
    <row r="12592">
      <c r="A12592" s="1"/>
    </row>
    <row r="12593">
      <c r="A12593" s="1"/>
    </row>
    <row r="12594">
      <c r="A12594" s="1"/>
    </row>
    <row r="12595">
      <c r="A12595" s="1"/>
    </row>
    <row r="12596">
      <c r="A12596" s="1"/>
    </row>
    <row r="12597">
      <c r="A12597" s="1"/>
    </row>
    <row r="12598">
      <c r="A12598" s="1"/>
    </row>
    <row r="12599">
      <c r="A12599" s="1"/>
    </row>
    <row r="12600">
      <c r="A12600" s="1"/>
    </row>
    <row r="12601">
      <c r="A12601" s="1"/>
    </row>
    <row r="12602">
      <c r="A12602" s="1"/>
    </row>
    <row r="12603">
      <c r="A12603" s="1"/>
    </row>
    <row r="12604">
      <c r="A12604" s="1"/>
    </row>
    <row r="12605">
      <c r="A12605" s="1"/>
    </row>
    <row r="12606">
      <c r="A12606" s="1"/>
    </row>
    <row r="12607">
      <c r="A12607" s="1"/>
    </row>
    <row r="12608">
      <c r="A12608" s="1"/>
    </row>
    <row r="12609">
      <c r="A12609" s="1"/>
    </row>
    <row r="12610">
      <c r="A12610" s="1"/>
    </row>
    <row r="12611">
      <c r="A12611" s="1"/>
    </row>
    <row r="12612">
      <c r="A12612" s="1"/>
    </row>
    <row r="12613">
      <c r="A12613" s="1"/>
    </row>
    <row r="12614">
      <c r="A12614" s="1"/>
    </row>
    <row r="12615">
      <c r="A12615" s="1"/>
    </row>
    <row r="12616">
      <c r="A12616" s="1"/>
    </row>
    <row r="12617">
      <c r="A12617" s="1"/>
    </row>
    <row r="12618">
      <c r="A12618" s="1"/>
    </row>
    <row r="12619">
      <c r="A12619" s="1"/>
    </row>
    <row r="12620">
      <c r="A12620" s="1"/>
    </row>
    <row r="12621">
      <c r="A12621" s="1"/>
    </row>
    <row r="12622">
      <c r="A12622" s="1"/>
    </row>
    <row r="12623">
      <c r="A12623" s="1"/>
    </row>
    <row r="12624">
      <c r="A12624" s="1"/>
    </row>
    <row r="12625">
      <c r="A12625" s="1"/>
    </row>
    <row r="12626">
      <c r="A12626" s="1"/>
    </row>
    <row r="12627">
      <c r="A12627" s="1"/>
    </row>
    <row r="12628">
      <c r="A12628" s="1"/>
    </row>
    <row r="12629">
      <c r="A12629" s="1"/>
    </row>
    <row r="12630">
      <c r="A12630" s="1"/>
    </row>
    <row r="12631">
      <c r="A12631" s="1"/>
    </row>
    <row r="12632">
      <c r="A12632" s="1"/>
    </row>
    <row r="12633">
      <c r="A12633" s="1"/>
    </row>
    <row r="12634">
      <c r="A12634" s="1"/>
    </row>
    <row r="12635">
      <c r="A12635" s="1"/>
    </row>
    <row r="12636">
      <c r="A12636" s="1"/>
    </row>
    <row r="12637">
      <c r="A12637" s="1"/>
    </row>
    <row r="12638">
      <c r="A12638" s="1"/>
    </row>
    <row r="12639">
      <c r="A12639" s="1"/>
    </row>
    <row r="12640">
      <c r="A12640" s="1"/>
    </row>
    <row r="12641">
      <c r="A12641" s="1"/>
    </row>
    <row r="12642">
      <c r="A12642" s="1"/>
    </row>
    <row r="12643">
      <c r="A12643" s="1"/>
    </row>
    <row r="12644">
      <c r="A12644" s="1"/>
    </row>
    <row r="12645">
      <c r="A12645" s="1"/>
    </row>
    <row r="12646">
      <c r="A12646" s="1"/>
    </row>
    <row r="12647">
      <c r="A12647" s="1"/>
    </row>
    <row r="12648">
      <c r="A12648" s="1"/>
    </row>
    <row r="12649">
      <c r="A12649" s="1"/>
    </row>
    <row r="12650">
      <c r="A12650" s="1"/>
    </row>
    <row r="12651">
      <c r="A12651" s="1"/>
    </row>
    <row r="12652">
      <c r="A12652" s="1"/>
    </row>
    <row r="12653">
      <c r="A12653" s="1"/>
    </row>
    <row r="12654">
      <c r="A12654" s="1"/>
    </row>
    <row r="12655">
      <c r="A12655" s="1"/>
    </row>
    <row r="12656">
      <c r="A12656" s="1"/>
    </row>
    <row r="12657">
      <c r="A12657" s="1"/>
    </row>
    <row r="12658">
      <c r="A12658" s="1"/>
    </row>
    <row r="12659">
      <c r="A12659" s="1"/>
    </row>
    <row r="12660">
      <c r="A12660" s="1"/>
    </row>
    <row r="12661">
      <c r="A12661" s="1"/>
    </row>
    <row r="12662">
      <c r="A12662" s="1"/>
    </row>
    <row r="12663">
      <c r="A12663" s="1"/>
    </row>
    <row r="12664">
      <c r="A12664" s="1"/>
    </row>
    <row r="12665">
      <c r="A12665" s="1"/>
    </row>
    <row r="12666">
      <c r="A12666" s="1"/>
    </row>
    <row r="12667">
      <c r="A12667" s="1"/>
    </row>
    <row r="12668">
      <c r="A12668" s="1"/>
    </row>
    <row r="12669">
      <c r="A12669" s="1"/>
    </row>
    <row r="12670">
      <c r="A12670" s="1"/>
    </row>
    <row r="12671">
      <c r="A12671" s="1"/>
    </row>
    <row r="12672">
      <c r="A12672" s="1"/>
    </row>
    <row r="12673">
      <c r="A12673" s="1"/>
    </row>
    <row r="12674">
      <c r="A12674" s="1"/>
    </row>
    <row r="12675">
      <c r="A12675" s="1"/>
    </row>
    <row r="12676">
      <c r="A12676" s="1"/>
    </row>
    <row r="12677">
      <c r="A12677" s="1"/>
    </row>
    <row r="12678">
      <c r="A12678" s="1"/>
    </row>
    <row r="12679">
      <c r="A12679" s="1"/>
    </row>
    <row r="12680">
      <c r="A12680" s="1"/>
    </row>
    <row r="12681">
      <c r="A12681" s="1"/>
    </row>
    <row r="12682">
      <c r="A12682" s="1"/>
    </row>
    <row r="12683">
      <c r="A12683" s="1"/>
    </row>
    <row r="12684">
      <c r="A12684" s="1"/>
    </row>
    <row r="12685">
      <c r="A12685" s="1"/>
    </row>
    <row r="12686">
      <c r="A12686" s="1"/>
    </row>
    <row r="12687">
      <c r="A12687" s="1"/>
    </row>
    <row r="12688">
      <c r="A12688" s="1"/>
    </row>
    <row r="12689">
      <c r="A12689" s="1"/>
    </row>
    <row r="12690">
      <c r="A12690" s="1"/>
    </row>
    <row r="12691">
      <c r="A12691" s="1"/>
    </row>
    <row r="12692">
      <c r="A12692" s="1"/>
    </row>
    <row r="12693">
      <c r="A12693" s="1"/>
    </row>
    <row r="12694">
      <c r="A12694" s="1"/>
    </row>
    <row r="12695">
      <c r="A12695" s="1"/>
    </row>
    <row r="12696">
      <c r="A12696" s="1"/>
    </row>
    <row r="12697">
      <c r="A12697" s="1"/>
    </row>
    <row r="12698">
      <c r="A12698" s="1"/>
    </row>
    <row r="12699">
      <c r="A12699" s="1"/>
    </row>
    <row r="12700">
      <c r="A12700" s="1"/>
    </row>
    <row r="12701">
      <c r="A12701" s="1"/>
    </row>
    <row r="12702">
      <c r="A12702" s="1"/>
    </row>
    <row r="12703">
      <c r="A12703" s="1"/>
    </row>
    <row r="12704">
      <c r="A12704" s="1"/>
    </row>
    <row r="12705">
      <c r="A12705" s="1"/>
    </row>
    <row r="12706">
      <c r="A12706" s="1"/>
    </row>
    <row r="12707">
      <c r="A12707" s="1"/>
    </row>
    <row r="12708">
      <c r="A12708" s="1"/>
    </row>
    <row r="12709">
      <c r="A12709" s="1"/>
    </row>
    <row r="12710">
      <c r="A12710" s="1"/>
    </row>
    <row r="12711">
      <c r="A12711" s="1"/>
    </row>
    <row r="12712">
      <c r="A12712" s="1"/>
    </row>
    <row r="12713">
      <c r="A12713" s="1"/>
    </row>
    <row r="12714">
      <c r="A12714" s="1"/>
    </row>
    <row r="12715">
      <c r="A12715" s="1"/>
    </row>
    <row r="12716">
      <c r="A12716" s="1"/>
    </row>
    <row r="12717">
      <c r="A12717" s="1"/>
    </row>
    <row r="12718">
      <c r="A12718" s="1"/>
    </row>
    <row r="12719">
      <c r="A12719" s="1"/>
    </row>
    <row r="12720">
      <c r="A12720" s="1"/>
    </row>
    <row r="12721">
      <c r="A12721" s="1"/>
    </row>
    <row r="12722">
      <c r="A12722" s="1"/>
    </row>
    <row r="12723">
      <c r="A12723" s="1"/>
    </row>
    <row r="12724">
      <c r="A12724" s="1"/>
    </row>
    <row r="12725">
      <c r="A12725" s="1"/>
    </row>
    <row r="12726">
      <c r="A12726" s="1"/>
    </row>
    <row r="12727">
      <c r="A12727" s="1"/>
    </row>
    <row r="12728">
      <c r="A12728" s="1"/>
    </row>
    <row r="12729">
      <c r="A12729" s="1"/>
    </row>
    <row r="12730">
      <c r="A12730" s="1"/>
    </row>
    <row r="12731">
      <c r="A12731" s="1"/>
    </row>
    <row r="12732">
      <c r="A12732" s="1"/>
    </row>
    <row r="12733">
      <c r="A12733" s="1"/>
    </row>
    <row r="12734">
      <c r="A12734" s="1"/>
    </row>
    <row r="12735">
      <c r="A12735" s="1"/>
    </row>
    <row r="12736">
      <c r="A12736" s="1"/>
    </row>
    <row r="12737">
      <c r="A12737" s="1"/>
    </row>
    <row r="12738">
      <c r="A12738" s="1"/>
    </row>
    <row r="12739">
      <c r="A12739" s="1"/>
    </row>
    <row r="12740">
      <c r="A12740" s="1"/>
    </row>
    <row r="12741">
      <c r="A12741" s="1"/>
    </row>
    <row r="12742">
      <c r="A12742" s="1"/>
    </row>
    <row r="12743">
      <c r="A12743" s="1"/>
    </row>
    <row r="12744">
      <c r="A12744" s="1"/>
    </row>
    <row r="12745">
      <c r="A12745" s="1"/>
    </row>
    <row r="12746">
      <c r="A12746" s="1"/>
    </row>
    <row r="12747">
      <c r="A12747" s="1"/>
    </row>
    <row r="12748">
      <c r="A12748" s="1"/>
    </row>
    <row r="12749">
      <c r="A12749" s="1"/>
    </row>
    <row r="12750">
      <c r="A12750" s="1"/>
    </row>
    <row r="12751">
      <c r="A12751" s="1"/>
    </row>
    <row r="12752">
      <c r="A12752" s="1"/>
    </row>
    <row r="12753">
      <c r="A12753" s="1"/>
    </row>
    <row r="12754">
      <c r="A12754" s="1"/>
    </row>
    <row r="12755">
      <c r="A12755" s="1"/>
    </row>
    <row r="12756">
      <c r="A12756" s="1"/>
    </row>
    <row r="12757">
      <c r="A12757" s="1"/>
    </row>
    <row r="12758">
      <c r="A12758" s="1"/>
    </row>
    <row r="12759">
      <c r="A12759" s="1"/>
    </row>
    <row r="12760">
      <c r="A12760" s="1"/>
    </row>
    <row r="12761">
      <c r="A12761" s="1"/>
    </row>
    <row r="12762">
      <c r="A12762" s="1"/>
    </row>
    <row r="12763">
      <c r="A12763" s="1"/>
    </row>
    <row r="12764">
      <c r="A12764" s="1"/>
    </row>
    <row r="12765">
      <c r="A12765" s="1"/>
    </row>
    <row r="12766">
      <c r="A12766" s="1"/>
    </row>
    <row r="12767">
      <c r="A12767" s="1"/>
    </row>
    <row r="12768">
      <c r="A12768" s="1"/>
    </row>
    <row r="12769">
      <c r="A12769" s="1"/>
    </row>
    <row r="12770">
      <c r="A12770" s="1"/>
    </row>
    <row r="12771">
      <c r="A12771" s="1"/>
    </row>
    <row r="12772">
      <c r="A12772" s="1"/>
    </row>
    <row r="12773">
      <c r="A12773" s="1"/>
    </row>
    <row r="12774">
      <c r="A12774" s="1"/>
    </row>
    <row r="12775">
      <c r="A12775" s="1"/>
    </row>
    <row r="12776">
      <c r="A12776" s="1"/>
    </row>
    <row r="12777">
      <c r="A12777" s="1"/>
    </row>
    <row r="12778">
      <c r="A12778" s="1"/>
    </row>
    <row r="12779">
      <c r="A12779" s="1"/>
    </row>
    <row r="12780">
      <c r="A12780" s="1"/>
    </row>
    <row r="12781">
      <c r="A12781" s="1"/>
    </row>
    <row r="12782">
      <c r="A12782" s="1"/>
    </row>
    <row r="12783">
      <c r="A12783" s="1"/>
    </row>
    <row r="12784">
      <c r="A12784" s="1"/>
    </row>
    <row r="12785">
      <c r="A12785" s="1"/>
    </row>
    <row r="12786">
      <c r="A12786" s="1"/>
    </row>
    <row r="12787">
      <c r="A12787" s="1"/>
    </row>
    <row r="12788">
      <c r="A12788" s="1"/>
    </row>
    <row r="12789">
      <c r="A12789" s="1"/>
    </row>
    <row r="12790">
      <c r="A12790" s="1"/>
    </row>
    <row r="12791">
      <c r="A12791" s="1"/>
    </row>
    <row r="12792">
      <c r="A12792" s="1"/>
    </row>
    <row r="12793">
      <c r="A12793" s="1"/>
    </row>
    <row r="12794">
      <c r="A12794" s="1"/>
    </row>
    <row r="12795">
      <c r="A12795" s="1"/>
    </row>
    <row r="12796">
      <c r="A12796" s="1"/>
    </row>
    <row r="12797">
      <c r="A12797" s="1"/>
    </row>
    <row r="12798">
      <c r="A12798" s="1"/>
    </row>
    <row r="12799">
      <c r="A12799" s="1"/>
    </row>
    <row r="12800">
      <c r="A12800" s="1"/>
    </row>
    <row r="12801">
      <c r="A12801" s="1"/>
    </row>
    <row r="12802">
      <c r="A12802" s="1"/>
    </row>
    <row r="12803">
      <c r="A12803" s="1"/>
    </row>
    <row r="12804">
      <c r="A12804" s="1"/>
    </row>
    <row r="12805">
      <c r="A12805" s="1"/>
    </row>
    <row r="12806">
      <c r="A12806" s="1"/>
    </row>
    <row r="12807">
      <c r="A12807" s="1"/>
    </row>
    <row r="12808">
      <c r="A12808" s="1"/>
    </row>
    <row r="12809">
      <c r="A12809" s="1"/>
    </row>
    <row r="12810">
      <c r="A12810" s="1"/>
    </row>
    <row r="12811">
      <c r="A12811" s="1"/>
    </row>
    <row r="12812">
      <c r="A12812" s="1"/>
    </row>
    <row r="12813">
      <c r="A12813" s="1"/>
    </row>
    <row r="12814">
      <c r="A12814" s="1"/>
    </row>
    <row r="12815">
      <c r="A12815" s="1"/>
    </row>
    <row r="12816">
      <c r="A12816" s="1"/>
    </row>
    <row r="12817">
      <c r="A12817" s="1"/>
    </row>
    <row r="12818">
      <c r="A12818" s="1"/>
    </row>
    <row r="12819">
      <c r="A12819" s="1"/>
    </row>
    <row r="12820">
      <c r="A12820" s="1"/>
    </row>
    <row r="12821">
      <c r="A12821" s="1"/>
    </row>
    <row r="12822">
      <c r="A12822" s="1"/>
    </row>
    <row r="12823">
      <c r="A12823" s="1"/>
    </row>
    <row r="12824">
      <c r="A12824" s="1"/>
    </row>
    <row r="12825">
      <c r="A12825" s="1"/>
    </row>
    <row r="12826">
      <c r="A12826" s="1"/>
    </row>
    <row r="12827">
      <c r="A12827" s="1"/>
    </row>
    <row r="12828">
      <c r="A12828" s="1"/>
    </row>
    <row r="12829">
      <c r="A12829" s="1"/>
    </row>
    <row r="12830">
      <c r="A12830" s="1"/>
    </row>
    <row r="12831">
      <c r="A12831" s="1"/>
    </row>
    <row r="12832">
      <c r="A12832" s="1"/>
    </row>
    <row r="12833">
      <c r="A12833" s="1"/>
    </row>
    <row r="12834">
      <c r="A12834" s="1"/>
    </row>
    <row r="12835">
      <c r="A12835" s="1"/>
    </row>
    <row r="12836">
      <c r="A12836" s="1"/>
    </row>
    <row r="12837">
      <c r="A12837" s="1"/>
    </row>
    <row r="12838">
      <c r="A12838" s="1"/>
    </row>
    <row r="12839">
      <c r="A12839" s="1"/>
    </row>
    <row r="12840">
      <c r="A12840" s="1"/>
    </row>
    <row r="12841">
      <c r="A12841" s="1"/>
    </row>
    <row r="12842">
      <c r="A12842" s="1"/>
    </row>
    <row r="12843">
      <c r="A12843" s="1"/>
    </row>
    <row r="12844">
      <c r="A12844" s="1"/>
    </row>
    <row r="12845">
      <c r="A12845" s="1"/>
    </row>
    <row r="12846">
      <c r="A12846" s="1"/>
    </row>
    <row r="12847">
      <c r="A12847" s="1"/>
    </row>
    <row r="12848">
      <c r="A12848" s="1"/>
    </row>
    <row r="12849">
      <c r="A12849" s="1"/>
    </row>
    <row r="12850">
      <c r="A12850" s="1"/>
    </row>
    <row r="12851">
      <c r="A12851" s="1"/>
    </row>
    <row r="12852">
      <c r="A12852" s="1"/>
    </row>
    <row r="12853">
      <c r="A12853" s="1"/>
    </row>
    <row r="12854">
      <c r="A12854" s="1"/>
    </row>
    <row r="12855">
      <c r="A12855" s="1"/>
    </row>
    <row r="12856">
      <c r="A12856" s="1"/>
    </row>
    <row r="12857">
      <c r="A12857" s="1"/>
    </row>
    <row r="12858">
      <c r="A12858" s="1"/>
    </row>
    <row r="12859">
      <c r="A12859" s="1"/>
    </row>
    <row r="12860">
      <c r="A12860" s="1"/>
    </row>
    <row r="12861">
      <c r="A12861" s="1"/>
    </row>
    <row r="12862">
      <c r="A12862" s="1"/>
    </row>
    <row r="12863">
      <c r="A12863" s="1"/>
    </row>
    <row r="12864">
      <c r="A12864" s="1"/>
    </row>
    <row r="12865">
      <c r="A12865" s="1"/>
    </row>
    <row r="12866">
      <c r="A12866" s="1"/>
    </row>
    <row r="12867">
      <c r="A12867" s="1"/>
    </row>
    <row r="12868">
      <c r="A12868" s="1"/>
    </row>
    <row r="12869">
      <c r="A12869" s="1"/>
    </row>
    <row r="12870">
      <c r="A12870" s="1"/>
    </row>
    <row r="12871">
      <c r="A12871" s="1"/>
    </row>
    <row r="12872">
      <c r="A12872" s="1"/>
    </row>
    <row r="12873">
      <c r="A12873" s="1"/>
    </row>
    <row r="12874">
      <c r="A12874" s="1"/>
    </row>
    <row r="12875">
      <c r="A12875" s="1"/>
    </row>
    <row r="12876">
      <c r="A12876" s="1"/>
    </row>
    <row r="12877">
      <c r="A12877" s="1"/>
    </row>
    <row r="12878">
      <c r="A12878" s="1"/>
    </row>
    <row r="12879">
      <c r="A12879" s="1"/>
    </row>
    <row r="12880">
      <c r="A12880" s="1"/>
    </row>
    <row r="12881">
      <c r="A12881" s="1"/>
    </row>
    <row r="12882">
      <c r="A12882" s="1"/>
    </row>
    <row r="12883">
      <c r="A12883" s="1"/>
    </row>
    <row r="12884">
      <c r="A12884" s="1"/>
    </row>
    <row r="12885">
      <c r="A12885" s="1"/>
    </row>
    <row r="12886">
      <c r="A12886" s="1"/>
    </row>
    <row r="12887">
      <c r="A12887" s="1"/>
    </row>
    <row r="12888">
      <c r="A12888" s="1"/>
    </row>
    <row r="12889">
      <c r="A12889" s="1"/>
    </row>
    <row r="12890">
      <c r="A12890" s="1"/>
    </row>
    <row r="12891">
      <c r="A12891" s="1"/>
    </row>
    <row r="12892">
      <c r="A12892" s="1"/>
    </row>
    <row r="12893">
      <c r="A12893" s="1"/>
    </row>
    <row r="12894">
      <c r="A12894" s="1"/>
    </row>
    <row r="12895">
      <c r="A12895" s="1"/>
    </row>
    <row r="12896">
      <c r="A12896" s="1"/>
    </row>
    <row r="12897">
      <c r="A12897" s="1"/>
    </row>
    <row r="12898">
      <c r="A12898" s="1"/>
    </row>
    <row r="12899">
      <c r="A12899" s="1"/>
    </row>
    <row r="12900">
      <c r="A12900" s="1"/>
    </row>
    <row r="12901">
      <c r="A12901" s="1"/>
    </row>
    <row r="12902">
      <c r="A12902" s="1"/>
    </row>
    <row r="12903">
      <c r="A12903" s="1"/>
    </row>
    <row r="12904">
      <c r="A12904" s="1"/>
    </row>
    <row r="12905">
      <c r="A12905" s="1"/>
    </row>
    <row r="12906">
      <c r="A12906" s="1"/>
    </row>
    <row r="12907">
      <c r="A12907" s="1"/>
    </row>
    <row r="12908">
      <c r="A12908" s="1"/>
    </row>
    <row r="12909">
      <c r="A12909" s="1"/>
    </row>
    <row r="12910">
      <c r="A12910" s="1"/>
    </row>
    <row r="12911">
      <c r="A12911" s="1"/>
    </row>
    <row r="12912">
      <c r="A12912" s="1"/>
    </row>
    <row r="12913">
      <c r="A12913" s="1"/>
    </row>
    <row r="12914">
      <c r="A12914" s="1"/>
    </row>
    <row r="12915">
      <c r="A12915" s="1"/>
    </row>
    <row r="12916">
      <c r="A12916" s="1"/>
    </row>
    <row r="12917">
      <c r="A12917" s="1"/>
    </row>
    <row r="12918">
      <c r="A12918" s="1"/>
    </row>
    <row r="12919">
      <c r="A12919" s="1"/>
    </row>
    <row r="12920">
      <c r="A12920" s="1"/>
    </row>
    <row r="12921">
      <c r="A12921" s="1"/>
    </row>
    <row r="12922">
      <c r="A12922" s="1"/>
    </row>
    <row r="12923">
      <c r="A12923" s="1"/>
    </row>
    <row r="12924">
      <c r="A12924" s="1"/>
    </row>
    <row r="12925">
      <c r="A12925" s="1"/>
    </row>
    <row r="12926">
      <c r="A12926" s="1"/>
    </row>
    <row r="12927">
      <c r="A12927" s="1"/>
    </row>
    <row r="12928">
      <c r="A12928" s="1"/>
    </row>
    <row r="12929">
      <c r="A12929" s="1"/>
    </row>
    <row r="12930">
      <c r="A12930" s="1"/>
    </row>
    <row r="12931">
      <c r="A12931" s="1"/>
    </row>
    <row r="12932">
      <c r="A12932" s="1"/>
    </row>
    <row r="12933">
      <c r="A12933" s="1"/>
    </row>
    <row r="12934">
      <c r="A12934" s="1"/>
    </row>
    <row r="12935">
      <c r="A12935" s="1"/>
    </row>
    <row r="12936">
      <c r="A12936" s="1"/>
    </row>
    <row r="12937">
      <c r="A12937" s="1"/>
    </row>
    <row r="12938">
      <c r="A12938" s="1"/>
    </row>
    <row r="12939">
      <c r="A12939" s="1"/>
    </row>
    <row r="12940">
      <c r="A12940" s="1"/>
    </row>
    <row r="12941">
      <c r="A12941" s="1"/>
    </row>
    <row r="12942">
      <c r="A12942" s="1"/>
    </row>
    <row r="12943">
      <c r="A12943" s="1"/>
    </row>
    <row r="12944">
      <c r="A12944" s="1"/>
    </row>
    <row r="12945">
      <c r="A12945" s="1"/>
    </row>
    <row r="12946">
      <c r="A12946" s="1"/>
    </row>
    <row r="12947">
      <c r="A12947" s="1"/>
    </row>
    <row r="12948">
      <c r="A12948" s="1"/>
    </row>
    <row r="12949">
      <c r="A12949" s="1"/>
    </row>
    <row r="12950">
      <c r="A12950" s="1"/>
    </row>
    <row r="12951">
      <c r="A12951" s="1"/>
    </row>
    <row r="12952">
      <c r="A12952" s="1"/>
    </row>
    <row r="12953">
      <c r="A12953" s="1"/>
    </row>
    <row r="12954">
      <c r="A12954" s="1"/>
    </row>
    <row r="12955">
      <c r="A12955" s="1"/>
    </row>
    <row r="12956">
      <c r="A12956" s="1"/>
    </row>
    <row r="12957">
      <c r="A12957" s="1"/>
    </row>
    <row r="12958">
      <c r="A12958" s="1"/>
    </row>
    <row r="12959">
      <c r="A12959" s="1"/>
    </row>
    <row r="12960">
      <c r="A12960" s="1"/>
    </row>
    <row r="12961">
      <c r="A12961" s="1"/>
    </row>
    <row r="12962">
      <c r="A12962" s="1"/>
    </row>
    <row r="12963">
      <c r="A12963" s="1"/>
    </row>
    <row r="12964">
      <c r="A12964" s="1"/>
    </row>
    <row r="12965">
      <c r="A12965" s="1"/>
    </row>
    <row r="12966">
      <c r="A12966" s="1"/>
    </row>
    <row r="12967">
      <c r="A12967" s="1"/>
    </row>
    <row r="12968">
      <c r="A12968" s="1"/>
    </row>
    <row r="12969">
      <c r="A12969" s="1"/>
    </row>
    <row r="12970">
      <c r="A12970" s="1"/>
    </row>
    <row r="12971">
      <c r="A12971" s="1"/>
    </row>
    <row r="12972">
      <c r="A12972" s="1"/>
    </row>
    <row r="12973">
      <c r="A12973" s="1"/>
    </row>
    <row r="12974">
      <c r="A12974" s="1"/>
    </row>
    <row r="12975">
      <c r="A12975" s="1"/>
    </row>
    <row r="12976">
      <c r="A12976" s="1"/>
    </row>
    <row r="12977">
      <c r="A12977" s="1"/>
    </row>
    <row r="12978">
      <c r="A12978" s="1"/>
    </row>
    <row r="12979">
      <c r="A12979" s="1"/>
    </row>
    <row r="12980">
      <c r="A12980" s="1"/>
    </row>
    <row r="12981">
      <c r="A12981" s="1"/>
    </row>
    <row r="12982">
      <c r="A12982" s="1"/>
    </row>
    <row r="12983">
      <c r="A12983" s="1"/>
    </row>
    <row r="12984">
      <c r="A12984" s="1"/>
    </row>
    <row r="12985">
      <c r="A12985" s="1"/>
    </row>
    <row r="12986">
      <c r="A12986" s="1"/>
    </row>
    <row r="12987">
      <c r="A12987" s="1"/>
    </row>
    <row r="12988">
      <c r="A12988" s="1"/>
    </row>
    <row r="12989">
      <c r="A12989" s="1"/>
    </row>
    <row r="12990">
      <c r="A12990" s="1"/>
    </row>
    <row r="12991">
      <c r="A12991" s="1"/>
    </row>
    <row r="12992">
      <c r="A12992" s="1"/>
    </row>
    <row r="12993">
      <c r="A12993" s="1"/>
    </row>
    <row r="12994">
      <c r="A12994" s="1"/>
    </row>
    <row r="12995">
      <c r="A12995" s="1"/>
    </row>
    <row r="12996">
      <c r="A12996" s="1"/>
    </row>
    <row r="12997">
      <c r="A12997" s="1"/>
    </row>
    <row r="12998">
      <c r="A12998" s="1"/>
    </row>
    <row r="12999">
      <c r="A12999" s="1"/>
    </row>
    <row r="13000">
      <c r="A13000" s="1"/>
    </row>
    <row r="13001">
      <c r="A13001" s="1"/>
    </row>
    <row r="13002">
      <c r="A13002" s="1"/>
    </row>
    <row r="13003">
      <c r="A13003" s="1"/>
    </row>
    <row r="13004">
      <c r="A13004" s="1"/>
    </row>
    <row r="13005">
      <c r="A13005" s="1"/>
    </row>
    <row r="13006">
      <c r="A13006" s="1"/>
    </row>
    <row r="13007">
      <c r="A13007" s="1"/>
    </row>
    <row r="13008">
      <c r="A13008" s="1"/>
    </row>
    <row r="13009">
      <c r="A13009" s="1"/>
    </row>
    <row r="13010">
      <c r="A13010" s="1"/>
    </row>
    <row r="13011">
      <c r="A13011" s="1"/>
    </row>
    <row r="13012">
      <c r="A13012" s="1"/>
    </row>
    <row r="13013">
      <c r="A13013" s="1"/>
    </row>
    <row r="13014">
      <c r="A13014" s="1"/>
    </row>
    <row r="13015">
      <c r="A13015" s="1"/>
    </row>
    <row r="13016">
      <c r="A13016" s="1"/>
    </row>
    <row r="13017">
      <c r="A13017" s="1"/>
    </row>
    <row r="13018">
      <c r="A13018" s="1"/>
    </row>
    <row r="13019">
      <c r="A13019" s="1"/>
    </row>
    <row r="13020">
      <c r="A13020" s="1"/>
    </row>
    <row r="13021">
      <c r="A13021" s="1"/>
    </row>
    <row r="13022">
      <c r="A13022" s="1"/>
    </row>
    <row r="13023">
      <c r="A13023" s="1"/>
    </row>
    <row r="13024">
      <c r="A13024" s="1"/>
    </row>
    <row r="13025">
      <c r="A13025" s="1"/>
    </row>
    <row r="13026">
      <c r="A13026" s="1"/>
    </row>
    <row r="13027">
      <c r="A13027" s="1"/>
    </row>
    <row r="13028">
      <c r="A13028" s="1"/>
    </row>
    <row r="13029">
      <c r="A13029" s="1"/>
    </row>
    <row r="13030">
      <c r="A13030" s="1"/>
    </row>
    <row r="13031">
      <c r="A13031" s="1"/>
    </row>
    <row r="13032">
      <c r="A13032" s="1"/>
    </row>
    <row r="13033">
      <c r="A13033" s="1"/>
    </row>
    <row r="13034">
      <c r="A13034" s="1"/>
    </row>
    <row r="13035">
      <c r="A13035" s="1"/>
    </row>
    <row r="13036">
      <c r="A13036" s="1"/>
    </row>
    <row r="13037">
      <c r="A13037" s="1"/>
    </row>
    <row r="13038">
      <c r="A13038" s="1"/>
    </row>
    <row r="13039">
      <c r="A13039" s="1"/>
    </row>
    <row r="13040">
      <c r="A13040" s="1"/>
    </row>
    <row r="13041">
      <c r="A13041" s="1"/>
    </row>
    <row r="13042">
      <c r="A13042" s="1"/>
    </row>
    <row r="13043">
      <c r="A13043" s="1"/>
    </row>
    <row r="13044">
      <c r="A13044" s="1"/>
    </row>
    <row r="13045">
      <c r="A13045" s="1"/>
    </row>
    <row r="13046">
      <c r="A13046" s="1"/>
    </row>
    <row r="13047">
      <c r="A13047" s="1"/>
    </row>
    <row r="13048">
      <c r="A13048" s="1"/>
    </row>
    <row r="13049">
      <c r="A13049" s="1"/>
    </row>
    <row r="13050">
      <c r="A13050" s="1"/>
    </row>
    <row r="13051">
      <c r="A13051" s="1"/>
    </row>
    <row r="13052">
      <c r="A13052" s="1"/>
    </row>
    <row r="13053">
      <c r="A13053" s="1"/>
    </row>
    <row r="13054">
      <c r="A13054" s="1"/>
    </row>
    <row r="13055">
      <c r="A13055" s="1"/>
    </row>
    <row r="13056">
      <c r="A13056" s="1"/>
    </row>
    <row r="13057">
      <c r="A13057" s="1"/>
    </row>
    <row r="13058">
      <c r="A13058" s="1"/>
    </row>
    <row r="13059">
      <c r="A13059" s="1"/>
    </row>
    <row r="13060">
      <c r="A13060" s="1"/>
    </row>
    <row r="13061">
      <c r="A13061" s="1"/>
    </row>
    <row r="13062">
      <c r="A13062" s="1"/>
    </row>
    <row r="13063">
      <c r="A13063" s="1"/>
    </row>
    <row r="13064">
      <c r="A13064" s="1"/>
    </row>
    <row r="13065">
      <c r="A13065" s="1"/>
    </row>
    <row r="13066">
      <c r="A13066" s="1"/>
    </row>
    <row r="13067">
      <c r="A13067" s="1"/>
    </row>
    <row r="13068">
      <c r="A13068" s="1"/>
    </row>
    <row r="13069">
      <c r="A13069" s="1"/>
    </row>
    <row r="13070">
      <c r="A13070" s="1"/>
    </row>
    <row r="13071">
      <c r="A13071" s="1"/>
    </row>
    <row r="13072">
      <c r="A13072" s="1"/>
    </row>
    <row r="13073">
      <c r="A13073" s="1"/>
    </row>
    <row r="13074">
      <c r="A13074" s="1"/>
    </row>
    <row r="13075">
      <c r="A13075" s="1"/>
    </row>
    <row r="13076">
      <c r="A13076" s="1"/>
    </row>
    <row r="13077">
      <c r="A13077" s="1"/>
    </row>
    <row r="13078">
      <c r="A13078" s="1"/>
    </row>
    <row r="13079">
      <c r="A13079" s="1"/>
    </row>
    <row r="13080">
      <c r="A13080" s="1"/>
    </row>
    <row r="13081">
      <c r="A13081" s="1"/>
    </row>
    <row r="13082">
      <c r="A13082" s="1"/>
    </row>
    <row r="13083">
      <c r="A13083" s="1"/>
    </row>
    <row r="13084">
      <c r="A13084" s="1"/>
    </row>
    <row r="13085">
      <c r="A13085" s="1"/>
    </row>
    <row r="13086">
      <c r="A13086" s="1"/>
    </row>
    <row r="13087">
      <c r="A13087" s="1"/>
    </row>
    <row r="13088">
      <c r="A13088" s="1"/>
    </row>
    <row r="13089">
      <c r="A13089" s="1"/>
    </row>
    <row r="13090">
      <c r="A13090" s="1"/>
    </row>
    <row r="13091">
      <c r="A13091" s="1"/>
    </row>
    <row r="13092">
      <c r="A13092" s="1"/>
    </row>
    <row r="13093">
      <c r="A13093" s="1"/>
    </row>
    <row r="13094">
      <c r="A13094" s="1"/>
    </row>
    <row r="13095">
      <c r="A13095" s="1"/>
    </row>
    <row r="13096">
      <c r="A13096" s="1"/>
    </row>
    <row r="13097">
      <c r="A13097" s="1"/>
    </row>
    <row r="13098">
      <c r="A13098" s="1"/>
    </row>
    <row r="13099">
      <c r="A13099" s="1"/>
    </row>
    <row r="13100">
      <c r="A13100" s="1"/>
    </row>
    <row r="13101">
      <c r="A13101" s="1"/>
    </row>
    <row r="13102">
      <c r="A13102" s="1"/>
    </row>
    <row r="13103">
      <c r="A13103" s="1"/>
    </row>
    <row r="13104">
      <c r="A13104" s="1"/>
    </row>
    <row r="13105">
      <c r="A13105" s="1"/>
    </row>
    <row r="13106">
      <c r="A13106" s="1"/>
    </row>
    <row r="13107">
      <c r="A13107" s="1"/>
    </row>
    <row r="13108">
      <c r="A13108" s="1"/>
    </row>
    <row r="13109">
      <c r="A13109" s="1"/>
    </row>
    <row r="13110">
      <c r="A13110" s="1"/>
    </row>
    <row r="13111">
      <c r="A13111" s="1"/>
    </row>
    <row r="13112">
      <c r="A13112" s="1"/>
    </row>
    <row r="13113">
      <c r="A13113" s="1"/>
    </row>
    <row r="13114">
      <c r="A13114" s="1"/>
    </row>
    <row r="13115">
      <c r="A13115" s="1"/>
    </row>
    <row r="13116">
      <c r="A13116" s="1"/>
    </row>
    <row r="13117">
      <c r="A13117" s="1"/>
    </row>
    <row r="13118">
      <c r="A13118" s="1"/>
    </row>
    <row r="13119">
      <c r="A13119" s="1"/>
    </row>
    <row r="13120">
      <c r="A13120" s="1"/>
    </row>
    <row r="13121">
      <c r="A13121" s="1"/>
    </row>
    <row r="13122">
      <c r="A13122" s="1"/>
    </row>
    <row r="13123">
      <c r="A13123" s="1"/>
    </row>
    <row r="13124">
      <c r="A13124" s="1"/>
    </row>
    <row r="13125">
      <c r="A13125" s="1"/>
    </row>
    <row r="13126">
      <c r="A13126" s="1"/>
    </row>
    <row r="13127">
      <c r="A13127" s="1"/>
    </row>
    <row r="13128">
      <c r="A13128" s="1"/>
    </row>
    <row r="13129">
      <c r="A13129" s="1"/>
    </row>
    <row r="13130">
      <c r="A13130" s="1"/>
    </row>
    <row r="13131">
      <c r="A13131" s="1"/>
    </row>
    <row r="13132">
      <c r="A13132" s="1"/>
    </row>
    <row r="13133">
      <c r="A13133" s="1"/>
    </row>
    <row r="13134">
      <c r="A13134" s="1"/>
    </row>
    <row r="13135">
      <c r="A13135" s="1"/>
    </row>
    <row r="13136">
      <c r="A13136" s="1"/>
    </row>
    <row r="13137">
      <c r="A13137" s="1"/>
    </row>
    <row r="13138">
      <c r="A13138" s="1"/>
    </row>
    <row r="13139">
      <c r="A13139" s="1"/>
    </row>
    <row r="13140">
      <c r="A13140" s="1"/>
    </row>
    <row r="13141">
      <c r="A13141" s="1"/>
    </row>
    <row r="13142">
      <c r="A13142" s="1"/>
    </row>
    <row r="13143">
      <c r="A13143" s="1"/>
    </row>
    <row r="13144">
      <c r="A13144" s="1"/>
    </row>
    <row r="13145">
      <c r="A13145" s="1"/>
    </row>
    <row r="13146">
      <c r="A13146" s="1"/>
    </row>
    <row r="13147">
      <c r="A13147" s="1"/>
    </row>
    <row r="13148">
      <c r="A13148" s="1"/>
    </row>
    <row r="13149">
      <c r="A13149" s="1"/>
    </row>
    <row r="13150">
      <c r="A13150" s="1"/>
    </row>
    <row r="13151">
      <c r="A13151" s="1"/>
    </row>
    <row r="13152">
      <c r="A13152" s="1"/>
    </row>
    <row r="13153">
      <c r="A13153" s="1"/>
    </row>
    <row r="13154">
      <c r="A13154" s="1"/>
    </row>
    <row r="13155">
      <c r="A13155" s="1"/>
    </row>
    <row r="13156">
      <c r="A13156" s="1"/>
    </row>
    <row r="13157">
      <c r="A13157" s="1"/>
    </row>
    <row r="13158">
      <c r="A13158" s="1"/>
    </row>
    <row r="13159">
      <c r="A13159" s="1"/>
    </row>
    <row r="13160">
      <c r="A13160" s="1"/>
    </row>
    <row r="13161">
      <c r="A13161" s="1"/>
    </row>
    <row r="13162">
      <c r="A13162" s="1"/>
    </row>
    <row r="13163">
      <c r="A13163" s="1"/>
    </row>
    <row r="13164">
      <c r="A13164" s="1"/>
    </row>
    <row r="13165">
      <c r="A13165" s="1"/>
    </row>
    <row r="13166">
      <c r="A13166" s="1"/>
    </row>
    <row r="13167">
      <c r="A13167" s="1"/>
    </row>
    <row r="13168">
      <c r="A13168" s="1"/>
    </row>
    <row r="13169">
      <c r="A13169" s="1"/>
    </row>
    <row r="13170">
      <c r="A13170" s="1"/>
    </row>
    <row r="13171">
      <c r="A13171" s="1"/>
    </row>
    <row r="13172">
      <c r="A13172" s="1"/>
    </row>
    <row r="13173">
      <c r="A13173" s="1"/>
    </row>
    <row r="13174">
      <c r="A13174" s="1"/>
    </row>
    <row r="13175">
      <c r="A13175" s="1"/>
    </row>
    <row r="13176">
      <c r="A13176" s="1"/>
    </row>
    <row r="13177">
      <c r="A13177" s="1"/>
    </row>
    <row r="13178">
      <c r="A13178" s="1"/>
    </row>
    <row r="13179">
      <c r="A13179" s="1"/>
    </row>
    <row r="13180">
      <c r="A13180" s="1"/>
    </row>
    <row r="13181">
      <c r="A13181" s="1"/>
    </row>
    <row r="13182">
      <c r="A13182" s="1"/>
    </row>
    <row r="13183">
      <c r="A13183" s="1"/>
    </row>
    <row r="13184">
      <c r="A13184" s="1"/>
    </row>
    <row r="13185">
      <c r="A13185" s="1"/>
    </row>
    <row r="13186">
      <c r="A13186" s="1"/>
    </row>
    <row r="13187">
      <c r="A13187" s="1"/>
    </row>
    <row r="13188">
      <c r="A13188" s="1"/>
    </row>
    <row r="13189">
      <c r="A13189" s="1"/>
    </row>
    <row r="13190">
      <c r="A13190" s="1"/>
    </row>
    <row r="13191">
      <c r="A13191" s="1"/>
    </row>
    <row r="13192">
      <c r="A13192" s="1"/>
    </row>
    <row r="13193">
      <c r="A13193" s="1"/>
    </row>
    <row r="13194">
      <c r="A13194" s="1"/>
    </row>
    <row r="13195">
      <c r="A13195" s="1"/>
    </row>
    <row r="13196">
      <c r="A13196" s="1"/>
    </row>
    <row r="13197">
      <c r="A13197" s="1"/>
    </row>
    <row r="13198">
      <c r="A13198" s="1"/>
    </row>
    <row r="13199">
      <c r="A13199" s="1"/>
    </row>
    <row r="13200">
      <c r="A13200" s="1"/>
    </row>
    <row r="13201">
      <c r="A13201" s="1"/>
    </row>
    <row r="13202">
      <c r="A13202" s="1"/>
    </row>
    <row r="13203">
      <c r="A13203" s="1"/>
    </row>
    <row r="13204">
      <c r="A13204" s="1"/>
    </row>
    <row r="13205">
      <c r="A13205" s="1"/>
    </row>
    <row r="13206">
      <c r="A13206" s="1"/>
    </row>
    <row r="13207">
      <c r="A13207" s="1"/>
    </row>
    <row r="13208">
      <c r="A13208" s="1"/>
    </row>
    <row r="13209">
      <c r="A13209" s="1"/>
    </row>
    <row r="13210">
      <c r="A13210" s="1"/>
    </row>
    <row r="13211">
      <c r="A13211" s="1"/>
    </row>
    <row r="13212">
      <c r="A13212" s="1"/>
    </row>
    <row r="13213">
      <c r="A13213" s="1"/>
    </row>
    <row r="13214">
      <c r="A13214" s="1"/>
    </row>
    <row r="13215">
      <c r="A13215" s="1"/>
    </row>
    <row r="13216">
      <c r="A13216" s="1"/>
    </row>
    <row r="13217">
      <c r="A13217" s="1"/>
    </row>
    <row r="13218">
      <c r="A13218" s="1"/>
    </row>
    <row r="13219">
      <c r="A13219" s="1"/>
    </row>
    <row r="13220">
      <c r="A13220" s="1"/>
    </row>
    <row r="13221">
      <c r="A13221" s="1"/>
    </row>
    <row r="13222">
      <c r="A13222" s="1"/>
    </row>
    <row r="13223">
      <c r="A13223" s="1"/>
    </row>
    <row r="13224">
      <c r="A13224" s="1"/>
    </row>
    <row r="13225">
      <c r="A13225" s="1"/>
    </row>
    <row r="13226">
      <c r="A13226" s="1"/>
    </row>
    <row r="13227">
      <c r="A13227" s="1"/>
    </row>
    <row r="13228">
      <c r="A13228" s="1"/>
    </row>
    <row r="13229">
      <c r="A13229" s="1"/>
    </row>
    <row r="13230">
      <c r="A13230" s="1"/>
    </row>
    <row r="13231">
      <c r="A13231" s="1"/>
    </row>
    <row r="13232">
      <c r="A13232" s="1"/>
    </row>
    <row r="13233">
      <c r="A13233" s="1"/>
    </row>
    <row r="13234">
      <c r="A13234" s="1"/>
    </row>
    <row r="13235">
      <c r="A13235" s="1"/>
    </row>
    <row r="13236">
      <c r="A13236" s="1"/>
    </row>
    <row r="13237">
      <c r="A13237" s="1"/>
    </row>
    <row r="13238">
      <c r="A13238" s="1"/>
    </row>
    <row r="13239">
      <c r="A13239" s="1"/>
    </row>
    <row r="13240">
      <c r="A13240" s="1"/>
    </row>
    <row r="13241">
      <c r="A13241" s="1"/>
    </row>
    <row r="13242">
      <c r="A13242" s="1"/>
    </row>
    <row r="13243">
      <c r="A13243" s="1"/>
    </row>
    <row r="13244">
      <c r="A13244" s="1"/>
    </row>
    <row r="13245">
      <c r="A13245" s="1"/>
    </row>
    <row r="13246">
      <c r="A13246" s="1"/>
    </row>
    <row r="13247">
      <c r="A13247" s="1"/>
    </row>
    <row r="13248">
      <c r="A13248" s="1"/>
    </row>
    <row r="13249">
      <c r="A13249" s="1"/>
    </row>
    <row r="13250">
      <c r="A13250" s="1"/>
    </row>
    <row r="13251">
      <c r="A13251" s="1"/>
    </row>
    <row r="13252">
      <c r="A13252" s="1"/>
    </row>
    <row r="13253">
      <c r="A13253" s="1"/>
    </row>
    <row r="13254">
      <c r="A13254" s="1"/>
    </row>
    <row r="13255">
      <c r="A13255" s="1"/>
    </row>
    <row r="13256">
      <c r="A13256" s="1"/>
    </row>
    <row r="13257">
      <c r="A13257" s="1"/>
    </row>
    <row r="13258">
      <c r="A13258" s="1"/>
    </row>
    <row r="13259">
      <c r="A13259" s="1"/>
    </row>
    <row r="13260">
      <c r="A13260" s="1"/>
    </row>
    <row r="13261">
      <c r="A13261" s="1"/>
    </row>
    <row r="13262">
      <c r="A13262" s="1"/>
    </row>
    <row r="13263">
      <c r="A13263" s="1"/>
    </row>
    <row r="13264">
      <c r="A13264" s="1"/>
    </row>
    <row r="13265">
      <c r="A13265" s="1"/>
    </row>
    <row r="13266">
      <c r="A13266" s="1"/>
    </row>
    <row r="13267">
      <c r="A13267" s="1"/>
    </row>
    <row r="13268">
      <c r="A13268" s="1"/>
    </row>
    <row r="13269">
      <c r="A13269" s="1"/>
    </row>
    <row r="13270">
      <c r="A13270" s="1"/>
    </row>
    <row r="13271">
      <c r="A13271" s="1"/>
    </row>
    <row r="13272">
      <c r="A13272" s="1"/>
    </row>
    <row r="13273">
      <c r="A13273" s="1"/>
    </row>
    <row r="13274">
      <c r="A13274" s="1"/>
    </row>
    <row r="13275">
      <c r="A13275" s="1"/>
    </row>
    <row r="13276">
      <c r="A13276" s="1"/>
    </row>
    <row r="13277">
      <c r="A13277" s="1"/>
    </row>
    <row r="13278">
      <c r="A13278" s="1"/>
    </row>
    <row r="13279">
      <c r="A13279" s="1"/>
    </row>
    <row r="13280">
      <c r="A13280" s="1"/>
    </row>
    <row r="13281">
      <c r="A13281" s="1"/>
    </row>
    <row r="13282">
      <c r="A13282" s="1"/>
    </row>
    <row r="13283">
      <c r="A13283" s="1"/>
    </row>
    <row r="13284">
      <c r="A13284" s="1"/>
    </row>
    <row r="13285">
      <c r="A13285" s="1"/>
    </row>
    <row r="13286">
      <c r="A13286" s="1"/>
    </row>
    <row r="13287">
      <c r="A13287" s="1"/>
    </row>
    <row r="13288">
      <c r="A13288" s="1"/>
    </row>
    <row r="13289">
      <c r="A13289" s="1"/>
    </row>
    <row r="13290">
      <c r="A13290" s="1"/>
    </row>
    <row r="13291">
      <c r="A13291" s="1"/>
    </row>
    <row r="13292">
      <c r="A13292" s="1"/>
    </row>
    <row r="13293">
      <c r="A13293" s="1"/>
    </row>
    <row r="13294">
      <c r="A13294" s="1"/>
    </row>
    <row r="13295">
      <c r="A13295" s="1"/>
    </row>
    <row r="13296">
      <c r="A13296" s="1"/>
    </row>
    <row r="13297">
      <c r="A13297" s="1"/>
    </row>
    <row r="13298">
      <c r="A13298" s="1"/>
    </row>
    <row r="13299">
      <c r="A13299" s="1"/>
    </row>
    <row r="13300">
      <c r="A13300" s="1"/>
    </row>
    <row r="13301">
      <c r="A13301" s="1"/>
    </row>
    <row r="13302">
      <c r="A13302" s="1"/>
    </row>
    <row r="13303">
      <c r="A13303" s="1"/>
    </row>
    <row r="13304">
      <c r="A13304" s="1"/>
    </row>
    <row r="13305">
      <c r="A13305" s="1"/>
    </row>
    <row r="13306">
      <c r="A13306" s="1"/>
    </row>
    <row r="13307">
      <c r="A13307" s="1"/>
    </row>
    <row r="13308">
      <c r="A13308" s="1"/>
    </row>
    <row r="13309">
      <c r="A13309" s="1"/>
    </row>
    <row r="13310">
      <c r="A13310" s="1"/>
    </row>
    <row r="13311">
      <c r="A13311" s="1"/>
    </row>
    <row r="13312">
      <c r="A13312" s="1"/>
    </row>
    <row r="13313">
      <c r="A13313" s="1"/>
    </row>
    <row r="13314">
      <c r="A13314" s="1"/>
    </row>
    <row r="13315">
      <c r="A13315" s="1"/>
    </row>
    <row r="13316">
      <c r="A13316" s="1"/>
    </row>
    <row r="13317">
      <c r="A13317" s="1"/>
    </row>
    <row r="13318">
      <c r="A13318" s="1"/>
    </row>
    <row r="13319">
      <c r="A13319" s="1"/>
    </row>
    <row r="13320">
      <c r="A13320" s="1"/>
    </row>
    <row r="13321">
      <c r="A13321" s="1"/>
    </row>
    <row r="13322">
      <c r="A13322" s="1"/>
    </row>
    <row r="13323">
      <c r="A13323" s="1"/>
    </row>
    <row r="13324">
      <c r="A13324" s="1"/>
    </row>
    <row r="13325">
      <c r="A13325" s="1"/>
    </row>
    <row r="13326">
      <c r="A13326" s="1"/>
    </row>
    <row r="13327">
      <c r="A13327" s="1"/>
    </row>
    <row r="13328">
      <c r="A13328" s="1"/>
    </row>
    <row r="13329">
      <c r="A13329" s="1"/>
    </row>
    <row r="13330">
      <c r="A13330" s="1"/>
    </row>
    <row r="13331">
      <c r="A13331" s="1"/>
    </row>
    <row r="13332">
      <c r="A13332" s="1"/>
    </row>
    <row r="13333">
      <c r="A13333" s="1"/>
    </row>
    <row r="13334">
      <c r="A13334" s="1"/>
    </row>
    <row r="13335">
      <c r="A13335" s="1"/>
    </row>
    <row r="13336">
      <c r="A13336" s="1"/>
    </row>
    <row r="13337">
      <c r="A13337" s="1"/>
    </row>
    <row r="13338">
      <c r="A13338" s="1"/>
    </row>
    <row r="13339">
      <c r="A13339" s="1"/>
    </row>
    <row r="13340">
      <c r="A13340" s="1"/>
    </row>
    <row r="13341">
      <c r="A13341" s="1"/>
    </row>
    <row r="13342">
      <c r="A13342" s="1"/>
    </row>
    <row r="13343">
      <c r="A13343" s="1"/>
    </row>
    <row r="13344">
      <c r="A13344" s="1"/>
    </row>
    <row r="13345">
      <c r="A13345" s="1"/>
    </row>
    <row r="13346">
      <c r="A13346" s="1"/>
    </row>
    <row r="13347">
      <c r="A13347" s="1"/>
    </row>
    <row r="13348">
      <c r="A13348" s="1"/>
    </row>
    <row r="13349">
      <c r="A13349" s="1"/>
    </row>
    <row r="13350">
      <c r="A13350" s="1"/>
    </row>
    <row r="13351">
      <c r="A13351" s="1"/>
    </row>
    <row r="13352">
      <c r="A13352" s="1"/>
    </row>
    <row r="13353">
      <c r="A13353" s="1"/>
    </row>
    <row r="13354">
      <c r="A13354" s="1"/>
    </row>
    <row r="13355">
      <c r="A13355" s="1"/>
    </row>
    <row r="13356">
      <c r="A13356" s="1"/>
    </row>
    <row r="13357">
      <c r="A13357" s="1"/>
    </row>
    <row r="13358">
      <c r="A13358" s="1"/>
    </row>
    <row r="13359">
      <c r="A13359" s="1"/>
    </row>
    <row r="13360">
      <c r="A13360" s="1"/>
    </row>
    <row r="13361">
      <c r="A13361" s="1"/>
    </row>
    <row r="13362">
      <c r="A13362" s="1"/>
    </row>
    <row r="13363">
      <c r="A13363" s="1"/>
    </row>
    <row r="13364">
      <c r="A13364" s="1"/>
    </row>
    <row r="13365">
      <c r="A13365" s="1"/>
    </row>
    <row r="13366">
      <c r="A13366" s="1"/>
    </row>
    <row r="13367">
      <c r="A13367" s="1"/>
    </row>
    <row r="13368">
      <c r="A13368" s="1"/>
    </row>
    <row r="13369">
      <c r="A13369" s="1"/>
    </row>
    <row r="13370">
      <c r="A13370" s="1"/>
    </row>
    <row r="13371">
      <c r="A13371" s="1"/>
    </row>
    <row r="13372">
      <c r="A13372" s="1"/>
    </row>
    <row r="13373">
      <c r="A13373" s="1"/>
    </row>
    <row r="13374">
      <c r="A13374" s="1"/>
    </row>
    <row r="13375">
      <c r="A13375" s="1"/>
    </row>
    <row r="13376">
      <c r="A13376" s="1"/>
    </row>
    <row r="13377">
      <c r="A13377" s="1"/>
    </row>
    <row r="13378">
      <c r="A13378" s="1"/>
    </row>
    <row r="13379">
      <c r="A13379" s="1"/>
    </row>
    <row r="13380">
      <c r="A13380" s="1"/>
    </row>
    <row r="13381">
      <c r="A13381" s="1"/>
    </row>
    <row r="13382">
      <c r="A13382" s="1"/>
    </row>
    <row r="13383">
      <c r="A13383" s="1"/>
    </row>
    <row r="13384">
      <c r="A13384" s="1"/>
    </row>
    <row r="13385">
      <c r="A13385" s="1"/>
    </row>
    <row r="13386">
      <c r="A13386" s="1"/>
    </row>
    <row r="13387">
      <c r="A13387" s="1"/>
    </row>
    <row r="13388">
      <c r="A13388" s="1"/>
    </row>
    <row r="13389">
      <c r="A13389" s="1"/>
    </row>
    <row r="13390">
      <c r="A13390" s="1"/>
    </row>
    <row r="13391">
      <c r="A13391" s="1"/>
    </row>
    <row r="13392">
      <c r="A13392" s="1"/>
    </row>
    <row r="13393">
      <c r="A13393" s="1"/>
    </row>
    <row r="13394">
      <c r="A13394" s="1"/>
    </row>
    <row r="13395">
      <c r="A13395" s="1"/>
    </row>
    <row r="13396">
      <c r="A13396" s="1"/>
    </row>
    <row r="13397">
      <c r="A13397" s="1"/>
    </row>
    <row r="13398">
      <c r="A13398" s="1"/>
    </row>
    <row r="13399">
      <c r="A13399" s="1"/>
    </row>
    <row r="13400">
      <c r="A13400" s="1"/>
    </row>
    <row r="13401">
      <c r="A13401" s="1"/>
    </row>
    <row r="13402">
      <c r="A13402" s="1"/>
    </row>
    <row r="13403">
      <c r="A13403" s="1"/>
    </row>
    <row r="13404">
      <c r="A13404" s="1"/>
    </row>
    <row r="13405">
      <c r="A13405" s="1"/>
    </row>
    <row r="13406">
      <c r="A13406" s="1"/>
    </row>
    <row r="13407">
      <c r="A13407" s="1"/>
    </row>
    <row r="13408">
      <c r="A13408" s="1"/>
    </row>
    <row r="13409">
      <c r="A13409" s="1"/>
    </row>
    <row r="13410">
      <c r="A13410" s="1"/>
    </row>
    <row r="13411">
      <c r="A13411" s="1"/>
    </row>
    <row r="13412">
      <c r="A13412" s="1"/>
    </row>
    <row r="13413">
      <c r="A13413" s="1"/>
    </row>
    <row r="13414">
      <c r="A13414" s="1"/>
    </row>
    <row r="13415">
      <c r="A13415" s="1"/>
    </row>
    <row r="13416">
      <c r="A13416" s="1"/>
    </row>
    <row r="13417">
      <c r="A13417" s="1"/>
    </row>
    <row r="13418">
      <c r="A13418" s="1"/>
    </row>
    <row r="13419">
      <c r="A13419" s="1"/>
    </row>
    <row r="13420">
      <c r="A13420" s="1"/>
    </row>
    <row r="13421">
      <c r="A13421" s="1"/>
    </row>
    <row r="13422">
      <c r="A13422" s="1"/>
    </row>
    <row r="13423">
      <c r="A13423" s="1"/>
    </row>
    <row r="13424">
      <c r="A13424" s="1"/>
    </row>
    <row r="13425">
      <c r="A13425" s="1"/>
    </row>
    <row r="13426">
      <c r="A13426" s="1"/>
    </row>
    <row r="13427">
      <c r="A13427" s="1"/>
    </row>
    <row r="13428">
      <c r="A13428" s="1"/>
    </row>
    <row r="13429">
      <c r="A13429" s="1"/>
    </row>
    <row r="13430">
      <c r="A13430" s="1"/>
    </row>
    <row r="13431">
      <c r="A13431" s="1"/>
    </row>
    <row r="13432">
      <c r="A13432" s="1"/>
    </row>
    <row r="13433">
      <c r="A13433" s="1"/>
    </row>
    <row r="13434">
      <c r="A13434" s="1"/>
    </row>
    <row r="13435">
      <c r="A13435" s="1"/>
    </row>
    <row r="13436">
      <c r="A13436" s="1"/>
    </row>
    <row r="13437">
      <c r="A13437" s="1"/>
    </row>
    <row r="13438">
      <c r="A13438" s="1"/>
    </row>
    <row r="13439">
      <c r="A13439" s="1"/>
    </row>
    <row r="13440">
      <c r="A13440" s="1"/>
    </row>
    <row r="13441">
      <c r="A13441" s="1"/>
    </row>
    <row r="13442">
      <c r="A13442" s="1"/>
    </row>
    <row r="13443">
      <c r="A13443" s="1"/>
    </row>
    <row r="13444">
      <c r="A13444" s="1"/>
    </row>
    <row r="13445">
      <c r="A13445" s="1"/>
    </row>
    <row r="13446">
      <c r="A13446" s="1"/>
    </row>
    <row r="13447">
      <c r="A13447" s="1"/>
    </row>
    <row r="13448">
      <c r="A13448" s="1"/>
    </row>
    <row r="13449">
      <c r="A13449" s="1"/>
    </row>
    <row r="13450">
      <c r="A13450" s="1"/>
    </row>
    <row r="13451">
      <c r="A13451" s="1"/>
    </row>
    <row r="13452">
      <c r="A13452" s="1"/>
    </row>
    <row r="13453">
      <c r="A13453" s="1"/>
    </row>
    <row r="13454">
      <c r="A13454" s="1"/>
    </row>
    <row r="13455">
      <c r="A13455" s="1"/>
    </row>
    <row r="13456">
      <c r="A13456" s="1"/>
    </row>
    <row r="13457">
      <c r="A13457" s="1"/>
    </row>
    <row r="13458">
      <c r="A13458" s="1"/>
    </row>
    <row r="13459">
      <c r="A13459" s="1"/>
    </row>
    <row r="13460">
      <c r="A13460" s="1"/>
    </row>
    <row r="13461">
      <c r="A13461" s="1"/>
    </row>
    <row r="13462">
      <c r="A13462" s="1"/>
    </row>
    <row r="13463">
      <c r="A13463" s="1"/>
    </row>
    <row r="13464">
      <c r="A13464" s="1"/>
    </row>
    <row r="13465">
      <c r="A13465" s="1"/>
    </row>
    <row r="13466">
      <c r="A13466" s="1"/>
    </row>
    <row r="13467">
      <c r="A13467" s="1"/>
    </row>
    <row r="13468">
      <c r="A13468" s="1"/>
    </row>
    <row r="13469">
      <c r="A13469" s="1"/>
    </row>
    <row r="13470">
      <c r="A13470" s="1"/>
    </row>
    <row r="13471">
      <c r="A13471" s="1"/>
    </row>
    <row r="13472">
      <c r="A13472" s="1"/>
    </row>
    <row r="13473">
      <c r="A13473" s="1"/>
    </row>
    <row r="13474">
      <c r="A13474" s="1"/>
    </row>
    <row r="13475">
      <c r="A13475" s="1"/>
    </row>
    <row r="13476">
      <c r="A13476" s="1"/>
    </row>
    <row r="13477">
      <c r="A13477" s="1"/>
    </row>
    <row r="13478">
      <c r="A13478" s="1"/>
    </row>
    <row r="13479">
      <c r="A13479" s="1"/>
    </row>
    <row r="13480">
      <c r="A13480" s="1"/>
    </row>
    <row r="13481">
      <c r="A13481" s="1"/>
    </row>
    <row r="13482">
      <c r="A13482" s="1"/>
    </row>
    <row r="13483">
      <c r="A13483" s="1"/>
    </row>
    <row r="13484">
      <c r="A13484" s="1"/>
    </row>
    <row r="13485">
      <c r="A13485" s="1"/>
    </row>
    <row r="13486">
      <c r="A13486" s="1"/>
    </row>
    <row r="13487">
      <c r="A13487" s="1"/>
    </row>
    <row r="13488">
      <c r="A13488" s="1"/>
    </row>
    <row r="13489">
      <c r="A13489" s="1"/>
    </row>
    <row r="13490">
      <c r="A13490" s="1"/>
    </row>
    <row r="13491">
      <c r="A13491" s="1"/>
    </row>
    <row r="13492">
      <c r="A13492" s="1"/>
    </row>
    <row r="13493">
      <c r="A13493" s="1"/>
    </row>
    <row r="13494">
      <c r="A13494" s="1"/>
    </row>
    <row r="13495">
      <c r="A13495" s="1"/>
    </row>
    <row r="13496">
      <c r="A13496" s="1"/>
    </row>
    <row r="13497">
      <c r="A13497" s="1"/>
    </row>
    <row r="13498">
      <c r="A13498" s="1"/>
    </row>
    <row r="13499">
      <c r="A13499" s="1"/>
    </row>
    <row r="13500">
      <c r="A13500" s="1"/>
    </row>
    <row r="13501">
      <c r="A13501" s="1"/>
    </row>
    <row r="13502">
      <c r="A13502" s="1"/>
    </row>
    <row r="13503">
      <c r="A13503" s="1"/>
    </row>
    <row r="13504">
      <c r="A13504" s="1"/>
    </row>
    <row r="13505">
      <c r="A13505" s="1"/>
    </row>
    <row r="13506">
      <c r="A13506" s="1"/>
    </row>
    <row r="13507">
      <c r="A13507" s="1"/>
    </row>
    <row r="13508">
      <c r="A13508" s="1"/>
    </row>
    <row r="13509">
      <c r="A13509" s="1"/>
    </row>
    <row r="13510">
      <c r="A13510" s="1"/>
    </row>
    <row r="13511">
      <c r="A13511" s="1"/>
    </row>
    <row r="13512">
      <c r="A13512" s="1"/>
    </row>
    <row r="13513">
      <c r="A13513" s="1"/>
    </row>
    <row r="13514">
      <c r="A13514" s="1"/>
    </row>
    <row r="13515">
      <c r="A13515" s="1"/>
    </row>
    <row r="13516">
      <c r="A13516" s="1"/>
    </row>
    <row r="13517">
      <c r="A13517" s="1"/>
    </row>
    <row r="13518">
      <c r="A13518" s="1"/>
    </row>
    <row r="13519">
      <c r="A13519" s="1"/>
    </row>
    <row r="13520">
      <c r="A13520" s="1"/>
    </row>
    <row r="13521">
      <c r="A13521" s="1"/>
    </row>
    <row r="13522">
      <c r="A13522" s="1"/>
    </row>
    <row r="13523">
      <c r="A13523" s="1"/>
    </row>
    <row r="13524">
      <c r="A13524" s="1"/>
    </row>
    <row r="13525">
      <c r="A13525" s="1"/>
    </row>
    <row r="13526">
      <c r="A13526" s="1"/>
    </row>
    <row r="13527">
      <c r="A13527" s="1"/>
    </row>
    <row r="13528">
      <c r="A13528" s="1"/>
    </row>
    <row r="13529">
      <c r="A13529" s="1"/>
    </row>
    <row r="13530">
      <c r="A13530" s="1"/>
    </row>
    <row r="13531">
      <c r="A13531" s="1"/>
    </row>
    <row r="13532">
      <c r="A13532" s="1"/>
    </row>
    <row r="13533">
      <c r="A13533" s="1"/>
    </row>
    <row r="13534">
      <c r="A13534" s="1"/>
    </row>
    <row r="13535">
      <c r="A13535" s="1"/>
    </row>
    <row r="13536">
      <c r="A13536" s="1"/>
    </row>
    <row r="13537">
      <c r="A13537" s="1"/>
    </row>
    <row r="13538">
      <c r="A13538" s="1"/>
    </row>
    <row r="13539">
      <c r="A13539" s="1"/>
    </row>
    <row r="13540">
      <c r="A13540" s="1"/>
    </row>
    <row r="13541">
      <c r="A13541" s="1"/>
    </row>
    <row r="13542">
      <c r="A13542" s="1"/>
    </row>
    <row r="13543">
      <c r="A13543" s="1"/>
    </row>
    <row r="13544">
      <c r="A13544" s="1"/>
    </row>
    <row r="13545">
      <c r="A13545" s="1"/>
    </row>
    <row r="13546">
      <c r="A13546" s="1"/>
    </row>
    <row r="13547">
      <c r="A13547" s="1"/>
    </row>
    <row r="13548">
      <c r="A13548" s="1"/>
    </row>
    <row r="13549">
      <c r="A13549" s="1"/>
    </row>
    <row r="13550">
      <c r="A13550" s="1"/>
    </row>
    <row r="13551">
      <c r="A13551" s="1"/>
    </row>
    <row r="13552">
      <c r="A13552" s="1"/>
    </row>
    <row r="13553">
      <c r="A13553" s="1"/>
    </row>
    <row r="13554">
      <c r="A13554" s="1"/>
    </row>
    <row r="13555">
      <c r="A13555" s="1"/>
    </row>
    <row r="13556">
      <c r="A13556" s="1"/>
    </row>
    <row r="13557">
      <c r="A13557" s="3"/>
    </row>
    <row r="13558">
      <c r="A13558" s="3"/>
    </row>
    <row r="13559">
      <c r="A13559" s="3"/>
    </row>
    <row r="13560">
      <c r="A13560" s="3"/>
    </row>
    <row r="13561">
      <c r="A13561" s="3"/>
    </row>
    <row r="13562">
      <c r="A13562" s="3"/>
    </row>
    <row r="13563">
      <c r="A13563" s="3"/>
    </row>
    <row r="13564">
      <c r="A13564" s="3"/>
    </row>
    <row r="13565">
      <c r="A13565" s="3"/>
    </row>
    <row r="13566">
      <c r="A13566" s="3"/>
    </row>
    <row r="13567">
      <c r="A13567" s="3"/>
    </row>
    <row r="13568">
      <c r="A13568" s="3"/>
    </row>
    <row r="13569">
      <c r="A13569" s="3"/>
    </row>
    <row r="13570">
      <c r="A13570" s="3"/>
    </row>
    <row r="13571">
      <c r="A13571" s="3"/>
    </row>
    <row r="13572">
      <c r="A13572" s="3"/>
    </row>
    <row r="13573">
      <c r="A13573" s="3"/>
    </row>
    <row r="13574">
      <c r="A13574" s="3"/>
    </row>
    <row r="13575">
      <c r="A13575" s="3"/>
    </row>
    <row r="13576">
      <c r="A13576" s="3"/>
    </row>
    <row r="13577">
      <c r="A13577" s="3"/>
    </row>
    <row r="13578">
      <c r="A13578" s="3"/>
    </row>
    <row r="13579">
      <c r="A13579" s="3"/>
    </row>
    <row r="13580">
      <c r="A13580" s="3"/>
    </row>
    <row r="13581">
      <c r="A13581" s="3"/>
    </row>
    <row r="13582">
      <c r="A13582" s="3"/>
    </row>
    <row r="13583">
      <c r="A13583" s="3"/>
    </row>
    <row r="13584">
      <c r="A13584" s="3"/>
    </row>
    <row r="13585">
      <c r="A13585" s="3"/>
    </row>
    <row r="13586">
      <c r="A13586" s="3"/>
    </row>
    <row r="13587">
      <c r="A13587" s="3"/>
    </row>
    <row r="13588">
      <c r="A13588" s="3"/>
    </row>
    <row r="13589">
      <c r="A13589" s="3"/>
    </row>
    <row r="13590">
      <c r="A13590" s="3"/>
    </row>
    <row r="13591">
      <c r="A13591" s="3"/>
    </row>
    <row r="13592">
      <c r="A13592" s="3"/>
    </row>
    <row r="13593">
      <c r="A13593" s="3"/>
    </row>
    <row r="13594">
      <c r="A13594" s="3"/>
    </row>
    <row r="13595">
      <c r="A13595" s="3"/>
    </row>
    <row r="13596">
      <c r="A13596" s="3"/>
    </row>
    <row r="13597">
      <c r="A13597" s="3"/>
    </row>
    <row r="13598">
      <c r="A13598" s="3"/>
    </row>
    <row r="13599">
      <c r="A13599" s="3"/>
    </row>
    <row r="13600">
      <c r="A13600" s="3"/>
    </row>
    <row r="13601">
      <c r="A13601" s="3"/>
    </row>
    <row r="13602">
      <c r="A13602" s="3"/>
    </row>
    <row r="13603">
      <c r="A13603" s="3"/>
    </row>
    <row r="13604">
      <c r="A13604" s="3"/>
    </row>
    <row r="13605">
      <c r="A13605" s="3"/>
    </row>
    <row r="13606">
      <c r="A13606" s="3"/>
    </row>
    <row r="13607">
      <c r="A13607" s="3"/>
    </row>
    <row r="13608">
      <c r="A13608" s="3"/>
    </row>
    <row r="13609">
      <c r="A13609" s="3"/>
    </row>
    <row r="13610">
      <c r="A13610" s="3"/>
    </row>
    <row r="13611">
      <c r="A13611" s="3"/>
    </row>
    <row r="13612">
      <c r="A13612" s="3"/>
    </row>
    <row r="13613">
      <c r="A13613" s="3"/>
    </row>
    <row r="13614">
      <c r="A13614" s="3"/>
    </row>
    <row r="13615">
      <c r="A13615" s="3"/>
    </row>
    <row r="13616">
      <c r="A13616" s="3"/>
    </row>
    <row r="13617">
      <c r="A13617" s="3"/>
    </row>
    <row r="13618">
      <c r="A13618" s="3"/>
    </row>
    <row r="13619">
      <c r="A13619" s="3"/>
    </row>
    <row r="13620">
      <c r="A13620" s="3"/>
    </row>
    <row r="13621">
      <c r="A13621" s="3"/>
    </row>
    <row r="13622">
      <c r="A13622" s="3"/>
    </row>
    <row r="13623">
      <c r="A13623" s="3"/>
    </row>
    <row r="13624">
      <c r="A13624" s="3"/>
    </row>
    <row r="13625">
      <c r="A13625" s="3"/>
    </row>
    <row r="13626">
      <c r="A13626" s="3"/>
    </row>
    <row r="13627">
      <c r="A13627" s="3"/>
    </row>
    <row r="13628">
      <c r="A13628" s="3"/>
    </row>
    <row r="13629">
      <c r="A13629" s="3"/>
    </row>
    <row r="13630">
      <c r="A13630" s="3"/>
    </row>
    <row r="13631">
      <c r="A13631" s="3"/>
    </row>
    <row r="13632">
      <c r="A13632" s="3"/>
    </row>
    <row r="13633">
      <c r="A13633" s="3"/>
    </row>
    <row r="13634">
      <c r="A13634" s="3"/>
    </row>
    <row r="13635">
      <c r="A13635" s="3"/>
    </row>
    <row r="13636">
      <c r="A13636" s="3"/>
    </row>
    <row r="13637">
      <c r="A13637" s="3"/>
    </row>
    <row r="13638">
      <c r="A13638" s="3"/>
    </row>
    <row r="13639">
      <c r="A13639" s="3"/>
    </row>
    <row r="13640">
      <c r="A13640" s="3"/>
    </row>
    <row r="13641">
      <c r="A13641" s="3"/>
    </row>
    <row r="13642">
      <c r="A13642" s="3"/>
    </row>
    <row r="13643">
      <c r="A13643" s="3"/>
    </row>
    <row r="13644">
      <c r="A13644" s="3"/>
    </row>
    <row r="13645">
      <c r="A13645" s="3"/>
    </row>
    <row r="13646">
      <c r="A13646" s="3"/>
    </row>
    <row r="13647">
      <c r="A13647" s="3"/>
    </row>
    <row r="13648">
      <c r="A13648" s="3"/>
    </row>
    <row r="13649">
      <c r="A13649" s="3"/>
    </row>
    <row r="13650">
      <c r="A13650" s="3"/>
    </row>
    <row r="13651">
      <c r="A13651" s="3"/>
    </row>
    <row r="13652">
      <c r="A13652" s="3"/>
    </row>
    <row r="13653">
      <c r="A13653" s="3"/>
    </row>
    <row r="13654">
      <c r="A13654" s="3"/>
    </row>
    <row r="13655">
      <c r="A13655" s="3"/>
    </row>
    <row r="13656">
      <c r="A13656" s="3"/>
    </row>
    <row r="13657">
      <c r="A13657" s="3"/>
    </row>
    <row r="13658">
      <c r="A13658" s="3"/>
    </row>
    <row r="13659">
      <c r="A13659" s="3"/>
    </row>
    <row r="13660">
      <c r="A13660" s="3"/>
    </row>
    <row r="13661">
      <c r="A13661" s="3"/>
    </row>
    <row r="13662">
      <c r="A13662" s="3"/>
    </row>
    <row r="13663">
      <c r="A13663" s="3"/>
    </row>
    <row r="13664">
      <c r="A13664" s="3"/>
    </row>
    <row r="13665">
      <c r="A13665" s="3"/>
    </row>
    <row r="13666">
      <c r="A13666" s="3"/>
    </row>
    <row r="13667">
      <c r="A13667" s="3"/>
    </row>
    <row r="13668">
      <c r="A13668" s="3"/>
    </row>
    <row r="13669">
      <c r="A13669" s="3"/>
    </row>
    <row r="13670">
      <c r="A13670" s="3"/>
    </row>
    <row r="13671">
      <c r="A13671" s="3"/>
    </row>
    <row r="13672">
      <c r="A13672" s="3"/>
    </row>
    <row r="13673">
      <c r="A13673" s="3"/>
    </row>
    <row r="13674">
      <c r="A13674" s="3"/>
    </row>
    <row r="13675">
      <c r="A13675" s="3"/>
    </row>
    <row r="13676">
      <c r="A13676" s="3"/>
    </row>
    <row r="13677">
      <c r="A13677" s="3"/>
    </row>
    <row r="13678">
      <c r="A13678" s="3"/>
    </row>
    <row r="13679">
      <c r="A13679" s="3"/>
    </row>
    <row r="13680">
      <c r="A13680" s="3"/>
    </row>
    <row r="13681">
      <c r="A13681" s="3"/>
    </row>
    <row r="13682">
      <c r="A13682" s="3"/>
    </row>
    <row r="13683">
      <c r="A13683" s="3"/>
    </row>
    <row r="13684">
      <c r="A13684" s="3"/>
    </row>
    <row r="13685">
      <c r="A13685" s="3"/>
    </row>
    <row r="13686">
      <c r="A13686" s="3"/>
    </row>
    <row r="13687">
      <c r="A13687" s="3"/>
    </row>
    <row r="13688">
      <c r="A13688" s="3"/>
    </row>
    <row r="13689">
      <c r="A13689" s="3"/>
    </row>
    <row r="13690">
      <c r="A13690" s="3"/>
    </row>
    <row r="13691">
      <c r="A13691" s="3"/>
    </row>
    <row r="13692">
      <c r="A13692" s="3"/>
    </row>
    <row r="13693">
      <c r="A13693" s="3"/>
    </row>
    <row r="13694">
      <c r="A13694" s="3"/>
    </row>
    <row r="13695">
      <c r="A13695" s="3"/>
    </row>
    <row r="13696">
      <c r="A13696" s="3"/>
    </row>
    <row r="13697">
      <c r="A13697" s="3"/>
    </row>
    <row r="13698">
      <c r="A13698" s="3"/>
    </row>
    <row r="13699">
      <c r="A13699" s="3"/>
    </row>
    <row r="13700">
      <c r="A13700" s="3"/>
    </row>
    <row r="13701">
      <c r="A13701" s="3"/>
    </row>
    <row r="13702">
      <c r="A13702" s="3"/>
    </row>
    <row r="13703">
      <c r="A13703" s="3"/>
    </row>
    <row r="13704">
      <c r="A13704" s="3"/>
    </row>
    <row r="13705">
      <c r="A13705" s="3"/>
    </row>
    <row r="13706">
      <c r="A13706" s="3"/>
    </row>
    <row r="13707">
      <c r="A13707" s="3"/>
    </row>
    <row r="13708">
      <c r="A13708" s="3"/>
    </row>
    <row r="13709">
      <c r="A13709" s="3"/>
    </row>
    <row r="13710">
      <c r="A13710" s="3"/>
    </row>
    <row r="13711">
      <c r="A13711" s="3"/>
    </row>
    <row r="13712">
      <c r="A13712" s="3"/>
    </row>
    <row r="13713">
      <c r="A13713" s="3"/>
    </row>
    <row r="13714">
      <c r="A13714" s="3"/>
    </row>
    <row r="13715">
      <c r="A13715" s="3"/>
    </row>
    <row r="13716">
      <c r="A13716" s="3"/>
    </row>
    <row r="13717">
      <c r="A13717" s="3"/>
    </row>
    <row r="13718">
      <c r="A13718" s="3"/>
    </row>
    <row r="13719">
      <c r="A13719" s="3"/>
    </row>
    <row r="13720">
      <c r="A13720" s="3"/>
    </row>
    <row r="13721">
      <c r="A13721" s="3"/>
    </row>
    <row r="13722">
      <c r="A13722" s="3"/>
    </row>
    <row r="13723">
      <c r="A13723" s="3"/>
    </row>
    <row r="13724">
      <c r="A13724" s="3"/>
    </row>
    <row r="13725">
      <c r="A13725" s="3"/>
    </row>
    <row r="13726">
      <c r="A13726" s="3"/>
    </row>
    <row r="13727">
      <c r="A13727" s="3"/>
    </row>
    <row r="13728">
      <c r="A13728" s="3"/>
    </row>
    <row r="13729">
      <c r="A13729" s="3"/>
    </row>
    <row r="13730">
      <c r="A13730" s="3"/>
    </row>
    <row r="13731">
      <c r="A13731" s="3"/>
    </row>
    <row r="13732">
      <c r="A13732" s="3"/>
    </row>
    <row r="13733">
      <c r="A13733" s="3"/>
    </row>
    <row r="13734">
      <c r="A13734" s="3"/>
    </row>
    <row r="13735">
      <c r="A13735" s="3"/>
    </row>
    <row r="13736">
      <c r="A13736" s="3"/>
    </row>
    <row r="13737">
      <c r="A13737" s="3"/>
    </row>
    <row r="13738">
      <c r="A13738" s="3"/>
    </row>
    <row r="13739">
      <c r="A13739" s="3"/>
    </row>
    <row r="13740">
      <c r="A13740" s="3"/>
    </row>
    <row r="13741">
      <c r="A13741" s="3"/>
    </row>
    <row r="13742">
      <c r="A13742" s="3"/>
    </row>
    <row r="13743">
      <c r="A13743" s="3"/>
    </row>
    <row r="13744">
      <c r="A13744" s="3"/>
    </row>
    <row r="13745">
      <c r="A13745" s="3"/>
    </row>
    <row r="13746">
      <c r="A13746" s="3"/>
    </row>
    <row r="13747">
      <c r="A13747" s="3"/>
    </row>
    <row r="13748">
      <c r="A13748" s="3"/>
    </row>
    <row r="13749">
      <c r="A13749" s="3"/>
    </row>
    <row r="13750">
      <c r="A13750" s="3"/>
    </row>
    <row r="13751">
      <c r="A13751" s="3"/>
    </row>
    <row r="13752">
      <c r="A13752" s="3"/>
    </row>
    <row r="13753">
      <c r="A13753" s="3"/>
    </row>
    <row r="13754">
      <c r="A13754" s="3"/>
    </row>
    <row r="13755">
      <c r="A13755" s="3"/>
    </row>
    <row r="13756">
      <c r="A13756" s="3"/>
    </row>
    <row r="13757">
      <c r="A13757" s="3"/>
    </row>
    <row r="13758">
      <c r="A13758" s="3"/>
    </row>
    <row r="13759">
      <c r="A13759" s="3"/>
    </row>
    <row r="13760">
      <c r="A13760" s="3"/>
    </row>
    <row r="13761">
      <c r="A13761" s="3"/>
    </row>
    <row r="13762">
      <c r="A13762" s="3"/>
    </row>
    <row r="13763">
      <c r="A13763" s="3"/>
    </row>
    <row r="13764">
      <c r="A13764" s="3"/>
    </row>
    <row r="13765">
      <c r="A13765" s="3"/>
    </row>
    <row r="13766">
      <c r="A13766" s="3"/>
    </row>
    <row r="13767">
      <c r="A13767" s="3"/>
    </row>
    <row r="13768">
      <c r="A13768" s="3"/>
    </row>
    <row r="13769">
      <c r="A13769" s="3"/>
    </row>
    <row r="13770">
      <c r="A13770" s="3"/>
    </row>
    <row r="13771">
      <c r="A13771" s="3"/>
    </row>
    <row r="13772">
      <c r="A13772" s="3"/>
    </row>
    <row r="13773">
      <c r="A13773" s="3"/>
    </row>
    <row r="13774">
      <c r="A13774" s="3"/>
    </row>
    <row r="13775">
      <c r="A13775" s="3"/>
    </row>
    <row r="13776">
      <c r="A13776" s="3"/>
    </row>
    <row r="13777">
      <c r="A13777" s="3"/>
    </row>
    <row r="13778">
      <c r="A13778" s="3"/>
    </row>
    <row r="13779">
      <c r="A13779" s="3"/>
    </row>
    <row r="13780">
      <c r="A13780" s="3"/>
    </row>
    <row r="13781">
      <c r="A13781" s="3"/>
    </row>
    <row r="13782">
      <c r="A13782" s="3"/>
    </row>
    <row r="13783">
      <c r="A13783" s="3"/>
    </row>
    <row r="13784">
      <c r="A13784" s="3"/>
    </row>
    <row r="13785">
      <c r="A13785" s="3"/>
    </row>
    <row r="13786">
      <c r="A13786" s="3"/>
    </row>
    <row r="13787">
      <c r="A13787" s="3"/>
    </row>
    <row r="13788">
      <c r="A13788" s="3"/>
    </row>
    <row r="13789">
      <c r="A13789" s="3"/>
    </row>
    <row r="13790">
      <c r="A13790" s="3"/>
    </row>
    <row r="13791">
      <c r="A13791" s="3"/>
    </row>
    <row r="13792">
      <c r="A13792" s="3"/>
    </row>
    <row r="13793">
      <c r="A13793" s="3"/>
    </row>
    <row r="13794">
      <c r="A13794" s="3"/>
    </row>
    <row r="13795">
      <c r="A13795" s="3"/>
    </row>
    <row r="13796">
      <c r="A13796" s="3"/>
    </row>
    <row r="13797">
      <c r="A13797" s="3"/>
    </row>
    <row r="13798">
      <c r="A13798" s="3"/>
    </row>
    <row r="13799">
      <c r="A13799" s="3"/>
    </row>
    <row r="13800">
      <c r="A13800" s="3"/>
    </row>
    <row r="13801">
      <c r="A13801" s="3"/>
    </row>
    <row r="13802">
      <c r="A13802" s="3"/>
    </row>
    <row r="13803">
      <c r="A13803" s="3"/>
    </row>
    <row r="13804">
      <c r="A13804" s="3"/>
    </row>
    <row r="13805">
      <c r="A13805" s="3"/>
    </row>
    <row r="13806">
      <c r="A13806" s="3"/>
    </row>
    <row r="13807">
      <c r="A13807" s="3"/>
    </row>
    <row r="13808">
      <c r="A13808" s="3"/>
    </row>
    <row r="13809">
      <c r="A13809" s="3"/>
    </row>
    <row r="13810">
      <c r="A13810" s="3"/>
    </row>
    <row r="13811">
      <c r="A13811" s="3"/>
    </row>
    <row r="13812">
      <c r="A13812" s="3"/>
    </row>
    <row r="13813">
      <c r="A13813" s="3"/>
    </row>
    <row r="13814">
      <c r="A13814" s="3"/>
    </row>
    <row r="13815">
      <c r="A13815" s="3"/>
    </row>
    <row r="13816">
      <c r="A13816" s="3"/>
    </row>
    <row r="13817">
      <c r="A13817" s="3"/>
    </row>
    <row r="13818">
      <c r="A13818" s="3"/>
    </row>
    <row r="13819">
      <c r="A13819" s="3"/>
    </row>
    <row r="13820">
      <c r="A13820" s="3"/>
    </row>
    <row r="13821">
      <c r="A13821" s="3"/>
    </row>
    <row r="13822">
      <c r="A13822" s="3"/>
    </row>
    <row r="13823">
      <c r="A13823" s="3"/>
    </row>
    <row r="13824">
      <c r="A13824" s="3"/>
    </row>
    <row r="13825">
      <c r="A13825" s="3"/>
    </row>
    <row r="13826">
      <c r="A13826" s="3"/>
    </row>
    <row r="13827">
      <c r="A13827" s="3"/>
    </row>
    <row r="13828">
      <c r="A13828" s="3"/>
    </row>
    <row r="13829">
      <c r="A13829" s="3"/>
    </row>
    <row r="13830">
      <c r="A13830" s="3"/>
    </row>
    <row r="13831">
      <c r="A13831" s="3"/>
    </row>
    <row r="13832">
      <c r="A13832" s="3"/>
    </row>
    <row r="13833">
      <c r="A13833" s="3"/>
    </row>
    <row r="13834">
      <c r="A13834" s="3"/>
    </row>
    <row r="13835">
      <c r="A13835" s="3"/>
    </row>
    <row r="13836">
      <c r="A13836" s="3"/>
    </row>
    <row r="13837">
      <c r="A13837" s="3"/>
    </row>
    <row r="13838">
      <c r="A13838" s="3"/>
    </row>
    <row r="13839">
      <c r="A13839" s="3"/>
    </row>
    <row r="13840">
      <c r="A13840" s="3"/>
    </row>
    <row r="13841">
      <c r="A13841" s="3"/>
    </row>
    <row r="13842">
      <c r="A13842" s="3"/>
    </row>
    <row r="13843">
      <c r="A13843" s="3"/>
    </row>
    <row r="13844">
      <c r="A13844" s="3"/>
    </row>
    <row r="13845">
      <c r="A13845" s="3"/>
    </row>
    <row r="13846">
      <c r="A13846" s="3"/>
    </row>
    <row r="13847">
      <c r="A13847" s="3"/>
    </row>
    <row r="13848">
      <c r="A13848" s="3"/>
    </row>
    <row r="13849">
      <c r="A13849" s="3"/>
    </row>
    <row r="13850">
      <c r="A13850" s="3"/>
    </row>
    <row r="13851">
      <c r="A13851" s="3"/>
    </row>
    <row r="13852">
      <c r="A13852" s="3"/>
    </row>
    <row r="13853">
      <c r="A13853" s="3"/>
    </row>
    <row r="13854">
      <c r="A13854" s="3"/>
    </row>
    <row r="13855">
      <c r="A13855" s="3"/>
    </row>
    <row r="13856">
      <c r="A13856" s="3"/>
    </row>
    <row r="13857">
      <c r="A13857" s="3"/>
    </row>
    <row r="13858">
      <c r="A13858" s="3"/>
    </row>
    <row r="13859">
      <c r="A13859" s="3"/>
    </row>
    <row r="13860">
      <c r="A13860" s="3"/>
    </row>
    <row r="13861">
      <c r="A13861" s="3"/>
    </row>
    <row r="13862">
      <c r="A13862" s="3"/>
    </row>
    <row r="13863">
      <c r="A13863" s="3"/>
    </row>
    <row r="13864">
      <c r="A13864" s="3"/>
    </row>
    <row r="13865">
      <c r="A13865" s="3"/>
    </row>
    <row r="13866">
      <c r="A13866" s="3"/>
    </row>
    <row r="13867">
      <c r="A13867" s="3"/>
    </row>
    <row r="13868">
      <c r="A13868" s="3"/>
    </row>
    <row r="13869">
      <c r="A13869" s="3"/>
    </row>
    <row r="13870">
      <c r="A13870" s="3"/>
    </row>
    <row r="13871">
      <c r="A13871" s="3"/>
    </row>
    <row r="13872">
      <c r="A13872" s="3"/>
    </row>
    <row r="13873">
      <c r="A13873" s="3"/>
    </row>
    <row r="13874">
      <c r="A13874" s="3"/>
    </row>
    <row r="13875">
      <c r="A13875" s="3"/>
    </row>
    <row r="13876">
      <c r="A13876" s="3"/>
    </row>
    <row r="13877">
      <c r="A13877" s="3"/>
    </row>
    <row r="13878">
      <c r="A13878" s="3"/>
    </row>
    <row r="13879">
      <c r="A13879" s="3"/>
    </row>
    <row r="13880">
      <c r="A13880" s="3"/>
    </row>
    <row r="13881">
      <c r="A13881" s="3"/>
    </row>
    <row r="13882">
      <c r="A13882" s="3"/>
    </row>
    <row r="13883">
      <c r="A13883" s="3"/>
    </row>
    <row r="13884">
      <c r="A13884" s="3"/>
    </row>
    <row r="13885">
      <c r="A13885" s="3"/>
    </row>
    <row r="13886">
      <c r="A13886" s="3"/>
    </row>
    <row r="13887">
      <c r="A13887" s="3"/>
    </row>
    <row r="13888">
      <c r="A13888" s="3"/>
    </row>
    <row r="13889">
      <c r="A13889" s="3"/>
    </row>
    <row r="13890">
      <c r="A13890" s="3"/>
    </row>
    <row r="13891">
      <c r="A13891" s="3"/>
    </row>
    <row r="13892">
      <c r="A13892" s="3"/>
    </row>
    <row r="13893">
      <c r="A13893" s="3"/>
    </row>
    <row r="13894">
      <c r="A13894" s="3"/>
    </row>
    <row r="13895">
      <c r="A13895" s="3"/>
    </row>
    <row r="13896">
      <c r="A13896" s="3"/>
    </row>
    <row r="13897">
      <c r="A13897" s="3"/>
    </row>
    <row r="13898">
      <c r="A13898" s="3"/>
    </row>
    <row r="13899">
      <c r="A13899" s="3"/>
    </row>
    <row r="13900">
      <c r="A13900" s="3"/>
    </row>
    <row r="13901">
      <c r="A13901" s="3"/>
    </row>
    <row r="13902">
      <c r="A13902" s="3"/>
    </row>
    <row r="13903">
      <c r="A13903" s="3"/>
    </row>
    <row r="13904">
      <c r="A13904" s="3"/>
    </row>
    <row r="13905">
      <c r="A13905" s="3"/>
    </row>
    <row r="13906">
      <c r="A13906" s="3"/>
    </row>
    <row r="13907">
      <c r="A13907" s="3"/>
    </row>
    <row r="13908">
      <c r="A13908" s="3"/>
    </row>
    <row r="13909">
      <c r="A13909" s="3"/>
    </row>
    <row r="13910">
      <c r="A13910" s="3"/>
    </row>
    <row r="13911">
      <c r="A13911" s="3"/>
    </row>
    <row r="13912">
      <c r="A13912" s="3"/>
    </row>
    <row r="13913">
      <c r="A13913" s="3"/>
    </row>
    <row r="13914">
      <c r="A13914" s="3"/>
    </row>
    <row r="13915">
      <c r="A13915" s="3"/>
    </row>
    <row r="13916">
      <c r="A13916" s="3"/>
    </row>
    <row r="13917">
      <c r="A13917" s="3"/>
    </row>
    <row r="13918">
      <c r="A13918" s="3"/>
    </row>
    <row r="13919">
      <c r="A13919" s="3"/>
    </row>
    <row r="13920">
      <c r="A13920" s="3"/>
    </row>
    <row r="13921">
      <c r="A13921" s="3"/>
    </row>
    <row r="13922">
      <c r="A13922" s="3"/>
    </row>
    <row r="13923">
      <c r="A13923" s="3"/>
    </row>
    <row r="13924">
      <c r="A13924" s="3"/>
    </row>
    <row r="13925">
      <c r="A13925" s="3"/>
    </row>
    <row r="13926">
      <c r="A13926" s="3"/>
    </row>
    <row r="13927">
      <c r="A13927" s="3"/>
    </row>
    <row r="13928">
      <c r="A13928" s="3"/>
    </row>
    <row r="13929">
      <c r="A13929" s="3"/>
    </row>
    <row r="13930">
      <c r="A13930" s="3"/>
    </row>
    <row r="13931">
      <c r="A13931" s="3"/>
    </row>
    <row r="13932">
      <c r="A13932" s="3"/>
    </row>
    <row r="13933">
      <c r="A13933" s="3"/>
    </row>
    <row r="13934">
      <c r="A13934" s="3"/>
    </row>
    <row r="13935">
      <c r="A13935" s="3"/>
    </row>
    <row r="13936">
      <c r="A13936" s="3"/>
    </row>
    <row r="13937">
      <c r="A13937" s="3"/>
    </row>
    <row r="13938">
      <c r="A13938" s="3"/>
    </row>
    <row r="13939">
      <c r="A13939" s="3"/>
    </row>
    <row r="13940">
      <c r="A13940" s="3"/>
    </row>
    <row r="13941">
      <c r="A13941" s="3"/>
    </row>
    <row r="13942">
      <c r="A13942" s="3"/>
    </row>
    <row r="13943">
      <c r="A13943" s="3"/>
    </row>
    <row r="13944">
      <c r="A13944" s="3"/>
    </row>
    <row r="13945">
      <c r="A13945" s="3"/>
    </row>
    <row r="13946">
      <c r="A13946" s="3"/>
    </row>
    <row r="13947">
      <c r="A13947" s="3"/>
    </row>
    <row r="13948">
      <c r="A13948" s="3"/>
    </row>
    <row r="13949">
      <c r="A13949" s="3"/>
    </row>
    <row r="13950">
      <c r="A13950" s="3"/>
    </row>
    <row r="13951">
      <c r="A13951" s="3"/>
    </row>
    <row r="13952">
      <c r="A13952" s="3"/>
    </row>
    <row r="13953">
      <c r="A13953" s="3"/>
    </row>
    <row r="13954">
      <c r="A13954" s="3"/>
    </row>
    <row r="13955">
      <c r="A13955" s="3"/>
    </row>
    <row r="13956">
      <c r="A13956" s="3"/>
    </row>
    <row r="13957">
      <c r="A13957" s="3"/>
    </row>
    <row r="13958">
      <c r="A13958" s="3"/>
    </row>
    <row r="13959">
      <c r="A13959" s="3"/>
    </row>
    <row r="13960">
      <c r="A13960" s="3"/>
    </row>
    <row r="13961">
      <c r="A13961" s="3"/>
    </row>
    <row r="13962">
      <c r="A13962" s="3"/>
    </row>
    <row r="13963">
      <c r="A13963" s="3"/>
    </row>
    <row r="13964">
      <c r="A13964" s="3"/>
    </row>
    <row r="13965">
      <c r="A13965" s="3"/>
    </row>
    <row r="13966">
      <c r="A13966" s="3"/>
    </row>
    <row r="13967">
      <c r="A13967" s="3"/>
    </row>
    <row r="13968">
      <c r="A13968" s="3"/>
    </row>
    <row r="13969">
      <c r="A13969" s="3"/>
    </row>
    <row r="13970">
      <c r="A13970" s="3"/>
    </row>
    <row r="13971">
      <c r="A13971" s="3"/>
    </row>
    <row r="13972">
      <c r="A13972" s="3"/>
    </row>
    <row r="13973">
      <c r="A13973" s="3"/>
    </row>
    <row r="13974">
      <c r="A13974" s="3"/>
    </row>
    <row r="13975">
      <c r="A13975" s="3"/>
    </row>
    <row r="13976">
      <c r="A13976" s="3"/>
    </row>
    <row r="13977">
      <c r="A13977" s="3"/>
    </row>
    <row r="13978">
      <c r="A13978" s="3"/>
    </row>
    <row r="13979">
      <c r="A13979" s="3"/>
    </row>
    <row r="13980">
      <c r="A13980" s="3"/>
    </row>
    <row r="13981">
      <c r="A13981" s="3"/>
    </row>
    <row r="13982">
      <c r="A13982" s="3"/>
    </row>
    <row r="13983">
      <c r="A13983" s="3"/>
    </row>
    <row r="13984">
      <c r="A13984" s="3"/>
    </row>
    <row r="13985">
      <c r="A13985" s="3"/>
    </row>
    <row r="13986">
      <c r="A13986" s="3"/>
    </row>
    <row r="13987">
      <c r="A13987" s="3"/>
    </row>
    <row r="13988">
      <c r="A13988" s="3"/>
    </row>
    <row r="13989">
      <c r="A13989" s="3"/>
    </row>
    <row r="13990">
      <c r="A13990" s="3"/>
    </row>
    <row r="13991">
      <c r="A13991" s="3"/>
    </row>
    <row r="13992">
      <c r="A13992" s="3"/>
    </row>
    <row r="13993">
      <c r="A13993" s="3"/>
    </row>
    <row r="13994">
      <c r="A13994" s="3"/>
    </row>
    <row r="13995">
      <c r="A13995" s="3"/>
    </row>
    <row r="13996">
      <c r="A13996" s="3"/>
    </row>
    <row r="13997">
      <c r="A13997" s="3"/>
    </row>
    <row r="13998">
      <c r="A13998" s="3"/>
    </row>
    <row r="13999">
      <c r="A13999" s="3"/>
    </row>
    <row r="14000">
      <c r="A14000" s="3"/>
    </row>
    <row r="14001">
      <c r="A14001" s="3"/>
    </row>
    <row r="14002">
      <c r="A14002" s="3"/>
    </row>
    <row r="14003">
      <c r="A14003" s="3"/>
    </row>
    <row r="14004">
      <c r="A14004" s="3"/>
    </row>
    <row r="14005">
      <c r="A14005" s="3"/>
    </row>
    <row r="14006">
      <c r="A14006" s="3"/>
    </row>
    <row r="14007">
      <c r="A14007" s="3"/>
    </row>
    <row r="14008">
      <c r="A14008" s="3"/>
    </row>
    <row r="14009">
      <c r="A14009" s="3"/>
    </row>
    <row r="14010">
      <c r="A14010" s="3"/>
    </row>
    <row r="14011">
      <c r="A14011" s="3"/>
    </row>
    <row r="14012">
      <c r="A14012" s="3"/>
    </row>
    <row r="14013">
      <c r="A14013" s="3"/>
    </row>
    <row r="14014">
      <c r="A14014" s="3"/>
    </row>
    <row r="14015">
      <c r="A14015" s="3"/>
    </row>
    <row r="14016">
      <c r="A14016" s="3"/>
    </row>
    <row r="14017">
      <c r="A14017" s="3"/>
    </row>
    <row r="14018">
      <c r="A14018" s="3"/>
    </row>
    <row r="14019">
      <c r="A14019" s="3"/>
    </row>
    <row r="14020">
      <c r="A14020" s="3"/>
    </row>
    <row r="14021">
      <c r="A14021" s="3"/>
    </row>
    <row r="14022">
      <c r="A14022" s="3"/>
    </row>
    <row r="14023">
      <c r="A14023" s="3"/>
    </row>
    <row r="14024">
      <c r="A14024" s="3"/>
    </row>
    <row r="14025">
      <c r="A14025" s="3"/>
    </row>
    <row r="14026">
      <c r="A14026" s="3"/>
    </row>
    <row r="14027">
      <c r="A14027" s="3"/>
    </row>
    <row r="14028">
      <c r="A14028" s="3"/>
    </row>
    <row r="14029">
      <c r="A14029" s="3"/>
    </row>
    <row r="14030">
      <c r="A14030" s="3"/>
    </row>
    <row r="14031">
      <c r="A14031" s="3"/>
    </row>
    <row r="14032">
      <c r="A14032" s="3"/>
    </row>
    <row r="14033">
      <c r="A14033" s="3"/>
    </row>
    <row r="14034">
      <c r="A14034" s="3"/>
    </row>
    <row r="14035">
      <c r="A14035" s="3"/>
    </row>
    <row r="14036">
      <c r="A14036" s="3"/>
    </row>
    <row r="14037">
      <c r="A14037" s="3"/>
    </row>
    <row r="14038">
      <c r="A14038" s="3"/>
    </row>
    <row r="14039">
      <c r="A14039" s="3"/>
    </row>
    <row r="14040">
      <c r="A14040" s="3"/>
    </row>
    <row r="14041">
      <c r="A14041" s="3"/>
    </row>
    <row r="14042">
      <c r="A14042" s="3"/>
    </row>
    <row r="14043">
      <c r="A14043" s="3"/>
    </row>
    <row r="14044">
      <c r="A14044" s="3"/>
    </row>
    <row r="14045">
      <c r="A14045" s="3"/>
    </row>
    <row r="14046">
      <c r="A14046" s="3"/>
    </row>
    <row r="14047">
      <c r="A14047" s="3"/>
    </row>
    <row r="14048">
      <c r="A14048" s="3"/>
    </row>
    <row r="14049">
      <c r="A14049" s="3"/>
    </row>
    <row r="14050">
      <c r="A14050" s="3"/>
    </row>
    <row r="14051">
      <c r="A14051" s="3"/>
    </row>
    <row r="14052">
      <c r="A14052" s="3"/>
    </row>
    <row r="14053">
      <c r="A14053" s="3"/>
    </row>
    <row r="14054">
      <c r="A14054" s="3"/>
    </row>
    <row r="14055">
      <c r="A14055" s="3"/>
    </row>
    <row r="14056">
      <c r="A14056" s="3"/>
    </row>
    <row r="14057">
      <c r="A14057" s="3"/>
    </row>
    <row r="14058">
      <c r="A14058" s="3"/>
    </row>
    <row r="14059">
      <c r="A14059" s="3"/>
    </row>
    <row r="14060">
      <c r="A14060" s="3"/>
    </row>
    <row r="14061">
      <c r="A14061" s="3"/>
    </row>
    <row r="14062">
      <c r="A14062" s="3"/>
    </row>
    <row r="14063">
      <c r="A14063" s="3"/>
    </row>
    <row r="14064">
      <c r="A14064" s="3"/>
    </row>
    <row r="14065">
      <c r="A14065" s="3"/>
    </row>
    <row r="14066">
      <c r="A14066" s="3"/>
    </row>
    <row r="14067">
      <c r="A14067" s="3"/>
    </row>
    <row r="14068">
      <c r="A14068" s="3"/>
    </row>
    <row r="14069">
      <c r="A14069" s="3"/>
    </row>
    <row r="14070">
      <c r="A14070" s="3"/>
    </row>
    <row r="14071">
      <c r="A14071" s="3"/>
    </row>
    <row r="14072">
      <c r="A14072" s="3"/>
    </row>
    <row r="14073">
      <c r="A14073" s="3"/>
    </row>
    <row r="14074">
      <c r="A14074" s="3"/>
    </row>
    <row r="14075">
      <c r="A14075" s="3"/>
    </row>
    <row r="14076">
      <c r="A14076" s="3"/>
    </row>
    <row r="14077">
      <c r="A14077" s="3"/>
    </row>
    <row r="14078">
      <c r="A14078" s="3"/>
    </row>
    <row r="14079">
      <c r="A14079" s="3"/>
    </row>
    <row r="14080">
      <c r="A14080" s="3"/>
    </row>
    <row r="14081">
      <c r="A14081" s="3"/>
    </row>
    <row r="14082">
      <c r="A14082" s="3"/>
    </row>
    <row r="14083">
      <c r="A14083" s="3"/>
    </row>
    <row r="14084">
      <c r="A14084" s="3"/>
    </row>
    <row r="14085">
      <c r="A14085" s="3"/>
    </row>
    <row r="14086">
      <c r="A14086" s="3"/>
    </row>
    <row r="14087">
      <c r="A14087" s="3"/>
    </row>
    <row r="14088">
      <c r="A14088" s="3"/>
    </row>
    <row r="14089">
      <c r="A14089" s="3"/>
    </row>
    <row r="14090">
      <c r="A14090" s="3"/>
    </row>
    <row r="14091">
      <c r="A14091" s="3"/>
    </row>
    <row r="14092">
      <c r="A14092" s="3"/>
    </row>
    <row r="14093">
      <c r="A14093" s="3"/>
    </row>
    <row r="14094">
      <c r="A14094" s="3"/>
    </row>
    <row r="14095">
      <c r="A14095" s="3"/>
    </row>
    <row r="14096">
      <c r="A14096" s="3"/>
    </row>
    <row r="14097">
      <c r="A14097" s="3"/>
    </row>
    <row r="14098">
      <c r="A14098" s="3"/>
    </row>
    <row r="14099">
      <c r="A14099" s="3"/>
    </row>
    <row r="14100">
      <c r="A14100" s="3"/>
    </row>
    <row r="14101">
      <c r="A14101" s="3"/>
    </row>
    <row r="14102">
      <c r="A14102" s="3"/>
    </row>
    <row r="14103">
      <c r="A14103" s="3"/>
    </row>
    <row r="14104">
      <c r="A14104" s="3"/>
    </row>
    <row r="14105">
      <c r="A14105" s="3"/>
    </row>
    <row r="14106">
      <c r="A14106" s="3"/>
    </row>
    <row r="14107">
      <c r="A14107" s="3"/>
    </row>
    <row r="14108">
      <c r="A14108" s="3"/>
    </row>
    <row r="14109">
      <c r="A14109" s="3"/>
    </row>
    <row r="14110">
      <c r="A14110" s="3"/>
    </row>
    <row r="14111">
      <c r="A14111" s="3"/>
    </row>
    <row r="14112">
      <c r="A14112" s="3"/>
    </row>
    <row r="14113">
      <c r="A14113" s="3"/>
    </row>
    <row r="14114">
      <c r="A14114" s="3"/>
    </row>
    <row r="14115">
      <c r="A14115" s="3"/>
    </row>
    <row r="14116">
      <c r="A14116" s="3"/>
    </row>
    <row r="14117">
      <c r="A14117" s="3"/>
    </row>
    <row r="14118">
      <c r="A14118" s="3"/>
    </row>
    <row r="14119">
      <c r="A14119" s="3"/>
    </row>
    <row r="14120">
      <c r="A14120" s="3"/>
    </row>
    <row r="14121">
      <c r="A14121" s="3"/>
    </row>
    <row r="14122">
      <c r="A14122" s="3"/>
    </row>
    <row r="14123">
      <c r="A14123" s="3"/>
    </row>
    <row r="14124">
      <c r="A14124" s="3"/>
    </row>
    <row r="14125">
      <c r="A14125" s="3"/>
    </row>
    <row r="14126">
      <c r="A14126" s="3"/>
    </row>
    <row r="14127">
      <c r="A14127" s="3"/>
    </row>
    <row r="14128">
      <c r="A14128" s="3"/>
    </row>
    <row r="14129">
      <c r="A14129" s="3"/>
    </row>
    <row r="14130">
      <c r="A14130" s="3"/>
    </row>
    <row r="14131">
      <c r="A14131" s="3"/>
    </row>
    <row r="14132">
      <c r="A14132" s="3"/>
    </row>
    <row r="14133">
      <c r="A14133" s="3"/>
    </row>
    <row r="14134">
      <c r="A14134" s="3"/>
    </row>
    <row r="14135">
      <c r="A14135" s="3"/>
    </row>
    <row r="14136">
      <c r="A14136" s="3"/>
    </row>
    <row r="14137">
      <c r="A14137" s="3"/>
    </row>
    <row r="14138">
      <c r="A14138" s="3"/>
    </row>
    <row r="14139">
      <c r="A14139" s="3"/>
    </row>
    <row r="14140">
      <c r="A14140" s="3"/>
    </row>
    <row r="14141">
      <c r="A14141" s="3"/>
    </row>
    <row r="14142">
      <c r="A14142" s="3"/>
    </row>
    <row r="14143">
      <c r="A14143" s="3"/>
    </row>
    <row r="14144">
      <c r="A14144" s="3"/>
    </row>
    <row r="14145">
      <c r="A14145" s="3"/>
    </row>
    <row r="14146">
      <c r="A14146" s="3"/>
    </row>
    <row r="14147">
      <c r="A14147" s="3"/>
    </row>
    <row r="14148">
      <c r="A14148" s="3"/>
    </row>
    <row r="14149">
      <c r="A14149" s="3"/>
    </row>
    <row r="14150">
      <c r="A14150" s="3"/>
    </row>
    <row r="14151">
      <c r="A14151" s="3"/>
    </row>
    <row r="14152">
      <c r="A14152" s="3"/>
    </row>
    <row r="14153">
      <c r="A14153" s="3"/>
    </row>
    <row r="14154">
      <c r="A14154" s="3"/>
    </row>
    <row r="14155">
      <c r="A14155" s="3"/>
    </row>
    <row r="14156">
      <c r="A14156" s="3"/>
    </row>
    <row r="14157">
      <c r="A14157" s="3"/>
    </row>
    <row r="14158">
      <c r="A14158" s="3"/>
    </row>
    <row r="14159">
      <c r="A14159" s="3"/>
    </row>
    <row r="14160">
      <c r="A14160" s="3"/>
    </row>
    <row r="14161">
      <c r="A14161" s="3"/>
    </row>
    <row r="14162">
      <c r="A14162" s="3"/>
    </row>
    <row r="14163">
      <c r="A14163" s="3"/>
    </row>
    <row r="14164">
      <c r="A14164" s="3"/>
    </row>
    <row r="14165">
      <c r="A14165" s="3"/>
    </row>
    <row r="14166">
      <c r="A14166" s="3"/>
    </row>
    <row r="14167">
      <c r="A14167" s="3"/>
    </row>
    <row r="14168">
      <c r="A14168" s="3"/>
    </row>
    <row r="14169">
      <c r="A14169" s="3"/>
    </row>
    <row r="14170">
      <c r="A14170" s="3"/>
    </row>
    <row r="14171">
      <c r="A14171" s="3"/>
    </row>
    <row r="14172">
      <c r="A14172" s="3"/>
    </row>
    <row r="14173">
      <c r="A14173" s="3"/>
    </row>
    <row r="14174">
      <c r="A14174" s="3"/>
    </row>
    <row r="14175">
      <c r="A14175" s="3"/>
    </row>
    <row r="14176">
      <c r="A14176" s="3"/>
    </row>
    <row r="14177">
      <c r="A14177" s="3"/>
    </row>
    <row r="14178">
      <c r="A14178" s="3"/>
    </row>
    <row r="14179">
      <c r="A14179" s="3"/>
    </row>
    <row r="14180">
      <c r="A14180" s="3"/>
    </row>
    <row r="14181">
      <c r="A14181" s="3"/>
    </row>
    <row r="14182">
      <c r="A14182" s="3"/>
    </row>
    <row r="14183">
      <c r="A14183" s="3"/>
    </row>
    <row r="14184">
      <c r="A14184" s="3"/>
    </row>
    <row r="14185">
      <c r="A14185" s="3"/>
    </row>
    <row r="14186">
      <c r="A14186" s="3"/>
    </row>
    <row r="14187">
      <c r="A14187" s="3"/>
    </row>
    <row r="14188">
      <c r="A14188" s="3"/>
    </row>
    <row r="14189">
      <c r="A14189" s="3"/>
    </row>
    <row r="14190">
      <c r="A14190" s="3"/>
    </row>
    <row r="14191">
      <c r="A14191" s="3"/>
    </row>
    <row r="14192">
      <c r="A14192" s="3"/>
    </row>
    <row r="14193">
      <c r="A14193" s="3"/>
    </row>
    <row r="14194">
      <c r="A14194" s="3"/>
    </row>
    <row r="14195">
      <c r="A14195" s="3"/>
    </row>
    <row r="14196">
      <c r="A14196" s="3"/>
    </row>
    <row r="14197">
      <c r="A14197" s="3"/>
    </row>
    <row r="14198">
      <c r="A14198" s="3"/>
    </row>
    <row r="14199">
      <c r="A14199" s="3"/>
    </row>
    <row r="14200">
      <c r="A14200" s="3"/>
    </row>
    <row r="14201">
      <c r="A14201" s="3"/>
    </row>
    <row r="14202">
      <c r="A14202" s="3"/>
    </row>
    <row r="14203">
      <c r="A14203" s="3"/>
    </row>
    <row r="14204">
      <c r="A14204" s="3"/>
    </row>
    <row r="14205">
      <c r="A14205" s="3"/>
    </row>
    <row r="14206">
      <c r="A14206" s="3"/>
    </row>
    <row r="14207">
      <c r="A14207" s="3"/>
    </row>
    <row r="14208">
      <c r="A14208" s="3"/>
    </row>
    <row r="14209">
      <c r="A14209" s="3"/>
    </row>
    <row r="14210">
      <c r="A14210" s="3"/>
    </row>
    <row r="14211">
      <c r="A14211" s="3"/>
    </row>
    <row r="14212">
      <c r="A14212" s="3"/>
    </row>
    <row r="14213">
      <c r="A14213" s="3"/>
    </row>
    <row r="14214">
      <c r="A14214" s="3"/>
    </row>
    <row r="14215">
      <c r="A14215" s="3"/>
    </row>
    <row r="14216">
      <c r="A14216" s="3"/>
    </row>
    <row r="14217">
      <c r="A14217" s="3"/>
    </row>
    <row r="14218">
      <c r="A14218" s="3"/>
    </row>
    <row r="14219">
      <c r="A14219" s="3"/>
    </row>
    <row r="14220">
      <c r="A14220" s="3"/>
    </row>
    <row r="14221">
      <c r="A14221" s="3"/>
    </row>
    <row r="14222">
      <c r="A14222" s="3"/>
    </row>
    <row r="14223">
      <c r="A14223" s="3"/>
    </row>
    <row r="14224">
      <c r="A14224" s="3"/>
    </row>
    <row r="14225">
      <c r="A14225" s="3"/>
    </row>
    <row r="14226">
      <c r="A14226" s="3"/>
    </row>
    <row r="14227">
      <c r="A14227" s="3"/>
    </row>
    <row r="14228">
      <c r="A14228" s="3"/>
    </row>
    <row r="14229">
      <c r="A14229" s="3"/>
    </row>
    <row r="14230">
      <c r="A14230" s="3"/>
    </row>
    <row r="14231">
      <c r="A14231" s="3"/>
    </row>
    <row r="14232">
      <c r="A14232" s="3"/>
    </row>
    <row r="14233">
      <c r="A14233" s="3"/>
    </row>
    <row r="14234">
      <c r="A14234" s="3"/>
    </row>
    <row r="14235">
      <c r="A14235" s="3"/>
    </row>
    <row r="14236">
      <c r="A14236" s="3"/>
    </row>
    <row r="14237">
      <c r="A14237" s="3"/>
    </row>
    <row r="14238">
      <c r="A14238" s="3"/>
    </row>
    <row r="14239">
      <c r="A14239" s="3"/>
    </row>
    <row r="14240">
      <c r="A14240" s="3"/>
    </row>
    <row r="14241">
      <c r="A14241" s="3"/>
    </row>
    <row r="14242">
      <c r="A14242" s="3"/>
    </row>
    <row r="14243">
      <c r="A14243" s="3"/>
    </row>
    <row r="14244">
      <c r="A14244" s="3"/>
    </row>
    <row r="14245">
      <c r="A14245" s="3"/>
    </row>
    <row r="14246">
      <c r="A14246" s="3"/>
    </row>
    <row r="14247">
      <c r="A14247" s="3"/>
    </row>
    <row r="14248">
      <c r="A14248" s="3"/>
    </row>
    <row r="14249">
      <c r="A14249" s="3"/>
    </row>
    <row r="14250">
      <c r="A14250" s="3"/>
    </row>
    <row r="14251">
      <c r="A14251" s="3"/>
    </row>
    <row r="14252">
      <c r="A14252" s="3"/>
    </row>
    <row r="14253">
      <c r="A14253" s="3"/>
    </row>
    <row r="14254">
      <c r="A14254" s="3"/>
    </row>
    <row r="14255">
      <c r="A14255" s="3"/>
    </row>
    <row r="14256">
      <c r="A14256" s="3"/>
    </row>
    <row r="14257">
      <c r="A14257" s="3"/>
    </row>
    <row r="14258">
      <c r="A14258" s="3"/>
    </row>
    <row r="14259">
      <c r="A14259" s="3"/>
    </row>
    <row r="14260">
      <c r="A14260" s="3"/>
    </row>
    <row r="14261">
      <c r="A14261" s="3"/>
    </row>
    <row r="14262">
      <c r="A14262" s="3"/>
    </row>
    <row r="14263">
      <c r="A14263" s="3"/>
    </row>
    <row r="14264">
      <c r="A14264" s="3"/>
    </row>
    <row r="14265">
      <c r="A14265" s="3"/>
    </row>
    <row r="14266">
      <c r="A14266" s="3"/>
    </row>
    <row r="14267">
      <c r="A14267" s="3"/>
    </row>
    <row r="14268">
      <c r="A14268" s="3"/>
    </row>
    <row r="14269">
      <c r="A14269" s="3"/>
    </row>
    <row r="14270">
      <c r="A14270" s="3"/>
    </row>
    <row r="14271">
      <c r="A14271" s="3"/>
    </row>
    <row r="14272">
      <c r="A14272" s="3"/>
    </row>
    <row r="14273">
      <c r="A14273" s="3"/>
    </row>
    <row r="14274">
      <c r="A14274" s="3"/>
    </row>
    <row r="14275">
      <c r="A14275" s="3"/>
    </row>
    <row r="14276">
      <c r="A14276" s="3"/>
    </row>
    <row r="14277">
      <c r="A14277" s="3"/>
    </row>
    <row r="14278">
      <c r="A14278" s="3"/>
    </row>
    <row r="14279">
      <c r="A14279" s="3"/>
    </row>
    <row r="14280">
      <c r="A14280" s="3"/>
    </row>
    <row r="14281">
      <c r="A14281" s="3"/>
    </row>
    <row r="14282">
      <c r="A14282" s="3"/>
    </row>
    <row r="14283">
      <c r="A14283" s="3"/>
    </row>
    <row r="14284">
      <c r="A14284" s="3"/>
    </row>
    <row r="14285">
      <c r="A14285" s="3"/>
    </row>
    <row r="14286">
      <c r="A14286" s="3"/>
    </row>
    <row r="14287">
      <c r="A14287" s="3"/>
    </row>
    <row r="14288">
      <c r="A14288" s="3"/>
    </row>
    <row r="14289">
      <c r="A14289" s="3"/>
    </row>
    <row r="14290">
      <c r="A14290" s="3"/>
    </row>
    <row r="14291">
      <c r="A14291" s="3"/>
    </row>
    <row r="14292">
      <c r="A14292" s="3"/>
    </row>
    <row r="14293">
      <c r="A14293" s="3"/>
    </row>
    <row r="14294">
      <c r="A14294" s="3"/>
    </row>
    <row r="14295">
      <c r="A14295" s="3"/>
    </row>
    <row r="14296">
      <c r="A14296" s="3"/>
    </row>
    <row r="14297">
      <c r="A14297" s="3"/>
    </row>
    <row r="14298">
      <c r="A14298" s="3"/>
    </row>
    <row r="14299">
      <c r="A14299" s="3"/>
    </row>
    <row r="14300">
      <c r="A14300" s="3"/>
    </row>
    <row r="14301">
      <c r="A14301" s="3"/>
    </row>
    <row r="14302">
      <c r="A14302" s="3"/>
    </row>
    <row r="14303">
      <c r="A14303" s="3"/>
    </row>
    <row r="14304">
      <c r="A14304" s="3"/>
    </row>
    <row r="14305">
      <c r="A14305" s="3"/>
    </row>
    <row r="14306">
      <c r="A14306" s="3"/>
    </row>
    <row r="14307">
      <c r="A14307" s="3"/>
    </row>
    <row r="14308">
      <c r="A14308" s="3"/>
    </row>
    <row r="14309">
      <c r="A14309" s="3"/>
    </row>
    <row r="14310">
      <c r="A14310" s="3"/>
    </row>
    <row r="14311">
      <c r="A14311" s="3"/>
    </row>
    <row r="14312">
      <c r="A14312" s="3"/>
    </row>
    <row r="14313">
      <c r="A14313" s="3"/>
    </row>
    <row r="14314">
      <c r="A14314" s="3"/>
    </row>
    <row r="14315">
      <c r="A14315" s="3"/>
    </row>
    <row r="14316">
      <c r="A14316" s="3"/>
    </row>
    <row r="14317">
      <c r="A14317" s="3"/>
    </row>
    <row r="14318">
      <c r="A14318" s="3"/>
    </row>
    <row r="14319">
      <c r="A14319" s="3"/>
    </row>
    <row r="14320">
      <c r="A14320" s="3"/>
    </row>
    <row r="14321">
      <c r="A14321" s="3"/>
    </row>
    <row r="14322">
      <c r="A14322" s="3"/>
    </row>
    <row r="14323">
      <c r="A14323" s="3"/>
    </row>
    <row r="14324">
      <c r="A14324" s="3"/>
    </row>
    <row r="14325">
      <c r="A14325" s="3"/>
    </row>
    <row r="14326">
      <c r="A14326" s="3"/>
    </row>
    <row r="14327">
      <c r="A14327" s="3"/>
    </row>
    <row r="14328">
      <c r="A14328" s="3"/>
    </row>
    <row r="14329">
      <c r="A14329" s="3"/>
    </row>
    <row r="14330">
      <c r="A14330" s="3"/>
    </row>
    <row r="14331">
      <c r="A14331" s="3"/>
    </row>
    <row r="14332">
      <c r="A14332" s="3"/>
    </row>
    <row r="14333">
      <c r="A14333" s="3"/>
    </row>
    <row r="14334">
      <c r="A14334" s="3"/>
    </row>
    <row r="14335">
      <c r="A14335" s="3"/>
    </row>
    <row r="14336">
      <c r="A14336" s="3"/>
    </row>
    <row r="14337">
      <c r="A14337" s="3"/>
    </row>
    <row r="14338">
      <c r="A14338" s="3"/>
    </row>
    <row r="14339">
      <c r="A14339" s="3"/>
    </row>
    <row r="14340">
      <c r="A14340" s="3"/>
    </row>
    <row r="14341">
      <c r="A14341" s="3"/>
    </row>
    <row r="14342">
      <c r="A14342" s="3"/>
    </row>
    <row r="14343">
      <c r="A14343" s="3"/>
    </row>
    <row r="14344">
      <c r="A14344" s="3"/>
    </row>
    <row r="14345">
      <c r="A14345" s="3"/>
    </row>
    <row r="14346">
      <c r="A14346" s="3"/>
    </row>
    <row r="14347">
      <c r="A14347" s="3"/>
    </row>
    <row r="14348">
      <c r="A14348" s="3"/>
    </row>
    <row r="14349">
      <c r="A14349" s="3"/>
    </row>
    <row r="14350">
      <c r="A14350" s="3"/>
    </row>
  </sheetData>
  <customSheetViews>
    <customSheetView guid="{78195E3A-2A5C-41E1-AF5C-12CB7F371569}" filter="1" showAutoFilter="1">
      <autoFilter ref="$A$1:$P$14350">
        <filterColumn colId="10">
          <filters>
            <filter val="45"/>
            <filter val="47"/>
            <filter val="152"/>
            <filter val="273"/>
            <filter val="115"/>
            <filter val="90"/>
            <filter val="50"/>
            <filter val="53"/>
            <filter val="10"/>
            <filter val="11"/>
            <filter val="12"/>
            <filter val="14"/>
            <filter val="15"/>
            <filter val="17"/>
            <filter val="18"/>
            <filter val="19"/>
            <filter val="163"/>
            <filter val="164"/>
            <filter val="1"/>
            <filter val="2"/>
            <filter val="3"/>
            <filter val="4"/>
            <filter val="5"/>
            <filter val="247"/>
            <filter val="6"/>
            <filter val="7"/>
            <filter val="8"/>
            <filter val="206"/>
            <filter val="9"/>
            <filter val="61"/>
            <filter val="62"/>
            <filter val="65"/>
            <filter val="21"/>
            <filter val="23"/>
            <filter val="24"/>
            <filter val="25"/>
            <filter val="26"/>
            <filter val="27"/>
            <filter val="28"/>
            <filter val="179"/>
            <filter val="214"/>
            <filter val="71"/>
            <filter val="72"/>
            <filter val="32"/>
            <filter val="34"/>
            <filter val="79"/>
            <filter val="35"/>
            <filter val="38"/>
            <filter val="186"/>
            <filter val="102"/>
            <filter val="80"/>
            <filter val="81"/>
            <filter val="40"/>
            <filter val="43"/>
          </filters>
        </filterColumn>
        <filterColumn colId="1">
          <filters blank="1">
            <filter val="9/1/2023"/>
            <filter val="1/2/2024"/>
            <filter val="2/2/2024"/>
            <filter val="7/1/2023"/>
            <filter val="8/1/2023"/>
            <filter val="12/3/2022"/>
            <filter val="11/3/2023"/>
            <filter val="10/11/2023"/>
            <filter val="11/22/2023"/>
            <filter val="1/10/2024"/>
            <filter val="2/1/2024"/>
            <filter val="4/1/2024"/>
            <filter val="1/1/2024"/>
            <filter val="4/1/2023"/>
            <filter val="3/1/2023"/>
            <filter val="11/19/2023"/>
            <filter val="3/1/2024"/>
            <filter val="3/31/2023"/>
            <filter val="6/1/2023"/>
            <filter val="5/1/2023"/>
            <filter val="8/11/2023"/>
            <filter val="10/10/2023"/>
            <filter val="4/3/2023"/>
            <filter val="4/3/2024"/>
            <filter val="11/21/2023"/>
            <filter val="9/10/2023"/>
            <filter val="11/10/2023"/>
            <filter val="4/30/2023"/>
            <filter val="9/19/2023"/>
            <filter val="11/4/2023"/>
            <filter val="8/3/2023"/>
            <filter val="6/3/2022"/>
            <filter val="2/3/2024"/>
            <filter val="6/3/2023"/>
            <filter val="11/1/2023"/>
            <filter val="7/2/2023"/>
            <filter val="12/2/2022"/>
            <filter val="11/18/2023"/>
            <filter val="5/2/2023"/>
            <filter val="11/23/2023"/>
            <filter val="8/12/2023"/>
            <filter val="3/2/2023"/>
            <filter val="3/2/2024"/>
            <filter val="10/5/2023"/>
            <filter val="9/4/2023"/>
            <filter val="11/17/2023"/>
            <filter val="8/4/2023"/>
            <filter val="10/6/2023"/>
            <filter val="11/11/2023"/>
            <filter val="1/5/2024"/>
            <filter val="9/11/2023"/>
            <filter val="2/5/2024"/>
            <filter val="7/12/2023"/>
            <filter val="11/6/2023"/>
            <filter val="8/15/2023"/>
            <filter val="11/20/2023"/>
            <filter val="2/10/2024"/>
            <filter val="1/4/2024"/>
            <filter val="5/4/2023"/>
            <filter val="11/24/2023"/>
            <filter val="8/14/2023"/>
            <filter val="4/4/2023"/>
            <filter val="6/29/2023"/>
            <filter val="9/17/2023"/>
            <filter val="3/9/2024"/>
            <filter val="3/6/2023"/>
            <filter val="3/6/2024"/>
            <filter val="3/3/2023"/>
            <filter val="11/27/2023"/>
            <filter val="7/6/2023"/>
            <filter val="7/3/2022"/>
            <filter val="3/3/2024"/>
            <filter val="6/8/2023"/>
            <filter val="6/2/2022"/>
            <filter val="6/5/2023"/>
            <filter val="6/2/2023"/>
            <filter val="11/30/2023"/>
            <filter val="7/9/2023"/>
            <filter val="1/11/2024"/>
            <filter val="8/7/2023"/>
            <filter val="7/7/2023"/>
            <filter val="8/20/2023"/>
            <filter val="11/14/2023"/>
            <filter val="2/8/2024"/>
            <filter val="2/13/2024"/>
            <filter val="11/9/2023"/>
            <filter val="10/9/2023"/>
            <filter val="1/8/2024"/>
            <filter val="3/8/2024"/>
            <filter val="8/18/2023"/>
            <filter val="3/8/2023"/>
            <filter val="1/7/2024"/>
            <filter val="2/7/2024"/>
            <filter val="2/12/2024"/>
            <filter val="11/13/2023"/>
            <filter val="8/17/2023"/>
            <filter val="4/7/2023"/>
            <filter val="9/14/2023"/>
            <filter val="3/7/2023"/>
            <filter val="5/7/2023"/>
            <filter val="6/7/2023"/>
            <filter val="3/7/2024"/>
            <filter val="9/7/2023"/>
            <filter val="5/31/2023"/>
            <filter val="2/9/2024"/>
            <filter val="2/11/2024"/>
            <filter val="2/6/2024"/>
            <filter val="7/10/2023"/>
            <filter val="11/7/2023"/>
            <filter val="6/6/2023"/>
            <filter val="4/6/2023"/>
            <filter val="9/5/2023"/>
            <filter val="9/8/2023"/>
            <filter val="9/16/2023"/>
            <filter val="7/8/2023"/>
            <filter val="9/13/2023"/>
            <filter val="11/12/2023"/>
            <filter val="11/26/2023"/>
            <filter val="5/5/2023"/>
            <filter val="11/15/2023"/>
            <filter val="8/9/2023"/>
            <filter val="6/28/2023"/>
            <filter val="7/5/2023"/>
            <filter val="8/6/2023"/>
            <filter val="10/8/2023"/>
            <filter val="6/9/2023"/>
            <filter val="3/5/2024"/>
            <filter val="11/25/2023"/>
            <filter val="3/5/2023"/>
            <filter val="4/29/2023"/>
            <filter val="2/4/2024"/>
            <filter val="7/11/2023"/>
            <filter val="11/16/2023"/>
            <filter val="3/4/2023"/>
            <filter val="3/4/2024"/>
            <filter val="7/4/2023"/>
            <filter val="6/4/2023"/>
            <filter val="8/13/2023"/>
            <filter val="1/9/2024"/>
            <filter val="5/6/2023"/>
            <filter val="1/6/2024"/>
            <filter val="8/16/2023"/>
            <filter val="1/3/2024"/>
            <filter val="9/3/2023"/>
            <filter val="5/3/2023"/>
            <filter val="8/8/2023"/>
            <filter val="8/10/2023"/>
            <filter val="11/8/2023"/>
            <filter val="9/9/2023"/>
            <filter val="9/12/2023"/>
            <filter val="9/18/2023"/>
            <filter val="4/5/2023"/>
            <filter val="8/2/2023"/>
            <filter val="8/5/2023"/>
            <filter val="9/6/2023"/>
            <filter val="4/2/2023"/>
            <filter val="9/15/2023"/>
            <filter val="4/2/2024"/>
            <filter val="11/2/2023"/>
            <filter val="8/19/2023"/>
            <filter val="11/5/2023"/>
          </filters>
        </filterColumn>
      </autoFilter>
    </customSheetView>
    <customSheetView guid="{0A952D5C-FA46-4F3A-A637-01576F3869D6}" filter="1" showAutoFilter="1">
      <autoFilter ref="$A$1:$P$14350">
        <filterColumn colId="10">
          <filters>
            <filter val="45"/>
            <filter val="47"/>
            <filter val="152"/>
            <filter val="273"/>
            <filter val="115"/>
            <filter val="90"/>
            <filter val="50"/>
            <filter val="53"/>
            <filter val="10"/>
            <filter val="11"/>
            <filter val="12"/>
            <filter val="14"/>
            <filter val="15"/>
            <filter val="17"/>
            <filter val="18"/>
            <filter val="19"/>
            <filter val="163"/>
            <filter val="164"/>
            <filter val="1"/>
            <filter val="2"/>
            <filter val="3"/>
            <filter val="4"/>
            <filter val="5"/>
            <filter val="247"/>
            <filter val="6"/>
            <filter val="7"/>
            <filter val="8"/>
            <filter val="206"/>
            <filter val="9"/>
            <filter val="61"/>
            <filter val="62"/>
            <filter val="65"/>
            <filter val="21"/>
            <filter val="23"/>
            <filter val="24"/>
            <filter val="25"/>
            <filter val="26"/>
            <filter val="27"/>
            <filter val="28"/>
            <filter val="179"/>
            <filter val="214"/>
            <filter val="71"/>
            <filter val="72"/>
            <filter val="32"/>
            <filter val="34"/>
            <filter val="79"/>
            <filter val="35"/>
            <filter val="38"/>
            <filter val="186"/>
            <filter val="102"/>
            <filter val="80"/>
            <filter val="81"/>
            <filter val="40"/>
            <filter val="43"/>
          </filters>
        </filterColumn>
        <filterColumn colId="1">
          <filters blank="1">
            <filter val="9/1/2023"/>
            <filter val="12/3/2023"/>
            <filter val="1/2/2024"/>
            <filter val="2/2/2024"/>
            <filter val="7/1/2023"/>
            <filter val="8/1/2023"/>
            <filter val="12/3/2022"/>
            <filter val="11/3/2023"/>
            <filter val="10/11/2023"/>
            <filter val="11/22/2023"/>
            <filter val="1/10/2024"/>
            <filter val="2/1/2024"/>
            <filter val="4/1/2024"/>
            <filter val="1/1/2024"/>
            <filter val="4/1/2023"/>
            <filter val="3/1/2023"/>
            <filter val="11/19/2023"/>
            <filter val="3/1/2024"/>
            <filter val="3/31/2023"/>
            <filter val="6/1/2023"/>
            <filter val="5/1/2023"/>
            <filter val="10/10/2023"/>
            <filter val="4/3/2023"/>
            <filter val="4/3/2024"/>
            <filter val="11/21/2023"/>
            <filter val="9/10/2023"/>
            <filter val="11/10/2023"/>
            <filter val="4/30/2023"/>
            <filter val="9/19/2023"/>
            <filter val="11/4/2023"/>
            <filter val="8/3/2023"/>
            <filter val="6/3/2022"/>
            <filter val="2/3/2024"/>
            <filter val="6/3/2023"/>
            <filter val="11/1/2023"/>
            <filter val="12/5/2023"/>
            <filter val="7/2/2023"/>
            <filter val="12/2/2022"/>
            <filter val="12/2/2023"/>
            <filter val="9/2/2023"/>
            <filter val="11/18/2023"/>
            <filter val="5/2/2023"/>
            <filter val="11/23/2023"/>
            <filter val="8/12/2023"/>
            <filter val="3/2/2023"/>
            <filter val="3/2/2024"/>
            <filter val="9/4/2023"/>
            <filter val="11/17/2023"/>
            <filter val="8/4/2023"/>
            <filter val="11/11/2023"/>
            <filter val="1/5/2024"/>
            <filter val="9/11/2023"/>
            <filter val="2/5/2024"/>
            <filter val="7/12/2023"/>
            <filter val="11/6/2023"/>
            <filter val="8/15/2023"/>
            <filter val="11/20/2023"/>
            <filter val="2/10/2024"/>
            <filter val="1/4/2024"/>
            <filter val="5/4/2023"/>
            <filter val="11/24/2023"/>
            <filter val="8/14/2023"/>
            <filter val="4/4/2023"/>
            <filter val="6/29/2023"/>
            <filter val="9/17/2023"/>
            <filter val="3/9/2024"/>
            <filter val="3/6/2023"/>
            <filter val="3/6/2024"/>
            <filter val="3/3/2023"/>
            <filter val="12/7/2023"/>
            <filter val="11/27/2023"/>
            <filter val="7/6/2023"/>
            <filter val="7/3/2022"/>
            <filter val="12/4/2023"/>
            <filter val="12/10/2023"/>
            <filter val="3/3/2024"/>
            <filter val="6/8/2023"/>
            <filter val="12/1/2023"/>
            <filter val="6/2/2022"/>
            <filter val="6/5/2023"/>
            <filter val="6/2/2023"/>
            <filter val="11/30/2023"/>
            <filter val="7/9/2023"/>
            <filter val="1/11/2024"/>
            <filter val="12/11/2023"/>
            <filter val="7/7/2023"/>
            <filter val="8/20/2023"/>
            <filter val="11/14/2023"/>
            <filter val="2/8/2024"/>
            <filter val="12/9/2023"/>
            <filter val="2/13/2024"/>
            <filter val="11/9/2023"/>
            <filter val="1/8/2024"/>
            <filter val="3/8/2024"/>
            <filter val="8/18/2023"/>
            <filter val="3/8/2023"/>
            <filter val="1/7/2024"/>
            <filter val="2/7/2024"/>
            <filter val="2/12/2024"/>
            <filter val="11/13/2023"/>
            <filter val="8/17/2023"/>
            <filter val="4/7/2023"/>
            <filter val="9/14/2023"/>
            <filter val="3/7/2023"/>
            <filter val="5/7/2023"/>
            <filter val="6/7/2023"/>
            <filter val="3/7/2024"/>
            <filter val="9/7/2023"/>
            <filter val="5/31/2023"/>
            <filter val="2/9/2024"/>
            <filter val="2/11/2024"/>
            <filter val="2/6/2024"/>
            <filter val="7/10/2023"/>
            <filter val="11/7/2023"/>
            <filter val="6/6/2023"/>
            <filter val="4/6/2023"/>
            <filter val="9/5/2023"/>
            <filter val="9/8/2023"/>
            <filter val="9/16/2023"/>
            <filter val="7/8/2023"/>
            <filter val="9/13/2023"/>
            <filter val="11/12/2023"/>
            <filter val="11/26/2023"/>
            <filter val="12/8/2023"/>
            <filter val="5/5/2023"/>
            <filter val="11/15/2023"/>
            <filter val="6/28/2023"/>
            <filter val="7/5/2023"/>
            <filter val="8/6/2023"/>
            <filter val="6/9/2023"/>
            <filter val="3/5/2024"/>
            <filter val="11/25/2023"/>
            <filter val="12/6/2023"/>
            <filter val="3/5/2023"/>
            <filter val="4/29/2023"/>
            <filter val="2/4/2024"/>
            <filter val="7/11/2023"/>
            <filter val="11/16/2023"/>
            <filter val="3/4/2023"/>
            <filter val="3/4/2024"/>
            <filter val="7/4/2023"/>
            <filter val="6/4/2023"/>
            <filter val="8/13/2023"/>
            <filter val="1/9/2024"/>
            <filter val="5/6/2023"/>
            <filter val="1/6/2024"/>
            <filter val="8/16/2023"/>
            <filter val="1/3/2024"/>
            <filter val="9/3/2023"/>
            <filter val="5/3/2023"/>
            <filter val="8/10/2023"/>
            <filter val="11/8/2023"/>
            <filter val="9/9/2023"/>
            <filter val="9/12/2023"/>
            <filter val="9/18/2023"/>
            <filter val="4/5/2023"/>
            <filter val="8/5/2023"/>
            <filter val="9/6/2023"/>
            <filter val="4/2/2023"/>
            <filter val="9/15/2023"/>
            <filter val="4/2/2024"/>
            <filter val="11/2/2023"/>
            <filter val="8/19/2023"/>
            <filter val="11/5/2023"/>
          </filters>
        </filterColumn>
        <filterColumn colId="15">
          <filters blank="1">
            <filter val="n/a"/>
            <filter val="Webinar"/>
            <filter val="CALL Back"/>
            <filter val="MQL"/>
            <filter val="SQL"/>
            <filter val="Survey"/>
            <filter val="Appointment Setting"/>
            <filter val="LIVE EVENT"/>
            <filter val="Soft BANT"/>
            <filter val="WP"/>
            <filter val="BANT"/>
            <filter val="Custom Questions"/>
          </filters>
        </filterColumn>
        <sortState ref="A1:P14350">
          <sortCondition ref="A1:A14350"/>
        </sortState>
      </autoFilter>
    </customSheetView>
    <customSheetView guid="{39CBC46B-8E9A-4120-8855-5F3E56B1B501}" filter="1" showAutoFilter="1">
      <autoFilter ref="$A$1:$P$14350">
        <filterColumn colId="1">
          <filters>
            <filter val="10/3/2023"/>
            <filter val="1/2/2024"/>
            <filter val="2/2/2024"/>
            <filter val="10/11/2023"/>
            <filter val="11/22/2023"/>
            <filter val="1/10/2024"/>
            <filter val="2/1/2024"/>
            <filter val="4/1/2024"/>
            <filter val="1/1/2024"/>
            <filter val="11/19/2023"/>
            <filter val="3/1/2024"/>
            <filter val="10/10/2023"/>
            <filter val="4/3/2024"/>
            <filter val="11/21/2023"/>
            <filter val="2/3/2024"/>
            <filter val="12/5/2023"/>
            <filter val="11/23/2023"/>
            <filter val="3/2/2024"/>
            <filter val="10/2/2023"/>
            <filter val="10/5/2023"/>
            <filter val="10/6/2023"/>
            <filter val="1/5/2024"/>
            <filter val="2/5/2024"/>
            <filter val="11/20/2023"/>
            <filter val="2/10/2024"/>
            <filter val="11/24/2023"/>
            <filter val="3/9/2024"/>
            <filter val="3/6/2024"/>
            <filter val="12/7/2023"/>
            <filter val="11/27/2023"/>
            <filter val="12/4/2023"/>
            <filter val="12/10/2023"/>
            <filter val="3/3/2024"/>
            <filter val="11/30/2023"/>
            <filter val="1/11/2024"/>
            <filter val="12/11/2023"/>
            <filter val="2/8/2024"/>
            <filter val="12/9/2023"/>
            <filter val="2/13/2024"/>
            <filter val="10/9/2023"/>
            <filter val="1/8/2024"/>
            <filter val="3/8/2024"/>
            <filter val="1/7/2024"/>
            <filter val="2/7/2024"/>
            <filter val="2/12/2024"/>
            <filter val="3/7/2024"/>
            <filter val="2/9/2024"/>
            <filter val="2/11/2024"/>
            <filter val="2/6/2024"/>
            <filter val="11/26/2023"/>
            <filter val="12/8/2023"/>
            <filter val="10/8/2023"/>
            <filter val="3/5/2024"/>
            <filter val="11/25/2023"/>
            <filter val="12/6/2023"/>
            <filter val="2/4/2024"/>
            <filter val="10/7/2023"/>
            <filter val="3/4/2024"/>
            <filter val="1/9/2024"/>
            <filter val="1/6/2024"/>
            <filter val="10/4/2023"/>
            <filter val="10/1/2023"/>
            <filter val="4/2/2024"/>
          </filters>
        </filterColumn>
        <filterColumn colId="10">
          <filters blank="1">
            <filter val="45"/>
            <filter val="47"/>
            <filter val="152"/>
            <filter val="273"/>
            <filter val="115"/>
            <filter val="90"/>
            <filter val="50"/>
            <filter val="53"/>
            <filter val="10"/>
            <filter val="11"/>
            <filter val="12"/>
            <filter val="14"/>
            <filter val="15"/>
            <filter val="17"/>
            <filter val="18"/>
            <filter val="19"/>
            <filter val="163"/>
            <filter val="164"/>
            <filter val="1"/>
            <filter val="2"/>
            <filter val="3"/>
            <filter val="4"/>
            <filter val="5"/>
            <filter val="247"/>
            <filter val="6"/>
            <filter val="7"/>
            <filter val="8"/>
            <filter val="206"/>
            <filter val="9"/>
            <filter val="61"/>
            <filter val="62"/>
            <filter val="65"/>
            <filter val="21"/>
            <filter val="23"/>
            <filter val="24"/>
            <filter val="25"/>
            <filter val="26"/>
            <filter val="27"/>
            <filter val="28"/>
            <filter val="179"/>
            <filter val="214"/>
            <filter val="71"/>
            <filter val="72"/>
            <filter val="32"/>
            <filter val="34"/>
            <filter val="79"/>
            <filter val="35"/>
            <filter val="38"/>
            <filter val="186"/>
            <filter val="102"/>
            <filter val="80"/>
            <filter val="81"/>
            <filter val="40"/>
            <filter val="43"/>
          </filters>
        </filterColumn>
        <filterColumn colId="15">
          <filters blank="1">
            <filter val="n/a"/>
            <filter val="Webinar"/>
            <filter val="CALL Back"/>
            <filter val="MQL"/>
            <filter val="SQL"/>
            <filter val="Survey"/>
            <filter val="Appointment Setting"/>
            <filter val="LIVE EVENT"/>
            <filter val="Soft BANT"/>
            <filter val="WP"/>
            <filter val="BANT"/>
            <filter val="Custom Questions"/>
          </filters>
        </filterColumn>
      </autoFilter>
    </customSheetView>
    <customSheetView guid="{2F959F2F-72EB-4DA6-AB1C-F617A64A2D8D}" filter="1" showAutoFilter="1">
      <autoFilter ref="$A$1:$P$14350">
        <filterColumn colId="10">
          <filters>
            <filter val="45"/>
            <filter val="47"/>
            <filter val="152"/>
            <filter val="273"/>
            <filter val="115"/>
            <filter val="90"/>
            <filter val="50"/>
            <filter val="53"/>
            <filter val="10"/>
            <filter val="11"/>
            <filter val="12"/>
            <filter val="14"/>
            <filter val="15"/>
            <filter val="17"/>
            <filter val="18"/>
            <filter val="19"/>
            <filter val="163"/>
            <filter val="164"/>
            <filter val="1"/>
            <filter val="2"/>
            <filter val="3"/>
            <filter val="4"/>
            <filter val="5"/>
            <filter val="247"/>
            <filter val="6"/>
            <filter val="7"/>
            <filter val="8"/>
            <filter val="206"/>
            <filter val="9"/>
            <filter val="61"/>
            <filter val="62"/>
            <filter val="65"/>
            <filter val="21"/>
            <filter val="23"/>
            <filter val="24"/>
            <filter val="25"/>
            <filter val="26"/>
            <filter val="27"/>
            <filter val="28"/>
            <filter val="179"/>
            <filter val="214"/>
            <filter val="71"/>
            <filter val="72"/>
            <filter val="32"/>
            <filter val="34"/>
            <filter val="79"/>
            <filter val="35"/>
            <filter val="38"/>
            <filter val="186"/>
            <filter val="102"/>
            <filter val="80"/>
            <filter val="81"/>
            <filter val="40"/>
            <filter val="43"/>
          </filters>
        </filterColumn>
        <filterColumn colId="1">
          <filters blank="1">
            <filter val="9/1/2023"/>
            <filter val="12/3/2023"/>
            <filter val="1/2/2024"/>
            <filter val="2/2/2024"/>
            <filter val="7/1/2023"/>
            <filter val="8/1/2023"/>
            <filter val="12/3/2022"/>
            <filter val="11/3/2023"/>
            <filter val="10/11/2023"/>
            <filter val="11/22/2023"/>
            <filter val="1/10/2024"/>
            <filter val="2/1/2024"/>
            <filter val="4/1/2024"/>
            <filter val="1/1/2024"/>
            <filter val="4/1/2023"/>
            <filter val="3/1/2023"/>
            <filter val="11/19/2023"/>
            <filter val="3/1/2024"/>
            <filter val="3/31/2023"/>
            <filter val="6/1/2023"/>
            <filter val="5/1/2023"/>
            <filter val="4/3/2023"/>
            <filter val="4/3/2024"/>
            <filter val="11/21/2023"/>
            <filter val="9/10/2023"/>
            <filter val="11/10/2023"/>
            <filter val="4/30/2023"/>
            <filter val="9/19/2023"/>
            <filter val="11/4/2023"/>
            <filter val="8/3/2023"/>
            <filter val="6/3/2022"/>
            <filter val="2/3/2024"/>
            <filter val="6/3/2023"/>
            <filter val="11/1/2023"/>
            <filter val="12/5/2023"/>
            <filter val="7/2/2023"/>
            <filter val="12/2/2022"/>
            <filter val="12/2/2023"/>
            <filter val="9/2/2023"/>
            <filter val="11/18/2023"/>
            <filter val="5/2/2023"/>
            <filter val="11/23/2023"/>
            <filter val="8/12/2023"/>
            <filter val="3/2/2023"/>
            <filter val="3/2/2024"/>
            <filter val="9/4/2023"/>
            <filter val="11/17/2023"/>
            <filter val="8/4/2023"/>
            <filter val="11/11/2023"/>
            <filter val="1/5/2024"/>
            <filter val="9/11/2023"/>
            <filter val="2/5/2024"/>
            <filter val="7/12/2023"/>
            <filter val="11/6/2023"/>
            <filter val="8/15/2023"/>
            <filter val="11/20/2023"/>
            <filter val="2/10/2024"/>
            <filter val="1/4/2024"/>
            <filter val="5/4/2023"/>
            <filter val="11/24/2023"/>
            <filter val="8/14/2023"/>
            <filter val="4/4/2023"/>
            <filter val="6/29/2023"/>
            <filter val="9/17/2023"/>
            <filter val="3/9/2024"/>
            <filter val="3/6/2023"/>
            <filter val="3/6/2024"/>
            <filter val="3/3/2023"/>
            <filter val="12/7/2023"/>
            <filter val="11/27/2023"/>
            <filter val="7/6/2023"/>
            <filter val="7/3/2022"/>
            <filter val="12/4/2023"/>
            <filter val="12/10/2023"/>
            <filter val="3/3/2024"/>
            <filter val="6/8/2023"/>
            <filter val="12/1/2023"/>
            <filter val="6/2/2022"/>
            <filter val="6/5/2023"/>
            <filter val="6/2/2023"/>
            <filter val="11/30/2023"/>
            <filter val="7/9/2023"/>
            <filter val="1/11/2024"/>
            <filter val="12/11/2023"/>
            <filter val="7/7/2023"/>
            <filter val="8/20/2023"/>
            <filter val="11/14/2023"/>
            <filter val="2/8/2024"/>
            <filter val="12/9/2023"/>
            <filter val="2/13/2024"/>
            <filter val="11/9/2023"/>
            <filter val="1/8/2024"/>
            <filter val="3/8/2024"/>
            <filter val="8/18/2023"/>
            <filter val="3/8/2023"/>
            <filter val="1/7/2024"/>
            <filter val="2/7/2024"/>
            <filter val="2/12/2024"/>
            <filter val="11/13/2023"/>
            <filter val="8/17/2023"/>
            <filter val="4/7/2023"/>
            <filter val="9/14/2023"/>
            <filter val="3/7/2023"/>
            <filter val="5/7/2023"/>
            <filter val="6/7/2023"/>
            <filter val="3/7/2024"/>
            <filter val="9/7/2023"/>
            <filter val="5/31/2023"/>
            <filter val="2/9/2024"/>
            <filter val="2/11/2024"/>
            <filter val="2/6/2024"/>
            <filter val="7/10/2023"/>
            <filter val="11/7/2023"/>
            <filter val="6/6/2023"/>
            <filter val="4/6/2023"/>
            <filter val="9/5/2023"/>
            <filter val="9/8/2023"/>
            <filter val="9/16/2023"/>
            <filter val="7/8/2023"/>
            <filter val="9/13/2023"/>
            <filter val="11/12/2023"/>
            <filter val="11/26/2023"/>
            <filter val="12/8/2023"/>
            <filter val="5/5/2023"/>
            <filter val="11/15/2023"/>
            <filter val="6/28/2023"/>
            <filter val="7/5/2023"/>
            <filter val="8/6/2023"/>
            <filter val="6/9/2023"/>
            <filter val="3/5/2024"/>
            <filter val="11/25/2023"/>
            <filter val="12/6/2023"/>
            <filter val="3/5/2023"/>
            <filter val="4/29/2023"/>
            <filter val="2/4/2024"/>
            <filter val="7/11/2023"/>
            <filter val="11/16/2023"/>
            <filter val="3/4/2023"/>
            <filter val="3/4/2024"/>
            <filter val="7/4/2023"/>
            <filter val="6/4/2023"/>
            <filter val="8/13/2023"/>
            <filter val="1/9/2024"/>
            <filter val="5/6/2023"/>
            <filter val="1/6/2024"/>
            <filter val="8/16/2023"/>
            <filter val="1/3/2024"/>
            <filter val="9/3/2023"/>
            <filter val="5/3/2023"/>
            <filter val="8/10/2023"/>
            <filter val="11/8/2023"/>
            <filter val="9/9/2023"/>
            <filter val="9/12/2023"/>
            <filter val="9/18/2023"/>
            <filter val="4/5/2023"/>
            <filter val="8/5/2023"/>
            <filter val="9/6/2023"/>
            <filter val="4/2/2023"/>
            <filter val="9/15/2023"/>
            <filter val="4/2/2024"/>
            <filter val="11/2/2023"/>
            <filter val="8/19/2023"/>
            <filter val="11/5/2023"/>
          </filters>
        </filterColumn>
      </autoFilter>
    </customSheetView>
    <customSheetView guid="{7A4E6CEF-8919-4493-8B2E-E407505070FA}" filter="1" showAutoFilter="1">
      <autoFilter ref="$A$1:$P$14350">
        <filterColumn colId="10">
          <filters>
            <filter val="45"/>
            <filter val="47"/>
            <filter val="152"/>
            <filter val="273"/>
            <filter val="115"/>
            <filter val="90"/>
            <filter val="50"/>
            <filter val="53"/>
            <filter val="10"/>
            <filter val="11"/>
            <filter val="12"/>
            <filter val="14"/>
            <filter val="15"/>
            <filter val="17"/>
            <filter val="18"/>
            <filter val="19"/>
            <filter val="163"/>
            <filter val="164"/>
            <filter val="1"/>
            <filter val="2"/>
            <filter val="3"/>
            <filter val="4"/>
            <filter val="5"/>
            <filter val="247"/>
            <filter val="6"/>
            <filter val="7"/>
            <filter val="8"/>
            <filter val="206"/>
            <filter val="9"/>
            <filter val="61"/>
            <filter val="62"/>
            <filter val="65"/>
            <filter val="21"/>
            <filter val="23"/>
            <filter val="24"/>
            <filter val="25"/>
            <filter val="26"/>
            <filter val="27"/>
            <filter val="28"/>
            <filter val="179"/>
            <filter val="214"/>
            <filter val="71"/>
            <filter val="72"/>
            <filter val="32"/>
            <filter val="34"/>
            <filter val="79"/>
            <filter val="35"/>
            <filter val="38"/>
            <filter val="186"/>
            <filter val="102"/>
            <filter val="80"/>
            <filter val="81"/>
            <filter val="40"/>
            <filter val="43"/>
          </filters>
        </filterColumn>
        <filterColumn colId="1">
          <filters blank="1">
            <filter val="10/3/2023"/>
            <filter val="9/1/2023"/>
            <filter val="12/3/2023"/>
            <filter val="1/2/2024"/>
            <filter val="2/2/2024"/>
            <filter val="7/1/2023"/>
            <filter val="8/1/2023"/>
            <filter val="12/3/2022"/>
            <filter val="11/3/2023"/>
            <filter val="10/11/2023"/>
            <filter val="11/22/2023"/>
            <filter val="1/10/2024"/>
            <filter val="2/1/2024"/>
            <filter val="4/1/2024"/>
            <filter val="1/1/2024"/>
            <filter val="4/1/2023"/>
            <filter val="3/1/2023"/>
            <filter val="11/19/2023"/>
            <filter val="3/1/2024"/>
            <filter val="3/31/2023"/>
            <filter val="6/1/2023"/>
            <filter val="5/1/2023"/>
            <filter val="10/10/2023"/>
            <filter val="4/3/2023"/>
            <filter val="4/3/2024"/>
            <filter val="11/21/2023"/>
            <filter val="4/30/2023"/>
            <filter val="9/19/2023"/>
            <filter val="11/4/2023"/>
            <filter val="8/3/2023"/>
            <filter val="6/3/2022"/>
            <filter val="2/3/2024"/>
            <filter val="6/3/2023"/>
            <filter val="11/1/2023"/>
            <filter val="12/5/2023"/>
            <filter val="7/2/2023"/>
            <filter val="12/2/2022"/>
            <filter val="12/2/2023"/>
            <filter val="11/18/2023"/>
            <filter val="5/2/2023"/>
            <filter val="11/23/2023"/>
            <filter val="8/12/2023"/>
            <filter val="3/2/2023"/>
            <filter val="3/2/2024"/>
            <filter val="10/2/2023"/>
            <filter val="10/5/2023"/>
            <filter val="11/17/2023"/>
            <filter val="8/4/2023"/>
            <filter val="10/6/2023"/>
            <filter val="11/11/2023"/>
            <filter val="1/5/2024"/>
            <filter val="9/11/2023"/>
            <filter val="2/5/2024"/>
            <filter val="7/12/2023"/>
            <filter val="11/6/2023"/>
            <filter val="8/15/2023"/>
            <filter val="11/20/2023"/>
            <filter val="2/10/2024"/>
            <filter val="1/4/2024"/>
            <filter val="5/4/2023"/>
            <filter val="11/24/2023"/>
            <filter val="8/14/2023"/>
            <filter val="4/4/2023"/>
            <filter val="6/29/2023"/>
            <filter val="9/17/2023"/>
            <filter val="3/9/2024"/>
            <filter val="3/6/2023"/>
            <filter val="3/6/2024"/>
            <filter val="3/3/2023"/>
            <filter val="12/7/2023"/>
            <filter val="11/27/2023"/>
            <filter val="7/6/2023"/>
            <filter val="7/3/2022"/>
            <filter val="12/4/2023"/>
            <filter val="12/10/2023"/>
            <filter val="3/3/2024"/>
            <filter val="6/8/2023"/>
            <filter val="12/1/2023"/>
            <filter val="6/2/2022"/>
            <filter val="6/5/2023"/>
            <filter val="6/2/2023"/>
            <filter val="11/30/2023"/>
            <filter val="7/9/2023"/>
            <filter val="1/11/2024"/>
            <filter val="12/11/2023"/>
            <filter val="7/7/2023"/>
            <filter val="8/20/2023"/>
            <filter val="11/14/2023"/>
            <filter val="2/8/2024"/>
            <filter val="12/9/2023"/>
            <filter val="2/13/2024"/>
            <filter val="10/9/2023"/>
            <filter val="1/8/2024"/>
            <filter val="3/8/2024"/>
            <filter val="8/18/2023"/>
            <filter val="3/8/2023"/>
            <filter val="1/7/2024"/>
            <filter val="2/7/2024"/>
            <filter val="2/12/2024"/>
            <filter val="11/13/2023"/>
            <filter val="8/17/2023"/>
            <filter val="4/7/2023"/>
            <filter val="9/14/2023"/>
            <filter val="3/7/2023"/>
            <filter val="5/7/2023"/>
            <filter val="6/7/2023"/>
            <filter val="3/7/2024"/>
            <filter val="9/7/2023"/>
            <filter val="5/31/2023"/>
            <filter val="2/9/2024"/>
            <filter val="2/11/2024"/>
            <filter val="2/6/2024"/>
            <filter val="7/10/2023"/>
            <filter val="6/6/2023"/>
            <filter val="4/6/2023"/>
            <filter val="9/8/2023"/>
            <filter val="9/16/2023"/>
            <filter val="7/8/2023"/>
            <filter val="9/13/2023"/>
            <filter val="11/12/2023"/>
            <filter val="11/26/2023"/>
            <filter val="12/8/2023"/>
            <filter val="5/5/2023"/>
            <filter val="11/15/2023"/>
            <filter val="8/9/2023"/>
            <filter val="6/28/2023"/>
            <filter val="7/5/2023"/>
            <filter val="8/6/2023"/>
            <filter val="10/8/2023"/>
            <filter val="6/9/2023"/>
            <filter val="3/5/2024"/>
            <filter val="11/25/2023"/>
            <filter val="12/6/2023"/>
            <filter val="3/5/2023"/>
            <filter val="4/29/2023"/>
            <filter val="2/4/2024"/>
            <filter val="7/11/2023"/>
            <filter val="11/16/2023"/>
            <filter val="10/7/2023"/>
            <filter val="3/4/2023"/>
            <filter val="3/4/2024"/>
            <filter val="7/4/2023"/>
            <filter val="6/4/2023"/>
            <filter val="8/13/2023"/>
            <filter val="1/9/2024"/>
            <filter val="5/6/2023"/>
            <filter val="1/6/2024"/>
            <filter val="8/16/2023"/>
            <filter val="1/3/2024"/>
            <filter val="10/4/2023"/>
            <filter val="10/1/2023"/>
            <filter val="9/3/2023"/>
            <filter val="5/3/2023"/>
            <filter val="8/8/2023"/>
            <filter val="8/10/2023"/>
            <filter val="9/12/2023"/>
            <filter val="9/18/2023"/>
            <filter val="4/5/2023"/>
            <filter val="8/5/2023"/>
            <filter val="4/2/2023"/>
            <filter val="9/15/2023"/>
            <filter val="4/2/2024"/>
            <filter val="11/2/2023"/>
            <filter val="8/19/2023"/>
            <filter val="11/5/2023"/>
          </filters>
        </filterColumn>
      </autoFilter>
    </customSheetView>
    <customSheetView guid="{88134AB7-0272-4201-97F1-16E4AED3A742}" filter="1" showAutoFilter="1">
      <autoFilter ref="$A$1:$P$14350">
        <filterColumn colId="10">
          <filters>
            <filter val="45"/>
            <filter val="47"/>
            <filter val="152"/>
            <filter val="273"/>
            <filter val="115"/>
            <filter val="90"/>
            <filter val="50"/>
            <filter val="53"/>
            <filter val="10"/>
            <filter val="11"/>
            <filter val="12"/>
            <filter val="14"/>
            <filter val="15"/>
            <filter val="17"/>
            <filter val="18"/>
            <filter val="19"/>
            <filter val="163"/>
            <filter val="164"/>
            <filter val="1"/>
            <filter val="2"/>
            <filter val="3"/>
            <filter val="4"/>
            <filter val="5"/>
            <filter val="247"/>
            <filter val="6"/>
            <filter val="7"/>
            <filter val="8"/>
            <filter val="206"/>
            <filter val="9"/>
            <filter val="61"/>
            <filter val="62"/>
            <filter val="65"/>
            <filter val="21"/>
            <filter val="23"/>
            <filter val="24"/>
            <filter val="25"/>
            <filter val="26"/>
            <filter val="27"/>
            <filter val="28"/>
            <filter val="179"/>
            <filter val="214"/>
            <filter val="71"/>
            <filter val="72"/>
            <filter val="32"/>
            <filter val="34"/>
            <filter val="79"/>
            <filter val="35"/>
            <filter val="38"/>
            <filter val="186"/>
            <filter val="102"/>
            <filter val="80"/>
            <filter val="81"/>
            <filter val="40"/>
            <filter val="43"/>
          </filters>
        </filterColumn>
        <filterColumn colId="1">
          <filters blank="1">
            <filter val="9/1/2023"/>
            <filter val="12/3/2023"/>
            <filter val="1/2/2024"/>
            <filter val="2/2/2024"/>
            <filter val="7/1/2023"/>
            <filter val="8/1/2023"/>
            <filter val="12/3/2022"/>
            <filter val="11/3/2023"/>
            <filter val="10/11/2023"/>
            <filter val="11/22/2023"/>
            <filter val="1/10/2024"/>
            <filter val="2/1/2024"/>
            <filter val="4/1/2024"/>
            <filter val="1/1/2024"/>
            <filter val="4/1/2023"/>
            <filter val="3/1/2023"/>
            <filter val="11/19/2023"/>
            <filter val="3/1/2024"/>
            <filter val="3/31/2023"/>
            <filter val="6/1/2023"/>
            <filter val="5/1/2023"/>
            <filter val="10/10/2023"/>
            <filter val="4/3/2023"/>
            <filter val="4/3/2024"/>
            <filter val="11/21/2023"/>
            <filter val="9/10/2023"/>
            <filter val="11/10/2023"/>
            <filter val="4/30/2023"/>
            <filter val="9/19/2023"/>
            <filter val="11/4/2023"/>
            <filter val="8/3/2023"/>
            <filter val="6/3/2022"/>
            <filter val="2/3/2024"/>
            <filter val="6/3/2023"/>
            <filter val="11/1/2023"/>
            <filter val="12/5/2023"/>
            <filter val="7/2/2023"/>
            <filter val="12/2/2022"/>
            <filter val="12/2/2023"/>
            <filter val="9/2/2023"/>
            <filter val="11/18/2023"/>
            <filter val="5/2/2023"/>
            <filter val="11/23/2023"/>
            <filter val="8/12/2023"/>
            <filter val="3/2/2023"/>
            <filter val="3/2/2024"/>
            <filter val="9/4/2023"/>
            <filter val="11/17/2023"/>
            <filter val="8/4/2023"/>
            <filter val="11/11/2023"/>
            <filter val="1/5/2024"/>
            <filter val="9/11/2023"/>
            <filter val="2/5/2024"/>
            <filter val="7/12/2023"/>
            <filter val="11/6/2023"/>
            <filter val="8/15/2023"/>
            <filter val="11/20/2023"/>
            <filter val="2/10/2024"/>
            <filter val="1/4/2024"/>
            <filter val="5/4/2023"/>
            <filter val="11/24/2023"/>
            <filter val="8/14/2023"/>
            <filter val="4/4/2023"/>
            <filter val="6/29/2023"/>
            <filter val="9/17/2023"/>
            <filter val="3/9/2024"/>
            <filter val="3/6/2023"/>
            <filter val="3/6/2024"/>
            <filter val="3/3/2023"/>
            <filter val="12/7/2023"/>
            <filter val="11/27/2023"/>
            <filter val="7/6/2023"/>
            <filter val="7/3/2022"/>
            <filter val="12/4/2023"/>
            <filter val="12/10/2023"/>
            <filter val="3/3/2024"/>
            <filter val="6/8/2023"/>
            <filter val="12/1/2023"/>
            <filter val="6/2/2022"/>
            <filter val="6/5/2023"/>
            <filter val="6/2/2023"/>
            <filter val="11/30/2023"/>
            <filter val="7/9/2023"/>
            <filter val="1/11/2024"/>
            <filter val="12/11/2023"/>
            <filter val="7/7/2023"/>
            <filter val="8/20/2023"/>
            <filter val="11/14/2023"/>
            <filter val="2/8/2024"/>
            <filter val="12/9/2023"/>
            <filter val="2/13/2024"/>
            <filter val="11/9/2023"/>
            <filter val="10/9/2023"/>
            <filter val="1/8/2024"/>
            <filter val="3/8/2024"/>
            <filter val="8/18/2023"/>
            <filter val="3/8/2023"/>
            <filter val="1/7/2024"/>
            <filter val="2/7/2024"/>
            <filter val="2/12/2024"/>
            <filter val="11/13/2023"/>
            <filter val="8/17/2023"/>
            <filter val="4/7/2023"/>
            <filter val="9/14/2023"/>
            <filter val="3/7/2023"/>
            <filter val="5/7/2023"/>
            <filter val="6/7/2023"/>
            <filter val="3/7/2024"/>
            <filter val="9/7/2023"/>
            <filter val="5/31/2023"/>
            <filter val="2/9/2024"/>
            <filter val="2/11/2024"/>
            <filter val="2/6/2024"/>
            <filter val="7/10/2023"/>
            <filter val="11/7/2023"/>
            <filter val="6/6/2023"/>
            <filter val="4/6/2023"/>
            <filter val="9/5/2023"/>
            <filter val="9/8/2023"/>
            <filter val="9/16/2023"/>
            <filter val="7/8/2023"/>
            <filter val="9/13/2023"/>
            <filter val="11/12/2023"/>
            <filter val="11/26/2023"/>
            <filter val="12/8/2023"/>
            <filter val="5/5/2023"/>
            <filter val="11/15/2023"/>
            <filter val="6/28/2023"/>
            <filter val="7/5/2023"/>
            <filter val="8/6/2023"/>
            <filter val="6/9/2023"/>
            <filter val="3/5/2024"/>
            <filter val="11/25/2023"/>
            <filter val="12/6/2023"/>
            <filter val="3/5/2023"/>
            <filter val="4/29/2023"/>
            <filter val="2/4/2024"/>
            <filter val="7/11/2023"/>
            <filter val="11/16/2023"/>
            <filter val="3/4/2023"/>
            <filter val="3/4/2024"/>
            <filter val="7/4/2023"/>
            <filter val="6/4/2023"/>
            <filter val="8/13/2023"/>
            <filter val="1/9/2024"/>
            <filter val="5/6/2023"/>
            <filter val="1/6/2024"/>
            <filter val="8/16/2023"/>
            <filter val="1/3/2024"/>
            <filter val="9/3/2023"/>
            <filter val="5/3/2023"/>
            <filter val="8/8/2023"/>
            <filter val="8/10/2023"/>
            <filter val="11/8/2023"/>
            <filter val="9/9/2023"/>
            <filter val="9/12/2023"/>
            <filter val="9/18/2023"/>
            <filter val="4/5/2023"/>
            <filter val="8/5/2023"/>
            <filter val="9/6/2023"/>
            <filter val="4/2/2023"/>
            <filter val="9/15/2023"/>
            <filter val="4/2/2024"/>
            <filter val="11/2/2023"/>
            <filter val="8/19/2023"/>
            <filter val="11/5/2023"/>
          </filters>
        </filterColumn>
        <sortState ref="A1:P14350">
          <sortCondition ref="A1:A14350"/>
        </sortState>
      </autoFilter>
    </customSheetView>
    <customSheetView guid="{56FC3389-EFBB-46D2-A484-2EBBA3934557}" filter="1" showAutoFilter="1">
      <autoFilter ref="$A$1:$P$14350">
        <filterColumn colId="10">
          <filters>
            <filter val="45"/>
            <filter val="47"/>
            <filter val="152"/>
            <filter val="273"/>
            <filter val="115"/>
            <filter val="90"/>
            <filter val="50"/>
            <filter val="53"/>
            <filter val="10"/>
            <filter val="11"/>
            <filter val="12"/>
            <filter val="14"/>
            <filter val="15"/>
            <filter val="17"/>
            <filter val="18"/>
            <filter val="19"/>
            <filter val="163"/>
            <filter val="164"/>
            <filter val="1"/>
            <filter val="2"/>
            <filter val="3"/>
            <filter val="4"/>
            <filter val="5"/>
            <filter val="247"/>
            <filter val="6"/>
            <filter val="7"/>
            <filter val="8"/>
            <filter val="206"/>
            <filter val="9"/>
            <filter val="61"/>
            <filter val="62"/>
            <filter val="65"/>
            <filter val="21"/>
            <filter val="23"/>
            <filter val="24"/>
            <filter val="25"/>
            <filter val="26"/>
            <filter val="27"/>
            <filter val="28"/>
            <filter val="179"/>
            <filter val="214"/>
            <filter val="71"/>
            <filter val="72"/>
            <filter val="32"/>
            <filter val="34"/>
            <filter val="79"/>
            <filter val="35"/>
            <filter val="38"/>
            <filter val="186"/>
            <filter val="102"/>
            <filter val="80"/>
            <filter val="81"/>
            <filter val="40"/>
            <filter val="43"/>
          </filters>
        </filterColumn>
        <filterColumn colId="1">
          <filters blank="1">
            <filter val="9/1/2023"/>
            <filter val="12/3/2023"/>
            <filter val="1/2/2024"/>
            <filter val="7/1/2023"/>
            <filter val="8/1/2023"/>
            <filter val="12/3/2022"/>
            <filter val="11/3/2023"/>
            <filter val="10/11/2023"/>
            <filter val="11/22/2023"/>
            <filter val="1/10/2024"/>
            <filter val="4/1/2024"/>
            <filter val="1/1/2024"/>
            <filter val="4/1/2023"/>
            <filter val="3/1/2023"/>
            <filter val="11/19/2023"/>
            <filter val="3/1/2024"/>
            <filter val="3/31/2023"/>
            <filter val="6/1/2023"/>
            <filter val="5/1/2023"/>
            <filter val="8/11/2023"/>
            <filter val="10/10/2023"/>
            <filter val="4/3/2023"/>
            <filter val="4/3/2024"/>
            <filter val="11/21/2023"/>
            <filter val="9/10/2023"/>
            <filter val="11/10/2023"/>
            <filter val="4/30/2023"/>
            <filter val="9/19/2023"/>
            <filter val="11/4/2023"/>
            <filter val="8/3/2023"/>
            <filter val="6/3/2022"/>
            <filter val="6/3/2023"/>
            <filter val="11/1/2023"/>
            <filter val="12/5/2023"/>
            <filter val="7/2/2023"/>
            <filter val="12/2/2022"/>
            <filter val="11/18/2023"/>
            <filter val="5/2/2023"/>
            <filter val="11/23/2023"/>
            <filter val="8/12/2023"/>
            <filter val="3/2/2023"/>
            <filter val="3/2/2024"/>
            <filter val="10/5/2023"/>
            <filter val="9/4/2023"/>
            <filter val="11/17/2023"/>
            <filter val="8/4/2023"/>
            <filter val="10/6/2023"/>
            <filter val="11/11/2023"/>
            <filter val="1/5/2024"/>
            <filter val="9/11/2023"/>
            <filter val="7/12/2023"/>
            <filter val="11/6/2023"/>
            <filter val="8/15/2023"/>
            <filter val="11/20/2023"/>
            <filter val="2/10/2024"/>
            <filter val="1/4/2024"/>
            <filter val="5/4/2023"/>
            <filter val="11/24/2023"/>
            <filter val="8/14/2023"/>
            <filter val="4/4/2023"/>
            <filter val="6/29/2023"/>
            <filter val="9/17/2023"/>
            <filter val="3/9/2024"/>
            <filter val="3/6/2023"/>
            <filter val="3/6/2024"/>
            <filter val="3/3/2023"/>
            <filter val="12/7/2023"/>
            <filter val="11/27/2023"/>
            <filter val="7/6/2023"/>
            <filter val="7/3/2022"/>
            <filter val="7/3/2023"/>
            <filter val="12/4/2023"/>
            <filter val="12/10/2023"/>
            <filter val="3/3/2024"/>
            <filter val="6/8/2023"/>
            <filter val="6/2/2022"/>
            <filter val="6/5/2023"/>
            <filter val="6/2/2023"/>
            <filter val="11/30/2023"/>
            <filter val="7/9/2023"/>
            <filter val="1/11/2024"/>
            <filter val="12/11/2023"/>
            <filter val="8/7/2023"/>
            <filter val="7/7/2023"/>
            <filter val="8/20/2023"/>
            <filter val="11/14/2023"/>
            <filter val="2/8/2024"/>
            <filter val="12/9/2023"/>
            <filter val="2/13/2024"/>
            <filter val="11/9/2023"/>
            <filter val="10/9/2023"/>
            <filter val="1/8/2024"/>
            <filter val="3/8/2024"/>
            <filter val="8/18/2023"/>
            <filter val="3/8/2023"/>
            <filter val="1/7/2024"/>
            <filter val="2/7/2024"/>
            <filter val="2/12/2024"/>
            <filter val="11/13/2023"/>
            <filter val="8/17/2023"/>
            <filter val="4/7/2023"/>
            <filter val="9/14/2023"/>
            <filter val="3/7/2023"/>
            <filter val="5/7/2023"/>
            <filter val="6/7/2023"/>
            <filter val="3/7/2024"/>
            <filter val="9/7/2023"/>
            <filter val="5/31/2023"/>
            <filter val="2/9/2024"/>
            <filter val="2/11/2024"/>
            <filter val="7/10/2023"/>
            <filter val="11/7/2023"/>
            <filter val="6/6/2023"/>
            <filter val="4/6/2023"/>
            <filter val="9/5/2023"/>
            <filter val="9/8/2023"/>
            <filter val="9/16/2023"/>
            <filter val="7/8/2023"/>
            <filter val="9/13/2023"/>
            <filter val="11/12/2023"/>
            <filter val="11/26/2023"/>
            <filter val="12/8/2023"/>
            <filter val="5/5/2023"/>
            <filter val="11/15/2023"/>
            <filter val="8/9/2023"/>
            <filter val="6/28/2023"/>
            <filter val="7/5/2023"/>
            <filter val="8/6/2023"/>
            <filter val="10/8/2023"/>
            <filter val="6/9/2023"/>
            <filter val="3/5/2024"/>
            <filter val="11/25/2023"/>
            <filter val="12/6/2023"/>
            <filter val="3/5/2023"/>
            <filter val="4/29/2023"/>
            <filter val="7/11/2023"/>
            <filter val="11/16/2023"/>
            <filter val="10/7/2023"/>
            <filter val="3/4/2023"/>
            <filter val="3/4/2024"/>
            <filter val="7/4/2023"/>
            <filter val="6/4/2023"/>
            <filter val="8/13/2023"/>
            <filter val="1/9/2024"/>
            <filter val="5/6/2023"/>
            <filter val="1/6/2024"/>
            <filter val="8/16/2023"/>
            <filter val="1/3/2024"/>
            <filter val="10/4/2023"/>
            <filter val="9/3/2023"/>
            <filter val="5/3/2023"/>
            <filter val="8/8/2023"/>
            <filter val="8/10/2023"/>
            <filter val="11/8/2023"/>
            <filter val="9/9/2023"/>
            <filter val="9/12/2023"/>
            <filter val="9/18/2023"/>
            <filter val="4/5/2023"/>
            <filter val="8/2/2023"/>
            <filter val="8/5/2023"/>
            <filter val="9/6/2023"/>
            <filter val="4/2/2023"/>
            <filter val="9/15/2023"/>
            <filter val="4/2/2024"/>
            <filter val="8/19/2023"/>
            <filter val="11/5/2023"/>
          </filters>
        </filterColumn>
        <filterColumn colId="15">
          <filters blank="1">
            <filter val="n/a"/>
            <filter val="Webinar"/>
            <filter val="CALL Back"/>
            <filter val="MQL"/>
            <filter val="SQL"/>
            <filter val="Survey"/>
            <filter val="Appointment Setting"/>
            <filter val="LIVE EVENT"/>
            <filter val="Soft BANT"/>
            <filter val="WP"/>
            <filter val="BANT"/>
            <filter val="Custom Questions"/>
          </filters>
        </filterColumn>
        <sortState ref="A1:P14350">
          <sortCondition ref="A1:A14350"/>
          <sortCondition ref="K1:K14350"/>
          <sortCondition ref="P1:P14350"/>
        </sortState>
      </autoFilter>
    </customSheetView>
    <customSheetView guid="{7199247D-2222-4C60-9DCF-E6AE00B2772D}" filter="1" showAutoFilter="1">
      <autoFilter ref="$A$1:$P$14350">
        <filterColumn colId="1">
          <filters>
            <filter val="12/3/2023"/>
            <filter val="1/10/2024"/>
            <filter val="4/1/2024"/>
            <filter val="3/1/2024"/>
            <filter val="4/3/2024"/>
            <filter val="2/3/2024"/>
            <filter val="12/5/2023"/>
            <filter val="12/2/2023"/>
            <filter val="2/5/2024"/>
            <filter val="2/10/2024"/>
            <filter val="3/9/2024"/>
            <filter val="3/6/2024"/>
            <filter val="12/7/2023"/>
            <filter val="12/4/2023"/>
            <filter val="12/10/2023"/>
            <filter val="3/3/2024"/>
            <filter val="12/1/2023"/>
            <filter val="1/11/2024"/>
            <filter val="12/11/2023"/>
            <filter val="2/8/2024"/>
            <filter val="12/9/2023"/>
            <filter val="2/13/2024"/>
            <filter val="1/8/2024"/>
            <filter val="3/8/2024"/>
            <filter val="1/7/2024"/>
            <filter val="2/7/2024"/>
            <filter val="2/12/2024"/>
            <filter val="3/7/2024"/>
            <filter val="2/9/2024"/>
            <filter val="2/11/2024"/>
            <filter val="2/6/2024"/>
            <filter val="12/8/2023"/>
            <filter val="3/5/2024"/>
            <filter val="12/6/2023"/>
            <filter val="2/4/2024"/>
            <filter val="3/4/2024"/>
            <filter val="1/9/2024"/>
            <filter val="1/6/2024"/>
            <filter val="4/2/2024"/>
          </filters>
        </filterColumn>
        <filterColumn colId="6">
          <filters blank="1">
            <filter val="230"/>
            <filter val="231"/>
            <filter val="110"/>
            <filter val="473"/>
            <filter val="111"/>
            <filter val="1216"/>
            <filter val="112"/>
            <filter val="354"/>
            <filter val="233"/>
            <filter val="113"/>
            <filter val="235"/>
            <filter val="114"/>
            <filter val="598"/>
            <filter val="115"/>
            <filter val="236"/>
            <filter val="116"/>
            <filter val="117"/>
            <filter val="238"/>
            <filter val="359"/>
            <filter val="118"/>
            <filter val="119"/>
            <filter val="10"/>
            <filter val="11"/>
            <filter val="12"/>
            <filter val="13"/>
            <filter val="14"/>
            <filter val="15"/>
            <filter val="16"/>
            <filter val="17"/>
            <filter val="18"/>
            <filter val="19"/>
            <filter val="361"/>
            <filter val="120"/>
            <filter val="241"/>
            <filter val="121"/>
            <filter val="242"/>
            <filter val="1"/>
            <filter val="122"/>
            <filter val="243"/>
            <filter val="2"/>
            <filter val="123"/>
            <filter val="1105"/>
            <filter val="3"/>
            <filter val="124"/>
            <filter val="4"/>
            <filter val="125"/>
            <filter val="246"/>
            <filter val="5"/>
            <filter val="489"/>
            <filter val="126"/>
            <filter val="6"/>
            <filter val="127"/>
            <filter val="248"/>
            <filter val="7"/>
            <filter val="249"/>
            <filter val="128"/>
            <filter val="8"/>
            <filter val="129"/>
            <filter val="9"/>
            <filter val="924"/>
            <filter val="925"/>
            <filter val="20"/>
            <filter val="21"/>
            <filter val="22"/>
            <filter val="23"/>
            <filter val="24"/>
            <filter val="25"/>
            <filter val="26"/>
            <filter val="27"/>
            <filter val="28"/>
            <filter val="29"/>
            <filter val="250"/>
            <filter val="130"/>
            <filter val="251"/>
            <filter val="131"/>
            <filter val="252"/>
            <filter val="375"/>
            <filter val="133"/>
            <filter val="134"/>
            <filter val="135"/>
            <filter val="136"/>
            <filter val="499"/>
            <filter val="137"/>
            <filter val="258"/>
            <filter val="138"/>
            <filter val="259"/>
            <filter val="139"/>
            <filter val="30"/>
            <filter val="31"/>
            <filter val="32"/>
            <filter val="33"/>
            <filter val="34"/>
            <filter val="35"/>
            <filter val="36"/>
            <filter val="37"/>
            <filter val="38"/>
            <filter val="39"/>
            <filter val="140"/>
            <filter val="141"/>
            <filter val="142"/>
            <filter val="385"/>
            <filter val="143"/>
            <filter val="265"/>
            <filter val="144"/>
            <filter val="145"/>
            <filter val="388"/>
            <filter val="146"/>
            <filter val="267"/>
            <filter val="268"/>
            <filter val="147"/>
            <filter val="389"/>
            <filter val="148"/>
            <filter val="269"/>
            <filter val="149"/>
            <filter val="40"/>
            <filter val="41"/>
            <filter val="42"/>
            <filter val="43"/>
            <filter val="44"/>
            <filter val="45"/>
            <filter val="46"/>
            <filter val="47"/>
            <filter val="48"/>
            <filter val="49"/>
            <filter val="390"/>
            <filter val="150"/>
            <filter val="151"/>
            <filter val="152"/>
            <filter val="274"/>
            <filter val="153"/>
            <filter val="154"/>
            <filter val="276"/>
            <filter val="155"/>
            <filter val="277"/>
            <filter val="157"/>
            <filter val="278"/>
            <filter val="158"/>
            <filter val="159"/>
            <filter val="50"/>
            <filter val="51"/>
            <filter val="52"/>
            <filter val="53"/>
            <filter val="54"/>
            <filter val="55"/>
            <filter val="56"/>
            <filter val="57"/>
            <filter val="58"/>
            <filter val="59"/>
            <filter val="160"/>
            <filter val="162"/>
            <filter val="283"/>
            <filter val="163"/>
            <filter val="285"/>
            <filter val="164"/>
            <filter val="165"/>
            <filter val="166"/>
            <filter val="167"/>
            <filter val="288"/>
            <filter val="168"/>
            <filter val="289"/>
            <filter val="169"/>
            <filter val="60"/>
            <filter val="61"/>
            <filter val="62"/>
            <filter val="63"/>
            <filter val="64"/>
            <filter val="65"/>
            <filter val="66"/>
            <filter val="67"/>
            <filter val="68"/>
            <filter val="69"/>
            <filter val="1285"/>
            <filter val="170"/>
            <filter val="171"/>
            <filter val="172"/>
            <filter val="294"/>
            <filter val="173"/>
            <filter val="295"/>
            <filter val="175"/>
            <filter val="176"/>
            <filter val="177"/>
            <filter val="299"/>
            <filter val="178"/>
            <filter val="179"/>
            <filter val="70"/>
            <filter val="71"/>
            <filter val="72"/>
            <filter val="73"/>
            <filter val="74"/>
            <filter val="75"/>
            <filter val="76"/>
            <filter val="77"/>
            <filter val="78"/>
            <filter val="79"/>
            <filter val="181"/>
            <filter val="1052"/>
            <filter val="182"/>
            <filter val="183"/>
            <filter val="1050"/>
            <filter val="185"/>
            <filter val="186"/>
            <filter val="189"/>
            <filter val="80"/>
            <filter val="81"/>
            <filter val="82"/>
            <filter val="83"/>
            <filter val="507"/>
            <filter val="84"/>
            <filter val="85"/>
            <filter val="86"/>
            <filter val="87"/>
            <filter val="88"/>
            <filter val="89"/>
            <filter val="190"/>
            <filter val="191"/>
            <filter val="192"/>
            <filter val="194"/>
            <filter val="195"/>
            <filter val="196"/>
            <filter val="197"/>
            <filter val="198"/>
            <filter val="90"/>
            <filter val="91"/>
            <filter val="92"/>
            <filter val="93"/>
            <filter val="94"/>
            <filter val="517"/>
            <filter val="95"/>
            <filter val="96"/>
            <filter val="97"/>
            <filter val="98"/>
            <filter val="99"/>
            <filter val="760"/>
            <filter val="401"/>
            <filter val="648"/>
            <filter val="649"/>
            <filter val="651"/>
            <filter val="1097"/>
            <filter val="780"/>
            <filter val="300"/>
            <filter val="302"/>
            <filter val="303"/>
            <filter val="304"/>
            <filter val="788"/>
            <filter val="306"/>
            <filter val="428"/>
            <filter val="671"/>
            <filter val="312"/>
            <filter val="675"/>
            <filter val="313"/>
            <filter val="314"/>
            <filter val="437"/>
            <filter val="316"/>
            <filter val="317"/>
            <filter val="439"/>
            <filter val="560"/>
            <filter val="200"/>
            <filter val="443"/>
            <filter val="685"/>
            <filter val="201"/>
            <filter val="202"/>
            <filter val="203"/>
            <filter val="204"/>
            <filter val="446"/>
            <filter val="447"/>
            <filter val="206"/>
            <filter val="207"/>
            <filter val="449"/>
            <filter val="208"/>
            <filter val="209"/>
            <filter val="450"/>
            <filter val="451"/>
            <filter val="331"/>
            <filter val="211"/>
            <filter val="332"/>
            <filter val="212"/>
            <filter val="333"/>
            <filter val="213"/>
            <filter val="214"/>
            <filter val="215"/>
            <filter val="216"/>
            <filter val="337"/>
            <filter val="217"/>
            <filter val="338"/>
            <filter val="339"/>
            <filter val="219"/>
            <filter val="220"/>
            <filter val="342"/>
            <filter val="221"/>
            <filter val="100"/>
            <filter val="101"/>
            <filter val="464"/>
            <filter val="343"/>
            <filter val="102"/>
            <filter val="223"/>
            <filter val="103"/>
            <filter val="224"/>
            <filter val="345"/>
            <filter val="467"/>
            <filter val="346"/>
            <filter val="104"/>
            <filter val="1443"/>
            <filter val="347"/>
            <filter val="105"/>
            <filter val="468"/>
            <filter val="348"/>
            <filter val="107"/>
            <filter val="108"/>
            <filter val="109"/>
          </filters>
        </filterColumn>
        <filterColumn colId="15">
          <filters>
            <filter val="Email Marketing"/>
            <filter val="SQL"/>
            <filter val="LIVE EVENT"/>
          </filters>
        </filterColumn>
        <sortState ref="A1:P14350">
          <sortCondition ref="D1:D14350"/>
        </sortState>
      </autoFilter>
    </customSheetView>
    <customSheetView guid="{95368292-D41D-478D-9DE7-3EFC31DF7B84}" filter="1" showAutoFilter="1">
      <autoFilter ref="$A$1:$P$14350">
        <filterColumn colId="10">
          <filters>
            <filter val="45"/>
            <filter val="47"/>
            <filter val="152"/>
            <filter val="273"/>
            <filter val="115"/>
            <filter val="90"/>
            <filter val="50"/>
            <filter val="53"/>
            <filter val="10"/>
            <filter val="11"/>
            <filter val="12"/>
            <filter val="14"/>
            <filter val="15"/>
            <filter val="17"/>
            <filter val="18"/>
            <filter val="19"/>
            <filter val="163"/>
            <filter val="164"/>
            <filter val="1"/>
            <filter val="2"/>
            <filter val="3"/>
            <filter val="4"/>
            <filter val="5"/>
            <filter val="247"/>
            <filter val="6"/>
            <filter val="7"/>
            <filter val="8"/>
            <filter val="206"/>
            <filter val="9"/>
            <filter val="61"/>
            <filter val="62"/>
            <filter val="65"/>
            <filter val="21"/>
            <filter val="23"/>
            <filter val="24"/>
            <filter val="25"/>
            <filter val="26"/>
            <filter val="27"/>
            <filter val="28"/>
            <filter val="179"/>
            <filter val="214"/>
            <filter val="71"/>
            <filter val="72"/>
            <filter val="32"/>
            <filter val="34"/>
            <filter val="79"/>
            <filter val="35"/>
            <filter val="38"/>
            <filter val="186"/>
            <filter val="102"/>
            <filter val="80"/>
            <filter val="81"/>
            <filter val="40"/>
            <filter val="43"/>
          </filters>
        </filterColumn>
        <filterColumn colId="1">
          <filters blank="1">
            <filter val="9/1/2023"/>
            <filter val="12/3/2023"/>
            <filter val="1/2/2024"/>
            <filter val="2/2/2024"/>
            <filter val="7/1/2023"/>
            <filter val="8/1/2023"/>
            <filter val="12/3/2022"/>
            <filter val="11/3/2023"/>
            <filter val="10/11/2023"/>
            <filter val="11/22/2023"/>
            <filter val="1/10/2024"/>
            <filter val="2/1/2024"/>
            <filter val="4/1/2024"/>
            <filter val="1/1/2024"/>
            <filter val="4/1/2023"/>
            <filter val="3/1/2023"/>
            <filter val="11/19/2023"/>
            <filter val="3/1/2024"/>
            <filter val="3/31/2023"/>
            <filter val="6/1/2023"/>
            <filter val="5/1/2023"/>
            <filter val="10/10/2023"/>
            <filter val="4/3/2023"/>
            <filter val="4/3/2024"/>
            <filter val="11/21/2023"/>
            <filter val="9/10/2023"/>
            <filter val="11/10/2023"/>
            <filter val="4/30/2023"/>
            <filter val="9/19/2023"/>
            <filter val="11/4/2023"/>
            <filter val="8/3/2023"/>
            <filter val="6/3/2022"/>
            <filter val="2/3/2024"/>
            <filter val="6/3/2023"/>
            <filter val="11/1/2023"/>
            <filter val="12/5/2023"/>
            <filter val="7/2/2023"/>
            <filter val="12/2/2022"/>
            <filter val="12/2/2023"/>
            <filter val="9/2/2023"/>
            <filter val="11/18/2023"/>
            <filter val="5/2/2023"/>
            <filter val="11/23/2023"/>
            <filter val="8/12/2023"/>
            <filter val="3/2/2023"/>
            <filter val="3/2/2024"/>
            <filter val="9/4/2023"/>
            <filter val="11/17/2023"/>
            <filter val="8/4/2023"/>
            <filter val="11/11/2023"/>
            <filter val="1/5/2024"/>
            <filter val="9/11/2023"/>
            <filter val="2/5/2024"/>
            <filter val="7/12/2023"/>
            <filter val="11/6/2023"/>
            <filter val="8/15/2023"/>
            <filter val="11/20/2023"/>
            <filter val="2/10/2024"/>
            <filter val="1/4/2024"/>
            <filter val="5/4/2023"/>
            <filter val="11/24/2023"/>
            <filter val="8/14/2023"/>
            <filter val="4/4/2023"/>
            <filter val="6/29/2023"/>
            <filter val="9/17/2023"/>
            <filter val="3/9/2024"/>
            <filter val="3/6/2023"/>
            <filter val="3/6/2024"/>
            <filter val="3/3/2023"/>
            <filter val="12/7/2023"/>
            <filter val="11/27/2023"/>
            <filter val="7/6/2023"/>
            <filter val="7/3/2022"/>
            <filter val="12/4/2023"/>
            <filter val="12/10/2023"/>
            <filter val="3/3/2024"/>
            <filter val="6/8/2023"/>
            <filter val="12/1/2023"/>
            <filter val="6/2/2022"/>
            <filter val="6/5/2023"/>
            <filter val="6/2/2023"/>
            <filter val="11/30/2023"/>
            <filter val="7/9/2023"/>
            <filter val="1/11/2024"/>
            <filter val="12/11/2023"/>
            <filter val="7/7/2023"/>
            <filter val="8/20/2023"/>
            <filter val="11/14/2023"/>
            <filter val="2/8/2024"/>
            <filter val="12/9/2023"/>
            <filter val="2/13/2024"/>
            <filter val="11/9/2023"/>
            <filter val="1/8/2024"/>
            <filter val="3/8/2024"/>
            <filter val="8/18/2023"/>
            <filter val="3/8/2023"/>
            <filter val="1/7/2024"/>
            <filter val="2/7/2024"/>
            <filter val="2/12/2024"/>
            <filter val="11/13/2023"/>
            <filter val="8/17/2023"/>
            <filter val="4/7/2023"/>
            <filter val="9/14/2023"/>
            <filter val="3/7/2023"/>
            <filter val="5/7/2023"/>
            <filter val="6/7/2023"/>
            <filter val="3/7/2024"/>
            <filter val="9/7/2023"/>
            <filter val="5/31/2023"/>
            <filter val="2/9/2024"/>
            <filter val="2/11/2024"/>
            <filter val="2/6/2024"/>
            <filter val="7/10/2023"/>
            <filter val="11/7/2023"/>
            <filter val="6/6/2023"/>
            <filter val="4/6/2023"/>
            <filter val="9/5/2023"/>
            <filter val="9/8/2023"/>
            <filter val="9/16/2023"/>
            <filter val="7/8/2023"/>
            <filter val="9/13/2023"/>
            <filter val="11/12/2023"/>
            <filter val="11/26/2023"/>
            <filter val="12/8/2023"/>
            <filter val="5/5/2023"/>
            <filter val="11/15/2023"/>
            <filter val="6/28/2023"/>
            <filter val="7/5/2023"/>
            <filter val="8/6/2023"/>
            <filter val="6/9/2023"/>
            <filter val="3/5/2024"/>
            <filter val="11/25/2023"/>
            <filter val="12/6/2023"/>
            <filter val="3/5/2023"/>
            <filter val="4/29/2023"/>
            <filter val="2/4/2024"/>
            <filter val="7/11/2023"/>
            <filter val="11/16/2023"/>
            <filter val="3/4/2023"/>
            <filter val="3/4/2024"/>
            <filter val="7/4/2023"/>
            <filter val="6/4/2023"/>
            <filter val="8/13/2023"/>
            <filter val="1/9/2024"/>
            <filter val="5/6/2023"/>
            <filter val="1/6/2024"/>
            <filter val="8/16/2023"/>
            <filter val="1/3/2024"/>
            <filter val="9/3/2023"/>
            <filter val="5/3/2023"/>
            <filter val="8/8/2023"/>
            <filter val="8/10/2023"/>
            <filter val="11/8/2023"/>
            <filter val="9/9/2023"/>
            <filter val="9/12/2023"/>
            <filter val="9/18/2023"/>
            <filter val="4/5/2023"/>
            <filter val="8/5/2023"/>
            <filter val="9/6/2023"/>
            <filter val="4/2/2023"/>
            <filter val="9/15/2023"/>
            <filter val="4/2/2024"/>
            <filter val="11/2/2023"/>
            <filter val="8/19/2023"/>
            <filter val="11/5/2023"/>
          </filters>
        </filterColumn>
        <sortState ref="A1:P14350">
          <sortCondition ref="A1:A14350"/>
          <sortCondition ref="K1:K14350"/>
        </sortState>
      </autoFilter>
    </customSheetView>
  </customSheetView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10.38"/>
    <col customWidth="1" min="3" max="3" width="10.13"/>
    <col customWidth="1" min="4" max="4" width="12.63"/>
    <col customWidth="1" min="5" max="5" width="14.13"/>
    <col customWidth="1" min="6" max="6" width="12.88"/>
    <col customWidth="1" hidden="1" min="7" max="7" width="13.75"/>
    <col customWidth="1" min="8" max="8" width="13.75"/>
    <col customWidth="1" min="9" max="9" width="14.75"/>
    <col customWidth="1" min="11" max="11" width="16.38"/>
    <col customWidth="1" min="13" max="13" width="12.38"/>
    <col customWidth="1" min="14" max="14" width="12.75"/>
    <col customWidth="1" min="16" max="16" width="9.25"/>
    <col hidden="1" min="17" max="17" width="12.63"/>
  </cols>
  <sheetData>
    <row r="1">
      <c r="A1" s="18" t="s">
        <v>469</v>
      </c>
    </row>
    <row r="2">
      <c r="A2" s="19" t="s">
        <v>15</v>
      </c>
      <c r="B2" s="19" t="s">
        <v>470</v>
      </c>
      <c r="C2" s="19" t="s">
        <v>471</v>
      </c>
      <c r="D2" s="20" t="s">
        <v>472</v>
      </c>
      <c r="E2" s="19" t="s">
        <v>473</v>
      </c>
      <c r="F2" s="19" t="s">
        <v>12</v>
      </c>
      <c r="G2" s="19" t="s">
        <v>474</v>
      </c>
      <c r="H2" s="19" t="s">
        <v>475</v>
      </c>
      <c r="I2" s="19" t="s">
        <v>476</v>
      </c>
    </row>
    <row r="3">
      <c r="A3" s="21" t="s">
        <v>166</v>
      </c>
      <c r="B3" s="22">
        <f>COUNTIFS('Campaign Tracking'!T:T,A3,'Campaign Tracking'!K:K,"live")</f>
        <v>1</v>
      </c>
      <c r="C3" s="22">
        <f>COUNTIFS('Campaign Tracking'!T:T,A3,'Campaign Tracking'!K:K,"paused")</f>
        <v>0</v>
      </c>
      <c r="D3" s="23">
        <f>SUMifs('Campaign Tracking'!D:D,'Campaign Tracking'!T:T,A3,'Campaign Tracking'!K:K,"LIVE")</f>
        <v>183</v>
      </c>
      <c r="E3" s="23">
        <f>SUMIFS('Campaign Tracking'!F:F,'Campaign Tracking'!T:T,A3,'Campaign Tracking'!K:K,"LIVE")</f>
        <v>57</v>
      </c>
      <c r="F3" s="23">
        <f t="shared" ref="F3:F13" si="1">D3-E3</f>
        <v>126</v>
      </c>
      <c r="G3" s="23"/>
      <c r="H3" s="23">
        <f>SUMIFS('Campaign Tracking'!H:H,'Campaign Tracking'!T:T,A3,'Campaign Tracking'!K:K,"LIVE")</f>
        <v>107</v>
      </c>
      <c r="I3" s="23">
        <f>SUMIFS('Campaign Tracking'!H:H,'Campaign Tracking'!T:T,A3,'Campaign Tracking'!K:K,"PAUSED")</f>
        <v>0</v>
      </c>
    </row>
    <row r="4">
      <c r="A4" s="21" t="s">
        <v>332</v>
      </c>
      <c r="B4" s="22">
        <f>COUNTIFS('Campaign Tracking'!T:T,A4,'Campaign Tracking'!K:K,"live")</f>
        <v>0</v>
      </c>
      <c r="C4" s="22">
        <f>COUNTIFS('Campaign Tracking'!T:T,A4,'Campaign Tracking'!K:K,"paused")</f>
        <v>0</v>
      </c>
      <c r="D4" s="23">
        <f>SUMifs('Campaign Tracking'!D:D,'Campaign Tracking'!T:T,A4,'Campaign Tracking'!K:K,"LIVE")</f>
        <v>0</v>
      </c>
      <c r="E4" s="23">
        <f>SUMIFS('Campaign Tracking'!F:F,'Campaign Tracking'!T:T,A4,'Campaign Tracking'!K:K,"LIVE")</f>
        <v>0</v>
      </c>
      <c r="F4" s="23">
        <f t="shared" si="1"/>
        <v>0</v>
      </c>
      <c r="G4" s="23"/>
      <c r="H4" s="23">
        <f>SUMIFS('Campaign Tracking'!H:H,'Campaign Tracking'!T:T,A4,'Campaign Tracking'!K:K,"LIVE")</f>
        <v>0</v>
      </c>
      <c r="I4" s="23">
        <f>SUMIFS('Campaign Tracking'!H:H,'Campaign Tracking'!T:T,A4,'Campaign Tracking'!K:K,"PAUSED")</f>
        <v>0</v>
      </c>
    </row>
    <row r="5">
      <c r="A5" s="21" t="s">
        <v>184</v>
      </c>
      <c r="B5" s="22">
        <f>COUNTIFS('Campaign Tracking'!T:T,A5,'Campaign Tracking'!K:K,"live")</f>
        <v>0</v>
      </c>
      <c r="C5" s="22">
        <f>COUNTIFS('Campaign Tracking'!T:T,A5,'Campaign Tracking'!K:K,"paused")</f>
        <v>0</v>
      </c>
      <c r="D5" s="23">
        <f>SUMifs('Campaign Tracking'!D:D,'Campaign Tracking'!T:T,A5,'Campaign Tracking'!K:K,"LIVE")</f>
        <v>0</v>
      </c>
      <c r="E5" s="23">
        <f>SUMIFS('Campaign Tracking'!F:F,'Campaign Tracking'!T:T,A5,'Campaign Tracking'!K:K,"LIVE")</f>
        <v>0</v>
      </c>
      <c r="F5" s="23">
        <f t="shared" si="1"/>
        <v>0</v>
      </c>
      <c r="G5" s="23"/>
      <c r="H5" s="23">
        <f>SUMIFS('Campaign Tracking'!H:H,'Campaign Tracking'!T:T,A5,'Campaign Tracking'!K:K,"LIVE")</f>
        <v>0</v>
      </c>
      <c r="I5" s="23">
        <f>SUMIFS('Campaign Tracking'!H:H,'Campaign Tracking'!T:T,A5,'Campaign Tracking'!K:K,"PAUSED")</f>
        <v>0</v>
      </c>
    </row>
    <row r="6">
      <c r="A6" s="21" t="s">
        <v>80</v>
      </c>
      <c r="B6" s="22">
        <f>COUNTIFS('Campaign Tracking'!T:T,A6,'Campaign Tracking'!K:K,"live")</f>
        <v>0</v>
      </c>
      <c r="C6" s="22">
        <f>COUNTIFS('Campaign Tracking'!T:T,A6,'Campaign Tracking'!K:K,"paused")</f>
        <v>0</v>
      </c>
      <c r="D6" s="23">
        <f>SUMifs('Campaign Tracking'!D:D,'Campaign Tracking'!T:T,A6,'Campaign Tracking'!K:K,"LIVE")</f>
        <v>0</v>
      </c>
      <c r="E6" s="23">
        <f>SUMIFS('Campaign Tracking'!F:F,'Campaign Tracking'!T:T,A6,'Campaign Tracking'!K:K,"LIVE")</f>
        <v>0</v>
      </c>
      <c r="F6" s="23">
        <f t="shared" si="1"/>
        <v>0</v>
      </c>
      <c r="G6" s="23"/>
      <c r="H6" s="23">
        <f>SUMIFS('Campaign Tracking'!H:H,'Campaign Tracking'!T:T,A6,'Campaign Tracking'!K:K,"LIVE")</f>
        <v>0</v>
      </c>
      <c r="I6" s="23">
        <f>SUMIFS('Campaign Tracking'!H:H,'Campaign Tracking'!T:T,A6,'Campaign Tracking'!K:K,"PAUSED")</f>
        <v>0</v>
      </c>
    </row>
    <row r="7">
      <c r="A7" s="21" t="s">
        <v>67</v>
      </c>
      <c r="B7" s="22">
        <f>COUNTIFS('Campaign Tracking'!T:T,A7,'Campaign Tracking'!K:K,"live")</f>
        <v>1</v>
      </c>
      <c r="C7" s="22">
        <f>COUNTIFS('Campaign Tracking'!T:T,A7,'Campaign Tracking'!K:K,"paused")</f>
        <v>0</v>
      </c>
      <c r="D7" s="23">
        <f>SUMifs('Campaign Tracking'!D:D,'Campaign Tracking'!T:T,A7,'Campaign Tracking'!K:K,"LIVE")</f>
        <v>106</v>
      </c>
      <c r="E7" s="23">
        <f>SUMIFS('Campaign Tracking'!F:F,'Campaign Tracking'!T:T,A7,'Campaign Tracking'!K:K,"LIVE")</f>
        <v>12</v>
      </c>
      <c r="F7" s="23">
        <f t="shared" si="1"/>
        <v>94</v>
      </c>
      <c r="G7" s="23"/>
      <c r="H7" s="23">
        <f>SUMIFS('Campaign Tracking'!H:H,'Campaign Tracking'!T:T,A7,'Campaign Tracking'!K:K,"LIVE")</f>
        <v>17</v>
      </c>
      <c r="I7" s="23">
        <f>SUMIFS('Campaign Tracking'!H:H,'Campaign Tracking'!T:T,A7,'Campaign Tracking'!K:K,"PAUSED")</f>
        <v>0</v>
      </c>
    </row>
    <row r="8">
      <c r="A8" s="21" t="s">
        <v>293</v>
      </c>
      <c r="B8" s="22">
        <f>COUNTIFS('Campaign Tracking'!T:T,A8,'Campaign Tracking'!K:K,"live")</f>
        <v>0</v>
      </c>
      <c r="C8" s="22">
        <f>COUNTIFS('Campaign Tracking'!T:T,A8,'Campaign Tracking'!K:K,"paused")</f>
        <v>0</v>
      </c>
      <c r="D8" s="23">
        <f>SUMifs('Campaign Tracking'!D:D,'Campaign Tracking'!T:T,A8,'Campaign Tracking'!K:K,"LIVE")</f>
        <v>0</v>
      </c>
      <c r="E8" s="23">
        <f>SUMIFS('Campaign Tracking'!F:F,'Campaign Tracking'!T:T,A8,'Campaign Tracking'!K:K,"LIVE")</f>
        <v>0</v>
      </c>
      <c r="F8" s="23">
        <f t="shared" si="1"/>
        <v>0</v>
      </c>
      <c r="G8" s="23"/>
      <c r="H8" s="23">
        <f>SUMIFS('Campaign Tracking'!H:H,'Campaign Tracking'!T:T,A8,'Campaign Tracking'!K:K,"LIVE")</f>
        <v>0</v>
      </c>
      <c r="I8" s="23">
        <f>SUMIFS('Campaign Tracking'!H:H,'Campaign Tracking'!T:T,A8,'Campaign Tracking'!K:K,"PAUSED")</f>
        <v>0</v>
      </c>
    </row>
    <row r="9">
      <c r="A9" s="21" t="s">
        <v>477</v>
      </c>
      <c r="B9" s="22">
        <f>COUNTIFS('Campaign Tracking'!T:T,A9,'Campaign Tracking'!K:K,"live")</f>
        <v>1</v>
      </c>
      <c r="C9" s="22">
        <f>COUNTIFS('Campaign Tracking'!T:T,A9,'Campaign Tracking'!K:K,"paused")</f>
        <v>0</v>
      </c>
      <c r="D9" s="23">
        <f>SUMifs('Campaign Tracking'!D:D,'Campaign Tracking'!T:T,A9,'Campaign Tracking'!K:K,"LIVE")</f>
        <v>125</v>
      </c>
      <c r="E9" s="23">
        <f>SUMIFS('Campaign Tracking'!F:F,'Campaign Tracking'!T:T,A9,'Campaign Tracking'!K:K,"LIVE")</f>
        <v>12</v>
      </c>
      <c r="F9" s="23">
        <f t="shared" si="1"/>
        <v>113</v>
      </c>
      <c r="G9" s="23"/>
      <c r="H9" s="23">
        <f>SUMIFS('Campaign Tracking'!H:H,'Campaign Tracking'!T:T,A9,'Campaign Tracking'!K:K,"LIVE")</f>
        <v>43</v>
      </c>
      <c r="I9" s="23">
        <f>SUMIFS('Campaign Tracking'!H:H,'Campaign Tracking'!T:T,A9,'Campaign Tracking'!K:K,"PAUSED")</f>
        <v>0</v>
      </c>
    </row>
    <row r="10">
      <c r="A10" s="21" t="s">
        <v>153</v>
      </c>
      <c r="B10" s="22">
        <f>COUNTIFS('Campaign Tracking'!T:T,A10,'Campaign Tracking'!K:K,"live")</f>
        <v>0</v>
      </c>
      <c r="C10" s="22">
        <f>COUNTIFS('Campaign Tracking'!T:T,A10,'Campaign Tracking'!K:K,"paused")</f>
        <v>0</v>
      </c>
      <c r="D10" s="23">
        <f>SUMifs('Campaign Tracking'!D:D,'Campaign Tracking'!T:T,A10,'Campaign Tracking'!K:K,"LIVE")</f>
        <v>0</v>
      </c>
      <c r="E10" s="23">
        <f>SUMIFS('Campaign Tracking'!F:F,'Campaign Tracking'!T:T,A10,'Campaign Tracking'!K:K,"LIVE")</f>
        <v>0</v>
      </c>
      <c r="F10" s="23">
        <f t="shared" si="1"/>
        <v>0</v>
      </c>
      <c r="G10" s="23"/>
      <c r="H10" s="23">
        <f>SUMIFS('Campaign Tracking'!H:H,'Campaign Tracking'!T:T,A10,'Campaign Tracking'!K:K,"LIVE")</f>
        <v>0</v>
      </c>
      <c r="I10" s="23">
        <f>SUMIFS('Campaign Tracking'!H:H,'Campaign Tracking'!T:T,A10,'Campaign Tracking'!K:K,"PAUSED")</f>
        <v>0</v>
      </c>
    </row>
    <row r="11">
      <c r="A11" s="21" t="s">
        <v>146</v>
      </c>
      <c r="B11" s="22">
        <f>COUNTIFS('Campaign Tracking'!T:T,A11,'Campaign Tracking'!K:K,"live")</f>
        <v>0</v>
      </c>
      <c r="C11" s="22">
        <f>COUNTIFS('Campaign Tracking'!T:T,A11,'Campaign Tracking'!K:K,"paused")</f>
        <v>0</v>
      </c>
      <c r="D11" s="23">
        <f>SUMifs('Campaign Tracking'!D:D,'Campaign Tracking'!T:T,A11,'Campaign Tracking'!K:K,"LIVE")</f>
        <v>0</v>
      </c>
      <c r="E11" s="23">
        <f>SUMIFS('Campaign Tracking'!F:F,'Campaign Tracking'!T:T,A11,'Campaign Tracking'!K:K,"LIVE")</f>
        <v>0</v>
      </c>
      <c r="F11" s="23">
        <f t="shared" si="1"/>
        <v>0</v>
      </c>
      <c r="G11" s="23"/>
      <c r="H11" s="23">
        <f>SUMIFS('Campaign Tracking'!H:H,'Campaign Tracking'!T:T,A11,'Campaign Tracking'!K:K,"LIVE")</f>
        <v>0</v>
      </c>
      <c r="I11" s="23">
        <f>SUMIFS('Campaign Tracking'!H:H,'Campaign Tracking'!T:T,A11,'Campaign Tracking'!K:K,"PAUSED")</f>
        <v>0</v>
      </c>
    </row>
    <row r="12">
      <c r="A12" s="21" t="s">
        <v>111</v>
      </c>
      <c r="B12" s="22">
        <f>COUNTIFS('Campaign Tracking'!T:T,A12,'Campaign Tracking'!K:K,"live")</f>
        <v>1</v>
      </c>
      <c r="C12" s="22">
        <f>COUNTIFS('Campaign Tracking'!T:T,A12,'Campaign Tracking'!K:K,"paused")</f>
        <v>0</v>
      </c>
      <c r="D12" s="23">
        <f>SUMifs('Campaign Tracking'!D:D,'Campaign Tracking'!T:T,A12,'Campaign Tracking'!K:K,"LIVE")</f>
        <v>20</v>
      </c>
      <c r="E12" s="23">
        <f>SUMIFS('Campaign Tracking'!F:F,'Campaign Tracking'!T:T,A12,'Campaign Tracking'!K:K,"LIVE")</f>
        <v>15</v>
      </c>
      <c r="F12" s="23">
        <f t="shared" si="1"/>
        <v>5</v>
      </c>
      <c r="G12" s="23"/>
      <c r="H12" s="23">
        <f>SUMIFS('Campaign Tracking'!H:H,'Campaign Tracking'!T:T,A12,'Campaign Tracking'!K:K,"LIVE")</f>
        <v>0</v>
      </c>
      <c r="I12" s="23">
        <f>SUMIFS('Campaign Tracking'!H:H,'Campaign Tracking'!T:T,A12,'Campaign Tracking'!K:K,"PAUSED")</f>
        <v>0</v>
      </c>
    </row>
    <row r="13">
      <c r="A13" s="24" t="s">
        <v>21</v>
      </c>
      <c r="B13" s="25">
        <f>COUNTIFS('Campaign Tracking'!T:T,A13,'Campaign Tracking'!K:K,"live")</f>
        <v>1</v>
      </c>
      <c r="C13" s="25">
        <f>COUNTIFS('Campaign Tracking'!T:T,A13,'Campaign Tracking'!K:K,"paused")</f>
        <v>0</v>
      </c>
      <c r="D13" s="26">
        <f>SUMifs('Campaign Tracking'!D:D,'Campaign Tracking'!T:T,A13,'Campaign Tracking'!K:K,"LIVE")</f>
        <v>5000</v>
      </c>
      <c r="E13" s="26">
        <f>SUMIFS('Campaign Tracking'!F:F,'Campaign Tracking'!T:T,A13,'Campaign Tracking'!K:K,"LIVE")</f>
        <v>1651</v>
      </c>
      <c r="F13" s="26">
        <f t="shared" si="1"/>
        <v>3349</v>
      </c>
      <c r="G13" s="26"/>
      <c r="H13" s="26">
        <f>SUMIFS('Campaign Tracking'!H:H,'Campaign Tracking'!T:T,A13,'Campaign Tracking'!K:K,"LIVE")</f>
        <v>75</v>
      </c>
      <c r="I13" s="26">
        <f>SUMIFS('Campaign Tracking'!H:H,'Campaign Tracking'!T:T,A13,'Campaign Tracking'!K:K,"PAUSED")</f>
        <v>0</v>
      </c>
    </row>
    <row r="14">
      <c r="A14" s="27" t="s">
        <v>23</v>
      </c>
      <c r="B14" s="28">
        <f t="shared" ref="B14:F14" si="2">sum(B3:B13)</f>
        <v>5</v>
      </c>
      <c r="C14" s="28">
        <f t="shared" si="2"/>
        <v>0</v>
      </c>
      <c r="D14" s="28">
        <f t="shared" si="2"/>
        <v>5434</v>
      </c>
      <c r="E14" s="28">
        <f t="shared" si="2"/>
        <v>1747</v>
      </c>
      <c r="F14" s="28">
        <f t="shared" si="2"/>
        <v>3687</v>
      </c>
      <c r="G14" s="29"/>
      <c r="H14" s="29">
        <f t="shared" ref="H14:I14" si="3">sum(H3:H13)</f>
        <v>242</v>
      </c>
      <c r="I14" s="29">
        <f t="shared" si="3"/>
        <v>0</v>
      </c>
    </row>
    <row r="15">
      <c r="D15" s="30"/>
      <c r="E15" s="30"/>
      <c r="F15" s="30"/>
    </row>
    <row r="16">
      <c r="A16" s="31" t="s">
        <v>478</v>
      </c>
      <c r="B16" s="32"/>
      <c r="C16" s="32"/>
      <c r="D16" s="32"/>
      <c r="E16" s="32"/>
      <c r="F16" s="32"/>
      <c r="G16" s="32"/>
      <c r="H16" s="32"/>
      <c r="I16" s="33"/>
    </row>
    <row r="17">
      <c r="A17" s="34" t="s">
        <v>1</v>
      </c>
      <c r="B17" s="34" t="s">
        <v>6</v>
      </c>
      <c r="C17" s="34" t="s">
        <v>8</v>
      </c>
      <c r="D17" s="34" t="s">
        <v>479</v>
      </c>
      <c r="E17" s="34" t="s">
        <v>7</v>
      </c>
      <c r="F17" s="34" t="s">
        <v>10</v>
      </c>
      <c r="G17" s="19" t="s">
        <v>474</v>
      </c>
      <c r="H17" s="34" t="s">
        <v>480</v>
      </c>
      <c r="I17" s="34" t="s">
        <v>481</v>
      </c>
    </row>
    <row r="18" hidden="1">
      <c r="A18" s="35">
        <v>44013.0</v>
      </c>
      <c r="B18" s="36">
        <v>1088.0</v>
      </c>
      <c r="C18" s="36">
        <f t="shared" ref="C18:C23" si="4">B18-E18-F18</f>
        <v>386</v>
      </c>
      <c r="D18" s="37">
        <f t="shared" ref="D18:D59" si="5">(C18/B18)*100%</f>
        <v>0.3547794118</v>
      </c>
      <c r="E18" s="38">
        <v>702.0</v>
      </c>
      <c r="F18" s="36">
        <v>0.0</v>
      </c>
      <c r="G18" s="39"/>
      <c r="H18" s="39">
        <v>29.0</v>
      </c>
      <c r="I18" s="36">
        <v>14.0</v>
      </c>
    </row>
    <row r="19" hidden="1">
      <c r="A19" s="40">
        <v>44044.0</v>
      </c>
      <c r="B19" s="41">
        <v>903.0</v>
      </c>
      <c r="C19" s="41">
        <f t="shared" si="4"/>
        <v>347</v>
      </c>
      <c r="D19" s="42">
        <f t="shared" si="5"/>
        <v>0.3842746401</v>
      </c>
      <c r="E19" s="43">
        <v>556.0</v>
      </c>
      <c r="F19" s="41">
        <v>0.0</v>
      </c>
      <c r="G19" s="44"/>
      <c r="H19" s="44">
        <v>27.0</v>
      </c>
      <c r="I19" s="41">
        <v>11.0</v>
      </c>
    </row>
    <row r="20" hidden="1">
      <c r="A20" s="40">
        <v>44075.0</v>
      </c>
      <c r="B20" s="41">
        <v>1811.0</v>
      </c>
      <c r="C20" s="41">
        <f t="shared" si="4"/>
        <v>719</v>
      </c>
      <c r="D20" s="42">
        <f t="shared" si="5"/>
        <v>0.397018222</v>
      </c>
      <c r="E20" s="43">
        <v>1092.0</v>
      </c>
      <c r="F20" s="41">
        <v>0.0</v>
      </c>
      <c r="G20" s="44"/>
      <c r="H20" s="44">
        <v>30.0</v>
      </c>
      <c r="I20" s="44">
        <v>8.0</v>
      </c>
    </row>
    <row r="21" hidden="1">
      <c r="A21" s="40">
        <v>44105.0</v>
      </c>
      <c r="B21" s="41">
        <v>2478.0</v>
      </c>
      <c r="C21" s="45">
        <f t="shared" si="4"/>
        <v>722.6</v>
      </c>
      <c r="D21" s="42">
        <f t="shared" si="5"/>
        <v>0.291606134</v>
      </c>
      <c r="E21" s="45">
        <v>1755.4</v>
      </c>
      <c r="F21" s="41">
        <v>0.0</v>
      </c>
      <c r="G21" s="41"/>
      <c r="H21" s="41">
        <v>30.0</v>
      </c>
      <c r="I21" s="41">
        <v>7.0</v>
      </c>
    </row>
    <row r="22" hidden="1">
      <c r="A22" s="40">
        <v>44136.0</v>
      </c>
      <c r="B22" s="41">
        <v>2285.0</v>
      </c>
      <c r="C22" s="41">
        <f t="shared" si="4"/>
        <v>656</v>
      </c>
      <c r="D22" s="42">
        <f t="shared" si="5"/>
        <v>0.2870897155</v>
      </c>
      <c r="E22" s="43">
        <v>1629.0</v>
      </c>
      <c r="F22" s="41">
        <v>0.0</v>
      </c>
      <c r="G22" s="41"/>
      <c r="H22" s="41">
        <v>37.0</v>
      </c>
      <c r="I22" s="41">
        <v>7.0</v>
      </c>
    </row>
    <row r="23" hidden="1">
      <c r="A23" s="46">
        <v>44166.0</v>
      </c>
      <c r="B23" s="47">
        <v>1349.0</v>
      </c>
      <c r="C23" s="47">
        <f t="shared" si="4"/>
        <v>421</v>
      </c>
      <c r="D23" s="48">
        <f t="shared" si="5"/>
        <v>0.3120830245</v>
      </c>
      <c r="E23" s="49">
        <v>928.0</v>
      </c>
      <c r="F23" s="47">
        <v>0.0</v>
      </c>
      <c r="G23" s="47"/>
      <c r="H23" s="47">
        <v>24.0</v>
      </c>
      <c r="I23" s="47">
        <v>5.0</v>
      </c>
    </row>
    <row r="24" hidden="1">
      <c r="A24" s="50">
        <v>44197.0</v>
      </c>
      <c r="B24" s="51">
        <v>1706.0</v>
      </c>
      <c r="C24" s="52">
        <v>471.0</v>
      </c>
      <c r="D24" s="53">
        <f t="shared" si="5"/>
        <v>0.276084408</v>
      </c>
      <c r="E24" s="54">
        <v>1235.0</v>
      </c>
      <c r="F24" s="52">
        <v>0.0</v>
      </c>
      <c r="G24" s="55"/>
      <c r="H24" s="56">
        <v>39.0</v>
      </c>
      <c r="I24" s="56">
        <v>10.0</v>
      </c>
    </row>
    <row r="25" hidden="1">
      <c r="A25" s="57">
        <v>44228.0</v>
      </c>
      <c r="B25" s="58">
        <v>3534.0</v>
      </c>
      <c r="C25" s="59">
        <v>997.0</v>
      </c>
      <c r="D25" s="42">
        <f t="shared" si="5"/>
        <v>0.2821165818</v>
      </c>
      <c r="E25" s="60">
        <v>2537.0</v>
      </c>
      <c r="F25" s="59">
        <v>0.0</v>
      </c>
      <c r="G25" s="61"/>
      <c r="H25" s="41">
        <v>65.0</v>
      </c>
      <c r="I25" s="41">
        <v>18.0</v>
      </c>
    </row>
    <row r="26" hidden="1">
      <c r="A26" s="57">
        <v>44256.0</v>
      </c>
      <c r="B26" s="62">
        <v>4748.0</v>
      </c>
      <c r="C26" s="59">
        <v>1527.0</v>
      </c>
      <c r="D26" s="42">
        <f t="shared" si="5"/>
        <v>0.3216090986</v>
      </c>
      <c r="E26" s="60">
        <v>3221.0</v>
      </c>
      <c r="F26" s="59">
        <v>0.0</v>
      </c>
      <c r="G26" s="63"/>
      <c r="H26" s="44">
        <v>88.0</v>
      </c>
      <c r="I26" s="41">
        <v>19.0</v>
      </c>
    </row>
    <row r="27" hidden="1">
      <c r="A27" s="57">
        <v>44287.0</v>
      </c>
      <c r="B27" s="62">
        <v>6190.0</v>
      </c>
      <c r="C27" s="59">
        <v>2331.0</v>
      </c>
      <c r="D27" s="42">
        <f t="shared" si="5"/>
        <v>0.3765751212</v>
      </c>
      <c r="E27" s="60">
        <v>3859.0</v>
      </c>
      <c r="F27" s="59">
        <v>0.0</v>
      </c>
      <c r="G27" s="63"/>
      <c r="H27" s="44">
        <v>95.0</v>
      </c>
      <c r="I27" s="41">
        <v>17.0</v>
      </c>
    </row>
    <row r="28" hidden="1">
      <c r="A28" s="57">
        <v>44317.0</v>
      </c>
      <c r="B28" s="62">
        <v>5277.0</v>
      </c>
      <c r="C28" s="59">
        <v>2104.0</v>
      </c>
      <c r="D28" s="42">
        <f t="shared" si="5"/>
        <v>0.398711389</v>
      </c>
      <c r="E28" s="60">
        <v>3173.0</v>
      </c>
      <c r="F28" s="59">
        <v>0.0</v>
      </c>
      <c r="G28" s="63"/>
      <c r="H28" s="44">
        <v>80.0</v>
      </c>
      <c r="I28" s="41">
        <v>24.0</v>
      </c>
    </row>
    <row r="29" hidden="1">
      <c r="A29" s="57">
        <v>44348.0</v>
      </c>
      <c r="B29" s="62">
        <v>5072.0</v>
      </c>
      <c r="C29" s="59">
        <v>2020.0</v>
      </c>
      <c r="D29" s="42">
        <f t="shared" si="5"/>
        <v>0.3982649842</v>
      </c>
      <c r="E29" s="58">
        <v>3052.0</v>
      </c>
      <c r="F29" s="59">
        <v>0.0</v>
      </c>
      <c r="G29" s="63"/>
      <c r="H29" s="44">
        <v>56.0</v>
      </c>
      <c r="I29" s="41">
        <v>20.0</v>
      </c>
    </row>
    <row r="30" hidden="1">
      <c r="A30" s="64">
        <v>44378.0</v>
      </c>
      <c r="B30" s="58">
        <v>6130.0</v>
      </c>
      <c r="C30" s="59">
        <v>2290.0</v>
      </c>
      <c r="D30" s="42">
        <f t="shared" si="5"/>
        <v>0.3735725938</v>
      </c>
      <c r="E30" s="58">
        <v>3840.0</v>
      </c>
      <c r="F30" s="59">
        <v>0.0</v>
      </c>
      <c r="G30" s="65"/>
      <c r="H30" s="66">
        <v>74.0</v>
      </c>
      <c r="I30" s="67">
        <v>14.0</v>
      </c>
    </row>
    <row r="31" hidden="1">
      <c r="A31" s="57">
        <v>44409.0</v>
      </c>
      <c r="B31" s="58">
        <v>7644.0</v>
      </c>
      <c r="C31" s="59">
        <v>3133.0</v>
      </c>
      <c r="D31" s="42">
        <f t="shared" si="5"/>
        <v>0.4098639456</v>
      </c>
      <c r="E31" s="62">
        <v>4511.0</v>
      </c>
      <c r="F31" s="68">
        <v>0.0</v>
      </c>
      <c r="G31" s="63"/>
      <c r="H31" s="44">
        <v>83.0</v>
      </c>
      <c r="I31" s="41">
        <v>16.0</v>
      </c>
    </row>
    <row r="32" hidden="1">
      <c r="A32" s="57">
        <v>44440.0</v>
      </c>
      <c r="B32" s="58">
        <v>4784.0</v>
      </c>
      <c r="C32" s="59">
        <v>2157.0</v>
      </c>
      <c r="D32" s="42">
        <f t="shared" si="5"/>
        <v>0.4508779264</v>
      </c>
      <c r="E32" s="62">
        <v>2627.0</v>
      </c>
      <c r="F32" s="68">
        <v>0.0</v>
      </c>
      <c r="G32" s="61"/>
      <c r="H32" s="41">
        <v>53.0</v>
      </c>
      <c r="I32" s="41">
        <v>16.0</v>
      </c>
    </row>
    <row r="33" hidden="1">
      <c r="A33" s="57">
        <v>44470.0</v>
      </c>
      <c r="B33" s="58">
        <v>3986.0</v>
      </c>
      <c r="C33" s="59">
        <v>1510.0</v>
      </c>
      <c r="D33" s="42">
        <f t="shared" si="5"/>
        <v>0.3788258906</v>
      </c>
      <c r="E33" s="62">
        <v>2476.0</v>
      </c>
      <c r="F33" s="68">
        <v>0.0</v>
      </c>
      <c r="G33" s="61"/>
      <c r="H33" s="41">
        <v>67.0</v>
      </c>
      <c r="I33" s="41">
        <v>17.0</v>
      </c>
    </row>
    <row r="34" hidden="1">
      <c r="A34" s="57">
        <v>44501.0</v>
      </c>
      <c r="B34" s="58">
        <v>5063.0</v>
      </c>
      <c r="C34" s="59">
        <v>2298.0</v>
      </c>
      <c r="D34" s="42">
        <f t="shared" si="5"/>
        <v>0.4538810982</v>
      </c>
      <c r="E34" s="58">
        <v>2765.0</v>
      </c>
      <c r="F34" s="68">
        <v>0.0</v>
      </c>
      <c r="G34" s="63"/>
      <c r="H34" s="44">
        <v>69.0</v>
      </c>
      <c r="I34" s="41">
        <v>19.0</v>
      </c>
    </row>
    <row r="35" hidden="1">
      <c r="A35" s="69">
        <v>44531.0</v>
      </c>
      <c r="B35" s="70">
        <v>3557.0</v>
      </c>
      <c r="C35" s="71">
        <v>1590.0</v>
      </c>
      <c r="D35" s="72">
        <f t="shared" si="5"/>
        <v>0.4470059039</v>
      </c>
      <c r="E35" s="73">
        <v>1967.0</v>
      </c>
      <c r="F35" s="74">
        <v>0.0</v>
      </c>
      <c r="G35" s="75"/>
      <c r="H35" s="76">
        <v>61.0</v>
      </c>
      <c r="I35" s="76">
        <v>18.0</v>
      </c>
    </row>
    <row r="36" hidden="1">
      <c r="A36" s="77">
        <v>44562.0</v>
      </c>
      <c r="B36" s="78">
        <v>2861.0</v>
      </c>
      <c r="C36" s="78">
        <v>1169.0</v>
      </c>
      <c r="D36" s="79">
        <f t="shared" si="5"/>
        <v>0.4085983922</v>
      </c>
      <c r="E36" s="78">
        <v>1692.0</v>
      </c>
      <c r="F36" s="80">
        <v>0.0</v>
      </c>
      <c r="G36" s="81"/>
      <c r="H36" s="78">
        <v>44.0</v>
      </c>
      <c r="I36" s="78">
        <v>14.0</v>
      </c>
    </row>
    <row r="37" hidden="1">
      <c r="A37" s="82">
        <v>44593.0</v>
      </c>
      <c r="B37" s="47">
        <v>15410.0</v>
      </c>
      <c r="C37" s="47">
        <v>9920.0</v>
      </c>
      <c r="D37" s="83">
        <f t="shared" si="5"/>
        <v>0.6437378326</v>
      </c>
      <c r="E37" s="47">
        <v>5489.0</v>
      </c>
      <c r="F37" s="47">
        <v>0.0</v>
      </c>
      <c r="G37" s="47"/>
      <c r="H37" s="47">
        <v>60.0</v>
      </c>
      <c r="I37" s="47">
        <v>11.0</v>
      </c>
    </row>
    <row r="38" hidden="1">
      <c r="A38" s="84">
        <v>44621.0</v>
      </c>
      <c r="B38" s="44">
        <v>12140.0</v>
      </c>
      <c r="C38" s="44">
        <v>6915.0</v>
      </c>
      <c r="D38" s="85">
        <f t="shared" si="5"/>
        <v>0.5696046129</v>
      </c>
      <c r="E38" s="44">
        <v>5225.0</v>
      </c>
      <c r="F38" s="47">
        <v>0.0</v>
      </c>
      <c r="G38" s="86"/>
      <c r="H38" s="44">
        <v>61.0</v>
      </c>
      <c r="I38" s="44">
        <v>14.0</v>
      </c>
    </row>
    <row r="39" hidden="1">
      <c r="A39" s="84">
        <v>44652.0</v>
      </c>
      <c r="B39" s="41">
        <v>7051.0</v>
      </c>
      <c r="C39" s="41">
        <v>3884.0</v>
      </c>
      <c r="D39" s="85">
        <f t="shared" si="5"/>
        <v>0.5508438519</v>
      </c>
      <c r="E39" s="41">
        <v>3168.0</v>
      </c>
      <c r="F39" s="41">
        <v>0.0</v>
      </c>
      <c r="G39" s="41"/>
      <c r="H39" s="41">
        <v>77.0</v>
      </c>
      <c r="I39" s="41">
        <v>14.0</v>
      </c>
    </row>
    <row r="40" hidden="1">
      <c r="A40" s="84">
        <v>44682.0</v>
      </c>
      <c r="B40" s="41">
        <v>12128.0</v>
      </c>
      <c r="C40" s="41">
        <v>7011.0</v>
      </c>
      <c r="D40" s="87">
        <f t="shared" si="5"/>
        <v>0.5780837731</v>
      </c>
      <c r="E40" s="41">
        <v>5114.0</v>
      </c>
      <c r="F40" s="41">
        <v>0.0</v>
      </c>
      <c r="G40" s="41"/>
      <c r="H40" s="41">
        <v>74.0</v>
      </c>
      <c r="I40" s="41">
        <v>13.0</v>
      </c>
    </row>
    <row r="41">
      <c r="A41" s="84">
        <v>44713.0</v>
      </c>
      <c r="B41" s="88">
        <v>10388.0</v>
      </c>
      <c r="C41" s="41">
        <v>6372.0</v>
      </c>
      <c r="D41" s="87">
        <f t="shared" si="5"/>
        <v>0.613400077</v>
      </c>
      <c r="E41" s="41">
        <v>3966.0</v>
      </c>
      <c r="F41" s="41">
        <v>0.0</v>
      </c>
      <c r="G41" s="41"/>
      <c r="H41" s="41">
        <v>73.0</v>
      </c>
      <c r="I41" s="41">
        <v>14.0</v>
      </c>
    </row>
    <row r="42">
      <c r="A42" s="84">
        <v>44744.0</v>
      </c>
      <c r="B42" s="41">
        <v>5106.0</v>
      </c>
      <c r="C42" s="88">
        <v>2714.0</v>
      </c>
      <c r="D42" s="87">
        <f t="shared" si="5"/>
        <v>0.5315315315</v>
      </c>
      <c r="E42" s="88">
        <v>2384.0</v>
      </c>
      <c r="F42" s="41">
        <v>0.0</v>
      </c>
      <c r="G42" s="41"/>
      <c r="H42" s="41">
        <v>50.0</v>
      </c>
      <c r="I42" s="41">
        <v>15.0</v>
      </c>
    </row>
    <row r="43">
      <c r="A43" s="84">
        <v>44774.0</v>
      </c>
      <c r="B43" s="22">
        <v>4365.0</v>
      </c>
      <c r="C43" s="22">
        <v>2165.0</v>
      </c>
      <c r="D43" s="87">
        <f t="shared" si="5"/>
        <v>0.4959908362</v>
      </c>
      <c r="E43" s="22">
        <v>2188.0</v>
      </c>
      <c r="F43" s="41">
        <v>0.0</v>
      </c>
      <c r="G43" s="41"/>
      <c r="H43" s="41">
        <v>51.0</v>
      </c>
      <c r="I43" s="41">
        <v>15.0</v>
      </c>
    </row>
    <row r="44">
      <c r="A44" s="84">
        <v>44805.0</v>
      </c>
      <c r="B44" s="22">
        <v>4727.0</v>
      </c>
      <c r="C44" s="22">
        <v>2315.0</v>
      </c>
      <c r="D44" s="87">
        <f t="shared" si="5"/>
        <v>0.4897397927</v>
      </c>
      <c r="E44" s="22">
        <v>2405.0</v>
      </c>
      <c r="F44" s="41">
        <v>0.0</v>
      </c>
      <c r="G44" s="41"/>
      <c r="H44" s="41">
        <v>58.0</v>
      </c>
      <c r="I44" s="41">
        <v>16.0</v>
      </c>
    </row>
    <row r="45">
      <c r="A45" s="84">
        <v>44835.0</v>
      </c>
      <c r="B45" s="41">
        <v>11214.0</v>
      </c>
      <c r="C45" s="41">
        <v>6234.0</v>
      </c>
      <c r="D45" s="87">
        <f t="shared" si="5"/>
        <v>0.5559122525</v>
      </c>
      <c r="E45" s="41">
        <v>4974.0</v>
      </c>
      <c r="F45" s="41">
        <v>0.0</v>
      </c>
      <c r="G45" s="41"/>
      <c r="H45" s="41">
        <v>71.0</v>
      </c>
      <c r="I45" s="41">
        <v>15.0</v>
      </c>
    </row>
    <row r="46">
      <c r="A46" s="84">
        <v>44866.0</v>
      </c>
      <c r="B46" s="41">
        <v>14180.0</v>
      </c>
      <c r="C46" s="41">
        <v>7248.0</v>
      </c>
      <c r="D46" s="87">
        <f t="shared" si="5"/>
        <v>0.5111424542</v>
      </c>
      <c r="E46" s="41">
        <v>6908.0</v>
      </c>
      <c r="F46" s="41">
        <v>0.0</v>
      </c>
      <c r="G46" s="41"/>
      <c r="H46" s="41">
        <v>86.0</v>
      </c>
      <c r="I46" s="41">
        <v>15.0</v>
      </c>
    </row>
    <row r="47">
      <c r="A47" s="89">
        <v>44896.0</v>
      </c>
      <c r="B47" s="47">
        <v>6829.0</v>
      </c>
      <c r="C47" s="47">
        <v>3107.0</v>
      </c>
      <c r="D47" s="85">
        <f t="shared" si="5"/>
        <v>0.4549714453</v>
      </c>
      <c r="E47" s="47">
        <v>3698.0</v>
      </c>
      <c r="F47" s="47">
        <v>0.0</v>
      </c>
      <c r="G47" s="47"/>
      <c r="H47" s="47">
        <v>63.0</v>
      </c>
      <c r="I47" s="47">
        <v>14.0</v>
      </c>
    </row>
    <row r="48">
      <c r="A48" s="90">
        <v>44928.0</v>
      </c>
      <c r="B48" s="91">
        <v>8214.0</v>
      </c>
      <c r="C48" s="91">
        <v>3912.0</v>
      </c>
      <c r="D48" s="92">
        <f t="shared" si="5"/>
        <v>0.4762600438</v>
      </c>
      <c r="E48" s="91">
        <v>4291.0</v>
      </c>
      <c r="F48" s="91">
        <v>0.0</v>
      </c>
      <c r="G48" s="91"/>
      <c r="H48" s="91">
        <v>90.0</v>
      </c>
      <c r="I48" s="91">
        <v>13.0</v>
      </c>
    </row>
    <row r="49">
      <c r="A49" s="93">
        <v>44959.0</v>
      </c>
      <c r="B49" s="41">
        <v>6260.0</v>
      </c>
      <c r="C49" s="41">
        <v>2691.0</v>
      </c>
      <c r="D49" s="87">
        <f t="shared" si="5"/>
        <v>0.4298722045</v>
      </c>
      <c r="E49" s="41">
        <v>3558.0</v>
      </c>
      <c r="F49" s="41">
        <v>0.0</v>
      </c>
      <c r="G49" s="41"/>
      <c r="H49" s="41">
        <v>83.0</v>
      </c>
      <c r="I49" s="41">
        <v>11.0</v>
      </c>
    </row>
    <row r="50">
      <c r="A50" s="93">
        <v>44987.0</v>
      </c>
      <c r="B50" s="41">
        <v>8735.0</v>
      </c>
      <c r="C50" s="41">
        <v>3577.0</v>
      </c>
      <c r="D50" s="87">
        <f t="shared" si="5"/>
        <v>0.4095020034</v>
      </c>
      <c r="E50" s="41">
        <v>5142.0</v>
      </c>
      <c r="F50" s="94">
        <v>6.0</v>
      </c>
      <c r="G50" s="41"/>
      <c r="H50" s="41">
        <v>138.0</v>
      </c>
      <c r="I50" s="41">
        <v>12.0</v>
      </c>
    </row>
    <row r="51">
      <c r="A51" s="93">
        <v>45017.0</v>
      </c>
      <c r="B51" s="41">
        <v>10257.0</v>
      </c>
      <c r="C51" s="41">
        <v>4396.0</v>
      </c>
      <c r="D51" s="87">
        <f t="shared" si="5"/>
        <v>0.4285853563</v>
      </c>
      <c r="E51" s="41">
        <v>5511.0</v>
      </c>
      <c r="F51" s="94">
        <v>344.0</v>
      </c>
      <c r="G51" s="41"/>
      <c r="H51" s="41">
        <v>145.0</v>
      </c>
      <c r="I51" s="41">
        <v>12.0</v>
      </c>
    </row>
    <row r="52">
      <c r="A52" s="93">
        <v>45047.0</v>
      </c>
      <c r="B52" s="41">
        <v>9689.0</v>
      </c>
      <c r="C52" s="41">
        <v>4492.0</v>
      </c>
      <c r="D52" s="87">
        <f t="shared" si="5"/>
        <v>0.4636185365</v>
      </c>
      <c r="E52" s="41">
        <v>5140.0</v>
      </c>
      <c r="F52" s="94">
        <v>35.0</v>
      </c>
      <c r="G52" s="41"/>
      <c r="H52" s="41">
        <v>162.0</v>
      </c>
      <c r="I52" s="41">
        <v>10.0</v>
      </c>
    </row>
    <row r="53">
      <c r="A53" s="93">
        <v>45078.0</v>
      </c>
      <c r="B53" s="41">
        <v>10063.0</v>
      </c>
      <c r="C53" s="41">
        <v>4291.0</v>
      </c>
      <c r="D53" s="87">
        <f t="shared" si="5"/>
        <v>0.4264135944</v>
      </c>
      <c r="E53" s="41">
        <v>5711.0</v>
      </c>
      <c r="F53" s="41">
        <v>0.0</v>
      </c>
      <c r="G53" s="41"/>
      <c r="H53" s="41">
        <v>120.0</v>
      </c>
      <c r="I53" s="41">
        <v>11.0</v>
      </c>
    </row>
    <row r="54">
      <c r="A54" s="93">
        <v>45108.0</v>
      </c>
      <c r="B54" s="41">
        <v>5127.0</v>
      </c>
      <c r="C54" s="41">
        <v>1843.0</v>
      </c>
      <c r="D54" s="87">
        <f t="shared" si="5"/>
        <v>0.3594694753</v>
      </c>
      <c r="E54" s="41">
        <v>3197.0</v>
      </c>
      <c r="F54" s="94">
        <v>56.0</v>
      </c>
      <c r="G54" s="41">
        <v>31.0</v>
      </c>
      <c r="H54" s="41">
        <v>88.0</v>
      </c>
      <c r="I54" s="41">
        <v>10.0</v>
      </c>
    </row>
    <row r="55">
      <c r="A55" s="93">
        <v>45139.0</v>
      </c>
      <c r="B55" s="41">
        <v>7709.0</v>
      </c>
      <c r="C55" s="41">
        <v>3603.0</v>
      </c>
      <c r="D55" s="87">
        <f t="shared" si="5"/>
        <v>0.4673757945</v>
      </c>
      <c r="E55" s="41">
        <v>3969.0</v>
      </c>
      <c r="F55" s="41">
        <v>0.0</v>
      </c>
      <c r="G55" s="22"/>
      <c r="H55" s="41">
        <v>157.0</v>
      </c>
      <c r="I55" s="41">
        <v>10.0</v>
      </c>
    </row>
    <row r="56">
      <c r="A56" s="93">
        <v>45170.0</v>
      </c>
      <c r="B56" s="41">
        <v>7518.0</v>
      </c>
      <c r="C56" s="41">
        <v>2652.0</v>
      </c>
      <c r="D56" s="87">
        <f t="shared" si="5"/>
        <v>0.3527533919</v>
      </c>
      <c r="E56" s="41">
        <v>4708.0</v>
      </c>
      <c r="F56" s="41">
        <v>102.0</v>
      </c>
      <c r="G56" s="22"/>
      <c r="H56" s="41">
        <v>174.0</v>
      </c>
      <c r="I56" s="41">
        <v>10.0</v>
      </c>
    </row>
    <row r="57">
      <c r="A57" s="93">
        <v>45200.0</v>
      </c>
      <c r="B57" s="41">
        <v>6656.0</v>
      </c>
      <c r="C57" s="41">
        <v>2687.0</v>
      </c>
      <c r="D57" s="87">
        <f t="shared" si="5"/>
        <v>0.4036959135</v>
      </c>
      <c r="E57" s="41">
        <v>3917.0</v>
      </c>
      <c r="F57" s="41">
        <v>21.0</v>
      </c>
      <c r="G57" s="22"/>
      <c r="H57" s="41">
        <v>163.0</v>
      </c>
      <c r="I57" s="41">
        <v>10.0</v>
      </c>
    </row>
    <row r="58">
      <c r="A58" s="93">
        <v>45231.0</v>
      </c>
      <c r="B58" s="41">
        <v>8742.0</v>
      </c>
      <c r="C58" s="41">
        <v>3731.0</v>
      </c>
      <c r="D58" s="87">
        <f t="shared" si="5"/>
        <v>0.4267902082</v>
      </c>
      <c r="E58" s="41">
        <v>4991.0</v>
      </c>
      <c r="F58" s="41">
        <v>6.0</v>
      </c>
      <c r="G58" s="22"/>
      <c r="H58" s="41">
        <v>178.0</v>
      </c>
      <c r="I58" s="41">
        <v>12.0</v>
      </c>
    </row>
    <row r="59">
      <c r="A59" s="93">
        <v>45261.0</v>
      </c>
      <c r="B59" s="95"/>
      <c r="C59" s="95"/>
      <c r="D59" s="87" t="str">
        <f t="shared" si="5"/>
        <v>#DIV/0!</v>
      </c>
      <c r="E59" s="95"/>
      <c r="F59" s="95"/>
      <c r="G59" s="95"/>
      <c r="H59" s="95"/>
      <c r="I59" s="95"/>
    </row>
    <row r="61">
      <c r="A61" s="96" t="s">
        <v>482</v>
      </c>
      <c r="B61" s="32"/>
      <c r="C61" s="32"/>
      <c r="D61" s="32"/>
      <c r="E61" s="32"/>
      <c r="F61" s="32"/>
      <c r="G61" s="32"/>
      <c r="H61" s="32"/>
      <c r="I61" s="33"/>
      <c r="K61" s="97" t="s">
        <v>483</v>
      </c>
      <c r="L61" s="32"/>
      <c r="M61" s="32"/>
      <c r="N61" s="32"/>
      <c r="O61" s="32"/>
      <c r="P61" s="32"/>
      <c r="Q61" s="32"/>
      <c r="R61" s="32"/>
      <c r="S61" s="33"/>
    </row>
    <row r="62">
      <c r="A62" s="34" t="s">
        <v>1</v>
      </c>
      <c r="B62" s="98" t="s">
        <v>6</v>
      </c>
      <c r="C62" s="98" t="s">
        <v>8</v>
      </c>
      <c r="D62" s="98" t="s">
        <v>479</v>
      </c>
      <c r="E62" s="98" t="s">
        <v>7</v>
      </c>
      <c r="F62" s="98" t="s">
        <v>10</v>
      </c>
      <c r="G62" s="19" t="s">
        <v>474</v>
      </c>
      <c r="H62" s="98" t="s">
        <v>480</v>
      </c>
      <c r="I62" s="98" t="s">
        <v>481</v>
      </c>
      <c r="K62" s="34" t="s">
        <v>1</v>
      </c>
      <c r="L62" s="98" t="s">
        <v>6</v>
      </c>
      <c r="M62" s="98" t="s">
        <v>8</v>
      </c>
      <c r="N62" s="98" t="s">
        <v>479</v>
      </c>
      <c r="O62" s="98" t="s">
        <v>7</v>
      </c>
      <c r="P62" s="98" t="s">
        <v>10</v>
      </c>
      <c r="Q62" s="19" t="s">
        <v>474</v>
      </c>
      <c r="R62" s="98" t="s">
        <v>480</v>
      </c>
      <c r="S62" s="98" t="s">
        <v>481</v>
      </c>
    </row>
    <row r="63" hidden="1">
      <c r="A63" s="35">
        <v>44562.0</v>
      </c>
      <c r="B63" s="36">
        <v>2353.0</v>
      </c>
      <c r="C63" s="36">
        <v>1000.0</v>
      </c>
      <c r="D63" s="99">
        <f t="shared" ref="D63:D86" si="6">(C63/B63)*100%</f>
        <v>0.4249893753</v>
      </c>
      <c r="E63" s="36">
        <v>1353.0</v>
      </c>
      <c r="F63" s="36">
        <v>0.0</v>
      </c>
      <c r="G63" s="36"/>
      <c r="H63" s="36">
        <v>35.0</v>
      </c>
      <c r="I63" s="36">
        <v>14.0</v>
      </c>
      <c r="K63" s="100">
        <v>44562.0</v>
      </c>
      <c r="L63" s="36">
        <v>508.0</v>
      </c>
      <c r="M63" s="36">
        <v>169.0</v>
      </c>
      <c r="N63" s="101">
        <f t="shared" ref="N63:N86" si="7">M63/L63*100%</f>
        <v>0.3326771654</v>
      </c>
      <c r="O63" s="36">
        <v>339.0</v>
      </c>
      <c r="P63" s="36">
        <v>0.0</v>
      </c>
      <c r="Q63" s="36"/>
      <c r="R63" s="36">
        <v>9.0</v>
      </c>
      <c r="S63" s="36">
        <v>1.0</v>
      </c>
    </row>
    <row r="64" hidden="1">
      <c r="A64" s="40">
        <v>44593.0</v>
      </c>
      <c r="B64" s="41">
        <v>1385.0</v>
      </c>
      <c r="C64" s="102">
        <v>527.0</v>
      </c>
      <c r="D64" s="103">
        <f t="shared" si="6"/>
        <v>0.3805054152</v>
      </c>
      <c r="E64" s="104">
        <v>858.0</v>
      </c>
      <c r="F64" s="41">
        <v>0.0</v>
      </c>
      <c r="G64" s="41"/>
      <c r="H64" s="41">
        <v>24.0</v>
      </c>
      <c r="I64" s="41">
        <v>10.0</v>
      </c>
      <c r="K64" s="105">
        <v>44593.0</v>
      </c>
      <c r="L64" s="41">
        <v>14025.0</v>
      </c>
      <c r="M64" s="41">
        <v>9394.0</v>
      </c>
      <c r="N64" s="101">
        <f t="shared" si="7"/>
        <v>0.6698039216</v>
      </c>
      <c r="O64" s="41">
        <v>4631.0</v>
      </c>
      <c r="P64" s="41">
        <v>0.0</v>
      </c>
      <c r="Q64" s="41"/>
      <c r="R64" s="41">
        <v>36.0</v>
      </c>
      <c r="S64" s="41">
        <v>4.0</v>
      </c>
    </row>
    <row r="65" hidden="1">
      <c r="A65" s="40">
        <v>44621.0</v>
      </c>
      <c r="B65" s="41">
        <v>2456.0</v>
      </c>
      <c r="C65" s="41">
        <v>803.0</v>
      </c>
      <c r="D65" s="103">
        <f t="shared" si="6"/>
        <v>0.3269543974</v>
      </c>
      <c r="E65" s="41">
        <v>1653.0</v>
      </c>
      <c r="F65" s="41">
        <v>0.0</v>
      </c>
      <c r="G65" s="41"/>
      <c r="H65" s="41">
        <v>25.0</v>
      </c>
      <c r="I65" s="41">
        <v>12.0</v>
      </c>
      <c r="K65" s="105">
        <v>44621.0</v>
      </c>
      <c r="L65" s="41">
        <v>9684.0</v>
      </c>
      <c r="M65" s="41">
        <v>6112.0</v>
      </c>
      <c r="N65" s="101">
        <f t="shared" si="7"/>
        <v>0.6311441553</v>
      </c>
      <c r="O65" s="41">
        <v>3572.0</v>
      </c>
      <c r="P65" s="41">
        <v>0.0</v>
      </c>
      <c r="Q65" s="41"/>
      <c r="R65" s="41">
        <v>36.0</v>
      </c>
      <c r="S65" s="41">
        <v>6.0</v>
      </c>
    </row>
    <row r="66" hidden="1">
      <c r="A66" s="40">
        <v>44652.0</v>
      </c>
      <c r="B66" s="41">
        <v>2487.0</v>
      </c>
      <c r="C66" s="41">
        <v>1149.0</v>
      </c>
      <c r="D66" s="103">
        <f t="shared" si="6"/>
        <v>0.4620024125</v>
      </c>
      <c r="E66" s="41">
        <v>1338.0</v>
      </c>
      <c r="F66" s="41">
        <v>0.0</v>
      </c>
      <c r="G66" s="41"/>
      <c r="H66" s="41">
        <v>42.0</v>
      </c>
      <c r="I66" s="41">
        <v>13.0</v>
      </c>
      <c r="K66" s="105">
        <v>44652.0</v>
      </c>
      <c r="L66" s="41">
        <v>4564.0</v>
      </c>
      <c r="M66" s="41">
        <v>2734.0</v>
      </c>
      <c r="N66" s="101">
        <f t="shared" si="7"/>
        <v>0.5990359334</v>
      </c>
      <c r="O66" s="41">
        <v>1830.0</v>
      </c>
      <c r="P66" s="41">
        <v>0.0</v>
      </c>
      <c r="Q66" s="41"/>
      <c r="R66" s="41">
        <v>35.0</v>
      </c>
      <c r="S66" s="41">
        <v>6.0</v>
      </c>
    </row>
    <row r="67" hidden="1">
      <c r="A67" s="40">
        <v>44682.0</v>
      </c>
      <c r="B67" s="41">
        <v>4738.0</v>
      </c>
      <c r="C67" s="41">
        <v>2069.0</v>
      </c>
      <c r="D67" s="103">
        <f t="shared" si="6"/>
        <v>0.4366821444</v>
      </c>
      <c r="E67" s="41">
        <v>2669.0</v>
      </c>
      <c r="F67" s="41">
        <v>0.0</v>
      </c>
      <c r="G67" s="41"/>
      <c r="H67" s="41">
        <v>36.0</v>
      </c>
      <c r="I67" s="41">
        <v>13.0</v>
      </c>
      <c r="K67" s="105">
        <v>44682.0</v>
      </c>
      <c r="L67" s="41">
        <v>7448.0</v>
      </c>
      <c r="M67" s="41">
        <v>4977.0</v>
      </c>
      <c r="N67" s="101">
        <f t="shared" si="7"/>
        <v>0.6682330827</v>
      </c>
      <c r="O67" s="41">
        <v>2471.0</v>
      </c>
      <c r="P67" s="41">
        <v>0.0</v>
      </c>
      <c r="Q67" s="41"/>
      <c r="R67" s="41">
        <v>38.0</v>
      </c>
      <c r="S67" s="41">
        <v>5.0</v>
      </c>
    </row>
    <row r="68">
      <c r="A68" s="40">
        <v>44713.0</v>
      </c>
      <c r="B68" s="41">
        <v>4357.0</v>
      </c>
      <c r="C68" s="41">
        <v>2087.0</v>
      </c>
      <c r="D68" s="103">
        <f t="shared" si="6"/>
        <v>0.4789993115</v>
      </c>
      <c r="E68" s="41">
        <v>2270.0</v>
      </c>
      <c r="F68" s="41">
        <v>0.0</v>
      </c>
      <c r="G68" s="41"/>
      <c r="H68" s="41">
        <v>38.0</v>
      </c>
      <c r="I68" s="41">
        <v>14.0</v>
      </c>
      <c r="K68" s="105">
        <v>44713.0</v>
      </c>
      <c r="L68" s="41">
        <v>6031.0</v>
      </c>
      <c r="M68" s="41">
        <v>4338.0</v>
      </c>
      <c r="N68" s="101">
        <f t="shared" si="7"/>
        <v>0.7192837009</v>
      </c>
      <c r="O68" s="41">
        <v>1693.0</v>
      </c>
      <c r="P68" s="41">
        <v>0.0</v>
      </c>
      <c r="Q68" s="41"/>
      <c r="R68" s="41">
        <v>35.0</v>
      </c>
      <c r="S68" s="41">
        <v>4.0</v>
      </c>
    </row>
    <row r="69">
      <c r="A69" s="40">
        <v>44744.0</v>
      </c>
      <c r="B69" s="41">
        <v>2244.0</v>
      </c>
      <c r="C69" s="41">
        <v>1069.0</v>
      </c>
      <c r="D69" s="103">
        <f t="shared" si="6"/>
        <v>0.4763814617</v>
      </c>
      <c r="E69" s="41">
        <v>1175.0</v>
      </c>
      <c r="F69" s="41">
        <v>0.0</v>
      </c>
      <c r="G69" s="41"/>
      <c r="H69" s="41">
        <v>27.0</v>
      </c>
      <c r="I69" s="41">
        <v>14.0</v>
      </c>
      <c r="K69" s="105">
        <v>44744.0</v>
      </c>
      <c r="L69" s="41">
        <v>2862.0</v>
      </c>
      <c r="M69" s="41">
        <v>1673.0</v>
      </c>
      <c r="N69" s="101">
        <f t="shared" si="7"/>
        <v>0.5845562544</v>
      </c>
      <c r="O69" s="41">
        <v>1189.0</v>
      </c>
      <c r="P69" s="41">
        <v>0.0</v>
      </c>
      <c r="Q69" s="41"/>
      <c r="R69" s="41">
        <v>23.0</v>
      </c>
      <c r="S69" s="41">
        <v>4.0</v>
      </c>
    </row>
    <row r="70">
      <c r="A70" s="40">
        <v>44774.0</v>
      </c>
      <c r="B70" s="41">
        <v>2129.0</v>
      </c>
      <c r="C70" s="41">
        <v>972.0</v>
      </c>
      <c r="D70" s="103">
        <f t="shared" si="6"/>
        <v>0.456552372</v>
      </c>
      <c r="E70" s="41">
        <v>1157.0</v>
      </c>
      <c r="F70" s="41">
        <v>0.0</v>
      </c>
      <c r="G70" s="41"/>
      <c r="H70" s="41">
        <v>30.0</v>
      </c>
      <c r="I70" s="41">
        <v>14.0</v>
      </c>
      <c r="K70" s="105">
        <v>44774.0</v>
      </c>
      <c r="L70" s="41">
        <v>2216.0</v>
      </c>
      <c r="M70" s="41">
        <v>1200.0</v>
      </c>
      <c r="N70" s="101">
        <f t="shared" si="7"/>
        <v>0.5415162455</v>
      </c>
      <c r="O70" s="41">
        <v>1016.0</v>
      </c>
      <c r="P70" s="41">
        <v>0.0</v>
      </c>
      <c r="Q70" s="41"/>
      <c r="R70" s="41">
        <v>21.0</v>
      </c>
      <c r="S70" s="41">
        <v>3.0</v>
      </c>
    </row>
    <row r="71">
      <c r="A71" s="40">
        <v>44805.0</v>
      </c>
      <c r="B71" s="41">
        <v>1687.0</v>
      </c>
      <c r="C71" s="41">
        <v>838.0</v>
      </c>
      <c r="D71" s="103">
        <f t="shared" si="6"/>
        <v>0.4967397747</v>
      </c>
      <c r="E71" s="41">
        <v>849.0</v>
      </c>
      <c r="F71" s="41">
        <v>0.0</v>
      </c>
      <c r="G71" s="41"/>
      <c r="H71" s="41">
        <v>33.0</v>
      </c>
      <c r="I71" s="41">
        <v>14.0</v>
      </c>
      <c r="K71" s="105">
        <v>44805.0</v>
      </c>
      <c r="L71" s="41">
        <v>2919.0</v>
      </c>
      <c r="M71" s="41">
        <v>1458.0</v>
      </c>
      <c r="N71" s="101">
        <f t="shared" si="7"/>
        <v>0.4994861254</v>
      </c>
      <c r="O71" s="41">
        <v>1461.0</v>
      </c>
      <c r="P71" s="41">
        <v>87.0</v>
      </c>
      <c r="Q71" s="41"/>
      <c r="R71" s="41">
        <v>26.0</v>
      </c>
      <c r="S71" s="41">
        <v>3.0</v>
      </c>
    </row>
    <row r="72">
      <c r="A72" s="40">
        <v>44835.0</v>
      </c>
      <c r="B72" s="41">
        <v>2975.0</v>
      </c>
      <c r="C72" s="41">
        <v>965.0</v>
      </c>
      <c r="D72" s="103">
        <f t="shared" si="6"/>
        <v>0.3243697479</v>
      </c>
      <c r="E72" s="41">
        <v>2010.0</v>
      </c>
      <c r="F72" s="41">
        <v>0.0</v>
      </c>
      <c r="G72" s="41"/>
      <c r="H72" s="41">
        <v>33.0</v>
      </c>
      <c r="I72" s="41">
        <v>15.0</v>
      </c>
      <c r="K72" s="105">
        <v>44835.0</v>
      </c>
      <c r="L72" s="41">
        <v>8329.0</v>
      </c>
      <c r="M72" s="41">
        <v>5275.0</v>
      </c>
      <c r="N72" s="101">
        <f t="shared" si="7"/>
        <v>0.6333293313</v>
      </c>
      <c r="O72" s="41">
        <v>2964.0</v>
      </c>
      <c r="P72" s="41">
        <v>0.0</v>
      </c>
      <c r="Q72" s="41"/>
      <c r="R72" s="41">
        <v>25.0</v>
      </c>
      <c r="S72" s="41">
        <v>3.0</v>
      </c>
    </row>
    <row r="73">
      <c r="A73" s="40">
        <v>44866.0</v>
      </c>
      <c r="B73" s="41">
        <v>4404.0</v>
      </c>
      <c r="C73" s="41">
        <v>1567.0</v>
      </c>
      <c r="D73" s="103">
        <f t="shared" si="6"/>
        <v>0.3558128974</v>
      </c>
      <c r="E73" s="41">
        <v>2829.0</v>
      </c>
      <c r="F73" s="41">
        <v>0.0</v>
      </c>
      <c r="G73" s="41"/>
      <c r="H73" s="41">
        <v>50.0</v>
      </c>
      <c r="I73" s="41">
        <v>15.0</v>
      </c>
      <c r="K73" s="105">
        <v>44866.0</v>
      </c>
      <c r="L73" s="41">
        <v>9776.0</v>
      </c>
      <c r="M73" s="41">
        <v>5681.0</v>
      </c>
      <c r="N73" s="101">
        <f t="shared" si="7"/>
        <v>0.5811170213</v>
      </c>
      <c r="O73" s="41">
        <v>4079.0</v>
      </c>
      <c r="P73" s="41">
        <v>0.0</v>
      </c>
      <c r="Q73" s="41"/>
      <c r="R73" s="41">
        <v>36.0</v>
      </c>
      <c r="S73" s="41">
        <v>3.0</v>
      </c>
    </row>
    <row r="74">
      <c r="A74" s="46">
        <v>44896.0</v>
      </c>
      <c r="B74" s="47">
        <v>2878.0</v>
      </c>
      <c r="C74" s="47">
        <v>886.0</v>
      </c>
      <c r="D74" s="106">
        <f t="shared" si="6"/>
        <v>0.3078526755</v>
      </c>
      <c r="E74" s="47">
        <v>1977.0</v>
      </c>
      <c r="F74" s="47">
        <v>0.0</v>
      </c>
      <c r="G74" s="47"/>
      <c r="H74" s="47">
        <v>36.0</v>
      </c>
      <c r="I74" s="47">
        <v>14.0</v>
      </c>
      <c r="K74" s="107">
        <v>44896.0</v>
      </c>
      <c r="L74" s="47">
        <v>3951.0</v>
      </c>
      <c r="M74" s="47">
        <v>2221.0</v>
      </c>
      <c r="N74" s="99">
        <f t="shared" si="7"/>
        <v>0.5621361681</v>
      </c>
      <c r="O74" s="47">
        <v>1721.0</v>
      </c>
      <c r="P74" s="47">
        <v>0.0</v>
      </c>
      <c r="Q74" s="47"/>
      <c r="R74" s="47">
        <v>27.0</v>
      </c>
      <c r="S74" s="47">
        <v>3.0</v>
      </c>
    </row>
    <row r="75">
      <c r="A75" s="108">
        <v>44928.0</v>
      </c>
      <c r="B75" s="91">
        <v>2044.0</v>
      </c>
      <c r="C75" s="91">
        <v>803.0</v>
      </c>
      <c r="D75" s="109">
        <f t="shared" si="6"/>
        <v>0.3928571429</v>
      </c>
      <c r="E75" s="91">
        <v>1231.0</v>
      </c>
      <c r="F75" s="91">
        <v>0.0</v>
      </c>
      <c r="G75" s="91"/>
      <c r="H75" s="91">
        <v>43.0</v>
      </c>
      <c r="I75" s="91">
        <v>13.0</v>
      </c>
      <c r="K75" s="110">
        <v>44928.0</v>
      </c>
      <c r="L75" s="91">
        <v>6170.0</v>
      </c>
      <c r="M75" s="91">
        <v>3109.0</v>
      </c>
      <c r="N75" s="109">
        <f t="shared" si="7"/>
        <v>0.5038897893</v>
      </c>
      <c r="O75" s="91">
        <v>3060.0</v>
      </c>
      <c r="P75" s="91">
        <v>0.0</v>
      </c>
      <c r="Q75" s="91"/>
      <c r="R75" s="91">
        <v>47.0</v>
      </c>
      <c r="S75" s="91">
        <v>3.0</v>
      </c>
    </row>
    <row r="76">
      <c r="A76" s="111">
        <v>44959.0</v>
      </c>
      <c r="B76" s="41">
        <v>2868.0</v>
      </c>
      <c r="C76" s="41">
        <v>1008.0</v>
      </c>
      <c r="D76" s="103">
        <f t="shared" si="6"/>
        <v>0.3514644351</v>
      </c>
      <c r="E76" s="41">
        <v>1849.0</v>
      </c>
      <c r="F76" s="41">
        <v>0.0</v>
      </c>
      <c r="G76" s="41"/>
      <c r="H76" s="41">
        <v>53.0</v>
      </c>
      <c r="I76" s="41">
        <v>10.0</v>
      </c>
      <c r="K76" s="112">
        <v>44959.0</v>
      </c>
      <c r="L76" s="41">
        <v>3392.0</v>
      </c>
      <c r="M76" s="41">
        <v>1683.0</v>
      </c>
      <c r="N76" s="101">
        <f t="shared" si="7"/>
        <v>0.4961674528</v>
      </c>
      <c r="O76" s="41">
        <v>1709.0</v>
      </c>
      <c r="P76" s="41">
        <v>0.0</v>
      </c>
      <c r="Q76" s="41"/>
      <c r="R76" s="41">
        <v>30.0</v>
      </c>
      <c r="S76" s="41">
        <v>3.0</v>
      </c>
    </row>
    <row r="77">
      <c r="A77" s="111">
        <v>44987.0</v>
      </c>
      <c r="B77" s="41">
        <v>3675.0</v>
      </c>
      <c r="C77" s="41">
        <v>1147.0</v>
      </c>
      <c r="D77" s="103">
        <f t="shared" si="6"/>
        <v>0.3121088435</v>
      </c>
      <c r="E77" s="41">
        <v>2514.0</v>
      </c>
      <c r="F77" s="41">
        <v>4.0</v>
      </c>
      <c r="G77" s="41"/>
      <c r="H77" s="41">
        <v>97.0</v>
      </c>
      <c r="I77" s="41">
        <v>10.0</v>
      </c>
      <c r="K77" s="112">
        <v>44987.0</v>
      </c>
      <c r="L77" s="41">
        <v>5060.0</v>
      </c>
      <c r="M77" s="41">
        <v>2430.0</v>
      </c>
      <c r="N77" s="101">
        <f t="shared" si="7"/>
        <v>0.4802371542</v>
      </c>
      <c r="O77" s="41">
        <v>2628.0</v>
      </c>
      <c r="P77" s="41">
        <v>2.0</v>
      </c>
      <c r="Q77" s="41"/>
      <c r="R77" s="41">
        <v>41.0</v>
      </c>
      <c r="S77" s="41">
        <v>3.0</v>
      </c>
    </row>
    <row r="78">
      <c r="A78" s="111">
        <v>45017.0</v>
      </c>
      <c r="B78" s="41">
        <v>4270.0</v>
      </c>
      <c r="C78" s="41">
        <v>1303.0</v>
      </c>
      <c r="D78" s="103">
        <f t="shared" si="6"/>
        <v>0.3051522248</v>
      </c>
      <c r="E78" s="41">
        <v>2787.0</v>
      </c>
      <c r="F78" s="41">
        <v>174.0</v>
      </c>
      <c r="G78" s="41"/>
      <c r="H78" s="41">
        <v>97.0</v>
      </c>
      <c r="I78" s="41">
        <v>9.0</v>
      </c>
      <c r="K78" s="112">
        <v>45017.0</v>
      </c>
      <c r="L78" s="41">
        <v>5987.0</v>
      </c>
      <c r="M78" s="41">
        <v>3093.0</v>
      </c>
      <c r="N78" s="101">
        <f t="shared" si="7"/>
        <v>0.5166193419</v>
      </c>
      <c r="O78" s="41">
        <v>2724.0</v>
      </c>
      <c r="P78" s="41">
        <v>170.0</v>
      </c>
      <c r="Q78" s="41"/>
      <c r="R78" s="41">
        <v>48.0</v>
      </c>
      <c r="S78" s="41">
        <v>3.0</v>
      </c>
    </row>
    <row r="79">
      <c r="A79" s="111">
        <v>45047.0</v>
      </c>
      <c r="B79" s="41">
        <v>3732.0</v>
      </c>
      <c r="C79" s="41">
        <v>1266.0</v>
      </c>
      <c r="D79" s="103">
        <f t="shared" si="6"/>
        <v>0.3392282958</v>
      </c>
      <c r="E79" s="41">
        <v>2444.0</v>
      </c>
      <c r="F79" s="41">
        <v>0.0</v>
      </c>
      <c r="G79" s="41"/>
      <c r="H79" s="41">
        <v>123.0</v>
      </c>
      <c r="I79" s="41">
        <v>9.0</v>
      </c>
      <c r="K79" s="112">
        <v>45047.0</v>
      </c>
      <c r="L79" s="41">
        <v>5957.0</v>
      </c>
      <c r="M79" s="41">
        <v>3226.0</v>
      </c>
      <c r="N79" s="101">
        <f t="shared" si="7"/>
        <v>0.5415477589</v>
      </c>
      <c r="O79" s="41">
        <v>2696.0</v>
      </c>
      <c r="P79" s="41">
        <v>35.0</v>
      </c>
      <c r="Q79" s="41"/>
      <c r="R79" s="41">
        <v>39.0</v>
      </c>
      <c r="S79" s="41">
        <v>3.0</v>
      </c>
    </row>
    <row r="80">
      <c r="A80" s="111">
        <v>45078.0</v>
      </c>
      <c r="B80" s="41">
        <v>6526.0</v>
      </c>
      <c r="C80" s="41">
        <v>2512.0</v>
      </c>
      <c r="D80" s="103">
        <f t="shared" si="6"/>
        <v>0.3849218511</v>
      </c>
      <c r="E80" s="41">
        <v>3953.0</v>
      </c>
      <c r="F80" s="41">
        <v>0.0</v>
      </c>
      <c r="G80" s="41"/>
      <c r="H80" s="41">
        <v>84.0</v>
      </c>
      <c r="I80" s="41">
        <v>9.0</v>
      </c>
      <c r="K80" s="112">
        <v>45078.0</v>
      </c>
      <c r="L80" s="41">
        <v>3537.0</v>
      </c>
      <c r="M80" s="41">
        <v>1779.0</v>
      </c>
      <c r="N80" s="101">
        <f t="shared" si="7"/>
        <v>0.5029686175</v>
      </c>
      <c r="O80" s="41">
        <v>1758.0</v>
      </c>
      <c r="P80" s="41">
        <v>0.0</v>
      </c>
      <c r="Q80" s="41"/>
      <c r="R80" s="41">
        <v>36.0</v>
      </c>
      <c r="S80" s="41">
        <v>4.0</v>
      </c>
    </row>
    <row r="81">
      <c r="A81" s="111">
        <v>45108.0</v>
      </c>
      <c r="B81" s="41">
        <v>3501.0</v>
      </c>
      <c r="C81" s="41">
        <v>1192.0</v>
      </c>
      <c r="D81" s="103">
        <f t="shared" si="6"/>
        <v>0.3404741502</v>
      </c>
      <c r="E81" s="41">
        <v>2222.0</v>
      </c>
      <c r="F81" s="94">
        <v>56.0</v>
      </c>
      <c r="G81" s="22"/>
      <c r="H81" s="41">
        <v>67.0</v>
      </c>
      <c r="I81" s="41">
        <v>8.0</v>
      </c>
      <c r="K81" s="112">
        <v>45108.0</v>
      </c>
      <c r="L81" s="41">
        <v>1626.0</v>
      </c>
      <c r="M81" s="41">
        <v>651.0</v>
      </c>
      <c r="N81" s="101">
        <f t="shared" si="7"/>
        <v>0.4003690037</v>
      </c>
      <c r="O81" s="41">
        <v>975.0</v>
      </c>
      <c r="P81" s="41">
        <v>0.0</v>
      </c>
      <c r="Q81" s="22"/>
      <c r="R81" s="41">
        <v>21.0</v>
      </c>
      <c r="S81" s="41">
        <v>4.0</v>
      </c>
    </row>
    <row r="82">
      <c r="A82" s="111">
        <v>45139.0</v>
      </c>
      <c r="B82" s="41">
        <v>4399.0</v>
      </c>
      <c r="C82" s="41">
        <v>1548.0</v>
      </c>
      <c r="D82" s="103">
        <f t="shared" si="6"/>
        <v>0.3518981587</v>
      </c>
      <c r="E82" s="41">
        <v>2714.0</v>
      </c>
      <c r="F82" s="41">
        <v>0.0</v>
      </c>
      <c r="G82" s="22"/>
      <c r="H82" s="41">
        <v>125.0</v>
      </c>
      <c r="I82" s="41">
        <v>9.0</v>
      </c>
      <c r="K82" s="40">
        <v>45139.0</v>
      </c>
      <c r="L82" s="41">
        <v>3310.0</v>
      </c>
      <c r="M82" s="41">
        <v>2055.0</v>
      </c>
      <c r="N82" s="101">
        <f t="shared" si="7"/>
        <v>0.6208459215</v>
      </c>
      <c r="O82" s="41">
        <v>1255.0</v>
      </c>
      <c r="P82" s="41">
        <v>0.0</v>
      </c>
      <c r="Q82" s="22"/>
      <c r="R82" s="41">
        <v>32.0</v>
      </c>
      <c r="S82" s="41">
        <v>3.0</v>
      </c>
    </row>
    <row r="83">
      <c r="A83" s="111">
        <v>45170.0</v>
      </c>
      <c r="B83" s="41">
        <v>5286.0</v>
      </c>
      <c r="C83" s="41">
        <v>1647.0</v>
      </c>
      <c r="D83" s="103">
        <f t="shared" si="6"/>
        <v>0.3115777526</v>
      </c>
      <c r="E83" s="41">
        <v>3482.0</v>
      </c>
      <c r="F83" s="41">
        <v>102.0</v>
      </c>
      <c r="G83" s="22"/>
      <c r="H83" s="41">
        <v>142.0</v>
      </c>
      <c r="I83" s="41">
        <v>9.0</v>
      </c>
      <c r="K83" s="40">
        <v>45170.0</v>
      </c>
      <c r="L83" s="41">
        <v>2232.0</v>
      </c>
      <c r="M83" s="41">
        <v>1005.0</v>
      </c>
      <c r="N83" s="101">
        <f t="shared" si="7"/>
        <v>0.4502688172</v>
      </c>
      <c r="O83" s="41">
        <v>1226.0</v>
      </c>
      <c r="P83" s="41">
        <v>0.0</v>
      </c>
      <c r="Q83" s="22"/>
      <c r="R83" s="41">
        <v>32.0</v>
      </c>
      <c r="S83" s="41">
        <v>4.0</v>
      </c>
    </row>
    <row r="84">
      <c r="A84" s="111">
        <v>45200.0</v>
      </c>
      <c r="B84" s="41">
        <v>4308.0</v>
      </c>
      <c r="C84" s="41">
        <v>1557.0</v>
      </c>
      <c r="D84" s="103">
        <f t="shared" si="6"/>
        <v>0.3614206128</v>
      </c>
      <c r="E84" s="41">
        <v>2699.0</v>
      </c>
      <c r="F84" s="41">
        <v>21.0</v>
      </c>
      <c r="G84" s="22"/>
      <c r="H84" s="41">
        <v>129.0</v>
      </c>
      <c r="I84" s="41">
        <v>9.0</v>
      </c>
      <c r="K84" s="40">
        <v>45200.0</v>
      </c>
      <c r="L84" s="41">
        <v>2348.0</v>
      </c>
      <c r="M84" s="41">
        <v>1130.0</v>
      </c>
      <c r="N84" s="101">
        <f t="shared" si="7"/>
        <v>0.4812606474</v>
      </c>
      <c r="O84" s="41">
        <v>1218.0</v>
      </c>
      <c r="P84" s="41">
        <v>0.0</v>
      </c>
      <c r="Q84" s="22"/>
      <c r="R84" s="41">
        <v>34.0</v>
      </c>
      <c r="S84" s="41">
        <v>4.0</v>
      </c>
    </row>
    <row r="85">
      <c r="A85" s="111">
        <v>45231.0</v>
      </c>
      <c r="B85" s="41">
        <v>5446.0</v>
      </c>
      <c r="C85" s="41">
        <v>2094.0</v>
      </c>
      <c r="D85" s="103">
        <f t="shared" si="6"/>
        <v>0.3845023871</v>
      </c>
      <c r="E85" s="41">
        <v>3332.0</v>
      </c>
      <c r="F85" s="41">
        <v>6.0</v>
      </c>
      <c r="G85" s="22"/>
      <c r="H85" s="41">
        <v>140.0</v>
      </c>
      <c r="I85" s="41">
        <v>10.0</v>
      </c>
      <c r="K85" s="40">
        <v>45231.0</v>
      </c>
      <c r="L85" s="41">
        <v>3296.0</v>
      </c>
      <c r="M85" s="41">
        <v>1637.0</v>
      </c>
      <c r="N85" s="101">
        <f t="shared" si="7"/>
        <v>0.4966626214</v>
      </c>
      <c r="O85" s="41">
        <v>1659.0</v>
      </c>
      <c r="P85" s="41">
        <v>0.0</v>
      </c>
      <c r="Q85" s="22"/>
      <c r="R85" s="41">
        <v>38.0</v>
      </c>
      <c r="S85" s="41">
        <v>2.0</v>
      </c>
    </row>
    <row r="86">
      <c r="A86" s="111">
        <v>45261.0</v>
      </c>
      <c r="B86" s="95"/>
      <c r="C86" s="95"/>
      <c r="D86" s="103" t="str">
        <f t="shared" si="6"/>
        <v>#DIV/0!</v>
      </c>
      <c r="E86" s="95"/>
      <c r="F86" s="95"/>
      <c r="G86" s="95"/>
      <c r="H86" s="95"/>
      <c r="I86" s="95"/>
      <c r="K86" s="40">
        <v>45261.0</v>
      </c>
      <c r="L86" s="95"/>
      <c r="M86" s="95"/>
      <c r="N86" s="101" t="str">
        <f t="shared" si="7"/>
        <v>#DIV/0!</v>
      </c>
      <c r="O86" s="95"/>
      <c r="P86" s="95"/>
      <c r="Q86" s="95"/>
      <c r="R86" s="95"/>
      <c r="S86" s="95"/>
    </row>
    <row r="93">
      <c r="A93" s="113"/>
      <c r="B93" s="113"/>
      <c r="D93" s="30"/>
      <c r="E93" s="30"/>
      <c r="F93" s="30"/>
    </row>
    <row r="94">
      <c r="A94" s="113"/>
      <c r="B94" s="113"/>
      <c r="D94" s="30"/>
      <c r="E94" s="30"/>
      <c r="F94" s="30"/>
    </row>
    <row r="95">
      <c r="A95" s="113"/>
      <c r="B95" s="113"/>
      <c r="D95" s="30"/>
      <c r="E95" s="30"/>
      <c r="F95" s="30"/>
    </row>
    <row r="96">
      <c r="A96" s="113"/>
      <c r="B96" s="113"/>
      <c r="D96" s="30"/>
      <c r="E96" s="30"/>
      <c r="F96" s="30"/>
    </row>
    <row r="97">
      <c r="A97" s="113"/>
      <c r="B97" s="113"/>
      <c r="D97" s="30"/>
      <c r="E97" s="30"/>
      <c r="F97" s="30"/>
    </row>
    <row r="98">
      <c r="A98" s="113"/>
      <c r="B98" s="113"/>
      <c r="D98" s="30"/>
      <c r="E98" s="30"/>
      <c r="F98" s="30"/>
    </row>
    <row r="99">
      <c r="A99" s="113"/>
      <c r="B99" s="113"/>
      <c r="D99" s="30"/>
      <c r="E99" s="30"/>
      <c r="F99" s="30"/>
    </row>
    <row r="100">
      <c r="A100" s="113"/>
      <c r="B100" s="113"/>
      <c r="D100" s="30"/>
      <c r="E100" s="30"/>
      <c r="F100" s="30"/>
    </row>
    <row r="101">
      <c r="A101" s="113"/>
      <c r="B101" s="113"/>
      <c r="D101" s="30"/>
      <c r="E101" s="30"/>
      <c r="F101" s="30"/>
    </row>
    <row r="102">
      <c r="A102" s="113"/>
      <c r="B102" s="113"/>
      <c r="D102" s="30"/>
      <c r="E102" s="30"/>
      <c r="F102" s="30"/>
    </row>
    <row r="103">
      <c r="A103" s="113"/>
      <c r="B103" s="113"/>
      <c r="D103" s="30"/>
      <c r="E103" s="30"/>
      <c r="F103" s="30"/>
    </row>
    <row r="104">
      <c r="A104" s="113"/>
      <c r="B104" s="113"/>
      <c r="D104" s="30"/>
      <c r="E104" s="30"/>
      <c r="F104" s="30"/>
    </row>
    <row r="105">
      <c r="A105" s="113"/>
      <c r="B105" s="113"/>
      <c r="D105" s="30"/>
      <c r="E105" s="30"/>
      <c r="F105" s="30"/>
    </row>
    <row r="106">
      <c r="A106" s="113"/>
      <c r="B106" s="113"/>
      <c r="D106" s="30"/>
      <c r="E106" s="30"/>
      <c r="F106" s="30"/>
    </row>
    <row r="107">
      <c r="A107" s="113"/>
      <c r="B107" s="113"/>
      <c r="D107" s="30"/>
      <c r="E107" s="30"/>
      <c r="F107" s="30"/>
    </row>
    <row r="108">
      <c r="A108" s="113"/>
      <c r="B108" s="113"/>
      <c r="D108" s="30"/>
      <c r="E108" s="30"/>
      <c r="F108" s="30"/>
    </row>
    <row r="109">
      <c r="A109" s="113"/>
      <c r="B109" s="113"/>
      <c r="D109" s="30"/>
      <c r="E109" s="30"/>
      <c r="F109" s="30"/>
    </row>
    <row r="110">
      <c r="A110" s="113"/>
      <c r="B110" s="113"/>
      <c r="D110" s="30"/>
      <c r="E110" s="30"/>
      <c r="F110" s="30"/>
    </row>
    <row r="111">
      <c r="A111" s="113"/>
      <c r="B111" s="113"/>
      <c r="D111" s="30"/>
      <c r="E111" s="30"/>
      <c r="F111" s="30"/>
    </row>
    <row r="112">
      <c r="A112" s="113"/>
      <c r="B112" s="113"/>
      <c r="D112" s="30"/>
      <c r="E112" s="30"/>
      <c r="F112" s="30"/>
    </row>
    <row r="113">
      <c r="A113" s="113"/>
      <c r="B113" s="113"/>
      <c r="D113" s="30"/>
      <c r="E113" s="30"/>
      <c r="F113" s="30"/>
    </row>
    <row r="114">
      <c r="A114" s="113"/>
      <c r="B114" s="113"/>
      <c r="D114" s="30"/>
      <c r="E114" s="30"/>
      <c r="F114" s="30"/>
    </row>
    <row r="115">
      <c r="A115" s="113"/>
      <c r="B115" s="113"/>
      <c r="D115" s="30"/>
      <c r="E115" s="30"/>
      <c r="F115" s="30"/>
    </row>
    <row r="116">
      <c r="A116" s="113"/>
      <c r="B116" s="113"/>
      <c r="D116" s="30"/>
      <c r="E116" s="30"/>
      <c r="F116" s="30"/>
    </row>
    <row r="117">
      <c r="A117" s="113"/>
      <c r="B117" s="113"/>
      <c r="D117" s="30"/>
      <c r="E117" s="30"/>
      <c r="F117" s="30"/>
    </row>
    <row r="118">
      <c r="A118" s="113"/>
      <c r="B118" s="113"/>
      <c r="D118" s="30"/>
      <c r="E118" s="30"/>
      <c r="F118" s="30"/>
    </row>
    <row r="119">
      <c r="A119" s="113"/>
      <c r="B119" s="113"/>
      <c r="D119" s="30"/>
      <c r="E119" s="30"/>
      <c r="F119" s="30"/>
    </row>
    <row r="120">
      <c r="A120" s="113"/>
      <c r="B120" s="113"/>
      <c r="D120" s="30"/>
      <c r="E120" s="30"/>
      <c r="F120" s="30"/>
    </row>
    <row r="121">
      <c r="A121" s="113"/>
      <c r="B121" s="113"/>
      <c r="D121" s="30"/>
      <c r="E121" s="30"/>
      <c r="F121" s="30"/>
    </row>
    <row r="122">
      <c r="A122" s="113"/>
      <c r="B122" s="113"/>
      <c r="D122" s="30"/>
      <c r="E122" s="30"/>
      <c r="F122" s="30"/>
    </row>
    <row r="123">
      <c r="A123" s="113"/>
      <c r="B123" s="113"/>
      <c r="D123" s="30"/>
      <c r="E123" s="30"/>
      <c r="F123" s="30"/>
    </row>
    <row r="124">
      <c r="A124" s="113"/>
      <c r="B124" s="113"/>
      <c r="D124" s="30"/>
      <c r="E124" s="30"/>
      <c r="F124" s="30"/>
    </row>
    <row r="125">
      <c r="A125" s="113"/>
      <c r="B125" s="113"/>
      <c r="D125" s="30"/>
      <c r="E125" s="30"/>
      <c r="F125" s="30"/>
    </row>
    <row r="126">
      <c r="A126" s="113"/>
      <c r="B126" s="113"/>
      <c r="D126" s="30"/>
      <c r="E126" s="30"/>
      <c r="F126" s="30"/>
    </row>
    <row r="127">
      <c r="A127" s="113"/>
      <c r="B127" s="113"/>
      <c r="D127" s="30"/>
      <c r="E127" s="30"/>
      <c r="F127" s="30"/>
    </row>
    <row r="128">
      <c r="A128" s="113"/>
      <c r="B128" s="113"/>
      <c r="D128" s="30"/>
      <c r="E128" s="30"/>
      <c r="F128" s="30"/>
    </row>
    <row r="129">
      <c r="A129" s="113"/>
      <c r="B129" s="113"/>
      <c r="D129" s="30"/>
      <c r="E129" s="30"/>
      <c r="F129" s="30"/>
    </row>
    <row r="130">
      <c r="A130" s="113"/>
      <c r="B130" s="113"/>
      <c r="D130" s="30"/>
      <c r="E130" s="30"/>
      <c r="F130" s="30"/>
    </row>
    <row r="131">
      <c r="A131" s="113"/>
      <c r="B131" s="113"/>
      <c r="D131" s="30"/>
      <c r="E131" s="30"/>
      <c r="F131" s="30"/>
    </row>
    <row r="132">
      <c r="A132" s="113"/>
      <c r="B132" s="113"/>
      <c r="D132" s="30"/>
      <c r="E132" s="30"/>
      <c r="F132" s="30"/>
    </row>
    <row r="133">
      <c r="A133" s="113"/>
      <c r="B133" s="113"/>
      <c r="D133" s="30"/>
      <c r="E133" s="30"/>
      <c r="F133" s="30"/>
    </row>
    <row r="134">
      <c r="A134" s="113"/>
      <c r="B134" s="113"/>
      <c r="D134" s="30"/>
      <c r="E134" s="30"/>
      <c r="F134" s="30"/>
    </row>
    <row r="135">
      <c r="A135" s="113"/>
      <c r="B135" s="113"/>
      <c r="D135" s="30"/>
      <c r="E135" s="30"/>
      <c r="F135" s="30"/>
    </row>
    <row r="136">
      <c r="A136" s="113"/>
      <c r="B136" s="113"/>
      <c r="D136" s="30"/>
      <c r="E136" s="30"/>
      <c r="F136" s="30"/>
    </row>
    <row r="137">
      <c r="A137" s="113"/>
      <c r="B137" s="113"/>
      <c r="D137" s="30"/>
      <c r="E137" s="30"/>
      <c r="F137" s="30"/>
    </row>
    <row r="138">
      <c r="A138" s="113"/>
      <c r="B138" s="113"/>
      <c r="D138" s="30"/>
      <c r="E138" s="30"/>
      <c r="F138" s="30"/>
    </row>
    <row r="139">
      <c r="A139" s="113"/>
      <c r="B139" s="113"/>
      <c r="D139" s="30"/>
      <c r="E139" s="30"/>
      <c r="F139" s="30"/>
    </row>
    <row r="140">
      <c r="A140" s="113"/>
      <c r="B140" s="113"/>
      <c r="D140" s="30"/>
      <c r="E140" s="30"/>
      <c r="F140" s="30"/>
    </row>
    <row r="141">
      <c r="A141" s="113"/>
      <c r="B141" s="113"/>
      <c r="D141" s="30"/>
      <c r="E141" s="30"/>
      <c r="F141" s="30"/>
    </row>
    <row r="142">
      <c r="A142" s="113"/>
      <c r="B142" s="113"/>
      <c r="D142" s="30"/>
      <c r="E142" s="30"/>
      <c r="F142" s="30"/>
    </row>
    <row r="143">
      <c r="A143" s="113"/>
      <c r="B143" s="113"/>
      <c r="D143" s="30"/>
      <c r="E143" s="30"/>
      <c r="F143" s="30"/>
    </row>
    <row r="144">
      <c r="A144" s="113"/>
      <c r="B144" s="113"/>
      <c r="D144" s="30"/>
      <c r="E144" s="30"/>
      <c r="F144" s="30"/>
    </row>
    <row r="145">
      <c r="A145" s="113"/>
      <c r="B145" s="113"/>
      <c r="D145" s="30"/>
      <c r="E145" s="30"/>
      <c r="F145" s="30"/>
    </row>
    <row r="146">
      <c r="A146" s="113"/>
      <c r="B146" s="113"/>
      <c r="D146" s="30"/>
      <c r="E146" s="30"/>
      <c r="F146" s="30"/>
    </row>
    <row r="147">
      <c r="A147" s="113"/>
      <c r="B147" s="113"/>
      <c r="D147" s="30"/>
      <c r="E147" s="30"/>
      <c r="F147" s="30"/>
    </row>
    <row r="148">
      <c r="A148" s="113"/>
      <c r="B148" s="113"/>
      <c r="D148" s="30"/>
      <c r="E148" s="30"/>
      <c r="F148" s="30"/>
    </row>
    <row r="149">
      <c r="A149" s="113"/>
      <c r="B149" s="113"/>
      <c r="D149" s="30"/>
      <c r="E149" s="30"/>
      <c r="F149" s="30"/>
    </row>
    <row r="150">
      <c r="A150" s="113"/>
      <c r="B150" s="113"/>
      <c r="D150" s="30"/>
      <c r="E150" s="30"/>
      <c r="F150" s="30"/>
    </row>
    <row r="151">
      <c r="A151" s="113"/>
      <c r="B151" s="113"/>
      <c r="D151" s="30"/>
      <c r="E151" s="30"/>
      <c r="F151" s="30"/>
    </row>
    <row r="152">
      <c r="A152" s="113"/>
      <c r="B152" s="113"/>
      <c r="D152" s="30"/>
      <c r="E152" s="30"/>
      <c r="F152" s="30"/>
    </row>
    <row r="153">
      <c r="A153" s="113"/>
      <c r="B153" s="113"/>
      <c r="D153" s="30"/>
      <c r="E153" s="30"/>
      <c r="F153" s="30"/>
    </row>
    <row r="154">
      <c r="A154" s="113"/>
      <c r="B154" s="113"/>
      <c r="D154" s="30"/>
      <c r="E154" s="30"/>
      <c r="F154" s="30"/>
    </row>
    <row r="155">
      <c r="A155" s="113"/>
      <c r="B155" s="113"/>
      <c r="D155" s="30"/>
      <c r="E155" s="30"/>
      <c r="F155" s="30"/>
    </row>
    <row r="156">
      <c r="A156" s="113"/>
      <c r="B156" s="113"/>
      <c r="D156" s="30"/>
      <c r="E156" s="30"/>
      <c r="F156" s="30"/>
    </row>
    <row r="157">
      <c r="A157" s="113"/>
      <c r="B157" s="113"/>
      <c r="D157" s="30"/>
      <c r="E157" s="30"/>
      <c r="F157" s="30"/>
    </row>
    <row r="158">
      <c r="A158" s="113"/>
      <c r="B158" s="113"/>
      <c r="D158" s="30"/>
      <c r="E158" s="30"/>
      <c r="F158" s="30"/>
    </row>
    <row r="159">
      <c r="A159" s="113"/>
      <c r="B159" s="113"/>
      <c r="D159" s="30"/>
      <c r="E159" s="30"/>
      <c r="F159" s="30"/>
    </row>
    <row r="160">
      <c r="A160" s="113"/>
      <c r="B160" s="113"/>
      <c r="D160" s="30"/>
      <c r="E160" s="30"/>
      <c r="F160" s="30"/>
    </row>
    <row r="161">
      <c r="A161" s="113"/>
      <c r="B161" s="113"/>
      <c r="D161" s="30"/>
      <c r="E161" s="30"/>
      <c r="F161" s="30"/>
    </row>
    <row r="162">
      <c r="A162" s="113"/>
      <c r="B162" s="113"/>
      <c r="D162" s="30"/>
      <c r="E162" s="30"/>
      <c r="F162" s="30"/>
    </row>
    <row r="163">
      <c r="A163" s="113"/>
      <c r="B163" s="113"/>
      <c r="D163" s="30"/>
      <c r="E163" s="30"/>
      <c r="F163" s="30"/>
    </row>
    <row r="164">
      <c r="A164" s="113"/>
      <c r="B164" s="113"/>
      <c r="D164" s="30"/>
      <c r="E164" s="30"/>
      <c r="F164" s="30"/>
    </row>
    <row r="165">
      <c r="A165" s="113"/>
      <c r="B165" s="113"/>
      <c r="D165" s="30"/>
      <c r="E165" s="30"/>
      <c r="F165" s="30"/>
    </row>
    <row r="166">
      <c r="A166" s="113"/>
      <c r="B166" s="113"/>
      <c r="D166" s="30"/>
      <c r="E166" s="30"/>
      <c r="F166" s="30"/>
    </row>
    <row r="167">
      <c r="A167" s="113"/>
      <c r="B167" s="113"/>
      <c r="D167" s="30"/>
      <c r="E167" s="30"/>
      <c r="F167" s="30"/>
    </row>
    <row r="168">
      <c r="A168" s="113"/>
      <c r="B168" s="113"/>
      <c r="D168" s="30"/>
      <c r="E168" s="30"/>
      <c r="F168" s="30"/>
    </row>
    <row r="169">
      <c r="A169" s="113"/>
      <c r="B169" s="113"/>
      <c r="D169" s="30"/>
      <c r="E169" s="30"/>
      <c r="F169" s="30"/>
    </row>
    <row r="170">
      <c r="A170" s="113"/>
      <c r="B170" s="113"/>
      <c r="D170" s="30"/>
      <c r="E170" s="30"/>
      <c r="F170" s="30"/>
    </row>
    <row r="171">
      <c r="A171" s="113"/>
      <c r="B171" s="113"/>
      <c r="D171" s="30"/>
      <c r="E171" s="30"/>
      <c r="F171" s="30"/>
    </row>
    <row r="172">
      <c r="A172" s="113"/>
      <c r="B172" s="113"/>
      <c r="D172" s="30"/>
      <c r="E172" s="30"/>
      <c r="F172" s="30"/>
    </row>
    <row r="173">
      <c r="A173" s="113"/>
      <c r="B173" s="113"/>
      <c r="D173" s="30"/>
      <c r="E173" s="30"/>
      <c r="F173" s="30"/>
    </row>
    <row r="174">
      <c r="A174" s="113"/>
      <c r="B174" s="113"/>
      <c r="D174" s="30"/>
      <c r="E174" s="30"/>
      <c r="F174" s="30"/>
    </row>
    <row r="175">
      <c r="A175" s="113"/>
      <c r="B175" s="113"/>
      <c r="D175" s="30"/>
      <c r="E175" s="30"/>
      <c r="F175" s="30"/>
    </row>
    <row r="176">
      <c r="A176" s="113"/>
      <c r="B176" s="113"/>
      <c r="D176" s="30"/>
      <c r="E176" s="30"/>
      <c r="F176" s="30"/>
    </row>
    <row r="177">
      <c r="A177" s="113"/>
      <c r="B177" s="113"/>
      <c r="D177" s="30"/>
      <c r="E177" s="30"/>
      <c r="F177" s="30"/>
    </row>
    <row r="178">
      <c r="A178" s="113"/>
      <c r="B178" s="113"/>
      <c r="D178" s="30"/>
      <c r="E178" s="30"/>
      <c r="F178" s="30"/>
    </row>
    <row r="179">
      <c r="A179" s="113"/>
      <c r="B179" s="113"/>
      <c r="D179" s="30"/>
      <c r="E179" s="30"/>
      <c r="F179" s="30"/>
    </row>
    <row r="180">
      <c r="A180" s="113"/>
      <c r="B180" s="113"/>
      <c r="D180" s="30"/>
      <c r="E180" s="30"/>
      <c r="F180" s="30"/>
    </row>
    <row r="181">
      <c r="A181" s="113"/>
      <c r="B181" s="113"/>
      <c r="D181" s="30"/>
      <c r="E181" s="30"/>
      <c r="F181" s="30"/>
    </row>
    <row r="182">
      <c r="A182" s="113"/>
      <c r="B182" s="113"/>
      <c r="D182" s="30"/>
      <c r="E182" s="30"/>
      <c r="F182" s="30"/>
    </row>
    <row r="183">
      <c r="A183" s="113"/>
      <c r="B183" s="113"/>
      <c r="D183" s="30"/>
      <c r="E183" s="30"/>
      <c r="F183" s="30"/>
    </row>
    <row r="184">
      <c r="A184" s="113"/>
      <c r="B184" s="113"/>
      <c r="D184" s="30"/>
      <c r="E184" s="30"/>
      <c r="F184" s="30"/>
    </row>
    <row r="185">
      <c r="A185" s="113"/>
      <c r="B185" s="113"/>
      <c r="D185" s="30"/>
      <c r="E185" s="30"/>
      <c r="F185" s="30"/>
    </row>
    <row r="186">
      <c r="A186" s="113"/>
      <c r="B186" s="113"/>
      <c r="D186" s="30"/>
      <c r="E186" s="30"/>
      <c r="F186" s="30"/>
    </row>
    <row r="187">
      <c r="A187" s="113"/>
      <c r="B187" s="113"/>
      <c r="D187" s="30"/>
      <c r="E187" s="30"/>
      <c r="F187" s="30"/>
    </row>
    <row r="188">
      <c r="A188" s="113"/>
      <c r="B188" s="113"/>
      <c r="D188" s="30"/>
      <c r="E188" s="30"/>
      <c r="F188" s="30"/>
    </row>
    <row r="189">
      <c r="A189" s="113"/>
      <c r="B189" s="113"/>
      <c r="D189" s="30"/>
      <c r="E189" s="30"/>
      <c r="F189" s="30"/>
    </row>
    <row r="190">
      <c r="A190" s="113"/>
      <c r="B190" s="113"/>
      <c r="D190" s="30"/>
      <c r="E190" s="30"/>
      <c r="F190" s="30"/>
    </row>
    <row r="191">
      <c r="A191" s="113"/>
      <c r="B191" s="113"/>
      <c r="D191" s="30"/>
      <c r="E191" s="30"/>
      <c r="F191" s="30"/>
    </row>
    <row r="192">
      <c r="A192" s="113"/>
      <c r="B192" s="113"/>
      <c r="D192" s="30"/>
      <c r="E192" s="30"/>
      <c r="F192" s="30"/>
    </row>
    <row r="193">
      <c r="A193" s="113"/>
      <c r="B193" s="113"/>
      <c r="D193" s="30"/>
      <c r="E193" s="30"/>
      <c r="F193" s="30"/>
    </row>
    <row r="194">
      <c r="A194" s="113"/>
      <c r="B194" s="113"/>
      <c r="D194" s="30"/>
      <c r="E194" s="30"/>
      <c r="F194" s="30"/>
    </row>
    <row r="195">
      <c r="A195" s="113"/>
      <c r="B195" s="113"/>
      <c r="D195" s="30"/>
      <c r="E195" s="30"/>
      <c r="F195" s="30"/>
    </row>
    <row r="196">
      <c r="A196" s="113"/>
      <c r="B196" s="113"/>
      <c r="D196" s="30"/>
      <c r="E196" s="30"/>
      <c r="F196" s="30"/>
    </row>
    <row r="197">
      <c r="A197" s="113"/>
      <c r="B197" s="113"/>
      <c r="D197" s="30"/>
      <c r="E197" s="30"/>
      <c r="F197" s="30"/>
    </row>
    <row r="198">
      <c r="A198" s="113"/>
      <c r="B198" s="113"/>
      <c r="D198" s="30"/>
      <c r="E198" s="30"/>
      <c r="F198" s="30"/>
    </row>
    <row r="199">
      <c r="A199" s="113"/>
      <c r="B199" s="113"/>
      <c r="D199" s="30"/>
      <c r="E199" s="30"/>
      <c r="F199" s="30"/>
    </row>
    <row r="200">
      <c r="A200" s="113"/>
      <c r="B200" s="113"/>
      <c r="D200" s="30"/>
      <c r="E200" s="30"/>
      <c r="F200" s="30"/>
    </row>
    <row r="201">
      <c r="A201" s="113"/>
      <c r="B201" s="113"/>
      <c r="D201" s="30"/>
      <c r="E201" s="30"/>
      <c r="F201" s="30"/>
    </row>
    <row r="202">
      <c r="A202" s="113"/>
      <c r="B202" s="113"/>
      <c r="D202" s="30"/>
      <c r="E202" s="30"/>
      <c r="F202" s="30"/>
    </row>
    <row r="203">
      <c r="A203" s="113"/>
      <c r="B203" s="113"/>
      <c r="D203" s="30"/>
      <c r="E203" s="30"/>
      <c r="F203" s="30"/>
    </row>
    <row r="204">
      <c r="A204" s="113"/>
      <c r="B204" s="113"/>
      <c r="D204" s="30"/>
      <c r="E204" s="30"/>
      <c r="F204" s="30"/>
    </row>
    <row r="205">
      <c r="A205" s="113"/>
      <c r="B205" s="113"/>
      <c r="D205" s="30"/>
      <c r="E205" s="30"/>
      <c r="F205" s="30"/>
    </row>
    <row r="206">
      <c r="A206" s="113"/>
      <c r="B206" s="113"/>
      <c r="D206" s="30"/>
      <c r="E206" s="30"/>
      <c r="F206" s="30"/>
    </row>
    <row r="207">
      <c r="A207" s="113"/>
      <c r="B207" s="113"/>
      <c r="D207" s="30"/>
      <c r="E207" s="30"/>
      <c r="F207" s="30"/>
    </row>
    <row r="208">
      <c r="A208" s="113"/>
      <c r="B208" s="113"/>
      <c r="D208" s="30"/>
      <c r="E208" s="30"/>
      <c r="F208" s="30"/>
    </row>
    <row r="209">
      <c r="A209" s="113"/>
      <c r="B209" s="113"/>
      <c r="D209" s="30"/>
      <c r="E209" s="30"/>
      <c r="F209" s="30"/>
    </row>
    <row r="210">
      <c r="A210" s="113"/>
      <c r="B210" s="113"/>
      <c r="D210" s="30"/>
      <c r="E210" s="30"/>
      <c r="F210" s="30"/>
    </row>
    <row r="211">
      <c r="A211" s="113"/>
      <c r="B211" s="113"/>
      <c r="D211" s="30"/>
      <c r="E211" s="30"/>
      <c r="F211" s="30"/>
    </row>
    <row r="212">
      <c r="A212" s="113"/>
      <c r="B212" s="113"/>
      <c r="D212" s="30"/>
      <c r="E212" s="30"/>
      <c r="F212" s="30"/>
    </row>
    <row r="213">
      <c r="A213" s="113"/>
      <c r="B213" s="113"/>
      <c r="D213" s="30"/>
      <c r="E213" s="30"/>
      <c r="F213" s="30"/>
    </row>
    <row r="214">
      <c r="A214" s="113"/>
      <c r="B214" s="113"/>
      <c r="D214" s="30"/>
      <c r="E214" s="30"/>
      <c r="F214" s="30"/>
    </row>
    <row r="215">
      <c r="A215" s="113"/>
      <c r="B215" s="113"/>
      <c r="D215" s="30"/>
      <c r="E215" s="30"/>
      <c r="F215" s="30"/>
    </row>
    <row r="216">
      <c r="A216" s="113"/>
      <c r="B216" s="113"/>
      <c r="D216" s="30"/>
      <c r="E216" s="30"/>
      <c r="F216" s="30"/>
    </row>
    <row r="217">
      <c r="A217" s="113"/>
      <c r="B217" s="113"/>
      <c r="D217" s="30"/>
      <c r="E217" s="30"/>
      <c r="F217" s="30"/>
    </row>
    <row r="218">
      <c r="A218" s="113"/>
      <c r="B218" s="113"/>
      <c r="D218" s="30"/>
      <c r="E218" s="30"/>
      <c r="F218" s="30"/>
    </row>
    <row r="219">
      <c r="A219" s="113"/>
      <c r="B219" s="113"/>
      <c r="D219" s="30"/>
      <c r="E219" s="30"/>
      <c r="F219" s="30"/>
    </row>
    <row r="220">
      <c r="A220" s="113"/>
      <c r="B220" s="113"/>
      <c r="D220" s="30"/>
      <c r="E220" s="30"/>
      <c r="F220" s="30"/>
    </row>
    <row r="221">
      <c r="A221" s="113"/>
      <c r="B221" s="113"/>
      <c r="D221" s="30"/>
      <c r="E221" s="30"/>
      <c r="F221" s="30"/>
    </row>
    <row r="222">
      <c r="A222" s="113"/>
      <c r="B222" s="113"/>
      <c r="D222" s="30"/>
      <c r="E222" s="30"/>
      <c r="F222" s="30"/>
    </row>
    <row r="223">
      <c r="A223" s="113"/>
      <c r="B223" s="113"/>
      <c r="D223" s="30"/>
      <c r="E223" s="30"/>
      <c r="F223" s="30"/>
    </row>
    <row r="224">
      <c r="A224" s="113"/>
      <c r="B224" s="113"/>
      <c r="D224" s="30"/>
      <c r="E224" s="30"/>
      <c r="F224" s="30"/>
    </row>
    <row r="225">
      <c r="A225" s="113"/>
      <c r="B225" s="113"/>
      <c r="D225" s="30"/>
      <c r="E225" s="30"/>
      <c r="F225" s="30"/>
    </row>
    <row r="226">
      <c r="A226" s="113"/>
      <c r="B226" s="113"/>
      <c r="D226" s="30"/>
      <c r="E226" s="30"/>
      <c r="F226" s="30"/>
    </row>
    <row r="227">
      <c r="A227" s="113"/>
      <c r="B227" s="113"/>
      <c r="D227" s="30"/>
      <c r="E227" s="30"/>
      <c r="F227" s="30"/>
    </row>
    <row r="228">
      <c r="A228" s="113"/>
      <c r="B228" s="113"/>
      <c r="D228" s="30"/>
      <c r="E228" s="30"/>
      <c r="F228" s="30"/>
    </row>
    <row r="229">
      <c r="A229" s="113"/>
      <c r="B229" s="113"/>
      <c r="D229" s="30"/>
      <c r="E229" s="30"/>
      <c r="F229" s="30"/>
    </row>
    <row r="230">
      <c r="A230" s="113"/>
      <c r="B230" s="113"/>
      <c r="D230" s="30"/>
      <c r="E230" s="30"/>
      <c r="F230" s="30"/>
    </row>
    <row r="231">
      <c r="A231" s="113"/>
      <c r="B231" s="113"/>
      <c r="D231" s="30"/>
      <c r="E231" s="30"/>
      <c r="F231" s="30"/>
    </row>
    <row r="232">
      <c r="A232" s="113"/>
      <c r="B232" s="113"/>
      <c r="D232" s="30"/>
      <c r="E232" s="30"/>
      <c r="F232" s="30"/>
    </row>
    <row r="233">
      <c r="A233" s="113"/>
      <c r="B233" s="113"/>
      <c r="D233" s="30"/>
      <c r="E233" s="30"/>
      <c r="F233" s="30"/>
    </row>
    <row r="234">
      <c r="A234" s="113"/>
      <c r="B234" s="113"/>
      <c r="D234" s="30"/>
      <c r="E234" s="30"/>
      <c r="F234" s="30"/>
    </row>
    <row r="235">
      <c r="A235" s="113"/>
      <c r="B235" s="113"/>
      <c r="D235" s="30"/>
      <c r="E235" s="30"/>
      <c r="F235" s="30"/>
    </row>
    <row r="236">
      <c r="A236" s="113"/>
      <c r="B236" s="113"/>
      <c r="D236" s="30"/>
      <c r="E236" s="30"/>
      <c r="F236" s="30"/>
    </row>
    <row r="237">
      <c r="A237" s="113"/>
      <c r="B237" s="113"/>
      <c r="D237" s="30"/>
      <c r="E237" s="30"/>
      <c r="F237" s="30"/>
    </row>
    <row r="238">
      <c r="A238" s="113"/>
      <c r="B238" s="113"/>
      <c r="D238" s="30"/>
      <c r="E238" s="30"/>
      <c r="F238" s="30"/>
    </row>
    <row r="239">
      <c r="A239" s="113"/>
      <c r="B239" s="113"/>
      <c r="D239" s="30"/>
      <c r="E239" s="30"/>
      <c r="F239" s="30"/>
    </row>
    <row r="240">
      <c r="A240" s="113"/>
      <c r="B240" s="113"/>
      <c r="D240" s="30"/>
      <c r="E240" s="30"/>
      <c r="F240" s="30"/>
    </row>
    <row r="241">
      <c r="A241" s="113"/>
      <c r="B241" s="113"/>
      <c r="D241" s="30"/>
      <c r="E241" s="30"/>
      <c r="F241" s="30"/>
    </row>
    <row r="242">
      <c r="A242" s="113"/>
      <c r="B242" s="113"/>
      <c r="D242" s="30"/>
      <c r="E242" s="30"/>
      <c r="F242" s="30"/>
    </row>
    <row r="243">
      <c r="A243" s="113"/>
      <c r="B243" s="113"/>
      <c r="D243" s="30"/>
      <c r="E243" s="30"/>
      <c r="F243" s="30"/>
    </row>
    <row r="244">
      <c r="A244" s="113"/>
      <c r="B244" s="113"/>
      <c r="D244" s="30"/>
      <c r="E244" s="30"/>
      <c r="F244" s="30"/>
    </row>
    <row r="245">
      <c r="A245" s="113"/>
      <c r="B245" s="113"/>
      <c r="D245" s="30"/>
      <c r="E245" s="30"/>
      <c r="F245" s="30"/>
    </row>
    <row r="246">
      <c r="A246" s="113"/>
      <c r="B246" s="113"/>
      <c r="D246" s="30"/>
      <c r="E246" s="30"/>
      <c r="F246" s="30"/>
    </row>
    <row r="247">
      <c r="A247" s="113"/>
      <c r="B247" s="113"/>
      <c r="D247" s="30"/>
      <c r="E247" s="30"/>
      <c r="F247" s="30"/>
    </row>
    <row r="248">
      <c r="A248" s="113"/>
      <c r="B248" s="113"/>
      <c r="D248" s="30"/>
      <c r="E248" s="30"/>
      <c r="F248" s="30"/>
    </row>
    <row r="249">
      <c r="A249" s="113"/>
      <c r="B249" s="113"/>
      <c r="D249" s="30"/>
      <c r="E249" s="30"/>
      <c r="F249" s="30"/>
    </row>
    <row r="250">
      <c r="A250" s="113"/>
      <c r="B250" s="113"/>
      <c r="D250" s="30"/>
      <c r="E250" s="30"/>
      <c r="F250" s="30"/>
    </row>
    <row r="251">
      <c r="A251" s="113"/>
      <c r="B251" s="113"/>
      <c r="D251" s="30"/>
      <c r="E251" s="30"/>
      <c r="F251" s="30"/>
    </row>
    <row r="252">
      <c r="A252" s="113"/>
      <c r="B252" s="113"/>
      <c r="D252" s="30"/>
      <c r="E252" s="30"/>
      <c r="F252" s="30"/>
    </row>
    <row r="253">
      <c r="A253" s="113"/>
      <c r="B253" s="113"/>
      <c r="D253" s="30"/>
      <c r="E253" s="30"/>
      <c r="F253" s="30"/>
    </row>
    <row r="254">
      <c r="A254" s="113"/>
      <c r="B254" s="113"/>
      <c r="D254" s="30"/>
      <c r="E254" s="30"/>
      <c r="F254" s="30"/>
    </row>
    <row r="255">
      <c r="A255" s="113"/>
      <c r="B255" s="113"/>
      <c r="D255" s="30"/>
      <c r="E255" s="30"/>
      <c r="F255" s="30"/>
    </row>
    <row r="256">
      <c r="A256" s="113"/>
      <c r="B256" s="113"/>
      <c r="D256" s="30"/>
      <c r="E256" s="30"/>
      <c r="F256" s="30"/>
    </row>
    <row r="257">
      <c r="A257" s="113"/>
      <c r="B257" s="113"/>
      <c r="D257" s="30"/>
      <c r="E257" s="30"/>
      <c r="F257" s="30"/>
    </row>
    <row r="258">
      <c r="A258" s="113"/>
      <c r="B258" s="113"/>
      <c r="D258" s="30"/>
      <c r="E258" s="30"/>
      <c r="F258" s="30"/>
    </row>
    <row r="259">
      <c r="A259" s="113"/>
      <c r="B259" s="113"/>
      <c r="D259" s="30"/>
      <c r="E259" s="30"/>
      <c r="F259" s="30"/>
    </row>
    <row r="260">
      <c r="A260" s="113"/>
      <c r="B260" s="113"/>
      <c r="D260" s="30"/>
      <c r="E260" s="30"/>
      <c r="F260" s="30"/>
    </row>
    <row r="261">
      <c r="A261" s="113"/>
      <c r="B261" s="113"/>
      <c r="D261" s="30"/>
      <c r="E261" s="30"/>
      <c r="F261" s="30"/>
    </row>
    <row r="262">
      <c r="A262" s="113"/>
      <c r="B262" s="113"/>
      <c r="D262" s="30"/>
      <c r="E262" s="30"/>
      <c r="F262" s="30"/>
    </row>
    <row r="263">
      <c r="A263" s="113"/>
      <c r="B263" s="113"/>
      <c r="D263" s="30"/>
      <c r="E263" s="30"/>
      <c r="F263" s="30"/>
    </row>
    <row r="264">
      <c r="A264" s="113"/>
      <c r="B264" s="113"/>
      <c r="D264" s="30"/>
      <c r="E264" s="30"/>
      <c r="F264" s="30"/>
    </row>
    <row r="265">
      <c r="A265" s="113"/>
      <c r="B265" s="113"/>
      <c r="D265" s="30"/>
      <c r="E265" s="30"/>
      <c r="F265" s="30"/>
    </row>
    <row r="266">
      <c r="A266" s="113"/>
      <c r="B266" s="113"/>
      <c r="D266" s="30"/>
      <c r="E266" s="30"/>
      <c r="F266" s="30"/>
    </row>
    <row r="267">
      <c r="A267" s="113"/>
      <c r="B267" s="113"/>
      <c r="D267" s="30"/>
      <c r="E267" s="30"/>
      <c r="F267" s="30"/>
    </row>
    <row r="268">
      <c r="A268" s="113"/>
      <c r="B268" s="113"/>
      <c r="D268" s="30"/>
      <c r="E268" s="30"/>
      <c r="F268" s="30"/>
    </row>
    <row r="269">
      <c r="A269" s="113"/>
      <c r="B269" s="113"/>
      <c r="D269" s="30"/>
      <c r="E269" s="30"/>
      <c r="F269" s="30"/>
    </row>
    <row r="270">
      <c r="A270" s="113"/>
      <c r="B270" s="113"/>
      <c r="D270" s="30"/>
      <c r="E270" s="30"/>
      <c r="F270" s="30"/>
    </row>
    <row r="271">
      <c r="A271" s="113"/>
      <c r="B271" s="113"/>
      <c r="D271" s="30"/>
      <c r="E271" s="30"/>
      <c r="F271" s="30"/>
    </row>
    <row r="272">
      <c r="A272" s="113"/>
      <c r="B272" s="113"/>
      <c r="D272" s="30"/>
      <c r="E272" s="30"/>
      <c r="F272" s="30"/>
    </row>
    <row r="273">
      <c r="A273" s="113"/>
      <c r="B273" s="113"/>
      <c r="D273" s="30"/>
      <c r="E273" s="30"/>
      <c r="F273" s="30"/>
    </row>
    <row r="274">
      <c r="A274" s="113"/>
      <c r="B274" s="113"/>
      <c r="D274" s="30"/>
      <c r="E274" s="30"/>
      <c r="F274" s="30"/>
    </row>
    <row r="275">
      <c r="A275" s="113"/>
      <c r="B275" s="113"/>
      <c r="D275" s="30"/>
      <c r="E275" s="30"/>
      <c r="F275" s="30"/>
    </row>
    <row r="276">
      <c r="A276" s="113"/>
      <c r="B276" s="113"/>
      <c r="D276" s="30"/>
      <c r="E276" s="30"/>
      <c r="F276" s="30"/>
    </row>
    <row r="277">
      <c r="A277" s="113"/>
      <c r="B277" s="113"/>
      <c r="D277" s="30"/>
      <c r="E277" s="30"/>
      <c r="F277" s="30"/>
    </row>
    <row r="278">
      <c r="A278" s="113"/>
      <c r="B278" s="113"/>
      <c r="D278" s="30"/>
      <c r="E278" s="30"/>
      <c r="F278" s="30"/>
    </row>
    <row r="279">
      <c r="A279" s="113"/>
      <c r="B279" s="113"/>
      <c r="D279" s="30"/>
      <c r="E279" s="30"/>
      <c r="F279" s="30"/>
    </row>
    <row r="280">
      <c r="A280" s="113"/>
      <c r="B280" s="113"/>
      <c r="D280" s="30"/>
      <c r="E280" s="30"/>
      <c r="F280" s="30"/>
    </row>
    <row r="281">
      <c r="A281" s="113"/>
      <c r="B281" s="113"/>
      <c r="D281" s="30"/>
      <c r="E281" s="30"/>
      <c r="F281" s="30"/>
    </row>
    <row r="282">
      <c r="A282" s="113"/>
      <c r="B282" s="113"/>
      <c r="D282" s="30"/>
      <c r="E282" s="30"/>
      <c r="F282" s="30"/>
    </row>
    <row r="283">
      <c r="A283" s="113"/>
      <c r="B283" s="113"/>
      <c r="D283" s="30"/>
      <c r="E283" s="30"/>
      <c r="F283" s="30"/>
    </row>
    <row r="284">
      <c r="A284" s="113"/>
      <c r="B284" s="113"/>
      <c r="D284" s="30"/>
      <c r="E284" s="30"/>
      <c r="F284" s="30"/>
    </row>
    <row r="285">
      <c r="A285" s="113"/>
      <c r="B285" s="113"/>
      <c r="D285" s="30"/>
      <c r="E285" s="30"/>
      <c r="F285" s="30"/>
    </row>
    <row r="286">
      <c r="A286" s="113"/>
      <c r="B286" s="113"/>
      <c r="D286" s="30"/>
      <c r="E286" s="30"/>
      <c r="F286" s="30"/>
    </row>
    <row r="287">
      <c r="A287" s="113"/>
      <c r="B287" s="113"/>
      <c r="D287" s="30"/>
      <c r="E287" s="30"/>
      <c r="F287" s="30"/>
    </row>
    <row r="288">
      <c r="A288" s="113"/>
      <c r="B288" s="113"/>
      <c r="D288" s="30"/>
      <c r="E288" s="30"/>
      <c r="F288" s="30"/>
    </row>
    <row r="289">
      <c r="A289" s="113"/>
      <c r="B289" s="113"/>
      <c r="D289" s="30"/>
      <c r="E289" s="30"/>
      <c r="F289" s="30"/>
    </row>
    <row r="290">
      <c r="A290" s="113"/>
      <c r="B290" s="113"/>
      <c r="D290" s="30"/>
      <c r="E290" s="30"/>
      <c r="F290" s="30"/>
    </row>
    <row r="291">
      <c r="A291" s="113"/>
      <c r="B291" s="113"/>
      <c r="D291" s="30"/>
      <c r="E291" s="30"/>
      <c r="F291" s="30"/>
    </row>
    <row r="292">
      <c r="A292" s="113"/>
      <c r="B292" s="113"/>
      <c r="D292" s="30"/>
      <c r="E292" s="30"/>
      <c r="F292" s="30"/>
    </row>
    <row r="293">
      <c r="A293" s="113"/>
      <c r="B293" s="113"/>
      <c r="D293" s="30"/>
      <c r="E293" s="30"/>
      <c r="F293" s="30"/>
    </row>
    <row r="294">
      <c r="A294" s="113"/>
      <c r="B294" s="113"/>
      <c r="D294" s="30"/>
      <c r="E294" s="30"/>
      <c r="F294" s="30"/>
    </row>
    <row r="295">
      <c r="A295" s="113"/>
      <c r="B295" s="113"/>
      <c r="D295" s="30"/>
      <c r="E295" s="30"/>
      <c r="F295" s="30"/>
    </row>
    <row r="296">
      <c r="A296" s="113"/>
      <c r="B296" s="113"/>
      <c r="D296" s="30"/>
      <c r="E296" s="30"/>
      <c r="F296" s="30"/>
    </row>
    <row r="297">
      <c r="A297" s="113"/>
      <c r="B297" s="113"/>
      <c r="D297" s="30"/>
      <c r="E297" s="30"/>
      <c r="F297" s="30"/>
    </row>
    <row r="298">
      <c r="A298" s="113"/>
      <c r="B298" s="113"/>
      <c r="D298" s="30"/>
      <c r="E298" s="30"/>
      <c r="F298" s="30"/>
    </row>
    <row r="299">
      <c r="A299" s="113"/>
      <c r="B299" s="113"/>
      <c r="D299" s="30"/>
      <c r="E299" s="30"/>
      <c r="F299" s="30"/>
    </row>
    <row r="300">
      <c r="A300" s="113"/>
      <c r="B300" s="113"/>
      <c r="D300" s="30"/>
      <c r="E300" s="30"/>
      <c r="F300" s="30"/>
    </row>
    <row r="301">
      <c r="A301" s="113"/>
      <c r="B301" s="113"/>
      <c r="D301" s="30"/>
      <c r="E301" s="30"/>
      <c r="F301" s="30"/>
    </row>
    <row r="302">
      <c r="A302" s="113"/>
      <c r="B302" s="113"/>
      <c r="D302" s="30"/>
      <c r="E302" s="30"/>
      <c r="F302" s="30"/>
    </row>
    <row r="303">
      <c r="A303" s="113"/>
      <c r="B303" s="113"/>
      <c r="D303" s="30"/>
      <c r="E303" s="30"/>
      <c r="F303" s="30"/>
    </row>
    <row r="304">
      <c r="A304" s="113"/>
      <c r="B304" s="113"/>
      <c r="D304" s="30"/>
      <c r="E304" s="30"/>
      <c r="F304" s="30"/>
    </row>
    <row r="305">
      <c r="A305" s="113"/>
      <c r="B305" s="113"/>
      <c r="D305" s="30"/>
      <c r="E305" s="30"/>
      <c r="F305" s="30"/>
    </row>
    <row r="306">
      <c r="A306" s="113"/>
      <c r="B306" s="113"/>
      <c r="D306" s="30"/>
      <c r="E306" s="30"/>
      <c r="F306" s="30"/>
    </row>
    <row r="307">
      <c r="A307" s="113"/>
      <c r="B307" s="113"/>
      <c r="D307" s="30"/>
      <c r="E307" s="30"/>
      <c r="F307" s="30"/>
    </row>
    <row r="308">
      <c r="A308" s="113"/>
      <c r="B308" s="113"/>
      <c r="D308" s="30"/>
      <c r="E308" s="30"/>
      <c r="F308" s="30"/>
    </row>
    <row r="309">
      <c r="A309" s="113"/>
      <c r="B309" s="113"/>
      <c r="D309" s="30"/>
      <c r="E309" s="30"/>
      <c r="F309" s="30"/>
    </row>
    <row r="310">
      <c r="A310" s="113"/>
      <c r="B310" s="113"/>
      <c r="D310" s="30"/>
      <c r="E310" s="30"/>
      <c r="F310" s="30"/>
    </row>
    <row r="311">
      <c r="A311" s="113"/>
      <c r="B311" s="113"/>
      <c r="D311" s="30"/>
      <c r="E311" s="30"/>
      <c r="F311" s="30"/>
    </row>
    <row r="312">
      <c r="A312" s="113"/>
      <c r="B312" s="113"/>
      <c r="D312" s="30"/>
      <c r="E312" s="30"/>
      <c r="F312" s="30"/>
    </row>
    <row r="313">
      <c r="A313" s="113"/>
      <c r="B313" s="113"/>
      <c r="D313" s="30"/>
      <c r="E313" s="30"/>
      <c r="F313" s="30"/>
    </row>
    <row r="314">
      <c r="A314" s="113"/>
      <c r="B314" s="113"/>
      <c r="D314" s="30"/>
      <c r="E314" s="30"/>
      <c r="F314" s="30"/>
    </row>
    <row r="315">
      <c r="A315" s="113"/>
      <c r="B315" s="113"/>
      <c r="D315" s="30"/>
      <c r="E315" s="30"/>
      <c r="F315" s="30"/>
    </row>
    <row r="316">
      <c r="A316" s="113"/>
      <c r="B316" s="113"/>
      <c r="D316" s="30"/>
      <c r="E316" s="30"/>
      <c r="F316" s="30"/>
    </row>
    <row r="317">
      <c r="A317" s="113"/>
      <c r="B317" s="113"/>
      <c r="D317" s="30"/>
      <c r="E317" s="30"/>
      <c r="F317" s="30"/>
    </row>
    <row r="318">
      <c r="A318" s="113"/>
      <c r="B318" s="113"/>
      <c r="D318" s="30"/>
      <c r="E318" s="30"/>
      <c r="F318" s="30"/>
    </row>
    <row r="319">
      <c r="A319" s="113"/>
      <c r="B319" s="113"/>
      <c r="D319" s="30"/>
      <c r="E319" s="30"/>
      <c r="F319" s="30"/>
    </row>
    <row r="320">
      <c r="A320" s="113"/>
      <c r="B320" s="113"/>
      <c r="D320" s="30"/>
      <c r="E320" s="30"/>
      <c r="F320" s="30"/>
    </row>
    <row r="321">
      <c r="A321" s="113"/>
      <c r="B321" s="113"/>
      <c r="D321" s="30"/>
      <c r="E321" s="30"/>
      <c r="F321" s="30"/>
    </row>
    <row r="322">
      <c r="A322" s="113"/>
      <c r="B322" s="113"/>
      <c r="D322" s="30"/>
      <c r="E322" s="30"/>
      <c r="F322" s="30"/>
    </row>
    <row r="323">
      <c r="A323" s="113"/>
      <c r="B323" s="113"/>
      <c r="D323" s="30"/>
      <c r="E323" s="30"/>
      <c r="F323" s="30"/>
    </row>
    <row r="324">
      <c r="A324" s="113"/>
      <c r="B324" s="113"/>
      <c r="D324" s="30"/>
      <c r="E324" s="30"/>
      <c r="F324" s="30"/>
    </row>
    <row r="325">
      <c r="A325" s="113"/>
      <c r="B325" s="113"/>
      <c r="D325" s="30"/>
      <c r="E325" s="30"/>
      <c r="F325" s="30"/>
    </row>
    <row r="326">
      <c r="A326" s="113"/>
      <c r="B326" s="113"/>
      <c r="D326" s="30"/>
      <c r="E326" s="30"/>
      <c r="F326" s="30"/>
    </row>
    <row r="327">
      <c r="A327" s="113"/>
      <c r="B327" s="113"/>
      <c r="D327" s="30"/>
      <c r="E327" s="30"/>
      <c r="F327" s="30"/>
    </row>
    <row r="328">
      <c r="A328" s="113"/>
      <c r="B328" s="113"/>
      <c r="D328" s="30"/>
      <c r="E328" s="30"/>
      <c r="F328" s="30"/>
    </row>
    <row r="329">
      <c r="A329" s="113"/>
      <c r="B329" s="113"/>
      <c r="D329" s="30"/>
      <c r="E329" s="30"/>
      <c r="F329" s="30"/>
    </row>
    <row r="330">
      <c r="A330" s="113"/>
      <c r="B330" s="113"/>
      <c r="D330" s="30"/>
      <c r="E330" s="30"/>
      <c r="F330" s="30"/>
    </row>
    <row r="331">
      <c r="A331" s="113"/>
      <c r="B331" s="113"/>
      <c r="D331" s="30"/>
      <c r="E331" s="30"/>
      <c r="F331" s="30"/>
    </row>
    <row r="332">
      <c r="A332" s="113"/>
      <c r="B332" s="113"/>
      <c r="D332" s="30"/>
      <c r="E332" s="30"/>
      <c r="F332" s="30"/>
    </row>
    <row r="333">
      <c r="A333" s="113"/>
      <c r="B333" s="113"/>
      <c r="D333" s="30"/>
      <c r="E333" s="30"/>
      <c r="F333" s="30"/>
    </row>
    <row r="334">
      <c r="A334" s="113"/>
      <c r="B334" s="113"/>
      <c r="D334" s="30"/>
      <c r="E334" s="30"/>
      <c r="F334" s="30"/>
    </row>
    <row r="335">
      <c r="A335" s="113"/>
      <c r="B335" s="113"/>
      <c r="D335" s="30"/>
      <c r="E335" s="30"/>
      <c r="F335" s="30"/>
    </row>
    <row r="336">
      <c r="A336" s="113"/>
      <c r="B336" s="113"/>
      <c r="D336" s="30"/>
      <c r="E336" s="30"/>
      <c r="F336" s="30"/>
    </row>
    <row r="337">
      <c r="A337" s="113"/>
      <c r="B337" s="113"/>
      <c r="D337" s="30"/>
      <c r="E337" s="30"/>
      <c r="F337" s="30"/>
    </row>
    <row r="338">
      <c r="A338" s="113"/>
      <c r="B338" s="113"/>
      <c r="D338" s="30"/>
      <c r="E338" s="30"/>
      <c r="F338" s="30"/>
    </row>
    <row r="339">
      <c r="A339" s="113"/>
      <c r="B339" s="113"/>
      <c r="D339" s="30"/>
      <c r="E339" s="30"/>
      <c r="F339" s="30"/>
    </row>
    <row r="340">
      <c r="A340" s="113"/>
      <c r="B340" s="113"/>
      <c r="D340" s="30"/>
      <c r="E340" s="30"/>
      <c r="F340" s="30"/>
    </row>
    <row r="341">
      <c r="A341" s="113"/>
      <c r="B341" s="113"/>
      <c r="D341" s="30"/>
      <c r="E341" s="30"/>
      <c r="F341" s="30"/>
    </row>
    <row r="342">
      <c r="A342" s="113"/>
      <c r="B342" s="113"/>
      <c r="D342" s="30"/>
      <c r="E342" s="30"/>
      <c r="F342" s="30"/>
    </row>
    <row r="343">
      <c r="A343" s="113"/>
      <c r="B343" s="113"/>
      <c r="D343" s="30"/>
      <c r="E343" s="30"/>
      <c r="F343" s="30"/>
    </row>
    <row r="344">
      <c r="A344" s="113"/>
      <c r="B344" s="113"/>
      <c r="D344" s="30"/>
      <c r="E344" s="30"/>
      <c r="F344" s="30"/>
    </row>
    <row r="345">
      <c r="A345" s="113"/>
      <c r="B345" s="113"/>
      <c r="D345" s="30"/>
      <c r="E345" s="30"/>
      <c r="F345" s="30"/>
    </row>
    <row r="346">
      <c r="A346" s="113"/>
      <c r="B346" s="113"/>
      <c r="D346" s="30"/>
      <c r="E346" s="30"/>
      <c r="F346" s="30"/>
    </row>
    <row r="347">
      <c r="A347" s="113"/>
      <c r="B347" s="113"/>
      <c r="D347" s="30"/>
      <c r="E347" s="30"/>
      <c r="F347" s="30"/>
    </row>
    <row r="348">
      <c r="A348" s="113"/>
      <c r="B348" s="113"/>
      <c r="D348" s="30"/>
      <c r="E348" s="30"/>
      <c r="F348" s="30"/>
    </row>
    <row r="349">
      <c r="A349" s="113"/>
      <c r="B349" s="113"/>
      <c r="D349" s="30"/>
      <c r="E349" s="30"/>
      <c r="F349" s="30"/>
    </row>
    <row r="350">
      <c r="A350" s="113"/>
      <c r="B350" s="113"/>
      <c r="D350" s="30"/>
      <c r="E350" s="30"/>
      <c r="F350" s="30"/>
    </row>
    <row r="351">
      <c r="A351" s="113"/>
      <c r="B351" s="113"/>
      <c r="D351" s="30"/>
      <c r="E351" s="30"/>
      <c r="F351" s="30"/>
    </row>
    <row r="352">
      <c r="A352" s="113"/>
      <c r="B352" s="113"/>
      <c r="D352" s="30"/>
      <c r="E352" s="30"/>
      <c r="F352" s="30"/>
    </row>
    <row r="353">
      <c r="A353" s="113"/>
      <c r="B353" s="113"/>
      <c r="D353" s="30"/>
      <c r="E353" s="30"/>
      <c r="F353" s="30"/>
    </row>
    <row r="354">
      <c r="A354" s="113"/>
      <c r="B354" s="113"/>
      <c r="D354" s="30"/>
      <c r="E354" s="30"/>
      <c r="F354" s="30"/>
    </row>
    <row r="355">
      <c r="A355" s="113"/>
      <c r="B355" s="113"/>
      <c r="D355" s="30"/>
      <c r="E355" s="30"/>
      <c r="F355" s="30"/>
    </row>
    <row r="356">
      <c r="A356" s="113"/>
      <c r="B356" s="113"/>
      <c r="D356" s="30"/>
      <c r="E356" s="30"/>
      <c r="F356" s="30"/>
    </row>
    <row r="357">
      <c r="A357" s="113"/>
      <c r="B357" s="113"/>
      <c r="D357" s="30"/>
      <c r="E357" s="30"/>
      <c r="F357" s="30"/>
    </row>
    <row r="358">
      <c r="A358" s="113"/>
      <c r="B358" s="113"/>
      <c r="D358" s="30"/>
      <c r="E358" s="30"/>
      <c r="F358" s="30"/>
    </row>
    <row r="359">
      <c r="A359" s="113"/>
      <c r="B359" s="113"/>
      <c r="D359" s="30"/>
      <c r="E359" s="30"/>
      <c r="F359" s="30"/>
    </row>
    <row r="360">
      <c r="A360" s="113"/>
      <c r="B360" s="113"/>
      <c r="D360" s="30"/>
      <c r="E360" s="30"/>
      <c r="F360" s="30"/>
    </row>
    <row r="361">
      <c r="A361" s="113"/>
      <c r="B361" s="113"/>
      <c r="D361" s="30"/>
      <c r="E361" s="30"/>
      <c r="F361" s="30"/>
    </row>
    <row r="362">
      <c r="A362" s="113"/>
      <c r="B362" s="113"/>
      <c r="D362" s="30"/>
      <c r="E362" s="30"/>
      <c r="F362" s="30"/>
    </row>
    <row r="363">
      <c r="A363" s="113"/>
      <c r="B363" s="113"/>
      <c r="D363" s="30"/>
      <c r="E363" s="30"/>
      <c r="F363" s="30"/>
    </row>
    <row r="364">
      <c r="A364" s="113"/>
      <c r="B364" s="113"/>
      <c r="D364" s="30"/>
      <c r="E364" s="30"/>
      <c r="F364" s="30"/>
    </row>
    <row r="365">
      <c r="A365" s="113"/>
      <c r="B365" s="113"/>
      <c r="D365" s="30"/>
      <c r="E365" s="30"/>
      <c r="F365" s="30"/>
    </row>
    <row r="366">
      <c r="A366" s="113"/>
      <c r="B366" s="113"/>
      <c r="D366" s="30"/>
      <c r="E366" s="30"/>
      <c r="F366" s="30"/>
    </row>
    <row r="367">
      <c r="A367" s="113"/>
      <c r="B367" s="113"/>
      <c r="D367" s="30"/>
      <c r="E367" s="30"/>
      <c r="F367" s="30"/>
    </row>
    <row r="368">
      <c r="A368" s="113"/>
      <c r="B368" s="113"/>
      <c r="D368" s="30"/>
      <c r="E368" s="30"/>
      <c r="F368" s="30"/>
    </row>
    <row r="369">
      <c r="A369" s="113"/>
      <c r="B369" s="113"/>
      <c r="D369" s="30"/>
      <c r="E369" s="30"/>
      <c r="F369" s="30"/>
    </row>
    <row r="370">
      <c r="A370" s="113"/>
      <c r="B370" s="113"/>
      <c r="D370" s="30"/>
      <c r="E370" s="30"/>
      <c r="F370" s="30"/>
    </row>
    <row r="371">
      <c r="A371" s="113"/>
      <c r="B371" s="113"/>
      <c r="D371" s="30"/>
      <c r="E371" s="30"/>
      <c r="F371" s="30"/>
    </row>
    <row r="372">
      <c r="A372" s="113"/>
      <c r="B372" s="113"/>
      <c r="D372" s="30"/>
      <c r="E372" s="30"/>
      <c r="F372" s="30"/>
    </row>
    <row r="373">
      <c r="A373" s="113"/>
      <c r="B373" s="113"/>
      <c r="D373" s="30"/>
      <c r="E373" s="30"/>
      <c r="F373" s="30"/>
    </row>
    <row r="374">
      <c r="A374" s="113"/>
      <c r="B374" s="113"/>
      <c r="D374" s="30"/>
      <c r="E374" s="30"/>
      <c r="F374" s="30"/>
    </row>
    <row r="375">
      <c r="A375" s="113"/>
      <c r="B375" s="113"/>
      <c r="D375" s="30"/>
      <c r="E375" s="30"/>
      <c r="F375" s="30"/>
    </row>
    <row r="376">
      <c r="A376" s="113"/>
      <c r="B376" s="113"/>
      <c r="D376" s="30"/>
      <c r="E376" s="30"/>
      <c r="F376" s="30"/>
    </row>
    <row r="377">
      <c r="A377" s="113"/>
      <c r="B377" s="113"/>
      <c r="D377" s="30"/>
      <c r="E377" s="30"/>
      <c r="F377" s="30"/>
    </row>
    <row r="378">
      <c r="A378" s="113"/>
      <c r="B378" s="113"/>
      <c r="D378" s="30"/>
      <c r="E378" s="30"/>
      <c r="F378" s="30"/>
    </row>
    <row r="379">
      <c r="A379" s="113"/>
      <c r="B379" s="113"/>
      <c r="D379" s="30"/>
      <c r="E379" s="30"/>
      <c r="F379" s="30"/>
    </row>
    <row r="380">
      <c r="A380" s="113"/>
      <c r="B380" s="113"/>
      <c r="D380" s="30"/>
      <c r="E380" s="30"/>
      <c r="F380" s="30"/>
    </row>
    <row r="381">
      <c r="A381" s="113"/>
      <c r="B381" s="113"/>
      <c r="D381" s="30"/>
      <c r="E381" s="30"/>
      <c r="F381" s="30"/>
    </row>
    <row r="382">
      <c r="A382" s="113"/>
      <c r="B382" s="113"/>
      <c r="D382" s="30"/>
      <c r="E382" s="30"/>
      <c r="F382" s="30"/>
    </row>
    <row r="383">
      <c r="A383" s="113"/>
      <c r="B383" s="113"/>
      <c r="D383" s="30"/>
      <c r="E383" s="30"/>
      <c r="F383" s="30"/>
    </row>
    <row r="384">
      <c r="A384" s="113"/>
      <c r="B384" s="113"/>
      <c r="D384" s="30"/>
      <c r="E384" s="30"/>
      <c r="F384" s="30"/>
    </row>
    <row r="385">
      <c r="A385" s="113"/>
      <c r="B385" s="113"/>
      <c r="D385" s="30"/>
      <c r="E385" s="30"/>
      <c r="F385" s="30"/>
    </row>
    <row r="386">
      <c r="A386" s="113"/>
      <c r="B386" s="113"/>
      <c r="D386" s="30"/>
      <c r="E386" s="30"/>
      <c r="F386" s="30"/>
    </row>
    <row r="387">
      <c r="A387" s="113"/>
      <c r="B387" s="113"/>
      <c r="D387" s="30"/>
      <c r="E387" s="30"/>
      <c r="F387" s="30"/>
    </row>
    <row r="388">
      <c r="A388" s="113"/>
      <c r="B388" s="113"/>
      <c r="D388" s="30"/>
      <c r="E388" s="30"/>
      <c r="F388" s="30"/>
    </row>
    <row r="389">
      <c r="A389" s="113"/>
      <c r="B389" s="113"/>
      <c r="D389" s="30"/>
      <c r="E389" s="30"/>
      <c r="F389" s="30"/>
    </row>
    <row r="390">
      <c r="A390" s="113"/>
      <c r="B390" s="113"/>
      <c r="D390" s="30"/>
      <c r="E390" s="30"/>
      <c r="F390" s="30"/>
    </row>
    <row r="391">
      <c r="A391" s="113"/>
      <c r="B391" s="113"/>
      <c r="D391" s="30"/>
      <c r="E391" s="30"/>
      <c r="F391" s="30"/>
    </row>
    <row r="392">
      <c r="A392" s="113"/>
      <c r="B392" s="113"/>
      <c r="D392" s="30"/>
      <c r="E392" s="30"/>
      <c r="F392" s="30"/>
    </row>
    <row r="393">
      <c r="A393" s="113"/>
      <c r="B393" s="113"/>
      <c r="D393" s="30"/>
      <c r="E393" s="30"/>
      <c r="F393" s="30"/>
    </row>
    <row r="394">
      <c r="A394" s="113"/>
      <c r="B394" s="113"/>
      <c r="D394" s="30"/>
      <c r="E394" s="30"/>
      <c r="F394" s="30"/>
    </row>
    <row r="395">
      <c r="A395" s="113"/>
      <c r="B395" s="113"/>
      <c r="D395" s="30"/>
      <c r="E395" s="30"/>
      <c r="F395" s="30"/>
    </row>
    <row r="396">
      <c r="A396" s="113"/>
      <c r="B396" s="113"/>
      <c r="D396" s="30"/>
      <c r="E396" s="30"/>
      <c r="F396" s="30"/>
    </row>
    <row r="397">
      <c r="A397" s="113"/>
      <c r="B397" s="113"/>
      <c r="D397" s="30"/>
      <c r="E397" s="30"/>
      <c r="F397" s="30"/>
    </row>
    <row r="398">
      <c r="A398" s="113"/>
      <c r="B398" s="113"/>
      <c r="D398" s="30"/>
      <c r="E398" s="30"/>
      <c r="F398" s="30"/>
    </row>
    <row r="399">
      <c r="A399" s="113"/>
      <c r="B399" s="113"/>
      <c r="D399" s="30"/>
      <c r="E399" s="30"/>
      <c r="F399" s="30"/>
    </row>
    <row r="400">
      <c r="A400" s="113"/>
      <c r="B400" s="113"/>
      <c r="D400" s="30"/>
      <c r="E400" s="30"/>
      <c r="F400" s="30"/>
    </row>
    <row r="401">
      <c r="A401" s="113"/>
      <c r="B401" s="113"/>
      <c r="D401" s="30"/>
      <c r="E401" s="30"/>
      <c r="F401" s="30"/>
    </row>
    <row r="402">
      <c r="A402" s="113"/>
      <c r="B402" s="113"/>
      <c r="D402" s="30"/>
      <c r="E402" s="30"/>
      <c r="F402" s="30"/>
    </row>
    <row r="403">
      <c r="A403" s="113"/>
      <c r="B403" s="113"/>
      <c r="D403" s="30"/>
      <c r="E403" s="30"/>
      <c r="F403" s="30"/>
    </row>
    <row r="404">
      <c r="A404" s="113"/>
      <c r="B404" s="113"/>
      <c r="D404" s="30"/>
      <c r="E404" s="30"/>
      <c r="F404" s="30"/>
    </row>
    <row r="405">
      <c r="A405" s="113"/>
      <c r="B405" s="113"/>
      <c r="D405" s="30"/>
      <c r="E405" s="30"/>
      <c r="F405" s="30"/>
    </row>
    <row r="406">
      <c r="A406" s="113"/>
      <c r="B406" s="113"/>
      <c r="D406" s="30"/>
      <c r="E406" s="30"/>
      <c r="F406" s="30"/>
    </row>
    <row r="407">
      <c r="A407" s="113"/>
      <c r="B407" s="113"/>
      <c r="D407" s="30"/>
      <c r="E407" s="30"/>
      <c r="F407" s="30"/>
    </row>
    <row r="408">
      <c r="A408" s="113"/>
      <c r="B408" s="113"/>
      <c r="D408" s="30"/>
      <c r="E408" s="30"/>
      <c r="F408" s="30"/>
    </row>
    <row r="409">
      <c r="A409" s="113"/>
      <c r="B409" s="113"/>
      <c r="D409" s="30"/>
      <c r="E409" s="30"/>
      <c r="F409" s="30"/>
    </row>
    <row r="410">
      <c r="A410" s="113"/>
      <c r="B410" s="113"/>
      <c r="D410" s="30"/>
      <c r="E410" s="30"/>
      <c r="F410" s="30"/>
    </row>
    <row r="411">
      <c r="A411" s="113"/>
      <c r="B411" s="113"/>
      <c r="D411" s="30"/>
      <c r="E411" s="30"/>
      <c r="F411" s="30"/>
    </row>
    <row r="412">
      <c r="A412" s="113"/>
      <c r="B412" s="113"/>
      <c r="D412" s="30"/>
      <c r="E412" s="30"/>
      <c r="F412" s="30"/>
    </row>
    <row r="413">
      <c r="A413" s="113"/>
      <c r="B413" s="113"/>
      <c r="D413" s="30"/>
      <c r="E413" s="30"/>
      <c r="F413" s="30"/>
    </row>
    <row r="414">
      <c r="A414" s="113"/>
      <c r="B414" s="113"/>
      <c r="D414" s="30"/>
      <c r="E414" s="30"/>
      <c r="F414" s="30"/>
    </row>
    <row r="415">
      <c r="A415" s="113"/>
      <c r="B415" s="113"/>
      <c r="D415" s="30"/>
      <c r="E415" s="30"/>
      <c r="F415" s="30"/>
    </row>
    <row r="416">
      <c r="A416" s="113"/>
      <c r="B416" s="113"/>
      <c r="D416" s="30"/>
      <c r="E416" s="30"/>
      <c r="F416" s="30"/>
    </row>
    <row r="417">
      <c r="A417" s="113"/>
      <c r="B417" s="113"/>
      <c r="D417" s="30"/>
      <c r="E417" s="30"/>
      <c r="F417" s="30"/>
    </row>
    <row r="418">
      <c r="A418" s="113"/>
      <c r="B418" s="113"/>
      <c r="D418" s="30"/>
      <c r="E418" s="30"/>
      <c r="F418" s="30"/>
    </row>
    <row r="419">
      <c r="A419" s="113"/>
      <c r="B419" s="113"/>
      <c r="D419" s="30"/>
      <c r="E419" s="30"/>
      <c r="F419" s="30"/>
    </row>
    <row r="420">
      <c r="A420" s="113"/>
      <c r="B420" s="113"/>
      <c r="D420" s="30"/>
      <c r="E420" s="30"/>
      <c r="F420" s="30"/>
    </row>
    <row r="421">
      <c r="A421" s="113"/>
      <c r="B421" s="113"/>
      <c r="D421" s="30"/>
      <c r="E421" s="30"/>
      <c r="F421" s="30"/>
    </row>
    <row r="422">
      <c r="A422" s="113"/>
      <c r="B422" s="113"/>
      <c r="D422" s="30"/>
      <c r="E422" s="30"/>
      <c r="F422" s="30"/>
    </row>
    <row r="423">
      <c r="A423" s="113"/>
      <c r="B423" s="113"/>
      <c r="D423" s="30"/>
      <c r="E423" s="30"/>
      <c r="F423" s="30"/>
    </row>
    <row r="424">
      <c r="A424" s="113"/>
      <c r="B424" s="113"/>
      <c r="D424" s="30"/>
      <c r="E424" s="30"/>
      <c r="F424" s="30"/>
    </row>
    <row r="425">
      <c r="A425" s="113"/>
      <c r="B425" s="113"/>
      <c r="D425" s="30"/>
      <c r="E425" s="30"/>
      <c r="F425" s="30"/>
    </row>
    <row r="426">
      <c r="A426" s="113"/>
      <c r="B426" s="113"/>
      <c r="D426" s="30"/>
      <c r="E426" s="30"/>
      <c r="F426" s="30"/>
    </row>
    <row r="427">
      <c r="A427" s="113"/>
      <c r="B427" s="113"/>
      <c r="D427" s="30"/>
      <c r="E427" s="30"/>
      <c r="F427" s="30"/>
    </row>
    <row r="428">
      <c r="A428" s="113"/>
      <c r="B428" s="113"/>
      <c r="D428" s="30"/>
      <c r="E428" s="30"/>
      <c r="F428" s="30"/>
    </row>
    <row r="429">
      <c r="A429" s="113"/>
      <c r="B429" s="113"/>
      <c r="D429" s="30"/>
      <c r="E429" s="30"/>
      <c r="F429" s="30"/>
    </row>
    <row r="430">
      <c r="A430" s="113"/>
      <c r="B430" s="113"/>
      <c r="D430" s="30"/>
      <c r="E430" s="30"/>
      <c r="F430" s="30"/>
    </row>
    <row r="431">
      <c r="A431" s="113"/>
      <c r="B431" s="113"/>
      <c r="D431" s="30"/>
      <c r="E431" s="30"/>
      <c r="F431" s="30"/>
    </row>
    <row r="432">
      <c r="A432" s="113"/>
      <c r="B432" s="113"/>
      <c r="D432" s="30"/>
      <c r="E432" s="30"/>
      <c r="F432" s="30"/>
    </row>
    <row r="433">
      <c r="A433" s="113"/>
      <c r="B433" s="113"/>
      <c r="D433" s="30"/>
      <c r="E433" s="30"/>
      <c r="F433" s="30"/>
    </row>
    <row r="434">
      <c r="A434" s="113"/>
      <c r="B434" s="113"/>
      <c r="D434" s="30"/>
      <c r="E434" s="30"/>
      <c r="F434" s="30"/>
    </row>
    <row r="435">
      <c r="A435" s="113"/>
      <c r="B435" s="113"/>
      <c r="D435" s="30"/>
      <c r="E435" s="30"/>
      <c r="F435" s="30"/>
    </row>
    <row r="436">
      <c r="A436" s="113"/>
      <c r="B436" s="113"/>
      <c r="D436" s="30"/>
      <c r="E436" s="30"/>
      <c r="F436" s="30"/>
    </row>
    <row r="437">
      <c r="A437" s="113"/>
      <c r="B437" s="113"/>
      <c r="D437" s="30"/>
      <c r="E437" s="30"/>
      <c r="F437" s="30"/>
    </row>
    <row r="438">
      <c r="A438" s="113"/>
      <c r="B438" s="113"/>
      <c r="D438" s="30"/>
      <c r="E438" s="30"/>
      <c r="F438" s="30"/>
    </row>
    <row r="439">
      <c r="A439" s="113"/>
      <c r="B439" s="113"/>
      <c r="D439" s="30"/>
      <c r="E439" s="30"/>
      <c r="F439" s="30"/>
    </row>
    <row r="440">
      <c r="A440" s="113"/>
      <c r="B440" s="113"/>
      <c r="D440" s="30"/>
      <c r="E440" s="30"/>
      <c r="F440" s="30"/>
    </row>
    <row r="441">
      <c r="A441" s="113"/>
      <c r="B441" s="113"/>
      <c r="D441" s="30"/>
      <c r="E441" s="30"/>
      <c r="F441" s="30"/>
    </row>
    <row r="442">
      <c r="A442" s="113"/>
      <c r="B442" s="113"/>
      <c r="D442" s="30"/>
      <c r="E442" s="30"/>
      <c r="F442" s="30"/>
    </row>
    <row r="443">
      <c r="A443" s="113"/>
      <c r="B443" s="113"/>
      <c r="D443" s="30"/>
      <c r="E443" s="30"/>
      <c r="F443" s="30"/>
    </row>
    <row r="444">
      <c r="A444" s="113"/>
      <c r="B444" s="113"/>
      <c r="D444" s="30"/>
      <c r="E444" s="30"/>
      <c r="F444" s="30"/>
    </row>
    <row r="445">
      <c r="A445" s="113"/>
      <c r="B445" s="113"/>
      <c r="D445" s="30"/>
      <c r="E445" s="30"/>
      <c r="F445" s="30"/>
    </row>
    <row r="446">
      <c r="A446" s="113"/>
      <c r="B446" s="113"/>
      <c r="D446" s="30"/>
      <c r="E446" s="30"/>
      <c r="F446" s="30"/>
    </row>
    <row r="447">
      <c r="A447" s="113"/>
      <c r="B447" s="113"/>
      <c r="D447" s="30"/>
      <c r="E447" s="30"/>
      <c r="F447" s="30"/>
    </row>
    <row r="448">
      <c r="A448" s="113"/>
      <c r="B448" s="113"/>
      <c r="D448" s="30"/>
      <c r="E448" s="30"/>
      <c r="F448" s="30"/>
    </row>
    <row r="449">
      <c r="A449" s="113"/>
      <c r="B449" s="113"/>
      <c r="D449" s="30"/>
      <c r="E449" s="30"/>
      <c r="F449" s="30"/>
    </row>
    <row r="450">
      <c r="A450" s="113"/>
      <c r="B450" s="113"/>
      <c r="D450" s="30"/>
      <c r="E450" s="30"/>
      <c r="F450" s="30"/>
    </row>
    <row r="451">
      <c r="A451" s="113"/>
      <c r="B451" s="113"/>
      <c r="D451" s="30"/>
      <c r="E451" s="30"/>
      <c r="F451" s="30"/>
    </row>
    <row r="452">
      <c r="A452" s="113"/>
      <c r="B452" s="113"/>
      <c r="D452" s="30"/>
      <c r="E452" s="30"/>
      <c r="F452" s="30"/>
    </row>
    <row r="453">
      <c r="A453" s="113"/>
      <c r="B453" s="113"/>
      <c r="D453" s="30"/>
      <c r="E453" s="30"/>
      <c r="F453" s="30"/>
    </row>
    <row r="454">
      <c r="A454" s="113"/>
      <c r="B454" s="113"/>
      <c r="D454" s="30"/>
      <c r="E454" s="30"/>
      <c r="F454" s="30"/>
    </row>
    <row r="455">
      <c r="A455" s="113"/>
      <c r="B455" s="113"/>
      <c r="D455" s="30"/>
      <c r="E455" s="30"/>
      <c r="F455" s="30"/>
    </row>
    <row r="456">
      <c r="A456" s="113"/>
      <c r="B456" s="113"/>
      <c r="D456" s="30"/>
      <c r="E456" s="30"/>
      <c r="F456" s="30"/>
    </row>
    <row r="457">
      <c r="A457" s="113"/>
      <c r="B457" s="113"/>
      <c r="D457" s="30"/>
      <c r="E457" s="30"/>
      <c r="F457" s="30"/>
    </row>
    <row r="458">
      <c r="A458" s="113"/>
      <c r="B458" s="113"/>
      <c r="D458" s="30"/>
      <c r="E458" s="30"/>
      <c r="F458" s="30"/>
    </row>
    <row r="459">
      <c r="A459" s="113"/>
      <c r="B459" s="113"/>
      <c r="D459" s="30"/>
      <c r="E459" s="30"/>
      <c r="F459" s="30"/>
    </row>
    <row r="460">
      <c r="A460" s="113"/>
      <c r="B460" s="113"/>
      <c r="D460" s="30"/>
      <c r="E460" s="30"/>
      <c r="F460" s="30"/>
    </row>
    <row r="461">
      <c r="A461" s="113"/>
      <c r="B461" s="113"/>
      <c r="D461" s="30"/>
      <c r="E461" s="30"/>
      <c r="F461" s="30"/>
    </row>
    <row r="462">
      <c r="A462" s="113"/>
      <c r="B462" s="113"/>
      <c r="D462" s="30"/>
      <c r="E462" s="30"/>
      <c r="F462" s="30"/>
    </row>
    <row r="463">
      <c r="A463" s="113"/>
      <c r="B463" s="113"/>
      <c r="D463" s="30"/>
      <c r="E463" s="30"/>
      <c r="F463" s="30"/>
    </row>
    <row r="464">
      <c r="A464" s="113"/>
      <c r="B464" s="113"/>
      <c r="D464" s="30"/>
      <c r="E464" s="30"/>
      <c r="F464" s="30"/>
    </row>
    <row r="465">
      <c r="A465" s="113"/>
      <c r="B465" s="113"/>
      <c r="D465" s="30"/>
      <c r="E465" s="30"/>
      <c r="F465" s="30"/>
    </row>
    <row r="466">
      <c r="A466" s="113"/>
      <c r="B466" s="113"/>
      <c r="D466" s="30"/>
      <c r="E466" s="30"/>
      <c r="F466" s="30"/>
    </row>
    <row r="467">
      <c r="A467" s="113"/>
      <c r="B467" s="113"/>
      <c r="D467" s="30"/>
      <c r="E467" s="30"/>
      <c r="F467" s="30"/>
    </row>
    <row r="468">
      <c r="A468" s="113"/>
      <c r="B468" s="113"/>
      <c r="D468" s="30"/>
      <c r="E468" s="30"/>
      <c r="F468" s="30"/>
    </row>
    <row r="469">
      <c r="A469" s="113"/>
      <c r="B469" s="113"/>
      <c r="D469" s="30"/>
      <c r="E469" s="30"/>
      <c r="F469" s="30"/>
    </row>
    <row r="470">
      <c r="A470" s="113"/>
      <c r="B470" s="113"/>
      <c r="D470" s="30"/>
      <c r="E470" s="30"/>
      <c r="F470" s="30"/>
    </row>
    <row r="471">
      <c r="A471" s="113"/>
      <c r="B471" s="113"/>
      <c r="D471" s="30"/>
      <c r="E471" s="30"/>
      <c r="F471" s="30"/>
    </row>
    <row r="472">
      <c r="A472" s="113"/>
      <c r="B472" s="113"/>
      <c r="D472" s="30"/>
      <c r="E472" s="30"/>
      <c r="F472" s="30"/>
    </row>
    <row r="473">
      <c r="A473" s="113"/>
      <c r="B473" s="113"/>
      <c r="D473" s="30"/>
      <c r="E473" s="30"/>
      <c r="F473" s="30"/>
    </row>
    <row r="474">
      <c r="A474" s="113"/>
      <c r="B474" s="113"/>
      <c r="D474" s="30"/>
      <c r="E474" s="30"/>
      <c r="F474" s="30"/>
    </row>
    <row r="475">
      <c r="A475" s="113"/>
      <c r="B475" s="113"/>
      <c r="D475" s="30"/>
      <c r="E475" s="30"/>
      <c r="F475" s="30"/>
    </row>
    <row r="476">
      <c r="A476" s="113"/>
      <c r="B476" s="113"/>
      <c r="D476" s="30"/>
      <c r="E476" s="30"/>
      <c r="F476" s="30"/>
    </row>
    <row r="477">
      <c r="A477" s="113"/>
      <c r="B477" s="113"/>
      <c r="D477" s="30"/>
      <c r="E477" s="30"/>
      <c r="F477" s="30"/>
    </row>
    <row r="478">
      <c r="A478" s="113"/>
      <c r="B478" s="113"/>
      <c r="D478" s="30"/>
      <c r="E478" s="30"/>
      <c r="F478" s="30"/>
    </row>
    <row r="479">
      <c r="A479" s="113"/>
      <c r="B479" s="113"/>
      <c r="D479" s="30"/>
      <c r="E479" s="30"/>
      <c r="F479" s="30"/>
    </row>
    <row r="480">
      <c r="A480" s="113"/>
      <c r="B480" s="113"/>
      <c r="D480" s="30"/>
      <c r="E480" s="30"/>
      <c r="F480" s="30"/>
    </row>
    <row r="481">
      <c r="A481" s="113"/>
      <c r="B481" s="113"/>
      <c r="D481" s="30"/>
      <c r="E481" s="30"/>
      <c r="F481" s="30"/>
    </row>
    <row r="482">
      <c r="A482" s="113"/>
      <c r="B482" s="113"/>
      <c r="D482" s="30"/>
      <c r="E482" s="30"/>
      <c r="F482" s="30"/>
    </row>
    <row r="483">
      <c r="A483" s="113"/>
      <c r="B483" s="113"/>
      <c r="D483" s="30"/>
      <c r="E483" s="30"/>
      <c r="F483" s="30"/>
    </row>
    <row r="484">
      <c r="A484" s="113"/>
      <c r="B484" s="113"/>
      <c r="D484" s="30"/>
      <c r="E484" s="30"/>
      <c r="F484" s="30"/>
    </row>
    <row r="485">
      <c r="A485" s="113"/>
      <c r="B485" s="113"/>
      <c r="D485" s="30"/>
      <c r="E485" s="30"/>
      <c r="F485" s="30"/>
    </row>
    <row r="486">
      <c r="A486" s="113"/>
      <c r="B486" s="113"/>
      <c r="D486" s="30"/>
      <c r="E486" s="30"/>
      <c r="F486" s="30"/>
    </row>
    <row r="487">
      <c r="A487" s="113"/>
      <c r="B487" s="113"/>
      <c r="D487" s="30"/>
      <c r="E487" s="30"/>
      <c r="F487" s="30"/>
    </row>
    <row r="488">
      <c r="A488" s="113"/>
      <c r="B488" s="113"/>
      <c r="D488" s="30"/>
      <c r="E488" s="30"/>
      <c r="F488" s="30"/>
    </row>
    <row r="489">
      <c r="A489" s="113"/>
      <c r="B489" s="113"/>
      <c r="D489" s="30"/>
      <c r="E489" s="30"/>
      <c r="F489" s="30"/>
    </row>
    <row r="490">
      <c r="A490" s="113"/>
      <c r="B490" s="113"/>
      <c r="D490" s="30"/>
      <c r="E490" s="30"/>
      <c r="F490" s="30"/>
    </row>
    <row r="491">
      <c r="A491" s="113"/>
      <c r="B491" s="113"/>
      <c r="D491" s="30"/>
      <c r="E491" s="30"/>
      <c r="F491" s="30"/>
    </row>
    <row r="492">
      <c r="A492" s="113"/>
      <c r="B492" s="113"/>
      <c r="D492" s="30"/>
      <c r="E492" s="30"/>
      <c r="F492" s="30"/>
    </row>
    <row r="493">
      <c r="A493" s="113"/>
      <c r="B493" s="113"/>
      <c r="D493" s="30"/>
      <c r="E493" s="30"/>
      <c r="F493" s="30"/>
    </row>
    <row r="494">
      <c r="A494" s="113"/>
      <c r="B494" s="113"/>
      <c r="D494" s="30"/>
      <c r="E494" s="30"/>
      <c r="F494" s="30"/>
    </row>
    <row r="495">
      <c r="A495" s="113"/>
      <c r="B495" s="113"/>
      <c r="D495" s="30"/>
      <c r="E495" s="30"/>
      <c r="F495" s="30"/>
    </row>
    <row r="496">
      <c r="A496" s="113"/>
      <c r="B496" s="113"/>
      <c r="D496" s="30"/>
      <c r="E496" s="30"/>
      <c r="F496" s="30"/>
    </row>
    <row r="497">
      <c r="A497" s="113"/>
      <c r="B497" s="113"/>
      <c r="D497" s="30"/>
      <c r="E497" s="30"/>
      <c r="F497" s="30"/>
    </row>
    <row r="498">
      <c r="A498" s="113"/>
      <c r="B498" s="113"/>
      <c r="D498" s="30"/>
      <c r="E498" s="30"/>
      <c r="F498" s="30"/>
    </row>
    <row r="499">
      <c r="A499" s="113"/>
      <c r="B499" s="113"/>
      <c r="D499" s="30"/>
      <c r="E499" s="30"/>
      <c r="F499" s="30"/>
    </row>
    <row r="500">
      <c r="A500" s="113"/>
      <c r="B500" s="113"/>
      <c r="D500" s="30"/>
      <c r="E500" s="30"/>
      <c r="F500" s="30"/>
    </row>
    <row r="501">
      <c r="A501" s="113"/>
      <c r="B501" s="113"/>
      <c r="D501" s="30"/>
      <c r="E501" s="30"/>
      <c r="F501" s="30"/>
    </row>
    <row r="502">
      <c r="A502" s="113"/>
      <c r="B502" s="113"/>
      <c r="D502" s="30"/>
      <c r="E502" s="30"/>
      <c r="F502" s="30"/>
    </row>
    <row r="503">
      <c r="A503" s="113"/>
      <c r="B503" s="113"/>
      <c r="D503" s="30"/>
      <c r="E503" s="30"/>
      <c r="F503" s="30"/>
    </row>
    <row r="504">
      <c r="A504" s="113"/>
      <c r="B504" s="113"/>
      <c r="D504" s="30"/>
      <c r="E504" s="30"/>
      <c r="F504" s="30"/>
    </row>
    <row r="505">
      <c r="A505" s="113"/>
      <c r="B505" s="113"/>
      <c r="D505" s="30"/>
      <c r="E505" s="30"/>
      <c r="F505" s="30"/>
    </row>
    <row r="506">
      <c r="A506" s="113"/>
      <c r="B506" s="113"/>
      <c r="D506" s="30"/>
      <c r="E506" s="30"/>
      <c r="F506" s="30"/>
    </row>
    <row r="507">
      <c r="A507" s="113"/>
      <c r="B507" s="113"/>
      <c r="D507" s="30"/>
      <c r="E507" s="30"/>
      <c r="F507" s="30"/>
    </row>
    <row r="508">
      <c r="A508" s="113"/>
      <c r="B508" s="113"/>
      <c r="D508" s="30"/>
      <c r="E508" s="30"/>
      <c r="F508" s="30"/>
    </row>
    <row r="509">
      <c r="A509" s="113"/>
      <c r="B509" s="113"/>
      <c r="D509" s="30"/>
      <c r="E509" s="30"/>
      <c r="F509" s="30"/>
    </row>
    <row r="510">
      <c r="A510" s="113"/>
      <c r="B510" s="113"/>
      <c r="D510" s="30"/>
      <c r="E510" s="30"/>
      <c r="F510" s="30"/>
    </row>
    <row r="511">
      <c r="A511" s="113"/>
      <c r="B511" s="113"/>
      <c r="D511" s="30"/>
      <c r="E511" s="30"/>
      <c r="F511" s="30"/>
    </row>
    <row r="512">
      <c r="A512" s="113"/>
      <c r="B512" s="113"/>
      <c r="D512" s="30"/>
      <c r="E512" s="30"/>
      <c r="F512" s="30"/>
    </row>
    <row r="513">
      <c r="A513" s="113"/>
      <c r="B513" s="113"/>
      <c r="D513" s="30"/>
      <c r="E513" s="30"/>
      <c r="F513" s="30"/>
    </row>
    <row r="514">
      <c r="A514" s="113"/>
      <c r="B514" s="113"/>
      <c r="D514" s="30"/>
      <c r="E514" s="30"/>
      <c r="F514" s="30"/>
    </row>
    <row r="515">
      <c r="A515" s="113"/>
      <c r="B515" s="113"/>
      <c r="D515" s="30"/>
      <c r="E515" s="30"/>
      <c r="F515" s="30"/>
    </row>
    <row r="516">
      <c r="A516" s="113"/>
      <c r="B516" s="113"/>
      <c r="D516" s="30"/>
      <c r="E516" s="30"/>
      <c r="F516" s="30"/>
    </row>
    <row r="517">
      <c r="A517" s="113"/>
      <c r="B517" s="113"/>
      <c r="D517" s="30"/>
      <c r="E517" s="30"/>
      <c r="F517" s="30"/>
    </row>
    <row r="518">
      <c r="A518" s="113"/>
      <c r="B518" s="113"/>
      <c r="D518" s="30"/>
      <c r="E518" s="30"/>
      <c r="F518" s="30"/>
    </row>
    <row r="519">
      <c r="A519" s="113"/>
      <c r="B519" s="113"/>
      <c r="D519" s="30"/>
      <c r="E519" s="30"/>
      <c r="F519" s="30"/>
    </row>
    <row r="520">
      <c r="A520" s="113"/>
      <c r="B520" s="113"/>
      <c r="D520" s="30"/>
      <c r="E520" s="30"/>
      <c r="F520" s="30"/>
    </row>
    <row r="521">
      <c r="A521" s="113"/>
      <c r="B521" s="113"/>
      <c r="D521" s="30"/>
      <c r="E521" s="30"/>
      <c r="F521" s="30"/>
    </row>
    <row r="522">
      <c r="A522" s="113"/>
      <c r="B522" s="113"/>
      <c r="D522" s="30"/>
      <c r="E522" s="30"/>
      <c r="F522" s="30"/>
    </row>
    <row r="523">
      <c r="A523" s="113"/>
      <c r="B523" s="113"/>
      <c r="D523" s="30"/>
      <c r="E523" s="30"/>
      <c r="F523" s="30"/>
    </row>
    <row r="524">
      <c r="A524" s="113"/>
      <c r="B524" s="113"/>
      <c r="D524" s="30"/>
      <c r="E524" s="30"/>
      <c r="F524" s="30"/>
    </row>
    <row r="525">
      <c r="A525" s="113"/>
      <c r="B525" s="113"/>
      <c r="D525" s="30"/>
      <c r="E525" s="30"/>
      <c r="F525" s="30"/>
    </row>
    <row r="526">
      <c r="A526" s="113"/>
      <c r="B526" s="113"/>
      <c r="D526" s="30"/>
      <c r="E526" s="30"/>
      <c r="F526" s="30"/>
    </row>
    <row r="527">
      <c r="A527" s="113"/>
      <c r="B527" s="113"/>
      <c r="D527" s="30"/>
      <c r="E527" s="30"/>
      <c r="F527" s="30"/>
    </row>
    <row r="528">
      <c r="A528" s="113"/>
      <c r="B528" s="113"/>
      <c r="D528" s="30"/>
      <c r="E528" s="30"/>
      <c r="F528" s="30"/>
    </row>
    <row r="529">
      <c r="A529" s="113"/>
      <c r="B529" s="113"/>
      <c r="D529" s="30"/>
      <c r="E529" s="30"/>
      <c r="F529" s="30"/>
    </row>
    <row r="530">
      <c r="A530" s="113"/>
      <c r="B530" s="113"/>
      <c r="D530" s="30"/>
      <c r="E530" s="30"/>
      <c r="F530" s="30"/>
    </row>
    <row r="531">
      <c r="A531" s="113"/>
      <c r="B531" s="113"/>
      <c r="D531" s="30"/>
      <c r="E531" s="30"/>
      <c r="F531" s="30"/>
    </row>
    <row r="532">
      <c r="A532" s="113"/>
      <c r="B532" s="113"/>
      <c r="D532" s="30"/>
      <c r="E532" s="30"/>
      <c r="F532" s="30"/>
    </row>
    <row r="533">
      <c r="A533" s="113"/>
      <c r="B533" s="113"/>
      <c r="D533" s="30"/>
      <c r="E533" s="30"/>
      <c r="F533" s="30"/>
    </row>
    <row r="534">
      <c r="A534" s="113"/>
      <c r="B534" s="113"/>
      <c r="D534" s="30"/>
      <c r="E534" s="30"/>
      <c r="F534" s="30"/>
    </row>
    <row r="535">
      <c r="A535" s="113"/>
      <c r="B535" s="113"/>
      <c r="D535" s="30"/>
      <c r="E535" s="30"/>
      <c r="F535" s="30"/>
    </row>
    <row r="536">
      <c r="A536" s="113"/>
      <c r="B536" s="113"/>
      <c r="D536" s="30"/>
      <c r="E536" s="30"/>
      <c r="F536" s="30"/>
    </row>
    <row r="537">
      <c r="A537" s="113"/>
      <c r="B537" s="113"/>
      <c r="D537" s="30"/>
      <c r="E537" s="30"/>
      <c r="F537" s="30"/>
    </row>
    <row r="538">
      <c r="A538" s="113"/>
      <c r="B538" s="113"/>
      <c r="D538" s="30"/>
      <c r="E538" s="30"/>
      <c r="F538" s="30"/>
    </row>
    <row r="539">
      <c r="A539" s="113"/>
      <c r="B539" s="113"/>
      <c r="D539" s="30"/>
      <c r="E539" s="30"/>
      <c r="F539" s="30"/>
    </row>
    <row r="540">
      <c r="A540" s="113"/>
      <c r="B540" s="113"/>
      <c r="D540" s="30"/>
      <c r="E540" s="30"/>
      <c r="F540" s="30"/>
    </row>
    <row r="541">
      <c r="A541" s="113"/>
      <c r="B541" s="113"/>
      <c r="D541" s="30"/>
      <c r="E541" s="30"/>
      <c r="F541" s="30"/>
    </row>
    <row r="542">
      <c r="A542" s="113"/>
      <c r="B542" s="113"/>
      <c r="D542" s="30"/>
      <c r="E542" s="30"/>
      <c r="F542" s="30"/>
    </row>
    <row r="543">
      <c r="A543" s="113"/>
      <c r="B543" s="113"/>
      <c r="D543" s="30"/>
      <c r="E543" s="30"/>
      <c r="F543" s="30"/>
    </row>
    <row r="544">
      <c r="A544" s="113"/>
      <c r="B544" s="113"/>
      <c r="D544" s="30"/>
      <c r="E544" s="30"/>
      <c r="F544" s="30"/>
    </row>
    <row r="545">
      <c r="A545" s="113"/>
      <c r="B545" s="113"/>
      <c r="D545" s="30"/>
      <c r="E545" s="30"/>
      <c r="F545" s="30"/>
    </row>
    <row r="546">
      <c r="A546" s="113"/>
      <c r="B546" s="113"/>
      <c r="D546" s="30"/>
      <c r="E546" s="30"/>
      <c r="F546" s="30"/>
    </row>
    <row r="547">
      <c r="A547" s="113"/>
      <c r="B547" s="113"/>
      <c r="D547" s="30"/>
      <c r="E547" s="30"/>
      <c r="F547" s="30"/>
    </row>
    <row r="548">
      <c r="A548" s="113"/>
      <c r="B548" s="113"/>
      <c r="D548" s="30"/>
      <c r="E548" s="30"/>
      <c r="F548" s="30"/>
    </row>
    <row r="549">
      <c r="A549" s="113"/>
      <c r="B549" s="113"/>
      <c r="D549" s="30"/>
      <c r="E549" s="30"/>
      <c r="F549" s="30"/>
    </row>
    <row r="550">
      <c r="A550" s="113"/>
      <c r="B550" s="113"/>
      <c r="D550" s="30"/>
      <c r="E550" s="30"/>
      <c r="F550" s="30"/>
    </row>
    <row r="551">
      <c r="A551" s="113"/>
      <c r="B551" s="113"/>
      <c r="D551" s="30"/>
      <c r="E551" s="30"/>
      <c r="F551" s="30"/>
    </row>
    <row r="552">
      <c r="A552" s="113"/>
      <c r="B552" s="113"/>
      <c r="D552" s="30"/>
      <c r="E552" s="30"/>
      <c r="F552" s="30"/>
    </row>
    <row r="553">
      <c r="A553" s="113"/>
      <c r="B553" s="113"/>
      <c r="D553" s="30"/>
      <c r="E553" s="30"/>
      <c r="F553" s="30"/>
    </row>
    <row r="554">
      <c r="A554" s="113"/>
      <c r="B554" s="113"/>
      <c r="D554" s="30"/>
      <c r="E554" s="30"/>
      <c r="F554" s="30"/>
    </row>
    <row r="555">
      <c r="A555" s="113"/>
      <c r="B555" s="113"/>
      <c r="D555" s="30"/>
      <c r="E555" s="30"/>
      <c r="F555" s="30"/>
    </row>
    <row r="556">
      <c r="A556" s="113"/>
      <c r="B556" s="113"/>
      <c r="D556" s="30"/>
      <c r="E556" s="30"/>
      <c r="F556" s="30"/>
    </row>
    <row r="557">
      <c r="A557" s="113"/>
      <c r="B557" s="113"/>
      <c r="D557" s="30"/>
      <c r="E557" s="30"/>
      <c r="F557" s="30"/>
    </row>
    <row r="558">
      <c r="A558" s="113"/>
      <c r="B558" s="113"/>
      <c r="D558" s="30"/>
      <c r="E558" s="30"/>
      <c r="F558" s="30"/>
    </row>
    <row r="559">
      <c r="A559" s="113"/>
      <c r="B559" s="113"/>
      <c r="D559" s="30"/>
      <c r="E559" s="30"/>
      <c r="F559" s="30"/>
    </row>
    <row r="560">
      <c r="A560" s="113"/>
      <c r="B560" s="113"/>
      <c r="D560" s="30"/>
      <c r="E560" s="30"/>
      <c r="F560" s="30"/>
    </row>
    <row r="561">
      <c r="A561" s="113"/>
      <c r="B561" s="113"/>
      <c r="D561" s="30"/>
      <c r="E561" s="30"/>
      <c r="F561" s="30"/>
    </row>
    <row r="562">
      <c r="A562" s="113"/>
      <c r="B562" s="113"/>
      <c r="D562" s="30"/>
      <c r="E562" s="30"/>
      <c r="F562" s="30"/>
    </row>
    <row r="563">
      <c r="A563" s="113"/>
      <c r="B563" s="113"/>
      <c r="D563" s="30"/>
      <c r="E563" s="30"/>
      <c r="F563" s="30"/>
    </row>
    <row r="564">
      <c r="A564" s="113"/>
      <c r="B564" s="113"/>
      <c r="D564" s="30"/>
      <c r="E564" s="30"/>
      <c r="F564" s="30"/>
    </row>
    <row r="565">
      <c r="A565" s="113"/>
      <c r="B565" s="113"/>
      <c r="D565" s="30"/>
      <c r="E565" s="30"/>
      <c r="F565" s="30"/>
    </row>
    <row r="566">
      <c r="A566" s="113"/>
      <c r="B566" s="113"/>
      <c r="D566" s="30"/>
      <c r="E566" s="30"/>
      <c r="F566" s="30"/>
    </row>
    <row r="567">
      <c r="A567" s="113"/>
      <c r="B567" s="113"/>
      <c r="D567" s="30"/>
      <c r="E567" s="30"/>
      <c r="F567" s="30"/>
    </row>
    <row r="568">
      <c r="A568" s="113"/>
      <c r="B568" s="113"/>
      <c r="D568" s="30"/>
      <c r="E568" s="30"/>
      <c r="F568" s="30"/>
    </row>
    <row r="569">
      <c r="A569" s="113"/>
      <c r="B569" s="113"/>
      <c r="D569" s="30"/>
      <c r="E569" s="30"/>
      <c r="F569" s="30"/>
    </row>
    <row r="570">
      <c r="A570" s="113"/>
      <c r="B570" s="113"/>
      <c r="D570" s="30"/>
      <c r="E570" s="30"/>
      <c r="F570" s="30"/>
    </row>
    <row r="571">
      <c r="A571" s="113"/>
      <c r="B571" s="113"/>
      <c r="D571" s="30"/>
      <c r="E571" s="30"/>
      <c r="F571" s="30"/>
    </row>
    <row r="572">
      <c r="A572" s="113"/>
      <c r="B572" s="113"/>
      <c r="D572" s="30"/>
      <c r="E572" s="30"/>
      <c r="F572" s="30"/>
    </row>
    <row r="573">
      <c r="A573" s="113"/>
      <c r="B573" s="113"/>
      <c r="D573" s="30"/>
      <c r="E573" s="30"/>
      <c r="F573" s="30"/>
    </row>
    <row r="574">
      <c r="A574" s="113"/>
      <c r="B574" s="113"/>
      <c r="D574" s="30"/>
      <c r="E574" s="30"/>
      <c r="F574" s="30"/>
    </row>
    <row r="575">
      <c r="A575" s="113"/>
      <c r="B575" s="113"/>
      <c r="D575" s="30"/>
      <c r="E575" s="30"/>
      <c r="F575" s="30"/>
    </row>
    <row r="576">
      <c r="A576" s="113"/>
      <c r="B576" s="113"/>
      <c r="D576" s="30"/>
      <c r="E576" s="30"/>
      <c r="F576" s="30"/>
    </row>
    <row r="577">
      <c r="A577" s="113"/>
      <c r="B577" s="113"/>
      <c r="D577" s="30"/>
      <c r="E577" s="30"/>
      <c r="F577" s="30"/>
    </row>
    <row r="578">
      <c r="A578" s="113"/>
      <c r="B578" s="113"/>
      <c r="D578" s="30"/>
      <c r="E578" s="30"/>
      <c r="F578" s="30"/>
    </row>
    <row r="579">
      <c r="A579" s="113"/>
      <c r="B579" s="113"/>
      <c r="D579" s="30"/>
      <c r="E579" s="30"/>
      <c r="F579" s="30"/>
    </row>
    <row r="580">
      <c r="A580" s="113"/>
      <c r="B580" s="113"/>
      <c r="D580" s="30"/>
      <c r="E580" s="30"/>
      <c r="F580" s="30"/>
    </row>
    <row r="581">
      <c r="A581" s="113"/>
      <c r="B581" s="113"/>
      <c r="D581" s="30"/>
      <c r="E581" s="30"/>
      <c r="F581" s="30"/>
    </row>
    <row r="582">
      <c r="A582" s="113"/>
      <c r="B582" s="113"/>
      <c r="D582" s="30"/>
      <c r="E582" s="30"/>
      <c r="F582" s="30"/>
    </row>
    <row r="583">
      <c r="A583" s="113"/>
      <c r="B583" s="113"/>
      <c r="D583" s="30"/>
      <c r="E583" s="30"/>
      <c r="F583" s="30"/>
    </row>
    <row r="584">
      <c r="A584" s="113"/>
      <c r="B584" s="113"/>
      <c r="D584" s="30"/>
      <c r="E584" s="30"/>
      <c r="F584" s="30"/>
    </row>
    <row r="585">
      <c r="A585" s="113"/>
      <c r="B585" s="113"/>
      <c r="D585" s="30"/>
      <c r="E585" s="30"/>
      <c r="F585" s="30"/>
    </row>
    <row r="586">
      <c r="A586" s="113"/>
      <c r="B586" s="113"/>
      <c r="D586" s="30"/>
      <c r="E586" s="30"/>
      <c r="F586" s="30"/>
    </row>
    <row r="587">
      <c r="A587" s="113"/>
      <c r="B587" s="113"/>
      <c r="D587" s="30"/>
      <c r="E587" s="30"/>
      <c r="F587" s="30"/>
    </row>
    <row r="588">
      <c r="A588" s="113"/>
      <c r="B588" s="113"/>
      <c r="D588" s="30"/>
      <c r="E588" s="30"/>
      <c r="F588" s="30"/>
    </row>
    <row r="589">
      <c r="A589" s="113"/>
      <c r="B589" s="113"/>
      <c r="D589" s="30"/>
      <c r="E589" s="30"/>
      <c r="F589" s="30"/>
    </row>
    <row r="590">
      <c r="A590" s="113"/>
      <c r="B590" s="113"/>
      <c r="D590" s="30"/>
      <c r="E590" s="30"/>
      <c r="F590" s="30"/>
    </row>
    <row r="591">
      <c r="A591" s="113"/>
      <c r="B591" s="113"/>
      <c r="D591" s="30"/>
      <c r="E591" s="30"/>
      <c r="F591" s="30"/>
    </row>
    <row r="592">
      <c r="A592" s="113"/>
      <c r="B592" s="113"/>
      <c r="D592" s="30"/>
      <c r="E592" s="30"/>
      <c r="F592" s="30"/>
    </row>
    <row r="593">
      <c r="A593" s="113"/>
      <c r="B593" s="113"/>
      <c r="D593" s="30"/>
      <c r="E593" s="30"/>
      <c r="F593" s="30"/>
    </row>
    <row r="594">
      <c r="A594" s="113"/>
      <c r="B594" s="113"/>
      <c r="D594" s="30"/>
      <c r="E594" s="30"/>
      <c r="F594" s="30"/>
    </row>
    <row r="595">
      <c r="A595" s="113"/>
      <c r="B595" s="113"/>
      <c r="D595" s="30"/>
      <c r="E595" s="30"/>
      <c r="F595" s="30"/>
    </row>
    <row r="596">
      <c r="A596" s="113"/>
      <c r="B596" s="113"/>
      <c r="D596" s="30"/>
      <c r="E596" s="30"/>
      <c r="F596" s="30"/>
    </row>
    <row r="597">
      <c r="A597" s="113"/>
      <c r="B597" s="113"/>
      <c r="D597" s="30"/>
      <c r="E597" s="30"/>
      <c r="F597" s="30"/>
    </row>
    <row r="598">
      <c r="A598" s="113"/>
      <c r="B598" s="113"/>
      <c r="D598" s="30"/>
      <c r="E598" s="30"/>
      <c r="F598" s="30"/>
    </row>
    <row r="599">
      <c r="A599" s="113"/>
      <c r="B599" s="113"/>
      <c r="D599" s="30"/>
      <c r="E599" s="30"/>
      <c r="F599" s="30"/>
    </row>
    <row r="600">
      <c r="A600" s="113"/>
      <c r="B600" s="113"/>
      <c r="D600" s="30"/>
      <c r="E600" s="30"/>
      <c r="F600" s="30"/>
    </row>
    <row r="601">
      <c r="A601" s="113"/>
      <c r="B601" s="113"/>
      <c r="D601" s="30"/>
      <c r="E601" s="30"/>
      <c r="F601" s="30"/>
    </row>
    <row r="602">
      <c r="A602" s="113"/>
      <c r="B602" s="113"/>
      <c r="D602" s="30"/>
      <c r="E602" s="30"/>
      <c r="F602" s="30"/>
    </row>
    <row r="603">
      <c r="A603" s="113"/>
      <c r="B603" s="113"/>
      <c r="D603" s="30"/>
      <c r="E603" s="30"/>
      <c r="F603" s="30"/>
    </row>
    <row r="604">
      <c r="A604" s="113"/>
      <c r="B604" s="113"/>
      <c r="D604" s="30"/>
      <c r="E604" s="30"/>
      <c r="F604" s="30"/>
    </row>
    <row r="605">
      <c r="A605" s="113"/>
      <c r="B605" s="113"/>
      <c r="D605" s="30"/>
      <c r="E605" s="30"/>
      <c r="F605" s="30"/>
    </row>
    <row r="606">
      <c r="A606" s="113"/>
      <c r="B606" s="113"/>
      <c r="D606" s="30"/>
      <c r="E606" s="30"/>
      <c r="F606" s="30"/>
    </row>
    <row r="607">
      <c r="A607" s="113"/>
      <c r="B607" s="113"/>
      <c r="D607" s="30"/>
      <c r="E607" s="30"/>
      <c r="F607" s="30"/>
    </row>
    <row r="608">
      <c r="A608" s="113"/>
      <c r="B608" s="113"/>
      <c r="D608" s="30"/>
      <c r="E608" s="30"/>
      <c r="F608" s="30"/>
    </row>
    <row r="609">
      <c r="A609" s="113"/>
      <c r="B609" s="113"/>
      <c r="D609" s="30"/>
      <c r="E609" s="30"/>
      <c r="F609" s="30"/>
    </row>
    <row r="610">
      <c r="A610" s="113"/>
      <c r="B610" s="113"/>
      <c r="D610" s="30"/>
      <c r="E610" s="30"/>
      <c r="F610" s="30"/>
    </row>
    <row r="611">
      <c r="A611" s="113"/>
      <c r="B611" s="113"/>
      <c r="D611" s="30"/>
      <c r="E611" s="30"/>
      <c r="F611" s="30"/>
    </row>
    <row r="612">
      <c r="A612" s="113"/>
      <c r="B612" s="113"/>
      <c r="D612" s="30"/>
      <c r="E612" s="30"/>
      <c r="F612" s="30"/>
    </row>
    <row r="613">
      <c r="A613" s="113"/>
      <c r="B613" s="113"/>
      <c r="D613" s="30"/>
      <c r="E613" s="30"/>
      <c r="F613" s="30"/>
    </row>
    <row r="614">
      <c r="A614" s="113"/>
      <c r="B614" s="113"/>
      <c r="D614" s="30"/>
      <c r="E614" s="30"/>
      <c r="F614" s="30"/>
    </row>
    <row r="615">
      <c r="A615" s="113"/>
      <c r="B615" s="113"/>
      <c r="D615" s="30"/>
      <c r="E615" s="30"/>
      <c r="F615" s="30"/>
    </row>
    <row r="616">
      <c r="A616" s="113"/>
      <c r="B616" s="113"/>
      <c r="D616" s="30"/>
      <c r="E616" s="30"/>
      <c r="F616" s="30"/>
    </row>
    <row r="617">
      <c r="A617" s="113"/>
      <c r="B617" s="113"/>
      <c r="D617" s="30"/>
      <c r="E617" s="30"/>
      <c r="F617" s="30"/>
    </row>
    <row r="618">
      <c r="A618" s="113"/>
      <c r="B618" s="113"/>
      <c r="D618" s="30"/>
      <c r="E618" s="30"/>
      <c r="F618" s="30"/>
    </row>
    <row r="619">
      <c r="A619" s="113"/>
      <c r="B619" s="113"/>
      <c r="D619" s="30"/>
      <c r="E619" s="30"/>
      <c r="F619" s="30"/>
    </row>
    <row r="620">
      <c r="A620" s="113"/>
      <c r="B620" s="113"/>
      <c r="D620" s="30"/>
      <c r="E620" s="30"/>
      <c r="F620" s="30"/>
    </row>
    <row r="621">
      <c r="A621" s="113"/>
      <c r="B621" s="113"/>
      <c r="D621" s="30"/>
      <c r="E621" s="30"/>
      <c r="F621" s="30"/>
    </row>
    <row r="622">
      <c r="A622" s="113"/>
      <c r="B622" s="113"/>
      <c r="D622" s="30"/>
      <c r="E622" s="30"/>
      <c r="F622" s="30"/>
    </row>
    <row r="623">
      <c r="A623" s="113"/>
      <c r="B623" s="113"/>
      <c r="D623" s="30"/>
      <c r="E623" s="30"/>
      <c r="F623" s="30"/>
    </row>
    <row r="624">
      <c r="A624" s="113"/>
      <c r="B624" s="113"/>
      <c r="D624" s="30"/>
      <c r="E624" s="30"/>
      <c r="F624" s="30"/>
    </row>
    <row r="625">
      <c r="A625" s="113"/>
      <c r="B625" s="113"/>
      <c r="D625" s="30"/>
      <c r="E625" s="30"/>
      <c r="F625" s="30"/>
    </row>
    <row r="626">
      <c r="A626" s="113"/>
      <c r="B626" s="113"/>
      <c r="D626" s="30"/>
      <c r="E626" s="30"/>
      <c r="F626" s="30"/>
    </row>
    <row r="627">
      <c r="A627" s="113"/>
      <c r="B627" s="113"/>
      <c r="D627" s="30"/>
      <c r="E627" s="30"/>
      <c r="F627" s="30"/>
    </row>
    <row r="628">
      <c r="A628" s="113"/>
      <c r="B628" s="113"/>
      <c r="D628" s="30"/>
      <c r="E628" s="30"/>
      <c r="F628" s="30"/>
    </row>
    <row r="629">
      <c r="A629" s="113"/>
      <c r="B629" s="113"/>
      <c r="D629" s="30"/>
      <c r="E629" s="30"/>
      <c r="F629" s="30"/>
    </row>
    <row r="630">
      <c r="A630" s="113"/>
      <c r="B630" s="113"/>
      <c r="D630" s="30"/>
      <c r="E630" s="30"/>
      <c r="F630" s="30"/>
    </row>
    <row r="631">
      <c r="A631" s="113"/>
      <c r="B631" s="113"/>
      <c r="D631" s="30"/>
      <c r="E631" s="30"/>
      <c r="F631" s="30"/>
    </row>
    <row r="632">
      <c r="A632" s="113"/>
      <c r="B632" s="113"/>
      <c r="D632" s="30"/>
      <c r="E632" s="30"/>
      <c r="F632" s="30"/>
    </row>
    <row r="633">
      <c r="A633" s="113"/>
      <c r="B633" s="113"/>
      <c r="D633" s="30"/>
      <c r="E633" s="30"/>
      <c r="F633" s="30"/>
    </row>
    <row r="634">
      <c r="A634" s="113"/>
      <c r="B634" s="113"/>
      <c r="D634" s="30"/>
      <c r="E634" s="30"/>
      <c r="F634" s="30"/>
    </row>
    <row r="635">
      <c r="A635" s="113"/>
      <c r="B635" s="113"/>
      <c r="D635" s="30"/>
      <c r="E635" s="30"/>
      <c r="F635" s="30"/>
    </row>
    <row r="636">
      <c r="A636" s="113"/>
      <c r="B636" s="113"/>
      <c r="D636" s="30"/>
      <c r="E636" s="30"/>
      <c r="F636" s="30"/>
    </row>
    <row r="637">
      <c r="A637" s="113"/>
      <c r="B637" s="113"/>
      <c r="D637" s="30"/>
      <c r="E637" s="30"/>
      <c r="F637" s="30"/>
    </row>
    <row r="638">
      <c r="A638" s="113"/>
      <c r="B638" s="113"/>
      <c r="D638" s="30"/>
      <c r="E638" s="30"/>
      <c r="F638" s="30"/>
    </row>
    <row r="639">
      <c r="A639" s="113"/>
      <c r="B639" s="113"/>
      <c r="D639" s="30"/>
      <c r="E639" s="30"/>
      <c r="F639" s="30"/>
    </row>
    <row r="640">
      <c r="A640" s="113"/>
      <c r="B640" s="113"/>
      <c r="D640" s="30"/>
      <c r="E640" s="30"/>
      <c r="F640" s="30"/>
    </row>
    <row r="641">
      <c r="A641" s="113"/>
      <c r="B641" s="113"/>
      <c r="D641" s="30"/>
      <c r="E641" s="30"/>
      <c r="F641" s="30"/>
    </row>
    <row r="642">
      <c r="A642" s="113"/>
      <c r="B642" s="113"/>
      <c r="D642" s="30"/>
      <c r="E642" s="30"/>
      <c r="F642" s="30"/>
    </row>
    <row r="643">
      <c r="A643" s="113"/>
      <c r="B643" s="113"/>
      <c r="D643" s="30"/>
      <c r="E643" s="30"/>
      <c r="F643" s="30"/>
    </row>
    <row r="644">
      <c r="A644" s="113"/>
      <c r="B644" s="113"/>
      <c r="D644" s="30"/>
      <c r="E644" s="30"/>
      <c r="F644" s="30"/>
    </row>
    <row r="645">
      <c r="A645" s="113"/>
      <c r="B645" s="113"/>
      <c r="D645" s="30"/>
      <c r="E645" s="30"/>
      <c r="F645" s="30"/>
    </row>
    <row r="646">
      <c r="A646" s="113"/>
      <c r="B646" s="113"/>
      <c r="D646" s="30"/>
      <c r="E646" s="30"/>
      <c r="F646" s="30"/>
    </row>
    <row r="647">
      <c r="A647" s="113"/>
      <c r="B647" s="113"/>
      <c r="D647" s="30"/>
      <c r="E647" s="30"/>
      <c r="F647" s="30"/>
    </row>
    <row r="648">
      <c r="A648" s="113"/>
      <c r="B648" s="113"/>
      <c r="D648" s="30"/>
      <c r="E648" s="30"/>
      <c r="F648" s="30"/>
    </row>
    <row r="649">
      <c r="A649" s="113"/>
      <c r="B649" s="113"/>
      <c r="D649" s="30"/>
      <c r="E649" s="30"/>
      <c r="F649" s="30"/>
    </row>
    <row r="650">
      <c r="A650" s="113"/>
      <c r="B650" s="113"/>
      <c r="D650" s="30"/>
      <c r="E650" s="30"/>
      <c r="F650" s="30"/>
    </row>
    <row r="651">
      <c r="A651" s="113"/>
      <c r="B651" s="113"/>
      <c r="D651" s="30"/>
      <c r="E651" s="30"/>
      <c r="F651" s="30"/>
    </row>
    <row r="652">
      <c r="A652" s="113"/>
      <c r="B652" s="113"/>
      <c r="D652" s="30"/>
      <c r="E652" s="30"/>
      <c r="F652" s="30"/>
    </row>
    <row r="653">
      <c r="A653" s="113"/>
      <c r="B653" s="113"/>
      <c r="D653" s="30"/>
      <c r="E653" s="30"/>
      <c r="F653" s="30"/>
    </row>
    <row r="654">
      <c r="A654" s="113"/>
      <c r="B654" s="113"/>
      <c r="D654" s="30"/>
      <c r="E654" s="30"/>
      <c r="F654" s="30"/>
    </row>
    <row r="655">
      <c r="A655" s="113"/>
      <c r="B655" s="113"/>
      <c r="D655" s="30"/>
      <c r="E655" s="30"/>
      <c r="F655" s="30"/>
    </row>
    <row r="656">
      <c r="A656" s="113"/>
      <c r="B656" s="113"/>
      <c r="D656" s="30"/>
      <c r="E656" s="30"/>
      <c r="F656" s="30"/>
    </row>
    <row r="657">
      <c r="A657" s="113"/>
      <c r="B657" s="113"/>
      <c r="D657" s="30"/>
      <c r="E657" s="30"/>
      <c r="F657" s="30"/>
    </row>
    <row r="658">
      <c r="A658" s="113"/>
      <c r="B658" s="113"/>
      <c r="D658" s="30"/>
      <c r="E658" s="30"/>
      <c r="F658" s="30"/>
    </row>
    <row r="659">
      <c r="A659" s="113"/>
      <c r="B659" s="113"/>
      <c r="D659" s="30"/>
      <c r="E659" s="30"/>
      <c r="F659" s="30"/>
    </row>
    <row r="660">
      <c r="A660" s="113"/>
      <c r="B660" s="113"/>
      <c r="D660" s="30"/>
      <c r="E660" s="30"/>
      <c r="F660" s="30"/>
    </row>
    <row r="661">
      <c r="A661" s="113"/>
      <c r="B661" s="113"/>
      <c r="D661" s="30"/>
      <c r="E661" s="30"/>
      <c r="F661" s="30"/>
    </row>
    <row r="662">
      <c r="A662" s="113"/>
      <c r="B662" s="113"/>
      <c r="D662" s="30"/>
      <c r="E662" s="30"/>
      <c r="F662" s="30"/>
    </row>
    <row r="663">
      <c r="A663" s="113"/>
      <c r="B663" s="113"/>
      <c r="D663" s="30"/>
      <c r="E663" s="30"/>
      <c r="F663" s="30"/>
    </row>
    <row r="664">
      <c r="A664" s="113"/>
      <c r="B664" s="113"/>
      <c r="D664" s="30"/>
      <c r="E664" s="30"/>
      <c r="F664" s="30"/>
    </row>
    <row r="665">
      <c r="A665" s="113"/>
      <c r="B665" s="113"/>
      <c r="D665" s="30"/>
      <c r="E665" s="30"/>
      <c r="F665" s="30"/>
    </row>
    <row r="666">
      <c r="A666" s="113"/>
      <c r="B666" s="113"/>
      <c r="D666" s="30"/>
      <c r="E666" s="30"/>
      <c r="F666" s="30"/>
    </row>
    <row r="667">
      <c r="A667" s="113"/>
      <c r="B667" s="113"/>
      <c r="D667" s="30"/>
      <c r="E667" s="30"/>
      <c r="F667" s="30"/>
    </row>
    <row r="668">
      <c r="A668" s="113"/>
      <c r="B668" s="113"/>
      <c r="D668" s="30"/>
      <c r="E668" s="30"/>
      <c r="F668" s="30"/>
    </row>
    <row r="669">
      <c r="A669" s="113"/>
      <c r="B669" s="113"/>
      <c r="D669" s="30"/>
      <c r="E669" s="30"/>
      <c r="F669" s="30"/>
    </row>
    <row r="670">
      <c r="A670" s="113"/>
      <c r="B670" s="113"/>
      <c r="D670" s="30"/>
      <c r="E670" s="30"/>
      <c r="F670" s="30"/>
    </row>
    <row r="671">
      <c r="A671" s="113"/>
      <c r="B671" s="113"/>
      <c r="D671" s="30"/>
      <c r="E671" s="30"/>
      <c r="F671" s="30"/>
    </row>
    <row r="672">
      <c r="A672" s="113"/>
      <c r="B672" s="113"/>
      <c r="D672" s="30"/>
      <c r="E672" s="30"/>
      <c r="F672" s="30"/>
    </row>
    <row r="673">
      <c r="A673" s="113"/>
      <c r="B673" s="113"/>
      <c r="D673" s="30"/>
      <c r="E673" s="30"/>
      <c r="F673" s="30"/>
    </row>
    <row r="674">
      <c r="A674" s="113"/>
      <c r="B674" s="113"/>
      <c r="D674" s="30"/>
      <c r="E674" s="30"/>
      <c r="F674" s="30"/>
    </row>
    <row r="675">
      <c r="A675" s="113"/>
      <c r="B675" s="113"/>
      <c r="D675" s="30"/>
      <c r="E675" s="30"/>
      <c r="F675" s="30"/>
    </row>
    <row r="676">
      <c r="A676" s="113"/>
      <c r="B676" s="113"/>
      <c r="D676" s="30"/>
      <c r="E676" s="30"/>
      <c r="F676" s="30"/>
    </row>
    <row r="677">
      <c r="A677" s="113"/>
      <c r="B677" s="113"/>
      <c r="D677" s="30"/>
      <c r="E677" s="30"/>
      <c r="F677" s="30"/>
    </row>
    <row r="678">
      <c r="A678" s="113"/>
      <c r="B678" s="113"/>
      <c r="D678" s="30"/>
      <c r="E678" s="30"/>
      <c r="F678" s="30"/>
    </row>
    <row r="679">
      <c r="A679" s="113"/>
      <c r="B679" s="113"/>
      <c r="D679" s="30"/>
      <c r="E679" s="30"/>
      <c r="F679" s="30"/>
    </row>
    <row r="680">
      <c r="A680" s="113"/>
      <c r="B680" s="113"/>
      <c r="D680" s="30"/>
      <c r="E680" s="30"/>
      <c r="F680" s="30"/>
    </row>
    <row r="681">
      <c r="A681" s="113"/>
      <c r="B681" s="113"/>
      <c r="D681" s="30"/>
      <c r="E681" s="30"/>
      <c r="F681" s="30"/>
    </row>
    <row r="682">
      <c r="A682" s="113"/>
      <c r="B682" s="113"/>
      <c r="D682" s="30"/>
      <c r="E682" s="30"/>
      <c r="F682" s="30"/>
    </row>
    <row r="683">
      <c r="A683" s="113"/>
      <c r="B683" s="113"/>
      <c r="D683" s="30"/>
      <c r="E683" s="30"/>
      <c r="F683" s="30"/>
    </row>
    <row r="684">
      <c r="A684" s="113"/>
      <c r="B684" s="113"/>
      <c r="D684" s="30"/>
      <c r="E684" s="30"/>
      <c r="F684" s="30"/>
    </row>
    <row r="685">
      <c r="A685" s="113"/>
      <c r="B685" s="113"/>
      <c r="D685" s="30"/>
      <c r="E685" s="30"/>
      <c r="F685" s="30"/>
    </row>
    <row r="686">
      <c r="A686" s="113"/>
      <c r="B686" s="113"/>
      <c r="D686" s="30"/>
      <c r="E686" s="30"/>
      <c r="F686" s="30"/>
    </row>
    <row r="687">
      <c r="A687" s="113"/>
      <c r="B687" s="113"/>
      <c r="D687" s="30"/>
      <c r="E687" s="30"/>
      <c r="F687" s="30"/>
    </row>
    <row r="688">
      <c r="A688" s="113"/>
      <c r="B688" s="113"/>
      <c r="D688" s="30"/>
      <c r="E688" s="30"/>
      <c r="F688" s="30"/>
    </row>
    <row r="689">
      <c r="A689" s="113"/>
      <c r="B689" s="113"/>
      <c r="D689" s="30"/>
      <c r="E689" s="30"/>
      <c r="F689" s="30"/>
    </row>
    <row r="690">
      <c r="A690" s="113"/>
      <c r="B690" s="113"/>
      <c r="D690" s="30"/>
      <c r="E690" s="30"/>
      <c r="F690" s="30"/>
    </row>
    <row r="691">
      <c r="A691" s="113"/>
      <c r="B691" s="113"/>
      <c r="D691" s="30"/>
      <c r="E691" s="30"/>
      <c r="F691" s="30"/>
    </row>
    <row r="692">
      <c r="A692" s="113"/>
      <c r="B692" s="113"/>
      <c r="D692" s="30"/>
      <c r="E692" s="30"/>
      <c r="F692" s="30"/>
    </row>
    <row r="693">
      <c r="A693" s="113"/>
      <c r="B693" s="113"/>
      <c r="D693" s="30"/>
      <c r="E693" s="30"/>
      <c r="F693" s="30"/>
    </row>
    <row r="694">
      <c r="A694" s="113"/>
      <c r="B694" s="113"/>
      <c r="D694" s="30"/>
      <c r="E694" s="30"/>
      <c r="F694" s="30"/>
    </row>
    <row r="695">
      <c r="A695" s="113"/>
      <c r="B695" s="113"/>
      <c r="D695" s="30"/>
      <c r="E695" s="30"/>
      <c r="F695" s="30"/>
    </row>
    <row r="696">
      <c r="A696" s="113"/>
      <c r="B696" s="113"/>
      <c r="D696" s="30"/>
      <c r="E696" s="30"/>
      <c r="F696" s="30"/>
    </row>
    <row r="697">
      <c r="A697" s="113"/>
      <c r="B697" s="113"/>
      <c r="D697" s="30"/>
      <c r="E697" s="30"/>
      <c r="F697" s="30"/>
    </row>
    <row r="698">
      <c r="A698" s="113"/>
      <c r="B698" s="113"/>
      <c r="D698" s="30"/>
      <c r="E698" s="30"/>
      <c r="F698" s="30"/>
    </row>
    <row r="699">
      <c r="A699" s="113"/>
      <c r="B699" s="113"/>
      <c r="D699" s="30"/>
      <c r="E699" s="30"/>
      <c r="F699" s="30"/>
    </row>
    <row r="700">
      <c r="A700" s="113"/>
      <c r="B700" s="113"/>
      <c r="D700" s="30"/>
      <c r="E700" s="30"/>
      <c r="F700" s="30"/>
    </row>
    <row r="701">
      <c r="A701" s="113"/>
      <c r="B701" s="113"/>
      <c r="D701" s="30"/>
      <c r="E701" s="30"/>
      <c r="F701" s="30"/>
    </row>
    <row r="702">
      <c r="A702" s="113"/>
      <c r="B702" s="113"/>
      <c r="D702" s="30"/>
      <c r="E702" s="30"/>
      <c r="F702" s="30"/>
    </row>
    <row r="703">
      <c r="A703" s="113"/>
      <c r="B703" s="113"/>
      <c r="D703" s="30"/>
      <c r="E703" s="30"/>
      <c r="F703" s="30"/>
    </row>
    <row r="704">
      <c r="A704" s="113"/>
      <c r="B704" s="113"/>
      <c r="D704" s="30"/>
      <c r="E704" s="30"/>
      <c r="F704" s="30"/>
    </row>
    <row r="705">
      <c r="A705" s="113"/>
      <c r="B705" s="113"/>
      <c r="D705" s="30"/>
      <c r="E705" s="30"/>
      <c r="F705" s="30"/>
    </row>
    <row r="706">
      <c r="A706" s="113"/>
      <c r="B706" s="113"/>
      <c r="D706" s="30"/>
      <c r="E706" s="30"/>
      <c r="F706" s="30"/>
    </row>
    <row r="707">
      <c r="A707" s="113"/>
      <c r="B707" s="113"/>
      <c r="D707" s="30"/>
      <c r="E707" s="30"/>
      <c r="F707" s="30"/>
    </row>
    <row r="708">
      <c r="A708" s="113"/>
      <c r="B708" s="113"/>
      <c r="D708" s="30"/>
      <c r="E708" s="30"/>
      <c r="F708" s="30"/>
    </row>
    <row r="709">
      <c r="A709" s="113"/>
      <c r="B709" s="113"/>
      <c r="D709" s="30"/>
      <c r="E709" s="30"/>
      <c r="F709" s="30"/>
    </row>
    <row r="710">
      <c r="A710" s="113"/>
      <c r="B710" s="113"/>
      <c r="D710" s="30"/>
      <c r="E710" s="30"/>
      <c r="F710" s="30"/>
    </row>
    <row r="711">
      <c r="A711" s="113"/>
      <c r="B711" s="113"/>
      <c r="D711" s="30"/>
      <c r="E711" s="30"/>
      <c r="F711" s="30"/>
    </row>
    <row r="712">
      <c r="A712" s="113"/>
      <c r="B712" s="113"/>
      <c r="D712" s="30"/>
      <c r="E712" s="30"/>
      <c r="F712" s="30"/>
    </row>
    <row r="713">
      <c r="A713" s="113"/>
      <c r="B713" s="113"/>
      <c r="D713" s="30"/>
      <c r="E713" s="30"/>
      <c r="F713" s="30"/>
    </row>
    <row r="714">
      <c r="A714" s="113"/>
      <c r="B714" s="113"/>
      <c r="D714" s="30"/>
      <c r="E714" s="30"/>
      <c r="F714" s="30"/>
    </row>
    <row r="715">
      <c r="A715" s="113"/>
      <c r="B715" s="113"/>
      <c r="D715" s="30"/>
      <c r="E715" s="30"/>
      <c r="F715" s="30"/>
    </row>
    <row r="716">
      <c r="A716" s="113"/>
      <c r="B716" s="113"/>
      <c r="D716" s="30"/>
      <c r="E716" s="30"/>
      <c r="F716" s="30"/>
    </row>
    <row r="717">
      <c r="A717" s="113"/>
      <c r="B717" s="113"/>
      <c r="D717" s="30"/>
      <c r="E717" s="30"/>
      <c r="F717" s="30"/>
    </row>
    <row r="718">
      <c r="A718" s="113"/>
      <c r="B718" s="113"/>
      <c r="D718" s="30"/>
      <c r="E718" s="30"/>
      <c r="F718" s="30"/>
    </row>
    <row r="719">
      <c r="A719" s="113"/>
      <c r="B719" s="113"/>
      <c r="D719" s="30"/>
      <c r="E719" s="30"/>
      <c r="F719" s="30"/>
    </row>
    <row r="720">
      <c r="A720" s="113"/>
      <c r="B720" s="113"/>
      <c r="D720" s="30"/>
      <c r="E720" s="30"/>
      <c r="F720" s="30"/>
    </row>
    <row r="721">
      <c r="A721" s="113"/>
      <c r="B721" s="113"/>
      <c r="D721" s="30"/>
      <c r="E721" s="30"/>
      <c r="F721" s="30"/>
    </row>
    <row r="722">
      <c r="A722" s="113"/>
      <c r="B722" s="113"/>
      <c r="D722" s="30"/>
      <c r="E722" s="30"/>
      <c r="F722" s="30"/>
    </row>
    <row r="723">
      <c r="A723" s="113"/>
      <c r="B723" s="113"/>
      <c r="D723" s="30"/>
      <c r="E723" s="30"/>
      <c r="F723" s="30"/>
    </row>
    <row r="724">
      <c r="A724" s="113"/>
      <c r="B724" s="113"/>
      <c r="D724" s="30"/>
      <c r="E724" s="30"/>
      <c r="F724" s="30"/>
    </row>
    <row r="725">
      <c r="A725" s="113"/>
      <c r="B725" s="113"/>
      <c r="D725" s="30"/>
      <c r="E725" s="30"/>
      <c r="F725" s="30"/>
    </row>
    <row r="726">
      <c r="A726" s="113"/>
      <c r="B726" s="113"/>
      <c r="D726" s="30"/>
      <c r="E726" s="30"/>
      <c r="F726" s="30"/>
    </row>
    <row r="727">
      <c r="A727" s="113"/>
      <c r="B727" s="113"/>
      <c r="D727" s="30"/>
      <c r="E727" s="30"/>
      <c r="F727" s="30"/>
    </row>
    <row r="728">
      <c r="A728" s="113"/>
      <c r="B728" s="113"/>
      <c r="D728" s="30"/>
      <c r="E728" s="30"/>
      <c r="F728" s="30"/>
    </row>
    <row r="729">
      <c r="A729" s="113"/>
      <c r="B729" s="113"/>
      <c r="D729" s="30"/>
      <c r="E729" s="30"/>
      <c r="F729" s="30"/>
    </row>
    <row r="730">
      <c r="A730" s="113"/>
      <c r="B730" s="113"/>
      <c r="D730" s="30"/>
      <c r="E730" s="30"/>
      <c r="F730" s="30"/>
    </row>
    <row r="731">
      <c r="A731" s="113"/>
      <c r="B731" s="113"/>
      <c r="D731" s="30"/>
      <c r="E731" s="30"/>
      <c r="F731" s="30"/>
    </row>
    <row r="732">
      <c r="A732" s="113"/>
      <c r="B732" s="113"/>
      <c r="D732" s="30"/>
      <c r="E732" s="30"/>
      <c r="F732" s="30"/>
    </row>
    <row r="733">
      <c r="A733" s="113"/>
      <c r="B733" s="113"/>
      <c r="D733" s="30"/>
      <c r="E733" s="30"/>
      <c r="F733" s="30"/>
    </row>
    <row r="734">
      <c r="A734" s="113"/>
      <c r="B734" s="113"/>
      <c r="D734" s="30"/>
      <c r="E734" s="30"/>
      <c r="F734" s="30"/>
    </row>
    <row r="735">
      <c r="A735" s="113"/>
      <c r="B735" s="113"/>
      <c r="D735" s="30"/>
      <c r="E735" s="30"/>
      <c r="F735" s="30"/>
    </row>
    <row r="736">
      <c r="A736" s="113"/>
      <c r="B736" s="113"/>
      <c r="D736" s="30"/>
      <c r="E736" s="30"/>
      <c r="F736" s="30"/>
    </row>
    <row r="737">
      <c r="A737" s="113"/>
      <c r="B737" s="113"/>
      <c r="D737" s="30"/>
      <c r="E737" s="30"/>
      <c r="F737" s="30"/>
    </row>
    <row r="738">
      <c r="A738" s="113"/>
      <c r="B738" s="113"/>
      <c r="D738" s="30"/>
      <c r="E738" s="30"/>
      <c r="F738" s="30"/>
    </row>
    <row r="739">
      <c r="A739" s="113"/>
      <c r="B739" s="113"/>
      <c r="D739" s="30"/>
      <c r="E739" s="30"/>
      <c r="F739" s="30"/>
    </row>
    <row r="740">
      <c r="A740" s="113"/>
      <c r="B740" s="113"/>
      <c r="D740" s="30"/>
      <c r="E740" s="30"/>
      <c r="F740" s="30"/>
    </row>
    <row r="741">
      <c r="A741" s="113"/>
      <c r="B741" s="113"/>
      <c r="D741" s="30"/>
      <c r="E741" s="30"/>
      <c r="F741" s="30"/>
    </row>
    <row r="742">
      <c r="A742" s="113"/>
      <c r="B742" s="113"/>
      <c r="D742" s="30"/>
      <c r="E742" s="30"/>
      <c r="F742" s="30"/>
    </row>
    <row r="743">
      <c r="A743" s="113"/>
      <c r="B743" s="113"/>
      <c r="D743" s="30"/>
      <c r="E743" s="30"/>
      <c r="F743" s="30"/>
    </row>
    <row r="744">
      <c r="D744" s="30"/>
      <c r="E744" s="30"/>
      <c r="F744" s="30"/>
    </row>
    <row r="745">
      <c r="D745" s="30"/>
      <c r="E745" s="30"/>
      <c r="F745" s="30"/>
    </row>
    <row r="746">
      <c r="D746" s="30"/>
      <c r="E746" s="30"/>
      <c r="F746" s="30"/>
    </row>
    <row r="747">
      <c r="D747" s="30"/>
      <c r="E747" s="30"/>
      <c r="F747" s="30"/>
    </row>
    <row r="748">
      <c r="D748" s="30"/>
      <c r="E748" s="30"/>
      <c r="F748" s="30"/>
    </row>
    <row r="749">
      <c r="D749" s="30"/>
      <c r="E749" s="30"/>
      <c r="F749" s="30"/>
    </row>
    <row r="750">
      <c r="D750" s="30"/>
      <c r="E750" s="30"/>
      <c r="F750" s="30"/>
    </row>
    <row r="751">
      <c r="D751" s="30"/>
      <c r="E751" s="30"/>
      <c r="F751" s="30"/>
    </row>
    <row r="752">
      <c r="D752" s="30"/>
      <c r="E752" s="30"/>
      <c r="F752" s="30"/>
    </row>
    <row r="753">
      <c r="D753" s="30"/>
      <c r="E753" s="30"/>
      <c r="F753" s="30"/>
    </row>
    <row r="754">
      <c r="D754" s="30"/>
      <c r="E754" s="30"/>
      <c r="F754" s="30"/>
    </row>
    <row r="755">
      <c r="D755" s="30"/>
      <c r="E755" s="30"/>
      <c r="F755" s="30"/>
    </row>
    <row r="756">
      <c r="D756" s="30"/>
      <c r="E756" s="30"/>
      <c r="F756" s="30"/>
    </row>
    <row r="757">
      <c r="D757" s="30"/>
      <c r="E757" s="30"/>
      <c r="F757" s="30"/>
    </row>
    <row r="758">
      <c r="D758" s="30"/>
      <c r="E758" s="30"/>
      <c r="F758" s="30"/>
    </row>
    <row r="759">
      <c r="D759" s="30"/>
      <c r="E759" s="30"/>
      <c r="F759" s="30"/>
    </row>
    <row r="760">
      <c r="D760" s="30"/>
      <c r="E760" s="30"/>
      <c r="F760" s="30"/>
    </row>
    <row r="761">
      <c r="D761" s="30"/>
      <c r="E761" s="30"/>
      <c r="F761" s="30"/>
    </row>
    <row r="762">
      <c r="D762" s="30"/>
      <c r="E762" s="30"/>
      <c r="F762" s="30"/>
    </row>
    <row r="763">
      <c r="D763" s="30"/>
      <c r="E763" s="30"/>
      <c r="F763" s="30"/>
    </row>
    <row r="764">
      <c r="D764" s="30"/>
      <c r="E764" s="30"/>
      <c r="F764" s="30"/>
    </row>
    <row r="765">
      <c r="D765" s="30"/>
      <c r="E765" s="30"/>
      <c r="F765" s="30"/>
    </row>
    <row r="766">
      <c r="D766" s="30"/>
      <c r="E766" s="30"/>
      <c r="F766" s="30"/>
    </row>
    <row r="767">
      <c r="D767" s="30"/>
      <c r="E767" s="30"/>
      <c r="F767" s="30"/>
    </row>
    <row r="768">
      <c r="D768" s="30"/>
      <c r="E768" s="30"/>
      <c r="F768" s="30"/>
    </row>
    <row r="769">
      <c r="D769" s="30"/>
      <c r="E769" s="30"/>
      <c r="F769" s="30"/>
    </row>
    <row r="770">
      <c r="D770" s="30"/>
      <c r="E770" s="30"/>
      <c r="F770" s="30"/>
    </row>
    <row r="771">
      <c r="D771" s="30"/>
      <c r="E771" s="30"/>
      <c r="F771" s="30"/>
    </row>
    <row r="772">
      <c r="D772" s="30"/>
      <c r="E772" s="30"/>
      <c r="F772" s="30"/>
    </row>
    <row r="773">
      <c r="D773" s="30"/>
      <c r="E773" s="30"/>
      <c r="F773" s="30"/>
    </row>
    <row r="774">
      <c r="D774" s="30"/>
      <c r="E774" s="30"/>
      <c r="F774" s="30"/>
    </row>
    <row r="775">
      <c r="D775" s="30"/>
      <c r="E775" s="30"/>
      <c r="F775" s="30"/>
    </row>
    <row r="776">
      <c r="D776" s="30"/>
      <c r="E776" s="30"/>
      <c r="F776" s="30"/>
    </row>
    <row r="777">
      <c r="D777" s="30"/>
      <c r="E777" s="30"/>
      <c r="F777" s="30"/>
    </row>
    <row r="778">
      <c r="D778" s="30"/>
      <c r="E778" s="30"/>
      <c r="F778" s="30"/>
    </row>
    <row r="779">
      <c r="D779" s="30"/>
      <c r="E779" s="30"/>
      <c r="F779" s="30"/>
    </row>
    <row r="780">
      <c r="D780" s="30"/>
      <c r="E780" s="30"/>
      <c r="F780" s="30"/>
    </row>
    <row r="781">
      <c r="D781" s="30"/>
      <c r="E781" s="30"/>
      <c r="F781" s="30"/>
    </row>
    <row r="782">
      <c r="D782" s="30"/>
      <c r="E782" s="30"/>
      <c r="F782" s="30"/>
    </row>
    <row r="783">
      <c r="D783" s="30"/>
      <c r="E783" s="30"/>
      <c r="F783" s="30"/>
    </row>
    <row r="784">
      <c r="D784" s="30"/>
      <c r="E784" s="30"/>
      <c r="F784" s="30"/>
    </row>
    <row r="785">
      <c r="D785" s="30"/>
      <c r="E785" s="30"/>
      <c r="F785" s="30"/>
    </row>
    <row r="786">
      <c r="D786" s="30"/>
      <c r="E786" s="30"/>
      <c r="F786" s="30"/>
    </row>
    <row r="787">
      <c r="D787" s="30"/>
      <c r="E787" s="30"/>
      <c r="F787" s="30"/>
    </row>
    <row r="788">
      <c r="D788" s="30"/>
      <c r="E788" s="30"/>
      <c r="F788" s="30"/>
    </row>
    <row r="789">
      <c r="D789" s="30"/>
      <c r="E789" s="30"/>
      <c r="F789" s="30"/>
    </row>
    <row r="790">
      <c r="D790" s="30"/>
      <c r="E790" s="30"/>
      <c r="F790" s="30"/>
    </row>
    <row r="791">
      <c r="D791" s="30"/>
      <c r="E791" s="30"/>
      <c r="F791" s="30"/>
    </row>
    <row r="792">
      <c r="D792" s="30"/>
      <c r="E792" s="30"/>
      <c r="F792" s="30"/>
    </row>
    <row r="793">
      <c r="D793" s="30"/>
      <c r="E793" s="30"/>
      <c r="F793" s="30"/>
    </row>
    <row r="794">
      <c r="D794" s="30"/>
      <c r="E794" s="30"/>
      <c r="F794" s="30"/>
    </row>
    <row r="795">
      <c r="D795" s="30"/>
      <c r="E795" s="30"/>
      <c r="F795" s="30"/>
    </row>
    <row r="796">
      <c r="D796" s="30"/>
      <c r="E796" s="30"/>
      <c r="F796" s="30"/>
    </row>
    <row r="797">
      <c r="D797" s="30"/>
      <c r="E797" s="30"/>
      <c r="F797" s="30"/>
    </row>
    <row r="798">
      <c r="D798" s="30"/>
      <c r="E798" s="30"/>
      <c r="F798" s="30"/>
    </row>
    <row r="799">
      <c r="D799" s="30"/>
      <c r="E799" s="30"/>
      <c r="F799" s="30"/>
    </row>
    <row r="800">
      <c r="D800" s="30"/>
      <c r="E800" s="30"/>
      <c r="F800" s="30"/>
    </row>
    <row r="801">
      <c r="D801" s="30"/>
      <c r="E801" s="30"/>
      <c r="F801" s="30"/>
    </row>
    <row r="802">
      <c r="D802" s="30"/>
      <c r="E802" s="30"/>
      <c r="F802" s="30"/>
    </row>
    <row r="803">
      <c r="D803" s="30"/>
      <c r="E803" s="30"/>
      <c r="F803" s="30"/>
    </row>
    <row r="804">
      <c r="D804" s="30"/>
      <c r="E804" s="30"/>
      <c r="F804" s="30"/>
    </row>
    <row r="805">
      <c r="D805" s="30"/>
      <c r="E805" s="30"/>
      <c r="F805" s="30"/>
    </row>
    <row r="806">
      <c r="D806" s="30"/>
      <c r="E806" s="30"/>
      <c r="F806" s="30"/>
    </row>
    <row r="807">
      <c r="D807" s="30"/>
      <c r="E807" s="30"/>
      <c r="F807" s="30"/>
    </row>
    <row r="808">
      <c r="D808" s="30"/>
      <c r="E808" s="30"/>
      <c r="F808" s="30"/>
    </row>
    <row r="809">
      <c r="D809" s="30"/>
      <c r="E809" s="30"/>
      <c r="F809" s="30"/>
    </row>
    <row r="810">
      <c r="D810" s="30"/>
      <c r="E810" s="30"/>
      <c r="F810" s="30"/>
    </row>
    <row r="811">
      <c r="D811" s="30"/>
      <c r="E811" s="30"/>
      <c r="F811" s="30"/>
    </row>
    <row r="812">
      <c r="D812" s="30"/>
      <c r="E812" s="30"/>
      <c r="F812" s="30"/>
    </row>
    <row r="813">
      <c r="D813" s="30"/>
      <c r="E813" s="30"/>
      <c r="F813" s="30"/>
    </row>
    <row r="814">
      <c r="D814" s="30"/>
      <c r="E814" s="30"/>
      <c r="F814" s="30"/>
    </row>
    <row r="815">
      <c r="D815" s="30"/>
      <c r="E815" s="30"/>
      <c r="F815" s="30"/>
    </row>
    <row r="816">
      <c r="D816" s="30"/>
      <c r="E816" s="30"/>
      <c r="F816" s="30"/>
    </row>
    <row r="817">
      <c r="D817" s="30"/>
      <c r="E817" s="30"/>
      <c r="F817" s="30"/>
    </row>
    <row r="818">
      <c r="D818" s="30"/>
      <c r="E818" s="30"/>
      <c r="F818" s="30"/>
    </row>
    <row r="819">
      <c r="D819" s="30"/>
      <c r="E819" s="30"/>
      <c r="F819" s="30"/>
    </row>
    <row r="820">
      <c r="D820" s="30"/>
      <c r="E820" s="30"/>
      <c r="F820" s="30"/>
    </row>
    <row r="821">
      <c r="D821" s="30"/>
      <c r="E821" s="30"/>
      <c r="F821" s="30"/>
    </row>
    <row r="822">
      <c r="D822" s="30"/>
      <c r="E822" s="30"/>
      <c r="F822" s="30"/>
    </row>
    <row r="823">
      <c r="D823" s="30"/>
      <c r="E823" s="30"/>
      <c r="F823" s="30"/>
    </row>
    <row r="824">
      <c r="D824" s="30"/>
      <c r="E824" s="30"/>
      <c r="F824" s="30"/>
    </row>
    <row r="825">
      <c r="D825" s="30"/>
      <c r="E825" s="30"/>
      <c r="F825" s="30"/>
    </row>
    <row r="826">
      <c r="D826" s="30"/>
      <c r="E826" s="30"/>
      <c r="F826" s="30"/>
    </row>
    <row r="827">
      <c r="D827" s="30"/>
      <c r="E827" s="30"/>
      <c r="F827" s="30"/>
    </row>
    <row r="828">
      <c r="D828" s="30"/>
      <c r="E828" s="30"/>
      <c r="F828" s="30"/>
    </row>
    <row r="829">
      <c r="D829" s="30"/>
      <c r="E829" s="30"/>
      <c r="F829" s="30"/>
    </row>
    <row r="830">
      <c r="D830" s="30"/>
      <c r="E830" s="30"/>
      <c r="F830" s="30"/>
    </row>
    <row r="831">
      <c r="D831" s="30"/>
      <c r="E831" s="30"/>
      <c r="F831" s="30"/>
    </row>
    <row r="832">
      <c r="D832" s="30"/>
      <c r="E832" s="30"/>
      <c r="F832" s="30"/>
    </row>
    <row r="833">
      <c r="D833" s="30"/>
      <c r="E833" s="30"/>
      <c r="F833" s="30"/>
    </row>
    <row r="834">
      <c r="D834" s="30"/>
      <c r="E834" s="30"/>
      <c r="F834" s="30"/>
    </row>
    <row r="835">
      <c r="D835" s="30"/>
      <c r="E835" s="30"/>
      <c r="F835" s="30"/>
    </row>
    <row r="836">
      <c r="D836" s="30"/>
      <c r="E836" s="30"/>
      <c r="F836" s="30"/>
    </row>
    <row r="837">
      <c r="D837" s="30"/>
      <c r="E837" s="30"/>
      <c r="F837" s="30"/>
    </row>
    <row r="838">
      <c r="D838" s="30"/>
      <c r="E838" s="30"/>
      <c r="F838" s="30"/>
    </row>
    <row r="839">
      <c r="D839" s="30"/>
      <c r="E839" s="30"/>
      <c r="F839" s="30"/>
    </row>
    <row r="840">
      <c r="D840" s="30"/>
      <c r="E840" s="30"/>
      <c r="F840" s="30"/>
    </row>
    <row r="841">
      <c r="D841" s="30"/>
      <c r="E841" s="30"/>
      <c r="F841" s="30"/>
    </row>
    <row r="842">
      <c r="D842" s="30"/>
      <c r="E842" s="30"/>
      <c r="F842" s="30"/>
    </row>
    <row r="843">
      <c r="D843" s="30"/>
      <c r="E843" s="30"/>
      <c r="F843" s="30"/>
    </row>
    <row r="844">
      <c r="D844" s="30"/>
      <c r="E844" s="30"/>
      <c r="F844" s="30"/>
    </row>
    <row r="845">
      <c r="D845" s="30"/>
      <c r="E845" s="30"/>
      <c r="F845" s="30"/>
    </row>
    <row r="846">
      <c r="D846" s="30"/>
      <c r="E846" s="30"/>
      <c r="F846" s="30"/>
    </row>
    <row r="847">
      <c r="D847" s="30"/>
      <c r="E847" s="30"/>
      <c r="F847" s="30"/>
    </row>
    <row r="848">
      <c r="D848" s="30"/>
      <c r="E848" s="30"/>
      <c r="F848" s="30"/>
    </row>
  </sheetData>
  <mergeCells count="4">
    <mergeCell ref="A1:I1"/>
    <mergeCell ref="A16:I16"/>
    <mergeCell ref="A61:I61"/>
    <mergeCell ref="K61:S61"/>
  </mergeCells>
  <conditionalFormatting sqref="B30:B35 C34 E34 G34:H34 B93:B743">
    <cfRule type="expression" dxfId="0" priority="1">
      <formula>countif(B:B,B30)&gt;1</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3" max="3" width="23.88"/>
    <col customWidth="1" min="10" max="10" width="11.75"/>
    <col customWidth="1" min="11" max="11" width="11.13"/>
    <col customWidth="1" min="12" max="12" width="13.5"/>
  </cols>
  <sheetData>
    <row r="1">
      <c r="A1" s="114"/>
      <c r="B1" s="114"/>
      <c r="C1" s="115"/>
      <c r="D1" s="116"/>
      <c r="E1" s="116"/>
      <c r="F1" s="117"/>
      <c r="G1" s="116"/>
      <c r="H1" s="116"/>
      <c r="I1" s="116"/>
    </row>
    <row r="2">
      <c r="C2" s="118" t="s">
        <v>484</v>
      </c>
      <c r="D2" s="119"/>
      <c r="E2" s="119"/>
      <c r="F2" s="119"/>
      <c r="G2" s="119"/>
      <c r="H2" s="119"/>
      <c r="I2" s="120"/>
    </row>
    <row r="3">
      <c r="A3" s="121" t="s">
        <v>1</v>
      </c>
      <c r="B3" s="122" t="s">
        <v>485</v>
      </c>
      <c r="C3" s="123" t="s">
        <v>486</v>
      </c>
      <c r="D3" s="124" t="s">
        <v>6</v>
      </c>
      <c r="E3" s="125" t="s">
        <v>8</v>
      </c>
      <c r="F3" s="124" t="s">
        <v>479</v>
      </c>
      <c r="G3" s="126" t="s">
        <v>7</v>
      </c>
      <c r="H3" s="125" t="s">
        <v>10</v>
      </c>
      <c r="I3" s="127" t="s">
        <v>487</v>
      </c>
    </row>
    <row r="4">
      <c r="A4" s="128">
        <v>45352.0</v>
      </c>
      <c r="B4" s="129" t="s">
        <v>79</v>
      </c>
      <c r="C4" s="130" t="s">
        <v>488</v>
      </c>
      <c r="D4" s="131">
        <f>SUMIFS(All_Stats!$G:$G,
All_Stats!$D:$D,$B4,
All_Stats!$B:$B,"&gt;="&amp;EOMONTH($A4,-1)+1,
All_Stats!$B:$B,"&lt;"&amp;EOMONTH($A4,0)+1,
All_Stats!$P:$P,"Email Marketing"
)</f>
        <v>935</v>
      </c>
      <c r="E4" s="113">
        <f>SUMIFS(All_Stats!$I:$I,
All_Stats!$D:$D,$B4,
All_Stats!$B:$B,"&gt;="&amp;EOMONTH($A4,-1)+1,
All_Stats!$B:$B,"&lt;"&amp;EOMONTH($A4,0)+1,
All_Stats!$P:$P,"Email Marketing"
)</f>
        <v>117</v>
      </c>
      <c r="F4" s="132">
        <f t="shared" ref="F4:F6" si="1">iferror(E4/D4,"N/A")</f>
        <v>0.1251336898</v>
      </c>
      <c r="G4" s="131">
        <f>SUMIFS(All_Stats!$H:$H,
All_Stats!$D:$D,$B4,
All_Stats!$B:$B,"&gt;="&amp;EOMONTH($A4,-1)+1,
All_Stats!$B:$B,"&lt;"&amp;EOMONTH($A4,0)+1,
All_Stats!$P:$P,"Email Marketing"
)</f>
        <v>130</v>
      </c>
      <c r="H4" s="113">
        <f>SUMIFS(All_Stats!$K:$K,
All_Stats!$D:$D,$B4,
All_Stats!$B:$B,"&gt;="&amp;EOMONTH($A4,-1)+1,
All_Stats!$B:$B,"&lt;"&amp;EOMONTH($A4,0)+1,
All_Stats!$P:$P,"Email Marketing"
)</f>
        <v>688</v>
      </c>
      <c r="I4" s="133">
        <f>IFERROR(__xludf.DUMMYFUNCTION("COUNTUNIQUEIFS(All_Stats!A:A,
All_Stats!$D:$D,$B4,
All_Stats!$B:$B,""&gt;=""&amp;EOMONTH($A4,-1)+1,
All_Stats!$B:$B,""&lt;""&amp;EOMONTH($A4,0)+1,
All_Stats!$P:$P,""Email Marketing""
)"),18.0)</f>
        <v>18</v>
      </c>
    </row>
    <row r="5">
      <c r="A5" s="128">
        <v>45352.0</v>
      </c>
      <c r="B5" s="131" t="s">
        <v>164</v>
      </c>
      <c r="C5" s="134" t="str">
        <f>if(ifna(VLOOKUP(B5,'Vendor Directory'!A:C,3,0),"NOT FOUND")="","NOT FOUND",VLOOKUP(B5,'Vendor Directory'!A:C,3,0))</f>
        <v>#N/A</v>
      </c>
      <c r="D5" s="131">
        <f>SUMIFS(All_Stats!$G:$G,
All_Stats!$D:$D,$B5,
All_Stats!$B:$B,"&gt;="&amp;EOMONTH($A5,-1)+1,
All_Stats!$B:$B,"&lt;"&amp;EOMONTH($A5,0)+1,
All_Stats!$P:$P,"Email Marketing"
)</f>
        <v>876</v>
      </c>
      <c r="E5" s="113">
        <f>SUMIFS(All_Stats!$I:$I,
All_Stats!$D:$D,$B5,
All_Stats!$B:$B,"&gt;="&amp;EOMONTH($A5,-1)+1,
All_Stats!$B:$B,"&lt;"&amp;EOMONTH($A5,0)+1,
All_Stats!$P:$P,"Email Marketing"
)</f>
        <v>151</v>
      </c>
      <c r="F5" s="132">
        <f t="shared" si="1"/>
        <v>0.1723744292</v>
      </c>
      <c r="G5" s="131">
        <f>SUMIFS(All_Stats!$H:$H,
All_Stats!$D:$D,$B5,
All_Stats!$B:$B,"&gt;="&amp;EOMONTH($A5,-1)+1,
All_Stats!$B:$B,"&lt;"&amp;EOMONTH($A5,0)+1,
All_Stats!$P:$P,"Email Marketing"
)</f>
        <v>97</v>
      </c>
      <c r="H5" s="113">
        <f>SUMIFS(All_Stats!$K:$K,
All_Stats!$D:$D,$B5,
All_Stats!$B:$B,"&gt;="&amp;EOMONTH($A5,-1)+1,
All_Stats!$B:$B,"&lt;"&amp;EOMONTH($A5,0)+1,
All_Stats!$P:$P,"Email Marketing"
)</f>
        <v>628</v>
      </c>
      <c r="I5" s="133">
        <f>IFERROR(__xludf.DUMMYFUNCTION("COUNTUNIQUEIFS(All_Stats!A:A,
All_Stats!$D:$D,$B5,
All_Stats!$B:$B,""&gt;=""&amp;EOMONTH($A5,-1)+1,
All_Stats!$B:$B,""&lt;""&amp;EOMONTH($A5,0)+1,
All_Stats!$P:$P,""Email Marketing""
)"),27.0)</f>
        <v>27</v>
      </c>
    </row>
    <row r="6">
      <c r="A6" s="135"/>
      <c r="B6" s="135"/>
      <c r="C6" s="136" t="s">
        <v>23</v>
      </c>
      <c r="D6" s="137">
        <f t="shared" ref="D6:E6" si="2">SUM(D4:D5)</f>
        <v>1811</v>
      </c>
      <c r="E6" s="137">
        <f t="shared" si="2"/>
        <v>268</v>
      </c>
      <c r="F6" s="138">
        <f t="shared" si="1"/>
        <v>0.1479845389</v>
      </c>
      <c r="G6" s="137">
        <f t="shared" ref="G6:H6" si="3">SUM(G4:G5)</f>
        <v>227</v>
      </c>
      <c r="H6" s="137">
        <f t="shared" si="3"/>
        <v>1316</v>
      </c>
      <c r="I6" s="139"/>
    </row>
    <row r="7">
      <c r="A7" s="131"/>
      <c r="B7" s="131"/>
      <c r="C7" s="129"/>
      <c r="D7" s="140"/>
      <c r="F7" s="131"/>
      <c r="G7" s="131"/>
    </row>
    <row r="8">
      <c r="A8" s="121" t="s">
        <v>1</v>
      </c>
      <c r="B8" s="122" t="s">
        <v>485</v>
      </c>
      <c r="C8" s="123" t="s">
        <v>486</v>
      </c>
      <c r="D8" s="124" t="s">
        <v>6</v>
      </c>
      <c r="E8" s="125" t="s">
        <v>8</v>
      </c>
      <c r="F8" s="124" t="s">
        <v>479</v>
      </c>
      <c r="G8" s="126" t="s">
        <v>7</v>
      </c>
      <c r="H8" s="125" t="s">
        <v>10</v>
      </c>
      <c r="I8" s="127" t="s">
        <v>487</v>
      </c>
    </row>
    <row r="9">
      <c r="A9" s="128">
        <v>45352.0</v>
      </c>
      <c r="B9" s="129" t="s">
        <v>19</v>
      </c>
      <c r="C9" s="141" t="s">
        <v>489</v>
      </c>
      <c r="D9" s="131">
        <f>SUMIFS(All_Stats!$G:$G,
All_Stats!$D:$D,$B9,
All_Stats!$B:$B,"&gt;="&amp;EOMONTH($A9,-1)+1,
All_Stats!$B:$B,"&lt;"&amp;EOMONTH($A9,0)+1,
All_Stats!$P:$P,"&lt;&gt;Email Marketing"
)</f>
        <v>85</v>
      </c>
      <c r="E9" s="113">
        <f>SUMIFS(All_Stats!$I:$I,
All_Stats!$D:$D,$B9,
All_Stats!$B:$B,"&gt;="&amp;EOMONTH($A9,-1)+1,
All_Stats!$B:$B,"&lt;"&amp;EOMONTH($A9,0)+1,
All_Stats!$P:$P,"&lt;&gt;Email Marketing"
)</f>
        <v>19</v>
      </c>
      <c r="F9" s="132">
        <f t="shared" ref="F9:F18" si="4">iferror(E9/D9,"N/A")</f>
        <v>0.2235294118</v>
      </c>
      <c r="G9" s="131">
        <f>SUMIFS(All_Stats!$H:$H,
All_Stats!$D:$D,$B9,
All_Stats!$B:$B,"&gt;="&amp;EOMONTH($A9,-1)+1,
All_Stats!$B:$B,"&lt;"&amp;EOMONTH($A9,0)+1,
All_Stats!$P:$P,"&lt;&gt;Email Marketing"
)</f>
        <v>17</v>
      </c>
      <c r="H9" s="113">
        <f>SUMIFS(All_Stats!$K:$K,
All_Stats!$D:$D,$B9,
All_Stats!$B:$B,"&gt;="&amp;EOMONTH($A9,-1)+1,
All_Stats!$B:$B,"&lt;"&amp;EOMONTH($A9,0)+1,
All_Stats!$P:$P,"&lt;&gt;Email Marketing"
)</f>
        <v>49</v>
      </c>
      <c r="I9" s="133">
        <f>IFERROR(__xludf.DUMMYFUNCTION("COUNTUNIQUEIFS(All_Stats!A:A,
All_Stats!$D:$D,$B9,
All_Stats!$B:$B,""&gt;=""&amp;EOMONTH($A9,-1)+1,
All_Stats!$B:$B,""&lt;""&amp;EOMONTH($A9,0)+1,
All_Stats!$P:$P,""&lt;&gt;Email Marketing""
)"),34.0)</f>
        <v>34</v>
      </c>
    </row>
    <row r="10">
      <c r="A10" s="128">
        <v>45352.0</v>
      </c>
      <c r="B10" s="131" t="s">
        <v>127</v>
      </c>
      <c r="C10" s="134" t="str">
        <f>if(ifna(VLOOKUP(B10,'Vendor Directory'!A:C,3,0),"NOT FOUND")="","NOT FOUND",VLOOKUP(B10,'Vendor Directory'!A:C,3,0))</f>
        <v>#N/A</v>
      </c>
      <c r="D10" s="131">
        <f>SUMIFS(All_Stats!$G:$G,
All_Stats!$D:$D,$B10,
All_Stats!$B:$B,"&gt;="&amp;EOMONTH($A10,-1)+1,
All_Stats!$B:$B,"&lt;"&amp;EOMONTH($A10,0)+1,
All_Stats!$P:$P,"&lt;&gt;Email Marketing"
)</f>
        <v>63</v>
      </c>
      <c r="E10" s="113">
        <f>SUMIFS(All_Stats!$I:$I,
All_Stats!$D:$D,$B10,
All_Stats!$B:$B,"&gt;="&amp;EOMONTH($A10,-1)+1,
All_Stats!$B:$B,"&lt;"&amp;EOMONTH($A10,0)+1,
All_Stats!$P:$P,"&lt;&gt;Email Marketing"
)</f>
        <v>9</v>
      </c>
      <c r="F10" s="132">
        <f t="shared" si="4"/>
        <v>0.1428571429</v>
      </c>
      <c r="G10" s="131">
        <f>SUMIFS(All_Stats!$H:$H,
All_Stats!$D:$D,$B10,
All_Stats!$B:$B,"&gt;="&amp;EOMONTH($A10,-1)+1,
All_Stats!$B:$B,"&lt;"&amp;EOMONTH($A10,0)+1,
All_Stats!$P:$P,"&lt;&gt;Email Marketing"
)</f>
        <v>54</v>
      </c>
      <c r="H10" s="113">
        <f>SUMIFS(All_Stats!$K:$K,
All_Stats!$D:$D,$B10,
All_Stats!$B:$B,"&gt;="&amp;EOMONTH($A10,-1)+1,
All_Stats!$B:$B,"&lt;"&amp;EOMONTH($A10,0)+1,
All_Stats!$P:$P,"&lt;&gt;Email Marketing"
)</f>
        <v>0</v>
      </c>
      <c r="I10" s="133">
        <f>IFERROR(__xludf.DUMMYFUNCTION("COUNTUNIQUEIFS(All_Stats!A:A,
All_Stats!$D:$D,$B10,
All_Stats!$B:$B,""&gt;=""&amp;EOMONTH($A10,-1)+1,
All_Stats!$B:$B,""&lt;""&amp;EOMONTH($A10,0)+1,
All_Stats!$P:$P,""&lt;&gt;Email Marketing""
)"),10.0)</f>
        <v>10</v>
      </c>
    </row>
    <row r="11">
      <c r="A11" s="128">
        <v>45352.0</v>
      </c>
      <c r="B11" s="131" t="s">
        <v>157</v>
      </c>
      <c r="C11" s="134" t="str">
        <f>if(ifna(VLOOKUP(B11,'Vendor Directory'!A:C,3,0),"NOT FOUND")="","NOT FOUND",VLOOKUP(B11,'Vendor Directory'!A:C,3,0))</f>
        <v>#N/A</v>
      </c>
      <c r="D11" s="131">
        <f>SUMIFS(All_Stats!$G:$G,
All_Stats!$D:$D,$B11,
All_Stats!$B:$B,"&gt;="&amp;EOMONTH($A11,-1)+1,
All_Stats!$B:$B,"&lt;"&amp;EOMONTH($A11,0)+1,
All_Stats!$P:$P,"&lt;&gt;Email Marketing"
)</f>
        <v>68</v>
      </c>
      <c r="E11" s="113">
        <f>SUMIFS(All_Stats!$I:$I,
All_Stats!$D:$D,$B11,
All_Stats!$B:$B,"&gt;="&amp;EOMONTH($A11,-1)+1,
All_Stats!$B:$B,"&lt;"&amp;EOMONTH($A11,0)+1,
All_Stats!$P:$P,"&lt;&gt;Email Marketing"
)</f>
        <v>21</v>
      </c>
      <c r="F11" s="132">
        <f t="shared" si="4"/>
        <v>0.3088235294</v>
      </c>
      <c r="G11" s="131">
        <f>SUMIFS(All_Stats!$H:$H,
All_Stats!$D:$D,$B11,
All_Stats!$B:$B,"&gt;="&amp;EOMONTH($A11,-1)+1,
All_Stats!$B:$B,"&lt;"&amp;EOMONTH($A11,0)+1,
All_Stats!$P:$P,"&lt;&gt;Email Marketing"
)</f>
        <v>0</v>
      </c>
      <c r="H11" s="113">
        <f>SUMIFS(All_Stats!$K:$K,
All_Stats!$D:$D,$B11,
All_Stats!$B:$B,"&gt;="&amp;EOMONTH($A11,-1)+1,
All_Stats!$B:$B,"&lt;"&amp;EOMONTH($A11,0)+1,
All_Stats!$P:$P,"&lt;&gt;Email Marketing"
)</f>
        <v>47</v>
      </c>
      <c r="I11" s="133">
        <f>IFERROR(__xludf.DUMMYFUNCTION("COUNTUNIQUEIFS(All_Stats!A:A,
All_Stats!$D:$D,$B11,
All_Stats!$B:$B,""&gt;=""&amp;EOMONTH($A11,-1)+1,
All_Stats!$B:$B,""&lt;""&amp;EOMONTH($A11,0)+1,
All_Stats!$P:$P,""&lt;&gt;Email Marketing""
)"),3.0)</f>
        <v>3</v>
      </c>
    </row>
    <row r="12">
      <c r="A12" s="128">
        <v>45352.0</v>
      </c>
      <c r="B12" s="131" t="s">
        <v>91</v>
      </c>
      <c r="C12" s="134" t="str">
        <f>if(ifna(VLOOKUP(B12,'Vendor Directory'!A:C,3,0),"NOT FOUND")="","NOT FOUND",VLOOKUP(B12,'Vendor Directory'!A:C,3,0))</f>
        <v>#N/A</v>
      </c>
      <c r="D12" s="131">
        <f>SUMIFS(All_Stats!$G:$G,
All_Stats!$D:$D,$B12,
All_Stats!$B:$B,"&gt;="&amp;EOMONTH($A12,-1)+1,
All_Stats!$B:$B,"&lt;"&amp;EOMONTH($A12,0)+1,
All_Stats!$P:$P,"&lt;&gt;Email Marketing"
)</f>
        <v>134</v>
      </c>
      <c r="E12" s="113">
        <f>SUMIFS(All_Stats!$I:$I,
All_Stats!$D:$D,$B12,
All_Stats!$B:$B,"&gt;="&amp;EOMONTH($A12,-1)+1,
All_Stats!$B:$B,"&lt;"&amp;EOMONTH($A12,0)+1,
All_Stats!$P:$P,"&lt;&gt;Email Marketing"
)</f>
        <v>12</v>
      </c>
      <c r="F12" s="132">
        <f t="shared" si="4"/>
        <v>0.08955223881</v>
      </c>
      <c r="G12" s="131">
        <f>SUMIFS(All_Stats!$H:$H,
All_Stats!$D:$D,$B12,
All_Stats!$B:$B,"&gt;="&amp;EOMONTH($A12,-1)+1,
All_Stats!$B:$B,"&lt;"&amp;EOMONTH($A12,0)+1,
All_Stats!$P:$P,"&lt;&gt;Email Marketing"
)</f>
        <v>60</v>
      </c>
      <c r="H12" s="113">
        <f>SUMIFS(All_Stats!$K:$K,
All_Stats!$D:$D,$B12,
All_Stats!$B:$B,"&gt;="&amp;EOMONTH($A12,-1)+1,
All_Stats!$B:$B,"&lt;"&amp;EOMONTH($A12,0)+1,
All_Stats!$P:$P,"&lt;&gt;Email Marketing"
)</f>
        <v>62</v>
      </c>
      <c r="I12" s="133">
        <f>IFERROR(__xludf.DUMMYFUNCTION("COUNTUNIQUEIFS(All_Stats!A:A,
All_Stats!$D:$D,$B12,
All_Stats!$B:$B,""&gt;=""&amp;EOMONTH($A12,-1)+1,
All_Stats!$B:$B,""&lt;""&amp;EOMONTH($A12,0)+1,
All_Stats!$P:$P,""&lt;&gt;Email Marketing""
)"),11.0)</f>
        <v>11</v>
      </c>
    </row>
    <row r="13">
      <c r="A13" s="128">
        <v>45352.0</v>
      </c>
      <c r="B13" s="131" t="s">
        <v>30</v>
      </c>
      <c r="C13" s="134" t="str">
        <f>if(ifna(VLOOKUP(B13,'Vendor Directory'!A:C,3,0),"NOT FOUND")="","NOT FOUND",VLOOKUP(B13,'Vendor Directory'!A:C,3,0))</f>
        <v>Vendor 2 Name</v>
      </c>
      <c r="D13" s="131">
        <f>SUMIFS(All_Stats!$G:$G,
All_Stats!$D:$D,$B13,
All_Stats!$B:$B,"&gt;="&amp;EOMONTH($A13,-1)+1,
All_Stats!$B:$B,"&lt;"&amp;EOMONTH($A13,0)+1,
All_Stats!$P:$P,"&lt;&gt;Email Marketing"
)</f>
        <v>0</v>
      </c>
      <c r="E13" s="113">
        <f>SUMIFS(All_Stats!$I:$I,
All_Stats!$D:$D,$B13,
All_Stats!$B:$B,"&gt;="&amp;EOMONTH($A13,-1)+1,
All_Stats!$B:$B,"&lt;"&amp;EOMONTH($A13,0)+1,
All_Stats!$P:$P,"&lt;&gt;Email Marketing"
)</f>
        <v>0</v>
      </c>
      <c r="F13" s="132" t="str">
        <f t="shared" si="4"/>
        <v>N/A</v>
      </c>
      <c r="G13" s="131">
        <f>SUMIFS(All_Stats!$H:$H,
All_Stats!$D:$D,$B13,
All_Stats!$B:$B,"&gt;="&amp;EOMONTH($A13,-1)+1,
All_Stats!$B:$B,"&lt;"&amp;EOMONTH($A13,0)+1,
All_Stats!$P:$P,"&lt;&gt;Email Marketing"
)</f>
        <v>0</v>
      </c>
      <c r="H13" s="113">
        <f>SUMIFS(All_Stats!$K:$K,
All_Stats!$D:$D,$B13,
All_Stats!$B:$B,"&gt;="&amp;EOMONTH($A13,-1)+1,
All_Stats!$B:$B,"&lt;"&amp;EOMONTH($A13,0)+1,
All_Stats!$P:$P,"&lt;&gt;Email Marketing"
)</f>
        <v>0</v>
      </c>
      <c r="I13" s="133">
        <f>IFERROR(__xludf.DUMMYFUNCTION("COUNTUNIQUEIFS(All_Stats!A:A,
All_Stats!$D:$D,$B13,
All_Stats!$B:$B,""&gt;=""&amp;EOMONTH($A13,-1)+1,
All_Stats!$B:$B,""&lt;""&amp;EOMONTH($A13,0)+1,
All_Stats!$P:$P,""&lt;&gt;Email Marketing""
)"),4.0)</f>
        <v>4</v>
      </c>
    </row>
    <row r="14">
      <c r="A14" s="128">
        <v>45352.0</v>
      </c>
      <c r="B14" s="129" t="s">
        <v>109</v>
      </c>
      <c r="C14" s="130" t="s">
        <v>490</v>
      </c>
      <c r="D14" s="131">
        <f>SUMIFS(All_Stats!$G:$G,
All_Stats!$D:$D,$B14,
All_Stats!$B:$B,"&gt;="&amp;EOMONTH($A14,-1)+1,
All_Stats!$B:$B,"&lt;"&amp;EOMONTH($A14,0)+1,
All_Stats!$P:$P,"&lt;&gt;Email Marketing"
)</f>
        <v>6</v>
      </c>
      <c r="E14" s="113">
        <f>SUMIFS(All_Stats!$I:$I,
All_Stats!$D:$D,$B14,
All_Stats!$B:$B,"&gt;="&amp;EOMONTH($A14,-1)+1,
All_Stats!$B:$B,"&lt;"&amp;EOMONTH($A14,0)+1,
All_Stats!$P:$P,"&lt;&gt;Email Marketing"
)</f>
        <v>0</v>
      </c>
      <c r="F14" s="132">
        <f t="shared" si="4"/>
        <v>0</v>
      </c>
      <c r="G14" s="131">
        <f>SUMIFS(All_Stats!$H:$H,
All_Stats!$D:$D,$B14,
All_Stats!$B:$B,"&gt;="&amp;EOMONTH($A14,-1)+1,
All_Stats!$B:$B,"&lt;"&amp;EOMONTH($A14,0)+1,
All_Stats!$P:$P,"&lt;&gt;Email Marketing"
)</f>
        <v>0</v>
      </c>
      <c r="H14" s="113">
        <f>SUMIFS(All_Stats!$K:$K,
All_Stats!$D:$D,$B14,
All_Stats!$B:$B,"&gt;="&amp;EOMONTH($A14,-1)+1,
All_Stats!$B:$B,"&lt;"&amp;EOMONTH($A14,0)+1,
All_Stats!$P:$P,"&lt;&gt;Email Marketing"
)</f>
        <v>6</v>
      </c>
      <c r="I14" s="133">
        <f>IFERROR(__xludf.DUMMYFUNCTION("COUNTUNIQUEIFS(All_Stats!A:A,
All_Stats!$D:$D,$B14,
All_Stats!$B:$B,""&gt;=""&amp;EOMONTH($A14,-1)+1,
All_Stats!$B:$B,""&lt;""&amp;EOMONTH($A14,0)+1,
All_Stats!$P:$P,""&lt;&gt;Email Marketing""
)"),8.0)</f>
        <v>8</v>
      </c>
    </row>
    <row r="15">
      <c r="A15" s="128">
        <v>45352.0</v>
      </c>
      <c r="B15" s="129" t="s">
        <v>69</v>
      </c>
      <c r="C15" s="142" t="s">
        <v>491</v>
      </c>
      <c r="D15" s="131">
        <f>SUMIFS(All_Stats!$G:$G,
All_Stats!$D:$D,$B15,
All_Stats!$B:$B,"&gt;="&amp;EOMONTH($A15,-1)+1,
All_Stats!$B:$B,"&lt;"&amp;EOMONTH($A15,0)+1,
All_Stats!$P:$P,"&lt;&gt;Email Marketing"
)</f>
        <v>2</v>
      </c>
      <c r="E15" s="113">
        <f>SUMIFS(All_Stats!$I:$I,
All_Stats!$D:$D,$B15,
All_Stats!$B:$B,"&gt;="&amp;EOMONTH($A15,-1)+1,
All_Stats!$B:$B,"&lt;"&amp;EOMONTH($A15,0)+1,
All_Stats!$P:$P,"&lt;&gt;Email Marketing"
)</f>
        <v>0</v>
      </c>
      <c r="F15" s="132">
        <f t="shared" si="4"/>
        <v>0</v>
      </c>
      <c r="G15" s="131">
        <f>SUMIFS(All_Stats!$H:$H,
All_Stats!$D:$D,$B15,
All_Stats!$B:$B,"&gt;="&amp;EOMONTH($A15,-1)+1,
All_Stats!$B:$B,"&lt;"&amp;EOMONTH($A15,0)+1,
All_Stats!$P:$P,"&lt;&gt;Email Marketing"
)</f>
        <v>0</v>
      </c>
      <c r="H15" s="113">
        <f>SUMIFS(All_Stats!$K:$K,
All_Stats!$D:$D,$B15,
All_Stats!$B:$B,"&gt;="&amp;EOMONTH($A15,-1)+1,
All_Stats!$B:$B,"&lt;"&amp;EOMONTH($A15,0)+1,
All_Stats!$P:$P,"&lt;&gt;Email Marketing"
)</f>
        <v>2</v>
      </c>
      <c r="I15" s="133">
        <f>IFERROR(__xludf.DUMMYFUNCTION("COUNTUNIQUEIFS(All_Stats!A:A,
All_Stats!$D:$D,$B15,
All_Stats!$B:$B,""&gt;=""&amp;EOMONTH($A15,-1)+1,
All_Stats!$B:$B,""&lt;""&amp;EOMONTH($A15,0)+1,
All_Stats!$P:$P,""&lt;&gt;Email Marketing""
)"),1.0)</f>
        <v>1</v>
      </c>
    </row>
    <row r="16">
      <c r="A16" s="128">
        <v>45352.0</v>
      </c>
      <c r="B16" s="129" t="s">
        <v>33</v>
      </c>
      <c r="C16" s="142" t="s">
        <v>492</v>
      </c>
      <c r="D16" s="131">
        <f>SUMIFS(All_Stats!$G:$G,
All_Stats!$D:$D,$B16,
All_Stats!$B:$B,"&gt;="&amp;EOMONTH($A16,-1)+1,
All_Stats!$B:$B,"&lt;"&amp;EOMONTH($A16,0)+1,
All_Stats!$P:$P,"&lt;&gt;Email Marketing"
)</f>
        <v>0</v>
      </c>
      <c r="E16" s="113">
        <f>SUMIFS(All_Stats!$I:$I,
All_Stats!$D:$D,$B16,
All_Stats!$B:$B,"&gt;="&amp;EOMONTH($A16,-1)+1,
All_Stats!$B:$B,"&lt;"&amp;EOMONTH($A16,0)+1,
All_Stats!$P:$P,"&lt;&gt;Email Marketing"
)</f>
        <v>0</v>
      </c>
      <c r="F16" s="132" t="str">
        <f t="shared" si="4"/>
        <v>N/A</v>
      </c>
      <c r="G16" s="131">
        <f>SUMIFS(All_Stats!$H:$H,
All_Stats!$D:$D,$B16,
All_Stats!$B:$B,"&gt;="&amp;EOMONTH($A16,-1)+1,
All_Stats!$B:$B,"&lt;"&amp;EOMONTH($A16,0)+1,
All_Stats!$P:$P,"&lt;&gt;Email Marketing"
)</f>
        <v>0</v>
      </c>
      <c r="H16" s="113">
        <f>SUMIFS(All_Stats!$K:$K,
All_Stats!$D:$D,$B16,
All_Stats!$B:$B,"&gt;="&amp;EOMONTH($A16,-1)+1,
All_Stats!$B:$B,"&lt;"&amp;EOMONTH($A16,0)+1,
All_Stats!$P:$P,"&lt;&gt;Email Marketing"
)</f>
        <v>0</v>
      </c>
      <c r="I16" s="133">
        <f>IFERROR(__xludf.DUMMYFUNCTION("COUNTUNIQUEIFS(All_Stats!A:A,
All_Stats!$D:$D,$B16,
All_Stats!$B:$B,""&gt;=""&amp;EOMONTH($A16,-1)+1,
All_Stats!$B:$B,""&lt;""&amp;EOMONTH($A16,0)+1,
All_Stats!$P:$P,""&lt;&gt;Email Marketing""
)"),2.0)</f>
        <v>2</v>
      </c>
    </row>
    <row r="17">
      <c r="A17" s="128">
        <v>45352.0</v>
      </c>
      <c r="B17" s="129" t="s">
        <v>79</v>
      </c>
      <c r="C17" s="130" t="s">
        <v>488</v>
      </c>
      <c r="D17" s="131">
        <f>SUMIFS(All_Stats!$G:$G,
All_Stats!$D:$D,$B17,
All_Stats!$B:$B,"&gt;="&amp;EOMONTH($A17,-1)+1,
All_Stats!$B:$B,"&lt;"&amp;EOMONTH($A17,0)+1,
All_Stats!$P:$P,"&lt;&gt;Email Marketing"
)</f>
        <v>0</v>
      </c>
      <c r="E17" s="113">
        <f>SUMIFS(All_Stats!$I:$I,
All_Stats!$D:$D,$B17,
All_Stats!$B:$B,"&gt;="&amp;EOMONTH($A17,-1)+1,
All_Stats!$B:$B,"&lt;"&amp;EOMONTH($A17,0)+1,
All_Stats!$P:$P,"&lt;&gt;Email Marketing"
)</f>
        <v>0</v>
      </c>
      <c r="F17" s="132" t="str">
        <f t="shared" si="4"/>
        <v>N/A</v>
      </c>
      <c r="G17" s="131">
        <f>SUMIFS(All_Stats!$H:$H,
All_Stats!$D:$D,$B17,
All_Stats!$B:$B,"&gt;="&amp;EOMONTH($A17,-1)+1,
All_Stats!$B:$B,"&lt;"&amp;EOMONTH($A17,0)+1,
All_Stats!$P:$P,"&lt;&gt;Email Marketing"
)</f>
        <v>0</v>
      </c>
      <c r="H17" s="113">
        <f>SUMIFS(All_Stats!$K:$K,
All_Stats!$D:$D,$B17,
All_Stats!$B:$B,"&gt;="&amp;EOMONTH($A17,-1)+1,
All_Stats!$B:$B,"&lt;"&amp;EOMONTH($A17,0)+1,
All_Stats!$P:$P,"&lt;&gt;Email Marketing"
)</f>
        <v>0</v>
      </c>
      <c r="I17" s="133">
        <f>IFERROR(__xludf.DUMMYFUNCTION("COUNTUNIQUEIFS(All_Stats!A:A,
All_Stats!$D:$D,$B17,
All_Stats!$B:$B,""&gt;=""&amp;EOMONTH($A17,-1)+1,
All_Stats!$B:$B,""&lt;""&amp;EOMONTH($A17,0)+1,
All_Stats!$P:$P,""&lt;&gt;Email Marketing""
)"),1.0)</f>
        <v>1</v>
      </c>
    </row>
    <row r="18">
      <c r="A18" s="135"/>
      <c r="B18" s="135"/>
      <c r="C18" s="136" t="s">
        <v>23</v>
      </c>
      <c r="D18" s="137">
        <f t="shared" ref="D18:E18" si="5">SUM(D9:D16)</f>
        <v>358</v>
      </c>
      <c r="E18" s="137">
        <f t="shared" si="5"/>
        <v>61</v>
      </c>
      <c r="F18" s="138">
        <f t="shared" si="4"/>
        <v>0.1703910615</v>
      </c>
      <c r="G18" s="137">
        <f t="shared" ref="G18:H18" si="6">SUM(G9:G16)</f>
        <v>131</v>
      </c>
      <c r="H18" s="137">
        <f t="shared" si="6"/>
        <v>166</v>
      </c>
      <c r="I18" s="139"/>
    </row>
    <row r="19">
      <c r="A19" s="114"/>
      <c r="B19" s="114"/>
      <c r="C19" s="115"/>
      <c r="D19" s="116"/>
      <c r="E19" s="116"/>
      <c r="F19" s="117"/>
      <c r="G19" s="116"/>
      <c r="H19" s="116"/>
      <c r="I19" s="116"/>
    </row>
    <row r="20">
      <c r="A20" s="114"/>
      <c r="B20" s="114"/>
      <c r="C20" s="115"/>
      <c r="D20" s="116">
        <f t="shared" ref="D20:E20" si="7">D6+D18</f>
        <v>2169</v>
      </c>
      <c r="E20" s="116">
        <f t="shared" si="7"/>
        <v>329</v>
      </c>
      <c r="F20" s="117"/>
      <c r="G20" s="116">
        <f t="shared" ref="G20:H20" si="8">G6+G18</f>
        <v>358</v>
      </c>
      <c r="H20" s="116">
        <f t="shared" si="8"/>
        <v>1482</v>
      </c>
      <c r="I20" s="116"/>
    </row>
    <row r="21">
      <c r="A21" s="114"/>
      <c r="B21" s="114"/>
      <c r="C21" s="115"/>
      <c r="D21" s="116"/>
      <c r="E21" s="116"/>
      <c r="F21" s="117"/>
      <c r="G21" s="116"/>
      <c r="H21" s="116"/>
      <c r="I21" s="116"/>
    </row>
    <row r="22">
      <c r="A22" s="114"/>
      <c r="B22" s="114"/>
      <c r="C22" s="115"/>
      <c r="D22" s="116"/>
      <c r="E22" s="116"/>
      <c r="F22" s="117"/>
      <c r="G22" s="116"/>
      <c r="H22" s="116"/>
      <c r="I22" s="116"/>
    </row>
    <row r="23">
      <c r="A23" s="114"/>
      <c r="B23" s="114"/>
      <c r="C23" s="115"/>
      <c r="D23" s="116"/>
      <c r="E23" s="116"/>
      <c r="F23" s="117"/>
      <c r="G23" s="116"/>
      <c r="H23" s="116"/>
      <c r="I23" s="116"/>
    </row>
    <row r="24">
      <c r="A24" s="114"/>
      <c r="B24" s="114"/>
      <c r="C24" s="115"/>
      <c r="D24" s="116"/>
      <c r="E24" s="116"/>
      <c r="F24" s="117"/>
      <c r="G24" s="116"/>
      <c r="H24" s="116"/>
      <c r="I24" s="116"/>
    </row>
    <row r="25">
      <c r="A25" s="114"/>
      <c r="B25" s="114"/>
      <c r="C25" s="115"/>
      <c r="D25" s="116"/>
      <c r="E25" s="116"/>
      <c r="F25" s="117"/>
      <c r="G25" s="116"/>
      <c r="H25" s="116"/>
      <c r="I25" s="116"/>
    </row>
    <row r="26">
      <c r="A26" s="114"/>
      <c r="B26" s="114"/>
      <c r="C26" s="115"/>
      <c r="D26" s="116"/>
      <c r="E26" s="116"/>
      <c r="F26" s="117"/>
      <c r="G26" s="116"/>
      <c r="H26" s="116"/>
      <c r="I26" s="116"/>
    </row>
    <row r="27">
      <c r="A27" s="114"/>
      <c r="B27" s="114"/>
      <c r="C27" s="115"/>
      <c r="D27" s="116"/>
      <c r="E27" s="116"/>
      <c r="F27" s="117"/>
      <c r="G27" s="116"/>
      <c r="H27" s="116"/>
      <c r="I27" s="116"/>
    </row>
    <row r="28">
      <c r="A28" s="114"/>
      <c r="B28" s="114"/>
      <c r="C28" s="115"/>
      <c r="D28" s="116"/>
      <c r="E28" s="116"/>
      <c r="F28" s="117"/>
      <c r="G28" s="116"/>
      <c r="H28" s="116"/>
      <c r="I28" s="116"/>
    </row>
    <row r="29">
      <c r="A29" s="114"/>
      <c r="B29" s="114"/>
      <c r="C29" s="115"/>
      <c r="D29" s="116"/>
      <c r="E29" s="116"/>
      <c r="F29" s="117"/>
      <c r="G29" s="116"/>
      <c r="H29" s="116"/>
      <c r="I29" s="116"/>
    </row>
    <row r="30">
      <c r="A30" s="114"/>
      <c r="B30" s="114"/>
      <c r="C30" s="115"/>
      <c r="D30" s="116"/>
      <c r="E30" s="116"/>
      <c r="F30" s="117"/>
      <c r="G30" s="116"/>
      <c r="H30" s="116"/>
      <c r="I30" s="116"/>
    </row>
    <row r="31">
      <c r="A31" s="114"/>
      <c r="B31" s="114"/>
      <c r="C31" s="115"/>
      <c r="D31" s="116"/>
      <c r="E31" s="116"/>
      <c r="F31" s="117"/>
      <c r="G31" s="116"/>
      <c r="H31" s="116"/>
      <c r="I31" s="116"/>
    </row>
    <row r="32">
      <c r="A32" s="114"/>
      <c r="B32" s="114"/>
      <c r="C32" s="115"/>
      <c r="D32" s="116"/>
      <c r="E32" s="116"/>
      <c r="F32" s="117"/>
      <c r="G32" s="116"/>
      <c r="H32" s="116"/>
      <c r="I32" s="116"/>
    </row>
    <row r="33">
      <c r="A33" s="114"/>
      <c r="B33" s="114"/>
      <c r="C33" s="115"/>
      <c r="D33" s="116"/>
      <c r="E33" s="116"/>
      <c r="F33" s="117"/>
      <c r="G33" s="116"/>
      <c r="H33" s="116"/>
      <c r="I33" s="116"/>
    </row>
    <row r="34">
      <c r="A34" s="114"/>
      <c r="B34" s="114"/>
      <c r="C34" s="115"/>
      <c r="D34" s="116"/>
      <c r="E34" s="116"/>
      <c r="F34" s="117"/>
      <c r="G34" s="116"/>
      <c r="H34" s="116"/>
      <c r="I34" s="116"/>
    </row>
    <row r="35">
      <c r="A35" s="114"/>
      <c r="B35" s="114"/>
      <c r="C35" s="115"/>
      <c r="D35" s="116"/>
      <c r="E35" s="116"/>
      <c r="F35" s="117"/>
      <c r="G35" s="116"/>
      <c r="H35" s="116"/>
      <c r="I35" s="116"/>
    </row>
    <row r="36">
      <c r="A36" s="114"/>
      <c r="B36" s="114"/>
      <c r="C36" s="115"/>
      <c r="D36" s="116"/>
      <c r="E36" s="116"/>
      <c r="F36" s="117"/>
      <c r="G36" s="116"/>
      <c r="H36" s="116"/>
      <c r="I36" s="116"/>
    </row>
  </sheetData>
  <mergeCells count="1">
    <mergeCell ref="C2:I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3" max="3" width="23.88"/>
    <col customWidth="1" min="10" max="10" width="11.75"/>
    <col customWidth="1" min="11" max="11" width="11.13"/>
    <col customWidth="1" min="12" max="12" width="13.5"/>
  </cols>
  <sheetData>
    <row r="1">
      <c r="A1" s="143">
        <v>2021.0</v>
      </c>
      <c r="B1" s="144"/>
      <c r="C1" s="144"/>
      <c r="D1" s="144"/>
      <c r="E1" s="144"/>
      <c r="F1" s="144"/>
      <c r="G1" s="144"/>
      <c r="H1" s="144"/>
      <c r="I1" s="144"/>
      <c r="J1" s="145"/>
      <c r="K1" s="145"/>
      <c r="L1" s="145"/>
    </row>
    <row r="2" hidden="1">
      <c r="A2" s="121" t="s">
        <v>1</v>
      </c>
      <c r="B2" s="122" t="s">
        <v>485</v>
      </c>
      <c r="C2" s="146" t="s">
        <v>486</v>
      </c>
      <c r="D2" s="147" t="s">
        <v>6</v>
      </c>
      <c r="E2" s="148" t="s">
        <v>8</v>
      </c>
      <c r="F2" s="147" t="s">
        <v>479</v>
      </c>
      <c r="G2" s="149" t="s">
        <v>7</v>
      </c>
      <c r="H2" s="148" t="s">
        <v>10</v>
      </c>
      <c r="I2" s="150" t="s">
        <v>487</v>
      </c>
      <c r="J2" s="145"/>
      <c r="K2" s="151" t="s">
        <v>493</v>
      </c>
      <c r="L2" s="145"/>
    </row>
    <row r="3" hidden="1">
      <c r="A3" s="128">
        <v>44287.0</v>
      </c>
      <c r="B3" s="131" t="s">
        <v>494</v>
      </c>
      <c r="C3" s="134" t="str">
        <f>if(ifna(VLOOKUP(B3,'Vendor Directory'!A:C,3,0),"NOT FOUND")="","NOT FOUND",VLOOKUP(B3,'Vendor Directory'!A:C,3,0))</f>
        <v>#N/A</v>
      </c>
      <c r="D3" s="131">
        <f>SUMIFS(All_Stats!$G:$G,
All_Stats!$D:$D,$B3,
All_Stats!$B:$B,"&gt;="&amp;EOMONTH($A3,-1)+1,
All_Stats!$B:$B,"&lt;"&amp;EOMONTH($A3,0)+1
)</f>
        <v>0</v>
      </c>
      <c r="E3" s="113">
        <f>SUMIFS(All_Stats!$I:$I,
All_Stats!$D:$D,$B3,
All_Stats!$B:$B,"&gt;="&amp;EOMONTH($A3,-1)+1,
All_Stats!$B:$B,"&lt;"&amp;EOMONTH($A3,0)+1
)</f>
        <v>0</v>
      </c>
      <c r="F3" s="132" t="str">
        <f t="shared" ref="F3:F21" si="1">iferror(E3/D3,"N/A")</f>
        <v>N/A</v>
      </c>
      <c r="G3" s="131">
        <f>SUMIFS(All_Stats!$H:$H,
All_Stats!$D:$D,$B3,
All_Stats!$B:$B,"&gt;="&amp;EOMONTH($A3,-1)+1,
All_Stats!$B:$B,"&lt;"&amp;EOMONTH($A3,0)+1
)</f>
        <v>0</v>
      </c>
      <c r="H3" s="113">
        <f>SUMIFS(All_Stats!$K:$K,
All_Stats!$D:$D,$B3,
All_Stats!$B:$B,"&gt;="&amp;EOMONTH($A3,-1)+1,
All_Stats!$B:$B,"&lt;"&amp;EOMONTH($A3,0)+1
)</f>
        <v>0</v>
      </c>
      <c r="I3" s="152">
        <f>IFERROR(__xludf.DUMMYFUNCTION("COUNTUNIQUEIFS(All_Stats!A:A,
All_Stats!$D:$D,$B3,
All_Stats!$B:$B,""&gt;=""&amp;EOMONTH($A3,-1)+1,
All_Stats!$B:$B,""&lt;""&amp;EOMONTH($A3,0)+1)"),0.0)</f>
        <v>0</v>
      </c>
      <c r="J3" s="113"/>
      <c r="K3" s="113">
        <f>IFERROR(__xludf.DUMMYFUNCTION("COUNTUNIQUEIFS(All_Stats!A:A,
All_Stats!$B:$B,""&gt;=""&amp;EOMONTH($A3,-1)+1,
All_Stats!$B:$B,""&lt;""&amp;EOMONTH($A3,0)+1)"),0.0)</f>
        <v>0</v>
      </c>
      <c r="L3" s="113"/>
    </row>
    <row r="4" hidden="1">
      <c r="A4" s="128">
        <v>44287.0</v>
      </c>
      <c r="B4" s="131" t="s">
        <v>127</v>
      </c>
      <c r="C4" s="134" t="str">
        <f>if(ifna(VLOOKUP(B4,'Vendor Directory'!A:C,3,0),"NOT FOUND")="","NOT FOUND",VLOOKUP(B4,'Vendor Directory'!A:C,3,0))</f>
        <v>#N/A</v>
      </c>
      <c r="D4" s="131">
        <f>SUMIFS(All_Stats!$G:$G,
All_Stats!$D:$D,$B4,
All_Stats!$B:$B,"&gt;="&amp;EOMONTH($A4,-1)+1,
All_Stats!$B:$B,"&lt;"&amp;EOMONTH($A4,0)+1
)</f>
        <v>0</v>
      </c>
      <c r="E4" s="113">
        <f>SUMIFS(All_Stats!$I:$I,
All_Stats!$D:$D,$B4,
All_Stats!$B:$B,"&gt;="&amp;EOMONTH($A4,-1)+1,
All_Stats!$B:$B,"&lt;"&amp;EOMONTH($A4,0)+1
)</f>
        <v>0</v>
      </c>
      <c r="F4" s="132" t="str">
        <f t="shared" si="1"/>
        <v>N/A</v>
      </c>
      <c r="G4" s="131">
        <f>SUMIFS(All_Stats!$H:$H,
All_Stats!$D:$D,$B4,
All_Stats!$B:$B,"&gt;="&amp;EOMONTH($A4,-1)+1,
All_Stats!$B:$B,"&lt;"&amp;EOMONTH($A4,0)+1
)</f>
        <v>0</v>
      </c>
      <c r="H4" s="113">
        <f>SUMIFS(All_Stats!$K:$K,
All_Stats!$D:$D,$B4,
All_Stats!$B:$B,"&gt;="&amp;EOMONTH($A4,-1)+1,
All_Stats!$B:$B,"&lt;"&amp;EOMONTH($A4,0)+1
)</f>
        <v>0</v>
      </c>
      <c r="I4" s="152">
        <f>IFERROR(__xludf.DUMMYFUNCTION("COUNTUNIQUEIFS(All_Stats!A:A,
All_Stats!$D:$D,$B4,
All_Stats!$B:$B,""&gt;=""&amp;EOMONTH($A4,-1)+1,
All_Stats!$B:$B,""&lt;""&amp;EOMONTH($A4,0)+1)"),0.0)</f>
        <v>0</v>
      </c>
      <c r="J4" s="113"/>
      <c r="K4" s="113"/>
      <c r="L4" s="113"/>
    </row>
    <row r="5" hidden="1">
      <c r="A5" s="128">
        <v>44287.0</v>
      </c>
      <c r="B5" s="131" t="s">
        <v>157</v>
      </c>
      <c r="C5" s="134" t="str">
        <f>if(ifna(VLOOKUP(B5,'Vendor Directory'!A:C,3,0),"NOT FOUND")="","NOT FOUND",VLOOKUP(B5,'Vendor Directory'!A:C,3,0))</f>
        <v>#N/A</v>
      </c>
      <c r="D5" s="131">
        <f>SUMIFS(All_Stats!$G:$G,
All_Stats!$D:$D,$B5,
All_Stats!$B:$B,"&gt;="&amp;EOMONTH($A5,-1)+1,
All_Stats!$B:$B,"&lt;"&amp;EOMONTH($A5,0)+1
)</f>
        <v>0</v>
      </c>
      <c r="E5" s="113">
        <f>SUMIFS(All_Stats!$I:$I,
All_Stats!$D:$D,$B5,
All_Stats!$B:$B,"&gt;="&amp;EOMONTH($A5,-1)+1,
All_Stats!$B:$B,"&lt;"&amp;EOMONTH($A5,0)+1
)</f>
        <v>0</v>
      </c>
      <c r="F5" s="132" t="str">
        <f t="shared" si="1"/>
        <v>N/A</v>
      </c>
      <c r="G5" s="131">
        <f>SUMIFS(All_Stats!$H:$H,
All_Stats!$D:$D,$B5,
All_Stats!$B:$B,"&gt;="&amp;EOMONTH($A5,-1)+1,
All_Stats!$B:$B,"&lt;"&amp;EOMONTH($A5,0)+1
)</f>
        <v>0</v>
      </c>
      <c r="H5" s="113">
        <f>SUMIFS(All_Stats!$K:$K,
All_Stats!$D:$D,$B5,
All_Stats!$B:$B,"&gt;="&amp;EOMONTH($A5,-1)+1,
All_Stats!$B:$B,"&lt;"&amp;EOMONTH($A5,0)+1
)</f>
        <v>0</v>
      </c>
      <c r="I5" s="152">
        <f>IFERROR(__xludf.DUMMYFUNCTION("COUNTUNIQUEIFS(All_Stats!A:A,
All_Stats!$D:$D,$B5,
All_Stats!$B:$B,""&gt;=""&amp;EOMONTH($A5,-1)+1,
All_Stats!$B:$B,""&lt;""&amp;EOMONTH($A5,0)+1)"),0.0)</f>
        <v>0</v>
      </c>
    </row>
    <row r="6" hidden="1">
      <c r="A6" s="128">
        <v>44287.0</v>
      </c>
      <c r="B6" s="131" t="s">
        <v>30</v>
      </c>
      <c r="C6" s="134" t="str">
        <f>if(ifna(VLOOKUP(B6,'Vendor Directory'!A:C,3,0),"NOT FOUND")="","NOT FOUND",VLOOKUP(B6,'Vendor Directory'!A:C,3,0))</f>
        <v>Vendor 2 Name</v>
      </c>
      <c r="D6" s="131">
        <f>SUMIFS(All_Stats!$G:$G,
All_Stats!$D:$D,$B6,
All_Stats!$B:$B,"&gt;="&amp;EOMONTH($A6,-1)+1,
All_Stats!$B:$B,"&lt;"&amp;EOMONTH($A6,0)+1
)</f>
        <v>0</v>
      </c>
      <c r="E6" s="113">
        <f>SUMIFS(All_Stats!$I:$I,
All_Stats!$D:$D,$B6,
All_Stats!$B:$B,"&gt;="&amp;EOMONTH($A6,-1)+1,
All_Stats!$B:$B,"&lt;"&amp;EOMONTH($A6,0)+1
)</f>
        <v>0</v>
      </c>
      <c r="F6" s="132" t="str">
        <f t="shared" si="1"/>
        <v>N/A</v>
      </c>
      <c r="G6" s="131">
        <f>SUMIFS(All_Stats!$H:$H,
All_Stats!$D:$D,$B6,
All_Stats!$B:$B,"&gt;="&amp;EOMONTH($A6,-1)+1,
All_Stats!$B:$B,"&lt;"&amp;EOMONTH($A6,0)+1
)</f>
        <v>0</v>
      </c>
      <c r="H6" s="113">
        <f>SUMIFS(All_Stats!$K:$K,
All_Stats!$D:$D,$B6,
All_Stats!$B:$B,"&gt;="&amp;EOMONTH($A6,-1)+1,
All_Stats!$B:$B,"&lt;"&amp;EOMONTH($A6,0)+1
)</f>
        <v>0</v>
      </c>
      <c r="I6" s="152">
        <f>IFERROR(__xludf.DUMMYFUNCTION("COUNTUNIQUEIFS(All_Stats!A:A,
All_Stats!$D:$D,$B6,
All_Stats!$B:$B,""&gt;=""&amp;EOMONTH($A6,-1)+1,
All_Stats!$B:$B,""&lt;""&amp;EOMONTH($A6,0)+1)"),0.0)</f>
        <v>0</v>
      </c>
    </row>
    <row r="7" hidden="1">
      <c r="A7" s="128">
        <v>44287.0</v>
      </c>
      <c r="B7" s="131" t="s">
        <v>164</v>
      </c>
      <c r="C7" s="134" t="str">
        <f>if(ifna(VLOOKUP(B7,'Vendor Directory'!A:C,3,0),"NOT FOUND")="","NOT FOUND",VLOOKUP(B7,'Vendor Directory'!A:C,3,0))</f>
        <v>#N/A</v>
      </c>
      <c r="D7" s="131">
        <f>SUMIFS(All_Stats!$G:$G,
All_Stats!$D:$D,$B7,
All_Stats!$B:$B,"&gt;="&amp;EOMONTH($A7,-1)+1,
All_Stats!$B:$B,"&lt;"&amp;EOMONTH($A7,0)+1
)</f>
        <v>0</v>
      </c>
      <c r="E7" s="113">
        <f>SUMIFS(All_Stats!$I:$I,
All_Stats!$D:$D,$B7,
All_Stats!$B:$B,"&gt;="&amp;EOMONTH($A7,-1)+1,
All_Stats!$B:$B,"&lt;"&amp;EOMONTH($A7,0)+1
)</f>
        <v>0</v>
      </c>
      <c r="F7" s="132" t="str">
        <f t="shared" si="1"/>
        <v>N/A</v>
      </c>
      <c r="G7" s="131">
        <f>SUMIFS(All_Stats!$H:$H,
All_Stats!$D:$D,$B7,
All_Stats!$B:$B,"&gt;="&amp;EOMONTH($A7,-1)+1,
All_Stats!$B:$B,"&lt;"&amp;EOMONTH($A7,0)+1
)</f>
        <v>0</v>
      </c>
      <c r="H7" s="113">
        <f>SUMIFS(All_Stats!$K:$K,
All_Stats!$D:$D,$B7,
All_Stats!$B:$B,"&gt;="&amp;EOMONTH($A7,-1)+1,
All_Stats!$B:$B,"&lt;"&amp;EOMONTH($A7,0)+1
)</f>
        <v>0</v>
      </c>
      <c r="I7" s="152">
        <f>IFERROR(__xludf.DUMMYFUNCTION("COUNTUNIQUEIFS(All_Stats!A:A,
All_Stats!$D:$D,$B7,
All_Stats!$B:$B,""&gt;=""&amp;EOMONTH($A7,-1)+1,
All_Stats!$B:$B,""&lt;""&amp;EOMONTH($A7,0)+1)"),0.0)</f>
        <v>0</v>
      </c>
    </row>
    <row r="8" hidden="1">
      <c r="A8" s="128">
        <v>44287.0</v>
      </c>
      <c r="B8" s="131" t="s">
        <v>172</v>
      </c>
      <c r="C8" s="134" t="str">
        <f>if(ifna(VLOOKUP(B8,'Vendor Directory'!A:C,3,0),"NOT FOUND")="","NOT FOUND",VLOOKUP(B8,'Vendor Directory'!A:C,3,0))</f>
        <v>#N/A</v>
      </c>
      <c r="D8" s="131">
        <f>SUMIFS(All_Stats!$G:$G,
All_Stats!$D:$D,$B8,
All_Stats!$B:$B,"&gt;="&amp;EOMONTH($A8,-1)+1,
All_Stats!$B:$B,"&lt;"&amp;EOMONTH($A8,0)+1
)</f>
        <v>0</v>
      </c>
      <c r="E8" s="113">
        <f>SUMIFS(All_Stats!$I:$I,
All_Stats!$D:$D,$B8,
All_Stats!$B:$B,"&gt;="&amp;EOMONTH($A8,-1)+1,
All_Stats!$B:$B,"&lt;"&amp;EOMONTH($A8,0)+1
)</f>
        <v>0</v>
      </c>
      <c r="F8" s="132" t="str">
        <f t="shared" si="1"/>
        <v>N/A</v>
      </c>
      <c r="G8" s="131">
        <f>SUMIFS(All_Stats!$H:$H,
All_Stats!$D:$D,$B8,
All_Stats!$B:$B,"&gt;="&amp;EOMONTH($A8,-1)+1,
All_Stats!$B:$B,"&lt;"&amp;EOMONTH($A8,0)+1
)</f>
        <v>0</v>
      </c>
      <c r="H8" s="113">
        <f>SUMIFS(All_Stats!$K:$K,
All_Stats!$D:$D,$B8,
All_Stats!$B:$B,"&gt;="&amp;EOMONTH($A8,-1)+1,
All_Stats!$B:$B,"&lt;"&amp;EOMONTH($A8,0)+1
)</f>
        <v>0</v>
      </c>
      <c r="I8" s="152">
        <f>IFERROR(__xludf.DUMMYFUNCTION("COUNTUNIQUEIFS(All_Stats!A:A,
All_Stats!$D:$D,$B8,
All_Stats!$B:$B,""&gt;=""&amp;EOMONTH($A8,-1)+1,
All_Stats!$B:$B,""&lt;""&amp;EOMONTH($A8,0)+1)"),0.0)</f>
        <v>0</v>
      </c>
    </row>
    <row r="9" hidden="1">
      <c r="A9" s="128">
        <v>44287.0</v>
      </c>
      <c r="B9" s="131" t="s">
        <v>495</v>
      </c>
      <c r="C9" s="134" t="str">
        <f>if(ifna(VLOOKUP(B9,'Vendor Directory'!A:C,3,0),"NOT FOUND")="","NOT FOUND",VLOOKUP(B9,'Vendor Directory'!A:C,3,0))</f>
        <v>Vendor 3 Name</v>
      </c>
      <c r="D9" s="131">
        <f>SUMIFS(All_Stats!$G:$G,
All_Stats!$D:$D,$B9,
All_Stats!$B:$B,"&gt;="&amp;EOMONTH($A9,-1)+1,
All_Stats!$B:$B,"&lt;"&amp;EOMONTH($A9,0)+1
)</f>
        <v>0</v>
      </c>
      <c r="E9" s="113">
        <f>SUMIFS(All_Stats!$I:$I,
All_Stats!$D:$D,$B9,
All_Stats!$B:$B,"&gt;="&amp;EOMONTH($A9,-1)+1,
All_Stats!$B:$B,"&lt;"&amp;EOMONTH($A9,0)+1
)</f>
        <v>0</v>
      </c>
      <c r="F9" s="132" t="str">
        <f t="shared" si="1"/>
        <v>N/A</v>
      </c>
      <c r="G9" s="131">
        <f>SUMIFS(All_Stats!$H:$H,
All_Stats!$D:$D,$B9,
All_Stats!$B:$B,"&gt;="&amp;EOMONTH($A9,-1)+1,
All_Stats!$B:$B,"&lt;"&amp;EOMONTH($A9,0)+1
)</f>
        <v>0</v>
      </c>
      <c r="H9" s="113">
        <f>SUMIFS(All_Stats!$K:$K,
All_Stats!$D:$D,$B9,
All_Stats!$B:$B,"&gt;="&amp;EOMONTH($A9,-1)+1,
All_Stats!$B:$B,"&lt;"&amp;EOMONTH($A9,0)+1
)</f>
        <v>0</v>
      </c>
      <c r="I9" s="152">
        <f>IFERROR(__xludf.DUMMYFUNCTION("COUNTUNIQUEIFS(All_Stats!A:A,
All_Stats!$D:$D,$B9,
All_Stats!$B:$B,""&gt;=""&amp;EOMONTH($A9,-1)+1,
All_Stats!$B:$B,""&lt;""&amp;EOMONTH($A9,0)+1)"),0.0)</f>
        <v>0</v>
      </c>
    </row>
    <row r="10" hidden="1">
      <c r="A10" s="128">
        <v>44287.0</v>
      </c>
      <c r="B10" s="131" t="s">
        <v>496</v>
      </c>
      <c r="C10" s="134" t="str">
        <f>if(ifna(VLOOKUP(B10,'Vendor Directory'!A:C,3,0),"NOT FOUND")="","NOT FOUND",VLOOKUP(B10,'Vendor Directory'!A:C,3,0))</f>
        <v>Vendor 4 Name</v>
      </c>
      <c r="D10" s="131">
        <f>SUMIFS(All_Stats!$G:$G,
All_Stats!$D:$D,$B10,
All_Stats!$B:$B,"&gt;="&amp;EOMONTH($A10,-1)+1,
All_Stats!$B:$B,"&lt;"&amp;EOMONTH($A10,0)+1
)</f>
        <v>0</v>
      </c>
      <c r="E10" s="113">
        <f>SUMIFS(All_Stats!$I:$I,
All_Stats!$D:$D,$B10,
All_Stats!$B:$B,"&gt;="&amp;EOMONTH($A10,-1)+1,
All_Stats!$B:$B,"&lt;"&amp;EOMONTH($A10,0)+1
)</f>
        <v>0</v>
      </c>
      <c r="F10" s="132" t="str">
        <f t="shared" si="1"/>
        <v>N/A</v>
      </c>
      <c r="G10" s="131">
        <f>SUMIFS(All_Stats!$H:$H,
All_Stats!$D:$D,$B10,
All_Stats!$B:$B,"&gt;="&amp;EOMONTH($A10,-1)+1,
All_Stats!$B:$B,"&lt;"&amp;EOMONTH($A10,0)+1
)</f>
        <v>0</v>
      </c>
      <c r="H10" s="113">
        <f>SUMIFS(All_Stats!$K:$K,
All_Stats!$D:$D,$B10,
All_Stats!$B:$B,"&gt;="&amp;EOMONTH($A10,-1)+1,
All_Stats!$B:$B,"&lt;"&amp;EOMONTH($A10,0)+1
)</f>
        <v>0</v>
      </c>
      <c r="I10" s="152">
        <f>IFERROR(__xludf.DUMMYFUNCTION("COUNTUNIQUEIFS(All_Stats!A:A,
All_Stats!$D:$D,$B10,
All_Stats!$B:$B,""&gt;=""&amp;EOMONTH($A10,-1)+1,
All_Stats!$B:$B,""&lt;""&amp;EOMONTH($A10,0)+1)"),0.0)</f>
        <v>0</v>
      </c>
    </row>
    <row r="11" hidden="1">
      <c r="A11" s="128">
        <v>44287.0</v>
      </c>
      <c r="B11" s="131" t="s">
        <v>497</v>
      </c>
      <c r="C11" s="134" t="str">
        <f>if(ifna(VLOOKUP(B11,'Vendor Directory'!A:C,3,0),"NOT FOUND")="","NOT FOUND",VLOOKUP(B11,'Vendor Directory'!A:C,3,0))</f>
        <v>#N/A</v>
      </c>
      <c r="D11" s="131">
        <f>SUMIFS(All_Stats!$G:$G,
All_Stats!$D:$D,$B11,
All_Stats!$B:$B,"&gt;="&amp;EOMONTH($A11,-1)+1,
All_Stats!$B:$B,"&lt;"&amp;EOMONTH($A11,0)+1
)</f>
        <v>0</v>
      </c>
      <c r="E11" s="113">
        <f>SUMIFS(All_Stats!$I:$I,
All_Stats!$D:$D,$B11,
All_Stats!$B:$B,"&gt;="&amp;EOMONTH($A11,-1)+1,
All_Stats!$B:$B,"&lt;"&amp;EOMONTH($A11,0)+1
)</f>
        <v>0</v>
      </c>
      <c r="F11" s="132" t="str">
        <f t="shared" si="1"/>
        <v>N/A</v>
      </c>
      <c r="G11" s="131">
        <f>SUMIFS(All_Stats!$H:$H,
All_Stats!$D:$D,$B11,
All_Stats!$B:$B,"&gt;="&amp;EOMONTH($A11,-1)+1,
All_Stats!$B:$B,"&lt;"&amp;EOMONTH($A11,0)+1
)</f>
        <v>0</v>
      </c>
      <c r="H11" s="113">
        <f>SUMIFS(All_Stats!$K:$K,
All_Stats!$D:$D,$B11,
All_Stats!$B:$B,"&gt;="&amp;EOMONTH($A11,-1)+1,
All_Stats!$B:$B,"&lt;"&amp;EOMONTH($A11,0)+1
)</f>
        <v>0</v>
      </c>
      <c r="I11" s="152">
        <f>IFERROR(__xludf.DUMMYFUNCTION("COUNTUNIQUEIFS(All_Stats!A:A,
All_Stats!$D:$D,$B11,
All_Stats!$B:$B,""&gt;=""&amp;EOMONTH($A11,-1)+1,
All_Stats!$B:$B,""&lt;""&amp;EOMONTH($A11,0)+1)"),0.0)</f>
        <v>0</v>
      </c>
    </row>
    <row r="12" hidden="1">
      <c r="A12" s="128">
        <v>44287.0</v>
      </c>
      <c r="B12" s="131" t="s">
        <v>498</v>
      </c>
      <c r="C12" s="134" t="str">
        <f>if(ifna(VLOOKUP(B12,'Vendor Directory'!A:C,3,0),"NOT FOUND")="","NOT FOUND",VLOOKUP(B12,'Vendor Directory'!A:C,3,0))</f>
        <v>#N/A</v>
      </c>
      <c r="D12" s="131">
        <f>SUMIFS(All_Stats!$G:$G,
All_Stats!$D:$D,$B12,
All_Stats!$B:$B,"&gt;="&amp;EOMONTH($A12,-1)+1,
All_Stats!$B:$B,"&lt;"&amp;EOMONTH($A12,0)+1
)</f>
        <v>0</v>
      </c>
      <c r="E12" s="113">
        <f>SUMIFS(All_Stats!$I:$I,
All_Stats!$D:$D,$B12,
All_Stats!$B:$B,"&gt;="&amp;EOMONTH($A12,-1)+1,
All_Stats!$B:$B,"&lt;"&amp;EOMONTH($A12,0)+1
)</f>
        <v>0</v>
      </c>
      <c r="F12" s="132" t="str">
        <f t="shared" si="1"/>
        <v>N/A</v>
      </c>
      <c r="G12" s="131">
        <f>SUMIFS(All_Stats!$H:$H,
All_Stats!$D:$D,$B12,
All_Stats!$B:$B,"&gt;="&amp;EOMONTH($A12,-1)+1,
All_Stats!$B:$B,"&lt;"&amp;EOMONTH($A12,0)+1
)</f>
        <v>0</v>
      </c>
      <c r="H12" s="113">
        <f>SUMIFS(All_Stats!$K:$K,
All_Stats!$D:$D,$B12,
All_Stats!$B:$B,"&gt;="&amp;EOMONTH($A12,-1)+1,
All_Stats!$B:$B,"&lt;"&amp;EOMONTH($A12,0)+1
)</f>
        <v>0</v>
      </c>
      <c r="I12" s="152">
        <f>IFERROR(__xludf.DUMMYFUNCTION("COUNTUNIQUEIFS(All_Stats!A:A,
All_Stats!$D:$D,$B12,
All_Stats!$B:$B,""&gt;=""&amp;EOMONTH($A12,-1)+1,
All_Stats!$B:$B,""&lt;""&amp;EOMONTH($A12,0)+1)"),0.0)</f>
        <v>0</v>
      </c>
    </row>
    <row r="13" hidden="1">
      <c r="A13" s="128">
        <v>44287.0</v>
      </c>
      <c r="B13" s="131" t="s">
        <v>452</v>
      </c>
      <c r="C13" s="153" t="str">
        <f>if(ifna(VLOOKUP(B13,'Vendor Directory'!A:C,3,0),"NOT FOUND")="","NOT FOUND",VLOOKUP(B13,'Vendor Directory'!A:C,3,0))</f>
        <v>#N/A</v>
      </c>
      <c r="D13" s="154">
        <f>SUMIFS(All_Stats!$G:$G,
All_Stats!$D:$D,$B13,
All_Stats!$B:$B,"&gt;="&amp;EOMONTH($A13,-1)+1,
All_Stats!$B:$B,"&lt;"&amp;EOMONTH($A13,0)+1
)</f>
        <v>0</v>
      </c>
      <c r="E13" s="155">
        <f>SUMIFS(All_Stats!$I:$I,
All_Stats!$D:$D,$B13,
All_Stats!$B:$B,"&gt;="&amp;EOMONTH($A13,-1)+1,
All_Stats!$B:$B,"&lt;"&amp;EOMONTH($A13,0)+1
)</f>
        <v>0</v>
      </c>
      <c r="F13" s="156" t="str">
        <f t="shared" si="1"/>
        <v>N/A</v>
      </c>
      <c r="G13" s="154">
        <f>SUMIFS(All_Stats!$H:$H,
All_Stats!$D:$D,$B13,
All_Stats!$B:$B,"&gt;="&amp;EOMONTH($A13,-1)+1,
All_Stats!$B:$B,"&lt;"&amp;EOMONTH($A13,0)+1
)</f>
        <v>0</v>
      </c>
      <c r="H13" s="155">
        <f>SUMIFS(All_Stats!$K:$K,
All_Stats!$D:$D,$B13,
All_Stats!$B:$B,"&gt;="&amp;EOMONTH($A13,-1)+1,
All_Stats!$B:$B,"&lt;"&amp;EOMONTH($A13,0)+1
)</f>
        <v>0</v>
      </c>
      <c r="I13" s="157">
        <f>IFERROR(__xludf.DUMMYFUNCTION("COUNTUNIQUEIFS(All_Stats!A:A,
All_Stats!$D:$D,$B13,
All_Stats!$B:$B,""&gt;=""&amp;EOMONTH($A13,-1)+1,
All_Stats!$B:$B,""&lt;""&amp;EOMONTH($A13,0)+1)"),0.0)</f>
        <v>0</v>
      </c>
    </row>
    <row r="14" hidden="1">
      <c r="A14" s="128">
        <v>44287.0</v>
      </c>
      <c r="B14" s="131" t="s">
        <v>499</v>
      </c>
      <c r="C14" s="134" t="str">
        <f>if(ifna(VLOOKUP(B14,'Vendor Directory'!A:C,3,0),"NOT FOUND")="","NOT FOUND",VLOOKUP(B14,'Vendor Directory'!A:C,3,0))</f>
        <v>#N/A</v>
      </c>
      <c r="D14" s="131">
        <f>SUMIFS(All_Stats!$G:$G,
All_Stats!$D:$D,$B14,
All_Stats!$B:$B,"&gt;="&amp;EOMONTH($A14,-1)+1,
All_Stats!$B:$B,"&lt;"&amp;EOMONTH($A14,0)+1
)</f>
        <v>0</v>
      </c>
      <c r="E14" s="113">
        <f>SUMIFS(All_Stats!$I:$I,
All_Stats!$D:$D,$B14,
All_Stats!$B:$B,"&gt;="&amp;EOMONTH($A14,-1)+1,
All_Stats!$B:$B,"&lt;"&amp;EOMONTH($A14,0)+1
)</f>
        <v>0</v>
      </c>
      <c r="F14" s="132" t="str">
        <f t="shared" si="1"/>
        <v>N/A</v>
      </c>
      <c r="G14" s="131">
        <f>SUMIFS(All_Stats!$H:$H,
All_Stats!$D:$D,$B14,
All_Stats!$B:$B,"&gt;="&amp;EOMONTH($A14,-1)+1,
All_Stats!$B:$B,"&lt;"&amp;EOMONTH($A14,0)+1
)</f>
        <v>0</v>
      </c>
      <c r="H14" s="113">
        <f>SUMIFS(All_Stats!$K:$K,
All_Stats!$D:$D,$B14,
All_Stats!$B:$B,"&gt;="&amp;EOMONTH($A14,-1)+1,
All_Stats!$B:$B,"&lt;"&amp;EOMONTH($A14,0)+1
)</f>
        <v>0</v>
      </c>
      <c r="I14" s="152">
        <f>IFERROR(__xludf.DUMMYFUNCTION("COUNTUNIQUEIFS(All_Stats!A:A,
All_Stats!$D:$D,$B14,
All_Stats!$B:$B,""&gt;=""&amp;EOMONTH($A14,-1)+1,
All_Stats!$B:$B,""&lt;""&amp;EOMONTH($A14,0)+1)"),0.0)</f>
        <v>0</v>
      </c>
    </row>
    <row r="15" hidden="1">
      <c r="A15" s="128">
        <v>44287.0</v>
      </c>
      <c r="B15" s="131" t="s">
        <v>500</v>
      </c>
      <c r="C15" s="134" t="str">
        <f>if(ifna(VLOOKUP(B15,'Vendor Directory'!A:C,3,0),"NOT FOUND")="","NOT FOUND",VLOOKUP(B15,'Vendor Directory'!A:C,3,0))</f>
        <v>#N/A</v>
      </c>
      <c r="D15" s="131">
        <f>SUMIFS(All_Stats!$G:$G,
All_Stats!$D:$D,$B15,
All_Stats!$B:$B,"&gt;="&amp;EOMONTH($A15,-1)+1,
All_Stats!$B:$B,"&lt;"&amp;EOMONTH($A15,0)+1
)</f>
        <v>0</v>
      </c>
      <c r="E15" s="113">
        <f>SUMIFS(All_Stats!$I:$I,
All_Stats!$D:$D,$B15,
All_Stats!$B:$B,"&gt;="&amp;EOMONTH($A15,-1)+1,
All_Stats!$B:$B,"&lt;"&amp;EOMONTH($A15,0)+1
)</f>
        <v>0</v>
      </c>
      <c r="F15" s="132" t="str">
        <f t="shared" si="1"/>
        <v>N/A</v>
      </c>
      <c r="G15" s="131">
        <f>SUMIFS(All_Stats!$H:$H,
All_Stats!$D:$D,$B15,
All_Stats!$B:$B,"&gt;="&amp;EOMONTH($A15,-1)+1,
All_Stats!$B:$B,"&lt;"&amp;EOMONTH($A15,0)+1
)</f>
        <v>0</v>
      </c>
      <c r="H15" s="113">
        <f>SUMIFS(All_Stats!$K:$K,
All_Stats!$D:$D,$B15,
All_Stats!$B:$B,"&gt;="&amp;EOMONTH($A15,-1)+1,
All_Stats!$B:$B,"&lt;"&amp;EOMONTH($A15,0)+1
)</f>
        <v>0</v>
      </c>
      <c r="I15" s="152">
        <f>IFERROR(__xludf.DUMMYFUNCTION("COUNTUNIQUEIFS(All_Stats!A:A,
All_Stats!$D:$D,$B15,
All_Stats!$B:$B,""&gt;=""&amp;EOMONTH($A15,-1)+1,
All_Stats!$B:$B,""&lt;""&amp;EOMONTH($A15,0)+1)"),0.0)</f>
        <v>0</v>
      </c>
    </row>
    <row r="16" hidden="1">
      <c r="A16" s="128">
        <v>44287.0</v>
      </c>
      <c r="B16" s="131" t="s">
        <v>91</v>
      </c>
      <c r="C16" s="134" t="str">
        <f>if(ifna(VLOOKUP(B16,'Vendor Directory'!A:C,3,0),"NOT FOUND")="","NOT FOUND",VLOOKUP(B16,'Vendor Directory'!A:C,3,0))</f>
        <v>#N/A</v>
      </c>
      <c r="D16" s="131">
        <f>SUMIFS(All_Stats!$G:$G,
All_Stats!$D:$D,$B16,
All_Stats!$B:$B,"&gt;="&amp;EOMONTH($A16,-1)+1,
All_Stats!$B:$B,"&lt;"&amp;EOMONTH($A16,0)+1
)</f>
        <v>0</v>
      </c>
      <c r="E16" s="113">
        <f>SUMIFS(All_Stats!$I:$I,
All_Stats!$D:$D,$B16,
All_Stats!$B:$B,"&gt;="&amp;EOMONTH($A16,-1)+1,
All_Stats!$B:$B,"&lt;"&amp;EOMONTH($A16,0)+1
)</f>
        <v>0</v>
      </c>
      <c r="F16" s="132" t="str">
        <f t="shared" si="1"/>
        <v>N/A</v>
      </c>
      <c r="G16" s="131">
        <f>SUMIFS(All_Stats!$H:$H,
All_Stats!$D:$D,$B16,
All_Stats!$B:$B,"&gt;="&amp;EOMONTH($A16,-1)+1,
All_Stats!$B:$B,"&lt;"&amp;EOMONTH($A16,0)+1
)</f>
        <v>0</v>
      </c>
      <c r="H16" s="113">
        <f>SUMIFS(All_Stats!$K:$K,
All_Stats!$D:$D,$B16,
All_Stats!$B:$B,"&gt;="&amp;EOMONTH($A16,-1)+1,
All_Stats!$B:$B,"&lt;"&amp;EOMONTH($A16,0)+1
)</f>
        <v>0</v>
      </c>
      <c r="I16" s="152">
        <f>IFERROR(__xludf.DUMMYFUNCTION("COUNTUNIQUEIFS(All_Stats!A:A,
All_Stats!$D:$D,$B16,
All_Stats!$B:$B,""&gt;=""&amp;EOMONTH($A16,-1)+1,
All_Stats!$B:$B,""&lt;""&amp;EOMONTH($A16,0)+1)"),0.0)</f>
        <v>0</v>
      </c>
    </row>
    <row r="17" hidden="1">
      <c r="A17" s="128">
        <v>44287.0</v>
      </c>
      <c r="B17" s="131" t="s">
        <v>501</v>
      </c>
      <c r="C17" s="134" t="str">
        <f>if(ifna(VLOOKUP(B17,'Vendor Directory'!A:C,3,0),"NOT FOUND")="","NOT FOUND",VLOOKUP(B17,'Vendor Directory'!A:C,3,0))</f>
        <v>#N/A</v>
      </c>
      <c r="D17" s="131">
        <f>SUMIFS(All_Stats!$G:$G,
All_Stats!$D:$D,$B17,
All_Stats!$B:$B,"&gt;="&amp;EOMONTH($A17,-1)+1,
All_Stats!$B:$B,"&lt;"&amp;EOMONTH($A17,0)+1
)</f>
        <v>0</v>
      </c>
      <c r="E17" s="113">
        <f>SUMIFS(All_Stats!$I:$I,
All_Stats!$D:$D,$B17,
All_Stats!$B:$B,"&gt;="&amp;EOMONTH($A17,-1)+1,
All_Stats!$B:$B,"&lt;"&amp;EOMONTH($A17,0)+1
)</f>
        <v>0</v>
      </c>
      <c r="F17" s="132" t="str">
        <f t="shared" si="1"/>
        <v>N/A</v>
      </c>
      <c r="G17" s="131">
        <f>SUMIFS(All_Stats!$H:$H,
All_Stats!$D:$D,$B17,
All_Stats!$B:$B,"&gt;="&amp;EOMONTH($A17,-1)+1,
All_Stats!$B:$B,"&lt;"&amp;EOMONTH($A17,0)+1
)</f>
        <v>0</v>
      </c>
      <c r="H17" s="113">
        <f>SUMIFS(All_Stats!$K:$K,
All_Stats!$D:$D,$B17,
All_Stats!$B:$B,"&gt;="&amp;EOMONTH($A17,-1)+1,
All_Stats!$B:$B,"&lt;"&amp;EOMONTH($A17,0)+1
)</f>
        <v>0</v>
      </c>
      <c r="I17" s="152">
        <f>IFERROR(__xludf.DUMMYFUNCTION("COUNTUNIQUEIFS(All_Stats!A:A,
All_Stats!$D:$D,$B17,
All_Stats!$B:$B,""&gt;=""&amp;EOMONTH($A17,-1)+1,
All_Stats!$B:$B,""&lt;""&amp;EOMONTH($A17,0)+1)"),0.0)</f>
        <v>0</v>
      </c>
    </row>
    <row r="18" hidden="1">
      <c r="A18" s="128">
        <v>44287.0</v>
      </c>
      <c r="B18" s="131" t="s">
        <v>502</v>
      </c>
      <c r="C18" s="134" t="str">
        <f>if(ifna(VLOOKUP(B18,'Vendor Directory'!A:C,3,0),"NOT FOUND")="","NOT FOUND",VLOOKUP(B18,'Vendor Directory'!A:C,3,0))</f>
        <v>#N/A</v>
      </c>
      <c r="D18" s="131">
        <f>SUMIFS(All_Stats!$G:$G,
All_Stats!$D:$D,$B18,
All_Stats!$B:$B,"&gt;="&amp;EOMONTH($A18,-1)+1,
All_Stats!$B:$B,"&lt;"&amp;EOMONTH($A18,0)+1
)</f>
        <v>0</v>
      </c>
      <c r="E18" s="113">
        <f>SUMIFS(All_Stats!$I:$I,
All_Stats!$D:$D,$B18,
All_Stats!$B:$B,"&gt;="&amp;EOMONTH($A18,-1)+1,
All_Stats!$B:$B,"&lt;"&amp;EOMONTH($A18,0)+1
)</f>
        <v>0</v>
      </c>
      <c r="F18" s="132" t="str">
        <f t="shared" si="1"/>
        <v>N/A</v>
      </c>
      <c r="G18" s="131">
        <f>SUMIFS(All_Stats!$H:$H,
All_Stats!$D:$D,$B18,
All_Stats!$B:$B,"&gt;="&amp;EOMONTH($A18,-1)+1,
All_Stats!$B:$B,"&lt;"&amp;EOMONTH($A18,0)+1
)</f>
        <v>0</v>
      </c>
      <c r="H18" s="113">
        <f>SUMIFS(All_Stats!$K:$K,
All_Stats!$D:$D,$B18,
All_Stats!$B:$B,"&gt;="&amp;EOMONTH($A18,-1)+1,
All_Stats!$B:$B,"&lt;"&amp;EOMONTH($A18,0)+1
)</f>
        <v>0</v>
      </c>
      <c r="I18" s="152">
        <f>IFERROR(__xludf.DUMMYFUNCTION("COUNTUNIQUEIFS(All_Stats!A:A,
All_Stats!$D:$D,$B18,
All_Stats!$B:$B,""&gt;=""&amp;EOMONTH($A18,-1)+1,
All_Stats!$B:$B,""&lt;""&amp;EOMONTH($A18,0)+1)"),0.0)</f>
        <v>0</v>
      </c>
    </row>
    <row r="19" hidden="1">
      <c r="A19" s="128">
        <v>44287.0</v>
      </c>
      <c r="B19" s="131" t="s">
        <v>417</v>
      </c>
      <c r="C19" s="134" t="str">
        <f>if(ifna(VLOOKUP(B19,'Vendor Directory'!A:C,3,0),"NOT FOUND")="","NOT FOUND",VLOOKUP(B19,'Vendor Directory'!A:C,3,0))</f>
        <v>#N/A</v>
      </c>
      <c r="D19" s="131">
        <f>SUMIFS(All_Stats!$G:$G,
All_Stats!$D:$D,$B19,
All_Stats!$B:$B,"&gt;="&amp;EOMONTH($A19,-1)+1,
All_Stats!$B:$B,"&lt;"&amp;EOMONTH($A19,0)+1
)</f>
        <v>0</v>
      </c>
      <c r="E19" s="113">
        <f>SUMIFS(All_Stats!$I:$I,
All_Stats!$D:$D,$B19,
All_Stats!$B:$B,"&gt;="&amp;EOMONTH($A19,-1)+1,
All_Stats!$B:$B,"&lt;"&amp;EOMONTH($A19,0)+1
)</f>
        <v>0</v>
      </c>
      <c r="F19" s="132" t="str">
        <f t="shared" si="1"/>
        <v>N/A</v>
      </c>
      <c r="G19" s="131">
        <f>SUMIFS(All_Stats!$H:$H,
All_Stats!$D:$D,$B19,
All_Stats!$B:$B,"&gt;="&amp;EOMONTH($A19,-1)+1,
All_Stats!$B:$B,"&lt;"&amp;EOMONTH($A19,0)+1
)</f>
        <v>0</v>
      </c>
      <c r="H19" s="113">
        <f>SUMIFS(All_Stats!$K:$K,
All_Stats!$D:$D,$B19,
All_Stats!$B:$B,"&gt;="&amp;EOMONTH($A19,-1)+1,
All_Stats!$B:$B,"&lt;"&amp;EOMONTH($A19,0)+1
)</f>
        <v>0</v>
      </c>
      <c r="I19" s="152">
        <f>IFERROR(__xludf.DUMMYFUNCTION("COUNTUNIQUEIFS(All_Stats!A:A,
All_Stats!$D:$D,$B19,
All_Stats!$B:$B,""&gt;=""&amp;EOMONTH($A19,-1)+1,
All_Stats!$B:$B,""&lt;""&amp;EOMONTH($A19,0)+1)"),0.0)</f>
        <v>0</v>
      </c>
    </row>
    <row r="20" hidden="1">
      <c r="A20" s="128">
        <v>44287.0</v>
      </c>
      <c r="B20" s="131" t="s">
        <v>503</v>
      </c>
      <c r="C20" s="134" t="str">
        <f>if(ifna(VLOOKUP(B20,'Vendor Directory'!A:C,3,0),"NOT FOUND")="","NOT FOUND",VLOOKUP(B20,'Vendor Directory'!A:C,3,0))</f>
        <v>#N/A</v>
      </c>
      <c r="D20" s="131">
        <f>SUMIFS(All_Stats!$G:$G,
All_Stats!$D:$D,$B20,
All_Stats!$B:$B,"&gt;="&amp;EOMONTH($A20,-1)+1,
All_Stats!$B:$B,"&lt;"&amp;EOMONTH($A20,0)+1
)</f>
        <v>0</v>
      </c>
      <c r="E20" s="113">
        <f>SUMIFS(All_Stats!$I:$I,
All_Stats!$D:$D,$B20,
All_Stats!$B:$B,"&gt;="&amp;EOMONTH($A20,-1)+1,
All_Stats!$B:$B,"&lt;"&amp;EOMONTH($A20,0)+1
)</f>
        <v>0</v>
      </c>
      <c r="F20" s="132" t="str">
        <f t="shared" si="1"/>
        <v>N/A</v>
      </c>
      <c r="G20" s="131">
        <f>SUMIFS(All_Stats!$H:$H,
All_Stats!$D:$D,$B20,
All_Stats!$B:$B,"&gt;="&amp;EOMONTH($A20,-1)+1,
All_Stats!$B:$B,"&lt;"&amp;EOMONTH($A20,0)+1
)</f>
        <v>0</v>
      </c>
      <c r="H20" s="113">
        <f>SUMIFS(All_Stats!$K:$K,
All_Stats!$D:$D,$B20,
All_Stats!$B:$B,"&gt;="&amp;EOMONTH($A20,-1)+1,
All_Stats!$B:$B,"&lt;"&amp;EOMONTH($A20,0)+1
)</f>
        <v>0</v>
      </c>
      <c r="I20" s="152">
        <f>IFERROR(__xludf.DUMMYFUNCTION("COUNTUNIQUEIFS(All_Stats!A:A,
All_Stats!$D:$D,$B20,
All_Stats!$B:$B,""&gt;=""&amp;EOMONTH($A20,-1)+1,
All_Stats!$B:$B,""&lt;""&amp;EOMONTH($A20,0)+1)"),0.0)</f>
        <v>0</v>
      </c>
    </row>
    <row r="21" hidden="1">
      <c r="A21" s="135"/>
      <c r="B21" s="135"/>
      <c r="C21" s="136" t="s">
        <v>23</v>
      </c>
      <c r="D21" s="137">
        <f t="shared" ref="D21:E21" si="2">SUM(D3:D20)</f>
        <v>0</v>
      </c>
      <c r="E21" s="137">
        <f t="shared" si="2"/>
        <v>0</v>
      </c>
      <c r="F21" s="138" t="str">
        <f t="shared" si="1"/>
        <v>N/A</v>
      </c>
      <c r="G21" s="137">
        <f t="shared" ref="G21:H21" si="3">SUM(G3:G20)</f>
        <v>0</v>
      </c>
      <c r="H21" s="137">
        <f t="shared" si="3"/>
        <v>0</v>
      </c>
      <c r="I21" s="158">
        <f>IFERROR(__xludf.DUMMYFUNCTION("COUNTUNIQUEIFS(All_Stats!A:A,
All_Stats!$B:$B,""&gt;=""&amp;EOMONTH($A3,-1)+1,
All_Stats!$B:$B,""&lt;""&amp;EOMONTH($A3,0)+1)"),0.0)</f>
        <v>0</v>
      </c>
    </row>
    <row r="22" hidden="1">
      <c r="A22" s="131"/>
      <c r="B22" s="131"/>
      <c r="C22" s="131"/>
      <c r="D22" s="140"/>
      <c r="F22" s="131"/>
      <c r="G22" s="131"/>
    </row>
    <row r="23" hidden="1">
      <c r="C23" s="118" t="s">
        <v>484</v>
      </c>
      <c r="D23" s="119"/>
      <c r="E23" s="119"/>
      <c r="F23" s="119"/>
      <c r="G23" s="119"/>
      <c r="H23" s="119"/>
      <c r="I23" s="159"/>
    </row>
    <row r="24" hidden="1">
      <c r="A24" s="121" t="s">
        <v>1</v>
      </c>
      <c r="B24" s="122" t="s">
        <v>485</v>
      </c>
      <c r="C24" s="123" t="s">
        <v>486</v>
      </c>
      <c r="D24" s="124" t="s">
        <v>6</v>
      </c>
      <c r="E24" s="125" t="s">
        <v>8</v>
      </c>
      <c r="F24" s="124" t="s">
        <v>479</v>
      </c>
      <c r="G24" s="126" t="s">
        <v>7</v>
      </c>
      <c r="H24" s="125" t="s">
        <v>10</v>
      </c>
      <c r="I24" s="160" t="s">
        <v>487</v>
      </c>
    </row>
    <row r="25" hidden="1">
      <c r="A25" s="128">
        <v>44317.0</v>
      </c>
      <c r="B25" s="131" t="s">
        <v>164</v>
      </c>
      <c r="C25" s="134" t="str">
        <f>if(ifna(VLOOKUP(B25,'Vendor Directory'!A:C,3,0),"NOT FOUND")="","NOT FOUND",VLOOKUP(B25,'Vendor Directory'!A:C,3,0))</f>
        <v>#N/A</v>
      </c>
      <c r="D25" s="131">
        <f>SUMIFS(All_Stats!$G:$G,
All_Stats!$D:$D,$B25,
All_Stats!$B:$B,"&gt;="&amp;EOMONTH($A25,-1)+1,
All_Stats!$B:$B,"&lt;"&amp;EOMONTH($A25,0)+1,
All_Stats!$P:$P,"Email Marketing"
)</f>
        <v>0</v>
      </c>
      <c r="E25" s="113">
        <f>SUMIFS(All_Stats!$I:$I,
All_Stats!$D:$D,$B25,
All_Stats!$B:$B,"&gt;="&amp;EOMONTH($A25,-1)+1,
All_Stats!$B:$B,"&lt;"&amp;EOMONTH($A25,0)+1,
All_Stats!$P:$P,"Email Marketing"
)</f>
        <v>0</v>
      </c>
      <c r="F25" s="132" t="str">
        <f t="shared" ref="F25:F28" si="4">iferror(E25/D25,"N/A")</f>
        <v>N/A</v>
      </c>
      <c r="G25" s="131">
        <f>SUMIFS(All_Stats!$H:$H,
All_Stats!$D:$D,$B25,
All_Stats!$B:$B,"&gt;="&amp;EOMONTH($A25,-1)+1,
All_Stats!$B:$B,"&lt;"&amp;EOMONTH($A25,0)+1,
All_Stats!$P:$P,"Email Marketing"
)</f>
        <v>0</v>
      </c>
      <c r="H25" s="113">
        <f>SUMIFS(All_Stats!$K:$K,
All_Stats!$D:$D,$B25,
All_Stats!$B:$B,"&gt;="&amp;EOMONTH($A25,-1)+1,
All_Stats!$B:$B,"&lt;"&amp;EOMONTH($A25,0)+1,
All_Stats!$P:$P,"Email Marketing"
)</f>
        <v>0</v>
      </c>
      <c r="I25" s="152">
        <f>IFERROR(__xludf.DUMMYFUNCTION("COUNTUNIQUEIFS(All_Stats!A:A,
All_Stats!$D:$D,$B25,
All_Stats!$B:$B,""&gt;=""&amp;EOMONTH($A25,-1)+1,
All_Stats!$B:$B,""&lt;""&amp;EOMONTH($A25,0)+1,
All_Stats!$P:$P,""Email Marketing""
)"),0.0)</f>
        <v>0</v>
      </c>
    </row>
    <row r="26" hidden="1">
      <c r="A26" s="128">
        <v>44317.0</v>
      </c>
      <c r="B26" s="131" t="s">
        <v>172</v>
      </c>
      <c r="C26" s="134" t="str">
        <f>if(ifna(VLOOKUP(B26,'Vendor Directory'!A:C,3,0),"NOT FOUND")="","NOT FOUND",VLOOKUP(B26,'Vendor Directory'!A:C,3,0))</f>
        <v>#N/A</v>
      </c>
      <c r="D26" s="131">
        <f>SUMIFS(All_Stats!$G:$G,
All_Stats!$D:$D,$B26,
All_Stats!$B:$B,"&gt;="&amp;EOMONTH($A26,-1)+1,
All_Stats!$B:$B,"&lt;"&amp;EOMONTH($A26,0)+1,
All_Stats!$P:$P,"Email Marketing"
)</f>
        <v>0</v>
      </c>
      <c r="E26" s="113">
        <f>SUMIFS(All_Stats!$I:$I,
All_Stats!$D:$D,$B26,
All_Stats!$B:$B,"&gt;="&amp;EOMONTH($A26,-1)+1,
All_Stats!$B:$B,"&lt;"&amp;EOMONTH($A26,0)+1,
All_Stats!$P:$P,"Email Marketing"
)</f>
        <v>0</v>
      </c>
      <c r="F26" s="132" t="str">
        <f t="shared" si="4"/>
        <v>N/A</v>
      </c>
      <c r="G26" s="131">
        <f>SUMIFS(All_Stats!$H:$H,
All_Stats!$D:$D,$B26,
All_Stats!$B:$B,"&gt;="&amp;EOMONTH($A26,-1)+1,
All_Stats!$B:$B,"&lt;"&amp;EOMONTH($A26,0)+1,
All_Stats!$P:$P,"Email Marketing"
)</f>
        <v>0</v>
      </c>
      <c r="H26" s="113">
        <f>SUMIFS(All_Stats!$K:$K,
All_Stats!$D:$D,$B26,
All_Stats!$B:$B,"&gt;="&amp;EOMONTH($A26,-1)+1,
All_Stats!$B:$B,"&lt;"&amp;EOMONTH($A26,0)+1,
All_Stats!$P:$P,"Email Marketing"
)</f>
        <v>0</v>
      </c>
      <c r="I26" s="152">
        <f>IFERROR(__xludf.DUMMYFUNCTION("COUNTUNIQUEIFS(All_Stats!A:A,
All_Stats!$D:$D,$B26,
All_Stats!$B:$B,""&gt;=""&amp;EOMONTH($A26,-1)+1,
All_Stats!$B:$B,""&lt;""&amp;EOMONTH($A26,0)+1,
All_Stats!$P:$P,""Email Marketing""
)"),0.0)</f>
        <v>0</v>
      </c>
    </row>
    <row r="27" hidden="1">
      <c r="A27" s="128">
        <v>44317.0</v>
      </c>
      <c r="B27" s="131" t="s">
        <v>452</v>
      </c>
      <c r="C27" s="134" t="str">
        <f>if(ifna(VLOOKUP(B27,'Vendor Directory'!A:C,3,0),"NOT FOUND")="","NOT FOUND",VLOOKUP(B27,'Vendor Directory'!A:C,3,0))</f>
        <v>#N/A</v>
      </c>
      <c r="D27" s="131">
        <f>SUMIFS(All_Stats!$G:$G,
All_Stats!$D:$D,$B27,
All_Stats!$B:$B,"&gt;="&amp;EOMONTH($A27,-1)+1,
All_Stats!$B:$B,"&lt;"&amp;EOMONTH($A27,0)+1,
All_Stats!$P:$P,"Email Marketing"
)</f>
        <v>0</v>
      </c>
      <c r="E27" s="113">
        <f>SUMIFS(All_Stats!$I:$I,
All_Stats!$D:$D,$B27,
All_Stats!$B:$B,"&gt;="&amp;EOMONTH($A27,-1)+1,
All_Stats!$B:$B,"&lt;"&amp;EOMONTH($A27,0)+1,
All_Stats!$P:$P,"Email Marketing"
)</f>
        <v>0</v>
      </c>
      <c r="F27" s="132" t="str">
        <f t="shared" si="4"/>
        <v>N/A</v>
      </c>
      <c r="G27" s="131">
        <f>SUMIFS(All_Stats!$H:$H,
All_Stats!$D:$D,$B27,
All_Stats!$B:$B,"&gt;="&amp;EOMONTH($A27,-1)+1,
All_Stats!$B:$B,"&lt;"&amp;EOMONTH($A27,0)+1,
All_Stats!$P:$P,"Email Marketing"
)</f>
        <v>0</v>
      </c>
      <c r="H27" s="113">
        <f>SUMIFS(All_Stats!$K:$K,
All_Stats!$D:$D,$B27,
All_Stats!$B:$B,"&gt;="&amp;EOMONTH($A27,-1)+1,
All_Stats!$B:$B,"&lt;"&amp;EOMONTH($A27,0)+1,
All_Stats!$P:$P,"Email Marketing"
)</f>
        <v>0</v>
      </c>
      <c r="I27" s="152">
        <f>IFERROR(__xludf.DUMMYFUNCTION("COUNTUNIQUEIFS(All_Stats!A:A,
All_Stats!$D:$D,$B27,
All_Stats!$B:$B,""&gt;=""&amp;EOMONTH($A27,-1)+1,
All_Stats!$B:$B,""&lt;""&amp;EOMONTH($A27,0)+1,
All_Stats!$P:$P,""Email Marketing""
)"),0.0)</f>
        <v>0</v>
      </c>
    </row>
    <row r="28" hidden="1">
      <c r="A28" s="135"/>
      <c r="B28" s="135"/>
      <c r="C28" s="136" t="s">
        <v>23</v>
      </c>
      <c r="D28" s="137">
        <f t="shared" ref="D28:E28" si="5">SUM(D25:D27)</f>
        <v>0</v>
      </c>
      <c r="E28" s="137">
        <f t="shared" si="5"/>
        <v>0</v>
      </c>
      <c r="F28" s="138" t="str">
        <f t="shared" si="4"/>
        <v>N/A</v>
      </c>
      <c r="G28" s="137">
        <f t="shared" ref="G28:H28" si="6">SUM(G25:G27)</f>
        <v>0</v>
      </c>
      <c r="H28" s="137">
        <f t="shared" si="6"/>
        <v>0</v>
      </c>
      <c r="I28" s="158">
        <f>IFERROR(__xludf.DUMMYFUNCTION("COUNTUNIQUEIFS(All_Stats!A:A,
All_Stats!$B:$B,""&gt;=""&amp;EOMONTH(#REF!,-1)+1,
All_Stats!$B:$B,""&lt;""&amp;EOMONTH(#REF!,0)+1,
All_Stats!$P:$P,""Email Marketing""
)"),0.0)</f>
        <v>0</v>
      </c>
    </row>
    <row r="29" hidden="1">
      <c r="A29" s="131"/>
      <c r="B29" s="131"/>
      <c r="C29" s="131"/>
      <c r="D29" s="140"/>
      <c r="F29" s="131"/>
      <c r="G29" s="131"/>
    </row>
    <row r="30" hidden="1">
      <c r="C30" s="118" t="s">
        <v>504</v>
      </c>
      <c r="D30" s="119"/>
      <c r="E30" s="119"/>
      <c r="F30" s="119"/>
      <c r="G30" s="119"/>
      <c r="H30" s="119"/>
      <c r="I30" s="159"/>
    </row>
    <row r="31" hidden="1">
      <c r="A31" s="121" t="s">
        <v>1</v>
      </c>
      <c r="B31" s="122" t="s">
        <v>485</v>
      </c>
      <c r="C31" s="123" t="s">
        <v>486</v>
      </c>
      <c r="D31" s="124" t="s">
        <v>6</v>
      </c>
      <c r="E31" s="125" t="s">
        <v>8</v>
      </c>
      <c r="F31" s="124" t="s">
        <v>479</v>
      </c>
      <c r="G31" s="126" t="s">
        <v>7</v>
      </c>
      <c r="H31" s="125" t="s">
        <v>10</v>
      </c>
      <c r="I31" s="160" t="s">
        <v>487</v>
      </c>
    </row>
    <row r="32" hidden="1">
      <c r="A32" s="128">
        <v>44317.0</v>
      </c>
      <c r="B32" s="131" t="s">
        <v>494</v>
      </c>
      <c r="C32" s="134" t="str">
        <f>if(ifna(VLOOKUP(B32,'Vendor Directory'!A:C,3,0),"NOT FOUND")="","NOT FOUND",VLOOKUP(B32,'Vendor Directory'!A:C,3,0))</f>
        <v>#N/A</v>
      </c>
      <c r="D32" s="131">
        <f>SUMIFS(All_Stats!$G:$G,
All_Stats!$D:$D,$B32,
All_Stats!$B:$B,"&gt;="&amp;EOMONTH($A32,-1)+1,
All_Stats!$B:$B,"&lt;"&amp;EOMONTH($A32,0)+1,
All_Stats!$P:$P,"&lt;&gt;Email Marketing"
)</f>
        <v>0</v>
      </c>
      <c r="E32" s="113">
        <f>SUMIFS(All_Stats!$I:$I,
All_Stats!$D:$D,$B32,
All_Stats!$B:$B,"&gt;="&amp;EOMONTH($A32,-1)+1,
All_Stats!$B:$B,"&lt;"&amp;EOMONTH($A32,0)+1,
All_Stats!$P:$P,"&lt;&gt;Email Marketing"
)</f>
        <v>0</v>
      </c>
      <c r="F32" s="132" t="str">
        <f t="shared" ref="F32:F57" si="7">iferror(E32/D32,"N/A")</f>
        <v>N/A</v>
      </c>
      <c r="G32" s="131">
        <f>SUMIFS(All_Stats!$H:$H,
All_Stats!$D:$D,$B32,
All_Stats!$B:$B,"&gt;="&amp;EOMONTH($A32,-1)+1,
All_Stats!$B:$B,"&lt;"&amp;EOMONTH($A32,0)+1,
All_Stats!$P:$P,"&lt;&gt;Email Marketing"
)</f>
        <v>0</v>
      </c>
      <c r="H32" s="113">
        <f>SUMIFS(All_Stats!$K:$K,
All_Stats!$D:$D,$B32,
All_Stats!$B:$B,"&gt;="&amp;EOMONTH($A32,-1)+1,
All_Stats!$B:$B,"&lt;"&amp;EOMONTH($A32,0)+1,
All_Stats!$P:$P,"&lt;&gt;Email Marketing"
)</f>
        <v>0</v>
      </c>
      <c r="I32" s="152">
        <f>IFERROR(__xludf.DUMMYFUNCTION("COUNTUNIQUEIFS(All_Stats!A:A,
All_Stats!$D:$D,$B32,
All_Stats!$B:$B,""&gt;=""&amp;EOMONTH($A32,-1)+1,
All_Stats!$B:$B,""&lt;""&amp;EOMONTH($A32,0)+1,
All_Stats!$P:$P,""&lt;&gt;Email Marketing""
)"),0.0)</f>
        <v>0</v>
      </c>
      <c r="J32" s="113"/>
      <c r="K32" s="113">
        <f>IFERROR(__xludf.DUMMYFUNCTION("COUNTUNIQUEIFS(All_Stats!A:A,
All_Stats!$B:$B,""&gt;=""&amp;EOMONTH($A32,-1)+1,
All_Stats!$B:$B,""&lt;""&amp;EOMONTH($A32,0)+1)"),0.0)</f>
        <v>0</v>
      </c>
      <c r="L32" s="113"/>
    </row>
    <row r="33" hidden="1">
      <c r="A33" s="128">
        <v>44317.0</v>
      </c>
      <c r="B33" s="131" t="s">
        <v>127</v>
      </c>
      <c r="C33" s="134" t="str">
        <f>if(ifna(VLOOKUP(B33,'Vendor Directory'!A:C,3,0),"NOT FOUND")="","NOT FOUND",VLOOKUP(B33,'Vendor Directory'!A:C,3,0))</f>
        <v>#N/A</v>
      </c>
      <c r="D33" s="131">
        <f>SUMIFS(All_Stats!$G:$G,
All_Stats!$D:$D,$B33,
All_Stats!$B:$B,"&gt;="&amp;EOMONTH($A33,-1)+1,
All_Stats!$B:$B,"&lt;"&amp;EOMONTH($A33,0)+1,
All_Stats!$P:$P,"&lt;&gt;Email Marketing"
)</f>
        <v>0</v>
      </c>
      <c r="E33" s="113">
        <f>SUMIFS(All_Stats!$I:$I,
All_Stats!$D:$D,$B33,
All_Stats!$B:$B,"&gt;="&amp;EOMONTH($A33,-1)+1,
All_Stats!$B:$B,"&lt;"&amp;EOMONTH($A33,0)+1,
All_Stats!$P:$P,"&lt;&gt;Email Marketing"
)</f>
        <v>0</v>
      </c>
      <c r="F33" s="132" t="str">
        <f t="shared" si="7"/>
        <v>N/A</v>
      </c>
      <c r="G33" s="131">
        <f>SUMIFS(All_Stats!$H:$H,
All_Stats!$D:$D,$B33,
All_Stats!$B:$B,"&gt;="&amp;EOMONTH($A33,-1)+1,
All_Stats!$B:$B,"&lt;"&amp;EOMONTH($A33,0)+1,
All_Stats!$P:$P,"&lt;&gt;Email Marketing"
)</f>
        <v>0</v>
      </c>
      <c r="H33" s="113">
        <f>SUMIFS(All_Stats!$K:$K,
All_Stats!$D:$D,$B33,
All_Stats!$B:$B,"&gt;="&amp;EOMONTH($A33,-1)+1,
All_Stats!$B:$B,"&lt;"&amp;EOMONTH($A33,0)+1,
All_Stats!$P:$P,"&lt;&gt;Email Marketing"
)</f>
        <v>0</v>
      </c>
      <c r="I33" s="152">
        <f>IFERROR(__xludf.DUMMYFUNCTION("COUNTUNIQUEIFS(All_Stats!A:A,
All_Stats!$D:$D,$B33,
All_Stats!$B:$B,""&gt;=""&amp;EOMONTH($A33,-1)+1,
All_Stats!$B:$B,""&lt;""&amp;EOMONTH($A33,0)+1,
All_Stats!$P:$P,""&lt;&gt;Email Marketing""
)"),0.0)</f>
        <v>0</v>
      </c>
    </row>
    <row r="34" hidden="1">
      <c r="A34" s="128">
        <v>44317.0</v>
      </c>
      <c r="B34" s="131" t="s">
        <v>157</v>
      </c>
      <c r="C34" s="134" t="str">
        <f>if(ifna(VLOOKUP(B34,'Vendor Directory'!A:C,3,0),"NOT FOUND")="","NOT FOUND",VLOOKUP(B34,'Vendor Directory'!A:C,3,0))</f>
        <v>#N/A</v>
      </c>
      <c r="D34" s="131">
        <f>SUMIFS(All_Stats!$G:$G,
All_Stats!$D:$D,$B34,
All_Stats!$B:$B,"&gt;="&amp;EOMONTH($A34,-1)+1,
All_Stats!$B:$B,"&lt;"&amp;EOMONTH($A34,0)+1,
All_Stats!$P:$P,"&lt;&gt;Email Marketing"
)</f>
        <v>0</v>
      </c>
      <c r="E34" s="113">
        <f>SUMIFS(All_Stats!$I:$I,
All_Stats!$D:$D,$B34,
All_Stats!$B:$B,"&gt;="&amp;EOMONTH($A34,-1)+1,
All_Stats!$B:$B,"&lt;"&amp;EOMONTH($A34,0)+1,
All_Stats!$P:$P,"&lt;&gt;Email Marketing"
)</f>
        <v>0</v>
      </c>
      <c r="F34" s="132" t="str">
        <f t="shared" si="7"/>
        <v>N/A</v>
      </c>
      <c r="G34" s="131">
        <f>SUMIFS(All_Stats!$H:$H,
All_Stats!$D:$D,$B34,
All_Stats!$B:$B,"&gt;="&amp;EOMONTH($A34,-1)+1,
All_Stats!$B:$B,"&lt;"&amp;EOMONTH($A34,0)+1,
All_Stats!$P:$P,"&lt;&gt;Email Marketing"
)</f>
        <v>0</v>
      </c>
      <c r="H34" s="113">
        <f>SUMIFS(All_Stats!$K:$K,
All_Stats!$D:$D,$B34,
All_Stats!$B:$B,"&gt;="&amp;EOMONTH($A34,-1)+1,
All_Stats!$B:$B,"&lt;"&amp;EOMONTH($A34,0)+1,
All_Stats!$P:$P,"&lt;&gt;Email Marketing"
)</f>
        <v>0</v>
      </c>
      <c r="I34" s="152">
        <f>IFERROR(__xludf.DUMMYFUNCTION("COUNTUNIQUEIFS(All_Stats!A:A,
All_Stats!$D:$D,$B34,
All_Stats!$B:$B,""&gt;=""&amp;EOMONTH($A34,-1)+1,
All_Stats!$B:$B,""&lt;""&amp;EOMONTH($A34,0)+1,
All_Stats!$P:$P,""&lt;&gt;Email Marketing""
)"),0.0)</f>
        <v>0</v>
      </c>
    </row>
    <row r="35" hidden="1">
      <c r="A35" s="128">
        <v>44317.0</v>
      </c>
      <c r="B35" s="131" t="s">
        <v>30</v>
      </c>
      <c r="C35" s="134" t="str">
        <f>if(ifna(VLOOKUP(B35,'Vendor Directory'!A:C,3,0),"NOT FOUND")="","NOT FOUND",VLOOKUP(B35,'Vendor Directory'!A:C,3,0))</f>
        <v>Vendor 2 Name</v>
      </c>
      <c r="D35" s="131">
        <f>SUMIFS(All_Stats!$G:$G,
All_Stats!$D:$D,$B35,
All_Stats!$B:$B,"&gt;="&amp;EOMONTH($A35,-1)+1,
All_Stats!$B:$B,"&lt;"&amp;EOMONTH($A35,0)+1,
All_Stats!$P:$P,"&lt;&gt;Email Marketing"
)</f>
        <v>0</v>
      </c>
      <c r="E35" s="113">
        <f>SUMIFS(All_Stats!$I:$I,
All_Stats!$D:$D,$B35,
All_Stats!$B:$B,"&gt;="&amp;EOMONTH($A35,-1)+1,
All_Stats!$B:$B,"&lt;"&amp;EOMONTH($A35,0)+1,
All_Stats!$P:$P,"&lt;&gt;Email Marketing"
)</f>
        <v>0</v>
      </c>
      <c r="F35" s="132" t="str">
        <f t="shared" si="7"/>
        <v>N/A</v>
      </c>
      <c r="G35" s="131">
        <f>SUMIFS(All_Stats!$H:$H,
All_Stats!$D:$D,$B35,
All_Stats!$B:$B,"&gt;="&amp;EOMONTH($A35,-1)+1,
All_Stats!$B:$B,"&lt;"&amp;EOMONTH($A35,0)+1,
All_Stats!$P:$P,"&lt;&gt;Email Marketing"
)</f>
        <v>0</v>
      </c>
      <c r="H35" s="113">
        <f>SUMIFS(All_Stats!$K:$K,
All_Stats!$D:$D,$B35,
All_Stats!$B:$B,"&gt;="&amp;EOMONTH($A35,-1)+1,
All_Stats!$B:$B,"&lt;"&amp;EOMONTH($A35,0)+1,
All_Stats!$P:$P,"&lt;&gt;Email Marketing"
)</f>
        <v>0</v>
      </c>
      <c r="I35" s="152">
        <f>IFERROR(__xludf.DUMMYFUNCTION("COUNTUNIQUEIFS(All_Stats!A:A,
All_Stats!$D:$D,$B35,
All_Stats!$B:$B,""&gt;=""&amp;EOMONTH($A35,-1)+1,
All_Stats!$B:$B,""&lt;""&amp;EOMONTH($A35,0)+1,
All_Stats!$P:$P,""&lt;&gt;Email Marketing""
)"),0.0)</f>
        <v>0</v>
      </c>
    </row>
    <row r="36" hidden="1">
      <c r="A36" s="128">
        <v>44317.0</v>
      </c>
      <c r="B36" s="131" t="s">
        <v>164</v>
      </c>
      <c r="C36" s="134" t="str">
        <f>if(ifna(VLOOKUP(B36,'Vendor Directory'!A:C,3,0),"NOT FOUND")="","NOT FOUND",VLOOKUP(B36,'Vendor Directory'!A:C,3,0))</f>
        <v>#N/A</v>
      </c>
      <c r="D36" s="131">
        <f>SUMIFS(All_Stats!$G:$G,
All_Stats!$D:$D,$B36,
All_Stats!$B:$B,"&gt;="&amp;EOMONTH($A36,-1)+1,
All_Stats!$B:$B,"&lt;"&amp;EOMONTH($A36,0)+1,
All_Stats!$P:$P,"&lt;&gt;Email Marketing"
)</f>
        <v>0</v>
      </c>
      <c r="E36" s="113">
        <f>SUMIFS(All_Stats!$I:$I,
All_Stats!$D:$D,$B36,
All_Stats!$B:$B,"&gt;="&amp;EOMONTH($A36,-1)+1,
All_Stats!$B:$B,"&lt;"&amp;EOMONTH($A36,0)+1,
All_Stats!$P:$P,"&lt;&gt;Email Marketing"
)</f>
        <v>0</v>
      </c>
      <c r="F36" s="132" t="str">
        <f t="shared" si="7"/>
        <v>N/A</v>
      </c>
      <c r="G36" s="131">
        <f>SUMIFS(All_Stats!$H:$H,
All_Stats!$D:$D,$B36,
All_Stats!$B:$B,"&gt;="&amp;EOMONTH($A36,-1)+1,
All_Stats!$B:$B,"&lt;"&amp;EOMONTH($A36,0)+1,
All_Stats!$P:$P,"&lt;&gt;Email Marketing"
)</f>
        <v>0</v>
      </c>
      <c r="H36" s="113">
        <f>SUMIFS(All_Stats!$K:$K,
All_Stats!$D:$D,$B36,
All_Stats!$B:$B,"&gt;="&amp;EOMONTH($A36,-1)+1,
All_Stats!$B:$B,"&lt;"&amp;EOMONTH($A36,0)+1,
All_Stats!$P:$P,"&lt;&gt;Email Marketing"
)</f>
        <v>0</v>
      </c>
      <c r="I36" s="152">
        <f>IFERROR(__xludf.DUMMYFUNCTION("COUNTUNIQUEIFS(All_Stats!A:A,
All_Stats!$D:$D,$B36,
All_Stats!$B:$B,""&gt;=""&amp;EOMONTH($A36,-1)+1,
All_Stats!$B:$B,""&lt;""&amp;EOMONTH($A36,0)+1,
All_Stats!$P:$P,""&lt;&gt;Email Marketing""
)"),0.0)</f>
        <v>0</v>
      </c>
    </row>
    <row r="37" hidden="1">
      <c r="A37" s="128">
        <v>44317.0</v>
      </c>
      <c r="B37" s="131" t="s">
        <v>172</v>
      </c>
      <c r="C37" s="134" t="str">
        <f>if(ifna(VLOOKUP(B37,'Vendor Directory'!A:C,3,0),"NOT FOUND")="","NOT FOUND",VLOOKUP(B37,'Vendor Directory'!A:C,3,0))</f>
        <v>#N/A</v>
      </c>
      <c r="D37" s="131">
        <f>SUMIFS(All_Stats!$G:$G,
All_Stats!$D:$D,$B37,
All_Stats!$B:$B,"&gt;="&amp;EOMONTH($A37,-1)+1,
All_Stats!$B:$B,"&lt;"&amp;EOMONTH($A37,0)+1,
All_Stats!$P:$P,"&lt;&gt;Email Marketing"
)</f>
        <v>0</v>
      </c>
      <c r="E37" s="113">
        <f>SUMIFS(All_Stats!$I:$I,
All_Stats!$D:$D,$B37,
All_Stats!$B:$B,"&gt;="&amp;EOMONTH($A37,-1)+1,
All_Stats!$B:$B,"&lt;"&amp;EOMONTH($A37,0)+1,
All_Stats!$P:$P,"&lt;&gt;Email Marketing"
)</f>
        <v>0</v>
      </c>
      <c r="F37" s="132" t="str">
        <f t="shared" si="7"/>
        <v>N/A</v>
      </c>
      <c r="G37" s="131">
        <f>SUMIFS(All_Stats!$H:$H,
All_Stats!$D:$D,$B37,
All_Stats!$B:$B,"&gt;="&amp;EOMONTH($A37,-1)+1,
All_Stats!$B:$B,"&lt;"&amp;EOMONTH($A37,0)+1,
All_Stats!$P:$P,"&lt;&gt;Email Marketing"
)</f>
        <v>0</v>
      </c>
      <c r="H37" s="113">
        <f>SUMIFS(All_Stats!$K:$K,
All_Stats!$D:$D,$B37,
All_Stats!$B:$B,"&gt;="&amp;EOMONTH($A37,-1)+1,
All_Stats!$B:$B,"&lt;"&amp;EOMONTH($A37,0)+1,
All_Stats!$P:$P,"&lt;&gt;Email Marketing"
)</f>
        <v>0</v>
      </c>
      <c r="I37" s="152">
        <f>IFERROR(__xludf.DUMMYFUNCTION("COUNTUNIQUEIFS(All_Stats!A:A,
All_Stats!$D:$D,$B37,
All_Stats!$B:$B,""&gt;=""&amp;EOMONTH($A37,-1)+1,
All_Stats!$B:$B,""&lt;""&amp;EOMONTH($A37,0)+1,
All_Stats!$P:$P,""&lt;&gt;Email Marketing""
)"),0.0)</f>
        <v>0</v>
      </c>
    </row>
    <row r="38" hidden="1">
      <c r="A38" s="128">
        <v>44317.0</v>
      </c>
      <c r="B38" s="131" t="s">
        <v>495</v>
      </c>
      <c r="C38" s="134" t="str">
        <f>if(ifna(VLOOKUP(B38,'Vendor Directory'!A:C,3,0),"NOT FOUND")="","NOT FOUND",VLOOKUP(B38,'Vendor Directory'!A:C,3,0))</f>
        <v>Vendor 3 Name</v>
      </c>
      <c r="D38" s="131">
        <f>SUMIFS(All_Stats!$G:$G,
All_Stats!$D:$D,$B38,
All_Stats!$B:$B,"&gt;="&amp;EOMONTH($A38,-1)+1,
All_Stats!$B:$B,"&lt;"&amp;EOMONTH($A38,0)+1,
All_Stats!$P:$P,"&lt;&gt;Email Marketing"
)</f>
        <v>0</v>
      </c>
      <c r="E38" s="113">
        <f>SUMIFS(All_Stats!$I:$I,
All_Stats!$D:$D,$B38,
All_Stats!$B:$B,"&gt;="&amp;EOMONTH($A38,-1)+1,
All_Stats!$B:$B,"&lt;"&amp;EOMONTH($A38,0)+1,
All_Stats!$P:$P,"&lt;&gt;Email Marketing"
)</f>
        <v>0</v>
      </c>
      <c r="F38" s="132" t="str">
        <f t="shared" si="7"/>
        <v>N/A</v>
      </c>
      <c r="G38" s="131">
        <f>SUMIFS(All_Stats!$H:$H,
All_Stats!$D:$D,$B38,
All_Stats!$B:$B,"&gt;="&amp;EOMONTH($A38,-1)+1,
All_Stats!$B:$B,"&lt;"&amp;EOMONTH($A38,0)+1,
All_Stats!$P:$P,"&lt;&gt;Email Marketing"
)</f>
        <v>0</v>
      </c>
      <c r="H38" s="113">
        <f>SUMIFS(All_Stats!$K:$K,
All_Stats!$D:$D,$B38,
All_Stats!$B:$B,"&gt;="&amp;EOMONTH($A38,-1)+1,
All_Stats!$B:$B,"&lt;"&amp;EOMONTH($A38,0)+1,
All_Stats!$P:$P,"&lt;&gt;Email Marketing"
)</f>
        <v>0</v>
      </c>
      <c r="I38" s="152">
        <f>IFERROR(__xludf.DUMMYFUNCTION("COUNTUNIQUEIFS(All_Stats!A:A,
All_Stats!$D:$D,$B38,
All_Stats!$B:$B,""&gt;=""&amp;EOMONTH($A38,-1)+1,
All_Stats!$B:$B,""&lt;""&amp;EOMONTH($A38,0)+1,
All_Stats!$P:$P,""&lt;&gt;Email Marketing""
)"),0.0)</f>
        <v>0</v>
      </c>
    </row>
    <row r="39" hidden="1">
      <c r="A39" s="128">
        <v>44317.0</v>
      </c>
      <c r="B39" s="131" t="s">
        <v>496</v>
      </c>
      <c r="C39" s="134" t="str">
        <f>if(ifna(VLOOKUP(B39,'Vendor Directory'!A:C,3,0),"NOT FOUND")="","NOT FOUND",VLOOKUP(B39,'Vendor Directory'!A:C,3,0))</f>
        <v>Vendor 4 Name</v>
      </c>
      <c r="D39" s="131">
        <f>SUMIFS(All_Stats!$G:$G,
All_Stats!$D:$D,$B39,
All_Stats!$B:$B,"&gt;="&amp;EOMONTH($A39,-1)+1,
All_Stats!$B:$B,"&lt;"&amp;EOMONTH($A39,0)+1,
All_Stats!$P:$P,"&lt;&gt;Email Marketing"
)</f>
        <v>0</v>
      </c>
      <c r="E39" s="113">
        <f>SUMIFS(All_Stats!$I:$I,
All_Stats!$D:$D,$B39,
All_Stats!$B:$B,"&gt;="&amp;EOMONTH($A39,-1)+1,
All_Stats!$B:$B,"&lt;"&amp;EOMONTH($A39,0)+1,
All_Stats!$P:$P,"&lt;&gt;Email Marketing"
)</f>
        <v>0</v>
      </c>
      <c r="F39" s="132" t="str">
        <f t="shared" si="7"/>
        <v>N/A</v>
      </c>
      <c r="G39" s="131">
        <f>SUMIFS(All_Stats!$H:$H,
All_Stats!$D:$D,$B39,
All_Stats!$B:$B,"&gt;="&amp;EOMONTH($A39,-1)+1,
All_Stats!$B:$B,"&lt;"&amp;EOMONTH($A39,0)+1,
All_Stats!$P:$P,"&lt;&gt;Email Marketing"
)</f>
        <v>0</v>
      </c>
      <c r="H39" s="113">
        <f>SUMIFS(All_Stats!$K:$K,
All_Stats!$D:$D,$B39,
All_Stats!$B:$B,"&gt;="&amp;EOMONTH($A39,-1)+1,
All_Stats!$B:$B,"&lt;"&amp;EOMONTH($A39,0)+1,
All_Stats!$P:$P,"&lt;&gt;Email Marketing"
)</f>
        <v>0</v>
      </c>
      <c r="I39" s="152">
        <f>IFERROR(__xludf.DUMMYFUNCTION("COUNTUNIQUEIFS(All_Stats!A:A,
All_Stats!$D:$D,$B39,
All_Stats!$B:$B,""&gt;=""&amp;EOMONTH($A39,-1)+1,
All_Stats!$B:$B,""&lt;""&amp;EOMONTH($A39,0)+1,
All_Stats!$P:$P,""&lt;&gt;Email Marketing""
)"),0.0)</f>
        <v>0</v>
      </c>
    </row>
    <row r="40" hidden="1">
      <c r="A40" s="128">
        <v>44317.0</v>
      </c>
      <c r="B40" s="131" t="s">
        <v>497</v>
      </c>
      <c r="C40" s="134" t="str">
        <f>if(ifna(VLOOKUP(B40,'Vendor Directory'!A:C,3,0),"NOT FOUND")="","NOT FOUND",VLOOKUP(B40,'Vendor Directory'!A:C,3,0))</f>
        <v>#N/A</v>
      </c>
      <c r="D40" s="131">
        <f>SUMIFS(All_Stats!$G:$G,
All_Stats!$D:$D,$B40,
All_Stats!$B:$B,"&gt;="&amp;EOMONTH($A40,-1)+1,
All_Stats!$B:$B,"&lt;"&amp;EOMONTH($A40,0)+1,
All_Stats!$P:$P,"&lt;&gt;Email Marketing"
)</f>
        <v>0</v>
      </c>
      <c r="E40" s="113">
        <f>SUMIFS(All_Stats!$I:$I,
All_Stats!$D:$D,$B40,
All_Stats!$B:$B,"&gt;="&amp;EOMONTH($A40,-1)+1,
All_Stats!$B:$B,"&lt;"&amp;EOMONTH($A40,0)+1,
All_Stats!$P:$P,"&lt;&gt;Email Marketing"
)</f>
        <v>0</v>
      </c>
      <c r="F40" s="132" t="str">
        <f t="shared" si="7"/>
        <v>N/A</v>
      </c>
      <c r="G40" s="131">
        <f>SUMIFS(All_Stats!$H:$H,
All_Stats!$D:$D,$B40,
All_Stats!$B:$B,"&gt;="&amp;EOMONTH($A40,-1)+1,
All_Stats!$B:$B,"&lt;"&amp;EOMONTH($A40,0)+1,
All_Stats!$P:$P,"&lt;&gt;Email Marketing"
)</f>
        <v>0</v>
      </c>
      <c r="H40" s="113">
        <f>SUMIFS(All_Stats!$K:$K,
All_Stats!$D:$D,$B40,
All_Stats!$B:$B,"&gt;="&amp;EOMONTH($A40,-1)+1,
All_Stats!$B:$B,"&lt;"&amp;EOMONTH($A40,0)+1,
All_Stats!$P:$P,"&lt;&gt;Email Marketing"
)</f>
        <v>0</v>
      </c>
      <c r="I40" s="152">
        <f>IFERROR(__xludf.DUMMYFUNCTION("COUNTUNIQUEIFS(All_Stats!A:A,
All_Stats!$D:$D,$B40,
All_Stats!$B:$B,""&gt;=""&amp;EOMONTH($A40,-1)+1,
All_Stats!$B:$B,""&lt;""&amp;EOMONTH($A40,0)+1,
All_Stats!$P:$P,""&lt;&gt;Email Marketing""
)"),0.0)</f>
        <v>0</v>
      </c>
    </row>
    <row r="41" hidden="1">
      <c r="A41" s="128">
        <v>44317.0</v>
      </c>
      <c r="B41" s="131" t="s">
        <v>498</v>
      </c>
      <c r="C41" s="134" t="str">
        <f>if(ifna(VLOOKUP(B41,'Vendor Directory'!A:C,3,0),"NOT FOUND")="","NOT FOUND",VLOOKUP(B41,'Vendor Directory'!A:C,3,0))</f>
        <v>#N/A</v>
      </c>
      <c r="D41" s="131">
        <f>SUMIFS(All_Stats!$G:$G,
All_Stats!$D:$D,$B41,
All_Stats!$B:$B,"&gt;="&amp;EOMONTH($A41,-1)+1,
All_Stats!$B:$B,"&lt;"&amp;EOMONTH($A41,0)+1,
All_Stats!$P:$P,"&lt;&gt;Email Marketing"
)</f>
        <v>0</v>
      </c>
      <c r="E41" s="113">
        <f>SUMIFS(All_Stats!$I:$I,
All_Stats!$D:$D,$B41,
All_Stats!$B:$B,"&gt;="&amp;EOMONTH($A41,-1)+1,
All_Stats!$B:$B,"&lt;"&amp;EOMONTH($A41,0)+1,
All_Stats!$P:$P,"&lt;&gt;Email Marketing"
)</f>
        <v>0</v>
      </c>
      <c r="F41" s="132" t="str">
        <f t="shared" si="7"/>
        <v>N/A</v>
      </c>
      <c r="G41" s="131">
        <f>SUMIFS(All_Stats!$H:$H,
All_Stats!$D:$D,$B41,
All_Stats!$B:$B,"&gt;="&amp;EOMONTH($A41,-1)+1,
All_Stats!$B:$B,"&lt;"&amp;EOMONTH($A41,0)+1,
All_Stats!$P:$P,"&lt;&gt;Email Marketing"
)</f>
        <v>0</v>
      </c>
      <c r="H41" s="113">
        <f>SUMIFS(All_Stats!$K:$K,
All_Stats!$D:$D,$B41,
All_Stats!$B:$B,"&gt;="&amp;EOMONTH($A41,-1)+1,
All_Stats!$B:$B,"&lt;"&amp;EOMONTH($A41,0)+1,
All_Stats!$P:$P,"&lt;&gt;Email Marketing"
)</f>
        <v>0</v>
      </c>
      <c r="I41" s="152">
        <f>IFERROR(__xludf.DUMMYFUNCTION("COUNTUNIQUEIFS(All_Stats!A:A,
All_Stats!$D:$D,$B41,
All_Stats!$B:$B,""&gt;=""&amp;EOMONTH($A41,-1)+1,
All_Stats!$B:$B,""&lt;""&amp;EOMONTH($A41,0)+1,
All_Stats!$P:$P,""&lt;&gt;Email Marketing""
)"),0.0)</f>
        <v>0</v>
      </c>
    </row>
    <row r="42" hidden="1">
      <c r="A42" s="128">
        <v>44317.0</v>
      </c>
      <c r="B42" s="131" t="s">
        <v>452</v>
      </c>
      <c r="C42" s="134" t="str">
        <f>if(ifna(VLOOKUP(B42,'Vendor Directory'!A:C,3,0),"NOT FOUND")="","NOT FOUND",VLOOKUP(B42,'Vendor Directory'!A:C,3,0))</f>
        <v>#N/A</v>
      </c>
      <c r="D42" s="131">
        <f>SUMIFS(All_Stats!$G:$G,
All_Stats!$D:$D,$B42,
All_Stats!$B:$B,"&gt;="&amp;EOMONTH($A42,-1)+1,
All_Stats!$B:$B,"&lt;"&amp;EOMONTH($A42,0)+1,
All_Stats!$P:$P,"&lt;&gt;Email Marketing"
)</f>
        <v>0</v>
      </c>
      <c r="E42" s="113">
        <f>SUMIFS(All_Stats!$I:$I,
All_Stats!$D:$D,$B42,
All_Stats!$B:$B,"&gt;="&amp;EOMONTH($A42,-1)+1,
All_Stats!$B:$B,"&lt;"&amp;EOMONTH($A42,0)+1,
All_Stats!$P:$P,"&lt;&gt;Email Marketing"
)</f>
        <v>0</v>
      </c>
      <c r="F42" s="132" t="str">
        <f t="shared" si="7"/>
        <v>N/A</v>
      </c>
      <c r="G42" s="131">
        <f>SUMIFS(All_Stats!$H:$H,
All_Stats!$D:$D,$B42,
All_Stats!$B:$B,"&gt;="&amp;EOMONTH($A42,-1)+1,
All_Stats!$B:$B,"&lt;"&amp;EOMONTH($A42,0)+1,
All_Stats!$P:$P,"&lt;&gt;Email Marketing"
)</f>
        <v>0</v>
      </c>
      <c r="H42" s="113">
        <f>SUMIFS(All_Stats!$K:$K,
All_Stats!$D:$D,$B42,
All_Stats!$B:$B,"&gt;="&amp;EOMONTH($A42,-1)+1,
All_Stats!$B:$B,"&lt;"&amp;EOMONTH($A42,0)+1,
All_Stats!$P:$P,"&lt;&gt;Email Marketing"
)</f>
        <v>0</v>
      </c>
      <c r="I42" s="152">
        <f>IFERROR(__xludf.DUMMYFUNCTION("COUNTUNIQUEIFS(All_Stats!A:A,
All_Stats!$D:$D,$B42,
All_Stats!$B:$B,""&gt;=""&amp;EOMONTH($A42,-1)+1,
All_Stats!$B:$B,""&lt;""&amp;EOMONTH($A42,0)+1,
All_Stats!$P:$P,""&lt;&gt;Email Marketing""
)"),0.0)</f>
        <v>0</v>
      </c>
    </row>
    <row r="43" hidden="1">
      <c r="A43" s="128">
        <v>44317.0</v>
      </c>
      <c r="B43" s="131" t="s">
        <v>499</v>
      </c>
      <c r="C43" s="134" t="str">
        <f>if(ifna(VLOOKUP(B43,'Vendor Directory'!A:C,3,0),"NOT FOUND")="","NOT FOUND",VLOOKUP(B43,'Vendor Directory'!A:C,3,0))</f>
        <v>#N/A</v>
      </c>
      <c r="D43" s="131">
        <f>SUMIFS(All_Stats!$G:$G,
All_Stats!$D:$D,$B43,
All_Stats!$B:$B,"&gt;="&amp;EOMONTH($A43,-1)+1,
All_Stats!$B:$B,"&lt;"&amp;EOMONTH($A43,0)+1,
All_Stats!$P:$P,"&lt;&gt;Email Marketing"
)</f>
        <v>0</v>
      </c>
      <c r="E43" s="113">
        <f>SUMIFS(All_Stats!$I:$I,
All_Stats!$D:$D,$B43,
All_Stats!$B:$B,"&gt;="&amp;EOMONTH($A43,-1)+1,
All_Stats!$B:$B,"&lt;"&amp;EOMONTH($A43,0)+1,
All_Stats!$P:$P,"&lt;&gt;Email Marketing"
)</f>
        <v>0</v>
      </c>
      <c r="F43" s="132" t="str">
        <f t="shared" si="7"/>
        <v>N/A</v>
      </c>
      <c r="G43" s="131">
        <f>SUMIFS(All_Stats!$H:$H,
All_Stats!$D:$D,$B43,
All_Stats!$B:$B,"&gt;="&amp;EOMONTH($A43,-1)+1,
All_Stats!$B:$B,"&lt;"&amp;EOMONTH($A43,0)+1,
All_Stats!$P:$P,"&lt;&gt;Email Marketing"
)</f>
        <v>0</v>
      </c>
      <c r="H43" s="113">
        <f>SUMIFS(All_Stats!$K:$K,
All_Stats!$D:$D,$B43,
All_Stats!$B:$B,"&gt;="&amp;EOMONTH($A43,-1)+1,
All_Stats!$B:$B,"&lt;"&amp;EOMONTH($A43,0)+1,
All_Stats!$P:$P,"&lt;&gt;Email Marketing"
)</f>
        <v>0</v>
      </c>
      <c r="I43" s="152">
        <f>IFERROR(__xludf.DUMMYFUNCTION("COUNTUNIQUEIFS(All_Stats!A:A,
All_Stats!$D:$D,$B43,
All_Stats!$B:$B,""&gt;=""&amp;EOMONTH($A43,-1)+1,
All_Stats!$B:$B,""&lt;""&amp;EOMONTH($A43,0)+1,
All_Stats!$P:$P,""&lt;&gt;Email Marketing""
)"),0.0)</f>
        <v>0</v>
      </c>
    </row>
    <row r="44" hidden="1">
      <c r="A44" s="128">
        <v>44317.0</v>
      </c>
      <c r="B44" s="131" t="s">
        <v>500</v>
      </c>
      <c r="C44" s="134" t="str">
        <f>if(ifna(VLOOKUP(B44,'Vendor Directory'!A:C,3,0),"NOT FOUND")="","NOT FOUND",VLOOKUP(B44,'Vendor Directory'!A:C,3,0))</f>
        <v>#N/A</v>
      </c>
      <c r="D44" s="131">
        <f>SUMIFS(All_Stats!$G:$G,
All_Stats!$D:$D,$B44,
All_Stats!$B:$B,"&gt;="&amp;EOMONTH($A44,-1)+1,
All_Stats!$B:$B,"&lt;"&amp;EOMONTH($A44,0)+1,
All_Stats!$P:$P,"&lt;&gt;Email Marketing"
)</f>
        <v>0</v>
      </c>
      <c r="E44" s="113">
        <f>SUMIFS(All_Stats!$I:$I,
All_Stats!$D:$D,$B44,
All_Stats!$B:$B,"&gt;="&amp;EOMONTH($A44,-1)+1,
All_Stats!$B:$B,"&lt;"&amp;EOMONTH($A44,0)+1,
All_Stats!$P:$P,"&lt;&gt;Email Marketing"
)</f>
        <v>0</v>
      </c>
      <c r="F44" s="132" t="str">
        <f t="shared" si="7"/>
        <v>N/A</v>
      </c>
      <c r="G44" s="131">
        <f>SUMIFS(All_Stats!$H:$H,
All_Stats!$D:$D,$B44,
All_Stats!$B:$B,"&gt;="&amp;EOMONTH($A44,-1)+1,
All_Stats!$B:$B,"&lt;"&amp;EOMONTH($A44,0)+1,
All_Stats!$P:$P,"&lt;&gt;Email Marketing"
)</f>
        <v>0</v>
      </c>
      <c r="H44" s="113">
        <f>SUMIFS(All_Stats!$K:$K,
All_Stats!$D:$D,$B44,
All_Stats!$B:$B,"&gt;="&amp;EOMONTH($A44,-1)+1,
All_Stats!$B:$B,"&lt;"&amp;EOMONTH($A44,0)+1,
All_Stats!$P:$P,"&lt;&gt;Email Marketing"
)</f>
        <v>0</v>
      </c>
      <c r="I44" s="152">
        <f>IFERROR(__xludf.DUMMYFUNCTION("COUNTUNIQUEIFS(All_Stats!A:A,
All_Stats!$D:$D,$B44,
All_Stats!$B:$B,""&gt;=""&amp;EOMONTH($A44,-1)+1,
All_Stats!$B:$B,""&lt;""&amp;EOMONTH($A44,0)+1,
All_Stats!$P:$P,""&lt;&gt;Email Marketing""
)"),0.0)</f>
        <v>0</v>
      </c>
    </row>
    <row r="45" hidden="1">
      <c r="A45" s="128">
        <v>44317.0</v>
      </c>
      <c r="B45" s="131" t="s">
        <v>91</v>
      </c>
      <c r="C45" s="134" t="str">
        <f>if(ifna(VLOOKUP(B45,'Vendor Directory'!A:C,3,0),"NOT FOUND")="","NOT FOUND",VLOOKUP(B45,'Vendor Directory'!A:C,3,0))</f>
        <v>#N/A</v>
      </c>
      <c r="D45" s="131">
        <f>SUMIFS(All_Stats!$G:$G,
All_Stats!$D:$D,$B45,
All_Stats!$B:$B,"&gt;="&amp;EOMONTH($A45,-1)+1,
All_Stats!$B:$B,"&lt;"&amp;EOMONTH($A45,0)+1,
All_Stats!$P:$P,"&lt;&gt;Email Marketing"
)</f>
        <v>0</v>
      </c>
      <c r="E45" s="113">
        <f>SUMIFS(All_Stats!$I:$I,
All_Stats!$D:$D,$B45,
All_Stats!$B:$B,"&gt;="&amp;EOMONTH($A45,-1)+1,
All_Stats!$B:$B,"&lt;"&amp;EOMONTH($A45,0)+1,
All_Stats!$P:$P,"&lt;&gt;Email Marketing"
)</f>
        <v>0</v>
      </c>
      <c r="F45" s="132" t="str">
        <f t="shared" si="7"/>
        <v>N/A</v>
      </c>
      <c r="G45" s="131">
        <f>SUMIFS(All_Stats!$H:$H,
All_Stats!$D:$D,$B45,
All_Stats!$B:$B,"&gt;="&amp;EOMONTH($A45,-1)+1,
All_Stats!$B:$B,"&lt;"&amp;EOMONTH($A45,0)+1,
All_Stats!$P:$P,"&lt;&gt;Email Marketing"
)</f>
        <v>0</v>
      </c>
      <c r="H45" s="113">
        <f>SUMIFS(All_Stats!$K:$K,
All_Stats!$D:$D,$B45,
All_Stats!$B:$B,"&gt;="&amp;EOMONTH($A45,-1)+1,
All_Stats!$B:$B,"&lt;"&amp;EOMONTH($A45,0)+1,
All_Stats!$P:$P,"&lt;&gt;Email Marketing"
)</f>
        <v>0</v>
      </c>
      <c r="I45" s="152">
        <f>IFERROR(__xludf.DUMMYFUNCTION("COUNTUNIQUEIFS(All_Stats!A:A,
All_Stats!$D:$D,$B45,
All_Stats!$B:$B,""&gt;=""&amp;EOMONTH($A45,-1)+1,
All_Stats!$B:$B,""&lt;""&amp;EOMONTH($A45,0)+1,
All_Stats!$P:$P,""&lt;&gt;Email Marketing""
)"),0.0)</f>
        <v>0</v>
      </c>
    </row>
    <row r="46" hidden="1">
      <c r="A46" s="128">
        <v>44317.0</v>
      </c>
      <c r="B46" s="131" t="s">
        <v>501</v>
      </c>
      <c r="C46" s="134" t="str">
        <f>if(ifna(VLOOKUP(B46,'Vendor Directory'!A:C,3,0),"NOT FOUND")="","NOT FOUND",VLOOKUP(B46,'Vendor Directory'!A:C,3,0))</f>
        <v>#N/A</v>
      </c>
      <c r="D46" s="131">
        <f>SUMIFS(All_Stats!$G:$G,
All_Stats!$D:$D,$B46,
All_Stats!$B:$B,"&gt;="&amp;EOMONTH($A46,-1)+1,
All_Stats!$B:$B,"&lt;"&amp;EOMONTH($A46,0)+1,
All_Stats!$P:$P,"&lt;&gt;Email Marketing"
)</f>
        <v>0</v>
      </c>
      <c r="E46" s="113">
        <f>SUMIFS(All_Stats!$I:$I,
All_Stats!$D:$D,$B46,
All_Stats!$B:$B,"&gt;="&amp;EOMONTH($A46,-1)+1,
All_Stats!$B:$B,"&lt;"&amp;EOMONTH($A46,0)+1,
All_Stats!$P:$P,"&lt;&gt;Email Marketing"
)</f>
        <v>0</v>
      </c>
      <c r="F46" s="132" t="str">
        <f t="shared" si="7"/>
        <v>N/A</v>
      </c>
      <c r="G46" s="131">
        <f>SUMIFS(All_Stats!$H:$H,
All_Stats!$D:$D,$B46,
All_Stats!$B:$B,"&gt;="&amp;EOMONTH($A46,-1)+1,
All_Stats!$B:$B,"&lt;"&amp;EOMONTH($A46,0)+1,
All_Stats!$P:$P,"&lt;&gt;Email Marketing"
)</f>
        <v>0</v>
      </c>
      <c r="H46" s="113">
        <f>SUMIFS(All_Stats!$K:$K,
All_Stats!$D:$D,$B46,
All_Stats!$B:$B,"&gt;="&amp;EOMONTH($A46,-1)+1,
All_Stats!$B:$B,"&lt;"&amp;EOMONTH($A46,0)+1,
All_Stats!$P:$P,"&lt;&gt;Email Marketing"
)</f>
        <v>0</v>
      </c>
      <c r="I46" s="152">
        <f>IFERROR(__xludf.DUMMYFUNCTION("COUNTUNIQUEIFS(All_Stats!A:A,
All_Stats!$D:$D,$B46,
All_Stats!$B:$B,""&gt;=""&amp;EOMONTH($A46,-1)+1,
All_Stats!$B:$B,""&lt;""&amp;EOMONTH($A46,0)+1,
All_Stats!$P:$P,""&lt;&gt;Email Marketing""
)"),0.0)</f>
        <v>0</v>
      </c>
    </row>
    <row r="47" hidden="1">
      <c r="A47" s="128">
        <v>44317.0</v>
      </c>
      <c r="B47" s="131" t="s">
        <v>502</v>
      </c>
      <c r="C47" s="134" t="str">
        <f>if(ifna(VLOOKUP(B47,'Vendor Directory'!A:C,3,0),"NOT FOUND")="","NOT FOUND",VLOOKUP(B47,'Vendor Directory'!A:C,3,0))</f>
        <v>#N/A</v>
      </c>
      <c r="D47" s="131">
        <f>SUMIFS(All_Stats!$G:$G,
All_Stats!$D:$D,$B47,
All_Stats!$B:$B,"&gt;="&amp;EOMONTH($A47,-1)+1,
All_Stats!$B:$B,"&lt;"&amp;EOMONTH($A47,0)+1,
All_Stats!$P:$P,"&lt;&gt;Email Marketing"
)</f>
        <v>0</v>
      </c>
      <c r="E47" s="113">
        <f>SUMIFS(All_Stats!$I:$I,
All_Stats!$D:$D,$B47,
All_Stats!$B:$B,"&gt;="&amp;EOMONTH($A47,-1)+1,
All_Stats!$B:$B,"&lt;"&amp;EOMONTH($A47,0)+1,
All_Stats!$P:$P,"&lt;&gt;Email Marketing"
)</f>
        <v>0</v>
      </c>
      <c r="F47" s="132" t="str">
        <f t="shared" si="7"/>
        <v>N/A</v>
      </c>
      <c r="G47" s="131">
        <f>SUMIFS(All_Stats!$H:$H,
All_Stats!$D:$D,$B47,
All_Stats!$B:$B,"&gt;="&amp;EOMONTH($A47,-1)+1,
All_Stats!$B:$B,"&lt;"&amp;EOMONTH($A47,0)+1,
All_Stats!$P:$P,"&lt;&gt;Email Marketing"
)</f>
        <v>0</v>
      </c>
      <c r="H47" s="113">
        <f>SUMIFS(All_Stats!$K:$K,
All_Stats!$D:$D,$B47,
All_Stats!$B:$B,"&gt;="&amp;EOMONTH($A47,-1)+1,
All_Stats!$B:$B,"&lt;"&amp;EOMONTH($A47,0)+1,
All_Stats!$P:$P,"&lt;&gt;Email Marketing"
)</f>
        <v>0</v>
      </c>
      <c r="I47" s="152">
        <f>IFERROR(__xludf.DUMMYFUNCTION("COUNTUNIQUEIFS(All_Stats!A:A,
All_Stats!$D:$D,$B47,
All_Stats!$B:$B,""&gt;=""&amp;EOMONTH($A47,-1)+1,
All_Stats!$B:$B,""&lt;""&amp;EOMONTH($A47,0)+1,
All_Stats!$P:$P,""&lt;&gt;Email Marketing""
)"),0.0)</f>
        <v>0</v>
      </c>
    </row>
    <row r="48" hidden="1">
      <c r="A48" s="128">
        <v>44317.0</v>
      </c>
      <c r="B48" s="131" t="s">
        <v>417</v>
      </c>
      <c r="C48" s="134" t="str">
        <f>if(ifna(VLOOKUP(B48,'Vendor Directory'!A:C,3,0),"NOT FOUND")="","NOT FOUND",VLOOKUP(B48,'Vendor Directory'!A:C,3,0))</f>
        <v>#N/A</v>
      </c>
      <c r="D48" s="131">
        <f>SUMIFS(All_Stats!$G:$G,
All_Stats!$D:$D,$B48,
All_Stats!$B:$B,"&gt;="&amp;EOMONTH($A48,-1)+1,
All_Stats!$B:$B,"&lt;"&amp;EOMONTH($A48,0)+1,
All_Stats!$P:$P,"&lt;&gt;Email Marketing"
)</f>
        <v>0</v>
      </c>
      <c r="E48" s="113">
        <f>SUMIFS(All_Stats!$I:$I,
All_Stats!$D:$D,$B48,
All_Stats!$B:$B,"&gt;="&amp;EOMONTH($A48,-1)+1,
All_Stats!$B:$B,"&lt;"&amp;EOMONTH($A48,0)+1,
All_Stats!$P:$P,"&lt;&gt;Email Marketing"
)</f>
        <v>0</v>
      </c>
      <c r="F48" s="132" t="str">
        <f t="shared" si="7"/>
        <v>N/A</v>
      </c>
      <c r="G48" s="131">
        <f>SUMIFS(All_Stats!$H:$H,
All_Stats!$D:$D,$B48,
All_Stats!$B:$B,"&gt;="&amp;EOMONTH($A48,-1)+1,
All_Stats!$B:$B,"&lt;"&amp;EOMONTH($A48,0)+1,
All_Stats!$P:$P,"&lt;&gt;Email Marketing"
)</f>
        <v>0</v>
      </c>
      <c r="H48" s="113">
        <f>SUMIFS(All_Stats!$K:$K,
All_Stats!$D:$D,$B48,
All_Stats!$B:$B,"&gt;="&amp;EOMONTH($A48,-1)+1,
All_Stats!$B:$B,"&lt;"&amp;EOMONTH($A48,0)+1,
All_Stats!$P:$P,"&lt;&gt;Email Marketing"
)</f>
        <v>0</v>
      </c>
      <c r="I48" s="152">
        <f>IFERROR(__xludf.DUMMYFUNCTION("COUNTUNIQUEIFS(All_Stats!A:A,
All_Stats!$D:$D,$B48,
All_Stats!$B:$B,""&gt;=""&amp;EOMONTH($A48,-1)+1,
All_Stats!$B:$B,""&lt;""&amp;EOMONTH($A48,0)+1,
All_Stats!$P:$P,""&lt;&gt;Email Marketing""
)"),0.0)</f>
        <v>0</v>
      </c>
    </row>
    <row r="49" hidden="1">
      <c r="A49" s="128">
        <v>44317.0</v>
      </c>
      <c r="B49" s="131" t="s">
        <v>505</v>
      </c>
      <c r="C49" s="134" t="str">
        <f>if(ifna(VLOOKUP(B49,'Vendor Directory'!A:C,3,0),"NOT FOUND")="","NOT FOUND",VLOOKUP(B49,'Vendor Directory'!A:C,3,0))</f>
        <v>#N/A</v>
      </c>
      <c r="D49" s="131">
        <f>SUMIFS(All_Stats!$G:$G,
All_Stats!$D:$D,$B49,
All_Stats!$B:$B,"&gt;="&amp;EOMONTH($A49,-1)+1,
All_Stats!$B:$B,"&lt;"&amp;EOMONTH($A49,0)+1,
All_Stats!$P:$P,"&lt;&gt;Email Marketing"
)</f>
        <v>0</v>
      </c>
      <c r="E49" s="113">
        <f>SUMIFS(All_Stats!$I:$I,
All_Stats!$D:$D,$B49,
All_Stats!$B:$B,"&gt;="&amp;EOMONTH($A49,-1)+1,
All_Stats!$B:$B,"&lt;"&amp;EOMONTH($A49,0)+1,
All_Stats!$P:$P,"&lt;&gt;Email Marketing"
)</f>
        <v>0</v>
      </c>
      <c r="F49" s="132" t="str">
        <f t="shared" si="7"/>
        <v>N/A</v>
      </c>
      <c r="G49" s="131">
        <f>SUMIFS(All_Stats!$H:$H,
All_Stats!$D:$D,$B49,
All_Stats!$B:$B,"&gt;="&amp;EOMONTH($A49,-1)+1,
All_Stats!$B:$B,"&lt;"&amp;EOMONTH($A49,0)+1,
All_Stats!$P:$P,"&lt;&gt;Email Marketing"
)</f>
        <v>0</v>
      </c>
      <c r="H49" s="113">
        <f>SUMIFS(All_Stats!$K:$K,
All_Stats!$D:$D,$B49,
All_Stats!$B:$B,"&gt;="&amp;EOMONTH($A49,-1)+1,
All_Stats!$B:$B,"&lt;"&amp;EOMONTH($A49,0)+1,
All_Stats!$P:$P,"&lt;&gt;Email Marketing"
)</f>
        <v>0</v>
      </c>
      <c r="I49" s="152">
        <f>IFERROR(__xludf.DUMMYFUNCTION("COUNTUNIQUEIFS(All_Stats!A:A,
All_Stats!$D:$D,$B49,
All_Stats!$B:$B,""&gt;=""&amp;EOMONTH($A49,-1)+1,
All_Stats!$B:$B,""&lt;""&amp;EOMONTH($A49,0)+1,
All_Stats!$P:$P,""&lt;&gt;Email Marketing""
)"),0.0)</f>
        <v>0</v>
      </c>
    </row>
    <row r="50" hidden="1">
      <c r="A50" s="128">
        <v>44317.0</v>
      </c>
      <c r="B50" s="131" t="s">
        <v>503</v>
      </c>
      <c r="C50" s="134" t="str">
        <f>if(ifna(VLOOKUP(B50,'Vendor Directory'!A:C,3,0),"NOT FOUND")="","NOT FOUND",VLOOKUP(B50,'Vendor Directory'!A:C,3,0))</f>
        <v>#N/A</v>
      </c>
      <c r="D50" s="131">
        <f>SUMIFS(All_Stats!$G:$G,
All_Stats!$D:$D,$B50,
All_Stats!$B:$B,"&gt;="&amp;EOMONTH($A50,-1)+1,
All_Stats!$B:$B,"&lt;"&amp;EOMONTH($A50,0)+1,
All_Stats!$P:$P,"&lt;&gt;Email Marketing"
)</f>
        <v>0</v>
      </c>
      <c r="E50" s="113">
        <f>SUMIFS(All_Stats!$I:$I,
All_Stats!$D:$D,$B50,
All_Stats!$B:$B,"&gt;="&amp;EOMONTH($A50,-1)+1,
All_Stats!$B:$B,"&lt;"&amp;EOMONTH($A50,0)+1,
All_Stats!$P:$P,"&lt;&gt;Email Marketing"
)</f>
        <v>0</v>
      </c>
      <c r="F50" s="132" t="str">
        <f t="shared" si="7"/>
        <v>N/A</v>
      </c>
      <c r="G50" s="131">
        <f>SUMIFS(All_Stats!$H:$H,
All_Stats!$D:$D,$B50,
All_Stats!$B:$B,"&gt;="&amp;EOMONTH($A50,-1)+1,
All_Stats!$B:$B,"&lt;"&amp;EOMONTH($A50,0)+1,
All_Stats!$P:$P,"&lt;&gt;Email Marketing"
)</f>
        <v>0</v>
      </c>
      <c r="H50" s="113">
        <f>SUMIFS(All_Stats!$K:$K,
All_Stats!$D:$D,$B50,
All_Stats!$B:$B,"&gt;="&amp;EOMONTH($A50,-1)+1,
All_Stats!$B:$B,"&lt;"&amp;EOMONTH($A50,0)+1,
All_Stats!$P:$P,"&lt;&gt;Email Marketing"
)</f>
        <v>0</v>
      </c>
      <c r="I50" s="152">
        <f>IFERROR(__xludf.DUMMYFUNCTION("COUNTUNIQUEIFS(All_Stats!A:A,
All_Stats!$D:$D,$B50,
All_Stats!$B:$B,""&gt;=""&amp;EOMONTH($A50,-1)+1,
All_Stats!$B:$B,""&lt;""&amp;EOMONTH($A50,0)+1,
All_Stats!$P:$P,""&lt;&gt;Email Marketing""
)"),0.0)</f>
        <v>0</v>
      </c>
    </row>
    <row r="51" hidden="1">
      <c r="A51" s="128">
        <v>44317.0</v>
      </c>
      <c r="B51" s="131" t="s">
        <v>506</v>
      </c>
      <c r="C51" s="134" t="str">
        <f>if(ifna(VLOOKUP(B51,'Vendor Directory'!A:C,3,0),"NOT FOUND")="","NOT FOUND",VLOOKUP(B51,'Vendor Directory'!A:C,3,0))</f>
        <v>#N/A</v>
      </c>
      <c r="D51" s="131">
        <f>SUMIFS(All_Stats!$G:$G,
All_Stats!$D:$D,$B51,
All_Stats!$B:$B,"&gt;="&amp;EOMONTH($A51,-1)+1,
All_Stats!$B:$B,"&lt;"&amp;EOMONTH($A51,0)+1,
All_Stats!$P:$P,"&lt;&gt;Email Marketing"
)</f>
        <v>0</v>
      </c>
      <c r="E51" s="113">
        <f>SUMIFS(All_Stats!$I:$I,
All_Stats!$D:$D,$B51,
All_Stats!$B:$B,"&gt;="&amp;EOMONTH($A51,-1)+1,
All_Stats!$B:$B,"&lt;"&amp;EOMONTH($A51,0)+1,
All_Stats!$P:$P,"&lt;&gt;Email Marketing"
)</f>
        <v>0</v>
      </c>
      <c r="F51" s="132" t="str">
        <f t="shared" si="7"/>
        <v>N/A</v>
      </c>
      <c r="G51" s="131">
        <f>SUMIFS(All_Stats!$H:$H,
All_Stats!$D:$D,$B51,
All_Stats!$B:$B,"&gt;="&amp;EOMONTH($A51,-1)+1,
All_Stats!$B:$B,"&lt;"&amp;EOMONTH($A51,0)+1,
All_Stats!$P:$P,"&lt;&gt;Email Marketing"
)</f>
        <v>0</v>
      </c>
      <c r="H51" s="113">
        <f>SUMIFS(All_Stats!$K:$K,
All_Stats!$D:$D,$B51,
All_Stats!$B:$B,"&gt;="&amp;EOMONTH($A51,-1)+1,
All_Stats!$B:$B,"&lt;"&amp;EOMONTH($A51,0)+1,
All_Stats!$P:$P,"&lt;&gt;Email Marketing"
)</f>
        <v>0</v>
      </c>
      <c r="I51" s="152">
        <f>IFERROR(__xludf.DUMMYFUNCTION("COUNTUNIQUEIFS(All_Stats!A:A,
All_Stats!$D:$D,$B51,
All_Stats!$B:$B,""&gt;=""&amp;EOMONTH($A51,-1)+1,
All_Stats!$B:$B,""&lt;""&amp;EOMONTH($A51,0)+1,
All_Stats!$P:$P,""&lt;&gt;Email Marketing""
)"),0.0)</f>
        <v>0</v>
      </c>
    </row>
    <row r="52" hidden="1">
      <c r="A52" s="128">
        <v>44317.0</v>
      </c>
      <c r="B52" s="131" t="s">
        <v>507</v>
      </c>
      <c r="C52" s="134" t="str">
        <f>if(ifna(VLOOKUP(B52,'Vendor Directory'!A:C,3,0),"NOT FOUND")="","NOT FOUND",VLOOKUP(B52,'Vendor Directory'!A:C,3,0))</f>
        <v>#N/A</v>
      </c>
      <c r="D52" s="131">
        <f>SUMIFS(All_Stats!$G:$G,
All_Stats!$D:$D,$B52,
All_Stats!$B:$B,"&gt;="&amp;EOMONTH($A52,-1)+1,
All_Stats!$B:$B,"&lt;"&amp;EOMONTH($A52,0)+1,
All_Stats!$P:$P,"&lt;&gt;Email Marketing"
)</f>
        <v>0</v>
      </c>
      <c r="E52" s="113">
        <f>SUMIFS(All_Stats!$I:$I,
All_Stats!$D:$D,$B52,
All_Stats!$B:$B,"&gt;="&amp;EOMONTH($A52,-1)+1,
All_Stats!$B:$B,"&lt;"&amp;EOMONTH($A52,0)+1,
All_Stats!$P:$P,"&lt;&gt;Email Marketing"
)</f>
        <v>0</v>
      </c>
      <c r="F52" s="132" t="str">
        <f t="shared" si="7"/>
        <v>N/A</v>
      </c>
      <c r="G52" s="131">
        <f>SUMIFS(All_Stats!$H:$H,
All_Stats!$D:$D,$B52,
All_Stats!$B:$B,"&gt;="&amp;EOMONTH($A52,-1)+1,
All_Stats!$B:$B,"&lt;"&amp;EOMONTH($A52,0)+1,
All_Stats!$P:$P,"&lt;&gt;Email Marketing"
)</f>
        <v>0</v>
      </c>
      <c r="H52" s="113">
        <f>SUMIFS(All_Stats!$K:$K,
All_Stats!$D:$D,$B52,
All_Stats!$B:$B,"&gt;="&amp;EOMONTH($A52,-1)+1,
All_Stats!$B:$B,"&lt;"&amp;EOMONTH($A52,0)+1,
All_Stats!$P:$P,"&lt;&gt;Email Marketing"
)</f>
        <v>0</v>
      </c>
      <c r="I52" s="152">
        <f>IFERROR(__xludf.DUMMYFUNCTION("COUNTUNIQUEIFS(All_Stats!A:A,
All_Stats!$D:$D,$B52,
All_Stats!$B:$B,""&gt;=""&amp;EOMONTH($A52,-1)+1,
All_Stats!$B:$B,""&lt;""&amp;EOMONTH($A52,0)+1,
All_Stats!$P:$P,""&lt;&gt;Email Marketing""
)"),0.0)</f>
        <v>0</v>
      </c>
    </row>
    <row r="53" hidden="1">
      <c r="A53" s="128">
        <v>44317.0</v>
      </c>
      <c r="B53" s="131" t="s">
        <v>508</v>
      </c>
      <c r="C53" s="134" t="str">
        <f>if(ifna(VLOOKUP(B53,'Vendor Directory'!A:C,3,0),"NOT FOUND")="","NOT FOUND",VLOOKUP(B53,'Vendor Directory'!A:C,3,0))</f>
        <v>#N/A</v>
      </c>
      <c r="D53" s="131">
        <f>SUMIFS(All_Stats!$G:$G,
All_Stats!$D:$D,$B53,
All_Stats!$B:$B,"&gt;="&amp;EOMONTH($A53,-1)+1,
All_Stats!$B:$B,"&lt;"&amp;EOMONTH($A53,0)+1,
All_Stats!$P:$P,"&lt;&gt;Email Marketing"
)</f>
        <v>0</v>
      </c>
      <c r="E53" s="113">
        <f>SUMIFS(All_Stats!$I:$I,
All_Stats!$D:$D,$B53,
All_Stats!$B:$B,"&gt;="&amp;EOMONTH($A53,-1)+1,
All_Stats!$B:$B,"&lt;"&amp;EOMONTH($A53,0)+1,
All_Stats!$P:$P,"&lt;&gt;Email Marketing"
)</f>
        <v>0</v>
      </c>
      <c r="F53" s="132" t="str">
        <f t="shared" si="7"/>
        <v>N/A</v>
      </c>
      <c r="G53" s="131">
        <f>SUMIFS(All_Stats!$H:$H,
All_Stats!$D:$D,$B53,
All_Stats!$B:$B,"&gt;="&amp;EOMONTH($A53,-1)+1,
All_Stats!$B:$B,"&lt;"&amp;EOMONTH($A53,0)+1,
All_Stats!$P:$P,"&lt;&gt;Email Marketing"
)</f>
        <v>0</v>
      </c>
      <c r="H53" s="113">
        <f>SUMIFS(All_Stats!$K:$K,
All_Stats!$D:$D,$B53,
All_Stats!$B:$B,"&gt;="&amp;EOMONTH($A53,-1)+1,
All_Stats!$B:$B,"&lt;"&amp;EOMONTH($A53,0)+1,
All_Stats!$P:$P,"&lt;&gt;Email Marketing"
)</f>
        <v>0</v>
      </c>
      <c r="I53" s="152">
        <f>IFERROR(__xludf.DUMMYFUNCTION("COUNTUNIQUEIFS(All_Stats!A:A,
All_Stats!$D:$D,$B53,
All_Stats!$B:$B,""&gt;=""&amp;EOMONTH($A53,-1)+1,
All_Stats!$B:$B,""&lt;""&amp;EOMONTH($A53,0)+1,
All_Stats!$P:$P,""&lt;&gt;Email Marketing""
)"),0.0)</f>
        <v>0</v>
      </c>
    </row>
    <row r="54" hidden="1">
      <c r="A54" s="128">
        <v>44317.0</v>
      </c>
      <c r="B54" s="131" t="s">
        <v>509</v>
      </c>
      <c r="C54" s="134" t="str">
        <f>if(ifna(VLOOKUP(B54,'Vendor Directory'!A:C,3,0),"NOT FOUND")="","NOT FOUND",VLOOKUP(B54,'Vendor Directory'!A:C,3,0))</f>
        <v>#N/A</v>
      </c>
      <c r="D54" s="131">
        <f>SUMIFS(All_Stats!$G:$G,
All_Stats!$D:$D,$B54,
All_Stats!$B:$B,"&gt;="&amp;EOMONTH($A54,-1)+1,
All_Stats!$B:$B,"&lt;"&amp;EOMONTH($A54,0)+1,
All_Stats!$P:$P,"&lt;&gt;Email Marketing"
)</f>
        <v>0</v>
      </c>
      <c r="E54" s="113">
        <f>SUMIFS(All_Stats!$I:$I,
All_Stats!$D:$D,$B54,
All_Stats!$B:$B,"&gt;="&amp;EOMONTH($A54,-1)+1,
All_Stats!$B:$B,"&lt;"&amp;EOMONTH($A54,0)+1,
All_Stats!$P:$P,"&lt;&gt;Email Marketing"
)</f>
        <v>0</v>
      </c>
      <c r="F54" s="132" t="str">
        <f t="shared" si="7"/>
        <v>N/A</v>
      </c>
      <c r="G54" s="131">
        <f>SUMIFS(All_Stats!$H:$H,
All_Stats!$D:$D,$B54,
All_Stats!$B:$B,"&gt;="&amp;EOMONTH($A54,-1)+1,
All_Stats!$B:$B,"&lt;"&amp;EOMONTH($A54,0)+1,
All_Stats!$P:$P,"&lt;&gt;Email Marketing"
)</f>
        <v>0</v>
      </c>
      <c r="H54" s="113">
        <f>SUMIFS(All_Stats!$K:$K,
All_Stats!$D:$D,$B54,
All_Stats!$B:$B,"&gt;="&amp;EOMONTH($A54,-1)+1,
All_Stats!$B:$B,"&lt;"&amp;EOMONTH($A54,0)+1,
All_Stats!$P:$P,"&lt;&gt;Email Marketing"
)</f>
        <v>0</v>
      </c>
      <c r="I54" s="152">
        <f>IFERROR(__xludf.DUMMYFUNCTION("COUNTUNIQUEIFS(All_Stats!A:A,
All_Stats!$D:$D,$B54,
All_Stats!$B:$B,""&gt;=""&amp;EOMONTH($A54,-1)+1,
All_Stats!$B:$B,""&lt;""&amp;EOMONTH($A54,0)+1,
All_Stats!$P:$P,""&lt;&gt;Email Marketing""
)"),0.0)</f>
        <v>0</v>
      </c>
    </row>
    <row r="55" hidden="1">
      <c r="A55" s="128">
        <v>44317.0</v>
      </c>
      <c r="B55" s="131" t="s">
        <v>510</v>
      </c>
      <c r="C55" s="134" t="str">
        <f>if(ifna(VLOOKUP(B55,'Vendor Directory'!A:C,3,0),"NOT FOUND")="","NOT FOUND",VLOOKUP(B55,'Vendor Directory'!A:C,3,0))</f>
        <v>#N/A</v>
      </c>
      <c r="D55" s="131">
        <f>SUMIFS(All_Stats!$G:$G,
All_Stats!$D:$D,$B55,
All_Stats!$B:$B,"&gt;="&amp;EOMONTH($A55,-1)+1,
All_Stats!$B:$B,"&lt;"&amp;EOMONTH($A55,0)+1,
All_Stats!$P:$P,"&lt;&gt;Email Marketing"
)</f>
        <v>0</v>
      </c>
      <c r="E55" s="113">
        <f>SUMIFS(All_Stats!$I:$I,
All_Stats!$D:$D,$B55,
All_Stats!$B:$B,"&gt;="&amp;EOMONTH($A55,-1)+1,
All_Stats!$B:$B,"&lt;"&amp;EOMONTH($A55,0)+1,
All_Stats!$P:$P,"&lt;&gt;Email Marketing"
)</f>
        <v>0</v>
      </c>
      <c r="F55" s="132" t="str">
        <f t="shared" si="7"/>
        <v>N/A</v>
      </c>
      <c r="G55" s="131">
        <f>SUMIFS(All_Stats!$H:$H,
All_Stats!$D:$D,$B55,
All_Stats!$B:$B,"&gt;="&amp;EOMONTH($A55,-1)+1,
All_Stats!$B:$B,"&lt;"&amp;EOMONTH($A55,0)+1,
All_Stats!$P:$P,"&lt;&gt;Email Marketing"
)</f>
        <v>0</v>
      </c>
      <c r="H55" s="113">
        <f>SUMIFS(All_Stats!$K:$K,
All_Stats!$D:$D,$B55,
All_Stats!$B:$B,"&gt;="&amp;EOMONTH($A55,-1)+1,
All_Stats!$B:$B,"&lt;"&amp;EOMONTH($A55,0)+1,
All_Stats!$P:$P,"&lt;&gt;Email Marketing"
)</f>
        <v>0</v>
      </c>
      <c r="I55" s="152">
        <f>IFERROR(__xludf.DUMMYFUNCTION("COUNTUNIQUEIFS(All_Stats!A:A,
All_Stats!$D:$D,$B55,
All_Stats!$B:$B,""&gt;=""&amp;EOMONTH($A55,-1)+1,
All_Stats!$B:$B,""&lt;""&amp;EOMONTH($A55,0)+1,
All_Stats!$P:$P,""&lt;&gt;Email Marketing""
)"),0.0)</f>
        <v>0</v>
      </c>
    </row>
    <row r="56" hidden="1">
      <c r="A56" s="128">
        <v>44318.0</v>
      </c>
      <c r="B56" s="131" t="s">
        <v>511</v>
      </c>
      <c r="C56" s="134" t="str">
        <f>if(ifna(VLOOKUP(B56,'Vendor Directory'!A:C,3,0),"NOT FOUND")="","NOT FOUND",VLOOKUP(B56,'Vendor Directory'!A:C,3,0))</f>
        <v>#N/A</v>
      </c>
      <c r="D56" s="131">
        <f>SUMIFS(All_Stats!$G:$G,
All_Stats!$D:$D,$B56,
All_Stats!$B:$B,"&gt;="&amp;EOMONTH($A56,-1)+1,
All_Stats!$B:$B,"&lt;"&amp;EOMONTH($A56,0)+1,
All_Stats!$P:$P,"&lt;&gt;Email Marketing"
)</f>
        <v>0</v>
      </c>
      <c r="E56" s="113">
        <f>SUMIFS(All_Stats!$I:$I,
All_Stats!$D:$D,$B56,
All_Stats!$B:$B,"&gt;="&amp;EOMONTH($A56,-1)+1,
All_Stats!$B:$B,"&lt;"&amp;EOMONTH($A56,0)+1,
All_Stats!$P:$P,"&lt;&gt;Email Marketing"
)</f>
        <v>0</v>
      </c>
      <c r="F56" s="132" t="str">
        <f t="shared" si="7"/>
        <v>N/A</v>
      </c>
      <c r="G56" s="131">
        <f>SUMIFS(All_Stats!$H:$H,
All_Stats!$D:$D,$B56,
All_Stats!$B:$B,"&gt;="&amp;EOMONTH($A56,-1)+1,
All_Stats!$B:$B,"&lt;"&amp;EOMONTH($A56,0)+1,
All_Stats!$P:$P,"&lt;&gt;Email Marketing"
)</f>
        <v>0</v>
      </c>
      <c r="H56" s="113">
        <f>SUMIFS(All_Stats!$K:$K,
All_Stats!$D:$D,$B56,
All_Stats!$B:$B,"&gt;="&amp;EOMONTH($A56,-1)+1,
All_Stats!$B:$B,"&lt;"&amp;EOMONTH($A56,0)+1,
All_Stats!$P:$P,"&lt;&gt;Email Marketing"
)</f>
        <v>0</v>
      </c>
      <c r="I56" s="152">
        <f>IFERROR(__xludf.DUMMYFUNCTION("COUNTUNIQUEIFS(All_Stats!A:A,
All_Stats!$D:$D,$B56,
All_Stats!$B:$B,""&gt;=""&amp;EOMONTH($A56,-1)+1,
All_Stats!$B:$B,""&lt;""&amp;EOMONTH($A56,0)+1,
All_Stats!$P:$P,""&lt;&gt;Email Marketing""
)"),0.0)</f>
        <v>0</v>
      </c>
    </row>
    <row r="57" hidden="1">
      <c r="A57" s="135"/>
      <c r="B57" s="135"/>
      <c r="C57" s="136" t="s">
        <v>23</v>
      </c>
      <c r="D57" s="137">
        <f t="shared" ref="D57:E57" si="8">SUM(D32:D55)</f>
        <v>0</v>
      </c>
      <c r="E57" s="137">
        <f t="shared" si="8"/>
        <v>0</v>
      </c>
      <c r="F57" s="138" t="str">
        <f t="shared" si="7"/>
        <v>N/A</v>
      </c>
      <c r="G57" s="137">
        <f t="shared" ref="G57:H57" si="9">SUM(G32:G55)</f>
        <v>0</v>
      </c>
      <c r="H57" s="137">
        <f t="shared" si="9"/>
        <v>0</v>
      </c>
      <c r="I57" s="158">
        <f>IFERROR(__xludf.DUMMYFUNCTION("COUNTUNIQUEIFS(All_Stats!A:A,
All_Stats!$B:$B,""&gt;=""&amp;EOMONTH($A32,-1)+1,
All_Stats!$B:$B,""&lt;""&amp;EOMONTH($A32,0)+1,
All_Stats!$P:$P,""&lt;&gt;Email Marketing""
)"),0.0)</f>
        <v>0</v>
      </c>
    </row>
    <row r="58" hidden="1">
      <c r="A58" s="131"/>
      <c r="B58" s="131"/>
      <c r="C58" s="131"/>
      <c r="D58" s="140"/>
      <c r="F58" s="131"/>
      <c r="G58" s="131"/>
    </row>
    <row r="59" hidden="1">
      <c r="C59" s="118" t="s">
        <v>484</v>
      </c>
      <c r="D59" s="119"/>
      <c r="E59" s="119"/>
      <c r="F59" s="119"/>
      <c r="G59" s="119"/>
      <c r="H59" s="119"/>
      <c r="I59" s="159"/>
    </row>
    <row r="60" hidden="1">
      <c r="A60" s="121" t="s">
        <v>1</v>
      </c>
      <c r="B60" s="122" t="s">
        <v>485</v>
      </c>
      <c r="C60" s="123" t="s">
        <v>486</v>
      </c>
      <c r="D60" s="124" t="s">
        <v>6</v>
      </c>
      <c r="E60" s="125" t="s">
        <v>8</v>
      </c>
      <c r="F60" s="124" t="s">
        <v>479</v>
      </c>
      <c r="G60" s="126" t="s">
        <v>7</v>
      </c>
      <c r="H60" s="125" t="s">
        <v>10</v>
      </c>
      <c r="I60" s="160" t="s">
        <v>487</v>
      </c>
    </row>
    <row r="61" hidden="1">
      <c r="A61" s="128">
        <v>44348.0</v>
      </c>
      <c r="B61" s="131" t="s">
        <v>164</v>
      </c>
      <c r="C61" s="134" t="str">
        <f>if(ifna(VLOOKUP(B61,'Vendor Directory'!A:C,3,0),"NOT FOUND")="","NOT FOUND",VLOOKUP(B61,'Vendor Directory'!A:C,3,0))</f>
        <v>#N/A</v>
      </c>
      <c r="D61" s="131">
        <f>SUMIFS(All_Stats!$G:$G,
All_Stats!$D:$D,$B61,
All_Stats!$B:$B,"&gt;="&amp;EOMONTH($A61,-1)+1,
All_Stats!$B:$B,"&lt;"&amp;EOMONTH($A61,0)+1,
All_Stats!$P:$P,"Email Marketing"
)</f>
        <v>0</v>
      </c>
      <c r="E61" s="113">
        <f>SUMIFS(All_Stats!$I:$I,
All_Stats!$D:$D,$B61,
All_Stats!$B:$B,"&gt;="&amp;EOMONTH($A61,-1)+1,
All_Stats!$B:$B,"&lt;"&amp;EOMONTH($A61,0)+1,
All_Stats!$P:$P,"Email Marketing"
)</f>
        <v>0</v>
      </c>
      <c r="F61" s="132" t="str">
        <f t="shared" ref="F61:F64" si="10">iferror(E61/D61,"N/A")</f>
        <v>N/A</v>
      </c>
      <c r="G61" s="131">
        <f>SUMIFS(All_Stats!$H:$H,
All_Stats!$D:$D,$B61,
All_Stats!$B:$B,"&gt;="&amp;EOMONTH($A61,-1)+1,
All_Stats!$B:$B,"&lt;"&amp;EOMONTH($A61,0)+1,
All_Stats!$P:$P,"Email Marketing"
)</f>
        <v>0</v>
      </c>
      <c r="H61" s="113">
        <f>SUMIFS(All_Stats!$K:$K,
All_Stats!$D:$D,$B61,
All_Stats!$B:$B,"&gt;="&amp;EOMONTH($A61,-1)+1,
All_Stats!$B:$B,"&lt;"&amp;EOMONTH($A61,0)+1,
All_Stats!$P:$P,"Email Marketing"
)</f>
        <v>0</v>
      </c>
      <c r="I61" s="152">
        <f>IFERROR(__xludf.DUMMYFUNCTION("COUNTUNIQUEIFS(All_Stats!A:A,
All_Stats!$D:$D,$B61,
All_Stats!$B:$B,""&gt;=""&amp;EOMONTH($A61,-1)+1,
All_Stats!$B:$B,""&lt;""&amp;EOMONTH($A61,0)+1,
All_Stats!$P:$P,""Email Marketing""
)"),0.0)</f>
        <v>0</v>
      </c>
    </row>
    <row r="62" hidden="1">
      <c r="A62" s="128">
        <v>44348.0</v>
      </c>
      <c r="B62" s="131" t="s">
        <v>172</v>
      </c>
      <c r="C62" s="134" t="str">
        <f>if(ifna(VLOOKUP(B62,'Vendor Directory'!A:C,3,0),"NOT FOUND")="","NOT FOUND",VLOOKUP(B62,'Vendor Directory'!A:C,3,0))</f>
        <v>#N/A</v>
      </c>
      <c r="D62" s="131">
        <f>SUMIFS(All_Stats!$G:$G,
All_Stats!$D:$D,$B62,
All_Stats!$B:$B,"&gt;="&amp;EOMONTH($A62,-1)+1,
All_Stats!$B:$B,"&lt;"&amp;EOMONTH($A62,0)+1,
All_Stats!$P:$P,"Email Marketing"
)</f>
        <v>0</v>
      </c>
      <c r="E62" s="113">
        <f>SUMIFS(All_Stats!$I:$I,
All_Stats!$D:$D,$B62,
All_Stats!$B:$B,"&gt;="&amp;EOMONTH($A62,-1)+1,
All_Stats!$B:$B,"&lt;"&amp;EOMONTH($A62,0)+1,
All_Stats!$P:$P,"Email Marketing"
)</f>
        <v>0</v>
      </c>
      <c r="F62" s="132" t="str">
        <f t="shared" si="10"/>
        <v>N/A</v>
      </c>
      <c r="G62" s="131">
        <f>SUMIFS(All_Stats!$H:$H,
All_Stats!$D:$D,$B62,
All_Stats!$B:$B,"&gt;="&amp;EOMONTH($A62,-1)+1,
All_Stats!$B:$B,"&lt;"&amp;EOMONTH($A62,0)+1,
All_Stats!$P:$P,"Email Marketing"
)</f>
        <v>0</v>
      </c>
      <c r="H62" s="113">
        <f>SUMIFS(All_Stats!$K:$K,
All_Stats!$D:$D,$B62,
All_Stats!$B:$B,"&gt;="&amp;EOMONTH($A62,-1)+1,
All_Stats!$B:$B,"&lt;"&amp;EOMONTH($A62,0)+1,
All_Stats!$P:$P,"Email Marketing"
)</f>
        <v>0</v>
      </c>
      <c r="I62" s="152">
        <f>IFERROR(__xludf.DUMMYFUNCTION("COUNTUNIQUEIFS(All_Stats!A:A,
All_Stats!$D:$D,$B62,
All_Stats!$B:$B,""&gt;=""&amp;EOMONTH($A62,-1)+1,
All_Stats!$B:$B,""&lt;""&amp;EOMONTH($A62,0)+1,
All_Stats!$P:$P,""Email Marketing""
)"),0.0)</f>
        <v>0</v>
      </c>
    </row>
    <row r="63" hidden="1">
      <c r="A63" s="128">
        <v>44348.0</v>
      </c>
      <c r="B63" s="131" t="s">
        <v>452</v>
      </c>
      <c r="C63" s="134" t="str">
        <f>if(ifna(VLOOKUP(B63,'Vendor Directory'!A:C,3,0),"NOT FOUND")="","NOT FOUND",VLOOKUP(B63,'Vendor Directory'!A:C,3,0))</f>
        <v>#N/A</v>
      </c>
      <c r="D63" s="131">
        <f>SUMIFS(All_Stats!$G:$G,
All_Stats!$D:$D,$B63,
All_Stats!$B:$B,"&gt;="&amp;EOMONTH($A63,-1)+1,
All_Stats!$B:$B,"&lt;"&amp;EOMONTH($A63,0)+1,
All_Stats!$P:$P,"Email Marketing"
)</f>
        <v>0</v>
      </c>
      <c r="E63" s="113">
        <f>SUMIFS(All_Stats!$I:$I,
All_Stats!$D:$D,$B63,
All_Stats!$B:$B,"&gt;="&amp;EOMONTH($A63,-1)+1,
All_Stats!$B:$B,"&lt;"&amp;EOMONTH($A63,0)+1,
All_Stats!$P:$P,"Email Marketing"
)</f>
        <v>0</v>
      </c>
      <c r="F63" s="132" t="str">
        <f t="shared" si="10"/>
        <v>N/A</v>
      </c>
      <c r="G63" s="131">
        <f>SUMIFS(All_Stats!$H:$H,
All_Stats!$D:$D,$B63,
All_Stats!$B:$B,"&gt;="&amp;EOMONTH($A63,-1)+1,
All_Stats!$B:$B,"&lt;"&amp;EOMONTH($A63,0)+1,
All_Stats!$P:$P,"Email Marketing"
)</f>
        <v>0</v>
      </c>
      <c r="H63" s="113">
        <f>SUMIFS(All_Stats!$K:$K,
All_Stats!$D:$D,$B63,
All_Stats!$B:$B,"&gt;="&amp;EOMONTH($A63,-1)+1,
All_Stats!$B:$B,"&lt;"&amp;EOMONTH($A63,0)+1,
All_Stats!$P:$P,"Email Marketing"
)</f>
        <v>0</v>
      </c>
      <c r="I63" s="152">
        <f>IFERROR(__xludf.DUMMYFUNCTION("COUNTUNIQUEIFS(All_Stats!A:A,
All_Stats!$D:$D,$B63,
All_Stats!$B:$B,""&gt;=""&amp;EOMONTH($A63,-1)+1,
All_Stats!$B:$B,""&lt;""&amp;EOMONTH($A63,0)+1,
All_Stats!$P:$P,""Email Marketing""
)"),0.0)</f>
        <v>0</v>
      </c>
    </row>
    <row r="64" hidden="1">
      <c r="A64" s="135"/>
      <c r="B64" s="135"/>
      <c r="C64" s="136" t="s">
        <v>23</v>
      </c>
      <c r="D64" s="137">
        <f t="shared" ref="D64:E64" si="11">SUM(D61:D63)</f>
        <v>0</v>
      </c>
      <c r="E64" s="137">
        <f t="shared" si="11"/>
        <v>0</v>
      </c>
      <c r="F64" s="138" t="str">
        <f t="shared" si="10"/>
        <v>N/A</v>
      </c>
      <c r="G64" s="137">
        <f t="shared" ref="G64:I64" si="12">SUM(G61:G63)</f>
        <v>0</v>
      </c>
      <c r="H64" s="137">
        <f t="shared" si="12"/>
        <v>0</v>
      </c>
      <c r="I64" s="137">
        <f t="shared" si="12"/>
        <v>0</v>
      </c>
    </row>
    <row r="65" hidden="1">
      <c r="A65" s="131"/>
      <c r="B65" s="131"/>
      <c r="C65" s="131"/>
      <c r="D65" s="140"/>
      <c r="F65" s="131"/>
      <c r="G65" s="131"/>
    </row>
    <row r="66" hidden="1">
      <c r="C66" s="118" t="s">
        <v>504</v>
      </c>
      <c r="D66" s="119"/>
      <c r="E66" s="119"/>
      <c r="F66" s="119"/>
      <c r="G66" s="119"/>
      <c r="H66" s="119"/>
      <c r="I66" s="159"/>
    </row>
    <row r="67" hidden="1">
      <c r="A67" s="121" t="s">
        <v>1</v>
      </c>
      <c r="B67" s="122" t="s">
        <v>485</v>
      </c>
      <c r="C67" s="123" t="s">
        <v>486</v>
      </c>
      <c r="D67" s="124" t="s">
        <v>6</v>
      </c>
      <c r="E67" s="125" t="s">
        <v>8</v>
      </c>
      <c r="F67" s="124" t="s">
        <v>479</v>
      </c>
      <c r="G67" s="126" t="s">
        <v>7</v>
      </c>
      <c r="H67" s="125" t="s">
        <v>10</v>
      </c>
      <c r="I67" s="160" t="s">
        <v>487</v>
      </c>
    </row>
    <row r="68" hidden="1">
      <c r="A68" s="128">
        <v>44348.0</v>
      </c>
      <c r="B68" s="131" t="s">
        <v>127</v>
      </c>
      <c r="C68" s="134" t="str">
        <f>if(ifna(VLOOKUP(B68,'Vendor Directory'!A:C,3,0),"NOT FOUND")="","NOT FOUND",VLOOKUP(B68,'Vendor Directory'!A:C,3,0))</f>
        <v>#N/A</v>
      </c>
      <c r="D68" s="161">
        <v>673.0</v>
      </c>
      <c r="E68" s="162">
        <v>141.0</v>
      </c>
      <c r="F68" s="132">
        <f t="shared" ref="F68:F88" si="13">iferror(E68/D68,"N/A")</f>
        <v>0.2095096582</v>
      </c>
      <c r="G68" s="129">
        <v>532.0</v>
      </c>
      <c r="H68" s="113">
        <f>SUMIFS(All_Stats!$K:$K,
All_Stats!$D:$D,$B68,
All_Stats!$B:$B,"&gt;="&amp;EOMONTH($A68,-1)+1,
All_Stats!$B:$B,"&lt;"&amp;EOMONTH($A68,0)+1,
All_Stats!$P:$P,"&lt;&gt;Email Marketing"
)</f>
        <v>0</v>
      </c>
      <c r="I68" s="152">
        <f>IFERROR(__xludf.DUMMYFUNCTION("COUNTUNIQUEIFS(All_Stats!A:A,
All_Stats!$D:$D,$B68,
All_Stats!$B:$B,""&gt;=""&amp;EOMONTH($A68,-1)+1,
All_Stats!$B:$B,""&lt;""&amp;EOMONTH($A68,0)+1,
All_Stats!$P:$P,""&lt;&gt;Email Marketing""
)"),0.0)</f>
        <v>0</v>
      </c>
      <c r="J68" s="113"/>
      <c r="K68" s="113">
        <f>IFERROR(__xludf.DUMMYFUNCTION("COUNTUNIQUEIFS(All_Stats!A:A,
All_Stats!$B:$B,""&gt;=""&amp;EOMONTH($A68,-1)+1,
All_Stats!$B:$B,""&lt;""&amp;EOMONTH($A68,0)+1)"),0.0)</f>
        <v>0</v>
      </c>
      <c r="L68" s="113"/>
    </row>
    <row r="69" hidden="1">
      <c r="A69" s="128">
        <v>44348.0</v>
      </c>
      <c r="B69" s="131" t="s">
        <v>157</v>
      </c>
      <c r="C69" s="134" t="str">
        <f>if(ifna(VLOOKUP(B69,'Vendor Directory'!A:C,3,0),"NOT FOUND")="","NOT FOUND",VLOOKUP(B69,'Vendor Directory'!A:C,3,0))</f>
        <v>#N/A</v>
      </c>
      <c r="D69" s="131">
        <f>SUMIFS(All_Stats!$G:$G,
All_Stats!$D:$D,$B69,
All_Stats!$B:$B,"&gt;="&amp;EOMONTH($A69,-1)+1,
All_Stats!$B:$B,"&lt;"&amp;EOMONTH($A69,0)+1,
All_Stats!$P:$P,"&lt;&gt;Email Marketing"
)</f>
        <v>0</v>
      </c>
      <c r="E69" s="113">
        <f>SUMIFS(All_Stats!$I:$I,
All_Stats!$D:$D,$B69,
All_Stats!$B:$B,"&gt;="&amp;EOMONTH($A69,-1)+1,
All_Stats!$B:$B,"&lt;"&amp;EOMONTH($A69,0)+1,
All_Stats!$P:$P,"&lt;&gt;Email Marketing"
)</f>
        <v>0</v>
      </c>
      <c r="F69" s="132" t="str">
        <f t="shared" si="13"/>
        <v>N/A</v>
      </c>
      <c r="G69" s="131">
        <f>SUMIFS(All_Stats!$H:$H,
All_Stats!$D:$D,$B69,
All_Stats!$B:$B,"&gt;="&amp;EOMONTH($A69,-1)+1,
All_Stats!$B:$B,"&lt;"&amp;EOMONTH($A69,0)+1,
All_Stats!$P:$P,"&lt;&gt;Email Marketing"
)</f>
        <v>0</v>
      </c>
      <c r="H69" s="113">
        <f>SUMIFS(All_Stats!$K:$K,
All_Stats!$D:$D,$B69,
All_Stats!$B:$B,"&gt;="&amp;EOMONTH($A69,-1)+1,
All_Stats!$B:$B,"&lt;"&amp;EOMONTH($A69,0)+1,
All_Stats!$P:$P,"&lt;&gt;Email Marketing"
)</f>
        <v>0</v>
      </c>
      <c r="I69" s="152">
        <f>IFERROR(__xludf.DUMMYFUNCTION("COUNTUNIQUEIFS(All_Stats!A:A,
All_Stats!$D:$D,$B69,
All_Stats!$B:$B,""&gt;=""&amp;EOMONTH($A69,-1)+1,
All_Stats!$B:$B,""&lt;""&amp;EOMONTH($A69,0)+1,
All_Stats!$P:$P,""&lt;&gt;Email Marketing""
)"),0.0)</f>
        <v>0</v>
      </c>
    </row>
    <row r="70" hidden="1">
      <c r="A70" s="128">
        <v>44348.0</v>
      </c>
      <c r="B70" s="131" t="s">
        <v>30</v>
      </c>
      <c r="C70" s="134" t="str">
        <f>if(ifna(VLOOKUP(B70,'Vendor Directory'!A:C,3,0),"NOT FOUND")="","NOT FOUND",VLOOKUP(B70,'Vendor Directory'!A:C,3,0))</f>
        <v>Vendor 2 Name</v>
      </c>
      <c r="D70" s="131">
        <f>SUMIFS(All_Stats!$G:$G,
All_Stats!$D:$D,$B70,
All_Stats!$B:$B,"&gt;="&amp;EOMONTH($A70,-1)+1,
All_Stats!$B:$B,"&lt;"&amp;EOMONTH($A70,0)+1,
All_Stats!$P:$P,"&lt;&gt;Email Marketing"
)</f>
        <v>0</v>
      </c>
      <c r="E70" s="113">
        <f>SUMIFS(All_Stats!$I:$I,
All_Stats!$D:$D,$B70,
All_Stats!$B:$B,"&gt;="&amp;EOMONTH($A70,-1)+1,
All_Stats!$B:$B,"&lt;"&amp;EOMONTH($A70,0)+1,
All_Stats!$P:$P,"&lt;&gt;Email Marketing"
)</f>
        <v>0</v>
      </c>
      <c r="F70" s="132" t="str">
        <f t="shared" si="13"/>
        <v>N/A</v>
      </c>
      <c r="G70" s="131">
        <f>SUMIFS(All_Stats!$H:$H,
All_Stats!$D:$D,$B70,
All_Stats!$B:$B,"&gt;="&amp;EOMONTH($A70,-1)+1,
All_Stats!$B:$B,"&lt;"&amp;EOMONTH($A70,0)+1,
All_Stats!$P:$P,"&lt;&gt;Email Marketing"
)</f>
        <v>0</v>
      </c>
      <c r="H70" s="113">
        <f>SUMIFS(All_Stats!$K:$K,
All_Stats!$D:$D,$B70,
All_Stats!$B:$B,"&gt;="&amp;EOMONTH($A70,-1)+1,
All_Stats!$B:$B,"&lt;"&amp;EOMONTH($A70,0)+1,
All_Stats!$P:$P,"&lt;&gt;Email Marketing"
)</f>
        <v>0</v>
      </c>
      <c r="I70" s="152">
        <f>IFERROR(__xludf.DUMMYFUNCTION("COUNTUNIQUEIFS(All_Stats!A:A,
All_Stats!$D:$D,$B70,
All_Stats!$B:$B,""&gt;=""&amp;EOMONTH($A70,-1)+1,
All_Stats!$B:$B,""&lt;""&amp;EOMONTH($A70,0)+1,
All_Stats!$P:$P,""&lt;&gt;Email Marketing""
)"),0.0)</f>
        <v>0</v>
      </c>
    </row>
    <row r="71" hidden="1">
      <c r="A71" s="128">
        <v>44348.0</v>
      </c>
      <c r="B71" s="131" t="s">
        <v>164</v>
      </c>
      <c r="C71" s="134" t="str">
        <f>if(ifna(VLOOKUP(B71,'Vendor Directory'!A:C,3,0),"NOT FOUND")="","NOT FOUND",VLOOKUP(B71,'Vendor Directory'!A:C,3,0))</f>
        <v>#N/A</v>
      </c>
      <c r="D71" s="131">
        <f>SUMIFS(All_Stats!$G:$G,
All_Stats!$D:$D,$B71,
All_Stats!$B:$B,"&gt;="&amp;EOMONTH($A71,-1)+1,
All_Stats!$B:$B,"&lt;"&amp;EOMONTH($A71,0)+1,
All_Stats!$P:$P,"&lt;&gt;Email Marketing"
)</f>
        <v>0</v>
      </c>
      <c r="E71" s="113">
        <f>SUMIFS(All_Stats!$I:$I,
All_Stats!$D:$D,$B71,
All_Stats!$B:$B,"&gt;="&amp;EOMONTH($A71,-1)+1,
All_Stats!$B:$B,"&lt;"&amp;EOMONTH($A71,0)+1,
All_Stats!$P:$P,"&lt;&gt;Email Marketing"
)</f>
        <v>0</v>
      </c>
      <c r="F71" s="132" t="str">
        <f t="shared" si="13"/>
        <v>N/A</v>
      </c>
      <c r="G71" s="131">
        <f>SUMIFS(All_Stats!$H:$H,
All_Stats!$D:$D,$B71,
All_Stats!$B:$B,"&gt;="&amp;EOMONTH($A71,-1)+1,
All_Stats!$B:$B,"&lt;"&amp;EOMONTH($A71,0)+1,
All_Stats!$P:$P,"&lt;&gt;Email Marketing"
)</f>
        <v>0</v>
      </c>
      <c r="H71" s="113">
        <f>SUMIFS(All_Stats!$K:$K,
All_Stats!$D:$D,$B71,
All_Stats!$B:$B,"&gt;="&amp;EOMONTH($A71,-1)+1,
All_Stats!$B:$B,"&lt;"&amp;EOMONTH($A71,0)+1,
All_Stats!$P:$P,"&lt;&gt;Email Marketing"
)</f>
        <v>0</v>
      </c>
      <c r="I71" s="152">
        <f>IFERROR(__xludf.DUMMYFUNCTION("COUNTUNIQUEIFS(All_Stats!A:A,
All_Stats!$D:$D,$B71,
All_Stats!$B:$B,""&gt;=""&amp;EOMONTH($A71,-1)+1,
All_Stats!$B:$B,""&lt;""&amp;EOMONTH($A71,0)+1,
All_Stats!$P:$P,""&lt;&gt;Email Marketing""
)"),0.0)</f>
        <v>0</v>
      </c>
    </row>
    <row r="72" hidden="1">
      <c r="A72" s="128">
        <v>44348.0</v>
      </c>
      <c r="B72" s="131" t="s">
        <v>172</v>
      </c>
      <c r="C72" s="134" t="str">
        <f>if(ifna(VLOOKUP(B72,'Vendor Directory'!A:C,3,0),"NOT FOUND")="","NOT FOUND",VLOOKUP(B72,'Vendor Directory'!A:C,3,0))</f>
        <v>#N/A</v>
      </c>
      <c r="D72" s="131">
        <f>SUMIFS(All_Stats!$G:$G,
All_Stats!$D:$D,$B72,
All_Stats!$B:$B,"&gt;="&amp;EOMONTH($A72,-1)+1,
All_Stats!$B:$B,"&lt;"&amp;EOMONTH($A72,0)+1,
All_Stats!$P:$P,"&lt;&gt;Email Marketing"
)</f>
        <v>0</v>
      </c>
      <c r="E72" s="162">
        <v>557.0</v>
      </c>
      <c r="F72" s="132" t="str">
        <f t="shared" si="13"/>
        <v>N/A</v>
      </c>
      <c r="G72" s="129">
        <v>742.0</v>
      </c>
      <c r="H72" s="113">
        <f>SUMIFS(All_Stats!$K:$K,
All_Stats!$D:$D,$B72,
All_Stats!$B:$B,"&gt;="&amp;EOMONTH($A72,-1)+1,
All_Stats!$B:$B,"&lt;"&amp;EOMONTH($A72,0)+1,
All_Stats!$P:$P,"&lt;&gt;Email Marketing"
)</f>
        <v>0</v>
      </c>
      <c r="I72" s="152">
        <f>IFERROR(__xludf.DUMMYFUNCTION("COUNTUNIQUEIFS(All_Stats!A:A,
All_Stats!$D:$D,$B72,
All_Stats!$B:$B,""&gt;=""&amp;EOMONTH($A72,-1)+1,
All_Stats!$B:$B,""&lt;""&amp;EOMONTH($A72,0)+1,
All_Stats!$P:$P,""&lt;&gt;Email Marketing""
)"),0.0)</f>
        <v>0</v>
      </c>
    </row>
    <row r="73" hidden="1">
      <c r="A73" s="128">
        <v>44348.0</v>
      </c>
      <c r="B73" s="131" t="s">
        <v>496</v>
      </c>
      <c r="C73" s="134" t="str">
        <f>if(ifna(VLOOKUP(B73,'Vendor Directory'!A:C,3,0),"NOT FOUND")="","NOT FOUND",VLOOKUP(B73,'Vendor Directory'!A:C,3,0))</f>
        <v>Vendor 4 Name</v>
      </c>
      <c r="D73" s="131">
        <f>SUMIFS(All_Stats!$G:$G,
All_Stats!$D:$D,$B73,
All_Stats!$B:$B,"&gt;="&amp;EOMONTH($A73,-1)+1,
All_Stats!$B:$B,"&lt;"&amp;EOMONTH($A73,0)+1,
All_Stats!$P:$P,"&lt;&gt;Email Marketing"
)</f>
        <v>0</v>
      </c>
      <c r="E73" s="113">
        <f>SUMIFS(All_Stats!$I:$I,
All_Stats!$D:$D,$B73,
All_Stats!$B:$B,"&gt;="&amp;EOMONTH($A73,-1)+1,
All_Stats!$B:$B,"&lt;"&amp;EOMONTH($A73,0)+1,
All_Stats!$P:$P,"&lt;&gt;Email Marketing"
)</f>
        <v>0</v>
      </c>
      <c r="F73" s="132" t="str">
        <f t="shared" si="13"/>
        <v>N/A</v>
      </c>
      <c r="G73" s="131">
        <f>SUMIFS(All_Stats!$H:$H,
All_Stats!$D:$D,$B73,
All_Stats!$B:$B,"&gt;="&amp;EOMONTH($A73,-1)+1,
All_Stats!$B:$B,"&lt;"&amp;EOMONTH($A73,0)+1,
All_Stats!$P:$P,"&lt;&gt;Email Marketing"
)</f>
        <v>0</v>
      </c>
      <c r="H73" s="113">
        <f>SUMIFS(All_Stats!$K:$K,
All_Stats!$D:$D,$B73,
All_Stats!$B:$B,"&gt;="&amp;EOMONTH($A73,-1)+1,
All_Stats!$B:$B,"&lt;"&amp;EOMONTH($A73,0)+1,
All_Stats!$P:$P,"&lt;&gt;Email Marketing"
)</f>
        <v>0</v>
      </c>
      <c r="I73" s="152">
        <f>IFERROR(__xludf.DUMMYFUNCTION("COUNTUNIQUEIFS(All_Stats!A:A,
All_Stats!$D:$D,$B73,
All_Stats!$B:$B,""&gt;=""&amp;EOMONTH($A73,-1)+1,
All_Stats!$B:$B,""&lt;""&amp;EOMONTH($A73,0)+1,
All_Stats!$P:$P,""&lt;&gt;Email Marketing""
)"),0.0)</f>
        <v>0</v>
      </c>
    </row>
    <row r="74" hidden="1">
      <c r="A74" s="128">
        <v>44348.0</v>
      </c>
      <c r="B74" s="131" t="s">
        <v>497</v>
      </c>
      <c r="C74" s="134" t="str">
        <f>if(ifna(VLOOKUP(B74,'Vendor Directory'!A:C,3,0),"NOT FOUND")="","NOT FOUND",VLOOKUP(B74,'Vendor Directory'!A:C,3,0))</f>
        <v>#N/A</v>
      </c>
      <c r="D74" s="131">
        <f>SUMIFS(All_Stats!$G:$G,
All_Stats!$D:$D,$B74,
All_Stats!$B:$B,"&gt;="&amp;EOMONTH($A74,-1)+1,
All_Stats!$B:$B,"&lt;"&amp;EOMONTH($A74,0)+1,
All_Stats!$P:$P,"&lt;&gt;Email Marketing"
)</f>
        <v>0</v>
      </c>
      <c r="E74" s="113">
        <f>SUMIFS(All_Stats!$I:$I,
All_Stats!$D:$D,$B74,
All_Stats!$B:$B,"&gt;="&amp;EOMONTH($A74,-1)+1,
All_Stats!$B:$B,"&lt;"&amp;EOMONTH($A74,0)+1,
All_Stats!$P:$P,"&lt;&gt;Email Marketing"
)</f>
        <v>0</v>
      </c>
      <c r="F74" s="132" t="str">
        <f t="shared" si="13"/>
        <v>N/A</v>
      </c>
      <c r="G74" s="131">
        <f>SUMIFS(All_Stats!$H:$H,
All_Stats!$D:$D,$B74,
All_Stats!$B:$B,"&gt;="&amp;EOMONTH($A74,-1)+1,
All_Stats!$B:$B,"&lt;"&amp;EOMONTH($A74,0)+1,
All_Stats!$P:$P,"&lt;&gt;Email Marketing"
)</f>
        <v>0</v>
      </c>
      <c r="H74" s="113">
        <f>SUMIFS(All_Stats!$K:$K,
All_Stats!$D:$D,$B74,
All_Stats!$B:$B,"&gt;="&amp;EOMONTH($A74,-1)+1,
All_Stats!$B:$B,"&lt;"&amp;EOMONTH($A74,0)+1,
All_Stats!$P:$P,"&lt;&gt;Email Marketing"
)</f>
        <v>0</v>
      </c>
      <c r="I74" s="152">
        <f>IFERROR(__xludf.DUMMYFUNCTION("COUNTUNIQUEIFS(All_Stats!A:A,
All_Stats!$D:$D,$B74,
All_Stats!$B:$B,""&gt;=""&amp;EOMONTH($A74,-1)+1,
All_Stats!$B:$B,""&lt;""&amp;EOMONTH($A74,0)+1,
All_Stats!$P:$P,""&lt;&gt;Email Marketing""
)"),0.0)</f>
        <v>0</v>
      </c>
    </row>
    <row r="75" hidden="1">
      <c r="A75" s="128">
        <v>44348.0</v>
      </c>
      <c r="B75" s="131" t="s">
        <v>498</v>
      </c>
      <c r="C75" s="134" t="str">
        <f>if(ifna(VLOOKUP(B75,'Vendor Directory'!A:C,3,0),"NOT FOUND")="","NOT FOUND",VLOOKUP(B75,'Vendor Directory'!A:C,3,0))</f>
        <v>#N/A</v>
      </c>
      <c r="D75" s="131">
        <f>SUMIFS(All_Stats!$G:$G,
All_Stats!$D:$D,$B75,
All_Stats!$B:$B,"&gt;="&amp;EOMONTH($A75,-1)+1,
All_Stats!$B:$B,"&lt;"&amp;EOMONTH($A75,0)+1,
All_Stats!$P:$P,"&lt;&gt;Email Marketing"
)</f>
        <v>0</v>
      </c>
      <c r="E75" s="113">
        <f>SUMIFS(All_Stats!$I:$I,
All_Stats!$D:$D,$B75,
All_Stats!$B:$B,"&gt;="&amp;EOMONTH($A75,-1)+1,
All_Stats!$B:$B,"&lt;"&amp;EOMONTH($A75,0)+1,
All_Stats!$P:$P,"&lt;&gt;Email Marketing"
)</f>
        <v>0</v>
      </c>
      <c r="F75" s="132" t="str">
        <f t="shared" si="13"/>
        <v>N/A</v>
      </c>
      <c r="G75" s="131">
        <f>SUMIFS(All_Stats!$H:$H,
All_Stats!$D:$D,$B75,
All_Stats!$B:$B,"&gt;="&amp;EOMONTH($A75,-1)+1,
All_Stats!$B:$B,"&lt;"&amp;EOMONTH($A75,0)+1,
All_Stats!$P:$P,"&lt;&gt;Email Marketing"
)</f>
        <v>0</v>
      </c>
      <c r="H75" s="113">
        <f>SUMIFS(All_Stats!$K:$K,
All_Stats!$D:$D,$B75,
All_Stats!$B:$B,"&gt;="&amp;EOMONTH($A75,-1)+1,
All_Stats!$B:$B,"&lt;"&amp;EOMONTH($A75,0)+1,
All_Stats!$P:$P,"&lt;&gt;Email Marketing"
)</f>
        <v>0</v>
      </c>
      <c r="I75" s="152">
        <f>IFERROR(__xludf.DUMMYFUNCTION("COUNTUNIQUEIFS(All_Stats!A:A,
All_Stats!$D:$D,$B75,
All_Stats!$B:$B,""&gt;=""&amp;EOMONTH($A75,-1)+1,
All_Stats!$B:$B,""&lt;""&amp;EOMONTH($A75,0)+1,
All_Stats!$P:$P,""&lt;&gt;Email Marketing""
)"),0.0)</f>
        <v>0</v>
      </c>
    </row>
    <row r="76" hidden="1">
      <c r="A76" s="128">
        <v>44348.0</v>
      </c>
      <c r="B76" s="131" t="s">
        <v>452</v>
      </c>
      <c r="C76" s="134" t="str">
        <f>if(ifna(VLOOKUP(B76,'Vendor Directory'!A:C,3,0),"NOT FOUND")="","NOT FOUND",VLOOKUP(B76,'Vendor Directory'!A:C,3,0))</f>
        <v>#N/A</v>
      </c>
      <c r="D76" s="131">
        <f>SUMIFS(All_Stats!$G:$G,
All_Stats!$D:$D,$B76,
All_Stats!$B:$B,"&gt;="&amp;EOMONTH($A76,-1)+1,
All_Stats!$B:$B,"&lt;"&amp;EOMONTH($A76,0)+1,
All_Stats!$P:$P,"&lt;&gt;Email Marketing"
)</f>
        <v>0</v>
      </c>
      <c r="E76" s="113">
        <f>SUMIFS(All_Stats!$I:$I,
All_Stats!$D:$D,$B76,
All_Stats!$B:$B,"&gt;="&amp;EOMONTH($A76,-1)+1,
All_Stats!$B:$B,"&lt;"&amp;EOMONTH($A76,0)+1,
All_Stats!$P:$P,"&lt;&gt;Email Marketing"
)</f>
        <v>0</v>
      </c>
      <c r="F76" s="132" t="str">
        <f t="shared" si="13"/>
        <v>N/A</v>
      </c>
      <c r="G76" s="131">
        <f>SUMIFS(All_Stats!$H:$H,
All_Stats!$D:$D,$B76,
All_Stats!$B:$B,"&gt;="&amp;EOMONTH($A76,-1)+1,
All_Stats!$B:$B,"&lt;"&amp;EOMONTH($A76,0)+1,
All_Stats!$P:$P,"&lt;&gt;Email Marketing"
)</f>
        <v>0</v>
      </c>
      <c r="H76" s="113">
        <f>SUMIFS(All_Stats!$K:$K,
All_Stats!$D:$D,$B76,
All_Stats!$B:$B,"&gt;="&amp;EOMONTH($A76,-1)+1,
All_Stats!$B:$B,"&lt;"&amp;EOMONTH($A76,0)+1,
All_Stats!$P:$P,"&lt;&gt;Email Marketing"
)</f>
        <v>0</v>
      </c>
      <c r="I76" s="152">
        <f>IFERROR(__xludf.DUMMYFUNCTION("COUNTUNIQUEIFS(All_Stats!A:A,
All_Stats!$D:$D,$B76,
All_Stats!$B:$B,""&gt;=""&amp;EOMONTH($A76,-1)+1,
All_Stats!$B:$B,""&lt;""&amp;EOMONTH($A76,0)+1,
All_Stats!$P:$P,""&lt;&gt;Email Marketing""
)"),0.0)</f>
        <v>0</v>
      </c>
    </row>
    <row r="77" hidden="1">
      <c r="A77" s="128">
        <v>44348.0</v>
      </c>
      <c r="B77" s="131" t="s">
        <v>499</v>
      </c>
      <c r="C77" s="134" t="str">
        <f>if(ifna(VLOOKUP(B77,'Vendor Directory'!A:C,3,0),"NOT FOUND")="","NOT FOUND",VLOOKUP(B77,'Vendor Directory'!A:C,3,0))</f>
        <v>#N/A</v>
      </c>
      <c r="D77" s="131">
        <f>SUMIFS(All_Stats!$G:$G,
All_Stats!$D:$D,$B77,
All_Stats!$B:$B,"&gt;="&amp;EOMONTH($A77,-1)+1,
All_Stats!$B:$B,"&lt;"&amp;EOMONTH($A77,0)+1,
All_Stats!$P:$P,"&lt;&gt;Email Marketing"
)</f>
        <v>0</v>
      </c>
      <c r="E77" s="113">
        <f>SUMIFS(All_Stats!$I:$I,
All_Stats!$D:$D,$B77,
All_Stats!$B:$B,"&gt;="&amp;EOMONTH($A77,-1)+1,
All_Stats!$B:$B,"&lt;"&amp;EOMONTH($A77,0)+1,
All_Stats!$P:$P,"&lt;&gt;Email Marketing"
)</f>
        <v>0</v>
      </c>
      <c r="F77" s="132" t="str">
        <f t="shared" si="13"/>
        <v>N/A</v>
      </c>
      <c r="G77" s="131">
        <f>SUMIFS(All_Stats!$H:$H,
All_Stats!$D:$D,$B77,
All_Stats!$B:$B,"&gt;="&amp;EOMONTH($A77,-1)+1,
All_Stats!$B:$B,"&lt;"&amp;EOMONTH($A77,0)+1,
All_Stats!$P:$P,"&lt;&gt;Email Marketing"
)</f>
        <v>0</v>
      </c>
      <c r="H77" s="113">
        <f>SUMIFS(All_Stats!$K:$K,
All_Stats!$D:$D,$B77,
All_Stats!$B:$B,"&gt;="&amp;EOMONTH($A77,-1)+1,
All_Stats!$B:$B,"&lt;"&amp;EOMONTH($A77,0)+1,
All_Stats!$P:$P,"&lt;&gt;Email Marketing"
)</f>
        <v>0</v>
      </c>
      <c r="I77" s="152">
        <f>IFERROR(__xludf.DUMMYFUNCTION("COUNTUNIQUEIFS(All_Stats!A:A,
All_Stats!$D:$D,$B77,
All_Stats!$B:$B,""&gt;=""&amp;EOMONTH($A77,-1)+1,
All_Stats!$B:$B,""&lt;""&amp;EOMONTH($A77,0)+1,
All_Stats!$P:$P,""&lt;&gt;Email Marketing""
)"),0.0)</f>
        <v>0</v>
      </c>
    </row>
    <row r="78" hidden="1">
      <c r="A78" s="128">
        <v>44348.0</v>
      </c>
      <c r="B78" s="131" t="s">
        <v>500</v>
      </c>
      <c r="C78" s="134" t="str">
        <f>if(ifna(VLOOKUP(B78,'Vendor Directory'!A:C,3,0),"NOT FOUND")="","NOT FOUND",VLOOKUP(B78,'Vendor Directory'!A:C,3,0))</f>
        <v>#N/A</v>
      </c>
      <c r="D78" s="131">
        <f>SUMIFS(All_Stats!$G:$G,
All_Stats!$D:$D,$B78,
All_Stats!$B:$B,"&gt;="&amp;EOMONTH($A78,-1)+1,
All_Stats!$B:$B,"&lt;"&amp;EOMONTH($A78,0)+1,
All_Stats!$P:$P,"&lt;&gt;Email Marketing"
)</f>
        <v>0</v>
      </c>
      <c r="E78" s="113">
        <f>SUMIFS(All_Stats!$I:$I,
All_Stats!$D:$D,$B78,
All_Stats!$B:$B,"&gt;="&amp;EOMONTH($A78,-1)+1,
All_Stats!$B:$B,"&lt;"&amp;EOMONTH($A78,0)+1,
All_Stats!$P:$P,"&lt;&gt;Email Marketing"
)</f>
        <v>0</v>
      </c>
      <c r="F78" s="132" t="str">
        <f t="shared" si="13"/>
        <v>N/A</v>
      </c>
      <c r="G78" s="131">
        <f>SUMIFS(All_Stats!$H:$H,
All_Stats!$D:$D,$B78,
All_Stats!$B:$B,"&gt;="&amp;EOMONTH($A78,-1)+1,
All_Stats!$B:$B,"&lt;"&amp;EOMONTH($A78,0)+1,
All_Stats!$P:$P,"&lt;&gt;Email Marketing"
)</f>
        <v>0</v>
      </c>
      <c r="H78" s="113">
        <f>SUMIFS(All_Stats!$K:$K,
All_Stats!$D:$D,$B78,
All_Stats!$B:$B,"&gt;="&amp;EOMONTH($A78,-1)+1,
All_Stats!$B:$B,"&lt;"&amp;EOMONTH($A78,0)+1,
All_Stats!$P:$P,"&lt;&gt;Email Marketing"
)</f>
        <v>0</v>
      </c>
      <c r="I78" s="152">
        <f>IFERROR(__xludf.DUMMYFUNCTION("COUNTUNIQUEIFS(All_Stats!A:A,
All_Stats!$D:$D,$B78,
All_Stats!$B:$B,""&gt;=""&amp;EOMONTH($A78,-1)+1,
All_Stats!$B:$B,""&lt;""&amp;EOMONTH($A78,0)+1,
All_Stats!$P:$P,""&lt;&gt;Email Marketing""
)"),0.0)</f>
        <v>0</v>
      </c>
    </row>
    <row r="79" hidden="1">
      <c r="A79" s="128">
        <v>44348.0</v>
      </c>
      <c r="B79" s="131" t="s">
        <v>91</v>
      </c>
      <c r="C79" s="134" t="str">
        <f>if(ifna(VLOOKUP(B79,'Vendor Directory'!A:C,3,0),"NOT FOUND")="","NOT FOUND",VLOOKUP(B79,'Vendor Directory'!A:C,3,0))</f>
        <v>#N/A</v>
      </c>
      <c r="D79" s="131">
        <f>SUMIFS(All_Stats!$G:$G,
All_Stats!$D:$D,$B79,
All_Stats!$B:$B,"&gt;="&amp;EOMONTH($A79,-1)+1,
All_Stats!$B:$B,"&lt;"&amp;EOMONTH($A79,0)+1,
All_Stats!$P:$P,"&lt;&gt;Email Marketing"
)</f>
        <v>0</v>
      </c>
      <c r="E79" s="113">
        <f>SUMIFS(All_Stats!$I:$I,
All_Stats!$D:$D,$B79,
All_Stats!$B:$B,"&gt;="&amp;EOMONTH($A79,-1)+1,
All_Stats!$B:$B,"&lt;"&amp;EOMONTH($A79,0)+1,
All_Stats!$P:$P,"&lt;&gt;Email Marketing"
)</f>
        <v>0</v>
      </c>
      <c r="F79" s="132" t="str">
        <f t="shared" si="13"/>
        <v>N/A</v>
      </c>
      <c r="G79" s="131">
        <f>SUMIFS(All_Stats!$H:$H,
All_Stats!$D:$D,$B79,
All_Stats!$B:$B,"&gt;="&amp;EOMONTH($A79,-1)+1,
All_Stats!$B:$B,"&lt;"&amp;EOMONTH($A79,0)+1,
All_Stats!$P:$P,"&lt;&gt;Email Marketing"
)</f>
        <v>0</v>
      </c>
      <c r="H79" s="113">
        <f>SUMIFS(All_Stats!$K:$K,
All_Stats!$D:$D,$B79,
All_Stats!$B:$B,"&gt;="&amp;EOMONTH($A79,-1)+1,
All_Stats!$B:$B,"&lt;"&amp;EOMONTH($A79,0)+1,
All_Stats!$P:$P,"&lt;&gt;Email Marketing"
)</f>
        <v>0</v>
      </c>
      <c r="I79" s="152">
        <f>IFERROR(__xludf.DUMMYFUNCTION("COUNTUNIQUEIFS(All_Stats!A:A,
All_Stats!$D:$D,$B79,
All_Stats!$B:$B,""&gt;=""&amp;EOMONTH($A79,-1)+1,
All_Stats!$B:$B,""&lt;""&amp;EOMONTH($A79,0)+1,
All_Stats!$P:$P,""&lt;&gt;Email Marketing""
)"),0.0)</f>
        <v>0</v>
      </c>
    </row>
    <row r="80" hidden="1">
      <c r="A80" s="128">
        <v>44348.0</v>
      </c>
      <c r="B80" s="131" t="s">
        <v>501</v>
      </c>
      <c r="C80" s="134" t="str">
        <f>if(ifna(VLOOKUP(B80,'Vendor Directory'!A:C,3,0),"NOT FOUND")="","NOT FOUND",VLOOKUP(B80,'Vendor Directory'!A:C,3,0))</f>
        <v>#N/A</v>
      </c>
      <c r="D80" s="131">
        <f>SUMIFS(All_Stats!$G:$G,
All_Stats!$D:$D,$B80,
All_Stats!$B:$B,"&gt;="&amp;EOMONTH($A80,-1)+1,
All_Stats!$B:$B,"&lt;"&amp;EOMONTH($A80,0)+1,
All_Stats!$P:$P,"&lt;&gt;Email Marketing"
)</f>
        <v>0</v>
      </c>
      <c r="E80" s="113">
        <f>SUMIFS(All_Stats!$I:$I,
All_Stats!$D:$D,$B80,
All_Stats!$B:$B,"&gt;="&amp;EOMONTH($A80,-1)+1,
All_Stats!$B:$B,"&lt;"&amp;EOMONTH($A80,0)+1,
All_Stats!$P:$P,"&lt;&gt;Email Marketing"
)</f>
        <v>0</v>
      </c>
      <c r="F80" s="132" t="str">
        <f t="shared" si="13"/>
        <v>N/A</v>
      </c>
      <c r="G80" s="131">
        <f>SUMIFS(All_Stats!$H:$H,
All_Stats!$D:$D,$B80,
All_Stats!$B:$B,"&gt;="&amp;EOMONTH($A80,-1)+1,
All_Stats!$B:$B,"&lt;"&amp;EOMONTH($A80,0)+1,
All_Stats!$P:$P,"&lt;&gt;Email Marketing"
)</f>
        <v>0</v>
      </c>
      <c r="H80" s="113">
        <f>SUMIFS(All_Stats!$K:$K,
All_Stats!$D:$D,$B80,
All_Stats!$B:$B,"&gt;="&amp;EOMONTH($A80,-1)+1,
All_Stats!$B:$B,"&lt;"&amp;EOMONTH($A80,0)+1,
All_Stats!$P:$P,"&lt;&gt;Email Marketing"
)</f>
        <v>0</v>
      </c>
      <c r="I80" s="152">
        <f>IFERROR(__xludf.DUMMYFUNCTION("COUNTUNIQUEIFS(All_Stats!A:A,
All_Stats!$D:$D,$B80,
All_Stats!$B:$B,""&gt;=""&amp;EOMONTH($A80,-1)+1,
All_Stats!$B:$B,""&lt;""&amp;EOMONTH($A80,0)+1,
All_Stats!$P:$P,""&lt;&gt;Email Marketing""
)"),0.0)</f>
        <v>0</v>
      </c>
    </row>
    <row r="81" hidden="1">
      <c r="A81" s="128">
        <v>44348.0</v>
      </c>
      <c r="B81" s="131" t="s">
        <v>417</v>
      </c>
      <c r="C81" s="134" t="str">
        <f>if(ifna(VLOOKUP(B81,'Vendor Directory'!A:C,3,0),"NOT FOUND")="","NOT FOUND",VLOOKUP(B81,'Vendor Directory'!A:C,3,0))</f>
        <v>#N/A</v>
      </c>
      <c r="D81" s="131">
        <f>SUMIFS(All_Stats!$G:$G,
All_Stats!$D:$D,$B81,
All_Stats!$B:$B,"&gt;="&amp;EOMONTH($A81,-1)+1,
All_Stats!$B:$B,"&lt;"&amp;EOMONTH($A81,0)+1,
All_Stats!$P:$P,"&lt;&gt;Email Marketing"
)</f>
        <v>0</v>
      </c>
      <c r="E81" s="113">
        <f>SUMIFS(All_Stats!$I:$I,
All_Stats!$D:$D,$B81,
All_Stats!$B:$B,"&gt;="&amp;EOMONTH($A81,-1)+1,
All_Stats!$B:$B,"&lt;"&amp;EOMONTH($A81,0)+1,
All_Stats!$P:$P,"&lt;&gt;Email Marketing"
)</f>
        <v>0</v>
      </c>
      <c r="F81" s="132" t="str">
        <f t="shared" si="13"/>
        <v>N/A</v>
      </c>
      <c r="G81" s="131">
        <f>SUMIFS(All_Stats!$H:$H,
All_Stats!$D:$D,$B81,
All_Stats!$B:$B,"&gt;="&amp;EOMONTH($A81,-1)+1,
All_Stats!$B:$B,"&lt;"&amp;EOMONTH($A81,0)+1,
All_Stats!$P:$P,"&lt;&gt;Email Marketing"
)</f>
        <v>0</v>
      </c>
      <c r="H81" s="113">
        <f>SUMIFS(All_Stats!$K:$K,
All_Stats!$D:$D,$B81,
All_Stats!$B:$B,"&gt;="&amp;EOMONTH($A81,-1)+1,
All_Stats!$B:$B,"&lt;"&amp;EOMONTH($A81,0)+1,
All_Stats!$P:$P,"&lt;&gt;Email Marketing"
)</f>
        <v>0</v>
      </c>
      <c r="I81" s="152">
        <f>IFERROR(__xludf.DUMMYFUNCTION("COUNTUNIQUEIFS(All_Stats!A:A,
All_Stats!$D:$D,$B81,
All_Stats!$B:$B,""&gt;=""&amp;EOMONTH($A81,-1)+1,
All_Stats!$B:$B,""&lt;""&amp;EOMONTH($A81,0)+1,
All_Stats!$P:$P,""&lt;&gt;Email Marketing""
)"),0.0)</f>
        <v>0</v>
      </c>
    </row>
    <row r="82" hidden="1">
      <c r="A82" s="128">
        <v>44348.0</v>
      </c>
      <c r="B82" s="131" t="s">
        <v>505</v>
      </c>
      <c r="C82" s="134" t="str">
        <f>if(ifna(VLOOKUP(B82,'Vendor Directory'!A:C,3,0),"NOT FOUND")="","NOT FOUND",VLOOKUP(B82,'Vendor Directory'!A:C,3,0))</f>
        <v>#N/A</v>
      </c>
      <c r="D82" s="131">
        <f>SUMIFS(All_Stats!$G:$G,
All_Stats!$D:$D,$B82,
All_Stats!$B:$B,"&gt;="&amp;EOMONTH($A82,-1)+1,
All_Stats!$B:$B,"&lt;"&amp;EOMONTH($A82,0)+1,
All_Stats!$P:$P,"&lt;&gt;Email Marketing"
)</f>
        <v>0</v>
      </c>
      <c r="E82" s="113">
        <f>SUMIFS(All_Stats!$I:$I,
All_Stats!$D:$D,$B82,
All_Stats!$B:$B,"&gt;="&amp;EOMONTH($A82,-1)+1,
All_Stats!$B:$B,"&lt;"&amp;EOMONTH($A82,0)+1,
All_Stats!$P:$P,"&lt;&gt;Email Marketing"
)</f>
        <v>0</v>
      </c>
      <c r="F82" s="132" t="str">
        <f t="shared" si="13"/>
        <v>N/A</v>
      </c>
      <c r="G82" s="131">
        <f>SUMIFS(All_Stats!$H:$H,
All_Stats!$D:$D,$B82,
All_Stats!$B:$B,"&gt;="&amp;EOMONTH($A82,-1)+1,
All_Stats!$B:$B,"&lt;"&amp;EOMONTH($A82,0)+1,
All_Stats!$P:$P,"&lt;&gt;Email Marketing"
)</f>
        <v>0</v>
      </c>
      <c r="H82" s="113">
        <f>SUMIFS(All_Stats!$K:$K,
All_Stats!$D:$D,$B82,
All_Stats!$B:$B,"&gt;="&amp;EOMONTH($A82,-1)+1,
All_Stats!$B:$B,"&lt;"&amp;EOMONTH($A82,0)+1,
All_Stats!$P:$P,"&lt;&gt;Email Marketing"
)</f>
        <v>0</v>
      </c>
      <c r="I82" s="152">
        <f>IFERROR(__xludf.DUMMYFUNCTION("COUNTUNIQUEIFS(All_Stats!A:A,
All_Stats!$D:$D,$B82,
All_Stats!$B:$B,""&gt;=""&amp;EOMONTH($A82,-1)+1,
All_Stats!$B:$B,""&lt;""&amp;EOMONTH($A82,0)+1,
All_Stats!$P:$P,""&lt;&gt;Email Marketing""
)"),0.0)</f>
        <v>0</v>
      </c>
    </row>
    <row r="83" hidden="1">
      <c r="A83" s="128">
        <v>44348.0</v>
      </c>
      <c r="B83" s="131" t="s">
        <v>506</v>
      </c>
      <c r="C83" s="134" t="str">
        <f>if(ifna(VLOOKUP(B83,'Vendor Directory'!A:C,3,0),"NOT FOUND")="","NOT FOUND",VLOOKUP(B83,'Vendor Directory'!A:C,3,0))</f>
        <v>#N/A</v>
      </c>
      <c r="D83" s="131">
        <f>SUMIFS(All_Stats!$G:$G,
All_Stats!$D:$D,$B83,
All_Stats!$B:$B,"&gt;="&amp;EOMONTH($A83,-1)+1,
All_Stats!$B:$B,"&lt;"&amp;EOMONTH($A83,0)+1,
All_Stats!$P:$P,"&lt;&gt;Email Marketing"
)</f>
        <v>0</v>
      </c>
      <c r="E83" s="113">
        <f>SUMIFS(All_Stats!$I:$I,
All_Stats!$D:$D,$B83,
All_Stats!$B:$B,"&gt;="&amp;EOMONTH($A83,-1)+1,
All_Stats!$B:$B,"&lt;"&amp;EOMONTH($A83,0)+1,
All_Stats!$P:$P,"&lt;&gt;Email Marketing"
)</f>
        <v>0</v>
      </c>
      <c r="F83" s="132" t="str">
        <f t="shared" si="13"/>
        <v>N/A</v>
      </c>
      <c r="G83" s="131">
        <f>SUMIFS(All_Stats!$H:$H,
All_Stats!$D:$D,$B83,
All_Stats!$B:$B,"&gt;="&amp;EOMONTH($A83,-1)+1,
All_Stats!$B:$B,"&lt;"&amp;EOMONTH($A83,0)+1,
All_Stats!$P:$P,"&lt;&gt;Email Marketing"
)</f>
        <v>0</v>
      </c>
      <c r="H83" s="113">
        <f>SUMIFS(All_Stats!$K:$K,
All_Stats!$D:$D,$B83,
All_Stats!$B:$B,"&gt;="&amp;EOMONTH($A83,-1)+1,
All_Stats!$B:$B,"&lt;"&amp;EOMONTH($A83,0)+1,
All_Stats!$P:$P,"&lt;&gt;Email Marketing"
)</f>
        <v>0</v>
      </c>
      <c r="I83" s="152">
        <f>IFERROR(__xludf.DUMMYFUNCTION("COUNTUNIQUEIFS(All_Stats!A:A,
All_Stats!$D:$D,$B83,
All_Stats!$B:$B,""&gt;=""&amp;EOMONTH($A83,-1)+1,
All_Stats!$B:$B,""&lt;""&amp;EOMONTH($A83,0)+1,
All_Stats!$P:$P,""&lt;&gt;Email Marketing""
)"),0.0)</f>
        <v>0</v>
      </c>
    </row>
    <row r="84" hidden="1">
      <c r="A84" s="128">
        <v>44348.0</v>
      </c>
      <c r="B84" s="131" t="s">
        <v>507</v>
      </c>
      <c r="C84" s="134" t="str">
        <f>if(ifna(VLOOKUP(B84,'Vendor Directory'!A:C,3,0),"NOT FOUND")="","NOT FOUND",VLOOKUP(B84,'Vendor Directory'!A:C,3,0))</f>
        <v>#N/A</v>
      </c>
      <c r="D84" s="131">
        <f>SUMIFS(All_Stats!$G:$G,
All_Stats!$D:$D,$B84,
All_Stats!$B:$B,"&gt;="&amp;EOMONTH($A84,-1)+1,
All_Stats!$B:$B,"&lt;"&amp;EOMONTH($A84,0)+1,
All_Stats!$P:$P,"&lt;&gt;Email Marketing"
)</f>
        <v>0</v>
      </c>
      <c r="E84" s="113">
        <f>SUMIFS(All_Stats!$I:$I,
All_Stats!$D:$D,$B84,
All_Stats!$B:$B,"&gt;="&amp;EOMONTH($A84,-1)+1,
All_Stats!$B:$B,"&lt;"&amp;EOMONTH($A84,0)+1,
All_Stats!$P:$P,"&lt;&gt;Email Marketing"
)</f>
        <v>0</v>
      </c>
      <c r="F84" s="132" t="str">
        <f t="shared" si="13"/>
        <v>N/A</v>
      </c>
      <c r="G84" s="131">
        <f>SUMIFS(All_Stats!$H:$H,
All_Stats!$D:$D,$B84,
All_Stats!$B:$B,"&gt;="&amp;EOMONTH($A84,-1)+1,
All_Stats!$B:$B,"&lt;"&amp;EOMONTH($A84,0)+1,
All_Stats!$P:$P,"&lt;&gt;Email Marketing"
)</f>
        <v>0</v>
      </c>
      <c r="H84" s="113">
        <f>SUMIFS(All_Stats!$K:$K,
All_Stats!$D:$D,$B84,
All_Stats!$B:$B,"&gt;="&amp;EOMONTH($A84,-1)+1,
All_Stats!$B:$B,"&lt;"&amp;EOMONTH($A84,0)+1,
All_Stats!$P:$P,"&lt;&gt;Email Marketing"
)</f>
        <v>0</v>
      </c>
      <c r="I84" s="152">
        <f>IFERROR(__xludf.DUMMYFUNCTION("COUNTUNIQUEIFS(All_Stats!A:A,
All_Stats!$D:$D,$B84,
All_Stats!$B:$B,""&gt;=""&amp;EOMONTH($A84,-1)+1,
All_Stats!$B:$B,""&lt;""&amp;EOMONTH($A84,0)+1,
All_Stats!$P:$P,""&lt;&gt;Email Marketing""
)"),0.0)</f>
        <v>0</v>
      </c>
    </row>
    <row r="85" hidden="1">
      <c r="A85" s="128">
        <v>44348.0</v>
      </c>
      <c r="B85" s="131" t="s">
        <v>509</v>
      </c>
      <c r="C85" s="134" t="str">
        <f>if(ifna(VLOOKUP(B85,'Vendor Directory'!A:C,3,0),"NOT FOUND")="","NOT FOUND",VLOOKUP(B85,'Vendor Directory'!A:C,3,0))</f>
        <v>#N/A</v>
      </c>
      <c r="D85" s="131">
        <f>SUMIFS(All_Stats!$G:$G,
All_Stats!$D:$D,$B85,
All_Stats!$B:$B,"&gt;="&amp;EOMONTH($A85,-1)+1,
All_Stats!$B:$B,"&lt;"&amp;EOMONTH($A85,0)+1,
All_Stats!$P:$P,"&lt;&gt;Email Marketing"
)</f>
        <v>0</v>
      </c>
      <c r="E85" s="113">
        <f>SUMIFS(All_Stats!$I:$I,
All_Stats!$D:$D,$B85,
All_Stats!$B:$B,"&gt;="&amp;EOMONTH($A85,-1)+1,
All_Stats!$B:$B,"&lt;"&amp;EOMONTH($A85,0)+1,
All_Stats!$P:$P,"&lt;&gt;Email Marketing"
)</f>
        <v>0</v>
      </c>
      <c r="F85" s="132" t="str">
        <f t="shared" si="13"/>
        <v>N/A</v>
      </c>
      <c r="G85" s="131">
        <f>SUMIFS(All_Stats!$H:$H,
All_Stats!$D:$D,$B85,
All_Stats!$B:$B,"&gt;="&amp;EOMONTH($A85,-1)+1,
All_Stats!$B:$B,"&lt;"&amp;EOMONTH($A85,0)+1,
All_Stats!$P:$P,"&lt;&gt;Email Marketing"
)</f>
        <v>0</v>
      </c>
      <c r="H85" s="113">
        <f>SUMIFS(All_Stats!$K:$K,
All_Stats!$D:$D,$B85,
All_Stats!$B:$B,"&gt;="&amp;EOMONTH($A85,-1)+1,
All_Stats!$B:$B,"&lt;"&amp;EOMONTH($A85,0)+1,
All_Stats!$P:$P,"&lt;&gt;Email Marketing"
)</f>
        <v>0</v>
      </c>
      <c r="I85" s="152">
        <f>IFERROR(__xludf.DUMMYFUNCTION("COUNTUNIQUEIFS(All_Stats!A:A,
All_Stats!$D:$D,$B85,
All_Stats!$B:$B,""&gt;=""&amp;EOMONTH($A85,-1)+1,
All_Stats!$B:$B,""&lt;""&amp;EOMONTH($A85,0)+1,
All_Stats!$P:$P,""&lt;&gt;Email Marketing""
)"),0.0)</f>
        <v>0</v>
      </c>
    </row>
    <row r="86" hidden="1">
      <c r="A86" s="128">
        <v>44348.0</v>
      </c>
      <c r="B86" s="131" t="s">
        <v>510</v>
      </c>
      <c r="C86" s="134" t="str">
        <f>if(ifna(VLOOKUP(B86,'Vendor Directory'!A:C,3,0),"NOT FOUND")="","NOT FOUND",VLOOKUP(B86,'Vendor Directory'!A:C,3,0))</f>
        <v>#N/A</v>
      </c>
      <c r="D86" s="131">
        <f>SUMIFS(All_Stats!$G:$G,
All_Stats!$D:$D,$B86,
All_Stats!$B:$B,"&gt;="&amp;EOMONTH($A86,-1)+1,
All_Stats!$B:$B,"&lt;"&amp;EOMONTH($A86,0)+1,
All_Stats!$P:$P,"&lt;&gt;Email Marketing"
)</f>
        <v>0</v>
      </c>
      <c r="E86" s="113">
        <f>SUMIFS(All_Stats!$I:$I,
All_Stats!$D:$D,$B86,
All_Stats!$B:$B,"&gt;="&amp;EOMONTH($A86,-1)+1,
All_Stats!$B:$B,"&lt;"&amp;EOMONTH($A86,0)+1,
All_Stats!$P:$P,"&lt;&gt;Email Marketing"
)</f>
        <v>0</v>
      </c>
      <c r="F86" s="132" t="str">
        <f t="shared" si="13"/>
        <v>N/A</v>
      </c>
      <c r="G86" s="131">
        <f>SUMIFS(All_Stats!$H:$H,
All_Stats!$D:$D,$B86,
All_Stats!$B:$B,"&gt;="&amp;EOMONTH($A86,-1)+1,
All_Stats!$B:$B,"&lt;"&amp;EOMONTH($A86,0)+1,
All_Stats!$P:$P,"&lt;&gt;Email Marketing"
)</f>
        <v>0</v>
      </c>
      <c r="H86" s="113">
        <f>SUMIFS(All_Stats!$K:$K,
All_Stats!$D:$D,$B86,
All_Stats!$B:$B,"&gt;="&amp;EOMONTH($A86,-1)+1,
All_Stats!$B:$B,"&lt;"&amp;EOMONTH($A86,0)+1,
All_Stats!$P:$P,"&lt;&gt;Email Marketing"
)</f>
        <v>0</v>
      </c>
      <c r="I86" s="152">
        <f>IFERROR(__xludf.DUMMYFUNCTION("COUNTUNIQUEIFS(All_Stats!A:A,
All_Stats!$D:$D,$B86,
All_Stats!$B:$B,""&gt;=""&amp;EOMONTH($A86,-1)+1,
All_Stats!$B:$B,""&lt;""&amp;EOMONTH($A86,0)+1,
All_Stats!$P:$P,""&lt;&gt;Email Marketing""
)"),0.0)</f>
        <v>0</v>
      </c>
    </row>
    <row r="87" hidden="1">
      <c r="A87" s="128">
        <v>44348.0</v>
      </c>
      <c r="B87" s="131" t="s">
        <v>511</v>
      </c>
      <c r="C87" s="134" t="str">
        <f>if(ifna(VLOOKUP(B87,'Vendor Directory'!A:C,3,0),"NOT FOUND")="","NOT FOUND",VLOOKUP(B87,'Vendor Directory'!A:C,3,0))</f>
        <v>#N/A</v>
      </c>
      <c r="D87" s="131">
        <f>SUMIFS(All_Stats!$G:$G,
All_Stats!$D:$D,$B87,
All_Stats!$B:$B,"&gt;="&amp;EOMONTH($A87,-1)+1,
All_Stats!$B:$B,"&lt;"&amp;EOMONTH($A87,0)+1,
All_Stats!$P:$P,"&lt;&gt;Email Marketing"
)</f>
        <v>0</v>
      </c>
      <c r="E87" s="113">
        <f>SUMIFS(All_Stats!$I:$I,
All_Stats!$D:$D,$B87,
All_Stats!$B:$B,"&gt;="&amp;EOMONTH($A87,-1)+1,
All_Stats!$B:$B,"&lt;"&amp;EOMONTH($A87,0)+1,
All_Stats!$P:$P,"&lt;&gt;Email Marketing"
)</f>
        <v>0</v>
      </c>
      <c r="F87" s="132" t="str">
        <f t="shared" si="13"/>
        <v>N/A</v>
      </c>
      <c r="G87" s="131">
        <f>SUMIFS(All_Stats!$H:$H,
All_Stats!$D:$D,$B87,
All_Stats!$B:$B,"&gt;="&amp;EOMONTH($A87,-1)+1,
All_Stats!$B:$B,"&lt;"&amp;EOMONTH($A87,0)+1,
All_Stats!$P:$P,"&lt;&gt;Email Marketing"
)</f>
        <v>0</v>
      </c>
      <c r="H87" s="113">
        <f>SUMIFS(All_Stats!$K:$K,
All_Stats!$D:$D,$B87,
All_Stats!$B:$B,"&gt;="&amp;EOMONTH($A87,-1)+1,
All_Stats!$B:$B,"&lt;"&amp;EOMONTH($A87,0)+1,
All_Stats!$P:$P,"&lt;&gt;Email Marketing"
)</f>
        <v>0</v>
      </c>
      <c r="I87" s="152">
        <f>IFERROR(__xludf.DUMMYFUNCTION("COUNTUNIQUEIFS(All_Stats!A:A,
All_Stats!$D:$D,$B87,
All_Stats!$B:$B,""&gt;=""&amp;EOMONTH($A87,-1)+1,
All_Stats!$B:$B,""&lt;""&amp;EOMONTH($A87,0)+1,
All_Stats!$P:$P,""&lt;&gt;Email Marketing""
)"),0.0)</f>
        <v>0</v>
      </c>
    </row>
    <row r="88" hidden="1">
      <c r="A88" s="135"/>
      <c r="B88" s="135"/>
      <c r="C88" s="136" t="s">
        <v>23</v>
      </c>
      <c r="D88" s="137">
        <f t="shared" ref="D88:E88" si="14">SUM(D68:D86)</f>
        <v>673</v>
      </c>
      <c r="E88" s="137">
        <f t="shared" si="14"/>
        <v>698</v>
      </c>
      <c r="F88" s="138">
        <f t="shared" si="13"/>
        <v>1.037147103</v>
      </c>
      <c r="G88" s="137">
        <f t="shared" ref="G88:I88" si="15">SUM(G68:G86)</f>
        <v>1274</v>
      </c>
      <c r="H88" s="137">
        <f t="shared" si="15"/>
        <v>0</v>
      </c>
      <c r="I88" s="137">
        <f t="shared" si="15"/>
        <v>0</v>
      </c>
    </row>
    <row r="89" hidden="1">
      <c r="A89" s="131"/>
      <c r="B89" s="131"/>
      <c r="C89" s="131"/>
      <c r="D89" s="140"/>
      <c r="F89" s="131"/>
      <c r="G89" s="131"/>
    </row>
    <row r="90" hidden="1">
      <c r="C90" s="118" t="s">
        <v>484</v>
      </c>
      <c r="D90" s="119"/>
      <c r="E90" s="119"/>
      <c r="F90" s="119"/>
      <c r="G90" s="119"/>
      <c r="H90" s="119"/>
      <c r="I90" s="159"/>
    </row>
    <row r="91" hidden="1">
      <c r="A91" s="121" t="s">
        <v>1</v>
      </c>
      <c r="B91" s="122" t="s">
        <v>485</v>
      </c>
      <c r="C91" s="123" t="s">
        <v>486</v>
      </c>
      <c r="D91" s="124" t="s">
        <v>6</v>
      </c>
      <c r="E91" s="125" t="s">
        <v>8</v>
      </c>
      <c r="F91" s="124" t="s">
        <v>479</v>
      </c>
      <c r="G91" s="126" t="s">
        <v>7</v>
      </c>
      <c r="H91" s="125" t="s">
        <v>10</v>
      </c>
      <c r="I91" s="160" t="s">
        <v>487</v>
      </c>
    </row>
    <row r="92" hidden="1">
      <c r="A92" s="128">
        <v>44378.0</v>
      </c>
      <c r="B92" s="131" t="s">
        <v>164</v>
      </c>
      <c r="C92" s="134" t="str">
        <f>if(ifna(VLOOKUP(B92,'Vendor Directory'!A:C,3,0),"NOT FOUND")="","NOT FOUND",VLOOKUP(B92,'Vendor Directory'!A:C,3,0))</f>
        <v>#N/A</v>
      </c>
      <c r="D92" s="131">
        <f>SUMIFS(All_Stats!$G:$G,
All_Stats!$D:$D,$B92,
All_Stats!$B:$B,"&gt;="&amp;EOMONTH($A92,-1)+1,
All_Stats!$B:$B,"&lt;"&amp;EOMONTH($A92,0)+1,
All_Stats!$P:$P,"Email Marketing"
)</f>
        <v>0</v>
      </c>
      <c r="E92" s="113">
        <f>SUMIFS(All_Stats!$I:$I,
All_Stats!$D:$D,$B92,
All_Stats!$B:$B,"&gt;="&amp;EOMONTH($A92,-1)+1,
All_Stats!$B:$B,"&lt;"&amp;EOMONTH($A92,0)+1,
All_Stats!$P:$P,"Email Marketing"
)</f>
        <v>0</v>
      </c>
      <c r="F92" s="132" t="str">
        <f t="shared" ref="F92:F95" si="16">iferror(E92/D92,"N/A")</f>
        <v>N/A</v>
      </c>
      <c r="G92" s="131">
        <f>SUMIFS(All_Stats!$H:$H,
All_Stats!$D:$D,$B92,
All_Stats!$B:$B,"&gt;="&amp;EOMONTH($A92,-1)+1,
All_Stats!$B:$B,"&lt;"&amp;EOMONTH($A92,0)+1,
All_Stats!$P:$P,"Email Marketing"
)</f>
        <v>0</v>
      </c>
      <c r="H92" s="113">
        <f>SUMIFS(All_Stats!$K:$K,
All_Stats!$D:$D,$B92,
All_Stats!$B:$B,"&gt;="&amp;EOMONTH($A92,-1)+1,
All_Stats!$B:$B,"&lt;"&amp;EOMONTH($A92,0)+1,
All_Stats!$P:$P,"Email Marketing"
)</f>
        <v>0</v>
      </c>
      <c r="I92" s="152">
        <f>IFERROR(__xludf.DUMMYFUNCTION("COUNTUNIQUEIFS(All_Stats!A:A,
All_Stats!$D:$D,$B92,
All_Stats!$B:$B,""&gt;=""&amp;EOMONTH($A92,-1)+1,
All_Stats!$B:$B,""&lt;""&amp;EOMONTH($A92,0)+1,
All_Stats!$P:$P,""Email Marketing""
)"),0.0)</f>
        <v>0</v>
      </c>
    </row>
    <row r="93" hidden="1">
      <c r="A93" s="128">
        <v>44378.0</v>
      </c>
      <c r="B93" s="131" t="s">
        <v>172</v>
      </c>
      <c r="C93" s="134" t="str">
        <f>if(ifna(VLOOKUP(B93,'Vendor Directory'!A:C,3,0),"NOT FOUND")="","NOT FOUND",VLOOKUP(B93,'Vendor Directory'!A:C,3,0))</f>
        <v>#N/A</v>
      </c>
      <c r="D93" s="131">
        <f>SUMIFS(All_Stats!$G:$G,
All_Stats!$D:$D,$B93,
All_Stats!$B:$B,"&gt;="&amp;EOMONTH($A93,-1)+1,
All_Stats!$B:$B,"&lt;"&amp;EOMONTH($A93,0)+1,
All_Stats!$P:$P,"Email Marketing"
)</f>
        <v>0</v>
      </c>
      <c r="E93" s="113">
        <f>SUMIFS(All_Stats!$I:$I,
All_Stats!$D:$D,$B93,
All_Stats!$B:$B,"&gt;="&amp;EOMONTH($A93,-1)+1,
All_Stats!$B:$B,"&lt;"&amp;EOMONTH($A93,0)+1,
All_Stats!$P:$P,"Email Marketing"
)</f>
        <v>0</v>
      </c>
      <c r="F93" s="132" t="str">
        <f t="shared" si="16"/>
        <v>N/A</v>
      </c>
      <c r="G93" s="131">
        <f>SUMIFS(All_Stats!$H:$H,
All_Stats!$D:$D,$B93,
All_Stats!$B:$B,"&gt;="&amp;EOMONTH($A93,-1)+1,
All_Stats!$B:$B,"&lt;"&amp;EOMONTH($A93,0)+1,
All_Stats!$P:$P,"Email Marketing"
)</f>
        <v>0</v>
      </c>
      <c r="H93" s="113">
        <f>SUMIFS(All_Stats!$K:$K,
All_Stats!$D:$D,$B93,
All_Stats!$B:$B,"&gt;="&amp;EOMONTH($A93,-1)+1,
All_Stats!$B:$B,"&lt;"&amp;EOMONTH($A93,0)+1,
All_Stats!$P:$P,"Email Marketing"
)</f>
        <v>0</v>
      </c>
      <c r="I93" s="152">
        <f>IFERROR(__xludf.DUMMYFUNCTION("COUNTUNIQUEIFS(All_Stats!A:A,
All_Stats!$D:$D,$B93,
All_Stats!$B:$B,""&gt;=""&amp;EOMONTH($A93,-1)+1,
All_Stats!$B:$B,""&lt;""&amp;EOMONTH($A93,0)+1,
All_Stats!$P:$P,""Email Marketing""
)"),0.0)</f>
        <v>0</v>
      </c>
    </row>
    <row r="94" hidden="1">
      <c r="A94" s="128">
        <v>44378.0</v>
      </c>
      <c r="B94" s="131" t="s">
        <v>452</v>
      </c>
      <c r="C94" s="134" t="str">
        <f>if(ifna(VLOOKUP(B94,'Vendor Directory'!A:C,3,0),"NOT FOUND")="","NOT FOUND",VLOOKUP(B94,'Vendor Directory'!A:C,3,0))</f>
        <v>#N/A</v>
      </c>
      <c r="D94" s="131">
        <f>SUMIFS(All_Stats!$G:$G,
All_Stats!$D:$D,$B94,
All_Stats!$B:$B,"&gt;="&amp;EOMONTH($A94,-1)+1,
All_Stats!$B:$B,"&lt;"&amp;EOMONTH($A94,0)+1,
All_Stats!$P:$P,"Email Marketing"
)</f>
        <v>0</v>
      </c>
      <c r="E94" s="113">
        <f>SUMIFS(All_Stats!$I:$I,
All_Stats!$D:$D,$B94,
All_Stats!$B:$B,"&gt;="&amp;EOMONTH($A94,-1)+1,
All_Stats!$B:$B,"&lt;"&amp;EOMONTH($A94,0)+1,
All_Stats!$P:$P,"Email Marketing"
)</f>
        <v>0</v>
      </c>
      <c r="F94" s="132" t="str">
        <f t="shared" si="16"/>
        <v>N/A</v>
      </c>
      <c r="G94" s="131">
        <f>SUMIFS(All_Stats!$H:$H,
All_Stats!$D:$D,$B94,
All_Stats!$B:$B,"&gt;="&amp;EOMONTH($A94,-1)+1,
All_Stats!$B:$B,"&lt;"&amp;EOMONTH($A94,0)+1,
All_Stats!$P:$P,"Email Marketing"
)</f>
        <v>0</v>
      </c>
      <c r="H94" s="113">
        <f>SUMIFS(All_Stats!$K:$K,
All_Stats!$D:$D,$B94,
All_Stats!$B:$B,"&gt;="&amp;EOMONTH($A94,-1)+1,
All_Stats!$B:$B,"&lt;"&amp;EOMONTH($A94,0)+1,
All_Stats!$P:$P,"Email Marketing"
)</f>
        <v>0</v>
      </c>
      <c r="I94" s="152">
        <f>IFERROR(__xludf.DUMMYFUNCTION("COUNTUNIQUEIFS(All_Stats!A:A,
All_Stats!$D:$D,$B94,
All_Stats!$B:$B,""&gt;=""&amp;EOMONTH($A94,-1)+1,
All_Stats!$B:$B,""&lt;""&amp;EOMONTH($A94,0)+1,
All_Stats!$P:$P,""Email Marketing""
)"),0.0)</f>
        <v>0</v>
      </c>
    </row>
    <row r="95" hidden="1">
      <c r="A95" s="135"/>
      <c r="B95" s="135"/>
      <c r="C95" s="136" t="s">
        <v>23</v>
      </c>
      <c r="D95" s="137">
        <f t="shared" ref="D95:E95" si="17">SUM(D92:D94)</f>
        <v>0</v>
      </c>
      <c r="E95" s="137">
        <f t="shared" si="17"/>
        <v>0</v>
      </c>
      <c r="F95" s="138" t="str">
        <f t="shared" si="16"/>
        <v>N/A</v>
      </c>
      <c r="G95" s="137">
        <f t="shared" ref="G95:H95" si="18">SUM(G92:G94)</f>
        <v>0</v>
      </c>
      <c r="H95" s="137">
        <f t="shared" si="18"/>
        <v>0</v>
      </c>
      <c r="I95" s="137"/>
    </row>
    <row r="96" hidden="1">
      <c r="A96" s="131"/>
      <c r="B96" s="131"/>
      <c r="C96" s="131"/>
      <c r="D96" s="140"/>
      <c r="F96" s="131"/>
      <c r="G96" s="131"/>
    </row>
    <row r="97" hidden="1">
      <c r="C97" s="118" t="s">
        <v>504</v>
      </c>
      <c r="D97" s="119"/>
      <c r="E97" s="119"/>
      <c r="F97" s="119"/>
      <c r="G97" s="119"/>
      <c r="H97" s="119"/>
      <c r="I97" s="159"/>
    </row>
    <row r="98" hidden="1">
      <c r="A98" s="121" t="s">
        <v>1</v>
      </c>
      <c r="B98" s="122" t="s">
        <v>485</v>
      </c>
      <c r="C98" s="123" t="s">
        <v>486</v>
      </c>
      <c r="D98" s="124" t="s">
        <v>6</v>
      </c>
      <c r="E98" s="125" t="s">
        <v>8</v>
      </c>
      <c r="F98" s="124" t="s">
        <v>479</v>
      </c>
      <c r="G98" s="126" t="s">
        <v>7</v>
      </c>
      <c r="H98" s="125" t="s">
        <v>10</v>
      </c>
      <c r="I98" s="160" t="s">
        <v>487</v>
      </c>
    </row>
    <row r="99" hidden="1">
      <c r="A99" s="128">
        <v>44378.0</v>
      </c>
      <c r="B99" s="131" t="s">
        <v>127</v>
      </c>
      <c r="C99" s="163" t="str">
        <f>if(ifna(VLOOKUP(B99,'Vendor Directory'!A:C,3,0),"NOT FOUND")="","NOT FOUND",VLOOKUP(B99,'Vendor Directory'!A:C,3,0))</f>
        <v>#N/A</v>
      </c>
      <c r="D99" s="131">
        <f>SUMIFS(All_Stats!$G:$G,
All_Stats!$D:$D,$B99,
All_Stats!$B:$B,"&gt;="&amp;EOMONTH($A99,-1)+1,
All_Stats!$B:$B,"&lt;"&amp;EOMONTH($A99,0)+1,
All_Stats!$P:$P,"&lt;&gt;Email Marketing"
)</f>
        <v>0</v>
      </c>
      <c r="E99" s="113">
        <f>SUMIFS(All_Stats!$I:$I,
All_Stats!$D:$D,$B99,
All_Stats!$B:$B,"&gt;="&amp;EOMONTH($A99,-1)+1,
All_Stats!$B:$B,"&lt;"&amp;EOMONTH($A99,0)+1,
All_Stats!$P:$P,"&lt;&gt;Email Marketing"
)</f>
        <v>0</v>
      </c>
      <c r="F99" s="132" t="str">
        <f t="shared" ref="F99:F113" si="19">iferror(E99/D99,"N/A")</f>
        <v>N/A</v>
      </c>
      <c r="G99" s="131">
        <f>SUMIFS(All_Stats!$H:$H,
All_Stats!$D:$D,$B99,
All_Stats!$B:$B,"&gt;="&amp;EOMONTH($A99,-1)+1,
All_Stats!$B:$B,"&lt;"&amp;EOMONTH($A99,0)+1,
All_Stats!$P:$P,"&lt;&gt;Email Marketing"
)</f>
        <v>0</v>
      </c>
      <c r="H99" s="113">
        <f>SUMIFS(All_Stats!$K:$K,
All_Stats!$D:$D,$B99,
All_Stats!$B:$B,"&gt;="&amp;EOMONTH($A99,-1)+1,
All_Stats!$B:$B,"&lt;"&amp;EOMONTH($A99,0)+1,
All_Stats!$P:$P,"&lt;&gt;Email Marketing"
)</f>
        <v>0</v>
      </c>
      <c r="I99" s="152">
        <f>IFERROR(__xludf.DUMMYFUNCTION("COUNTUNIQUEIFS(All_Stats!A:A,
All_Stats!$D:$D,$B99,
All_Stats!$B:$B,""&gt;=""&amp;EOMONTH($A99,-1)+1,
All_Stats!$B:$B,""&lt;""&amp;EOMONTH($A99,0)+1,
All_Stats!$P:$P,""&lt;&gt;Email Marketing""
)"),0.0)</f>
        <v>0</v>
      </c>
    </row>
    <row r="100" hidden="1">
      <c r="A100" s="128">
        <v>44378.0</v>
      </c>
      <c r="B100" s="131" t="s">
        <v>157</v>
      </c>
      <c r="C100" s="163" t="str">
        <f>if(ifna(VLOOKUP(B100,'Vendor Directory'!A:C,3,0),"NOT FOUND")="","NOT FOUND",VLOOKUP(B100,'Vendor Directory'!A:C,3,0))</f>
        <v>#N/A</v>
      </c>
      <c r="D100" s="131">
        <f>SUMIFS(All_Stats!$G:$G,
All_Stats!$D:$D,$B100,
All_Stats!$B:$B,"&gt;="&amp;EOMONTH($A100,-1)+1,
All_Stats!$B:$B,"&lt;"&amp;EOMONTH($A100,0)+1,
All_Stats!$P:$P,"&lt;&gt;Email Marketing"
)</f>
        <v>0</v>
      </c>
      <c r="E100" s="113">
        <f>SUMIFS(All_Stats!$I:$I,
All_Stats!$D:$D,$B100,
All_Stats!$B:$B,"&gt;="&amp;EOMONTH($A100,-1)+1,
All_Stats!$B:$B,"&lt;"&amp;EOMONTH($A100,0)+1,
All_Stats!$P:$P,"&lt;&gt;Email Marketing"
)</f>
        <v>0</v>
      </c>
      <c r="F100" s="132" t="str">
        <f t="shared" si="19"/>
        <v>N/A</v>
      </c>
      <c r="G100" s="131">
        <f>SUMIFS(All_Stats!$H:$H,
All_Stats!$D:$D,$B100,
All_Stats!$B:$B,"&gt;="&amp;EOMONTH($A100,-1)+1,
All_Stats!$B:$B,"&lt;"&amp;EOMONTH($A100,0)+1,
All_Stats!$P:$P,"&lt;&gt;Email Marketing"
)</f>
        <v>0</v>
      </c>
      <c r="H100" s="113">
        <f>SUMIFS(All_Stats!$K:$K,
All_Stats!$D:$D,$B100,
All_Stats!$B:$B,"&gt;="&amp;EOMONTH($A100,-1)+1,
All_Stats!$B:$B,"&lt;"&amp;EOMONTH($A100,0)+1,
All_Stats!$P:$P,"&lt;&gt;Email Marketing"
)</f>
        <v>0</v>
      </c>
      <c r="I100" s="152">
        <f>IFERROR(__xludf.DUMMYFUNCTION("COUNTUNIQUEIFS(All_Stats!A:A,
All_Stats!$D:$D,$B100,
All_Stats!$B:$B,""&gt;=""&amp;EOMONTH($A100,-1)+1,
All_Stats!$B:$B,""&lt;""&amp;EOMONTH($A100,0)+1,
All_Stats!$P:$P,""&lt;&gt;Email Marketing""
)"),0.0)</f>
        <v>0</v>
      </c>
    </row>
    <row r="101" hidden="1">
      <c r="A101" s="128">
        <v>44378.0</v>
      </c>
      <c r="B101" s="131" t="s">
        <v>30</v>
      </c>
      <c r="C101" s="163" t="str">
        <f>if(ifna(VLOOKUP(B101,'Vendor Directory'!A:C,3,0),"NOT FOUND")="","NOT FOUND",VLOOKUP(B101,'Vendor Directory'!A:C,3,0))</f>
        <v>Vendor 2 Name</v>
      </c>
      <c r="D101" s="131">
        <f>SUMIFS(All_Stats!$G:$G,
All_Stats!$D:$D,$B101,
All_Stats!$B:$B,"&gt;="&amp;EOMONTH($A101,-1)+1,
All_Stats!$B:$B,"&lt;"&amp;EOMONTH($A101,0)+1,
All_Stats!$P:$P,"&lt;&gt;Email Marketing"
)</f>
        <v>0</v>
      </c>
      <c r="E101" s="113">
        <f>SUMIFS(All_Stats!$I:$I,
All_Stats!$D:$D,$B101,
All_Stats!$B:$B,"&gt;="&amp;EOMONTH($A101,-1)+1,
All_Stats!$B:$B,"&lt;"&amp;EOMONTH($A101,0)+1,
All_Stats!$P:$P,"&lt;&gt;Email Marketing"
)</f>
        <v>0</v>
      </c>
      <c r="F101" s="132" t="str">
        <f t="shared" si="19"/>
        <v>N/A</v>
      </c>
      <c r="G101" s="131">
        <f>SUMIFS(All_Stats!$H:$H,
All_Stats!$D:$D,$B101,
All_Stats!$B:$B,"&gt;="&amp;EOMONTH($A101,-1)+1,
All_Stats!$B:$B,"&lt;"&amp;EOMONTH($A101,0)+1,
All_Stats!$P:$P,"&lt;&gt;Email Marketing"
)</f>
        <v>0</v>
      </c>
      <c r="H101" s="113">
        <f>SUMIFS(All_Stats!$K:$K,
All_Stats!$D:$D,$B101,
All_Stats!$B:$B,"&gt;="&amp;EOMONTH($A101,-1)+1,
All_Stats!$B:$B,"&lt;"&amp;EOMONTH($A101,0)+1,
All_Stats!$P:$P,"&lt;&gt;Email Marketing"
)</f>
        <v>0</v>
      </c>
      <c r="I101" s="152">
        <f>IFERROR(__xludf.DUMMYFUNCTION("COUNTUNIQUEIFS(All_Stats!A:A,
All_Stats!$D:$D,$B101,
All_Stats!$B:$B,""&gt;=""&amp;EOMONTH($A101,-1)+1,
All_Stats!$B:$B,""&lt;""&amp;EOMONTH($A101,0)+1,
All_Stats!$P:$P,""&lt;&gt;Email Marketing""
)"),0.0)</f>
        <v>0</v>
      </c>
    </row>
    <row r="102" hidden="1">
      <c r="A102" s="128">
        <v>44378.0</v>
      </c>
      <c r="B102" s="131" t="s">
        <v>164</v>
      </c>
      <c r="C102" s="163" t="str">
        <f>if(ifna(VLOOKUP(B102,'Vendor Directory'!A:C,3,0),"NOT FOUND")="","NOT FOUND",VLOOKUP(B102,'Vendor Directory'!A:C,3,0))</f>
        <v>#N/A</v>
      </c>
      <c r="D102" s="131">
        <f>SUMIFS(All_Stats!$G:$G,
All_Stats!$D:$D,$B102,
All_Stats!$B:$B,"&gt;="&amp;EOMONTH($A102,-1)+1,
All_Stats!$B:$B,"&lt;"&amp;EOMONTH($A102,0)+1,
All_Stats!$P:$P,"&lt;&gt;Email Marketing"
)</f>
        <v>0</v>
      </c>
      <c r="E102" s="113">
        <f>SUMIFS(All_Stats!$I:$I,
All_Stats!$D:$D,$B102,
All_Stats!$B:$B,"&gt;="&amp;EOMONTH($A102,-1)+1,
All_Stats!$B:$B,"&lt;"&amp;EOMONTH($A102,0)+1,
All_Stats!$P:$P,"&lt;&gt;Email Marketing"
)</f>
        <v>0</v>
      </c>
      <c r="F102" s="132" t="str">
        <f t="shared" si="19"/>
        <v>N/A</v>
      </c>
      <c r="G102" s="131">
        <f>SUMIFS(All_Stats!$H:$H,
All_Stats!$D:$D,$B102,
All_Stats!$B:$B,"&gt;="&amp;EOMONTH($A102,-1)+1,
All_Stats!$B:$B,"&lt;"&amp;EOMONTH($A102,0)+1,
All_Stats!$P:$P,"&lt;&gt;Email Marketing"
)</f>
        <v>0</v>
      </c>
      <c r="H102" s="113">
        <f>SUMIFS(All_Stats!$K:$K,
All_Stats!$D:$D,$B102,
All_Stats!$B:$B,"&gt;="&amp;EOMONTH($A102,-1)+1,
All_Stats!$B:$B,"&lt;"&amp;EOMONTH($A102,0)+1,
All_Stats!$P:$P,"&lt;&gt;Email Marketing"
)</f>
        <v>0</v>
      </c>
      <c r="I102" s="152">
        <f>IFERROR(__xludf.DUMMYFUNCTION("COUNTUNIQUEIFS(All_Stats!A:A,
All_Stats!$D:$D,$B102,
All_Stats!$B:$B,""&gt;=""&amp;EOMONTH($A102,-1)+1,
All_Stats!$B:$B,""&lt;""&amp;EOMONTH($A102,0)+1,
All_Stats!$P:$P,""&lt;&gt;Email Marketing""
)"),0.0)</f>
        <v>0</v>
      </c>
    </row>
    <row r="103" hidden="1">
      <c r="A103" s="128">
        <v>44378.0</v>
      </c>
      <c r="B103" s="131" t="s">
        <v>172</v>
      </c>
      <c r="C103" s="163" t="str">
        <f>if(ifna(VLOOKUP(B103,'Vendor Directory'!A:C,3,0),"NOT FOUND")="","NOT FOUND",VLOOKUP(B103,'Vendor Directory'!A:C,3,0))</f>
        <v>#N/A</v>
      </c>
      <c r="D103" s="131">
        <f>SUMIFS(All_Stats!$G:$G,
All_Stats!$D:$D,$B103,
All_Stats!$B:$B,"&gt;="&amp;EOMONTH($A103,-1)+1,
All_Stats!$B:$B,"&lt;"&amp;EOMONTH($A103,0)+1,
All_Stats!$P:$P,"&lt;&gt;Email Marketing"
)</f>
        <v>0</v>
      </c>
      <c r="E103" s="113">
        <f>SUMIFS(All_Stats!$I:$I,
All_Stats!$D:$D,$B103,
All_Stats!$B:$B,"&gt;="&amp;EOMONTH($A103,-1)+1,
All_Stats!$B:$B,"&lt;"&amp;EOMONTH($A103,0)+1,
All_Stats!$P:$P,"&lt;&gt;Email Marketing"
)</f>
        <v>0</v>
      </c>
      <c r="F103" s="132" t="str">
        <f t="shared" si="19"/>
        <v>N/A</v>
      </c>
      <c r="G103" s="131">
        <f>SUMIFS(All_Stats!$H:$H,
All_Stats!$D:$D,$B103,
All_Stats!$B:$B,"&gt;="&amp;EOMONTH($A103,-1)+1,
All_Stats!$B:$B,"&lt;"&amp;EOMONTH($A103,0)+1,
All_Stats!$P:$P,"&lt;&gt;Email Marketing"
)</f>
        <v>0</v>
      </c>
      <c r="H103" s="113">
        <f>SUMIFS(All_Stats!$K:$K,
All_Stats!$D:$D,$B103,
All_Stats!$B:$B,"&gt;="&amp;EOMONTH($A103,-1)+1,
All_Stats!$B:$B,"&lt;"&amp;EOMONTH($A103,0)+1,
All_Stats!$P:$P,"&lt;&gt;Email Marketing"
)</f>
        <v>0</v>
      </c>
      <c r="I103" s="152">
        <f>IFERROR(__xludf.DUMMYFUNCTION("COUNTUNIQUEIFS(All_Stats!A:A,
All_Stats!$D:$D,$B103,
All_Stats!$B:$B,""&gt;=""&amp;EOMONTH($A103,-1)+1,
All_Stats!$B:$B,""&lt;""&amp;EOMONTH($A103,0)+1,
All_Stats!$P:$P,""&lt;&gt;Email Marketing""
)"),0.0)</f>
        <v>0</v>
      </c>
    </row>
    <row r="104" hidden="1">
      <c r="A104" s="128">
        <v>44378.0</v>
      </c>
      <c r="B104" s="131" t="s">
        <v>452</v>
      </c>
      <c r="C104" s="163" t="str">
        <f>if(ifna(VLOOKUP(B104,'Vendor Directory'!A:C,3,0),"NOT FOUND")="","NOT FOUND",VLOOKUP(B104,'Vendor Directory'!A:C,3,0))</f>
        <v>#N/A</v>
      </c>
      <c r="D104" s="131">
        <f>SUMIFS(All_Stats!$G:$G,
All_Stats!$D:$D,$B104,
All_Stats!$B:$B,"&gt;="&amp;EOMONTH($A104,-1)+1,
All_Stats!$B:$B,"&lt;"&amp;EOMONTH($A104,0)+1,
All_Stats!$P:$P,"&lt;&gt;Email Marketing"
)</f>
        <v>0</v>
      </c>
      <c r="E104" s="113">
        <f>SUMIFS(All_Stats!$I:$I,
All_Stats!$D:$D,$B104,
All_Stats!$B:$B,"&gt;="&amp;EOMONTH($A104,-1)+1,
All_Stats!$B:$B,"&lt;"&amp;EOMONTH($A104,0)+1,
All_Stats!$P:$P,"&lt;&gt;Email Marketing"
)</f>
        <v>0</v>
      </c>
      <c r="F104" s="132" t="str">
        <f t="shared" si="19"/>
        <v>N/A</v>
      </c>
      <c r="G104" s="131">
        <f>SUMIFS(All_Stats!$H:$H,
All_Stats!$D:$D,$B104,
All_Stats!$B:$B,"&gt;="&amp;EOMONTH($A104,-1)+1,
All_Stats!$B:$B,"&lt;"&amp;EOMONTH($A104,0)+1,
All_Stats!$P:$P,"&lt;&gt;Email Marketing"
)</f>
        <v>0</v>
      </c>
      <c r="H104" s="113">
        <f>SUMIFS(All_Stats!$K:$K,
All_Stats!$D:$D,$B104,
All_Stats!$B:$B,"&gt;="&amp;EOMONTH($A104,-1)+1,
All_Stats!$B:$B,"&lt;"&amp;EOMONTH($A104,0)+1,
All_Stats!$P:$P,"&lt;&gt;Email Marketing"
)</f>
        <v>0</v>
      </c>
      <c r="I104" s="152">
        <f>IFERROR(__xludf.DUMMYFUNCTION("COUNTUNIQUEIFS(All_Stats!A:A,
All_Stats!$D:$D,$B104,
All_Stats!$B:$B,""&gt;=""&amp;EOMONTH($A104,-1)+1,
All_Stats!$B:$B,""&lt;""&amp;EOMONTH($A104,0)+1,
All_Stats!$P:$P,""&lt;&gt;Email Marketing""
)"),0.0)</f>
        <v>0</v>
      </c>
    </row>
    <row r="105" hidden="1">
      <c r="A105" s="128">
        <v>44378.0</v>
      </c>
      <c r="B105" s="131" t="s">
        <v>499</v>
      </c>
      <c r="C105" s="163" t="str">
        <f>if(ifna(VLOOKUP(B105,'Vendor Directory'!A:C,3,0),"NOT FOUND")="","NOT FOUND",VLOOKUP(B105,'Vendor Directory'!A:C,3,0))</f>
        <v>#N/A</v>
      </c>
      <c r="D105" s="131">
        <f>SUMIFS(All_Stats!$G:$G,
All_Stats!$D:$D,$B105,
All_Stats!$B:$B,"&gt;="&amp;EOMONTH($A105,-1)+1,
All_Stats!$B:$B,"&lt;"&amp;EOMONTH($A105,0)+1,
All_Stats!$P:$P,"&lt;&gt;Email Marketing"
)</f>
        <v>0</v>
      </c>
      <c r="E105" s="113">
        <f>SUMIFS(All_Stats!$I:$I,
All_Stats!$D:$D,$B105,
All_Stats!$B:$B,"&gt;="&amp;EOMONTH($A105,-1)+1,
All_Stats!$B:$B,"&lt;"&amp;EOMONTH($A105,0)+1,
All_Stats!$P:$P,"&lt;&gt;Email Marketing"
)</f>
        <v>0</v>
      </c>
      <c r="F105" s="132" t="str">
        <f t="shared" si="19"/>
        <v>N/A</v>
      </c>
      <c r="G105" s="131">
        <f>SUMIFS(All_Stats!$H:$H,
All_Stats!$D:$D,$B105,
All_Stats!$B:$B,"&gt;="&amp;EOMONTH($A105,-1)+1,
All_Stats!$B:$B,"&lt;"&amp;EOMONTH($A105,0)+1,
All_Stats!$P:$P,"&lt;&gt;Email Marketing"
)</f>
        <v>0</v>
      </c>
      <c r="H105" s="113">
        <f>SUMIFS(All_Stats!$K:$K,
All_Stats!$D:$D,$B105,
All_Stats!$B:$B,"&gt;="&amp;EOMONTH($A105,-1)+1,
All_Stats!$B:$B,"&lt;"&amp;EOMONTH($A105,0)+1,
All_Stats!$P:$P,"&lt;&gt;Email Marketing"
)</f>
        <v>0</v>
      </c>
      <c r="I105" s="152">
        <f>IFERROR(__xludf.DUMMYFUNCTION("COUNTUNIQUEIFS(All_Stats!A:A,
All_Stats!$D:$D,$B105,
All_Stats!$B:$B,""&gt;=""&amp;EOMONTH($A105,-1)+1,
All_Stats!$B:$B,""&lt;""&amp;EOMONTH($A105,0)+1,
All_Stats!$P:$P,""&lt;&gt;Email Marketing""
)"),0.0)</f>
        <v>0</v>
      </c>
    </row>
    <row r="106" hidden="1">
      <c r="A106" s="128">
        <v>44378.0</v>
      </c>
      <c r="B106" s="131" t="s">
        <v>500</v>
      </c>
      <c r="C106" s="163" t="str">
        <f>if(ifna(VLOOKUP(B106,'Vendor Directory'!A:C,3,0),"NOT FOUND")="","NOT FOUND",VLOOKUP(B106,'Vendor Directory'!A:C,3,0))</f>
        <v>#N/A</v>
      </c>
      <c r="D106" s="131">
        <f>SUMIFS(All_Stats!$G:$G,
All_Stats!$D:$D,$B106,
All_Stats!$B:$B,"&gt;="&amp;EOMONTH($A106,-1)+1,
All_Stats!$B:$B,"&lt;"&amp;EOMONTH($A106,0)+1,
All_Stats!$P:$P,"&lt;&gt;Email Marketing"
)</f>
        <v>0</v>
      </c>
      <c r="E106" s="113">
        <f>SUMIFS(All_Stats!$I:$I,
All_Stats!$D:$D,$B106,
All_Stats!$B:$B,"&gt;="&amp;EOMONTH($A106,-1)+1,
All_Stats!$B:$B,"&lt;"&amp;EOMONTH($A106,0)+1,
All_Stats!$P:$P,"&lt;&gt;Email Marketing"
)</f>
        <v>0</v>
      </c>
      <c r="F106" s="132" t="str">
        <f t="shared" si="19"/>
        <v>N/A</v>
      </c>
      <c r="G106" s="131">
        <f>SUMIFS(All_Stats!$H:$H,
All_Stats!$D:$D,$B106,
All_Stats!$B:$B,"&gt;="&amp;EOMONTH($A106,-1)+1,
All_Stats!$B:$B,"&lt;"&amp;EOMONTH($A106,0)+1,
All_Stats!$P:$P,"&lt;&gt;Email Marketing"
)</f>
        <v>0</v>
      </c>
      <c r="H106" s="113">
        <f>SUMIFS(All_Stats!$K:$K,
All_Stats!$D:$D,$B106,
All_Stats!$B:$B,"&gt;="&amp;EOMONTH($A106,-1)+1,
All_Stats!$B:$B,"&lt;"&amp;EOMONTH($A106,0)+1,
All_Stats!$P:$P,"&lt;&gt;Email Marketing"
)</f>
        <v>0</v>
      </c>
      <c r="I106" s="152">
        <f>IFERROR(__xludf.DUMMYFUNCTION("COUNTUNIQUEIFS(All_Stats!A:A,
All_Stats!$D:$D,$B106,
All_Stats!$B:$B,""&gt;=""&amp;EOMONTH($A106,-1)+1,
All_Stats!$B:$B,""&lt;""&amp;EOMONTH($A106,0)+1,
All_Stats!$P:$P,""&lt;&gt;Email Marketing""
)"),0.0)</f>
        <v>0</v>
      </c>
    </row>
    <row r="107" hidden="1">
      <c r="A107" s="128">
        <v>44378.0</v>
      </c>
      <c r="B107" s="131" t="s">
        <v>91</v>
      </c>
      <c r="C107" s="163" t="str">
        <f>if(ifna(VLOOKUP(B107,'Vendor Directory'!A:C,3,0),"NOT FOUND")="","NOT FOUND",VLOOKUP(B107,'Vendor Directory'!A:C,3,0))</f>
        <v>#N/A</v>
      </c>
      <c r="D107" s="131">
        <f>SUMIFS(All_Stats!$G:$G,
All_Stats!$D:$D,$B107,
All_Stats!$B:$B,"&gt;="&amp;EOMONTH($A107,-1)+1,
All_Stats!$B:$B,"&lt;"&amp;EOMONTH($A107,0)+1,
All_Stats!$P:$P,"&lt;&gt;Email Marketing"
)</f>
        <v>0</v>
      </c>
      <c r="E107" s="113">
        <f>SUMIFS(All_Stats!$I:$I,
All_Stats!$D:$D,$B107,
All_Stats!$B:$B,"&gt;="&amp;EOMONTH($A107,-1)+1,
All_Stats!$B:$B,"&lt;"&amp;EOMONTH($A107,0)+1,
All_Stats!$P:$P,"&lt;&gt;Email Marketing"
)</f>
        <v>0</v>
      </c>
      <c r="F107" s="132" t="str">
        <f t="shared" si="19"/>
        <v>N/A</v>
      </c>
      <c r="G107" s="131">
        <f>SUMIFS(All_Stats!$H:$H,
All_Stats!$D:$D,$B107,
All_Stats!$B:$B,"&gt;="&amp;EOMONTH($A107,-1)+1,
All_Stats!$B:$B,"&lt;"&amp;EOMONTH($A107,0)+1,
All_Stats!$P:$P,"&lt;&gt;Email Marketing"
)</f>
        <v>0</v>
      </c>
      <c r="H107" s="113">
        <f>SUMIFS(All_Stats!$K:$K,
All_Stats!$D:$D,$B107,
All_Stats!$B:$B,"&gt;="&amp;EOMONTH($A107,-1)+1,
All_Stats!$B:$B,"&lt;"&amp;EOMONTH($A107,0)+1,
All_Stats!$P:$P,"&lt;&gt;Email Marketing"
)</f>
        <v>0</v>
      </c>
      <c r="I107" s="152">
        <f>IFERROR(__xludf.DUMMYFUNCTION("COUNTUNIQUEIFS(All_Stats!A:A,
All_Stats!$D:$D,$B107,
All_Stats!$B:$B,""&gt;=""&amp;EOMONTH($A107,-1)+1,
All_Stats!$B:$B,""&lt;""&amp;EOMONTH($A107,0)+1,
All_Stats!$P:$P,""&lt;&gt;Email Marketing""
)"),0.0)</f>
        <v>0</v>
      </c>
    </row>
    <row r="108" hidden="1">
      <c r="A108" s="128">
        <v>44378.0</v>
      </c>
      <c r="B108" s="131" t="s">
        <v>501</v>
      </c>
      <c r="C108" s="163" t="str">
        <f>if(ifna(VLOOKUP(B108,'Vendor Directory'!A:C,3,0),"NOT FOUND")="","NOT FOUND",VLOOKUP(B108,'Vendor Directory'!A:C,3,0))</f>
        <v>#N/A</v>
      </c>
      <c r="D108" s="131">
        <f>SUMIFS(All_Stats!$G:$G,
All_Stats!$D:$D,$B108,
All_Stats!$B:$B,"&gt;="&amp;EOMONTH($A108,-1)+1,
All_Stats!$B:$B,"&lt;"&amp;EOMONTH($A108,0)+1,
All_Stats!$P:$P,"&lt;&gt;Email Marketing"
)</f>
        <v>0</v>
      </c>
      <c r="E108" s="113">
        <f>SUMIFS(All_Stats!$I:$I,
All_Stats!$D:$D,$B108,
All_Stats!$B:$B,"&gt;="&amp;EOMONTH($A108,-1)+1,
All_Stats!$B:$B,"&lt;"&amp;EOMONTH($A108,0)+1,
All_Stats!$P:$P,"&lt;&gt;Email Marketing"
)</f>
        <v>0</v>
      </c>
      <c r="F108" s="132" t="str">
        <f t="shared" si="19"/>
        <v>N/A</v>
      </c>
      <c r="G108" s="131">
        <f>SUMIFS(All_Stats!$H:$H,
All_Stats!$D:$D,$B108,
All_Stats!$B:$B,"&gt;="&amp;EOMONTH($A108,-1)+1,
All_Stats!$B:$B,"&lt;"&amp;EOMONTH($A108,0)+1,
All_Stats!$P:$P,"&lt;&gt;Email Marketing"
)</f>
        <v>0</v>
      </c>
      <c r="H108" s="113">
        <f>SUMIFS(All_Stats!$K:$K,
All_Stats!$D:$D,$B108,
All_Stats!$B:$B,"&gt;="&amp;EOMONTH($A108,-1)+1,
All_Stats!$B:$B,"&lt;"&amp;EOMONTH($A108,0)+1,
All_Stats!$P:$P,"&lt;&gt;Email Marketing"
)</f>
        <v>0</v>
      </c>
      <c r="I108" s="152">
        <f>IFERROR(__xludf.DUMMYFUNCTION("COUNTUNIQUEIFS(All_Stats!A:A,
All_Stats!$D:$D,$B108,
All_Stats!$B:$B,""&gt;=""&amp;EOMONTH($A108,-1)+1,
All_Stats!$B:$B,""&lt;""&amp;EOMONTH($A108,0)+1,
All_Stats!$P:$P,""&lt;&gt;Email Marketing""
)"),0.0)</f>
        <v>0</v>
      </c>
    </row>
    <row r="109" hidden="1">
      <c r="A109" s="128">
        <v>44378.0</v>
      </c>
      <c r="B109" s="131" t="s">
        <v>417</v>
      </c>
      <c r="C109" s="163" t="str">
        <f>if(ifna(VLOOKUP(B109,'Vendor Directory'!A:C,3,0),"NOT FOUND")="","NOT FOUND",VLOOKUP(B109,'Vendor Directory'!A:C,3,0))</f>
        <v>#N/A</v>
      </c>
      <c r="D109" s="131">
        <f>SUMIFS(All_Stats!$G:$G,
All_Stats!$D:$D,$B109,
All_Stats!$B:$B,"&gt;="&amp;EOMONTH($A109,-1)+1,
All_Stats!$B:$B,"&lt;"&amp;EOMONTH($A109,0)+1,
All_Stats!$P:$P,"&lt;&gt;Email Marketing"
)</f>
        <v>0</v>
      </c>
      <c r="E109" s="113">
        <f>SUMIFS(All_Stats!$I:$I,
All_Stats!$D:$D,$B109,
All_Stats!$B:$B,"&gt;="&amp;EOMONTH($A109,-1)+1,
All_Stats!$B:$B,"&lt;"&amp;EOMONTH($A109,0)+1,
All_Stats!$P:$P,"&lt;&gt;Email Marketing"
)</f>
        <v>0</v>
      </c>
      <c r="F109" s="132" t="str">
        <f t="shared" si="19"/>
        <v>N/A</v>
      </c>
      <c r="G109" s="131">
        <f>SUMIFS(All_Stats!$H:$H,
All_Stats!$D:$D,$B109,
All_Stats!$B:$B,"&gt;="&amp;EOMONTH($A109,-1)+1,
All_Stats!$B:$B,"&lt;"&amp;EOMONTH($A109,0)+1,
All_Stats!$P:$P,"&lt;&gt;Email Marketing"
)</f>
        <v>0</v>
      </c>
      <c r="H109" s="113">
        <f>SUMIFS(All_Stats!$K:$K,
All_Stats!$D:$D,$B109,
All_Stats!$B:$B,"&gt;="&amp;EOMONTH($A109,-1)+1,
All_Stats!$B:$B,"&lt;"&amp;EOMONTH($A109,0)+1,
All_Stats!$P:$P,"&lt;&gt;Email Marketing"
)</f>
        <v>0</v>
      </c>
      <c r="I109" s="152">
        <f>IFERROR(__xludf.DUMMYFUNCTION("COUNTUNIQUEIFS(All_Stats!A:A,
All_Stats!$D:$D,$B109,
All_Stats!$B:$B,""&gt;=""&amp;EOMONTH($A109,-1)+1,
All_Stats!$B:$B,""&lt;""&amp;EOMONTH($A109,0)+1,
All_Stats!$P:$P,""&lt;&gt;Email Marketing""
)"),0.0)</f>
        <v>0</v>
      </c>
    </row>
    <row r="110" hidden="1">
      <c r="A110" s="128">
        <v>44378.0</v>
      </c>
      <c r="B110" s="131" t="s">
        <v>505</v>
      </c>
      <c r="C110" s="163" t="str">
        <f>if(ifna(VLOOKUP(B110,'Vendor Directory'!A:C,3,0),"NOT FOUND")="","NOT FOUND",VLOOKUP(B110,'Vendor Directory'!A:C,3,0))</f>
        <v>#N/A</v>
      </c>
      <c r="D110" s="131">
        <f>SUMIFS(All_Stats!$G:$G,
All_Stats!$D:$D,$B110,
All_Stats!$B:$B,"&gt;="&amp;EOMONTH($A110,-1)+1,
All_Stats!$B:$B,"&lt;"&amp;EOMONTH($A110,0)+1,
All_Stats!$P:$P,"&lt;&gt;Email Marketing"
)</f>
        <v>0</v>
      </c>
      <c r="E110" s="113">
        <f>SUMIFS(All_Stats!$I:$I,
All_Stats!$D:$D,$B110,
All_Stats!$B:$B,"&gt;="&amp;EOMONTH($A110,-1)+1,
All_Stats!$B:$B,"&lt;"&amp;EOMONTH($A110,0)+1,
All_Stats!$P:$P,"&lt;&gt;Email Marketing"
)</f>
        <v>0</v>
      </c>
      <c r="F110" s="132" t="str">
        <f t="shared" si="19"/>
        <v>N/A</v>
      </c>
      <c r="G110" s="131">
        <f>SUMIFS(All_Stats!$H:$H,
All_Stats!$D:$D,$B110,
All_Stats!$B:$B,"&gt;="&amp;EOMONTH($A110,-1)+1,
All_Stats!$B:$B,"&lt;"&amp;EOMONTH($A110,0)+1,
All_Stats!$P:$P,"&lt;&gt;Email Marketing"
)</f>
        <v>0</v>
      </c>
      <c r="H110" s="113">
        <f>SUMIFS(All_Stats!$K:$K,
All_Stats!$D:$D,$B110,
All_Stats!$B:$B,"&gt;="&amp;EOMONTH($A110,-1)+1,
All_Stats!$B:$B,"&lt;"&amp;EOMONTH($A110,0)+1,
All_Stats!$P:$P,"&lt;&gt;Email Marketing"
)</f>
        <v>0</v>
      </c>
      <c r="I110" s="152">
        <f>IFERROR(__xludf.DUMMYFUNCTION("COUNTUNIQUEIFS(All_Stats!A:A,
All_Stats!$D:$D,$B110,
All_Stats!$B:$B,""&gt;=""&amp;EOMONTH($A110,-1)+1,
All_Stats!$B:$B,""&lt;""&amp;EOMONTH($A110,0)+1,
All_Stats!$P:$P,""&lt;&gt;Email Marketing""
)"),0.0)</f>
        <v>0</v>
      </c>
    </row>
    <row r="111" hidden="1">
      <c r="A111" s="128">
        <v>44378.0</v>
      </c>
      <c r="B111" s="131" t="s">
        <v>506</v>
      </c>
      <c r="C111" s="163" t="str">
        <f>if(ifna(VLOOKUP(B111,'Vendor Directory'!A:C,3,0),"NOT FOUND")="","NOT FOUND",VLOOKUP(B111,'Vendor Directory'!A:C,3,0))</f>
        <v>#N/A</v>
      </c>
      <c r="D111" s="131">
        <f>SUMIFS(All_Stats!$G:$G,
All_Stats!$D:$D,$B111,
All_Stats!$B:$B,"&gt;="&amp;EOMONTH($A111,-1)+1,
All_Stats!$B:$B,"&lt;"&amp;EOMONTH($A111,0)+1,
All_Stats!$P:$P,"&lt;&gt;Email Marketing"
)</f>
        <v>0</v>
      </c>
      <c r="E111" s="113">
        <f>SUMIFS(All_Stats!$I:$I,
All_Stats!$D:$D,$B111,
All_Stats!$B:$B,"&gt;="&amp;EOMONTH($A111,-1)+1,
All_Stats!$B:$B,"&lt;"&amp;EOMONTH($A111,0)+1,
All_Stats!$P:$P,"&lt;&gt;Email Marketing"
)</f>
        <v>0</v>
      </c>
      <c r="F111" s="132" t="str">
        <f t="shared" si="19"/>
        <v>N/A</v>
      </c>
      <c r="G111" s="131">
        <f>SUMIFS(All_Stats!$H:$H,
All_Stats!$D:$D,$B111,
All_Stats!$B:$B,"&gt;="&amp;EOMONTH($A111,-1)+1,
All_Stats!$B:$B,"&lt;"&amp;EOMONTH($A111,0)+1,
All_Stats!$P:$P,"&lt;&gt;Email Marketing"
)</f>
        <v>0</v>
      </c>
      <c r="H111" s="113">
        <f>SUMIFS(All_Stats!$K:$K,
All_Stats!$D:$D,$B111,
All_Stats!$B:$B,"&gt;="&amp;EOMONTH($A111,-1)+1,
All_Stats!$B:$B,"&lt;"&amp;EOMONTH($A111,0)+1,
All_Stats!$P:$P,"&lt;&gt;Email Marketing"
)</f>
        <v>0</v>
      </c>
      <c r="I111" s="152">
        <f>IFERROR(__xludf.DUMMYFUNCTION("COUNTUNIQUEIFS(All_Stats!A:A,
All_Stats!$D:$D,$B111,
All_Stats!$B:$B,""&gt;=""&amp;EOMONTH($A111,-1)+1,
All_Stats!$B:$B,""&lt;""&amp;EOMONTH($A111,0)+1,
All_Stats!$P:$P,""&lt;&gt;Email Marketing""
)"),0.0)</f>
        <v>0</v>
      </c>
    </row>
    <row r="112" hidden="1">
      <c r="A112" s="128">
        <v>44378.0</v>
      </c>
      <c r="B112" s="131" t="s">
        <v>510</v>
      </c>
      <c r="C112" s="163" t="str">
        <f>if(ifna(VLOOKUP(B112,'Vendor Directory'!A:C,3,0),"NOT FOUND")="","NOT FOUND",VLOOKUP(B112,'Vendor Directory'!A:C,3,0))</f>
        <v>#N/A</v>
      </c>
      <c r="D112" s="114">
        <f>SUMIFS(All_Stats!$G:$G,
All_Stats!$D:$D,$B112,
All_Stats!$B:$B,"&gt;="&amp;EOMONTH($A112,-1)+1,
All_Stats!$B:$B,"&lt;"&amp;EOMONTH($A112,0)+1,
All_Stats!$P:$P,"&lt;&gt;Email Marketing"
)</f>
        <v>0</v>
      </c>
      <c r="E112" s="113">
        <f>SUMIFS(All_Stats!$I:$I,
All_Stats!$D:$D,$B112,
All_Stats!$B:$B,"&gt;="&amp;EOMONTH($A112,-1)+1,
All_Stats!$B:$B,"&lt;"&amp;EOMONTH($A112,0)+1,
All_Stats!$P:$P,"&lt;&gt;Email Marketing"
)</f>
        <v>0</v>
      </c>
      <c r="F112" s="132" t="str">
        <f t="shared" si="19"/>
        <v>N/A</v>
      </c>
      <c r="G112" s="131">
        <f>SUMIFS(All_Stats!$H:$H,
All_Stats!$D:$D,$B112,
All_Stats!$B:$B,"&gt;="&amp;EOMONTH($A112,-1)+1,
All_Stats!$B:$B,"&lt;"&amp;EOMONTH($A112,0)+1,
All_Stats!$P:$P,"&lt;&gt;Email Marketing"
)</f>
        <v>0</v>
      </c>
      <c r="H112" s="113">
        <f>SUMIFS(All_Stats!$K:$K,
All_Stats!$D:$D,$B112,
All_Stats!$B:$B,"&gt;="&amp;EOMONTH($A112,-1)+1,
All_Stats!$B:$B,"&lt;"&amp;EOMONTH($A112,0)+1,
All_Stats!$P:$P,"&lt;&gt;Email Marketing"
)</f>
        <v>0</v>
      </c>
      <c r="I112" s="152">
        <f>IFERROR(__xludf.DUMMYFUNCTION("COUNTUNIQUEIFS(All_Stats!A:A,
All_Stats!$D:$D,$B112,
All_Stats!$B:$B,""&gt;=""&amp;EOMONTH($A112,-1)+1,
All_Stats!$B:$B,""&lt;""&amp;EOMONTH($A112,0)+1,
All_Stats!$P:$P,""&lt;&gt;Email Marketing""
)"),0.0)</f>
        <v>0</v>
      </c>
    </row>
    <row r="113" hidden="1">
      <c r="A113" s="135"/>
      <c r="B113" s="135"/>
      <c r="C113" s="136" t="s">
        <v>23</v>
      </c>
      <c r="D113" s="137">
        <f t="shared" ref="D113:E113" si="20">SUM(D99:D112)</f>
        <v>0</v>
      </c>
      <c r="E113" s="137">
        <f t="shared" si="20"/>
        <v>0</v>
      </c>
      <c r="F113" s="138" t="str">
        <f t="shared" si="19"/>
        <v>N/A</v>
      </c>
      <c r="G113" s="137">
        <f t="shared" ref="G113:H113" si="21">SUM(G99:G112)</f>
        <v>0</v>
      </c>
      <c r="H113" s="137">
        <f t="shared" si="21"/>
        <v>0</v>
      </c>
      <c r="I113" s="137"/>
    </row>
    <row r="114" hidden="1">
      <c r="A114" s="131"/>
      <c r="B114" s="131"/>
      <c r="C114" s="131"/>
      <c r="D114" s="140"/>
      <c r="F114" s="131"/>
      <c r="G114" s="131"/>
    </row>
    <row r="115" hidden="1">
      <c r="C115" s="118" t="s">
        <v>484</v>
      </c>
      <c r="D115" s="119"/>
      <c r="E115" s="119"/>
      <c r="F115" s="119"/>
      <c r="G115" s="119"/>
      <c r="H115" s="119"/>
      <c r="I115" s="159"/>
    </row>
    <row r="116" hidden="1">
      <c r="A116" s="121" t="s">
        <v>1</v>
      </c>
      <c r="B116" s="122" t="s">
        <v>485</v>
      </c>
      <c r="C116" s="123" t="s">
        <v>486</v>
      </c>
      <c r="D116" s="124" t="s">
        <v>6</v>
      </c>
      <c r="E116" s="125" t="s">
        <v>8</v>
      </c>
      <c r="F116" s="124" t="s">
        <v>479</v>
      </c>
      <c r="G116" s="126" t="s">
        <v>7</v>
      </c>
      <c r="H116" s="125" t="s">
        <v>10</v>
      </c>
      <c r="I116" s="160" t="s">
        <v>487</v>
      </c>
    </row>
    <row r="117" hidden="1">
      <c r="A117" s="128">
        <v>44409.0</v>
      </c>
      <c r="B117" s="131" t="s">
        <v>164</v>
      </c>
      <c r="C117" s="134" t="str">
        <f>if(ifna(VLOOKUP(B117,'Vendor Directory'!A:C,3,0),"NOT FOUND")="","NOT FOUND",VLOOKUP(B117,'Vendor Directory'!A:C,3,0))</f>
        <v>#N/A</v>
      </c>
      <c r="D117" s="131">
        <f>SUMIFS(All_Stats!$G:$G,
All_Stats!$D:$D,$B117,
All_Stats!$B:$B,"&gt;="&amp;EOMONTH($A117,-1)+1,
All_Stats!$B:$B,"&lt;"&amp;EOMONTH($A117,0)+1,
All_Stats!$P:$P,"Email Marketing"
)</f>
        <v>0</v>
      </c>
      <c r="E117" s="113">
        <f>SUMIFS(All_Stats!$I:$I,
All_Stats!$D:$D,$B117,
All_Stats!$B:$B,"&gt;="&amp;EOMONTH($A117,-1)+1,
All_Stats!$B:$B,"&lt;"&amp;EOMONTH($A117,0)+1,
All_Stats!$P:$P,"Email Marketing"
)</f>
        <v>0</v>
      </c>
      <c r="F117" s="132" t="str">
        <f t="shared" ref="F117:F120" si="22">iferror(E117/D117,"N/A")</f>
        <v>N/A</v>
      </c>
      <c r="G117" s="131">
        <f>SUMIFS(All_Stats!$H:$H,
All_Stats!$D:$D,$B117,
All_Stats!$B:$B,"&gt;="&amp;EOMONTH($A117,-1)+1,
All_Stats!$B:$B,"&lt;"&amp;EOMONTH($A117,0)+1,
All_Stats!$P:$P,"Email Marketing"
)</f>
        <v>0</v>
      </c>
      <c r="H117" s="113">
        <f>SUMIFS(All_Stats!$K:$K,
All_Stats!$D:$D,$B117,
All_Stats!$B:$B,"&gt;="&amp;EOMONTH($A117,-1)+1,
All_Stats!$B:$B,"&lt;"&amp;EOMONTH($A117,0)+1,
All_Stats!$P:$P,"Email Marketing"
)</f>
        <v>0</v>
      </c>
      <c r="I117" s="152">
        <f>IFERROR(__xludf.DUMMYFUNCTION("COUNTUNIQUEIFS(All_Stats!A:A,
All_Stats!$D:$D,$B117,
All_Stats!$B:$B,""&gt;=""&amp;EOMONTH($A117,-1)+1,
All_Stats!$B:$B,""&lt;""&amp;EOMONTH($A117,0)+1,
All_Stats!$P:$P,""Email Marketing""
)"),0.0)</f>
        <v>0</v>
      </c>
    </row>
    <row r="118" hidden="1">
      <c r="A118" s="128">
        <v>44409.0</v>
      </c>
      <c r="B118" s="131" t="s">
        <v>172</v>
      </c>
      <c r="C118" s="134" t="str">
        <f>if(ifna(VLOOKUP(B118,'Vendor Directory'!A:C,3,0),"NOT FOUND")="","NOT FOUND",VLOOKUP(B118,'Vendor Directory'!A:C,3,0))</f>
        <v>#N/A</v>
      </c>
      <c r="D118" s="131">
        <f>SUMIFS(All_Stats!$G:$G,
All_Stats!$D:$D,$B118,
All_Stats!$B:$B,"&gt;="&amp;EOMONTH($A118,-1)+1,
All_Stats!$B:$B,"&lt;"&amp;EOMONTH($A118,0)+1,
All_Stats!$P:$P,"Email Marketing"
)</f>
        <v>0</v>
      </c>
      <c r="E118" s="113">
        <f>SUMIFS(All_Stats!$I:$I,
All_Stats!$D:$D,$B118,
All_Stats!$B:$B,"&gt;="&amp;EOMONTH($A118,-1)+1,
All_Stats!$B:$B,"&lt;"&amp;EOMONTH($A118,0)+1,
All_Stats!$P:$P,"Email Marketing"
)</f>
        <v>0</v>
      </c>
      <c r="F118" s="132" t="str">
        <f t="shared" si="22"/>
        <v>N/A</v>
      </c>
      <c r="G118" s="131">
        <f>SUMIFS(All_Stats!$H:$H,
All_Stats!$D:$D,$B118,
All_Stats!$B:$B,"&gt;="&amp;EOMONTH($A118,-1)+1,
All_Stats!$B:$B,"&lt;"&amp;EOMONTH($A118,0)+1,
All_Stats!$P:$P,"Email Marketing"
)</f>
        <v>0</v>
      </c>
      <c r="H118" s="113">
        <f>SUMIFS(All_Stats!$K:$K,
All_Stats!$D:$D,$B118,
All_Stats!$B:$B,"&gt;="&amp;EOMONTH($A118,-1)+1,
All_Stats!$B:$B,"&lt;"&amp;EOMONTH($A118,0)+1,
All_Stats!$P:$P,"Email Marketing"
)</f>
        <v>0</v>
      </c>
      <c r="I118" s="152">
        <f>IFERROR(__xludf.DUMMYFUNCTION("COUNTUNIQUEIFS(All_Stats!A:A,
All_Stats!$D:$D,$B118,
All_Stats!$B:$B,""&gt;=""&amp;EOMONTH($A118,-1)+1,
All_Stats!$B:$B,""&lt;""&amp;EOMONTH($A118,0)+1,
All_Stats!$P:$P,""Email Marketing""
)"),0.0)</f>
        <v>0</v>
      </c>
    </row>
    <row r="119" hidden="1">
      <c r="A119" s="128">
        <v>44409.0</v>
      </c>
      <c r="B119" s="131" t="s">
        <v>452</v>
      </c>
      <c r="C119" s="134" t="str">
        <f>if(ifna(VLOOKUP(B119,'Vendor Directory'!A:C,3,0),"NOT FOUND")="","NOT FOUND",VLOOKUP(B119,'Vendor Directory'!A:C,3,0))</f>
        <v>#N/A</v>
      </c>
      <c r="D119" s="131">
        <f>SUMIFS(All_Stats!$G:$G,
All_Stats!$D:$D,$B119,
All_Stats!$B:$B,"&gt;="&amp;EOMONTH($A119,-1)+1,
All_Stats!$B:$B,"&lt;"&amp;EOMONTH($A119,0)+1,
All_Stats!$P:$P,"Email Marketing"
)</f>
        <v>0</v>
      </c>
      <c r="E119" s="113">
        <f>SUMIFS(All_Stats!$I:$I,
All_Stats!$D:$D,$B119,
All_Stats!$B:$B,"&gt;="&amp;EOMONTH($A119,-1)+1,
All_Stats!$B:$B,"&lt;"&amp;EOMONTH($A119,0)+1,
All_Stats!$P:$P,"Email Marketing"
)</f>
        <v>0</v>
      </c>
      <c r="F119" s="132" t="str">
        <f t="shared" si="22"/>
        <v>N/A</v>
      </c>
      <c r="G119" s="131">
        <f>SUMIFS(All_Stats!$H:$H,
All_Stats!$D:$D,$B119,
All_Stats!$B:$B,"&gt;="&amp;EOMONTH($A119,-1)+1,
All_Stats!$B:$B,"&lt;"&amp;EOMONTH($A119,0)+1,
All_Stats!$P:$P,"Email Marketing"
)</f>
        <v>0</v>
      </c>
      <c r="H119" s="113">
        <f>SUMIFS(All_Stats!$K:$K,
All_Stats!$D:$D,$B119,
All_Stats!$B:$B,"&gt;="&amp;EOMONTH($A119,-1)+1,
All_Stats!$B:$B,"&lt;"&amp;EOMONTH($A119,0)+1,
All_Stats!$P:$P,"Email Marketing"
)</f>
        <v>0</v>
      </c>
      <c r="I119" s="152">
        <f>IFERROR(__xludf.DUMMYFUNCTION("COUNTUNIQUEIFS(All_Stats!A:A,
All_Stats!$D:$D,$B119,
All_Stats!$B:$B,""&gt;=""&amp;EOMONTH($A119,-1)+1,
All_Stats!$B:$B,""&lt;""&amp;EOMONTH($A119,0)+1,
All_Stats!$P:$P,""Email Marketing""
)"),0.0)</f>
        <v>0</v>
      </c>
    </row>
    <row r="120" hidden="1">
      <c r="A120" s="135"/>
      <c r="B120" s="135"/>
      <c r="C120" s="136" t="s">
        <v>23</v>
      </c>
      <c r="D120" s="137">
        <f t="shared" ref="D120:E120" si="23">SUM(D117:D119)</f>
        <v>0</v>
      </c>
      <c r="E120" s="137">
        <f t="shared" si="23"/>
        <v>0</v>
      </c>
      <c r="F120" s="138" t="str">
        <f t="shared" si="22"/>
        <v>N/A</v>
      </c>
      <c r="G120" s="137">
        <f t="shared" ref="G120:H120" si="24">SUM(G117:G119)</f>
        <v>0</v>
      </c>
      <c r="H120" s="137">
        <f t="shared" si="24"/>
        <v>0</v>
      </c>
      <c r="I120" s="137"/>
    </row>
    <row r="121" hidden="1">
      <c r="A121" s="131"/>
      <c r="B121" s="131"/>
      <c r="C121" s="131"/>
      <c r="D121" s="140"/>
      <c r="F121" s="131"/>
      <c r="G121" s="131"/>
    </row>
    <row r="122" hidden="1">
      <c r="C122" s="118" t="s">
        <v>504</v>
      </c>
      <c r="D122" s="119"/>
      <c r="E122" s="119"/>
      <c r="F122" s="119"/>
      <c r="G122" s="119"/>
      <c r="H122" s="119"/>
      <c r="I122" s="159"/>
    </row>
    <row r="123" hidden="1">
      <c r="A123" s="121" t="s">
        <v>1</v>
      </c>
      <c r="B123" s="122" t="s">
        <v>485</v>
      </c>
      <c r="C123" s="123" t="s">
        <v>486</v>
      </c>
      <c r="D123" s="124" t="s">
        <v>6</v>
      </c>
      <c r="E123" s="125" t="s">
        <v>8</v>
      </c>
      <c r="F123" s="124" t="s">
        <v>479</v>
      </c>
      <c r="G123" s="126" t="s">
        <v>7</v>
      </c>
      <c r="H123" s="125" t="s">
        <v>10</v>
      </c>
      <c r="I123" s="160" t="s">
        <v>487</v>
      </c>
    </row>
    <row r="124" hidden="1">
      <c r="A124" s="128">
        <v>44409.0</v>
      </c>
      <c r="B124" s="131" t="s">
        <v>127</v>
      </c>
      <c r="C124" s="134" t="str">
        <f>if(ifna(VLOOKUP(B124,'Vendor Directory'!A:C,3,0),"NOT FOUND")="","NOT FOUND",VLOOKUP(B124,'Vendor Directory'!A:C,3,0))</f>
        <v>#N/A</v>
      </c>
      <c r="D124" s="131">
        <f>SUMIFS(All_Stats!$G:$G,
All_Stats!$D:$D,$B124,
All_Stats!$B:$B,"&gt;="&amp;EOMONTH($A124,-1)+1,
All_Stats!$B:$B,"&lt;"&amp;EOMONTH($A124,0)+1,
All_Stats!$P:$P,"&lt;&gt;Email Marketing"
)</f>
        <v>0</v>
      </c>
      <c r="E124" s="113">
        <f>SUMIFS(All_Stats!$I:$I,
All_Stats!$D:$D,$B124,
All_Stats!$B:$B,"&gt;="&amp;EOMONTH($A124,-1)+1,
All_Stats!$B:$B,"&lt;"&amp;EOMONTH($A124,0)+1,
All_Stats!$P:$P,"&lt;&gt;Email Marketing"
)</f>
        <v>0</v>
      </c>
      <c r="F124" s="132" t="str">
        <f t="shared" ref="F124:F140" si="25">iferror(E124/D124,"N/A")</f>
        <v>N/A</v>
      </c>
      <c r="G124" s="131">
        <f>SUMIFS(All_Stats!$H:$H,
All_Stats!$D:$D,$B124,
All_Stats!$B:$B,"&gt;="&amp;EOMONTH($A124,-1)+1,
All_Stats!$B:$B,"&lt;"&amp;EOMONTH($A124,0)+1,
All_Stats!$P:$P,"&lt;&gt;Email Marketing"
)</f>
        <v>0</v>
      </c>
      <c r="H124" s="113">
        <f>SUMIFS(All_Stats!$K:$K,
All_Stats!$D:$D,$B124,
All_Stats!$B:$B,"&gt;="&amp;EOMONTH($A124,-1)+1,
All_Stats!$B:$B,"&lt;"&amp;EOMONTH($A124,0)+1,
All_Stats!$P:$P,"&lt;&gt;Email Marketing"
)</f>
        <v>0</v>
      </c>
      <c r="I124" s="152">
        <f>IFERROR(__xludf.DUMMYFUNCTION("COUNTUNIQUEIFS(All_Stats!A:A,
All_Stats!$D:$D,$B124,
All_Stats!$B:$B,""&gt;=""&amp;EOMONTH($A124,-1)+1,
All_Stats!$B:$B,""&lt;""&amp;EOMONTH($A124,0)+1,
All_Stats!$P:$P,""&lt;&gt;Email Marketing""
)"),0.0)</f>
        <v>0</v>
      </c>
    </row>
    <row r="125" hidden="1">
      <c r="A125" s="128">
        <v>44409.0</v>
      </c>
      <c r="B125" s="131" t="s">
        <v>157</v>
      </c>
      <c r="C125" s="134" t="str">
        <f>if(ifna(VLOOKUP(B125,'Vendor Directory'!A:C,3,0),"NOT FOUND")="","NOT FOUND",VLOOKUP(B125,'Vendor Directory'!A:C,3,0))</f>
        <v>#N/A</v>
      </c>
      <c r="D125" s="131">
        <f>SUMIFS(All_Stats!$G:$G,
All_Stats!$D:$D,$B125,
All_Stats!$B:$B,"&gt;="&amp;EOMONTH($A125,-1)+1,
All_Stats!$B:$B,"&lt;"&amp;EOMONTH($A125,0)+1,
All_Stats!$P:$P,"&lt;&gt;Email Marketing"
)</f>
        <v>0</v>
      </c>
      <c r="E125" s="113">
        <f>SUMIFS(All_Stats!$I:$I,
All_Stats!$D:$D,$B125,
All_Stats!$B:$B,"&gt;="&amp;EOMONTH($A125,-1)+1,
All_Stats!$B:$B,"&lt;"&amp;EOMONTH($A125,0)+1,
All_Stats!$P:$P,"&lt;&gt;Email Marketing"
)</f>
        <v>0</v>
      </c>
      <c r="F125" s="132" t="str">
        <f t="shared" si="25"/>
        <v>N/A</v>
      </c>
      <c r="G125" s="131">
        <f>SUMIFS(All_Stats!$H:$H,
All_Stats!$D:$D,$B125,
All_Stats!$B:$B,"&gt;="&amp;EOMONTH($A125,-1)+1,
All_Stats!$B:$B,"&lt;"&amp;EOMONTH($A125,0)+1,
All_Stats!$P:$P,"&lt;&gt;Email Marketing"
)</f>
        <v>0</v>
      </c>
      <c r="H125" s="113">
        <f>SUMIFS(All_Stats!$K:$K,
All_Stats!$D:$D,$B125,
All_Stats!$B:$B,"&gt;="&amp;EOMONTH($A125,-1)+1,
All_Stats!$B:$B,"&lt;"&amp;EOMONTH($A125,0)+1,
All_Stats!$P:$P,"&lt;&gt;Email Marketing"
)</f>
        <v>0</v>
      </c>
      <c r="I125" s="152">
        <f>IFERROR(__xludf.DUMMYFUNCTION("COUNTUNIQUEIFS(All_Stats!A:A,
All_Stats!$D:$D,$B125,
All_Stats!$B:$B,""&gt;=""&amp;EOMONTH($A125,-1)+1,
All_Stats!$B:$B,""&lt;""&amp;EOMONTH($A125,0)+1,
All_Stats!$P:$P,""&lt;&gt;Email Marketing""
)"),0.0)</f>
        <v>0</v>
      </c>
    </row>
    <row r="126" hidden="1">
      <c r="A126" s="128">
        <v>44409.0</v>
      </c>
      <c r="B126" s="131" t="s">
        <v>30</v>
      </c>
      <c r="C126" s="134" t="str">
        <f>if(ifna(VLOOKUP(B126,'Vendor Directory'!A:C,3,0),"NOT FOUND")="","NOT FOUND",VLOOKUP(B126,'Vendor Directory'!A:C,3,0))</f>
        <v>Vendor 2 Name</v>
      </c>
      <c r="D126" s="131">
        <f>SUMIFS(All_Stats!$G:$G,
All_Stats!$D:$D,$B126,
All_Stats!$B:$B,"&gt;="&amp;EOMONTH($A126,-1)+1,
All_Stats!$B:$B,"&lt;"&amp;EOMONTH($A126,0)+1,
All_Stats!$P:$P,"&lt;&gt;Email Marketing"
)</f>
        <v>0</v>
      </c>
      <c r="E126" s="113">
        <f>SUMIFS(All_Stats!$I:$I,
All_Stats!$D:$D,$B126,
All_Stats!$B:$B,"&gt;="&amp;EOMONTH($A126,-1)+1,
All_Stats!$B:$B,"&lt;"&amp;EOMONTH($A126,0)+1,
All_Stats!$P:$P,"&lt;&gt;Email Marketing"
)</f>
        <v>0</v>
      </c>
      <c r="F126" s="132" t="str">
        <f t="shared" si="25"/>
        <v>N/A</v>
      </c>
      <c r="G126" s="131">
        <f>SUMIFS(All_Stats!$H:$H,
All_Stats!$D:$D,$B126,
All_Stats!$B:$B,"&gt;="&amp;EOMONTH($A126,-1)+1,
All_Stats!$B:$B,"&lt;"&amp;EOMONTH($A126,0)+1,
All_Stats!$P:$P,"&lt;&gt;Email Marketing"
)</f>
        <v>0</v>
      </c>
      <c r="H126" s="113">
        <f>SUMIFS(All_Stats!$K:$K,
All_Stats!$D:$D,$B126,
All_Stats!$B:$B,"&gt;="&amp;EOMONTH($A126,-1)+1,
All_Stats!$B:$B,"&lt;"&amp;EOMONTH($A126,0)+1,
All_Stats!$P:$P,"&lt;&gt;Email Marketing"
)</f>
        <v>0</v>
      </c>
      <c r="I126" s="152">
        <f>IFERROR(__xludf.DUMMYFUNCTION("COUNTUNIQUEIFS(All_Stats!A:A,
All_Stats!$D:$D,$B126,
All_Stats!$B:$B,""&gt;=""&amp;EOMONTH($A126,-1)+1,
All_Stats!$B:$B,""&lt;""&amp;EOMONTH($A126,0)+1,
All_Stats!$P:$P,""&lt;&gt;Email Marketing""
)"),0.0)</f>
        <v>0</v>
      </c>
    </row>
    <row r="127" hidden="1">
      <c r="A127" s="128">
        <v>44409.0</v>
      </c>
      <c r="B127" s="131" t="s">
        <v>164</v>
      </c>
      <c r="C127" s="134" t="str">
        <f>if(ifna(VLOOKUP(B127,'Vendor Directory'!A:C,3,0),"NOT FOUND")="","NOT FOUND",VLOOKUP(B127,'Vendor Directory'!A:C,3,0))</f>
        <v>#N/A</v>
      </c>
      <c r="D127" s="131">
        <f>SUMIFS(All_Stats!$G:$G,
All_Stats!$D:$D,$B127,
All_Stats!$B:$B,"&gt;="&amp;EOMONTH($A127,-1)+1,
All_Stats!$B:$B,"&lt;"&amp;EOMONTH($A127,0)+1,
All_Stats!$P:$P,"&lt;&gt;Email Marketing"
)</f>
        <v>0</v>
      </c>
      <c r="E127" s="113">
        <f>SUMIFS(All_Stats!$I:$I,
All_Stats!$D:$D,$B127,
All_Stats!$B:$B,"&gt;="&amp;EOMONTH($A127,-1)+1,
All_Stats!$B:$B,"&lt;"&amp;EOMONTH($A127,0)+1,
All_Stats!$P:$P,"&lt;&gt;Email Marketing"
)</f>
        <v>0</v>
      </c>
      <c r="F127" s="132" t="str">
        <f t="shared" si="25"/>
        <v>N/A</v>
      </c>
      <c r="G127" s="131">
        <f>SUMIFS(All_Stats!$H:$H,
All_Stats!$D:$D,$B127,
All_Stats!$B:$B,"&gt;="&amp;EOMONTH($A127,-1)+1,
All_Stats!$B:$B,"&lt;"&amp;EOMONTH($A127,0)+1,
All_Stats!$P:$P,"&lt;&gt;Email Marketing"
)</f>
        <v>0</v>
      </c>
      <c r="H127" s="113">
        <f>SUMIFS(All_Stats!$K:$K,
All_Stats!$D:$D,$B127,
All_Stats!$B:$B,"&gt;="&amp;EOMONTH($A127,-1)+1,
All_Stats!$B:$B,"&lt;"&amp;EOMONTH($A127,0)+1,
All_Stats!$P:$P,"&lt;&gt;Email Marketing"
)</f>
        <v>0</v>
      </c>
      <c r="I127" s="152">
        <f>IFERROR(__xludf.DUMMYFUNCTION("COUNTUNIQUEIFS(All_Stats!A:A,
All_Stats!$D:$D,$B127,
All_Stats!$B:$B,""&gt;=""&amp;EOMONTH($A127,-1)+1,
All_Stats!$B:$B,""&lt;""&amp;EOMONTH($A127,0)+1,
All_Stats!$P:$P,""&lt;&gt;Email Marketing""
)"),0.0)</f>
        <v>0</v>
      </c>
    </row>
    <row r="128" hidden="1">
      <c r="A128" s="128">
        <v>44409.0</v>
      </c>
      <c r="B128" s="131" t="s">
        <v>172</v>
      </c>
      <c r="C128" s="134" t="str">
        <f>if(ifna(VLOOKUP(B128,'Vendor Directory'!A:C,3,0),"NOT FOUND")="","NOT FOUND",VLOOKUP(B128,'Vendor Directory'!A:C,3,0))</f>
        <v>#N/A</v>
      </c>
      <c r="D128" s="131">
        <f>SUMIFS(All_Stats!$G:$G,
All_Stats!$D:$D,$B128,
All_Stats!$B:$B,"&gt;="&amp;EOMONTH($A128,-1)+1,
All_Stats!$B:$B,"&lt;"&amp;EOMONTH($A128,0)+1,
All_Stats!$P:$P,"&lt;&gt;Email Marketing"
)</f>
        <v>0</v>
      </c>
      <c r="E128" s="113">
        <f>SUMIFS(All_Stats!$I:$I,
All_Stats!$D:$D,$B128,
All_Stats!$B:$B,"&gt;="&amp;EOMONTH($A128,-1)+1,
All_Stats!$B:$B,"&lt;"&amp;EOMONTH($A128,0)+1,
All_Stats!$P:$P,"&lt;&gt;Email Marketing"
)</f>
        <v>0</v>
      </c>
      <c r="F128" s="132" t="str">
        <f t="shared" si="25"/>
        <v>N/A</v>
      </c>
      <c r="G128" s="131">
        <f>SUMIFS(All_Stats!$H:$H,
All_Stats!$D:$D,$B128,
All_Stats!$B:$B,"&gt;="&amp;EOMONTH($A128,-1)+1,
All_Stats!$B:$B,"&lt;"&amp;EOMONTH($A128,0)+1,
All_Stats!$P:$P,"&lt;&gt;Email Marketing"
)</f>
        <v>0</v>
      </c>
      <c r="H128" s="113">
        <f>SUMIFS(All_Stats!$K:$K,
All_Stats!$D:$D,$B128,
All_Stats!$B:$B,"&gt;="&amp;EOMONTH($A128,-1)+1,
All_Stats!$B:$B,"&lt;"&amp;EOMONTH($A128,0)+1,
All_Stats!$P:$P,"&lt;&gt;Email Marketing"
)</f>
        <v>0</v>
      </c>
      <c r="I128" s="152">
        <f>IFERROR(__xludf.DUMMYFUNCTION("COUNTUNIQUEIFS(All_Stats!A:A,
All_Stats!$D:$D,$B128,
All_Stats!$B:$B,""&gt;=""&amp;EOMONTH($A128,-1)+1,
All_Stats!$B:$B,""&lt;""&amp;EOMONTH($A128,0)+1,
All_Stats!$P:$P,""&lt;&gt;Email Marketing""
)"),0.0)</f>
        <v>0</v>
      </c>
    </row>
    <row r="129" hidden="1">
      <c r="A129" s="128">
        <v>44409.0</v>
      </c>
      <c r="B129" s="131" t="s">
        <v>497</v>
      </c>
      <c r="C129" s="134" t="str">
        <f>if(ifna(VLOOKUP(B129,'Vendor Directory'!A:C,3,0),"NOT FOUND")="","NOT FOUND",VLOOKUP(B129,'Vendor Directory'!A:C,3,0))</f>
        <v>#N/A</v>
      </c>
      <c r="D129" s="131">
        <f>SUMIFS(All_Stats!$G:$G,
All_Stats!$D:$D,$B129,
All_Stats!$B:$B,"&gt;="&amp;EOMONTH($A129,-1)+1,
All_Stats!$B:$B,"&lt;"&amp;EOMONTH($A129,0)+1,
All_Stats!$P:$P,"&lt;&gt;Email Marketing"
)</f>
        <v>0</v>
      </c>
      <c r="E129" s="113">
        <f>SUMIFS(All_Stats!$I:$I,
All_Stats!$D:$D,$B129,
All_Stats!$B:$B,"&gt;="&amp;EOMONTH($A129,-1)+1,
All_Stats!$B:$B,"&lt;"&amp;EOMONTH($A129,0)+1,
All_Stats!$P:$P,"&lt;&gt;Email Marketing"
)</f>
        <v>0</v>
      </c>
      <c r="F129" s="132" t="str">
        <f t="shared" si="25"/>
        <v>N/A</v>
      </c>
      <c r="G129" s="131">
        <f>SUMIFS(All_Stats!$H:$H,
All_Stats!$D:$D,$B129,
All_Stats!$B:$B,"&gt;="&amp;EOMONTH($A129,-1)+1,
All_Stats!$B:$B,"&lt;"&amp;EOMONTH($A129,0)+1,
All_Stats!$P:$P,"&lt;&gt;Email Marketing"
)</f>
        <v>0</v>
      </c>
      <c r="H129" s="113">
        <f>SUMIFS(All_Stats!$K:$K,
All_Stats!$D:$D,$B129,
All_Stats!$B:$B,"&gt;="&amp;EOMONTH($A129,-1)+1,
All_Stats!$B:$B,"&lt;"&amp;EOMONTH($A129,0)+1,
All_Stats!$P:$P,"&lt;&gt;Email Marketing"
)</f>
        <v>0</v>
      </c>
      <c r="I129" s="152">
        <f>IFERROR(__xludf.DUMMYFUNCTION("COUNTUNIQUEIFS(All_Stats!A:A,
All_Stats!$D:$D,$B129,
All_Stats!$B:$B,""&gt;=""&amp;EOMONTH($A129,-1)+1,
All_Stats!$B:$B,""&lt;""&amp;EOMONTH($A129,0)+1,
All_Stats!$P:$P,""&lt;&gt;Email Marketing""
)"),0.0)</f>
        <v>0</v>
      </c>
    </row>
    <row r="130" hidden="1">
      <c r="A130" s="128">
        <v>44409.0</v>
      </c>
      <c r="B130" s="131" t="s">
        <v>498</v>
      </c>
      <c r="C130" s="134" t="str">
        <f>if(ifna(VLOOKUP(B130,'Vendor Directory'!A:C,3,0),"NOT FOUND")="","NOT FOUND",VLOOKUP(B130,'Vendor Directory'!A:C,3,0))</f>
        <v>#N/A</v>
      </c>
      <c r="D130" s="131">
        <f>SUMIFS(All_Stats!$G:$G,
All_Stats!$D:$D,$B130,
All_Stats!$B:$B,"&gt;="&amp;EOMONTH($A130,-1)+1,
All_Stats!$B:$B,"&lt;"&amp;EOMONTH($A130,0)+1,
All_Stats!$P:$P,"&lt;&gt;Email Marketing"
)</f>
        <v>0</v>
      </c>
      <c r="E130" s="113">
        <f>SUMIFS(All_Stats!$I:$I,
All_Stats!$D:$D,$B130,
All_Stats!$B:$B,"&gt;="&amp;EOMONTH($A130,-1)+1,
All_Stats!$B:$B,"&lt;"&amp;EOMONTH($A130,0)+1,
All_Stats!$P:$P,"&lt;&gt;Email Marketing"
)</f>
        <v>0</v>
      </c>
      <c r="F130" s="132" t="str">
        <f t="shared" si="25"/>
        <v>N/A</v>
      </c>
      <c r="G130" s="131">
        <f>SUMIFS(All_Stats!$H:$H,
All_Stats!$D:$D,$B130,
All_Stats!$B:$B,"&gt;="&amp;EOMONTH($A130,-1)+1,
All_Stats!$B:$B,"&lt;"&amp;EOMONTH($A130,0)+1,
All_Stats!$P:$P,"&lt;&gt;Email Marketing"
)</f>
        <v>0</v>
      </c>
      <c r="H130" s="113">
        <f>SUMIFS(All_Stats!$K:$K,
All_Stats!$D:$D,$B130,
All_Stats!$B:$B,"&gt;="&amp;EOMONTH($A130,-1)+1,
All_Stats!$B:$B,"&lt;"&amp;EOMONTH($A130,0)+1,
All_Stats!$P:$P,"&lt;&gt;Email Marketing"
)</f>
        <v>0</v>
      </c>
      <c r="I130" s="152">
        <f>IFERROR(__xludf.DUMMYFUNCTION("COUNTUNIQUEIFS(All_Stats!A:A,
All_Stats!$D:$D,$B130,
All_Stats!$B:$B,""&gt;=""&amp;EOMONTH($A130,-1)+1,
All_Stats!$B:$B,""&lt;""&amp;EOMONTH($A130,0)+1,
All_Stats!$P:$P,""&lt;&gt;Email Marketing""
)"),0.0)</f>
        <v>0</v>
      </c>
    </row>
    <row r="131" hidden="1">
      <c r="A131" s="128">
        <v>44409.0</v>
      </c>
      <c r="B131" s="131" t="s">
        <v>452</v>
      </c>
      <c r="C131" s="134" t="str">
        <f>if(ifna(VLOOKUP(B131,'Vendor Directory'!A:C,3,0),"NOT FOUND")="","NOT FOUND",VLOOKUP(B131,'Vendor Directory'!A:C,3,0))</f>
        <v>#N/A</v>
      </c>
      <c r="D131" s="131">
        <f>SUMIFS(All_Stats!$G:$G,
All_Stats!$D:$D,$B131,
All_Stats!$B:$B,"&gt;="&amp;EOMONTH($A131,-1)+1,
All_Stats!$B:$B,"&lt;"&amp;EOMONTH($A131,0)+1,
All_Stats!$P:$P,"&lt;&gt;Email Marketing"
)</f>
        <v>0</v>
      </c>
      <c r="E131" s="113">
        <f>SUMIFS(All_Stats!$I:$I,
All_Stats!$D:$D,$B131,
All_Stats!$B:$B,"&gt;="&amp;EOMONTH($A131,-1)+1,
All_Stats!$B:$B,"&lt;"&amp;EOMONTH($A131,0)+1,
All_Stats!$P:$P,"&lt;&gt;Email Marketing"
)</f>
        <v>0</v>
      </c>
      <c r="F131" s="132" t="str">
        <f t="shared" si="25"/>
        <v>N/A</v>
      </c>
      <c r="G131" s="131">
        <f>SUMIFS(All_Stats!$H:$H,
All_Stats!$D:$D,$B131,
All_Stats!$B:$B,"&gt;="&amp;EOMONTH($A131,-1)+1,
All_Stats!$B:$B,"&lt;"&amp;EOMONTH($A131,0)+1,
All_Stats!$P:$P,"&lt;&gt;Email Marketing"
)</f>
        <v>0</v>
      </c>
      <c r="H131" s="113">
        <f>SUMIFS(All_Stats!$K:$K,
All_Stats!$D:$D,$B131,
All_Stats!$B:$B,"&gt;="&amp;EOMONTH($A131,-1)+1,
All_Stats!$B:$B,"&lt;"&amp;EOMONTH($A131,0)+1,
All_Stats!$P:$P,"&lt;&gt;Email Marketing"
)</f>
        <v>0</v>
      </c>
      <c r="I131" s="152">
        <f>IFERROR(__xludf.DUMMYFUNCTION("COUNTUNIQUEIFS(All_Stats!A:A,
All_Stats!$D:$D,$B131,
All_Stats!$B:$B,""&gt;=""&amp;EOMONTH($A131,-1)+1,
All_Stats!$B:$B,""&lt;""&amp;EOMONTH($A131,0)+1,
All_Stats!$P:$P,""&lt;&gt;Email Marketing""
)"),0.0)</f>
        <v>0</v>
      </c>
    </row>
    <row r="132" hidden="1">
      <c r="A132" s="128">
        <v>44409.0</v>
      </c>
      <c r="B132" s="131" t="s">
        <v>499</v>
      </c>
      <c r="C132" s="134" t="str">
        <f>if(ifna(VLOOKUP(B132,'Vendor Directory'!A:C,3,0),"NOT FOUND")="","NOT FOUND",VLOOKUP(B132,'Vendor Directory'!A:C,3,0))</f>
        <v>#N/A</v>
      </c>
      <c r="D132" s="131">
        <f>SUMIFS(All_Stats!$G:$G,
All_Stats!$D:$D,$B132,
All_Stats!$B:$B,"&gt;="&amp;EOMONTH($A132,-1)+1,
All_Stats!$B:$B,"&lt;"&amp;EOMONTH($A132,0)+1,
All_Stats!$P:$P,"&lt;&gt;Email Marketing"
)</f>
        <v>0</v>
      </c>
      <c r="E132" s="113">
        <f>SUMIFS(All_Stats!$I:$I,
All_Stats!$D:$D,$B132,
All_Stats!$B:$B,"&gt;="&amp;EOMONTH($A132,-1)+1,
All_Stats!$B:$B,"&lt;"&amp;EOMONTH($A132,0)+1,
All_Stats!$P:$P,"&lt;&gt;Email Marketing"
)</f>
        <v>0</v>
      </c>
      <c r="F132" s="132" t="str">
        <f t="shared" si="25"/>
        <v>N/A</v>
      </c>
      <c r="G132" s="131">
        <f>SUMIFS(All_Stats!$H:$H,
All_Stats!$D:$D,$B132,
All_Stats!$B:$B,"&gt;="&amp;EOMONTH($A132,-1)+1,
All_Stats!$B:$B,"&lt;"&amp;EOMONTH($A132,0)+1,
All_Stats!$P:$P,"&lt;&gt;Email Marketing"
)</f>
        <v>0</v>
      </c>
      <c r="H132" s="113">
        <f>SUMIFS(All_Stats!$K:$K,
All_Stats!$D:$D,$B132,
All_Stats!$B:$B,"&gt;="&amp;EOMONTH($A132,-1)+1,
All_Stats!$B:$B,"&lt;"&amp;EOMONTH($A132,0)+1,
All_Stats!$P:$P,"&lt;&gt;Email Marketing"
)</f>
        <v>0</v>
      </c>
      <c r="I132" s="152">
        <f>IFERROR(__xludf.DUMMYFUNCTION("COUNTUNIQUEIFS(All_Stats!A:A,
All_Stats!$D:$D,$B132,
All_Stats!$B:$B,""&gt;=""&amp;EOMONTH($A132,-1)+1,
All_Stats!$B:$B,""&lt;""&amp;EOMONTH($A132,0)+1,
All_Stats!$P:$P,""&lt;&gt;Email Marketing""
)"),0.0)</f>
        <v>0</v>
      </c>
    </row>
    <row r="133" hidden="1">
      <c r="A133" s="128">
        <v>44409.0</v>
      </c>
      <c r="B133" s="131" t="s">
        <v>500</v>
      </c>
      <c r="C133" s="134" t="str">
        <f>if(ifna(VLOOKUP(B133,'Vendor Directory'!A:C,3,0),"NOT FOUND")="","NOT FOUND",VLOOKUP(B133,'Vendor Directory'!A:C,3,0))</f>
        <v>#N/A</v>
      </c>
      <c r="D133" s="131">
        <f>SUMIFS(All_Stats!$G:$G,
All_Stats!$D:$D,$B133,
All_Stats!$B:$B,"&gt;="&amp;EOMONTH($A133,-1)+1,
All_Stats!$B:$B,"&lt;"&amp;EOMONTH($A133,0)+1,
All_Stats!$P:$P,"&lt;&gt;Email Marketing"
)</f>
        <v>0</v>
      </c>
      <c r="E133" s="113">
        <f>SUMIFS(All_Stats!$I:$I,
All_Stats!$D:$D,$B133,
All_Stats!$B:$B,"&gt;="&amp;EOMONTH($A133,-1)+1,
All_Stats!$B:$B,"&lt;"&amp;EOMONTH($A133,0)+1,
All_Stats!$P:$P,"&lt;&gt;Email Marketing"
)</f>
        <v>0</v>
      </c>
      <c r="F133" s="132" t="str">
        <f t="shared" si="25"/>
        <v>N/A</v>
      </c>
      <c r="G133" s="131">
        <f>SUMIFS(All_Stats!$H:$H,
All_Stats!$D:$D,$B133,
All_Stats!$B:$B,"&gt;="&amp;EOMONTH($A133,-1)+1,
All_Stats!$B:$B,"&lt;"&amp;EOMONTH($A133,0)+1,
All_Stats!$P:$P,"&lt;&gt;Email Marketing"
)</f>
        <v>0</v>
      </c>
      <c r="H133" s="113">
        <f>SUMIFS(All_Stats!$K:$K,
All_Stats!$D:$D,$B133,
All_Stats!$B:$B,"&gt;="&amp;EOMONTH($A133,-1)+1,
All_Stats!$B:$B,"&lt;"&amp;EOMONTH($A133,0)+1,
All_Stats!$P:$P,"&lt;&gt;Email Marketing"
)</f>
        <v>0</v>
      </c>
      <c r="I133" s="152">
        <f>IFERROR(__xludf.DUMMYFUNCTION("COUNTUNIQUEIFS(All_Stats!A:A,
All_Stats!$D:$D,$B133,
All_Stats!$B:$B,""&gt;=""&amp;EOMONTH($A133,-1)+1,
All_Stats!$B:$B,""&lt;""&amp;EOMONTH($A133,0)+1,
All_Stats!$P:$P,""&lt;&gt;Email Marketing""
)"),0.0)</f>
        <v>0</v>
      </c>
    </row>
    <row r="134" hidden="1">
      <c r="A134" s="128">
        <v>44409.0</v>
      </c>
      <c r="B134" s="131" t="s">
        <v>91</v>
      </c>
      <c r="C134" s="134" t="str">
        <f>if(ifna(VLOOKUP(B134,'Vendor Directory'!A:C,3,0),"NOT FOUND")="","NOT FOUND",VLOOKUP(B134,'Vendor Directory'!A:C,3,0))</f>
        <v>#N/A</v>
      </c>
      <c r="D134" s="131">
        <f>SUMIFS(All_Stats!$G:$G,
All_Stats!$D:$D,$B134,
All_Stats!$B:$B,"&gt;="&amp;EOMONTH($A134,-1)+1,
All_Stats!$B:$B,"&lt;"&amp;EOMONTH($A134,0)+1,
All_Stats!$P:$P,"&lt;&gt;Email Marketing"
)</f>
        <v>0</v>
      </c>
      <c r="E134" s="113">
        <f>SUMIFS(All_Stats!$I:$I,
All_Stats!$D:$D,$B134,
All_Stats!$B:$B,"&gt;="&amp;EOMONTH($A134,-1)+1,
All_Stats!$B:$B,"&lt;"&amp;EOMONTH($A134,0)+1,
All_Stats!$P:$P,"&lt;&gt;Email Marketing"
)</f>
        <v>0</v>
      </c>
      <c r="F134" s="132" t="str">
        <f t="shared" si="25"/>
        <v>N/A</v>
      </c>
      <c r="G134" s="131">
        <f>SUMIFS(All_Stats!$H:$H,
All_Stats!$D:$D,$B134,
All_Stats!$B:$B,"&gt;="&amp;EOMONTH($A134,-1)+1,
All_Stats!$B:$B,"&lt;"&amp;EOMONTH($A134,0)+1,
All_Stats!$P:$P,"&lt;&gt;Email Marketing"
)</f>
        <v>0</v>
      </c>
      <c r="H134" s="113">
        <f>SUMIFS(All_Stats!$K:$K,
All_Stats!$D:$D,$B134,
All_Stats!$B:$B,"&gt;="&amp;EOMONTH($A134,-1)+1,
All_Stats!$B:$B,"&lt;"&amp;EOMONTH($A134,0)+1,
All_Stats!$P:$P,"&lt;&gt;Email Marketing"
)</f>
        <v>0</v>
      </c>
      <c r="I134" s="152">
        <f>IFERROR(__xludf.DUMMYFUNCTION("COUNTUNIQUEIFS(All_Stats!A:A,
All_Stats!$D:$D,$B134,
All_Stats!$B:$B,""&gt;=""&amp;EOMONTH($A134,-1)+1,
All_Stats!$B:$B,""&lt;""&amp;EOMONTH($A134,0)+1,
All_Stats!$P:$P,""&lt;&gt;Email Marketing""
)"),0.0)</f>
        <v>0</v>
      </c>
    </row>
    <row r="135" hidden="1">
      <c r="A135" s="128">
        <v>44409.0</v>
      </c>
      <c r="B135" s="131" t="s">
        <v>501</v>
      </c>
      <c r="C135" s="134" t="str">
        <f>if(ifna(VLOOKUP(B135,'Vendor Directory'!A:C,3,0),"NOT FOUND")="","NOT FOUND",VLOOKUP(B135,'Vendor Directory'!A:C,3,0))</f>
        <v>#N/A</v>
      </c>
      <c r="D135" s="131">
        <f>SUMIFS(All_Stats!$G:$G,
All_Stats!$D:$D,$B135,
All_Stats!$B:$B,"&gt;="&amp;EOMONTH($A135,-1)+1,
All_Stats!$B:$B,"&lt;"&amp;EOMONTH($A135,0)+1,
All_Stats!$P:$P,"&lt;&gt;Email Marketing"
)</f>
        <v>0</v>
      </c>
      <c r="E135" s="113">
        <f>SUMIFS(All_Stats!$I:$I,
All_Stats!$D:$D,$B135,
All_Stats!$B:$B,"&gt;="&amp;EOMONTH($A135,-1)+1,
All_Stats!$B:$B,"&lt;"&amp;EOMONTH($A135,0)+1,
All_Stats!$P:$P,"&lt;&gt;Email Marketing"
)</f>
        <v>0</v>
      </c>
      <c r="F135" s="132" t="str">
        <f t="shared" si="25"/>
        <v>N/A</v>
      </c>
      <c r="G135" s="131">
        <f>SUMIFS(All_Stats!$H:$H,
All_Stats!$D:$D,$B135,
All_Stats!$B:$B,"&gt;="&amp;EOMONTH($A135,-1)+1,
All_Stats!$B:$B,"&lt;"&amp;EOMONTH($A135,0)+1,
All_Stats!$P:$P,"&lt;&gt;Email Marketing"
)</f>
        <v>0</v>
      </c>
      <c r="H135" s="113">
        <f>SUMIFS(All_Stats!$K:$K,
All_Stats!$D:$D,$B135,
All_Stats!$B:$B,"&gt;="&amp;EOMONTH($A135,-1)+1,
All_Stats!$B:$B,"&lt;"&amp;EOMONTH($A135,0)+1,
All_Stats!$P:$P,"&lt;&gt;Email Marketing"
)</f>
        <v>0</v>
      </c>
      <c r="I135" s="152">
        <f>IFERROR(__xludf.DUMMYFUNCTION("COUNTUNIQUEIFS(All_Stats!A:A,
All_Stats!$D:$D,$B135,
All_Stats!$B:$B,""&gt;=""&amp;EOMONTH($A135,-1)+1,
All_Stats!$B:$B,""&lt;""&amp;EOMONTH($A135,0)+1,
All_Stats!$P:$P,""&lt;&gt;Email Marketing""
)"),0.0)</f>
        <v>0</v>
      </c>
    </row>
    <row r="136" hidden="1">
      <c r="A136" s="128">
        <v>44409.0</v>
      </c>
      <c r="B136" s="131" t="s">
        <v>417</v>
      </c>
      <c r="C136" s="134" t="str">
        <f>if(ifna(VLOOKUP(B136,'Vendor Directory'!A:C,3,0),"NOT FOUND")="","NOT FOUND",VLOOKUP(B136,'Vendor Directory'!A:C,3,0))</f>
        <v>#N/A</v>
      </c>
      <c r="D136" s="131">
        <f>SUMIFS(All_Stats!$G:$G,
All_Stats!$D:$D,$B136,
All_Stats!$B:$B,"&gt;="&amp;EOMONTH($A136,-1)+1,
All_Stats!$B:$B,"&lt;"&amp;EOMONTH($A136,0)+1,
All_Stats!$P:$P,"&lt;&gt;Email Marketing"
)</f>
        <v>0</v>
      </c>
      <c r="E136" s="113">
        <f>SUMIFS(All_Stats!$I:$I,
All_Stats!$D:$D,$B136,
All_Stats!$B:$B,"&gt;="&amp;EOMONTH($A136,-1)+1,
All_Stats!$B:$B,"&lt;"&amp;EOMONTH($A136,0)+1,
All_Stats!$P:$P,"&lt;&gt;Email Marketing"
)</f>
        <v>0</v>
      </c>
      <c r="F136" s="132" t="str">
        <f t="shared" si="25"/>
        <v>N/A</v>
      </c>
      <c r="G136" s="131">
        <f>SUMIFS(All_Stats!$H:$H,
All_Stats!$D:$D,$B136,
All_Stats!$B:$B,"&gt;="&amp;EOMONTH($A136,-1)+1,
All_Stats!$B:$B,"&lt;"&amp;EOMONTH($A136,0)+1,
All_Stats!$P:$P,"&lt;&gt;Email Marketing"
)</f>
        <v>0</v>
      </c>
      <c r="H136" s="113">
        <f>SUMIFS(All_Stats!$K:$K,
All_Stats!$D:$D,$B136,
All_Stats!$B:$B,"&gt;="&amp;EOMONTH($A136,-1)+1,
All_Stats!$B:$B,"&lt;"&amp;EOMONTH($A136,0)+1,
All_Stats!$P:$P,"&lt;&gt;Email Marketing"
)</f>
        <v>0</v>
      </c>
      <c r="I136" s="152">
        <f>IFERROR(__xludf.DUMMYFUNCTION("COUNTUNIQUEIFS(All_Stats!A:A,
All_Stats!$D:$D,$B136,
All_Stats!$B:$B,""&gt;=""&amp;EOMONTH($A136,-1)+1,
All_Stats!$B:$B,""&lt;""&amp;EOMONTH($A136,0)+1,
All_Stats!$P:$P,""&lt;&gt;Email Marketing""
)"),0.0)</f>
        <v>0</v>
      </c>
    </row>
    <row r="137" hidden="1">
      <c r="A137" s="128">
        <v>44409.0</v>
      </c>
      <c r="B137" s="131" t="s">
        <v>505</v>
      </c>
      <c r="C137" s="134" t="str">
        <f>if(ifna(VLOOKUP(B137,'Vendor Directory'!A:C,3,0),"NOT FOUND")="","NOT FOUND",VLOOKUP(B137,'Vendor Directory'!A:C,3,0))</f>
        <v>#N/A</v>
      </c>
      <c r="D137" s="131">
        <f>SUMIFS(All_Stats!$G:$G,
All_Stats!$D:$D,$B137,
All_Stats!$B:$B,"&gt;="&amp;EOMONTH($A137,-1)+1,
All_Stats!$B:$B,"&lt;"&amp;EOMONTH($A137,0)+1,
All_Stats!$P:$P,"&lt;&gt;Email Marketing"
)</f>
        <v>0</v>
      </c>
      <c r="E137" s="113">
        <f>SUMIFS(All_Stats!$I:$I,
All_Stats!$D:$D,$B137,
All_Stats!$B:$B,"&gt;="&amp;EOMONTH($A137,-1)+1,
All_Stats!$B:$B,"&lt;"&amp;EOMONTH($A137,0)+1,
All_Stats!$P:$P,"&lt;&gt;Email Marketing"
)</f>
        <v>0</v>
      </c>
      <c r="F137" s="132" t="str">
        <f t="shared" si="25"/>
        <v>N/A</v>
      </c>
      <c r="G137" s="131">
        <f>SUMIFS(All_Stats!$H:$H,
All_Stats!$D:$D,$B137,
All_Stats!$B:$B,"&gt;="&amp;EOMONTH($A137,-1)+1,
All_Stats!$B:$B,"&lt;"&amp;EOMONTH($A137,0)+1,
All_Stats!$P:$P,"&lt;&gt;Email Marketing"
)</f>
        <v>0</v>
      </c>
      <c r="H137" s="113">
        <f>SUMIFS(All_Stats!$K:$K,
All_Stats!$D:$D,$B137,
All_Stats!$B:$B,"&gt;="&amp;EOMONTH($A137,-1)+1,
All_Stats!$B:$B,"&lt;"&amp;EOMONTH($A137,0)+1,
All_Stats!$P:$P,"&lt;&gt;Email Marketing"
)</f>
        <v>0</v>
      </c>
      <c r="I137" s="152">
        <f>IFERROR(__xludf.DUMMYFUNCTION("COUNTUNIQUEIFS(All_Stats!A:A,
All_Stats!$D:$D,$B137,
All_Stats!$B:$B,""&gt;=""&amp;EOMONTH($A137,-1)+1,
All_Stats!$B:$B,""&lt;""&amp;EOMONTH($A137,0)+1,
All_Stats!$P:$P,""&lt;&gt;Email Marketing""
)"),0.0)</f>
        <v>0</v>
      </c>
    </row>
    <row r="138" hidden="1">
      <c r="A138" s="128">
        <v>44409.0</v>
      </c>
      <c r="B138" s="131" t="s">
        <v>506</v>
      </c>
      <c r="C138" s="134" t="str">
        <f>if(ifna(VLOOKUP(B138,'Vendor Directory'!A:C,3,0),"NOT FOUND")="","NOT FOUND",VLOOKUP(B138,'Vendor Directory'!A:C,3,0))</f>
        <v>#N/A</v>
      </c>
      <c r="D138" s="131">
        <f>SUMIFS(All_Stats!$G:$G,
All_Stats!$D:$D,$B138,
All_Stats!$B:$B,"&gt;="&amp;EOMONTH($A138,-1)+1,
All_Stats!$B:$B,"&lt;"&amp;EOMONTH($A138,0)+1,
All_Stats!$P:$P,"&lt;&gt;Email Marketing"
)</f>
        <v>0</v>
      </c>
      <c r="E138" s="113">
        <f>SUMIFS(All_Stats!$I:$I,
All_Stats!$D:$D,$B138,
All_Stats!$B:$B,"&gt;="&amp;EOMONTH($A138,-1)+1,
All_Stats!$B:$B,"&lt;"&amp;EOMONTH($A138,0)+1,
All_Stats!$P:$P,"&lt;&gt;Email Marketing"
)</f>
        <v>0</v>
      </c>
      <c r="F138" s="132" t="str">
        <f t="shared" si="25"/>
        <v>N/A</v>
      </c>
      <c r="G138" s="131">
        <f>SUMIFS(All_Stats!$H:$H,
All_Stats!$D:$D,$B138,
All_Stats!$B:$B,"&gt;="&amp;EOMONTH($A138,-1)+1,
All_Stats!$B:$B,"&lt;"&amp;EOMONTH($A138,0)+1,
All_Stats!$P:$P,"&lt;&gt;Email Marketing"
)</f>
        <v>0</v>
      </c>
      <c r="H138" s="113">
        <f>SUMIFS(All_Stats!$K:$K,
All_Stats!$D:$D,$B138,
All_Stats!$B:$B,"&gt;="&amp;EOMONTH($A138,-1)+1,
All_Stats!$B:$B,"&lt;"&amp;EOMONTH($A138,0)+1,
All_Stats!$P:$P,"&lt;&gt;Email Marketing"
)</f>
        <v>0</v>
      </c>
      <c r="I138" s="152">
        <f>IFERROR(__xludf.DUMMYFUNCTION("COUNTUNIQUEIFS(All_Stats!A:A,
All_Stats!$D:$D,$B138,
All_Stats!$B:$B,""&gt;=""&amp;EOMONTH($A138,-1)+1,
All_Stats!$B:$B,""&lt;""&amp;EOMONTH($A138,0)+1,
All_Stats!$P:$P,""&lt;&gt;Email Marketing""
)"),0.0)</f>
        <v>0</v>
      </c>
    </row>
    <row r="139" hidden="1">
      <c r="A139" s="128">
        <v>44409.0</v>
      </c>
      <c r="B139" s="131" t="s">
        <v>510</v>
      </c>
      <c r="C139" s="134" t="str">
        <f>if(ifna(VLOOKUP(B139,'Vendor Directory'!A:C,3,0),"NOT FOUND")="","NOT FOUND",VLOOKUP(B139,'Vendor Directory'!A:C,3,0))</f>
        <v>#N/A</v>
      </c>
      <c r="D139" s="114">
        <f>SUMIFS(All_Stats!$G:$G,
All_Stats!$D:$D,$B139,
All_Stats!$B:$B,"&gt;="&amp;EOMONTH($A139,-1)+1,
All_Stats!$B:$B,"&lt;"&amp;EOMONTH($A139,0)+1,
All_Stats!$P:$P,"&lt;&gt;Email Marketing"
)</f>
        <v>0</v>
      </c>
      <c r="E139" s="113">
        <f>SUMIFS(All_Stats!$I:$I,
All_Stats!$D:$D,$B139,
All_Stats!$B:$B,"&gt;="&amp;EOMONTH($A139,-1)+1,
All_Stats!$B:$B,"&lt;"&amp;EOMONTH($A139,0)+1,
All_Stats!$P:$P,"&lt;&gt;Email Marketing"
)</f>
        <v>0</v>
      </c>
      <c r="F139" s="132" t="str">
        <f t="shared" si="25"/>
        <v>N/A</v>
      </c>
      <c r="G139" s="131">
        <f>SUMIFS(All_Stats!$H:$H,
All_Stats!$D:$D,$B139,
All_Stats!$B:$B,"&gt;="&amp;EOMONTH($A139,-1)+1,
All_Stats!$B:$B,"&lt;"&amp;EOMONTH($A139,0)+1,
All_Stats!$P:$P,"&lt;&gt;Email Marketing"
)</f>
        <v>0</v>
      </c>
      <c r="H139" s="113">
        <f>SUMIFS(All_Stats!$K:$K,
All_Stats!$D:$D,$B139,
All_Stats!$B:$B,"&gt;="&amp;EOMONTH($A139,-1)+1,
All_Stats!$B:$B,"&lt;"&amp;EOMONTH($A139,0)+1,
All_Stats!$P:$P,"&lt;&gt;Email Marketing"
)</f>
        <v>0</v>
      </c>
      <c r="I139" s="152">
        <f>IFERROR(__xludf.DUMMYFUNCTION("COUNTUNIQUEIFS(All_Stats!A:A,
All_Stats!$D:$D,$B139,
All_Stats!$B:$B,""&gt;=""&amp;EOMONTH($A139,-1)+1,
All_Stats!$B:$B,""&lt;""&amp;EOMONTH($A139,0)+1,
All_Stats!$P:$P,""&lt;&gt;Email Marketing""
)"),0.0)</f>
        <v>0</v>
      </c>
    </row>
    <row r="140" hidden="1">
      <c r="A140" s="135"/>
      <c r="B140" s="135"/>
      <c r="C140" s="136" t="s">
        <v>23</v>
      </c>
      <c r="D140" s="137">
        <f t="shared" ref="D140:E140" si="26">SUM(D124:D139)</f>
        <v>0</v>
      </c>
      <c r="E140" s="137">
        <f t="shared" si="26"/>
        <v>0</v>
      </c>
      <c r="F140" s="138" t="str">
        <f t="shared" si="25"/>
        <v>N/A</v>
      </c>
      <c r="G140" s="137">
        <f t="shared" ref="G140:H140" si="27">SUM(G124:G139)</f>
        <v>0</v>
      </c>
      <c r="H140" s="137">
        <f t="shared" si="27"/>
        <v>0</v>
      </c>
      <c r="I140" s="137"/>
    </row>
    <row r="141" hidden="1">
      <c r="A141" s="131"/>
      <c r="B141" s="131"/>
      <c r="C141" s="131"/>
      <c r="D141" s="140"/>
      <c r="F141" s="131"/>
      <c r="G141" s="131"/>
    </row>
    <row r="142" hidden="1">
      <c r="A142" s="131"/>
      <c r="B142" s="131"/>
      <c r="C142" s="131"/>
      <c r="D142" s="140">
        <f t="shared" ref="D142:E142" si="28">D140+D120</f>
        <v>0</v>
      </c>
      <c r="E142" s="140">
        <f t="shared" si="28"/>
        <v>0</v>
      </c>
      <c r="F142" s="131"/>
      <c r="G142" s="140">
        <f>G140+G120</f>
        <v>0</v>
      </c>
      <c r="H142" s="140"/>
      <c r="I142" s="164">
        <f>E142+G142</f>
        <v>0</v>
      </c>
    </row>
    <row r="143" hidden="1">
      <c r="A143" s="131"/>
      <c r="B143" s="131"/>
      <c r="C143" s="131"/>
      <c r="D143" s="140"/>
      <c r="F143" s="131"/>
      <c r="G143" s="131"/>
    </row>
    <row r="144" hidden="1">
      <c r="C144" s="118" t="s">
        <v>484</v>
      </c>
      <c r="D144" s="119"/>
      <c r="E144" s="119"/>
      <c r="F144" s="119"/>
      <c r="G144" s="119"/>
      <c r="H144" s="119"/>
      <c r="I144" s="159"/>
    </row>
    <row r="145" hidden="1">
      <c r="A145" s="121" t="s">
        <v>1</v>
      </c>
      <c r="B145" s="122" t="s">
        <v>485</v>
      </c>
      <c r="C145" s="123" t="s">
        <v>486</v>
      </c>
      <c r="D145" s="124" t="s">
        <v>6</v>
      </c>
      <c r="E145" s="125" t="s">
        <v>8</v>
      </c>
      <c r="F145" s="124" t="s">
        <v>479</v>
      </c>
      <c r="G145" s="126" t="s">
        <v>7</v>
      </c>
      <c r="H145" s="125" t="s">
        <v>10</v>
      </c>
      <c r="I145" s="160" t="s">
        <v>487</v>
      </c>
    </row>
    <row r="146" hidden="1">
      <c r="A146" s="128">
        <v>44440.0</v>
      </c>
      <c r="B146" s="131" t="s">
        <v>164</v>
      </c>
      <c r="C146" s="134" t="str">
        <f>if(ifna(VLOOKUP(B146,'Vendor Directory'!A:C,3,0),"NOT FOUND")="","NOT FOUND",VLOOKUP(B146,'Vendor Directory'!A:C,3,0))</f>
        <v>#N/A</v>
      </c>
      <c r="D146" s="131">
        <f>SUMIFS(All_Stats!$G:$G,
All_Stats!$D:$D,$B146,
All_Stats!$B:$B,"&gt;="&amp;EOMONTH($A146,-1)+1,
All_Stats!$B:$B,"&lt;"&amp;EOMONTH($A146,0)+1,
All_Stats!$P:$P,"Email Marketing"
)</f>
        <v>0</v>
      </c>
      <c r="E146" s="113">
        <f>SUMIFS(All_Stats!$I:$I,
All_Stats!$D:$D,$B146,
All_Stats!$B:$B,"&gt;="&amp;EOMONTH($A146,-1)+1,
All_Stats!$B:$B,"&lt;"&amp;EOMONTH($A146,0)+1,
All_Stats!$P:$P,"Email Marketing"
)</f>
        <v>0</v>
      </c>
      <c r="F146" s="132" t="str">
        <f t="shared" ref="F146:F148" si="29">iferror(E146/D146,"N/A")</f>
        <v>N/A</v>
      </c>
      <c r="G146" s="131">
        <f>SUMIFS(All_Stats!$H:$H,
All_Stats!$D:$D,$B146,
All_Stats!$B:$B,"&gt;="&amp;EOMONTH($A146,-1)+1,
All_Stats!$B:$B,"&lt;"&amp;EOMONTH($A146,0)+1,
All_Stats!$P:$P,"Email Marketing"
)</f>
        <v>0</v>
      </c>
      <c r="H146" s="113">
        <f>SUMIFS(All_Stats!$K:$K,
All_Stats!$D:$D,$B146,
All_Stats!$B:$B,"&gt;="&amp;EOMONTH($A146,-1)+1,
All_Stats!$B:$B,"&lt;"&amp;EOMONTH($A146,0)+1,
All_Stats!$P:$P,"Email Marketing"
)</f>
        <v>0</v>
      </c>
      <c r="I146" s="152">
        <f>IFERROR(__xludf.DUMMYFUNCTION("COUNTUNIQUEIFS(All_Stats!A:A,
All_Stats!$D:$D,$B146,
All_Stats!$B:$B,""&gt;=""&amp;EOMONTH($A146,-1)+1,
All_Stats!$B:$B,""&lt;""&amp;EOMONTH($A146,0)+1,
All_Stats!$P:$P,""Email Marketing""
)"),0.0)</f>
        <v>0</v>
      </c>
    </row>
    <row r="147" hidden="1">
      <c r="A147" s="128">
        <v>44440.0</v>
      </c>
      <c r="B147" s="131" t="s">
        <v>172</v>
      </c>
      <c r="C147" s="134" t="str">
        <f>if(ifna(VLOOKUP(B147,'Vendor Directory'!A:C,3,0),"NOT FOUND")="","NOT FOUND",VLOOKUP(B147,'Vendor Directory'!A:C,3,0))</f>
        <v>#N/A</v>
      </c>
      <c r="D147" s="131">
        <f>SUMIFS(All_Stats!$G:$G,
All_Stats!$D:$D,$B147,
All_Stats!$B:$B,"&gt;="&amp;EOMONTH($A147,-1)+1,
All_Stats!$B:$B,"&lt;"&amp;EOMONTH($A147,0)+1,
All_Stats!$P:$P,"Email Marketing"
)</f>
        <v>0</v>
      </c>
      <c r="E147" s="113">
        <f>SUMIFS(All_Stats!$I:$I,
All_Stats!$D:$D,$B147,
All_Stats!$B:$B,"&gt;="&amp;EOMONTH($A147,-1)+1,
All_Stats!$B:$B,"&lt;"&amp;EOMONTH($A147,0)+1,
All_Stats!$P:$P,"Email Marketing"
)</f>
        <v>0</v>
      </c>
      <c r="F147" s="132" t="str">
        <f t="shared" si="29"/>
        <v>N/A</v>
      </c>
      <c r="G147" s="131">
        <f>SUMIFS(All_Stats!$H:$H,
All_Stats!$D:$D,$B147,
All_Stats!$B:$B,"&gt;="&amp;EOMONTH($A147,-1)+1,
All_Stats!$B:$B,"&lt;"&amp;EOMONTH($A147,0)+1,
All_Stats!$P:$P,"Email Marketing"
)</f>
        <v>0</v>
      </c>
      <c r="H147" s="113">
        <f>SUMIFS(All_Stats!$K:$K,
All_Stats!$D:$D,$B147,
All_Stats!$B:$B,"&gt;="&amp;EOMONTH($A147,-1)+1,
All_Stats!$B:$B,"&lt;"&amp;EOMONTH($A147,0)+1,
All_Stats!$P:$P,"Email Marketing"
)</f>
        <v>0</v>
      </c>
      <c r="I147" s="152">
        <f>IFERROR(__xludf.DUMMYFUNCTION("COUNTUNIQUEIFS(All_Stats!A:A,
All_Stats!$D:$D,$B147,
All_Stats!$B:$B,""&gt;=""&amp;EOMONTH($A147,-1)+1,
All_Stats!$B:$B,""&lt;""&amp;EOMONTH($A147,0)+1,
All_Stats!$P:$P,""Email Marketing""
)"),0.0)</f>
        <v>0</v>
      </c>
    </row>
    <row r="148" hidden="1">
      <c r="A148" s="135"/>
      <c r="B148" s="135"/>
      <c r="C148" s="136" t="s">
        <v>23</v>
      </c>
      <c r="D148" s="137">
        <f t="shared" ref="D148:E148" si="30">SUM(D146:D147)</f>
        <v>0</v>
      </c>
      <c r="E148" s="137">
        <f t="shared" si="30"/>
        <v>0</v>
      </c>
      <c r="F148" s="138" t="str">
        <f t="shared" si="29"/>
        <v>N/A</v>
      </c>
      <c r="G148" s="137">
        <f t="shared" ref="G148:H148" si="31">SUM(G146:G147)</f>
        <v>0</v>
      </c>
      <c r="H148" s="137">
        <f t="shared" si="31"/>
        <v>0</v>
      </c>
      <c r="I148" s="137"/>
    </row>
    <row r="149" hidden="1">
      <c r="A149" s="131"/>
      <c r="B149" s="131"/>
      <c r="C149" s="131"/>
      <c r="D149" s="140"/>
      <c r="F149" s="131"/>
      <c r="G149" s="131"/>
    </row>
    <row r="150" hidden="1">
      <c r="C150" s="118" t="s">
        <v>504</v>
      </c>
      <c r="D150" s="119"/>
      <c r="E150" s="119"/>
      <c r="F150" s="119"/>
      <c r="G150" s="119"/>
      <c r="H150" s="119"/>
      <c r="I150" s="159"/>
    </row>
    <row r="151" hidden="1">
      <c r="A151" s="121" t="s">
        <v>1</v>
      </c>
      <c r="B151" s="122" t="s">
        <v>485</v>
      </c>
      <c r="C151" s="123" t="s">
        <v>486</v>
      </c>
      <c r="D151" s="124" t="s">
        <v>6</v>
      </c>
      <c r="E151" s="125" t="s">
        <v>8</v>
      </c>
      <c r="F151" s="124" t="s">
        <v>479</v>
      </c>
      <c r="G151" s="126" t="s">
        <v>7</v>
      </c>
      <c r="H151" s="125" t="s">
        <v>10</v>
      </c>
      <c r="I151" s="160" t="s">
        <v>487</v>
      </c>
    </row>
    <row r="152" hidden="1">
      <c r="A152" s="128">
        <v>44440.0</v>
      </c>
      <c r="B152" s="131" t="s">
        <v>127</v>
      </c>
      <c r="C152" s="163" t="str">
        <f>if(ifna(VLOOKUP(B152,'Vendor Directory'!A:C,3,0),"NOT FOUND")="","NOT FOUND",VLOOKUP(B152,'Vendor Directory'!A:C,3,0))</f>
        <v>#N/A</v>
      </c>
      <c r="D152" s="131">
        <f>SUMIFS(All_Stats!$G:$G,
All_Stats!$D:$D,$B152,
All_Stats!$B:$B,"&gt;="&amp;EOMONTH($A152,-1)+1,
All_Stats!$B:$B,"&lt;"&amp;EOMONTH($A152,0)+1,
All_Stats!$P:$P,"&lt;&gt;Email Marketing"
)</f>
        <v>0</v>
      </c>
      <c r="E152" s="113">
        <f>SUMIFS(All_Stats!$I:$I,
All_Stats!$D:$D,$B152,
All_Stats!$B:$B,"&gt;="&amp;EOMONTH($A152,-1)+1,
All_Stats!$B:$B,"&lt;"&amp;EOMONTH($A152,0)+1,
All_Stats!$P:$P,"&lt;&gt;Email Marketing"
)</f>
        <v>0</v>
      </c>
      <c r="F152" s="132" t="str">
        <f t="shared" ref="F152:F168" si="32">iferror(E152/D152,"N/A")</f>
        <v>N/A</v>
      </c>
      <c r="G152" s="131">
        <f>SUMIFS(All_Stats!$H:$H,
All_Stats!$D:$D,$B152,
All_Stats!$B:$B,"&gt;="&amp;EOMONTH($A152,-1)+1,
All_Stats!$B:$B,"&lt;"&amp;EOMONTH($A152,0)+1,
All_Stats!$P:$P,"&lt;&gt;Email Marketing"
)</f>
        <v>0</v>
      </c>
      <c r="H152" s="113">
        <f>SUMIFS(All_Stats!$K:$K,
All_Stats!$D:$D,$B152,
All_Stats!$B:$B,"&gt;="&amp;EOMONTH($A152,-1)+1,
All_Stats!$B:$B,"&lt;"&amp;EOMONTH($A152,0)+1,
All_Stats!$P:$P,"&lt;&gt;Email Marketing"
)</f>
        <v>0</v>
      </c>
      <c r="I152" s="152">
        <f>IFERROR(__xludf.DUMMYFUNCTION("COUNTUNIQUEIFS(All_Stats!A:A,
All_Stats!$D:$D,$B152,
All_Stats!$B:$B,""&gt;=""&amp;EOMONTH($A152,-1)+1,
All_Stats!$B:$B,""&lt;""&amp;EOMONTH($A152,0)+1,
All_Stats!$P:$P,""&lt;&gt;Email Marketing""
)"),0.0)</f>
        <v>0</v>
      </c>
    </row>
    <row r="153" hidden="1">
      <c r="A153" s="128">
        <v>44440.0</v>
      </c>
      <c r="B153" s="131" t="s">
        <v>157</v>
      </c>
      <c r="C153" s="163" t="str">
        <f>if(ifna(VLOOKUP(B153,'Vendor Directory'!A:C,3,0),"NOT FOUND")="","NOT FOUND",VLOOKUP(B153,'Vendor Directory'!A:C,3,0))</f>
        <v>#N/A</v>
      </c>
      <c r="D153" s="131">
        <f>SUMIFS(All_Stats!$G:$G,
All_Stats!$D:$D,$B153,
All_Stats!$B:$B,"&gt;="&amp;EOMONTH($A153,-1)+1,
All_Stats!$B:$B,"&lt;"&amp;EOMONTH($A153,0)+1,
All_Stats!$P:$P,"&lt;&gt;Email Marketing"
)</f>
        <v>0</v>
      </c>
      <c r="E153" s="113">
        <f>SUMIFS(All_Stats!$I:$I,
All_Stats!$D:$D,$B153,
All_Stats!$B:$B,"&gt;="&amp;EOMONTH($A153,-1)+1,
All_Stats!$B:$B,"&lt;"&amp;EOMONTH($A153,0)+1,
All_Stats!$P:$P,"&lt;&gt;Email Marketing"
)</f>
        <v>0</v>
      </c>
      <c r="F153" s="132" t="str">
        <f t="shared" si="32"/>
        <v>N/A</v>
      </c>
      <c r="G153" s="131">
        <f>SUMIFS(All_Stats!$H:$H,
All_Stats!$D:$D,$B153,
All_Stats!$B:$B,"&gt;="&amp;EOMONTH($A153,-1)+1,
All_Stats!$B:$B,"&lt;"&amp;EOMONTH($A153,0)+1,
All_Stats!$P:$P,"&lt;&gt;Email Marketing"
)</f>
        <v>0</v>
      </c>
      <c r="H153" s="113">
        <f>SUMIFS(All_Stats!$K:$K,
All_Stats!$D:$D,$B153,
All_Stats!$B:$B,"&gt;="&amp;EOMONTH($A153,-1)+1,
All_Stats!$B:$B,"&lt;"&amp;EOMONTH($A153,0)+1,
All_Stats!$P:$P,"&lt;&gt;Email Marketing"
)</f>
        <v>0</v>
      </c>
      <c r="I153" s="152">
        <f>IFERROR(__xludf.DUMMYFUNCTION("COUNTUNIQUEIFS(All_Stats!A:A,
All_Stats!$D:$D,$B153,
All_Stats!$B:$B,""&gt;=""&amp;EOMONTH($A153,-1)+1,
All_Stats!$B:$B,""&lt;""&amp;EOMONTH($A153,0)+1,
All_Stats!$P:$P,""&lt;&gt;Email Marketing""
)"),0.0)</f>
        <v>0</v>
      </c>
    </row>
    <row r="154" hidden="1">
      <c r="A154" s="128">
        <v>44440.0</v>
      </c>
      <c r="B154" s="131" t="s">
        <v>30</v>
      </c>
      <c r="C154" s="163" t="str">
        <f>if(ifna(VLOOKUP(B154,'Vendor Directory'!A:C,3,0),"NOT FOUND")="","NOT FOUND",VLOOKUP(B154,'Vendor Directory'!A:C,3,0))</f>
        <v>Vendor 2 Name</v>
      </c>
      <c r="D154" s="131">
        <f>SUMIFS(All_Stats!$G:$G,
All_Stats!$D:$D,$B154,
All_Stats!$B:$B,"&gt;="&amp;EOMONTH($A154,-1)+1,
All_Stats!$B:$B,"&lt;"&amp;EOMONTH($A154,0)+1,
All_Stats!$P:$P,"&lt;&gt;Email Marketing"
)</f>
        <v>0</v>
      </c>
      <c r="E154" s="113">
        <f>SUMIFS(All_Stats!$I:$I,
All_Stats!$D:$D,$B154,
All_Stats!$B:$B,"&gt;="&amp;EOMONTH($A154,-1)+1,
All_Stats!$B:$B,"&lt;"&amp;EOMONTH($A154,0)+1,
All_Stats!$P:$P,"&lt;&gt;Email Marketing"
)</f>
        <v>0</v>
      </c>
      <c r="F154" s="132" t="str">
        <f t="shared" si="32"/>
        <v>N/A</v>
      </c>
      <c r="G154" s="131">
        <f>SUMIFS(All_Stats!$H:$H,
All_Stats!$D:$D,$B154,
All_Stats!$B:$B,"&gt;="&amp;EOMONTH($A154,-1)+1,
All_Stats!$B:$B,"&lt;"&amp;EOMONTH($A154,0)+1,
All_Stats!$P:$P,"&lt;&gt;Email Marketing"
)</f>
        <v>0</v>
      </c>
      <c r="H154" s="113">
        <f>SUMIFS(All_Stats!$K:$K,
All_Stats!$D:$D,$B154,
All_Stats!$B:$B,"&gt;="&amp;EOMONTH($A154,-1)+1,
All_Stats!$B:$B,"&lt;"&amp;EOMONTH($A154,0)+1,
All_Stats!$P:$P,"&lt;&gt;Email Marketing"
)</f>
        <v>0</v>
      </c>
      <c r="I154" s="152">
        <f>IFERROR(__xludf.DUMMYFUNCTION("COUNTUNIQUEIFS(All_Stats!A:A,
All_Stats!$D:$D,$B154,
All_Stats!$B:$B,""&gt;=""&amp;EOMONTH($A154,-1)+1,
All_Stats!$B:$B,""&lt;""&amp;EOMONTH($A154,0)+1,
All_Stats!$P:$P,""&lt;&gt;Email Marketing""
)"),0.0)</f>
        <v>0</v>
      </c>
    </row>
    <row r="155" hidden="1">
      <c r="A155" s="128">
        <v>44440.0</v>
      </c>
      <c r="B155" s="131" t="s">
        <v>164</v>
      </c>
      <c r="C155" s="163" t="str">
        <f>if(ifna(VLOOKUP(B155,'Vendor Directory'!A:C,3,0),"NOT FOUND")="","NOT FOUND",VLOOKUP(B155,'Vendor Directory'!A:C,3,0))</f>
        <v>#N/A</v>
      </c>
      <c r="D155" s="131">
        <f>SUMIFS(All_Stats!$G:$G,
All_Stats!$D:$D,$B155,
All_Stats!$B:$B,"&gt;="&amp;EOMONTH($A155,-1)+1,
All_Stats!$B:$B,"&lt;"&amp;EOMONTH($A155,0)+1,
All_Stats!$P:$P,"&lt;&gt;Email Marketing"
)</f>
        <v>0</v>
      </c>
      <c r="E155" s="113">
        <f>SUMIFS(All_Stats!$I:$I,
All_Stats!$D:$D,$B155,
All_Stats!$B:$B,"&gt;="&amp;EOMONTH($A155,-1)+1,
All_Stats!$B:$B,"&lt;"&amp;EOMONTH($A155,0)+1,
All_Stats!$P:$P,"&lt;&gt;Email Marketing"
)</f>
        <v>0</v>
      </c>
      <c r="F155" s="132" t="str">
        <f t="shared" si="32"/>
        <v>N/A</v>
      </c>
      <c r="G155" s="131">
        <f>SUMIFS(All_Stats!$H:$H,
All_Stats!$D:$D,$B155,
All_Stats!$B:$B,"&gt;="&amp;EOMONTH($A155,-1)+1,
All_Stats!$B:$B,"&lt;"&amp;EOMONTH($A155,0)+1,
All_Stats!$P:$P,"&lt;&gt;Email Marketing"
)</f>
        <v>0</v>
      </c>
      <c r="H155" s="113">
        <f>SUMIFS(All_Stats!$K:$K,
All_Stats!$D:$D,$B155,
All_Stats!$B:$B,"&gt;="&amp;EOMONTH($A155,-1)+1,
All_Stats!$B:$B,"&lt;"&amp;EOMONTH($A155,0)+1,
All_Stats!$P:$P,"&lt;&gt;Email Marketing"
)</f>
        <v>0</v>
      </c>
      <c r="I155" s="152">
        <f>IFERROR(__xludf.DUMMYFUNCTION("COUNTUNIQUEIFS(All_Stats!A:A,
All_Stats!$D:$D,$B155,
All_Stats!$B:$B,""&gt;=""&amp;EOMONTH($A155,-1)+1,
All_Stats!$B:$B,""&lt;""&amp;EOMONTH($A155,0)+1,
All_Stats!$P:$P,""&lt;&gt;Email Marketing""
)"),0.0)</f>
        <v>0</v>
      </c>
    </row>
    <row r="156" hidden="1">
      <c r="A156" s="128">
        <v>44440.0</v>
      </c>
      <c r="B156" s="131" t="s">
        <v>172</v>
      </c>
      <c r="C156" s="163" t="str">
        <f>if(ifna(VLOOKUP(B156,'Vendor Directory'!A:C,3,0),"NOT FOUND")="","NOT FOUND",VLOOKUP(B156,'Vendor Directory'!A:C,3,0))</f>
        <v>#N/A</v>
      </c>
      <c r="D156" s="131">
        <f>SUMIFS(All_Stats!$G:$G,
All_Stats!$D:$D,$B156,
All_Stats!$B:$B,"&gt;="&amp;EOMONTH($A156,-1)+1,
All_Stats!$B:$B,"&lt;"&amp;EOMONTH($A156,0)+1,
All_Stats!$P:$P,"&lt;&gt;Email Marketing"
)</f>
        <v>0</v>
      </c>
      <c r="E156" s="113">
        <f>SUMIFS(All_Stats!$I:$I,
All_Stats!$D:$D,$B156,
All_Stats!$B:$B,"&gt;="&amp;EOMONTH($A156,-1)+1,
All_Stats!$B:$B,"&lt;"&amp;EOMONTH($A156,0)+1,
All_Stats!$P:$P,"&lt;&gt;Email Marketing"
)</f>
        <v>0</v>
      </c>
      <c r="F156" s="132" t="str">
        <f t="shared" si="32"/>
        <v>N/A</v>
      </c>
      <c r="G156" s="131">
        <f>SUMIFS(All_Stats!$H:$H,
All_Stats!$D:$D,$B156,
All_Stats!$B:$B,"&gt;="&amp;EOMONTH($A156,-1)+1,
All_Stats!$B:$B,"&lt;"&amp;EOMONTH($A156,0)+1,
All_Stats!$P:$P,"&lt;&gt;Email Marketing"
)</f>
        <v>0</v>
      </c>
      <c r="H156" s="113">
        <f>SUMIFS(All_Stats!$K:$K,
All_Stats!$D:$D,$B156,
All_Stats!$B:$B,"&gt;="&amp;EOMONTH($A156,-1)+1,
All_Stats!$B:$B,"&lt;"&amp;EOMONTH($A156,0)+1,
All_Stats!$P:$P,"&lt;&gt;Email Marketing"
)</f>
        <v>0</v>
      </c>
      <c r="I156" s="152">
        <f>IFERROR(__xludf.DUMMYFUNCTION("COUNTUNIQUEIFS(All_Stats!A:A,
All_Stats!$D:$D,$B156,
All_Stats!$B:$B,""&gt;=""&amp;EOMONTH($A156,-1)+1,
All_Stats!$B:$B,""&lt;""&amp;EOMONTH($A156,0)+1,
All_Stats!$P:$P,""&lt;&gt;Email Marketing""
)"),0.0)</f>
        <v>0</v>
      </c>
    </row>
    <row r="157" hidden="1">
      <c r="A157" s="128">
        <v>44440.0</v>
      </c>
      <c r="B157" s="131" t="s">
        <v>497</v>
      </c>
      <c r="C157" s="163" t="str">
        <f>if(ifna(VLOOKUP(B157,'Vendor Directory'!A:C,3,0),"NOT FOUND")="","NOT FOUND",VLOOKUP(B157,'Vendor Directory'!A:C,3,0))</f>
        <v>#N/A</v>
      </c>
      <c r="D157" s="131">
        <f>SUMIFS(All_Stats!$G:$G,
All_Stats!$D:$D,$B157,
All_Stats!$B:$B,"&gt;="&amp;EOMONTH($A157,-1)+1,
All_Stats!$B:$B,"&lt;"&amp;EOMONTH($A157,0)+1,
All_Stats!$P:$P,"&lt;&gt;Email Marketing"
)</f>
        <v>0</v>
      </c>
      <c r="E157" s="113">
        <f>SUMIFS(All_Stats!$I:$I,
All_Stats!$D:$D,$B157,
All_Stats!$B:$B,"&gt;="&amp;EOMONTH($A157,-1)+1,
All_Stats!$B:$B,"&lt;"&amp;EOMONTH($A157,0)+1,
All_Stats!$P:$P,"&lt;&gt;Email Marketing"
)</f>
        <v>0</v>
      </c>
      <c r="F157" s="132" t="str">
        <f t="shared" si="32"/>
        <v>N/A</v>
      </c>
      <c r="G157" s="131">
        <f>SUMIFS(All_Stats!$H:$H,
All_Stats!$D:$D,$B157,
All_Stats!$B:$B,"&gt;="&amp;EOMONTH($A157,-1)+1,
All_Stats!$B:$B,"&lt;"&amp;EOMONTH($A157,0)+1,
All_Stats!$P:$P,"&lt;&gt;Email Marketing"
)</f>
        <v>0</v>
      </c>
      <c r="H157" s="113">
        <f>SUMIFS(All_Stats!$K:$K,
All_Stats!$D:$D,$B157,
All_Stats!$B:$B,"&gt;="&amp;EOMONTH($A157,-1)+1,
All_Stats!$B:$B,"&lt;"&amp;EOMONTH($A157,0)+1,
All_Stats!$P:$P,"&lt;&gt;Email Marketing"
)</f>
        <v>0</v>
      </c>
      <c r="I157" s="152">
        <f>IFERROR(__xludf.DUMMYFUNCTION("COUNTUNIQUEIFS(All_Stats!A:A,
All_Stats!$D:$D,$B157,
All_Stats!$B:$B,""&gt;=""&amp;EOMONTH($A157,-1)+1,
All_Stats!$B:$B,""&lt;""&amp;EOMONTH($A157,0)+1,
All_Stats!$P:$P,""&lt;&gt;Email Marketing""
)"),0.0)</f>
        <v>0</v>
      </c>
    </row>
    <row r="158" hidden="1">
      <c r="A158" s="128">
        <v>44440.0</v>
      </c>
      <c r="B158" s="131" t="s">
        <v>498</v>
      </c>
      <c r="C158" s="163" t="str">
        <f>if(ifna(VLOOKUP(B158,'Vendor Directory'!A:C,3,0),"NOT FOUND")="","NOT FOUND",VLOOKUP(B158,'Vendor Directory'!A:C,3,0))</f>
        <v>#N/A</v>
      </c>
      <c r="D158" s="131">
        <f>SUMIFS(All_Stats!$G:$G,
All_Stats!$D:$D,$B158,
All_Stats!$B:$B,"&gt;="&amp;EOMONTH($A158,-1)+1,
All_Stats!$B:$B,"&lt;"&amp;EOMONTH($A158,0)+1,
All_Stats!$P:$P,"&lt;&gt;Email Marketing"
)</f>
        <v>0</v>
      </c>
      <c r="E158" s="113">
        <f>SUMIFS(All_Stats!$I:$I,
All_Stats!$D:$D,$B158,
All_Stats!$B:$B,"&gt;="&amp;EOMONTH($A158,-1)+1,
All_Stats!$B:$B,"&lt;"&amp;EOMONTH($A158,0)+1,
All_Stats!$P:$P,"&lt;&gt;Email Marketing"
)</f>
        <v>0</v>
      </c>
      <c r="F158" s="132" t="str">
        <f t="shared" si="32"/>
        <v>N/A</v>
      </c>
      <c r="G158" s="131">
        <f>SUMIFS(All_Stats!$H:$H,
All_Stats!$D:$D,$B158,
All_Stats!$B:$B,"&gt;="&amp;EOMONTH($A158,-1)+1,
All_Stats!$B:$B,"&lt;"&amp;EOMONTH($A158,0)+1,
All_Stats!$P:$P,"&lt;&gt;Email Marketing"
)</f>
        <v>0</v>
      </c>
      <c r="H158" s="113">
        <f>SUMIFS(All_Stats!$K:$K,
All_Stats!$D:$D,$B158,
All_Stats!$B:$B,"&gt;="&amp;EOMONTH($A158,-1)+1,
All_Stats!$B:$B,"&lt;"&amp;EOMONTH($A158,0)+1,
All_Stats!$P:$P,"&lt;&gt;Email Marketing"
)</f>
        <v>0</v>
      </c>
      <c r="I158" s="152">
        <f>IFERROR(__xludf.DUMMYFUNCTION("COUNTUNIQUEIFS(All_Stats!A:A,
All_Stats!$D:$D,$B158,
All_Stats!$B:$B,""&gt;=""&amp;EOMONTH($A158,-1)+1,
All_Stats!$B:$B,""&lt;""&amp;EOMONTH($A158,0)+1,
All_Stats!$P:$P,""&lt;&gt;Email Marketing""
)"),0.0)</f>
        <v>0</v>
      </c>
    </row>
    <row r="159" hidden="1">
      <c r="A159" s="128">
        <v>44440.0</v>
      </c>
      <c r="B159" s="131" t="s">
        <v>452</v>
      </c>
      <c r="C159" s="163" t="str">
        <f>if(ifna(VLOOKUP(B159,'Vendor Directory'!A:C,3,0),"NOT FOUND")="","NOT FOUND",VLOOKUP(B159,'Vendor Directory'!A:C,3,0))</f>
        <v>#N/A</v>
      </c>
      <c r="D159" s="131">
        <f>SUMIFS(All_Stats!$G:$G,
All_Stats!$D:$D,$B159,
All_Stats!$B:$B,"&gt;="&amp;EOMONTH($A159,-1)+1,
All_Stats!$B:$B,"&lt;"&amp;EOMONTH($A159,0)+1,
All_Stats!$P:$P,"&lt;&gt;Email Marketing"
)</f>
        <v>0</v>
      </c>
      <c r="E159" s="113">
        <f>SUMIFS(All_Stats!$I:$I,
All_Stats!$D:$D,$B159,
All_Stats!$B:$B,"&gt;="&amp;EOMONTH($A159,-1)+1,
All_Stats!$B:$B,"&lt;"&amp;EOMONTH($A159,0)+1,
All_Stats!$P:$P,"&lt;&gt;Email Marketing"
)</f>
        <v>0</v>
      </c>
      <c r="F159" s="132" t="str">
        <f t="shared" si="32"/>
        <v>N/A</v>
      </c>
      <c r="G159" s="131">
        <f>SUMIFS(All_Stats!$H:$H,
All_Stats!$D:$D,$B159,
All_Stats!$B:$B,"&gt;="&amp;EOMONTH($A159,-1)+1,
All_Stats!$B:$B,"&lt;"&amp;EOMONTH($A159,0)+1,
All_Stats!$P:$P,"&lt;&gt;Email Marketing"
)</f>
        <v>0</v>
      </c>
      <c r="H159" s="113">
        <f>SUMIFS(All_Stats!$K:$K,
All_Stats!$D:$D,$B159,
All_Stats!$B:$B,"&gt;="&amp;EOMONTH($A159,-1)+1,
All_Stats!$B:$B,"&lt;"&amp;EOMONTH($A159,0)+1,
All_Stats!$P:$P,"&lt;&gt;Email Marketing"
)</f>
        <v>0</v>
      </c>
      <c r="I159" s="152">
        <f>IFERROR(__xludf.DUMMYFUNCTION("COUNTUNIQUEIFS(All_Stats!A:A,
All_Stats!$D:$D,$B159,
All_Stats!$B:$B,""&gt;=""&amp;EOMONTH($A159,-1)+1,
All_Stats!$B:$B,""&lt;""&amp;EOMONTH($A159,0)+1,
All_Stats!$P:$P,""&lt;&gt;Email Marketing""
)"),0.0)</f>
        <v>0</v>
      </c>
    </row>
    <row r="160" hidden="1">
      <c r="A160" s="128">
        <v>44440.0</v>
      </c>
      <c r="B160" s="131" t="s">
        <v>499</v>
      </c>
      <c r="C160" s="163" t="str">
        <f>if(ifna(VLOOKUP(B160,'Vendor Directory'!A:C,3,0),"NOT FOUND")="","NOT FOUND",VLOOKUP(B160,'Vendor Directory'!A:C,3,0))</f>
        <v>#N/A</v>
      </c>
      <c r="D160" s="131">
        <f>SUMIFS(All_Stats!$G:$G,
All_Stats!$D:$D,$B160,
All_Stats!$B:$B,"&gt;="&amp;EOMONTH($A160,-1)+1,
All_Stats!$B:$B,"&lt;"&amp;EOMONTH($A160,0)+1,
All_Stats!$P:$P,"&lt;&gt;Email Marketing"
)</f>
        <v>0</v>
      </c>
      <c r="E160" s="113">
        <f>SUMIFS(All_Stats!$I:$I,
All_Stats!$D:$D,$B160,
All_Stats!$B:$B,"&gt;="&amp;EOMONTH($A160,-1)+1,
All_Stats!$B:$B,"&lt;"&amp;EOMONTH($A160,0)+1,
All_Stats!$P:$P,"&lt;&gt;Email Marketing"
)</f>
        <v>0</v>
      </c>
      <c r="F160" s="132" t="str">
        <f t="shared" si="32"/>
        <v>N/A</v>
      </c>
      <c r="G160" s="131">
        <f>SUMIFS(All_Stats!$H:$H,
All_Stats!$D:$D,$B160,
All_Stats!$B:$B,"&gt;="&amp;EOMONTH($A160,-1)+1,
All_Stats!$B:$B,"&lt;"&amp;EOMONTH($A160,0)+1,
All_Stats!$P:$P,"&lt;&gt;Email Marketing"
)</f>
        <v>0</v>
      </c>
      <c r="H160" s="113">
        <f>SUMIFS(All_Stats!$K:$K,
All_Stats!$D:$D,$B160,
All_Stats!$B:$B,"&gt;="&amp;EOMONTH($A160,-1)+1,
All_Stats!$B:$B,"&lt;"&amp;EOMONTH($A160,0)+1,
All_Stats!$P:$P,"&lt;&gt;Email Marketing"
)</f>
        <v>0</v>
      </c>
      <c r="I160" s="152">
        <f>IFERROR(__xludf.DUMMYFUNCTION("COUNTUNIQUEIFS(All_Stats!A:A,
All_Stats!$D:$D,$B160,
All_Stats!$B:$B,""&gt;=""&amp;EOMONTH($A160,-1)+1,
All_Stats!$B:$B,""&lt;""&amp;EOMONTH($A160,0)+1,
All_Stats!$P:$P,""&lt;&gt;Email Marketing""
)"),0.0)</f>
        <v>0</v>
      </c>
    </row>
    <row r="161" hidden="1">
      <c r="A161" s="128">
        <v>44440.0</v>
      </c>
      <c r="B161" s="131" t="s">
        <v>500</v>
      </c>
      <c r="C161" s="163" t="str">
        <f>if(ifna(VLOOKUP(B161,'Vendor Directory'!A:C,3,0),"NOT FOUND")="","NOT FOUND",VLOOKUP(B161,'Vendor Directory'!A:C,3,0))</f>
        <v>#N/A</v>
      </c>
      <c r="D161" s="131">
        <f>SUMIFS(All_Stats!$G:$G,
All_Stats!$D:$D,$B161,
All_Stats!$B:$B,"&gt;="&amp;EOMONTH($A161,-1)+1,
All_Stats!$B:$B,"&lt;"&amp;EOMONTH($A161,0)+1,
All_Stats!$P:$P,"&lt;&gt;Email Marketing"
)</f>
        <v>0</v>
      </c>
      <c r="E161" s="113">
        <f>SUMIFS(All_Stats!$I:$I,
All_Stats!$D:$D,$B161,
All_Stats!$B:$B,"&gt;="&amp;EOMONTH($A161,-1)+1,
All_Stats!$B:$B,"&lt;"&amp;EOMONTH($A161,0)+1,
All_Stats!$P:$P,"&lt;&gt;Email Marketing"
)</f>
        <v>0</v>
      </c>
      <c r="F161" s="132" t="str">
        <f t="shared" si="32"/>
        <v>N/A</v>
      </c>
      <c r="G161" s="131">
        <f>SUMIFS(All_Stats!$H:$H,
All_Stats!$D:$D,$B161,
All_Stats!$B:$B,"&gt;="&amp;EOMONTH($A161,-1)+1,
All_Stats!$B:$B,"&lt;"&amp;EOMONTH($A161,0)+1,
All_Stats!$P:$P,"&lt;&gt;Email Marketing"
)</f>
        <v>0</v>
      </c>
      <c r="H161" s="113">
        <f>SUMIFS(All_Stats!$K:$K,
All_Stats!$D:$D,$B161,
All_Stats!$B:$B,"&gt;="&amp;EOMONTH($A161,-1)+1,
All_Stats!$B:$B,"&lt;"&amp;EOMONTH($A161,0)+1,
All_Stats!$P:$P,"&lt;&gt;Email Marketing"
)</f>
        <v>0</v>
      </c>
      <c r="I161" s="152">
        <f>IFERROR(__xludf.DUMMYFUNCTION("COUNTUNIQUEIFS(All_Stats!A:A,
All_Stats!$D:$D,$B161,
All_Stats!$B:$B,""&gt;=""&amp;EOMONTH($A161,-1)+1,
All_Stats!$B:$B,""&lt;""&amp;EOMONTH($A161,0)+1,
All_Stats!$P:$P,""&lt;&gt;Email Marketing""
)"),0.0)</f>
        <v>0</v>
      </c>
    </row>
    <row r="162" hidden="1">
      <c r="A162" s="128">
        <v>44440.0</v>
      </c>
      <c r="B162" s="131" t="s">
        <v>91</v>
      </c>
      <c r="C162" s="163" t="str">
        <f>if(ifna(VLOOKUP(B162,'Vendor Directory'!A:C,3,0),"NOT FOUND")="","NOT FOUND",VLOOKUP(B162,'Vendor Directory'!A:C,3,0))</f>
        <v>#N/A</v>
      </c>
      <c r="D162" s="131">
        <f>SUMIFS(All_Stats!$G:$G,
All_Stats!$D:$D,$B162,
All_Stats!$B:$B,"&gt;="&amp;EOMONTH($A162,-1)+1,
All_Stats!$B:$B,"&lt;"&amp;EOMONTH($A162,0)+1,
All_Stats!$P:$P,"&lt;&gt;Email Marketing"
)</f>
        <v>0</v>
      </c>
      <c r="E162" s="113">
        <f>SUMIFS(All_Stats!$I:$I,
All_Stats!$D:$D,$B162,
All_Stats!$B:$B,"&gt;="&amp;EOMONTH($A162,-1)+1,
All_Stats!$B:$B,"&lt;"&amp;EOMONTH($A162,0)+1,
All_Stats!$P:$P,"&lt;&gt;Email Marketing"
)</f>
        <v>0</v>
      </c>
      <c r="F162" s="132" t="str">
        <f t="shared" si="32"/>
        <v>N/A</v>
      </c>
      <c r="G162" s="131">
        <f>SUMIFS(All_Stats!$H:$H,
All_Stats!$D:$D,$B162,
All_Stats!$B:$B,"&gt;="&amp;EOMONTH($A162,-1)+1,
All_Stats!$B:$B,"&lt;"&amp;EOMONTH($A162,0)+1,
All_Stats!$P:$P,"&lt;&gt;Email Marketing"
)</f>
        <v>0</v>
      </c>
      <c r="H162" s="113">
        <f>SUMIFS(All_Stats!$K:$K,
All_Stats!$D:$D,$B162,
All_Stats!$B:$B,"&gt;="&amp;EOMONTH($A162,-1)+1,
All_Stats!$B:$B,"&lt;"&amp;EOMONTH($A162,0)+1,
All_Stats!$P:$P,"&lt;&gt;Email Marketing"
)</f>
        <v>0</v>
      </c>
      <c r="I162" s="152">
        <f>IFERROR(__xludf.DUMMYFUNCTION("COUNTUNIQUEIFS(All_Stats!A:A,
All_Stats!$D:$D,$B162,
All_Stats!$B:$B,""&gt;=""&amp;EOMONTH($A162,-1)+1,
All_Stats!$B:$B,""&lt;""&amp;EOMONTH($A162,0)+1,
All_Stats!$P:$P,""&lt;&gt;Email Marketing""
)"),0.0)</f>
        <v>0</v>
      </c>
    </row>
    <row r="163" hidden="1">
      <c r="A163" s="128">
        <v>44440.0</v>
      </c>
      <c r="B163" s="131" t="s">
        <v>501</v>
      </c>
      <c r="C163" s="163" t="str">
        <f>if(ifna(VLOOKUP(B163,'Vendor Directory'!A:C,3,0),"NOT FOUND")="","NOT FOUND",VLOOKUP(B163,'Vendor Directory'!A:C,3,0))</f>
        <v>#N/A</v>
      </c>
      <c r="D163" s="131">
        <f>SUMIFS(All_Stats!$G:$G,
All_Stats!$D:$D,$B163,
All_Stats!$B:$B,"&gt;="&amp;EOMONTH($A163,-1)+1,
All_Stats!$B:$B,"&lt;"&amp;EOMONTH($A163,0)+1,
All_Stats!$P:$P,"&lt;&gt;Email Marketing"
)</f>
        <v>0</v>
      </c>
      <c r="E163" s="113">
        <f>SUMIFS(All_Stats!$I:$I,
All_Stats!$D:$D,$B163,
All_Stats!$B:$B,"&gt;="&amp;EOMONTH($A163,-1)+1,
All_Stats!$B:$B,"&lt;"&amp;EOMONTH($A163,0)+1,
All_Stats!$P:$P,"&lt;&gt;Email Marketing"
)</f>
        <v>0</v>
      </c>
      <c r="F163" s="132" t="str">
        <f t="shared" si="32"/>
        <v>N/A</v>
      </c>
      <c r="G163" s="131">
        <f>SUMIFS(All_Stats!$H:$H,
All_Stats!$D:$D,$B163,
All_Stats!$B:$B,"&gt;="&amp;EOMONTH($A163,-1)+1,
All_Stats!$B:$B,"&lt;"&amp;EOMONTH($A163,0)+1,
All_Stats!$P:$P,"&lt;&gt;Email Marketing"
)</f>
        <v>0</v>
      </c>
      <c r="H163" s="113">
        <f>SUMIFS(All_Stats!$K:$K,
All_Stats!$D:$D,$B163,
All_Stats!$B:$B,"&gt;="&amp;EOMONTH($A163,-1)+1,
All_Stats!$B:$B,"&lt;"&amp;EOMONTH($A163,0)+1,
All_Stats!$P:$P,"&lt;&gt;Email Marketing"
)</f>
        <v>0</v>
      </c>
      <c r="I163" s="152">
        <f>IFERROR(__xludf.DUMMYFUNCTION("COUNTUNIQUEIFS(All_Stats!A:A,
All_Stats!$D:$D,$B163,
All_Stats!$B:$B,""&gt;=""&amp;EOMONTH($A163,-1)+1,
All_Stats!$B:$B,""&lt;""&amp;EOMONTH($A163,0)+1,
All_Stats!$P:$P,""&lt;&gt;Email Marketing""
)"),0.0)</f>
        <v>0</v>
      </c>
    </row>
    <row r="164" hidden="1">
      <c r="A164" s="128">
        <v>44440.0</v>
      </c>
      <c r="B164" s="131" t="s">
        <v>417</v>
      </c>
      <c r="C164" s="163" t="str">
        <f>if(ifna(VLOOKUP(B164,'Vendor Directory'!A:C,3,0),"NOT FOUND")="","NOT FOUND",VLOOKUP(B164,'Vendor Directory'!A:C,3,0))</f>
        <v>#N/A</v>
      </c>
      <c r="D164" s="131">
        <f>SUMIFS(All_Stats!$G:$G,
All_Stats!$D:$D,$B164,
All_Stats!$B:$B,"&gt;="&amp;EOMONTH($A164,-1)+1,
All_Stats!$B:$B,"&lt;"&amp;EOMONTH($A164,0)+1,
All_Stats!$P:$P,"&lt;&gt;Email Marketing"
)</f>
        <v>0</v>
      </c>
      <c r="E164" s="113">
        <f>SUMIFS(All_Stats!$I:$I,
All_Stats!$D:$D,$B164,
All_Stats!$B:$B,"&gt;="&amp;EOMONTH($A164,-1)+1,
All_Stats!$B:$B,"&lt;"&amp;EOMONTH($A164,0)+1,
All_Stats!$P:$P,"&lt;&gt;Email Marketing"
)</f>
        <v>0</v>
      </c>
      <c r="F164" s="132" t="str">
        <f t="shared" si="32"/>
        <v>N/A</v>
      </c>
      <c r="G164" s="131">
        <f>SUMIFS(All_Stats!$H:$H,
All_Stats!$D:$D,$B164,
All_Stats!$B:$B,"&gt;="&amp;EOMONTH($A164,-1)+1,
All_Stats!$B:$B,"&lt;"&amp;EOMONTH($A164,0)+1,
All_Stats!$P:$P,"&lt;&gt;Email Marketing"
)</f>
        <v>0</v>
      </c>
      <c r="H164" s="113">
        <f>SUMIFS(All_Stats!$K:$K,
All_Stats!$D:$D,$B164,
All_Stats!$B:$B,"&gt;="&amp;EOMONTH($A164,-1)+1,
All_Stats!$B:$B,"&lt;"&amp;EOMONTH($A164,0)+1,
All_Stats!$P:$P,"&lt;&gt;Email Marketing"
)</f>
        <v>0</v>
      </c>
      <c r="I164" s="152">
        <f>IFERROR(__xludf.DUMMYFUNCTION("COUNTUNIQUEIFS(All_Stats!A:A,
All_Stats!$D:$D,$B164,
All_Stats!$B:$B,""&gt;=""&amp;EOMONTH($A164,-1)+1,
All_Stats!$B:$B,""&lt;""&amp;EOMONTH($A164,0)+1,
All_Stats!$P:$P,""&lt;&gt;Email Marketing""
)"),0.0)</f>
        <v>0</v>
      </c>
    </row>
    <row r="165" hidden="1">
      <c r="A165" s="128">
        <v>44440.0</v>
      </c>
      <c r="B165" s="131" t="s">
        <v>505</v>
      </c>
      <c r="C165" s="163" t="str">
        <f>if(ifna(VLOOKUP(B165,'Vendor Directory'!A:C,3,0),"NOT FOUND")="","NOT FOUND",VLOOKUP(B165,'Vendor Directory'!A:C,3,0))</f>
        <v>#N/A</v>
      </c>
      <c r="D165" s="131">
        <f>SUMIFS(All_Stats!$G:$G,
All_Stats!$D:$D,$B165,
All_Stats!$B:$B,"&gt;="&amp;EOMONTH($A165,-1)+1,
All_Stats!$B:$B,"&lt;"&amp;EOMONTH($A165,0)+1,
All_Stats!$P:$P,"&lt;&gt;Email Marketing"
)</f>
        <v>0</v>
      </c>
      <c r="E165" s="113">
        <f>SUMIFS(All_Stats!$I:$I,
All_Stats!$D:$D,$B165,
All_Stats!$B:$B,"&gt;="&amp;EOMONTH($A165,-1)+1,
All_Stats!$B:$B,"&lt;"&amp;EOMONTH($A165,0)+1,
All_Stats!$P:$P,"&lt;&gt;Email Marketing"
)</f>
        <v>0</v>
      </c>
      <c r="F165" s="132" t="str">
        <f t="shared" si="32"/>
        <v>N/A</v>
      </c>
      <c r="G165" s="131">
        <f>SUMIFS(All_Stats!$H:$H,
All_Stats!$D:$D,$B165,
All_Stats!$B:$B,"&gt;="&amp;EOMONTH($A165,-1)+1,
All_Stats!$B:$B,"&lt;"&amp;EOMONTH($A165,0)+1,
All_Stats!$P:$P,"&lt;&gt;Email Marketing"
)</f>
        <v>0</v>
      </c>
      <c r="H165" s="113">
        <f>SUMIFS(All_Stats!$K:$K,
All_Stats!$D:$D,$B165,
All_Stats!$B:$B,"&gt;="&amp;EOMONTH($A165,-1)+1,
All_Stats!$B:$B,"&lt;"&amp;EOMONTH($A165,0)+1,
All_Stats!$P:$P,"&lt;&gt;Email Marketing"
)</f>
        <v>0</v>
      </c>
      <c r="I165" s="152">
        <f>IFERROR(__xludf.DUMMYFUNCTION("COUNTUNIQUEIFS(All_Stats!A:A,
All_Stats!$D:$D,$B165,
All_Stats!$B:$B,""&gt;=""&amp;EOMONTH($A165,-1)+1,
All_Stats!$B:$B,""&lt;""&amp;EOMONTH($A165,0)+1,
All_Stats!$P:$P,""&lt;&gt;Email Marketing""
)"),0.0)</f>
        <v>0</v>
      </c>
    </row>
    <row r="166" hidden="1">
      <c r="A166" s="128">
        <v>44440.0</v>
      </c>
      <c r="B166" s="131" t="s">
        <v>506</v>
      </c>
      <c r="C166" s="163" t="str">
        <f>if(ifna(VLOOKUP(B166,'Vendor Directory'!A:C,3,0),"NOT FOUND")="","NOT FOUND",VLOOKUP(B166,'Vendor Directory'!A:C,3,0))</f>
        <v>#N/A</v>
      </c>
      <c r="D166" s="131">
        <f>SUMIFS(All_Stats!$G:$G,
All_Stats!$D:$D,$B166,
All_Stats!$B:$B,"&gt;="&amp;EOMONTH($A166,-1)+1,
All_Stats!$B:$B,"&lt;"&amp;EOMONTH($A166,0)+1,
All_Stats!$P:$P,"&lt;&gt;Email Marketing"
)</f>
        <v>0</v>
      </c>
      <c r="E166" s="113">
        <f>SUMIFS(All_Stats!$I:$I,
All_Stats!$D:$D,$B166,
All_Stats!$B:$B,"&gt;="&amp;EOMONTH($A166,-1)+1,
All_Stats!$B:$B,"&lt;"&amp;EOMONTH($A166,0)+1,
All_Stats!$P:$P,"&lt;&gt;Email Marketing"
)</f>
        <v>0</v>
      </c>
      <c r="F166" s="132" t="str">
        <f t="shared" si="32"/>
        <v>N/A</v>
      </c>
      <c r="G166" s="131">
        <f>SUMIFS(All_Stats!$H:$H,
All_Stats!$D:$D,$B166,
All_Stats!$B:$B,"&gt;="&amp;EOMONTH($A166,-1)+1,
All_Stats!$B:$B,"&lt;"&amp;EOMONTH($A166,0)+1,
All_Stats!$P:$P,"&lt;&gt;Email Marketing"
)</f>
        <v>0</v>
      </c>
      <c r="H166" s="113">
        <f>SUMIFS(All_Stats!$K:$K,
All_Stats!$D:$D,$B166,
All_Stats!$B:$B,"&gt;="&amp;EOMONTH($A166,-1)+1,
All_Stats!$B:$B,"&lt;"&amp;EOMONTH($A166,0)+1,
All_Stats!$P:$P,"&lt;&gt;Email Marketing"
)</f>
        <v>0</v>
      </c>
      <c r="I166" s="152">
        <f>IFERROR(__xludf.DUMMYFUNCTION("COUNTUNIQUEIFS(All_Stats!A:A,
All_Stats!$D:$D,$B166,
All_Stats!$B:$B,""&gt;=""&amp;EOMONTH($A166,-1)+1,
All_Stats!$B:$B,""&lt;""&amp;EOMONTH($A166,0)+1,
All_Stats!$P:$P,""&lt;&gt;Email Marketing""
)"),0.0)</f>
        <v>0</v>
      </c>
    </row>
    <row r="167" hidden="1">
      <c r="A167" s="128">
        <v>44440.0</v>
      </c>
      <c r="B167" s="131" t="s">
        <v>510</v>
      </c>
      <c r="C167" s="163" t="str">
        <f>if(ifna(VLOOKUP(B167,'Vendor Directory'!A:C,3,0),"NOT FOUND")="","NOT FOUND",VLOOKUP(B167,'Vendor Directory'!A:C,3,0))</f>
        <v>#N/A</v>
      </c>
      <c r="D167" s="114">
        <f>SUMIFS(All_Stats!$G:$G,
All_Stats!$D:$D,$B167,
All_Stats!$B:$B,"&gt;="&amp;EOMONTH($A167,-1)+1,
All_Stats!$B:$B,"&lt;"&amp;EOMONTH($A167,0)+1,
All_Stats!$P:$P,"&lt;&gt;Email Marketing"
)</f>
        <v>0</v>
      </c>
      <c r="E167" s="113">
        <f>SUMIFS(All_Stats!$I:$I,
All_Stats!$D:$D,$B167,
All_Stats!$B:$B,"&gt;="&amp;EOMONTH($A167,-1)+1,
All_Stats!$B:$B,"&lt;"&amp;EOMONTH($A167,0)+1,
All_Stats!$P:$P,"&lt;&gt;Email Marketing"
)</f>
        <v>0</v>
      </c>
      <c r="F167" s="132" t="str">
        <f t="shared" si="32"/>
        <v>N/A</v>
      </c>
      <c r="G167" s="131">
        <f>SUMIFS(All_Stats!$H:$H,
All_Stats!$D:$D,$B167,
All_Stats!$B:$B,"&gt;="&amp;EOMONTH($A167,-1)+1,
All_Stats!$B:$B,"&lt;"&amp;EOMONTH($A167,0)+1,
All_Stats!$P:$P,"&lt;&gt;Email Marketing"
)</f>
        <v>0</v>
      </c>
      <c r="H167" s="113">
        <f>SUMIFS(All_Stats!$K:$K,
All_Stats!$D:$D,$B167,
All_Stats!$B:$B,"&gt;="&amp;EOMONTH($A167,-1)+1,
All_Stats!$B:$B,"&lt;"&amp;EOMONTH($A167,0)+1,
All_Stats!$P:$P,"&lt;&gt;Email Marketing"
)</f>
        <v>0</v>
      </c>
      <c r="I167" s="152">
        <f>IFERROR(__xludf.DUMMYFUNCTION("COUNTUNIQUEIFS(All_Stats!A:A,
All_Stats!$D:$D,$B167,
All_Stats!$B:$B,""&gt;=""&amp;EOMONTH($A167,-1)+1,
All_Stats!$B:$B,""&lt;""&amp;EOMONTH($A167,0)+1,
All_Stats!$P:$P,""&lt;&gt;Email Marketing""
)"),0.0)</f>
        <v>0</v>
      </c>
    </row>
    <row r="168" hidden="1">
      <c r="A168" s="135"/>
      <c r="B168" s="135"/>
      <c r="C168" s="136" t="s">
        <v>23</v>
      </c>
      <c r="D168" s="137">
        <f t="shared" ref="D168:E168" si="33">SUM(D152:D167)</f>
        <v>0</v>
      </c>
      <c r="E168" s="137">
        <f t="shared" si="33"/>
        <v>0</v>
      </c>
      <c r="F168" s="138" t="str">
        <f t="shared" si="32"/>
        <v>N/A</v>
      </c>
      <c r="G168" s="137">
        <f t="shared" ref="G168:H168" si="34">SUM(G152:G167)</f>
        <v>0</v>
      </c>
      <c r="H168" s="137">
        <f t="shared" si="34"/>
        <v>0</v>
      </c>
      <c r="I168" s="137"/>
    </row>
    <row r="169" hidden="1">
      <c r="A169" s="131"/>
      <c r="B169" s="131"/>
      <c r="C169" s="131"/>
      <c r="D169" s="140"/>
      <c r="F169" s="131"/>
      <c r="G169" s="131"/>
    </row>
    <row r="170" hidden="1">
      <c r="A170" s="131"/>
      <c r="B170" s="131"/>
      <c r="C170" s="131"/>
      <c r="D170" s="165">
        <f t="shared" ref="D170:E170" si="35">D168+D148</f>
        <v>0</v>
      </c>
      <c r="E170" s="165">
        <f t="shared" si="35"/>
        <v>0</v>
      </c>
      <c r="F170" s="165"/>
      <c r="G170" s="165">
        <f>G168+G148</f>
        <v>0</v>
      </c>
      <c r="H170" s="165"/>
      <c r="I170" s="165">
        <f>G170+E170</f>
        <v>0</v>
      </c>
    </row>
    <row r="171" hidden="1">
      <c r="A171" s="131"/>
      <c r="B171" s="131"/>
      <c r="C171" s="131"/>
      <c r="D171" s="140"/>
      <c r="F171" s="131"/>
      <c r="G171" s="131"/>
    </row>
    <row r="172" hidden="1">
      <c r="C172" s="118" t="s">
        <v>484</v>
      </c>
      <c r="D172" s="119"/>
      <c r="E172" s="119"/>
      <c r="F172" s="119"/>
      <c r="G172" s="119"/>
      <c r="H172" s="119"/>
      <c r="I172" s="159"/>
    </row>
    <row r="173" hidden="1">
      <c r="A173" s="121" t="s">
        <v>1</v>
      </c>
      <c r="B173" s="122" t="s">
        <v>485</v>
      </c>
      <c r="C173" s="123" t="s">
        <v>486</v>
      </c>
      <c r="D173" s="124" t="s">
        <v>6</v>
      </c>
      <c r="E173" s="125" t="s">
        <v>8</v>
      </c>
      <c r="F173" s="124" t="s">
        <v>479</v>
      </c>
      <c r="G173" s="126" t="s">
        <v>7</v>
      </c>
      <c r="H173" s="125" t="s">
        <v>10</v>
      </c>
      <c r="I173" s="160" t="s">
        <v>487</v>
      </c>
    </row>
    <row r="174" hidden="1">
      <c r="A174" s="128">
        <v>44470.0</v>
      </c>
      <c r="B174" s="131" t="s">
        <v>164</v>
      </c>
      <c r="C174" s="163" t="str">
        <f>if(ifna(VLOOKUP(B174,'Vendor Directory'!A:C,3,0),"NOT FOUND")="","NOT FOUND",VLOOKUP(B174,'Vendor Directory'!A:C,3,0))</f>
        <v>#N/A</v>
      </c>
      <c r="D174" s="131">
        <f>SUMIFS(All_Stats!$G:$G,
All_Stats!$D:$D,$B174,
All_Stats!$B:$B,"&gt;="&amp;EOMONTH($A174,-1)+1,
All_Stats!$B:$B,"&lt;"&amp;EOMONTH($A174,0)+1,
All_Stats!$P:$P,"Email Marketing"
)</f>
        <v>0</v>
      </c>
      <c r="E174" s="113">
        <f>SUMIFS(All_Stats!$I:$I,
All_Stats!$D:$D,$B174,
All_Stats!$B:$B,"&gt;="&amp;EOMONTH($A174,-1)+1,
All_Stats!$B:$B,"&lt;"&amp;EOMONTH($A174,0)+1,
All_Stats!$P:$P,"Email Marketing"
)</f>
        <v>0</v>
      </c>
      <c r="F174" s="132" t="str">
        <f t="shared" ref="F174:F176" si="36">iferror(E174/D174,"N/A")</f>
        <v>N/A</v>
      </c>
      <c r="G174" s="131">
        <f>SUMIFS(All_Stats!$H:$H,
All_Stats!$D:$D,$B174,
All_Stats!$B:$B,"&gt;="&amp;EOMONTH($A174,-1)+1,
All_Stats!$B:$B,"&lt;"&amp;EOMONTH($A174,0)+1,
All_Stats!$P:$P,"Email Marketing"
)</f>
        <v>0</v>
      </c>
      <c r="H174" s="113">
        <f>SUMIFS(All_Stats!$K:$K,
All_Stats!$D:$D,$B174,
All_Stats!$B:$B,"&gt;="&amp;EOMONTH($A174,-1)+1,
All_Stats!$B:$B,"&lt;"&amp;EOMONTH($A174,0)+1,
All_Stats!$P:$P,"Email Marketing"
)</f>
        <v>0</v>
      </c>
      <c r="I174" s="152">
        <f>IFERROR(__xludf.DUMMYFUNCTION("COUNTUNIQUEIFS(All_Stats!A:A,
All_Stats!$D:$D,$B174,
All_Stats!$B:$B,""&gt;=""&amp;EOMONTH($A174,-1)+1,
All_Stats!$B:$B,""&lt;""&amp;EOMONTH($A174,0)+1,
All_Stats!$P:$P,""Email Marketing""
)"),0.0)</f>
        <v>0</v>
      </c>
    </row>
    <row r="175" hidden="1">
      <c r="A175" s="128">
        <v>44470.0</v>
      </c>
      <c r="B175" s="131" t="s">
        <v>172</v>
      </c>
      <c r="C175" s="163" t="str">
        <f>if(ifna(VLOOKUP(B175,'Vendor Directory'!A:C,3,0),"NOT FOUND")="","NOT FOUND",VLOOKUP(B175,'Vendor Directory'!A:C,3,0))</f>
        <v>#N/A</v>
      </c>
      <c r="D175" s="131">
        <f>SUMIFS(All_Stats!$G:$G,
All_Stats!$D:$D,$B175,
All_Stats!$B:$B,"&gt;="&amp;EOMONTH($A175,-1)+1,
All_Stats!$B:$B,"&lt;"&amp;EOMONTH($A175,0)+1,
All_Stats!$P:$P,"Email Marketing"
)</f>
        <v>0</v>
      </c>
      <c r="E175" s="113">
        <f>SUMIFS(All_Stats!$I:$I,
All_Stats!$D:$D,$B175,
All_Stats!$B:$B,"&gt;="&amp;EOMONTH($A175,-1)+1,
All_Stats!$B:$B,"&lt;"&amp;EOMONTH($A175,0)+1,
All_Stats!$P:$P,"Email Marketing"
)</f>
        <v>0</v>
      </c>
      <c r="F175" s="132" t="str">
        <f t="shared" si="36"/>
        <v>N/A</v>
      </c>
      <c r="G175" s="131">
        <f>SUMIFS(All_Stats!$H:$H,
All_Stats!$D:$D,$B175,
All_Stats!$B:$B,"&gt;="&amp;EOMONTH($A175,-1)+1,
All_Stats!$B:$B,"&lt;"&amp;EOMONTH($A175,0)+1,
All_Stats!$P:$P,"Email Marketing"
)</f>
        <v>0</v>
      </c>
      <c r="H175" s="113">
        <f>SUMIFS(All_Stats!$K:$K,
All_Stats!$D:$D,$B175,
All_Stats!$B:$B,"&gt;="&amp;EOMONTH($A175,-1)+1,
All_Stats!$B:$B,"&lt;"&amp;EOMONTH($A175,0)+1,
All_Stats!$P:$P,"Email Marketing"
)</f>
        <v>0</v>
      </c>
      <c r="I175" s="152">
        <f>IFERROR(__xludf.DUMMYFUNCTION("COUNTUNIQUEIFS(All_Stats!A:A,
All_Stats!$D:$D,$B175,
All_Stats!$B:$B,""&gt;=""&amp;EOMONTH($A175,-1)+1,
All_Stats!$B:$B,""&lt;""&amp;EOMONTH($A175,0)+1,
All_Stats!$P:$P,""Email Marketing""
)"),0.0)</f>
        <v>0</v>
      </c>
    </row>
    <row r="176" hidden="1">
      <c r="A176" s="135"/>
      <c r="B176" s="135"/>
      <c r="C176" s="136" t="s">
        <v>23</v>
      </c>
      <c r="D176" s="137">
        <f t="shared" ref="D176:E176" si="37">SUM(D174:D175)</f>
        <v>0</v>
      </c>
      <c r="E176" s="137">
        <f t="shared" si="37"/>
        <v>0</v>
      </c>
      <c r="F176" s="138" t="str">
        <f t="shared" si="36"/>
        <v>N/A</v>
      </c>
      <c r="G176" s="137">
        <f t="shared" ref="G176:H176" si="38">SUM(G174:G175)</f>
        <v>0</v>
      </c>
      <c r="H176" s="137">
        <f t="shared" si="38"/>
        <v>0</v>
      </c>
      <c r="I176" s="137"/>
    </row>
    <row r="177" hidden="1">
      <c r="A177" s="131"/>
      <c r="B177" s="131"/>
      <c r="C177" s="131"/>
      <c r="D177" s="140"/>
      <c r="F177" s="131"/>
      <c r="G177" s="131"/>
    </row>
    <row r="178" hidden="1">
      <c r="C178" s="118" t="s">
        <v>504</v>
      </c>
      <c r="D178" s="119"/>
      <c r="E178" s="119"/>
      <c r="F178" s="119"/>
      <c r="G178" s="119"/>
      <c r="H178" s="119"/>
      <c r="I178" s="159"/>
    </row>
    <row r="179" hidden="1">
      <c r="A179" s="121" t="s">
        <v>1</v>
      </c>
      <c r="B179" s="122" t="s">
        <v>485</v>
      </c>
      <c r="C179" s="123" t="s">
        <v>486</v>
      </c>
      <c r="D179" s="124" t="s">
        <v>6</v>
      </c>
      <c r="E179" s="125" t="s">
        <v>8</v>
      </c>
      <c r="F179" s="124" t="s">
        <v>479</v>
      </c>
      <c r="G179" s="126" t="s">
        <v>7</v>
      </c>
      <c r="H179" s="125" t="s">
        <v>10</v>
      </c>
      <c r="I179" s="160" t="s">
        <v>487</v>
      </c>
    </row>
    <row r="180" hidden="1">
      <c r="A180" s="128">
        <v>44470.0</v>
      </c>
      <c r="B180" s="131" t="s">
        <v>127</v>
      </c>
      <c r="C180" s="166" t="str">
        <f>if(ifna(VLOOKUP(B180,'Vendor Directory'!A:C,3,0),"NOT FOUND")="","NOT FOUND",VLOOKUP(B180,'Vendor Directory'!A:C,3,0))</f>
        <v>#N/A</v>
      </c>
      <c r="D180" s="131">
        <f>SUMIFS(All_Stats!$G:$G,
All_Stats!$D:$D,$B180,
All_Stats!$B:$B,"&gt;="&amp;EOMONTH($A180,-1)+1,
All_Stats!$B:$B,"&lt;"&amp;EOMONTH($A180,0)+1,
All_Stats!$P:$P,"&lt;&gt;Email Marketing"
)</f>
        <v>0</v>
      </c>
      <c r="E180" s="113">
        <f>SUMIFS(All_Stats!$I:$I,
All_Stats!$D:$D,$B180,
All_Stats!$B:$B,"&gt;="&amp;EOMONTH($A180,-1)+1,
All_Stats!$B:$B,"&lt;"&amp;EOMONTH($A180,0)+1,
All_Stats!$P:$P,"&lt;&gt;Email Marketing"
)</f>
        <v>0</v>
      </c>
      <c r="F180" s="132" t="str">
        <f t="shared" ref="F180:F197" si="39">iferror(E180/D180,"N/A")</f>
        <v>N/A</v>
      </c>
      <c r="G180" s="131">
        <f>SUMIFS(All_Stats!$H:$H,
All_Stats!$D:$D,$B180,
All_Stats!$B:$B,"&gt;="&amp;EOMONTH($A180,-1)+1,
All_Stats!$B:$B,"&lt;"&amp;EOMONTH($A180,0)+1,
All_Stats!$P:$P,"&lt;&gt;Email Marketing"
)</f>
        <v>0</v>
      </c>
      <c r="H180" s="113">
        <f>SUMIFS(All_Stats!$K:$K,
All_Stats!$D:$D,$B180,
All_Stats!$B:$B,"&gt;="&amp;EOMONTH($A180,-1)+1,
All_Stats!$B:$B,"&lt;"&amp;EOMONTH($A180,0)+1,
All_Stats!$P:$P,"&lt;&gt;Email Marketing"
)</f>
        <v>0</v>
      </c>
      <c r="I180" s="152">
        <f>IFERROR(__xludf.DUMMYFUNCTION("COUNTUNIQUEIFS(All_Stats!A:A,
All_Stats!$D:$D,$B180,
All_Stats!$B:$B,""&gt;=""&amp;EOMONTH($A180,-1)+1,
All_Stats!$B:$B,""&lt;""&amp;EOMONTH($A180,0)+1,
All_Stats!$P:$P,""&lt;&gt;Email Marketing""
)"),0.0)</f>
        <v>0</v>
      </c>
    </row>
    <row r="181" hidden="1">
      <c r="A181" s="128">
        <v>44470.0</v>
      </c>
      <c r="B181" s="131" t="s">
        <v>157</v>
      </c>
      <c r="C181" s="166" t="str">
        <f>if(ifna(VLOOKUP(B181,'Vendor Directory'!A:C,3,0),"NOT FOUND")="","NOT FOUND",VLOOKUP(B181,'Vendor Directory'!A:C,3,0))</f>
        <v>#N/A</v>
      </c>
      <c r="D181" s="131">
        <f>SUMIFS(All_Stats!$G:$G,
All_Stats!$D:$D,$B181,
All_Stats!$B:$B,"&gt;="&amp;EOMONTH($A181,-1)+1,
All_Stats!$B:$B,"&lt;"&amp;EOMONTH($A181,0)+1,
All_Stats!$P:$P,"&lt;&gt;Email Marketing"
)</f>
        <v>0</v>
      </c>
      <c r="E181" s="113">
        <f>SUMIFS(All_Stats!$I:$I,
All_Stats!$D:$D,$B181,
All_Stats!$B:$B,"&gt;="&amp;EOMONTH($A181,-1)+1,
All_Stats!$B:$B,"&lt;"&amp;EOMONTH($A181,0)+1,
All_Stats!$P:$P,"&lt;&gt;Email Marketing"
)</f>
        <v>0</v>
      </c>
      <c r="F181" s="132" t="str">
        <f t="shared" si="39"/>
        <v>N/A</v>
      </c>
      <c r="G181" s="131">
        <f>SUMIFS(All_Stats!$H:$H,
All_Stats!$D:$D,$B181,
All_Stats!$B:$B,"&gt;="&amp;EOMONTH($A181,-1)+1,
All_Stats!$B:$B,"&lt;"&amp;EOMONTH($A181,0)+1,
All_Stats!$P:$P,"&lt;&gt;Email Marketing"
)</f>
        <v>0</v>
      </c>
      <c r="H181" s="113">
        <f>SUMIFS(All_Stats!$K:$K,
All_Stats!$D:$D,$B181,
All_Stats!$B:$B,"&gt;="&amp;EOMONTH($A181,-1)+1,
All_Stats!$B:$B,"&lt;"&amp;EOMONTH($A181,0)+1,
All_Stats!$P:$P,"&lt;&gt;Email Marketing"
)</f>
        <v>0</v>
      </c>
      <c r="I181" s="152">
        <f>IFERROR(__xludf.DUMMYFUNCTION("COUNTUNIQUEIFS(All_Stats!A:A,
All_Stats!$D:$D,$B181,
All_Stats!$B:$B,""&gt;=""&amp;EOMONTH($A181,-1)+1,
All_Stats!$B:$B,""&lt;""&amp;EOMONTH($A181,0)+1,
All_Stats!$P:$P,""&lt;&gt;Email Marketing""
)"),0.0)</f>
        <v>0</v>
      </c>
    </row>
    <row r="182" hidden="1">
      <c r="A182" s="128">
        <v>44470.0</v>
      </c>
      <c r="B182" s="131" t="s">
        <v>30</v>
      </c>
      <c r="C182" s="166" t="str">
        <f>if(ifna(VLOOKUP(B182,'Vendor Directory'!A:C,3,0),"NOT FOUND")="","NOT FOUND",VLOOKUP(B182,'Vendor Directory'!A:C,3,0))</f>
        <v>Vendor 2 Name</v>
      </c>
      <c r="D182" s="131">
        <f>SUMIFS(All_Stats!$G:$G,
All_Stats!$D:$D,$B182,
All_Stats!$B:$B,"&gt;="&amp;EOMONTH($A182,-1)+1,
All_Stats!$B:$B,"&lt;"&amp;EOMONTH($A182,0)+1,
All_Stats!$P:$P,"&lt;&gt;Email Marketing"
)</f>
        <v>0</v>
      </c>
      <c r="E182" s="113">
        <f>SUMIFS(All_Stats!$I:$I,
All_Stats!$D:$D,$B182,
All_Stats!$B:$B,"&gt;="&amp;EOMONTH($A182,-1)+1,
All_Stats!$B:$B,"&lt;"&amp;EOMONTH($A182,0)+1,
All_Stats!$P:$P,"&lt;&gt;Email Marketing"
)</f>
        <v>0</v>
      </c>
      <c r="F182" s="132" t="str">
        <f t="shared" si="39"/>
        <v>N/A</v>
      </c>
      <c r="G182" s="131">
        <f>SUMIFS(All_Stats!$H:$H,
All_Stats!$D:$D,$B182,
All_Stats!$B:$B,"&gt;="&amp;EOMONTH($A182,-1)+1,
All_Stats!$B:$B,"&lt;"&amp;EOMONTH($A182,0)+1,
All_Stats!$P:$P,"&lt;&gt;Email Marketing"
)</f>
        <v>0</v>
      </c>
      <c r="H182" s="113">
        <f>SUMIFS(All_Stats!$K:$K,
All_Stats!$D:$D,$B182,
All_Stats!$B:$B,"&gt;="&amp;EOMONTH($A182,-1)+1,
All_Stats!$B:$B,"&lt;"&amp;EOMONTH($A182,0)+1,
All_Stats!$P:$P,"&lt;&gt;Email Marketing"
)</f>
        <v>0</v>
      </c>
      <c r="I182" s="152">
        <f>IFERROR(__xludf.DUMMYFUNCTION("COUNTUNIQUEIFS(All_Stats!A:A,
All_Stats!$D:$D,$B182,
All_Stats!$B:$B,""&gt;=""&amp;EOMONTH($A182,-1)+1,
All_Stats!$B:$B,""&lt;""&amp;EOMONTH($A182,0)+1,
All_Stats!$P:$P,""&lt;&gt;Email Marketing""
)"),0.0)</f>
        <v>0</v>
      </c>
    </row>
    <row r="183" hidden="1">
      <c r="A183" s="128">
        <v>44470.0</v>
      </c>
      <c r="B183" s="131" t="s">
        <v>164</v>
      </c>
      <c r="C183" s="166" t="str">
        <f>if(ifna(VLOOKUP(B183,'Vendor Directory'!A:C,3,0),"NOT FOUND")="","NOT FOUND",VLOOKUP(B183,'Vendor Directory'!A:C,3,0))</f>
        <v>#N/A</v>
      </c>
      <c r="D183" s="131">
        <f>SUMIFS(All_Stats!$G:$G,
All_Stats!$D:$D,$B183,
All_Stats!$B:$B,"&gt;="&amp;EOMONTH($A183,-1)+1,
All_Stats!$B:$B,"&lt;"&amp;EOMONTH($A183,0)+1,
All_Stats!$P:$P,"&lt;&gt;Email Marketing"
)</f>
        <v>0</v>
      </c>
      <c r="E183" s="113">
        <f>SUMIFS(All_Stats!$I:$I,
All_Stats!$D:$D,$B183,
All_Stats!$B:$B,"&gt;="&amp;EOMONTH($A183,-1)+1,
All_Stats!$B:$B,"&lt;"&amp;EOMONTH($A183,0)+1,
All_Stats!$P:$P,"&lt;&gt;Email Marketing"
)</f>
        <v>0</v>
      </c>
      <c r="F183" s="132" t="str">
        <f t="shared" si="39"/>
        <v>N/A</v>
      </c>
      <c r="G183" s="131">
        <f>SUMIFS(All_Stats!$H:$H,
All_Stats!$D:$D,$B183,
All_Stats!$B:$B,"&gt;="&amp;EOMONTH($A183,-1)+1,
All_Stats!$B:$B,"&lt;"&amp;EOMONTH($A183,0)+1,
All_Stats!$P:$P,"&lt;&gt;Email Marketing"
)</f>
        <v>0</v>
      </c>
      <c r="H183" s="113">
        <f>SUMIFS(All_Stats!$K:$K,
All_Stats!$D:$D,$B183,
All_Stats!$B:$B,"&gt;="&amp;EOMONTH($A183,-1)+1,
All_Stats!$B:$B,"&lt;"&amp;EOMONTH($A183,0)+1,
All_Stats!$P:$P,"&lt;&gt;Email Marketing"
)</f>
        <v>0</v>
      </c>
      <c r="I183" s="152">
        <f>IFERROR(__xludf.DUMMYFUNCTION("COUNTUNIQUEIFS(All_Stats!A:A,
All_Stats!$D:$D,$B183,
All_Stats!$B:$B,""&gt;=""&amp;EOMONTH($A183,-1)+1,
All_Stats!$B:$B,""&lt;""&amp;EOMONTH($A183,0)+1,
All_Stats!$P:$P,""&lt;&gt;Email Marketing""
)"),0.0)</f>
        <v>0</v>
      </c>
    </row>
    <row r="184" hidden="1">
      <c r="A184" s="128">
        <v>44470.0</v>
      </c>
      <c r="B184" s="131" t="s">
        <v>172</v>
      </c>
      <c r="C184" s="166" t="str">
        <f>if(ifna(VLOOKUP(B184,'Vendor Directory'!A:C,3,0),"NOT FOUND")="","NOT FOUND",VLOOKUP(B184,'Vendor Directory'!A:C,3,0))</f>
        <v>#N/A</v>
      </c>
      <c r="D184" s="131">
        <f>SUMIFS(All_Stats!$G:$G,
All_Stats!$D:$D,$B184,
All_Stats!$B:$B,"&gt;="&amp;EOMONTH($A184,-1)+1,
All_Stats!$B:$B,"&lt;"&amp;EOMONTH($A184,0)+1,
All_Stats!$P:$P,"&lt;&gt;Email Marketing"
)</f>
        <v>0</v>
      </c>
      <c r="E184" s="113">
        <f>SUMIFS(All_Stats!$I:$I,
All_Stats!$D:$D,$B184,
All_Stats!$B:$B,"&gt;="&amp;EOMONTH($A184,-1)+1,
All_Stats!$B:$B,"&lt;"&amp;EOMONTH($A184,0)+1,
All_Stats!$P:$P,"&lt;&gt;Email Marketing"
)</f>
        <v>0</v>
      </c>
      <c r="F184" s="132" t="str">
        <f t="shared" si="39"/>
        <v>N/A</v>
      </c>
      <c r="G184" s="131">
        <f>SUMIFS(All_Stats!$H:$H,
All_Stats!$D:$D,$B184,
All_Stats!$B:$B,"&gt;="&amp;EOMONTH($A184,-1)+1,
All_Stats!$B:$B,"&lt;"&amp;EOMONTH($A184,0)+1,
All_Stats!$P:$P,"&lt;&gt;Email Marketing"
)</f>
        <v>0</v>
      </c>
      <c r="H184" s="113">
        <f>SUMIFS(All_Stats!$K:$K,
All_Stats!$D:$D,$B184,
All_Stats!$B:$B,"&gt;="&amp;EOMONTH($A184,-1)+1,
All_Stats!$B:$B,"&lt;"&amp;EOMONTH($A184,0)+1,
All_Stats!$P:$P,"&lt;&gt;Email Marketing"
)</f>
        <v>0</v>
      </c>
      <c r="I184" s="152">
        <f>IFERROR(__xludf.DUMMYFUNCTION("COUNTUNIQUEIFS(All_Stats!A:A,
All_Stats!$D:$D,$B184,
All_Stats!$B:$B,""&gt;=""&amp;EOMONTH($A184,-1)+1,
All_Stats!$B:$B,""&lt;""&amp;EOMONTH($A184,0)+1,
All_Stats!$P:$P,""&lt;&gt;Email Marketing""
)"),0.0)</f>
        <v>0</v>
      </c>
    </row>
    <row r="185" hidden="1">
      <c r="A185" s="128">
        <v>44471.0</v>
      </c>
      <c r="B185" s="129" t="s">
        <v>507</v>
      </c>
      <c r="C185" s="167" t="s">
        <v>512</v>
      </c>
      <c r="D185" s="131">
        <f>SUMIFS(All_Stats!$G:$G,
All_Stats!$D:$D,$B185,
All_Stats!$B:$B,"&gt;="&amp;EOMONTH($A185,-1)+1,
All_Stats!$B:$B,"&lt;"&amp;EOMONTH($A185,0)+1,
All_Stats!$P:$P,"&lt;&gt;Email Marketing"
)</f>
        <v>0</v>
      </c>
      <c r="E185" s="113">
        <f>SUMIFS(All_Stats!$I:$I,
All_Stats!$D:$D,$B185,
All_Stats!$B:$B,"&gt;="&amp;EOMONTH($A185,-1)+1,
All_Stats!$B:$B,"&lt;"&amp;EOMONTH($A185,0)+1,
All_Stats!$P:$P,"&lt;&gt;Email Marketing"
)</f>
        <v>0</v>
      </c>
      <c r="F185" s="132" t="str">
        <f t="shared" si="39"/>
        <v>N/A</v>
      </c>
      <c r="G185" s="131">
        <f>SUMIFS(All_Stats!$H:$H,
All_Stats!$D:$D,$B185,
All_Stats!$B:$B,"&gt;="&amp;EOMONTH($A185,-1)+1,
All_Stats!$B:$B,"&lt;"&amp;EOMONTH($A185,0)+1,
All_Stats!$P:$P,"&lt;&gt;Email Marketing"
)</f>
        <v>0</v>
      </c>
      <c r="H185" s="113">
        <f>SUMIFS(All_Stats!$K:$K,
All_Stats!$D:$D,$B185,
All_Stats!$B:$B,"&gt;="&amp;EOMONTH($A185,-1)+1,
All_Stats!$B:$B,"&lt;"&amp;EOMONTH($A185,0)+1,
All_Stats!$P:$P,"&lt;&gt;Email Marketing"
)</f>
        <v>0</v>
      </c>
      <c r="I185" s="152">
        <f>IFERROR(__xludf.DUMMYFUNCTION("COUNTUNIQUEIFS(All_Stats!A:A,
All_Stats!$D:$D,$B185,
All_Stats!$B:$B,""&gt;=""&amp;EOMONTH($A185,-1)+1,
All_Stats!$B:$B,""&lt;""&amp;EOMONTH($A185,0)+1,
All_Stats!$P:$P,""&lt;&gt;Email Marketing""
)"),0.0)</f>
        <v>0</v>
      </c>
    </row>
    <row r="186" hidden="1">
      <c r="A186" s="128">
        <v>44470.0</v>
      </c>
      <c r="B186" s="131" t="s">
        <v>497</v>
      </c>
      <c r="C186" s="166" t="str">
        <f>if(ifna(VLOOKUP(B186,'Vendor Directory'!A:C,3,0),"NOT FOUND")="","NOT FOUND",VLOOKUP(B186,'Vendor Directory'!A:C,3,0))</f>
        <v>#N/A</v>
      </c>
      <c r="D186" s="131">
        <f>SUMIFS(All_Stats!$G:$G,
All_Stats!$D:$D,$B186,
All_Stats!$B:$B,"&gt;="&amp;EOMONTH($A186,-1)+1,
All_Stats!$B:$B,"&lt;"&amp;EOMONTH($A186,0)+1,
All_Stats!$P:$P,"&lt;&gt;Email Marketing"
)</f>
        <v>0</v>
      </c>
      <c r="E186" s="113">
        <f>SUMIFS(All_Stats!$I:$I,
All_Stats!$D:$D,$B186,
All_Stats!$B:$B,"&gt;="&amp;EOMONTH($A186,-1)+1,
All_Stats!$B:$B,"&lt;"&amp;EOMONTH($A186,0)+1,
All_Stats!$P:$P,"&lt;&gt;Email Marketing"
)</f>
        <v>0</v>
      </c>
      <c r="F186" s="132" t="str">
        <f t="shared" si="39"/>
        <v>N/A</v>
      </c>
      <c r="G186" s="131">
        <f>SUMIFS(All_Stats!$H:$H,
All_Stats!$D:$D,$B186,
All_Stats!$B:$B,"&gt;="&amp;EOMONTH($A186,-1)+1,
All_Stats!$B:$B,"&lt;"&amp;EOMONTH($A186,0)+1,
All_Stats!$P:$P,"&lt;&gt;Email Marketing"
)</f>
        <v>0</v>
      </c>
      <c r="H186" s="113">
        <f>SUMIFS(All_Stats!$K:$K,
All_Stats!$D:$D,$B186,
All_Stats!$B:$B,"&gt;="&amp;EOMONTH($A186,-1)+1,
All_Stats!$B:$B,"&lt;"&amp;EOMONTH($A186,0)+1,
All_Stats!$P:$P,"&lt;&gt;Email Marketing"
)</f>
        <v>0</v>
      </c>
      <c r="I186" s="152">
        <f>IFERROR(__xludf.DUMMYFUNCTION("COUNTUNIQUEIFS(All_Stats!A:A,
All_Stats!$D:$D,$B186,
All_Stats!$B:$B,""&gt;=""&amp;EOMONTH($A186,-1)+1,
All_Stats!$B:$B,""&lt;""&amp;EOMONTH($A186,0)+1,
All_Stats!$P:$P,""&lt;&gt;Email Marketing""
)"),0.0)</f>
        <v>0</v>
      </c>
    </row>
    <row r="187" hidden="1">
      <c r="A187" s="128">
        <v>44470.0</v>
      </c>
      <c r="B187" s="131" t="s">
        <v>498</v>
      </c>
      <c r="C187" s="166" t="str">
        <f>if(ifna(VLOOKUP(B187,'Vendor Directory'!A:C,3,0),"NOT FOUND")="","NOT FOUND",VLOOKUP(B187,'Vendor Directory'!A:C,3,0))</f>
        <v>#N/A</v>
      </c>
      <c r="D187" s="131">
        <f>SUMIFS(All_Stats!$G:$G,
All_Stats!$D:$D,$B187,
All_Stats!$B:$B,"&gt;="&amp;EOMONTH($A187,-1)+1,
All_Stats!$B:$B,"&lt;"&amp;EOMONTH($A187,0)+1,
All_Stats!$P:$P,"&lt;&gt;Email Marketing"
)</f>
        <v>0</v>
      </c>
      <c r="E187" s="113">
        <f>SUMIFS(All_Stats!$I:$I,
All_Stats!$D:$D,$B187,
All_Stats!$B:$B,"&gt;="&amp;EOMONTH($A187,-1)+1,
All_Stats!$B:$B,"&lt;"&amp;EOMONTH($A187,0)+1,
All_Stats!$P:$P,"&lt;&gt;Email Marketing"
)</f>
        <v>0</v>
      </c>
      <c r="F187" s="132" t="str">
        <f t="shared" si="39"/>
        <v>N/A</v>
      </c>
      <c r="G187" s="131">
        <f>SUMIFS(All_Stats!$H:$H,
All_Stats!$D:$D,$B187,
All_Stats!$B:$B,"&gt;="&amp;EOMONTH($A187,-1)+1,
All_Stats!$B:$B,"&lt;"&amp;EOMONTH($A187,0)+1,
All_Stats!$P:$P,"&lt;&gt;Email Marketing"
)</f>
        <v>0</v>
      </c>
      <c r="H187" s="113">
        <f>SUMIFS(All_Stats!$K:$K,
All_Stats!$D:$D,$B187,
All_Stats!$B:$B,"&gt;="&amp;EOMONTH($A187,-1)+1,
All_Stats!$B:$B,"&lt;"&amp;EOMONTH($A187,0)+1,
All_Stats!$P:$P,"&lt;&gt;Email Marketing"
)</f>
        <v>0</v>
      </c>
      <c r="I187" s="152">
        <f>IFERROR(__xludf.DUMMYFUNCTION("COUNTUNIQUEIFS(All_Stats!A:A,
All_Stats!$D:$D,$B187,
All_Stats!$B:$B,""&gt;=""&amp;EOMONTH($A187,-1)+1,
All_Stats!$B:$B,""&lt;""&amp;EOMONTH($A187,0)+1,
All_Stats!$P:$P,""&lt;&gt;Email Marketing""
)"),0.0)</f>
        <v>0</v>
      </c>
    </row>
    <row r="188" hidden="1">
      <c r="A188" s="128">
        <v>44470.0</v>
      </c>
      <c r="B188" s="131" t="s">
        <v>452</v>
      </c>
      <c r="C188" s="166" t="str">
        <f>if(ifna(VLOOKUP(B188,'Vendor Directory'!A:C,3,0),"NOT FOUND")="","NOT FOUND",VLOOKUP(B188,'Vendor Directory'!A:C,3,0))</f>
        <v>#N/A</v>
      </c>
      <c r="D188" s="131">
        <f>SUMIFS(All_Stats!$G:$G,
All_Stats!$D:$D,$B188,
All_Stats!$B:$B,"&gt;="&amp;EOMONTH($A188,-1)+1,
All_Stats!$B:$B,"&lt;"&amp;EOMONTH($A188,0)+1,
All_Stats!$P:$P,"&lt;&gt;Email Marketing"
)</f>
        <v>0</v>
      </c>
      <c r="E188" s="113">
        <f>SUMIFS(All_Stats!$I:$I,
All_Stats!$D:$D,$B188,
All_Stats!$B:$B,"&gt;="&amp;EOMONTH($A188,-1)+1,
All_Stats!$B:$B,"&lt;"&amp;EOMONTH($A188,0)+1,
All_Stats!$P:$P,"&lt;&gt;Email Marketing"
)</f>
        <v>0</v>
      </c>
      <c r="F188" s="132" t="str">
        <f t="shared" si="39"/>
        <v>N/A</v>
      </c>
      <c r="G188" s="131">
        <f>SUMIFS(All_Stats!$H:$H,
All_Stats!$D:$D,$B188,
All_Stats!$B:$B,"&gt;="&amp;EOMONTH($A188,-1)+1,
All_Stats!$B:$B,"&lt;"&amp;EOMONTH($A188,0)+1,
All_Stats!$P:$P,"&lt;&gt;Email Marketing"
)</f>
        <v>0</v>
      </c>
      <c r="H188" s="113">
        <f>SUMIFS(All_Stats!$K:$K,
All_Stats!$D:$D,$B188,
All_Stats!$B:$B,"&gt;="&amp;EOMONTH($A188,-1)+1,
All_Stats!$B:$B,"&lt;"&amp;EOMONTH($A188,0)+1,
All_Stats!$P:$P,"&lt;&gt;Email Marketing"
)</f>
        <v>0</v>
      </c>
      <c r="I188" s="152">
        <f>IFERROR(__xludf.DUMMYFUNCTION("COUNTUNIQUEIFS(All_Stats!A:A,
All_Stats!$D:$D,$B188,
All_Stats!$B:$B,""&gt;=""&amp;EOMONTH($A188,-1)+1,
All_Stats!$B:$B,""&lt;""&amp;EOMONTH($A188,0)+1,
All_Stats!$P:$P,""&lt;&gt;Email Marketing""
)"),0.0)</f>
        <v>0</v>
      </c>
    </row>
    <row r="189" hidden="1">
      <c r="A189" s="128">
        <v>44470.0</v>
      </c>
      <c r="B189" s="131" t="s">
        <v>499</v>
      </c>
      <c r="C189" s="166" t="str">
        <f>if(ifna(VLOOKUP(B189,'Vendor Directory'!A:C,3,0),"NOT FOUND")="","NOT FOUND",VLOOKUP(B189,'Vendor Directory'!A:C,3,0))</f>
        <v>#N/A</v>
      </c>
      <c r="D189" s="131">
        <f>SUMIFS(All_Stats!$G:$G,
All_Stats!$D:$D,$B189,
All_Stats!$B:$B,"&gt;="&amp;EOMONTH($A189,-1)+1,
All_Stats!$B:$B,"&lt;"&amp;EOMONTH($A189,0)+1,
All_Stats!$P:$P,"&lt;&gt;Email Marketing"
)</f>
        <v>0</v>
      </c>
      <c r="E189" s="113">
        <f>SUMIFS(All_Stats!$I:$I,
All_Stats!$D:$D,$B189,
All_Stats!$B:$B,"&gt;="&amp;EOMONTH($A189,-1)+1,
All_Stats!$B:$B,"&lt;"&amp;EOMONTH($A189,0)+1,
All_Stats!$P:$P,"&lt;&gt;Email Marketing"
)</f>
        <v>0</v>
      </c>
      <c r="F189" s="132" t="str">
        <f t="shared" si="39"/>
        <v>N/A</v>
      </c>
      <c r="G189" s="131">
        <f>SUMIFS(All_Stats!$H:$H,
All_Stats!$D:$D,$B189,
All_Stats!$B:$B,"&gt;="&amp;EOMONTH($A189,-1)+1,
All_Stats!$B:$B,"&lt;"&amp;EOMONTH($A189,0)+1,
All_Stats!$P:$P,"&lt;&gt;Email Marketing"
)</f>
        <v>0</v>
      </c>
      <c r="H189" s="113">
        <f>SUMIFS(All_Stats!$K:$K,
All_Stats!$D:$D,$B189,
All_Stats!$B:$B,"&gt;="&amp;EOMONTH($A189,-1)+1,
All_Stats!$B:$B,"&lt;"&amp;EOMONTH($A189,0)+1,
All_Stats!$P:$P,"&lt;&gt;Email Marketing"
)</f>
        <v>0</v>
      </c>
      <c r="I189" s="152">
        <f>IFERROR(__xludf.DUMMYFUNCTION("COUNTUNIQUEIFS(All_Stats!A:A,
All_Stats!$D:$D,$B189,
All_Stats!$B:$B,""&gt;=""&amp;EOMONTH($A189,-1)+1,
All_Stats!$B:$B,""&lt;""&amp;EOMONTH($A189,0)+1,
All_Stats!$P:$P,""&lt;&gt;Email Marketing""
)"),0.0)</f>
        <v>0</v>
      </c>
    </row>
    <row r="190" hidden="1">
      <c r="A190" s="128">
        <v>44470.0</v>
      </c>
      <c r="B190" s="131" t="s">
        <v>500</v>
      </c>
      <c r="C190" s="166" t="str">
        <f>if(ifna(VLOOKUP(B190,'Vendor Directory'!A:C,3,0),"NOT FOUND")="","NOT FOUND",VLOOKUP(B190,'Vendor Directory'!A:C,3,0))</f>
        <v>#N/A</v>
      </c>
      <c r="D190" s="131">
        <f>SUMIFS(All_Stats!$G:$G,
All_Stats!$D:$D,$B190,
All_Stats!$B:$B,"&gt;="&amp;EOMONTH($A190,-1)+1,
All_Stats!$B:$B,"&lt;"&amp;EOMONTH($A190,0)+1,
All_Stats!$P:$P,"&lt;&gt;Email Marketing"
)</f>
        <v>0</v>
      </c>
      <c r="E190" s="113">
        <f>SUMIFS(All_Stats!$I:$I,
All_Stats!$D:$D,$B190,
All_Stats!$B:$B,"&gt;="&amp;EOMONTH($A190,-1)+1,
All_Stats!$B:$B,"&lt;"&amp;EOMONTH($A190,0)+1,
All_Stats!$P:$P,"&lt;&gt;Email Marketing"
)</f>
        <v>0</v>
      </c>
      <c r="F190" s="132" t="str">
        <f t="shared" si="39"/>
        <v>N/A</v>
      </c>
      <c r="G190" s="131">
        <f>SUMIFS(All_Stats!$H:$H,
All_Stats!$D:$D,$B190,
All_Stats!$B:$B,"&gt;="&amp;EOMONTH($A190,-1)+1,
All_Stats!$B:$B,"&lt;"&amp;EOMONTH($A190,0)+1,
All_Stats!$P:$P,"&lt;&gt;Email Marketing"
)</f>
        <v>0</v>
      </c>
      <c r="H190" s="113">
        <f>SUMIFS(All_Stats!$K:$K,
All_Stats!$D:$D,$B190,
All_Stats!$B:$B,"&gt;="&amp;EOMONTH($A190,-1)+1,
All_Stats!$B:$B,"&lt;"&amp;EOMONTH($A190,0)+1,
All_Stats!$P:$P,"&lt;&gt;Email Marketing"
)</f>
        <v>0</v>
      </c>
      <c r="I190" s="152">
        <f>IFERROR(__xludf.DUMMYFUNCTION("COUNTUNIQUEIFS(All_Stats!A:A,
All_Stats!$D:$D,$B190,
All_Stats!$B:$B,""&gt;=""&amp;EOMONTH($A190,-1)+1,
All_Stats!$B:$B,""&lt;""&amp;EOMONTH($A190,0)+1,
All_Stats!$P:$P,""&lt;&gt;Email Marketing""
)"),0.0)</f>
        <v>0</v>
      </c>
    </row>
    <row r="191" hidden="1">
      <c r="A191" s="128">
        <v>44470.0</v>
      </c>
      <c r="B191" s="131" t="s">
        <v>91</v>
      </c>
      <c r="C191" s="166" t="str">
        <f>if(ifna(VLOOKUP(B191,'Vendor Directory'!A:C,3,0),"NOT FOUND")="","NOT FOUND",VLOOKUP(B191,'Vendor Directory'!A:C,3,0))</f>
        <v>#N/A</v>
      </c>
      <c r="D191" s="131">
        <f>SUMIFS(All_Stats!$G:$G,
All_Stats!$D:$D,$B191,
All_Stats!$B:$B,"&gt;="&amp;EOMONTH($A191,-1)+1,
All_Stats!$B:$B,"&lt;"&amp;EOMONTH($A191,0)+1,
All_Stats!$P:$P,"&lt;&gt;Email Marketing"
)</f>
        <v>0</v>
      </c>
      <c r="E191" s="113">
        <f>SUMIFS(All_Stats!$I:$I,
All_Stats!$D:$D,$B191,
All_Stats!$B:$B,"&gt;="&amp;EOMONTH($A191,-1)+1,
All_Stats!$B:$B,"&lt;"&amp;EOMONTH($A191,0)+1,
All_Stats!$P:$P,"&lt;&gt;Email Marketing"
)</f>
        <v>0</v>
      </c>
      <c r="F191" s="132" t="str">
        <f t="shared" si="39"/>
        <v>N/A</v>
      </c>
      <c r="G191" s="131">
        <f>SUMIFS(All_Stats!$H:$H,
All_Stats!$D:$D,$B191,
All_Stats!$B:$B,"&gt;="&amp;EOMONTH($A191,-1)+1,
All_Stats!$B:$B,"&lt;"&amp;EOMONTH($A191,0)+1,
All_Stats!$P:$P,"&lt;&gt;Email Marketing"
)</f>
        <v>0</v>
      </c>
      <c r="H191" s="113">
        <f>SUMIFS(All_Stats!$K:$K,
All_Stats!$D:$D,$B191,
All_Stats!$B:$B,"&gt;="&amp;EOMONTH($A191,-1)+1,
All_Stats!$B:$B,"&lt;"&amp;EOMONTH($A191,0)+1,
All_Stats!$P:$P,"&lt;&gt;Email Marketing"
)</f>
        <v>0</v>
      </c>
      <c r="I191" s="152">
        <f>IFERROR(__xludf.DUMMYFUNCTION("COUNTUNIQUEIFS(All_Stats!A:A,
All_Stats!$D:$D,$B191,
All_Stats!$B:$B,""&gt;=""&amp;EOMONTH($A191,-1)+1,
All_Stats!$B:$B,""&lt;""&amp;EOMONTH($A191,0)+1,
All_Stats!$P:$P,""&lt;&gt;Email Marketing""
)"),0.0)</f>
        <v>0</v>
      </c>
    </row>
    <row r="192" hidden="1">
      <c r="A192" s="128">
        <v>44470.0</v>
      </c>
      <c r="B192" s="131" t="s">
        <v>501</v>
      </c>
      <c r="C192" s="166" t="str">
        <f>if(ifna(VLOOKUP(B192,'Vendor Directory'!A:C,3,0),"NOT FOUND")="","NOT FOUND",VLOOKUP(B192,'Vendor Directory'!A:C,3,0))</f>
        <v>#N/A</v>
      </c>
      <c r="D192" s="131">
        <f>SUMIFS(All_Stats!$G:$G,
All_Stats!$D:$D,$B192,
All_Stats!$B:$B,"&gt;="&amp;EOMONTH($A192,-1)+1,
All_Stats!$B:$B,"&lt;"&amp;EOMONTH($A192,0)+1,
All_Stats!$P:$P,"&lt;&gt;Email Marketing"
)</f>
        <v>0</v>
      </c>
      <c r="E192" s="113">
        <f>SUMIFS(All_Stats!$I:$I,
All_Stats!$D:$D,$B192,
All_Stats!$B:$B,"&gt;="&amp;EOMONTH($A192,-1)+1,
All_Stats!$B:$B,"&lt;"&amp;EOMONTH($A192,0)+1,
All_Stats!$P:$P,"&lt;&gt;Email Marketing"
)</f>
        <v>0</v>
      </c>
      <c r="F192" s="132" t="str">
        <f t="shared" si="39"/>
        <v>N/A</v>
      </c>
      <c r="G192" s="131">
        <f>SUMIFS(All_Stats!$H:$H,
All_Stats!$D:$D,$B192,
All_Stats!$B:$B,"&gt;="&amp;EOMONTH($A192,-1)+1,
All_Stats!$B:$B,"&lt;"&amp;EOMONTH($A192,0)+1,
All_Stats!$P:$P,"&lt;&gt;Email Marketing"
)</f>
        <v>0</v>
      </c>
      <c r="H192" s="113">
        <f>SUMIFS(All_Stats!$K:$K,
All_Stats!$D:$D,$B192,
All_Stats!$B:$B,"&gt;="&amp;EOMONTH($A192,-1)+1,
All_Stats!$B:$B,"&lt;"&amp;EOMONTH($A192,0)+1,
All_Stats!$P:$P,"&lt;&gt;Email Marketing"
)</f>
        <v>0</v>
      </c>
      <c r="I192" s="152">
        <f>IFERROR(__xludf.DUMMYFUNCTION("COUNTUNIQUEIFS(All_Stats!A:A,
All_Stats!$D:$D,$B192,
All_Stats!$B:$B,""&gt;=""&amp;EOMONTH($A192,-1)+1,
All_Stats!$B:$B,""&lt;""&amp;EOMONTH($A192,0)+1,
All_Stats!$P:$P,""&lt;&gt;Email Marketing""
)"),0.0)</f>
        <v>0</v>
      </c>
    </row>
    <row r="193" hidden="1">
      <c r="A193" s="128">
        <v>44470.0</v>
      </c>
      <c r="B193" s="131" t="s">
        <v>417</v>
      </c>
      <c r="C193" s="166" t="str">
        <f>if(ifna(VLOOKUP(B193,'Vendor Directory'!A:C,3,0),"NOT FOUND")="","NOT FOUND",VLOOKUP(B193,'Vendor Directory'!A:C,3,0))</f>
        <v>#N/A</v>
      </c>
      <c r="D193" s="131">
        <f>SUMIFS(All_Stats!$G:$G,
All_Stats!$D:$D,$B193,
All_Stats!$B:$B,"&gt;="&amp;EOMONTH($A193,-1)+1,
All_Stats!$B:$B,"&lt;"&amp;EOMONTH($A193,0)+1,
All_Stats!$P:$P,"&lt;&gt;Email Marketing"
)</f>
        <v>0</v>
      </c>
      <c r="E193" s="113">
        <f>SUMIFS(All_Stats!$I:$I,
All_Stats!$D:$D,$B193,
All_Stats!$B:$B,"&gt;="&amp;EOMONTH($A193,-1)+1,
All_Stats!$B:$B,"&lt;"&amp;EOMONTH($A193,0)+1,
All_Stats!$P:$P,"&lt;&gt;Email Marketing"
)</f>
        <v>0</v>
      </c>
      <c r="F193" s="132" t="str">
        <f t="shared" si="39"/>
        <v>N/A</v>
      </c>
      <c r="G193" s="131">
        <f>SUMIFS(All_Stats!$H:$H,
All_Stats!$D:$D,$B193,
All_Stats!$B:$B,"&gt;="&amp;EOMONTH($A193,-1)+1,
All_Stats!$B:$B,"&lt;"&amp;EOMONTH($A193,0)+1,
All_Stats!$P:$P,"&lt;&gt;Email Marketing"
)</f>
        <v>0</v>
      </c>
      <c r="H193" s="113">
        <f>SUMIFS(All_Stats!$K:$K,
All_Stats!$D:$D,$B193,
All_Stats!$B:$B,"&gt;="&amp;EOMONTH($A193,-1)+1,
All_Stats!$B:$B,"&lt;"&amp;EOMONTH($A193,0)+1,
All_Stats!$P:$P,"&lt;&gt;Email Marketing"
)</f>
        <v>0</v>
      </c>
      <c r="I193" s="152">
        <f>IFERROR(__xludf.DUMMYFUNCTION("COUNTUNIQUEIFS(All_Stats!A:A,
All_Stats!$D:$D,$B193,
All_Stats!$B:$B,""&gt;=""&amp;EOMONTH($A193,-1)+1,
All_Stats!$B:$B,""&lt;""&amp;EOMONTH($A193,0)+1,
All_Stats!$P:$P,""&lt;&gt;Email Marketing""
)"),0.0)</f>
        <v>0</v>
      </c>
    </row>
    <row r="194" hidden="1">
      <c r="A194" s="128">
        <v>44470.0</v>
      </c>
      <c r="B194" s="131" t="s">
        <v>505</v>
      </c>
      <c r="C194" s="166" t="str">
        <f>if(ifna(VLOOKUP(B194,'Vendor Directory'!A:C,3,0),"NOT FOUND")="","NOT FOUND",VLOOKUP(B194,'Vendor Directory'!A:C,3,0))</f>
        <v>#N/A</v>
      </c>
      <c r="D194" s="131">
        <f>SUMIFS(All_Stats!$G:$G,
All_Stats!$D:$D,$B194,
All_Stats!$B:$B,"&gt;="&amp;EOMONTH($A194,-1)+1,
All_Stats!$B:$B,"&lt;"&amp;EOMONTH($A194,0)+1,
All_Stats!$P:$P,"&lt;&gt;Email Marketing"
)</f>
        <v>0</v>
      </c>
      <c r="E194" s="113">
        <f>SUMIFS(All_Stats!$I:$I,
All_Stats!$D:$D,$B194,
All_Stats!$B:$B,"&gt;="&amp;EOMONTH($A194,-1)+1,
All_Stats!$B:$B,"&lt;"&amp;EOMONTH($A194,0)+1,
All_Stats!$P:$P,"&lt;&gt;Email Marketing"
)</f>
        <v>0</v>
      </c>
      <c r="F194" s="132" t="str">
        <f t="shared" si="39"/>
        <v>N/A</v>
      </c>
      <c r="G194" s="131">
        <f>SUMIFS(All_Stats!$H:$H,
All_Stats!$D:$D,$B194,
All_Stats!$B:$B,"&gt;="&amp;EOMONTH($A194,-1)+1,
All_Stats!$B:$B,"&lt;"&amp;EOMONTH($A194,0)+1,
All_Stats!$P:$P,"&lt;&gt;Email Marketing"
)</f>
        <v>0</v>
      </c>
      <c r="H194" s="113">
        <f>SUMIFS(All_Stats!$K:$K,
All_Stats!$D:$D,$B194,
All_Stats!$B:$B,"&gt;="&amp;EOMONTH($A194,-1)+1,
All_Stats!$B:$B,"&lt;"&amp;EOMONTH($A194,0)+1,
All_Stats!$P:$P,"&lt;&gt;Email Marketing"
)</f>
        <v>0</v>
      </c>
      <c r="I194" s="152">
        <f>IFERROR(__xludf.DUMMYFUNCTION("COUNTUNIQUEIFS(All_Stats!A:A,
All_Stats!$D:$D,$B194,
All_Stats!$B:$B,""&gt;=""&amp;EOMONTH($A194,-1)+1,
All_Stats!$B:$B,""&lt;""&amp;EOMONTH($A194,0)+1,
All_Stats!$P:$P,""&lt;&gt;Email Marketing""
)"),0.0)</f>
        <v>0</v>
      </c>
    </row>
    <row r="195" hidden="1">
      <c r="A195" s="128">
        <v>44470.0</v>
      </c>
      <c r="B195" s="131" t="s">
        <v>506</v>
      </c>
      <c r="C195" s="166" t="str">
        <f>if(ifna(VLOOKUP(B195,'Vendor Directory'!A:C,3,0),"NOT FOUND")="","NOT FOUND",VLOOKUP(B195,'Vendor Directory'!A:C,3,0))</f>
        <v>#N/A</v>
      </c>
      <c r="D195" s="131">
        <f>SUMIFS(All_Stats!$G:$G,
All_Stats!$D:$D,$B195,
All_Stats!$B:$B,"&gt;="&amp;EOMONTH($A195,-1)+1,
All_Stats!$B:$B,"&lt;"&amp;EOMONTH($A195,0)+1,
All_Stats!$P:$P,"&lt;&gt;Email Marketing"
)</f>
        <v>0</v>
      </c>
      <c r="E195" s="113">
        <f>SUMIFS(All_Stats!$I:$I,
All_Stats!$D:$D,$B195,
All_Stats!$B:$B,"&gt;="&amp;EOMONTH($A195,-1)+1,
All_Stats!$B:$B,"&lt;"&amp;EOMONTH($A195,0)+1,
All_Stats!$P:$P,"&lt;&gt;Email Marketing"
)</f>
        <v>0</v>
      </c>
      <c r="F195" s="132" t="str">
        <f t="shared" si="39"/>
        <v>N/A</v>
      </c>
      <c r="G195" s="131">
        <f>SUMIFS(All_Stats!$H:$H,
All_Stats!$D:$D,$B195,
All_Stats!$B:$B,"&gt;="&amp;EOMONTH($A195,-1)+1,
All_Stats!$B:$B,"&lt;"&amp;EOMONTH($A195,0)+1,
All_Stats!$P:$P,"&lt;&gt;Email Marketing"
)</f>
        <v>0</v>
      </c>
      <c r="H195" s="113">
        <f>SUMIFS(All_Stats!$K:$K,
All_Stats!$D:$D,$B195,
All_Stats!$B:$B,"&gt;="&amp;EOMONTH($A195,-1)+1,
All_Stats!$B:$B,"&lt;"&amp;EOMONTH($A195,0)+1,
All_Stats!$P:$P,"&lt;&gt;Email Marketing"
)</f>
        <v>0</v>
      </c>
      <c r="I195" s="152">
        <f>IFERROR(__xludf.DUMMYFUNCTION("COUNTUNIQUEIFS(All_Stats!A:A,
All_Stats!$D:$D,$B195,
All_Stats!$B:$B,""&gt;=""&amp;EOMONTH($A195,-1)+1,
All_Stats!$B:$B,""&lt;""&amp;EOMONTH($A195,0)+1,
All_Stats!$P:$P,""&lt;&gt;Email Marketing""
)"),0.0)</f>
        <v>0</v>
      </c>
    </row>
    <row r="196" hidden="1">
      <c r="A196" s="128">
        <v>44470.0</v>
      </c>
      <c r="B196" s="131" t="s">
        <v>510</v>
      </c>
      <c r="C196" s="166" t="str">
        <f>if(ifna(VLOOKUP(B196,'Vendor Directory'!A:C,3,0),"NOT FOUND")="","NOT FOUND",VLOOKUP(B196,'Vendor Directory'!A:C,3,0))</f>
        <v>#N/A</v>
      </c>
      <c r="D196" s="114">
        <f>SUMIFS(All_Stats!$G:$G,
All_Stats!$D:$D,$B196,
All_Stats!$B:$B,"&gt;="&amp;EOMONTH($A196,-1)+1,
All_Stats!$B:$B,"&lt;"&amp;EOMONTH($A196,0)+1,
All_Stats!$P:$P,"&lt;&gt;Email Marketing"
)</f>
        <v>0</v>
      </c>
      <c r="E196" s="113">
        <f>SUMIFS(All_Stats!$I:$I,
All_Stats!$D:$D,$B196,
All_Stats!$B:$B,"&gt;="&amp;EOMONTH($A196,-1)+1,
All_Stats!$B:$B,"&lt;"&amp;EOMONTH($A196,0)+1,
All_Stats!$P:$P,"&lt;&gt;Email Marketing"
)</f>
        <v>0</v>
      </c>
      <c r="F196" s="132" t="str">
        <f t="shared" si="39"/>
        <v>N/A</v>
      </c>
      <c r="G196" s="131">
        <f>SUMIFS(All_Stats!$H:$H,
All_Stats!$D:$D,$B196,
All_Stats!$B:$B,"&gt;="&amp;EOMONTH($A196,-1)+1,
All_Stats!$B:$B,"&lt;"&amp;EOMONTH($A196,0)+1,
All_Stats!$P:$P,"&lt;&gt;Email Marketing"
)</f>
        <v>0</v>
      </c>
      <c r="H196" s="113">
        <f>SUMIFS(All_Stats!$K:$K,
All_Stats!$D:$D,$B196,
All_Stats!$B:$B,"&gt;="&amp;EOMONTH($A196,-1)+1,
All_Stats!$B:$B,"&lt;"&amp;EOMONTH($A196,0)+1,
All_Stats!$P:$P,"&lt;&gt;Email Marketing"
)</f>
        <v>0</v>
      </c>
      <c r="I196" s="152">
        <f>IFERROR(__xludf.DUMMYFUNCTION("COUNTUNIQUEIFS(All_Stats!A:A,
All_Stats!$D:$D,$B196,
All_Stats!$B:$B,""&gt;=""&amp;EOMONTH($A196,-1)+1,
All_Stats!$B:$B,""&lt;""&amp;EOMONTH($A196,0)+1,
All_Stats!$P:$P,""&lt;&gt;Email Marketing""
)"),0.0)</f>
        <v>0</v>
      </c>
    </row>
    <row r="197" hidden="1">
      <c r="A197" s="135"/>
      <c r="B197" s="135"/>
      <c r="C197" s="136" t="s">
        <v>23</v>
      </c>
      <c r="D197" s="137">
        <f t="shared" ref="D197:E197" si="40">SUM(D180:D196)</f>
        <v>0</v>
      </c>
      <c r="E197" s="137">
        <f t="shared" si="40"/>
        <v>0</v>
      </c>
      <c r="F197" s="138" t="str">
        <f t="shared" si="39"/>
        <v>N/A</v>
      </c>
      <c r="G197" s="137">
        <f t="shared" ref="G197:H197" si="41">SUM(G180:G196)</f>
        <v>0</v>
      </c>
      <c r="H197" s="137">
        <f t="shared" si="41"/>
        <v>0</v>
      </c>
      <c r="I197" s="137"/>
    </row>
    <row r="198" hidden="1">
      <c r="A198" s="131"/>
      <c r="B198" s="131"/>
      <c r="C198" s="131"/>
      <c r="D198" s="140"/>
      <c r="F198" s="131"/>
      <c r="G198" s="131"/>
    </row>
    <row r="199" hidden="1">
      <c r="A199" s="131"/>
      <c r="B199" s="131"/>
      <c r="C199" s="131"/>
      <c r="D199" s="168">
        <f t="shared" ref="D199:E199" si="42">D197+D176</f>
        <v>0</v>
      </c>
      <c r="E199" s="168">
        <f t="shared" si="42"/>
        <v>0</v>
      </c>
      <c r="F199" s="165"/>
      <c r="G199" s="168">
        <f t="shared" ref="G199:H199" si="43">G197+G176</f>
        <v>0</v>
      </c>
      <c r="H199" s="168">
        <f t="shared" si="43"/>
        <v>0</v>
      </c>
      <c r="I199" s="169">
        <f>H199+G199+E199</f>
        <v>0</v>
      </c>
    </row>
    <row r="200" hidden="1">
      <c r="A200" s="129"/>
      <c r="B200" s="131"/>
      <c r="C200" s="131"/>
      <c r="D200" s="140"/>
      <c r="F200" s="131"/>
      <c r="G200" s="131"/>
    </row>
    <row r="201" hidden="1">
      <c r="C201" s="118" t="s">
        <v>484</v>
      </c>
      <c r="D201" s="119"/>
      <c r="E201" s="119"/>
      <c r="F201" s="119"/>
      <c r="G201" s="119"/>
      <c r="H201" s="119"/>
      <c r="I201" s="159"/>
    </row>
    <row r="202" hidden="1">
      <c r="A202" s="121" t="s">
        <v>1</v>
      </c>
      <c r="B202" s="122" t="s">
        <v>485</v>
      </c>
      <c r="C202" s="123" t="s">
        <v>486</v>
      </c>
      <c r="D202" s="124" t="s">
        <v>6</v>
      </c>
      <c r="E202" s="125" t="s">
        <v>8</v>
      </c>
      <c r="F202" s="124" t="s">
        <v>479</v>
      </c>
      <c r="G202" s="126" t="s">
        <v>7</v>
      </c>
      <c r="H202" s="125" t="s">
        <v>10</v>
      </c>
      <c r="I202" s="160" t="s">
        <v>487</v>
      </c>
    </row>
    <row r="203" hidden="1">
      <c r="A203" s="128">
        <v>44501.0</v>
      </c>
      <c r="B203" s="131" t="s">
        <v>164</v>
      </c>
      <c r="C203" s="170" t="str">
        <f>if(ifna(VLOOKUP(B203,'Vendor Directory'!A:C,3,0),"NOT FOUND")="","NOT FOUND",VLOOKUP(B203,'Vendor Directory'!A:C,3,0))</f>
        <v>#N/A</v>
      </c>
      <c r="D203" s="131">
        <f>SUMIFS(All_Stats!$G:$G,
All_Stats!$D:$D,$B203,
All_Stats!$B:$B,"&gt;="&amp;EOMONTH($A203,-1)+1,
All_Stats!$B:$B,"&lt;"&amp;EOMONTH($A203,0)+1,
All_Stats!$P:$P,"Email Marketing"
)</f>
        <v>0</v>
      </c>
      <c r="E203" s="113">
        <f>SUMIFS(All_Stats!$I:$I,
All_Stats!$D:$D,$B203,
All_Stats!$B:$B,"&gt;="&amp;EOMONTH($A203,-1)+1,
All_Stats!$B:$B,"&lt;"&amp;EOMONTH($A203,0)+1,
All_Stats!$P:$P,"Email Marketing"
)</f>
        <v>0</v>
      </c>
      <c r="F203" s="132" t="str">
        <f t="shared" ref="F203:F205" si="44">iferror(E203/D203,"N/A")</f>
        <v>N/A</v>
      </c>
      <c r="G203" s="131">
        <f>SUMIFS(All_Stats!$H:$H,
All_Stats!$D:$D,$B203,
All_Stats!$B:$B,"&gt;="&amp;EOMONTH($A203,-1)+1,
All_Stats!$B:$B,"&lt;"&amp;EOMONTH($A203,0)+1,
All_Stats!$P:$P,"Email Marketing"
)</f>
        <v>0</v>
      </c>
      <c r="H203" s="113">
        <f>SUMIFS(All_Stats!$K:$K,
All_Stats!$D:$D,$B203,
All_Stats!$B:$B,"&gt;="&amp;EOMONTH($A203,-1)+1,
All_Stats!$B:$B,"&lt;"&amp;EOMONTH($A203,0)+1,
All_Stats!$P:$P,"Email Marketing"
)</f>
        <v>0</v>
      </c>
      <c r="I203" s="152">
        <f>IFERROR(__xludf.DUMMYFUNCTION("COUNTUNIQUEIFS(All_Stats!A:A,
All_Stats!$D:$D,$B203,
All_Stats!$B:$B,""&gt;=""&amp;EOMONTH($A203,-1)+1,
All_Stats!$B:$B,""&lt;""&amp;EOMONTH($A203,0)+1,
All_Stats!$P:$P,""Email Marketing""
)"),0.0)</f>
        <v>0</v>
      </c>
    </row>
    <row r="204" hidden="1">
      <c r="A204" s="128">
        <v>44501.0</v>
      </c>
      <c r="B204" s="131" t="s">
        <v>172</v>
      </c>
      <c r="C204" s="170" t="str">
        <f>if(ifna(VLOOKUP(B204,'Vendor Directory'!A:C,3,0),"NOT FOUND")="","NOT FOUND",VLOOKUP(B204,'Vendor Directory'!A:C,3,0))</f>
        <v>#N/A</v>
      </c>
      <c r="D204" s="131">
        <f>SUMIFS(All_Stats!$G:$G,
All_Stats!$D:$D,$B204,
All_Stats!$B:$B,"&gt;="&amp;EOMONTH($A204,-1)+1,
All_Stats!$B:$B,"&lt;"&amp;EOMONTH($A204,0)+1,
All_Stats!$P:$P,"Email Marketing"
)</f>
        <v>0</v>
      </c>
      <c r="E204" s="113">
        <f>SUMIFS(All_Stats!$I:$I,
All_Stats!$D:$D,$B204,
All_Stats!$B:$B,"&gt;="&amp;EOMONTH($A204,-1)+1,
All_Stats!$B:$B,"&lt;"&amp;EOMONTH($A204,0)+1,
All_Stats!$P:$P,"Email Marketing"
)</f>
        <v>0</v>
      </c>
      <c r="F204" s="132" t="str">
        <f t="shared" si="44"/>
        <v>N/A</v>
      </c>
      <c r="G204" s="131">
        <f>SUMIFS(All_Stats!$H:$H,
All_Stats!$D:$D,$B204,
All_Stats!$B:$B,"&gt;="&amp;EOMONTH($A204,-1)+1,
All_Stats!$B:$B,"&lt;"&amp;EOMONTH($A204,0)+1,
All_Stats!$P:$P,"Email Marketing"
)</f>
        <v>0</v>
      </c>
      <c r="H204" s="113">
        <f>SUMIFS(All_Stats!$K:$K,
All_Stats!$D:$D,$B204,
All_Stats!$B:$B,"&gt;="&amp;EOMONTH($A204,-1)+1,
All_Stats!$B:$B,"&lt;"&amp;EOMONTH($A204,0)+1,
All_Stats!$P:$P,"Email Marketing"
)</f>
        <v>0</v>
      </c>
      <c r="I204" s="152">
        <f>IFERROR(__xludf.DUMMYFUNCTION("COUNTUNIQUEIFS(All_Stats!A:A,
All_Stats!$D:$D,$B204,
All_Stats!$B:$B,""&gt;=""&amp;EOMONTH($A204,-1)+1,
All_Stats!$B:$B,""&lt;""&amp;EOMONTH($A204,0)+1,
All_Stats!$P:$P,""Email Marketing""
)"),0.0)</f>
        <v>0</v>
      </c>
    </row>
    <row r="205" hidden="1">
      <c r="A205" s="135"/>
      <c r="B205" s="135"/>
      <c r="C205" s="136" t="s">
        <v>23</v>
      </c>
      <c r="D205" s="137">
        <f t="shared" ref="D205:E205" si="45">SUM(D203:D204)</f>
        <v>0</v>
      </c>
      <c r="E205" s="137">
        <f t="shared" si="45"/>
        <v>0</v>
      </c>
      <c r="F205" s="138" t="str">
        <f t="shared" si="44"/>
        <v>N/A</v>
      </c>
      <c r="G205" s="137">
        <f t="shared" ref="G205:H205" si="46">SUM(G203:G204)</f>
        <v>0</v>
      </c>
      <c r="H205" s="137">
        <f t="shared" si="46"/>
        <v>0</v>
      </c>
      <c r="I205" s="137"/>
    </row>
    <row r="206" hidden="1">
      <c r="A206" s="131"/>
      <c r="B206" s="131"/>
      <c r="C206" s="131"/>
      <c r="D206" s="140"/>
      <c r="F206" s="131"/>
      <c r="G206" s="131"/>
    </row>
    <row r="207" hidden="1">
      <c r="C207" s="118" t="s">
        <v>504</v>
      </c>
      <c r="D207" s="119"/>
      <c r="E207" s="119"/>
      <c r="F207" s="119"/>
      <c r="G207" s="119"/>
      <c r="H207" s="119"/>
      <c r="I207" s="159"/>
    </row>
    <row r="208" hidden="1">
      <c r="A208" s="121" t="s">
        <v>1</v>
      </c>
      <c r="B208" s="122" t="s">
        <v>485</v>
      </c>
      <c r="C208" s="123" t="s">
        <v>486</v>
      </c>
      <c r="D208" s="124" t="s">
        <v>6</v>
      </c>
      <c r="E208" s="125" t="s">
        <v>8</v>
      </c>
      <c r="F208" s="124" t="s">
        <v>479</v>
      </c>
      <c r="G208" s="126" t="s">
        <v>7</v>
      </c>
      <c r="H208" s="125" t="s">
        <v>10</v>
      </c>
      <c r="I208" s="160" t="s">
        <v>487</v>
      </c>
    </row>
    <row r="209" hidden="1">
      <c r="A209" s="128">
        <v>44501.0</v>
      </c>
      <c r="B209" s="131" t="s">
        <v>30</v>
      </c>
      <c r="C209" s="170" t="str">
        <f>if(ifna(VLOOKUP(B209,'Vendor Directory'!A:C,3,0),"NOT FOUND")="","NOT FOUND",VLOOKUP(B209,'Vendor Directory'!A:C,3,0))</f>
        <v>Vendor 2 Name</v>
      </c>
      <c r="D209" s="131">
        <f>SUMIFS(All_Stats!$G:$G,
All_Stats!$D:$D,$B209,
All_Stats!$B:$B,"&gt;="&amp;EOMONTH($A209,-1)+1,
All_Stats!$B:$B,"&lt;"&amp;EOMONTH($A209,0)+1,
All_Stats!$P:$P,"&lt;&gt;Email Marketing"
)</f>
        <v>0</v>
      </c>
      <c r="E209" s="113">
        <f>SUMIFS(All_Stats!$I:$I,
All_Stats!$D:$D,$B209,
All_Stats!$B:$B,"&gt;="&amp;EOMONTH($A209,-1)+1,
All_Stats!$B:$B,"&lt;"&amp;EOMONTH($A209,0)+1,
All_Stats!$P:$P,"&lt;&gt;Email Marketing"
)</f>
        <v>0</v>
      </c>
      <c r="F209" s="132" t="str">
        <f t="shared" ref="F209:F228" si="47">iferror(E209/D209,"N/A")</f>
        <v>N/A</v>
      </c>
      <c r="G209" s="131">
        <f>SUMIFS(All_Stats!$H:$H,
All_Stats!$D:$D,$B209,
All_Stats!$B:$B,"&gt;="&amp;EOMONTH($A209,-1)+1,
All_Stats!$B:$B,"&lt;"&amp;EOMONTH($A209,0)+1,
All_Stats!$P:$P,"&lt;&gt;Email Marketing"
)</f>
        <v>0</v>
      </c>
      <c r="H209" s="171">
        <f>SUMIFS(All_Stats!$K:$K,
All_Stats!$D:$D,$B209,
All_Stats!$B:$B,"&gt;="&amp;EOMONTH($A209,-1)+1,
All_Stats!$B:$B,"&lt;"&amp;EOMONTH($A209,0)+1,
All_Stats!$P:$P,"&lt;&gt;Email Marketing"
)</f>
        <v>0</v>
      </c>
      <c r="I209" s="152">
        <f>IFERROR(__xludf.DUMMYFUNCTION("COUNTUNIQUEIFS(All_Stats!A:A,
All_Stats!$D:$D,$B209,
All_Stats!$B:$B,""&gt;=""&amp;EOMONTH($A209,-1)+1,
All_Stats!$B:$B,""&lt;""&amp;EOMONTH($A209,0)+1,
All_Stats!$P:$P,""&lt;&gt;Email Marketing""
)"),0.0)</f>
        <v>0</v>
      </c>
    </row>
    <row r="210" hidden="1">
      <c r="A210" s="128">
        <v>44505.0</v>
      </c>
      <c r="B210" s="131" t="s">
        <v>501</v>
      </c>
      <c r="C210" s="170" t="str">
        <f>if(ifna(VLOOKUP(B210,'Vendor Directory'!A:C,3,0),"NOT FOUND")="","NOT FOUND",VLOOKUP(B210,'Vendor Directory'!A:C,3,0))</f>
        <v>#N/A</v>
      </c>
      <c r="D210" s="131">
        <f>SUMIFS(All_Stats!$G:$G,
All_Stats!$D:$D,$B210,
All_Stats!$B:$B,"&gt;="&amp;EOMONTH($A210,-1)+1,
All_Stats!$B:$B,"&lt;"&amp;EOMONTH($A210,0)+1,
All_Stats!$P:$P,"&lt;&gt;Email Marketing"
)</f>
        <v>0</v>
      </c>
      <c r="E210" s="113">
        <f>SUMIFS(All_Stats!$I:$I,
All_Stats!$D:$D,$B210,
All_Stats!$B:$B,"&gt;="&amp;EOMONTH($A210,-1)+1,
All_Stats!$B:$B,"&lt;"&amp;EOMONTH($A210,0)+1,
All_Stats!$P:$P,"&lt;&gt;Email Marketing"
)</f>
        <v>0</v>
      </c>
      <c r="F210" s="132" t="str">
        <f t="shared" si="47"/>
        <v>N/A</v>
      </c>
      <c r="G210" s="131">
        <f>SUMIFS(All_Stats!$H:$H,
All_Stats!$D:$D,$B210,
All_Stats!$B:$B,"&gt;="&amp;EOMONTH($A210,-1)+1,
All_Stats!$B:$B,"&lt;"&amp;EOMONTH($A210,0)+1,
All_Stats!$P:$P,"&lt;&gt;Email Marketing"
)</f>
        <v>0</v>
      </c>
      <c r="H210" s="113">
        <f>SUMIFS(All_Stats!$K:$K,
All_Stats!$D:$D,$B210,
All_Stats!$B:$B,"&gt;="&amp;EOMONTH($A210,-1)+1,
All_Stats!$B:$B,"&lt;"&amp;EOMONTH($A210,0)+1,
All_Stats!$P:$P,"&lt;&gt;Email Marketing"
)</f>
        <v>0</v>
      </c>
      <c r="I210" s="152">
        <f>IFERROR(__xludf.DUMMYFUNCTION("COUNTUNIQUEIFS(All_Stats!A:A,
All_Stats!$D:$D,$B210,
All_Stats!$B:$B,""&gt;=""&amp;EOMONTH($A210,-1)+1,
All_Stats!$B:$B,""&lt;""&amp;EOMONTH($A210,0)+1,
All_Stats!$P:$P,""&lt;&gt;Email Marketing""
)"),0.0)</f>
        <v>0</v>
      </c>
    </row>
    <row r="211" hidden="1">
      <c r="A211" s="128">
        <v>44501.0</v>
      </c>
      <c r="B211" s="131" t="s">
        <v>127</v>
      </c>
      <c r="C211" s="170" t="str">
        <f>if(ifna(VLOOKUP(B211,'Vendor Directory'!A:C,3,0),"NOT FOUND")="","NOT FOUND",VLOOKUP(B211,'Vendor Directory'!A:C,3,0))</f>
        <v>#N/A</v>
      </c>
      <c r="D211" s="131">
        <f>SUMIFS(All_Stats!$G:$G,
All_Stats!$D:$D,$B211,
All_Stats!$B:$B,"&gt;="&amp;EOMONTH($A211,-1)+1,
All_Stats!$B:$B,"&lt;"&amp;EOMONTH($A211,0)+1,
All_Stats!$P:$P,"&lt;&gt;Email Marketing"
)</f>
        <v>0</v>
      </c>
      <c r="E211" s="113">
        <f>SUMIFS(All_Stats!$I:$I,
All_Stats!$D:$D,$B211,
All_Stats!$B:$B,"&gt;="&amp;EOMONTH($A211,-1)+1,
All_Stats!$B:$B,"&lt;"&amp;EOMONTH($A211,0)+1,
All_Stats!$P:$P,"&lt;&gt;Email Marketing"
)</f>
        <v>0</v>
      </c>
      <c r="F211" s="132" t="str">
        <f t="shared" si="47"/>
        <v>N/A</v>
      </c>
      <c r="G211" s="131">
        <f>SUMIFS(All_Stats!$H:$H,
All_Stats!$D:$D,$B211,
All_Stats!$B:$B,"&gt;="&amp;EOMONTH($A211,-1)+1,
All_Stats!$B:$B,"&lt;"&amp;EOMONTH($A211,0)+1,
All_Stats!$P:$P,"&lt;&gt;Email Marketing"
)</f>
        <v>0</v>
      </c>
      <c r="H211" s="113">
        <f>SUMIFS(All_Stats!$K:$K,
All_Stats!$D:$D,$B211,
All_Stats!$B:$B,"&gt;="&amp;EOMONTH($A211,-1)+1,
All_Stats!$B:$B,"&lt;"&amp;EOMONTH($A211,0)+1,
All_Stats!$P:$P,"&lt;&gt;Email Marketing"
)</f>
        <v>0</v>
      </c>
      <c r="I211" s="152">
        <f>IFERROR(__xludf.DUMMYFUNCTION("COUNTUNIQUEIFS(All_Stats!A:A,
All_Stats!$D:$D,$B211,
All_Stats!$B:$B,""&gt;=""&amp;EOMONTH($A211,-1)+1,
All_Stats!$B:$B,""&lt;""&amp;EOMONTH($A211,0)+1,
All_Stats!$P:$P,""&lt;&gt;Email Marketing""
)"),0.0)</f>
        <v>0</v>
      </c>
    </row>
    <row r="212" hidden="1">
      <c r="A212" s="128">
        <v>44501.0</v>
      </c>
      <c r="B212" s="131" t="s">
        <v>172</v>
      </c>
      <c r="C212" s="170" t="str">
        <f>if(ifna(VLOOKUP(B212,'Vendor Directory'!A:C,3,0),"NOT FOUND")="","NOT FOUND",VLOOKUP(B212,'Vendor Directory'!A:C,3,0))</f>
        <v>#N/A</v>
      </c>
      <c r="D212" s="131">
        <f>SUMIFS(All_Stats!$G:$G,
All_Stats!$D:$D,$B212,
All_Stats!$B:$B,"&gt;="&amp;EOMONTH($A212,-1)+1,
All_Stats!$B:$B,"&lt;"&amp;EOMONTH($A212,0)+1,
All_Stats!$P:$P,"&lt;&gt;Email Marketing"
)</f>
        <v>0</v>
      </c>
      <c r="E212" s="113">
        <f>SUMIFS(All_Stats!$I:$I,
All_Stats!$D:$D,$B212,
All_Stats!$B:$B,"&gt;="&amp;EOMONTH($A212,-1)+1,
All_Stats!$B:$B,"&lt;"&amp;EOMONTH($A212,0)+1,
All_Stats!$P:$P,"&lt;&gt;Email Marketing"
)</f>
        <v>0</v>
      </c>
      <c r="F212" s="132" t="str">
        <f t="shared" si="47"/>
        <v>N/A</v>
      </c>
      <c r="G212" s="131">
        <f>SUMIFS(All_Stats!$H:$H,
All_Stats!$D:$D,$B212,
All_Stats!$B:$B,"&gt;="&amp;EOMONTH($A212,-1)+1,
All_Stats!$B:$B,"&lt;"&amp;EOMONTH($A212,0)+1,
All_Stats!$P:$P,"&lt;&gt;Email Marketing"
)</f>
        <v>0</v>
      </c>
      <c r="H212" s="113">
        <f>SUMIFS(All_Stats!$K:$K,
All_Stats!$D:$D,$B212,
All_Stats!$B:$B,"&gt;="&amp;EOMONTH($A212,-1)+1,
All_Stats!$B:$B,"&lt;"&amp;EOMONTH($A212,0)+1,
All_Stats!$P:$P,"&lt;&gt;Email Marketing"
)</f>
        <v>0</v>
      </c>
      <c r="I212" s="152">
        <f>IFERROR(__xludf.DUMMYFUNCTION("COUNTUNIQUEIFS(All_Stats!A:A,
All_Stats!$D:$D,$B212,
All_Stats!$B:$B,""&gt;=""&amp;EOMONTH($A212,-1)+1,
All_Stats!$B:$B,""&lt;""&amp;EOMONTH($A212,0)+1,
All_Stats!$P:$P,""&lt;&gt;Email Marketing""
)"),0.0)</f>
        <v>0</v>
      </c>
    </row>
    <row r="213" hidden="1">
      <c r="A213" s="128">
        <v>44501.0</v>
      </c>
      <c r="B213" s="131" t="s">
        <v>164</v>
      </c>
      <c r="C213" s="170" t="str">
        <f>if(ifna(VLOOKUP(B213,'Vendor Directory'!A:C,3,0),"NOT FOUND")="","NOT FOUND",VLOOKUP(B213,'Vendor Directory'!A:C,3,0))</f>
        <v>#N/A</v>
      </c>
      <c r="D213" s="114">
        <f>SUMIFS(All_Stats!$G:$G,
All_Stats!$D:$D,$B213,
All_Stats!$B:$B,"&gt;="&amp;EOMONTH($A213,-1)+1,
All_Stats!$B:$B,"&lt;"&amp;EOMONTH($A213,0)+1,
All_Stats!$P:$P,"&lt;&gt;Email Marketing"
)</f>
        <v>0</v>
      </c>
      <c r="E213" s="171">
        <f>SUMIFS(All_Stats!$I:$I,
All_Stats!$D:$D,$B213,
All_Stats!$B:$B,"&gt;="&amp;EOMONTH($A213,-1)+1,
All_Stats!$B:$B,"&lt;"&amp;EOMONTH($A213,0)+1,
All_Stats!$P:$P,"&lt;&gt;Email Marketing"
)</f>
        <v>0</v>
      </c>
      <c r="F213" s="172" t="str">
        <f t="shared" si="47"/>
        <v>N/A</v>
      </c>
      <c r="G213" s="114">
        <f>SUMIFS(All_Stats!$H:$H,
All_Stats!$D:$D,$B213,
All_Stats!$B:$B,"&gt;="&amp;EOMONTH($A213,-1)+1,
All_Stats!$B:$B,"&lt;"&amp;EOMONTH($A213,0)+1,
All_Stats!$P:$P,"&lt;&gt;Email Marketing"
)</f>
        <v>0</v>
      </c>
      <c r="H213" s="171">
        <f>SUMIFS(All_Stats!$K:$K,
All_Stats!$D:$D,$B213,
All_Stats!$B:$B,"&gt;="&amp;EOMONTH($A213,-1)+1,
All_Stats!$B:$B,"&lt;"&amp;EOMONTH($A213,0)+1,
All_Stats!$P:$P,"&lt;&gt;Email Marketing"
)</f>
        <v>0</v>
      </c>
      <c r="I213" s="173">
        <f>IFERROR(__xludf.DUMMYFUNCTION("COUNTUNIQUEIFS(All_Stats!A:A,
All_Stats!$D:$D,$B213,
All_Stats!$B:$B,""&gt;=""&amp;EOMONTH($A213,-1)+1,
All_Stats!$B:$B,""&lt;""&amp;EOMONTH($A213,0)+1,
All_Stats!$P:$P,""&lt;&gt;Email Marketing""
)"),0.0)</f>
        <v>0</v>
      </c>
    </row>
    <row r="214" hidden="1">
      <c r="A214" s="128">
        <v>44501.0</v>
      </c>
      <c r="B214" s="131" t="s">
        <v>500</v>
      </c>
      <c r="C214" s="170" t="str">
        <f>if(ifna(VLOOKUP(B214,'Vendor Directory'!A:C,3,0),"NOT FOUND")="","NOT FOUND",VLOOKUP(B214,'Vendor Directory'!A:C,3,0))</f>
        <v>#N/A</v>
      </c>
      <c r="D214" s="114">
        <f>SUMIFS(All_Stats!$G:$G,
All_Stats!$D:$D,$B214,
All_Stats!$B:$B,"&gt;="&amp;EOMONTH($A214,-1)+1,
All_Stats!$B:$B,"&lt;"&amp;EOMONTH($A214,0)+1,
All_Stats!$P:$P,"&lt;&gt;Email Marketing"
)</f>
        <v>0</v>
      </c>
      <c r="E214" s="171">
        <f>SUMIFS(All_Stats!$I:$I,
All_Stats!$D:$D,$B214,
All_Stats!$B:$B,"&gt;="&amp;EOMONTH($A214,-1)+1,
All_Stats!$B:$B,"&lt;"&amp;EOMONTH($A214,0)+1,
All_Stats!$P:$P,"&lt;&gt;Email Marketing"
)</f>
        <v>0</v>
      </c>
      <c r="F214" s="172" t="str">
        <f t="shared" si="47"/>
        <v>N/A</v>
      </c>
      <c r="G214" s="114">
        <f>SUMIFS(All_Stats!$H:$H,
All_Stats!$D:$D,$B214,
All_Stats!$B:$B,"&gt;="&amp;EOMONTH($A214,-1)+1,
All_Stats!$B:$B,"&lt;"&amp;EOMONTH($A214,0)+1,
All_Stats!$P:$P,"&lt;&gt;Email Marketing"
)</f>
        <v>0</v>
      </c>
      <c r="H214" s="171">
        <f>SUMIFS(All_Stats!$K:$K,
All_Stats!$D:$D,$B214,
All_Stats!$B:$B,"&gt;="&amp;EOMONTH($A214,-1)+1,
All_Stats!$B:$B,"&lt;"&amp;EOMONTH($A214,0)+1,
All_Stats!$P:$P,"&lt;&gt;Email Marketing"
)</f>
        <v>0</v>
      </c>
      <c r="I214" s="173">
        <f>IFERROR(__xludf.DUMMYFUNCTION("COUNTUNIQUEIFS(All_Stats!A:A,
All_Stats!$D:$D,$B214,
All_Stats!$B:$B,""&gt;=""&amp;EOMONTH($A214,-1)+1,
All_Stats!$B:$B,""&lt;""&amp;EOMONTH($A214,0)+1,
All_Stats!$P:$P,""&lt;&gt;Email Marketing""
)"),0.0)</f>
        <v>0</v>
      </c>
    </row>
    <row r="215" hidden="1">
      <c r="A215" s="128">
        <v>44501.0</v>
      </c>
      <c r="B215" s="131" t="s">
        <v>157</v>
      </c>
      <c r="C215" s="170" t="str">
        <f>if(ifna(VLOOKUP(B215,'Vendor Directory'!A:C,3,0),"NOT FOUND")="","NOT FOUND",VLOOKUP(B215,'Vendor Directory'!A:C,3,0))</f>
        <v>#N/A</v>
      </c>
      <c r="D215" s="114">
        <f>SUMIFS(All_Stats!$G:$G,
All_Stats!$D:$D,$B215,
All_Stats!$B:$B,"&gt;="&amp;EOMONTH($A215,-1)+1,
All_Stats!$B:$B,"&lt;"&amp;EOMONTH($A215,0)+1,
All_Stats!$P:$P,"&lt;&gt;Email Marketing"
)</f>
        <v>0</v>
      </c>
      <c r="E215" s="171">
        <f>SUMIFS(All_Stats!$I:$I,
All_Stats!$D:$D,$B215,
All_Stats!$B:$B,"&gt;="&amp;EOMONTH($A215,-1)+1,
All_Stats!$B:$B,"&lt;"&amp;EOMONTH($A215,0)+1,
All_Stats!$P:$P,"&lt;&gt;Email Marketing"
)</f>
        <v>0</v>
      </c>
      <c r="F215" s="172" t="str">
        <f t="shared" si="47"/>
        <v>N/A</v>
      </c>
      <c r="G215" s="114">
        <f>SUMIFS(All_Stats!$H:$H,
All_Stats!$D:$D,$B215,
All_Stats!$B:$B,"&gt;="&amp;EOMONTH($A215,-1)+1,
All_Stats!$B:$B,"&lt;"&amp;EOMONTH($A215,0)+1,
All_Stats!$P:$P,"&lt;&gt;Email Marketing"
)</f>
        <v>0</v>
      </c>
      <c r="H215" s="171">
        <f>SUMIFS(All_Stats!$K:$K,
All_Stats!$D:$D,$B215,
All_Stats!$B:$B,"&gt;="&amp;EOMONTH($A215,-1)+1,
All_Stats!$B:$B,"&lt;"&amp;EOMONTH($A215,0)+1,
All_Stats!$P:$P,"&lt;&gt;Email Marketing"
)</f>
        <v>0</v>
      </c>
      <c r="I215" s="173">
        <f>IFERROR(__xludf.DUMMYFUNCTION("COUNTUNIQUEIFS(All_Stats!A:A,
All_Stats!$D:$D,$B215,
All_Stats!$B:$B,""&gt;=""&amp;EOMONTH($A215,-1)+1,
All_Stats!$B:$B,""&lt;""&amp;EOMONTH($A215,0)+1,
All_Stats!$P:$P,""&lt;&gt;Email Marketing""
)"),0.0)</f>
        <v>0</v>
      </c>
    </row>
    <row r="216" hidden="1">
      <c r="A216" s="128">
        <v>44501.0</v>
      </c>
      <c r="B216" s="131" t="s">
        <v>497</v>
      </c>
      <c r="C216" s="170" t="str">
        <f>if(ifna(VLOOKUP(B216,'Vendor Directory'!A:C,3,0),"NOT FOUND")="","NOT FOUND",VLOOKUP(B216,'Vendor Directory'!A:C,3,0))</f>
        <v>#N/A</v>
      </c>
      <c r="D216" s="114">
        <f>SUMIFS(All_Stats!$G:$G,
All_Stats!$D:$D,$B216,
All_Stats!$B:$B,"&gt;="&amp;EOMONTH($A216,-1)+1,
All_Stats!$B:$B,"&lt;"&amp;EOMONTH($A216,0)+1,
All_Stats!$P:$P,"&lt;&gt;Email Marketing"
)</f>
        <v>0</v>
      </c>
      <c r="E216" s="171">
        <f>SUMIFS(All_Stats!$I:$I,
All_Stats!$D:$D,$B216,
All_Stats!$B:$B,"&gt;="&amp;EOMONTH($A216,-1)+1,
All_Stats!$B:$B,"&lt;"&amp;EOMONTH($A216,0)+1,
All_Stats!$P:$P,"&lt;&gt;Email Marketing"
)</f>
        <v>0</v>
      </c>
      <c r="F216" s="172" t="str">
        <f t="shared" si="47"/>
        <v>N/A</v>
      </c>
      <c r="G216" s="114">
        <f>SUMIFS(All_Stats!$H:$H,
All_Stats!$D:$D,$B216,
All_Stats!$B:$B,"&gt;="&amp;EOMONTH($A216,-1)+1,
All_Stats!$B:$B,"&lt;"&amp;EOMONTH($A216,0)+1,
All_Stats!$P:$P,"&lt;&gt;Email Marketing"
)</f>
        <v>0</v>
      </c>
      <c r="H216" s="171">
        <f>SUMIFS(All_Stats!$K:$K,
All_Stats!$D:$D,$B216,
All_Stats!$B:$B,"&gt;="&amp;EOMONTH($A216,-1)+1,
All_Stats!$B:$B,"&lt;"&amp;EOMONTH($A216,0)+1,
All_Stats!$P:$P,"&lt;&gt;Email Marketing"
)</f>
        <v>0</v>
      </c>
      <c r="I216" s="173">
        <f>IFERROR(__xludf.DUMMYFUNCTION("COUNTUNIQUEIFS(All_Stats!A:A,
All_Stats!$D:$D,$B216,
All_Stats!$B:$B,""&gt;=""&amp;EOMONTH($A216,-1)+1,
All_Stats!$B:$B,""&lt;""&amp;EOMONTH($A216,0)+1,
All_Stats!$P:$P,""&lt;&gt;Email Marketing""
)"),0.0)</f>
        <v>0</v>
      </c>
    </row>
    <row r="217" hidden="1">
      <c r="A217" s="128">
        <v>44502.0</v>
      </c>
      <c r="B217" s="129" t="s">
        <v>495</v>
      </c>
      <c r="C217" s="174" t="s">
        <v>513</v>
      </c>
      <c r="D217" s="114">
        <f>SUMIFS(All_Stats!$G:$G,
All_Stats!$D:$D,$B217,
All_Stats!$B:$B,"&gt;="&amp;EOMONTH($A217,-1)+1,
All_Stats!$B:$B,"&lt;"&amp;EOMONTH($A217,0)+1,
All_Stats!$P:$P,"&lt;&gt;Email Marketing"
)</f>
        <v>0</v>
      </c>
      <c r="E217" s="171">
        <f>SUMIFS(All_Stats!$I:$I,
All_Stats!$D:$D,$B217,
All_Stats!$B:$B,"&gt;="&amp;EOMONTH($A217,-1)+1,
All_Stats!$B:$B,"&lt;"&amp;EOMONTH($A217,0)+1,
All_Stats!$P:$P,"&lt;&gt;Email Marketing"
)</f>
        <v>0</v>
      </c>
      <c r="F217" s="172" t="str">
        <f t="shared" si="47"/>
        <v>N/A</v>
      </c>
      <c r="G217" s="114">
        <f>SUMIFS(All_Stats!$H:$H,
All_Stats!$D:$D,$B217,
All_Stats!$B:$B,"&gt;="&amp;EOMONTH($A217,-1)+1,
All_Stats!$B:$B,"&lt;"&amp;EOMONTH($A217,0)+1,
All_Stats!$P:$P,"&lt;&gt;Email Marketing"
)</f>
        <v>0</v>
      </c>
      <c r="H217" s="171">
        <f>SUMIFS(All_Stats!$K:$K,
All_Stats!$D:$D,$B217,
All_Stats!$B:$B,"&gt;="&amp;EOMONTH($A217,-1)+1,
All_Stats!$B:$B,"&lt;"&amp;EOMONTH($A217,0)+1,
All_Stats!$P:$P,"&lt;&gt;Email Marketing"
)</f>
        <v>0</v>
      </c>
      <c r="I217" s="173">
        <f>IFERROR(__xludf.DUMMYFUNCTION("COUNTUNIQUEIFS(All_Stats!A:A,
All_Stats!$D:$D,$B217,
All_Stats!$B:$B,""&gt;=""&amp;EOMONTH($A217,-1)+1,
All_Stats!$B:$B,""&lt;""&amp;EOMONTH($A217,0)+1,
All_Stats!$P:$P,""&lt;&gt;Email Marketing""
)"),0.0)</f>
        <v>0</v>
      </c>
    </row>
    <row r="218" hidden="1">
      <c r="A218" s="128">
        <v>44501.0</v>
      </c>
      <c r="B218" s="131" t="s">
        <v>506</v>
      </c>
      <c r="C218" s="170" t="str">
        <f>if(ifna(VLOOKUP(B218,'Vendor Directory'!A:C,3,0),"NOT FOUND")="","NOT FOUND",VLOOKUP(B218,'Vendor Directory'!A:C,3,0))</f>
        <v>#N/A</v>
      </c>
      <c r="D218" s="114">
        <f>SUMIFS(All_Stats!$G:$G,
All_Stats!$D:$D,$B218,
All_Stats!$B:$B,"&gt;="&amp;EOMONTH($A218,-1)+1,
All_Stats!$B:$B,"&lt;"&amp;EOMONTH($A218,0)+1,
All_Stats!$P:$P,"&lt;&gt;Email Marketing"
)</f>
        <v>0</v>
      </c>
      <c r="E218" s="171">
        <f>SUMIFS(All_Stats!$I:$I,
All_Stats!$D:$D,$B218,
All_Stats!$B:$B,"&gt;="&amp;EOMONTH($A218,-1)+1,
All_Stats!$B:$B,"&lt;"&amp;EOMONTH($A218,0)+1,
All_Stats!$P:$P,"&lt;&gt;Email Marketing"
)</f>
        <v>0</v>
      </c>
      <c r="F218" s="172" t="str">
        <f t="shared" si="47"/>
        <v>N/A</v>
      </c>
      <c r="G218" s="114">
        <f>SUMIFS(All_Stats!$H:$H,
All_Stats!$D:$D,$B218,
All_Stats!$B:$B,"&gt;="&amp;EOMONTH($A218,-1)+1,
All_Stats!$B:$B,"&lt;"&amp;EOMONTH($A218,0)+1,
All_Stats!$P:$P,"&lt;&gt;Email Marketing"
)</f>
        <v>0</v>
      </c>
      <c r="H218" s="171">
        <f>SUMIFS(All_Stats!$K:$K,
All_Stats!$D:$D,$B218,
All_Stats!$B:$B,"&gt;="&amp;EOMONTH($A218,-1)+1,
All_Stats!$B:$B,"&lt;"&amp;EOMONTH($A218,0)+1,
All_Stats!$P:$P,"&lt;&gt;Email Marketing"
)</f>
        <v>0</v>
      </c>
      <c r="I218" s="173">
        <f>IFERROR(__xludf.DUMMYFUNCTION("COUNTUNIQUEIFS(All_Stats!A:A,
All_Stats!$D:$D,$B218,
All_Stats!$B:$B,""&gt;=""&amp;EOMONTH($A218,-1)+1,
All_Stats!$B:$B,""&lt;""&amp;EOMONTH($A218,0)+1,
All_Stats!$P:$P,""&lt;&gt;Email Marketing""
)"),0.0)</f>
        <v>0</v>
      </c>
    </row>
    <row r="219" hidden="1">
      <c r="A219" s="128">
        <v>44501.0</v>
      </c>
      <c r="B219" s="129" t="s">
        <v>496</v>
      </c>
      <c r="C219" s="174" t="s">
        <v>514</v>
      </c>
      <c r="D219" s="114">
        <f>SUMIFS(All_Stats!$G:$G,
All_Stats!$D:$D,$B219,
All_Stats!$B:$B,"&gt;="&amp;EOMONTH($A219,-1)+1,
All_Stats!$B:$B,"&lt;"&amp;EOMONTH($A219,0)+1,
All_Stats!$P:$P,"&lt;&gt;Email Marketing"
)</f>
        <v>0</v>
      </c>
      <c r="E219" s="171">
        <f>SUMIFS(All_Stats!$I:$I,
All_Stats!$D:$D,$B219,
All_Stats!$B:$B,"&gt;="&amp;EOMONTH($A219,-1)+1,
All_Stats!$B:$B,"&lt;"&amp;EOMONTH($A219,0)+1,
All_Stats!$P:$P,"&lt;&gt;Email Marketing"
)</f>
        <v>0</v>
      </c>
      <c r="F219" s="172" t="str">
        <f t="shared" si="47"/>
        <v>N/A</v>
      </c>
      <c r="G219" s="114">
        <f>SUMIFS(All_Stats!$H:$H,
All_Stats!$D:$D,$B219,
All_Stats!$B:$B,"&gt;="&amp;EOMONTH($A219,-1)+1,
All_Stats!$B:$B,"&lt;"&amp;EOMONTH($A219,0)+1,
All_Stats!$P:$P,"&lt;&gt;Email Marketing"
)</f>
        <v>0</v>
      </c>
      <c r="H219" s="171">
        <f>SUMIFS(All_Stats!$K:$K,
All_Stats!$D:$D,$B219,
All_Stats!$B:$B,"&gt;="&amp;EOMONTH($A219,-1)+1,
All_Stats!$B:$B,"&lt;"&amp;EOMONTH($A219,0)+1,
All_Stats!$P:$P,"&lt;&gt;Email Marketing"
)</f>
        <v>0</v>
      </c>
      <c r="I219" s="173">
        <f>IFERROR(__xludf.DUMMYFUNCTION("COUNTUNIQUEIFS(All_Stats!A:A,
All_Stats!$D:$D,$B219,
All_Stats!$B:$B,""&gt;=""&amp;EOMONTH($A219,-1)+1,
All_Stats!$B:$B,""&lt;""&amp;EOMONTH($A219,0)+1,
All_Stats!$P:$P,""&lt;&gt;Email Marketing""
)"),0.0)</f>
        <v>0</v>
      </c>
    </row>
    <row r="220" hidden="1">
      <c r="A220" s="128">
        <v>44504.0</v>
      </c>
      <c r="B220" s="131" t="s">
        <v>91</v>
      </c>
      <c r="C220" s="170" t="str">
        <f>if(ifna(VLOOKUP(B220,'Vendor Directory'!A:C,3,0),"NOT FOUND")="","NOT FOUND",VLOOKUP(B220,'Vendor Directory'!A:C,3,0))</f>
        <v>#N/A</v>
      </c>
      <c r="D220" s="114">
        <f>SUMIFS(All_Stats!$G:$G,
All_Stats!$D:$D,$B220,
All_Stats!$B:$B,"&gt;="&amp;EOMONTH($A220,-1)+1,
All_Stats!$B:$B,"&lt;"&amp;EOMONTH($A220,0)+1,
All_Stats!$P:$P,"&lt;&gt;Email Marketing"
)</f>
        <v>0</v>
      </c>
      <c r="E220" s="171">
        <f>SUMIFS(All_Stats!$I:$I,
All_Stats!$D:$D,$B220,
All_Stats!$B:$B,"&gt;="&amp;EOMONTH($A220,-1)+1,
All_Stats!$B:$B,"&lt;"&amp;EOMONTH($A220,0)+1,
All_Stats!$P:$P,"&lt;&gt;Email Marketing"
)</f>
        <v>0</v>
      </c>
      <c r="F220" s="172" t="str">
        <f t="shared" si="47"/>
        <v>N/A</v>
      </c>
      <c r="G220" s="114">
        <f>SUMIFS(All_Stats!$H:$H,
All_Stats!$D:$D,$B220,
All_Stats!$B:$B,"&gt;="&amp;EOMONTH($A220,-1)+1,
All_Stats!$B:$B,"&lt;"&amp;EOMONTH($A220,0)+1,
All_Stats!$P:$P,"&lt;&gt;Email Marketing"
)</f>
        <v>0</v>
      </c>
      <c r="H220" s="171">
        <f>SUMIFS(All_Stats!$K:$K,
All_Stats!$D:$D,$B220,
All_Stats!$B:$B,"&gt;="&amp;EOMONTH($A220,-1)+1,
All_Stats!$B:$B,"&lt;"&amp;EOMONTH($A220,0)+1,
All_Stats!$P:$P,"&lt;&gt;Email Marketing"
)</f>
        <v>0</v>
      </c>
      <c r="I220" s="173">
        <f>IFERROR(__xludf.DUMMYFUNCTION("COUNTUNIQUEIFS(All_Stats!A:A,
All_Stats!$D:$D,$B220,
All_Stats!$B:$B,""&gt;=""&amp;EOMONTH($A220,-1)+1,
All_Stats!$B:$B,""&lt;""&amp;EOMONTH($A220,0)+1,
All_Stats!$P:$P,""&lt;&gt;Email Marketing""
)"),0.0)</f>
        <v>0</v>
      </c>
    </row>
    <row r="221" hidden="1">
      <c r="A221" s="128">
        <v>44501.0</v>
      </c>
      <c r="B221" s="131" t="s">
        <v>499</v>
      </c>
      <c r="C221" s="170" t="str">
        <f>if(ifna(VLOOKUP(B221,'Vendor Directory'!A:C,3,0),"NOT FOUND")="","NOT FOUND",VLOOKUP(B221,'Vendor Directory'!A:C,3,0))</f>
        <v>#N/A</v>
      </c>
      <c r="D221" s="114">
        <f>SUMIFS(All_Stats!$G:$G,
All_Stats!$D:$D,$B221,
All_Stats!$B:$B,"&gt;="&amp;EOMONTH($A221,-1)+1,
All_Stats!$B:$B,"&lt;"&amp;EOMONTH($A221,0)+1,
All_Stats!$P:$P,"&lt;&gt;Email Marketing"
)</f>
        <v>0</v>
      </c>
      <c r="E221" s="171">
        <f>SUMIFS(All_Stats!$I:$I,
All_Stats!$D:$D,$B221,
All_Stats!$B:$B,"&gt;="&amp;EOMONTH($A221,-1)+1,
All_Stats!$B:$B,"&lt;"&amp;EOMONTH($A221,0)+1,
All_Stats!$P:$P,"&lt;&gt;Email Marketing"
)</f>
        <v>0</v>
      </c>
      <c r="F221" s="172" t="str">
        <f t="shared" si="47"/>
        <v>N/A</v>
      </c>
      <c r="G221" s="114">
        <f>SUMIFS(All_Stats!$H:$H,
All_Stats!$D:$D,$B221,
All_Stats!$B:$B,"&gt;="&amp;EOMONTH($A221,-1)+1,
All_Stats!$B:$B,"&lt;"&amp;EOMONTH($A221,0)+1,
All_Stats!$P:$P,"&lt;&gt;Email Marketing"
)</f>
        <v>0</v>
      </c>
      <c r="H221" s="171">
        <f>SUMIFS(All_Stats!$K:$K,
All_Stats!$D:$D,$B221,
All_Stats!$B:$B,"&gt;="&amp;EOMONTH($A221,-1)+1,
All_Stats!$B:$B,"&lt;"&amp;EOMONTH($A221,0)+1,
All_Stats!$P:$P,"&lt;&gt;Email Marketing"
)</f>
        <v>0</v>
      </c>
      <c r="I221" s="173">
        <f>IFERROR(__xludf.DUMMYFUNCTION("COUNTUNIQUEIFS(All_Stats!A:A,
All_Stats!$D:$D,$B221,
All_Stats!$B:$B,""&gt;=""&amp;EOMONTH($A221,-1)+1,
All_Stats!$B:$B,""&lt;""&amp;EOMONTH($A221,0)+1,
All_Stats!$P:$P,""&lt;&gt;Email Marketing""
)"),0.0)</f>
        <v>0</v>
      </c>
      <c r="J221" s="131"/>
      <c r="K221" s="131"/>
      <c r="L221" s="129" t="s">
        <v>515</v>
      </c>
    </row>
    <row r="222" hidden="1">
      <c r="A222" s="128">
        <v>44501.0</v>
      </c>
      <c r="B222" s="131" t="s">
        <v>452</v>
      </c>
      <c r="C222" s="170" t="str">
        <f>if(ifna(VLOOKUP(B222,'Vendor Directory'!A:C,3,0),"NOT FOUND")="","NOT FOUND",VLOOKUP(B222,'Vendor Directory'!A:C,3,0))</f>
        <v>#N/A</v>
      </c>
      <c r="D222" s="114">
        <f>SUMIFS(All_Stats!$G:$G,
All_Stats!$D:$D,$B222,
All_Stats!$B:$B,"&gt;="&amp;EOMONTH($A222,-1)+1,
All_Stats!$B:$B,"&lt;"&amp;EOMONTH($A222,0)+1,
All_Stats!$P:$P,"&lt;&gt;Email Marketing"
)</f>
        <v>0</v>
      </c>
      <c r="E222" s="171">
        <f>SUMIFS(All_Stats!$I:$I,
All_Stats!$D:$D,$B222,
All_Stats!$B:$B,"&gt;="&amp;EOMONTH($A222,-1)+1,
All_Stats!$B:$B,"&lt;"&amp;EOMONTH($A222,0)+1,
All_Stats!$P:$P,"&lt;&gt;Email Marketing"
)</f>
        <v>0</v>
      </c>
      <c r="F222" s="172" t="str">
        <f t="shared" si="47"/>
        <v>N/A</v>
      </c>
      <c r="G222" s="114">
        <f>SUMIFS(All_Stats!$H:$H,
All_Stats!$D:$D,$B222,
All_Stats!$B:$B,"&gt;="&amp;EOMONTH($A222,-1)+1,
All_Stats!$B:$B,"&lt;"&amp;EOMONTH($A222,0)+1,
All_Stats!$P:$P,"&lt;&gt;Email Marketing"
)</f>
        <v>0</v>
      </c>
      <c r="H222" s="171">
        <f>SUMIFS(All_Stats!$K:$K,
All_Stats!$D:$D,$B222,
All_Stats!$B:$B,"&gt;="&amp;EOMONTH($A222,-1)+1,
All_Stats!$B:$B,"&lt;"&amp;EOMONTH($A222,0)+1,
All_Stats!$P:$P,"&lt;&gt;Email Marketing"
)</f>
        <v>0</v>
      </c>
      <c r="I222" s="173">
        <f>IFERROR(__xludf.DUMMYFUNCTION("COUNTUNIQUEIFS(All_Stats!A:A,
All_Stats!$D:$D,$B222,
All_Stats!$B:$B,""&gt;=""&amp;EOMONTH($A222,-1)+1,
All_Stats!$B:$B,""&lt;""&amp;EOMONTH($A222,0)+1,
All_Stats!$P:$P,""&lt;&gt;Email Marketing""
)"),0.0)</f>
        <v>0</v>
      </c>
      <c r="J222" s="175"/>
      <c r="K222" s="175" t="s">
        <v>516</v>
      </c>
      <c r="L222" s="129">
        <v>26.0</v>
      </c>
    </row>
    <row r="223" hidden="1">
      <c r="A223" s="128">
        <v>44501.0</v>
      </c>
      <c r="B223" s="131" t="s">
        <v>505</v>
      </c>
      <c r="C223" s="170" t="str">
        <f>if(ifna(VLOOKUP(B223,'Vendor Directory'!A:C,3,0),"NOT FOUND")="","NOT FOUND",VLOOKUP(B223,'Vendor Directory'!A:C,3,0))</f>
        <v>#N/A</v>
      </c>
      <c r="D223" s="114">
        <f>SUMIFS(All_Stats!$G:$G,
All_Stats!$D:$D,$B223,
All_Stats!$B:$B,"&gt;="&amp;EOMONTH($A223,-1)+1,
All_Stats!$B:$B,"&lt;"&amp;EOMONTH($A223,0)+1,
All_Stats!$P:$P,"&lt;&gt;Email Marketing"
)</f>
        <v>0</v>
      </c>
      <c r="E223" s="171">
        <f>SUMIFS(All_Stats!$I:$I,
All_Stats!$D:$D,$B223,
All_Stats!$B:$B,"&gt;="&amp;EOMONTH($A223,-1)+1,
All_Stats!$B:$B,"&lt;"&amp;EOMONTH($A223,0)+1,
All_Stats!$P:$P,"&lt;&gt;Email Marketing"
)</f>
        <v>0</v>
      </c>
      <c r="F223" s="172" t="str">
        <f t="shared" si="47"/>
        <v>N/A</v>
      </c>
      <c r="G223" s="114">
        <f>SUMIFS(All_Stats!$H:$H,
All_Stats!$D:$D,$B223,
All_Stats!$B:$B,"&gt;="&amp;EOMONTH($A223,-1)+1,
All_Stats!$B:$B,"&lt;"&amp;EOMONTH($A223,0)+1,
All_Stats!$P:$P,"&lt;&gt;Email Marketing"
)</f>
        <v>0</v>
      </c>
      <c r="H223" s="171">
        <f>SUMIFS(All_Stats!$K:$K,
All_Stats!$D:$D,$B223,
All_Stats!$B:$B,"&gt;="&amp;EOMONTH($A223,-1)+1,
All_Stats!$B:$B,"&lt;"&amp;EOMONTH($A223,0)+1,
All_Stats!$P:$P,"&lt;&gt;Email Marketing"
)</f>
        <v>0</v>
      </c>
      <c r="I223" s="173">
        <f>IFERROR(__xludf.DUMMYFUNCTION("COUNTUNIQUEIFS(All_Stats!A:A,
All_Stats!$D:$D,$B223,
All_Stats!$B:$B,""&gt;=""&amp;EOMONTH($A223,-1)+1,
All_Stats!$B:$B,""&lt;""&amp;EOMONTH($A223,0)+1,
All_Stats!$P:$P,""&lt;&gt;Email Marketing""
)"),0.0)</f>
        <v>0</v>
      </c>
      <c r="J223" s="176"/>
      <c r="K223" s="176" t="s">
        <v>517</v>
      </c>
      <c r="L223" s="129">
        <v>1.0</v>
      </c>
    </row>
    <row r="224" hidden="1">
      <c r="A224" s="128">
        <v>44503.0</v>
      </c>
      <c r="B224" s="129" t="s">
        <v>507</v>
      </c>
      <c r="C224" s="174" t="s">
        <v>512</v>
      </c>
      <c r="D224" s="114">
        <f>SUMIFS(All_Stats!$G:$G,
All_Stats!$D:$D,$B224,
All_Stats!$B:$B,"&gt;="&amp;EOMONTH($A224,-1)+1,
All_Stats!$B:$B,"&lt;"&amp;EOMONTH($A224,0)+1,
All_Stats!$P:$P,"&lt;&gt;Email Marketing"
)</f>
        <v>0</v>
      </c>
      <c r="E224" s="171">
        <f>SUMIFS(All_Stats!$I:$I,
All_Stats!$D:$D,$B224,
All_Stats!$B:$B,"&gt;="&amp;EOMONTH($A224,-1)+1,
All_Stats!$B:$B,"&lt;"&amp;EOMONTH($A224,0)+1,
All_Stats!$P:$P,"&lt;&gt;Email Marketing"
)</f>
        <v>0</v>
      </c>
      <c r="F224" s="172" t="str">
        <f t="shared" si="47"/>
        <v>N/A</v>
      </c>
      <c r="G224" s="114">
        <f>SUMIFS(All_Stats!$H:$H,
All_Stats!$D:$D,$B224,
All_Stats!$B:$B,"&gt;="&amp;EOMONTH($A224,-1)+1,
All_Stats!$B:$B,"&lt;"&amp;EOMONTH($A224,0)+1,
All_Stats!$P:$P,"&lt;&gt;Email Marketing"
)</f>
        <v>0</v>
      </c>
      <c r="H224" s="171">
        <f>SUMIFS(All_Stats!$K:$K,
All_Stats!$D:$D,$B224,
All_Stats!$B:$B,"&gt;="&amp;EOMONTH($A224,-1)+1,
All_Stats!$B:$B,"&lt;"&amp;EOMONTH($A224,0)+1,
All_Stats!$P:$P,"&lt;&gt;Email Marketing"
)</f>
        <v>0</v>
      </c>
      <c r="I224" s="173">
        <f>IFERROR(__xludf.DUMMYFUNCTION("COUNTUNIQUEIFS(All_Stats!A:A,
All_Stats!$D:$D,$B224,
All_Stats!$B:$B,""&gt;=""&amp;EOMONTH($A224,-1)+1,
All_Stats!$B:$B,""&lt;""&amp;EOMONTH($A224,0)+1,
All_Stats!$P:$P,""&lt;&gt;Email Marketing""
)"),0.0)</f>
        <v>0</v>
      </c>
      <c r="J224" s="176"/>
      <c r="K224" s="176" t="s">
        <v>518</v>
      </c>
      <c r="L224" s="129">
        <v>1.0</v>
      </c>
    </row>
    <row r="225" hidden="1">
      <c r="A225" s="128">
        <v>44501.0</v>
      </c>
      <c r="B225" s="131" t="s">
        <v>498</v>
      </c>
      <c r="C225" s="170" t="str">
        <f>if(ifna(VLOOKUP(B225,'Vendor Directory'!A:C,3,0),"NOT FOUND")="","NOT FOUND",VLOOKUP(B225,'Vendor Directory'!A:C,3,0))</f>
        <v>#N/A</v>
      </c>
      <c r="D225" s="131">
        <f>SUMIFS(All_Stats!$G:$G,
All_Stats!$D:$D,$B225,
All_Stats!$B:$B,"&gt;="&amp;EOMONTH($A225,-1)+1,
All_Stats!$B:$B,"&lt;"&amp;EOMONTH($A225,0)+1,
All_Stats!$P:$P,"&lt;&gt;Email Marketing"
)</f>
        <v>0</v>
      </c>
      <c r="E225" s="171">
        <f>SUMIFS(All_Stats!$I:$I,
All_Stats!$D:$D,$B225,
All_Stats!$B:$B,"&gt;="&amp;EOMONTH($A225,-1)+1,
All_Stats!$B:$B,"&lt;"&amp;EOMONTH($A225,0)+1,
All_Stats!$P:$P,"&lt;&gt;Email Marketing"
)</f>
        <v>0</v>
      </c>
      <c r="F225" s="172" t="str">
        <f t="shared" si="47"/>
        <v>N/A</v>
      </c>
      <c r="G225" s="114">
        <f>SUMIFS(All_Stats!$H:$H,
All_Stats!$D:$D,$B225,
All_Stats!$B:$B,"&gt;="&amp;EOMONTH($A225,-1)+1,
All_Stats!$B:$B,"&lt;"&amp;EOMONTH($A225,0)+1,
All_Stats!$P:$P,"&lt;&gt;Email Marketing"
)</f>
        <v>0</v>
      </c>
      <c r="H225" s="171">
        <f>SUMIFS(All_Stats!$K:$K,
All_Stats!$D:$D,$B225,
All_Stats!$B:$B,"&gt;="&amp;EOMONTH($A225,-1)+1,
All_Stats!$B:$B,"&lt;"&amp;EOMONTH($A225,0)+1,
All_Stats!$P:$P,"&lt;&gt;Email Marketing"
)</f>
        <v>0</v>
      </c>
      <c r="I225" s="173">
        <f>IFERROR(__xludf.DUMMYFUNCTION("COUNTUNIQUEIFS(All_Stats!A:A,
All_Stats!$D:$D,$B225,
All_Stats!$B:$B,""&gt;=""&amp;EOMONTH($A225,-1)+1,
All_Stats!$B:$B,""&lt;""&amp;EOMONTH($A225,0)+1,
All_Stats!$P:$P,""&lt;&gt;Email Marketing""
)"),0.0)</f>
        <v>0</v>
      </c>
      <c r="J225" s="176"/>
      <c r="K225" s="176" t="s">
        <v>519</v>
      </c>
      <c r="L225" s="129">
        <v>2.0</v>
      </c>
    </row>
    <row r="226" hidden="1">
      <c r="A226" s="128">
        <v>44501.0</v>
      </c>
      <c r="B226" s="131" t="s">
        <v>510</v>
      </c>
      <c r="C226" s="170" t="str">
        <f>if(ifna(VLOOKUP(B226,'Vendor Directory'!A:C,3,0),"NOT FOUND")="","NOT FOUND",VLOOKUP(B226,'Vendor Directory'!A:C,3,0))</f>
        <v>#N/A</v>
      </c>
      <c r="D226" s="114">
        <f>SUMIFS(All_Stats!$G:$G,
All_Stats!$D:$D,$B226,
All_Stats!$B:$B,"&gt;="&amp;EOMONTH($A226,-1)+1,
All_Stats!$B:$B,"&lt;"&amp;EOMONTH($A226,0)+1,
All_Stats!$P:$P,"&lt;&gt;Email Marketing"
)</f>
        <v>0</v>
      </c>
      <c r="E226" s="171">
        <f>SUMIFS(All_Stats!$I:$I,
All_Stats!$D:$D,$B226,
All_Stats!$B:$B,"&gt;="&amp;EOMONTH($A226,-1)+1,
All_Stats!$B:$B,"&lt;"&amp;EOMONTH($A226,0)+1,
All_Stats!$P:$P,"&lt;&gt;Email Marketing"
)</f>
        <v>0</v>
      </c>
      <c r="F226" s="172" t="str">
        <f t="shared" si="47"/>
        <v>N/A</v>
      </c>
      <c r="G226" s="114">
        <f>SUMIFS(All_Stats!$H:$H,
All_Stats!$D:$D,$B226,
All_Stats!$B:$B,"&gt;="&amp;EOMONTH($A226,-1)+1,
All_Stats!$B:$B,"&lt;"&amp;EOMONTH($A226,0)+1,
All_Stats!$P:$P,"&lt;&gt;Email Marketing"
)</f>
        <v>0</v>
      </c>
      <c r="H226" s="171">
        <f>SUMIFS(All_Stats!$K:$K,
All_Stats!$D:$D,$B226,
All_Stats!$B:$B,"&gt;="&amp;EOMONTH($A226,-1)+1,
All_Stats!$B:$B,"&lt;"&amp;EOMONTH($A226,0)+1,
All_Stats!$P:$P,"&lt;&gt;Email Marketing"
)</f>
        <v>0</v>
      </c>
      <c r="I226" s="173">
        <f>IFERROR(__xludf.DUMMYFUNCTION("COUNTUNIQUEIFS(All_Stats!A:A,
All_Stats!$D:$D,$B226,
All_Stats!$B:$B,""&gt;=""&amp;EOMONTH($A226,-1)+1,
All_Stats!$B:$B,""&lt;""&amp;EOMONTH($A226,0)+1,
All_Stats!$P:$P,""&lt;&gt;Email Marketing""
)"),0.0)</f>
        <v>0</v>
      </c>
      <c r="J226" s="176"/>
      <c r="K226" s="176" t="s">
        <v>520</v>
      </c>
      <c r="L226" s="129">
        <v>1.0</v>
      </c>
    </row>
    <row r="227" hidden="1">
      <c r="A227" s="128">
        <v>44501.0</v>
      </c>
      <c r="B227" s="131" t="s">
        <v>417</v>
      </c>
      <c r="C227" s="170" t="str">
        <f>if(ifna(VLOOKUP(B227,'Vendor Directory'!A:C,3,0),"NOT FOUND")="","NOT FOUND",VLOOKUP(B227,'Vendor Directory'!A:C,3,0))</f>
        <v>#N/A</v>
      </c>
      <c r="D227" s="131">
        <f>SUMIFS(All_Stats!$G:$G,
All_Stats!$D:$D,$B227,
All_Stats!$B:$B,"&gt;="&amp;EOMONTH($A227,-1)+1,
All_Stats!$B:$B,"&lt;"&amp;EOMONTH($A227,0)+1,
All_Stats!$P:$P,"&lt;&gt;Email Marketing"
)</f>
        <v>0</v>
      </c>
      <c r="E227" s="113">
        <f>SUMIFS(All_Stats!$I:$I,
All_Stats!$D:$D,$B227,
All_Stats!$B:$B,"&gt;="&amp;EOMONTH($A227,-1)+1,
All_Stats!$B:$B,"&lt;"&amp;EOMONTH($A227,0)+1,
All_Stats!$P:$P,"&lt;&gt;Email Marketing"
)</f>
        <v>0</v>
      </c>
      <c r="F227" s="132" t="str">
        <f t="shared" si="47"/>
        <v>N/A</v>
      </c>
      <c r="G227" s="131">
        <f>SUMIFS(All_Stats!$H:$H,
All_Stats!$D:$D,$B227,
All_Stats!$B:$B,"&gt;="&amp;EOMONTH($A227,-1)+1,
All_Stats!$B:$B,"&lt;"&amp;EOMONTH($A227,0)+1,
All_Stats!$P:$P,"&lt;&gt;Email Marketing"
)</f>
        <v>0</v>
      </c>
      <c r="H227" s="113">
        <f>SUMIFS(All_Stats!$K:$K,
All_Stats!$D:$D,$B227,
All_Stats!$B:$B,"&gt;="&amp;EOMONTH($A227,-1)+1,
All_Stats!$B:$B,"&lt;"&amp;EOMONTH($A227,0)+1,
All_Stats!$P:$P,"&lt;&gt;Email Marketing"
)</f>
        <v>0</v>
      </c>
      <c r="I227" s="173">
        <f>IFERROR(__xludf.DUMMYFUNCTION("COUNTUNIQUEIFS(All_Stats!A:A,
All_Stats!$D:$D,$B227,
All_Stats!$B:$B,""&gt;=""&amp;EOMONTH($A227,-1)+1,
All_Stats!$B:$B,""&lt;""&amp;EOMONTH($A227,0)+1,
All_Stats!$P:$P,""&lt;&gt;Email Marketing""
)"),0.0)</f>
        <v>0</v>
      </c>
      <c r="J227" s="176"/>
      <c r="K227" s="176" t="s">
        <v>521</v>
      </c>
      <c r="L227" s="129">
        <v>2.0</v>
      </c>
    </row>
    <row r="228" hidden="1">
      <c r="A228" s="135"/>
      <c r="B228" s="135"/>
      <c r="C228" s="136" t="s">
        <v>23</v>
      </c>
      <c r="D228" s="137">
        <f t="shared" ref="D228:E228" si="48">SUM(D209:D227)</f>
        <v>0</v>
      </c>
      <c r="E228" s="137">
        <f t="shared" si="48"/>
        <v>0</v>
      </c>
      <c r="F228" s="138" t="str">
        <f t="shared" si="47"/>
        <v>N/A</v>
      </c>
      <c r="G228" s="137">
        <f>SUM(G209:G227)</f>
        <v>0</v>
      </c>
      <c r="H228" s="137">
        <f>SUM(H209:H226)</f>
        <v>0</v>
      </c>
      <c r="I228" s="137"/>
      <c r="J228" s="176"/>
      <c r="K228" s="176" t="s">
        <v>522</v>
      </c>
      <c r="L228" s="162">
        <v>1.0</v>
      </c>
    </row>
    <row r="229" hidden="1">
      <c r="A229" s="131"/>
      <c r="B229" s="131"/>
      <c r="C229" s="131"/>
      <c r="D229" s="140"/>
      <c r="F229" s="131"/>
      <c r="G229" s="131"/>
      <c r="J229" s="177"/>
      <c r="K229" s="177" t="s">
        <v>523</v>
      </c>
      <c r="L229" s="162">
        <v>1.0</v>
      </c>
    </row>
    <row r="230" hidden="1">
      <c r="A230" s="131"/>
      <c r="B230" s="131"/>
      <c r="C230" s="131"/>
      <c r="D230" s="168">
        <f t="shared" ref="D230:E230" si="49">D228+D205</f>
        <v>0</v>
      </c>
      <c r="E230" s="168">
        <f t="shared" si="49"/>
        <v>0</v>
      </c>
      <c r="F230" s="165"/>
      <c r="G230" s="168">
        <f t="shared" ref="G230:H230" si="50">G228+G205</f>
        <v>0</v>
      </c>
      <c r="H230" s="169">
        <f t="shared" si="50"/>
        <v>0</v>
      </c>
      <c r="I230" s="164">
        <f>H230+G230+E230+L230</f>
        <v>35</v>
      </c>
      <c r="L230" s="178">
        <f>sum(L222:L229)</f>
        <v>35</v>
      </c>
    </row>
    <row r="231" hidden="1">
      <c r="A231" s="131"/>
      <c r="B231" s="131"/>
      <c r="C231" s="131"/>
      <c r="D231" s="140"/>
      <c r="F231" s="131"/>
      <c r="G231" s="131"/>
    </row>
    <row r="232" hidden="1">
      <c r="C232" s="118" t="s">
        <v>484</v>
      </c>
      <c r="D232" s="119"/>
      <c r="E232" s="119"/>
      <c r="F232" s="119"/>
      <c r="G232" s="119"/>
      <c r="H232" s="119"/>
      <c r="I232" s="159"/>
    </row>
    <row r="233" hidden="1">
      <c r="A233" s="121" t="s">
        <v>1</v>
      </c>
      <c r="B233" s="122" t="s">
        <v>485</v>
      </c>
      <c r="C233" s="123" t="s">
        <v>486</v>
      </c>
      <c r="D233" s="124" t="s">
        <v>6</v>
      </c>
      <c r="E233" s="125" t="s">
        <v>8</v>
      </c>
      <c r="F233" s="124" t="s">
        <v>479</v>
      </c>
      <c r="G233" s="126" t="s">
        <v>7</v>
      </c>
      <c r="H233" s="125" t="s">
        <v>10</v>
      </c>
      <c r="I233" s="160" t="s">
        <v>487</v>
      </c>
    </row>
    <row r="234" hidden="1">
      <c r="A234" s="128">
        <v>44531.0</v>
      </c>
      <c r="B234" s="131" t="s">
        <v>164</v>
      </c>
      <c r="C234" s="134" t="str">
        <f>if(ifna(VLOOKUP(B234,'Vendor Directory'!A:C,3,0),"NOT FOUND")="","NOT FOUND",VLOOKUP(B234,'Vendor Directory'!A:C,3,0))</f>
        <v>#N/A</v>
      </c>
      <c r="D234" s="131">
        <f>SUMIFS(All_Stats!$G:$G,
All_Stats!$D:$D,$B234,
All_Stats!$B:$B,"&gt;="&amp;EOMONTH($A234,-1)+1,
All_Stats!$B:$B,"&lt;"&amp;EOMONTH($A234,0)+1,
All_Stats!$P:$P,"Email Marketing"
)</f>
        <v>0</v>
      </c>
      <c r="E234" s="113">
        <f>SUMIFS(All_Stats!$I:$I,
All_Stats!$D:$D,$B234,
All_Stats!$B:$B,"&gt;="&amp;EOMONTH($A234,-1)+1,
All_Stats!$B:$B,"&lt;"&amp;EOMONTH($A234,0)+1,
All_Stats!$P:$P,"Email Marketing"
)</f>
        <v>0</v>
      </c>
      <c r="F234" s="132" t="str">
        <f t="shared" ref="F234:F237" si="51">iferror(E234/D234,"N/A")</f>
        <v>N/A</v>
      </c>
      <c r="G234" s="131">
        <f>SUMIFS(All_Stats!$H:$H,
All_Stats!$D:$D,$B234,
All_Stats!$B:$B,"&gt;="&amp;EOMONTH($A234,-1)+1,
All_Stats!$B:$B,"&lt;"&amp;EOMONTH($A234,0)+1,
All_Stats!$P:$P,"Email Marketing"
)</f>
        <v>0</v>
      </c>
      <c r="H234" s="113">
        <f>SUMIFS(All_Stats!$K:$K,
All_Stats!$D:$D,$B234,
All_Stats!$B:$B,"&gt;="&amp;EOMONTH($A234,-1)+1,
All_Stats!$B:$B,"&lt;"&amp;EOMONTH($A234,0)+1,
All_Stats!$P:$P,"Email Marketing"
)</f>
        <v>0</v>
      </c>
      <c r="I234" s="152">
        <f>IFERROR(__xludf.DUMMYFUNCTION("COUNTUNIQUEIFS(All_Stats!A:A,
All_Stats!$D:$D,$B234,
All_Stats!$B:$B,""&gt;=""&amp;EOMONTH($A234,-1)+1,
All_Stats!$B:$B,""&lt;""&amp;EOMONTH($A234,0)+1,
All_Stats!$P:$P,""Email Marketing""
)"),0.0)</f>
        <v>0</v>
      </c>
    </row>
    <row r="235" hidden="1">
      <c r="A235" s="128">
        <v>44531.0</v>
      </c>
      <c r="B235" s="131" t="s">
        <v>172</v>
      </c>
      <c r="C235" s="134" t="str">
        <f>if(ifna(VLOOKUP(B235,'Vendor Directory'!A:C,3,0),"NOT FOUND")="","NOT FOUND",VLOOKUP(B235,'Vendor Directory'!A:C,3,0))</f>
        <v>#N/A</v>
      </c>
      <c r="D235" s="131">
        <f>SUMIFS(All_Stats!$G:$G,
All_Stats!$D:$D,$B235,
All_Stats!$B:$B,"&gt;="&amp;EOMONTH($A235,-1)+1,
All_Stats!$B:$B,"&lt;"&amp;EOMONTH($A235,0)+1,
All_Stats!$P:$P,"Email Marketing"
)</f>
        <v>0</v>
      </c>
      <c r="E235" s="113">
        <f>SUMIFS(All_Stats!$I:$I,
All_Stats!$D:$D,$B235,
All_Stats!$B:$B,"&gt;="&amp;EOMONTH($A235,-1)+1,
All_Stats!$B:$B,"&lt;"&amp;EOMONTH($A235,0)+1,
All_Stats!$P:$P,"Email Marketing"
)</f>
        <v>0</v>
      </c>
      <c r="F235" s="132" t="str">
        <f t="shared" si="51"/>
        <v>N/A</v>
      </c>
      <c r="G235" s="131">
        <f>SUMIFS(All_Stats!$H:$H,
All_Stats!$D:$D,$B235,
All_Stats!$B:$B,"&gt;="&amp;EOMONTH($A235,-1)+1,
All_Stats!$B:$B,"&lt;"&amp;EOMONTH($A235,0)+1,
All_Stats!$P:$P,"Email Marketing"
)</f>
        <v>0</v>
      </c>
      <c r="H235" s="113">
        <f>SUMIFS(All_Stats!$K:$K,
All_Stats!$D:$D,$B235,
All_Stats!$B:$B,"&gt;="&amp;EOMONTH($A235,-1)+1,
All_Stats!$B:$B,"&lt;"&amp;EOMONTH($A235,0)+1,
All_Stats!$P:$P,"Email Marketing"
)</f>
        <v>0</v>
      </c>
      <c r="I235" s="152">
        <f>IFERROR(__xludf.DUMMYFUNCTION("COUNTUNIQUEIFS(All_Stats!A:A,
All_Stats!$D:$D,$B235,
All_Stats!$B:$B,""&gt;=""&amp;EOMONTH($A235,-1)+1,
All_Stats!$B:$B,""&lt;""&amp;EOMONTH($A235,0)+1,
All_Stats!$P:$P,""Email Marketing""
)"),0.0)</f>
        <v>0</v>
      </c>
    </row>
    <row r="236" hidden="1">
      <c r="A236" s="128">
        <v>44531.0</v>
      </c>
      <c r="B236" s="129" t="s">
        <v>452</v>
      </c>
      <c r="C236" s="179" t="s">
        <v>524</v>
      </c>
      <c r="D236" s="131">
        <f>SUMIFS(All_Stats!$G:$G,
All_Stats!$D:$D,$B236,
All_Stats!$B:$B,"&gt;="&amp;EOMONTH($A236,-1)+1,
All_Stats!$B:$B,"&lt;"&amp;EOMONTH($A236,0)+1,
All_Stats!$P:$P,"Email Marketing"
)</f>
        <v>0</v>
      </c>
      <c r="E236" s="113">
        <f>SUMIFS(All_Stats!$I:$I,
All_Stats!$D:$D,$B236,
All_Stats!$B:$B,"&gt;="&amp;EOMONTH($A236,-1)+1,
All_Stats!$B:$B,"&lt;"&amp;EOMONTH($A236,0)+1,
All_Stats!$P:$P,"Email Marketing"
)</f>
        <v>0</v>
      </c>
      <c r="F236" s="132" t="str">
        <f t="shared" si="51"/>
        <v>N/A</v>
      </c>
      <c r="G236" s="131">
        <f>SUMIFS(All_Stats!$H:$H,
All_Stats!$D:$D,$B236,
All_Stats!$B:$B,"&gt;="&amp;EOMONTH($A236,-1)+1,
All_Stats!$B:$B,"&lt;"&amp;EOMONTH($A236,0)+1,
All_Stats!$P:$P,"Email Marketing"
)</f>
        <v>0</v>
      </c>
      <c r="H236" s="113">
        <f>SUMIFS(All_Stats!$K:$K,
All_Stats!$D:$D,$B236,
All_Stats!$B:$B,"&gt;="&amp;EOMONTH($A236,-1)+1,
All_Stats!$B:$B,"&lt;"&amp;EOMONTH($A236,0)+1,
All_Stats!$P:$P,"Email Marketing"
)</f>
        <v>0</v>
      </c>
      <c r="I236" s="152">
        <f>IFERROR(__xludf.DUMMYFUNCTION("COUNTUNIQUEIFS(All_Stats!A:A,
All_Stats!$D:$D,$B236,
All_Stats!$B:$B,""&gt;=""&amp;EOMONTH($A236,-1)+1,
All_Stats!$B:$B,""&lt;""&amp;EOMONTH($A236,0)+1,
All_Stats!$P:$P,""Email Marketing""
)"),0.0)</f>
        <v>0</v>
      </c>
    </row>
    <row r="237" hidden="1">
      <c r="A237" s="135"/>
      <c r="B237" s="135"/>
      <c r="C237" s="136" t="s">
        <v>23</v>
      </c>
      <c r="D237" s="137">
        <f t="shared" ref="D237:E237" si="52">SUM(D234:D235)</f>
        <v>0</v>
      </c>
      <c r="E237" s="137">
        <f t="shared" si="52"/>
        <v>0</v>
      </c>
      <c r="F237" s="138" t="str">
        <f t="shared" si="51"/>
        <v>N/A</v>
      </c>
      <c r="G237" s="137">
        <f t="shared" ref="G237:H237" si="53">SUM(G234:G235)</f>
        <v>0</v>
      </c>
      <c r="H237" s="137">
        <f t="shared" si="53"/>
        <v>0</v>
      </c>
      <c r="I237" s="180"/>
    </row>
    <row r="238" hidden="1">
      <c r="A238" s="131"/>
      <c r="B238" s="131"/>
      <c r="C238" s="131"/>
      <c r="D238" s="140"/>
      <c r="F238" s="131"/>
      <c r="G238" s="131"/>
    </row>
    <row r="239" hidden="1">
      <c r="C239" s="118" t="s">
        <v>504</v>
      </c>
      <c r="D239" s="119"/>
      <c r="E239" s="119"/>
      <c r="F239" s="119"/>
      <c r="G239" s="119"/>
      <c r="H239" s="119"/>
      <c r="I239" s="159"/>
    </row>
    <row r="240" hidden="1">
      <c r="A240" s="121" t="s">
        <v>1</v>
      </c>
      <c r="B240" s="122" t="s">
        <v>485</v>
      </c>
      <c r="C240" s="123" t="s">
        <v>486</v>
      </c>
      <c r="D240" s="124" t="s">
        <v>6</v>
      </c>
      <c r="E240" s="125" t="s">
        <v>8</v>
      </c>
      <c r="F240" s="124" t="s">
        <v>479</v>
      </c>
      <c r="G240" s="126" t="s">
        <v>7</v>
      </c>
      <c r="H240" s="125" t="s">
        <v>10</v>
      </c>
      <c r="I240" s="160" t="s">
        <v>487</v>
      </c>
    </row>
    <row r="241" hidden="1">
      <c r="A241" s="128">
        <v>44531.0</v>
      </c>
      <c r="B241" s="131" t="s">
        <v>30</v>
      </c>
      <c r="C241" s="134" t="str">
        <f>if(ifna(VLOOKUP(B241,'Vendor Directory'!A:C,3,0),"NOT FOUND")="","NOT FOUND",VLOOKUP(B241,'Vendor Directory'!A:C,3,0))</f>
        <v>Vendor 2 Name</v>
      </c>
      <c r="D241" s="131">
        <f>SUMIFS(All_Stats!$G:$G,
All_Stats!$D:$D,$B241,
All_Stats!$B:$B,"&gt;="&amp;EOMONTH($A241,-1)+1,
All_Stats!$B:$B,"&lt;"&amp;EOMONTH($A241,0)+1,
All_Stats!$P:$P,"&lt;&gt;Email Marketing"
)</f>
        <v>0</v>
      </c>
      <c r="E241" s="113">
        <f>SUMIFS(All_Stats!$I:$I,
All_Stats!$D:$D,$B241,
All_Stats!$B:$B,"&gt;="&amp;EOMONTH($A241,-1)+1,
All_Stats!$B:$B,"&lt;"&amp;EOMONTH($A241,0)+1,
All_Stats!$P:$P,"&lt;&gt;Email Marketing"
)</f>
        <v>0</v>
      </c>
      <c r="F241" s="132" t="str">
        <f t="shared" ref="F241:F259" si="54">iferror(E241/D241,"N/A")</f>
        <v>N/A</v>
      </c>
      <c r="G241" s="131">
        <f>SUMIFS(All_Stats!$H:$H,
All_Stats!$D:$D,$B241,
All_Stats!$B:$B,"&gt;="&amp;EOMONTH($A241,-1)+1,
All_Stats!$B:$B,"&lt;"&amp;EOMONTH($A241,0)+1,
All_Stats!$P:$P,"&lt;&gt;Email Marketing"
)</f>
        <v>0</v>
      </c>
      <c r="H241" s="113">
        <f>SUMIFS(All_Stats!$K:$K,
All_Stats!$D:$D,$B241,
All_Stats!$B:$B,"&gt;="&amp;EOMONTH($A241,-1)+1,
All_Stats!$B:$B,"&lt;"&amp;EOMONTH($A241,0)+1,
All_Stats!$P:$P,"&lt;&gt;Email Marketing"
)</f>
        <v>0</v>
      </c>
      <c r="I241" s="152">
        <f>IFERROR(__xludf.DUMMYFUNCTION("COUNTUNIQUEIFS(All_Stats!A:A,
All_Stats!$D:$D,$B241,
All_Stats!$B:$B,""&gt;=""&amp;EOMONTH($A241,-1)+1,
All_Stats!$B:$B,""&lt;""&amp;EOMONTH($A241,0)+1,
All_Stats!$P:$P,""&lt;&gt;Email Marketing""
)"),0.0)</f>
        <v>0</v>
      </c>
    </row>
    <row r="242" hidden="1">
      <c r="A242" s="128">
        <v>44531.0</v>
      </c>
      <c r="B242" s="131" t="s">
        <v>501</v>
      </c>
      <c r="C242" s="134" t="str">
        <f>if(ifna(VLOOKUP(B242,'Vendor Directory'!A:C,3,0),"NOT FOUND")="","NOT FOUND",VLOOKUP(B242,'Vendor Directory'!A:C,3,0))</f>
        <v>#N/A</v>
      </c>
      <c r="D242" s="131">
        <f>SUMIFS(All_Stats!$G:$G,
All_Stats!$D:$D,$B242,
All_Stats!$B:$B,"&gt;="&amp;EOMONTH($A242,-1)+1,
All_Stats!$B:$B,"&lt;"&amp;EOMONTH($A242,0)+1,
All_Stats!$P:$P,"&lt;&gt;Email Marketing"
)</f>
        <v>0</v>
      </c>
      <c r="E242" s="113">
        <f>SUMIFS(All_Stats!$I:$I,
All_Stats!$D:$D,$B242,
All_Stats!$B:$B,"&gt;="&amp;EOMONTH($A242,-1)+1,
All_Stats!$B:$B,"&lt;"&amp;EOMONTH($A242,0)+1,
All_Stats!$P:$P,"&lt;&gt;Email Marketing"
)</f>
        <v>0</v>
      </c>
      <c r="F242" s="132" t="str">
        <f t="shared" si="54"/>
        <v>N/A</v>
      </c>
      <c r="G242" s="131">
        <f>SUMIFS(All_Stats!$H:$H,
All_Stats!$D:$D,$B242,
All_Stats!$B:$B,"&gt;="&amp;EOMONTH($A242,-1)+1,
All_Stats!$B:$B,"&lt;"&amp;EOMONTH($A242,0)+1,
All_Stats!$P:$P,"&lt;&gt;Email Marketing"
)</f>
        <v>0</v>
      </c>
      <c r="H242" s="113">
        <f>SUMIFS(All_Stats!$K:$K,
All_Stats!$D:$D,$B242,
All_Stats!$B:$B,"&gt;="&amp;EOMONTH($A242,-1)+1,
All_Stats!$B:$B,"&lt;"&amp;EOMONTH($A242,0)+1,
All_Stats!$P:$P,"&lt;&gt;Email Marketing"
)</f>
        <v>0</v>
      </c>
      <c r="I242" s="152">
        <f>IFERROR(__xludf.DUMMYFUNCTION("COUNTUNIQUEIFS(All_Stats!A:A,
All_Stats!$D:$D,$B242,
All_Stats!$B:$B,""&gt;=""&amp;EOMONTH($A242,-1)+1,
All_Stats!$B:$B,""&lt;""&amp;EOMONTH($A242,0)+1,
All_Stats!$P:$P,""&lt;&gt;Email Marketing""
)"),0.0)</f>
        <v>0</v>
      </c>
    </row>
    <row r="243" hidden="1">
      <c r="A243" s="128">
        <v>44531.0</v>
      </c>
      <c r="B243" s="131" t="s">
        <v>127</v>
      </c>
      <c r="C243" s="134" t="str">
        <f>if(ifna(VLOOKUP(B243,'Vendor Directory'!A:C,3,0),"NOT FOUND")="","NOT FOUND",VLOOKUP(B243,'Vendor Directory'!A:C,3,0))</f>
        <v>#N/A</v>
      </c>
      <c r="D243" s="131">
        <f>SUMIFS(All_Stats!$G:$G,
All_Stats!$D:$D,$B243,
All_Stats!$B:$B,"&gt;="&amp;EOMONTH($A243,-1)+1,
All_Stats!$B:$B,"&lt;"&amp;EOMONTH($A243,0)+1,
All_Stats!$P:$P,"&lt;&gt;Email Marketing"
)</f>
        <v>0</v>
      </c>
      <c r="E243" s="113">
        <f>SUMIFS(All_Stats!$I:$I,
All_Stats!$D:$D,$B243,
All_Stats!$B:$B,"&gt;="&amp;EOMONTH($A243,-1)+1,
All_Stats!$B:$B,"&lt;"&amp;EOMONTH($A243,0)+1,
All_Stats!$P:$P,"&lt;&gt;Email Marketing"
)</f>
        <v>0</v>
      </c>
      <c r="F243" s="132" t="str">
        <f t="shared" si="54"/>
        <v>N/A</v>
      </c>
      <c r="G243" s="131">
        <f>SUMIFS(All_Stats!$H:$H,
All_Stats!$D:$D,$B243,
All_Stats!$B:$B,"&gt;="&amp;EOMONTH($A243,-1)+1,
All_Stats!$B:$B,"&lt;"&amp;EOMONTH($A243,0)+1,
All_Stats!$P:$P,"&lt;&gt;Email Marketing"
)</f>
        <v>0</v>
      </c>
      <c r="H243" s="113">
        <f>SUMIFS(All_Stats!$K:$K,
All_Stats!$D:$D,$B243,
All_Stats!$B:$B,"&gt;="&amp;EOMONTH($A243,-1)+1,
All_Stats!$B:$B,"&lt;"&amp;EOMONTH($A243,0)+1,
All_Stats!$P:$P,"&lt;&gt;Email Marketing"
)</f>
        <v>0</v>
      </c>
      <c r="I243" s="152">
        <f>IFERROR(__xludf.DUMMYFUNCTION("COUNTUNIQUEIFS(All_Stats!A:A,
All_Stats!$D:$D,$B243,
All_Stats!$B:$B,""&gt;=""&amp;EOMONTH($A243,-1)+1,
All_Stats!$B:$B,""&lt;""&amp;EOMONTH($A243,0)+1,
All_Stats!$P:$P,""&lt;&gt;Email Marketing""
)"),0.0)</f>
        <v>0</v>
      </c>
    </row>
    <row r="244" hidden="1">
      <c r="A244" s="128">
        <v>44531.0</v>
      </c>
      <c r="B244" s="131" t="s">
        <v>172</v>
      </c>
      <c r="C244" s="134" t="str">
        <f>if(ifna(VLOOKUP(B244,'Vendor Directory'!A:C,3,0),"NOT FOUND")="","NOT FOUND",VLOOKUP(B244,'Vendor Directory'!A:C,3,0))</f>
        <v>#N/A</v>
      </c>
      <c r="D244" s="131">
        <f>SUMIFS(All_Stats!$G:$G,
All_Stats!$D:$D,$B244,
All_Stats!$B:$B,"&gt;="&amp;EOMONTH($A244,-1)+1,
All_Stats!$B:$B,"&lt;"&amp;EOMONTH($A244,0)+1,
All_Stats!$P:$P,"&lt;&gt;Email Marketing"
)</f>
        <v>0</v>
      </c>
      <c r="E244" s="113">
        <f>SUMIFS(All_Stats!$I:$I,
All_Stats!$D:$D,$B244,
All_Stats!$B:$B,"&gt;="&amp;EOMONTH($A244,-1)+1,
All_Stats!$B:$B,"&lt;"&amp;EOMONTH($A244,0)+1,
All_Stats!$P:$P,"&lt;&gt;Email Marketing"
)</f>
        <v>0</v>
      </c>
      <c r="F244" s="132" t="str">
        <f t="shared" si="54"/>
        <v>N/A</v>
      </c>
      <c r="G244" s="131">
        <f>SUMIFS(All_Stats!$H:$H,
All_Stats!$D:$D,$B244,
All_Stats!$B:$B,"&gt;="&amp;EOMONTH($A244,-1)+1,
All_Stats!$B:$B,"&lt;"&amp;EOMONTH($A244,0)+1,
All_Stats!$P:$P,"&lt;&gt;Email Marketing"
)</f>
        <v>0</v>
      </c>
      <c r="H244" s="113">
        <f>SUMIFS(All_Stats!$K:$K,
All_Stats!$D:$D,$B244,
All_Stats!$B:$B,"&gt;="&amp;EOMONTH($A244,-1)+1,
All_Stats!$B:$B,"&lt;"&amp;EOMONTH($A244,0)+1,
All_Stats!$P:$P,"&lt;&gt;Email Marketing"
)</f>
        <v>0</v>
      </c>
      <c r="I244" s="152">
        <f>IFERROR(__xludf.DUMMYFUNCTION("COUNTUNIQUEIFS(All_Stats!A:A,
All_Stats!$D:$D,$B244,
All_Stats!$B:$B,""&gt;=""&amp;EOMONTH($A244,-1)+1,
All_Stats!$B:$B,""&lt;""&amp;EOMONTH($A244,0)+1,
All_Stats!$P:$P,""&lt;&gt;Email Marketing""
)"),0.0)</f>
        <v>0</v>
      </c>
    </row>
    <row r="245" hidden="1">
      <c r="A245" s="128">
        <v>44531.0</v>
      </c>
      <c r="B245" s="131" t="s">
        <v>164</v>
      </c>
      <c r="C245" s="134" t="str">
        <f>if(ifna(VLOOKUP(B245,'Vendor Directory'!A:C,3,0),"NOT FOUND")="","NOT FOUND",VLOOKUP(B245,'Vendor Directory'!A:C,3,0))</f>
        <v>#N/A</v>
      </c>
      <c r="D245" s="131">
        <f>SUMIFS(All_Stats!$G:$G,
All_Stats!$D:$D,$B245,
All_Stats!$B:$B,"&gt;="&amp;EOMONTH($A245,-1)+1,
All_Stats!$B:$B,"&lt;"&amp;EOMONTH($A245,0)+1,
All_Stats!$P:$P,"&lt;&gt;Email Marketing"
)</f>
        <v>0</v>
      </c>
      <c r="E245" s="113">
        <f>SUMIFS(All_Stats!$I:$I,
All_Stats!$D:$D,$B245,
All_Stats!$B:$B,"&gt;="&amp;EOMONTH($A245,-1)+1,
All_Stats!$B:$B,"&lt;"&amp;EOMONTH($A245,0)+1,
All_Stats!$P:$P,"&lt;&gt;Email Marketing"
)</f>
        <v>0</v>
      </c>
      <c r="F245" s="132" t="str">
        <f t="shared" si="54"/>
        <v>N/A</v>
      </c>
      <c r="G245" s="131">
        <f>SUMIFS(All_Stats!$H:$H,
All_Stats!$D:$D,$B245,
All_Stats!$B:$B,"&gt;="&amp;EOMONTH($A245,-1)+1,
All_Stats!$B:$B,"&lt;"&amp;EOMONTH($A245,0)+1,
All_Stats!$P:$P,"&lt;&gt;Email Marketing"
)</f>
        <v>0</v>
      </c>
      <c r="H245" s="113">
        <f>SUMIFS(All_Stats!$K:$K,
All_Stats!$D:$D,$B245,
All_Stats!$B:$B,"&gt;="&amp;EOMONTH($A245,-1)+1,
All_Stats!$B:$B,"&lt;"&amp;EOMONTH($A245,0)+1,
All_Stats!$P:$P,"&lt;&gt;Email Marketing"
)</f>
        <v>0</v>
      </c>
      <c r="I245" s="152">
        <f>IFERROR(__xludf.DUMMYFUNCTION("COUNTUNIQUEIFS(All_Stats!A:A,
All_Stats!$D:$D,$B245,
All_Stats!$B:$B,""&gt;=""&amp;EOMONTH($A245,-1)+1,
All_Stats!$B:$B,""&lt;""&amp;EOMONTH($A245,0)+1,
All_Stats!$P:$P,""&lt;&gt;Email Marketing""
)"),0.0)</f>
        <v>0</v>
      </c>
    </row>
    <row r="246" hidden="1">
      <c r="A246" s="128">
        <v>44531.0</v>
      </c>
      <c r="B246" s="131" t="s">
        <v>500</v>
      </c>
      <c r="C246" s="134" t="str">
        <f>if(ifna(VLOOKUP(B246,'Vendor Directory'!A:C,3,0),"NOT FOUND")="","NOT FOUND",VLOOKUP(B246,'Vendor Directory'!A:C,3,0))</f>
        <v>#N/A</v>
      </c>
      <c r="D246" s="131">
        <f>SUMIFS(All_Stats!$G:$G,
All_Stats!$D:$D,$B246,
All_Stats!$B:$B,"&gt;="&amp;EOMONTH($A246,-1)+1,
All_Stats!$B:$B,"&lt;"&amp;EOMONTH($A246,0)+1,
All_Stats!$P:$P,"&lt;&gt;Email Marketing"
)</f>
        <v>0</v>
      </c>
      <c r="E246" s="113">
        <f>SUMIFS(All_Stats!$I:$I,
All_Stats!$D:$D,$B246,
All_Stats!$B:$B,"&gt;="&amp;EOMONTH($A246,-1)+1,
All_Stats!$B:$B,"&lt;"&amp;EOMONTH($A246,0)+1,
All_Stats!$P:$P,"&lt;&gt;Email Marketing"
)</f>
        <v>0</v>
      </c>
      <c r="F246" s="132" t="str">
        <f t="shared" si="54"/>
        <v>N/A</v>
      </c>
      <c r="G246" s="131">
        <f>SUMIFS(All_Stats!$H:$H,
All_Stats!$D:$D,$B246,
All_Stats!$B:$B,"&gt;="&amp;EOMONTH($A246,-1)+1,
All_Stats!$B:$B,"&lt;"&amp;EOMONTH($A246,0)+1,
All_Stats!$P:$P,"&lt;&gt;Email Marketing"
)</f>
        <v>0</v>
      </c>
      <c r="H246" s="113">
        <f>SUMIFS(All_Stats!$K:$K,
All_Stats!$D:$D,$B246,
All_Stats!$B:$B,"&gt;="&amp;EOMONTH($A246,-1)+1,
All_Stats!$B:$B,"&lt;"&amp;EOMONTH($A246,0)+1,
All_Stats!$P:$P,"&lt;&gt;Email Marketing"
)</f>
        <v>0</v>
      </c>
      <c r="I246" s="152">
        <f>IFERROR(__xludf.DUMMYFUNCTION("COUNTUNIQUEIFS(All_Stats!A:A,
All_Stats!$D:$D,$B246,
All_Stats!$B:$B,""&gt;=""&amp;EOMONTH($A246,-1)+1,
All_Stats!$B:$B,""&lt;""&amp;EOMONTH($A246,0)+1,
All_Stats!$P:$P,""&lt;&gt;Email Marketing""
)"),0.0)</f>
        <v>0</v>
      </c>
    </row>
    <row r="247" hidden="1">
      <c r="A247" s="128">
        <v>44531.0</v>
      </c>
      <c r="B247" s="131" t="s">
        <v>157</v>
      </c>
      <c r="C247" s="134" t="str">
        <f>if(ifna(VLOOKUP(B247,'Vendor Directory'!A:C,3,0),"NOT FOUND")="","NOT FOUND",VLOOKUP(B247,'Vendor Directory'!A:C,3,0))</f>
        <v>#N/A</v>
      </c>
      <c r="D247" s="131">
        <f>SUMIFS(All_Stats!$G:$G,
All_Stats!$D:$D,$B247,
All_Stats!$B:$B,"&gt;="&amp;EOMONTH($A247,-1)+1,
All_Stats!$B:$B,"&lt;"&amp;EOMONTH($A247,0)+1,
All_Stats!$P:$P,"&lt;&gt;Email Marketing"
)</f>
        <v>0</v>
      </c>
      <c r="E247" s="113">
        <f>SUMIFS(All_Stats!$I:$I,
All_Stats!$D:$D,$B247,
All_Stats!$B:$B,"&gt;="&amp;EOMONTH($A247,-1)+1,
All_Stats!$B:$B,"&lt;"&amp;EOMONTH($A247,0)+1,
All_Stats!$P:$P,"&lt;&gt;Email Marketing"
)</f>
        <v>0</v>
      </c>
      <c r="F247" s="132" t="str">
        <f t="shared" si="54"/>
        <v>N/A</v>
      </c>
      <c r="G247" s="131">
        <f>SUMIFS(All_Stats!$H:$H,
All_Stats!$D:$D,$B247,
All_Stats!$B:$B,"&gt;="&amp;EOMONTH($A247,-1)+1,
All_Stats!$B:$B,"&lt;"&amp;EOMONTH($A247,0)+1,
All_Stats!$P:$P,"&lt;&gt;Email Marketing"
)</f>
        <v>0</v>
      </c>
      <c r="H247" s="113">
        <f>SUMIFS(All_Stats!$K:$K,
All_Stats!$D:$D,$B247,
All_Stats!$B:$B,"&gt;="&amp;EOMONTH($A247,-1)+1,
All_Stats!$B:$B,"&lt;"&amp;EOMONTH($A247,0)+1,
All_Stats!$P:$P,"&lt;&gt;Email Marketing"
)</f>
        <v>0</v>
      </c>
      <c r="I247" s="152">
        <f>IFERROR(__xludf.DUMMYFUNCTION("COUNTUNIQUEIFS(All_Stats!A:A,
All_Stats!$D:$D,$B247,
All_Stats!$B:$B,""&gt;=""&amp;EOMONTH($A247,-1)+1,
All_Stats!$B:$B,""&lt;""&amp;EOMONTH($A247,0)+1,
All_Stats!$P:$P,""&lt;&gt;Email Marketing""
)"),0.0)</f>
        <v>0</v>
      </c>
    </row>
    <row r="248" hidden="1">
      <c r="A248" s="128">
        <v>44531.0</v>
      </c>
      <c r="B248" s="131" t="s">
        <v>497</v>
      </c>
      <c r="C248" s="134" t="str">
        <f>if(ifna(VLOOKUP(B248,'Vendor Directory'!A:C,3,0),"NOT FOUND")="","NOT FOUND",VLOOKUP(B248,'Vendor Directory'!A:C,3,0))</f>
        <v>#N/A</v>
      </c>
      <c r="D248" s="131">
        <f>SUMIFS(All_Stats!$G:$G,
All_Stats!$D:$D,$B248,
All_Stats!$B:$B,"&gt;="&amp;EOMONTH($A248,-1)+1,
All_Stats!$B:$B,"&lt;"&amp;EOMONTH($A248,0)+1,
All_Stats!$P:$P,"&lt;&gt;Email Marketing"
)</f>
        <v>0</v>
      </c>
      <c r="E248" s="113">
        <f>SUMIFS(All_Stats!$I:$I,
All_Stats!$D:$D,$B248,
All_Stats!$B:$B,"&gt;="&amp;EOMONTH($A248,-1)+1,
All_Stats!$B:$B,"&lt;"&amp;EOMONTH($A248,0)+1,
All_Stats!$P:$P,"&lt;&gt;Email Marketing"
)</f>
        <v>0</v>
      </c>
      <c r="F248" s="132" t="str">
        <f t="shared" si="54"/>
        <v>N/A</v>
      </c>
      <c r="G248" s="131">
        <f>SUMIFS(All_Stats!$H:$H,
All_Stats!$D:$D,$B248,
All_Stats!$B:$B,"&gt;="&amp;EOMONTH($A248,-1)+1,
All_Stats!$B:$B,"&lt;"&amp;EOMONTH($A248,0)+1,
All_Stats!$P:$P,"&lt;&gt;Email Marketing"
)</f>
        <v>0</v>
      </c>
      <c r="H248" s="113">
        <f>SUMIFS(All_Stats!$K:$K,
All_Stats!$D:$D,$B248,
All_Stats!$B:$B,"&gt;="&amp;EOMONTH($A248,-1)+1,
All_Stats!$B:$B,"&lt;"&amp;EOMONTH($A248,0)+1,
All_Stats!$P:$P,"&lt;&gt;Email Marketing"
)</f>
        <v>0</v>
      </c>
      <c r="I248" s="152">
        <f>IFERROR(__xludf.DUMMYFUNCTION("COUNTUNIQUEIFS(All_Stats!A:A,
All_Stats!$D:$D,$B248,
All_Stats!$B:$B,""&gt;=""&amp;EOMONTH($A248,-1)+1,
All_Stats!$B:$B,""&lt;""&amp;EOMONTH($A248,0)+1,
All_Stats!$P:$P,""&lt;&gt;Email Marketing""
)"),0.0)</f>
        <v>0</v>
      </c>
    </row>
    <row r="249" hidden="1">
      <c r="A249" s="128">
        <v>44531.0</v>
      </c>
      <c r="B249" s="129" t="s">
        <v>495</v>
      </c>
      <c r="C249" s="142" t="s">
        <v>513</v>
      </c>
      <c r="D249" s="131">
        <f>SUMIFS(All_Stats!$G:$G,
All_Stats!$D:$D,$B249,
All_Stats!$B:$B,"&gt;="&amp;EOMONTH($A249,-1)+1,
All_Stats!$B:$B,"&lt;"&amp;EOMONTH($A249,0)+1,
All_Stats!$P:$P,"&lt;&gt;Email Marketing"
)</f>
        <v>0</v>
      </c>
      <c r="E249" s="113">
        <f>SUMIFS(All_Stats!$I:$I,
All_Stats!$D:$D,$B249,
All_Stats!$B:$B,"&gt;="&amp;EOMONTH($A249,-1)+1,
All_Stats!$B:$B,"&lt;"&amp;EOMONTH($A249,0)+1,
All_Stats!$P:$P,"&lt;&gt;Email Marketing"
)</f>
        <v>0</v>
      </c>
      <c r="F249" s="132" t="str">
        <f t="shared" si="54"/>
        <v>N/A</v>
      </c>
      <c r="G249" s="131">
        <f>SUMIFS(All_Stats!$H:$H,
All_Stats!$D:$D,$B249,
All_Stats!$B:$B,"&gt;="&amp;EOMONTH($A249,-1)+1,
All_Stats!$B:$B,"&lt;"&amp;EOMONTH($A249,0)+1,
All_Stats!$P:$P,"&lt;&gt;Email Marketing"
)</f>
        <v>0</v>
      </c>
      <c r="H249" s="113">
        <f>SUMIFS(All_Stats!$K:$K,
All_Stats!$D:$D,$B249,
All_Stats!$B:$B,"&gt;="&amp;EOMONTH($A249,-1)+1,
All_Stats!$B:$B,"&lt;"&amp;EOMONTH($A249,0)+1,
All_Stats!$P:$P,"&lt;&gt;Email Marketing"
)</f>
        <v>0</v>
      </c>
      <c r="I249" s="152">
        <f>IFERROR(__xludf.DUMMYFUNCTION("COUNTUNIQUEIFS(All_Stats!A:A,
All_Stats!$D:$D,$B249,
All_Stats!$B:$B,""&gt;=""&amp;EOMONTH($A249,-1)+1,
All_Stats!$B:$B,""&lt;""&amp;EOMONTH($A249,0)+1,
All_Stats!$P:$P,""&lt;&gt;Email Marketing""
)"),0.0)</f>
        <v>0</v>
      </c>
    </row>
    <row r="250" hidden="1">
      <c r="A250" s="128">
        <v>44531.0</v>
      </c>
      <c r="B250" s="131" t="s">
        <v>506</v>
      </c>
      <c r="C250" s="134" t="str">
        <f>if(ifna(VLOOKUP(B250,'Vendor Directory'!A:C,3,0),"NOT FOUND")="","NOT FOUND",VLOOKUP(B250,'Vendor Directory'!A:C,3,0))</f>
        <v>#N/A</v>
      </c>
      <c r="D250" s="131">
        <f>SUMIFS(All_Stats!$G:$G,
All_Stats!$D:$D,$B250,
All_Stats!$B:$B,"&gt;="&amp;EOMONTH($A250,-1)+1,
All_Stats!$B:$B,"&lt;"&amp;EOMONTH($A250,0)+1,
All_Stats!$P:$P,"&lt;&gt;Email Marketing"
)</f>
        <v>0</v>
      </c>
      <c r="E250" s="113">
        <f>SUMIFS(All_Stats!$I:$I,
All_Stats!$D:$D,$B250,
All_Stats!$B:$B,"&gt;="&amp;EOMONTH($A250,-1)+1,
All_Stats!$B:$B,"&lt;"&amp;EOMONTH($A250,0)+1,
All_Stats!$P:$P,"&lt;&gt;Email Marketing"
)</f>
        <v>0</v>
      </c>
      <c r="F250" s="132" t="str">
        <f t="shared" si="54"/>
        <v>N/A</v>
      </c>
      <c r="G250" s="131">
        <f>SUMIFS(All_Stats!$H:$H,
All_Stats!$D:$D,$B250,
All_Stats!$B:$B,"&gt;="&amp;EOMONTH($A250,-1)+1,
All_Stats!$B:$B,"&lt;"&amp;EOMONTH($A250,0)+1,
All_Stats!$P:$P,"&lt;&gt;Email Marketing"
)</f>
        <v>0</v>
      </c>
      <c r="H250" s="113">
        <f>SUMIFS(All_Stats!$K:$K,
All_Stats!$D:$D,$B250,
All_Stats!$B:$B,"&gt;="&amp;EOMONTH($A250,-1)+1,
All_Stats!$B:$B,"&lt;"&amp;EOMONTH($A250,0)+1,
All_Stats!$P:$P,"&lt;&gt;Email Marketing"
)</f>
        <v>0</v>
      </c>
      <c r="I250" s="152">
        <f>IFERROR(__xludf.DUMMYFUNCTION("COUNTUNIQUEIFS(All_Stats!A:A,
All_Stats!$D:$D,$B250,
All_Stats!$B:$B,""&gt;=""&amp;EOMONTH($A250,-1)+1,
All_Stats!$B:$B,""&lt;""&amp;EOMONTH($A250,0)+1,
All_Stats!$P:$P,""&lt;&gt;Email Marketing""
)"),0.0)</f>
        <v>0</v>
      </c>
    </row>
    <row r="251" hidden="1">
      <c r="A251" s="128">
        <v>44531.0</v>
      </c>
      <c r="B251" s="131" t="s">
        <v>91</v>
      </c>
      <c r="C251" s="134" t="str">
        <f>if(ifna(VLOOKUP(B251,'Vendor Directory'!A:C,3,0),"NOT FOUND")="","NOT FOUND",VLOOKUP(B251,'Vendor Directory'!A:C,3,0))</f>
        <v>#N/A</v>
      </c>
      <c r="D251" s="131">
        <f>SUMIFS(All_Stats!$G:$G,
All_Stats!$D:$D,$B251,
All_Stats!$B:$B,"&gt;="&amp;EOMONTH($A251,-1)+1,
All_Stats!$B:$B,"&lt;"&amp;EOMONTH($A251,0)+1,
All_Stats!$P:$P,"&lt;&gt;Email Marketing"
)</f>
        <v>0</v>
      </c>
      <c r="E251" s="113">
        <f>SUMIFS(All_Stats!$I:$I,
All_Stats!$D:$D,$B251,
All_Stats!$B:$B,"&gt;="&amp;EOMONTH($A251,-1)+1,
All_Stats!$B:$B,"&lt;"&amp;EOMONTH($A251,0)+1,
All_Stats!$P:$P,"&lt;&gt;Email Marketing"
)</f>
        <v>0</v>
      </c>
      <c r="F251" s="132" t="str">
        <f t="shared" si="54"/>
        <v>N/A</v>
      </c>
      <c r="G251" s="131">
        <f>SUMIFS(All_Stats!$H:$H,
All_Stats!$D:$D,$B251,
All_Stats!$B:$B,"&gt;="&amp;EOMONTH($A251,-1)+1,
All_Stats!$B:$B,"&lt;"&amp;EOMONTH($A251,0)+1,
All_Stats!$P:$P,"&lt;&gt;Email Marketing"
)</f>
        <v>0</v>
      </c>
      <c r="H251" s="113">
        <f>SUMIFS(All_Stats!$K:$K,
All_Stats!$D:$D,$B251,
All_Stats!$B:$B,"&gt;="&amp;EOMONTH($A251,-1)+1,
All_Stats!$B:$B,"&lt;"&amp;EOMONTH($A251,0)+1,
All_Stats!$P:$P,"&lt;&gt;Email Marketing"
)</f>
        <v>0</v>
      </c>
      <c r="I251" s="152">
        <f>IFERROR(__xludf.DUMMYFUNCTION("COUNTUNIQUEIFS(All_Stats!A:A,
All_Stats!$D:$D,$B251,
All_Stats!$B:$B,""&gt;=""&amp;EOMONTH($A251,-1)+1,
All_Stats!$B:$B,""&lt;""&amp;EOMONTH($A251,0)+1,
All_Stats!$P:$P,""&lt;&gt;Email Marketing""
)"),0.0)</f>
        <v>0</v>
      </c>
    </row>
    <row r="252" hidden="1">
      <c r="A252" s="128">
        <v>44531.0</v>
      </c>
      <c r="B252" s="131" t="s">
        <v>499</v>
      </c>
      <c r="C252" s="134" t="str">
        <f>if(ifna(VLOOKUP(B252,'Vendor Directory'!A:C,3,0),"NOT FOUND")="","NOT FOUND",VLOOKUP(B252,'Vendor Directory'!A:C,3,0))</f>
        <v>#N/A</v>
      </c>
      <c r="D252" s="131">
        <f>SUMIFS(All_Stats!$G:$G,
All_Stats!$D:$D,$B252,
All_Stats!$B:$B,"&gt;="&amp;EOMONTH($A252,-1)+1,
All_Stats!$B:$B,"&lt;"&amp;EOMONTH($A252,0)+1,
All_Stats!$P:$P,"&lt;&gt;Email Marketing"
)</f>
        <v>0</v>
      </c>
      <c r="E252" s="113">
        <f>SUMIFS(All_Stats!$I:$I,
All_Stats!$D:$D,$B252,
All_Stats!$B:$B,"&gt;="&amp;EOMONTH($A252,-1)+1,
All_Stats!$B:$B,"&lt;"&amp;EOMONTH($A252,0)+1,
All_Stats!$P:$P,"&lt;&gt;Email Marketing"
)</f>
        <v>0</v>
      </c>
      <c r="F252" s="132" t="str">
        <f t="shared" si="54"/>
        <v>N/A</v>
      </c>
      <c r="G252" s="131">
        <f>SUMIFS(All_Stats!$H:$H,
All_Stats!$D:$D,$B252,
All_Stats!$B:$B,"&gt;="&amp;EOMONTH($A252,-1)+1,
All_Stats!$B:$B,"&lt;"&amp;EOMONTH($A252,0)+1,
All_Stats!$P:$P,"&lt;&gt;Email Marketing"
)</f>
        <v>0</v>
      </c>
      <c r="H252" s="113">
        <f>SUMIFS(All_Stats!$K:$K,
All_Stats!$D:$D,$B252,
All_Stats!$B:$B,"&gt;="&amp;EOMONTH($A252,-1)+1,
All_Stats!$B:$B,"&lt;"&amp;EOMONTH($A252,0)+1,
All_Stats!$P:$P,"&lt;&gt;Email Marketing"
)</f>
        <v>0</v>
      </c>
      <c r="I252" s="152">
        <f>IFERROR(__xludf.DUMMYFUNCTION("COUNTUNIQUEIFS(All_Stats!A:A,
All_Stats!$D:$D,$B252,
All_Stats!$B:$B,""&gt;=""&amp;EOMONTH($A252,-1)+1,
All_Stats!$B:$B,""&lt;""&amp;EOMONTH($A252,0)+1,
All_Stats!$P:$P,""&lt;&gt;Email Marketing""
)"),0.0)</f>
        <v>0</v>
      </c>
    </row>
    <row r="253" hidden="1">
      <c r="A253" s="128">
        <v>44531.0</v>
      </c>
      <c r="B253" s="131" t="s">
        <v>452</v>
      </c>
      <c r="C253" s="134" t="str">
        <f>if(ifna(VLOOKUP(B253,'Vendor Directory'!A:C,3,0),"NOT FOUND")="","NOT FOUND",VLOOKUP(B253,'Vendor Directory'!A:C,3,0))</f>
        <v>#N/A</v>
      </c>
      <c r="D253" s="131">
        <f>SUMIFS(All_Stats!$G:$G,
All_Stats!$D:$D,$B253,
All_Stats!$B:$B,"&gt;="&amp;EOMONTH($A253,-1)+1,
All_Stats!$B:$B,"&lt;"&amp;EOMONTH($A253,0)+1,
All_Stats!$P:$P,"&lt;&gt;Email Marketing"
)</f>
        <v>0</v>
      </c>
      <c r="E253" s="113">
        <f>SUMIFS(All_Stats!$I:$I,
All_Stats!$D:$D,$B253,
All_Stats!$B:$B,"&gt;="&amp;EOMONTH($A253,-1)+1,
All_Stats!$B:$B,"&lt;"&amp;EOMONTH($A253,0)+1,
All_Stats!$P:$P,"&lt;&gt;Email Marketing"
)</f>
        <v>0</v>
      </c>
      <c r="F253" s="132" t="str">
        <f t="shared" si="54"/>
        <v>N/A</v>
      </c>
      <c r="G253" s="131">
        <f>SUMIFS(All_Stats!$H:$H,
All_Stats!$D:$D,$B253,
All_Stats!$B:$B,"&gt;="&amp;EOMONTH($A253,-1)+1,
All_Stats!$B:$B,"&lt;"&amp;EOMONTH($A253,0)+1,
All_Stats!$P:$P,"&lt;&gt;Email Marketing"
)</f>
        <v>0</v>
      </c>
      <c r="H253" s="113">
        <f>SUMIFS(All_Stats!$K:$K,
All_Stats!$D:$D,$B253,
All_Stats!$B:$B,"&gt;="&amp;EOMONTH($A253,-1)+1,
All_Stats!$B:$B,"&lt;"&amp;EOMONTH($A253,0)+1,
All_Stats!$P:$P,"&lt;&gt;Email Marketing"
)</f>
        <v>0</v>
      </c>
      <c r="I253" s="152">
        <f>IFERROR(__xludf.DUMMYFUNCTION("COUNTUNIQUEIFS(All_Stats!A:A,
All_Stats!$D:$D,$B253,
All_Stats!$B:$B,""&gt;=""&amp;EOMONTH($A253,-1)+1,
All_Stats!$B:$B,""&lt;""&amp;EOMONTH($A253,0)+1,
All_Stats!$P:$P,""&lt;&gt;Email Marketing""
)"),0.0)</f>
        <v>0</v>
      </c>
    </row>
    <row r="254" hidden="1">
      <c r="A254" s="128">
        <v>44531.0</v>
      </c>
      <c r="B254" s="131" t="s">
        <v>505</v>
      </c>
      <c r="C254" s="134" t="str">
        <f>if(ifna(VLOOKUP(B254,'Vendor Directory'!A:C,3,0),"NOT FOUND")="","NOT FOUND",VLOOKUP(B254,'Vendor Directory'!A:C,3,0))</f>
        <v>#N/A</v>
      </c>
      <c r="D254" s="131">
        <f>SUMIFS(All_Stats!$G:$G,
All_Stats!$D:$D,$B254,
All_Stats!$B:$B,"&gt;="&amp;EOMONTH($A254,-1)+1,
All_Stats!$B:$B,"&lt;"&amp;EOMONTH($A254,0)+1,
All_Stats!$P:$P,"&lt;&gt;Email Marketing"
)</f>
        <v>0</v>
      </c>
      <c r="E254" s="113">
        <f>SUMIFS(All_Stats!$I:$I,
All_Stats!$D:$D,$B254,
All_Stats!$B:$B,"&gt;="&amp;EOMONTH($A254,-1)+1,
All_Stats!$B:$B,"&lt;"&amp;EOMONTH($A254,0)+1,
All_Stats!$P:$P,"&lt;&gt;Email Marketing"
)</f>
        <v>0</v>
      </c>
      <c r="F254" s="132" t="str">
        <f t="shared" si="54"/>
        <v>N/A</v>
      </c>
      <c r="G254" s="131">
        <f>SUMIFS(All_Stats!$H:$H,
All_Stats!$D:$D,$B254,
All_Stats!$B:$B,"&gt;="&amp;EOMONTH($A254,-1)+1,
All_Stats!$B:$B,"&lt;"&amp;EOMONTH($A254,0)+1,
All_Stats!$P:$P,"&lt;&gt;Email Marketing"
)</f>
        <v>0</v>
      </c>
      <c r="H254" s="113">
        <f>SUMIFS(All_Stats!$K:$K,
All_Stats!$D:$D,$B254,
All_Stats!$B:$B,"&gt;="&amp;EOMONTH($A254,-1)+1,
All_Stats!$B:$B,"&lt;"&amp;EOMONTH($A254,0)+1,
All_Stats!$P:$P,"&lt;&gt;Email Marketing"
)</f>
        <v>0</v>
      </c>
      <c r="I254" s="152">
        <f>IFERROR(__xludf.DUMMYFUNCTION("COUNTUNIQUEIFS(All_Stats!A:A,
All_Stats!$D:$D,$B254,
All_Stats!$B:$B,""&gt;=""&amp;EOMONTH($A254,-1)+1,
All_Stats!$B:$B,""&lt;""&amp;EOMONTH($A254,0)+1,
All_Stats!$P:$P,""&lt;&gt;Email Marketing""
)"),0.0)</f>
        <v>0</v>
      </c>
    </row>
    <row r="255" hidden="1">
      <c r="A255" s="128">
        <v>44531.0</v>
      </c>
      <c r="B255" s="131" t="s">
        <v>498</v>
      </c>
      <c r="C255" s="134" t="str">
        <f>if(ifna(VLOOKUP(B255,'Vendor Directory'!A:C,3,0),"NOT FOUND")="","NOT FOUND",VLOOKUP(B255,'Vendor Directory'!A:C,3,0))</f>
        <v>#N/A</v>
      </c>
      <c r="D255" s="131">
        <f>SUMIFS(All_Stats!$G:$G,
All_Stats!$D:$D,$B255,
All_Stats!$B:$B,"&gt;="&amp;EOMONTH($A255,-1)+1,
All_Stats!$B:$B,"&lt;"&amp;EOMONTH($A255,0)+1,
All_Stats!$P:$P,"&lt;&gt;Email Marketing"
)</f>
        <v>0</v>
      </c>
      <c r="E255" s="113">
        <f>SUMIFS(All_Stats!$I:$I,
All_Stats!$D:$D,$B255,
All_Stats!$B:$B,"&gt;="&amp;EOMONTH($A255,-1)+1,
All_Stats!$B:$B,"&lt;"&amp;EOMONTH($A255,0)+1,
All_Stats!$P:$P,"&lt;&gt;Email Marketing"
)</f>
        <v>0</v>
      </c>
      <c r="F255" s="132" t="str">
        <f t="shared" si="54"/>
        <v>N/A</v>
      </c>
      <c r="G255" s="131">
        <f>SUMIFS(All_Stats!$H:$H,
All_Stats!$D:$D,$B255,
All_Stats!$B:$B,"&gt;="&amp;EOMONTH($A255,-1)+1,
All_Stats!$B:$B,"&lt;"&amp;EOMONTH($A255,0)+1,
All_Stats!$P:$P,"&lt;&gt;Email Marketing"
)</f>
        <v>0</v>
      </c>
      <c r="H255" s="113">
        <f>SUMIFS(All_Stats!$K:$K,
All_Stats!$D:$D,$B255,
All_Stats!$B:$B,"&gt;="&amp;EOMONTH($A255,-1)+1,
All_Stats!$B:$B,"&lt;"&amp;EOMONTH($A255,0)+1,
All_Stats!$P:$P,"&lt;&gt;Email Marketing"
)</f>
        <v>0</v>
      </c>
      <c r="I255" s="152">
        <f>IFERROR(__xludf.DUMMYFUNCTION("COUNTUNIQUEIFS(All_Stats!A:A,
All_Stats!$D:$D,$B255,
All_Stats!$B:$B,""&gt;=""&amp;EOMONTH($A255,-1)+1,
All_Stats!$B:$B,""&lt;""&amp;EOMONTH($A255,0)+1,
All_Stats!$P:$P,""&lt;&gt;Email Marketing""
)"),0.0)</f>
        <v>0</v>
      </c>
    </row>
    <row r="256" hidden="1">
      <c r="A256" s="128">
        <v>44531.0</v>
      </c>
      <c r="B256" s="129" t="s">
        <v>507</v>
      </c>
      <c r="C256" s="142" t="s">
        <v>512</v>
      </c>
      <c r="D256" s="131">
        <f>SUMIFS(All_Stats!$G:$G,
All_Stats!$D:$D,$B256,
All_Stats!$B:$B,"&gt;="&amp;EOMONTH($A256,-1)+1,
All_Stats!$B:$B,"&lt;"&amp;EOMONTH($A256,0)+1,
All_Stats!$P:$P,"&lt;&gt;Email Marketing"
)</f>
        <v>0</v>
      </c>
      <c r="E256" s="113">
        <f>SUMIFS(All_Stats!$I:$I,
All_Stats!$D:$D,$B256,
All_Stats!$B:$B,"&gt;="&amp;EOMONTH($A256,-1)+1,
All_Stats!$B:$B,"&lt;"&amp;EOMONTH($A256,0)+1,
All_Stats!$P:$P,"&lt;&gt;Email Marketing"
)</f>
        <v>0</v>
      </c>
      <c r="F256" s="132" t="str">
        <f t="shared" si="54"/>
        <v>N/A</v>
      </c>
      <c r="G256" s="131">
        <f>SUMIFS(All_Stats!$H:$H,
All_Stats!$D:$D,$B256,
All_Stats!$B:$B,"&gt;="&amp;EOMONTH($A256,-1)+1,
All_Stats!$B:$B,"&lt;"&amp;EOMONTH($A256,0)+1,
All_Stats!$P:$P,"&lt;&gt;Email Marketing"
)</f>
        <v>0</v>
      </c>
      <c r="H256" s="113">
        <f>SUMIFS(All_Stats!$K:$K,
All_Stats!$D:$D,$B256,
All_Stats!$B:$B,"&gt;="&amp;EOMONTH($A256,-1)+1,
All_Stats!$B:$B,"&lt;"&amp;EOMONTH($A256,0)+1,
All_Stats!$P:$P,"&lt;&gt;Email Marketing"
)</f>
        <v>0</v>
      </c>
      <c r="I256" s="152">
        <f>IFERROR(__xludf.DUMMYFUNCTION("COUNTUNIQUEIFS(All_Stats!A:A,
All_Stats!$D:$D,$B256,
All_Stats!$B:$B,""&gt;=""&amp;EOMONTH($A256,-1)+1,
All_Stats!$B:$B,""&lt;""&amp;EOMONTH($A256,0)+1,
All_Stats!$P:$P,""&lt;&gt;Email Marketing""
)"),0.0)</f>
        <v>0</v>
      </c>
    </row>
    <row r="257" hidden="1">
      <c r="A257" s="128">
        <v>44531.0</v>
      </c>
      <c r="B257" s="131" t="s">
        <v>510</v>
      </c>
      <c r="C257" s="134" t="str">
        <f>if(ifna(VLOOKUP(B257,'Vendor Directory'!A:C,3,0),"NOT FOUND")="","NOT FOUND",VLOOKUP(B257,'Vendor Directory'!A:C,3,0))</f>
        <v>#N/A</v>
      </c>
      <c r="D257" s="114">
        <f>SUMIFS(All_Stats!$G:$G,
All_Stats!$D:$D,$B257,
All_Stats!$B:$B,"&gt;="&amp;EOMONTH($A257,-1)+1,
All_Stats!$B:$B,"&lt;"&amp;EOMONTH($A257,0)+1,
All_Stats!$P:$P,"&lt;&gt;Email Marketing"
)</f>
        <v>0</v>
      </c>
      <c r="E257" s="113">
        <f>SUMIFS(All_Stats!$I:$I,
All_Stats!$D:$D,$B257,
All_Stats!$B:$B,"&gt;="&amp;EOMONTH($A257,-1)+1,
All_Stats!$B:$B,"&lt;"&amp;EOMONTH($A257,0)+1,
All_Stats!$P:$P,"&lt;&gt;Email Marketing"
)</f>
        <v>0</v>
      </c>
      <c r="F257" s="132" t="str">
        <f t="shared" si="54"/>
        <v>N/A</v>
      </c>
      <c r="G257" s="131">
        <f>SUMIFS(All_Stats!$H:$H,
All_Stats!$D:$D,$B257,
All_Stats!$B:$B,"&gt;="&amp;EOMONTH($A257,-1)+1,
All_Stats!$B:$B,"&lt;"&amp;EOMONTH($A257,0)+1,
All_Stats!$P:$P,"&lt;&gt;Email Marketing"
)</f>
        <v>0</v>
      </c>
      <c r="H257" s="113">
        <f>SUMIFS(All_Stats!$K:$K,
All_Stats!$D:$D,$B257,
All_Stats!$B:$B,"&gt;="&amp;EOMONTH($A257,-1)+1,
All_Stats!$B:$B,"&lt;"&amp;EOMONTH($A257,0)+1,
All_Stats!$P:$P,"&lt;&gt;Email Marketing"
)</f>
        <v>0</v>
      </c>
      <c r="I257" s="152">
        <f>IFERROR(__xludf.DUMMYFUNCTION("COUNTUNIQUEIFS(All_Stats!A:A,
All_Stats!$D:$D,$B257,
All_Stats!$B:$B,""&gt;=""&amp;EOMONTH($A257,-1)+1,
All_Stats!$B:$B,""&lt;""&amp;EOMONTH($A257,0)+1,
All_Stats!$P:$P,""&lt;&gt;Email Marketing""
)"),0.0)</f>
        <v>0</v>
      </c>
    </row>
    <row r="258" hidden="1">
      <c r="A258" s="128">
        <v>44531.0</v>
      </c>
      <c r="B258" s="131" t="s">
        <v>417</v>
      </c>
      <c r="C258" s="134" t="str">
        <f>if(ifna(VLOOKUP(B258,'Vendor Directory'!A:C,3,0),"NOT FOUND")="","NOT FOUND",VLOOKUP(B258,'Vendor Directory'!A:C,3,0))</f>
        <v>#N/A</v>
      </c>
      <c r="D258" s="131">
        <f>SUMIFS(All_Stats!$G:$G,
All_Stats!$D:$D,$B258,
All_Stats!$B:$B,"&gt;="&amp;EOMONTH($A258,-1)+1,
All_Stats!$B:$B,"&lt;"&amp;EOMONTH($A258,0)+1,
All_Stats!$P:$P,"&lt;&gt;Email Marketing"
)</f>
        <v>0</v>
      </c>
      <c r="E258" s="113">
        <f>SUMIFS(All_Stats!$I:$I,
All_Stats!$D:$D,$B258,
All_Stats!$B:$B,"&gt;="&amp;EOMONTH($A258,-1)+1,
All_Stats!$B:$B,"&lt;"&amp;EOMONTH($A258,0)+1,
All_Stats!$P:$P,"&lt;&gt;Email Marketing"
)</f>
        <v>0</v>
      </c>
      <c r="F258" s="132" t="str">
        <f t="shared" si="54"/>
        <v>N/A</v>
      </c>
      <c r="G258" s="131">
        <f>SUMIFS(All_Stats!$H:$H,
All_Stats!$D:$D,$B258,
All_Stats!$B:$B,"&gt;="&amp;EOMONTH($A258,-1)+1,
All_Stats!$B:$B,"&lt;"&amp;EOMONTH($A258,0)+1,
All_Stats!$P:$P,"&lt;&gt;Email Marketing"
)</f>
        <v>0</v>
      </c>
      <c r="H258" s="113">
        <f>SUMIFS(All_Stats!$K:$K,
All_Stats!$D:$D,$B258,
All_Stats!$B:$B,"&gt;="&amp;EOMONTH($A258,-1)+1,
All_Stats!$B:$B,"&lt;"&amp;EOMONTH($A258,0)+1,
All_Stats!$P:$P,"&lt;&gt;Email Marketing"
)</f>
        <v>0</v>
      </c>
      <c r="I258" s="152">
        <f>IFERROR(__xludf.DUMMYFUNCTION("COUNTUNIQUEIFS(All_Stats!A:A,
All_Stats!$D:$D,$B258,
All_Stats!$B:$B,""&gt;=""&amp;EOMONTH($A258,-1)+1,
All_Stats!$B:$B,""&lt;""&amp;EOMONTH($A258,0)+1,
All_Stats!$P:$P,""&lt;&gt;Email Marketing""
)"),0.0)</f>
        <v>0</v>
      </c>
    </row>
    <row r="259" hidden="1">
      <c r="A259" s="135"/>
      <c r="B259" s="135"/>
      <c r="C259" s="136" t="s">
        <v>23</v>
      </c>
      <c r="D259" s="137">
        <f t="shared" ref="D259:E259" si="55">SUM(D241:D258)</f>
        <v>0</v>
      </c>
      <c r="E259" s="137">
        <f t="shared" si="55"/>
        <v>0</v>
      </c>
      <c r="F259" s="138" t="str">
        <f t="shared" si="54"/>
        <v>N/A</v>
      </c>
      <c r="G259" s="137">
        <f>SUM(G241:G258)</f>
        <v>0</v>
      </c>
      <c r="H259" s="137">
        <f>SUM(H241:H257)</f>
        <v>0</v>
      </c>
      <c r="I259" s="137"/>
    </row>
    <row r="260" hidden="1">
      <c r="A260" s="131"/>
      <c r="B260" s="131"/>
      <c r="C260" s="131"/>
      <c r="D260" s="140"/>
      <c r="F260" s="131"/>
      <c r="G260" s="131"/>
    </row>
    <row r="261" hidden="1">
      <c r="A261" s="131"/>
      <c r="B261" s="131"/>
      <c r="C261" s="131"/>
      <c r="D261" s="140">
        <f t="shared" ref="D261:E261" si="56">D259+D237</f>
        <v>0</v>
      </c>
      <c r="E261" s="140">
        <f t="shared" si="56"/>
        <v>0</v>
      </c>
      <c r="F261" s="131"/>
      <c r="G261" s="140">
        <f t="shared" ref="G261:H261" si="57">G259+G237</f>
        <v>0</v>
      </c>
      <c r="H261" s="140">
        <f t="shared" si="57"/>
        <v>0</v>
      </c>
      <c r="I261" s="169">
        <f>sum(E261+G261+H261)</f>
        <v>0</v>
      </c>
    </row>
    <row r="262" hidden="1">
      <c r="A262" s="131"/>
      <c r="B262" s="131"/>
      <c r="C262" s="131"/>
      <c r="D262" s="140"/>
      <c r="F262" s="131"/>
      <c r="G262" s="131"/>
    </row>
    <row r="263">
      <c r="A263" s="181">
        <v>2022.0</v>
      </c>
      <c r="B263" s="119"/>
      <c r="C263" s="119"/>
      <c r="D263" s="119"/>
      <c r="E263" s="119"/>
      <c r="F263" s="119"/>
      <c r="G263" s="119"/>
      <c r="H263" s="119"/>
      <c r="I263" s="119"/>
    </row>
    <row r="264" hidden="1">
      <c r="C264" s="118" t="s">
        <v>484</v>
      </c>
      <c r="D264" s="119"/>
      <c r="E264" s="119"/>
      <c r="F264" s="119"/>
      <c r="G264" s="119"/>
      <c r="H264" s="119"/>
      <c r="I264" s="159"/>
    </row>
    <row r="265" hidden="1">
      <c r="A265" s="121" t="s">
        <v>1</v>
      </c>
      <c r="B265" s="122" t="s">
        <v>485</v>
      </c>
      <c r="C265" s="123" t="s">
        <v>486</v>
      </c>
      <c r="D265" s="124" t="s">
        <v>6</v>
      </c>
      <c r="E265" s="125" t="s">
        <v>8</v>
      </c>
      <c r="F265" s="124" t="s">
        <v>479</v>
      </c>
      <c r="G265" s="126" t="s">
        <v>7</v>
      </c>
      <c r="H265" s="125" t="s">
        <v>10</v>
      </c>
      <c r="I265" s="160" t="s">
        <v>487</v>
      </c>
    </row>
    <row r="266" hidden="1">
      <c r="A266" s="128">
        <v>44562.0</v>
      </c>
      <c r="B266" s="131" t="s">
        <v>164</v>
      </c>
      <c r="C266" s="134" t="str">
        <f>if(ifna(VLOOKUP(B266,'Vendor Directory'!A:C,3,0),"NOT FOUND")="","NOT FOUND",VLOOKUP(B266,'Vendor Directory'!A:C,3,0))</f>
        <v>#N/A</v>
      </c>
      <c r="D266" s="131">
        <f>SUMIFS(All_Stats!$G:$G,
All_Stats!$D:$D,$B266,
All_Stats!$B:$B,"&gt;="&amp;EOMONTH($A266,-1)+1,
All_Stats!$B:$B,"&lt;"&amp;EOMONTH($A266,0)+1,
All_Stats!$P:$P,"Email Marketing"
)</f>
        <v>0</v>
      </c>
      <c r="E266" s="113">
        <f>SUMIFS(All_Stats!$I:$I,
All_Stats!$D:$D,$B266,
All_Stats!$B:$B,"&gt;="&amp;EOMONTH($A266,-1)+1,
All_Stats!$B:$B,"&lt;"&amp;EOMONTH($A266,0)+1,
All_Stats!$P:$P,"Email Marketing"
)</f>
        <v>0</v>
      </c>
      <c r="F266" s="132" t="str">
        <f t="shared" ref="F266:F267" si="59">iferror(E266/D266,"N/A")</f>
        <v>N/A</v>
      </c>
      <c r="G266" s="131">
        <f>SUMIFS(All_Stats!$H:$H,
All_Stats!$D:$D,$B266,
All_Stats!$B:$B,"&gt;="&amp;EOMONTH($A266,-1)+1,
All_Stats!$B:$B,"&lt;"&amp;EOMONTH($A266,0)+1,
All_Stats!$P:$P,"Email Marketing"
)</f>
        <v>0</v>
      </c>
      <c r="H266" s="113">
        <f>SUMIFS(All_Stats!$K:$K,
All_Stats!$D:$D,$B266,
All_Stats!$B:$B,"&gt;="&amp;EOMONTH($A266,-1)+1,
All_Stats!$B:$B,"&lt;"&amp;EOMONTH($A266,0)+1,
All_Stats!$P:$P,"Email Marketing"
)</f>
        <v>0</v>
      </c>
      <c r="I266" s="152">
        <f>IFERROR(__xludf.DUMMYFUNCTION("COUNTUNIQUEIFS(All_Stats!A:A,
All_Stats!$D:$D,$B266,
All_Stats!$B:$B,""&gt;=""&amp;EOMONTH($A266,-1)+1,
All_Stats!$B:$B,""&lt;""&amp;EOMONTH($A266,0)+1,
All_Stats!$P:$P,""Email Marketing""
)"),0.0)</f>
        <v>0</v>
      </c>
    </row>
    <row r="267" hidden="1">
      <c r="A267" s="135"/>
      <c r="B267" s="135"/>
      <c r="C267" s="136" t="s">
        <v>23</v>
      </c>
      <c r="D267" s="137">
        <f t="shared" ref="D267:E267" si="58">SUM(D266)</f>
        <v>0</v>
      </c>
      <c r="E267" s="137">
        <f t="shared" si="58"/>
        <v>0</v>
      </c>
      <c r="F267" s="138" t="str">
        <f t="shared" si="59"/>
        <v>N/A</v>
      </c>
      <c r="G267" s="137">
        <f t="shared" ref="G267:H267" si="60">SUM(G266)</f>
        <v>0</v>
      </c>
      <c r="H267" s="137">
        <f t="shared" si="60"/>
        <v>0</v>
      </c>
      <c r="I267" s="180"/>
    </row>
    <row r="268" hidden="1">
      <c r="A268" s="131"/>
      <c r="B268" s="131"/>
      <c r="C268" s="131"/>
      <c r="D268" s="140"/>
      <c r="F268" s="131"/>
      <c r="G268" s="131"/>
    </row>
    <row r="269" hidden="1">
      <c r="A269" s="131"/>
      <c r="B269" s="131"/>
      <c r="C269" s="131"/>
      <c r="D269" s="140"/>
      <c r="F269" s="131"/>
      <c r="G269" s="131"/>
    </row>
    <row r="270" hidden="1">
      <c r="C270" s="118" t="s">
        <v>504</v>
      </c>
      <c r="D270" s="119"/>
      <c r="E270" s="119"/>
      <c r="F270" s="119"/>
      <c r="G270" s="119"/>
      <c r="H270" s="119"/>
      <c r="I270" s="159"/>
    </row>
    <row r="271" hidden="1">
      <c r="A271" s="121" t="s">
        <v>1</v>
      </c>
      <c r="B271" s="122" t="s">
        <v>485</v>
      </c>
      <c r="C271" s="123" t="s">
        <v>486</v>
      </c>
      <c r="D271" s="124" t="s">
        <v>6</v>
      </c>
      <c r="E271" s="125" t="s">
        <v>8</v>
      </c>
      <c r="F271" s="124" t="s">
        <v>479</v>
      </c>
      <c r="G271" s="126" t="s">
        <v>7</v>
      </c>
      <c r="H271" s="125" t="s">
        <v>10</v>
      </c>
      <c r="I271" s="160" t="s">
        <v>487</v>
      </c>
    </row>
    <row r="272" hidden="1">
      <c r="A272" s="128">
        <v>44562.0</v>
      </c>
      <c r="B272" s="131" t="s">
        <v>30</v>
      </c>
      <c r="C272" s="163" t="str">
        <f>if(ifna(VLOOKUP(B272,'Vendor Directory'!A:C,3,0),"NOT FOUND")="","NOT FOUND",VLOOKUP(B272,'Vendor Directory'!A:C,3,0))</f>
        <v>Vendor 2 Name</v>
      </c>
      <c r="D272" s="114">
        <f>SUMIFS(All_Stats!$G:$G,
All_Stats!$D:$D,$B272,
All_Stats!$B:$B,"&gt;="&amp;EOMONTH($A272,-1)+1,
All_Stats!$B:$B,"&lt;"&amp;EOMONTH($A272,0)+1,
All_Stats!$P:$P,"&lt;&gt;Email Marketing"
)</f>
        <v>0</v>
      </c>
      <c r="E272" s="113">
        <f>SUMIFS(All_Stats!$I:$I,
All_Stats!$D:$D,$B272,
All_Stats!$B:$B,"&gt;="&amp;EOMONTH($A272,-1)+1,
All_Stats!$B:$B,"&lt;"&amp;EOMONTH($A272,0)+1,
All_Stats!$P:$P,"&lt;&gt;Email Marketing"
)</f>
        <v>0</v>
      </c>
      <c r="F272" s="132" t="str">
        <f t="shared" ref="F272:F286" si="61">iferror(E272/D272,"N/A")</f>
        <v>N/A</v>
      </c>
      <c r="G272" s="131">
        <f>SUMIFS(All_Stats!$H:$H,
All_Stats!$D:$D,$B272,
All_Stats!$B:$B,"&gt;="&amp;EOMONTH($A272,-1)+1,
All_Stats!$B:$B,"&lt;"&amp;EOMONTH($A272,0)+1,
All_Stats!$P:$P,"&lt;&gt;Email Marketing"
)</f>
        <v>0</v>
      </c>
      <c r="H272" s="113">
        <f>SUMIFS(All_Stats!$K:$K,
All_Stats!$D:$D,$B272,
All_Stats!$B:$B,"&gt;="&amp;EOMONTH($A272,-1)+1,
All_Stats!$B:$B,"&lt;"&amp;EOMONTH($A272,0)+1,
All_Stats!$P:$P,"&lt;&gt;Email Marketing"
)</f>
        <v>0</v>
      </c>
      <c r="I272" s="152">
        <f>IFERROR(__xludf.DUMMYFUNCTION("COUNTUNIQUEIFS(All_Stats!A:A,
All_Stats!$D:$D,$B272,
All_Stats!$B:$B,""&gt;=""&amp;EOMONTH($A272,-1)+1,
All_Stats!$B:$B,""&lt;""&amp;EOMONTH($A272,0)+1,
All_Stats!$P:$P,""&lt;&gt;Email Marketing""
)"),0.0)</f>
        <v>0</v>
      </c>
    </row>
    <row r="273" hidden="1">
      <c r="A273" s="128">
        <v>44562.0</v>
      </c>
      <c r="B273" s="131" t="s">
        <v>501</v>
      </c>
      <c r="C273" s="163" t="str">
        <f>if(ifna(VLOOKUP(B273,'Vendor Directory'!A:C,3,0),"NOT FOUND")="","NOT FOUND",VLOOKUP(B273,'Vendor Directory'!A:C,3,0))</f>
        <v>#N/A</v>
      </c>
      <c r="D273" s="114">
        <f>SUMIFS(All_Stats!$G:$G,
All_Stats!$D:$D,$B273,
All_Stats!$B:$B,"&gt;="&amp;EOMONTH($A273,-1)+1,
All_Stats!$B:$B,"&lt;"&amp;EOMONTH($A273,0)+1,
All_Stats!$P:$P,"&lt;&gt;Email Marketing"
)</f>
        <v>0</v>
      </c>
      <c r="E273" s="113">
        <f>SUMIFS(All_Stats!$I:$I,
All_Stats!$D:$D,$B273,
All_Stats!$B:$B,"&gt;="&amp;EOMONTH($A273,-1)+1,
All_Stats!$B:$B,"&lt;"&amp;EOMONTH($A273,0)+1,
All_Stats!$P:$P,"&lt;&gt;Email Marketing"
)</f>
        <v>0</v>
      </c>
      <c r="F273" s="132" t="str">
        <f t="shared" si="61"/>
        <v>N/A</v>
      </c>
      <c r="G273" s="131">
        <f>SUMIFS(All_Stats!$H:$H,
All_Stats!$D:$D,$B273,
All_Stats!$B:$B,"&gt;="&amp;EOMONTH($A273,-1)+1,
All_Stats!$B:$B,"&lt;"&amp;EOMONTH($A273,0)+1,
All_Stats!$P:$P,"&lt;&gt;Email Marketing"
)</f>
        <v>0</v>
      </c>
      <c r="H273" s="113">
        <f>SUMIFS(All_Stats!$K:$K,
All_Stats!$D:$D,$B273,
All_Stats!$B:$B,"&gt;="&amp;EOMONTH($A273,-1)+1,
All_Stats!$B:$B,"&lt;"&amp;EOMONTH($A273,0)+1,
All_Stats!$P:$P,"&lt;&gt;Email Marketing"
)</f>
        <v>0</v>
      </c>
      <c r="I273" s="152">
        <f>IFERROR(__xludf.DUMMYFUNCTION("COUNTUNIQUEIFS(All_Stats!A:A,
All_Stats!$D:$D,$B273,
All_Stats!$B:$B,""&gt;=""&amp;EOMONTH($A273,-1)+1,
All_Stats!$B:$B,""&lt;""&amp;EOMONTH($A273,0)+1,
All_Stats!$P:$P,""&lt;&gt;Email Marketing""
)"),0.0)</f>
        <v>0</v>
      </c>
    </row>
    <row r="274" hidden="1">
      <c r="A274" s="128">
        <v>44562.0</v>
      </c>
      <c r="B274" s="131" t="s">
        <v>127</v>
      </c>
      <c r="C274" s="163" t="str">
        <f>if(ifna(VLOOKUP(B274,'Vendor Directory'!A:C,3,0),"NOT FOUND")="","NOT FOUND",VLOOKUP(B274,'Vendor Directory'!A:C,3,0))</f>
        <v>#N/A</v>
      </c>
      <c r="D274" s="114">
        <f>SUMIFS(All_Stats!$G:$G,
All_Stats!$D:$D,$B274,
All_Stats!$B:$B,"&gt;="&amp;EOMONTH($A274,-1)+1,
All_Stats!$B:$B,"&lt;"&amp;EOMONTH($A274,0)+1,
All_Stats!$P:$P,"&lt;&gt;Email Marketing"
)</f>
        <v>0</v>
      </c>
      <c r="E274" s="113">
        <f>SUMIFS(All_Stats!$I:$I,
All_Stats!$D:$D,$B274,
All_Stats!$B:$B,"&gt;="&amp;EOMONTH($A274,-1)+1,
All_Stats!$B:$B,"&lt;"&amp;EOMONTH($A274,0)+1,
All_Stats!$P:$P,"&lt;&gt;Email Marketing"
)</f>
        <v>0</v>
      </c>
      <c r="F274" s="132" t="str">
        <f t="shared" si="61"/>
        <v>N/A</v>
      </c>
      <c r="G274" s="131">
        <f>SUMIFS(All_Stats!$H:$H,
All_Stats!$D:$D,$B274,
All_Stats!$B:$B,"&gt;="&amp;EOMONTH($A274,-1)+1,
All_Stats!$B:$B,"&lt;"&amp;EOMONTH($A274,0)+1,
All_Stats!$P:$P,"&lt;&gt;Email Marketing"
)</f>
        <v>0</v>
      </c>
      <c r="H274" s="113">
        <f>SUMIFS(All_Stats!$K:$K,
All_Stats!$D:$D,$B274,
All_Stats!$B:$B,"&gt;="&amp;EOMONTH($A274,-1)+1,
All_Stats!$B:$B,"&lt;"&amp;EOMONTH($A274,0)+1,
All_Stats!$P:$P,"&lt;&gt;Email Marketing"
)</f>
        <v>0</v>
      </c>
      <c r="I274" s="152">
        <f>IFERROR(__xludf.DUMMYFUNCTION("COUNTUNIQUEIFS(All_Stats!A:A,
All_Stats!$D:$D,$B274,
All_Stats!$B:$B,""&gt;=""&amp;EOMONTH($A274,-1)+1,
All_Stats!$B:$B,""&lt;""&amp;EOMONTH($A274,0)+1,
All_Stats!$P:$P,""&lt;&gt;Email Marketing""
)"),0.0)</f>
        <v>0</v>
      </c>
    </row>
    <row r="275" hidden="1">
      <c r="A275" s="128">
        <v>44562.0</v>
      </c>
      <c r="B275" s="131" t="s">
        <v>172</v>
      </c>
      <c r="C275" s="163" t="str">
        <f>if(ifna(VLOOKUP(B275,'Vendor Directory'!A:C,3,0),"NOT FOUND")="","NOT FOUND",VLOOKUP(B275,'Vendor Directory'!A:C,3,0))</f>
        <v>#N/A</v>
      </c>
      <c r="D275" s="114">
        <f>SUMIFS(All_Stats!$G:$G,
All_Stats!$D:$D,$B275,
All_Stats!$B:$B,"&gt;="&amp;EOMONTH($A275,-1)+1,
All_Stats!$B:$B,"&lt;"&amp;EOMONTH($A275,0)+1,
All_Stats!$P:$P,"&lt;&gt;Email Marketing"
)</f>
        <v>0</v>
      </c>
      <c r="E275" s="113">
        <f>SUMIFS(All_Stats!$I:$I,
All_Stats!$D:$D,$B275,
All_Stats!$B:$B,"&gt;="&amp;EOMONTH($A275,-1)+1,
All_Stats!$B:$B,"&lt;"&amp;EOMONTH($A275,0)+1,
All_Stats!$P:$P,"&lt;&gt;Email Marketing"
)</f>
        <v>0</v>
      </c>
      <c r="F275" s="132" t="str">
        <f t="shared" si="61"/>
        <v>N/A</v>
      </c>
      <c r="G275" s="131">
        <f>SUMIFS(All_Stats!$H:$H,
All_Stats!$D:$D,$B275,
All_Stats!$B:$B,"&gt;="&amp;EOMONTH($A275,-1)+1,
All_Stats!$B:$B,"&lt;"&amp;EOMONTH($A275,0)+1,
All_Stats!$P:$P,"&lt;&gt;Email Marketing"
)</f>
        <v>0</v>
      </c>
      <c r="H275" s="113">
        <f>SUMIFS(All_Stats!$K:$K,
All_Stats!$D:$D,$B275,
All_Stats!$B:$B,"&gt;="&amp;EOMONTH($A275,-1)+1,
All_Stats!$B:$B,"&lt;"&amp;EOMONTH($A275,0)+1,
All_Stats!$P:$P,"&lt;&gt;Email Marketing"
)</f>
        <v>0</v>
      </c>
      <c r="I275" s="152">
        <f>IFERROR(__xludf.DUMMYFUNCTION("COUNTUNIQUEIFS(All_Stats!A:A,
All_Stats!$D:$D,$B275,
All_Stats!$B:$B,""&gt;=""&amp;EOMONTH($A275,-1)+1,
All_Stats!$B:$B,""&lt;""&amp;EOMONTH($A275,0)+1,
All_Stats!$P:$P,""&lt;&gt;Email Marketing""
)"),0.0)</f>
        <v>0</v>
      </c>
    </row>
    <row r="276" hidden="1">
      <c r="A276" s="128">
        <v>44562.0</v>
      </c>
      <c r="B276" s="131" t="s">
        <v>164</v>
      </c>
      <c r="C276" s="163" t="str">
        <f>if(ifna(VLOOKUP(B276,'Vendor Directory'!A:C,3,0),"NOT FOUND")="","NOT FOUND",VLOOKUP(B276,'Vendor Directory'!A:C,3,0))</f>
        <v>#N/A</v>
      </c>
      <c r="D276" s="114">
        <f>SUMIFS(All_Stats!$G:$G,
All_Stats!$D:$D,$B276,
All_Stats!$B:$B,"&gt;="&amp;EOMONTH($A276,-1)+1,
All_Stats!$B:$B,"&lt;"&amp;EOMONTH($A276,0)+1,
All_Stats!$P:$P,"&lt;&gt;Email Marketing"
)</f>
        <v>0</v>
      </c>
      <c r="E276" s="113">
        <f>SUMIFS(All_Stats!$I:$I,
All_Stats!$D:$D,$B276,
All_Stats!$B:$B,"&gt;="&amp;EOMONTH($A276,-1)+1,
All_Stats!$B:$B,"&lt;"&amp;EOMONTH($A276,0)+1,
All_Stats!$P:$P,"&lt;&gt;Email Marketing"
)</f>
        <v>0</v>
      </c>
      <c r="F276" s="132" t="str">
        <f t="shared" si="61"/>
        <v>N/A</v>
      </c>
      <c r="G276" s="131">
        <f>SUMIFS(All_Stats!$H:$H,
All_Stats!$D:$D,$B276,
All_Stats!$B:$B,"&gt;="&amp;EOMONTH($A276,-1)+1,
All_Stats!$B:$B,"&lt;"&amp;EOMONTH($A276,0)+1,
All_Stats!$P:$P,"&lt;&gt;Email Marketing"
)</f>
        <v>0</v>
      </c>
      <c r="H276" s="113">
        <f>SUMIFS(All_Stats!$K:$K,
All_Stats!$D:$D,$B276,
All_Stats!$B:$B,"&gt;="&amp;EOMONTH($A276,-1)+1,
All_Stats!$B:$B,"&lt;"&amp;EOMONTH($A276,0)+1,
All_Stats!$P:$P,"&lt;&gt;Email Marketing"
)</f>
        <v>0</v>
      </c>
      <c r="I276" s="152">
        <f>IFERROR(__xludf.DUMMYFUNCTION("COUNTUNIQUEIFS(All_Stats!A:A,
All_Stats!$D:$D,$B276,
All_Stats!$B:$B,""&gt;=""&amp;EOMONTH($A276,-1)+1,
All_Stats!$B:$B,""&lt;""&amp;EOMONTH($A276,0)+1,
All_Stats!$P:$P,""&lt;&gt;Email Marketing""
)"),0.0)</f>
        <v>0</v>
      </c>
    </row>
    <row r="277" hidden="1">
      <c r="A277" s="128">
        <v>44562.0</v>
      </c>
      <c r="B277" s="131" t="s">
        <v>500</v>
      </c>
      <c r="C277" s="163" t="str">
        <f>if(ifna(VLOOKUP(B277,'Vendor Directory'!A:C,3,0),"NOT FOUND")="","NOT FOUND",VLOOKUP(B277,'Vendor Directory'!A:C,3,0))</f>
        <v>#N/A</v>
      </c>
      <c r="D277" s="114">
        <f>SUMIFS(All_Stats!$G:$G,
All_Stats!$D:$D,$B277,
All_Stats!$B:$B,"&gt;="&amp;EOMONTH($A277,-1)+1,
All_Stats!$B:$B,"&lt;"&amp;EOMONTH($A277,0)+1,
All_Stats!$P:$P,"&lt;&gt;Email Marketing"
)</f>
        <v>0</v>
      </c>
      <c r="E277" s="113">
        <f>SUMIFS(All_Stats!$I:$I,
All_Stats!$D:$D,$B277,
All_Stats!$B:$B,"&gt;="&amp;EOMONTH($A277,-1)+1,
All_Stats!$B:$B,"&lt;"&amp;EOMONTH($A277,0)+1,
All_Stats!$P:$P,"&lt;&gt;Email Marketing"
)</f>
        <v>0</v>
      </c>
      <c r="F277" s="132" t="str">
        <f t="shared" si="61"/>
        <v>N/A</v>
      </c>
      <c r="G277" s="131">
        <f>SUMIFS(All_Stats!$H:$H,
All_Stats!$D:$D,$B277,
All_Stats!$B:$B,"&gt;="&amp;EOMONTH($A277,-1)+1,
All_Stats!$B:$B,"&lt;"&amp;EOMONTH($A277,0)+1,
All_Stats!$P:$P,"&lt;&gt;Email Marketing"
)</f>
        <v>0</v>
      </c>
      <c r="H277" s="113">
        <f>SUMIFS(All_Stats!$K:$K,
All_Stats!$D:$D,$B277,
All_Stats!$B:$B,"&gt;="&amp;EOMONTH($A277,-1)+1,
All_Stats!$B:$B,"&lt;"&amp;EOMONTH($A277,0)+1,
All_Stats!$P:$P,"&lt;&gt;Email Marketing"
)</f>
        <v>0</v>
      </c>
      <c r="I277" s="152">
        <f>IFERROR(__xludf.DUMMYFUNCTION("COUNTUNIQUEIFS(All_Stats!A:A,
All_Stats!$D:$D,$B277,
All_Stats!$B:$B,""&gt;=""&amp;EOMONTH($A277,-1)+1,
All_Stats!$B:$B,""&lt;""&amp;EOMONTH($A277,0)+1,
All_Stats!$P:$P,""&lt;&gt;Email Marketing""
)"),0.0)</f>
        <v>0</v>
      </c>
    </row>
    <row r="278" hidden="1">
      <c r="A278" s="128">
        <v>44562.0</v>
      </c>
      <c r="B278" s="131" t="s">
        <v>157</v>
      </c>
      <c r="C278" s="163" t="str">
        <f>if(ifna(VLOOKUP(B278,'Vendor Directory'!A:C,3,0),"NOT FOUND")="","NOT FOUND",VLOOKUP(B278,'Vendor Directory'!A:C,3,0))</f>
        <v>#N/A</v>
      </c>
      <c r="D278" s="114">
        <f>SUMIFS(All_Stats!$G:$G,
All_Stats!$D:$D,$B278,
All_Stats!$B:$B,"&gt;="&amp;EOMONTH($A278,-1)+1,
All_Stats!$B:$B,"&lt;"&amp;EOMONTH($A278,0)+1,
All_Stats!$P:$P,"&lt;&gt;Email Marketing"
)</f>
        <v>0</v>
      </c>
      <c r="E278" s="113">
        <f>SUMIFS(All_Stats!$I:$I,
All_Stats!$D:$D,$B278,
All_Stats!$B:$B,"&gt;="&amp;EOMONTH($A278,-1)+1,
All_Stats!$B:$B,"&lt;"&amp;EOMONTH($A278,0)+1,
All_Stats!$P:$P,"&lt;&gt;Email Marketing"
)</f>
        <v>0</v>
      </c>
      <c r="F278" s="132" t="str">
        <f t="shared" si="61"/>
        <v>N/A</v>
      </c>
      <c r="G278" s="131">
        <f>SUMIFS(All_Stats!$H:$H,
All_Stats!$D:$D,$B278,
All_Stats!$B:$B,"&gt;="&amp;EOMONTH($A278,-1)+1,
All_Stats!$B:$B,"&lt;"&amp;EOMONTH($A278,0)+1,
All_Stats!$P:$P,"&lt;&gt;Email Marketing"
)</f>
        <v>0</v>
      </c>
      <c r="H278" s="113">
        <f>SUMIFS(All_Stats!$K:$K,
All_Stats!$D:$D,$B278,
All_Stats!$B:$B,"&gt;="&amp;EOMONTH($A278,-1)+1,
All_Stats!$B:$B,"&lt;"&amp;EOMONTH($A278,0)+1,
All_Stats!$P:$P,"&lt;&gt;Email Marketing"
)</f>
        <v>0</v>
      </c>
      <c r="I278" s="152">
        <f>IFERROR(__xludf.DUMMYFUNCTION("COUNTUNIQUEIFS(All_Stats!A:A,
All_Stats!$D:$D,$B278,
All_Stats!$B:$B,""&gt;=""&amp;EOMONTH($A278,-1)+1,
All_Stats!$B:$B,""&lt;""&amp;EOMONTH($A278,0)+1,
All_Stats!$P:$P,""&lt;&gt;Email Marketing""
)"),0.0)</f>
        <v>0</v>
      </c>
    </row>
    <row r="279" hidden="1">
      <c r="A279" s="128">
        <v>44562.0</v>
      </c>
      <c r="B279" s="131" t="s">
        <v>497</v>
      </c>
      <c r="C279" s="134" t="str">
        <f>if(ifna(VLOOKUP(B279,'Vendor Directory'!A:C,3,0),"NOT FOUND")="","NOT FOUND",VLOOKUP(B279,'Vendor Directory'!A:C,3,0))</f>
        <v>#N/A</v>
      </c>
      <c r="D279" s="131">
        <f>SUMIFS(All_Stats!$G:$G,
All_Stats!$D:$D,$B279,
All_Stats!$B:$B,"&gt;="&amp;EOMONTH($A279,-1)+1,
All_Stats!$B:$B,"&lt;"&amp;EOMONTH($A279,0)+1,
All_Stats!$P:$P,"&lt;&gt;Email Marketing"
)</f>
        <v>0</v>
      </c>
      <c r="E279" s="113">
        <f>SUMIFS(All_Stats!$I:$I,
All_Stats!$D:$D,$B279,
All_Stats!$B:$B,"&gt;="&amp;EOMONTH($A279,-1)+1,
All_Stats!$B:$B,"&lt;"&amp;EOMONTH($A279,0)+1,
All_Stats!$P:$P,"&lt;&gt;Email Marketing"
)</f>
        <v>0</v>
      </c>
      <c r="F279" s="132" t="str">
        <f t="shared" si="61"/>
        <v>N/A</v>
      </c>
      <c r="G279" s="131">
        <f>SUMIFS(All_Stats!$H:$H,
All_Stats!$D:$D,$B279,
All_Stats!$B:$B,"&gt;="&amp;EOMONTH($A279,-1)+1,
All_Stats!$B:$B,"&lt;"&amp;EOMONTH($A279,0)+1,
All_Stats!$P:$P,"&lt;&gt;Email Marketing"
)</f>
        <v>0</v>
      </c>
      <c r="H279" s="113">
        <f>SUMIFS(All_Stats!$K:$K,
All_Stats!$D:$D,$B279,
All_Stats!$B:$B,"&gt;="&amp;EOMONTH($A279,-1)+1,
All_Stats!$B:$B,"&lt;"&amp;EOMONTH($A279,0)+1,
All_Stats!$P:$P,"&lt;&gt;Email Marketing"
)</f>
        <v>0</v>
      </c>
      <c r="I279" s="152">
        <f>IFERROR(__xludf.DUMMYFUNCTION("COUNTUNIQUEIFS(All_Stats!A:A,
All_Stats!$D:$D,$B279,
All_Stats!$B:$B,""&gt;=""&amp;EOMONTH($A279,-1)+1,
All_Stats!$B:$B,""&lt;""&amp;EOMONTH($A279,0)+1,
All_Stats!$P:$P,""&lt;&gt;Email Marketing""
)"),0.0)</f>
        <v>0</v>
      </c>
    </row>
    <row r="280" hidden="1">
      <c r="A280" s="128">
        <v>44562.0</v>
      </c>
      <c r="B280" s="129" t="s">
        <v>495</v>
      </c>
      <c r="C280" s="142" t="s">
        <v>513</v>
      </c>
      <c r="D280" s="131">
        <f>SUMIFS(All_Stats!$G:$G,
All_Stats!$D:$D,$B280,
All_Stats!$B:$B,"&gt;="&amp;EOMONTH($A280,-1)+1,
All_Stats!$B:$B,"&lt;"&amp;EOMONTH($A280,0)+1,
All_Stats!$P:$P,"&lt;&gt;Email Marketing"
)</f>
        <v>0</v>
      </c>
      <c r="E280" s="113">
        <f>SUMIFS(All_Stats!$I:$I,
All_Stats!$D:$D,$B280,
All_Stats!$B:$B,"&gt;="&amp;EOMONTH($A280,-1)+1,
All_Stats!$B:$B,"&lt;"&amp;EOMONTH($A280,0)+1,
All_Stats!$P:$P,"&lt;&gt;Email Marketing"
)</f>
        <v>0</v>
      </c>
      <c r="F280" s="132" t="str">
        <f t="shared" si="61"/>
        <v>N/A</v>
      </c>
      <c r="G280" s="131">
        <f>SUMIFS(All_Stats!$H:$H,
All_Stats!$D:$D,$B280,
All_Stats!$B:$B,"&gt;="&amp;EOMONTH($A280,-1)+1,
All_Stats!$B:$B,"&lt;"&amp;EOMONTH($A280,0)+1,
All_Stats!$P:$P,"&lt;&gt;Email Marketing"
)</f>
        <v>0</v>
      </c>
      <c r="H280" s="113">
        <f>SUMIFS(All_Stats!$K:$K,
All_Stats!$D:$D,$B280,
All_Stats!$B:$B,"&gt;="&amp;EOMONTH($A280,-1)+1,
All_Stats!$B:$B,"&lt;"&amp;EOMONTH($A280,0)+1,
All_Stats!$P:$P,"&lt;&gt;Email Marketing"
)</f>
        <v>0</v>
      </c>
      <c r="I280" s="152">
        <f>IFERROR(__xludf.DUMMYFUNCTION("COUNTUNIQUEIFS(All_Stats!A:A,
All_Stats!$D:$D,$B280,
All_Stats!$B:$B,""&gt;=""&amp;EOMONTH($A280,-1)+1,
All_Stats!$B:$B,""&lt;""&amp;EOMONTH($A280,0)+1,
All_Stats!$P:$P,""&lt;&gt;Email Marketing""
)"),0.0)</f>
        <v>0</v>
      </c>
    </row>
    <row r="281" hidden="1">
      <c r="A281" s="128">
        <v>44562.0</v>
      </c>
      <c r="B281" s="131" t="s">
        <v>91</v>
      </c>
      <c r="C281" s="163" t="str">
        <f>if(ifna(VLOOKUP(B281,'Vendor Directory'!A:C,3,0),"NOT FOUND")="","NOT FOUND",VLOOKUP(B281,'Vendor Directory'!A:C,3,0))</f>
        <v>#N/A</v>
      </c>
      <c r="D281" s="114">
        <f>SUMIFS(All_Stats!$G:$G,
All_Stats!$D:$D,$B281,
All_Stats!$B:$B,"&gt;="&amp;EOMONTH($A281,-1)+1,
All_Stats!$B:$B,"&lt;"&amp;EOMONTH($A281,0)+1,
All_Stats!$P:$P,"&lt;&gt;Email Marketing"
)</f>
        <v>0</v>
      </c>
      <c r="E281" s="113">
        <f>SUMIFS(All_Stats!$I:$I,
All_Stats!$D:$D,$B281,
All_Stats!$B:$B,"&gt;="&amp;EOMONTH($A281,-1)+1,
All_Stats!$B:$B,"&lt;"&amp;EOMONTH($A281,0)+1,
All_Stats!$P:$P,"&lt;&gt;Email Marketing"
)</f>
        <v>0</v>
      </c>
      <c r="F281" s="132" t="str">
        <f t="shared" si="61"/>
        <v>N/A</v>
      </c>
      <c r="G281" s="131">
        <f>SUMIFS(All_Stats!$H:$H,
All_Stats!$D:$D,$B281,
All_Stats!$B:$B,"&gt;="&amp;EOMONTH($A281,-1)+1,
All_Stats!$B:$B,"&lt;"&amp;EOMONTH($A281,0)+1,
All_Stats!$P:$P,"&lt;&gt;Email Marketing"
)</f>
        <v>0</v>
      </c>
      <c r="H281" s="113">
        <f>SUMIFS(All_Stats!$K:$K,
All_Stats!$D:$D,$B281,
All_Stats!$B:$B,"&gt;="&amp;EOMONTH($A281,-1)+1,
All_Stats!$B:$B,"&lt;"&amp;EOMONTH($A281,0)+1,
All_Stats!$P:$P,"&lt;&gt;Email Marketing"
)</f>
        <v>0</v>
      </c>
      <c r="I281" s="152">
        <f>IFERROR(__xludf.DUMMYFUNCTION("COUNTUNIQUEIFS(All_Stats!A:A,
All_Stats!$D:$D,$B281,
All_Stats!$B:$B,""&gt;=""&amp;EOMONTH($A281,-1)+1,
All_Stats!$B:$B,""&lt;""&amp;EOMONTH($A281,0)+1,
All_Stats!$P:$P,""&lt;&gt;Email Marketing""
)"),0.0)</f>
        <v>0</v>
      </c>
    </row>
    <row r="282" hidden="1">
      <c r="A282" s="128">
        <v>44562.0</v>
      </c>
      <c r="B282" s="131" t="s">
        <v>505</v>
      </c>
      <c r="C282" s="163" t="str">
        <f>if(ifna(VLOOKUP(B282,'Vendor Directory'!A:C,3,0),"NOT FOUND")="","NOT FOUND",VLOOKUP(B282,'Vendor Directory'!A:C,3,0))</f>
        <v>#N/A</v>
      </c>
      <c r="D282" s="114">
        <f>SUMIFS(All_Stats!$G:$G,
All_Stats!$D:$D,$B282,
All_Stats!$B:$B,"&gt;="&amp;EOMONTH($A282,-1)+1,
All_Stats!$B:$B,"&lt;"&amp;EOMONTH($A282,0)+1,
All_Stats!$P:$P,"&lt;&gt;Email Marketing"
)</f>
        <v>0</v>
      </c>
      <c r="E282" s="113">
        <f>SUMIFS(All_Stats!$I:$I,
All_Stats!$D:$D,$B282,
All_Stats!$B:$B,"&gt;="&amp;EOMONTH($A282,-1)+1,
All_Stats!$B:$B,"&lt;"&amp;EOMONTH($A282,0)+1,
All_Stats!$P:$P,"&lt;&gt;Email Marketing"
)</f>
        <v>0</v>
      </c>
      <c r="F282" s="132" t="str">
        <f t="shared" si="61"/>
        <v>N/A</v>
      </c>
      <c r="G282" s="131">
        <f>SUMIFS(All_Stats!$H:$H,
All_Stats!$D:$D,$B282,
All_Stats!$B:$B,"&gt;="&amp;EOMONTH($A282,-1)+1,
All_Stats!$B:$B,"&lt;"&amp;EOMONTH($A282,0)+1,
All_Stats!$P:$P,"&lt;&gt;Email Marketing"
)</f>
        <v>0</v>
      </c>
      <c r="H282" s="113">
        <f>SUMIFS(All_Stats!$K:$K,
All_Stats!$D:$D,$B282,
All_Stats!$B:$B,"&gt;="&amp;EOMONTH($A282,-1)+1,
All_Stats!$B:$B,"&lt;"&amp;EOMONTH($A282,0)+1,
All_Stats!$P:$P,"&lt;&gt;Email Marketing"
)</f>
        <v>0</v>
      </c>
      <c r="I282" s="152">
        <f>IFERROR(__xludf.DUMMYFUNCTION("COUNTUNIQUEIFS(All_Stats!A:A,
All_Stats!$D:$D,$B282,
All_Stats!$B:$B,""&gt;=""&amp;EOMONTH($A282,-1)+1,
All_Stats!$B:$B,""&lt;""&amp;EOMONTH($A282,0)+1,
All_Stats!$P:$P,""&lt;&gt;Email Marketing""
)"),0.0)</f>
        <v>0</v>
      </c>
    </row>
    <row r="283" hidden="1">
      <c r="A283" s="128">
        <v>44562.0</v>
      </c>
      <c r="B283" s="131" t="s">
        <v>498</v>
      </c>
      <c r="C283" s="134" t="str">
        <f>if(ifna(VLOOKUP(B283,'Vendor Directory'!A:C,3,0),"NOT FOUND")="","NOT FOUND",VLOOKUP(B283,'Vendor Directory'!A:C,3,0))</f>
        <v>#N/A</v>
      </c>
      <c r="D283" s="131">
        <f>SUMIFS(All_Stats!$G:$G,
All_Stats!$D:$D,$B283,
All_Stats!$B:$B,"&gt;="&amp;EOMONTH($A283,-1)+1,
All_Stats!$B:$B,"&lt;"&amp;EOMONTH($A283,0)+1,
All_Stats!$P:$P,"&lt;&gt;Email Marketing"
)</f>
        <v>0</v>
      </c>
      <c r="E283" s="113">
        <f>SUMIFS(All_Stats!$I:$I,
All_Stats!$D:$D,$B283,
All_Stats!$B:$B,"&gt;="&amp;EOMONTH($A283,-1)+1,
All_Stats!$B:$B,"&lt;"&amp;EOMONTH($A283,0)+1,
All_Stats!$P:$P,"&lt;&gt;Email Marketing"
)</f>
        <v>0</v>
      </c>
      <c r="F283" s="132" t="str">
        <f t="shared" si="61"/>
        <v>N/A</v>
      </c>
      <c r="G283" s="131">
        <f>SUMIFS(All_Stats!$H:$H,
All_Stats!$D:$D,$B283,
All_Stats!$B:$B,"&gt;="&amp;EOMONTH($A283,-1)+1,
All_Stats!$B:$B,"&lt;"&amp;EOMONTH($A283,0)+1,
All_Stats!$P:$P,"&lt;&gt;Email Marketing"
)</f>
        <v>0</v>
      </c>
      <c r="H283" s="113">
        <f>SUMIFS(All_Stats!$K:$K,
All_Stats!$D:$D,$B283,
All_Stats!$B:$B,"&gt;="&amp;EOMONTH($A283,-1)+1,
All_Stats!$B:$B,"&lt;"&amp;EOMONTH($A283,0)+1,
All_Stats!$P:$P,"&lt;&gt;Email Marketing"
)</f>
        <v>0</v>
      </c>
      <c r="I283" s="152">
        <f>IFERROR(__xludf.DUMMYFUNCTION("COUNTUNIQUEIFS(All_Stats!A:A,
All_Stats!$D:$D,$B283,
All_Stats!$B:$B,""&gt;=""&amp;EOMONTH($A283,-1)+1,
All_Stats!$B:$B,""&lt;""&amp;EOMONTH($A283,0)+1,
All_Stats!$P:$P,""&lt;&gt;Email Marketing""
)"),0.0)</f>
        <v>0</v>
      </c>
    </row>
    <row r="284" hidden="1">
      <c r="A284" s="128">
        <v>44562.0</v>
      </c>
      <c r="B284" s="129" t="s">
        <v>507</v>
      </c>
      <c r="C284" s="142" t="s">
        <v>512</v>
      </c>
      <c r="D284" s="131">
        <f>SUMIFS(All_Stats!$G:$G,
All_Stats!$D:$D,$B284,
All_Stats!$B:$B,"&gt;="&amp;EOMONTH($A284,-1)+1,
All_Stats!$B:$B,"&lt;"&amp;EOMONTH($A284,0)+1,
All_Stats!$P:$P,"&lt;&gt;Email Marketing"
)</f>
        <v>0</v>
      </c>
      <c r="E284" s="113">
        <f>SUMIFS(All_Stats!$I:$I,
All_Stats!$D:$D,$B284,
All_Stats!$B:$B,"&gt;="&amp;EOMONTH($A284,-1)+1,
All_Stats!$B:$B,"&lt;"&amp;EOMONTH($A284,0)+1,
All_Stats!$P:$P,"&lt;&gt;Email Marketing"
)</f>
        <v>0</v>
      </c>
      <c r="F284" s="132" t="str">
        <f t="shared" si="61"/>
        <v>N/A</v>
      </c>
      <c r="G284" s="131">
        <f>SUMIFS(All_Stats!$H:$H,
All_Stats!$D:$D,$B284,
All_Stats!$B:$B,"&gt;="&amp;EOMONTH($A284,-1)+1,
All_Stats!$B:$B,"&lt;"&amp;EOMONTH($A284,0)+1,
All_Stats!$P:$P,"&lt;&gt;Email Marketing"
)</f>
        <v>0</v>
      </c>
      <c r="H284" s="113">
        <f>SUMIFS(All_Stats!$K:$K,
All_Stats!$D:$D,$B284,
All_Stats!$B:$B,"&gt;="&amp;EOMONTH($A284,-1)+1,
All_Stats!$B:$B,"&lt;"&amp;EOMONTH($A284,0)+1,
All_Stats!$P:$P,"&lt;&gt;Email Marketing"
)</f>
        <v>0</v>
      </c>
      <c r="I284" s="152">
        <f>IFERROR(__xludf.DUMMYFUNCTION("COUNTUNIQUEIFS(All_Stats!A:A,
All_Stats!$D:$D,$B284,
All_Stats!$B:$B,""&gt;=""&amp;EOMONTH($A284,-1)+1,
All_Stats!$B:$B,""&lt;""&amp;EOMONTH($A284,0)+1,
All_Stats!$P:$P,""&lt;&gt;Email Marketing""
)"),0.0)</f>
        <v>0</v>
      </c>
    </row>
    <row r="285" hidden="1">
      <c r="A285" s="128">
        <v>44562.0</v>
      </c>
      <c r="B285" s="131" t="s">
        <v>510</v>
      </c>
      <c r="C285" s="134" t="str">
        <f>if(ifna(VLOOKUP(B285,'Vendor Directory'!A:C,3,0),"NOT FOUND")="","NOT FOUND",VLOOKUP(B285,'Vendor Directory'!A:C,3,0))</f>
        <v>#N/A</v>
      </c>
      <c r="D285" s="114">
        <f>SUMIFS(All_Stats!$G:$G,
All_Stats!$D:$D,$B285,
All_Stats!$B:$B,"&gt;="&amp;EOMONTH($A285,-1)+1,
All_Stats!$B:$B,"&lt;"&amp;EOMONTH($A285,0)+1,
All_Stats!$P:$P,"&lt;&gt;Email Marketing"
)</f>
        <v>0</v>
      </c>
      <c r="E285" s="113">
        <f>SUMIFS(All_Stats!$I:$I,
All_Stats!$D:$D,$B285,
All_Stats!$B:$B,"&gt;="&amp;EOMONTH($A285,-1)+1,
All_Stats!$B:$B,"&lt;"&amp;EOMONTH($A285,0)+1,
All_Stats!$P:$P,"&lt;&gt;Email Marketing"
)</f>
        <v>0</v>
      </c>
      <c r="F285" s="132" t="str">
        <f t="shared" si="61"/>
        <v>N/A</v>
      </c>
      <c r="G285" s="131">
        <f>SUMIFS(All_Stats!$H:$H,
All_Stats!$D:$D,$B285,
All_Stats!$B:$B,"&gt;="&amp;EOMONTH($A285,-1)+1,
All_Stats!$B:$B,"&lt;"&amp;EOMONTH($A285,0)+1,
All_Stats!$P:$P,"&lt;&gt;Email Marketing"
)</f>
        <v>0</v>
      </c>
      <c r="H285" s="113">
        <f>SUMIFS(All_Stats!$K:$K,
All_Stats!$D:$D,$B285,
All_Stats!$B:$B,"&gt;="&amp;EOMONTH($A285,-1)+1,
All_Stats!$B:$B,"&lt;"&amp;EOMONTH($A285,0)+1,
All_Stats!$P:$P,"&lt;&gt;Email Marketing"
)</f>
        <v>0</v>
      </c>
      <c r="I285" s="152">
        <f>IFERROR(__xludf.DUMMYFUNCTION("COUNTUNIQUEIFS(All_Stats!A:A,
All_Stats!$D:$D,$B285,
All_Stats!$B:$B,""&gt;=""&amp;EOMONTH($A285,-1)+1,
All_Stats!$B:$B,""&lt;""&amp;EOMONTH($A285,0)+1,
All_Stats!$P:$P,""&lt;&gt;Email Marketing""
)"),0.0)</f>
        <v>0</v>
      </c>
    </row>
    <row r="286" hidden="1">
      <c r="A286" s="135"/>
      <c r="B286" s="135"/>
      <c r="C286" s="136" t="s">
        <v>23</v>
      </c>
      <c r="D286" s="137">
        <f t="shared" ref="D286:E286" si="62">SUM(D272:D285)</f>
        <v>0</v>
      </c>
      <c r="E286" s="137">
        <f t="shared" si="62"/>
        <v>0</v>
      </c>
      <c r="F286" s="138" t="str">
        <f t="shared" si="61"/>
        <v>N/A</v>
      </c>
      <c r="G286" s="137">
        <f t="shared" ref="G286:H286" si="63">SUM(G272:G285)</f>
        <v>0</v>
      </c>
      <c r="H286" s="137">
        <f t="shared" si="63"/>
        <v>0</v>
      </c>
      <c r="I286" s="137"/>
    </row>
    <row r="287" hidden="1">
      <c r="A287" s="131"/>
      <c r="B287" s="131"/>
      <c r="C287" s="131"/>
      <c r="D287" s="140"/>
      <c r="F287" s="131"/>
      <c r="G287" s="131"/>
    </row>
    <row r="288" hidden="1">
      <c r="A288" s="131"/>
      <c r="B288" s="131"/>
      <c r="C288" s="131"/>
      <c r="D288" s="140">
        <f t="shared" ref="D288:E288" si="64">D286+D267</f>
        <v>0</v>
      </c>
      <c r="E288" s="140">
        <f t="shared" si="64"/>
        <v>0</v>
      </c>
      <c r="F288" s="131"/>
      <c r="G288" s="140">
        <f t="shared" ref="G288:H288" si="65">G286+G267</f>
        <v>0</v>
      </c>
      <c r="H288" s="140">
        <f t="shared" si="65"/>
        <v>0</v>
      </c>
    </row>
    <row r="289" hidden="1">
      <c r="A289" s="131"/>
      <c r="B289" s="131"/>
      <c r="C289" s="131"/>
      <c r="D289" s="140"/>
      <c r="F289" s="131"/>
      <c r="G289" s="131"/>
    </row>
    <row r="290" hidden="1">
      <c r="C290" s="118" t="s">
        <v>484</v>
      </c>
      <c r="D290" s="119"/>
      <c r="E290" s="119"/>
      <c r="F290" s="119"/>
      <c r="G290" s="119"/>
      <c r="H290" s="119"/>
      <c r="I290" s="159"/>
    </row>
    <row r="291" hidden="1">
      <c r="A291" s="121" t="s">
        <v>1</v>
      </c>
      <c r="B291" s="122" t="s">
        <v>485</v>
      </c>
      <c r="C291" s="123" t="s">
        <v>486</v>
      </c>
      <c r="D291" s="124" t="s">
        <v>6</v>
      </c>
      <c r="E291" s="125" t="s">
        <v>8</v>
      </c>
      <c r="F291" s="124" t="s">
        <v>479</v>
      </c>
      <c r="G291" s="126" t="s">
        <v>7</v>
      </c>
      <c r="H291" s="125" t="s">
        <v>10</v>
      </c>
      <c r="I291" s="160" t="s">
        <v>487</v>
      </c>
    </row>
    <row r="292" hidden="1">
      <c r="A292" s="128">
        <v>44593.0</v>
      </c>
      <c r="B292" s="131" t="s">
        <v>164</v>
      </c>
      <c r="C292" s="134" t="str">
        <f>if(ifna(VLOOKUP(B292,'Vendor Directory'!A:C,3,0),"NOT FOUND")="","NOT FOUND",VLOOKUP(B292,'Vendor Directory'!A:C,3,0))</f>
        <v>#N/A</v>
      </c>
      <c r="D292" s="131">
        <f>SUMIFS(All_Stats!$G:$G,
All_Stats!$D:$D,$B292,
All_Stats!$B:$B,"&gt;="&amp;EOMONTH($A292,-1)+1,
All_Stats!$B:$B,"&lt;"&amp;EOMONTH($A292,0)+1,
All_Stats!$P:$P,"Email Marketing"
)</f>
        <v>0</v>
      </c>
      <c r="E292" s="113">
        <f>SUMIFS(All_Stats!$I:$I,
All_Stats!$D:$D,$B292,
All_Stats!$B:$B,"&gt;="&amp;EOMONTH($A292,-1)+1,
All_Stats!$B:$B,"&lt;"&amp;EOMONTH($A292,0)+1,
All_Stats!$P:$P,"Email Marketing"
)</f>
        <v>0</v>
      </c>
      <c r="F292" s="132" t="str">
        <f t="shared" ref="F292:F296" si="66">iferror(E292/D292,"N/A")</f>
        <v>N/A</v>
      </c>
      <c r="G292" s="131">
        <f>SUMIFS(All_Stats!$H:$H,
All_Stats!$D:$D,$B292,
All_Stats!$B:$B,"&gt;="&amp;EOMONTH($A292,-1)+1,
All_Stats!$B:$B,"&lt;"&amp;EOMONTH($A292,0)+1,
All_Stats!$P:$P,"Email Marketing"
)</f>
        <v>0</v>
      </c>
      <c r="H292" s="113">
        <f>SUMIFS(All_Stats!$K:$K,
All_Stats!$D:$D,$B292,
All_Stats!$B:$B,"&gt;="&amp;EOMONTH($A292,-1)+1,
All_Stats!$B:$B,"&lt;"&amp;EOMONTH($A292,0)+1,
All_Stats!$P:$P,"Email Marketing"
)</f>
        <v>0</v>
      </c>
      <c r="I292" s="152">
        <f>IFERROR(__xludf.DUMMYFUNCTION("COUNTUNIQUEIFS(All_Stats!A:A,
All_Stats!$D:$D,$B292,
All_Stats!$B:$B,""&gt;=""&amp;EOMONTH($A292,-1)+1,
All_Stats!$B:$B,""&lt;""&amp;EOMONTH($A292,0)+1,
All_Stats!$P:$P,""Email Marketing""
)"),0.0)</f>
        <v>0</v>
      </c>
    </row>
    <row r="293" hidden="1">
      <c r="A293" s="128">
        <v>44593.0</v>
      </c>
      <c r="B293" s="131" t="s">
        <v>501</v>
      </c>
      <c r="C293" s="134" t="str">
        <f>if(ifna(VLOOKUP(B293,'Vendor Directory'!A:C,3,0),"NOT FOUND")="","NOT FOUND",VLOOKUP(B293,'Vendor Directory'!A:C,3,0))</f>
        <v>#N/A</v>
      </c>
      <c r="D293" s="131">
        <f>SUMIFS(All_Stats!$G:$G,
All_Stats!$D:$D,$B293,
All_Stats!$B:$B,"&gt;="&amp;EOMONTH($A293,-1)+1,
All_Stats!$B:$B,"&lt;"&amp;EOMONTH($A293,0)+1,
All_Stats!$P:$P,"Email Marketing"
)</f>
        <v>0</v>
      </c>
      <c r="E293" s="113">
        <f>SUMIFS(All_Stats!$I:$I,
All_Stats!$D:$D,$B293,
All_Stats!$B:$B,"&gt;="&amp;EOMONTH($A293,-1)+1,
All_Stats!$B:$B,"&lt;"&amp;EOMONTH($A293,0)+1,
All_Stats!$P:$P,"Email Marketing"
)</f>
        <v>0</v>
      </c>
      <c r="F293" s="132" t="str">
        <f t="shared" si="66"/>
        <v>N/A</v>
      </c>
      <c r="G293" s="131">
        <f>SUMIFS(All_Stats!$H:$H,
All_Stats!$D:$D,$B293,
All_Stats!$B:$B,"&gt;="&amp;EOMONTH($A293,-1)+1,
All_Stats!$B:$B,"&lt;"&amp;EOMONTH($A293,0)+1,
All_Stats!$P:$P,"Email Marketing"
)</f>
        <v>0</v>
      </c>
      <c r="H293" s="113">
        <f>SUMIFS(All_Stats!$K:$K,
All_Stats!$D:$D,$B293,
All_Stats!$B:$B,"&gt;="&amp;EOMONTH($A293,-1)+1,
All_Stats!$B:$B,"&lt;"&amp;EOMONTH($A293,0)+1,
All_Stats!$P:$P,"Email Marketing"
)</f>
        <v>0</v>
      </c>
      <c r="I293" s="152">
        <f>IFERROR(__xludf.DUMMYFUNCTION("COUNTUNIQUEIFS(All_Stats!A:A,
All_Stats!$D:$D,$B293,
All_Stats!$B:$B,""&gt;=""&amp;EOMONTH($A293,-1)+1,
All_Stats!$B:$B,""&lt;""&amp;EOMONTH($A293,0)+1,
All_Stats!$P:$P,""Email Marketing""
)"),0.0)</f>
        <v>0</v>
      </c>
    </row>
    <row r="294" hidden="1">
      <c r="A294" s="128">
        <v>44593.0</v>
      </c>
      <c r="B294" s="129" t="s">
        <v>313</v>
      </c>
      <c r="C294" s="142" t="s">
        <v>525</v>
      </c>
      <c r="D294" s="131">
        <f>SUMIFS(All_Stats!$G:$G,
All_Stats!$D:$D,$B294,
All_Stats!$B:$B,"&gt;="&amp;EOMONTH($A294,-1)+1,
All_Stats!$B:$B,"&lt;"&amp;EOMONTH($A294,0)+1,
All_Stats!$P:$P,"Email Marketing"
)</f>
        <v>0</v>
      </c>
      <c r="E294" s="113">
        <f>SUMIFS(All_Stats!$I:$I,
All_Stats!$D:$D,$B294,
All_Stats!$B:$B,"&gt;="&amp;EOMONTH($A294,-1)+1,
All_Stats!$B:$B,"&lt;"&amp;EOMONTH($A294,0)+1,
All_Stats!$P:$P,"Email Marketing"
)</f>
        <v>0</v>
      </c>
      <c r="F294" s="132" t="str">
        <f t="shared" si="66"/>
        <v>N/A</v>
      </c>
      <c r="G294" s="131">
        <f>SUMIFS(All_Stats!$H:$H,
All_Stats!$D:$D,$B294,
All_Stats!$B:$B,"&gt;="&amp;EOMONTH($A294,-1)+1,
All_Stats!$B:$B,"&lt;"&amp;EOMONTH($A294,0)+1,
All_Stats!$P:$P,"Email Marketing"
)</f>
        <v>0</v>
      </c>
      <c r="H294" s="113">
        <f>SUMIFS(All_Stats!$K:$K,
All_Stats!$D:$D,$B294,
All_Stats!$B:$B,"&gt;="&amp;EOMONTH($A294,-1)+1,
All_Stats!$B:$B,"&lt;"&amp;EOMONTH($A294,0)+1,
All_Stats!$P:$P,"Email Marketing"
)</f>
        <v>0</v>
      </c>
      <c r="I294" s="152">
        <f>IFERROR(__xludf.DUMMYFUNCTION("COUNTUNIQUEIFS(All_Stats!A:A,
All_Stats!$D:$D,$B294,
All_Stats!$B:$B,""&gt;=""&amp;EOMONTH($A294,-1)+1,
All_Stats!$B:$B,""&lt;""&amp;EOMONTH($A294,0)+1,
All_Stats!$P:$P,""Email Marketing""
)"),0.0)</f>
        <v>0</v>
      </c>
    </row>
    <row r="295" hidden="1">
      <c r="A295" s="128">
        <v>44593.0</v>
      </c>
      <c r="B295" s="131" t="s">
        <v>172</v>
      </c>
      <c r="C295" s="134" t="str">
        <f>if(ifna(VLOOKUP(B295,'Vendor Directory'!A:C,3,0),"NOT FOUND")="","NOT FOUND",VLOOKUP(B295,'Vendor Directory'!A:C,3,0))</f>
        <v>#N/A</v>
      </c>
      <c r="D295" s="131">
        <f>SUMIFS(All_Stats!$G:$G,
All_Stats!$D:$D,$B295,
All_Stats!$B:$B,"&gt;="&amp;EOMONTH($A295,-1)+1,
All_Stats!$B:$B,"&lt;"&amp;EOMONTH($A295,0)+1,
All_Stats!$P:$P,"Email Marketing"
)</f>
        <v>0</v>
      </c>
      <c r="E295" s="113">
        <f>SUMIFS(All_Stats!$I:$I,
All_Stats!$D:$D,$B295,
All_Stats!$B:$B,"&gt;="&amp;EOMONTH($A295,-1)+1,
All_Stats!$B:$B,"&lt;"&amp;EOMONTH($A295,0)+1,
All_Stats!$P:$P,"Email Marketing"
)</f>
        <v>0</v>
      </c>
      <c r="F295" s="132" t="str">
        <f t="shared" si="66"/>
        <v>N/A</v>
      </c>
      <c r="G295" s="131">
        <f>SUMIFS(All_Stats!$H:$H,
All_Stats!$D:$D,$B295,
All_Stats!$B:$B,"&gt;="&amp;EOMONTH($A295,-1)+1,
All_Stats!$B:$B,"&lt;"&amp;EOMONTH($A295,0)+1,
All_Stats!$P:$P,"Email Marketing"
)</f>
        <v>0</v>
      </c>
      <c r="H295" s="113">
        <f>SUMIFS(All_Stats!$K:$K,
All_Stats!$D:$D,$B295,
All_Stats!$B:$B,"&gt;="&amp;EOMONTH($A295,-1)+1,
All_Stats!$B:$B,"&lt;"&amp;EOMONTH($A295,0)+1,
All_Stats!$P:$P,"Email Marketing"
)</f>
        <v>0</v>
      </c>
      <c r="I295" s="152">
        <f>IFERROR(__xludf.DUMMYFUNCTION("COUNTUNIQUEIFS(All_Stats!A:A,
All_Stats!$D:$D,$B295,
All_Stats!$B:$B,""&gt;=""&amp;EOMONTH($A295,-1)+1,
All_Stats!$B:$B,""&lt;""&amp;EOMONTH($A295,0)+1,
All_Stats!$P:$P,""Email Marketing""
)"),0.0)</f>
        <v>0</v>
      </c>
    </row>
    <row r="296" hidden="1">
      <c r="A296" s="135"/>
      <c r="B296" s="135"/>
      <c r="C296" s="136" t="s">
        <v>23</v>
      </c>
      <c r="D296" s="137">
        <f t="shared" ref="D296:E296" si="67">SUM(D292:D295)</f>
        <v>0</v>
      </c>
      <c r="E296" s="137">
        <f t="shared" si="67"/>
        <v>0</v>
      </c>
      <c r="F296" s="138" t="str">
        <f t="shared" si="66"/>
        <v>N/A</v>
      </c>
      <c r="G296" s="137">
        <f t="shared" ref="G296:H296" si="68">SUM(G292:G295)</f>
        <v>0</v>
      </c>
      <c r="H296" s="137">
        <f t="shared" si="68"/>
        <v>0</v>
      </c>
      <c r="I296" s="180"/>
    </row>
    <row r="297" hidden="1">
      <c r="A297" s="131"/>
      <c r="B297" s="131"/>
      <c r="C297" s="131"/>
      <c r="D297" s="140"/>
      <c r="F297" s="131"/>
      <c r="G297" s="131"/>
    </row>
    <row r="298" hidden="1">
      <c r="A298" s="131"/>
      <c r="B298" s="131"/>
      <c r="C298" s="131"/>
      <c r="D298" s="140"/>
      <c r="F298" s="131"/>
      <c r="G298" s="131"/>
    </row>
    <row r="299" hidden="1">
      <c r="C299" s="118" t="s">
        <v>504</v>
      </c>
      <c r="D299" s="119"/>
      <c r="E299" s="119"/>
      <c r="F299" s="119"/>
      <c r="G299" s="119"/>
      <c r="H299" s="119"/>
      <c r="I299" s="159"/>
    </row>
    <row r="300" hidden="1">
      <c r="A300" s="121" t="s">
        <v>1</v>
      </c>
      <c r="B300" s="122" t="s">
        <v>485</v>
      </c>
      <c r="C300" s="123" t="s">
        <v>486</v>
      </c>
      <c r="D300" s="124" t="s">
        <v>6</v>
      </c>
      <c r="E300" s="125" t="s">
        <v>8</v>
      </c>
      <c r="F300" s="124" t="s">
        <v>479</v>
      </c>
      <c r="G300" s="126" t="s">
        <v>7</v>
      </c>
      <c r="H300" s="125" t="s">
        <v>10</v>
      </c>
      <c r="I300" s="160" t="s">
        <v>487</v>
      </c>
    </row>
    <row r="301" hidden="1">
      <c r="A301" s="128">
        <v>44593.0</v>
      </c>
      <c r="B301" s="131" t="s">
        <v>30</v>
      </c>
      <c r="C301" s="170" t="str">
        <f>if(ifna(VLOOKUP(B301,'Vendor Directory'!A:C,3,0),"NOT FOUND")="","NOT FOUND",VLOOKUP(B301,'Vendor Directory'!A:C,3,0))</f>
        <v>Vendor 2 Name</v>
      </c>
      <c r="D301" s="131">
        <f>SUMIFS(All_Stats!$G:$G,
All_Stats!$D:$D,$B301,
All_Stats!$B:$B,"&gt;="&amp;EOMONTH($A301,-1)+1,
All_Stats!$B:$B,"&lt;"&amp;EOMONTH($A301,0)+1,
All_Stats!$P:$P,"&lt;&gt;Email Marketing"
)</f>
        <v>0</v>
      </c>
      <c r="E301" s="113">
        <f>SUMIFS(All_Stats!$I:$I,
All_Stats!$D:$D,$B301,
All_Stats!$B:$B,"&gt;="&amp;EOMONTH($A301,-1)+1,
All_Stats!$B:$B,"&lt;"&amp;EOMONTH($A301,0)+1,
All_Stats!$P:$P,"&lt;&gt;Email Marketing"
)</f>
        <v>0</v>
      </c>
      <c r="F301" s="132" t="str">
        <f t="shared" ref="F301:F312" si="69">iferror(E301/D301,"N/A")</f>
        <v>N/A</v>
      </c>
      <c r="G301" s="131">
        <f>SUMIFS(All_Stats!$H:$H,
All_Stats!$D:$D,$B301,
All_Stats!$B:$B,"&gt;="&amp;EOMONTH($A301,-1)+1,
All_Stats!$B:$B,"&lt;"&amp;EOMONTH($A301,0)+1,
All_Stats!$P:$P,"&lt;&gt;Email Marketing"
)</f>
        <v>0</v>
      </c>
      <c r="H301" s="113">
        <f>SUMIFS(All_Stats!$K:$K,
All_Stats!$D:$D,$B301,
All_Stats!$B:$B,"&gt;="&amp;EOMONTH($A301,-1)+1,
All_Stats!$B:$B,"&lt;"&amp;EOMONTH($A301,0)+1,
All_Stats!$P:$P,"&lt;&gt;Email Marketing"
)</f>
        <v>0</v>
      </c>
      <c r="I301" s="152">
        <f>IFERROR(__xludf.DUMMYFUNCTION("COUNTUNIQUEIFS(All_Stats!A:A,
All_Stats!$D:$D,$B301,
All_Stats!$B:$B,""&gt;=""&amp;EOMONTH($A301,-1)+1,
All_Stats!$B:$B,""&lt;""&amp;EOMONTH($A301,0)+1,
All_Stats!$P:$P,""&lt;&gt;Email Marketing""
)"),0.0)</f>
        <v>0</v>
      </c>
    </row>
    <row r="302" hidden="1">
      <c r="A302" s="128">
        <v>44593.0</v>
      </c>
      <c r="B302" s="131" t="s">
        <v>501</v>
      </c>
      <c r="C302" s="170" t="str">
        <f>if(ifna(VLOOKUP(B302,'Vendor Directory'!A:C,3,0),"NOT FOUND")="","NOT FOUND",VLOOKUP(B302,'Vendor Directory'!A:C,3,0))</f>
        <v>#N/A</v>
      </c>
      <c r="D302" s="131">
        <f>SUMIFS(All_Stats!$G:$G,
All_Stats!$D:$D,$B302,
All_Stats!$B:$B,"&gt;="&amp;EOMONTH($A302,-1)+1,
All_Stats!$B:$B,"&lt;"&amp;EOMONTH($A302,0)+1,
All_Stats!$P:$P,"&lt;&gt;Email Marketing"
)</f>
        <v>0</v>
      </c>
      <c r="E302" s="113">
        <f>SUMIFS(All_Stats!$I:$I,
All_Stats!$D:$D,$B302,
All_Stats!$B:$B,"&gt;="&amp;EOMONTH($A302,-1)+1,
All_Stats!$B:$B,"&lt;"&amp;EOMONTH($A302,0)+1,
All_Stats!$P:$P,"&lt;&gt;Email Marketing"
)</f>
        <v>0</v>
      </c>
      <c r="F302" s="132" t="str">
        <f t="shared" si="69"/>
        <v>N/A</v>
      </c>
      <c r="G302" s="131">
        <f>SUMIFS(All_Stats!$H:$H,
All_Stats!$D:$D,$B302,
All_Stats!$B:$B,"&gt;="&amp;EOMONTH($A302,-1)+1,
All_Stats!$B:$B,"&lt;"&amp;EOMONTH($A302,0)+1,
All_Stats!$P:$P,"&lt;&gt;Email Marketing"
)</f>
        <v>0</v>
      </c>
      <c r="H302" s="113">
        <f>SUMIFS(All_Stats!$K:$K,
All_Stats!$D:$D,$B302,
All_Stats!$B:$B,"&gt;="&amp;EOMONTH($A302,-1)+1,
All_Stats!$B:$B,"&lt;"&amp;EOMONTH($A302,0)+1,
All_Stats!$P:$P,"&lt;&gt;Email Marketing"
)</f>
        <v>0</v>
      </c>
      <c r="I302" s="152">
        <f>IFERROR(__xludf.DUMMYFUNCTION("COUNTUNIQUEIFS(All_Stats!A:A,
All_Stats!$D:$D,$B302,
All_Stats!$B:$B,""&gt;=""&amp;EOMONTH($A302,-1)+1,
All_Stats!$B:$B,""&lt;""&amp;EOMONTH($A302,0)+1,
All_Stats!$P:$P,""&lt;&gt;Email Marketing""
)"),0.0)</f>
        <v>0</v>
      </c>
    </row>
    <row r="303" hidden="1">
      <c r="A303" s="128">
        <v>44593.0</v>
      </c>
      <c r="B303" s="131" t="s">
        <v>127</v>
      </c>
      <c r="C303" s="170" t="str">
        <f>if(ifna(VLOOKUP(B303,'Vendor Directory'!A:C,3,0),"NOT FOUND")="","NOT FOUND",VLOOKUP(B303,'Vendor Directory'!A:C,3,0))</f>
        <v>#N/A</v>
      </c>
      <c r="D303" s="131">
        <f>SUMIFS(All_Stats!$G:$G,
All_Stats!$D:$D,$B303,
All_Stats!$B:$B,"&gt;="&amp;EOMONTH($A303,-1)+1,
All_Stats!$B:$B,"&lt;"&amp;EOMONTH($A303,0)+1,
All_Stats!$P:$P,"&lt;&gt;Email Marketing"
)</f>
        <v>0</v>
      </c>
      <c r="E303" s="113">
        <f>SUMIFS(All_Stats!$I:$I,
All_Stats!$D:$D,$B303,
All_Stats!$B:$B,"&gt;="&amp;EOMONTH($A303,-1)+1,
All_Stats!$B:$B,"&lt;"&amp;EOMONTH($A303,0)+1,
All_Stats!$P:$P,"&lt;&gt;Email Marketing"
)</f>
        <v>0</v>
      </c>
      <c r="F303" s="132" t="str">
        <f t="shared" si="69"/>
        <v>N/A</v>
      </c>
      <c r="G303" s="131">
        <f>SUMIFS(All_Stats!$H:$H,
All_Stats!$D:$D,$B303,
All_Stats!$B:$B,"&gt;="&amp;EOMONTH($A303,-1)+1,
All_Stats!$B:$B,"&lt;"&amp;EOMONTH($A303,0)+1,
All_Stats!$P:$P,"&lt;&gt;Email Marketing"
)</f>
        <v>0</v>
      </c>
      <c r="H303" s="113">
        <f>SUMIFS(All_Stats!$K:$K,
All_Stats!$D:$D,$B303,
All_Stats!$B:$B,"&gt;="&amp;EOMONTH($A303,-1)+1,
All_Stats!$B:$B,"&lt;"&amp;EOMONTH($A303,0)+1,
All_Stats!$P:$P,"&lt;&gt;Email Marketing"
)</f>
        <v>0</v>
      </c>
      <c r="I303" s="152">
        <f>IFERROR(__xludf.DUMMYFUNCTION("COUNTUNIQUEIFS(All_Stats!A:A,
All_Stats!$D:$D,$B303,
All_Stats!$B:$B,""&gt;=""&amp;EOMONTH($A303,-1)+1,
All_Stats!$B:$B,""&lt;""&amp;EOMONTH($A303,0)+1,
All_Stats!$P:$P,""&lt;&gt;Email Marketing""
)"),0.0)</f>
        <v>0</v>
      </c>
    </row>
    <row r="304" hidden="1">
      <c r="A304" s="128">
        <v>44593.0</v>
      </c>
      <c r="B304" s="131" t="s">
        <v>172</v>
      </c>
      <c r="C304" s="170" t="str">
        <f>if(ifna(VLOOKUP(B304,'Vendor Directory'!A:C,3,0),"NOT FOUND")="","NOT FOUND",VLOOKUP(B304,'Vendor Directory'!A:C,3,0))</f>
        <v>#N/A</v>
      </c>
      <c r="D304" s="131">
        <f>SUMIFS(All_Stats!$G:$G,
All_Stats!$D:$D,$B304,
All_Stats!$B:$B,"&gt;="&amp;EOMONTH($A304,-1)+1,
All_Stats!$B:$B,"&lt;"&amp;EOMONTH($A304,0)+1,
All_Stats!$P:$P,"&lt;&gt;Email Marketing"
)</f>
        <v>0</v>
      </c>
      <c r="E304" s="113">
        <f>SUMIFS(All_Stats!$I:$I,
All_Stats!$D:$D,$B304,
All_Stats!$B:$B,"&gt;="&amp;EOMONTH($A304,-1)+1,
All_Stats!$B:$B,"&lt;"&amp;EOMONTH($A304,0)+1,
All_Stats!$P:$P,"&lt;&gt;Email Marketing"
)</f>
        <v>0</v>
      </c>
      <c r="F304" s="132" t="str">
        <f t="shared" si="69"/>
        <v>N/A</v>
      </c>
      <c r="G304" s="131">
        <f>SUMIFS(All_Stats!$H:$H,
All_Stats!$D:$D,$B304,
All_Stats!$B:$B,"&gt;="&amp;EOMONTH($A304,-1)+1,
All_Stats!$B:$B,"&lt;"&amp;EOMONTH($A304,0)+1,
All_Stats!$P:$P,"&lt;&gt;Email Marketing"
)</f>
        <v>0</v>
      </c>
      <c r="H304" s="113">
        <f>SUMIFS(All_Stats!$K:$K,
All_Stats!$D:$D,$B304,
All_Stats!$B:$B,"&gt;="&amp;EOMONTH($A304,-1)+1,
All_Stats!$B:$B,"&lt;"&amp;EOMONTH($A304,0)+1,
All_Stats!$P:$P,"&lt;&gt;Email Marketing"
)</f>
        <v>0</v>
      </c>
      <c r="I304" s="152">
        <f>IFERROR(__xludf.DUMMYFUNCTION("COUNTUNIQUEIFS(All_Stats!A:A,
All_Stats!$D:$D,$B304,
All_Stats!$B:$B,""&gt;=""&amp;EOMONTH($A304,-1)+1,
All_Stats!$B:$B,""&lt;""&amp;EOMONTH($A304,0)+1,
All_Stats!$P:$P,""&lt;&gt;Email Marketing""
)"),0.0)</f>
        <v>0</v>
      </c>
    </row>
    <row r="305" hidden="1">
      <c r="A305" s="128">
        <v>44593.0</v>
      </c>
      <c r="B305" s="129" t="s">
        <v>313</v>
      </c>
      <c r="C305" s="174" t="s">
        <v>525</v>
      </c>
      <c r="D305" s="131">
        <f>SUMIFS(All_Stats!$G:$G,
All_Stats!$D:$D,$B305,
All_Stats!$B:$B,"&gt;="&amp;EOMONTH($A305,-1)+1,
All_Stats!$B:$B,"&lt;"&amp;EOMONTH($A305,0)+1,
All_Stats!$P:$P,"&lt;&gt;Email Marketing"
)</f>
        <v>0</v>
      </c>
      <c r="E305" s="113">
        <f>SUMIFS(All_Stats!$I:$I,
All_Stats!$D:$D,$B305,
All_Stats!$B:$B,"&gt;="&amp;EOMONTH($A305,-1)+1,
All_Stats!$B:$B,"&lt;"&amp;EOMONTH($A305,0)+1,
All_Stats!$P:$P,"&lt;&gt;Email Marketing"
)</f>
        <v>0</v>
      </c>
      <c r="F305" s="132" t="str">
        <f t="shared" si="69"/>
        <v>N/A</v>
      </c>
      <c r="G305" s="131">
        <f>SUMIFS(All_Stats!$H:$H,
All_Stats!$D:$D,$B305,
All_Stats!$B:$B,"&gt;="&amp;EOMONTH($A305,-1)+1,
All_Stats!$B:$B,"&lt;"&amp;EOMONTH($A305,0)+1,
All_Stats!$P:$P,"&lt;&gt;Email Marketing"
)</f>
        <v>0</v>
      </c>
      <c r="H305" s="113">
        <f>SUMIFS(All_Stats!$K:$K,
All_Stats!$D:$D,$B305,
All_Stats!$B:$B,"&gt;="&amp;EOMONTH($A305,-1)+1,
All_Stats!$B:$B,"&lt;"&amp;EOMONTH($A305,0)+1,
All_Stats!$P:$P,"&lt;&gt;Email Marketing"
)</f>
        <v>0</v>
      </c>
      <c r="I305" s="152">
        <f>IFERROR(__xludf.DUMMYFUNCTION("COUNTUNIQUEIFS(All_Stats!A:A,
All_Stats!$D:$D,$B305,
All_Stats!$B:$B,""&gt;=""&amp;EOMONTH($A305,-1)+1,
All_Stats!$B:$B,""&lt;""&amp;EOMONTH($A305,0)+1,
All_Stats!$P:$P,""&lt;&gt;Email Marketing""
)"),0.0)</f>
        <v>0</v>
      </c>
    </row>
    <row r="306" hidden="1">
      <c r="A306" s="128">
        <v>44593.0</v>
      </c>
      <c r="B306" s="131" t="s">
        <v>500</v>
      </c>
      <c r="C306" s="170" t="str">
        <f>if(ifna(VLOOKUP(B306,'Vendor Directory'!A:C,3,0),"NOT FOUND")="","NOT FOUND",VLOOKUP(B306,'Vendor Directory'!A:C,3,0))</f>
        <v>#N/A</v>
      </c>
      <c r="D306" s="131">
        <f>SUMIFS(All_Stats!$G:$G,
All_Stats!$D:$D,$B306,
All_Stats!$B:$B,"&gt;="&amp;EOMONTH($A306,-1)+1,
All_Stats!$B:$B,"&lt;"&amp;EOMONTH($A306,0)+1,
All_Stats!$P:$P,"&lt;&gt;Email Marketing"
)</f>
        <v>0</v>
      </c>
      <c r="E306" s="113">
        <f>SUMIFS(All_Stats!$I:$I,
All_Stats!$D:$D,$B306,
All_Stats!$B:$B,"&gt;="&amp;EOMONTH($A306,-1)+1,
All_Stats!$B:$B,"&lt;"&amp;EOMONTH($A306,0)+1,
All_Stats!$P:$P,"&lt;&gt;Email Marketing"
)</f>
        <v>0</v>
      </c>
      <c r="F306" s="132" t="str">
        <f t="shared" si="69"/>
        <v>N/A</v>
      </c>
      <c r="G306" s="131">
        <f>SUMIFS(All_Stats!$H:$H,
All_Stats!$D:$D,$B306,
All_Stats!$B:$B,"&gt;="&amp;EOMONTH($A306,-1)+1,
All_Stats!$B:$B,"&lt;"&amp;EOMONTH($A306,0)+1,
All_Stats!$P:$P,"&lt;&gt;Email Marketing"
)</f>
        <v>0</v>
      </c>
      <c r="H306" s="113">
        <f>SUMIFS(All_Stats!$K:$K,
All_Stats!$D:$D,$B306,
All_Stats!$B:$B,"&gt;="&amp;EOMONTH($A306,-1)+1,
All_Stats!$B:$B,"&lt;"&amp;EOMONTH($A306,0)+1,
All_Stats!$P:$P,"&lt;&gt;Email Marketing"
)</f>
        <v>0</v>
      </c>
      <c r="I306" s="152">
        <f>IFERROR(__xludf.DUMMYFUNCTION("COUNTUNIQUEIFS(All_Stats!A:A,
All_Stats!$D:$D,$B306,
All_Stats!$B:$B,""&gt;=""&amp;EOMONTH($A306,-1)+1,
All_Stats!$B:$B,""&lt;""&amp;EOMONTH($A306,0)+1,
All_Stats!$P:$P,""&lt;&gt;Email Marketing""
)"),0.0)</f>
        <v>0</v>
      </c>
    </row>
    <row r="307" hidden="1">
      <c r="A307" s="128">
        <v>44593.0</v>
      </c>
      <c r="B307" s="131" t="s">
        <v>157</v>
      </c>
      <c r="C307" s="134" t="str">
        <f>if(ifna(VLOOKUP(B307,'Vendor Directory'!A:C,3,0),"NOT FOUND")="","NOT FOUND",VLOOKUP(B307,'Vendor Directory'!A:C,3,0))</f>
        <v>#N/A</v>
      </c>
      <c r="D307" s="131">
        <f>SUMIFS(All_Stats!$G:$G,
All_Stats!$D:$D,$B307,
All_Stats!$B:$B,"&gt;="&amp;EOMONTH($A307,-1)+1,
All_Stats!$B:$B,"&lt;"&amp;EOMONTH($A307,0)+1,
All_Stats!$P:$P,"&lt;&gt;Email Marketing"
)</f>
        <v>0</v>
      </c>
      <c r="E307" s="113">
        <f>SUMIFS(All_Stats!$I:$I,
All_Stats!$D:$D,$B307,
All_Stats!$B:$B,"&gt;="&amp;EOMONTH($A307,-1)+1,
All_Stats!$B:$B,"&lt;"&amp;EOMONTH($A307,0)+1,
All_Stats!$P:$P,"&lt;&gt;Email Marketing"
)</f>
        <v>0</v>
      </c>
      <c r="F307" s="132" t="str">
        <f t="shared" si="69"/>
        <v>N/A</v>
      </c>
      <c r="G307" s="131">
        <f>SUMIFS(All_Stats!$H:$H,
All_Stats!$D:$D,$B307,
All_Stats!$B:$B,"&gt;="&amp;EOMONTH($A307,-1)+1,
All_Stats!$B:$B,"&lt;"&amp;EOMONTH($A307,0)+1,
All_Stats!$P:$P,"&lt;&gt;Email Marketing"
)</f>
        <v>0</v>
      </c>
      <c r="H307" s="113">
        <f>SUMIFS(All_Stats!$K:$K,
All_Stats!$D:$D,$B307,
All_Stats!$B:$B,"&gt;="&amp;EOMONTH($A307,-1)+1,
All_Stats!$B:$B,"&lt;"&amp;EOMONTH($A307,0)+1,
All_Stats!$P:$P,"&lt;&gt;Email Marketing"
)</f>
        <v>0</v>
      </c>
      <c r="I307" s="152">
        <f>IFERROR(__xludf.DUMMYFUNCTION("COUNTUNIQUEIFS(All_Stats!A:A,
All_Stats!$D:$D,$B307,
All_Stats!$B:$B,""&gt;=""&amp;EOMONTH($A307,-1)+1,
All_Stats!$B:$B,""&lt;""&amp;EOMONTH($A307,0)+1,
All_Stats!$P:$P,""&lt;&gt;Email Marketing""
)"),0.0)</f>
        <v>0</v>
      </c>
    </row>
    <row r="308" hidden="1">
      <c r="A308" s="128">
        <v>44593.0</v>
      </c>
      <c r="B308" s="131" t="s">
        <v>497</v>
      </c>
      <c r="C308" s="170" t="str">
        <f>if(ifna(VLOOKUP(B308,'Vendor Directory'!A:C,3,0),"NOT FOUND")="","NOT FOUND",VLOOKUP(B308,'Vendor Directory'!A:C,3,0))</f>
        <v>#N/A</v>
      </c>
      <c r="D308" s="131">
        <f>SUMIFS(All_Stats!$G:$G,
All_Stats!$D:$D,$B308,
All_Stats!$B:$B,"&gt;="&amp;EOMONTH($A308,-1)+1,
All_Stats!$B:$B,"&lt;"&amp;EOMONTH($A308,0)+1,
All_Stats!$P:$P,"&lt;&gt;Email Marketing"
)</f>
        <v>0</v>
      </c>
      <c r="E308" s="113">
        <f>SUMIFS(All_Stats!$I:$I,
All_Stats!$D:$D,$B308,
All_Stats!$B:$B,"&gt;="&amp;EOMONTH($A308,-1)+1,
All_Stats!$B:$B,"&lt;"&amp;EOMONTH($A308,0)+1,
All_Stats!$P:$P,"&lt;&gt;Email Marketing"
)</f>
        <v>0</v>
      </c>
      <c r="F308" s="132" t="str">
        <f t="shared" si="69"/>
        <v>N/A</v>
      </c>
      <c r="G308" s="131">
        <f>SUMIFS(All_Stats!$H:$H,
All_Stats!$D:$D,$B308,
All_Stats!$B:$B,"&gt;="&amp;EOMONTH($A308,-1)+1,
All_Stats!$B:$B,"&lt;"&amp;EOMONTH($A308,0)+1,
All_Stats!$P:$P,"&lt;&gt;Email Marketing"
)</f>
        <v>0</v>
      </c>
      <c r="H308" s="113">
        <f>SUMIFS(All_Stats!$K:$K,
All_Stats!$D:$D,$B308,
All_Stats!$B:$B,"&gt;="&amp;EOMONTH($A308,-1)+1,
All_Stats!$B:$B,"&lt;"&amp;EOMONTH($A308,0)+1,
All_Stats!$P:$P,"&lt;&gt;Email Marketing"
)</f>
        <v>0</v>
      </c>
      <c r="I308" s="152">
        <f>IFERROR(__xludf.DUMMYFUNCTION("COUNTUNIQUEIFS(All_Stats!A:A,
All_Stats!$D:$D,$B308,
All_Stats!$B:$B,""&gt;=""&amp;EOMONTH($A308,-1)+1,
All_Stats!$B:$B,""&lt;""&amp;EOMONTH($A308,0)+1,
All_Stats!$P:$P,""&lt;&gt;Email Marketing""
)"),0.0)</f>
        <v>0</v>
      </c>
    </row>
    <row r="309" hidden="1">
      <c r="A309" s="128">
        <v>44593.0</v>
      </c>
      <c r="B309" s="131" t="s">
        <v>91</v>
      </c>
      <c r="C309" s="170" t="str">
        <f>if(ifna(VLOOKUP(B309,'Vendor Directory'!A:C,3,0),"NOT FOUND")="","NOT FOUND",VLOOKUP(B309,'Vendor Directory'!A:C,3,0))</f>
        <v>#N/A</v>
      </c>
      <c r="D309" s="131">
        <f>SUMIFS(All_Stats!$G:$G,
All_Stats!$D:$D,$B309,
All_Stats!$B:$B,"&gt;="&amp;EOMONTH($A309,-1)+1,
All_Stats!$B:$B,"&lt;"&amp;EOMONTH($A309,0)+1,
All_Stats!$P:$P,"&lt;&gt;Email Marketing"
)</f>
        <v>0</v>
      </c>
      <c r="E309" s="113">
        <f>SUMIFS(All_Stats!$I:$I,
All_Stats!$D:$D,$B309,
All_Stats!$B:$B,"&gt;="&amp;EOMONTH($A309,-1)+1,
All_Stats!$B:$B,"&lt;"&amp;EOMONTH($A309,0)+1,
All_Stats!$P:$P,"&lt;&gt;Email Marketing"
)</f>
        <v>0</v>
      </c>
      <c r="F309" s="132" t="str">
        <f t="shared" si="69"/>
        <v>N/A</v>
      </c>
      <c r="G309" s="131">
        <f>SUMIFS(All_Stats!$H:$H,
All_Stats!$D:$D,$B309,
All_Stats!$B:$B,"&gt;="&amp;EOMONTH($A309,-1)+1,
All_Stats!$B:$B,"&lt;"&amp;EOMONTH($A309,0)+1,
All_Stats!$P:$P,"&lt;&gt;Email Marketing"
)</f>
        <v>0</v>
      </c>
      <c r="H309" s="113">
        <f>SUMIFS(All_Stats!$K:$K,
All_Stats!$D:$D,$B309,
All_Stats!$B:$B,"&gt;="&amp;EOMONTH($A309,-1)+1,
All_Stats!$B:$B,"&lt;"&amp;EOMONTH($A309,0)+1,
All_Stats!$P:$P,"&lt;&gt;Email Marketing"
)</f>
        <v>0</v>
      </c>
      <c r="I309" s="152">
        <f>IFERROR(__xludf.DUMMYFUNCTION("COUNTUNIQUEIFS(All_Stats!A:A,
All_Stats!$D:$D,$B309,
All_Stats!$B:$B,""&gt;=""&amp;EOMONTH($A309,-1)+1,
All_Stats!$B:$B,""&lt;""&amp;EOMONTH($A309,0)+1,
All_Stats!$P:$P,""&lt;&gt;Email Marketing""
)"),0.0)</f>
        <v>0</v>
      </c>
    </row>
    <row r="310" hidden="1">
      <c r="A310" s="128">
        <v>44593.0</v>
      </c>
      <c r="B310" s="129" t="s">
        <v>313</v>
      </c>
      <c r="C310" s="174" t="s">
        <v>525</v>
      </c>
      <c r="D310" s="131">
        <f>SUMIFS(All_Stats!$G:$G,
All_Stats!$D:$D,$B310,
All_Stats!$B:$B,"&gt;="&amp;EOMONTH($A310,-1)+1,
All_Stats!$B:$B,"&lt;"&amp;EOMONTH($A310,0)+1,
All_Stats!$P:$P,"&lt;&gt;Email Marketing"
)</f>
        <v>0</v>
      </c>
      <c r="E310" s="113">
        <f>SUMIFS(All_Stats!$I:$I,
All_Stats!$D:$D,$B310,
All_Stats!$B:$B,"&gt;="&amp;EOMONTH($A310,-1)+1,
All_Stats!$B:$B,"&lt;"&amp;EOMONTH($A310,0)+1,
All_Stats!$P:$P,"&lt;&gt;Email Marketing"
)</f>
        <v>0</v>
      </c>
      <c r="F310" s="132" t="str">
        <f t="shared" si="69"/>
        <v>N/A</v>
      </c>
      <c r="G310" s="131">
        <f>SUMIFS(All_Stats!$H:$H,
All_Stats!$D:$D,$B310,
All_Stats!$B:$B,"&gt;="&amp;EOMONTH($A310,-1)+1,
All_Stats!$B:$B,"&lt;"&amp;EOMONTH($A310,0)+1,
All_Stats!$P:$P,"&lt;&gt;Email Marketing"
)</f>
        <v>0</v>
      </c>
      <c r="H310" s="113">
        <f>SUMIFS(All_Stats!$K:$K,
All_Stats!$D:$D,$B310,
All_Stats!$B:$B,"&gt;="&amp;EOMONTH($A310,-1)+1,
All_Stats!$B:$B,"&lt;"&amp;EOMONTH($A310,0)+1,
All_Stats!$P:$P,"&lt;&gt;Email Marketing"
)</f>
        <v>0</v>
      </c>
      <c r="I310" s="152">
        <f>IFERROR(__xludf.DUMMYFUNCTION("COUNTUNIQUEIFS(All_Stats!A:A,
All_Stats!$D:$D,$B310,
All_Stats!$B:$B,""&gt;=""&amp;EOMONTH($A310,-1)+1,
All_Stats!$B:$B,""&lt;""&amp;EOMONTH($A310,0)+1,
All_Stats!$P:$P,""&lt;&gt;Email Marketing""
)"),0.0)</f>
        <v>0</v>
      </c>
    </row>
    <row r="311" hidden="1">
      <c r="A311" s="128">
        <v>44593.0</v>
      </c>
      <c r="B311" s="131" t="s">
        <v>505</v>
      </c>
      <c r="C311" s="170" t="str">
        <f>if(ifna(VLOOKUP(B311,'Vendor Directory'!A:C,3,0),"NOT FOUND")="","NOT FOUND",VLOOKUP(B311,'Vendor Directory'!A:C,3,0))</f>
        <v>#N/A</v>
      </c>
      <c r="D311" s="131">
        <f>SUMIFS(All_Stats!$G:$G,
All_Stats!$D:$D,$B311,
All_Stats!$B:$B,"&gt;="&amp;EOMONTH($A311,-1)+1,
All_Stats!$B:$B,"&lt;"&amp;EOMONTH($A311,0)+1,
All_Stats!$P:$P,"&lt;&gt;Email Marketing"
)</f>
        <v>0</v>
      </c>
      <c r="E311" s="113">
        <f>SUMIFS(All_Stats!$I:$I,
All_Stats!$D:$D,$B311,
All_Stats!$B:$B,"&gt;="&amp;EOMONTH($A311,-1)+1,
All_Stats!$B:$B,"&lt;"&amp;EOMONTH($A311,0)+1,
All_Stats!$P:$P,"&lt;&gt;Email Marketing"
)</f>
        <v>0</v>
      </c>
      <c r="F311" s="132" t="str">
        <f t="shared" si="69"/>
        <v>N/A</v>
      </c>
      <c r="G311" s="131">
        <f>SUMIFS(All_Stats!$H:$H,
All_Stats!$D:$D,$B311,
All_Stats!$B:$B,"&gt;="&amp;EOMONTH($A311,-1)+1,
All_Stats!$B:$B,"&lt;"&amp;EOMONTH($A311,0)+1,
All_Stats!$P:$P,"&lt;&gt;Email Marketing"
)</f>
        <v>0</v>
      </c>
      <c r="H311" s="113">
        <f>SUMIFS(All_Stats!$K:$K,
All_Stats!$D:$D,$B311,
All_Stats!$B:$B,"&gt;="&amp;EOMONTH($A311,-1)+1,
All_Stats!$B:$B,"&lt;"&amp;EOMONTH($A311,0)+1,
All_Stats!$P:$P,"&lt;&gt;Email Marketing"
)</f>
        <v>0</v>
      </c>
      <c r="I311" s="152">
        <f>IFERROR(__xludf.DUMMYFUNCTION("COUNTUNIQUEIFS(All_Stats!A:A,
All_Stats!$D:$D,$B311,
All_Stats!$B:$B,""&gt;=""&amp;EOMONTH($A311,-1)+1,
All_Stats!$B:$B,""&lt;""&amp;EOMONTH($A311,0)+1,
All_Stats!$P:$P,""&lt;&gt;Email Marketing""
)"),0.0)</f>
        <v>0</v>
      </c>
    </row>
    <row r="312" hidden="1">
      <c r="A312" s="135"/>
      <c r="B312" s="135"/>
      <c r="C312" s="136" t="s">
        <v>23</v>
      </c>
      <c r="D312" s="137">
        <f t="shared" ref="D312:E312" si="70">SUM(D301:D311)</f>
        <v>0</v>
      </c>
      <c r="E312" s="137">
        <f t="shared" si="70"/>
        <v>0</v>
      </c>
      <c r="F312" s="138" t="str">
        <f t="shared" si="69"/>
        <v>N/A</v>
      </c>
      <c r="G312" s="137">
        <f t="shared" ref="G312:H312" si="71">SUM(G301:G311)</f>
        <v>0</v>
      </c>
      <c r="H312" s="137">
        <f t="shared" si="71"/>
        <v>0</v>
      </c>
      <c r="I312" s="137"/>
    </row>
    <row r="313" hidden="1">
      <c r="A313" s="131"/>
      <c r="B313" s="131"/>
      <c r="C313" s="131"/>
      <c r="D313" s="140"/>
      <c r="F313" s="131"/>
      <c r="G313" s="131"/>
    </row>
    <row r="314" hidden="1">
      <c r="A314" s="131"/>
      <c r="B314" s="131"/>
      <c r="C314" s="131"/>
      <c r="D314" s="140">
        <f t="shared" ref="D314:E314" si="72">D312+D296</f>
        <v>0</v>
      </c>
      <c r="E314" s="140">
        <f t="shared" si="72"/>
        <v>0</v>
      </c>
      <c r="F314" s="131"/>
      <c r="G314" s="140">
        <f t="shared" ref="G314:H314" si="73">G312+G296</f>
        <v>0</v>
      </c>
      <c r="H314" s="140">
        <f t="shared" si="73"/>
        <v>0</v>
      </c>
      <c r="K314" s="164">
        <f>E314+G314</f>
        <v>0</v>
      </c>
    </row>
    <row r="315" hidden="1">
      <c r="A315" s="131"/>
      <c r="B315" s="131"/>
      <c r="C315" s="131"/>
      <c r="D315" s="140"/>
      <c r="F315" s="131"/>
      <c r="G315" s="131"/>
    </row>
    <row r="316" hidden="1">
      <c r="C316" s="118" t="s">
        <v>484</v>
      </c>
      <c r="D316" s="119"/>
      <c r="E316" s="119"/>
      <c r="F316" s="119"/>
      <c r="G316" s="119"/>
      <c r="H316" s="119"/>
      <c r="I316" s="159"/>
    </row>
    <row r="317" hidden="1">
      <c r="A317" s="121" t="s">
        <v>1</v>
      </c>
      <c r="B317" s="122" t="s">
        <v>485</v>
      </c>
      <c r="C317" s="123" t="s">
        <v>486</v>
      </c>
      <c r="D317" s="124" t="s">
        <v>6</v>
      </c>
      <c r="E317" s="125" t="s">
        <v>8</v>
      </c>
      <c r="F317" s="124" t="s">
        <v>479</v>
      </c>
      <c r="G317" s="126" t="s">
        <v>7</v>
      </c>
      <c r="H317" s="125" t="s">
        <v>10</v>
      </c>
      <c r="I317" s="160" t="s">
        <v>487</v>
      </c>
    </row>
    <row r="318" hidden="1">
      <c r="A318" s="128">
        <v>44621.0</v>
      </c>
      <c r="B318" s="131" t="s">
        <v>164</v>
      </c>
      <c r="C318" s="170" t="str">
        <f>if(ifna(VLOOKUP(B318,'Vendor Directory'!A:C,3,0),"NOT FOUND")="","NOT FOUND",VLOOKUP(B318,'Vendor Directory'!A:C,3,0))</f>
        <v>#N/A</v>
      </c>
      <c r="D318" s="131">
        <f>SUMIFS(All_Stats!$G:$G,
All_Stats!$D:$D,$B318,
All_Stats!$B:$B,"&gt;="&amp;EOMONTH($A318,-1)+1,
All_Stats!$B:$B,"&lt;"&amp;EOMONTH($A318,0)+1,
All_Stats!$P:$P,"Email Marketing"
)</f>
        <v>0</v>
      </c>
      <c r="E318" s="113">
        <f>SUMIFS(All_Stats!$I:$I,
All_Stats!$D:$D,$B318,
All_Stats!$B:$B,"&gt;="&amp;EOMONTH($A318,-1)+1,
All_Stats!$B:$B,"&lt;"&amp;EOMONTH($A318,0)+1,
All_Stats!$P:$P,"Email Marketing"
)</f>
        <v>0</v>
      </c>
      <c r="F318" s="132" t="str">
        <f t="shared" ref="F318:F324" si="74">iferror(E318/D318,"N/A")</f>
        <v>N/A</v>
      </c>
      <c r="G318" s="131">
        <f>SUMIFS(All_Stats!$H:$H,
All_Stats!$D:$D,$B318,
All_Stats!$B:$B,"&gt;="&amp;EOMONTH($A318,-1)+1,
All_Stats!$B:$B,"&lt;"&amp;EOMONTH($A318,0)+1,
All_Stats!$P:$P,"Email Marketing"
)</f>
        <v>0</v>
      </c>
      <c r="H318" s="113">
        <f>SUMIFS(All_Stats!$K:$K,
All_Stats!$D:$D,$B318,
All_Stats!$B:$B,"&gt;="&amp;EOMONTH($A318,-1)+1,
All_Stats!$B:$B,"&lt;"&amp;EOMONTH($A318,0)+1,
All_Stats!$P:$P,"Email Marketing"
)</f>
        <v>0</v>
      </c>
      <c r="I318" s="152">
        <f>IFERROR(__xludf.DUMMYFUNCTION("COUNTUNIQUEIFS(All_Stats!A:A,
All_Stats!$D:$D,$B318,
All_Stats!$B:$B,""&gt;=""&amp;EOMONTH($A318,-1)+1,
All_Stats!$B:$B,""&lt;""&amp;EOMONTH($A318,0)+1,
All_Stats!$P:$P,""Email Marketing""
)"),0.0)</f>
        <v>0</v>
      </c>
    </row>
    <row r="319" hidden="1">
      <c r="A319" s="128">
        <v>44621.0</v>
      </c>
      <c r="B319" s="131" t="s">
        <v>501</v>
      </c>
      <c r="C319" s="170" t="str">
        <f>if(ifna(VLOOKUP(B319,'Vendor Directory'!A:C,3,0),"NOT FOUND")="","NOT FOUND",VLOOKUP(B319,'Vendor Directory'!A:C,3,0))</f>
        <v>#N/A</v>
      </c>
      <c r="D319" s="131">
        <f>SUMIFS(All_Stats!$G:$G,
All_Stats!$D:$D,$B319,
All_Stats!$B:$B,"&gt;="&amp;EOMONTH($A319,-1)+1,
All_Stats!$B:$B,"&lt;"&amp;EOMONTH($A319,0)+1,
All_Stats!$P:$P,"Email Marketing"
)</f>
        <v>0</v>
      </c>
      <c r="E319" s="113">
        <f>SUMIFS(All_Stats!$I:$I,
All_Stats!$D:$D,$B319,
All_Stats!$B:$B,"&gt;="&amp;EOMONTH($A319,-1)+1,
All_Stats!$B:$B,"&lt;"&amp;EOMONTH($A319,0)+1,
All_Stats!$P:$P,"Email Marketing"
)</f>
        <v>0</v>
      </c>
      <c r="F319" s="132" t="str">
        <f t="shared" si="74"/>
        <v>N/A</v>
      </c>
      <c r="G319" s="131">
        <f>SUMIFS(All_Stats!$H:$H,
All_Stats!$D:$D,$B319,
All_Stats!$B:$B,"&gt;="&amp;EOMONTH($A319,-1)+1,
All_Stats!$B:$B,"&lt;"&amp;EOMONTH($A319,0)+1,
All_Stats!$P:$P,"Email Marketing"
)</f>
        <v>0</v>
      </c>
      <c r="H319" s="113">
        <f>SUMIFS(All_Stats!$K:$K,
All_Stats!$D:$D,$B319,
All_Stats!$B:$B,"&gt;="&amp;EOMONTH($A319,-1)+1,
All_Stats!$B:$B,"&lt;"&amp;EOMONTH($A319,0)+1,
All_Stats!$P:$P,"Email Marketing"
)</f>
        <v>0</v>
      </c>
      <c r="I319" s="152">
        <f>IFERROR(__xludf.DUMMYFUNCTION("COUNTUNIQUEIFS(All_Stats!A:A,
All_Stats!$D:$D,$B319,
All_Stats!$B:$B,""&gt;=""&amp;EOMONTH($A319,-1)+1,
All_Stats!$B:$B,""&lt;""&amp;EOMONTH($A319,0)+1,
All_Stats!$P:$P,""Email Marketing""
)"),0.0)</f>
        <v>0</v>
      </c>
    </row>
    <row r="320" hidden="1">
      <c r="A320" s="128">
        <v>44621.0</v>
      </c>
      <c r="B320" s="129" t="s">
        <v>526</v>
      </c>
      <c r="C320" s="182" t="s">
        <v>527</v>
      </c>
      <c r="D320" s="131">
        <f>SUMIFS(All_Stats!$G:$G,
All_Stats!$D:$D,$B320,
All_Stats!$B:$B,"&gt;="&amp;EOMONTH($A320,-1)+1,
All_Stats!$B:$B,"&lt;"&amp;EOMONTH($A320,0)+1,
All_Stats!$P:$P,"Email Marketing"
)</f>
        <v>0</v>
      </c>
      <c r="E320" s="113">
        <f>SUMIFS(All_Stats!$I:$I,
All_Stats!$D:$D,$B320,
All_Stats!$B:$B,"&gt;="&amp;EOMONTH($A320,-1)+1,
All_Stats!$B:$B,"&lt;"&amp;EOMONTH($A320,0)+1,
All_Stats!$P:$P,"Email Marketing"
)</f>
        <v>0</v>
      </c>
      <c r="F320" s="132" t="str">
        <f t="shared" si="74"/>
        <v>N/A</v>
      </c>
      <c r="G320" s="131">
        <f>SUMIFS(All_Stats!$H:$H,
All_Stats!$D:$D,$B320,
All_Stats!$B:$B,"&gt;="&amp;EOMONTH($A320,-1)+1,
All_Stats!$B:$B,"&lt;"&amp;EOMONTH($A320,0)+1,
All_Stats!$P:$P,"Email Marketing"
)</f>
        <v>0</v>
      </c>
      <c r="H320" s="113">
        <f>SUMIFS(All_Stats!$K:$K,
All_Stats!$D:$D,$B320,
All_Stats!$B:$B,"&gt;="&amp;EOMONTH($A320,-1)+1,
All_Stats!$B:$B,"&lt;"&amp;EOMONTH($A320,0)+1,
All_Stats!$P:$P,"Email Marketing"
)</f>
        <v>0</v>
      </c>
      <c r="I320" s="152">
        <f>IFERROR(__xludf.DUMMYFUNCTION("COUNTUNIQUEIFS(All_Stats!A:A,
All_Stats!$D:$D,$B320,
All_Stats!$B:$B,""&gt;=""&amp;EOMONTH($A320,-1)+1,
All_Stats!$B:$B,""&lt;""&amp;EOMONTH($A320,0)+1,
All_Stats!$P:$P,""Email Marketing""
)"),0.0)</f>
        <v>0</v>
      </c>
    </row>
    <row r="321" hidden="1">
      <c r="A321" s="128">
        <v>44621.0</v>
      </c>
      <c r="B321" s="129" t="s">
        <v>79</v>
      </c>
      <c r="C321" s="183" t="s">
        <v>488</v>
      </c>
      <c r="D321" s="131">
        <f>SUMIFS(All_Stats!$G:$G,
All_Stats!$D:$D,$B321,
All_Stats!$B:$B,"&gt;="&amp;EOMONTH($A321,-1)+1,
All_Stats!$B:$B,"&lt;"&amp;EOMONTH($A321,0)+1,
All_Stats!$P:$P,"Email Marketing"
)</f>
        <v>0</v>
      </c>
      <c r="E321" s="113">
        <f>SUMIFS(All_Stats!$I:$I,
All_Stats!$D:$D,$B321,
All_Stats!$B:$B,"&gt;="&amp;EOMONTH($A321,-1)+1,
All_Stats!$B:$B,"&lt;"&amp;EOMONTH($A321,0)+1,
All_Stats!$P:$P,"Email Marketing"
)</f>
        <v>0</v>
      </c>
      <c r="F321" s="132" t="str">
        <f t="shared" si="74"/>
        <v>N/A</v>
      </c>
      <c r="G321" s="131">
        <f>SUMIFS(All_Stats!$H:$H,
All_Stats!$D:$D,$B321,
All_Stats!$B:$B,"&gt;="&amp;EOMONTH($A321,-1)+1,
All_Stats!$B:$B,"&lt;"&amp;EOMONTH($A321,0)+1,
All_Stats!$P:$P,"Email Marketing"
)</f>
        <v>0</v>
      </c>
      <c r="H321" s="113">
        <f>SUMIFS(All_Stats!$K:$K,
All_Stats!$D:$D,$B321,
All_Stats!$B:$B,"&gt;="&amp;EOMONTH($A321,-1)+1,
All_Stats!$B:$B,"&lt;"&amp;EOMONTH($A321,0)+1,
All_Stats!$P:$P,"Email Marketing"
)</f>
        <v>0</v>
      </c>
      <c r="I321" s="152">
        <f>IFERROR(__xludf.DUMMYFUNCTION("COUNTUNIQUEIFS(All_Stats!A:A,
All_Stats!$D:$D,$B321,
All_Stats!$B:$B,""&gt;=""&amp;EOMONTH($A321,-1)+1,
All_Stats!$B:$B,""&lt;""&amp;EOMONTH($A321,0)+1,
All_Stats!$P:$P,""Email Marketing""
)"),0.0)</f>
        <v>0</v>
      </c>
    </row>
    <row r="322" hidden="1">
      <c r="A322" s="128">
        <v>44621.0</v>
      </c>
      <c r="B322" s="129" t="s">
        <v>313</v>
      </c>
      <c r="C322" s="174" t="s">
        <v>525</v>
      </c>
      <c r="D322" s="131">
        <f>SUMIFS(All_Stats!$G:$G,
All_Stats!$D:$D,$B322,
All_Stats!$B:$B,"&gt;="&amp;EOMONTH($A322,-1)+1,
All_Stats!$B:$B,"&lt;"&amp;EOMONTH($A322,0)+1,
All_Stats!$P:$P,"Email Marketing"
)</f>
        <v>0</v>
      </c>
      <c r="E322" s="113">
        <f>SUMIFS(All_Stats!$I:$I,
All_Stats!$D:$D,$B322,
All_Stats!$B:$B,"&gt;="&amp;EOMONTH($A322,-1)+1,
All_Stats!$B:$B,"&lt;"&amp;EOMONTH($A322,0)+1,
All_Stats!$P:$P,"Email Marketing"
)</f>
        <v>0</v>
      </c>
      <c r="F322" s="132" t="str">
        <f t="shared" si="74"/>
        <v>N/A</v>
      </c>
      <c r="G322" s="131">
        <f>SUMIFS(All_Stats!$H:$H,
All_Stats!$D:$D,$B322,
All_Stats!$B:$B,"&gt;="&amp;EOMONTH($A322,-1)+1,
All_Stats!$B:$B,"&lt;"&amp;EOMONTH($A322,0)+1,
All_Stats!$P:$P,"Email Marketing"
)</f>
        <v>0</v>
      </c>
      <c r="H322" s="113">
        <f>SUMIFS(All_Stats!$K:$K,
All_Stats!$D:$D,$B322,
All_Stats!$B:$B,"&gt;="&amp;EOMONTH($A322,-1)+1,
All_Stats!$B:$B,"&lt;"&amp;EOMONTH($A322,0)+1,
All_Stats!$P:$P,"Email Marketing"
)</f>
        <v>0</v>
      </c>
      <c r="I322" s="152">
        <f>IFERROR(__xludf.DUMMYFUNCTION("COUNTUNIQUEIFS(All_Stats!A:A,
All_Stats!$D:$D,$B322,
All_Stats!$B:$B,""&gt;=""&amp;EOMONTH($A322,-1)+1,
All_Stats!$B:$B,""&lt;""&amp;EOMONTH($A322,0)+1,
All_Stats!$P:$P,""Email Marketing""
)"),0.0)</f>
        <v>0</v>
      </c>
    </row>
    <row r="323" hidden="1">
      <c r="A323" s="128">
        <v>44621.0</v>
      </c>
      <c r="B323" s="131" t="s">
        <v>172</v>
      </c>
      <c r="C323" s="170" t="str">
        <f>if(ifna(VLOOKUP(B323,'Vendor Directory'!A:C,3,0),"NOT FOUND")="","NOT FOUND",VLOOKUP(B323,'Vendor Directory'!A:C,3,0))</f>
        <v>#N/A</v>
      </c>
      <c r="D323" s="131">
        <f>SUMIFS(All_Stats!$G:$G,
All_Stats!$D:$D,$B323,
All_Stats!$B:$B,"&gt;="&amp;EOMONTH($A323,-1)+1,
All_Stats!$B:$B,"&lt;"&amp;EOMONTH($A323,0)+1,
All_Stats!$P:$P,"Email Marketing"
)</f>
        <v>0</v>
      </c>
      <c r="E323" s="113">
        <f>SUMIFS(All_Stats!$I:$I,
All_Stats!$D:$D,$B323,
All_Stats!$B:$B,"&gt;="&amp;EOMONTH($A323,-1)+1,
All_Stats!$B:$B,"&lt;"&amp;EOMONTH($A323,0)+1,
All_Stats!$P:$P,"Email Marketing"
)</f>
        <v>0</v>
      </c>
      <c r="F323" s="132" t="str">
        <f t="shared" si="74"/>
        <v>N/A</v>
      </c>
      <c r="G323" s="131">
        <f>SUMIFS(All_Stats!$H:$H,
All_Stats!$D:$D,$B323,
All_Stats!$B:$B,"&gt;="&amp;EOMONTH($A323,-1)+1,
All_Stats!$B:$B,"&lt;"&amp;EOMONTH($A323,0)+1,
All_Stats!$P:$P,"Email Marketing"
)</f>
        <v>0</v>
      </c>
      <c r="H323" s="113">
        <f>SUMIFS(All_Stats!$K:$K,
All_Stats!$D:$D,$B323,
All_Stats!$B:$B,"&gt;="&amp;EOMONTH($A323,-1)+1,
All_Stats!$B:$B,"&lt;"&amp;EOMONTH($A323,0)+1,
All_Stats!$P:$P,"Email Marketing"
)</f>
        <v>0</v>
      </c>
      <c r="I323" s="152">
        <f>IFERROR(__xludf.DUMMYFUNCTION("COUNTUNIQUEIFS(All_Stats!A:A,
All_Stats!$D:$D,$B323,
All_Stats!$B:$B,""&gt;=""&amp;EOMONTH($A323,-1)+1,
All_Stats!$B:$B,""&lt;""&amp;EOMONTH($A323,0)+1,
All_Stats!$P:$P,""Email Marketing""
)"),0.0)</f>
        <v>0</v>
      </c>
    </row>
    <row r="324" hidden="1">
      <c r="A324" s="135"/>
      <c r="B324" s="135"/>
      <c r="C324" s="136" t="s">
        <v>23</v>
      </c>
      <c r="D324" s="137">
        <f t="shared" ref="D324:E324" si="75">SUM(D318:D323)</f>
        <v>0</v>
      </c>
      <c r="E324" s="137">
        <f t="shared" si="75"/>
        <v>0</v>
      </c>
      <c r="F324" s="138" t="str">
        <f t="shared" si="74"/>
        <v>N/A</v>
      </c>
      <c r="G324" s="137">
        <f t="shared" ref="G324:H324" si="76">SUM(G318:G323)</f>
        <v>0</v>
      </c>
      <c r="H324" s="137">
        <f t="shared" si="76"/>
        <v>0</v>
      </c>
      <c r="I324" s="139"/>
    </row>
    <row r="325" hidden="1">
      <c r="A325" s="131"/>
      <c r="B325" s="131"/>
      <c r="C325" s="131"/>
      <c r="D325" s="140"/>
      <c r="F325" s="131"/>
      <c r="G325" s="131"/>
    </row>
    <row r="326" hidden="1">
      <c r="C326" s="118" t="s">
        <v>504</v>
      </c>
      <c r="D326" s="119"/>
      <c r="E326" s="119"/>
      <c r="F326" s="119"/>
      <c r="G326" s="119"/>
      <c r="H326" s="119"/>
      <c r="I326" s="159"/>
    </row>
    <row r="327" hidden="1">
      <c r="A327" s="121" t="s">
        <v>1</v>
      </c>
      <c r="B327" s="122" t="s">
        <v>485</v>
      </c>
      <c r="C327" s="123" t="s">
        <v>486</v>
      </c>
      <c r="D327" s="124" t="s">
        <v>6</v>
      </c>
      <c r="E327" s="125" t="s">
        <v>8</v>
      </c>
      <c r="F327" s="124" t="s">
        <v>479</v>
      </c>
      <c r="G327" s="126" t="s">
        <v>7</v>
      </c>
      <c r="H327" s="125" t="s">
        <v>10</v>
      </c>
      <c r="I327" s="160" t="s">
        <v>487</v>
      </c>
    </row>
    <row r="328" hidden="1">
      <c r="A328" s="128">
        <v>44621.0</v>
      </c>
      <c r="B328" s="131" t="s">
        <v>30</v>
      </c>
      <c r="C328" s="170" t="str">
        <f>if(ifna(VLOOKUP(B328,'Vendor Directory'!A:C,3,0),"NOT FOUND")="","NOT FOUND",VLOOKUP(B328,'Vendor Directory'!A:C,3,0))</f>
        <v>Vendor 2 Name</v>
      </c>
      <c r="D328" s="131">
        <f>SUMIFS(All_Stats!$G:$G,
All_Stats!$D:$D,$B328,
All_Stats!$B:$B,"&gt;="&amp;EOMONTH($A328,-1)+1,
All_Stats!$B:$B,"&lt;"&amp;EOMONTH($A328,0)+1,
All_Stats!$P:$P,"&lt;&gt;Email Marketing"
)</f>
        <v>0</v>
      </c>
      <c r="E328" s="113">
        <f>SUMIFS(All_Stats!$I:$I,
All_Stats!$D:$D,$B328,
All_Stats!$B:$B,"&gt;="&amp;EOMONTH($A328,-1)+1,
All_Stats!$B:$B,"&lt;"&amp;EOMONTH($A328,0)+1,
All_Stats!$P:$P,"&lt;&gt;Email Marketing"
)</f>
        <v>0</v>
      </c>
      <c r="F328" s="132" t="str">
        <f t="shared" ref="F328:F342" si="77">iferror(E328/D328,"N/A")</f>
        <v>N/A</v>
      </c>
      <c r="G328" s="131">
        <f>SUMIFS(All_Stats!$H:$H,
All_Stats!$D:$D,$B328,
All_Stats!$B:$B,"&gt;="&amp;EOMONTH($A328,-1)+1,
All_Stats!$B:$B,"&lt;"&amp;EOMONTH($A328,0)+1,
All_Stats!$P:$P,"&lt;&gt;Email Marketing"
)</f>
        <v>0</v>
      </c>
      <c r="H328" s="113">
        <f>SUMIFS(All_Stats!$K:$K,
All_Stats!$D:$D,$B328,
All_Stats!$B:$B,"&gt;="&amp;EOMONTH($A328,-1)+1,
All_Stats!$B:$B,"&lt;"&amp;EOMONTH($A328,0)+1,
All_Stats!$P:$P,"&lt;&gt;Email Marketing"
)</f>
        <v>0</v>
      </c>
      <c r="I328" s="152">
        <f>IFERROR(__xludf.DUMMYFUNCTION("COUNTUNIQUEIFS(All_Stats!A:A,
All_Stats!$D:$D,$B328,
All_Stats!$B:$B,""&gt;=""&amp;EOMONTH($A328,-1)+1,
All_Stats!$B:$B,""&lt;""&amp;EOMONTH($A328,0)+1,
All_Stats!$P:$P,""&lt;&gt;Email Marketing""
)"),0.0)</f>
        <v>0</v>
      </c>
    </row>
    <row r="329" hidden="1">
      <c r="A329" s="128">
        <v>44621.0</v>
      </c>
      <c r="B329" s="131" t="s">
        <v>127</v>
      </c>
      <c r="C329" s="170" t="str">
        <f>if(ifna(VLOOKUP(B329,'Vendor Directory'!A:C,3,0),"NOT FOUND")="","NOT FOUND",VLOOKUP(B329,'Vendor Directory'!A:C,3,0))</f>
        <v>#N/A</v>
      </c>
      <c r="D329" s="131">
        <f>SUMIFS(All_Stats!$G:$G,
All_Stats!$D:$D,$B329,
All_Stats!$B:$B,"&gt;="&amp;EOMONTH($A329,-1)+1,
All_Stats!$B:$B,"&lt;"&amp;EOMONTH($A329,0)+1,
All_Stats!$P:$P,"&lt;&gt;Email Marketing"
)</f>
        <v>0</v>
      </c>
      <c r="E329" s="113">
        <f>SUMIFS(All_Stats!$I:$I,
All_Stats!$D:$D,$B329,
All_Stats!$B:$B,"&gt;="&amp;EOMONTH($A329,-1)+1,
All_Stats!$B:$B,"&lt;"&amp;EOMONTH($A329,0)+1,
All_Stats!$P:$P,"&lt;&gt;Email Marketing"
)</f>
        <v>0</v>
      </c>
      <c r="F329" s="132" t="str">
        <f t="shared" si="77"/>
        <v>N/A</v>
      </c>
      <c r="G329" s="131">
        <f>SUMIFS(All_Stats!$H:$H,
All_Stats!$D:$D,$B329,
All_Stats!$B:$B,"&gt;="&amp;EOMONTH($A329,-1)+1,
All_Stats!$B:$B,"&lt;"&amp;EOMONTH($A329,0)+1,
All_Stats!$P:$P,"&lt;&gt;Email Marketing"
)</f>
        <v>0</v>
      </c>
      <c r="H329" s="113">
        <f>SUMIFS(All_Stats!$K:$K,
All_Stats!$D:$D,$B329,
All_Stats!$B:$B,"&gt;="&amp;EOMONTH($A329,-1)+1,
All_Stats!$B:$B,"&lt;"&amp;EOMONTH($A329,0)+1,
All_Stats!$P:$P,"&lt;&gt;Email Marketing"
)</f>
        <v>0</v>
      </c>
      <c r="I329" s="152">
        <f>IFERROR(__xludf.DUMMYFUNCTION("COUNTUNIQUEIFS(All_Stats!A:A,
All_Stats!$D:$D,$B329,
All_Stats!$B:$B,""&gt;=""&amp;EOMONTH($A329,-1)+1,
All_Stats!$B:$B,""&lt;""&amp;EOMONTH($A329,0)+1,
All_Stats!$P:$P,""&lt;&gt;Email Marketing""
)"),0.0)</f>
        <v>0</v>
      </c>
    </row>
    <row r="330" hidden="1">
      <c r="A330" s="128">
        <v>44621.0</v>
      </c>
      <c r="B330" s="131" t="s">
        <v>157</v>
      </c>
      <c r="C330" s="170" t="str">
        <f>if(ifna(VLOOKUP(B330,'Vendor Directory'!A:C,3,0),"NOT FOUND")="","NOT FOUND",VLOOKUP(B330,'Vendor Directory'!A:C,3,0))</f>
        <v>#N/A</v>
      </c>
      <c r="D330" s="131">
        <f>SUMIFS(All_Stats!$G:$G,
All_Stats!$D:$D,$B330,
All_Stats!$B:$B,"&gt;="&amp;EOMONTH($A330,-1)+1,
All_Stats!$B:$B,"&lt;"&amp;EOMONTH($A330,0)+1,
All_Stats!$P:$P,"&lt;&gt;Email Marketing"
)</f>
        <v>0</v>
      </c>
      <c r="E330" s="113">
        <f>SUMIFS(All_Stats!$I:$I,
All_Stats!$D:$D,$B330,
All_Stats!$B:$B,"&gt;="&amp;EOMONTH($A330,-1)+1,
All_Stats!$B:$B,"&lt;"&amp;EOMONTH($A330,0)+1,
All_Stats!$P:$P,"&lt;&gt;Email Marketing"
)</f>
        <v>0</v>
      </c>
      <c r="F330" s="132" t="str">
        <f t="shared" si="77"/>
        <v>N/A</v>
      </c>
      <c r="G330" s="131">
        <f>SUMIFS(All_Stats!$H:$H,
All_Stats!$D:$D,$B330,
All_Stats!$B:$B,"&gt;="&amp;EOMONTH($A330,-1)+1,
All_Stats!$B:$B,"&lt;"&amp;EOMONTH($A330,0)+1,
All_Stats!$P:$P,"&lt;&gt;Email Marketing"
)</f>
        <v>0</v>
      </c>
      <c r="H330" s="113">
        <f>SUMIFS(All_Stats!$K:$K,
All_Stats!$D:$D,$B330,
All_Stats!$B:$B,"&gt;="&amp;EOMONTH($A330,-1)+1,
All_Stats!$B:$B,"&lt;"&amp;EOMONTH($A330,0)+1,
All_Stats!$P:$P,"&lt;&gt;Email Marketing"
)</f>
        <v>0</v>
      </c>
      <c r="I330" s="152">
        <f>IFERROR(__xludf.DUMMYFUNCTION("COUNTUNIQUEIFS(All_Stats!A:A,
All_Stats!$D:$D,$B330,
All_Stats!$B:$B,""&gt;=""&amp;EOMONTH($A330,-1)+1,
All_Stats!$B:$B,""&lt;""&amp;EOMONTH($A330,0)+1,
All_Stats!$P:$P,""&lt;&gt;Email Marketing""
)"),0.0)</f>
        <v>0</v>
      </c>
    </row>
    <row r="331" hidden="1">
      <c r="A331" s="128">
        <v>44621.0</v>
      </c>
      <c r="B331" s="131" t="s">
        <v>497</v>
      </c>
      <c r="C331" s="170" t="str">
        <f>if(ifna(VLOOKUP(B331,'Vendor Directory'!A:C,3,0),"NOT FOUND")="","NOT FOUND",VLOOKUP(B331,'Vendor Directory'!A:C,3,0))</f>
        <v>#N/A</v>
      </c>
      <c r="D331" s="131">
        <f>SUMIFS(All_Stats!$G:$G,
All_Stats!$D:$D,$B331,
All_Stats!$B:$B,"&gt;="&amp;EOMONTH($A331,-1)+1,
All_Stats!$B:$B,"&lt;"&amp;EOMONTH($A331,0)+1,
All_Stats!$P:$P,"&lt;&gt;Email Marketing"
)</f>
        <v>0</v>
      </c>
      <c r="E331" s="113">
        <f>SUMIFS(All_Stats!$I:$I,
All_Stats!$D:$D,$B331,
All_Stats!$B:$B,"&gt;="&amp;EOMONTH($A331,-1)+1,
All_Stats!$B:$B,"&lt;"&amp;EOMONTH($A331,0)+1,
All_Stats!$P:$P,"&lt;&gt;Email Marketing"
)</f>
        <v>0</v>
      </c>
      <c r="F331" s="132" t="str">
        <f t="shared" si="77"/>
        <v>N/A</v>
      </c>
      <c r="G331" s="131">
        <f>SUMIFS(All_Stats!$H:$H,
All_Stats!$D:$D,$B331,
All_Stats!$B:$B,"&gt;="&amp;EOMONTH($A331,-1)+1,
All_Stats!$B:$B,"&lt;"&amp;EOMONTH($A331,0)+1,
All_Stats!$P:$P,"&lt;&gt;Email Marketing"
)</f>
        <v>0</v>
      </c>
      <c r="H331" s="113">
        <f>SUMIFS(All_Stats!$K:$K,
All_Stats!$D:$D,$B331,
All_Stats!$B:$B,"&gt;="&amp;EOMONTH($A331,-1)+1,
All_Stats!$B:$B,"&lt;"&amp;EOMONTH($A331,0)+1,
All_Stats!$P:$P,"&lt;&gt;Email Marketing"
)</f>
        <v>0</v>
      </c>
      <c r="I331" s="152">
        <f>IFERROR(__xludf.DUMMYFUNCTION("COUNTUNIQUEIFS(All_Stats!A:A,
All_Stats!$D:$D,$B331,
All_Stats!$B:$B,""&gt;=""&amp;EOMONTH($A331,-1)+1,
All_Stats!$B:$B,""&lt;""&amp;EOMONTH($A331,0)+1,
All_Stats!$P:$P,""&lt;&gt;Email Marketing""
)"),0.0)</f>
        <v>0</v>
      </c>
    </row>
    <row r="332" hidden="1">
      <c r="A332" s="128">
        <v>44621.0</v>
      </c>
      <c r="B332" s="129" t="s">
        <v>507</v>
      </c>
      <c r="C332" s="174" t="s">
        <v>512</v>
      </c>
      <c r="D332" s="131">
        <f>SUMIFS(All_Stats!$G:$G,
All_Stats!$D:$D,$B332,
All_Stats!$B:$B,"&gt;="&amp;EOMONTH($A332,-1)+1,
All_Stats!$B:$B,"&lt;"&amp;EOMONTH($A332,0)+1,
All_Stats!$P:$P,"&lt;&gt;Email Marketing"
)</f>
        <v>0</v>
      </c>
      <c r="E332" s="113">
        <f>SUMIFS(All_Stats!$I:$I,
All_Stats!$D:$D,$B332,
All_Stats!$B:$B,"&gt;="&amp;EOMONTH($A332,-1)+1,
All_Stats!$B:$B,"&lt;"&amp;EOMONTH($A332,0)+1,
All_Stats!$P:$P,"&lt;&gt;Email Marketing"
)</f>
        <v>0</v>
      </c>
      <c r="F332" s="132" t="str">
        <f t="shared" si="77"/>
        <v>N/A</v>
      </c>
      <c r="G332" s="131">
        <f>SUMIFS(All_Stats!$H:$H,
All_Stats!$D:$D,$B332,
All_Stats!$B:$B,"&gt;="&amp;EOMONTH($A332,-1)+1,
All_Stats!$B:$B,"&lt;"&amp;EOMONTH($A332,0)+1,
All_Stats!$P:$P,"&lt;&gt;Email Marketing"
)</f>
        <v>0</v>
      </c>
      <c r="H332" s="113">
        <f>SUMIFS(All_Stats!$K:$K,
All_Stats!$D:$D,$B332,
All_Stats!$B:$B,"&gt;="&amp;EOMONTH($A332,-1)+1,
All_Stats!$B:$B,"&lt;"&amp;EOMONTH($A332,0)+1,
All_Stats!$P:$P,"&lt;&gt;Email Marketing"
)</f>
        <v>0</v>
      </c>
      <c r="I332" s="152">
        <f>IFERROR(__xludf.DUMMYFUNCTION("COUNTUNIQUEIFS(All_Stats!A:A,
All_Stats!$D:$D,$B332,
All_Stats!$B:$B,""&gt;=""&amp;EOMONTH($A332,-1)+1,
All_Stats!$B:$B,""&lt;""&amp;EOMONTH($A332,0)+1,
All_Stats!$P:$P,""&lt;&gt;Email Marketing""
)"),0.0)</f>
        <v>0</v>
      </c>
    </row>
    <row r="333" hidden="1">
      <c r="A333" s="128">
        <v>44621.0</v>
      </c>
      <c r="B333" s="129" t="s">
        <v>526</v>
      </c>
      <c r="C333" s="182" t="s">
        <v>527</v>
      </c>
      <c r="D333" s="131">
        <f>SUMIFS(All_Stats!$G:$G,
All_Stats!$D:$D,$B333,
All_Stats!$B:$B,"&gt;="&amp;EOMONTH($A333,-1)+1,
All_Stats!$B:$B,"&lt;"&amp;EOMONTH($A333,0)+1,
All_Stats!$P:$P,"&lt;&gt;Email Marketing"
)</f>
        <v>0</v>
      </c>
      <c r="E333" s="113">
        <f>SUMIFS(All_Stats!$I:$I,
All_Stats!$D:$D,$B333,
All_Stats!$B:$B,"&gt;="&amp;EOMONTH($A333,-1)+1,
All_Stats!$B:$B,"&lt;"&amp;EOMONTH($A333,0)+1,
All_Stats!$P:$P,"&lt;&gt;Email Marketing"
)</f>
        <v>0</v>
      </c>
      <c r="F333" s="132" t="str">
        <f t="shared" si="77"/>
        <v>N/A</v>
      </c>
      <c r="G333" s="131">
        <f>SUMIFS(All_Stats!$H:$H,
All_Stats!$D:$D,$B333,
All_Stats!$B:$B,"&gt;="&amp;EOMONTH($A333,-1)+1,
All_Stats!$B:$B,"&lt;"&amp;EOMONTH($A333,0)+1,
All_Stats!$P:$P,"&lt;&gt;Email Marketing"
)</f>
        <v>0</v>
      </c>
      <c r="H333" s="113">
        <f>SUMIFS(All_Stats!$K:$K,
All_Stats!$D:$D,$B333,
All_Stats!$B:$B,"&gt;="&amp;EOMONTH($A333,-1)+1,
All_Stats!$B:$B,"&lt;"&amp;EOMONTH($A333,0)+1,
All_Stats!$P:$P,"&lt;&gt;Email Marketing"
)</f>
        <v>0</v>
      </c>
      <c r="I333" s="152">
        <f>IFERROR(__xludf.DUMMYFUNCTION("COUNTUNIQUEIFS(All_Stats!A:A,
All_Stats!$D:$D,$B333,
All_Stats!$B:$B,""&gt;=""&amp;EOMONTH($A333,-1)+1,
All_Stats!$B:$B,""&lt;""&amp;EOMONTH($A333,0)+1,
All_Stats!$P:$P,""&lt;&gt;Email Marketing""
)"),0.0)</f>
        <v>0</v>
      </c>
    </row>
    <row r="334" hidden="1">
      <c r="A334" s="128">
        <v>44621.0</v>
      </c>
      <c r="B334" s="129" t="s">
        <v>313</v>
      </c>
      <c r="C334" s="174" t="s">
        <v>525</v>
      </c>
      <c r="D334" s="131">
        <f>SUMIFS(All_Stats!$G:$G,
All_Stats!$D:$D,$B334,
All_Stats!$B:$B,"&gt;="&amp;EOMONTH($A334,-1)+1,
All_Stats!$B:$B,"&lt;"&amp;EOMONTH($A334,0)+1,
All_Stats!$P:$P,"&lt;&gt;Email Marketing"
)</f>
        <v>0</v>
      </c>
      <c r="E334" s="113">
        <f>SUMIFS(All_Stats!$I:$I,
All_Stats!$D:$D,$B334,
All_Stats!$B:$B,"&gt;="&amp;EOMONTH($A334,-1)+1,
All_Stats!$B:$B,"&lt;"&amp;EOMONTH($A334,0)+1,
All_Stats!$P:$P,"&lt;&gt;Email Marketing"
)</f>
        <v>0</v>
      </c>
      <c r="F334" s="132" t="str">
        <f t="shared" si="77"/>
        <v>N/A</v>
      </c>
      <c r="G334" s="131">
        <f>SUMIFS(All_Stats!$H:$H,
All_Stats!$D:$D,$B334,
All_Stats!$B:$B,"&gt;="&amp;EOMONTH($A334,-1)+1,
All_Stats!$B:$B,"&lt;"&amp;EOMONTH($A334,0)+1,
All_Stats!$P:$P,"&lt;&gt;Email Marketing"
)</f>
        <v>0</v>
      </c>
      <c r="H334" s="113">
        <f>SUMIFS(All_Stats!$K:$K,
All_Stats!$D:$D,$B334,
All_Stats!$B:$B,"&gt;="&amp;EOMONTH($A334,-1)+1,
All_Stats!$B:$B,"&lt;"&amp;EOMONTH($A334,0)+1,
All_Stats!$P:$P,"&lt;&gt;Email Marketing"
)</f>
        <v>0</v>
      </c>
      <c r="I334" s="152">
        <f>IFERROR(__xludf.DUMMYFUNCTION("COUNTUNIQUEIFS(All_Stats!A:A,
All_Stats!$D:$D,$B334,
All_Stats!$B:$B,""&gt;=""&amp;EOMONTH($A334,-1)+1,
All_Stats!$B:$B,""&lt;""&amp;EOMONTH($A334,0)+1,
All_Stats!$P:$P,""&lt;&gt;Email Marketing""
)"),0.0)</f>
        <v>0</v>
      </c>
    </row>
    <row r="335" hidden="1">
      <c r="A335" s="128">
        <v>44621.0</v>
      </c>
      <c r="B335" s="131" t="s">
        <v>501</v>
      </c>
      <c r="C335" s="170" t="str">
        <f>if(ifna(VLOOKUP(B335,'Vendor Directory'!A:C,3,0),"NOT FOUND")="","NOT FOUND",VLOOKUP(B335,'Vendor Directory'!A:C,3,0))</f>
        <v>#N/A</v>
      </c>
      <c r="D335" s="131">
        <f>SUMIFS(All_Stats!$G:$G,
All_Stats!$D:$D,$B335,
All_Stats!$B:$B,"&gt;="&amp;EOMONTH($A335,-1)+1,
All_Stats!$B:$B,"&lt;"&amp;EOMONTH($A335,0)+1,
All_Stats!$P:$P,"&lt;&gt;Email Marketing"
)</f>
        <v>0</v>
      </c>
      <c r="E335" s="113">
        <f>SUMIFS(All_Stats!$I:$I,
All_Stats!$D:$D,$B335,
All_Stats!$B:$B,"&gt;="&amp;EOMONTH($A335,-1)+1,
All_Stats!$B:$B,"&lt;"&amp;EOMONTH($A335,0)+1,
All_Stats!$P:$P,"&lt;&gt;Email Marketing"
)</f>
        <v>0</v>
      </c>
      <c r="F335" s="132" t="str">
        <f t="shared" si="77"/>
        <v>N/A</v>
      </c>
      <c r="G335" s="131">
        <f>SUMIFS(All_Stats!$H:$H,
All_Stats!$D:$D,$B335,
All_Stats!$B:$B,"&gt;="&amp;EOMONTH($A335,-1)+1,
All_Stats!$B:$B,"&lt;"&amp;EOMONTH($A335,0)+1,
All_Stats!$P:$P,"&lt;&gt;Email Marketing"
)</f>
        <v>0</v>
      </c>
      <c r="H335" s="113">
        <f>SUMIFS(All_Stats!$K:$K,
All_Stats!$D:$D,$B335,
All_Stats!$B:$B,"&gt;="&amp;EOMONTH($A335,-1)+1,
All_Stats!$B:$B,"&lt;"&amp;EOMONTH($A335,0)+1,
All_Stats!$P:$P,"&lt;&gt;Email Marketing"
)</f>
        <v>0</v>
      </c>
      <c r="I335" s="152">
        <f>IFERROR(__xludf.DUMMYFUNCTION("COUNTUNIQUEIFS(All_Stats!A:A,
All_Stats!$D:$D,$B335,
All_Stats!$B:$B,""&gt;=""&amp;EOMONTH($A335,-1)+1,
All_Stats!$B:$B,""&lt;""&amp;EOMONTH($A335,0)+1,
All_Stats!$P:$P,""&lt;&gt;Email Marketing""
)"),0.0)</f>
        <v>0</v>
      </c>
    </row>
    <row r="336" hidden="1">
      <c r="A336" s="128">
        <v>44621.0</v>
      </c>
      <c r="B336" s="131" t="s">
        <v>172</v>
      </c>
      <c r="C336" s="170" t="str">
        <f>if(ifna(VLOOKUP(B336,'Vendor Directory'!A:C,3,0),"NOT FOUND")="","NOT FOUND",VLOOKUP(B336,'Vendor Directory'!A:C,3,0))</f>
        <v>#N/A</v>
      </c>
      <c r="D336" s="131">
        <f>SUMIFS(All_Stats!$G:$G,
All_Stats!$D:$D,$B336,
All_Stats!$B:$B,"&gt;="&amp;EOMONTH($A336,-1)+1,
All_Stats!$B:$B,"&lt;"&amp;EOMONTH($A336,0)+1,
All_Stats!$P:$P,"&lt;&gt;Email Marketing"
)</f>
        <v>0</v>
      </c>
      <c r="E336" s="113">
        <f>SUMIFS(All_Stats!$I:$I,
All_Stats!$D:$D,$B336,
All_Stats!$B:$B,"&gt;="&amp;EOMONTH($A336,-1)+1,
All_Stats!$B:$B,"&lt;"&amp;EOMONTH($A336,0)+1,
All_Stats!$P:$P,"&lt;&gt;Email Marketing"
)</f>
        <v>0</v>
      </c>
      <c r="F336" s="132" t="str">
        <f t="shared" si="77"/>
        <v>N/A</v>
      </c>
      <c r="G336" s="131">
        <f>SUMIFS(All_Stats!$H:$H,
All_Stats!$D:$D,$B336,
All_Stats!$B:$B,"&gt;="&amp;EOMONTH($A336,-1)+1,
All_Stats!$B:$B,"&lt;"&amp;EOMONTH($A336,0)+1,
All_Stats!$P:$P,"&lt;&gt;Email Marketing"
)</f>
        <v>0</v>
      </c>
      <c r="H336" s="113">
        <f>SUMIFS(All_Stats!$K:$K,
All_Stats!$D:$D,$B336,
All_Stats!$B:$B,"&gt;="&amp;EOMONTH($A336,-1)+1,
All_Stats!$B:$B,"&lt;"&amp;EOMONTH($A336,0)+1,
All_Stats!$P:$P,"&lt;&gt;Email Marketing"
)</f>
        <v>0</v>
      </c>
      <c r="I336" s="152">
        <f>IFERROR(__xludf.DUMMYFUNCTION("COUNTUNIQUEIFS(All_Stats!A:A,
All_Stats!$D:$D,$B336,
All_Stats!$B:$B,""&gt;=""&amp;EOMONTH($A336,-1)+1,
All_Stats!$B:$B,""&lt;""&amp;EOMONTH($A336,0)+1,
All_Stats!$P:$P,""&lt;&gt;Email Marketing""
)"),0.0)</f>
        <v>0</v>
      </c>
    </row>
    <row r="337" hidden="1">
      <c r="A337" s="128">
        <v>44621.0</v>
      </c>
      <c r="B337" s="131" t="s">
        <v>500</v>
      </c>
      <c r="C337" s="170" t="str">
        <f>if(ifna(VLOOKUP(B337,'Vendor Directory'!A:C,3,0),"NOT FOUND")="","NOT FOUND",VLOOKUP(B337,'Vendor Directory'!A:C,3,0))</f>
        <v>#N/A</v>
      </c>
      <c r="D337" s="131">
        <f>SUMIFS(All_Stats!$G:$G,
All_Stats!$D:$D,$B337,
All_Stats!$B:$B,"&gt;="&amp;EOMONTH($A337,-1)+1,
All_Stats!$B:$B,"&lt;"&amp;EOMONTH($A337,0)+1,
All_Stats!$P:$P,"&lt;&gt;Email Marketing"
)</f>
        <v>0</v>
      </c>
      <c r="E337" s="113">
        <f>SUMIFS(All_Stats!$I:$I,
All_Stats!$D:$D,$B337,
All_Stats!$B:$B,"&gt;="&amp;EOMONTH($A337,-1)+1,
All_Stats!$B:$B,"&lt;"&amp;EOMONTH($A337,0)+1,
All_Stats!$P:$P,"&lt;&gt;Email Marketing"
)</f>
        <v>0</v>
      </c>
      <c r="F337" s="132" t="str">
        <f t="shared" si="77"/>
        <v>N/A</v>
      </c>
      <c r="G337" s="131">
        <f>SUMIFS(All_Stats!$H:$H,
All_Stats!$D:$D,$B337,
All_Stats!$B:$B,"&gt;="&amp;EOMONTH($A337,-1)+1,
All_Stats!$B:$B,"&lt;"&amp;EOMONTH($A337,0)+1,
All_Stats!$P:$P,"&lt;&gt;Email Marketing"
)</f>
        <v>0</v>
      </c>
      <c r="H337" s="113">
        <f>SUMIFS(All_Stats!$K:$K,
All_Stats!$D:$D,$B337,
All_Stats!$B:$B,"&gt;="&amp;EOMONTH($A337,-1)+1,
All_Stats!$B:$B,"&lt;"&amp;EOMONTH($A337,0)+1,
All_Stats!$P:$P,"&lt;&gt;Email Marketing"
)</f>
        <v>0</v>
      </c>
      <c r="I337" s="152">
        <f>IFERROR(__xludf.DUMMYFUNCTION("COUNTUNIQUEIFS(All_Stats!A:A,
All_Stats!$D:$D,$B337,
All_Stats!$B:$B,""&gt;=""&amp;EOMONTH($A337,-1)+1,
All_Stats!$B:$B,""&lt;""&amp;EOMONTH($A337,0)+1,
All_Stats!$P:$P,""&lt;&gt;Email Marketing""
)"),0.0)</f>
        <v>0</v>
      </c>
    </row>
    <row r="338" hidden="1">
      <c r="A338" s="128">
        <v>44621.0</v>
      </c>
      <c r="B338" s="131" t="s">
        <v>91</v>
      </c>
      <c r="C338" s="170" t="str">
        <f>if(ifna(VLOOKUP(B338,'Vendor Directory'!A:C,3,0),"NOT FOUND")="","NOT FOUND",VLOOKUP(B338,'Vendor Directory'!A:C,3,0))</f>
        <v>#N/A</v>
      </c>
      <c r="D338" s="131">
        <f>SUMIFS(All_Stats!$G:$G,
All_Stats!$D:$D,$B338,
All_Stats!$B:$B,"&gt;="&amp;EOMONTH($A338,-1)+1,
All_Stats!$B:$B,"&lt;"&amp;EOMONTH($A338,0)+1,
All_Stats!$P:$P,"&lt;&gt;Email Marketing"
)</f>
        <v>0</v>
      </c>
      <c r="E338" s="113">
        <f>SUMIFS(All_Stats!$I:$I,
All_Stats!$D:$D,$B338,
All_Stats!$B:$B,"&gt;="&amp;EOMONTH($A338,-1)+1,
All_Stats!$B:$B,"&lt;"&amp;EOMONTH($A338,0)+1,
All_Stats!$P:$P,"&lt;&gt;Email Marketing"
)</f>
        <v>0</v>
      </c>
      <c r="F338" s="132" t="str">
        <f t="shared" si="77"/>
        <v>N/A</v>
      </c>
      <c r="G338" s="131">
        <f>SUMIFS(All_Stats!$H:$H,
All_Stats!$D:$D,$B338,
All_Stats!$B:$B,"&gt;="&amp;EOMONTH($A338,-1)+1,
All_Stats!$B:$B,"&lt;"&amp;EOMONTH($A338,0)+1,
All_Stats!$P:$P,"&lt;&gt;Email Marketing"
)</f>
        <v>0</v>
      </c>
      <c r="H338" s="113">
        <f>SUMIFS(All_Stats!$K:$K,
All_Stats!$D:$D,$B338,
All_Stats!$B:$B,"&gt;="&amp;EOMONTH($A338,-1)+1,
All_Stats!$B:$B,"&lt;"&amp;EOMONTH($A338,0)+1,
All_Stats!$P:$P,"&lt;&gt;Email Marketing"
)</f>
        <v>0</v>
      </c>
      <c r="I338" s="152">
        <f>IFERROR(__xludf.DUMMYFUNCTION("COUNTUNIQUEIFS(All_Stats!A:A,
All_Stats!$D:$D,$B338,
All_Stats!$B:$B,""&gt;=""&amp;EOMONTH($A338,-1)+1,
All_Stats!$B:$B,""&lt;""&amp;EOMONTH($A338,0)+1,
All_Stats!$P:$P,""&lt;&gt;Email Marketing""
)"),0.0)</f>
        <v>0</v>
      </c>
    </row>
    <row r="339" hidden="1">
      <c r="A339" s="128">
        <v>44621.0</v>
      </c>
      <c r="B339" s="129" t="s">
        <v>526</v>
      </c>
      <c r="C339" s="182" t="s">
        <v>527</v>
      </c>
      <c r="D339" s="131">
        <f>SUMIFS(All_Stats!$G:$G,
All_Stats!$D:$D,$B339,
All_Stats!$B:$B,"&gt;="&amp;EOMONTH($A339,-1)+1,
All_Stats!$B:$B,"&lt;"&amp;EOMONTH($A339,0)+1,
All_Stats!$P:$P,"&lt;&gt;Email Marketing"
)</f>
        <v>0</v>
      </c>
      <c r="E339" s="113">
        <f>SUMIFS(All_Stats!$I:$I,
All_Stats!$D:$D,$B339,
All_Stats!$B:$B,"&gt;="&amp;EOMONTH($A339,-1)+1,
All_Stats!$B:$B,"&lt;"&amp;EOMONTH($A339,0)+1,
All_Stats!$P:$P,"&lt;&gt;Email Marketing"
)</f>
        <v>0</v>
      </c>
      <c r="F339" s="132" t="str">
        <f t="shared" si="77"/>
        <v>N/A</v>
      </c>
      <c r="G339" s="131">
        <f>SUMIFS(All_Stats!$H:$H,
All_Stats!$D:$D,$B339,
All_Stats!$B:$B,"&gt;="&amp;EOMONTH($A339,-1)+1,
All_Stats!$B:$B,"&lt;"&amp;EOMONTH($A339,0)+1,
All_Stats!$P:$P,"&lt;&gt;Email Marketing"
)</f>
        <v>0</v>
      </c>
      <c r="H339" s="113">
        <f>SUMIFS(All_Stats!$K:$K,
All_Stats!$D:$D,$B339,
All_Stats!$B:$B,"&gt;="&amp;EOMONTH($A339,-1)+1,
All_Stats!$B:$B,"&lt;"&amp;EOMONTH($A339,0)+1,
All_Stats!$P:$P,"&lt;&gt;Email Marketing"
)</f>
        <v>0</v>
      </c>
      <c r="I339" s="152">
        <f>IFERROR(__xludf.DUMMYFUNCTION("COUNTUNIQUEIFS(All_Stats!A:A,
All_Stats!$D:$D,$B339,
All_Stats!$B:$B,""&gt;=""&amp;EOMONTH($A339,-1)+1,
All_Stats!$B:$B,""&lt;""&amp;EOMONTH($A339,0)+1,
All_Stats!$P:$P,""&lt;&gt;Email Marketing""
)"),0.0)</f>
        <v>0</v>
      </c>
    </row>
    <row r="340" hidden="1">
      <c r="A340" s="128">
        <v>44621.0</v>
      </c>
      <c r="B340" s="129" t="s">
        <v>79</v>
      </c>
      <c r="C340" s="183" t="s">
        <v>488</v>
      </c>
      <c r="D340" s="131">
        <f>SUMIFS(All_Stats!$G:$G,
All_Stats!$D:$D,$B340,
All_Stats!$B:$B,"&gt;="&amp;EOMONTH($A340,-1)+1,
All_Stats!$B:$B,"&lt;"&amp;EOMONTH($A340,0)+1,
All_Stats!$P:$P,"&lt;&gt;Email Marketing"
)</f>
        <v>0</v>
      </c>
      <c r="E340" s="113">
        <f>SUMIFS(All_Stats!$I:$I,
All_Stats!$D:$D,$B340,
All_Stats!$B:$B,"&gt;="&amp;EOMONTH($A340,-1)+1,
All_Stats!$B:$B,"&lt;"&amp;EOMONTH($A340,0)+1,
All_Stats!$P:$P,"&lt;&gt;Email Marketing"
)</f>
        <v>0</v>
      </c>
      <c r="F340" s="132" t="str">
        <f t="shared" si="77"/>
        <v>N/A</v>
      </c>
      <c r="G340" s="131">
        <f>SUMIFS(All_Stats!$H:$H,
All_Stats!$D:$D,$B340,
All_Stats!$B:$B,"&gt;="&amp;EOMONTH($A340,-1)+1,
All_Stats!$B:$B,"&lt;"&amp;EOMONTH($A340,0)+1,
All_Stats!$P:$P,"&lt;&gt;Email Marketing"
)</f>
        <v>0</v>
      </c>
      <c r="H340" s="113">
        <f>SUMIFS(All_Stats!$K:$K,
All_Stats!$D:$D,$B340,
All_Stats!$B:$B,"&gt;="&amp;EOMONTH($A340,-1)+1,
All_Stats!$B:$B,"&lt;"&amp;EOMONTH($A340,0)+1,
All_Stats!$P:$P,"&lt;&gt;Email Marketing"
)</f>
        <v>0</v>
      </c>
      <c r="I340" s="152">
        <f>IFERROR(__xludf.DUMMYFUNCTION("COUNTUNIQUEIFS(All_Stats!A:A,
All_Stats!$D:$D,$B340,
All_Stats!$B:$B,""&gt;=""&amp;EOMONTH($A340,-1)+1,
All_Stats!$B:$B,""&lt;""&amp;EOMONTH($A340,0)+1,
All_Stats!$P:$P,""&lt;&gt;Email Marketing""
)"),0.0)</f>
        <v>0</v>
      </c>
    </row>
    <row r="341" hidden="1">
      <c r="A341" s="128">
        <v>44621.0</v>
      </c>
      <c r="B341" s="129" t="s">
        <v>33</v>
      </c>
      <c r="C341" s="174" t="s">
        <v>492</v>
      </c>
      <c r="D341" s="131">
        <f>SUMIFS(All_Stats!$G:$G,
All_Stats!$D:$D,$B341,
All_Stats!$B:$B,"&gt;="&amp;EOMONTH($A341,-1)+1,
All_Stats!$B:$B,"&lt;"&amp;EOMONTH($A341,0)+1,
All_Stats!$P:$P,"&lt;&gt;Email Marketing"
)</f>
        <v>0</v>
      </c>
      <c r="E341" s="113">
        <f>SUMIFS(All_Stats!$I:$I,
All_Stats!$D:$D,$B341,
All_Stats!$B:$B,"&gt;="&amp;EOMONTH($A341,-1)+1,
All_Stats!$B:$B,"&lt;"&amp;EOMONTH($A341,0)+1,
All_Stats!$P:$P,"&lt;&gt;Email Marketing"
)</f>
        <v>0</v>
      </c>
      <c r="F341" s="132" t="str">
        <f t="shared" si="77"/>
        <v>N/A</v>
      </c>
      <c r="G341" s="131">
        <f>SUMIFS(All_Stats!$H:$H,
All_Stats!$D:$D,$B341,
All_Stats!$B:$B,"&gt;="&amp;EOMONTH($A341,-1)+1,
All_Stats!$B:$B,"&lt;"&amp;EOMONTH($A341,0)+1,
All_Stats!$P:$P,"&lt;&gt;Email Marketing"
)</f>
        <v>0</v>
      </c>
      <c r="H341" s="113">
        <f>SUMIFS(All_Stats!$K:$K,
All_Stats!$D:$D,$B341,
All_Stats!$B:$B,"&gt;="&amp;EOMONTH($A341,-1)+1,
All_Stats!$B:$B,"&lt;"&amp;EOMONTH($A341,0)+1,
All_Stats!$P:$P,"&lt;&gt;Email Marketing"
)</f>
        <v>0</v>
      </c>
      <c r="I341" s="152">
        <f>IFERROR(__xludf.DUMMYFUNCTION("COUNTUNIQUEIFS(All_Stats!A:A,
All_Stats!$D:$D,$B341,
All_Stats!$B:$B,""&gt;=""&amp;EOMONTH($A341,-1)+1,
All_Stats!$B:$B,""&lt;""&amp;EOMONTH($A341,0)+1,
All_Stats!$P:$P,""&lt;&gt;Email Marketing""
)"),0.0)</f>
        <v>0</v>
      </c>
    </row>
    <row r="342" hidden="1">
      <c r="A342" s="135"/>
      <c r="B342" s="135"/>
      <c r="C342" s="136" t="s">
        <v>23</v>
      </c>
      <c r="D342" s="137">
        <f t="shared" ref="D342:E342" si="78">SUM(D328:D341)</f>
        <v>0</v>
      </c>
      <c r="E342" s="137">
        <f t="shared" si="78"/>
        <v>0</v>
      </c>
      <c r="F342" s="138" t="str">
        <f t="shared" si="77"/>
        <v>N/A</v>
      </c>
      <c r="G342" s="137">
        <f t="shared" ref="G342:H342" si="79">SUM(G328:G341)</f>
        <v>0</v>
      </c>
      <c r="H342" s="137">
        <f t="shared" si="79"/>
        <v>0</v>
      </c>
      <c r="I342" s="139"/>
    </row>
    <row r="343" hidden="1">
      <c r="A343" s="131"/>
      <c r="B343" s="131"/>
      <c r="C343" s="131"/>
      <c r="D343" s="140"/>
      <c r="F343" s="131"/>
      <c r="G343" s="131"/>
    </row>
    <row r="344" hidden="1">
      <c r="A344" s="131"/>
      <c r="B344" s="131"/>
      <c r="C344" s="131"/>
      <c r="D344" s="140">
        <f t="shared" ref="D344:E344" si="80">D342+D324</f>
        <v>0</v>
      </c>
      <c r="E344" s="140">
        <f t="shared" si="80"/>
        <v>0</v>
      </c>
      <c r="F344" s="140"/>
      <c r="G344" s="140">
        <f t="shared" ref="G344:H344" si="81">G342+G324</f>
        <v>0</v>
      </c>
      <c r="H344" s="140">
        <f t="shared" si="81"/>
        <v>0</v>
      </c>
      <c r="K344" s="164">
        <f>H344+G344+E344</f>
        <v>0</v>
      </c>
    </row>
    <row r="345" hidden="1">
      <c r="A345" s="131"/>
      <c r="B345" s="131"/>
      <c r="C345" s="131"/>
      <c r="D345" s="140"/>
      <c r="F345" s="131"/>
      <c r="G345" s="131"/>
    </row>
    <row r="346" hidden="1">
      <c r="C346" s="118" t="s">
        <v>484</v>
      </c>
      <c r="D346" s="119"/>
      <c r="E346" s="119"/>
      <c r="F346" s="119"/>
      <c r="G346" s="119"/>
      <c r="H346" s="119"/>
      <c r="I346" s="159"/>
    </row>
    <row r="347" hidden="1">
      <c r="A347" s="121" t="s">
        <v>1</v>
      </c>
      <c r="B347" s="122" t="s">
        <v>485</v>
      </c>
      <c r="C347" s="123" t="s">
        <v>486</v>
      </c>
      <c r="D347" s="124" t="s">
        <v>6</v>
      </c>
      <c r="E347" s="125" t="s">
        <v>8</v>
      </c>
      <c r="F347" s="124" t="s">
        <v>479</v>
      </c>
      <c r="G347" s="126" t="s">
        <v>7</v>
      </c>
      <c r="H347" s="125" t="s">
        <v>10</v>
      </c>
      <c r="I347" s="160" t="s">
        <v>487</v>
      </c>
    </row>
    <row r="348" hidden="1">
      <c r="A348" s="128">
        <v>44652.0</v>
      </c>
      <c r="B348" s="131" t="s">
        <v>164</v>
      </c>
      <c r="C348" s="170" t="str">
        <f>if(ifna(VLOOKUP(B348,'Vendor Directory'!A:C,3,0),"NOT FOUND")="","NOT FOUND",VLOOKUP(B348,'Vendor Directory'!A:C,3,0))</f>
        <v>#N/A</v>
      </c>
      <c r="D348" s="131">
        <f>SUMIFS(All_Stats!$G:$G,
All_Stats!$D:$D,$B348,
All_Stats!$B:$B,"&gt;="&amp;EOMONTH($A348,-1)+1,
All_Stats!$B:$B,"&lt;"&amp;EOMONTH($A348,0)+1,
All_Stats!$P:$P,"Email Marketing"
)</f>
        <v>0</v>
      </c>
      <c r="E348" s="113">
        <f>SUMIFS(All_Stats!$I:$I,
All_Stats!$D:$D,$B348,
All_Stats!$B:$B,"&gt;="&amp;EOMONTH($A348,-1)+1,
All_Stats!$B:$B,"&lt;"&amp;EOMONTH($A348,0)+1,
All_Stats!$P:$P,"Email Marketing"
)</f>
        <v>0</v>
      </c>
      <c r="F348" s="132" t="str">
        <f t="shared" ref="F348:F354" si="82">iferror(E348/D348,"N/A")</f>
        <v>N/A</v>
      </c>
      <c r="G348" s="131">
        <f>SUMIFS(All_Stats!$H:$H,
All_Stats!$D:$D,$B348,
All_Stats!$B:$B,"&gt;="&amp;EOMONTH($A348,-1)+1,
All_Stats!$B:$B,"&lt;"&amp;EOMONTH($A348,0)+1,
All_Stats!$P:$P,"Email Marketing"
)</f>
        <v>0</v>
      </c>
      <c r="H348" s="113">
        <f>SUMIFS(All_Stats!$K:$K,
All_Stats!$D:$D,$B348,
All_Stats!$B:$B,"&gt;="&amp;EOMONTH($A348,-1)+1,
All_Stats!$B:$B,"&lt;"&amp;EOMONTH($A348,0)+1,
All_Stats!$P:$P,"Email Marketing"
)</f>
        <v>0</v>
      </c>
      <c r="I348" s="152">
        <f>IFERROR(__xludf.DUMMYFUNCTION("COUNTUNIQUEIFS(All_Stats!A:A,
All_Stats!$D:$D,$B348,
All_Stats!$B:$B,""&gt;=""&amp;EOMONTH($A348,-1)+1,
All_Stats!$B:$B,""&lt;""&amp;EOMONTH($A348,0)+1,
All_Stats!$P:$P,""Email Marketing""
)"),0.0)</f>
        <v>0</v>
      </c>
    </row>
    <row r="349" hidden="1">
      <c r="A349" s="128">
        <v>44652.0</v>
      </c>
      <c r="B349" s="131" t="s">
        <v>501</v>
      </c>
      <c r="C349" s="170" t="str">
        <f>if(ifna(VLOOKUP(B349,'Vendor Directory'!A:C,3,0),"NOT FOUND")="","NOT FOUND",VLOOKUP(B349,'Vendor Directory'!A:C,3,0))</f>
        <v>#N/A</v>
      </c>
      <c r="D349" s="114">
        <f>SUMIFS(All_Stats!$G:$G,
All_Stats!$D:$D,$B349,
All_Stats!$B:$B,"&gt;="&amp;EOMONTH($A349,-1)+1,
All_Stats!$B:$B,"&lt;"&amp;EOMONTH($A349,0)+1,
All_Stats!$P:$P,"Email Marketing"
)</f>
        <v>0</v>
      </c>
      <c r="E349" s="113">
        <f>SUMIFS(All_Stats!$I:$I,
All_Stats!$D:$D,$B349,
All_Stats!$B:$B,"&gt;="&amp;EOMONTH($A349,-1)+1,
All_Stats!$B:$B,"&lt;"&amp;EOMONTH($A349,0)+1,
All_Stats!$P:$P,"Email Marketing"
)</f>
        <v>0</v>
      </c>
      <c r="F349" s="132" t="str">
        <f t="shared" si="82"/>
        <v>N/A</v>
      </c>
      <c r="G349" s="131">
        <f>SUMIFS(All_Stats!$H:$H,
All_Stats!$D:$D,$B349,
All_Stats!$B:$B,"&gt;="&amp;EOMONTH($A349,-1)+1,
All_Stats!$B:$B,"&lt;"&amp;EOMONTH($A349,0)+1,
All_Stats!$P:$P,"Email Marketing"
)</f>
        <v>0</v>
      </c>
      <c r="H349" s="113">
        <f>SUMIFS(All_Stats!$K:$K,
All_Stats!$D:$D,$B349,
All_Stats!$B:$B,"&gt;="&amp;EOMONTH($A349,-1)+1,
All_Stats!$B:$B,"&lt;"&amp;EOMONTH($A349,0)+1,
All_Stats!$P:$P,"Email Marketing"
)</f>
        <v>0</v>
      </c>
      <c r="I349" s="152">
        <f>IFERROR(__xludf.DUMMYFUNCTION("COUNTUNIQUEIFS(All_Stats!A:A,
All_Stats!$D:$D,$B349,
All_Stats!$B:$B,""&gt;=""&amp;EOMONTH($A349,-1)+1,
All_Stats!$B:$B,""&lt;""&amp;EOMONTH($A349,0)+1,
All_Stats!$P:$P,""Email Marketing""
)"),0.0)</f>
        <v>0</v>
      </c>
    </row>
    <row r="350" hidden="1">
      <c r="A350" s="128">
        <v>44652.0</v>
      </c>
      <c r="B350" s="129" t="s">
        <v>79</v>
      </c>
      <c r="C350" s="174" t="s">
        <v>488</v>
      </c>
      <c r="D350" s="131">
        <f>SUMIFS(All_Stats!$G:$G,
All_Stats!$D:$D,$B350,
All_Stats!$B:$B,"&gt;="&amp;EOMONTH($A350,-1)+1,
All_Stats!$B:$B,"&lt;"&amp;EOMONTH($A350,0)+1,
All_Stats!$P:$P,"Email Marketing"
)</f>
        <v>0</v>
      </c>
      <c r="E350" s="113">
        <f>SUMIFS(All_Stats!$I:$I,
All_Stats!$D:$D,$B350,
All_Stats!$B:$B,"&gt;="&amp;EOMONTH($A350,-1)+1,
All_Stats!$B:$B,"&lt;"&amp;EOMONTH($A350,0)+1,
All_Stats!$P:$P,"Email Marketing"
)</f>
        <v>0</v>
      </c>
      <c r="F350" s="132" t="str">
        <f t="shared" si="82"/>
        <v>N/A</v>
      </c>
      <c r="G350" s="131">
        <f>SUMIFS(All_Stats!$H:$H,
All_Stats!$D:$D,$B350,
All_Stats!$B:$B,"&gt;="&amp;EOMONTH($A350,-1)+1,
All_Stats!$B:$B,"&lt;"&amp;EOMONTH($A350,0)+1,
All_Stats!$P:$P,"Email Marketing"
)</f>
        <v>0</v>
      </c>
      <c r="H350" s="113">
        <f>SUMIFS(All_Stats!$K:$K,
All_Stats!$D:$D,$B350,
All_Stats!$B:$B,"&gt;="&amp;EOMONTH($A350,-1)+1,
All_Stats!$B:$B,"&lt;"&amp;EOMONTH($A350,0)+1,
All_Stats!$P:$P,"Email Marketing"
)</f>
        <v>0</v>
      </c>
      <c r="I350" s="152">
        <f>IFERROR(__xludf.DUMMYFUNCTION("COUNTUNIQUEIFS(All_Stats!A:A,
All_Stats!$D:$D,$B350,
All_Stats!$B:$B,""&gt;=""&amp;EOMONTH($A350,-1)+1,
All_Stats!$B:$B,""&lt;""&amp;EOMONTH($A350,0)+1,
All_Stats!$P:$P,""Email Marketing""
)"),0.0)</f>
        <v>0</v>
      </c>
    </row>
    <row r="351" hidden="1">
      <c r="A351" s="128">
        <v>44652.0</v>
      </c>
      <c r="B351" s="129" t="s">
        <v>526</v>
      </c>
      <c r="C351" s="182" t="s">
        <v>527</v>
      </c>
      <c r="D351" s="131">
        <f>SUMIFS(All_Stats!$G:$G,
All_Stats!$D:$D,$B351,
All_Stats!$B:$B,"&gt;="&amp;EOMONTH($A351,-1)+1,
All_Stats!$B:$B,"&lt;"&amp;EOMONTH($A351,0)+1,
All_Stats!$P:$P,"Email Marketing"
)</f>
        <v>0</v>
      </c>
      <c r="E351" s="113">
        <f>SUMIFS(All_Stats!$I:$I,
All_Stats!$D:$D,$B351,
All_Stats!$B:$B,"&gt;="&amp;EOMONTH($A351,-1)+1,
All_Stats!$B:$B,"&lt;"&amp;EOMONTH($A351,0)+1,
All_Stats!$P:$P,"Email Marketing"
)</f>
        <v>0</v>
      </c>
      <c r="F351" s="132" t="str">
        <f t="shared" si="82"/>
        <v>N/A</v>
      </c>
      <c r="G351" s="131">
        <f>SUMIFS(All_Stats!$H:$H,
All_Stats!$D:$D,$B351,
All_Stats!$B:$B,"&gt;="&amp;EOMONTH($A351,-1)+1,
All_Stats!$B:$B,"&lt;"&amp;EOMONTH($A351,0)+1,
All_Stats!$P:$P,"Email Marketing"
)</f>
        <v>0</v>
      </c>
      <c r="H351" s="113">
        <f>SUMIFS(All_Stats!$K:$K,
All_Stats!$D:$D,$B351,
All_Stats!$B:$B,"&gt;="&amp;EOMONTH($A351,-1)+1,
All_Stats!$B:$B,"&lt;"&amp;EOMONTH($A351,0)+1,
All_Stats!$P:$P,"Email Marketing"
)</f>
        <v>0</v>
      </c>
      <c r="I351" s="152">
        <f>IFERROR(__xludf.DUMMYFUNCTION("COUNTUNIQUEIFS(All_Stats!A:A,
All_Stats!$D:$D,$B351,
All_Stats!$B:$B,""&gt;=""&amp;EOMONTH($A351,-1)+1,
All_Stats!$B:$B,""&lt;""&amp;EOMONTH($A351,0)+1,
All_Stats!$P:$P,""Email Marketing""
)"),0.0)</f>
        <v>0</v>
      </c>
    </row>
    <row r="352" hidden="1">
      <c r="A352" s="128">
        <v>44652.0</v>
      </c>
      <c r="B352" s="129" t="s">
        <v>313</v>
      </c>
      <c r="C352" s="174" t="s">
        <v>525</v>
      </c>
      <c r="D352" s="131">
        <f>SUMIFS(All_Stats!$G:$G,
All_Stats!$D:$D,$B352,
All_Stats!$B:$B,"&gt;="&amp;EOMONTH($A352,-1)+1,
All_Stats!$B:$B,"&lt;"&amp;EOMONTH($A352,0)+1,
All_Stats!$P:$P,"Email Marketing"
)</f>
        <v>0</v>
      </c>
      <c r="E352" s="113">
        <f>SUMIFS(All_Stats!$I:$I,
All_Stats!$D:$D,$B352,
All_Stats!$B:$B,"&gt;="&amp;EOMONTH($A352,-1)+1,
All_Stats!$B:$B,"&lt;"&amp;EOMONTH($A352,0)+1,
All_Stats!$P:$P,"Email Marketing"
)</f>
        <v>0</v>
      </c>
      <c r="F352" s="132" t="str">
        <f t="shared" si="82"/>
        <v>N/A</v>
      </c>
      <c r="G352" s="131">
        <f>SUMIFS(All_Stats!$H:$H,
All_Stats!$D:$D,$B352,
All_Stats!$B:$B,"&gt;="&amp;EOMONTH($A352,-1)+1,
All_Stats!$B:$B,"&lt;"&amp;EOMONTH($A352,0)+1,
All_Stats!$P:$P,"Email Marketing"
)</f>
        <v>0</v>
      </c>
      <c r="H352" s="113">
        <f>SUMIFS(All_Stats!$K:$K,
All_Stats!$D:$D,$B352,
All_Stats!$B:$B,"&gt;="&amp;EOMONTH($A352,-1)+1,
All_Stats!$B:$B,"&lt;"&amp;EOMONTH($A352,0)+1,
All_Stats!$P:$P,"Email Marketing"
)</f>
        <v>0</v>
      </c>
      <c r="I352" s="152">
        <f>IFERROR(__xludf.DUMMYFUNCTION("COUNTUNIQUEIFS(All_Stats!A:A,
All_Stats!$D:$D,$B352,
All_Stats!$B:$B,""&gt;=""&amp;EOMONTH($A352,-1)+1,
All_Stats!$B:$B,""&lt;""&amp;EOMONTH($A352,0)+1,
All_Stats!$P:$P,""Email Marketing""
)"),0.0)</f>
        <v>0</v>
      </c>
    </row>
    <row r="353" hidden="1">
      <c r="A353" s="128">
        <v>44652.0</v>
      </c>
      <c r="B353" s="131" t="s">
        <v>172</v>
      </c>
      <c r="C353" s="170" t="str">
        <f>if(ifna(VLOOKUP(B353,'Vendor Directory'!A:C,3,0),"NOT FOUND")="","NOT FOUND",VLOOKUP(B353,'Vendor Directory'!A:C,3,0))</f>
        <v>#N/A</v>
      </c>
      <c r="D353" s="131">
        <f>SUMIFS(All_Stats!$G:$G,
All_Stats!$D:$D,$B353,
All_Stats!$B:$B,"&gt;="&amp;EOMONTH($A353,-1)+1,
All_Stats!$B:$B,"&lt;"&amp;EOMONTH($A353,0)+1,
All_Stats!$P:$P,"Email Marketing"
)</f>
        <v>0</v>
      </c>
      <c r="E353" s="113">
        <f>SUMIFS(All_Stats!$I:$I,
All_Stats!$D:$D,$B353,
All_Stats!$B:$B,"&gt;="&amp;EOMONTH($A353,-1)+1,
All_Stats!$B:$B,"&lt;"&amp;EOMONTH($A353,0)+1,
All_Stats!$P:$P,"Email Marketing"
)</f>
        <v>0</v>
      </c>
      <c r="F353" s="132" t="str">
        <f t="shared" si="82"/>
        <v>N/A</v>
      </c>
      <c r="G353" s="131">
        <f>SUMIFS(All_Stats!$H:$H,
All_Stats!$D:$D,$B353,
All_Stats!$B:$B,"&gt;="&amp;EOMONTH($A353,-1)+1,
All_Stats!$B:$B,"&lt;"&amp;EOMONTH($A353,0)+1,
All_Stats!$P:$P,"Email Marketing"
)</f>
        <v>0</v>
      </c>
      <c r="H353" s="113">
        <f>SUMIFS(All_Stats!$K:$K,
All_Stats!$D:$D,$B353,
All_Stats!$B:$B,"&gt;="&amp;EOMONTH($A353,-1)+1,
All_Stats!$B:$B,"&lt;"&amp;EOMONTH($A353,0)+1,
All_Stats!$P:$P,"Email Marketing"
)</f>
        <v>0</v>
      </c>
      <c r="I353" s="152">
        <f>IFERROR(__xludf.DUMMYFUNCTION("COUNTUNIQUEIFS(All_Stats!A:A,
All_Stats!$D:$D,$B353,
All_Stats!$B:$B,""&gt;=""&amp;EOMONTH($A353,-1)+1,
All_Stats!$B:$B,""&lt;""&amp;EOMONTH($A353,0)+1,
All_Stats!$P:$P,""Email Marketing""
)"),0.0)</f>
        <v>0</v>
      </c>
    </row>
    <row r="354" hidden="1">
      <c r="A354" s="135"/>
      <c r="B354" s="135"/>
      <c r="C354" s="136" t="s">
        <v>23</v>
      </c>
      <c r="D354" s="137">
        <f t="shared" ref="D354:E354" si="83">SUM(D348:D353)</f>
        <v>0</v>
      </c>
      <c r="E354" s="137">
        <f t="shared" si="83"/>
        <v>0</v>
      </c>
      <c r="F354" s="138" t="str">
        <f t="shared" si="82"/>
        <v>N/A</v>
      </c>
      <c r="G354" s="137">
        <f t="shared" ref="G354:H354" si="84">SUM(G348:G353)</f>
        <v>0</v>
      </c>
      <c r="H354" s="137">
        <f t="shared" si="84"/>
        <v>0</v>
      </c>
      <c r="I354" s="139"/>
    </row>
    <row r="355" hidden="1">
      <c r="A355" s="131"/>
      <c r="B355" s="131"/>
      <c r="C355" s="131"/>
      <c r="D355" s="140"/>
      <c r="F355" s="131"/>
      <c r="G355" s="131"/>
    </row>
    <row r="356" hidden="1">
      <c r="C356" s="118" t="s">
        <v>504</v>
      </c>
      <c r="D356" s="119"/>
      <c r="E356" s="119"/>
      <c r="F356" s="119"/>
      <c r="G356" s="119"/>
      <c r="H356" s="119"/>
      <c r="I356" s="159"/>
    </row>
    <row r="357" hidden="1">
      <c r="A357" s="121" t="s">
        <v>1</v>
      </c>
      <c r="B357" s="122" t="s">
        <v>485</v>
      </c>
      <c r="C357" s="123" t="s">
        <v>486</v>
      </c>
      <c r="D357" s="124" t="s">
        <v>6</v>
      </c>
      <c r="E357" s="125" t="s">
        <v>8</v>
      </c>
      <c r="F357" s="124" t="s">
        <v>479</v>
      </c>
      <c r="G357" s="126" t="s">
        <v>7</v>
      </c>
      <c r="H357" s="125" t="s">
        <v>10</v>
      </c>
      <c r="I357" s="160" t="s">
        <v>487</v>
      </c>
    </row>
    <row r="358" hidden="1">
      <c r="A358" s="128">
        <v>44652.0</v>
      </c>
      <c r="B358" s="131" t="s">
        <v>30</v>
      </c>
      <c r="C358" s="170" t="str">
        <f>if(ifna(VLOOKUP(B358,'Vendor Directory'!A:C,3,0),"NOT FOUND")="","NOT FOUND",VLOOKUP(B358,'Vendor Directory'!A:C,3,0))</f>
        <v>Vendor 2 Name</v>
      </c>
      <c r="D358" s="131">
        <f>SUMIFS(All_Stats!$G:$G,
All_Stats!$D:$D,$B358,
All_Stats!$B:$B,"&gt;="&amp;EOMONTH($A358,-1)+1,
All_Stats!$B:$B,"&lt;"&amp;EOMONTH($A358,0)+1,
All_Stats!$P:$P,"&lt;&gt;Email Marketing"
)</f>
        <v>0</v>
      </c>
      <c r="E358" s="113">
        <f>SUMIFS(All_Stats!$I:$I,
All_Stats!$D:$D,$B358,
All_Stats!$B:$B,"&gt;="&amp;EOMONTH($A358,-1)+1,
All_Stats!$B:$B,"&lt;"&amp;EOMONTH($A358,0)+1,
All_Stats!$P:$P,"&lt;&gt;Email Marketing"
)</f>
        <v>0</v>
      </c>
      <c r="F358" s="132" t="str">
        <f t="shared" ref="F358:F371" si="85">iferror(E358/D358,"N/A")</f>
        <v>N/A</v>
      </c>
      <c r="G358" s="131">
        <f>SUMIFS(All_Stats!$H:$H,
All_Stats!$D:$D,$B358,
All_Stats!$B:$B,"&gt;="&amp;EOMONTH($A358,-1)+1,
All_Stats!$B:$B,"&lt;"&amp;EOMONTH($A358,0)+1,
All_Stats!$P:$P,"&lt;&gt;Email Marketing"
)</f>
        <v>0</v>
      </c>
      <c r="H358" s="113">
        <f>SUMIFS(All_Stats!$K:$K,
All_Stats!$D:$D,$B358,
All_Stats!$B:$B,"&gt;="&amp;EOMONTH($A358,-1)+1,
All_Stats!$B:$B,"&lt;"&amp;EOMONTH($A358,0)+1,
All_Stats!$P:$P,"&lt;&gt;Email Marketing"
)</f>
        <v>0</v>
      </c>
      <c r="I358" s="152">
        <f>IFERROR(__xludf.DUMMYFUNCTION("COUNTUNIQUEIFS(All_Stats!A:A,
All_Stats!$D:$D,$B358,
All_Stats!$B:$B,""&gt;=""&amp;EOMONTH($A358,-1)+1,
All_Stats!$B:$B,""&lt;""&amp;EOMONTH($A358,0)+1,
All_Stats!$P:$P,""&lt;&gt;Email Marketing""
)"),0.0)</f>
        <v>0</v>
      </c>
    </row>
    <row r="359" hidden="1">
      <c r="A359" s="128">
        <v>44652.0</v>
      </c>
      <c r="B359" s="131" t="s">
        <v>501</v>
      </c>
      <c r="C359" s="170" t="str">
        <f>if(ifna(VLOOKUP(B359,'Vendor Directory'!A:C,3,0),"NOT FOUND")="","NOT FOUND",VLOOKUP(B359,'Vendor Directory'!A:C,3,0))</f>
        <v>#N/A</v>
      </c>
      <c r="D359" s="114">
        <f>SUMIFS(All_Stats!$G:$G,
All_Stats!$D:$D,$B359,
All_Stats!$B:$B,"&gt;="&amp;EOMONTH($A359,-1)+1,
All_Stats!$B:$B,"&lt;"&amp;EOMONTH($A359,0)+1,
All_Stats!$P:$P,"&lt;&gt;Email Marketing"
)</f>
        <v>0</v>
      </c>
      <c r="E359" s="113">
        <f>SUMIFS(All_Stats!$I:$I,
All_Stats!$D:$D,$B359,
All_Stats!$B:$B,"&gt;="&amp;EOMONTH($A359,-1)+1,
All_Stats!$B:$B,"&lt;"&amp;EOMONTH($A359,0)+1,
All_Stats!$P:$P,"&lt;&gt;Email Marketing"
)</f>
        <v>0</v>
      </c>
      <c r="F359" s="132" t="str">
        <f t="shared" si="85"/>
        <v>N/A</v>
      </c>
      <c r="G359" s="131">
        <f>SUMIFS(All_Stats!$H:$H,
All_Stats!$D:$D,$B359,
All_Stats!$B:$B,"&gt;="&amp;EOMONTH($A359,-1)+1,
All_Stats!$B:$B,"&lt;"&amp;EOMONTH($A359,0)+1,
All_Stats!$P:$P,"&lt;&gt;Email Marketing"
)</f>
        <v>0</v>
      </c>
      <c r="H359" s="113">
        <f>SUMIFS(All_Stats!$K:$K,
All_Stats!$D:$D,$B359,
All_Stats!$B:$B,"&gt;="&amp;EOMONTH($A359,-1)+1,
All_Stats!$B:$B,"&lt;"&amp;EOMONTH($A359,0)+1,
All_Stats!$P:$P,"&lt;&gt;Email Marketing"
)</f>
        <v>0</v>
      </c>
      <c r="I359" s="152">
        <f>IFERROR(__xludf.DUMMYFUNCTION("COUNTUNIQUEIFS(All_Stats!A:A,
All_Stats!$D:$D,$B359,
All_Stats!$B:$B,""&gt;=""&amp;EOMONTH($A359,-1)+1,
All_Stats!$B:$B,""&lt;""&amp;EOMONTH($A359,0)+1,
All_Stats!$P:$P,""&lt;&gt;Email Marketing""
)"),0.0)</f>
        <v>0</v>
      </c>
    </row>
    <row r="360" hidden="1">
      <c r="A360" s="128">
        <v>44652.0</v>
      </c>
      <c r="B360" s="131" t="s">
        <v>127</v>
      </c>
      <c r="C360" s="170" t="str">
        <f>if(ifna(VLOOKUP(B360,'Vendor Directory'!A:C,3,0),"NOT FOUND")="","NOT FOUND",VLOOKUP(B360,'Vendor Directory'!A:C,3,0))</f>
        <v>#N/A</v>
      </c>
      <c r="D360" s="131">
        <f>SUMIFS(All_Stats!$G:$G,
All_Stats!$D:$D,$B360,
All_Stats!$B:$B,"&gt;="&amp;EOMONTH($A360,-1)+1,
All_Stats!$B:$B,"&lt;"&amp;EOMONTH($A360,0)+1,
All_Stats!$P:$P,"&lt;&gt;Email Marketing"
)</f>
        <v>0</v>
      </c>
      <c r="E360" s="113">
        <f>SUMIFS(All_Stats!$I:$I,
All_Stats!$D:$D,$B360,
All_Stats!$B:$B,"&gt;="&amp;EOMONTH($A360,-1)+1,
All_Stats!$B:$B,"&lt;"&amp;EOMONTH($A360,0)+1,
All_Stats!$P:$P,"&lt;&gt;Email Marketing"
)</f>
        <v>0</v>
      </c>
      <c r="F360" s="132" t="str">
        <f t="shared" si="85"/>
        <v>N/A</v>
      </c>
      <c r="G360" s="131">
        <f>SUMIFS(All_Stats!$H:$H,
All_Stats!$D:$D,$B360,
All_Stats!$B:$B,"&gt;="&amp;EOMONTH($A360,-1)+1,
All_Stats!$B:$B,"&lt;"&amp;EOMONTH($A360,0)+1,
All_Stats!$P:$P,"&lt;&gt;Email Marketing"
)</f>
        <v>0</v>
      </c>
      <c r="H360" s="113">
        <f>SUMIFS(All_Stats!$K:$K,
All_Stats!$D:$D,$B360,
All_Stats!$B:$B,"&gt;="&amp;EOMONTH($A360,-1)+1,
All_Stats!$B:$B,"&lt;"&amp;EOMONTH($A360,0)+1,
All_Stats!$P:$P,"&lt;&gt;Email Marketing"
)</f>
        <v>0</v>
      </c>
      <c r="I360" s="152">
        <f>IFERROR(__xludf.DUMMYFUNCTION("COUNTUNIQUEIFS(All_Stats!A:A,
All_Stats!$D:$D,$B360,
All_Stats!$B:$B,""&gt;=""&amp;EOMONTH($A360,-1)+1,
All_Stats!$B:$B,""&lt;""&amp;EOMONTH($A360,0)+1,
All_Stats!$P:$P,""&lt;&gt;Email Marketing""
)"),0.0)</f>
        <v>0</v>
      </c>
    </row>
    <row r="361" hidden="1">
      <c r="A361" s="128">
        <v>44652.0</v>
      </c>
      <c r="B361" s="131" t="s">
        <v>172</v>
      </c>
      <c r="C361" s="170" t="str">
        <f>if(ifna(VLOOKUP(B361,'Vendor Directory'!A:C,3,0),"NOT FOUND")="","NOT FOUND",VLOOKUP(B361,'Vendor Directory'!A:C,3,0))</f>
        <v>#N/A</v>
      </c>
      <c r="D361" s="131">
        <f>SUMIFS(All_Stats!$G:$G,
All_Stats!$D:$D,$B361,
All_Stats!$B:$B,"&gt;="&amp;EOMONTH($A361,-1)+1,
All_Stats!$B:$B,"&lt;"&amp;EOMONTH($A361,0)+1,
All_Stats!$P:$P,"&lt;&gt;Email Marketing"
)</f>
        <v>0</v>
      </c>
      <c r="E361" s="113">
        <f>SUMIFS(All_Stats!$I:$I,
All_Stats!$D:$D,$B361,
All_Stats!$B:$B,"&gt;="&amp;EOMONTH($A361,-1)+1,
All_Stats!$B:$B,"&lt;"&amp;EOMONTH($A361,0)+1,
All_Stats!$P:$P,"&lt;&gt;Email Marketing"
)</f>
        <v>0</v>
      </c>
      <c r="F361" s="132" t="str">
        <f t="shared" si="85"/>
        <v>N/A</v>
      </c>
      <c r="G361" s="131">
        <f>SUMIFS(All_Stats!$H:$H,
All_Stats!$D:$D,$B361,
All_Stats!$B:$B,"&gt;="&amp;EOMONTH($A361,-1)+1,
All_Stats!$B:$B,"&lt;"&amp;EOMONTH($A361,0)+1,
All_Stats!$P:$P,"&lt;&gt;Email Marketing"
)</f>
        <v>0</v>
      </c>
      <c r="H361" s="113">
        <f>SUMIFS(All_Stats!$K:$K,
All_Stats!$D:$D,$B361,
All_Stats!$B:$B,"&gt;="&amp;EOMONTH($A361,-1)+1,
All_Stats!$B:$B,"&lt;"&amp;EOMONTH($A361,0)+1,
All_Stats!$P:$P,"&lt;&gt;Email Marketing"
)</f>
        <v>0</v>
      </c>
      <c r="I361" s="152">
        <f>IFERROR(__xludf.DUMMYFUNCTION("COUNTUNIQUEIFS(All_Stats!A:A,
All_Stats!$D:$D,$B361,
All_Stats!$B:$B,""&gt;=""&amp;EOMONTH($A361,-1)+1,
All_Stats!$B:$B,""&lt;""&amp;EOMONTH($A361,0)+1,
All_Stats!$P:$P,""&lt;&gt;Email Marketing""
)"),0.0)</f>
        <v>0</v>
      </c>
    </row>
    <row r="362" hidden="1">
      <c r="A362" s="128">
        <v>44652.0</v>
      </c>
      <c r="B362" s="131" t="s">
        <v>500</v>
      </c>
      <c r="C362" s="170" t="str">
        <f>if(ifna(VLOOKUP(B362,'Vendor Directory'!A:C,3,0),"NOT FOUND")="","NOT FOUND",VLOOKUP(B362,'Vendor Directory'!A:C,3,0))</f>
        <v>#N/A</v>
      </c>
      <c r="D362" s="131">
        <f>SUMIFS(All_Stats!$G:$G,
All_Stats!$D:$D,$B362,
All_Stats!$B:$B,"&gt;="&amp;EOMONTH($A362,-1)+1,
All_Stats!$B:$B,"&lt;"&amp;EOMONTH($A362,0)+1,
All_Stats!$P:$P,"&lt;&gt;Email Marketing"
)</f>
        <v>0</v>
      </c>
      <c r="E362" s="113">
        <f>SUMIFS(All_Stats!$I:$I,
All_Stats!$D:$D,$B362,
All_Stats!$B:$B,"&gt;="&amp;EOMONTH($A362,-1)+1,
All_Stats!$B:$B,"&lt;"&amp;EOMONTH($A362,0)+1,
All_Stats!$P:$P,"&lt;&gt;Email Marketing"
)</f>
        <v>0</v>
      </c>
      <c r="F362" s="132" t="str">
        <f t="shared" si="85"/>
        <v>N/A</v>
      </c>
      <c r="G362" s="131">
        <f>SUMIFS(All_Stats!$H:$H,
All_Stats!$D:$D,$B362,
All_Stats!$B:$B,"&gt;="&amp;EOMONTH($A362,-1)+1,
All_Stats!$B:$B,"&lt;"&amp;EOMONTH($A362,0)+1,
All_Stats!$P:$P,"&lt;&gt;Email Marketing"
)</f>
        <v>0</v>
      </c>
      <c r="H362" s="113">
        <f>SUMIFS(All_Stats!$K:$K,
All_Stats!$D:$D,$B362,
All_Stats!$B:$B,"&gt;="&amp;EOMONTH($A362,-1)+1,
All_Stats!$B:$B,"&lt;"&amp;EOMONTH($A362,0)+1,
All_Stats!$P:$P,"&lt;&gt;Email Marketing"
)</f>
        <v>0</v>
      </c>
      <c r="I362" s="152">
        <f>IFERROR(__xludf.DUMMYFUNCTION("COUNTUNIQUEIFS(All_Stats!A:A,
All_Stats!$D:$D,$B362,
All_Stats!$B:$B,""&gt;=""&amp;EOMONTH($A362,-1)+1,
All_Stats!$B:$B,""&lt;""&amp;EOMONTH($A362,0)+1,
All_Stats!$P:$P,""&lt;&gt;Email Marketing""
)"),0.0)</f>
        <v>0</v>
      </c>
    </row>
    <row r="363" hidden="1">
      <c r="A363" s="128">
        <v>44652.0</v>
      </c>
      <c r="B363" s="129" t="s">
        <v>313</v>
      </c>
      <c r="C363" s="174" t="s">
        <v>525</v>
      </c>
      <c r="D363" s="131">
        <f>SUMIFS(All_Stats!$G:$G,
All_Stats!$D:$D,$B363,
All_Stats!$B:$B,"&gt;="&amp;EOMONTH($A363,-1)+1,
All_Stats!$B:$B,"&lt;"&amp;EOMONTH($A363,0)+1,
All_Stats!$P:$P,"&lt;&gt;Email Marketing"
)</f>
        <v>0</v>
      </c>
      <c r="E363" s="113">
        <f>SUMIFS(All_Stats!$I:$I,
All_Stats!$D:$D,$B363,
All_Stats!$B:$B,"&gt;="&amp;EOMONTH($A363,-1)+1,
All_Stats!$B:$B,"&lt;"&amp;EOMONTH($A363,0)+1,
All_Stats!$P:$P,"&lt;&gt;Email Marketing"
)</f>
        <v>0</v>
      </c>
      <c r="F363" s="132" t="str">
        <f t="shared" si="85"/>
        <v>N/A</v>
      </c>
      <c r="G363" s="131">
        <f>SUMIFS(All_Stats!$H:$H,
All_Stats!$D:$D,$B363,
All_Stats!$B:$B,"&gt;="&amp;EOMONTH($A363,-1)+1,
All_Stats!$B:$B,"&lt;"&amp;EOMONTH($A363,0)+1,
All_Stats!$P:$P,"&lt;&gt;Email Marketing"
)</f>
        <v>0</v>
      </c>
      <c r="H363" s="113">
        <f>SUMIFS(All_Stats!$K:$K,
All_Stats!$D:$D,$B363,
All_Stats!$B:$B,"&gt;="&amp;EOMONTH($A363,-1)+1,
All_Stats!$B:$B,"&lt;"&amp;EOMONTH($A363,0)+1,
All_Stats!$P:$P,"&lt;&gt;Email Marketing"
)</f>
        <v>0</v>
      </c>
      <c r="I363" s="152">
        <f>IFERROR(__xludf.DUMMYFUNCTION("COUNTUNIQUEIFS(All_Stats!A:A,
All_Stats!$D:$D,$B363,
All_Stats!$B:$B,""&gt;=""&amp;EOMONTH($A363,-1)+1,
All_Stats!$B:$B,""&lt;""&amp;EOMONTH($A363,0)+1,
All_Stats!$P:$P,""&lt;&gt;Email Marketing""
)"),0.0)</f>
        <v>0</v>
      </c>
    </row>
    <row r="364" hidden="1">
      <c r="A364" s="128">
        <v>44652.0</v>
      </c>
      <c r="B364" s="131" t="s">
        <v>164</v>
      </c>
      <c r="C364" s="170" t="str">
        <f>if(ifna(VLOOKUP(B364,'Vendor Directory'!A:C,3,0),"NOT FOUND")="","NOT FOUND",VLOOKUP(B364,'Vendor Directory'!A:C,3,0))</f>
        <v>#N/A</v>
      </c>
      <c r="D364" s="131">
        <f>SUMIFS(All_Stats!$G:$G,
All_Stats!$D:$D,$B364,
All_Stats!$B:$B,"&gt;="&amp;EOMONTH($A364,-1)+1,
All_Stats!$B:$B,"&lt;"&amp;EOMONTH($A364,0)+1,
All_Stats!$P:$P,"&lt;&gt;Email Marketing"
)</f>
        <v>0</v>
      </c>
      <c r="E364" s="113">
        <f>SUMIFS(All_Stats!$I:$I,
All_Stats!$D:$D,$B364,
All_Stats!$B:$B,"&gt;="&amp;EOMONTH($A364,-1)+1,
All_Stats!$B:$B,"&lt;"&amp;EOMONTH($A364,0)+1,
All_Stats!$P:$P,"&lt;&gt;Email Marketing"
)</f>
        <v>0</v>
      </c>
      <c r="F364" s="132" t="str">
        <f t="shared" si="85"/>
        <v>N/A</v>
      </c>
      <c r="G364" s="131">
        <f>SUMIFS(All_Stats!$H:$H,
All_Stats!$D:$D,$B364,
All_Stats!$B:$B,"&gt;="&amp;EOMONTH($A364,-1)+1,
All_Stats!$B:$B,"&lt;"&amp;EOMONTH($A364,0)+1,
All_Stats!$P:$P,"&lt;&gt;Email Marketing"
)</f>
        <v>0</v>
      </c>
      <c r="H364" s="113">
        <f>SUMIFS(All_Stats!$K:$K,
All_Stats!$D:$D,$B364,
All_Stats!$B:$B,"&gt;="&amp;EOMONTH($A364,-1)+1,
All_Stats!$B:$B,"&lt;"&amp;EOMONTH($A364,0)+1,
All_Stats!$P:$P,"&lt;&gt;Email Marketing"
)</f>
        <v>0</v>
      </c>
      <c r="I364" s="152">
        <f>IFERROR(__xludf.DUMMYFUNCTION("COUNTUNIQUEIFS(All_Stats!A:A,
All_Stats!$D:$D,$B364,
All_Stats!$B:$B,""&gt;=""&amp;EOMONTH($A364,-1)+1,
All_Stats!$B:$B,""&lt;""&amp;EOMONTH($A364,0)+1,
All_Stats!$P:$P,""&lt;&gt;Email Marketing""
)"),0.0)</f>
        <v>0</v>
      </c>
    </row>
    <row r="365" hidden="1">
      <c r="A365" s="128">
        <v>44652.0</v>
      </c>
      <c r="B365" s="129" t="s">
        <v>495</v>
      </c>
      <c r="C365" s="174" t="s">
        <v>528</v>
      </c>
      <c r="D365" s="131">
        <f>SUMIFS(All_Stats!$G:$G,
All_Stats!$D:$D,$B365,
All_Stats!$B:$B,"&gt;="&amp;EOMONTH($A365,-1)+1,
All_Stats!$B:$B,"&lt;"&amp;EOMONTH($A365,0)+1,
All_Stats!$P:$P,"&lt;&gt;Email Marketing"
)</f>
        <v>0</v>
      </c>
      <c r="E365" s="113">
        <f>SUMIFS(All_Stats!$I:$I,
All_Stats!$D:$D,$B365,
All_Stats!$B:$B,"&gt;="&amp;EOMONTH($A365,-1)+1,
All_Stats!$B:$B,"&lt;"&amp;EOMONTH($A365,0)+1,
All_Stats!$P:$P,"&lt;&gt;Email Marketing"
)</f>
        <v>0</v>
      </c>
      <c r="F365" s="132" t="str">
        <f t="shared" si="85"/>
        <v>N/A</v>
      </c>
      <c r="G365" s="131">
        <f>SUMIFS(All_Stats!$H:$H,
All_Stats!$D:$D,$B365,
All_Stats!$B:$B,"&gt;="&amp;EOMONTH($A365,-1)+1,
All_Stats!$B:$B,"&lt;"&amp;EOMONTH($A365,0)+1,
All_Stats!$P:$P,"&lt;&gt;Email Marketing"
)</f>
        <v>0</v>
      </c>
      <c r="H365" s="113">
        <f>SUMIFS(All_Stats!$K:$K,
All_Stats!$D:$D,$B365,
All_Stats!$B:$B,"&gt;="&amp;EOMONTH($A365,-1)+1,
All_Stats!$B:$B,"&lt;"&amp;EOMONTH($A365,0)+1,
All_Stats!$P:$P,"&lt;&gt;Email Marketing"
)</f>
        <v>0</v>
      </c>
      <c r="I365" s="152">
        <f>IFERROR(__xludf.DUMMYFUNCTION("COUNTUNIQUEIFS(All_Stats!A:A,
All_Stats!$D:$D,$B365,
All_Stats!$B:$B,""&gt;=""&amp;EOMONTH($A365,-1)+1,
All_Stats!$B:$B,""&lt;""&amp;EOMONTH($A365,0)+1,
All_Stats!$P:$P,""&lt;&gt;Email Marketing""
)"),0.0)</f>
        <v>0</v>
      </c>
    </row>
    <row r="366" hidden="1">
      <c r="A366" s="128">
        <v>44652.0</v>
      </c>
      <c r="B366" s="131" t="s">
        <v>157</v>
      </c>
      <c r="C366" s="170" t="str">
        <f>if(ifna(VLOOKUP(B366,'Vendor Directory'!A:C,3,0),"NOT FOUND")="","NOT FOUND",VLOOKUP(B366,'Vendor Directory'!A:C,3,0))</f>
        <v>#N/A</v>
      </c>
      <c r="D366" s="131">
        <f>SUMIFS(All_Stats!$G:$G,
All_Stats!$D:$D,$B366,
All_Stats!$B:$B,"&gt;="&amp;EOMONTH($A366,-1)+1,
All_Stats!$B:$B,"&lt;"&amp;EOMONTH($A366,0)+1,
All_Stats!$P:$P,"&lt;&gt;Email Marketing"
)</f>
        <v>0</v>
      </c>
      <c r="E366" s="113">
        <f>SUMIFS(All_Stats!$I:$I,
All_Stats!$D:$D,$B366,
All_Stats!$B:$B,"&gt;="&amp;EOMONTH($A366,-1)+1,
All_Stats!$B:$B,"&lt;"&amp;EOMONTH($A366,0)+1,
All_Stats!$P:$P,"&lt;&gt;Email Marketing"
)</f>
        <v>0</v>
      </c>
      <c r="F366" s="132" t="str">
        <f t="shared" si="85"/>
        <v>N/A</v>
      </c>
      <c r="G366" s="131">
        <f>SUMIFS(All_Stats!$H:$H,
All_Stats!$D:$D,$B366,
All_Stats!$B:$B,"&gt;="&amp;EOMONTH($A366,-1)+1,
All_Stats!$B:$B,"&lt;"&amp;EOMONTH($A366,0)+1,
All_Stats!$P:$P,"&lt;&gt;Email Marketing"
)</f>
        <v>0</v>
      </c>
      <c r="H366" s="113">
        <f>SUMIFS(All_Stats!$K:$K,
All_Stats!$D:$D,$B366,
All_Stats!$B:$B,"&gt;="&amp;EOMONTH($A366,-1)+1,
All_Stats!$B:$B,"&lt;"&amp;EOMONTH($A366,0)+1,
All_Stats!$P:$P,"&lt;&gt;Email Marketing"
)</f>
        <v>0</v>
      </c>
      <c r="I366" s="152">
        <f>IFERROR(__xludf.DUMMYFUNCTION("COUNTUNIQUEIFS(All_Stats!A:A,
All_Stats!$D:$D,$B366,
All_Stats!$B:$B,""&gt;=""&amp;EOMONTH($A366,-1)+1,
All_Stats!$B:$B,""&lt;""&amp;EOMONTH($A366,0)+1,
All_Stats!$P:$P,""&lt;&gt;Email Marketing""
)"),0.0)</f>
        <v>0</v>
      </c>
    </row>
    <row r="367" hidden="1">
      <c r="A367" s="128">
        <v>44652.0</v>
      </c>
      <c r="B367" s="131" t="s">
        <v>497</v>
      </c>
      <c r="C367" s="170" t="str">
        <f>if(ifna(VLOOKUP(B367,'Vendor Directory'!A:C,3,0),"NOT FOUND")="","NOT FOUND",VLOOKUP(B367,'Vendor Directory'!A:C,3,0))</f>
        <v>#N/A</v>
      </c>
      <c r="D367" s="131">
        <f>SUMIFS(All_Stats!$G:$G,
All_Stats!$D:$D,$B367,
All_Stats!$B:$B,"&gt;="&amp;EOMONTH($A367,-1)+1,
All_Stats!$B:$B,"&lt;"&amp;EOMONTH($A367,0)+1,
All_Stats!$P:$P,"&lt;&gt;Email Marketing"
)</f>
        <v>0</v>
      </c>
      <c r="E367" s="113">
        <f>SUMIFS(All_Stats!$I:$I,
All_Stats!$D:$D,$B367,
All_Stats!$B:$B,"&gt;="&amp;EOMONTH($A367,-1)+1,
All_Stats!$B:$B,"&lt;"&amp;EOMONTH($A367,0)+1,
All_Stats!$P:$P,"&lt;&gt;Email Marketing"
)</f>
        <v>0</v>
      </c>
      <c r="F367" s="132" t="str">
        <f t="shared" si="85"/>
        <v>N/A</v>
      </c>
      <c r="G367" s="131">
        <f>SUMIFS(All_Stats!$H:$H,
All_Stats!$D:$D,$B367,
All_Stats!$B:$B,"&gt;="&amp;EOMONTH($A367,-1)+1,
All_Stats!$B:$B,"&lt;"&amp;EOMONTH($A367,0)+1,
All_Stats!$P:$P,"&lt;&gt;Email Marketing"
)</f>
        <v>0</v>
      </c>
      <c r="H367" s="113">
        <f>SUMIFS(All_Stats!$K:$K,
All_Stats!$D:$D,$B367,
All_Stats!$B:$B,"&gt;="&amp;EOMONTH($A367,-1)+1,
All_Stats!$B:$B,"&lt;"&amp;EOMONTH($A367,0)+1,
All_Stats!$P:$P,"&lt;&gt;Email Marketing"
)</f>
        <v>0</v>
      </c>
      <c r="I367" s="152">
        <f>IFERROR(__xludf.DUMMYFUNCTION("COUNTUNIQUEIFS(All_Stats!A:A,
All_Stats!$D:$D,$B367,
All_Stats!$B:$B,""&gt;=""&amp;EOMONTH($A367,-1)+1,
All_Stats!$B:$B,""&lt;""&amp;EOMONTH($A367,0)+1,
All_Stats!$P:$P,""&lt;&gt;Email Marketing""
)"),0.0)</f>
        <v>0</v>
      </c>
    </row>
    <row r="368" hidden="1">
      <c r="A368" s="128">
        <v>44652.0</v>
      </c>
      <c r="B368" s="131" t="s">
        <v>91</v>
      </c>
      <c r="C368" s="170" t="str">
        <f>if(ifna(VLOOKUP(B368,'Vendor Directory'!A:C,3,0),"NOT FOUND")="","NOT FOUND",VLOOKUP(B368,'Vendor Directory'!A:C,3,0))</f>
        <v>#N/A</v>
      </c>
      <c r="D368" s="131">
        <f>SUMIFS(All_Stats!$G:$G,
All_Stats!$D:$D,$B368,
All_Stats!$B:$B,"&gt;="&amp;EOMONTH($A368,-1)+1,
All_Stats!$B:$B,"&lt;"&amp;EOMONTH($A368,0)+1,
All_Stats!$P:$P,"&lt;&gt;Email Marketing"
)</f>
        <v>0</v>
      </c>
      <c r="E368" s="113">
        <f>SUMIFS(All_Stats!$I:$I,
All_Stats!$D:$D,$B368,
All_Stats!$B:$B,"&gt;="&amp;EOMONTH($A368,-1)+1,
All_Stats!$B:$B,"&lt;"&amp;EOMONTH($A368,0)+1,
All_Stats!$P:$P,"&lt;&gt;Email Marketing"
)</f>
        <v>0</v>
      </c>
      <c r="F368" s="132" t="str">
        <f t="shared" si="85"/>
        <v>N/A</v>
      </c>
      <c r="G368" s="131">
        <f>SUMIFS(All_Stats!$H:$H,
All_Stats!$D:$D,$B368,
All_Stats!$B:$B,"&gt;="&amp;EOMONTH($A368,-1)+1,
All_Stats!$B:$B,"&lt;"&amp;EOMONTH($A368,0)+1,
All_Stats!$P:$P,"&lt;&gt;Email Marketing"
)</f>
        <v>0</v>
      </c>
      <c r="H368" s="113">
        <f>SUMIFS(All_Stats!$K:$K,
All_Stats!$D:$D,$B368,
All_Stats!$B:$B,"&gt;="&amp;EOMONTH($A368,-1)+1,
All_Stats!$B:$B,"&lt;"&amp;EOMONTH($A368,0)+1,
All_Stats!$P:$P,"&lt;&gt;Email Marketing"
)</f>
        <v>0</v>
      </c>
      <c r="I368" s="152">
        <f>IFERROR(__xludf.DUMMYFUNCTION("COUNTUNIQUEIFS(All_Stats!A:A,
All_Stats!$D:$D,$B368,
All_Stats!$B:$B,""&gt;=""&amp;EOMONTH($A368,-1)+1,
All_Stats!$B:$B,""&lt;""&amp;EOMONTH($A368,0)+1,
All_Stats!$P:$P,""&lt;&gt;Email Marketing""
)"),0.0)</f>
        <v>0</v>
      </c>
    </row>
    <row r="369" hidden="1">
      <c r="A369" s="128">
        <v>44652.0</v>
      </c>
      <c r="B369" s="129" t="s">
        <v>79</v>
      </c>
      <c r="C369" s="183" t="s">
        <v>488</v>
      </c>
      <c r="D369" s="131">
        <f>SUMIFS(All_Stats!$G:$G,
All_Stats!$D:$D,$B369,
All_Stats!$B:$B,"&gt;="&amp;EOMONTH($A369,-1)+1,
All_Stats!$B:$B,"&lt;"&amp;EOMONTH($A369,0)+1,
All_Stats!$P:$P,"&lt;&gt;Email Marketing"
)</f>
        <v>0</v>
      </c>
      <c r="E369" s="113">
        <f>SUMIFS(All_Stats!$I:$I,
All_Stats!$D:$D,$B369,
All_Stats!$B:$B,"&gt;="&amp;EOMONTH($A369,-1)+1,
All_Stats!$B:$B,"&lt;"&amp;EOMONTH($A369,0)+1,
All_Stats!$P:$P,"&lt;&gt;Email Marketing"
)</f>
        <v>0</v>
      </c>
      <c r="F369" s="132" t="str">
        <f t="shared" si="85"/>
        <v>N/A</v>
      </c>
      <c r="G369" s="131">
        <f>SUMIFS(All_Stats!$H:$H,
All_Stats!$D:$D,$B369,
All_Stats!$B:$B,"&gt;="&amp;EOMONTH($A369,-1)+1,
All_Stats!$B:$B,"&lt;"&amp;EOMONTH($A369,0)+1,
All_Stats!$P:$P,"&lt;&gt;Email Marketing"
)</f>
        <v>0</v>
      </c>
      <c r="H369" s="113">
        <f>SUMIFS(All_Stats!$K:$K,
All_Stats!$D:$D,$B369,
All_Stats!$B:$B,"&gt;="&amp;EOMONTH($A369,-1)+1,
All_Stats!$B:$B,"&lt;"&amp;EOMONTH($A369,0)+1,
All_Stats!$P:$P,"&lt;&gt;Email Marketing"
)</f>
        <v>0</v>
      </c>
      <c r="I369" s="152">
        <f>IFERROR(__xludf.DUMMYFUNCTION("COUNTUNIQUEIFS(All_Stats!A:A,
All_Stats!$D:$D,$B369,
All_Stats!$B:$B,""&gt;=""&amp;EOMONTH($A369,-1)+1,
All_Stats!$B:$B,""&lt;""&amp;EOMONTH($A369,0)+1,
All_Stats!$P:$P,""&lt;&gt;Email Marketing""
)"),0.0)</f>
        <v>0</v>
      </c>
    </row>
    <row r="370" hidden="1">
      <c r="A370" s="128">
        <v>44652.0</v>
      </c>
      <c r="B370" s="129" t="s">
        <v>33</v>
      </c>
      <c r="C370" s="174" t="s">
        <v>492</v>
      </c>
      <c r="D370" s="131">
        <f>SUMIFS(All_Stats!$G:$G,
All_Stats!$D:$D,$B370,
All_Stats!$B:$B,"&gt;="&amp;EOMONTH($A370,-1)+1,
All_Stats!$B:$B,"&lt;"&amp;EOMONTH($A370,0)+1,
All_Stats!$P:$P,"&lt;&gt;Email Marketing"
)</f>
        <v>0</v>
      </c>
      <c r="E370" s="113">
        <f>SUMIFS(All_Stats!$I:$I,
All_Stats!$D:$D,$B370,
All_Stats!$B:$B,"&gt;="&amp;EOMONTH($A370,-1)+1,
All_Stats!$B:$B,"&lt;"&amp;EOMONTH($A370,0)+1,
All_Stats!$P:$P,"&lt;&gt;Email Marketing"
)</f>
        <v>0</v>
      </c>
      <c r="F370" s="132" t="str">
        <f t="shared" si="85"/>
        <v>N/A</v>
      </c>
      <c r="G370" s="131">
        <f>SUMIFS(All_Stats!$H:$H,
All_Stats!$D:$D,$B370,
All_Stats!$B:$B,"&gt;="&amp;EOMONTH($A370,-1)+1,
All_Stats!$B:$B,"&lt;"&amp;EOMONTH($A370,0)+1,
All_Stats!$P:$P,"&lt;&gt;Email Marketing"
)</f>
        <v>0</v>
      </c>
      <c r="H370" s="113">
        <f>SUMIFS(All_Stats!$K:$K,
All_Stats!$D:$D,$B370,
All_Stats!$B:$B,"&gt;="&amp;EOMONTH($A370,-1)+1,
All_Stats!$B:$B,"&lt;"&amp;EOMONTH($A370,0)+1,
All_Stats!$P:$P,"&lt;&gt;Email Marketing"
)</f>
        <v>0</v>
      </c>
      <c r="I370" s="152">
        <f>IFERROR(__xludf.DUMMYFUNCTION("COUNTUNIQUEIFS(All_Stats!A:A,
All_Stats!$D:$D,$B370,
All_Stats!$B:$B,""&gt;=""&amp;EOMONTH($A370,-1)+1,
All_Stats!$B:$B,""&lt;""&amp;EOMONTH($A370,0)+1,
All_Stats!$P:$P,""&lt;&gt;Email Marketing""
)"),0.0)</f>
        <v>0</v>
      </c>
    </row>
    <row r="371" hidden="1">
      <c r="A371" s="135"/>
      <c r="B371" s="135"/>
      <c r="C371" s="136" t="s">
        <v>23</v>
      </c>
      <c r="D371" s="137">
        <f t="shared" ref="D371:E371" si="86">SUM(D358:D370)</f>
        <v>0</v>
      </c>
      <c r="E371" s="137">
        <f t="shared" si="86"/>
        <v>0</v>
      </c>
      <c r="F371" s="138" t="str">
        <f t="shared" si="85"/>
        <v>N/A</v>
      </c>
      <c r="G371" s="137">
        <f t="shared" ref="G371:H371" si="87">SUM(G358:G370)</f>
        <v>0</v>
      </c>
      <c r="H371" s="137">
        <f t="shared" si="87"/>
        <v>0</v>
      </c>
      <c r="I371" s="139"/>
    </row>
    <row r="372" hidden="1">
      <c r="A372" s="131"/>
      <c r="B372" s="131"/>
      <c r="C372" s="131"/>
      <c r="D372" s="140"/>
      <c r="F372" s="131"/>
      <c r="G372" s="131"/>
    </row>
    <row r="373" hidden="1">
      <c r="A373" s="131"/>
      <c r="B373" s="131"/>
      <c r="C373" s="131"/>
      <c r="D373" s="140">
        <f t="shared" ref="D373:E373" si="88">D371+D354</f>
        <v>0</v>
      </c>
      <c r="E373" s="140">
        <f t="shared" si="88"/>
        <v>0</v>
      </c>
      <c r="F373" s="131"/>
      <c r="G373" s="140">
        <f t="shared" ref="G373:H373" si="89">G371+G354</f>
        <v>0</v>
      </c>
      <c r="H373" s="140">
        <f t="shared" si="89"/>
        <v>0</v>
      </c>
    </row>
    <row r="374" hidden="1">
      <c r="A374" s="131"/>
      <c r="B374" s="131"/>
      <c r="C374" s="131"/>
      <c r="D374" s="140"/>
      <c r="F374" s="131"/>
      <c r="G374" s="131"/>
    </row>
    <row r="375" hidden="1">
      <c r="C375" s="118" t="s">
        <v>484</v>
      </c>
      <c r="D375" s="119"/>
      <c r="E375" s="119"/>
      <c r="F375" s="119"/>
      <c r="G375" s="119"/>
      <c r="H375" s="119"/>
      <c r="I375" s="159"/>
    </row>
    <row r="376" hidden="1">
      <c r="A376" s="121" t="s">
        <v>1</v>
      </c>
      <c r="B376" s="122" t="s">
        <v>485</v>
      </c>
      <c r="C376" s="123" t="s">
        <v>486</v>
      </c>
      <c r="D376" s="124" t="s">
        <v>6</v>
      </c>
      <c r="E376" s="125" t="s">
        <v>8</v>
      </c>
      <c r="F376" s="124" t="s">
        <v>479</v>
      </c>
      <c r="G376" s="126" t="s">
        <v>7</v>
      </c>
      <c r="H376" s="125" t="s">
        <v>10</v>
      </c>
      <c r="I376" s="160" t="s">
        <v>487</v>
      </c>
    </row>
    <row r="377" hidden="1">
      <c r="A377" s="128">
        <v>44682.0</v>
      </c>
      <c r="B377" s="131" t="s">
        <v>164</v>
      </c>
      <c r="C377" s="170" t="str">
        <f>if(ifna(VLOOKUP(B377,'Vendor Directory'!A:C,3,0),"NOT FOUND")="","NOT FOUND",VLOOKUP(B377,'Vendor Directory'!A:C,3,0))</f>
        <v>#N/A</v>
      </c>
      <c r="D377" s="114">
        <f>SUMIFS(All_Stats!$G:$G,
All_Stats!$D:$D,$B377,
All_Stats!$B:$B,"&gt;="&amp;EOMONTH($A377,-1)+1,
All_Stats!$B:$B,"&lt;"&amp;EOMONTH($A377,0)+1,
All_Stats!$P:$P,"Email Marketing"
)</f>
        <v>0</v>
      </c>
      <c r="E377" s="113">
        <f>SUMIFS(All_Stats!$I:$I,
All_Stats!$D:$D,$B377,
All_Stats!$B:$B,"&gt;="&amp;EOMONTH($A377,-1)+1,
All_Stats!$B:$B,"&lt;"&amp;EOMONTH($A377,0)+1,
All_Stats!$P:$P,"Email Marketing"
)</f>
        <v>0</v>
      </c>
      <c r="F377" s="132" t="str">
        <f t="shared" ref="F377:F382" si="90">iferror(E377/D377,"N/A")</f>
        <v>N/A</v>
      </c>
      <c r="G377" s="131">
        <f>SUMIFS(All_Stats!$H:$H,
All_Stats!$D:$D,$B377,
All_Stats!$B:$B,"&gt;="&amp;EOMONTH($A377,-1)+1,
All_Stats!$B:$B,"&lt;"&amp;EOMONTH($A377,0)+1,
All_Stats!$P:$P,"Email Marketing"
)</f>
        <v>0</v>
      </c>
      <c r="H377" s="113">
        <f>SUMIFS(All_Stats!$K:$K,
All_Stats!$D:$D,$B377,
All_Stats!$B:$B,"&gt;="&amp;EOMONTH($A377,-1)+1,
All_Stats!$B:$B,"&lt;"&amp;EOMONTH($A377,0)+1,
All_Stats!$P:$P,"Email Marketing"
)</f>
        <v>0</v>
      </c>
      <c r="I377" s="152">
        <f>IFERROR(__xludf.DUMMYFUNCTION("COUNTUNIQUEIFS(All_Stats!A:A,
All_Stats!$D:$D,$B377,
All_Stats!$B:$B,""&gt;=""&amp;EOMONTH($A377,-1)+1,
All_Stats!$B:$B,""&lt;""&amp;EOMONTH($A377,0)+1,
All_Stats!$P:$P,""Email Marketing""
)"),0.0)</f>
        <v>0</v>
      </c>
    </row>
    <row r="378" hidden="1">
      <c r="A378" s="128">
        <v>44682.0</v>
      </c>
      <c r="B378" s="131" t="s">
        <v>501</v>
      </c>
      <c r="C378" s="170" t="str">
        <f>if(ifna(VLOOKUP(B378,'Vendor Directory'!A:C,3,0),"NOT FOUND")="","NOT FOUND",VLOOKUP(B378,'Vendor Directory'!A:C,3,0))</f>
        <v>#N/A</v>
      </c>
      <c r="D378" s="114">
        <f>SUMIFS(All_Stats!$G:$G,
All_Stats!$D:$D,$B378,
All_Stats!$B:$B,"&gt;="&amp;EOMONTH($A378,-1)+1,
All_Stats!$B:$B,"&lt;"&amp;EOMONTH($A378,0)+1,
All_Stats!$P:$P,"Email Marketing"
)</f>
        <v>0</v>
      </c>
      <c r="E378" s="113">
        <f>SUMIFS(All_Stats!$I:$I,
All_Stats!$D:$D,$B378,
All_Stats!$B:$B,"&gt;="&amp;EOMONTH($A378,-1)+1,
All_Stats!$B:$B,"&lt;"&amp;EOMONTH($A378,0)+1,
All_Stats!$P:$P,"Email Marketing"
)</f>
        <v>0</v>
      </c>
      <c r="F378" s="132" t="str">
        <f t="shared" si="90"/>
        <v>N/A</v>
      </c>
      <c r="G378" s="131">
        <f>SUMIFS(All_Stats!$H:$H,
All_Stats!$D:$D,$B378,
All_Stats!$B:$B,"&gt;="&amp;EOMONTH($A378,-1)+1,
All_Stats!$B:$B,"&lt;"&amp;EOMONTH($A378,0)+1,
All_Stats!$P:$P,"Email Marketing"
)</f>
        <v>0</v>
      </c>
      <c r="H378" s="113">
        <f>SUMIFS(All_Stats!$K:$K,
All_Stats!$D:$D,$B378,
All_Stats!$B:$B,"&gt;="&amp;EOMONTH($A378,-1)+1,
All_Stats!$B:$B,"&lt;"&amp;EOMONTH($A378,0)+1,
All_Stats!$P:$P,"Email Marketing"
)</f>
        <v>0</v>
      </c>
      <c r="I378" s="152">
        <f>IFERROR(__xludf.DUMMYFUNCTION("COUNTUNIQUEIFS(All_Stats!A:A,
All_Stats!$D:$D,$B378,
All_Stats!$B:$B,""&gt;=""&amp;EOMONTH($A378,-1)+1,
All_Stats!$B:$B,""&lt;""&amp;EOMONTH($A378,0)+1,
All_Stats!$P:$P,""Email Marketing""
)"),0.0)</f>
        <v>0</v>
      </c>
    </row>
    <row r="379" hidden="1">
      <c r="A379" s="128">
        <v>44682.0</v>
      </c>
      <c r="B379" s="129" t="s">
        <v>79</v>
      </c>
      <c r="C379" s="183" t="s">
        <v>488</v>
      </c>
      <c r="D379" s="114">
        <f>SUMIFS(All_Stats!$G:$G,
All_Stats!$D:$D,$B379,
All_Stats!$B:$B,"&gt;="&amp;EOMONTH($A379,-1)+1,
All_Stats!$B:$B,"&lt;"&amp;EOMONTH($A379,0)+1,
All_Stats!$P:$P,"Email Marketing"
)</f>
        <v>0</v>
      </c>
      <c r="E379" s="113">
        <f>SUMIFS(All_Stats!$I:$I,
All_Stats!$D:$D,$B379,
All_Stats!$B:$B,"&gt;="&amp;EOMONTH($A379,-1)+1,
All_Stats!$B:$B,"&lt;"&amp;EOMONTH($A379,0)+1,
All_Stats!$P:$P,"Email Marketing"
)</f>
        <v>0</v>
      </c>
      <c r="F379" s="132" t="str">
        <f t="shared" si="90"/>
        <v>N/A</v>
      </c>
      <c r="G379" s="131">
        <f>SUMIFS(All_Stats!$H:$H,
All_Stats!$D:$D,$B379,
All_Stats!$B:$B,"&gt;="&amp;EOMONTH($A379,-1)+1,
All_Stats!$B:$B,"&lt;"&amp;EOMONTH($A379,0)+1,
All_Stats!$P:$P,"Email Marketing"
)</f>
        <v>0</v>
      </c>
      <c r="H379" s="113">
        <f>SUMIFS(All_Stats!$K:$K,
All_Stats!$D:$D,$B379,
All_Stats!$B:$B,"&gt;="&amp;EOMONTH($A379,-1)+1,
All_Stats!$B:$B,"&lt;"&amp;EOMONTH($A379,0)+1,
All_Stats!$P:$P,"Email Marketing"
)</f>
        <v>0</v>
      </c>
      <c r="I379" s="152">
        <f>IFERROR(__xludf.DUMMYFUNCTION("COUNTUNIQUEIFS(All_Stats!A:A,
All_Stats!$D:$D,$B379,
All_Stats!$B:$B,""&gt;=""&amp;EOMONTH($A379,-1)+1,
All_Stats!$B:$B,""&lt;""&amp;EOMONTH($A379,0)+1,
All_Stats!$P:$P,""Email Marketing""
)"),0.0)</f>
        <v>0</v>
      </c>
    </row>
    <row r="380" hidden="1">
      <c r="A380" s="128">
        <v>44682.0</v>
      </c>
      <c r="B380" s="129" t="s">
        <v>313</v>
      </c>
      <c r="C380" s="174" t="s">
        <v>525</v>
      </c>
      <c r="D380" s="131">
        <f>SUMIFS(All_Stats!$G:$G,
All_Stats!$D:$D,$B380,
All_Stats!$B:$B,"&gt;="&amp;EOMONTH($A380,-1)+1,
All_Stats!$B:$B,"&lt;"&amp;EOMONTH($A380,0)+1,
All_Stats!$P:$P,"Email Marketing"
)</f>
        <v>0</v>
      </c>
      <c r="E380" s="113">
        <f>SUMIFS(All_Stats!$I:$I,
All_Stats!$D:$D,$B380,
All_Stats!$B:$B,"&gt;="&amp;EOMONTH($A380,-1)+1,
All_Stats!$B:$B,"&lt;"&amp;EOMONTH($A380,0)+1,
All_Stats!$P:$P,"Email Marketing"
)</f>
        <v>0</v>
      </c>
      <c r="F380" s="132" t="str">
        <f t="shared" si="90"/>
        <v>N/A</v>
      </c>
      <c r="G380" s="131">
        <f>SUMIFS(All_Stats!$H:$H,
All_Stats!$D:$D,$B380,
All_Stats!$B:$B,"&gt;="&amp;EOMONTH($A380,-1)+1,
All_Stats!$B:$B,"&lt;"&amp;EOMONTH($A380,0)+1,
All_Stats!$P:$P,"Email Marketing"
)</f>
        <v>0</v>
      </c>
      <c r="H380" s="113">
        <f>SUMIFS(All_Stats!$K:$K,
All_Stats!$D:$D,$B380,
All_Stats!$B:$B,"&gt;="&amp;EOMONTH($A380,-1)+1,
All_Stats!$B:$B,"&lt;"&amp;EOMONTH($A380,0)+1,
All_Stats!$P:$P,"Email Marketing"
)</f>
        <v>0</v>
      </c>
      <c r="I380" s="152">
        <f>IFERROR(__xludf.DUMMYFUNCTION("COUNTUNIQUEIFS(All_Stats!A:A,
All_Stats!$D:$D,$B380,
All_Stats!$B:$B,""&gt;=""&amp;EOMONTH($A380,-1)+1,
All_Stats!$B:$B,""&lt;""&amp;EOMONTH($A380,0)+1,
All_Stats!$P:$P,""Email Marketing""
)"),0.0)</f>
        <v>0</v>
      </c>
    </row>
    <row r="381" hidden="1">
      <c r="A381" s="128">
        <v>44682.0</v>
      </c>
      <c r="B381" s="131" t="s">
        <v>172</v>
      </c>
      <c r="C381" s="170" t="str">
        <f>if(ifna(VLOOKUP(B381,'Vendor Directory'!A:C,3,0),"NOT FOUND")="","NOT FOUND",VLOOKUP(B381,'Vendor Directory'!A:C,3,0))</f>
        <v>#N/A</v>
      </c>
      <c r="D381" s="131">
        <f>SUMIFS(All_Stats!$G:$G,
All_Stats!$D:$D,$B381,
All_Stats!$B:$B,"&gt;="&amp;EOMONTH($A381,-1)+1,
All_Stats!$B:$B,"&lt;"&amp;EOMONTH($A381,0)+1,
All_Stats!$P:$P,"Email Marketing"
)</f>
        <v>0</v>
      </c>
      <c r="E381" s="113">
        <f>SUMIFS(All_Stats!$I:$I,
All_Stats!$D:$D,$B381,
All_Stats!$B:$B,"&gt;="&amp;EOMONTH($A381,-1)+1,
All_Stats!$B:$B,"&lt;"&amp;EOMONTH($A381,0)+1,
All_Stats!$P:$P,"Email Marketing"
)</f>
        <v>0</v>
      </c>
      <c r="F381" s="132" t="str">
        <f t="shared" si="90"/>
        <v>N/A</v>
      </c>
      <c r="G381" s="131">
        <f>SUMIFS(All_Stats!$H:$H,
All_Stats!$D:$D,$B381,
All_Stats!$B:$B,"&gt;="&amp;EOMONTH($A381,-1)+1,
All_Stats!$B:$B,"&lt;"&amp;EOMONTH($A381,0)+1,
All_Stats!$P:$P,"Email Marketing"
)</f>
        <v>0</v>
      </c>
      <c r="H381" s="113">
        <f>SUMIFS(All_Stats!$K:$K,
All_Stats!$D:$D,$B381,
All_Stats!$B:$B,"&gt;="&amp;EOMONTH($A381,-1)+1,
All_Stats!$B:$B,"&lt;"&amp;EOMONTH($A381,0)+1,
All_Stats!$P:$P,"Email Marketing"
)</f>
        <v>0</v>
      </c>
      <c r="I381" s="152">
        <f>IFERROR(__xludf.DUMMYFUNCTION("COUNTUNIQUEIFS(All_Stats!A:A,
All_Stats!$D:$D,$B381,
All_Stats!$B:$B,""&gt;=""&amp;EOMONTH($A381,-1)+1,
All_Stats!$B:$B,""&lt;""&amp;EOMONTH($A381,0)+1,
All_Stats!$P:$P,""Email Marketing""
)"),0.0)</f>
        <v>0</v>
      </c>
    </row>
    <row r="382" hidden="1">
      <c r="A382" s="135"/>
      <c r="B382" s="135"/>
      <c r="C382" s="136" t="s">
        <v>23</v>
      </c>
      <c r="D382" s="137">
        <f t="shared" ref="D382:E382" si="91">SUM(D377:D381)</f>
        <v>0</v>
      </c>
      <c r="E382" s="137">
        <f t="shared" si="91"/>
        <v>0</v>
      </c>
      <c r="F382" s="138" t="str">
        <f t="shared" si="90"/>
        <v>N/A</v>
      </c>
      <c r="G382" s="137">
        <f t="shared" ref="G382:H382" si="92">SUM(G377:G381)</f>
        <v>0</v>
      </c>
      <c r="H382" s="137">
        <f t="shared" si="92"/>
        <v>0</v>
      </c>
      <c r="I382" s="139"/>
    </row>
    <row r="383" hidden="1">
      <c r="A383" s="131"/>
      <c r="B383" s="131"/>
      <c r="C383" s="131"/>
      <c r="D383" s="140"/>
      <c r="F383" s="131"/>
      <c r="G383" s="131"/>
    </row>
    <row r="384" hidden="1">
      <c r="C384" s="118" t="s">
        <v>504</v>
      </c>
      <c r="D384" s="119"/>
      <c r="E384" s="119"/>
      <c r="F384" s="119"/>
      <c r="G384" s="119"/>
      <c r="H384" s="119"/>
      <c r="I384" s="159"/>
    </row>
    <row r="385" hidden="1">
      <c r="A385" s="121" t="s">
        <v>1</v>
      </c>
      <c r="B385" s="122" t="s">
        <v>485</v>
      </c>
      <c r="C385" s="123" t="s">
        <v>486</v>
      </c>
      <c r="D385" s="124" t="s">
        <v>6</v>
      </c>
      <c r="E385" s="125" t="s">
        <v>8</v>
      </c>
      <c r="F385" s="124" t="s">
        <v>479</v>
      </c>
      <c r="G385" s="126" t="s">
        <v>7</v>
      </c>
      <c r="H385" s="125" t="s">
        <v>10</v>
      </c>
      <c r="I385" s="160" t="s">
        <v>487</v>
      </c>
    </row>
    <row r="386" hidden="1">
      <c r="A386" s="128">
        <v>44682.0</v>
      </c>
      <c r="B386" s="131" t="s">
        <v>30</v>
      </c>
      <c r="C386" s="134" t="str">
        <f>if(ifna(VLOOKUP(B386,'Vendor Directory'!A:C,3,0),"NOT FOUND")="","NOT FOUND",VLOOKUP(B386,'Vendor Directory'!A:C,3,0))</f>
        <v>Vendor 2 Name</v>
      </c>
      <c r="D386" s="131">
        <f>SUMIFS(All_Stats!$G:$G,
All_Stats!$D:$D,$B386,
All_Stats!$B:$B,"&gt;="&amp;EOMONTH($A386,-1)+1,
All_Stats!$B:$B,"&lt;"&amp;EOMONTH($A386,0)+1,
All_Stats!$P:$P,"&lt;&gt;Email Marketing"
)</f>
        <v>0</v>
      </c>
      <c r="E386" s="113">
        <f>SUMIFS(All_Stats!$I:$I,
All_Stats!$D:$D,$B386,
All_Stats!$B:$B,"&gt;="&amp;EOMONTH($A386,-1)+1,
All_Stats!$B:$B,"&lt;"&amp;EOMONTH($A386,0)+1,
All_Stats!$P:$P,"&lt;&gt;Email Marketing"
)</f>
        <v>0</v>
      </c>
      <c r="F386" s="132" t="str">
        <f t="shared" ref="F386:F399" si="93">iferror(E386/D386,"N/A")</f>
        <v>N/A</v>
      </c>
      <c r="G386" s="131">
        <f>SUMIFS(All_Stats!$H:$H,
All_Stats!$D:$D,$B386,
All_Stats!$B:$B,"&gt;="&amp;EOMONTH($A386,-1)+1,
All_Stats!$B:$B,"&lt;"&amp;EOMONTH($A386,0)+1,
All_Stats!$P:$P,"&lt;&gt;Email Marketing"
)</f>
        <v>0</v>
      </c>
      <c r="H386" s="113">
        <f>SUMIFS(All_Stats!$K:$K,
All_Stats!$D:$D,$B386,
All_Stats!$B:$B,"&gt;="&amp;EOMONTH($A386,-1)+1,
All_Stats!$B:$B,"&lt;"&amp;EOMONTH($A386,0)+1,
All_Stats!$P:$P,"&lt;&gt;Email Marketing"
)</f>
        <v>0</v>
      </c>
      <c r="I386" s="152">
        <f>IFERROR(__xludf.DUMMYFUNCTION("COUNTUNIQUEIFS(All_Stats!A:A,
All_Stats!$D:$D,$B386,
All_Stats!$B:$B,""&gt;=""&amp;EOMONTH($A386,-1)+1,
All_Stats!$B:$B,""&lt;""&amp;EOMONTH($A386,0)+1,
All_Stats!$P:$P,""&lt;&gt;Email Marketing""
)"),0.0)</f>
        <v>0</v>
      </c>
    </row>
    <row r="387" hidden="1">
      <c r="A387" s="128">
        <v>44682.0</v>
      </c>
      <c r="B387" s="131" t="s">
        <v>501</v>
      </c>
      <c r="C387" s="170" t="str">
        <f>if(ifna(VLOOKUP(B387,'Vendor Directory'!A:C,3,0),"NOT FOUND")="","NOT FOUND",VLOOKUP(B387,'Vendor Directory'!A:C,3,0))</f>
        <v>#N/A</v>
      </c>
      <c r="D387" s="131">
        <f>SUMIFS(All_Stats!$G:$G,
All_Stats!$D:$D,$B387,
All_Stats!$B:$B,"&gt;="&amp;EOMONTH($A387,-1)+1,
All_Stats!$B:$B,"&lt;"&amp;EOMONTH($A387,0)+1,
All_Stats!$P:$P,"&lt;&gt;Email Marketing"
)</f>
        <v>0</v>
      </c>
      <c r="E387" s="113">
        <f>SUMIFS(All_Stats!$I:$I,
All_Stats!$D:$D,$B387,
All_Stats!$B:$B,"&gt;="&amp;EOMONTH($A387,-1)+1,
All_Stats!$B:$B,"&lt;"&amp;EOMONTH($A387,0)+1,
All_Stats!$P:$P,"&lt;&gt;Email Marketing"
)</f>
        <v>0</v>
      </c>
      <c r="F387" s="132" t="str">
        <f t="shared" si="93"/>
        <v>N/A</v>
      </c>
      <c r="G387" s="131">
        <f>SUMIFS(All_Stats!$H:$H,
All_Stats!$D:$D,$B387,
All_Stats!$B:$B,"&gt;="&amp;EOMONTH($A387,-1)+1,
All_Stats!$B:$B,"&lt;"&amp;EOMONTH($A387,0)+1,
All_Stats!$P:$P,"&lt;&gt;Email Marketing"
)</f>
        <v>0</v>
      </c>
      <c r="H387" s="113">
        <f>SUMIFS(All_Stats!$K:$K,
All_Stats!$D:$D,$B387,
All_Stats!$B:$B,"&gt;="&amp;EOMONTH($A387,-1)+1,
All_Stats!$B:$B,"&lt;"&amp;EOMONTH($A387,0)+1,
All_Stats!$P:$P,"&lt;&gt;Email Marketing"
)</f>
        <v>0</v>
      </c>
      <c r="I387" s="152">
        <f>IFERROR(__xludf.DUMMYFUNCTION("COUNTUNIQUEIFS(All_Stats!A:A,
All_Stats!$D:$D,$B387,
All_Stats!$B:$B,""&gt;=""&amp;EOMONTH($A387,-1)+1,
All_Stats!$B:$B,""&lt;""&amp;EOMONTH($A387,0)+1,
All_Stats!$P:$P,""&lt;&gt;Email Marketing""
)"),0.0)</f>
        <v>0</v>
      </c>
    </row>
    <row r="388" hidden="1">
      <c r="A388" s="128">
        <v>44682.0</v>
      </c>
      <c r="B388" s="131" t="s">
        <v>127</v>
      </c>
      <c r="C388" s="170" t="str">
        <f>if(ifna(VLOOKUP(B388,'Vendor Directory'!A:C,3,0),"NOT FOUND")="","NOT FOUND",VLOOKUP(B388,'Vendor Directory'!A:C,3,0))</f>
        <v>#N/A</v>
      </c>
      <c r="D388" s="131">
        <f>SUMIFS(All_Stats!$G:$G,
All_Stats!$D:$D,$B388,
All_Stats!$B:$B,"&gt;="&amp;EOMONTH($A388,-1)+1,
All_Stats!$B:$B,"&lt;"&amp;EOMONTH($A388,0)+1,
All_Stats!$P:$P,"&lt;&gt;Email Marketing"
)</f>
        <v>0</v>
      </c>
      <c r="E388" s="113">
        <f>SUMIFS(All_Stats!$I:$I,
All_Stats!$D:$D,$B388,
All_Stats!$B:$B,"&gt;="&amp;EOMONTH($A388,-1)+1,
All_Stats!$B:$B,"&lt;"&amp;EOMONTH($A388,0)+1,
All_Stats!$P:$P,"&lt;&gt;Email Marketing"
)</f>
        <v>0</v>
      </c>
      <c r="F388" s="132" t="str">
        <f t="shared" si="93"/>
        <v>N/A</v>
      </c>
      <c r="G388" s="131">
        <f>SUMIFS(All_Stats!$H:$H,
All_Stats!$D:$D,$B388,
All_Stats!$B:$B,"&gt;="&amp;EOMONTH($A388,-1)+1,
All_Stats!$B:$B,"&lt;"&amp;EOMONTH($A388,0)+1,
All_Stats!$P:$P,"&lt;&gt;Email Marketing"
)</f>
        <v>0</v>
      </c>
      <c r="H388" s="113">
        <f>SUMIFS(All_Stats!$K:$K,
All_Stats!$D:$D,$B388,
All_Stats!$B:$B,"&gt;="&amp;EOMONTH($A388,-1)+1,
All_Stats!$B:$B,"&lt;"&amp;EOMONTH($A388,0)+1,
All_Stats!$P:$P,"&lt;&gt;Email Marketing"
)</f>
        <v>0</v>
      </c>
      <c r="I388" s="152">
        <f>IFERROR(__xludf.DUMMYFUNCTION("COUNTUNIQUEIFS(All_Stats!A:A,
All_Stats!$D:$D,$B388,
All_Stats!$B:$B,""&gt;=""&amp;EOMONTH($A388,-1)+1,
All_Stats!$B:$B,""&lt;""&amp;EOMONTH($A388,0)+1,
All_Stats!$P:$P,""&lt;&gt;Email Marketing""
)"),0.0)</f>
        <v>0</v>
      </c>
    </row>
    <row r="389" hidden="1">
      <c r="A389" s="128">
        <v>44682.0</v>
      </c>
      <c r="B389" s="129" t="s">
        <v>313</v>
      </c>
      <c r="C389" s="174" t="s">
        <v>525</v>
      </c>
      <c r="D389" s="131">
        <f>SUMIFS(All_Stats!$G:$G,
All_Stats!$D:$D,$B389,
All_Stats!$B:$B,"&gt;="&amp;EOMONTH($A389,-1)+1,
All_Stats!$B:$B,"&lt;"&amp;EOMONTH($A389,0)+1,
All_Stats!$P:$P,"&lt;&gt;Email Marketing"
)</f>
        <v>0</v>
      </c>
      <c r="E389" s="113">
        <f>SUMIFS(All_Stats!$I:$I,
All_Stats!$D:$D,$B389,
All_Stats!$B:$B,"&gt;="&amp;EOMONTH($A389,-1)+1,
All_Stats!$B:$B,"&lt;"&amp;EOMONTH($A389,0)+1,
All_Stats!$P:$P,"&lt;&gt;Email Marketing"
)</f>
        <v>0</v>
      </c>
      <c r="F389" s="132" t="str">
        <f t="shared" si="93"/>
        <v>N/A</v>
      </c>
      <c r="G389" s="131">
        <f>SUMIFS(All_Stats!$H:$H,
All_Stats!$D:$D,$B389,
All_Stats!$B:$B,"&gt;="&amp;EOMONTH($A389,-1)+1,
All_Stats!$B:$B,"&lt;"&amp;EOMONTH($A389,0)+1,
All_Stats!$P:$P,"&lt;&gt;Email Marketing"
)</f>
        <v>0</v>
      </c>
      <c r="H389" s="113">
        <f>SUMIFS(All_Stats!$K:$K,
All_Stats!$D:$D,$B389,
All_Stats!$B:$B,"&gt;="&amp;EOMONTH($A389,-1)+1,
All_Stats!$B:$B,"&lt;"&amp;EOMONTH($A389,0)+1,
All_Stats!$P:$P,"&lt;&gt;Email Marketing"
)</f>
        <v>0</v>
      </c>
      <c r="I389" s="152">
        <f>IFERROR(__xludf.DUMMYFUNCTION("COUNTUNIQUEIFS(All_Stats!A:A,
All_Stats!$D:$D,$B389,
All_Stats!$B:$B,""&gt;=""&amp;EOMONTH($A389,-1)+1,
All_Stats!$B:$B,""&lt;""&amp;EOMONTH($A389,0)+1,
All_Stats!$P:$P,""&lt;&gt;Email Marketing""
)"),0.0)</f>
        <v>0</v>
      </c>
    </row>
    <row r="390" hidden="1">
      <c r="A390" s="128">
        <v>44682.0</v>
      </c>
      <c r="B390" s="131" t="s">
        <v>164</v>
      </c>
      <c r="C390" s="170" t="str">
        <f>if(ifna(VLOOKUP(B390,'Vendor Directory'!A:C,3,0),"NOT FOUND")="","NOT FOUND",VLOOKUP(B390,'Vendor Directory'!A:C,3,0))</f>
        <v>#N/A</v>
      </c>
      <c r="D390" s="131">
        <f>SUMIFS(All_Stats!$G:$G,
All_Stats!$D:$D,$B390,
All_Stats!$B:$B,"&gt;="&amp;EOMONTH($A390,-1)+1,
All_Stats!$B:$B,"&lt;"&amp;EOMONTH($A390,0)+1,
All_Stats!$P:$P,"&lt;&gt;Email Marketing"
)</f>
        <v>0</v>
      </c>
      <c r="E390" s="113">
        <f>SUMIFS(All_Stats!$I:$I,
All_Stats!$D:$D,$B390,
All_Stats!$B:$B,"&gt;="&amp;EOMONTH($A390,-1)+1,
All_Stats!$B:$B,"&lt;"&amp;EOMONTH($A390,0)+1,
All_Stats!$P:$P,"&lt;&gt;Email Marketing"
)</f>
        <v>0</v>
      </c>
      <c r="F390" s="132" t="str">
        <f t="shared" si="93"/>
        <v>N/A</v>
      </c>
      <c r="G390" s="131">
        <f>SUMIFS(All_Stats!$H:$H,
All_Stats!$D:$D,$B390,
All_Stats!$B:$B,"&gt;="&amp;EOMONTH($A390,-1)+1,
All_Stats!$B:$B,"&lt;"&amp;EOMONTH($A390,0)+1,
All_Stats!$P:$P,"&lt;&gt;Email Marketing"
)</f>
        <v>0</v>
      </c>
      <c r="H390" s="113">
        <f>SUMIFS(All_Stats!$K:$K,
All_Stats!$D:$D,$B390,
All_Stats!$B:$B,"&gt;="&amp;EOMONTH($A390,-1)+1,
All_Stats!$B:$B,"&lt;"&amp;EOMONTH($A390,0)+1,
All_Stats!$P:$P,"&lt;&gt;Email Marketing"
)</f>
        <v>0</v>
      </c>
      <c r="I390" s="152">
        <f>IFERROR(__xludf.DUMMYFUNCTION("COUNTUNIQUEIFS(All_Stats!A:A,
All_Stats!$D:$D,$B390,
All_Stats!$B:$B,""&gt;=""&amp;EOMONTH($A390,-1)+1,
All_Stats!$B:$B,""&lt;""&amp;EOMONTH($A390,0)+1,
All_Stats!$P:$P,""&lt;&gt;Email Marketing""
)"),0.0)</f>
        <v>0</v>
      </c>
    </row>
    <row r="391" hidden="1">
      <c r="A391" s="128">
        <v>44682.0</v>
      </c>
      <c r="B391" s="131" t="s">
        <v>172</v>
      </c>
      <c r="C391" s="170" t="str">
        <f>if(ifna(VLOOKUP(B391,'Vendor Directory'!A:C,3,0),"NOT FOUND")="","NOT FOUND",VLOOKUP(B391,'Vendor Directory'!A:C,3,0))</f>
        <v>#N/A</v>
      </c>
      <c r="D391" s="131">
        <f>SUMIFS(All_Stats!$G:$G,
All_Stats!$D:$D,$B391,
All_Stats!$B:$B,"&gt;="&amp;EOMONTH($A391,-1)+1,
All_Stats!$B:$B,"&lt;"&amp;EOMONTH($A391,0)+1,
All_Stats!$P:$P,"&lt;&gt;Email Marketing"
)</f>
        <v>0</v>
      </c>
      <c r="E391" s="113">
        <f>SUMIFS(All_Stats!$I:$I,
All_Stats!$D:$D,$B391,
All_Stats!$B:$B,"&gt;="&amp;EOMONTH($A391,-1)+1,
All_Stats!$B:$B,"&lt;"&amp;EOMONTH($A391,0)+1,
All_Stats!$P:$P,"&lt;&gt;Email Marketing"
)</f>
        <v>0</v>
      </c>
      <c r="F391" s="132" t="str">
        <f t="shared" si="93"/>
        <v>N/A</v>
      </c>
      <c r="G391" s="131">
        <f>SUMIFS(All_Stats!$H:$H,
All_Stats!$D:$D,$B391,
All_Stats!$B:$B,"&gt;="&amp;EOMONTH($A391,-1)+1,
All_Stats!$B:$B,"&lt;"&amp;EOMONTH($A391,0)+1,
All_Stats!$P:$P,"&lt;&gt;Email Marketing"
)</f>
        <v>0</v>
      </c>
      <c r="H391" s="113">
        <f>SUMIFS(All_Stats!$K:$K,
All_Stats!$D:$D,$B391,
All_Stats!$B:$B,"&gt;="&amp;EOMONTH($A391,-1)+1,
All_Stats!$B:$B,"&lt;"&amp;EOMONTH($A391,0)+1,
All_Stats!$P:$P,"&lt;&gt;Email Marketing"
)</f>
        <v>0</v>
      </c>
      <c r="I391" s="152">
        <f>IFERROR(__xludf.DUMMYFUNCTION("COUNTUNIQUEIFS(All_Stats!A:A,
All_Stats!$D:$D,$B391,
All_Stats!$B:$B,""&gt;=""&amp;EOMONTH($A391,-1)+1,
All_Stats!$B:$B,""&lt;""&amp;EOMONTH($A391,0)+1,
All_Stats!$P:$P,""&lt;&gt;Email Marketing""
)"),0.0)</f>
        <v>0</v>
      </c>
    </row>
    <row r="392" hidden="1">
      <c r="A392" s="128">
        <v>44682.0</v>
      </c>
      <c r="B392" s="131" t="s">
        <v>500</v>
      </c>
      <c r="C392" s="170" t="str">
        <f>if(ifna(VLOOKUP(B392,'Vendor Directory'!A:C,3,0),"NOT FOUND")="","NOT FOUND",VLOOKUP(B392,'Vendor Directory'!A:C,3,0))</f>
        <v>#N/A</v>
      </c>
      <c r="D392" s="131">
        <f>SUMIFS(All_Stats!$G:$G,
All_Stats!$D:$D,$B392,
All_Stats!$B:$B,"&gt;="&amp;EOMONTH($A392,-1)+1,
All_Stats!$B:$B,"&lt;"&amp;EOMONTH($A392,0)+1,
All_Stats!$P:$P,"&lt;&gt;Email Marketing"
)</f>
        <v>0</v>
      </c>
      <c r="E392" s="113">
        <f>SUMIFS(All_Stats!$I:$I,
All_Stats!$D:$D,$B392,
All_Stats!$B:$B,"&gt;="&amp;EOMONTH($A392,-1)+1,
All_Stats!$B:$B,"&lt;"&amp;EOMONTH($A392,0)+1,
All_Stats!$P:$P,"&lt;&gt;Email Marketing"
)</f>
        <v>0</v>
      </c>
      <c r="F392" s="132" t="str">
        <f t="shared" si="93"/>
        <v>N/A</v>
      </c>
      <c r="G392" s="131">
        <f>SUMIFS(All_Stats!$H:$H,
All_Stats!$D:$D,$B392,
All_Stats!$B:$B,"&gt;="&amp;EOMONTH($A392,-1)+1,
All_Stats!$B:$B,"&lt;"&amp;EOMONTH($A392,0)+1,
All_Stats!$P:$P,"&lt;&gt;Email Marketing"
)</f>
        <v>0</v>
      </c>
      <c r="H392" s="113">
        <f>SUMIFS(All_Stats!$K:$K,
All_Stats!$D:$D,$B392,
All_Stats!$B:$B,"&gt;="&amp;EOMONTH($A392,-1)+1,
All_Stats!$B:$B,"&lt;"&amp;EOMONTH($A392,0)+1,
All_Stats!$P:$P,"&lt;&gt;Email Marketing"
)</f>
        <v>0</v>
      </c>
      <c r="I392" s="152">
        <f>IFERROR(__xludf.DUMMYFUNCTION("COUNTUNIQUEIFS(All_Stats!A:A,
All_Stats!$D:$D,$B392,
All_Stats!$B:$B,""&gt;=""&amp;EOMONTH($A392,-1)+1,
All_Stats!$B:$B,""&lt;""&amp;EOMONTH($A392,0)+1,
All_Stats!$P:$P,""&lt;&gt;Email Marketing""
)"),0.0)</f>
        <v>0</v>
      </c>
    </row>
    <row r="393" hidden="1">
      <c r="A393" s="128">
        <v>44682.0</v>
      </c>
      <c r="B393" s="129" t="s">
        <v>495</v>
      </c>
      <c r="C393" s="174" t="s">
        <v>528</v>
      </c>
      <c r="D393" s="131">
        <f>SUMIFS(All_Stats!$G:$G,
All_Stats!$D:$D,$B393,
All_Stats!$B:$B,"&gt;="&amp;EOMONTH($A393,-1)+1,
All_Stats!$B:$B,"&lt;"&amp;EOMONTH($A393,0)+1,
All_Stats!$P:$P,"&lt;&gt;Email Marketing"
)</f>
        <v>0</v>
      </c>
      <c r="E393" s="113">
        <f>SUMIFS(All_Stats!$I:$I,
All_Stats!$D:$D,$B393,
All_Stats!$B:$B,"&gt;="&amp;EOMONTH($A393,-1)+1,
All_Stats!$B:$B,"&lt;"&amp;EOMONTH($A393,0)+1,
All_Stats!$P:$P,"&lt;&gt;Email Marketing"
)</f>
        <v>0</v>
      </c>
      <c r="F393" s="132" t="str">
        <f t="shared" si="93"/>
        <v>N/A</v>
      </c>
      <c r="G393" s="131">
        <f>SUMIFS(All_Stats!$H:$H,
All_Stats!$D:$D,$B393,
All_Stats!$B:$B,"&gt;="&amp;EOMONTH($A393,-1)+1,
All_Stats!$B:$B,"&lt;"&amp;EOMONTH($A393,0)+1,
All_Stats!$P:$P,"&lt;&gt;Email Marketing"
)</f>
        <v>0</v>
      </c>
      <c r="H393" s="113">
        <f>SUMIFS(All_Stats!$K:$K,
All_Stats!$D:$D,$B393,
All_Stats!$B:$B,"&gt;="&amp;EOMONTH($A393,-1)+1,
All_Stats!$B:$B,"&lt;"&amp;EOMONTH($A393,0)+1,
All_Stats!$P:$P,"&lt;&gt;Email Marketing"
)</f>
        <v>0</v>
      </c>
      <c r="I393" s="152">
        <f>IFERROR(__xludf.DUMMYFUNCTION("COUNTUNIQUEIFS(All_Stats!A:A,
All_Stats!$D:$D,$B393,
All_Stats!$B:$B,""&gt;=""&amp;EOMONTH($A393,-1)+1,
All_Stats!$B:$B,""&lt;""&amp;EOMONTH($A393,0)+1,
All_Stats!$P:$P,""&lt;&gt;Email Marketing""
)"),0.0)</f>
        <v>0</v>
      </c>
    </row>
    <row r="394" hidden="1">
      <c r="A394" s="128">
        <v>44682.0</v>
      </c>
      <c r="B394" s="131" t="s">
        <v>157</v>
      </c>
      <c r="C394" s="170" t="str">
        <f>if(ifna(VLOOKUP(B394,'Vendor Directory'!A:C,3,0),"NOT FOUND")="","NOT FOUND",VLOOKUP(B394,'Vendor Directory'!A:C,3,0))</f>
        <v>#N/A</v>
      </c>
      <c r="D394" s="131">
        <f>SUMIFS(All_Stats!$G:$G,
All_Stats!$D:$D,$B394,
All_Stats!$B:$B,"&gt;="&amp;EOMONTH($A394,-1)+1,
All_Stats!$B:$B,"&lt;"&amp;EOMONTH($A394,0)+1,
All_Stats!$P:$P,"&lt;&gt;Email Marketing"
)</f>
        <v>0</v>
      </c>
      <c r="E394" s="113">
        <f>SUMIFS(All_Stats!$I:$I,
All_Stats!$D:$D,$B394,
All_Stats!$B:$B,"&gt;="&amp;EOMONTH($A394,-1)+1,
All_Stats!$B:$B,"&lt;"&amp;EOMONTH($A394,0)+1,
All_Stats!$P:$P,"&lt;&gt;Email Marketing"
)</f>
        <v>0</v>
      </c>
      <c r="F394" s="132" t="str">
        <f t="shared" si="93"/>
        <v>N/A</v>
      </c>
      <c r="G394" s="131">
        <f>SUMIFS(All_Stats!$H:$H,
All_Stats!$D:$D,$B394,
All_Stats!$B:$B,"&gt;="&amp;EOMONTH($A394,-1)+1,
All_Stats!$B:$B,"&lt;"&amp;EOMONTH($A394,0)+1,
All_Stats!$P:$P,"&lt;&gt;Email Marketing"
)</f>
        <v>0</v>
      </c>
      <c r="H394" s="113">
        <f>SUMIFS(All_Stats!$K:$K,
All_Stats!$D:$D,$B394,
All_Stats!$B:$B,"&gt;="&amp;EOMONTH($A394,-1)+1,
All_Stats!$B:$B,"&lt;"&amp;EOMONTH($A394,0)+1,
All_Stats!$P:$P,"&lt;&gt;Email Marketing"
)</f>
        <v>0</v>
      </c>
      <c r="I394" s="152">
        <f>IFERROR(__xludf.DUMMYFUNCTION("COUNTUNIQUEIFS(All_Stats!A:A,
All_Stats!$D:$D,$B394,
All_Stats!$B:$B,""&gt;=""&amp;EOMONTH($A394,-1)+1,
All_Stats!$B:$B,""&lt;""&amp;EOMONTH($A394,0)+1,
All_Stats!$P:$P,""&lt;&gt;Email Marketing""
)"),0.0)</f>
        <v>0</v>
      </c>
    </row>
    <row r="395" hidden="1">
      <c r="A395" s="128">
        <v>44682.0</v>
      </c>
      <c r="B395" s="131" t="s">
        <v>497</v>
      </c>
      <c r="C395" s="170" t="str">
        <f>if(ifna(VLOOKUP(B395,'Vendor Directory'!A:C,3,0),"NOT FOUND")="","NOT FOUND",VLOOKUP(B395,'Vendor Directory'!A:C,3,0))</f>
        <v>#N/A</v>
      </c>
      <c r="D395" s="131">
        <f>SUMIFS(All_Stats!$G:$G,
All_Stats!$D:$D,$B395,
All_Stats!$B:$B,"&gt;="&amp;EOMONTH($A395,-1)+1,
All_Stats!$B:$B,"&lt;"&amp;EOMONTH($A395,0)+1,
All_Stats!$P:$P,"&lt;&gt;Email Marketing"
)</f>
        <v>0</v>
      </c>
      <c r="E395" s="113">
        <f>SUMIFS(All_Stats!$I:$I,
All_Stats!$D:$D,$B395,
All_Stats!$B:$B,"&gt;="&amp;EOMONTH($A395,-1)+1,
All_Stats!$B:$B,"&lt;"&amp;EOMONTH($A395,0)+1,
All_Stats!$P:$P,"&lt;&gt;Email Marketing"
)</f>
        <v>0</v>
      </c>
      <c r="F395" s="132" t="str">
        <f t="shared" si="93"/>
        <v>N/A</v>
      </c>
      <c r="G395" s="131">
        <f>SUMIFS(All_Stats!$H:$H,
All_Stats!$D:$D,$B395,
All_Stats!$B:$B,"&gt;="&amp;EOMONTH($A395,-1)+1,
All_Stats!$B:$B,"&lt;"&amp;EOMONTH($A395,0)+1,
All_Stats!$P:$P,"&lt;&gt;Email Marketing"
)</f>
        <v>0</v>
      </c>
      <c r="H395" s="113">
        <f>SUMIFS(All_Stats!$K:$K,
All_Stats!$D:$D,$B395,
All_Stats!$B:$B,"&gt;="&amp;EOMONTH($A395,-1)+1,
All_Stats!$B:$B,"&lt;"&amp;EOMONTH($A395,0)+1,
All_Stats!$P:$P,"&lt;&gt;Email Marketing"
)</f>
        <v>0</v>
      </c>
      <c r="I395" s="152">
        <f>IFERROR(__xludf.DUMMYFUNCTION("COUNTUNIQUEIFS(All_Stats!A:A,
All_Stats!$D:$D,$B395,
All_Stats!$B:$B,""&gt;=""&amp;EOMONTH($A395,-1)+1,
All_Stats!$B:$B,""&lt;""&amp;EOMONTH($A395,0)+1,
All_Stats!$P:$P,""&lt;&gt;Email Marketing""
)"),0.0)</f>
        <v>0</v>
      </c>
    </row>
    <row r="396" hidden="1">
      <c r="A396" s="128">
        <v>44682.0</v>
      </c>
      <c r="B396" s="131" t="s">
        <v>91</v>
      </c>
      <c r="C396" s="170" t="str">
        <f>if(ifna(VLOOKUP(B396,'Vendor Directory'!A:C,3,0),"NOT FOUND")="","NOT FOUND",VLOOKUP(B396,'Vendor Directory'!A:C,3,0))</f>
        <v>#N/A</v>
      </c>
      <c r="D396" s="131">
        <f>SUMIFS(All_Stats!$G:$G,
All_Stats!$D:$D,$B396,
All_Stats!$B:$B,"&gt;="&amp;EOMONTH($A396,-1)+1,
All_Stats!$B:$B,"&lt;"&amp;EOMONTH($A396,0)+1,
All_Stats!$P:$P,"&lt;&gt;Email Marketing"
)</f>
        <v>0</v>
      </c>
      <c r="E396" s="113">
        <f>SUMIFS(All_Stats!$I:$I,
All_Stats!$D:$D,$B396,
All_Stats!$B:$B,"&gt;="&amp;EOMONTH($A396,-1)+1,
All_Stats!$B:$B,"&lt;"&amp;EOMONTH($A396,0)+1,
All_Stats!$P:$P,"&lt;&gt;Email Marketing"
)</f>
        <v>0</v>
      </c>
      <c r="F396" s="132" t="str">
        <f t="shared" si="93"/>
        <v>N/A</v>
      </c>
      <c r="G396" s="131">
        <f>SUMIFS(All_Stats!$H:$H,
All_Stats!$D:$D,$B396,
All_Stats!$B:$B,"&gt;="&amp;EOMONTH($A396,-1)+1,
All_Stats!$B:$B,"&lt;"&amp;EOMONTH($A396,0)+1,
All_Stats!$P:$P,"&lt;&gt;Email Marketing"
)</f>
        <v>0</v>
      </c>
      <c r="H396" s="113">
        <f>SUMIFS(All_Stats!$K:$K,
All_Stats!$D:$D,$B396,
All_Stats!$B:$B,"&gt;="&amp;EOMONTH($A396,-1)+1,
All_Stats!$B:$B,"&lt;"&amp;EOMONTH($A396,0)+1,
All_Stats!$P:$P,"&lt;&gt;Email Marketing"
)</f>
        <v>0</v>
      </c>
      <c r="I396" s="152">
        <f>IFERROR(__xludf.DUMMYFUNCTION("COUNTUNIQUEIFS(All_Stats!A:A,
All_Stats!$D:$D,$B396,
All_Stats!$B:$B,""&gt;=""&amp;EOMONTH($A396,-1)+1,
All_Stats!$B:$B,""&lt;""&amp;EOMONTH($A396,0)+1,
All_Stats!$P:$P,""&lt;&gt;Email Marketing""
)"),0.0)</f>
        <v>0</v>
      </c>
    </row>
    <row r="397" hidden="1">
      <c r="A397" s="128">
        <v>44682.0</v>
      </c>
      <c r="B397" s="129" t="s">
        <v>79</v>
      </c>
      <c r="C397" s="183" t="s">
        <v>488</v>
      </c>
      <c r="D397" s="131">
        <f>SUMIFS(All_Stats!$G:$G,
All_Stats!$D:$D,$B397,
All_Stats!$B:$B,"&gt;="&amp;EOMONTH($A397,-1)+1,
All_Stats!$B:$B,"&lt;"&amp;EOMONTH($A397,0)+1,
All_Stats!$P:$P,"&lt;&gt;Email Marketing"
)</f>
        <v>0</v>
      </c>
      <c r="E397" s="113">
        <f>SUMIFS(All_Stats!$I:$I,
All_Stats!$D:$D,$B397,
All_Stats!$B:$B,"&gt;="&amp;EOMONTH($A397,-1)+1,
All_Stats!$B:$B,"&lt;"&amp;EOMONTH($A397,0)+1,
All_Stats!$P:$P,"&lt;&gt;Email Marketing"
)</f>
        <v>0</v>
      </c>
      <c r="F397" s="132" t="str">
        <f t="shared" si="93"/>
        <v>N/A</v>
      </c>
      <c r="G397" s="131">
        <f>SUMIFS(All_Stats!$H:$H,
All_Stats!$D:$D,$B397,
All_Stats!$B:$B,"&gt;="&amp;EOMONTH($A397,-1)+1,
All_Stats!$B:$B,"&lt;"&amp;EOMONTH($A397,0)+1,
All_Stats!$P:$P,"&lt;&gt;Email Marketing"
)</f>
        <v>0</v>
      </c>
      <c r="H397" s="113">
        <f>SUMIFS(All_Stats!$K:$K,
All_Stats!$D:$D,$B397,
All_Stats!$B:$B,"&gt;="&amp;EOMONTH($A397,-1)+1,
All_Stats!$B:$B,"&lt;"&amp;EOMONTH($A397,0)+1,
All_Stats!$P:$P,"&lt;&gt;Email Marketing"
)</f>
        <v>0</v>
      </c>
      <c r="I397" s="152">
        <f>IFERROR(__xludf.DUMMYFUNCTION("COUNTUNIQUEIFS(All_Stats!A:A,
All_Stats!$D:$D,$B397,
All_Stats!$B:$B,""&gt;=""&amp;EOMONTH($A397,-1)+1,
All_Stats!$B:$B,""&lt;""&amp;EOMONTH($A397,0)+1,
All_Stats!$P:$P,""&lt;&gt;Email Marketing""
)"),0.0)</f>
        <v>0</v>
      </c>
    </row>
    <row r="398" hidden="1">
      <c r="A398" s="128">
        <v>44682.0</v>
      </c>
      <c r="B398" s="129" t="s">
        <v>33</v>
      </c>
      <c r="C398" s="174" t="s">
        <v>492</v>
      </c>
      <c r="D398" s="131">
        <f>SUMIFS(All_Stats!$G:$G,
All_Stats!$D:$D,$B398,
All_Stats!$B:$B,"&gt;="&amp;EOMONTH($A398,-1)+1,
All_Stats!$B:$B,"&lt;"&amp;EOMONTH($A398,0)+1,
All_Stats!$P:$P,"&lt;&gt;Email Marketing"
)</f>
        <v>0</v>
      </c>
      <c r="E398" s="113">
        <f>SUMIFS(All_Stats!$I:$I,
All_Stats!$D:$D,$B398,
All_Stats!$B:$B,"&gt;="&amp;EOMONTH($A398,-1)+1,
All_Stats!$B:$B,"&lt;"&amp;EOMONTH($A398,0)+1,
All_Stats!$P:$P,"&lt;&gt;Email Marketing"
)</f>
        <v>0</v>
      </c>
      <c r="F398" s="132" t="str">
        <f t="shared" si="93"/>
        <v>N/A</v>
      </c>
      <c r="G398" s="131">
        <f>SUMIFS(All_Stats!$H:$H,
All_Stats!$D:$D,$B398,
All_Stats!$B:$B,"&gt;="&amp;EOMONTH($A398,-1)+1,
All_Stats!$B:$B,"&lt;"&amp;EOMONTH($A398,0)+1,
All_Stats!$P:$P,"&lt;&gt;Email Marketing"
)</f>
        <v>0</v>
      </c>
      <c r="H398" s="113">
        <f>SUMIFS(All_Stats!$K:$K,
All_Stats!$D:$D,$B398,
All_Stats!$B:$B,"&gt;="&amp;EOMONTH($A398,-1)+1,
All_Stats!$B:$B,"&lt;"&amp;EOMONTH($A398,0)+1,
All_Stats!$P:$P,"&lt;&gt;Email Marketing"
)</f>
        <v>0</v>
      </c>
      <c r="I398" s="152">
        <f>IFERROR(__xludf.DUMMYFUNCTION("COUNTUNIQUEIFS(All_Stats!A:A,
All_Stats!$D:$D,$B398,
All_Stats!$B:$B,""&gt;=""&amp;EOMONTH($A398,-1)+1,
All_Stats!$B:$B,""&lt;""&amp;EOMONTH($A398,0)+1,
All_Stats!$P:$P,""&lt;&gt;Email Marketing""
)"),0.0)</f>
        <v>0</v>
      </c>
    </row>
    <row r="399" hidden="1">
      <c r="A399" s="135"/>
      <c r="B399" s="135"/>
      <c r="C399" s="136" t="s">
        <v>23</v>
      </c>
      <c r="D399" s="137">
        <f t="shared" ref="D399:E399" si="94">SUM(D386:D398)</f>
        <v>0</v>
      </c>
      <c r="E399" s="137">
        <f t="shared" si="94"/>
        <v>0</v>
      </c>
      <c r="F399" s="138" t="str">
        <f t="shared" si="93"/>
        <v>N/A</v>
      </c>
      <c r="G399" s="137">
        <f t="shared" ref="G399:H399" si="95">SUM(G386:G398)</f>
        <v>0</v>
      </c>
      <c r="H399" s="137">
        <f t="shared" si="95"/>
        <v>0</v>
      </c>
      <c r="I399" s="139"/>
    </row>
    <row r="400" hidden="1">
      <c r="A400" s="131"/>
      <c r="B400" s="131"/>
      <c r="C400" s="131"/>
      <c r="D400" s="140"/>
      <c r="F400" s="131"/>
      <c r="G400" s="131"/>
    </row>
    <row r="401" hidden="1">
      <c r="A401" s="131"/>
      <c r="B401" s="131"/>
      <c r="C401" s="131"/>
      <c r="D401" s="140">
        <f t="shared" ref="D401:E401" si="96">D382+D399</f>
        <v>0</v>
      </c>
      <c r="E401" s="140">
        <f t="shared" si="96"/>
        <v>0</v>
      </c>
      <c r="F401" s="131"/>
      <c r="G401" s="140">
        <f t="shared" ref="G401:H401" si="97">G382+G399</f>
        <v>0</v>
      </c>
      <c r="H401" s="140">
        <f t="shared" si="97"/>
        <v>0</v>
      </c>
    </row>
    <row r="402" hidden="1">
      <c r="A402" s="131"/>
      <c r="B402" s="131"/>
      <c r="C402" s="131"/>
      <c r="D402" s="140"/>
      <c r="F402" s="131"/>
      <c r="G402" s="131"/>
    </row>
    <row r="403" hidden="1">
      <c r="C403" s="118" t="s">
        <v>484</v>
      </c>
      <c r="D403" s="119"/>
      <c r="E403" s="119"/>
      <c r="F403" s="119"/>
      <c r="G403" s="119"/>
      <c r="H403" s="119"/>
      <c r="I403" s="159"/>
    </row>
    <row r="404" hidden="1">
      <c r="A404" s="121" t="s">
        <v>1</v>
      </c>
      <c r="B404" s="122" t="s">
        <v>485</v>
      </c>
      <c r="C404" s="123" t="s">
        <v>486</v>
      </c>
      <c r="D404" s="124" t="s">
        <v>6</v>
      </c>
      <c r="E404" s="125" t="s">
        <v>8</v>
      </c>
      <c r="F404" s="124" t="s">
        <v>479</v>
      </c>
      <c r="G404" s="126" t="s">
        <v>7</v>
      </c>
      <c r="H404" s="125" t="s">
        <v>10</v>
      </c>
      <c r="I404" s="160" t="s">
        <v>487</v>
      </c>
    </row>
    <row r="405" hidden="1">
      <c r="A405" s="128">
        <v>44713.0</v>
      </c>
      <c r="B405" s="131" t="s">
        <v>164</v>
      </c>
      <c r="C405" s="134" t="str">
        <f>if(ifna(VLOOKUP(B405,'Vendor Directory'!A:C,3,0),"NOT FOUND")="","NOT FOUND",VLOOKUP(B405,'Vendor Directory'!A:C,3,0))</f>
        <v>#N/A</v>
      </c>
      <c r="D405" s="131">
        <f>SUMIFS(All_Stats!$G:$G,
All_Stats!$D:$D,$B405,
All_Stats!$B:$B,"&gt;="&amp;EOMONTH($A405,-1)+1,
All_Stats!$B:$B,"&lt;"&amp;EOMONTH($A405,0)+1,
All_Stats!$P:$P,"Email Marketing"
)</f>
        <v>45</v>
      </c>
      <c r="E405" s="113">
        <f>SUMIFS(All_Stats!$I:$I,
All_Stats!$D:$D,$B405,
All_Stats!$B:$B,"&gt;="&amp;EOMONTH($A405,-1)+1,
All_Stats!$B:$B,"&lt;"&amp;EOMONTH($A405,0)+1,
All_Stats!$P:$P,"Email Marketing"
)</f>
        <v>25</v>
      </c>
      <c r="F405" s="132">
        <f t="shared" ref="F405:F409" si="98">iferror(E405/D405,"N/A")</f>
        <v>0.5555555556</v>
      </c>
      <c r="G405" s="131">
        <f>SUMIFS(All_Stats!$H:$H,
All_Stats!$D:$D,$B405,
All_Stats!$B:$B,"&gt;="&amp;EOMONTH($A405,-1)+1,
All_Stats!$B:$B,"&lt;"&amp;EOMONTH($A405,0)+1,
All_Stats!$P:$P,"Email Marketing"
)</f>
        <v>20</v>
      </c>
      <c r="H405" s="113">
        <f>SUMIFS(All_Stats!$K:$K,
All_Stats!$D:$D,$B405,
All_Stats!$B:$B,"&gt;="&amp;EOMONTH($A405,-1)+1,
All_Stats!$B:$B,"&lt;"&amp;EOMONTH($A405,0)+1,
All_Stats!$P:$P,"Email Marketing"
)</f>
        <v>0</v>
      </c>
      <c r="I405" s="152">
        <f>IFERROR(__xludf.DUMMYFUNCTION("COUNTUNIQUEIFS(All_Stats!A:A,
All_Stats!$D:$D,$B405,
All_Stats!$B:$B,""&gt;=""&amp;EOMONTH($A405,-1)+1,
All_Stats!$B:$B,""&lt;""&amp;EOMONTH($A405,0)+1,
All_Stats!$P:$P,""Email Marketing""
)"),1.0)</f>
        <v>1</v>
      </c>
    </row>
    <row r="406" hidden="1">
      <c r="A406" s="128">
        <v>44713.0</v>
      </c>
      <c r="B406" s="129" t="s">
        <v>79</v>
      </c>
      <c r="C406" s="130" t="s">
        <v>488</v>
      </c>
      <c r="D406" s="131">
        <f>SUMIFS(All_Stats!$G:$G,
All_Stats!$D:$D,$B406,
All_Stats!$B:$B,"&gt;="&amp;EOMONTH($A406,-1)+1,
All_Stats!$B:$B,"&lt;"&amp;EOMONTH($A406,0)+1,
All_Stats!$P:$P,"Email Marketing"
)</f>
        <v>0</v>
      </c>
      <c r="E406" s="113">
        <f>SUMIFS(All_Stats!$I:$I,
All_Stats!$D:$D,$B406,
All_Stats!$B:$B,"&gt;="&amp;EOMONTH($A406,-1)+1,
All_Stats!$B:$B,"&lt;"&amp;EOMONTH($A406,0)+1,
All_Stats!$P:$P,"Email Marketing"
)</f>
        <v>0</v>
      </c>
      <c r="F406" s="132" t="str">
        <f t="shared" si="98"/>
        <v>N/A</v>
      </c>
      <c r="G406" s="131">
        <f>SUMIFS(All_Stats!$H:$H,
All_Stats!$D:$D,$B406,
All_Stats!$B:$B,"&gt;="&amp;EOMONTH($A406,-1)+1,
All_Stats!$B:$B,"&lt;"&amp;EOMONTH($A406,0)+1,
All_Stats!$P:$P,"Email Marketing"
)</f>
        <v>0</v>
      </c>
      <c r="H406" s="113">
        <f>SUMIFS(All_Stats!$K:$K,
All_Stats!$D:$D,$B406,
All_Stats!$B:$B,"&gt;="&amp;EOMONTH($A406,-1)+1,
All_Stats!$B:$B,"&lt;"&amp;EOMONTH($A406,0)+1,
All_Stats!$P:$P,"Email Marketing"
)</f>
        <v>0</v>
      </c>
      <c r="I406" s="152">
        <f>IFERROR(__xludf.DUMMYFUNCTION("COUNTUNIQUEIFS(All_Stats!A:A,
All_Stats!$D:$D,$B406,
All_Stats!$B:$B,""&gt;=""&amp;EOMONTH($A406,-1)+1,
All_Stats!$B:$B,""&lt;""&amp;EOMONTH($A406,0)+1,
All_Stats!$P:$P,""Email Marketing""
)"),0.0)</f>
        <v>0</v>
      </c>
    </row>
    <row r="407" hidden="1">
      <c r="A407" s="128">
        <v>44713.0</v>
      </c>
      <c r="B407" s="129" t="s">
        <v>313</v>
      </c>
      <c r="C407" s="142" t="s">
        <v>525</v>
      </c>
      <c r="D407" s="131">
        <f>SUMIFS(All_Stats!$G:$G,
All_Stats!$D:$D,$B407,
All_Stats!$B:$B,"&gt;="&amp;EOMONTH($A407,-1)+1,
All_Stats!$B:$B,"&lt;"&amp;EOMONTH($A407,0)+1,
All_Stats!$P:$P,"Email Marketing"
)</f>
        <v>0</v>
      </c>
      <c r="E407" s="113">
        <f>SUMIFS(All_Stats!$I:$I,
All_Stats!$D:$D,$B407,
All_Stats!$B:$B,"&gt;="&amp;EOMONTH($A407,-1)+1,
All_Stats!$B:$B,"&lt;"&amp;EOMONTH($A407,0)+1,
All_Stats!$P:$P,"Email Marketing"
)</f>
        <v>0</v>
      </c>
      <c r="F407" s="132" t="str">
        <f t="shared" si="98"/>
        <v>N/A</v>
      </c>
      <c r="G407" s="131">
        <f>SUMIFS(All_Stats!$H:$H,
All_Stats!$D:$D,$B407,
All_Stats!$B:$B,"&gt;="&amp;EOMONTH($A407,-1)+1,
All_Stats!$B:$B,"&lt;"&amp;EOMONTH($A407,0)+1,
All_Stats!$P:$P,"Email Marketing"
)</f>
        <v>0</v>
      </c>
      <c r="H407" s="113">
        <f>SUMIFS(All_Stats!$K:$K,
All_Stats!$D:$D,$B407,
All_Stats!$B:$B,"&gt;="&amp;EOMONTH($A407,-1)+1,
All_Stats!$B:$B,"&lt;"&amp;EOMONTH($A407,0)+1,
All_Stats!$P:$P,"Email Marketing"
)</f>
        <v>0</v>
      </c>
      <c r="I407" s="152">
        <f>IFERROR(__xludf.DUMMYFUNCTION("COUNTUNIQUEIFS(All_Stats!A:A,
All_Stats!$D:$D,$B407,
All_Stats!$B:$B,""&gt;=""&amp;EOMONTH($A407,-1)+1,
All_Stats!$B:$B,""&lt;""&amp;EOMONTH($A407,0)+1,
All_Stats!$P:$P,""Email Marketing""
)"),0.0)</f>
        <v>0</v>
      </c>
    </row>
    <row r="408" hidden="1">
      <c r="A408" s="128">
        <v>44713.0</v>
      </c>
      <c r="B408" s="131" t="s">
        <v>172</v>
      </c>
      <c r="C408" s="134" t="str">
        <f>if(ifna(VLOOKUP(B408,'Vendor Directory'!A:C,3,0),"NOT FOUND")="","NOT FOUND",VLOOKUP(B408,'Vendor Directory'!A:C,3,0))</f>
        <v>#N/A</v>
      </c>
      <c r="D408" s="131">
        <f>SUMIFS(All_Stats!$G:$G,
All_Stats!$D:$D,$B408,
All_Stats!$B:$B,"&gt;="&amp;EOMONTH($A408,-1)+1,
All_Stats!$B:$B,"&lt;"&amp;EOMONTH($A408,0)+1,
All_Stats!$P:$P,"Email Marketing"
)</f>
        <v>651</v>
      </c>
      <c r="E408" s="113">
        <f>SUMIFS(All_Stats!$I:$I,
All_Stats!$D:$D,$B408,
All_Stats!$B:$B,"&gt;="&amp;EOMONTH($A408,-1)+1,
All_Stats!$B:$B,"&lt;"&amp;EOMONTH($A408,0)+1,
All_Stats!$P:$P,"Email Marketing"
)</f>
        <v>573</v>
      </c>
      <c r="F408" s="132">
        <f t="shared" si="98"/>
        <v>0.8801843318</v>
      </c>
      <c r="G408" s="131">
        <f>SUMIFS(All_Stats!$H:$H,
All_Stats!$D:$D,$B408,
All_Stats!$B:$B,"&gt;="&amp;EOMONTH($A408,-1)+1,
All_Stats!$B:$B,"&lt;"&amp;EOMONTH($A408,0)+1,
All_Stats!$P:$P,"Email Marketing"
)</f>
        <v>78</v>
      </c>
      <c r="H408" s="113">
        <f>SUMIFS(All_Stats!$K:$K,
All_Stats!$D:$D,$B408,
All_Stats!$B:$B,"&gt;="&amp;EOMONTH($A408,-1)+1,
All_Stats!$B:$B,"&lt;"&amp;EOMONTH($A408,0)+1,
All_Stats!$P:$P,"Email Marketing"
)</f>
        <v>0</v>
      </c>
      <c r="I408" s="152">
        <f>IFERROR(__xludf.DUMMYFUNCTION("COUNTUNIQUEIFS(All_Stats!A:A,
All_Stats!$D:$D,$B408,
All_Stats!$B:$B,""&gt;=""&amp;EOMONTH($A408,-1)+1,
All_Stats!$B:$B,""&lt;""&amp;EOMONTH($A408,0)+1,
All_Stats!$P:$P,""Email Marketing""
)"),1.0)</f>
        <v>1</v>
      </c>
    </row>
    <row r="409" hidden="1">
      <c r="A409" s="135"/>
      <c r="B409" s="135"/>
      <c r="C409" s="136" t="s">
        <v>23</v>
      </c>
      <c r="D409" s="137">
        <f t="shared" ref="D409:E409" si="99">SUM(D405:D408)</f>
        <v>696</v>
      </c>
      <c r="E409" s="137">
        <f t="shared" si="99"/>
        <v>598</v>
      </c>
      <c r="F409" s="138">
        <f t="shared" si="98"/>
        <v>0.8591954023</v>
      </c>
      <c r="G409" s="137">
        <f t="shared" ref="G409:H409" si="100">SUM(G405:G408)</f>
        <v>98</v>
      </c>
      <c r="H409" s="137">
        <f t="shared" si="100"/>
        <v>0</v>
      </c>
      <c r="I409" s="139"/>
    </row>
    <row r="410" hidden="1">
      <c r="A410" s="131"/>
      <c r="B410" s="131"/>
      <c r="C410" s="131"/>
      <c r="D410" s="140"/>
      <c r="F410" s="131"/>
      <c r="G410" s="131"/>
    </row>
    <row r="411" hidden="1">
      <c r="C411" s="118" t="s">
        <v>504</v>
      </c>
      <c r="D411" s="119"/>
      <c r="E411" s="119"/>
      <c r="F411" s="119"/>
      <c r="G411" s="119"/>
      <c r="H411" s="119"/>
      <c r="I411" s="159"/>
    </row>
    <row r="412" hidden="1">
      <c r="A412" s="121" t="s">
        <v>1</v>
      </c>
      <c r="B412" s="122" t="s">
        <v>485</v>
      </c>
      <c r="C412" s="123" t="s">
        <v>486</v>
      </c>
      <c r="D412" s="124" t="s">
        <v>6</v>
      </c>
      <c r="E412" s="125" t="s">
        <v>8</v>
      </c>
      <c r="F412" s="124" t="s">
        <v>479</v>
      </c>
      <c r="G412" s="126" t="s">
        <v>7</v>
      </c>
      <c r="H412" s="125" t="s">
        <v>10</v>
      </c>
      <c r="I412" s="160" t="s">
        <v>487</v>
      </c>
    </row>
    <row r="413" hidden="1">
      <c r="A413" s="128">
        <v>44713.0</v>
      </c>
      <c r="B413" s="131" t="s">
        <v>30</v>
      </c>
      <c r="C413" s="134" t="str">
        <f>if(ifna(VLOOKUP(B413,'Vendor Directory'!A:C,3,0),"NOT FOUND")="","NOT FOUND",VLOOKUP(B413,'Vendor Directory'!A:C,3,0))</f>
        <v>Vendor 2 Name</v>
      </c>
      <c r="D413" s="131">
        <f>SUMIFS(All_Stats!$G:$G,
All_Stats!$D:$D,$B413,
All_Stats!$B:$B,"&gt;="&amp;EOMONTH($A413,-1)+1,
All_Stats!$B:$B,"&lt;"&amp;EOMONTH($A413,0)+1,
All_Stats!$P:$P,"&lt;&gt;Email Marketing"
)</f>
        <v>0</v>
      </c>
      <c r="E413" s="113">
        <f>SUMIFS(All_Stats!$I:$I,
All_Stats!$D:$D,$B413,
All_Stats!$B:$B,"&gt;="&amp;EOMONTH($A413,-1)+1,
All_Stats!$B:$B,"&lt;"&amp;EOMONTH($A413,0)+1,
All_Stats!$P:$P,"&lt;&gt;Email Marketing"
)</f>
        <v>0</v>
      </c>
      <c r="F413" s="132" t="str">
        <f t="shared" ref="F413:F427" si="101">iferror(E413/D413,"N/A")</f>
        <v>N/A</v>
      </c>
      <c r="G413" s="131">
        <f>SUMIFS(All_Stats!$H:$H,
All_Stats!$D:$D,$B413,
All_Stats!$B:$B,"&gt;="&amp;EOMONTH($A413,-1)+1,
All_Stats!$B:$B,"&lt;"&amp;EOMONTH($A413,0)+1,
All_Stats!$P:$P,"&lt;&gt;Email Marketing"
)</f>
        <v>0</v>
      </c>
      <c r="H413" s="113">
        <f>SUMIFS(All_Stats!$K:$K,
All_Stats!$D:$D,$B413,
All_Stats!$B:$B,"&gt;="&amp;EOMONTH($A413,-1)+1,
All_Stats!$B:$B,"&lt;"&amp;EOMONTH($A413,0)+1,
All_Stats!$P:$P,"&lt;&gt;Email Marketing"
)</f>
        <v>0</v>
      </c>
      <c r="I413" s="152">
        <f>IFERROR(__xludf.DUMMYFUNCTION("COUNTUNIQUEIFS(All_Stats!A:A,
All_Stats!$D:$D,$B413,
All_Stats!$B:$B,""&gt;=""&amp;EOMONTH($A413,-1)+1,
All_Stats!$B:$B,""&lt;""&amp;EOMONTH($A413,0)+1,
All_Stats!$P:$P,""&lt;&gt;Email Marketing""
)"),0.0)</f>
        <v>0</v>
      </c>
    </row>
    <row r="414" hidden="1">
      <c r="A414" s="128">
        <v>44713.0</v>
      </c>
      <c r="B414" s="131" t="s">
        <v>501</v>
      </c>
      <c r="C414" s="134" t="str">
        <f>if(ifna(VLOOKUP(B414,'Vendor Directory'!A:C,3,0),"NOT FOUND")="","NOT FOUND",VLOOKUP(B414,'Vendor Directory'!A:C,3,0))</f>
        <v>#N/A</v>
      </c>
      <c r="D414" s="131">
        <f>SUMIFS(All_Stats!$G:$G,
All_Stats!$D:$D,$B414,
All_Stats!$B:$B,"&gt;="&amp;EOMONTH($A414,-1)+1,
All_Stats!$B:$B,"&lt;"&amp;EOMONTH($A414,0)+1,
All_Stats!$P:$P,"&lt;&gt;Email Marketing"
)</f>
        <v>0</v>
      </c>
      <c r="E414" s="113">
        <f>SUMIFS(All_Stats!$I:$I,
All_Stats!$D:$D,$B414,
All_Stats!$B:$B,"&gt;="&amp;EOMONTH($A414,-1)+1,
All_Stats!$B:$B,"&lt;"&amp;EOMONTH($A414,0)+1,
All_Stats!$P:$P,"&lt;&gt;Email Marketing"
)</f>
        <v>0</v>
      </c>
      <c r="F414" s="132" t="str">
        <f t="shared" si="101"/>
        <v>N/A</v>
      </c>
      <c r="G414" s="131">
        <f>SUMIFS(All_Stats!$H:$H,
All_Stats!$D:$D,$B414,
All_Stats!$B:$B,"&gt;="&amp;EOMONTH($A414,-1)+1,
All_Stats!$B:$B,"&lt;"&amp;EOMONTH($A414,0)+1,
All_Stats!$P:$P,"&lt;&gt;Email Marketing"
)</f>
        <v>0</v>
      </c>
      <c r="H414" s="113">
        <f>SUMIFS(All_Stats!$K:$K,
All_Stats!$D:$D,$B414,
All_Stats!$B:$B,"&gt;="&amp;EOMONTH($A414,-1)+1,
All_Stats!$B:$B,"&lt;"&amp;EOMONTH($A414,0)+1,
All_Stats!$P:$P,"&lt;&gt;Email Marketing"
)</f>
        <v>0</v>
      </c>
      <c r="I414" s="152">
        <f>IFERROR(__xludf.DUMMYFUNCTION("COUNTUNIQUEIFS(All_Stats!A:A,
All_Stats!$D:$D,$B414,
All_Stats!$B:$B,""&gt;=""&amp;EOMONTH($A414,-1)+1,
All_Stats!$B:$B,""&lt;""&amp;EOMONTH($A414,0)+1,
All_Stats!$P:$P,""&lt;&gt;Email Marketing""
)"),0.0)</f>
        <v>0</v>
      </c>
    </row>
    <row r="415" hidden="1">
      <c r="A415" s="128">
        <v>44713.0</v>
      </c>
      <c r="B415" s="131" t="s">
        <v>127</v>
      </c>
      <c r="C415" s="134" t="str">
        <f>if(ifna(VLOOKUP(B415,'Vendor Directory'!A:C,3,0),"NOT FOUND")="","NOT FOUND",VLOOKUP(B415,'Vendor Directory'!A:C,3,0))</f>
        <v>#N/A</v>
      </c>
      <c r="D415" s="131">
        <f>SUMIFS(All_Stats!$G:$G,
All_Stats!$D:$D,$B415,
All_Stats!$B:$B,"&gt;="&amp;EOMONTH($A415,-1)+1,
All_Stats!$B:$B,"&lt;"&amp;EOMONTH($A415,0)+1,
All_Stats!$P:$P,"&lt;&gt;Email Marketing"
)</f>
        <v>0</v>
      </c>
      <c r="E415" s="113">
        <f>SUMIFS(All_Stats!$I:$I,
All_Stats!$D:$D,$B415,
All_Stats!$B:$B,"&gt;="&amp;EOMONTH($A415,-1)+1,
All_Stats!$B:$B,"&lt;"&amp;EOMONTH($A415,0)+1,
All_Stats!$P:$P,"&lt;&gt;Email Marketing"
)</f>
        <v>0</v>
      </c>
      <c r="F415" s="132" t="str">
        <f t="shared" si="101"/>
        <v>N/A</v>
      </c>
      <c r="G415" s="131">
        <f>SUMIFS(All_Stats!$H:$H,
All_Stats!$D:$D,$B415,
All_Stats!$B:$B,"&gt;="&amp;EOMONTH($A415,-1)+1,
All_Stats!$B:$B,"&lt;"&amp;EOMONTH($A415,0)+1,
All_Stats!$P:$P,"&lt;&gt;Email Marketing"
)</f>
        <v>0</v>
      </c>
      <c r="H415" s="113">
        <f>SUMIFS(All_Stats!$K:$K,
All_Stats!$D:$D,$B415,
All_Stats!$B:$B,"&gt;="&amp;EOMONTH($A415,-1)+1,
All_Stats!$B:$B,"&lt;"&amp;EOMONTH($A415,0)+1,
All_Stats!$P:$P,"&lt;&gt;Email Marketing"
)</f>
        <v>0</v>
      </c>
      <c r="I415" s="152">
        <f>IFERROR(__xludf.DUMMYFUNCTION("COUNTUNIQUEIFS(All_Stats!A:A,
All_Stats!$D:$D,$B415,
All_Stats!$B:$B,""&gt;=""&amp;EOMONTH($A415,-1)+1,
All_Stats!$B:$B,""&lt;""&amp;EOMONTH($A415,0)+1,
All_Stats!$P:$P,""&lt;&gt;Email Marketing""
)"),0.0)</f>
        <v>0</v>
      </c>
    </row>
    <row r="416" hidden="1">
      <c r="A416" s="128">
        <v>44713.0</v>
      </c>
      <c r="B416" s="129" t="s">
        <v>313</v>
      </c>
      <c r="C416" s="142" t="s">
        <v>525</v>
      </c>
      <c r="D416" s="131">
        <f>SUMIFS(All_Stats!$G:$G,
All_Stats!$D:$D,$B416,
All_Stats!$B:$B,"&gt;="&amp;EOMONTH($A416,-1)+1,
All_Stats!$B:$B,"&lt;"&amp;EOMONTH($A416,0)+1,
All_Stats!$P:$P,"&lt;&gt;Email Marketing"
)</f>
        <v>0</v>
      </c>
      <c r="E416" s="113">
        <f>SUMIFS(All_Stats!$I:$I,
All_Stats!$D:$D,$B416,
All_Stats!$B:$B,"&gt;="&amp;EOMONTH($A416,-1)+1,
All_Stats!$B:$B,"&lt;"&amp;EOMONTH($A416,0)+1,
All_Stats!$P:$P,"&lt;&gt;Email Marketing"
)</f>
        <v>0</v>
      </c>
      <c r="F416" s="132" t="str">
        <f t="shared" si="101"/>
        <v>N/A</v>
      </c>
      <c r="G416" s="131">
        <f>SUMIFS(All_Stats!$H:$H,
All_Stats!$D:$D,$B416,
All_Stats!$B:$B,"&gt;="&amp;EOMONTH($A416,-1)+1,
All_Stats!$B:$B,"&lt;"&amp;EOMONTH($A416,0)+1,
All_Stats!$P:$P,"&lt;&gt;Email Marketing"
)</f>
        <v>0</v>
      </c>
      <c r="H416" s="113">
        <f>SUMIFS(All_Stats!$K:$K,
All_Stats!$D:$D,$B416,
All_Stats!$B:$B,"&gt;="&amp;EOMONTH($A416,-1)+1,
All_Stats!$B:$B,"&lt;"&amp;EOMONTH($A416,0)+1,
All_Stats!$P:$P,"&lt;&gt;Email Marketing"
)</f>
        <v>0</v>
      </c>
      <c r="I416" s="152">
        <f>IFERROR(__xludf.DUMMYFUNCTION("COUNTUNIQUEIFS(All_Stats!A:A,
All_Stats!$D:$D,$B416,
All_Stats!$B:$B,""&gt;=""&amp;EOMONTH($A416,-1)+1,
All_Stats!$B:$B,""&lt;""&amp;EOMONTH($A416,0)+1,
All_Stats!$P:$P,""&lt;&gt;Email Marketing""
)"),0.0)</f>
        <v>0</v>
      </c>
    </row>
    <row r="417" hidden="1">
      <c r="A417" s="128">
        <v>44713.0</v>
      </c>
      <c r="B417" s="131" t="s">
        <v>164</v>
      </c>
      <c r="C417" s="134" t="str">
        <f>if(ifna(VLOOKUP(B417,'Vendor Directory'!A:C,3,0),"NOT FOUND")="","NOT FOUND",VLOOKUP(B417,'Vendor Directory'!A:C,3,0))</f>
        <v>#N/A</v>
      </c>
      <c r="D417" s="131">
        <f>SUMIFS(All_Stats!$G:$G,
All_Stats!$D:$D,$B417,
All_Stats!$B:$B,"&gt;="&amp;EOMONTH($A417,-1)+1,
All_Stats!$B:$B,"&lt;"&amp;EOMONTH($A417,0)+1,
All_Stats!$P:$P,"&lt;&gt;Email Marketing"
)</f>
        <v>0</v>
      </c>
      <c r="E417" s="113">
        <f>SUMIFS(All_Stats!$I:$I,
All_Stats!$D:$D,$B417,
All_Stats!$B:$B,"&gt;="&amp;EOMONTH($A417,-1)+1,
All_Stats!$B:$B,"&lt;"&amp;EOMONTH($A417,0)+1,
All_Stats!$P:$P,"&lt;&gt;Email Marketing"
)</f>
        <v>0</v>
      </c>
      <c r="F417" s="132" t="str">
        <f t="shared" si="101"/>
        <v>N/A</v>
      </c>
      <c r="G417" s="131">
        <f>SUMIFS(All_Stats!$H:$H,
All_Stats!$D:$D,$B417,
All_Stats!$B:$B,"&gt;="&amp;EOMONTH($A417,-1)+1,
All_Stats!$B:$B,"&lt;"&amp;EOMONTH($A417,0)+1,
All_Stats!$P:$P,"&lt;&gt;Email Marketing"
)</f>
        <v>0</v>
      </c>
      <c r="H417" s="113">
        <f>SUMIFS(All_Stats!$K:$K,
All_Stats!$D:$D,$B417,
All_Stats!$B:$B,"&gt;="&amp;EOMONTH($A417,-1)+1,
All_Stats!$B:$B,"&lt;"&amp;EOMONTH($A417,0)+1,
All_Stats!$P:$P,"&lt;&gt;Email Marketing"
)</f>
        <v>0</v>
      </c>
      <c r="I417" s="152">
        <f>IFERROR(__xludf.DUMMYFUNCTION("COUNTUNIQUEIFS(All_Stats!A:A,
All_Stats!$D:$D,$B417,
All_Stats!$B:$B,""&gt;=""&amp;EOMONTH($A417,-1)+1,
All_Stats!$B:$B,""&lt;""&amp;EOMONTH($A417,0)+1,
All_Stats!$P:$P,""&lt;&gt;Email Marketing""
)"),0.0)</f>
        <v>0</v>
      </c>
    </row>
    <row r="418" hidden="1">
      <c r="A418" s="128">
        <v>44713.0</v>
      </c>
      <c r="B418" s="131" t="s">
        <v>172</v>
      </c>
      <c r="C418" s="134" t="str">
        <f>if(ifna(VLOOKUP(B418,'Vendor Directory'!A:C,3,0),"NOT FOUND")="","NOT FOUND",VLOOKUP(B418,'Vendor Directory'!A:C,3,0))</f>
        <v>#N/A</v>
      </c>
      <c r="D418" s="131">
        <f>SUMIFS(All_Stats!$G:$G,
All_Stats!$D:$D,$B418,
All_Stats!$B:$B,"&gt;="&amp;EOMONTH($A418,-1)+1,
All_Stats!$B:$B,"&lt;"&amp;EOMONTH($A418,0)+1,
All_Stats!$P:$P,"&lt;&gt;Email Marketing"
)</f>
        <v>0</v>
      </c>
      <c r="E418" s="113">
        <f>SUMIFS(All_Stats!$I:$I,
All_Stats!$D:$D,$B418,
All_Stats!$B:$B,"&gt;="&amp;EOMONTH($A418,-1)+1,
All_Stats!$B:$B,"&lt;"&amp;EOMONTH($A418,0)+1,
All_Stats!$P:$P,"&lt;&gt;Email Marketing"
)</f>
        <v>0</v>
      </c>
      <c r="F418" s="132" t="str">
        <f t="shared" si="101"/>
        <v>N/A</v>
      </c>
      <c r="G418" s="131">
        <f>SUMIFS(All_Stats!$H:$H,
All_Stats!$D:$D,$B418,
All_Stats!$B:$B,"&gt;="&amp;EOMONTH($A418,-1)+1,
All_Stats!$B:$B,"&lt;"&amp;EOMONTH($A418,0)+1,
All_Stats!$P:$P,"&lt;&gt;Email Marketing"
)</f>
        <v>0</v>
      </c>
      <c r="H418" s="113">
        <f>SUMIFS(All_Stats!$K:$K,
All_Stats!$D:$D,$B418,
All_Stats!$B:$B,"&gt;="&amp;EOMONTH($A418,-1)+1,
All_Stats!$B:$B,"&lt;"&amp;EOMONTH($A418,0)+1,
All_Stats!$P:$P,"&lt;&gt;Email Marketing"
)</f>
        <v>0</v>
      </c>
      <c r="I418" s="152">
        <f>IFERROR(__xludf.DUMMYFUNCTION("COUNTUNIQUEIFS(All_Stats!A:A,
All_Stats!$D:$D,$B418,
All_Stats!$B:$B,""&gt;=""&amp;EOMONTH($A418,-1)+1,
All_Stats!$B:$B,""&lt;""&amp;EOMONTH($A418,0)+1,
All_Stats!$P:$P,""&lt;&gt;Email Marketing""
)"),0.0)</f>
        <v>0</v>
      </c>
    </row>
    <row r="419" hidden="1">
      <c r="A419" s="128">
        <v>44713.0</v>
      </c>
      <c r="B419" s="131" t="s">
        <v>500</v>
      </c>
      <c r="C419" s="134" t="str">
        <f>if(ifna(VLOOKUP(B419,'Vendor Directory'!A:C,3,0),"NOT FOUND")="","NOT FOUND",VLOOKUP(B419,'Vendor Directory'!A:C,3,0))</f>
        <v>#N/A</v>
      </c>
      <c r="D419" s="131">
        <f>SUMIFS(All_Stats!$G:$G,
All_Stats!$D:$D,$B419,
All_Stats!$B:$B,"&gt;="&amp;EOMONTH($A419,-1)+1,
All_Stats!$B:$B,"&lt;"&amp;EOMONTH($A419,0)+1,
All_Stats!$P:$P,"&lt;&gt;Email Marketing"
)</f>
        <v>0</v>
      </c>
      <c r="E419" s="113">
        <f>SUMIFS(All_Stats!$I:$I,
All_Stats!$D:$D,$B419,
All_Stats!$B:$B,"&gt;="&amp;EOMONTH($A419,-1)+1,
All_Stats!$B:$B,"&lt;"&amp;EOMONTH($A419,0)+1,
All_Stats!$P:$P,"&lt;&gt;Email Marketing"
)</f>
        <v>0</v>
      </c>
      <c r="F419" s="132" t="str">
        <f t="shared" si="101"/>
        <v>N/A</v>
      </c>
      <c r="G419" s="131">
        <f>SUMIFS(All_Stats!$H:$H,
All_Stats!$D:$D,$B419,
All_Stats!$B:$B,"&gt;="&amp;EOMONTH($A419,-1)+1,
All_Stats!$B:$B,"&lt;"&amp;EOMONTH($A419,0)+1,
All_Stats!$P:$P,"&lt;&gt;Email Marketing"
)</f>
        <v>0</v>
      </c>
      <c r="H419" s="113">
        <f>SUMIFS(All_Stats!$K:$K,
All_Stats!$D:$D,$B419,
All_Stats!$B:$B,"&gt;="&amp;EOMONTH($A419,-1)+1,
All_Stats!$B:$B,"&lt;"&amp;EOMONTH($A419,0)+1,
All_Stats!$P:$P,"&lt;&gt;Email Marketing"
)</f>
        <v>0</v>
      </c>
      <c r="I419" s="152">
        <f>IFERROR(__xludf.DUMMYFUNCTION("COUNTUNIQUEIFS(All_Stats!A:A,
All_Stats!$D:$D,$B419,
All_Stats!$B:$B,""&gt;=""&amp;EOMONTH($A419,-1)+1,
All_Stats!$B:$B,""&lt;""&amp;EOMONTH($A419,0)+1,
All_Stats!$P:$P,""&lt;&gt;Email Marketing""
)"),0.0)</f>
        <v>0</v>
      </c>
    </row>
    <row r="420" hidden="1">
      <c r="A420" s="128">
        <v>44713.0</v>
      </c>
      <c r="B420" s="129" t="s">
        <v>495</v>
      </c>
      <c r="C420" s="142" t="s">
        <v>528</v>
      </c>
      <c r="D420" s="131">
        <f>SUMIFS(All_Stats!$G:$G,
All_Stats!$D:$D,$B420,
All_Stats!$B:$B,"&gt;="&amp;EOMONTH($A420,-1)+1,
All_Stats!$B:$B,"&lt;"&amp;EOMONTH($A420,0)+1,
All_Stats!$P:$P,"&lt;&gt;Email Marketing"
)</f>
        <v>0</v>
      </c>
      <c r="E420" s="113">
        <f>SUMIFS(All_Stats!$I:$I,
All_Stats!$D:$D,$B420,
All_Stats!$B:$B,"&gt;="&amp;EOMONTH($A420,-1)+1,
All_Stats!$B:$B,"&lt;"&amp;EOMONTH($A420,0)+1,
All_Stats!$P:$P,"&lt;&gt;Email Marketing"
)</f>
        <v>0</v>
      </c>
      <c r="F420" s="132" t="str">
        <f t="shared" si="101"/>
        <v>N/A</v>
      </c>
      <c r="G420" s="131">
        <f>SUMIFS(All_Stats!$H:$H,
All_Stats!$D:$D,$B420,
All_Stats!$B:$B,"&gt;="&amp;EOMONTH($A420,-1)+1,
All_Stats!$B:$B,"&lt;"&amp;EOMONTH($A420,0)+1,
All_Stats!$P:$P,"&lt;&gt;Email Marketing"
)</f>
        <v>0</v>
      </c>
      <c r="H420" s="113">
        <f>SUMIFS(All_Stats!$K:$K,
All_Stats!$D:$D,$B420,
All_Stats!$B:$B,"&gt;="&amp;EOMONTH($A420,-1)+1,
All_Stats!$B:$B,"&lt;"&amp;EOMONTH($A420,0)+1,
All_Stats!$P:$P,"&lt;&gt;Email Marketing"
)</f>
        <v>0</v>
      </c>
      <c r="I420" s="152">
        <f>IFERROR(__xludf.DUMMYFUNCTION("COUNTUNIQUEIFS(All_Stats!A:A,
All_Stats!$D:$D,$B420,
All_Stats!$B:$B,""&gt;=""&amp;EOMONTH($A420,-1)+1,
All_Stats!$B:$B,""&lt;""&amp;EOMONTH($A420,0)+1,
All_Stats!$P:$P,""&lt;&gt;Email Marketing""
)"),0.0)</f>
        <v>0</v>
      </c>
    </row>
    <row r="421" hidden="1">
      <c r="A421" s="128">
        <v>44713.0</v>
      </c>
      <c r="B421" s="131" t="s">
        <v>157</v>
      </c>
      <c r="C421" s="134" t="str">
        <f>if(ifna(VLOOKUP(B421,'Vendor Directory'!A:C,3,0),"NOT FOUND")="","NOT FOUND",VLOOKUP(B421,'Vendor Directory'!A:C,3,0))</f>
        <v>#N/A</v>
      </c>
      <c r="D421" s="131">
        <f>SUMIFS(All_Stats!$G:$G,
All_Stats!$D:$D,$B421,
All_Stats!$B:$B,"&gt;="&amp;EOMONTH($A421,-1)+1,
All_Stats!$B:$B,"&lt;"&amp;EOMONTH($A421,0)+1,
All_Stats!$P:$P,"&lt;&gt;Email Marketing"
)</f>
        <v>0</v>
      </c>
      <c r="E421" s="113">
        <f>SUMIFS(All_Stats!$I:$I,
All_Stats!$D:$D,$B421,
All_Stats!$B:$B,"&gt;="&amp;EOMONTH($A421,-1)+1,
All_Stats!$B:$B,"&lt;"&amp;EOMONTH($A421,0)+1,
All_Stats!$P:$P,"&lt;&gt;Email Marketing"
)</f>
        <v>0</v>
      </c>
      <c r="F421" s="132" t="str">
        <f t="shared" si="101"/>
        <v>N/A</v>
      </c>
      <c r="G421" s="131">
        <f>SUMIFS(All_Stats!$H:$H,
All_Stats!$D:$D,$B421,
All_Stats!$B:$B,"&gt;="&amp;EOMONTH($A421,-1)+1,
All_Stats!$B:$B,"&lt;"&amp;EOMONTH($A421,0)+1,
All_Stats!$P:$P,"&lt;&gt;Email Marketing"
)</f>
        <v>0</v>
      </c>
      <c r="H421" s="113">
        <f>SUMIFS(All_Stats!$K:$K,
All_Stats!$D:$D,$B421,
All_Stats!$B:$B,"&gt;="&amp;EOMONTH($A421,-1)+1,
All_Stats!$B:$B,"&lt;"&amp;EOMONTH($A421,0)+1,
All_Stats!$P:$P,"&lt;&gt;Email Marketing"
)</f>
        <v>0</v>
      </c>
      <c r="I421" s="152">
        <f>IFERROR(__xludf.DUMMYFUNCTION("COUNTUNIQUEIFS(All_Stats!A:A,
All_Stats!$D:$D,$B421,
All_Stats!$B:$B,""&gt;=""&amp;EOMONTH($A421,-1)+1,
All_Stats!$B:$B,""&lt;""&amp;EOMONTH($A421,0)+1,
All_Stats!$P:$P,""&lt;&gt;Email Marketing""
)"),0.0)</f>
        <v>0</v>
      </c>
    </row>
    <row r="422" hidden="1">
      <c r="A422" s="128">
        <v>44713.0</v>
      </c>
      <c r="B422" s="131" t="s">
        <v>497</v>
      </c>
      <c r="C422" s="134" t="str">
        <f>if(ifna(VLOOKUP(B422,'Vendor Directory'!A:C,3,0),"NOT FOUND")="","NOT FOUND",VLOOKUP(B422,'Vendor Directory'!A:C,3,0))</f>
        <v>#N/A</v>
      </c>
      <c r="D422" s="131">
        <f>SUMIFS(All_Stats!$G:$G,
All_Stats!$D:$D,$B422,
All_Stats!$B:$B,"&gt;="&amp;EOMONTH($A422,-1)+1,
All_Stats!$B:$B,"&lt;"&amp;EOMONTH($A422,0)+1,
All_Stats!$P:$P,"&lt;&gt;Email Marketing"
)</f>
        <v>0</v>
      </c>
      <c r="E422" s="113">
        <f>SUMIFS(All_Stats!$I:$I,
All_Stats!$D:$D,$B422,
All_Stats!$B:$B,"&gt;="&amp;EOMONTH($A422,-1)+1,
All_Stats!$B:$B,"&lt;"&amp;EOMONTH($A422,0)+1,
All_Stats!$P:$P,"&lt;&gt;Email Marketing"
)</f>
        <v>0</v>
      </c>
      <c r="F422" s="132" t="str">
        <f t="shared" si="101"/>
        <v>N/A</v>
      </c>
      <c r="G422" s="131">
        <f>SUMIFS(All_Stats!$H:$H,
All_Stats!$D:$D,$B422,
All_Stats!$B:$B,"&gt;="&amp;EOMONTH($A422,-1)+1,
All_Stats!$B:$B,"&lt;"&amp;EOMONTH($A422,0)+1,
All_Stats!$P:$P,"&lt;&gt;Email Marketing"
)</f>
        <v>0</v>
      </c>
      <c r="H422" s="113">
        <f>SUMIFS(All_Stats!$K:$K,
All_Stats!$D:$D,$B422,
All_Stats!$B:$B,"&gt;="&amp;EOMONTH($A422,-1)+1,
All_Stats!$B:$B,"&lt;"&amp;EOMONTH($A422,0)+1,
All_Stats!$P:$P,"&lt;&gt;Email Marketing"
)</f>
        <v>0</v>
      </c>
      <c r="I422" s="152">
        <f>IFERROR(__xludf.DUMMYFUNCTION("COUNTUNIQUEIFS(All_Stats!A:A,
All_Stats!$D:$D,$B422,
All_Stats!$B:$B,""&gt;=""&amp;EOMONTH($A422,-1)+1,
All_Stats!$B:$B,""&lt;""&amp;EOMONTH($A422,0)+1,
All_Stats!$P:$P,""&lt;&gt;Email Marketing""
)"),0.0)</f>
        <v>0</v>
      </c>
    </row>
    <row r="423" hidden="1">
      <c r="A423" s="128">
        <v>44713.0</v>
      </c>
      <c r="B423" s="131" t="s">
        <v>91</v>
      </c>
      <c r="C423" s="134" t="str">
        <f>if(ifna(VLOOKUP(B423,'Vendor Directory'!A:C,3,0),"NOT FOUND")="","NOT FOUND",VLOOKUP(B423,'Vendor Directory'!A:C,3,0))</f>
        <v>#N/A</v>
      </c>
      <c r="D423" s="131">
        <f>SUMIFS(All_Stats!$G:$G,
All_Stats!$D:$D,$B423,
All_Stats!$B:$B,"&gt;="&amp;EOMONTH($A423,-1)+1,
All_Stats!$B:$B,"&lt;"&amp;EOMONTH($A423,0)+1,
All_Stats!$P:$P,"&lt;&gt;Email Marketing"
)</f>
        <v>0</v>
      </c>
      <c r="E423" s="113">
        <f>SUMIFS(All_Stats!$I:$I,
All_Stats!$D:$D,$B423,
All_Stats!$B:$B,"&gt;="&amp;EOMONTH($A423,-1)+1,
All_Stats!$B:$B,"&lt;"&amp;EOMONTH($A423,0)+1,
All_Stats!$P:$P,"&lt;&gt;Email Marketing"
)</f>
        <v>0</v>
      </c>
      <c r="F423" s="132" t="str">
        <f t="shared" si="101"/>
        <v>N/A</v>
      </c>
      <c r="G423" s="131">
        <f>SUMIFS(All_Stats!$H:$H,
All_Stats!$D:$D,$B423,
All_Stats!$B:$B,"&gt;="&amp;EOMONTH($A423,-1)+1,
All_Stats!$B:$B,"&lt;"&amp;EOMONTH($A423,0)+1,
All_Stats!$P:$P,"&lt;&gt;Email Marketing"
)</f>
        <v>0</v>
      </c>
      <c r="H423" s="113">
        <f>SUMIFS(All_Stats!$K:$K,
All_Stats!$D:$D,$B423,
All_Stats!$B:$B,"&gt;="&amp;EOMONTH($A423,-1)+1,
All_Stats!$B:$B,"&lt;"&amp;EOMONTH($A423,0)+1,
All_Stats!$P:$P,"&lt;&gt;Email Marketing"
)</f>
        <v>0</v>
      </c>
      <c r="I423" s="152">
        <f>IFERROR(__xludf.DUMMYFUNCTION("COUNTUNIQUEIFS(All_Stats!A:A,
All_Stats!$D:$D,$B423,
All_Stats!$B:$B,""&gt;=""&amp;EOMONTH($A423,-1)+1,
All_Stats!$B:$B,""&lt;""&amp;EOMONTH($A423,0)+1,
All_Stats!$P:$P,""&lt;&gt;Email Marketing""
)"),0.0)</f>
        <v>0</v>
      </c>
    </row>
    <row r="424" hidden="1">
      <c r="A424" s="128">
        <v>44713.0</v>
      </c>
      <c r="B424" s="129" t="s">
        <v>109</v>
      </c>
      <c r="C424" s="130" t="s">
        <v>490</v>
      </c>
      <c r="D424" s="131">
        <f>SUMIFS(All_Stats!$G:$G,
All_Stats!$D:$D,$B424,
All_Stats!$B:$B,"&gt;="&amp;EOMONTH($A424,-1)+1,
All_Stats!$B:$B,"&lt;"&amp;EOMONTH($A424,0)+1,
All_Stats!$P:$P,"&lt;&gt;Email Marketing"
)</f>
        <v>0</v>
      </c>
      <c r="E424" s="113">
        <f>SUMIFS(All_Stats!$I:$I,
All_Stats!$D:$D,$B424,
All_Stats!$B:$B,"&gt;="&amp;EOMONTH($A424,-1)+1,
All_Stats!$B:$B,"&lt;"&amp;EOMONTH($A424,0)+1,
All_Stats!$P:$P,"&lt;&gt;Email Marketing"
)</f>
        <v>0</v>
      </c>
      <c r="F424" s="132" t="str">
        <f t="shared" si="101"/>
        <v>N/A</v>
      </c>
      <c r="G424" s="131">
        <f>SUMIFS(All_Stats!$H:$H,
All_Stats!$D:$D,$B424,
All_Stats!$B:$B,"&gt;="&amp;EOMONTH($A424,-1)+1,
All_Stats!$B:$B,"&lt;"&amp;EOMONTH($A424,0)+1,
All_Stats!$P:$P,"&lt;&gt;Email Marketing"
)</f>
        <v>0</v>
      </c>
      <c r="H424" s="113">
        <f>SUMIFS(All_Stats!$K:$K,
All_Stats!$D:$D,$B424,
All_Stats!$B:$B,"&gt;="&amp;EOMONTH($A424,-1)+1,
All_Stats!$B:$B,"&lt;"&amp;EOMONTH($A424,0)+1,
All_Stats!$P:$P,"&lt;&gt;Email Marketing"
)</f>
        <v>0</v>
      </c>
      <c r="I424" s="152">
        <f>IFERROR(__xludf.DUMMYFUNCTION("COUNTUNIQUEIFS(All_Stats!A:A,
All_Stats!$D:$D,$B424,
All_Stats!$B:$B,""&gt;=""&amp;EOMONTH($A424,-1)+1,
All_Stats!$B:$B,""&lt;""&amp;EOMONTH($A424,0)+1,
All_Stats!$P:$P,""&lt;&gt;Email Marketing""
)"),0.0)</f>
        <v>0</v>
      </c>
    </row>
    <row r="425" hidden="1">
      <c r="A425" s="128">
        <v>44713.0</v>
      </c>
      <c r="B425" s="129" t="s">
        <v>79</v>
      </c>
      <c r="C425" s="130" t="s">
        <v>488</v>
      </c>
      <c r="D425" s="131">
        <f>SUMIFS(All_Stats!$G:$G,
All_Stats!$D:$D,$B425,
All_Stats!$B:$B,"&gt;="&amp;EOMONTH($A425,-1)+1,
All_Stats!$B:$B,"&lt;"&amp;EOMONTH($A425,0)+1,
All_Stats!$P:$P,"&lt;&gt;Email Marketing"
)</f>
        <v>0</v>
      </c>
      <c r="E425" s="113">
        <f>SUMIFS(All_Stats!$I:$I,
All_Stats!$D:$D,$B425,
All_Stats!$B:$B,"&gt;="&amp;EOMONTH($A425,-1)+1,
All_Stats!$B:$B,"&lt;"&amp;EOMONTH($A425,0)+1,
All_Stats!$P:$P,"&lt;&gt;Email Marketing"
)</f>
        <v>0</v>
      </c>
      <c r="F425" s="132" t="str">
        <f t="shared" si="101"/>
        <v>N/A</v>
      </c>
      <c r="G425" s="131">
        <f>SUMIFS(All_Stats!$H:$H,
All_Stats!$D:$D,$B425,
All_Stats!$B:$B,"&gt;="&amp;EOMONTH($A425,-1)+1,
All_Stats!$B:$B,"&lt;"&amp;EOMONTH($A425,0)+1,
All_Stats!$P:$P,"&lt;&gt;Email Marketing"
)</f>
        <v>0</v>
      </c>
      <c r="H425" s="113">
        <f>SUMIFS(All_Stats!$K:$K,
All_Stats!$D:$D,$B425,
All_Stats!$B:$B,"&gt;="&amp;EOMONTH($A425,-1)+1,
All_Stats!$B:$B,"&lt;"&amp;EOMONTH($A425,0)+1,
All_Stats!$P:$P,"&lt;&gt;Email Marketing"
)</f>
        <v>0</v>
      </c>
      <c r="I425" s="152">
        <f>IFERROR(__xludf.DUMMYFUNCTION("COUNTUNIQUEIFS(All_Stats!A:A,
All_Stats!$D:$D,$B425,
All_Stats!$B:$B,""&gt;=""&amp;EOMONTH($A425,-1)+1,
All_Stats!$B:$B,""&lt;""&amp;EOMONTH($A425,0)+1,
All_Stats!$P:$P,""&lt;&gt;Email Marketing""
)"),0.0)</f>
        <v>0</v>
      </c>
    </row>
    <row r="426" hidden="1">
      <c r="A426" s="128">
        <v>44713.0</v>
      </c>
      <c r="B426" s="129" t="s">
        <v>33</v>
      </c>
      <c r="C426" s="142" t="s">
        <v>492</v>
      </c>
      <c r="D426" s="131">
        <f>SUMIFS(All_Stats!$G:$G,
All_Stats!$D:$D,$B426,
All_Stats!$B:$B,"&gt;="&amp;EOMONTH($A426,-1)+1,
All_Stats!$B:$B,"&lt;"&amp;EOMONTH($A426,0)+1,
All_Stats!$P:$P,"&lt;&gt;Email Marketing"
)</f>
        <v>0</v>
      </c>
      <c r="E426" s="113">
        <f>SUMIFS(All_Stats!$I:$I,
All_Stats!$D:$D,$B426,
All_Stats!$B:$B,"&gt;="&amp;EOMONTH($A426,-1)+1,
All_Stats!$B:$B,"&lt;"&amp;EOMONTH($A426,0)+1,
All_Stats!$P:$P,"&lt;&gt;Email Marketing"
)</f>
        <v>0</v>
      </c>
      <c r="F426" s="132" t="str">
        <f t="shared" si="101"/>
        <v>N/A</v>
      </c>
      <c r="G426" s="131">
        <f>SUMIFS(All_Stats!$H:$H,
All_Stats!$D:$D,$B426,
All_Stats!$B:$B,"&gt;="&amp;EOMONTH($A426,-1)+1,
All_Stats!$B:$B,"&lt;"&amp;EOMONTH($A426,0)+1,
All_Stats!$P:$P,"&lt;&gt;Email Marketing"
)</f>
        <v>0</v>
      </c>
      <c r="H426" s="113">
        <f>SUMIFS(All_Stats!$K:$K,
All_Stats!$D:$D,$B426,
All_Stats!$B:$B,"&gt;="&amp;EOMONTH($A426,-1)+1,
All_Stats!$B:$B,"&lt;"&amp;EOMONTH($A426,0)+1,
All_Stats!$P:$P,"&lt;&gt;Email Marketing"
)</f>
        <v>0</v>
      </c>
      <c r="I426" s="152">
        <f>IFERROR(__xludf.DUMMYFUNCTION("COUNTUNIQUEIFS(All_Stats!A:A,
All_Stats!$D:$D,$B426,
All_Stats!$B:$B,""&gt;=""&amp;EOMONTH($A426,-1)+1,
All_Stats!$B:$B,""&lt;""&amp;EOMONTH($A426,0)+1,
All_Stats!$P:$P,""&lt;&gt;Email Marketing""
)"),0.0)</f>
        <v>0</v>
      </c>
    </row>
    <row r="427" hidden="1">
      <c r="A427" s="135"/>
      <c r="B427" s="135"/>
      <c r="C427" s="136" t="s">
        <v>23</v>
      </c>
      <c r="D427" s="137">
        <f t="shared" ref="D427:E427" si="102">SUM(D413:D426)</f>
        <v>0</v>
      </c>
      <c r="E427" s="137">
        <f t="shared" si="102"/>
        <v>0</v>
      </c>
      <c r="F427" s="138" t="str">
        <f t="shared" si="101"/>
        <v>N/A</v>
      </c>
      <c r="G427" s="137">
        <f t="shared" ref="G427:H427" si="103">SUM(G413:G426)</f>
        <v>0</v>
      </c>
      <c r="H427" s="137">
        <f t="shared" si="103"/>
        <v>0</v>
      </c>
      <c r="I427" s="139"/>
    </row>
    <row r="428" hidden="1">
      <c r="A428" s="131"/>
      <c r="B428" s="131"/>
      <c r="C428" s="131"/>
      <c r="D428" s="140"/>
      <c r="F428" s="131"/>
      <c r="G428" s="131"/>
    </row>
    <row r="429" hidden="1">
      <c r="A429" s="131"/>
      <c r="B429" s="131"/>
      <c r="C429" s="131"/>
      <c r="D429" s="140">
        <f t="shared" ref="D429:E429" si="104">D427+D409</f>
        <v>696</v>
      </c>
      <c r="E429" s="140">
        <f t="shared" si="104"/>
        <v>598</v>
      </c>
      <c r="F429" s="140"/>
      <c r="G429" s="140">
        <f t="shared" ref="G429:H429" si="105">G427+G409</f>
        <v>98</v>
      </c>
      <c r="H429" s="140">
        <f t="shared" si="105"/>
        <v>0</v>
      </c>
    </row>
    <row r="430" hidden="1">
      <c r="A430" s="131"/>
      <c r="B430" s="131"/>
      <c r="C430" s="131"/>
      <c r="D430" s="140"/>
      <c r="F430" s="131"/>
      <c r="G430" s="131"/>
    </row>
    <row r="431" hidden="1">
      <c r="C431" s="118" t="s">
        <v>484</v>
      </c>
      <c r="D431" s="119"/>
      <c r="E431" s="119"/>
      <c r="F431" s="119"/>
      <c r="G431" s="119"/>
      <c r="H431" s="119"/>
      <c r="I431" s="159"/>
    </row>
    <row r="432" hidden="1">
      <c r="A432" s="121" t="s">
        <v>1</v>
      </c>
      <c r="B432" s="122" t="s">
        <v>485</v>
      </c>
      <c r="C432" s="123" t="s">
        <v>486</v>
      </c>
      <c r="D432" s="124" t="s">
        <v>6</v>
      </c>
      <c r="E432" s="125" t="s">
        <v>8</v>
      </c>
      <c r="F432" s="124" t="s">
        <v>479</v>
      </c>
      <c r="G432" s="126" t="s">
        <v>7</v>
      </c>
      <c r="H432" s="125" t="s">
        <v>10</v>
      </c>
      <c r="I432" s="160" t="s">
        <v>487</v>
      </c>
      <c r="J432" s="184"/>
      <c r="K432" s="184" t="s">
        <v>529</v>
      </c>
      <c r="L432" s="2" t="s">
        <v>530</v>
      </c>
    </row>
    <row r="433" hidden="1">
      <c r="A433" s="128">
        <v>44743.0</v>
      </c>
      <c r="B433" s="131" t="s">
        <v>164</v>
      </c>
      <c r="C433" s="134" t="str">
        <f>if(ifna(VLOOKUP(B433,'Vendor Directory'!A:C,3,0),"NOT FOUND")="","NOT FOUND",VLOOKUP(B433,'Vendor Directory'!A:C,3,0))</f>
        <v>#N/A</v>
      </c>
      <c r="D433" s="131">
        <f>SUMIFS(All_Stats!$G:$G,
All_Stats!$D:$D,$B433,
All_Stats!$B:$B,"&gt;="&amp;EOMONTH($A433,-1)+1,
All_Stats!$B:$B,"&lt;"&amp;EOMONTH($A433,0)+1,
All_Stats!$P:$P,"Email Marketing"
)</f>
        <v>0</v>
      </c>
      <c r="E433" s="113">
        <f>SUMIFS(All_Stats!$I:$I,
All_Stats!$D:$D,$B433,
All_Stats!$B:$B,"&gt;="&amp;EOMONTH($A433,-1)+1,
All_Stats!$B:$B,"&lt;"&amp;EOMONTH($A433,0)+1,
All_Stats!$P:$P,"Email Marketing"
)</f>
        <v>0</v>
      </c>
      <c r="F433" s="132" t="str">
        <f t="shared" ref="F433:F437" si="106">iferror(E433/D433,"N/A")</f>
        <v>N/A</v>
      </c>
      <c r="G433" s="131">
        <f>SUMIFS(All_Stats!$H:$H,
All_Stats!$D:$D,$B433,
All_Stats!$B:$B,"&gt;="&amp;EOMONTH($A433,-1)+1,
All_Stats!$B:$B,"&lt;"&amp;EOMONTH($A433,0)+1,
All_Stats!$P:$P,"Email Marketing"
)</f>
        <v>0</v>
      </c>
      <c r="H433" s="113">
        <f>SUMIFS(All_Stats!$K:$K,
All_Stats!$D:$D,$B433,
All_Stats!$B:$B,"&gt;="&amp;EOMONTH($A433,-1)+1,
All_Stats!$B:$B,"&lt;"&amp;EOMONTH($A433,0)+1,
All_Stats!$P:$P,"Email Marketing"
)</f>
        <v>0</v>
      </c>
      <c r="I433" s="152">
        <f>IFERROR(__xludf.DUMMYFUNCTION("COUNTUNIQUEIFS(All_Stats!A:A,
All_Stats!$D:$D,$B433,
All_Stats!$B:$B,""&gt;=""&amp;EOMONTH($A433,-1)+1,
All_Stats!$B:$B,""&lt;""&amp;EOMONTH($A433,0)+1,
All_Stats!$P:$P,""Email Marketing""
)"),0.0)</f>
        <v>0</v>
      </c>
      <c r="J433" s="185"/>
      <c r="K433" s="185"/>
      <c r="L433" s="185">
        <f t="shared" ref="L433:L437" si="107">SUM(E433,G433,H433)</f>
        <v>0</v>
      </c>
    </row>
    <row r="434" hidden="1">
      <c r="A434" s="128">
        <v>44743.0</v>
      </c>
      <c r="B434" s="129" t="s">
        <v>79</v>
      </c>
      <c r="C434" s="186" t="s">
        <v>488</v>
      </c>
      <c r="D434" s="131">
        <f>SUMIFS(All_Stats!$G:$G,
All_Stats!$D:$D,$B434,
All_Stats!$B:$B,"&gt;="&amp;EOMONTH($A434,-1)+1,
All_Stats!$B:$B,"&lt;"&amp;EOMONTH($A434,0)+1,
All_Stats!$P:$P,"Email Marketing"
)</f>
        <v>0</v>
      </c>
      <c r="E434" s="113">
        <f>SUMIFS(All_Stats!$I:$I,
All_Stats!$D:$D,$B434,
All_Stats!$B:$B,"&gt;="&amp;EOMONTH($A434,-1)+1,
All_Stats!$B:$B,"&lt;"&amp;EOMONTH($A434,0)+1,
All_Stats!$P:$P,"Email Marketing"
)</f>
        <v>0</v>
      </c>
      <c r="F434" s="132" t="str">
        <f t="shared" si="106"/>
        <v>N/A</v>
      </c>
      <c r="G434" s="131">
        <f>SUMIFS(All_Stats!$H:$H,
All_Stats!$D:$D,$B434,
All_Stats!$B:$B,"&gt;="&amp;EOMONTH($A434,-1)+1,
All_Stats!$B:$B,"&lt;"&amp;EOMONTH($A434,0)+1,
All_Stats!$P:$P,"Email Marketing"
)</f>
        <v>0</v>
      </c>
      <c r="H434" s="113">
        <f>SUMIFS(All_Stats!$K:$K,
All_Stats!$D:$D,$B434,
All_Stats!$B:$B,"&gt;="&amp;EOMONTH($A434,-1)+1,
All_Stats!$B:$B,"&lt;"&amp;EOMONTH($A434,0)+1,
All_Stats!$P:$P,"Email Marketing"
)</f>
        <v>0</v>
      </c>
      <c r="I434" s="152">
        <f>IFERROR(__xludf.DUMMYFUNCTION("COUNTUNIQUEIFS(All_Stats!A:A,
All_Stats!$D:$D,$B434,
All_Stats!$B:$B,""&gt;=""&amp;EOMONTH($A434,-1)+1,
All_Stats!$B:$B,""&lt;""&amp;EOMONTH($A434,0)+1,
All_Stats!$P:$P,""Email Marketing""
)"),0.0)</f>
        <v>0</v>
      </c>
      <c r="J434" s="185"/>
      <c r="K434" s="185"/>
      <c r="L434" s="185">
        <f t="shared" si="107"/>
        <v>0</v>
      </c>
    </row>
    <row r="435" hidden="1">
      <c r="A435" s="128">
        <v>44743.0</v>
      </c>
      <c r="B435" s="129" t="s">
        <v>313</v>
      </c>
      <c r="C435" s="142" t="s">
        <v>525</v>
      </c>
      <c r="D435" s="131">
        <f>SUMIFS(All_Stats!$G:$G,
All_Stats!$D:$D,$B435,
All_Stats!$B:$B,"&gt;="&amp;EOMONTH($A435,-1)+1,
All_Stats!$B:$B,"&lt;"&amp;EOMONTH($A435,0)+1,
All_Stats!$P:$P,"Email Marketing"
)</f>
        <v>0</v>
      </c>
      <c r="E435" s="113">
        <f>SUMIFS(All_Stats!$I:$I,
All_Stats!$D:$D,$B435,
All_Stats!$B:$B,"&gt;="&amp;EOMONTH($A435,-1)+1,
All_Stats!$B:$B,"&lt;"&amp;EOMONTH($A435,0)+1,
All_Stats!$P:$P,"Email Marketing"
)</f>
        <v>0</v>
      </c>
      <c r="F435" s="132" t="str">
        <f t="shared" si="106"/>
        <v>N/A</v>
      </c>
      <c r="G435" s="131">
        <f>SUMIFS(All_Stats!$H:$H,
All_Stats!$D:$D,$B435,
All_Stats!$B:$B,"&gt;="&amp;EOMONTH($A435,-1)+1,
All_Stats!$B:$B,"&lt;"&amp;EOMONTH($A435,0)+1,
All_Stats!$P:$P,"Email Marketing"
)</f>
        <v>0</v>
      </c>
      <c r="H435" s="113">
        <f>SUMIFS(All_Stats!$K:$K,
All_Stats!$D:$D,$B435,
All_Stats!$B:$B,"&gt;="&amp;EOMONTH($A435,-1)+1,
All_Stats!$B:$B,"&lt;"&amp;EOMONTH($A435,0)+1,
All_Stats!$P:$P,"Email Marketing"
)</f>
        <v>0</v>
      </c>
      <c r="I435" s="152">
        <f>IFERROR(__xludf.DUMMYFUNCTION("COUNTUNIQUEIFS(All_Stats!A:A,
All_Stats!$D:$D,$B435,
All_Stats!$B:$B,""&gt;=""&amp;EOMONTH($A435,-1)+1,
All_Stats!$B:$B,""&lt;""&amp;EOMONTH($A435,0)+1,
All_Stats!$P:$P,""Email Marketing""
)"),0.0)</f>
        <v>0</v>
      </c>
      <c r="J435" s="185"/>
      <c r="K435" s="185"/>
      <c r="L435" s="185">
        <f t="shared" si="107"/>
        <v>0</v>
      </c>
    </row>
    <row r="436" hidden="1">
      <c r="A436" s="128">
        <v>44743.0</v>
      </c>
      <c r="B436" s="131" t="s">
        <v>172</v>
      </c>
      <c r="C436" s="134" t="str">
        <f>if(ifna(VLOOKUP(B436,'Vendor Directory'!A:C,3,0),"NOT FOUND")="","NOT FOUND",VLOOKUP(B436,'Vendor Directory'!A:C,3,0))</f>
        <v>#N/A</v>
      </c>
      <c r="D436" s="131">
        <f>SUMIFS(All_Stats!$G:$G,
All_Stats!$D:$D,$B436,
All_Stats!$B:$B,"&gt;="&amp;EOMONTH($A436,-1)+1,
All_Stats!$B:$B,"&lt;"&amp;EOMONTH($A436,0)+1,
All_Stats!$P:$P,"Email Marketing"
)</f>
        <v>401</v>
      </c>
      <c r="E436" s="113">
        <f>SUMIFS(All_Stats!$I:$I,
All_Stats!$D:$D,$B436,
All_Stats!$B:$B,"&gt;="&amp;EOMONTH($A436,-1)+1,
All_Stats!$B:$B,"&lt;"&amp;EOMONTH($A436,0)+1,
All_Stats!$P:$P,"Email Marketing"
)</f>
        <v>387</v>
      </c>
      <c r="F436" s="132">
        <f t="shared" si="106"/>
        <v>0.9650872818</v>
      </c>
      <c r="G436" s="131">
        <f>SUMIFS(All_Stats!$H:$H,
All_Stats!$D:$D,$B436,
All_Stats!$B:$B,"&gt;="&amp;EOMONTH($A436,-1)+1,
All_Stats!$B:$B,"&lt;"&amp;EOMONTH($A436,0)+1,
All_Stats!$P:$P,"Email Marketing"
)</f>
        <v>14</v>
      </c>
      <c r="H436" s="113">
        <f>SUMIFS(All_Stats!$K:$K,
All_Stats!$D:$D,$B436,
All_Stats!$B:$B,"&gt;="&amp;EOMONTH($A436,-1)+1,
All_Stats!$B:$B,"&lt;"&amp;EOMONTH($A436,0)+1,
All_Stats!$P:$P,"Email Marketing"
)</f>
        <v>0</v>
      </c>
      <c r="I436" s="152">
        <f>IFERROR(__xludf.DUMMYFUNCTION("COUNTUNIQUEIFS(All_Stats!A:A,
All_Stats!$D:$D,$B436,
All_Stats!$B:$B,""&gt;=""&amp;EOMONTH($A436,-1)+1,
All_Stats!$B:$B,""&lt;""&amp;EOMONTH($A436,0)+1,
All_Stats!$P:$P,""Email Marketing""
)"),1.0)</f>
        <v>1</v>
      </c>
      <c r="J436" s="185"/>
      <c r="K436" s="185"/>
      <c r="L436" s="185">
        <f t="shared" si="107"/>
        <v>401</v>
      </c>
    </row>
    <row r="437" hidden="1">
      <c r="A437" s="135"/>
      <c r="B437" s="135"/>
      <c r="C437" s="136" t="s">
        <v>23</v>
      </c>
      <c r="D437" s="137">
        <f t="shared" ref="D437:E437" si="108">SUM(D433:D436)</f>
        <v>401</v>
      </c>
      <c r="E437" s="137">
        <f t="shared" si="108"/>
        <v>387</v>
      </c>
      <c r="F437" s="138">
        <f t="shared" si="106"/>
        <v>0.9650872818</v>
      </c>
      <c r="G437" s="137">
        <f t="shared" ref="G437:H437" si="109">SUM(G433:G436)</f>
        <v>14</v>
      </c>
      <c r="H437" s="137">
        <f t="shared" si="109"/>
        <v>0</v>
      </c>
      <c r="I437" s="139"/>
      <c r="J437" s="185"/>
      <c r="K437" s="185"/>
      <c r="L437" s="185">
        <f t="shared" si="107"/>
        <v>401</v>
      </c>
    </row>
    <row r="438" hidden="1">
      <c r="A438" s="131"/>
      <c r="B438" s="131"/>
      <c r="C438" s="131"/>
      <c r="D438" s="140"/>
      <c r="F438" s="131"/>
      <c r="G438" s="131"/>
      <c r="J438" s="185"/>
      <c r="K438" s="185"/>
      <c r="L438" s="185"/>
    </row>
    <row r="439" hidden="1">
      <c r="C439" s="118" t="s">
        <v>504</v>
      </c>
      <c r="D439" s="119"/>
      <c r="E439" s="119"/>
      <c r="F439" s="119"/>
      <c r="G439" s="119"/>
      <c r="H439" s="119"/>
      <c r="I439" s="159"/>
      <c r="J439" s="184"/>
      <c r="K439" s="184"/>
      <c r="L439" s="185"/>
    </row>
    <row r="440" hidden="1">
      <c r="A440" s="121" t="s">
        <v>1</v>
      </c>
      <c r="B440" s="122" t="s">
        <v>485</v>
      </c>
      <c r="C440" s="123" t="s">
        <v>486</v>
      </c>
      <c r="D440" s="124" t="s">
        <v>6</v>
      </c>
      <c r="E440" s="125" t="s">
        <v>8</v>
      </c>
      <c r="F440" s="124" t="s">
        <v>479</v>
      </c>
      <c r="G440" s="126" t="s">
        <v>7</v>
      </c>
      <c r="H440" s="125" t="s">
        <v>10</v>
      </c>
      <c r="I440" s="160" t="s">
        <v>487</v>
      </c>
      <c r="J440" s="184"/>
      <c r="K440" s="184"/>
      <c r="L440" s="185"/>
    </row>
    <row r="441" hidden="1">
      <c r="A441" s="128">
        <v>44743.0</v>
      </c>
      <c r="B441" s="131" t="s">
        <v>30</v>
      </c>
      <c r="C441" s="134" t="str">
        <f>if(ifna(VLOOKUP(B441,'Vendor Directory'!A:C,3,0),"NOT FOUND")="","NOT FOUND",VLOOKUP(B441,'Vendor Directory'!A:C,3,0))</f>
        <v>Vendor 2 Name</v>
      </c>
      <c r="D441" s="131">
        <f>SUMIFS(All_Stats!$G:$G,
All_Stats!$D:$D,$B441,
All_Stats!$B:$B,"&gt;="&amp;EOMONTH($A441,-1)+1,
All_Stats!$B:$B,"&lt;"&amp;EOMONTH($A441,0)+1,
All_Stats!$P:$P,"&lt;&gt;Email Marketing"
)</f>
        <v>0</v>
      </c>
      <c r="E441" s="113">
        <f>SUMIFS(All_Stats!$I:$I,
All_Stats!$D:$D,$B441,
All_Stats!$B:$B,"&gt;="&amp;EOMONTH($A441,-1)+1,
All_Stats!$B:$B,"&lt;"&amp;EOMONTH($A441,0)+1,
All_Stats!$P:$P,"&lt;&gt;Email Marketing"
)</f>
        <v>0</v>
      </c>
      <c r="F441" s="132" t="str">
        <f t="shared" ref="F441:F455" si="110">iferror(E441/D441,"N/A")</f>
        <v>N/A</v>
      </c>
      <c r="G441" s="131">
        <f>SUMIFS(All_Stats!$H:$H,
All_Stats!$D:$D,$B441,
All_Stats!$B:$B,"&gt;="&amp;EOMONTH($A441,-1)+1,
All_Stats!$B:$B,"&lt;"&amp;EOMONTH($A441,0)+1,
All_Stats!$P:$P,"&lt;&gt;Email Marketing"
)</f>
        <v>0</v>
      </c>
      <c r="H441" s="113">
        <f>SUMIFS(All_Stats!$K:$K,
All_Stats!$D:$D,$B441,
All_Stats!$B:$B,"&gt;="&amp;EOMONTH($A441,-1)+1,
All_Stats!$B:$B,"&lt;"&amp;EOMONTH($A441,0)+1,
All_Stats!$P:$P,"&lt;&gt;Email Marketing"
)</f>
        <v>0</v>
      </c>
      <c r="I441" s="152">
        <f>IFERROR(__xludf.DUMMYFUNCTION("COUNTUNIQUEIFS(All_Stats!A:A,
All_Stats!$D:$D,$B441,
All_Stats!$B:$B,""&gt;=""&amp;EOMONTH($A441,-1)+1,
All_Stats!$B:$B,""&lt;""&amp;EOMONTH($A441,0)+1,
All_Stats!$P:$P,""&lt;&gt;Email Marketing""
)"),0.0)</f>
        <v>0</v>
      </c>
      <c r="J441" s="184"/>
      <c r="K441" s="184">
        <v>4.0</v>
      </c>
      <c r="L441" s="185">
        <f>SUM(E441,G441,H441,K441)</f>
        <v>4</v>
      </c>
    </row>
    <row r="442" hidden="1">
      <c r="A442" s="128">
        <v>44743.0</v>
      </c>
      <c r="B442" s="131" t="s">
        <v>501</v>
      </c>
      <c r="C442" s="134" t="str">
        <f>if(ifna(VLOOKUP(B442,'Vendor Directory'!A:C,3,0),"NOT FOUND")="","NOT FOUND",VLOOKUP(B442,'Vendor Directory'!A:C,3,0))</f>
        <v>#N/A</v>
      </c>
      <c r="D442" s="131">
        <f>SUMIFS(All_Stats!$G:$G,
All_Stats!$D:$D,$B442,
All_Stats!$B:$B,"&gt;="&amp;EOMONTH($A442,-1)+1,
All_Stats!$B:$B,"&lt;"&amp;EOMONTH($A442,0)+1,
All_Stats!$P:$P,"&lt;&gt;Email Marketing"
)</f>
        <v>0</v>
      </c>
      <c r="E442" s="113">
        <f>SUMIFS(All_Stats!$I:$I,
All_Stats!$D:$D,$B442,
All_Stats!$B:$B,"&gt;="&amp;EOMONTH($A442,-1)+1,
All_Stats!$B:$B,"&lt;"&amp;EOMONTH($A442,0)+1,
All_Stats!$P:$P,"&lt;&gt;Email Marketing"
)</f>
        <v>0</v>
      </c>
      <c r="F442" s="132" t="str">
        <f t="shared" si="110"/>
        <v>N/A</v>
      </c>
      <c r="G442" s="131">
        <f>SUMIFS(All_Stats!$H:$H,
All_Stats!$D:$D,$B442,
All_Stats!$B:$B,"&gt;="&amp;EOMONTH($A442,-1)+1,
All_Stats!$B:$B,"&lt;"&amp;EOMONTH($A442,0)+1,
All_Stats!$P:$P,"&lt;&gt;Email Marketing"
)</f>
        <v>0</v>
      </c>
      <c r="H442" s="113">
        <f>SUMIFS(All_Stats!$K:$K,
All_Stats!$D:$D,$B442,
All_Stats!$B:$B,"&gt;="&amp;EOMONTH($A442,-1)+1,
All_Stats!$B:$B,"&lt;"&amp;EOMONTH($A442,0)+1,
All_Stats!$P:$P,"&lt;&gt;Email Marketing"
)</f>
        <v>0</v>
      </c>
      <c r="I442" s="152">
        <f>IFERROR(__xludf.DUMMYFUNCTION("COUNTUNIQUEIFS(All_Stats!A:A,
All_Stats!$D:$D,$B442,
All_Stats!$B:$B,""&gt;=""&amp;EOMONTH($A442,-1)+1,
All_Stats!$B:$B,""&lt;""&amp;EOMONTH($A442,0)+1,
All_Stats!$P:$P,""&lt;&gt;Email Marketing""
)"),0.0)</f>
        <v>0</v>
      </c>
      <c r="J442" s="185"/>
      <c r="K442" s="185"/>
      <c r="L442" s="185">
        <f t="shared" ref="L442:L445" si="111">SUM(E442,G442,H442)</f>
        <v>0</v>
      </c>
    </row>
    <row r="443" hidden="1">
      <c r="A443" s="128">
        <v>44743.0</v>
      </c>
      <c r="B443" s="131" t="s">
        <v>127</v>
      </c>
      <c r="C443" s="134" t="str">
        <f>if(ifna(VLOOKUP(B443,'Vendor Directory'!A:C,3,0),"NOT FOUND")="","NOT FOUND",VLOOKUP(B443,'Vendor Directory'!A:C,3,0))</f>
        <v>#N/A</v>
      </c>
      <c r="D443" s="131">
        <f>SUMIFS(All_Stats!$G:$G,
All_Stats!$D:$D,$B443,
All_Stats!$B:$B,"&gt;="&amp;EOMONTH($A443,-1)+1,
All_Stats!$B:$B,"&lt;"&amp;EOMONTH($A443,0)+1,
All_Stats!$P:$P,"&lt;&gt;Email Marketing"
)</f>
        <v>0</v>
      </c>
      <c r="E443" s="113">
        <f>SUMIFS(All_Stats!$I:$I,
All_Stats!$D:$D,$B443,
All_Stats!$B:$B,"&gt;="&amp;EOMONTH($A443,-1)+1,
All_Stats!$B:$B,"&lt;"&amp;EOMONTH($A443,0)+1,
All_Stats!$P:$P,"&lt;&gt;Email Marketing"
)</f>
        <v>0</v>
      </c>
      <c r="F443" s="132" t="str">
        <f t="shared" si="110"/>
        <v>N/A</v>
      </c>
      <c r="G443" s="131">
        <f>SUMIFS(All_Stats!$H:$H,
All_Stats!$D:$D,$B443,
All_Stats!$B:$B,"&gt;="&amp;EOMONTH($A443,-1)+1,
All_Stats!$B:$B,"&lt;"&amp;EOMONTH($A443,0)+1,
All_Stats!$P:$P,"&lt;&gt;Email Marketing"
)</f>
        <v>0</v>
      </c>
      <c r="H443" s="113">
        <f>SUMIFS(All_Stats!$K:$K,
All_Stats!$D:$D,$B443,
All_Stats!$B:$B,"&gt;="&amp;EOMONTH($A443,-1)+1,
All_Stats!$B:$B,"&lt;"&amp;EOMONTH($A443,0)+1,
All_Stats!$P:$P,"&lt;&gt;Email Marketing"
)</f>
        <v>0</v>
      </c>
      <c r="I443" s="152">
        <f>IFERROR(__xludf.DUMMYFUNCTION("COUNTUNIQUEIFS(All_Stats!A:A,
All_Stats!$D:$D,$B443,
All_Stats!$B:$B,""&gt;=""&amp;EOMONTH($A443,-1)+1,
All_Stats!$B:$B,""&lt;""&amp;EOMONTH($A443,0)+1,
All_Stats!$P:$P,""&lt;&gt;Email Marketing""
)"),0.0)</f>
        <v>0</v>
      </c>
      <c r="J443" s="185"/>
      <c r="K443" s="185"/>
      <c r="L443" s="185">
        <f t="shared" si="111"/>
        <v>0</v>
      </c>
    </row>
    <row r="444" hidden="1">
      <c r="A444" s="128">
        <v>44743.0</v>
      </c>
      <c r="B444" s="129" t="s">
        <v>313</v>
      </c>
      <c r="C444" s="142" t="s">
        <v>525</v>
      </c>
      <c r="D444" s="131">
        <f>SUMIFS(All_Stats!$G:$G,
All_Stats!$D:$D,$B444,
All_Stats!$B:$B,"&gt;="&amp;EOMONTH($A444,-1)+1,
All_Stats!$B:$B,"&lt;"&amp;EOMONTH($A444,0)+1,
All_Stats!$P:$P,"&lt;&gt;Email Marketing"
)</f>
        <v>0</v>
      </c>
      <c r="E444" s="113">
        <f>SUMIFS(All_Stats!$I:$I,
All_Stats!$D:$D,$B444,
All_Stats!$B:$B,"&gt;="&amp;EOMONTH($A444,-1)+1,
All_Stats!$B:$B,"&lt;"&amp;EOMONTH($A444,0)+1,
All_Stats!$P:$P,"&lt;&gt;Email Marketing"
)</f>
        <v>0</v>
      </c>
      <c r="F444" s="132" t="str">
        <f t="shared" si="110"/>
        <v>N/A</v>
      </c>
      <c r="G444" s="131">
        <f>SUMIFS(All_Stats!$H:$H,
All_Stats!$D:$D,$B444,
All_Stats!$B:$B,"&gt;="&amp;EOMONTH($A444,-1)+1,
All_Stats!$B:$B,"&lt;"&amp;EOMONTH($A444,0)+1,
All_Stats!$P:$P,"&lt;&gt;Email Marketing"
)</f>
        <v>0</v>
      </c>
      <c r="H444" s="113">
        <f>SUMIFS(All_Stats!$K:$K,
All_Stats!$D:$D,$B444,
All_Stats!$B:$B,"&gt;="&amp;EOMONTH($A444,-1)+1,
All_Stats!$B:$B,"&lt;"&amp;EOMONTH($A444,0)+1,
All_Stats!$P:$P,"&lt;&gt;Email Marketing"
)</f>
        <v>0</v>
      </c>
      <c r="I444" s="152">
        <f>IFERROR(__xludf.DUMMYFUNCTION("COUNTUNIQUEIFS(All_Stats!A:A,
All_Stats!$D:$D,$B444,
All_Stats!$B:$B,""&gt;=""&amp;EOMONTH($A444,-1)+1,
All_Stats!$B:$B,""&lt;""&amp;EOMONTH($A444,0)+1,
All_Stats!$P:$P,""&lt;&gt;Email Marketing""
)"),0.0)</f>
        <v>0</v>
      </c>
      <c r="J444" s="185"/>
      <c r="K444" s="185"/>
      <c r="L444" s="185">
        <f t="shared" si="111"/>
        <v>0</v>
      </c>
    </row>
    <row r="445" hidden="1">
      <c r="A445" s="128">
        <v>44743.0</v>
      </c>
      <c r="B445" s="131" t="s">
        <v>164</v>
      </c>
      <c r="C445" s="134" t="str">
        <f>if(ifna(VLOOKUP(B445,'Vendor Directory'!A:C,3,0),"NOT FOUND")="","NOT FOUND",VLOOKUP(B445,'Vendor Directory'!A:C,3,0))</f>
        <v>#N/A</v>
      </c>
      <c r="D445" s="131">
        <f>SUMIFS(All_Stats!$G:$G,
All_Stats!$D:$D,$B445,
All_Stats!$B:$B,"&gt;="&amp;EOMONTH($A445,-1)+1,
All_Stats!$B:$B,"&lt;"&amp;EOMONTH($A445,0)+1,
All_Stats!$P:$P,"&lt;&gt;Email Marketing"
)</f>
        <v>0</v>
      </c>
      <c r="E445" s="113">
        <f>SUMIFS(All_Stats!$I:$I,
All_Stats!$D:$D,$B445,
All_Stats!$B:$B,"&gt;="&amp;EOMONTH($A445,-1)+1,
All_Stats!$B:$B,"&lt;"&amp;EOMONTH($A445,0)+1,
All_Stats!$P:$P,"&lt;&gt;Email Marketing"
)</f>
        <v>0</v>
      </c>
      <c r="F445" s="132" t="str">
        <f t="shared" si="110"/>
        <v>N/A</v>
      </c>
      <c r="G445" s="131">
        <f>SUMIFS(All_Stats!$H:$H,
All_Stats!$D:$D,$B445,
All_Stats!$B:$B,"&gt;="&amp;EOMONTH($A445,-1)+1,
All_Stats!$B:$B,"&lt;"&amp;EOMONTH($A445,0)+1,
All_Stats!$P:$P,"&lt;&gt;Email Marketing"
)</f>
        <v>0</v>
      </c>
      <c r="H445" s="113">
        <f>SUMIFS(All_Stats!$K:$K,
All_Stats!$D:$D,$B445,
All_Stats!$B:$B,"&gt;="&amp;EOMONTH($A445,-1)+1,
All_Stats!$B:$B,"&lt;"&amp;EOMONTH($A445,0)+1,
All_Stats!$P:$P,"&lt;&gt;Email Marketing"
)</f>
        <v>0</v>
      </c>
      <c r="I445" s="152">
        <f>IFERROR(__xludf.DUMMYFUNCTION("COUNTUNIQUEIFS(All_Stats!A:A,
All_Stats!$D:$D,$B445,
All_Stats!$B:$B,""&gt;=""&amp;EOMONTH($A445,-1)+1,
All_Stats!$B:$B,""&lt;""&amp;EOMONTH($A445,0)+1,
All_Stats!$P:$P,""&lt;&gt;Email Marketing""
)"),0.0)</f>
        <v>0</v>
      </c>
      <c r="J445" s="185"/>
      <c r="K445" s="185"/>
      <c r="L445" s="185">
        <f t="shared" si="111"/>
        <v>0</v>
      </c>
    </row>
    <row r="446" hidden="1">
      <c r="A446" s="128">
        <v>44743.0</v>
      </c>
      <c r="B446" s="131" t="s">
        <v>500</v>
      </c>
      <c r="C446" s="134" t="str">
        <f>if(ifna(VLOOKUP(B446,'Vendor Directory'!A:C,3,0),"NOT FOUND")="","NOT FOUND",VLOOKUP(B446,'Vendor Directory'!A:C,3,0))</f>
        <v>#N/A</v>
      </c>
      <c r="D446" s="131">
        <f>SUMIFS(All_Stats!$G:$G,
All_Stats!$D:$D,$B446,
All_Stats!$B:$B,"&gt;="&amp;EOMONTH($A446,-1)+1,
All_Stats!$B:$B,"&lt;"&amp;EOMONTH($A446,0)+1,
All_Stats!$P:$P,"&lt;&gt;Email Marketing"
)</f>
        <v>0</v>
      </c>
      <c r="E446" s="113">
        <f>SUMIFS(All_Stats!$I:$I,
All_Stats!$D:$D,$B446,
All_Stats!$B:$B,"&gt;="&amp;EOMONTH($A446,-1)+1,
All_Stats!$B:$B,"&lt;"&amp;EOMONTH($A446,0)+1,
All_Stats!$P:$P,"&lt;&gt;Email Marketing"
)</f>
        <v>0</v>
      </c>
      <c r="F446" s="132" t="str">
        <f t="shared" si="110"/>
        <v>N/A</v>
      </c>
      <c r="G446" s="131">
        <f>SUMIFS(All_Stats!$H:$H,
All_Stats!$D:$D,$B446,
All_Stats!$B:$B,"&gt;="&amp;EOMONTH($A446,-1)+1,
All_Stats!$B:$B,"&lt;"&amp;EOMONTH($A446,0)+1,
All_Stats!$P:$P,"&lt;&gt;Email Marketing"
)</f>
        <v>0</v>
      </c>
      <c r="H446" s="113">
        <f>SUMIFS(All_Stats!$K:$K,
All_Stats!$D:$D,$B446,
All_Stats!$B:$B,"&gt;="&amp;EOMONTH($A446,-1)+1,
All_Stats!$B:$B,"&lt;"&amp;EOMONTH($A446,0)+1,
All_Stats!$P:$P,"&lt;&gt;Email Marketing"
)</f>
        <v>0</v>
      </c>
      <c r="I446" s="152">
        <f>IFERROR(__xludf.DUMMYFUNCTION("COUNTUNIQUEIFS(All_Stats!A:A,
All_Stats!$D:$D,$B446,
All_Stats!$B:$B,""&gt;=""&amp;EOMONTH($A446,-1)+1,
All_Stats!$B:$B,""&lt;""&amp;EOMONTH($A446,0)+1,
All_Stats!$P:$P,""&lt;&gt;Email Marketing""
)"),0.0)</f>
        <v>0</v>
      </c>
      <c r="J446" s="184"/>
      <c r="K446" s="184">
        <v>1.0</v>
      </c>
      <c r="L446" s="185">
        <f>SUM(E446,G446,H446,K446)</f>
        <v>1</v>
      </c>
    </row>
    <row r="447" hidden="1">
      <c r="A447" s="128">
        <v>44743.0</v>
      </c>
      <c r="B447" s="129" t="s">
        <v>495</v>
      </c>
      <c r="C447" s="142" t="s">
        <v>528</v>
      </c>
      <c r="D447" s="131">
        <f>SUMIFS(All_Stats!$G:$G,
All_Stats!$D:$D,$B447,
All_Stats!$B:$B,"&gt;="&amp;EOMONTH($A447,-1)+1,
All_Stats!$B:$B,"&lt;"&amp;EOMONTH($A447,0)+1,
All_Stats!$P:$P,"&lt;&gt;Email Marketing"
)</f>
        <v>0</v>
      </c>
      <c r="E447" s="113">
        <f>SUMIFS(All_Stats!$I:$I,
All_Stats!$D:$D,$B447,
All_Stats!$B:$B,"&gt;="&amp;EOMONTH($A447,-1)+1,
All_Stats!$B:$B,"&lt;"&amp;EOMONTH($A447,0)+1,
All_Stats!$P:$P,"&lt;&gt;Email Marketing"
)</f>
        <v>0</v>
      </c>
      <c r="F447" s="132" t="str">
        <f t="shared" si="110"/>
        <v>N/A</v>
      </c>
      <c r="G447" s="131">
        <f>SUMIFS(All_Stats!$H:$H,
All_Stats!$D:$D,$B447,
All_Stats!$B:$B,"&gt;="&amp;EOMONTH($A447,-1)+1,
All_Stats!$B:$B,"&lt;"&amp;EOMONTH($A447,0)+1,
All_Stats!$P:$P,"&lt;&gt;Email Marketing"
)</f>
        <v>0</v>
      </c>
      <c r="H447" s="113">
        <f>SUMIFS(All_Stats!$K:$K,
All_Stats!$D:$D,$B447,
All_Stats!$B:$B,"&gt;="&amp;EOMONTH($A447,-1)+1,
All_Stats!$B:$B,"&lt;"&amp;EOMONTH($A447,0)+1,
All_Stats!$P:$P,"&lt;&gt;Email Marketing"
)</f>
        <v>0</v>
      </c>
      <c r="I447" s="152">
        <f>IFERROR(__xludf.DUMMYFUNCTION("COUNTUNIQUEIFS(All_Stats!A:A,
All_Stats!$D:$D,$B447,
All_Stats!$B:$B,""&gt;=""&amp;EOMONTH($A447,-1)+1,
All_Stats!$B:$B,""&lt;""&amp;EOMONTH($A447,0)+1,
All_Stats!$P:$P,""&lt;&gt;Email Marketing""
)"),0.0)</f>
        <v>0</v>
      </c>
      <c r="J447" s="185"/>
      <c r="K447" s="185"/>
      <c r="L447" s="185">
        <f t="shared" ref="L447:L449" si="112">SUM(E447,G447,H447)</f>
        <v>0</v>
      </c>
    </row>
    <row r="448" hidden="1">
      <c r="A448" s="128">
        <v>44743.0</v>
      </c>
      <c r="B448" s="131" t="s">
        <v>157</v>
      </c>
      <c r="C448" s="134" t="str">
        <f>if(ifna(VLOOKUP(B448,'Vendor Directory'!A:C,3,0),"NOT FOUND")="","NOT FOUND",VLOOKUP(B448,'Vendor Directory'!A:C,3,0))</f>
        <v>#N/A</v>
      </c>
      <c r="D448" s="131">
        <f>SUMIFS(All_Stats!$G:$G,
All_Stats!$D:$D,$B448,
All_Stats!$B:$B,"&gt;="&amp;EOMONTH($A448,-1)+1,
All_Stats!$B:$B,"&lt;"&amp;EOMONTH($A448,0)+1,
All_Stats!$P:$P,"&lt;&gt;Email Marketing"
)</f>
        <v>0</v>
      </c>
      <c r="E448" s="113">
        <f>SUMIFS(All_Stats!$I:$I,
All_Stats!$D:$D,$B448,
All_Stats!$B:$B,"&gt;="&amp;EOMONTH($A448,-1)+1,
All_Stats!$B:$B,"&lt;"&amp;EOMONTH($A448,0)+1,
All_Stats!$P:$P,"&lt;&gt;Email Marketing"
)</f>
        <v>0</v>
      </c>
      <c r="F448" s="132" t="str">
        <f t="shared" si="110"/>
        <v>N/A</v>
      </c>
      <c r="G448" s="131">
        <f>SUMIFS(All_Stats!$H:$H,
All_Stats!$D:$D,$B448,
All_Stats!$B:$B,"&gt;="&amp;EOMONTH($A448,-1)+1,
All_Stats!$B:$B,"&lt;"&amp;EOMONTH($A448,0)+1,
All_Stats!$P:$P,"&lt;&gt;Email Marketing"
)</f>
        <v>0</v>
      </c>
      <c r="H448" s="113">
        <f>SUMIFS(All_Stats!$K:$K,
All_Stats!$D:$D,$B448,
All_Stats!$B:$B,"&gt;="&amp;EOMONTH($A448,-1)+1,
All_Stats!$B:$B,"&lt;"&amp;EOMONTH($A448,0)+1,
All_Stats!$P:$P,"&lt;&gt;Email Marketing"
)</f>
        <v>0</v>
      </c>
      <c r="I448" s="152">
        <f>IFERROR(__xludf.DUMMYFUNCTION("COUNTUNIQUEIFS(All_Stats!A:A,
All_Stats!$D:$D,$B448,
All_Stats!$B:$B,""&gt;=""&amp;EOMONTH($A448,-1)+1,
All_Stats!$B:$B,""&lt;""&amp;EOMONTH($A448,0)+1,
All_Stats!$P:$P,""&lt;&gt;Email Marketing""
)"),0.0)</f>
        <v>0</v>
      </c>
      <c r="J448" s="185"/>
      <c r="K448" s="185"/>
      <c r="L448" s="185">
        <f t="shared" si="112"/>
        <v>0</v>
      </c>
    </row>
    <row r="449" hidden="1">
      <c r="A449" s="128">
        <v>44743.0</v>
      </c>
      <c r="B449" s="131" t="s">
        <v>497</v>
      </c>
      <c r="C449" s="134" t="str">
        <f>if(ifna(VLOOKUP(B449,'Vendor Directory'!A:C,3,0),"NOT FOUND")="","NOT FOUND",VLOOKUP(B449,'Vendor Directory'!A:C,3,0))</f>
        <v>#N/A</v>
      </c>
      <c r="D449" s="131">
        <f>SUMIFS(All_Stats!$G:$G,
All_Stats!$D:$D,$B449,
All_Stats!$B:$B,"&gt;="&amp;EOMONTH($A449,-1)+1,
All_Stats!$B:$B,"&lt;"&amp;EOMONTH($A449,0)+1,
All_Stats!$P:$P,"&lt;&gt;Email Marketing"
)</f>
        <v>0</v>
      </c>
      <c r="E449" s="113">
        <f>SUMIFS(All_Stats!$I:$I,
All_Stats!$D:$D,$B449,
All_Stats!$B:$B,"&gt;="&amp;EOMONTH($A449,-1)+1,
All_Stats!$B:$B,"&lt;"&amp;EOMONTH($A449,0)+1,
All_Stats!$P:$P,"&lt;&gt;Email Marketing"
)</f>
        <v>0</v>
      </c>
      <c r="F449" s="132" t="str">
        <f t="shared" si="110"/>
        <v>N/A</v>
      </c>
      <c r="G449" s="131">
        <f>SUMIFS(All_Stats!$H:$H,
All_Stats!$D:$D,$B449,
All_Stats!$B:$B,"&gt;="&amp;EOMONTH($A449,-1)+1,
All_Stats!$B:$B,"&lt;"&amp;EOMONTH($A449,0)+1,
All_Stats!$P:$P,"&lt;&gt;Email Marketing"
)</f>
        <v>0</v>
      </c>
      <c r="H449" s="113">
        <f>SUMIFS(All_Stats!$K:$K,
All_Stats!$D:$D,$B449,
All_Stats!$B:$B,"&gt;="&amp;EOMONTH($A449,-1)+1,
All_Stats!$B:$B,"&lt;"&amp;EOMONTH($A449,0)+1,
All_Stats!$P:$P,"&lt;&gt;Email Marketing"
)</f>
        <v>0</v>
      </c>
      <c r="I449" s="152">
        <f>IFERROR(__xludf.DUMMYFUNCTION("COUNTUNIQUEIFS(All_Stats!A:A,
All_Stats!$D:$D,$B449,
All_Stats!$B:$B,""&gt;=""&amp;EOMONTH($A449,-1)+1,
All_Stats!$B:$B,""&lt;""&amp;EOMONTH($A449,0)+1,
All_Stats!$P:$P,""&lt;&gt;Email Marketing""
)"),0.0)</f>
        <v>0</v>
      </c>
      <c r="J449" s="185"/>
      <c r="K449" s="185"/>
      <c r="L449" s="185">
        <f t="shared" si="112"/>
        <v>0</v>
      </c>
    </row>
    <row r="450" hidden="1">
      <c r="A450" s="128">
        <v>44743.0</v>
      </c>
      <c r="B450" s="131" t="s">
        <v>91</v>
      </c>
      <c r="C450" s="134" t="str">
        <f>if(ifna(VLOOKUP(B450,'Vendor Directory'!A:C,3,0),"NOT FOUND")="","NOT FOUND",VLOOKUP(B450,'Vendor Directory'!A:C,3,0))</f>
        <v>#N/A</v>
      </c>
      <c r="D450" s="131">
        <f>SUMIFS(All_Stats!$G:$G,
All_Stats!$D:$D,$B450,
All_Stats!$B:$B,"&gt;="&amp;EOMONTH($A450,-1)+1,
All_Stats!$B:$B,"&lt;"&amp;EOMONTH($A450,0)+1,
All_Stats!$P:$P,"&lt;&gt;Email Marketing"
)</f>
        <v>0</v>
      </c>
      <c r="E450" s="113">
        <f>SUMIFS(All_Stats!$I:$I,
All_Stats!$D:$D,$B450,
All_Stats!$B:$B,"&gt;="&amp;EOMONTH($A450,-1)+1,
All_Stats!$B:$B,"&lt;"&amp;EOMONTH($A450,0)+1,
All_Stats!$P:$P,"&lt;&gt;Email Marketing"
)</f>
        <v>0</v>
      </c>
      <c r="F450" s="132" t="str">
        <f t="shared" si="110"/>
        <v>N/A</v>
      </c>
      <c r="G450" s="131">
        <f>SUMIFS(All_Stats!$H:$H,
All_Stats!$D:$D,$B450,
All_Stats!$B:$B,"&gt;="&amp;EOMONTH($A450,-1)+1,
All_Stats!$B:$B,"&lt;"&amp;EOMONTH($A450,0)+1,
All_Stats!$P:$P,"&lt;&gt;Email Marketing"
)</f>
        <v>0</v>
      </c>
      <c r="H450" s="113">
        <f>SUMIFS(All_Stats!$K:$K,
All_Stats!$D:$D,$B450,
All_Stats!$B:$B,"&gt;="&amp;EOMONTH($A450,-1)+1,
All_Stats!$B:$B,"&lt;"&amp;EOMONTH($A450,0)+1,
All_Stats!$P:$P,"&lt;&gt;Email Marketing"
)</f>
        <v>0</v>
      </c>
      <c r="I450" s="152">
        <f>IFERROR(__xludf.DUMMYFUNCTION("COUNTUNIQUEIFS(All_Stats!A:A,
All_Stats!$D:$D,$B450,
All_Stats!$B:$B,""&gt;=""&amp;EOMONTH($A450,-1)+1,
All_Stats!$B:$B,""&lt;""&amp;EOMONTH($A450,0)+1,
All_Stats!$P:$P,""&lt;&gt;Email Marketing""
)"),0.0)</f>
        <v>0</v>
      </c>
      <c r="J450" s="184"/>
      <c r="K450" s="184">
        <v>3.0</v>
      </c>
      <c r="L450" s="185">
        <f>SUM(E450,G450,H450,K450)</f>
        <v>3</v>
      </c>
    </row>
    <row r="451" hidden="1">
      <c r="A451" s="128">
        <v>44743.0</v>
      </c>
      <c r="B451" s="129" t="s">
        <v>109</v>
      </c>
      <c r="C451" s="186" t="s">
        <v>490</v>
      </c>
      <c r="D451" s="131">
        <f>SUMIFS(All_Stats!$G:$G,
All_Stats!$D:$D,$B451,
All_Stats!$B:$B,"&gt;="&amp;EOMONTH($A451,-1)+1,
All_Stats!$B:$B,"&lt;"&amp;EOMONTH($A451,0)+1,
All_Stats!$P:$P,"&lt;&gt;Email Marketing"
)</f>
        <v>0</v>
      </c>
      <c r="E451" s="113">
        <f>SUMIFS(All_Stats!$I:$I,
All_Stats!$D:$D,$B451,
All_Stats!$B:$B,"&gt;="&amp;EOMONTH($A451,-1)+1,
All_Stats!$B:$B,"&lt;"&amp;EOMONTH($A451,0)+1,
All_Stats!$P:$P,"&lt;&gt;Email Marketing"
)</f>
        <v>0</v>
      </c>
      <c r="F451" s="132" t="str">
        <f t="shared" si="110"/>
        <v>N/A</v>
      </c>
      <c r="G451" s="131">
        <f>SUMIFS(All_Stats!$H:$H,
All_Stats!$D:$D,$B451,
All_Stats!$B:$B,"&gt;="&amp;EOMONTH($A451,-1)+1,
All_Stats!$B:$B,"&lt;"&amp;EOMONTH($A451,0)+1,
All_Stats!$P:$P,"&lt;&gt;Email Marketing"
)</f>
        <v>0</v>
      </c>
      <c r="H451" s="113">
        <f>SUMIFS(All_Stats!$K:$K,
All_Stats!$D:$D,$B451,
All_Stats!$B:$B,"&gt;="&amp;EOMONTH($A451,-1)+1,
All_Stats!$B:$B,"&lt;"&amp;EOMONTH($A451,0)+1,
All_Stats!$P:$P,"&lt;&gt;Email Marketing"
)</f>
        <v>0</v>
      </c>
      <c r="I451" s="152">
        <f>IFERROR(__xludf.DUMMYFUNCTION("COUNTUNIQUEIFS(All_Stats!A:A,
All_Stats!$D:$D,$B451,
All_Stats!$B:$B,""&gt;=""&amp;EOMONTH($A451,-1)+1,
All_Stats!$B:$B,""&lt;""&amp;EOMONTH($A451,0)+1,
All_Stats!$P:$P,""&lt;&gt;Email Marketing""
)"),0.0)</f>
        <v>0</v>
      </c>
      <c r="J451" s="185"/>
      <c r="K451" s="185"/>
      <c r="L451" s="185">
        <f t="shared" ref="L451:L454" si="113">SUM(E451,G451,H451)</f>
        <v>0</v>
      </c>
    </row>
    <row r="452" hidden="1">
      <c r="A452" s="128">
        <v>44743.0</v>
      </c>
      <c r="B452" s="129" t="s">
        <v>79</v>
      </c>
      <c r="C452" s="186" t="s">
        <v>488</v>
      </c>
      <c r="D452" s="131">
        <f>SUMIFS(All_Stats!$G:$G,
All_Stats!$D:$D,$B452,
All_Stats!$B:$B,"&gt;="&amp;EOMONTH($A452,-1)+1,
All_Stats!$B:$B,"&lt;"&amp;EOMONTH($A452,0)+1,
All_Stats!$P:$P,"&lt;&gt;Email Marketing"
)</f>
        <v>0</v>
      </c>
      <c r="E452" s="113">
        <f>SUMIFS(All_Stats!$I:$I,
All_Stats!$D:$D,$B452,
All_Stats!$B:$B,"&gt;="&amp;EOMONTH($A452,-1)+1,
All_Stats!$B:$B,"&lt;"&amp;EOMONTH($A452,0)+1,
All_Stats!$P:$P,"&lt;&gt;Email Marketing"
)</f>
        <v>0</v>
      </c>
      <c r="F452" s="132" t="str">
        <f t="shared" si="110"/>
        <v>N/A</v>
      </c>
      <c r="G452" s="131">
        <f>SUMIFS(All_Stats!$H:$H,
All_Stats!$D:$D,$B452,
All_Stats!$B:$B,"&gt;="&amp;EOMONTH($A452,-1)+1,
All_Stats!$B:$B,"&lt;"&amp;EOMONTH($A452,0)+1,
All_Stats!$P:$P,"&lt;&gt;Email Marketing"
)</f>
        <v>0</v>
      </c>
      <c r="H452" s="113">
        <f>SUMIFS(All_Stats!$K:$K,
All_Stats!$D:$D,$B452,
All_Stats!$B:$B,"&gt;="&amp;EOMONTH($A452,-1)+1,
All_Stats!$B:$B,"&lt;"&amp;EOMONTH($A452,0)+1,
All_Stats!$P:$P,"&lt;&gt;Email Marketing"
)</f>
        <v>0</v>
      </c>
      <c r="I452" s="152">
        <f>IFERROR(__xludf.DUMMYFUNCTION("COUNTUNIQUEIFS(All_Stats!A:A,
All_Stats!$D:$D,$B452,
All_Stats!$B:$B,""&gt;=""&amp;EOMONTH($A452,-1)+1,
All_Stats!$B:$B,""&lt;""&amp;EOMONTH($A452,0)+1,
All_Stats!$P:$P,""&lt;&gt;Email Marketing""
)"),0.0)</f>
        <v>0</v>
      </c>
      <c r="J452" s="185"/>
      <c r="K452" s="185"/>
      <c r="L452" s="185">
        <f t="shared" si="113"/>
        <v>0</v>
      </c>
    </row>
    <row r="453" hidden="1">
      <c r="A453" s="128">
        <v>44743.0</v>
      </c>
      <c r="B453" s="129" t="s">
        <v>33</v>
      </c>
      <c r="C453" s="142" t="s">
        <v>492</v>
      </c>
      <c r="D453" s="131">
        <f>SUMIFS(All_Stats!$G:$G,
All_Stats!$D:$D,$B453,
All_Stats!$B:$B,"&gt;="&amp;EOMONTH($A453,-1)+1,
All_Stats!$B:$B,"&lt;"&amp;EOMONTH($A453,0)+1,
All_Stats!$P:$P,"&lt;&gt;Email Marketing"
)</f>
        <v>0</v>
      </c>
      <c r="E453" s="113">
        <f>SUMIFS(All_Stats!$I:$I,
All_Stats!$D:$D,$B453,
All_Stats!$B:$B,"&gt;="&amp;EOMONTH($A453,-1)+1,
All_Stats!$B:$B,"&lt;"&amp;EOMONTH($A453,0)+1,
All_Stats!$P:$P,"&lt;&gt;Email Marketing"
)</f>
        <v>0</v>
      </c>
      <c r="F453" s="132" t="str">
        <f t="shared" si="110"/>
        <v>N/A</v>
      </c>
      <c r="G453" s="131">
        <f>SUMIFS(All_Stats!$H:$H,
All_Stats!$D:$D,$B453,
All_Stats!$B:$B,"&gt;="&amp;EOMONTH($A453,-1)+1,
All_Stats!$B:$B,"&lt;"&amp;EOMONTH($A453,0)+1,
All_Stats!$P:$P,"&lt;&gt;Email Marketing"
)</f>
        <v>0</v>
      </c>
      <c r="H453" s="113">
        <f>SUMIFS(All_Stats!$K:$K,
All_Stats!$D:$D,$B453,
All_Stats!$B:$B,"&gt;="&amp;EOMONTH($A453,-1)+1,
All_Stats!$B:$B,"&lt;"&amp;EOMONTH($A453,0)+1,
All_Stats!$P:$P,"&lt;&gt;Email Marketing"
)</f>
        <v>0</v>
      </c>
      <c r="I453" s="152">
        <f>IFERROR(__xludf.DUMMYFUNCTION("COUNTUNIQUEIFS(All_Stats!A:A,
All_Stats!$D:$D,$B453,
All_Stats!$B:$B,""&gt;=""&amp;EOMONTH($A453,-1)+1,
All_Stats!$B:$B,""&lt;""&amp;EOMONTH($A453,0)+1,
All_Stats!$P:$P,""&lt;&gt;Email Marketing""
)"),0.0)</f>
        <v>0</v>
      </c>
      <c r="J453" s="185"/>
      <c r="K453" s="185"/>
      <c r="L453" s="185">
        <f t="shared" si="113"/>
        <v>0</v>
      </c>
    </row>
    <row r="454" hidden="1">
      <c r="A454" s="128">
        <v>44744.0</v>
      </c>
      <c r="B454" s="129" t="s">
        <v>496</v>
      </c>
      <c r="C454" s="142" t="s">
        <v>514</v>
      </c>
      <c r="D454" s="131">
        <f>SUMIFS(All_Stats!$G:$G,
All_Stats!$D:$D,$B454,
All_Stats!$B:$B,"&gt;="&amp;EOMONTH($A454,-1)+1,
All_Stats!$B:$B,"&lt;"&amp;EOMONTH($A454,0)+1,
All_Stats!$P:$P,"&lt;&gt;Email Marketing"
)</f>
        <v>0</v>
      </c>
      <c r="E454" s="113">
        <f>SUMIFS(All_Stats!$I:$I,
All_Stats!$D:$D,$B454,
All_Stats!$B:$B,"&gt;="&amp;EOMONTH($A454,-1)+1,
All_Stats!$B:$B,"&lt;"&amp;EOMONTH($A454,0)+1,
All_Stats!$P:$P,"&lt;&gt;Email Marketing"
)</f>
        <v>0</v>
      </c>
      <c r="F454" s="132" t="str">
        <f t="shared" si="110"/>
        <v>N/A</v>
      </c>
      <c r="G454" s="131">
        <f>SUMIFS(All_Stats!$H:$H,
All_Stats!$D:$D,$B454,
All_Stats!$B:$B,"&gt;="&amp;EOMONTH($A454,-1)+1,
All_Stats!$B:$B,"&lt;"&amp;EOMONTH($A454,0)+1,
All_Stats!$P:$P,"&lt;&gt;Email Marketing"
)</f>
        <v>0</v>
      </c>
      <c r="H454" s="113">
        <f>SUMIFS(All_Stats!$K:$K,
All_Stats!$D:$D,$B454,
All_Stats!$B:$B,"&gt;="&amp;EOMONTH($A454,-1)+1,
All_Stats!$B:$B,"&lt;"&amp;EOMONTH($A454,0)+1,
All_Stats!$P:$P,"&lt;&gt;Email Marketing"
)</f>
        <v>0</v>
      </c>
      <c r="I454" s="152">
        <f>IFERROR(__xludf.DUMMYFUNCTION("COUNTUNIQUEIFS(All_Stats!A:A,
All_Stats!$D:$D,$B454,
All_Stats!$B:$B,""&gt;=""&amp;EOMONTH($A454,-1)+1,
All_Stats!$B:$B,""&lt;""&amp;EOMONTH($A454,0)+1,
All_Stats!$P:$P,""&lt;&gt;Email Marketing""
)"),0.0)</f>
        <v>0</v>
      </c>
      <c r="L454" s="185">
        <f t="shared" si="113"/>
        <v>0</v>
      </c>
    </row>
    <row r="455" hidden="1">
      <c r="A455" s="135"/>
      <c r="B455" s="135"/>
      <c r="C455" s="136" t="s">
        <v>23</v>
      </c>
      <c r="D455" s="137">
        <f t="shared" ref="D455:E455" si="114">SUM(D441:D454)</f>
        <v>0</v>
      </c>
      <c r="E455" s="137">
        <f t="shared" si="114"/>
        <v>0</v>
      </c>
      <c r="F455" s="138" t="str">
        <f t="shared" si="110"/>
        <v>N/A</v>
      </c>
      <c r="G455" s="137">
        <f t="shared" ref="G455:H455" si="115">SUM(G441:G454)</f>
        <v>0</v>
      </c>
      <c r="H455" s="137">
        <f t="shared" si="115"/>
        <v>0</v>
      </c>
      <c r="I455" s="139"/>
      <c r="J455" s="185"/>
      <c r="K455" s="185">
        <f>SUM(K441:K454)</f>
        <v>8</v>
      </c>
      <c r="L455" s="185">
        <f>SUM(E455,G455,H455,K455)</f>
        <v>8</v>
      </c>
    </row>
    <row r="456" hidden="1">
      <c r="A456" s="131"/>
      <c r="B456" s="131"/>
      <c r="C456" s="131"/>
      <c r="D456" s="140"/>
      <c r="F456" s="131"/>
      <c r="G456" s="131"/>
    </row>
    <row r="457" hidden="1">
      <c r="A457" s="131"/>
      <c r="B457" s="131"/>
      <c r="C457" s="131"/>
      <c r="D457" s="140">
        <f t="shared" ref="D457:E457" si="116">D455+D437</f>
        <v>401</v>
      </c>
      <c r="E457" s="140">
        <f t="shared" si="116"/>
        <v>387</v>
      </c>
      <c r="F457" s="132">
        <f>AVERAGE(F437,F455)</f>
        <v>0.9650872818</v>
      </c>
      <c r="G457" s="140">
        <f t="shared" ref="G457:H457" si="117">G455+G437</f>
        <v>14</v>
      </c>
      <c r="H457" s="140">
        <f t="shared" si="117"/>
        <v>0</v>
      </c>
    </row>
    <row r="458" hidden="1">
      <c r="A458" s="131"/>
      <c r="B458" s="131"/>
      <c r="C458" s="131"/>
      <c r="D458" s="140"/>
      <c r="F458" s="131"/>
      <c r="G458" s="131"/>
    </row>
    <row r="459" hidden="1">
      <c r="C459" s="118" t="s">
        <v>484</v>
      </c>
      <c r="D459" s="119"/>
      <c r="E459" s="119"/>
      <c r="F459" s="119"/>
      <c r="G459" s="119"/>
      <c r="H459" s="119"/>
      <c r="I459" s="159"/>
    </row>
    <row r="460" hidden="1">
      <c r="A460" s="121" t="s">
        <v>1</v>
      </c>
      <c r="B460" s="122" t="s">
        <v>485</v>
      </c>
      <c r="C460" s="123" t="s">
        <v>486</v>
      </c>
      <c r="D460" s="124" t="s">
        <v>6</v>
      </c>
      <c r="E460" s="125" t="s">
        <v>8</v>
      </c>
      <c r="F460" s="124" t="s">
        <v>479</v>
      </c>
      <c r="G460" s="126" t="s">
        <v>7</v>
      </c>
      <c r="H460" s="125" t="s">
        <v>10</v>
      </c>
      <c r="I460" s="160" t="s">
        <v>487</v>
      </c>
      <c r="J460" s="187"/>
      <c r="K460" s="187" t="s">
        <v>529</v>
      </c>
      <c r="L460" s="187" t="s">
        <v>530</v>
      </c>
    </row>
    <row r="461" hidden="1">
      <c r="A461" s="128">
        <v>44774.0</v>
      </c>
      <c r="B461" s="131" t="s">
        <v>164</v>
      </c>
      <c r="C461" s="134" t="str">
        <f>if(ifna(VLOOKUP(B461,'Vendor Directory'!A:C,3,0),"NOT FOUND")="","NOT FOUND",VLOOKUP(B461,'Vendor Directory'!A:C,3,0))</f>
        <v>#N/A</v>
      </c>
      <c r="D461" s="131">
        <f>SUMIFS(All_Stats!$G:$G,
All_Stats!$D:$D,$B461,
All_Stats!$B:$B,"&gt;="&amp;EOMONTH($A461,-1)+1,
All_Stats!$B:$B,"&lt;"&amp;EOMONTH($A461,0)+1,
All_Stats!$P:$P,"Email Marketing"
)</f>
        <v>0</v>
      </c>
      <c r="E461" s="113">
        <f>SUMIFS(All_Stats!$I:$I,
All_Stats!$D:$D,$B461,
All_Stats!$B:$B,"&gt;="&amp;EOMONTH($A461,-1)+1,
All_Stats!$B:$B,"&lt;"&amp;EOMONTH($A461,0)+1,
All_Stats!$P:$P,"Email Marketing"
)</f>
        <v>0</v>
      </c>
      <c r="F461" s="132" t="str">
        <f t="shared" ref="F461:F464" si="118">iferror(E461/D461,"N/A")</f>
        <v>N/A</v>
      </c>
      <c r="G461" s="131">
        <f>SUMIFS(All_Stats!$H:$H,
All_Stats!$D:$D,$B461,
All_Stats!$B:$B,"&gt;="&amp;EOMONTH($A461,-1)+1,
All_Stats!$B:$B,"&lt;"&amp;EOMONTH($A461,0)+1,
All_Stats!$P:$P,"Email Marketing"
)</f>
        <v>0</v>
      </c>
      <c r="H461" s="113">
        <f>SUMIFS(All_Stats!$K:$K,
All_Stats!$D:$D,$B461,
All_Stats!$B:$B,"&gt;="&amp;EOMONTH($A461,-1)+1,
All_Stats!$B:$B,"&lt;"&amp;EOMONTH($A461,0)+1,
All_Stats!$P:$P,"Email Marketing"
)</f>
        <v>0</v>
      </c>
      <c r="I461" s="152">
        <f>IFERROR(__xludf.DUMMYFUNCTION("COUNTUNIQUEIFS(All_Stats!A:A,
All_Stats!$D:$D,$B461,
All_Stats!$B:$B,""&gt;=""&amp;EOMONTH($A461,-1)+1,
All_Stats!$B:$B,""&lt;""&amp;EOMONTH($A461,0)+1,
All_Stats!$P:$P,""Email Marketing""
)"),0.0)</f>
        <v>0</v>
      </c>
      <c r="J461" s="188"/>
      <c r="K461" s="188"/>
      <c r="L461" s="164">
        <f t="shared" ref="L461:L464" si="119">sum(E461,G461,H461,K461)</f>
        <v>0</v>
      </c>
    </row>
    <row r="462" hidden="1">
      <c r="A462" s="128">
        <v>44774.0</v>
      </c>
      <c r="B462" s="129" t="s">
        <v>79</v>
      </c>
      <c r="C462" s="130" t="s">
        <v>488</v>
      </c>
      <c r="D462" s="131">
        <f>SUMIFS(All_Stats!$G:$G,
All_Stats!$D:$D,$B462,
All_Stats!$B:$B,"&gt;="&amp;EOMONTH($A462,-1)+1,
All_Stats!$B:$B,"&lt;"&amp;EOMONTH($A462,0)+1,
All_Stats!$P:$P,"Email Marketing"
)</f>
        <v>0</v>
      </c>
      <c r="E462" s="113">
        <f>SUMIFS(All_Stats!$I:$I,
All_Stats!$D:$D,$B462,
All_Stats!$B:$B,"&gt;="&amp;EOMONTH($A462,-1)+1,
All_Stats!$B:$B,"&lt;"&amp;EOMONTH($A462,0)+1,
All_Stats!$P:$P,"Email Marketing"
)</f>
        <v>0</v>
      </c>
      <c r="F462" s="132" t="str">
        <f t="shared" si="118"/>
        <v>N/A</v>
      </c>
      <c r="G462" s="131">
        <f>SUMIFS(All_Stats!$H:$H,
All_Stats!$D:$D,$B462,
All_Stats!$B:$B,"&gt;="&amp;EOMONTH($A462,-1)+1,
All_Stats!$B:$B,"&lt;"&amp;EOMONTH($A462,0)+1,
All_Stats!$P:$P,"Email Marketing"
)</f>
        <v>0</v>
      </c>
      <c r="H462" s="113">
        <f>SUMIFS(All_Stats!$K:$K,
All_Stats!$D:$D,$B462,
All_Stats!$B:$B,"&gt;="&amp;EOMONTH($A462,-1)+1,
All_Stats!$B:$B,"&lt;"&amp;EOMONTH($A462,0)+1,
All_Stats!$P:$P,"Email Marketing"
)</f>
        <v>0</v>
      </c>
      <c r="I462" s="152">
        <f>IFERROR(__xludf.DUMMYFUNCTION("COUNTUNIQUEIFS(All_Stats!A:A,
All_Stats!$D:$D,$B462,
All_Stats!$B:$B,""&gt;=""&amp;EOMONTH($A462,-1)+1,
All_Stats!$B:$B,""&lt;""&amp;EOMONTH($A462,0)+1,
All_Stats!$P:$P,""Email Marketing""
)"),0.0)</f>
        <v>0</v>
      </c>
      <c r="J462" s="187"/>
      <c r="K462" s="187">
        <v>3.0</v>
      </c>
      <c r="L462" s="164">
        <f t="shared" si="119"/>
        <v>3</v>
      </c>
    </row>
    <row r="463" hidden="1">
      <c r="A463" s="128">
        <v>44774.0</v>
      </c>
      <c r="B463" s="129" t="s">
        <v>313</v>
      </c>
      <c r="C463" s="142" t="s">
        <v>525</v>
      </c>
      <c r="D463" s="131">
        <f>SUMIFS(All_Stats!$G:$G,
All_Stats!$D:$D,$B463,
All_Stats!$B:$B,"&gt;="&amp;EOMONTH($A463,-1)+1,
All_Stats!$B:$B,"&lt;"&amp;EOMONTH($A463,0)+1,
All_Stats!$P:$P,"Email Marketing"
)</f>
        <v>0</v>
      </c>
      <c r="E463" s="113">
        <f>SUMIFS(All_Stats!$I:$I,
All_Stats!$D:$D,$B463,
All_Stats!$B:$B,"&gt;="&amp;EOMONTH($A463,-1)+1,
All_Stats!$B:$B,"&lt;"&amp;EOMONTH($A463,0)+1,
All_Stats!$P:$P,"Email Marketing"
)</f>
        <v>0</v>
      </c>
      <c r="F463" s="132" t="str">
        <f t="shared" si="118"/>
        <v>N/A</v>
      </c>
      <c r="G463" s="131">
        <f>SUMIFS(All_Stats!$H:$H,
All_Stats!$D:$D,$B463,
All_Stats!$B:$B,"&gt;="&amp;EOMONTH($A463,-1)+1,
All_Stats!$B:$B,"&lt;"&amp;EOMONTH($A463,0)+1,
All_Stats!$P:$P,"Email Marketing"
)</f>
        <v>0</v>
      </c>
      <c r="H463" s="113">
        <f>SUMIFS(All_Stats!$K:$K,
All_Stats!$D:$D,$B463,
All_Stats!$B:$B,"&gt;="&amp;EOMONTH($A463,-1)+1,
All_Stats!$B:$B,"&lt;"&amp;EOMONTH($A463,0)+1,
All_Stats!$P:$P,"Email Marketing"
)</f>
        <v>0</v>
      </c>
      <c r="I463" s="152">
        <f>IFERROR(__xludf.DUMMYFUNCTION("COUNTUNIQUEIFS(All_Stats!A:A,
All_Stats!$D:$D,$B463,
All_Stats!$B:$B,""&gt;=""&amp;EOMONTH($A463,-1)+1,
All_Stats!$B:$B,""&lt;""&amp;EOMONTH($A463,0)+1,
All_Stats!$P:$P,""Email Marketing""
)"),0.0)</f>
        <v>0</v>
      </c>
      <c r="J463" s="188"/>
      <c r="K463" s="188"/>
      <c r="L463" s="164">
        <f t="shared" si="119"/>
        <v>0</v>
      </c>
    </row>
    <row r="464" hidden="1">
      <c r="A464" s="135"/>
      <c r="B464" s="135"/>
      <c r="C464" s="136" t="s">
        <v>23</v>
      </c>
      <c r="D464" s="137">
        <f t="shared" ref="D464:E464" si="120">SUM(D461:D463)</f>
        <v>0</v>
      </c>
      <c r="E464" s="137">
        <f t="shared" si="120"/>
        <v>0</v>
      </c>
      <c r="F464" s="138" t="str">
        <f t="shared" si="118"/>
        <v>N/A</v>
      </c>
      <c r="G464" s="137">
        <f t="shared" ref="G464:H464" si="121">SUM(G461:G463)</f>
        <v>0</v>
      </c>
      <c r="H464" s="137">
        <f t="shared" si="121"/>
        <v>0</v>
      </c>
      <c r="I464" s="139"/>
      <c r="J464" s="188"/>
      <c r="K464" s="188"/>
      <c r="L464" s="164">
        <f t="shared" si="119"/>
        <v>0</v>
      </c>
    </row>
    <row r="465" hidden="1">
      <c r="A465" s="131"/>
      <c r="B465" s="131"/>
      <c r="C465" s="131"/>
      <c r="D465" s="140"/>
      <c r="F465" s="131"/>
      <c r="G465" s="131"/>
      <c r="J465" s="188"/>
      <c r="K465" s="188"/>
    </row>
    <row r="466" hidden="1">
      <c r="C466" s="118" t="s">
        <v>504</v>
      </c>
      <c r="D466" s="119"/>
      <c r="E466" s="119"/>
      <c r="F466" s="119"/>
      <c r="G466" s="119"/>
      <c r="H466" s="119"/>
      <c r="I466" s="159"/>
      <c r="J466" s="188"/>
      <c r="K466" s="188"/>
    </row>
    <row r="467" hidden="1">
      <c r="A467" s="121" t="s">
        <v>1</v>
      </c>
      <c r="B467" s="122" t="s">
        <v>485</v>
      </c>
      <c r="C467" s="123" t="s">
        <v>486</v>
      </c>
      <c r="D467" s="124" t="s">
        <v>6</v>
      </c>
      <c r="E467" s="125" t="s">
        <v>8</v>
      </c>
      <c r="F467" s="124" t="s">
        <v>479</v>
      </c>
      <c r="G467" s="126" t="s">
        <v>7</v>
      </c>
      <c r="H467" s="125" t="s">
        <v>10</v>
      </c>
      <c r="I467" s="160" t="s">
        <v>487</v>
      </c>
      <c r="J467" s="188"/>
      <c r="K467" s="188"/>
    </row>
    <row r="468" hidden="1">
      <c r="A468" s="128">
        <v>44774.0</v>
      </c>
      <c r="B468" s="129" t="s">
        <v>30</v>
      </c>
      <c r="C468" s="142" t="s">
        <v>531</v>
      </c>
      <c r="D468" s="131">
        <f>SUMIFS(All_Stats!$G:$G,
All_Stats!$D:$D,$B468,
All_Stats!$B:$B,"&gt;="&amp;EOMONTH($A468,-1)+1,
All_Stats!$B:$B,"&lt;"&amp;EOMONTH($A468,0)+1,
All_Stats!$P:$P,"&lt;&gt;Email Marketing"
)</f>
        <v>0</v>
      </c>
      <c r="E468" s="113">
        <f>SUMIFS(All_Stats!$I:$I,
All_Stats!$D:$D,$B468,
All_Stats!$B:$B,"&gt;="&amp;EOMONTH($A468,-1)+1,
All_Stats!$B:$B,"&lt;"&amp;EOMONTH($A468,0)+1,
All_Stats!$P:$P,"&lt;&gt;Email Marketing"
)</f>
        <v>0</v>
      </c>
      <c r="F468" s="132" t="str">
        <f t="shared" ref="F468:F482" si="122">iferror(E468/D468,"N/A")</f>
        <v>N/A</v>
      </c>
      <c r="G468" s="131">
        <f>SUMIFS(All_Stats!$H:$H,
All_Stats!$D:$D,$B468,
All_Stats!$B:$B,"&gt;="&amp;EOMONTH($A468,-1)+1,
All_Stats!$B:$B,"&lt;"&amp;EOMONTH($A468,0)+1,
All_Stats!$P:$P,"&lt;&gt;Email Marketing"
)</f>
        <v>0</v>
      </c>
      <c r="H468" s="113">
        <f>SUMIFS(All_Stats!$K:$K,
All_Stats!$D:$D,$B468,
All_Stats!$B:$B,"&gt;="&amp;EOMONTH($A468,-1)+1,
All_Stats!$B:$B,"&lt;"&amp;EOMONTH($A468,0)+1,
All_Stats!$P:$P,"&lt;&gt;Email Marketing"
)</f>
        <v>0</v>
      </c>
      <c r="I468" s="152">
        <f>IFERROR(__xludf.DUMMYFUNCTION("COUNTUNIQUEIFS(All_Stats!A:A,
All_Stats!$D:$D,$B468,
All_Stats!$B:$B,""&gt;=""&amp;EOMONTH($A468,-1)+1,
All_Stats!$B:$B,""&lt;""&amp;EOMONTH($A468,0)+1,
All_Stats!$P:$P,""&lt;&gt;Email Marketing""
)"),0.0)</f>
        <v>0</v>
      </c>
      <c r="J468" s="187"/>
      <c r="K468" s="187">
        <v>5.0</v>
      </c>
      <c r="L468" s="164">
        <f t="shared" ref="L468:L482" si="123">sum(E468,G468,H468,K468)</f>
        <v>5</v>
      </c>
    </row>
    <row r="469" hidden="1">
      <c r="A469" s="128">
        <v>44774.0</v>
      </c>
      <c r="B469" s="129" t="s">
        <v>501</v>
      </c>
      <c r="C469" s="142" t="s">
        <v>532</v>
      </c>
      <c r="D469" s="131">
        <f>SUMIFS(All_Stats!$G:$G,
All_Stats!$D:$D,$B469,
All_Stats!$B:$B,"&gt;="&amp;EOMONTH($A469,-1)+1,
All_Stats!$B:$B,"&lt;"&amp;EOMONTH($A469,0)+1,
All_Stats!$P:$P,"&lt;&gt;Email Marketing"
)</f>
        <v>0</v>
      </c>
      <c r="E469" s="113">
        <f>SUMIFS(All_Stats!$I:$I,
All_Stats!$D:$D,$B469,
All_Stats!$B:$B,"&gt;="&amp;EOMONTH($A469,-1)+1,
All_Stats!$B:$B,"&lt;"&amp;EOMONTH($A469,0)+1,
All_Stats!$P:$P,"&lt;&gt;Email Marketing"
)</f>
        <v>0</v>
      </c>
      <c r="F469" s="132" t="str">
        <f t="shared" si="122"/>
        <v>N/A</v>
      </c>
      <c r="G469" s="131">
        <f>SUMIFS(All_Stats!$H:$H,
All_Stats!$D:$D,$B469,
All_Stats!$B:$B,"&gt;="&amp;EOMONTH($A469,-1)+1,
All_Stats!$B:$B,"&lt;"&amp;EOMONTH($A469,0)+1,
All_Stats!$P:$P,"&lt;&gt;Email Marketing"
)</f>
        <v>0</v>
      </c>
      <c r="H469" s="113">
        <f>SUMIFS(All_Stats!$K:$K,
All_Stats!$D:$D,$B469,
All_Stats!$B:$B,"&gt;="&amp;EOMONTH($A469,-1)+1,
All_Stats!$B:$B,"&lt;"&amp;EOMONTH($A469,0)+1,
All_Stats!$P:$P,"&lt;&gt;Email Marketing"
)</f>
        <v>0</v>
      </c>
      <c r="I469" s="152">
        <f>IFERROR(__xludf.DUMMYFUNCTION("COUNTUNIQUEIFS(All_Stats!A:A,
All_Stats!$D:$D,$B469,
All_Stats!$B:$B,""&gt;=""&amp;EOMONTH($A469,-1)+1,
All_Stats!$B:$B,""&lt;""&amp;EOMONTH($A469,0)+1,
All_Stats!$P:$P,""&lt;&gt;Email Marketing""
)"),0.0)</f>
        <v>0</v>
      </c>
      <c r="J469" s="187"/>
      <c r="K469" s="187">
        <v>3.0</v>
      </c>
      <c r="L469" s="164">
        <f t="shared" si="123"/>
        <v>3</v>
      </c>
    </row>
    <row r="470" hidden="1">
      <c r="A470" s="128">
        <v>44774.0</v>
      </c>
      <c r="B470" s="129" t="s">
        <v>127</v>
      </c>
      <c r="C470" s="142" t="s">
        <v>533</v>
      </c>
      <c r="D470" s="131">
        <f>SUMIFS(All_Stats!$G:$G,
All_Stats!$D:$D,$B470,
All_Stats!$B:$B,"&gt;="&amp;EOMONTH($A470,-1)+1,
All_Stats!$B:$B,"&lt;"&amp;EOMONTH($A470,0)+1,
All_Stats!$P:$P,"&lt;&gt;Email Marketing"
)</f>
        <v>0</v>
      </c>
      <c r="E470" s="113">
        <f>SUMIFS(All_Stats!$I:$I,
All_Stats!$D:$D,$B470,
All_Stats!$B:$B,"&gt;="&amp;EOMONTH($A470,-1)+1,
All_Stats!$B:$B,"&lt;"&amp;EOMONTH($A470,0)+1,
All_Stats!$P:$P,"&lt;&gt;Email Marketing"
)</f>
        <v>0</v>
      </c>
      <c r="F470" s="132" t="str">
        <f t="shared" si="122"/>
        <v>N/A</v>
      </c>
      <c r="G470" s="131">
        <f>SUMIFS(All_Stats!$H:$H,
All_Stats!$D:$D,$B470,
All_Stats!$B:$B,"&gt;="&amp;EOMONTH($A470,-1)+1,
All_Stats!$B:$B,"&lt;"&amp;EOMONTH($A470,0)+1,
All_Stats!$P:$P,"&lt;&gt;Email Marketing"
)</f>
        <v>0</v>
      </c>
      <c r="H470" s="113">
        <f>SUMIFS(All_Stats!$K:$K,
All_Stats!$D:$D,$B470,
All_Stats!$B:$B,"&gt;="&amp;EOMONTH($A470,-1)+1,
All_Stats!$B:$B,"&lt;"&amp;EOMONTH($A470,0)+1,
All_Stats!$P:$P,"&lt;&gt;Email Marketing"
)</f>
        <v>0</v>
      </c>
      <c r="I470" s="152">
        <f>IFERROR(__xludf.DUMMYFUNCTION("COUNTUNIQUEIFS(All_Stats!A:A,
All_Stats!$D:$D,$B470,
All_Stats!$B:$B,""&gt;=""&amp;EOMONTH($A470,-1)+1,
All_Stats!$B:$B,""&lt;""&amp;EOMONTH($A470,0)+1,
All_Stats!$P:$P,""&lt;&gt;Email Marketing""
)"),0.0)</f>
        <v>0</v>
      </c>
      <c r="J470" s="188"/>
      <c r="K470" s="188"/>
      <c r="L470" s="164">
        <f t="shared" si="123"/>
        <v>0</v>
      </c>
    </row>
    <row r="471" hidden="1">
      <c r="A471" s="128">
        <v>44774.0</v>
      </c>
      <c r="B471" s="129" t="s">
        <v>497</v>
      </c>
      <c r="C471" s="142" t="s">
        <v>534</v>
      </c>
      <c r="D471" s="131">
        <f>SUMIFS(All_Stats!$G:$G,
All_Stats!$D:$D,$B471,
All_Stats!$B:$B,"&gt;="&amp;EOMONTH($A471,-1)+1,
All_Stats!$B:$B,"&lt;"&amp;EOMONTH($A471,0)+1,
All_Stats!$P:$P,"&lt;&gt;Email Marketing"
)</f>
        <v>0</v>
      </c>
      <c r="E471" s="113">
        <f>SUMIFS(All_Stats!$I:$I,
All_Stats!$D:$D,$B471,
All_Stats!$B:$B,"&gt;="&amp;EOMONTH($A471,-1)+1,
All_Stats!$B:$B,"&lt;"&amp;EOMONTH($A471,0)+1,
All_Stats!$P:$P,"&lt;&gt;Email Marketing"
)</f>
        <v>0</v>
      </c>
      <c r="F471" s="132" t="str">
        <f t="shared" si="122"/>
        <v>N/A</v>
      </c>
      <c r="G471" s="131">
        <f>SUMIFS(All_Stats!$H:$H,
All_Stats!$D:$D,$B471,
All_Stats!$B:$B,"&gt;="&amp;EOMONTH($A471,-1)+1,
All_Stats!$B:$B,"&lt;"&amp;EOMONTH($A471,0)+1,
All_Stats!$P:$P,"&lt;&gt;Email Marketing"
)</f>
        <v>0</v>
      </c>
      <c r="H471" s="113">
        <f>SUMIFS(All_Stats!$K:$K,
All_Stats!$D:$D,$B471,
All_Stats!$B:$B,"&gt;="&amp;EOMONTH($A471,-1)+1,
All_Stats!$B:$B,"&lt;"&amp;EOMONTH($A471,0)+1,
All_Stats!$P:$P,"&lt;&gt;Email Marketing"
)</f>
        <v>0</v>
      </c>
      <c r="I471" s="152">
        <f>IFERROR(__xludf.DUMMYFUNCTION("COUNTUNIQUEIFS(All_Stats!A:A,
All_Stats!$D:$D,$B471,
All_Stats!$B:$B,""&gt;=""&amp;EOMONTH($A471,-1)+1,
All_Stats!$B:$B,""&lt;""&amp;EOMONTH($A471,0)+1,
All_Stats!$P:$P,""&lt;&gt;Email Marketing""
)"),0.0)</f>
        <v>0</v>
      </c>
      <c r="J471" s="188"/>
      <c r="K471" s="188"/>
      <c r="L471" s="164">
        <f t="shared" si="123"/>
        <v>0</v>
      </c>
    </row>
    <row r="472" hidden="1">
      <c r="A472" s="128">
        <v>44774.0</v>
      </c>
      <c r="B472" s="129" t="s">
        <v>500</v>
      </c>
      <c r="C472" s="142" t="s">
        <v>535</v>
      </c>
      <c r="D472" s="131">
        <f>SUMIFS(All_Stats!$G:$G,
All_Stats!$D:$D,$B472,
All_Stats!$B:$B,"&gt;="&amp;EOMONTH($A472,-1)+1,
All_Stats!$B:$B,"&lt;"&amp;EOMONTH($A472,0)+1,
All_Stats!$P:$P,"&lt;&gt;Email Marketing"
)</f>
        <v>0</v>
      </c>
      <c r="E472" s="113">
        <f>SUMIFS(All_Stats!$I:$I,
All_Stats!$D:$D,$B472,
All_Stats!$B:$B,"&gt;="&amp;EOMONTH($A472,-1)+1,
All_Stats!$B:$B,"&lt;"&amp;EOMONTH($A472,0)+1,
All_Stats!$P:$P,"&lt;&gt;Email Marketing"
)</f>
        <v>0</v>
      </c>
      <c r="F472" s="132" t="str">
        <f t="shared" si="122"/>
        <v>N/A</v>
      </c>
      <c r="G472" s="131">
        <f>SUMIFS(All_Stats!$H:$H,
All_Stats!$D:$D,$B472,
All_Stats!$B:$B,"&gt;="&amp;EOMONTH($A472,-1)+1,
All_Stats!$B:$B,"&lt;"&amp;EOMONTH($A472,0)+1,
All_Stats!$P:$P,"&lt;&gt;Email Marketing"
)</f>
        <v>0</v>
      </c>
      <c r="H472" s="113">
        <f>SUMIFS(All_Stats!$K:$K,
All_Stats!$D:$D,$B472,
All_Stats!$B:$B,"&gt;="&amp;EOMONTH($A472,-1)+1,
All_Stats!$B:$B,"&lt;"&amp;EOMONTH($A472,0)+1,
All_Stats!$P:$P,"&lt;&gt;Email Marketing"
)</f>
        <v>0</v>
      </c>
      <c r="I472" s="152">
        <f>IFERROR(__xludf.DUMMYFUNCTION("COUNTUNIQUEIFS(All_Stats!A:A,
All_Stats!$D:$D,$B472,
All_Stats!$B:$B,""&gt;=""&amp;EOMONTH($A472,-1)+1,
All_Stats!$B:$B,""&lt;""&amp;EOMONTH($A472,0)+1,
All_Stats!$P:$P,""&lt;&gt;Email Marketing""
)"),0.0)</f>
        <v>0</v>
      </c>
      <c r="J472" s="188"/>
      <c r="K472" s="188"/>
      <c r="L472" s="164">
        <f t="shared" si="123"/>
        <v>0</v>
      </c>
    </row>
    <row r="473" hidden="1">
      <c r="A473" s="128">
        <v>44774.0</v>
      </c>
      <c r="B473" s="129" t="s">
        <v>91</v>
      </c>
      <c r="C473" s="142" t="s">
        <v>536</v>
      </c>
      <c r="D473" s="131">
        <f>SUMIFS(All_Stats!$G:$G,
All_Stats!$D:$D,$B473,
All_Stats!$B:$B,"&gt;="&amp;EOMONTH($A473,-1)+1,
All_Stats!$B:$B,"&lt;"&amp;EOMONTH($A473,0)+1,
All_Stats!$P:$P,"&lt;&gt;Email Marketing"
)</f>
        <v>0</v>
      </c>
      <c r="E473" s="113">
        <f>SUMIFS(All_Stats!$I:$I,
All_Stats!$D:$D,$B473,
All_Stats!$B:$B,"&gt;="&amp;EOMONTH($A473,-1)+1,
All_Stats!$B:$B,"&lt;"&amp;EOMONTH($A473,0)+1,
All_Stats!$P:$P,"&lt;&gt;Email Marketing"
)</f>
        <v>0</v>
      </c>
      <c r="F473" s="132" t="str">
        <f t="shared" si="122"/>
        <v>N/A</v>
      </c>
      <c r="G473" s="131">
        <f>SUMIFS(All_Stats!$H:$H,
All_Stats!$D:$D,$B473,
All_Stats!$B:$B,"&gt;="&amp;EOMONTH($A473,-1)+1,
All_Stats!$B:$B,"&lt;"&amp;EOMONTH($A473,0)+1,
All_Stats!$P:$P,"&lt;&gt;Email Marketing"
)</f>
        <v>0</v>
      </c>
      <c r="H473" s="113">
        <f>SUMIFS(All_Stats!$K:$K,
All_Stats!$D:$D,$B473,
All_Stats!$B:$B,"&gt;="&amp;EOMONTH($A473,-1)+1,
All_Stats!$B:$B,"&lt;"&amp;EOMONTH($A473,0)+1,
All_Stats!$P:$P,"&lt;&gt;Email Marketing"
)</f>
        <v>0</v>
      </c>
      <c r="I473" s="152">
        <f>IFERROR(__xludf.DUMMYFUNCTION("COUNTUNIQUEIFS(All_Stats!A:A,
All_Stats!$D:$D,$B473,
All_Stats!$B:$B,""&gt;=""&amp;EOMONTH($A473,-1)+1,
All_Stats!$B:$B,""&lt;""&amp;EOMONTH($A473,0)+1,
All_Stats!$P:$P,""&lt;&gt;Email Marketing""
)"),0.0)</f>
        <v>0</v>
      </c>
      <c r="J473" s="187"/>
      <c r="K473" s="187">
        <v>1.0</v>
      </c>
      <c r="L473" s="164">
        <f t="shared" si="123"/>
        <v>1</v>
      </c>
    </row>
    <row r="474" hidden="1">
      <c r="A474" s="128">
        <v>44774.0</v>
      </c>
      <c r="B474" s="129" t="s">
        <v>507</v>
      </c>
      <c r="C474" s="142" t="s">
        <v>512</v>
      </c>
      <c r="D474" s="131">
        <f>SUMIFS(All_Stats!$G:$G,
All_Stats!$D:$D,$B474,
All_Stats!$B:$B,"&gt;="&amp;EOMONTH($A474,-1)+1,
All_Stats!$B:$B,"&lt;"&amp;EOMONTH($A474,0)+1,
All_Stats!$P:$P,"&lt;&gt;Email Marketing"
)</f>
        <v>0</v>
      </c>
      <c r="E474" s="113">
        <f>SUMIFS(All_Stats!$I:$I,
All_Stats!$D:$D,$B474,
All_Stats!$B:$B,"&gt;="&amp;EOMONTH($A474,-1)+1,
All_Stats!$B:$B,"&lt;"&amp;EOMONTH($A474,0)+1,
All_Stats!$P:$P,"&lt;&gt;Email Marketing"
)</f>
        <v>0</v>
      </c>
      <c r="F474" s="132" t="str">
        <f t="shared" si="122"/>
        <v>N/A</v>
      </c>
      <c r="G474" s="131">
        <f>SUMIFS(All_Stats!$H:$H,
All_Stats!$D:$D,$B474,
All_Stats!$B:$B,"&gt;="&amp;EOMONTH($A474,-1)+1,
All_Stats!$B:$B,"&lt;"&amp;EOMONTH($A474,0)+1,
All_Stats!$P:$P,"&lt;&gt;Email Marketing"
)</f>
        <v>0</v>
      </c>
      <c r="H474" s="113">
        <f>SUMIFS(All_Stats!$K:$K,
All_Stats!$D:$D,$B474,
All_Stats!$B:$B,"&gt;="&amp;EOMONTH($A474,-1)+1,
All_Stats!$B:$B,"&lt;"&amp;EOMONTH($A474,0)+1,
All_Stats!$P:$P,"&lt;&gt;Email Marketing"
)</f>
        <v>0</v>
      </c>
      <c r="I474" s="152">
        <f>IFERROR(__xludf.DUMMYFUNCTION("COUNTUNIQUEIFS(All_Stats!A:A,
All_Stats!$D:$D,$B474,
All_Stats!$B:$B,""&gt;=""&amp;EOMONTH($A474,-1)+1,
All_Stats!$B:$B,""&lt;""&amp;EOMONTH($A474,0)+1,
All_Stats!$P:$P,""&lt;&gt;Email Marketing""
)"),0.0)</f>
        <v>0</v>
      </c>
      <c r="J474" s="188"/>
      <c r="K474" s="188"/>
      <c r="L474" s="164">
        <f t="shared" si="123"/>
        <v>0</v>
      </c>
    </row>
    <row r="475" hidden="1">
      <c r="A475" s="128">
        <v>44774.0</v>
      </c>
      <c r="B475" s="129" t="s">
        <v>157</v>
      </c>
      <c r="C475" s="142" t="s">
        <v>537</v>
      </c>
      <c r="D475" s="131">
        <f>SUMIFS(All_Stats!$G:$G,
All_Stats!$D:$D,$B475,
All_Stats!$B:$B,"&gt;="&amp;EOMONTH($A475,-1)+1,
All_Stats!$B:$B,"&lt;"&amp;EOMONTH($A475,0)+1,
All_Stats!$P:$P,"&lt;&gt;Email Marketing"
)</f>
        <v>0</v>
      </c>
      <c r="E475" s="113">
        <f>SUMIFS(All_Stats!$I:$I,
All_Stats!$D:$D,$B475,
All_Stats!$B:$B,"&gt;="&amp;EOMONTH($A475,-1)+1,
All_Stats!$B:$B,"&lt;"&amp;EOMONTH($A475,0)+1,
All_Stats!$P:$P,"&lt;&gt;Email Marketing"
)</f>
        <v>0</v>
      </c>
      <c r="F475" s="132" t="str">
        <f t="shared" si="122"/>
        <v>N/A</v>
      </c>
      <c r="G475" s="131">
        <f>SUMIFS(All_Stats!$H:$H,
All_Stats!$D:$D,$B475,
All_Stats!$B:$B,"&gt;="&amp;EOMONTH($A475,-1)+1,
All_Stats!$B:$B,"&lt;"&amp;EOMONTH($A475,0)+1,
All_Stats!$P:$P,"&lt;&gt;Email Marketing"
)</f>
        <v>0</v>
      </c>
      <c r="H475" s="113">
        <f>SUMIFS(All_Stats!$K:$K,
All_Stats!$D:$D,$B475,
All_Stats!$B:$B,"&gt;="&amp;EOMONTH($A475,-1)+1,
All_Stats!$B:$B,"&lt;"&amp;EOMONTH($A475,0)+1,
All_Stats!$P:$P,"&lt;&gt;Email Marketing"
)</f>
        <v>0</v>
      </c>
      <c r="I475" s="152">
        <f>IFERROR(__xludf.DUMMYFUNCTION("COUNTUNIQUEIFS(All_Stats!A:A,
All_Stats!$D:$D,$B475,
All_Stats!$B:$B,""&gt;=""&amp;EOMONTH($A475,-1)+1,
All_Stats!$B:$B,""&lt;""&amp;EOMONTH($A475,0)+1,
All_Stats!$P:$P,""&lt;&gt;Email Marketing""
)"),0.0)</f>
        <v>0</v>
      </c>
      <c r="J475" s="188"/>
      <c r="K475" s="188"/>
      <c r="L475" s="164">
        <f t="shared" si="123"/>
        <v>0</v>
      </c>
    </row>
    <row r="476" hidden="1">
      <c r="A476" s="128">
        <v>44774.0</v>
      </c>
      <c r="B476" s="129" t="s">
        <v>510</v>
      </c>
      <c r="C476" s="142" t="s">
        <v>538</v>
      </c>
      <c r="D476" s="131">
        <f>SUMIFS(All_Stats!$G:$G,
All_Stats!$D:$D,$B476,
All_Stats!$B:$B,"&gt;="&amp;EOMONTH($A476,-1)+1,
All_Stats!$B:$B,"&lt;"&amp;EOMONTH($A476,0)+1,
All_Stats!$P:$P,"&lt;&gt;Email Marketing"
)</f>
        <v>0</v>
      </c>
      <c r="E476" s="113">
        <f>SUMIFS(All_Stats!$I:$I,
All_Stats!$D:$D,$B476,
All_Stats!$B:$B,"&gt;="&amp;EOMONTH($A476,-1)+1,
All_Stats!$B:$B,"&lt;"&amp;EOMONTH($A476,0)+1,
All_Stats!$P:$P,"&lt;&gt;Email Marketing"
)</f>
        <v>0</v>
      </c>
      <c r="F476" s="132" t="str">
        <f t="shared" si="122"/>
        <v>N/A</v>
      </c>
      <c r="G476" s="131">
        <f>SUMIFS(All_Stats!$H:$H,
All_Stats!$D:$D,$B476,
All_Stats!$B:$B,"&gt;="&amp;EOMONTH($A476,-1)+1,
All_Stats!$B:$B,"&lt;"&amp;EOMONTH($A476,0)+1,
All_Stats!$P:$P,"&lt;&gt;Email Marketing"
)</f>
        <v>0</v>
      </c>
      <c r="H476" s="113">
        <f>SUMIFS(All_Stats!$K:$K,
All_Stats!$D:$D,$B476,
All_Stats!$B:$B,"&gt;="&amp;EOMONTH($A476,-1)+1,
All_Stats!$B:$B,"&lt;"&amp;EOMONTH($A476,0)+1,
All_Stats!$P:$P,"&lt;&gt;Email Marketing"
)</f>
        <v>0</v>
      </c>
      <c r="I476" s="152">
        <f>IFERROR(__xludf.DUMMYFUNCTION("COUNTUNIQUEIFS(All_Stats!A:A,
All_Stats!$D:$D,$B476,
All_Stats!$B:$B,""&gt;=""&amp;EOMONTH($A476,-1)+1,
All_Stats!$B:$B,""&lt;""&amp;EOMONTH($A476,0)+1,
All_Stats!$P:$P,""&lt;&gt;Email Marketing""
)"),0.0)</f>
        <v>0</v>
      </c>
      <c r="J476" s="188"/>
      <c r="K476" s="188"/>
      <c r="L476" s="164">
        <f t="shared" si="123"/>
        <v>0</v>
      </c>
    </row>
    <row r="477" hidden="1">
      <c r="A477" s="128">
        <v>44774.0</v>
      </c>
      <c r="B477" s="129" t="s">
        <v>79</v>
      </c>
      <c r="C477" s="142" t="s">
        <v>488</v>
      </c>
      <c r="D477" s="131">
        <f>SUMIFS(All_Stats!$G:$G,
All_Stats!$D:$D,$B477,
All_Stats!$B:$B,"&gt;="&amp;EOMONTH($A477,-1)+1,
All_Stats!$B:$B,"&lt;"&amp;EOMONTH($A477,0)+1,
All_Stats!$P:$P,"&lt;&gt;Email Marketing"
)</f>
        <v>0</v>
      </c>
      <c r="E477" s="113">
        <f>SUMIFS(All_Stats!$I:$I,
All_Stats!$D:$D,$B477,
All_Stats!$B:$B,"&gt;="&amp;EOMONTH($A477,-1)+1,
All_Stats!$B:$B,"&lt;"&amp;EOMONTH($A477,0)+1,
All_Stats!$P:$P,"&lt;&gt;Email Marketing"
)</f>
        <v>0</v>
      </c>
      <c r="F477" s="132" t="str">
        <f t="shared" si="122"/>
        <v>N/A</v>
      </c>
      <c r="G477" s="131">
        <f>SUMIFS(All_Stats!$H:$H,
All_Stats!$D:$D,$B477,
All_Stats!$B:$B,"&gt;="&amp;EOMONTH($A477,-1)+1,
All_Stats!$B:$B,"&lt;"&amp;EOMONTH($A477,0)+1,
All_Stats!$P:$P,"&lt;&gt;Email Marketing"
)</f>
        <v>0</v>
      </c>
      <c r="H477" s="113">
        <f>SUMIFS(All_Stats!$K:$K,
All_Stats!$D:$D,$B477,
All_Stats!$B:$B,"&gt;="&amp;EOMONTH($A477,-1)+1,
All_Stats!$B:$B,"&lt;"&amp;EOMONTH($A477,0)+1,
All_Stats!$P:$P,"&lt;&gt;Email Marketing"
)</f>
        <v>0</v>
      </c>
      <c r="I477" s="152">
        <f>IFERROR(__xludf.DUMMYFUNCTION("COUNTUNIQUEIFS(All_Stats!A:A,
All_Stats!$D:$D,$B477,
All_Stats!$B:$B,""&gt;=""&amp;EOMONTH($A477,-1)+1,
All_Stats!$B:$B,""&lt;""&amp;EOMONTH($A477,0)+1,
All_Stats!$P:$P,""&lt;&gt;Email Marketing""
)"),0.0)</f>
        <v>0</v>
      </c>
      <c r="J477" s="188"/>
      <c r="K477" s="188"/>
      <c r="L477" s="164">
        <f t="shared" si="123"/>
        <v>0</v>
      </c>
    </row>
    <row r="478" hidden="1">
      <c r="A478" s="128">
        <v>44774.0</v>
      </c>
      <c r="B478" s="129" t="s">
        <v>33</v>
      </c>
      <c r="C478" s="142" t="s">
        <v>492</v>
      </c>
      <c r="D478" s="131">
        <f>SUMIFS(All_Stats!$G:$G,
All_Stats!$D:$D,$B478,
All_Stats!$B:$B,"&gt;="&amp;EOMONTH($A478,-1)+1,
All_Stats!$B:$B,"&lt;"&amp;EOMONTH($A478,0)+1,
All_Stats!$P:$P,"&lt;&gt;Email Marketing"
)</f>
        <v>0</v>
      </c>
      <c r="E478" s="113">
        <f>SUMIFS(All_Stats!$I:$I,
All_Stats!$D:$D,$B478,
All_Stats!$B:$B,"&gt;="&amp;EOMONTH($A478,-1)+1,
All_Stats!$B:$B,"&lt;"&amp;EOMONTH($A478,0)+1,
All_Stats!$P:$P,"&lt;&gt;Email Marketing"
)</f>
        <v>0</v>
      </c>
      <c r="F478" s="132" t="str">
        <f t="shared" si="122"/>
        <v>N/A</v>
      </c>
      <c r="G478" s="131">
        <f>SUMIFS(All_Stats!$H:$H,
All_Stats!$D:$D,$B478,
All_Stats!$B:$B,"&gt;="&amp;EOMONTH($A478,-1)+1,
All_Stats!$B:$B,"&lt;"&amp;EOMONTH($A478,0)+1,
All_Stats!$P:$P,"&lt;&gt;Email Marketing"
)</f>
        <v>0</v>
      </c>
      <c r="H478" s="113">
        <f>SUMIFS(All_Stats!$K:$K,
All_Stats!$D:$D,$B478,
All_Stats!$B:$B,"&gt;="&amp;EOMONTH($A478,-1)+1,
All_Stats!$B:$B,"&lt;"&amp;EOMONTH($A478,0)+1,
All_Stats!$P:$P,"&lt;&gt;Email Marketing"
)</f>
        <v>0</v>
      </c>
      <c r="I478" s="152">
        <f>IFERROR(__xludf.DUMMYFUNCTION("COUNTUNIQUEIFS(All_Stats!A:A,
All_Stats!$D:$D,$B478,
All_Stats!$B:$B,""&gt;=""&amp;EOMONTH($A478,-1)+1,
All_Stats!$B:$B,""&lt;""&amp;EOMONTH($A478,0)+1,
All_Stats!$P:$P,""&lt;&gt;Email Marketing""
)"),0.0)</f>
        <v>0</v>
      </c>
      <c r="J478" s="188"/>
      <c r="K478" s="188"/>
      <c r="L478" s="164">
        <f t="shared" si="123"/>
        <v>0</v>
      </c>
    </row>
    <row r="479" hidden="1">
      <c r="A479" s="128">
        <v>44774.0</v>
      </c>
      <c r="B479" s="129" t="s">
        <v>109</v>
      </c>
      <c r="C479" s="142" t="s">
        <v>490</v>
      </c>
      <c r="D479" s="131">
        <f>SUMIFS(All_Stats!$G:$G,
All_Stats!$D:$D,$B479,
All_Stats!$B:$B,"&gt;="&amp;EOMONTH($A479,-1)+1,
All_Stats!$B:$B,"&lt;"&amp;EOMONTH($A479,0)+1,
All_Stats!$P:$P,"&lt;&gt;Email Marketing"
)</f>
        <v>0</v>
      </c>
      <c r="E479" s="113">
        <f>SUMIFS(All_Stats!$I:$I,
All_Stats!$D:$D,$B479,
All_Stats!$B:$B,"&gt;="&amp;EOMONTH($A479,-1)+1,
All_Stats!$B:$B,"&lt;"&amp;EOMONTH($A479,0)+1,
All_Stats!$P:$P,"&lt;&gt;Email Marketing"
)</f>
        <v>0</v>
      </c>
      <c r="F479" s="132" t="str">
        <f t="shared" si="122"/>
        <v>N/A</v>
      </c>
      <c r="G479" s="131">
        <f>SUMIFS(All_Stats!$H:$H,
All_Stats!$D:$D,$B479,
All_Stats!$B:$B,"&gt;="&amp;EOMONTH($A479,-1)+1,
All_Stats!$B:$B,"&lt;"&amp;EOMONTH($A479,0)+1,
All_Stats!$P:$P,"&lt;&gt;Email Marketing"
)</f>
        <v>0</v>
      </c>
      <c r="H479" s="113">
        <f>SUMIFS(All_Stats!$K:$K,
All_Stats!$D:$D,$B479,
All_Stats!$B:$B,"&gt;="&amp;EOMONTH($A479,-1)+1,
All_Stats!$B:$B,"&lt;"&amp;EOMONTH($A479,0)+1,
All_Stats!$P:$P,"&lt;&gt;Email Marketing"
)</f>
        <v>0</v>
      </c>
      <c r="I479" s="152">
        <f>IFERROR(__xludf.DUMMYFUNCTION("COUNTUNIQUEIFS(All_Stats!A:A,
All_Stats!$D:$D,$B479,
All_Stats!$B:$B,""&gt;=""&amp;EOMONTH($A479,-1)+1,
All_Stats!$B:$B,""&lt;""&amp;EOMONTH($A479,0)+1,
All_Stats!$P:$P,""&lt;&gt;Email Marketing""
)"),0.0)</f>
        <v>0</v>
      </c>
      <c r="J479" s="188"/>
      <c r="K479" s="188"/>
      <c r="L479" s="164">
        <f t="shared" si="123"/>
        <v>0</v>
      </c>
    </row>
    <row r="480" hidden="1">
      <c r="A480" s="128">
        <v>44774.0</v>
      </c>
      <c r="B480" s="129" t="s">
        <v>495</v>
      </c>
      <c r="C480" s="142" t="s">
        <v>528</v>
      </c>
      <c r="D480" s="131">
        <f>SUMIFS(All_Stats!$G:$G,
All_Stats!$D:$D,$B480,
All_Stats!$B:$B,"&gt;="&amp;EOMONTH($A480,-1)+1,
All_Stats!$B:$B,"&lt;"&amp;EOMONTH($A480,0)+1,
All_Stats!$P:$P,"&lt;&gt;Email Marketing"
)</f>
        <v>0</v>
      </c>
      <c r="E480" s="113">
        <f>SUMIFS(All_Stats!$I:$I,
All_Stats!$D:$D,$B480,
All_Stats!$B:$B,"&gt;="&amp;EOMONTH($A480,-1)+1,
All_Stats!$B:$B,"&lt;"&amp;EOMONTH($A480,0)+1,
All_Stats!$P:$P,"&lt;&gt;Email Marketing"
)</f>
        <v>0</v>
      </c>
      <c r="F480" s="132" t="str">
        <f t="shared" si="122"/>
        <v>N/A</v>
      </c>
      <c r="G480" s="131">
        <f>SUMIFS(All_Stats!$H:$H,
All_Stats!$D:$D,$B480,
All_Stats!$B:$B,"&gt;="&amp;EOMONTH($A480,-1)+1,
All_Stats!$B:$B,"&lt;"&amp;EOMONTH($A480,0)+1,
All_Stats!$P:$P,"&lt;&gt;Email Marketing"
)</f>
        <v>0</v>
      </c>
      <c r="H480" s="113">
        <f>SUMIFS(All_Stats!$K:$K,
All_Stats!$D:$D,$B480,
All_Stats!$B:$B,"&gt;="&amp;EOMONTH($A480,-1)+1,
All_Stats!$B:$B,"&lt;"&amp;EOMONTH($A480,0)+1,
All_Stats!$P:$P,"&lt;&gt;Email Marketing"
)</f>
        <v>0</v>
      </c>
      <c r="I480" s="152">
        <f>IFERROR(__xludf.DUMMYFUNCTION("COUNTUNIQUEIFS(All_Stats!A:A,
All_Stats!$D:$D,$B480,
All_Stats!$B:$B,""&gt;=""&amp;EOMONTH($A480,-1)+1,
All_Stats!$B:$B,""&lt;""&amp;EOMONTH($A480,0)+1,
All_Stats!$P:$P,""&lt;&gt;Email Marketing""
)"),0.0)</f>
        <v>0</v>
      </c>
      <c r="J480" s="188"/>
      <c r="K480" s="188"/>
      <c r="L480" s="164">
        <f t="shared" si="123"/>
        <v>0</v>
      </c>
    </row>
    <row r="481" hidden="1">
      <c r="A481" s="128">
        <v>44774.0</v>
      </c>
      <c r="B481" s="129" t="s">
        <v>164</v>
      </c>
      <c r="C481" s="142" t="s">
        <v>539</v>
      </c>
      <c r="D481" s="131">
        <f>SUMIFS(All_Stats!$G:$G,
All_Stats!$D:$D,$B481,
All_Stats!$B:$B,"&gt;="&amp;EOMONTH($A481,-1)+1,
All_Stats!$B:$B,"&lt;"&amp;EOMONTH($A481,0)+1,
All_Stats!$P:$P,"&lt;&gt;Email Marketing"
)</f>
        <v>0</v>
      </c>
      <c r="E481" s="113">
        <f>SUMIFS(All_Stats!$I:$I,
All_Stats!$D:$D,$B481,
All_Stats!$B:$B,"&gt;="&amp;EOMONTH($A481,-1)+1,
All_Stats!$B:$B,"&lt;"&amp;EOMONTH($A481,0)+1,
All_Stats!$P:$P,"&lt;&gt;Email Marketing"
)</f>
        <v>0</v>
      </c>
      <c r="F481" s="132" t="str">
        <f t="shared" si="122"/>
        <v>N/A</v>
      </c>
      <c r="G481" s="131">
        <f>SUMIFS(All_Stats!$H:$H,
All_Stats!$D:$D,$B481,
All_Stats!$B:$B,"&gt;="&amp;EOMONTH($A481,-1)+1,
All_Stats!$B:$B,"&lt;"&amp;EOMONTH($A481,0)+1,
All_Stats!$P:$P,"&lt;&gt;Email Marketing"
)</f>
        <v>0</v>
      </c>
      <c r="H481" s="113">
        <f>SUMIFS(All_Stats!$K:$K,
All_Stats!$D:$D,$B481,
All_Stats!$B:$B,"&gt;="&amp;EOMONTH($A481,-1)+1,
All_Stats!$B:$B,"&lt;"&amp;EOMONTH($A481,0)+1,
All_Stats!$P:$P,"&lt;&gt;Email Marketing"
)</f>
        <v>0</v>
      </c>
      <c r="I481" s="152">
        <f>IFERROR(__xludf.DUMMYFUNCTION("COUNTUNIQUEIFS(All_Stats!A:A,
All_Stats!$D:$D,$B481,
All_Stats!$B:$B,""&gt;=""&amp;EOMONTH($A481,-1)+1,
All_Stats!$B:$B,""&lt;""&amp;EOMONTH($A481,0)+1,
All_Stats!$P:$P,""&lt;&gt;Email Marketing""
)"),0.0)</f>
        <v>0</v>
      </c>
      <c r="J481" s="188"/>
      <c r="K481" s="188"/>
      <c r="L481" s="164">
        <f t="shared" si="123"/>
        <v>0</v>
      </c>
    </row>
    <row r="482" hidden="1">
      <c r="A482" s="135"/>
      <c r="B482" s="135"/>
      <c r="C482" s="136" t="s">
        <v>23</v>
      </c>
      <c r="D482" s="137">
        <f t="shared" ref="D482:E482" si="124">SUM(D468:D481)</f>
        <v>0</v>
      </c>
      <c r="E482" s="137">
        <f t="shared" si="124"/>
        <v>0</v>
      </c>
      <c r="F482" s="138" t="str">
        <f t="shared" si="122"/>
        <v>N/A</v>
      </c>
      <c r="G482" s="137">
        <f t="shared" ref="G482:H482" si="125">SUM(G468:G481)</f>
        <v>0</v>
      </c>
      <c r="H482" s="137">
        <f t="shared" si="125"/>
        <v>0</v>
      </c>
      <c r="I482" s="139"/>
      <c r="L482" s="164">
        <f t="shared" si="123"/>
        <v>0</v>
      </c>
    </row>
    <row r="483" hidden="1">
      <c r="A483" s="131"/>
      <c r="B483" s="131"/>
      <c r="C483" s="131"/>
      <c r="D483" s="140"/>
      <c r="F483" s="131"/>
      <c r="G483" s="131"/>
    </row>
    <row r="484" hidden="1">
      <c r="A484" s="131"/>
      <c r="B484" s="131"/>
      <c r="C484" s="131"/>
      <c r="D484" s="140">
        <f t="shared" ref="D484:E484" si="126">D482+D464</f>
        <v>0</v>
      </c>
      <c r="E484" s="140">
        <f t="shared" si="126"/>
        <v>0</v>
      </c>
      <c r="F484" s="131"/>
      <c r="G484" s="140">
        <f t="shared" ref="G484:H484" si="127">G482+G464</f>
        <v>0</v>
      </c>
      <c r="H484" s="140">
        <f t="shared" si="127"/>
        <v>0</v>
      </c>
      <c r="K484" s="164">
        <f>sum(K461:K482)</f>
        <v>12</v>
      </c>
      <c r="L484" s="164">
        <f>sum(E484,G484,H484,K484)</f>
        <v>12</v>
      </c>
    </row>
    <row r="485" hidden="1">
      <c r="A485" s="131"/>
      <c r="B485" s="131"/>
      <c r="C485" s="131"/>
      <c r="D485" s="140"/>
      <c r="F485" s="131"/>
      <c r="G485" s="131"/>
    </row>
    <row r="486" hidden="1">
      <c r="C486" s="118" t="s">
        <v>484</v>
      </c>
      <c r="D486" s="119"/>
      <c r="E486" s="119"/>
      <c r="F486" s="119"/>
      <c r="G486" s="119"/>
      <c r="H486" s="119"/>
      <c r="I486" s="159"/>
    </row>
    <row r="487" hidden="1">
      <c r="A487" s="121" t="s">
        <v>1</v>
      </c>
      <c r="B487" s="122" t="s">
        <v>485</v>
      </c>
      <c r="C487" s="123" t="s">
        <v>486</v>
      </c>
      <c r="D487" s="124" t="s">
        <v>6</v>
      </c>
      <c r="E487" s="125" t="s">
        <v>8</v>
      </c>
      <c r="F487" s="124" t="s">
        <v>479</v>
      </c>
      <c r="G487" s="126" t="s">
        <v>7</v>
      </c>
      <c r="H487" s="125" t="s">
        <v>10</v>
      </c>
      <c r="I487" s="160" t="s">
        <v>487</v>
      </c>
      <c r="J487" s="189"/>
      <c r="K487" s="189" t="s">
        <v>529</v>
      </c>
      <c r="L487" s="189" t="s">
        <v>530</v>
      </c>
    </row>
    <row r="488" hidden="1">
      <c r="A488" s="128">
        <v>44805.0</v>
      </c>
      <c r="B488" s="131" t="s">
        <v>164</v>
      </c>
      <c r="C488" s="134" t="str">
        <f>if(ifna(VLOOKUP(B488,'Vendor Directory'!A:C,3,0),"NOT FOUND")="","NOT FOUND",VLOOKUP(B488,'Vendor Directory'!A:C,3,0))</f>
        <v>#N/A</v>
      </c>
      <c r="D488" s="131">
        <f>SUMIFS(All_Stats!$G:$G,
All_Stats!$D:$D,$B488,
All_Stats!$B:$B,"&gt;="&amp;EOMONTH($A488,-1)+1,
All_Stats!$B:$B,"&lt;"&amp;EOMONTH($A488,0)+1,
All_Stats!$P:$P,"Email Marketing"
)</f>
        <v>0</v>
      </c>
      <c r="E488" s="113">
        <f>SUMIFS(All_Stats!$I:$I,
All_Stats!$D:$D,$B488,
All_Stats!$B:$B,"&gt;="&amp;EOMONTH($A488,-1)+1,
All_Stats!$B:$B,"&lt;"&amp;EOMONTH($A488,0)+1,
All_Stats!$P:$P,"Email Marketing"
)</f>
        <v>0</v>
      </c>
      <c r="F488" s="132" t="str">
        <f t="shared" ref="F488:F491" si="128">iferror(E488/D488,"N/A")</f>
        <v>N/A</v>
      </c>
      <c r="G488" s="131">
        <f>SUMIFS(All_Stats!$H:$H,
All_Stats!$D:$D,$B488,
All_Stats!$B:$B,"&gt;="&amp;EOMONTH($A488,-1)+1,
All_Stats!$B:$B,"&lt;"&amp;EOMONTH($A488,0)+1,
All_Stats!$P:$P,"Email Marketing"
)</f>
        <v>0</v>
      </c>
      <c r="H488" s="113">
        <f>SUMIFS(All_Stats!$K:$K,
All_Stats!$D:$D,$B488,
All_Stats!$B:$B,"&gt;="&amp;EOMONTH($A488,-1)+1,
All_Stats!$B:$B,"&lt;"&amp;EOMONTH($A488,0)+1,
All_Stats!$P:$P,"Email Marketing"
)</f>
        <v>0</v>
      </c>
      <c r="I488" s="152">
        <f>IFERROR(__xludf.DUMMYFUNCTION("COUNTUNIQUEIFS(All_Stats!A:A,
All_Stats!$D:$D,$B488,
All_Stats!$B:$B,""&gt;=""&amp;EOMONTH($A488,-1)+1,
All_Stats!$B:$B,""&lt;""&amp;EOMONTH($A488,0)+1,
All_Stats!$P:$P,""Email Marketing""
)"),0.0)</f>
        <v>0</v>
      </c>
      <c r="L488" s="164">
        <f t="shared" ref="L488:L491" si="129">sum(E488,G488,H488,K488)</f>
        <v>0</v>
      </c>
    </row>
    <row r="489" hidden="1">
      <c r="A489" s="128">
        <v>44805.0</v>
      </c>
      <c r="B489" s="129" t="s">
        <v>79</v>
      </c>
      <c r="C489" s="130" t="s">
        <v>488</v>
      </c>
      <c r="D489" s="131">
        <f>SUMIFS(All_Stats!$G:$G,
All_Stats!$D:$D,$B489,
All_Stats!$B:$B,"&gt;="&amp;EOMONTH($A489,-1)+1,
All_Stats!$B:$B,"&lt;"&amp;EOMONTH($A489,0)+1,
All_Stats!$P:$P,"Email Marketing"
)</f>
        <v>0</v>
      </c>
      <c r="E489" s="113">
        <f>SUMIFS(All_Stats!$I:$I,
All_Stats!$D:$D,$B489,
All_Stats!$B:$B,"&gt;="&amp;EOMONTH($A489,-1)+1,
All_Stats!$B:$B,"&lt;"&amp;EOMONTH($A489,0)+1,
All_Stats!$P:$P,"Email Marketing"
)</f>
        <v>0</v>
      </c>
      <c r="F489" s="132" t="str">
        <f t="shared" si="128"/>
        <v>N/A</v>
      </c>
      <c r="G489" s="131">
        <f>SUMIFS(All_Stats!$H:$H,
All_Stats!$D:$D,$B489,
All_Stats!$B:$B,"&gt;="&amp;EOMONTH($A489,-1)+1,
All_Stats!$B:$B,"&lt;"&amp;EOMONTH($A489,0)+1,
All_Stats!$P:$P,"Email Marketing"
)</f>
        <v>0</v>
      </c>
      <c r="H489" s="113">
        <f>SUMIFS(All_Stats!$K:$K,
All_Stats!$D:$D,$B489,
All_Stats!$B:$B,"&gt;="&amp;EOMONTH($A489,-1)+1,
All_Stats!$B:$B,"&lt;"&amp;EOMONTH($A489,0)+1,
All_Stats!$P:$P,"Email Marketing"
)</f>
        <v>0</v>
      </c>
      <c r="I489" s="152">
        <f>IFERROR(__xludf.DUMMYFUNCTION("COUNTUNIQUEIFS(All_Stats!A:A,
All_Stats!$D:$D,$B489,
All_Stats!$B:$B,""&gt;=""&amp;EOMONTH($A489,-1)+1,
All_Stats!$B:$B,""&lt;""&amp;EOMONTH($A489,0)+1,
All_Stats!$P:$P,""Email Marketing""
)"),0.0)</f>
        <v>0</v>
      </c>
      <c r="L489" s="164">
        <f t="shared" si="129"/>
        <v>0</v>
      </c>
    </row>
    <row r="490" hidden="1">
      <c r="A490" s="128">
        <v>44805.0</v>
      </c>
      <c r="B490" s="129" t="s">
        <v>313</v>
      </c>
      <c r="C490" s="142" t="s">
        <v>525</v>
      </c>
      <c r="D490" s="131">
        <f>SUMIFS(All_Stats!$G:$G,
All_Stats!$D:$D,$B490,
All_Stats!$B:$B,"&gt;="&amp;EOMONTH($A490,-1)+1,
All_Stats!$B:$B,"&lt;"&amp;EOMONTH($A490,0)+1,
All_Stats!$P:$P,"Email Marketing"
)</f>
        <v>0</v>
      </c>
      <c r="E490" s="113">
        <f>SUMIFS(All_Stats!$I:$I,
All_Stats!$D:$D,$B490,
All_Stats!$B:$B,"&gt;="&amp;EOMONTH($A490,-1)+1,
All_Stats!$B:$B,"&lt;"&amp;EOMONTH($A490,0)+1,
All_Stats!$P:$P,"Email Marketing"
)</f>
        <v>0</v>
      </c>
      <c r="F490" s="132" t="str">
        <f t="shared" si="128"/>
        <v>N/A</v>
      </c>
      <c r="G490" s="131">
        <f>SUMIFS(All_Stats!$H:$H,
All_Stats!$D:$D,$B490,
All_Stats!$B:$B,"&gt;="&amp;EOMONTH($A490,-1)+1,
All_Stats!$B:$B,"&lt;"&amp;EOMONTH($A490,0)+1,
All_Stats!$P:$P,"Email Marketing"
)</f>
        <v>0</v>
      </c>
      <c r="H490" s="113">
        <f>SUMIFS(All_Stats!$K:$K,
All_Stats!$D:$D,$B490,
All_Stats!$B:$B,"&gt;="&amp;EOMONTH($A490,-1)+1,
All_Stats!$B:$B,"&lt;"&amp;EOMONTH($A490,0)+1,
All_Stats!$P:$P,"Email Marketing"
)</f>
        <v>0</v>
      </c>
      <c r="I490" s="152">
        <f>IFERROR(__xludf.DUMMYFUNCTION("COUNTUNIQUEIFS(All_Stats!A:A,
All_Stats!$D:$D,$B490,
All_Stats!$B:$B,""&gt;=""&amp;EOMONTH($A490,-1)+1,
All_Stats!$B:$B,""&lt;""&amp;EOMONTH($A490,0)+1,
All_Stats!$P:$P,""Email Marketing""
)"),0.0)</f>
        <v>0</v>
      </c>
      <c r="L490" s="164">
        <f t="shared" si="129"/>
        <v>0</v>
      </c>
    </row>
    <row r="491" hidden="1">
      <c r="A491" s="135"/>
      <c r="B491" s="135"/>
      <c r="C491" s="136" t="s">
        <v>23</v>
      </c>
      <c r="D491" s="137">
        <f t="shared" ref="D491:E491" si="130">SUM(D488:D490)</f>
        <v>0</v>
      </c>
      <c r="E491" s="137">
        <f t="shared" si="130"/>
        <v>0</v>
      </c>
      <c r="F491" s="138" t="str">
        <f t="shared" si="128"/>
        <v>N/A</v>
      </c>
      <c r="G491" s="137">
        <f t="shared" ref="G491:H491" si="131">SUM(G488:G490)</f>
        <v>0</v>
      </c>
      <c r="H491" s="137">
        <f t="shared" si="131"/>
        <v>0</v>
      </c>
      <c r="I491" s="139"/>
      <c r="L491" s="164">
        <f t="shared" si="129"/>
        <v>0</v>
      </c>
    </row>
    <row r="492" hidden="1">
      <c r="A492" s="131"/>
      <c r="B492" s="131"/>
      <c r="C492" s="131"/>
      <c r="D492" s="140"/>
      <c r="F492" s="131"/>
      <c r="G492" s="131"/>
    </row>
    <row r="493" hidden="1">
      <c r="C493" s="118" t="s">
        <v>504</v>
      </c>
      <c r="D493" s="119"/>
      <c r="E493" s="119"/>
      <c r="F493" s="119"/>
      <c r="G493" s="119"/>
      <c r="H493" s="119"/>
      <c r="I493" s="159"/>
    </row>
    <row r="494" hidden="1">
      <c r="A494" s="121" t="s">
        <v>1</v>
      </c>
      <c r="B494" s="122" t="s">
        <v>485</v>
      </c>
      <c r="C494" s="123" t="s">
        <v>486</v>
      </c>
      <c r="D494" s="124" t="s">
        <v>6</v>
      </c>
      <c r="E494" s="125" t="s">
        <v>8</v>
      </c>
      <c r="F494" s="124" t="s">
        <v>479</v>
      </c>
      <c r="G494" s="126" t="s">
        <v>7</v>
      </c>
      <c r="H494" s="125" t="s">
        <v>10</v>
      </c>
      <c r="I494" s="160" t="s">
        <v>487</v>
      </c>
    </row>
    <row r="495" hidden="1">
      <c r="A495" s="128">
        <v>44805.0</v>
      </c>
      <c r="B495" s="129" t="s">
        <v>19</v>
      </c>
      <c r="C495" s="141" t="s">
        <v>489</v>
      </c>
      <c r="D495" s="131">
        <f>SUMIFS(All_Stats!$G:$G,
All_Stats!$D:$D,$B495,
All_Stats!$B:$B,"&gt;="&amp;EOMONTH($A495,-1)+1,
All_Stats!$B:$B,"&lt;"&amp;EOMONTH($A495,0)+1,
All_Stats!$P:$P,"&lt;&gt;Email Marketing"
)</f>
        <v>0</v>
      </c>
      <c r="E495" s="113">
        <f>SUMIFS(All_Stats!$I:$I,
All_Stats!$D:$D,$B495,
All_Stats!$B:$B,"&gt;="&amp;EOMONTH($A495,-1)+1,
All_Stats!$B:$B,"&lt;"&amp;EOMONTH($A495,0)+1,
All_Stats!$P:$P,"&lt;&gt;Email Marketing"
)</f>
        <v>0</v>
      </c>
      <c r="F495" s="132" t="str">
        <f t="shared" ref="F495:F509" si="132">iferror(E495/D495,"N/A")</f>
        <v>N/A</v>
      </c>
      <c r="G495" s="131">
        <f>SUMIFS(All_Stats!$H:$H,
All_Stats!$D:$D,$B495,
All_Stats!$B:$B,"&gt;="&amp;EOMONTH($A495,-1)+1,
All_Stats!$B:$B,"&lt;"&amp;EOMONTH($A495,0)+1,
All_Stats!$P:$P,"&lt;&gt;Email Marketing"
)</f>
        <v>0</v>
      </c>
      <c r="H495" s="113">
        <f>SUMIFS(All_Stats!$K:$K,
All_Stats!$D:$D,$B495,
All_Stats!$B:$B,"&gt;="&amp;EOMONTH($A495,-1)+1,
All_Stats!$B:$B,"&lt;"&amp;EOMONTH($A495,0)+1,
All_Stats!$P:$P,"&lt;&gt;Email Marketing"
)</f>
        <v>0</v>
      </c>
      <c r="I495" s="152">
        <f>IFERROR(__xludf.DUMMYFUNCTION("COUNTUNIQUEIFS(All_Stats!A:A,
All_Stats!$D:$D,$B495,
All_Stats!$B:$B,""&gt;=""&amp;EOMONTH($A495,-1)+1,
All_Stats!$B:$B,""&lt;""&amp;EOMONTH($A495,0)+1,
All_Stats!$P:$P,""&lt;&gt;Email Marketing""
)"),0.0)</f>
        <v>0</v>
      </c>
      <c r="L495" s="164">
        <f t="shared" ref="L495:L507" si="133">sum(E495,G495,H495,K495)</f>
        <v>0</v>
      </c>
    </row>
    <row r="496" hidden="1">
      <c r="A496" s="128">
        <v>44805.0</v>
      </c>
      <c r="B496" s="129" t="s">
        <v>91</v>
      </c>
      <c r="C496" s="142" t="s">
        <v>536</v>
      </c>
      <c r="D496" s="131">
        <f>SUMIFS(All_Stats!$G:$G,
All_Stats!$D:$D,$B496,
All_Stats!$B:$B,"&gt;="&amp;EOMONTH($A496,-1)+1,
All_Stats!$B:$B,"&lt;"&amp;EOMONTH($A496,0)+1,
All_Stats!$P:$P,"&lt;&gt;Email Marketing"
)</f>
        <v>0</v>
      </c>
      <c r="E496" s="113">
        <f>SUMIFS(All_Stats!$I:$I,
All_Stats!$D:$D,$B496,
All_Stats!$B:$B,"&gt;="&amp;EOMONTH($A496,-1)+1,
All_Stats!$B:$B,"&lt;"&amp;EOMONTH($A496,0)+1,
All_Stats!$P:$P,"&lt;&gt;Email Marketing"
)</f>
        <v>0</v>
      </c>
      <c r="F496" s="132" t="str">
        <f t="shared" si="132"/>
        <v>N/A</v>
      </c>
      <c r="G496" s="131">
        <f>SUMIFS(All_Stats!$H:$H,
All_Stats!$D:$D,$B496,
All_Stats!$B:$B,"&gt;="&amp;EOMONTH($A496,-1)+1,
All_Stats!$B:$B,"&lt;"&amp;EOMONTH($A496,0)+1,
All_Stats!$P:$P,"&lt;&gt;Email Marketing"
)</f>
        <v>0</v>
      </c>
      <c r="H496" s="113">
        <f>SUMIFS(All_Stats!$K:$K,
All_Stats!$D:$D,$B496,
All_Stats!$B:$B,"&gt;="&amp;EOMONTH($A496,-1)+1,
All_Stats!$B:$B,"&lt;"&amp;EOMONTH($A496,0)+1,
All_Stats!$P:$P,"&lt;&gt;Email Marketing"
)</f>
        <v>0</v>
      </c>
      <c r="I496" s="152">
        <f>IFERROR(__xludf.DUMMYFUNCTION("COUNTUNIQUEIFS(All_Stats!A:A,
All_Stats!$D:$D,$B496,
All_Stats!$B:$B,""&gt;=""&amp;EOMONTH($A496,-1)+1,
All_Stats!$B:$B,""&lt;""&amp;EOMONTH($A496,0)+1,
All_Stats!$P:$P,""&lt;&gt;Email Marketing""
)"),0.0)</f>
        <v>0</v>
      </c>
      <c r="J496" s="2"/>
      <c r="K496" s="2">
        <v>1.0</v>
      </c>
      <c r="L496" s="164">
        <f t="shared" si="133"/>
        <v>1</v>
      </c>
    </row>
    <row r="497" hidden="1">
      <c r="A497" s="128">
        <v>44805.0</v>
      </c>
      <c r="B497" s="129" t="s">
        <v>30</v>
      </c>
      <c r="C497" s="142" t="s">
        <v>531</v>
      </c>
      <c r="D497" s="131">
        <f>SUMIFS(All_Stats!$G:$G,
All_Stats!$D:$D,$B497,
All_Stats!$B:$B,"&gt;="&amp;EOMONTH($A497,-1)+1,
All_Stats!$B:$B,"&lt;"&amp;EOMONTH($A497,0)+1,
All_Stats!$P:$P,"&lt;&gt;Email Marketing"
)</f>
        <v>0</v>
      </c>
      <c r="E497" s="113">
        <f>SUMIFS(All_Stats!$I:$I,
All_Stats!$D:$D,$B497,
All_Stats!$B:$B,"&gt;="&amp;EOMONTH($A497,-1)+1,
All_Stats!$B:$B,"&lt;"&amp;EOMONTH($A497,0)+1,
All_Stats!$P:$P,"&lt;&gt;Email Marketing"
)</f>
        <v>0</v>
      </c>
      <c r="F497" s="132" t="str">
        <f t="shared" si="132"/>
        <v>N/A</v>
      </c>
      <c r="G497" s="131">
        <f>SUMIFS(All_Stats!$H:$H,
All_Stats!$D:$D,$B497,
All_Stats!$B:$B,"&gt;="&amp;EOMONTH($A497,-1)+1,
All_Stats!$B:$B,"&lt;"&amp;EOMONTH($A497,0)+1,
All_Stats!$P:$P,"&lt;&gt;Email Marketing"
)</f>
        <v>0</v>
      </c>
      <c r="H497" s="113">
        <f>SUMIFS(All_Stats!$K:$K,
All_Stats!$D:$D,$B497,
All_Stats!$B:$B,"&gt;="&amp;EOMONTH($A497,-1)+1,
All_Stats!$B:$B,"&lt;"&amp;EOMONTH($A497,0)+1,
All_Stats!$P:$P,"&lt;&gt;Email Marketing"
)</f>
        <v>0</v>
      </c>
      <c r="I497" s="152">
        <f>IFERROR(__xludf.DUMMYFUNCTION("COUNTUNIQUEIFS(All_Stats!A:A,
All_Stats!$D:$D,$B497,
All_Stats!$B:$B,""&gt;=""&amp;EOMONTH($A497,-1)+1,
All_Stats!$B:$B,""&lt;""&amp;EOMONTH($A497,0)+1,
All_Stats!$P:$P,""&lt;&gt;Email Marketing""
)"),0.0)</f>
        <v>0</v>
      </c>
      <c r="J497" s="2"/>
      <c r="K497" s="2">
        <v>2.0</v>
      </c>
      <c r="L497" s="164">
        <f t="shared" si="133"/>
        <v>2</v>
      </c>
    </row>
    <row r="498" hidden="1">
      <c r="A498" s="128">
        <v>44805.0</v>
      </c>
      <c r="B498" s="129" t="s">
        <v>157</v>
      </c>
      <c r="C498" s="142" t="s">
        <v>537</v>
      </c>
      <c r="D498" s="131">
        <f>SUMIFS(All_Stats!$G:$G,
All_Stats!$D:$D,$B498,
All_Stats!$B:$B,"&gt;="&amp;EOMONTH($A498,-1)+1,
All_Stats!$B:$B,"&lt;"&amp;EOMONTH($A498,0)+1,
All_Stats!$P:$P,"&lt;&gt;Email Marketing"
)</f>
        <v>0</v>
      </c>
      <c r="E498" s="113">
        <f>SUMIFS(All_Stats!$I:$I,
All_Stats!$D:$D,$B498,
All_Stats!$B:$B,"&gt;="&amp;EOMONTH($A498,-1)+1,
All_Stats!$B:$B,"&lt;"&amp;EOMONTH($A498,0)+1,
All_Stats!$P:$P,"&lt;&gt;Email Marketing"
)</f>
        <v>0</v>
      </c>
      <c r="F498" s="132" t="str">
        <f t="shared" si="132"/>
        <v>N/A</v>
      </c>
      <c r="G498" s="131">
        <f>SUMIFS(All_Stats!$H:$H,
All_Stats!$D:$D,$B498,
All_Stats!$B:$B,"&gt;="&amp;EOMONTH($A498,-1)+1,
All_Stats!$B:$B,"&lt;"&amp;EOMONTH($A498,0)+1,
All_Stats!$P:$P,"&lt;&gt;Email Marketing"
)</f>
        <v>0</v>
      </c>
      <c r="H498" s="113">
        <f>SUMIFS(All_Stats!$K:$K,
All_Stats!$D:$D,$B498,
All_Stats!$B:$B,"&gt;="&amp;EOMONTH($A498,-1)+1,
All_Stats!$B:$B,"&lt;"&amp;EOMONTH($A498,0)+1,
All_Stats!$P:$P,"&lt;&gt;Email Marketing"
)</f>
        <v>0</v>
      </c>
      <c r="I498" s="152">
        <f>IFERROR(__xludf.DUMMYFUNCTION("COUNTUNIQUEIFS(All_Stats!A:A,
All_Stats!$D:$D,$B498,
All_Stats!$B:$B,""&gt;=""&amp;EOMONTH($A498,-1)+1,
All_Stats!$B:$B,""&lt;""&amp;EOMONTH($A498,0)+1,
All_Stats!$P:$P,""&lt;&gt;Email Marketing""
)"),0.0)</f>
        <v>0</v>
      </c>
      <c r="L498" s="164">
        <f t="shared" si="133"/>
        <v>0</v>
      </c>
    </row>
    <row r="499" hidden="1">
      <c r="A499" s="128">
        <v>44805.0</v>
      </c>
      <c r="B499" s="129" t="s">
        <v>507</v>
      </c>
      <c r="C499" s="142" t="s">
        <v>512</v>
      </c>
      <c r="D499" s="131">
        <f>SUMIFS(All_Stats!$G:$G,
All_Stats!$D:$D,$B499,
All_Stats!$B:$B,"&gt;="&amp;EOMONTH($A499,-1)+1,
All_Stats!$B:$B,"&lt;"&amp;EOMONTH($A499,0)+1,
All_Stats!$P:$P,"&lt;&gt;Email Marketing"
)</f>
        <v>0</v>
      </c>
      <c r="E499" s="113">
        <f>SUMIFS(All_Stats!$I:$I,
All_Stats!$D:$D,$B499,
All_Stats!$B:$B,"&gt;="&amp;EOMONTH($A499,-1)+1,
All_Stats!$B:$B,"&lt;"&amp;EOMONTH($A499,0)+1,
All_Stats!$P:$P,"&lt;&gt;Email Marketing"
)</f>
        <v>0</v>
      </c>
      <c r="F499" s="132" t="str">
        <f t="shared" si="132"/>
        <v>N/A</v>
      </c>
      <c r="G499" s="131">
        <f>SUMIFS(All_Stats!$H:$H,
All_Stats!$D:$D,$B499,
All_Stats!$B:$B,"&gt;="&amp;EOMONTH($A499,-1)+1,
All_Stats!$B:$B,"&lt;"&amp;EOMONTH($A499,0)+1,
All_Stats!$P:$P,"&lt;&gt;Email Marketing"
)</f>
        <v>0</v>
      </c>
      <c r="H499" s="113">
        <f>SUMIFS(All_Stats!$K:$K,
All_Stats!$D:$D,$B499,
All_Stats!$B:$B,"&gt;="&amp;EOMONTH($A499,-1)+1,
All_Stats!$B:$B,"&lt;"&amp;EOMONTH($A499,0)+1,
All_Stats!$P:$P,"&lt;&gt;Email Marketing"
)</f>
        <v>0</v>
      </c>
      <c r="I499" s="152">
        <f>IFERROR(__xludf.DUMMYFUNCTION("COUNTUNIQUEIFS(All_Stats!A:A,
All_Stats!$D:$D,$B499,
All_Stats!$B:$B,""&gt;=""&amp;EOMONTH($A499,-1)+1,
All_Stats!$B:$B,""&lt;""&amp;EOMONTH($A499,0)+1,
All_Stats!$P:$P,""&lt;&gt;Email Marketing""
)"),0.0)</f>
        <v>0</v>
      </c>
      <c r="L499" s="164">
        <f t="shared" si="133"/>
        <v>0</v>
      </c>
    </row>
    <row r="500" hidden="1">
      <c r="A500" s="128">
        <v>44805.0</v>
      </c>
      <c r="B500" s="129" t="s">
        <v>79</v>
      </c>
      <c r="C500" s="142" t="s">
        <v>488</v>
      </c>
      <c r="D500" s="131">
        <f>SUMIFS(All_Stats!$G:$G,
All_Stats!$D:$D,$B500,
All_Stats!$B:$B,"&gt;="&amp;EOMONTH($A500,-1)+1,
All_Stats!$B:$B,"&lt;"&amp;EOMONTH($A500,0)+1,
All_Stats!$P:$P,"&lt;&gt;Email Marketing"
)</f>
        <v>0</v>
      </c>
      <c r="E500" s="113">
        <f>SUMIFS(All_Stats!$I:$I,
All_Stats!$D:$D,$B500,
All_Stats!$B:$B,"&gt;="&amp;EOMONTH($A500,-1)+1,
All_Stats!$B:$B,"&lt;"&amp;EOMONTH($A500,0)+1,
All_Stats!$P:$P,"&lt;&gt;Email Marketing"
)</f>
        <v>0</v>
      </c>
      <c r="F500" s="132" t="str">
        <f t="shared" si="132"/>
        <v>N/A</v>
      </c>
      <c r="G500" s="131">
        <f>SUMIFS(All_Stats!$H:$H,
All_Stats!$D:$D,$B500,
All_Stats!$B:$B,"&gt;="&amp;EOMONTH($A500,-1)+1,
All_Stats!$B:$B,"&lt;"&amp;EOMONTH($A500,0)+1,
All_Stats!$P:$P,"&lt;&gt;Email Marketing"
)</f>
        <v>0</v>
      </c>
      <c r="H500" s="113">
        <f>SUMIFS(All_Stats!$K:$K,
All_Stats!$D:$D,$B500,
All_Stats!$B:$B,"&gt;="&amp;EOMONTH($A500,-1)+1,
All_Stats!$B:$B,"&lt;"&amp;EOMONTH($A500,0)+1,
All_Stats!$P:$P,"&lt;&gt;Email Marketing"
)</f>
        <v>0</v>
      </c>
      <c r="I500" s="152">
        <f>IFERROR(__xludf.DUMMYFUNCTION("COUNTUNIQUEIFS(All_Stats!A:A,
All_Stats!$D:$D,$B500,
All_Stats!$B:$B,""&gt;=""&amp;EOMONTH($A500,-1)+1,
All_Stats!$B:$B,""&lt;""&amp;EOMONTH($A500,0)+1,
All_Stats!$P:$P,""&lt;&gt;Email Marketing""
)"),0.0)</f>
        <v>0</v>
      </c>
      <c r="L500" s="164">
        <f t="shared" si="133"/>
        <v>0</v>
      </c>
    </row>
    <row r="501" hidden="1">
      <c r="A501" s="128">
        <v>44805.0</v>
      </c>
      <c r="B501" s="129" t="s">
        <v>109</v>
      </c>
      <c r="C501" s="142" t="s">
        <v>490</v>
      </c>
      <c r="D501" s="131">
        <f>SUMIFS(All_Stats!$G:$G,
All_Stats!$D:$D,$B501,
All_Stats!$B:$B,"&gt;="&amp;EOMONTH($A501,-1)+1,
All_Stats!$B:$B,"&lt;"&amp;EOMONTH($A501,0)+1,
All_Stats!$P:$P,"&lt;&gt;Email Marketing"
)</f>
        <v>0</v>
      </c>
      <c r="E501" s="113">
        <f>SUMIFS(All_Stats!$I:$I,
All_Stats!$D:$D,$B501,
All_Stats!$B:$B,"&gt;="&amp;EOMONTH($A501,-1)+1,
All_Stats!$B:$B,"&lt;"&amp;EOMONTH($A501,0)+1,
All_Stats!$P:$P,"&lt;&gt;Email Marketing"
)</f>
        <v>0</v>
      </c>
      <c r="F501" s="132" t="str">
        <f t="shared" si="132"/>
        <v>N/A</v>
      </c>
      <c r="G501" s="131">
        <f>SUMIFS(All_Stats!$H:$H,
All_Stats!$D:$D,$B501,
All_Stats!$B:$B,"&gt;="&amp;EOMONTH($A501,-1)+1,
All_Stats!$B:$B,"&lt;"&amp;EOMONTH($A501,0)+1,
All_Stats!$P:$P,"&lt;&gt;Email Marketing"
)</f>
        <v>0</v>
      </c>
      <c r="H501" s="113">
        <f>SUMIFS(All_Stats!$K:$K,
All_Stats!$D:$D,$B501,
All_Stats!$B:$B,"&gt;="&amp;EOMONTH($A501,-1)+1,
All_Stats!$B:$B,"&lt;"&amp;EOMONTH($A501,0)+1,
All_Stats!$P:$P,"&lt;&gt;Email Marketing"
)</f>
        <v>0</v>
      </c>
      <c r="I501" s="152">
        <f>IFERROR(__xludf.DUMMYFUNCTION("COUNTUNIQUEIFS(All_Stats!A:A,
All_Stats!$D:$D,$B501,
All_Stats!$B:$B,""&gt;=""&amp;EOMONTH($A501,-1)+1,
All_Stats!$B:$B,""&lt;""&amp;EOMONTH($A501,0)+1,
All_Stats!$P:$P,""&lt;&gt;Email Marketing""
)"),0.0)</f>
        <v>0</v>
      </c>
      <c r="J501" s="2"/>
      <c r="K501" s="2">
        <v>1.0</v>
      </c>
      <c r="L501" s="164">
        <f t="shared" si="133"/>
        <v>1</v>
      </c>
    </row>
    <row r="502" hidden="1">
      <c r="A502" s="128">
        <v>44805.0</v>
      </c>
      <c r="B502" s="129" t="s">
        <v>313</v>
      </c>
      <c r="C502" s="142" t="s">
        <v>525</v>
      </c>
      <c r="D502" s="131">
        <f>SUMIFS(All_Stats!$G:$G,
All_Stats!$D:$D,$B502,
All_Stats!$B:$B,"&gt;="&amp;EOMONTH($A502,-1)+1,
All_Stats!$B:$B,"&lt;"&amp;EOMONTH($A502,0)+1,
All_Stats!$P:$P,"&lt;&gt;Email Marketing"
)</f>
        <v>0</v>
      </c>
      <c r="E502" s="113">
        <f>SUMIFS(All_Stats!$I:$I,
All_Stats!$D:$D,$B502,
All_Stats!$B:$B,"&gt;="&amp;EOMONTH($A502,-1)+1,
All_Stats!$B:$B,"&lt;"&amp;EOMONTH($A502,0)+1,
All_Stats!$P:$P,"&lt;&gt;Email Marketing"
)</f>
        <v>0</v>
      </c>
      <c r="F502" s="132" t="str">
        <f t="shared" si="132"/>
        <v>N/A</v>
      </c>
      <c r="G502" s="131">
        <f>SUMIFS(All_Stats!$H:$H,
All_Stats!$D:$D,$B502,
All_Stats!$B:$B,"&gt;="&amp;EOMONTH($A502,-1)+1,
All_Stats!$B:$B,"&lt;"&amp;EOMONTH($A502,0)+1,
All_Stats!$P:$P,"&lt;&gt;Email Marketing"
)</f>
        <v>0</v>
      </c>
      <c r="H502" s="113">
        <f>SUMIFS(All_Stats!$K:$K,
All_Stats!$D:$D,$B502,
All_Stats!$B:$B,"&gt;="&amp;EOMONTH($A502,-1)+1,
All_Stats!$B:$B,"&lt;"&amp;EOMONTH($A502,0)+1,
All_Stats!$P:$P,"&lt;&gt;Email Marketing"
)</f>
        <v>0</v>
      </c>
      <c r="I502" s="152">
        <f>IFERROR(__xludf.DUMMYFUNCTION("COUNTUNIQUEIFS(All_Stats!A:A,
All_Stats!$D:$D,$B502,
All_Stats!$B:$B,""&gt;=""&amp;EOMONTH($A502,-1)+1,
All_Stats!$B:$B,""&lt;""&amp;EOMONTH($A502,0)+1,
All_Stats!$P:$P,""&lt;&gt;Email Marketing""
)"),0.0)</f>
        <v>0</v>
      </c>
      <c r="L502" s="164">
        <f t="shared" si="133"/>
        <v>0</v>
      </c>
    </row>
    <row r="503" hidden="1">
      <c r="A503" s="128">
        <v>44805.0</v>
      </c>
      <c r="B503" s="129" t="s">
        <v>33</v>
      </c>
      <c r="C503" s="142" t="s">
        <v>492</v>
      </c>
      <c r="D503" s="131">
        <f>SUMIFS(All_Stats!$G:$G,
All_Stats!$D:$D,$B503,
All_Stats!$B:$B,"&gt;="&amp;EOMONTH($A503,-1)+1,
All_Stats!$B:$B,"&lt;"&amp;EOMONTH($A503,0)+1,
All_Stats!$P:$P,"&lt;&gt;Email Marketing"
)</f>
        <v>0</v>
      </c>
      <c r="E503" s="113">
        <f>SUMIFS(All_Stats!$I:$I,
All_Stats!$D:$D,$B503,
All_Stats!$B:$B,"&gt;="&amp;EOMONTH($A503,-1)+1,
All_Stats!$B:$B,"&lt;"&amp;EOMONTH($A503,0)+1,
All_Stats!$P:$P,"&lt;&gt;Email Marketing"
)</f>
        <v>0</v>
      </c>
      <c r="F503" s="132" t="str">
        <f t="shared" si="132"/>
        <v>N/A</v>
      </c>
      <c r="G503" s="131">
        <f>SUMIFS(All_Stats!$H:$H,
All_Stats!$D:$D,$B503,
All_Stats!$B:$B,"&gt;="&amp;EOMONTH($A503,-1)+1,
All_Stats!$B:$B,"&lt;"&amp;EOMONTH($A503,0)+1,
All_Stats!$P:$P,"&lt;&gt;Email Marketing"
)</f>
        <v>0</v>
      </c>
      <c r="H503" s="113">
        <f>SUMIFS(All_Stats!$K:$K,
All_Stats!$D:$D,$B503,
All_Stats!$B:$B,"&gt;="&amp;EOMONTH($A503,-1)+1,
All_Stats!$B:$B,"&lt;"&amp;EOMONTH($A503,0)+1,
All_Stats!$P:$P,"&lt;&gt;Email Marketing"
)</f>
        <v>0</v>
      </c>
      <c r="I503" s="152">
        <f>IFERROR(__xludf.DUMMYFUNCTION("COUNTUNIQUEIFS(All_Stats!A:A,
All_Stats!$D:$D,$B503,
All_Stats!$B:$B,""&gt;=""&amp;EOMONTH($A503,-1)+1,
All_Stats!$B:$B,""&lt;""&amp;EOMONTH($A503,0)+1,
All_Stats!$P:$P,""&lt;&gt;Email Marketing""
)"),0.0)</f>
        <v>0</v>
      </c>
      <c r="L503" s="164">
        <f t="shared" si="133"/>
        <v>0</v>
      </c>
    </row>
    <row r="504" hidden="1">
      <c r="A504" s="128">
        <v>44805.0</v>
      </c>
      <c r="B504" s="129" t="s">
        <v>495</v>
      </c>
      <c r="C504" s="142" t="s">
        <v>528</v>
      </c>
      <c r="D504" s="131">
        <f>SUMIFS(All_Stats!$G:$G,
All_Stats!$D:$D,$B504,
All_Stats!$B:$B,"&gt;="&amp;EOMONTH($A504,-1)+1,
All_Stats!$B:$B,"&lt;"&amp;EOMONTH($A504,0)+1,
All_Stats!$P:$P,"&lt;&gt;Email Marketing"
)</f>
        <v>0</v>
      </c>
      <c r="E504" s="113">
        <f>SUMIFS(All_Stats!$I:$I,
All_Stats!$D:$D,$B504,
All_Stats!$B:$B,"&gt;="&amp;EOMONTH($A504,-1)+1,
All_Stats!$B:$B,"&lt;"&amp;EOMONTH($A504,0)+1,
All_Stats!$P:$P,"&lt;&gt;Email Marketing"
)</f>
        <v>0</v>
      </c>
      <c r="F504" s="132" t="str">
        <f t="shared" si="132"/>
        <v>N/A</v>
      </c>
      <c r="G504" s="131">
        <f>SUMIFS(All_Stats!$H:$H,
All_Stats!$D:$D,$B504,
All_Stats!$B:$B,"&gt;="&amp;EOMONTH($A504,-1)+1,
All_Stats!$B:$B,"&lt;"&amp;EOMONTH($A504,0)+1,
All_Stats!$P:$P,"&lt;&gt;Email Marketing"
)</f>
        <v>0</v>
      </c>
      <c r="H504" s="113">
        <f>SUMIFS(All_Stats!$K:$K,
All_Stats!$D:$D,$B504,
All_Stats!$B:$B,"&gt;="&amp;EOMONTH($A504,-1)+1,
All_Stats!$B:$B,"&lt;"&amp;EOMONTH($A504,0)+1,
All_Stats!$P:$P,"&lt;&gt;Email Marketing"
)</f>
        <v>0</v>
      </c>
      <c r="I504" s="152">
        <f>IFERROR(__xludf.DUMMYFUNCTION("COUNTUNIQUEIFS(All_Stats!A:A,
All_Stats!$D:$D,$B504,
All_Stats!$B:$B,""&gt;=""&amp;EOMONTH($A504,-1)+1,
All_Stats!$B:$B,""&lt;""&amp;EOMONTH($A504,0)+1,
All_Stats!$P:$P,""&lt;&gt;Email Marketing""
)"),0.0)</f>
        <v>0</v>
      </c>
      <c r="L504" s="164">
        <f t="shared" si="133"/>
        <v>0</v>
      </c>
    </row>
    <row r="505" hidden="1">
      <c r="A505" s="128">
        <v>44805.0</v>
      </c>
      <c r="B505" s="129" t="s">
        <v>497</v>
      </c>
      <c r="C505" s="142" t="s">
        <v>534</v>
      </c>
      <c r="D505" s="131">
        <f>SUMIFS(All_Stats!$G:$G,
All_Stats!$D:$D,$B505,
All_Stats!$B:$B,"&gt;="&amp;EOMONTH($A505,-1)+1,
All_Stats!$B:$B,"&lt;"&amp;EOMONTH($A505,0)+1,
All_Stats!$P:$P,"&lt;&gt;Email Marketing"
)</f>
        <v>0</v>
      </c>
      <c r="E505" s="113">
        <f>SUMIFS(All_Stats!$I:$I,
All_Stats!$D:$D,$B505,
All_Stats!$B:$B,"&gt;="&amp;EOMONTH($A505,-1)+1,
All_Stats!$B:$B,"&lt;"&amp;EOMONTH($A505,0)+1,
All_Stats!$P:$P,"&lt;&gt;Email Marketing"
)</f>
        <v>0</v>
      </c>
      <c r="F505" s="132" t="str">
        <f t="shared" si="132"/>
        <v>N/A</v>
      </c>
      <c r="G505" s="131">
        <f>SUMIFS(All_Stats!$H:$H,
All_Stats!$D:$D,$B505,
All_Stats!$B:$B,"&gt;="&amp;EOMONTH($A505,-1)+1,
All_Stats!$B:$B,"&lt;"&amp;EOMONTH($A505,0)+1,
All_Stats!$P:$P,"&lt;&gt;Email Marketing"
)</f>
        <v>0</v>
      </c>
      <c r="H505" s="113">
        <f>SUMIFS(All_Stats!$K:$K,
All_Stats!$D:$D,$B505,
All_Stats!$B:$B,"&gt;="&amp;EOMONTH($A505,-1)+1,
All_Stats!$B:$B,"&lt;"&amp;EOMONTH($A505,0)+1,
All_Stats!$P:$P,"&lt;&gt;Email Marketing"
)</f>
        <v>0</v>
      </c>
      <c r="I505" s="152">
        <f>IFERROR(__xludf.DUMMYFUNCTION("COUNTUNIQUEIFS(All_Stats!A:A,
All_Stats!$D:$D,$B505,
All_Stats!$B:$B,""&gt;=""&amp;EOMONTH($A505,-1)+1,
All_Stats!$B:$B,""&lt;""&amp;EOMONTH($A505,0)+1,
All_Stats!$P:$P,""&lt;&gt;Email Marketing""
)"),0.0)</f>
        <v>0</v>
      </c>
      <c r="L505" s="164">
        <f t="shared" si="133"/>
        <v>0</v>
      </c>
    </row>
    <row r="506" hidden="1">
      <c r="A506" s="128">
        <v>44805.0</v>
      </c>
      <c r="B506" s="129" t="s">
        <v>127</v>
      </c>
      <c r="C506" s="186" t="s">
        <v>533</v>
      </c>
      <c r="D506" s="131">
        <f>SUMIFS(All_Stats!$G:$G,
All_Stats!$D:$D,$B506,
All_Stats!$B:$B,"&gt;="&amp;EOMONTH($A506,-1)+1,
All_Stats!$B:$B,"&lt;"&amp;EOMONTH($A506,0)+1,
All_Stats!$P:$P,"&lt;&gt;Email Marketing"
)</f>
        <v>0</v>
      </c>
      <c r="E506" s="113">
        <f>SUMIFS(All_Stats!$I:$I,
All_Stats!$D:$D,$B506,
All_Stats!$B:$B,"&gt;="&amp;EOMONTH($A506,-1)+1,
All_Stats!$B:$B,"&lt;"&amp;EOMONTH($A506,0)+1,
All_Stats!$P:$P,"&lt;&gt;Email Marketing"
)</f>
        <v>0</v>
      </c>
      <c r="F506" s="132" t="str">
        <f t="shared" si="132"/>
        <v>N/A</v>
      </c>
      <c r="G506" s="131">
        <f>SUMIFS(All_Stats!$H:$H,
All_Stats!$D:$D,$B506,
All_Stats!$B:$B,"&gt;="&amp;EOMONTH($A506,-1)+1,
All_Stats!$B:$B,"&lt;"&amp;EOMONTH($A506,0)+1,
All_Stats!$P:$P,"&lt;&gt;Email Marketing"
)</f>
        <v>0</v>
      </c>
      <c r="H506" s="113">
        <f>SUMIFS(All_Stats!$K:$K,
All_Stats!$D:$D,$B506,
All_Stats!$B:$B,"&gt;="&amp;EOMONTH($A506,-1)+1,
All_Stats!$B:$B,"&lt;"&amp;EOMONTH($A506,0)+1,
All_Stats!$P:$P,"&lt;&gt;Email Marketing"
)</f>
        <v>0</v>
      </c>
      <c r="I506" s="152">
        <f>IFERROR(__xludf.DUMMYFUNCTION("COUNTUNIQUEIFS(All_Stats!A:A,
All_Stats!$D:$D,$B506,
All_Stats!$B:$B,""&gt;=""&amp;EOMONTH($A506,-1)+1,
All_Stats!$B:$B,""&lt;""&amp;EOMONTH($A506,0)+1,
All_Stats!$P:$P,""&lt;&gt;Email Marketing""
)"),0.0)</f>
        <v>0</v>
      </c>
      <c r="J506" s="2"/>
      <c r="K506" s="2">
        <v>1.0</v>
      </c>
      <c r="L506" s="164">
        <f t="shared" si="133"/>
        <v>1</v>
      </c>
    </row>
    <row r="507" hidden="1">
      <c r="A507" s="128">
        <v>44805.0</v>
      </c>
      <c r="B507" s="129" t="s">
        <v>501</v>
      </c>
      <c r="C507" s="130" t="s">
        <v>532</v>
      </c>
      <c r="D507" s="131">
        <f>SUMIFS(All_Stats!$G:$G,
All_Stats!$D:$D,$B507,
All_Stats!$B:$B,"&gt;="&amp;EOMONTH($A507,-1)+1,
All_Stats!$B:$B,"&lt;"&amp;EOMONTH($A507,0)+1,
All_Stats!$P:$P,"&lt;&gt;Email Marketing"
)</f>
        <v>0</v>
      </c>
      <c r="E507" s="113">
        <f>SUMIFS(All_Stats!$I:$I,
All_Stats!$D:$D,$B507,
All_Stats!$B:$B,"&gt;="&amp;EOMONTH($A507,-1)+1,
All_Stats!$B:$B,"&lt;"&amp;EOMONTH($A507,0)+1,
All_Stats!$P:$P,"&lt;&gt;Email Marketing"
)</f>
        <v>0</v>
      </c>
      <c r="F507" s="132" t="str">
        <f t="shared" si="132"/>
        <v>N/A</v>
      </c>
      <c r="G507" s="131">
        <f>SUMIFS(All_Stats!$H:$H,
All_Stats!$D:$D,$B507,
All_Stats!$B:$B,"&gt;="&amp;EOMONTH($A507,-1)+1,
All_Stats!$B:$B,"&lt;"&amp;EOMONTH($A507,0)+1,
All_Stats!$P:$P,"&lt;&gt;Email Marketing"
)</f>
        <v>0</v>
      </c>
      <c r="H507" s="113">
        <f>SUMIFS(All_Stats!$K:$K,
All_Stats!$D:$D,$B507,
All_Stats!$B:$B,"&gt;="&amp;EOMONTH($A507,-1)+1,
All_Stats!$B:$B,"&lt;"&amp;EOMONTH($A507,0)+1,
All_Stats!$P:$P,"&lt;&gt;Email Marketing"
)</f>
        <v>0</v>
      </c>
      <c r="I507" s="152">
        <f>IFERROR(__xludf.DUMMYFUNCTION("COUNTUNIQUEIFS(All_Stats!A:A,
All_Stats!$D:$D,$B507,
All_Stats!$B:$B,""&gt;=""&amp;EOMONTH($A507,-1)+1,
All_Stats!$B:$B,""&lt;""&amp;EOMONTH($A507,0)+1,
All_Stats!$P:$P,""&lt;&gt;Email Marketing""
)"),0.0)</f>
        <v>0</v>
      </c>
      <c r="L507" s="164">
        <f t="shared" si="133"/>
        <v>0</v>
      </c>
    </row>
    <row r="508" hidden="1">
      <c r="A508" s="128">
        <v>44806.0</v>
      </c>
      <c r="B508" s="129" t="s">
        <v>500</v>
      </c>
      <c r="C508" s="142" t="s">
        <v>535</v>
      </c>
      <c r="D508" s="131">
        <f>SUMIFS(All_Stats!$G:$G,
All_Stats!$D:$D,$B508,
All_Stats!$B:$B,"&gt;="&amp;EOMONTH($A508,-1)+1,
All_Stats!$B:$B,"&lt;"&amp;EOMONTH($A508,0)+1,
All_Stats!$P:$P,"&lt;&gt;Email Marketing"
)</f>
        <v>0</v>
      </c>
      <c r="E508" s="113">
        <f>SUMIFS(All_Stats!$I:$I,
All_Stats!$D:$D,$B508,
All_Stats!$B:$B,"&gt;="&amp;EOMONTH($A508,-1)+1,
All_Stats!$B:$B,"&lt;"&amp;EOMONTH($A508,0)+1,
All_Stats!$P:$P,"&lt;&gt;Email Marketing"
)</f>
        <v>0</v>
      </c>
      <c r="F508" s="132" t="str">
        <f t="shared" si="132"/>
        <v>N/A</v>
      </c>
      <c r="G508" s="131">
        <f>SUMIFS(All_Stats!$H:$H,
All_Stats!$D:$D,$B508,
All_Stats!$B:$B,"&gt;="&amp;EOMONTH($A508,-1)+1,
All_Stats!$B:$B,"&lt;"&amp;EOMONTH($A508,0)+1,
All_Stats!$P:$P,"&lt;&gt;Email Marketing"
)</f>
        <v>0</v>
      </c>
      <c r="H508" s="113">
        <f>SUMIFS(All_Stats!$K:$K,
All_Stats!$D:$D,$B508,
All_Stats!$B:$B,"&gt;="&amp;EOMONTH($A508,-1)+1,
All_Stats!$B:$B,"&lt;"&amp;EOMONTH($A508,0)+1,
All_Stats!$P:$P,"&lt;&gt;Email Marketing"
)</f>
        <v>0</v>
      </c>
      <c r="I508" s="152">
        <f>IFERROR(__xludf.DUMMYFUNCTION("COUNTUNIQUEIFS(All_Stats!A:A,
All_Stats!$D:$D,$B508,
All_Stats!$B:$B,""&gt;=""&amp;EOMONTH($A508,-1)+1,
All_Stats!$B:$B,""&lt;""&amp;EOMONTH($A508,0)+1,
All_Stats!$P:$P,""&lt;&gt;Email Marketing""
)"),0.0)</f>
        <v>0</v>
      </c>
    </row>
    <row r="509" hidden="1">
      <c r="A509" s="135"/>
      <c r="B509" s="135"/>
      <c r="C509" s="136" t="s">
        <v>23</v>
      </c>
      <c r="D509" s="137">
        <f t="shared" ref="D509:E509" si="134">SUM(D495:D508)</f>
        <v>0</v>
      </c>
      <c r="E509" s="137">
        <f t="shared" si="134"/>
        <v>0</v>
      </c>
      <c r="F509" s="138" t="str">
        <f t="shared" si="132"/>
        <v>N/A</v>
      </c>
      <c r="G509" s="137">
        <f t="shared" ref="G509:H509" si="135">SUM(G495:G508)</f>
        <v>0</v>
      </c>
      <c r="H509" s="137">
        <f t="shared" si="135"/>
        <v>0</v>
      </c>
      <c r="I509" s="139"/>
      <c r="L509" s="164">
        <f>sum(E509,G509,H509,K509)</f>
        <v>0</v>
      </c>
    </row>
    <row r="510" hidden="1">
      <c r="A510" s="131"/>
      <c r="B510" s="131"/>
      <c r="C510" s="131"/>
      <c r="D510" s="140"/>
      <c r="F510" s="131"/>
      <c r="G510" s="131"/>
    </row>
    <row r="511" hidden="1">
      <c r="A511" s="131"/>
      <c r="B511" s="131"/>
      <c r="C511" s="131"/>
      <c r="D511" s="140">
        <f t="shared" ref="D511:E511" si="136">D491+D509</f>
        <v>0</v>
      </c>
      <c r="E511" s="140">
        <f t="shared" si="136"/>
        <v>0</v>
      </c>
      <c r="F511" s="131"/>
      <c r="G511" s="140">
        <f t="shared" ref="G511:H511" si="137">G491+G509</f>
        <v>0</v>
      </c>
      <c r="H511" s="140">
        <f t="shared" si="137"/>
        <v>0</v>
      </c>
      <c r="K511" s="164">
        <f>sum(K488:K509)</f>
        <v>5</v>
      </c>
      <c r="L511" s="164">
        <f>sum(E511,G511,H511,K511)</f>
        <v>5</v>
      </c>
    </row>
    <row r="512" hidden="1">
      <c r="A512" s="131"/>
      <c r="B512" s="131"/>
      <c r="C512" s="131"/>
      <c r="D512" s="140"/>
      <c r="F512" s="131"/>
      <c r="G512" s="131"/>
    </row>
    <row r="513" hidden="1">
      <c r="C513" s="118" t="s">
        <v>484</v>
      </c>
      <c r="D513" s="119"/>
      <c r="E513" s="119"/>
      <c r="F513" s="119"/>
      <c r="G513" s="119"/>
      <c r="H513" s="119"/>
      <c r="I513" s="159"/>
    </row>
    <row r="514" hidden="1">
      <c r="A514" s="121" t="s">
        <v>1</v>
      </c>
      <c r="B514" s="122" t="s">
        <v>485</v>
      </c>
      <c r="C514" s="123" t="s">
        <v>486</v>
      </c>
      <c r="D514" s="124" t="s">
        <v>6</v>
      </c>
      <c r="E514" s="125" t="s">
        <v>8</v>
      </c>
      <c r="F514" s="124" t="s">
        <v>479</v>
      </c>
      <c r="G514" s="126" t="s">
        <v>7</v>
      </c>
      <c r="H514" s="125" t="s">
        <v>10</v>
      </c>
      <c r="I514" s="160" t="s">
        <v>487</v>
      </c>
      <c r="J514" s="189"/>
      <c r="K514" s="189" t="s">
        <v>529</v>
      </c>
      <c r="L514" s="189" t="s">
        <v>530</v>
      </c>
    </row>
    <row r="515" hidden="1">
      <c r="A515" s="128">
        <v>44835.0</v>
      </c>
      <c r="B515" s="131" t="s">
        <v>164</v>
      </c>
      <c r="C515" s="134" t="str">
        <f>if(ifna(VLOOKUP(B515,'Vendor Directory'!A:C,3,0),"NOT FOUND")="","NOT FOUND",VLOOKUP(B515,'Vendor Directory'!A:C,3,0))</f>
        <v>#N/A</v>
      </c>
      <c r="D515" s="131">
        <f>SUMIFS(All_Stats!$G:$G,
All_Stats!$D:$D,$B515,
All_Stats!$B:$B,"&gt;="&amp;EOMONTH($A515,-1)+1,
All_Stats!$B:$B,"&lt;"&amp;EOMONTH($A515,0)+1,
All_Stats!$P:$P,"Email Marketing"
)</f>
        <v>0</v>
      </c>
      <c r="E515" s="113">
        <f>SUMIFS(All_Stats!$I:$I,
All_Stats!$D:$D,$B515,
All_Stats!$B:$B,"&gt;="&amp;EOMONTH($A515,-1)+1,
All_Stats!$B:$B,"&lt;"&amp;EOMONTH($A515,0)+1,
All_Stats!$P:$P,"Email Marketing"
)</f>
        <v>0</v>
      </c>
      <c r="F515" s="132" t="str">
        <f t="shared" ref="F515:F518" si="138">iferror(E515/D515,"N/A")</f>
        <v>N/A</v>
      </c>
      <c r="G515" s="131">
        <f>SUMIFS(All_Stats!$H:$H,
All_Stats!$D:$D,$B515,
All_Stats!$B:$B,"&gt;="&amp;EOMONTH($A515,-1)+1,
All_Stats!$B:$B,"&lt;"&amp;EOMONTH($A515,0)+1,
All_Stats!$P:$P,"Email Marketing"
)</f>
        <v>0</v>
      </c>
      <c r="H515" s="113">
        <f>SUMIFS(All_Stats!$K:$K,
All_Stats!$D:$D,$B515,
All_Stats!$B:$B,"&gt;="&amp;EOMONTH($A515,-1)+1,
All_Stats!$B:$B,"&lt;"&amp;EOMONTH($A515,0)+1,
All_Stats!$P:$P,"Email Marketing"
)</f>
        <v>0</v>
      </c>
      <c r="I515" s="152">
        <f>IFERROR(__xludf.DUMMYFUNCTION("COUNTUNIQUEIFS(All_Stats!A:A,
All_Stats!$D:$D,$B515,
All_Stats!$B:$B,""&gt;=""&amp;EOMONTH($A515,-1)+1,
All_Stats!$B:$B,""&lt;""&amp;EOMONTH($A515,0)+1,
All_Stats!$P:$P,""Email Marketing""
)"),0.0)</f>
        <v>0</v>
      </c>
      <c r="J515" s="2"/>
      <c r="K515" s="2">
        <v>2.0</v>
      </c>
      <c r="L515" s="164">
        <f t="shared" ref="L515:L518" si="139">sum(E515,G515,H515,K515)</f>
        <v>2</v>
      </c>
    </row>
    <row r="516" hidden="1">
      <c r="A516" s="128">
        <v>44835.0</v>
      </c>
      <c r="B516" s="129" t="s">
        <v>79</v>
      </c>
      <c r="C516" s="130" t="s">
        <v>488</v>
      </c>
      <c r="D516" s="131">
        <f>SUMIFS(All_Stats!$G:$G,
All_Stats!$D:$D,$B516,
All_Stats!$B:$B,"&gt;="&amp;EOMONTH($A516,-1)+1,
All_Stats!$B:$B,"&lt;"&amp;EOMONTH($A516,0)+1,
All_Stats!$P:$P,"Email Marketing"
)</f>
        <v>0</v>
      </c>
      <c r="E516" s="113">
        <f>SUMIFS(All_Stats!$I:$I,
All_Stats!$D:$D,$B516,
All_Stats!$B:$B,"&gt;="&amp;EOMONTH($A516,-1)+1,
All_Stats!$B:$B,"&lt;"&amp;EOMONTH($A516,0)+1,
All_Stats!$P:$P,"Email Marketing"
)</f>
        <v>0</v>
      </c>
      <c r="F516" s="132" t="str">
        <f t="shared" si="138"/>
        <v>N/A</v>
      </c>
      <c r="G516" s="131">
        <f>SUMIFS(All_Stats!$H:$H,
All_Stats!$D:$D,$B516,
All_Stats!$B:$B,"&gt;="&amp;EOMONTH($A516,-1)+1,
All_Stats!$B:$B,"&lt;"&amp;EOMONTH($A516,0)+1,
All_Stats!$P:$P,"Email Marketing"
)</f>
        <v>0</v>
      </c>
      <c r="H516" s="113">
        <f>SUMIFS(All_Stats!$K:$K,
All_Stats!$D:$D,$B516,
All_Stats!$B:$B,"&gt;="&amp;EOMONTH($A516,-1)+1,
All_Stats!$B:$B,"&lt;"&amp;EOMONTH($A516,0)+1,
All_Stats!$P:$P,"Email Marketing"
)</f>
        <v>0</v>
      </c>
      <c r="I516" s="152">
        <f>IFERROR(__xludf.DUMMYFUNCTION("COUNTUNIQUEIFS(All_Stats!A:A,
All_Stats!$D:$D,$B516,
All_Stats!$B:$B,""&gt;=""&amp;EOMONTH($A516,-1)+1,
All_Stats!$B:$B,""&lt;""&amp;EOMONTH($A516,0)+1,
All_Stats!$P:$P,""Email Marketing""
)"),0.0)</f>
        <v>0</v>
      </c>
      <c r="L516" s="164">
        <f t="shared" si="139"/>
        <v>0</v>
      </c>
    </row>
    <row r="517" hidden="1">
      <c r="A517" s="128">
        <v>44835.0</v>
      </c>
      <c r="B517" s="129" t="s">
        <v>313</v>
      </c>
      <c r="C517" s="142" t="s">
        <v>525</v>
      </c>
      <c r="D517" s="131">
        <f>SUMIFS(All_Stats!$G:$G,
All_Stats!$D:$D,$B517,
All_Stats!$B:$B,"&gt;="&amp;EOMONTH($A517,-1)+1,
All_Stats!$B:$B,"&lt;"&amp;EOMONTH($A517,0)+1,
All_Stats!$P:$P,"Email Marketing"
)</f>
        <v>0</v>
      </c>
      <c r="E517" s="113">
        <f>SUMIFS(All_Stats!$I:$I,
All_Stats!$D:$D,$B517,
All_Stats!$B:$B,"&gt;="&amp;EOMONTH($A517,-1)+1,
All_Stats!$B:$B,"&lt;"&amp;EOMONTH($A517,0)+1,
All_Stats!$P:$P,"Email Marketing"
)</f>
        <v>0</v>
      </c>
      <c r="F517" s="132" t="str">
        <f t="shared" si="138"/>
        <v>N/A</v>
      </c>
      <c r="G517" s="131">
        <f>SUMIFS(All_Stats!$H:$H,
All_Stats!$D:$D,$B517,
All_Stats!$B:$B,"&gt;="&amp;EOMONTH($A517,-1)+1,
All_Stats!$B:$B,"&lt;"&amp;EOMONTH($A517,0)+1,
All_Stats!$P:$P,"Email Marketing"
)</f>
        <v>0</v>
      </c>
      <c r="H517" s="113">
        <f>SUMIFS(All_Stats!$K:$K,
All_Stats!$D:$D,$B517,
All_Stats!$B:$B,"&gt;="&amp;EOMONTH($A517,-1)+1,
All_Stats!$B:$B,"&lt;"&amp;EOMONTH($A517,0)+1,
All_Stats!$P:$P,"Email Marketing"
)</f>
        <v>0</v>
      </c>
      <c r="I517" s="152">
        <f>IFERROR(__xludf.DUMMYFUNCTION("COUNTUNIQUEIFS(All_Stats!A:A,
All_Stats!$D:$D,$B517,
All_Stats!$B:$B,""&gt;=""&amp;EOMONTH($A517,-1)+1,
All_Stats!$B:$B,""&lt;""&amp;EOMONTH($A517,0)+1,
All_Stats!$P:$P,""Email Marketing""
)"),0.0)</f>
        <v>0</v>
      </c>
      <c r="L517" s="164">
        <f t="shared" si="139"/>
        <v>0</v>
      </c>
    </row>
    <row r="518" hidden="1">
      <c r="A518" s="135"/>
      <c r="B518" s="135"/>
      <c r="C518" s="136" t="s">
        <v>23</v>
      </c>
      <c r="D518" s="137">
        <f t="shared" ref="D518:E518" si="140">SUM(D515:D517)</f>
        <v>0</v>
      </c>
      <c r="E518" s="137">
        <f t="shared" si="140"/>
        <v>0</v>
      </c>
      <c r="F518" s="138" t="str">
        <f t="shared" si="138"/>
        <v>N/A</v>
      </c>
      <c r="G518" s="137">
        <f t="shared" ref="G518:H518" si="141">SUM(G515:G517)</f>
        <v>0</v>
      </c>
      <c r="H518" s="137">
        <f t="shared" si="141"/>
        <v>0</v>
      </c>
      <c r="I518" s="139"/>
      <c r="J518" s="2"/>
      <c r="K518" s="2">
        <v>2.0</v>
      </c>
      <c r="L518" s="164">
        <f t="shared" si="139"/>
        <v>2</v>
      </c>
    </row>
    <row r="519" hidden="1">
      <c r="A519" s="131"/>
      <c r="B519" s="131"/>
      <c r="C519" s="131"/>
      <c r="D519" s="140"/>
      <c r="F519" s="131"/>
      <c r="G519" s="131"/>
    </row>
    <row r="520" hidden="1">
      <c r="C520" s="118" t="s">
        <v>504</v>
      </c>
      <c r="D520" s="119"/>
      <c r="E520" s="119"/>
      <c r="F520" s="119"/>
      <c r="G520" s="119"/>
      <c r="H520" s="119"/>
      <c r="I520" s="159"/>
    </row>
    <row r="521" hidden="1">
      <c r="A521" s="121" t="s">
        <v>1</v>
      </c>
      <c r="B521" s="122" t="s">
        <v>485</v>
      </c>
      <c r="C521" s="123" t="s">
        <v>486</v>
      </c>
      <c r="D521" s="124" t="s">
        <v>6</v>
      </c>
      <c r="E521" s="125" t="s">
        <v>8</v>
      </c>
      <c r="F521" s="124" t="s">
        <v>479</v>
      </c>
      <c r="G521" s="126" t="s">
        <v>7</v>
      </c>
      <c r="H521" s="125" t="s">
        <v>10</v>
      </c>
      <c r="I521" s="160" t="s">
        <v>487</v>
      </c>
    </row>
    <row r="522" hidden="1">
      <c r="A522" s="128">
        <v>44835.0</v>
      </c>
      <c r="B522" s="129" t="s">
        <v>19</v>
      </c>
      <c r="C522" s="141" t="s">
        <v>489</v>
      </c>
      <c r="D522" s="131">
        <f>SUMIFS(All_Stats!$G:$G,
All_Stats!$D:$D,$B522,
All_Stats!$B:$B,"&gt;="&amp;EOMONTH($A522,-1)+1,
All_Stats!$B:$B,"&lt;"&amp;EOMONTH($A522,0)+1,
All_Stats!$P:$P,"&lt;&gt;Email Marketing"
)</f>
        <v>0</v>
      </c>
      <c r="E522" s="113">
        <f>SUMIFS(All_Stats!$I:$I,
All_Stats!$D:$D,$B522,
All_Stats!$B:$B,"&gt;="&amp;EOMONTH($A522,-1)+1,
All_Stats!$B:$B,"&lt;"&amp;EOMONTH($A522,0)+1,
All_Stats!$P:$P,"&lt;&gt;Email Marketing"
)</f>
        <v>0</v>
      </c>
      <c r="F522" s="132" t="str">
        <f t="shared" ref="F522:F535" si="142">iferror(E522/D522,"N/A")</f>
        <v>N/A</v>
      </c>
      <c r="G522" s="131">
        <f>SUMIFS(All_Stats!$H:$H,
All_Stats!$D:$D,$B522,
All_Stats!$B:$B,"&gt;="&amp;EOMONTH($A522,-1)+1,
All_Stats!$B:$B,"&lt;"&amp;EOMONTH($A522,0)+1,
All_Stats!$P:$P,"&lt;&gt;Email Marketing"
)</f>
        <v>0</v>
      </c>
      <c r="H522" s="113">
        <f>SUMIFS(All_Stats!$K:$K,
All_Stats!$D:$D,$B522,
All_Stats!$B:$B,"&gt;="&amp;EOMONTH($A522,-1)+1,
All_Stats!$B:$B,"&lt;"&amp;EOMONTH($A522,0)+1,
All_Stats!$P:$P,"&lt;&gt;Email Marketing"
)</f>
        <v>0</v>
      </c>
      <c r="I522" s="152">
        <f>IFERROR(__xludf.DUMMYFUNCTION("COUNTUNIQUEIFS(All_Stats!A:A,
All_Stats!$D:$D,$B522,
All_Stats!$B:$B,""&gt;=""&amp;EOMONTH($A522,-1)+1,
All_Stats!$B:$B,""&lt;""&amp;EOMONTH($A522,0)+1,
All_Stats!$P:$P,""&lt;&gt;Email Marketing""
)"),0.0)</f>
        <v>0</v>
      </c>
      <c r="L522" s="164">
        <f t="shared" ref="L522:L535" si="143">sum(E522,G522,H522,K522)</f>
        <v>0</v>
      </c>
    </row>
    <row r="523" hidden="1">
      <c r="A523" s="128">
        <v>44835.0</v>
      </c>
      <c r="B523" s="131" t="s">
        <v>30</v>
      </c>
      <c r="C523" s="134" t="str">
        <f>if(ifna(VLOOKUP(B523,'Vendor Directory'!A:C,3,0),"NOT FOUND")="","NOT FOUND",VLOOKUP(B523,'Vendor Directory'!A:C,3,0))</f>
        <v>Vendor 2 Name</v>
      </c>
      <c r="D523" s="131">
        <f>SUMIFS(All_Stats!$G:$G,
All_Stats!$D:$D,$B523,
All_Stats!$B:$B,"&gt;="&amp;EOMONTH($A523,-1)+1,
All_Stats!$B:$B,"&lt;"&amp;EOMONTH($A523,0)+1,
All_Stats!$P:$P,"&lt;&gt;Email Marketing"
)</f>
        <v>0</v>
      </c>
      <c r="E523" s="113">
        <f>SUMIFS(All_Stats!$I:$I,
All_Stats!$D:$D,$B523,
All_Stats!$B:$B,"&gt;="&amp;EOMONTH($A523,-1)+1,
All_Stats!$B:$B,"&lt;"&amp;EOMONTH($A523,0)+1,
All_Stats!$P:$P,"&lt;&gt;Email Marketing"
)</f>
        <v>0</v>
      </c>
      <c r="F523" s="132" t="str">
        <f t="shared" si="142"/>
        <v>N/A</v>
      </c>
      <c r="G523" s="131">
        <f>SUMIFS(All_Stats!$H:$H,
All_Stats!$D:$D,$B523,
All_Stats!$B:$B,"&gt;="&amp;EOMONTH($A523,-1)+1,
All_Stats!$B:$B,"&lt;"&amp;EOMONTH($A523,0)+1,
All_Stats!$P:$P,"&lt;&gt;Email Marketing"
)</f>
        <v>0</v>
      </c>
      <c r="H523" s="113">
        <f>SUMIFS(All_Stats!$K:$K,
All_Stats!$D:$D,$B523,
All_Stats!$B:$B,"&gt;="&amp;EOMONTH($A523,-1)+1,
All_Stats!$B:$B,"&lt;"&amp;EOMONTH($A523,0)+1,
All_Stats!$P:$P,"&lt;&gt;Email Marketing"
)</f>
        <v>0</v>
      </c>
      <c r="I523" s="152">
        <f>IFERROR(__xludf.DUMMYFUNCTION("COUNTUNIQUEIFS(All_Stats!A:A,
All_Stats!$D:$D,$B523,
All_Stats!$B:$B,""&gt;=""&amp;EOMONTH($A523,-1)+1,
All_Stats!$B:$B,""&lt;""&amp;EOMONTH($A523,0)+1,
All_Stats!$P:$P,""&lt;&gt;Email Marketing""
)"),0.0)</f>
        <v>0</v>
      </c>
      <c r="J523" s="2"/>
      <c r="K523" s="2">
        <v>2.0</v>
      </c>
      <c r="L523" s="164">
        <f t="shared" si="143"/>
        <v>2</v>
      </c>
    </row>
    <row r="524" hidden="1">
      <c r="A524" s="128">
        <v>44835.0</v>
      </c>
      <c r="B524" s="131" t="s">
        <v>501</v>
      </c>
      <c r="C524" s="134" t="str">
        <f>if(ifna(VLOOKUP(B524,'Vendor Directory'!A:C,3,0),"NOT FOUND")="","NOT FOUND",VLOOKUP(B524,'Vendor Directory'!A:C,3,0))</f>
        <v>#N/A</v>
      </c>
      <c r="D524" s="131">
        <f>SUMIFS(All_Stats!$G:$G,
All_Stats!$D:$D,$B524,
All_Stats!$B:$B,"&gt;="&amp;EOMONTH($A524,-1)+1,
All_Stats!$B:$B,"&lt;"&amp;EOMONTH($A524,0)+1,
All_Stats!$P:$P,"&lt;&gt;Email Marketing"
)</f>
        <v>0</v>
      </c>
      <c r="E524" s="113">
        <f>SUMIFS(All_Stats!$I:$I,
All_Stats!$D:$D,$B524,
All_Stats!$B:$B,"&gt;="&amp;EOMONTH($A524,-1)+1,
All_Stats!$B:$B,"&lt;"&amp;EOMONTH($A524,0)+1,
All_Stats!$P:$P,"&lt;&gt;Email Marketing"
)</f>
        <v>0</v>
      </c>
      <c r="F524" s="132" t="str">
        <f t="shared" si="142"/>
        <v>N/A</v>
      </c>
      <c r="G524" s="131">
        <f>SUMIFS(All_Stats!$H:$H,
All_Stats!$D:$D,$B524,
All_Stats!$B:$B,"&gt;="&amp;EOMONTH($A524,-1)+1,
All_Stats!$B:$B,"&lt;"&amp;EOMONTH($A524,0)+1,
All_Stats!$P:$P,"&lt;&gt;Email Marketing"
)</f>
        <v>0</v>
      </c>
      <c r="H524" s="113">
        <f>SUMIFS(All_Stats!$K:$K,
All_Stats!$D:$D,$B524,
All_Stats!$B:$B,"&gt;="&amp;EOMONTH($A524,-1)+1,
All_Stats!$B:$B,"&lt;"&amp;EOMONTH($A524,0)+1,
All_Stats!$P:$P,"&lt;&gt;Email Marketing"
)</f>
        <v>0</v>
      </c>
      <c r="I524" s="152">
        <f>IFERROR(__xludf.DUMMYFUNCTION("COUNTUNIQUEIFS(All_Stats!A:A,
All_Stats!$D:$D,$B524,
All_Stats!$B:$B,""&gt;=""&amp;EOMONTH($A524,-1)+1,
All_Stats!$B:$B,""&lt;""&amp;EOMONTH($A524,0)+1,
All_Stats!$P:$P,""&lt;&gt;Email Marketing""
)"),0.0)</f>
        <v>0</v>
      </c>
      <c r="J524" s="2"/>
      <c r="K524" s="2">
        <v>1.0</v>
      </c>
      <c r="L524" s="164">
        <f t="shared" si="143"/>
        <v>1</v>
      </c>
    </row>
    <row r="525" hidden="1">
      <c r="A525" s="128">
        <v>44835.0</v>
      </c>
      <c r="B525" s="131" t="s">
        <v>127</v>
      </c>
      <c r="C525" s="134" t="str">
        <f>if(ifna(VLOOKUP(B525,'Vendor Directory'!A:C,3,0),"NOT FOUND")="","NOT FOUND",VLOOKUP(B525,'Vendor Directory'!A:C,3,0))</f>
        <v>#N/A</v>
      </c>
      <c r="D525" s="131">
        <f>SUMIFS(All_Stats!$G:$G,
All_Stats!$D:$D,$B525,
All_Stats!$B:$B,"&gt;="&amp;EOMONTH($A525,-1)+1,
All_Stats!$B:$B,"&lt;"&amp;EOMONTH($A525,0)+1,
All_Stats!$P:$P,"&lt;&gt;Email Marketing"
)</f>
        <v>0</v>
      </c>
      <c r="E525" s="113">
        <f>SUMIFS(All_Stats!$I:$I,
All_Stats!$D:$D,$B525,
All_Stats!$B:$B,"&gt;="&amp;EOMONTH($A525,-1)+1,
All_Stats!$B:$B,"&lt;"&amp;EOMONTH($A525,0)+1,
All_Stats!$P:$P,"&lt;&gt;Email Marketing"
)</f>
        <v>0</v>
      </c>
      <c r="F525" s="132" t="str">
        <f t="shared" si="142"/>
        <v>N/A</v>
      </c>
      <c r="G525" s="131">
        <f>SUMIFS(All_Stats!$H:$H,
All_Stats!$D:$D,$B525,
All_Stats!$B:$B,"&gt;="&amp;EOMONTH($A525,-1)+1,
All_Stats!$B:$B,"&lt;"&amp;EOMONTH($A525,0)+1,
All_Stats!$P:$P,"&lt;&gt;Email Marketing"
)</f>
        <v>0</v>
      </c>
      <c r="H525" s="113">
        <f>SUMIFS(All_Stats!$K:$K,
All_Stats!$D:$D,$B525,
All_Stats!$B:$B,"&gt;="&amp;EOMONTH($A525,-1)+1,
All_Stats!$B:$B,"&lt;"&amp;EOMONTH($A525,0)+1,
All_Stats!$P:$P,"&lt;&gt;Email Marketing"
)</f>
        <v>0</v>
      </c>
      <c r="I525" s="152">
        <f>IFERROR(__xludf.DUMMYFUNCTION("COUNTUNIQUEIFS(All_Stats!A:A,
All_Stats!$D:$D,$B525,
All_Stats!$B:$B,""&gt;=""&amp;EOMONTH($A525,-1)+1,
All_Stats!$B:$B,""&lt;""&amp;EOMONTH($A525,0)+1,
All_Stats!$P:$P,""&lt;&gt;Email Marketing""
)"),0.0)</f>
        <v>0</v>
      </c>
      <c r="L525" s="164">
        <f t="shared" si="143"/>
        <v>0</v>
      </c>
    </row>
    <row r="526" hidden="1">
      <c r="A526" s="128">
        <v>44835.0</v>
      </c>
      <c r="B526" s="131" t="s">
        <v>157</v>
      </c>
      <c r="C526" s="134" t="str">
        <f>if(ifna(VLOOKUP(B526,'Vendor Directory'!A:C,3,0),"NOT FOUND")="","NOT FOUND",VLOOKUP(B526,'Vendor Directory'!A:C,3,0))</f>
        <v>#N/A</v>
      </c>
      <c r="D526" s="131">
        <f>SUMIFS(All_Stats!$G:$G,
All_Stats!$D:$D,$B526,
All_Stats!$B:$B,"&gt;="&amp;EOMONTH($A526,-1)+1,
All_Stats!$B:$B,"&lt;"&amp;EOMONTH($A526,0)+1,
All_Stats!$P:$P,"&lt;&gt;Email Marketing"
)</f>
        <v>0</v>
      </c>
      <c r="E526" s="113">
        <f>SUMIFS(All_Stats!$I:$I,
All_Stats!$D:$D,$B526,
All_Stats!$B:$B,"&gt;="&amp;EOMONTH($A526,-1)+1,
All_Stats!$B:$B,"&lt;"&amp;EOMONTH($A526,0)+1,
All_Stats!$P:$P,"&lt;&gt;Email Marketing"
)</f>
        <v>0</v>
      </c>
      <c r="F526" s="132" t="str">
        <f t="shared" si="142"/>
        <v>N/A</v>
      </c>
      <c r="G526" s="131">
        <f>SUMIFS(All_Stats!$H:$H,
All_Stats!$D:$D,$B526,
All_Stats!$B:$B,"&gt;="&amp;EOMONTH($A526,-1)+1,
All_Stats!$B:$B,"&lt;"&amp;EOMONTH($A526,0)+1,
All_Stats!$P:$P,"&lt;&gt;Email Marketing"
)</f>
        <v>0</v>
      </c>
      <c r="H526" s="113">
        <f>SUMIFS(All_Stats!$K:$K,
All_Stats!$D:$D,$B526,
All_Stats!$B:$B,"&gt;="&amp;EOMONTH($A526,-1)+1,
All_Stats!$B:$B,"&lt;"&amp;EOMONTH($A526,0)+1,
All_Stats!$P:$P,"&lt;&gt;Email Marketing"
)</f>
        <v>0</v>
      </c>
      <c r="I526" s="152">
        <f>IFERROR(__xludf.DUMMYFUNCTION("COUNTUNIQUEIFS(All_Stats!A:A,
All_Stats!$D:$D,$B526,
All_Stats!$B:$B,""&gt;=""&amp;EOMONTH($A526,-1)+1,
All_Stats!$B:$B,""&lt;""&amp;EOMONTH($A526,0)+1,
All_Stats!$P:$P,""&lt;&gt;Email Marketing""
)"),0.0)</f>
        <v>0</v>
      </c>
      <c r="J526" s="2"/>
      <c r="K526" s="2">
        <v>1.0</v>
      </c>
      <c r="L526" s="164">
        <f t="shared" si="143"/>
        <v>1</v>
      </c>
    </row>
    <row r="527" hidden="1">
      <c r="A527" s="128">
        <v>44835.0</v>
      </c>
      <c r="B527" s="129" t="s">
        <v>417</v>
      </c>
      <c r="C527" s="142" t="s">
        <v>540</v>
      </c>
      <c r="D527" s="131">
        <f>SUMIFS(All_Stats!$G:$G,
All_Stats!$D:$D,$B527,
All_Stats!$B:$B,"&gt;="&amp;EOMONTH($A527,-1)+1,
All_Stats!$B:$B,"&lt;"&amp;EOMONTH($A527,0)+1,
All_Stats!$P:$P,"&lt;&gt;Email Marketing"
)</f>
        <v>0</v>
      </c>
      <c r="E527" s="113">
        <f>SUMIFS(All_Stats!$I:$I,
All_Stats!$D:$D,$B527,
All_Stats!$B:$B,"&gt;="&amp;EOMONTH($A527,-1)+1,
All_Stats!$B:$B,"&lt;"&amp;EOMONTH($A527,0)+1,
All_Stats!$P:$P,"&lt;&gt;Email Marketing"
)</f>
        <v>0</v>
      </c>
      <c r="F527" s="132" t="str">
        <f t="shared" si="142"/>
        <v>N/A</v>
      </c>
      <c r="G527" s="131">
        <f>SUMIFS(All_Stats!$H:$H,
All_Stats!$D:$D,$B527,
All_Stats!$B:$B,"&gt;="&amp;EOMONTH($A527,-1)+1,
All_Stats!$B:$B,"&lt;"&amp;EOMONTH($A527,0)+1,
All_Stats!$P:$P,"&lt;&gt;Email Marketing"
)</f>
        <v>0</v>
      </c>
      <c r="H527" s="113">
        <f>SUMIFS(All_Stats!$K:$K,
All_Stats!$D:$D,$B527,
All_Stats!$B:$B,"&gt;="&amp;EOMONTH($A527,-1)+1,
All_Stats!$B:$B,"&lt;"&amp;EOMONTH($A527,0)+1,
All_Stats!$P:$P,"&lt;&gt;Email Marketing"
)</f>
        <v>0</v>
      </c>
      <c r="I527" s="152">
        <f>IFERROR(__xludf.DUMMYFUNCTION("COUNTUNIQUEIFS(All_Stats!A:A,
All_Stats!$D:$D,$B527,
All_Stats!$B:$B,""&gt;=""&amp;EOMONTH($A527,-1)+1,
All_Stats!$B:$B,""&lt;""&amp;EOMONTH($A527,0)+1,
All_Stats!$P:$P,""&lt;&gt;Email Marketing""
)"),0.0)</f>
        <v>0</v>
      </c>
      <c r="L527" s="164">
        <f t="shared" si="143"/>
        <v>0</v>
      </c>
    </row>
    <row r="528" hidden="1">
      <c r="A528" s="128">
        <v>44835.0</v>
      </c>
      <c r="B528" s="129" t="s">
        <v>496</v>
      </c>
      <c r="C528" s="142" t="s">
        <v>514</v>
      </c>
      <c r="D528" s="131">
        <f>SUMIFS(All_Stats!$G:$G,
All_Stats!$D:$D,$B528,
All_Stats!$B:$B,"&gt;="&amp;EOMONTH($A528,-1)+1,
All_Stats!$B:$B,"&lt;"&amp;EOMONTH($A528,0)+1,
All_Stats!$P:$P,"&lt;&gt;Email Marketing"
)</f>
        <v>0</v>
      </c>
      <c r="E528" s="113">
        <f>SUMIFS(All_Stats!$I:$I,
All_Stats!$D:$D,$B528,
All_Stats!$B:$B,"&gt;="&amp;EOMONTH($A528,-1)+1,
All_Stats!$B:$B,"&lt;"&amp;EOMONTH($A528,0)+1,
All_Stats!$P:$P,"&lt;&gt;Email Marketing"
)</f>
        <v>0</v>
      </c>
      <c r="F528" s="132" t="str">
        <f t="shared" si="142"/>
        <v>N/A</v>
      </c>
      <c r="G528" s="131">
        <f>SUMIFS(All_Stats!$H:$H,
All_Stats!$D:$D,$B528,
All_Stats!$B:$B,"&gt;="&amp;EOMONTH($A528,-1)+1,
All_Stats!$B:$B,"&lt;"&amp;EOMONTH($A528,0)+1,
All_Stats!$P:$P,"&lt;&gt;Email Marketing"
)</f>
        <v>0</v>
      </c>
      <c r="H528" s="113">
        <f>SUMIFS(All_Stats!$K:$K,
All_Stats!$D:$D,$B528,
All_Stats!$B:$B,"&gt;="&amp;EOMONTH($A528,-1)+1,
All_Stats!$B:$B,"&lt;"&amp;EOMONTH($A528,0)+1,
All_Stats!$P:$P,"&lt;&gt;Email Marketing"
)</f>
        <v>0</v>
      </c>
      <c r="I528" s="152">
        <f>IFERROR(__xludf.DUMMYFUNCTION("COUNTUNIQUEIFS(All_Stats!A:A,
All_Stats!$D:$D,$B528,
All_Stats!$B:$B,""&gt;=""&amp;EOMONTH($A528,-1)+1,
All_Stats!$B:$B,""&lt;""&amp;EOMONTH($A528,0)+1,
All_Stats!$P:$P,""&lt;&gt;Email Marketing""
)"),0.0)</f>
        <v>0</v>
      </c>
      <c r="L528" s="164">
        <f t="shared" si="143"/>
        <v>0</v>
      </c>
    </row>
    <row r="529" hidden="1">
      <c r="A529" s="128">
        <v>44835.0</v>
      </c>
      <c r="B529" s="131" t="s">
        <v>500</v>
      </c>
      <c r="C529" s="134" t="str">
        <f>if(ifna(VLOOKUP(B529,'Vendor Directory'!A:C,3,0),"NOT FOUND")="","NOT FOUND",VLOOKUP(B529,'Vendor Directory'!A:C,3,0))</f>
        <v>#N/A</v>
      </c>
      <c r="D529" s="131">
        <f>SUMIFS(All_Stats!$G:$G,
All_Stats!$D:$D,$B529,
All_Stats!$B:$B,"&gt;="&amp;EOMONTH($A529,-1)+1,
All_Stats!$B:$B,"&lt;"&amp;EOMONTH($A529,0)+1,
All_Stats!$P:$P,"&lt;&gt;Email Marketing"
)</f>
        <v>0</v>
      </c>
      <c r="E529" s="113">
        <f>SUMIFS(All_Stats!$I:$I,
All_Stats!$D:$D,$B529,
All_Stats!$B:$B,"&gt;="&amp;EOMONTH($A529,-1)+1,
All_Stats!$B:$B,"&lt;"&amp;EOMONTH($A529,0)+1,
All_Stats!$P:$P,"&lt;&gt;Email Marketing"
)</f>
        <v>0</v>
      </c>
      <c r="F529" s="132" t="str">
        <f t="shared" si="142"/>
        <v>N/A</v>
      </c>
      <c r="G529" s="131">
        <f>SUMIFS(All_Stats!$H:$H,
All_Stats!$D:$D,$B529,
All_Stats!$B:$B,"&gt;="&amp;EOMONTH($A529,-1)+1,
All_Stats!$B:$B,"&lt;"&amp;EOMONTH($A529,0)+1,
All_Stats!$P:$P,"&lt;&gt;Email Marketing"
)</f>
        <v>0</v>
      </c>
      <c r="H529" s="113">
        <f>SUMIFS(All_Stats!$K:$K,
All_Stats!$D:$D,$B529,
All_Stats!$B:$B,"&gt;="&amp;EOMONTH($A529,-1)+1,
All_Stats!$B:$B,"&lt;"&amp;EOMONTH($A529,0)+1,
All_Stats!$P:$P,"&lt;&gt;Email Marketing"
)</f>
        <v>0</v>
      </c>
      <c r="I529" s="152">
        <f>IFERROR(__xludf.DUMMYFUNCTION("COUNTUNIQUEIFS(All_Stats!A:A,
All_Stats!$D:$D,$B529,
All_Stats!$B:$B,""&gt;=""&amp;EOMONTH($A529,-1)+1,
All_Stats!$B:$B,""&lt;""&amp;EOMONTH($A529,0)+1,
All_Stats!$P:$P,""&lt;&gt;Email Marketing""
)"),0.0)</f>
        <v>0</v>
      </c>
      <c r="L529" s="164">
        <f t="shared" si="143"/>
        <v>0</v>
      </c>
    </row>
    <row r="530" hidden="1">
      <c r="A530" s="128">
        <v>44835.0</v>
      </c>
      <c r="B530" s="129" t="s">
        <v>495</v>
      </c>
      <c r="C530" s="142" t="s">
        <v>528</v>
      </c>
      <c r="D530" s="131">
        <f>SUMIFS(All_Stats!$G:$G,
All_Stats!$D:$D,$B530,
All_Stats!$B:$B,"&gt;="&amp;EOMONTH($A530,-1)+1,
All_Stats!$B:$B,"&lt;"&amp;EOMONTH($A530,0)+1,
All_Stats!$P:$P,"&lt;&gt;Email Marketing"
)</f>
        <v>0</v>
      </c>
      <c r="E530" s="113">
        <f>SUMIFS(All_Stats!$I:$I,
All_Stats!$D:$D,$B530,
All_Stats!$B:$B,"&gt;="&amp;EOMONTH($A530,-1)+1,
All_Stats!$B:$B,"&lt;"&amp;EOMONTH($A530,0)+1,
All_Stats!$P:$P,"&lt;&gt;Email Marketing"
)</f>
        <v>0</v>
      </c>
      <c r="F530" s="132" t="str">
        <f t="shared" si="142"/>
        <v>N/A</v>
      </c>
      <c r="G530" s="131">
        <f>SUMIFS(All_Stats!$H:$H,
All_Stats!$D:$D,$B530,
All_Stats!$B:$B,"&gt;="&amp;EOMONTH($A530,-1)+1,
All_Stats!$B:$B,"&lt;"&amp;EOMONTH($A530,0)+1,
All_Stats!$P:$P,"&lt;&gt;Email Marketing"
)</f>
        <v>0</v>
      </c>
      <c r="H530" s="113">
        <f>SUMIFS(All_Stats!$K:$K,
All_Stats!$D:$D,$B530,
All_Stats!$B:$B,"&gt;="&amp;EOMONTH($A530,-1)+1,
All_Stats!$B:$B,"&lt;"&amp;EOMONTH($A530,0)+1,
All_Stats!$P:$P,"&lt;&gt;Email Marketing"
)</f>
        <v>0</v>
      </c>
      <c r="I530" s="152">
        <f>IFERROR(__xludf.DUMMYFUNCTION("COUNTUNIQUEIFS(All_Stats!A:A,
All_Stats!$D:$D,$B530,
All_Stats!$B:$B,""&gt;=""&amp;EOMONTH($A530,-1)+1,
All_Stats!$B:$B,""&lt;""&amp;EOMONTH($A530,0)+1,
All_Stats!$P:$P,""&lt;&gt;Email Marketing""
)"),0.0)</f>
        <v>0</v>
      </c>
      <c r="L530" s="164">
        <f t="shared" si="143"/>
        <v>0</v>
      </c>
    </row>
    <row r="531" hidden="1">
      <c r="A531" s="128">
        <v>44835.0</v>
      </c>
      <c r="B531" s="131" t="s">
        <v>91</v>
      </c>
      <c r="C531" s="134" t="str">
        <f>if(ifna(VLOOKUP(B531,'Vendor Directory'!A:C,3,0),"NOT FOUND")="","NOT FOUND",VLOOKUP(B531,'Vendor Directory'!A:C,3,0))</f>
        <v>#N/A</v>
      </c>
      <c r="D531" s="131">
        <f>SUMIFS(All_Stats!$G:$G,
All_Stats!$D:$D,$B531,
All_Stats!$B:$B,"&gt;="&amp;EOMONTH($A531,-1)+1,
All_Stats!$B:$B,"&lt;"&amp;EOMONTH($A531,0)+1,
All_Stats!$P:$P,"&lt;&gt;Email Marketing"
)</f>
        <v>0</v>
      </c>
      <c r="E531" s="113">
        <f>SUMIFS(All_Stats!$I:$I,
All_Stats!$D:$D,$B531,
All_Stats!$B:$B,"&gt;="&amp;EOMONTH($A531,-1)+1,
All_Stats!$B:$B,"&lt;"&amp;EOMONTH($A531,0)+1,
All_Stats!$P:$P,"&lt;&gt;Email Marketing"
)</f>
        <v>0</v>
      </c>
      <c r="F531" s="132" t="str">
        <f t="shared" si="142"/>
        <v>N/A</v>
      </c>
      <c r="G531" s="131">
        <f>SUMIFS(All_Stats!$H:$H,
All_Stats!$D:$D,$B531,
All_Stats!$B:$B,"&gt;="&amp;EOMONTH($A531,-1)+1,
All_Stats!$B:$B,"&lt;"&amp;EOMONTH($A531,0)+1,
All_Stats!$P:$P,"&lt;&gt;Email Marketing"
)</f>
        <v>0</v>
      </c>
      <c r="H531" s="113">
        <f>SUMIFS(All_Stats!$K:$K,
All_Stats!$D:$D,$B531,
All_Stats!$B:$B,"&gt;="&amp;EOMONTH($A531,-1)+1,
All_Stats!$B:$B,"&lt;"&amp;EOMONTH($A531,0)+1,
All_Stats!$P:$P,"&lt;&gt;Email Marketing"
)</f>
        <v>0</v>
      </c>
      <c r="I531" s="152">
        <f>IFERROR(__xludf.DUMMYFUNCTION("COUNTUNIQUEIFS(All_Stats!A:A,
All_Stats!$D:$D,$B531,
All_Stats!$B:$B,""&gt;=""&amp;EOMONTH($A531,-1)+1,
All_Stats!$B:$B,""&lt;""&amp;EOMONTH($A531,0)+1,
All_Stats!$P:$P,""&lt;&gt;Email Marketing""
)"),0.0)</f>
        <v>0</v>
      </c>
      <c r="L531" s="164">
        <f t="shared" si="143"/>
        <v>0</v>
      </c>
    </row>
    <row r="532" hidden="1">
      <c r="A532" s="128">
        <v>44835.0</v>
      </c>
      <c r="B532" s="129" t="s">
        <v>109</v>
      </c>
      <c r="C532" s="130" t="s">
        <v>490</v>
      </c>
      <c r="D532" s="131">
        <f>SUMIFS(All_Stats!$G:$G,
All_Stats!$D:$D,$B532,
All_Stats!$B:$B,"&gt;="&amp;EOMONTH($A532,-1)+1,
All_Stats!$B:$B,"&lt;"&amp;EOMONTH($A532,0)+1,
All_Stats!$P:$P,"&lt;&gt;Email Marketing"
)</f>
        <v>0</v>
      </c>
      <c r="E532" s="113">
        <f>SUMIFS(All_Stats!$I:$I,
All_Stats!$D:$D,$B532,
All_Stats!$B:$B,"&gt;="&amp;EOMONTH($A532,-1)+1,
All_Stats!$B:$B,"&lt;"&amp;EOMONTH($A532,0)+1,
All_Stats!$P:$P,"&lt;&gt;Email Marketing"
)</f>
        <v>0</v>
      </c>
      <c r="F532" s="132" t="str">
        <f t="shared" si="142"/>
        <v>N/A</v>
      </c>
      <c r="G532" s="131">
        <f>SUMIFS(All_Stats!$H:$H,
All_Stats!$D:$D,$B532,
All_Stats!$B:$B,"&gt;="&amp;EOMONTH($A532,-1)+1,
All_Stats!$B:$B,"&lt;"&amp;EOMONTH($A532,0)+1,
All_Stats!$P:$P,"&lt;&gt;Email Marketing"
)</f>
        <v>0</v>
      </c>
      <c r="H532" s="113">
        <f>SUMIFS(All_Stats!$K:$K,
All_Stats!$D:$D,$B532,
All_Stats!$B:$B,"&gt;="&amp;EOMONTH($A532,-1)+1,
All_Stats!$B:$B,"&lt;"&amp;EOMONTH($A532,0)+1,
All_Stats!$P:$P,"&lt;&gt;Email Marketing"
)</f>
        <v>0</v>
      </c>
      <c r="I532" s="152">
        <f>IFERROR(__xludf.DUMMYFUNCTION("COUNTUNIQUEIFS(All_Stats!A:A,
All_Stats!$D:$D,$B532,
All_Stats!$B:$B,""&gt;=""&amp;EOMONTH($A532,-1)+1,
All_Stats!$B:$B,""&lt;""&amp;EOMONTH($A532,0)+1,
All_Stats!$P:$P,""&lt;&gt;Email Marketing""
)"),0.0)</f>
        <v>0</v>
      </c>
      <c r="L532" s="164">
        <f t="shared" si="143"/>
        <v>0</v>
      </c>
    </row>
    <row r="533" hidden="1">
      <c r="A533" s="128">
        <v>44835.0</v>
      </c>
      <c r="B533" s="129" t="s">
        <v>79</v>
      </c>
      <c r="C533" s="130" t="s">
        <v>488</v>
      </c>
      <c r="D533" s="131">
        <f>SUMIFS(All_Stats!$G:$G,
All_Stats!$D:$D,$B533,
All_Stats!$B:$B,"&gt;="&amp;EOMONTH($A533,-1)+1,
All_Stats!$B:$B,"&lt;"&amp;EOMONTH($A533,0)+1,
All_Stats!$P:$P,"&lt;&gt;Email Marketing"
)</f>
        <v>0</v>
      </c>
      <c r="E533" s="113">
        <f>SUMIFS(All_Stats!$I:$I,
All_Stats!$D:$D,$B533,
All_Stats!$B:$B,"&gt;="&amp;EOMONTH($A533,-1)+1,
All_Stats!$B:$B,"&lt;"&amp;EOMONTH($A533,0)+1,
All_Stats!$P:$P,"&lt;&gt;Email Marketing"
)</f>
        <v>0</v>
      </c>
      <c r="F533" s="132" t="str">
        <f t="shared" si="142"/>
        <v>N/A</v>
      </c>
      <c r="G533" s="131">
        <f>SUMIFS(All_Stats!$H:$H,
All_Stats!$D:$D,$B533,
All_Stats!$B:$B,"&gt;="&amp;EOMONTH($A533,-1)+1,
All_Stats!$B:$B,"&lt;"&amp;EOMONTH($A533,0)+1,
All_Stats!$P:$P,"&lt;&gt;Email Marketing"
)</f>
        <v>0</v>
      </c>
      <c r="H533" s="113">
        <f>SUMIFS(All_Stats!$K:$K,
All_Stats!$D:$D,$B533,
All_Stats!$B:$B,"&gt;="&amp;EOMONTH($A533,-1)+1,
All_Stats!$B:$B,"&lt;"&amp;EOMONTH($A533,0)+1,
All_Stats!$P:$P,"&lt;&gt;Email Marketing"
)</f>
        <v>0</v>
      </c>
      <c r="I533" s="152">
        <f>IFERROR(__xludf.DUMMYFUNCTION("COUNTUNIQUEIFS(All_Stats!A:A,
All_Stats!$D:$D,$B533,
All_Stats!$B:$B,""&gt;=""&amp;EOMONTH($A533,-1)+1,
All_Stats!$B:$B,""&lt;""&amp;EOMONTH($A533,0)+1,
All_Stats!$P:$P,""&lt;&gt;Email Marketing""
)"),0.0)</f>
        <v>0</v>
      </c>
      <c r="L533" s="164">
        <f t="shared" si="143"/>
        <v>0</v>
      </c>
    </row>
    <row r="534" hidden="1">
      <c r="A534" s="128">
        <v>44835.0</v>
      </c>
      <c r="B534" s="129" t="s">
        <v>33</v>
      </c>
      <c r="C534" s="142" t="s">
        <v>492</v>
      </c>
      <c r="D534" s="131">
        <f>SUMIFS(All_Stats!$G:$G,
All_Stats!$D:$D,$B534,
All_Stats!$B:$B,"&gt;="&amp;EOMONTH($A534,-1)+1,
All_Stats!$B:$B,"&lt;"&amp;EOMONTH($A534,0)+1,
All_Stats!$P:$P,"&lt;&gt;Email Marketing"
)</f>
        <v>0</v>
      </c>
      <c r="E534" s="113">
        <f>SUMIFS(All_Stats!$I:$I,
All_Stats!$D:$D,$B534,
All_Stats!$B:$B,"&gt;="&amp;EOMONTH($A534,-1)+1,
All_Stats!$B:$B,"&lt;"&amp;EOMONTH($A534,0)+1,
All_Stats!$P:$P,"&lt;&gt;Email Marketing"
)</f>
        <v>0</v>
      </c>
      <c r="F534" s="132" t="str">
        <f t="shared" si="142"/>
        <v>N/A</v>
      </c>
      <c r="G534" s="131">
        <f>SUMIFS(All_Stats!$H:$H,
All_Stats!$D:$D,$B534,
All_Stats!$B:$B,"&gt;="&amp;EOMONTH($A534,-1)+1,
All_Stats!$B:$B,"&lt;"&amp;EOMONTH($A534,0)+1,
All_Stats!$P:$P,"&lt;&gt;Email Marketing"
)</f>
        <v>0</v>
      </c>
      <c r="H534" s="113">
        <f>SUMIFS(All_Stats!$K:$K,
All_Stats!$D:$D,$B534,
All_Stats!$B:$B,"&gt;="&amp;EOMONTH($A534,-1)+1,
All_Stats!$B:$B,"&lt;"&amp;EOMONTH($A534,0)+1,
All_Stats!$P:$P,"&lt;&gt;Email Marketing"
)</f>
        <v>0</v>
      </c>
      <c r="I534" s="152">
        <f>IFERROR(__xludf.DUMMYFUNCTION("COUNTUNIQUEIFS(All_Stats!A:A,
All_Stats!$D:$D,$B534,
All_Stats!$B:$B,""&gt;=""&amp;EOMONTH($A534,-1)+1,
All_Stats!$B:$B,""&lt;""&amp;EOMONTH($A534,0)+1,
All_Stats!$P:$P,""&lt;&gt;Email Marketing""
)"),0.0)</f>
        <v>0</v>
      </c>
      <c r="L534" s="164">
        <f t="shared" si="143"/>
        <v>0</v>
      </c>
    </row>
    <row r="535" hidden="1">
      <c r="A535" s="135"/>
      <c r="B535" s="135"/>
      <c r="C535" s="136" t="s">
        <v>23</v>
      </c>
      <c r="D535" s="137">
        <f t="shared" ref="D535:E535" si="144">SUM(D522:D534)</f>
        <v>0</v>
      </c>
      <c r="E535" s="137">
        <f t="shared" si="144"/>
        <v>0</v>
      </c>
      <c r="F535" s="138" t="str">
        <f t="shared" si="142"/>
        <v>N/A</v>
      </c>
      <c r="G535" s="137">
        <f t="shared" ref="G535:H535" si="145">SUM(G522:G534)</f>
        <v>0</v>
      </c>
      <c r="H535" s="137">
        <f t="shared" si="145"/>
        <v>0</v>
      </c>
      <c r="I535" s="139"/>
      <c r="J535" s="2"/>
      <c r="K535" s="2">
        <v>4.0</v>
      </c>
      <c r="L535" s="164">
        <f t="shared" si="143"/>
        <v>4</v>
      </c>
    </row>
    <row r="536" hidden="1">
      <c r="A536" s="131"/>
      <c r="B536" s="131"/>
      <c r="C536" s="131"/>
      <c r="D536" s="140"/>
      <c r="F536" s="131"/>
      <c r="G536" s="131"/>
    </row>
    <row r="537" hidden="1">
      <c r="A537" s="131"/>
      <c r="B537" s="131"/>
      <c r="C537" s="131"/>
      <c r="D537" s="140">
        <f t="shared" ref="D537:E537" si="146">D518+D535</f>
        <v>0</v>
      </c>
      <c r="E537" s="140">
        <f t="shared" si="146"/>
        <v>0</v>
      </c>
      <c r="F537" s="131"/>
      <c r="G537" s="140">
        <f t="shared" ref="G537:H537" si="147">G518+G535</f>
        <v>0</v>
      </c>
      <c r="H537" s="140">
        <f t="shared" si="147"/>
        <v>0</v>
      </c>
      <c r="K537" s="164">
        <f>sum(K518,K535)</f>
        <v>6</v>
      </c>
      <c r="L537" s="164">
        <f>sum(E537,G537,H537,K537)</f>
        <v>6</v>
      </c>
    </row>
    <row r="538" hidden="1">
      <c r="A538" s="131"/>
      <c r="B538" s="131"/>
      <c r="C538" s="131"/>
      <c r="D538" s="140"/>
      <c r="F538" s="131"/>
      <c r="G538" s="131"/>
    </row>
    <row r="539" hidden="1">
      <c r="A539" s="131"/>
      <c r="B539" s="131"/>
      <c r="C539" s="131"/>
      <c r="D539" s="140"/>
      <c r="F539" s="131"/>
      <c r="G539" s="131"/>
    </row>
    <row r="540" hidden="1">
      <c r="C540" s="118" t="s">
        <v>484</v>
      </c>
      <c r="D540" s="119"/>
      <c r="E540" s="119"/>
      <c r="F540" s="119"/>
      <c r="G540" s="119"/>
      <c r="H540" s="119"/>
      <c r="I540" s="159"/>
    </row>
    <row r="541" hidden="1">
      <c r="A541" s="121" t="s">
        <v>1</v>
      </c>
      <c r="B541" s="122" t="s">
        <v>485</v>
      </c>
      <c r="C541" s="123" t="s">
        <v>486</v>
      </c>
      <c r="D541" s="124" t="s">
        <v>6</v>
      </c>
      <c r="E541" s="125" t="s">
        <v>8</v>
      </c>
      <c r="F541" s="124" t="s">
        <v>479</v>
      </c>
      <c r="G541" s="126" t="s">
        <v>7</v>
      </c>
      <c r="H541" s="125" t="s">
        <v>10</v>
      </c>
      <c r="I541" s="160" t="s">
        <v>487</v>
      </c>
      <c r="J541" s="8"/>
      <c r="K541" s="8" t="s">
        <v>529</v>
      </c>
      <c r="L541" s="8" t="s">
        <v>530</v>
      </c>
    </row>
    <row r="542" hidden="1">
      <c r="A542" s="128">
        <v>44866.0</v>
      </c>
      <c r="B542" s="131" t="s">
        <v>164</v>
      </c>
      <c r="C542" s="134" t="str">
        <f>if(ifna(VLOOKUP(B542,'Vendor Directory'!A:C,3,0),"NOT FOUND")="","NOT FOUND",VLOOKUP(B542,'Vendor Directory'!A:C,3,0))</f>
        <v>#N/A</v>
      </c>
      <c r="D542" s="131">
        <f>SUMIFS(All_Stats!$G:$G,
All_Stats!$D:$D,$B542,
All_Stats!$B:$B,"&gt;="&amp;EOMONTH($A542,-1)+1,
All_Stats!$B:$B,"&lt;"&amp;EOMONTH($A542,0)+1,
All_Stats!$P:$P,"Email Marketing"
)</f>
        <v>0</v>
      </c>
      <c r="E542" s="113">
        <f>SUMIFS(All_Stats!$I:$I,
All_Stats!$D:$D,$B542,
All_Stats!$B:$B,"&gt;="&amp;EOMONTH($A542,-1)+1,
All_Stats!$B:$B,"&lt;"&amp;EOMONTH($A542,0)+1,
All_Stats!$P:$P,"Email Marketing"
)</f>
        <v>0</v>
      </c>
      <c r="F542" s="132" t="str">
        <f t="shared" ref="F542:F545" si="148">iferror(E542/D542,"N/A")</f>
        <v>N/A</v>
      </c>
      <c r="G542" s="131">
        <f>SUMIFS(All_Stats!$H:$H,
All_Stats!$D:$D,$B542,
All_Stats!$B:$B,"&gt;="&amp;EOMONTH($A542,-1)+1,
All_Stats!$B:$B,"&lt;"&amp;EOMONTH($A542,0)+1,
All_Stats!$P:$P,"Email Marketing"
)</f>
        <v>0</v>
      </c>
      <c r="H542" s="113">
        <f>SUMIFS(All_Stats!$K:$K,
All_Stats!$D:$D,$B542,
All_Stats!$B:$B,"&gt;="&amp;EOMONTH($A542,-1)+1,
All_Stats!$B:$B,"&lt;"&amp;EOMONTH($A542,0)+1,
All_Stats!$P:$P,"Email Marketing"
)</f>
        <v>0</v>
      </c>
      <c r="I542" s="152">
        <f>IFERROR(__xludf.DUMMYFUNCTION("COUNTUNIQUEIFS(All_Stats!A:A,
All_Stats!$D:$D,$B542,
All_Stats!$B:$B,""&gt;=""&amp;EOMONTH($A542,-1)+1,
All_Stats!$B:$B,""&lt;""&amp;EOMONTH($A542,0)+1,
All_Stats!$P:$P,""Email Marketing""
)"),0.0)</f>
        <v>0</v>
      </c>
      <c r="L542" s="164">
        <f t="shared" ref="L542:L545" si="149">sum(E542,G542,H542,K542)</f>
        <v>0</v>
      </c>
    </row>
    <row r="543" hidden="1">
      <c r="A543" s="128">
        <v>44866.0</v>
      </c>
      <c r="B543" s="129" t="s">
        <v>79</v>
      </c>
      <c r="C543" s="130" t="s">
        <v>488</v>
      </c>
      <c r="D543" s="131">
        <f>SUMIFS(All_Stats!$G:$G,
All_Stats!$D:$D,$B543,
All_Stats!$B:$B,"&gt;="&amp;EOMONTH($A543,-1)+1,
All_Stats!$B:$B,"&lt;"&amp;EOMONTH($A543,0)+1,
All_Stats!$P:$P,"Email Marketing"
)</f>
        <v>0</v>
      </c>
      <c r="E543" s="113">
        <f>SUMIFS(All_Stats!$I:$I,
All_Stats!$D:$D,$B543,
All_Stats!$B:$B,"&gt;="&amp;EOMONTH($A543,-1)+1,
All_Stats!$B:$B,"&lt;"&amp;EOMONTH($A543,0)+1,
All_Stats!$P:$P,"Email Marketing"
)</f>
        <v>0</v>
      </c>
      <c r="F543" s="132" t="str">
        <f t="shared" si="148"/>
        <v>N/A</v>
      </c>
      <c r="G543" s="131">
        <f>SUMIFS(All_Stats!$H:$H,
All_Stats!$D:$D,$B543,
All_Stats!$B:$B,"&gt;="&amp;EOMONTH($A543,-1)+1,
All_Stats!$B:$B,"&lt;"&amp;EOMONTH($A543,0)+1,
All_Stats!$P:$P,"Email Marketing"
)</f>
        <v>0</v>
      </c>
      <c r="H543" s="113">
        <f>SUMIFS(All_Stats!$K:$K,
All_Stats!$D:$D,$B543,
All_Stats!$B:$B,"&gt;="&amp;EOMONTH($A543,-1)+1,
All_Stats!$B:$B,"&lt;"&amp;EOMONTH($A543,0)+1,
All_Stats!$P:$P,"Email Marketing"
)</f>
        <v>0</v>
      </c>
      <c r="I543" s="152">
        <f>IFERROR(__xludf.DUMMYFUNCTION("COUNTUNIQUEIFS(All_Stats!A:A,
All_Stats!$D:$D,$B543,
All_Stats!$B:$B,""&gt;=""&amp;EOMONTH($A543,-1)+1,
All_Stats!$B:$B,""&lt;""&amp;EOMONTH($A543,0)+1,
All_Stats!$P:$P,""Email Marketing""
)"),0.0)</f>
        <v>0</v>
      </c>
      <c r="J543" s="2"/>
      <c r="K543" s="2">
        <v>11.0</v>
      </c>
      <c r="L543" s="164">
        <f t="shared" si="149"/>
        <v>11</v>
      </c>
    </row>
    <row r="544" hidden="1">
      <c r="A544" s="128">
        <v>44866.0</v>
      </c>
      <c r="B544" s="129" t="s">
        <v>313</v>
      </c>
      <c r="C544" s="142" t="s">
        <v>541</v>
      </c>
      <c r="D544" s="131">
        <f>SUMIFS(All_Stats!$G:$G,
All_Stats!$D:$D,$B544,
All_Stats!$B:$B,"&gt;="&amp;EOMONTH($A544,-1)+1,
All_Stats!$B:$B,"&lt;"&amp;EOMONTH($A544,0)+1,
All_Stats!$P:$P,"Email Marketing"
)</f>
        <v>0</v>
      </c>
      <c r="E544" s="113">
        <f>SUMIFS(All_Stats!$I:$I,
All_Stats!$D:$D,$B544,
All_Stats!$B:$B,"&gt;="&amp;EOMONTH($A544,-1)+1,
All_Stats!$B:$B,"&lt;"&amp;EOMONTH($A544,0)+1,
All_Stats!$P:$P,"Email Marketing"
)</f>
        <v>0</v>
      </c>
      <c r="F544" s="132" t="str">
        <f t="shared" si="148"/>
        <v>N/A</v>
      </c>
      <c r="G544" s="131">
        <f>SUMIFS(All_Stats!$H:$H,
All_Stats!$D:$D,$B544,
All_Stats!$B:$B,"&gt;="&amp;EOMONTH($A544,-1)+1,
All_Stats!$B:$B,"&lt;"&amp;EOMONTH($A544,0)+1,
All_Stats!$P:$P,"Email Marketing"
)</f>
        <v>0</v>
      </c>
      <c r="H544" s="113">
        <f>SUMIFS(All_Stats!$K:$K,
All_Stats!$D:$D,$B544,
All_Stats!$B:$B,"&gt;="&amp;EOMONTH($A544,-1)+1,
All_Stats!$B:$B,"&lt;"&amp;EOMONTH($A544,0)+1,
All_Stats!$P:$P,"Email Marketing"
)</f>
        <v>0</v>
      </c>
      <c r="I544" s="152">
        <f>IFERROR(__xludf.DUMMYFUNCTION("COUNTUNIQUEIFS(All_Stats!A:A,
All_Stats!$D:$D,$B544,
All_Stats!$B:$B,""&gt;=""&amp;EOMONTH($A544,-1)+1,
All_Stats!$B:$B,""&lt;""&amp;EOMONTH($A544,0)+1,
All_Stats!$P:$P,""Email Marketing""
)"),0.0)</f>
        <v>0</v>
      </c>
      <c r="J544" s="2"/>
      <c r="K544" s="2">
        <v>5.0</v>
      </c>
      <c r="L544" s="164">
        <f t="shared" si="149"/>
        <v>5</v>
      </c>
    </row>
    <row r="545" hidden="1">
      <c r="A545" s="135"/>
      <c r="B545" s="135"/>
      <c r="C545" s="136" t="s">
        <v>23</v>
      </c>
      <c r="D545" s="137">
        <f t="shared" ref="D545:E545" si="150">SUM(D542:D544)</f>
        <v>0</v>
      </c>
      <c r="E545" s="137">
        <f t="shared" si="150"/>
        <v>0</v>
      </c>
      <c r="F545" s="138" t="str">
        <f t="shared" si="148"/>
        <v>N/A</v>
      </c>
      <c r="G545" s="137">
        <f t="shared" ref="G545:H545" si="151">SUM(G542:G544)</f>
        <v>0</v>
      </c>
      <c r="H545" s="137">
        <f t="shared" si="151"/>
        <v>0</v>
      </c>
      <c r="I545" s="139"/>
      <c r="L545" s="164">
        <f t="shared" si="149"/>
        <v>0</v>
      </c>
    </row>
    <row r="546" hidden="1">
      <c r="A546" s="131"/>
      <c r="B546" s="131"/>
      <c r="C546" s="131"/>
      <c r="D546" s="140"/>
      <c r="F546" s="131"/>
      <c r="G546" s="131"/>
    </row>
    <row r="547" hidden="1">
      <c r="A547" s="121" t="s">
        <v>1</v>
      </c>
      <c r="B547" s="122" t="s">
        <v>485</v>
      </c>
      <c r="C547" s="123" t="s">
        <v>486</v>
      </c>
      <c r="D547" s="124" t="s">
        <v>6</v>
      </c>
      <c r="E547" s="125" t="s">
        <v>8</v>
      </c>
      <c r="F547" s="124" t="s">
        <v>479</v>
      </c>
      <c r="G547" s="126" t="s">
        <v>7</v>
      </c>
      <c r="H547" s="125" t="s">
        <v>10</v>
      </c>
      <c r="I547" s="160" t="s">
        <v>487</v>
      </c>
    </row>
    <row r="548" hidden="1">
      <c r="A548" s="128">
        <v>44866.0</v>
      </c>
      <c r="B548" s="129" t="s">
        <v>19</v>
      </c>
      <c r="C548" s="141" t="s">
        <v>489</v>
      </c>
      <c r="D548" s="131">
        <f>SUMIFS(All_Stats!$G:$G,
All_Stats!$D:$D,$B548,
All_Stats!$B:$B,"&gt;="&amp;EOMONTH($A548,-1)+1,
All_Stats!$B:$B,"&lt;"&amp;EOMONTH($A548,0)+1,
All_Stats!$P:$P,"&lt;&gt;Email Marketing"
)</f>
        <v>0</v>
      </c>
      <c r="E548" s="113">
        <f>SUMIFS(All_Stats!$I:$I,
All_Stats!$D:$D,$B548,
All_Stats!$B:$B,"&gt;="&amp;EOMONTH($A548,-1)+1,
All_Stats!$B:$B,"&lt;"&amp;EOMONTH($A548,0)+1,
All_Stats!$P:$P,"&lt;&gt;Email Marketing"
)</f>
        <v>0</v>
      </c>
      <c r="F548" s="132" t="str">
        <f t="shared" ref="F548:F562" si="152">iferror(E548/D548,"N/A")</f>
        <v>N/A</v>
      </c>
      <c r="G548" s="131">
        <f>SUMIFS(All_Stats!$H:$H,
All_Stats!$D:$D,$B548,
All_Stats!$B:$B,"&gt;="&amp;EOMONTH($A548,-1)+1,
All_Stats!$B:$B,"&lt;"&amp;EOMONTH($A548,0)+1,
All_Stats!$P:$P,"&lt;&gt;Email Marketing"
)</f>
        <v>0</v>
      </c>
      <c r="H548" s="113">
        <f>SUMIFS(All_Stats!$K:$K,
All_Stats!$D:$D,$B548,
All_Stats!$B:$B,"&gt;="&amp;EOMONTH($A548,-1)+1,
All_Stats!$B:$B,"&lt;"&amp;EOMONTH($A548,0)+1,
All_Stats!$P:$P,"&lt;&gt;Email Marketing"
)</f>
        <v>0</v>
      </c>
      <c r="I548" s="152">
        <f>IFERROR(__xludf.DUMMYFUNCTION("COUNTUNIQUEIFS(All_Stats!A:A,
All_Stats!$D:$D,$B548,
All_Stats!$B:$B,""&gt;=""&amp;EOMONTH($A548,-1)+1,
All_Stats!$B:$B,""&lt;""&amp;EOMONTH($A548,0)+1,
All_Stats!$P:$P,""&lt;&gt;Email Marketing""
)"),0.0)</f>
        <v>0</v>
      </c>
      <c r="L548" s="164">
        <f t="shared" ref="L548:L562" si="153">sum(E548,G548,H548,K548)</f>
        <v>0</v>
      </c>
    </row>
    <row r="549" hidden="1">
      <c r="A549" s="128">
        <v>44866.0</v>
      </c>
      <c r="B549" s="131" t="s">
        <v>127</v>
      </c>
      <c r="C549" s="134" t="str">
        <f>if(ifna(VLOOKUP(B549,'Vendor Directory'!A:C,3,0),"NOT FOUND")="","NOT FOUND",VLOOKUP(B549,'Vendor Directory'!A:C,3,0))</f>
        <v>#N/A</v>
      </c>
      <c r="D549" s="131">
        <f>SUMIFS(All_Stats!$G:$G,
All_Stats!$D:$D,$B549,
All_Stats!$B:$B,"&gt;="&amp;EOMONTH($A549,-1)+1,
All_Stats!$B:$B,"&lt;"&amp;EOMONTH($A549,0)+1,
All_Stats!$P:$P,"&lt;&gt;Email Marketing"
)</f>
        <v>0</v>
      </c>
      <c r="E549" s="113">
        <f>SUMIFS(All_Stats!$I:$I,
All_Stats!$D:$D,$B549,
All_Stats!$B:$B,"&gt;="&amp;EOMONTH($A549,-1)+1,
All_Stats!$B:$B,"&lt;"&amp;EOMONTH($A549,0)+1,
All_Stats!$P:$P,"&lt;&gt;Email Marketing"
)</f>
        <v>0</v>
      </c>
      <c r="F549" s="132" t="str">
        <f t="shared" si="152"/>
        <v>N/A</v>
      </c>
      <c r="G549" s="131">
        <f>SUMIFS(All_Stats!$H:$H,
All_Stats!$D:$D,$B549,
All_Stats!$B:$B,"&gt;="&amp;EOMONTH($A549,-1)+1,
All_Stats!$B:$B,"&lt;"&amp;EOMONTH($A549,0)+1,
All_Stats!$P:$P,"&lt;&gt;Email Marketing"
)</f>
        <v>0</v>
      </c>
      <c r="H549" s="113">
        <f>SUMIFS(All_Stats!$K:$K,
All_Stats!$D:$D,$B549,
All_Stats!$B:$B,"&gt;="&amp;EOMONTH($A549,-1)+1,
All_Stats!$B:$B,"&lt;"&amp;EOMONTH($A549,0)+1,
All_Stats!$P:$P,"&lt;&gt;Email Marketing"
)</f>
        <v>0</v>
      </c>
      <c r="I549" s="152">
        <f>IFERROR(__xludf.DUMMYFUNCTION("COUNTUNIQUEIFS(All_Stats!A:A,
All_Stats!$D:$D,$B549,
All_Stats!$B:$B,""&gt;=""&amp;EOMONTH($A549,-1)+1,
All_Stats!$B:$B,""&lt;""&amp;EOMONTH($A549,0)+1,
All_Stats!$P:$P,""&lt;&gt;Email Marketing""
)"),0.0)</f>
        <v>0</v>
      </c>
      <c r="L549" s="164">
        <f t="shared" si="153"/>
        <v>0</v>
      </c>
    </row>
    <row r="550" hidden="1">
      <c r="A550" s="128">
        <v>44866.0</v>
      </c>
      <c r="B550" s="131" t="s">
        <v>157</v>
      </c>
      <c r="C550" s="134" t="str">
        <f>if(ifna(VLOOKUP(B550,'Vendor Directory'!A:C,3,0),"NOT FOUND")="","NOT FOUND",VLOOKUP(B550,'Vendor Directory'!A:C,3,0))</f>
        <v>#N/A</v>
      </c>
      <c r="D550" s="131">
        <f>SUMIFS(All_Stats!$G:$G,
All_Stats!$D:$D,$B550,
All_Stats!$B:$B,"&gt;="&amp;EOMONTH($A550,-1)+1,
All_Stats!$B:$B,"&lt;"&amp;EOMONTH($A550,0)+1,
All_Stats!$P:$P,"&lt;&gt;Email Marketing"
)</f>
        <v>0</v>
      </c>
      <c r="E550" s="113">
        <f>SUMIFS(All_Stats!$I:$I,
All_Stats!$D:$D,$B550,
All_Stats!$B:$B,"&gt;="&amp;EOMONTH($A550,-1)+1,
All_Stats!$B:$B,"&lt;"&amp;EOMONTH($A550,0)+1,
All_Stats!$P:$P,"&lt;&gt;Email Marketing"
)</f>
        <v>0</v>
      </c>
      <c r="F550" s="132" t="str">
        <f t="shared" si="152"/>
        <v>N/A</v>
      </c>
      <c r="G550" s="131">
        <f>SUMIFS(All_Stats!$H:$H,
All_Stats!$D:$D,$B550,
All_Stats!$B:$B,"&gt;="&amp;EOMONTH($A550,-1)+1,
All_Stats!$B:$B,"&lt;"&amp;EOMONTH($A550,0)+1,
All_Stats!$P:$P,"&lt;&gt;Email Marketing"
)</f>
        <v>0</v>
      </c>
      <c r="H550" s="113">
        <f>SUMIFS(All_Stats!$K:$K,
All_Stats!$D:$D,$B550,
All_Stats!$B:$B,"&gt;="&amp;EOMONTH($A550,-1)+1,
All_Stats!$B:$B,"&lt;"&amp;EOMONTH($A550,0)+1,
All_Stats!$P:$P,"&lt;&gt;Email Marketing"
)</f>
        <v>0</v>
      </c>
      <c r="I550" s="152">
        <f>IFERROR(__xludf.DUMMYFUNCTION("COUNTUNIQUEIFS(All_Stats!A:A,
All_Stats!$D:$D,$B550,
All_Stats!$B:$B,""&gt;=""&amp;EOMONTH($A550,-1)+1,
All_Stats!$B:$B,""&lt;""&amp;EOMONTH($A550,0)+1,
All_Stats!$P:$P,""&lt;&gt;Email Marketing""
)"),0.0)</f>
        <v>0</v>
      </c>
      <c r="J550" s="2"/>
      <c r="K550" s="2">
        <v>2.0</v>
      </c>
      <c r="L550" s="164">
        <f t="shared" si="153"/>
        <v>2</v>
      </c>
    </row>
    <row r="551" hidden="1">
      <c r="A551" s="128">
        <v>44866.0</v>
      </c>
      <c r="B551" s="131" t="s">
        <v>30</v>
      </c>
      <c r="C551" s="134" t="str">
        <f>if(ifna(VLOOKUP(B551,'Vendor Directory'!A:C,3,0),"NOT FOUND")="","NOT FOUND",VLOOKUP(B551,'Vendor Directory'!A:C,3,0))</f>
        <v>Vendor 2 Name</v>
      </c>
      <c r="D551" s="131">
        <f>SUMIFS(All_Stats!$G:$G,
All_Stats!$D:$D,$B551,
All_Stats!$B:$B,"&gt;="&amp;EOMONTH($A551,-1)+1,
All_Stats!$B:$B,"&lt;"&amp;EOMONTH($A551,0)+1,
All_Stats!$P:$P,"&lt;&gt;Email Marketing"
)</f>
        <v>0</v>
      </c>
      <c r="E551" s="113">
        <f>SUMIFS(All_Stats!$I:$I,
All_Stats!$D:$D,$B551,
All_Stats!$B:$B,"&gt;="&amp;EOMONTH($A551,-1)+1,
All_Stats!$B:$B,"&lt;"&amp;EOMONTH($A551,0)+1,
All_Stats!$P:$P,"&lt;&gt;Email Marketing"
)</f>
        <v>0</v>
      </c>
      <c r="F551" s="132" t="str">
        <f t="shared" si="152"/>
        <v>N/A</v>
      </c>
      <c r="G551" s="131">
        <f>SUMIFS(All_Stats!$H:$H,
All_Stats!$D:$D,$B551,
All_Stats!$B:$B,"&gt;="&amp;EOMONTH($A551,-1)+1,
All_Stats!$B:$B,"&lt;"&amp;EOMONTH($A551,0)+1,
All_Stats!$P:$P,"&lt;&gt;Email Marketing"
)</f>
        <v>0</v>
      </c>
      <c r="H551" s="113">
        <f>SUMIFS(All_Stats!$K:$K,
All_Stats!$D:$D,$B551,
All_Stats!$B:$B,"&gt;="&amp;EOMONTH($A551,-1)+1,
All_Stats!$B:$B,"&lt;"&amp;EOMONTH($A551,0)+1,
All_Stats!$P:$P,"&lt;&gt;Email Marketing"
)</f>
        <v>0</v>
      </c>
      <c r="I551" s="152">
        <f>IFERROR(__xludf.DUMMYFUNCTION("COUNTUNIQUEIFS(All_Stats!A:A,
All_Stats!$D:$D,$B551,
All_Stats!$B:$B,""&gt;=""&amp;EOMONTH($A551,-1)+1,
All_Stats!$B:$B,""&lt;""&amp;EOMONTH($A551,0)+1,
All_Stats!$P:$P,""&lt;&gt;Email Marketing""
)"),0.0)</f>
        <v>0</v>
      </c>
      <c r="J551" s="2"/>
      <c r="K551" s="2">
        <v>1.0</v>
      </c>
      <c r="L551" s="164">
        <f t="shared" si="153"/>
        <v>1</v>
      </c>
    </row>
    <row r="552" hidden="1">
      <c r="A552" s="128">
        <v>44866.0</v>
      </c>
      <c r="B552" s="129" t="s">
        <v>417</v>
      </c>
      <c r="C552" s="142" t="s">
        <v>540</v>
      </c>
      <c r="D552" s="131">
        <f>SUMIFS(All_Stats!$G:$G,
All_Stats!$D:$D,$B552,
All_Stats!$B:$B,"&gt;="&amp;EOMONTH($A552,-1)+1,
All_Stats!$B:$B,"&lt;"&amp;EOMONTH($A552,0)+1,
All_Stats!$P:$P,"&lt;&gt;Email Marketing"
)</f>
        <v>0</v>
      </c>
      <c r="E552" s="113">
        <f>SUMIFS(All_Stats!$I:$I,
All_Stats!$D:$D,$B552,
All_Stats!$B:$B,"&gt;="&amp;EOMONTH($A552,-1)+1,
All_Stats!$B:$B,"&lt;"&amp;EOMONTH($A552,0)+1,
All_Stats!$P:$P,"&lt;&gt;Email Marketing"
)</f>
        <v>0</v>
      </c>
      <c r="F552" s="132" t="str">
        <f t="shared" si="152"/>
        <v>N/A</v>
      </c>
      <c r="G552" s="131">
        <f>SUMIFS(All_Stats!$H:$H,
All_Stats!$D:$D,$B552,
All_Stats!$B:$B,"&gt;="&amp;EOMONTH($A552,-1)+1,
All_Stats!$B:$B,"&lt;"&amp;EOMONTH($A552,0)+1,
All_Stats!$P:$P,"&lt;&gt;Email Marketing"
)</f>
        <v>0</v>
      </c>
      <c r="H552" s="113">
        <f>SUMIFS(All_Stats!$K:$K,
All_Stats!$D:$D,$B552,
All_Stats!$B:$B,"&gt;="&amp;EOMONTH($A552,-1)+1,
All_Stats!$B:$B,"&lt;"&amp;EOMONTH($A552,0)+1,
All_Stats!$P:$P,"&lt;&gt;Email Marketing"
)</f>
        <v>0</v>
      </c>
      <c r="I552" s="152">
        <f>IFERROR(__xludf.DUMMYFUNCTION("COUNTUNIQUEIFS(All_Stats!A:A,
All_Stats!$D:$D,$B552,
All_Stats!$B:$B,""&gt;=""&amp;EOMONTH($A552,-1)+1,
All_Stats!$B:$B,""&lt;""&amp;EOMONTH($A552,0)+1,
All_Stats!$P:$P,""&lt;&gt;Email Marketing""
)"),0.0)</f>
        <v>0</v>
      </c>
      <c r="L552" s="164">
        <f t="shared" si="153"/>
        <v>0</v>
      </c>
    </row>
    <row r="553" hidden="1">
      <c r="A553" s="128">
        <v>44866.0</v>
      </c>
      <c r="B553" s="129" t="s">
        <v>496</v>
      </c>
      <c r="C553" s="142" t="s">
        <v>514</v>
      </c>
      <c r="D553" s="131">
        <f>SUMIFS(All_Stats!$G:$G,
All_Stats!$D:$D,$B553,
All_Stats!$B:$B,"&gt;="&amp;EOMONTH($A553,-1)+1,
All_Stats!$B:$B,"&lt;"&amp;EOMONTH($A553,0)+1,
All_Stats!$P:$P,"&lt;&gt;Email Marketing"
)</f>
        <v>0</v>
      </c>
      <c r="E553" s="113">
        <f>SUMIFS(All_Stats!$I:$I,
All_Stats!$D:$D,$B553,
All_Stats!$B:$B,"&gt;="&amp;EOMONTH($A553,-1)+1,
All_Stats!$B:$B,"&lt;"&amp;EOMONTH($A553,0)+1,
All_Stats!$P:$P,"&lt;&gt;Email Marketing"
)</f>
        <v>0</v>
      </c>
      <c r="F553" s="132" t="str">
        <f t="shared" si="152"/>
        <v>N/A</v>
      </c>
      <c r="G553" s="131">
        <f>SUMIFS(All_Stats!$H:$H,
All_Stats!$D:$D,$B553,
All_Stats!$B:$B,"&gt;="&amp;EOMONTH($A553,-1)+1,
All_Stats!$B:$B,"&lt;"&amp;EOMONTH($A553,0)+1,
All_Stats!$P:$P,"&lt;&gt;Email Marketing"
)</f>
        <v>0</v>
      </c>
      <c r="H553" s="113">
        <f>SUMIFS(All_Stats!$K:$K,
All_Stats!$D:$D,$B553,
All_Stats!$B:$B,"&gt;="&amp;EOMONTH($A553,-1)+1,
All_Stats!$B:$B,"&lt;"&amp;EOMONTH($A553,0)+1,
All_Stats!$P:$P,"&lt;&gt;Email Marketing"
)</f>
        <v>0</v>
      </c>
      <c r="I553" s="152">
        <f>IFERROR(__xludf.DUMMYFUNCTION("COUNTUNIQUEIFS(All_Stats!A:A,
All_Stats!$D:$D,$B553,
All_Stats!$B:$B,""&gt;=""&amp;EOMONTH($A553,-1)+1,
All_Stats!$B:$B,""&lt;""&amp;EOMONTH($A553,0)+1,
All_Stats!$P:$P,""&lt;&gt;Email Marketing""
)"),0.0)</f>
        <v>0</v>
      </c>
      <c r="L553" s="164">
        <f t="shared" si="153"/>
        <v>0</v>
      </c>
    </row>
    <row r="554" hidden="1">
      <c r="A554" s="128">
        <v>44866.0</v>
      </c>
      <c r="B554" s="129" t="s">
        <v>495</v>
      </c>
      <c r="C554" s="142" t="s">
        <v>528</v>
      </c>
      <c r="D554" s="131">
        <f>SUMIFS(All_Stats!$G:$G,
All_Stats!$D:$D,$B554,
All_Stats!$B:$B,"&gt;="&amp;EOMONTH($A554,-1)+1,
All_Stats!$B:$B,"&lt;"&amp;EOMONTH($A554,0)+1,
All_Stats!$P:$P,"&lt;&gt;Email Marketing"
)</f>
        <v>0</v>
      </c>
      <c r="E554" s="113">
        <f>SUMIFS(All_Stats!$I:$I,
All_Stats!$D:$D,$B554,
All_Stats!$B:$B,"&gt;="&amp;EOMONTH($A554,-1)+1,
All_Stats!$B:$B,"&lt;"&amp;EOMONTH($A554,0)+1,
All_Stats!$P:$P,"&lt;&gt;Email Marketing"
)</f>
        <v>0</v>
      </c>
      <c r="F554" s="132" t="str">
        <f t="shared" si="152"/>
        <v>N/A</v>
      </c>
      <c r="G554" s="131">
        <f>SUMIFS(All_Stats!$H:$H,
All_Stats!$D:$D,$B554,
All_Stats!$B:$B,"&gt;="&amp;EOMONTH($A554,-1)+1,
All_Stats!$B:$B,"&lt;"&amp;EOMONTH($A554,0)+1,
All_Stats!$P:$P,"&lt;&gt;Email Marketing"
)</f>
        <v>0</v>
      </c>
      <c r="H554" s="113">
        <f>SUMIFS(All_Stats!$K:$K,
All_Stats!$D:$D,$B554,
All_Stats!$B:$B,"&gt;="&amp;EOMONTH($A554,-1)+1,
All_Stats!$B:$B,"&lt;"&amp;EOMONTH($A554,0)+1,
All_Stats!$P:$P,"&lt;&gt;Email Marketing"
)</f>
        <v>0</v>
      </c>
      <c r="I554" s="152">
        <f>IFERROR(__xludf.DUMMYFUNCTION("COUNTUNIQUEIFS(All_Stats!A:A,
All_Stats!$D:$D,$B554,
All_Stats!$B:$B,""&gt;=""&amp;EOMONTH($A554,-1)+1,
All_Stats!$B:$B,""&lt;""&amp;EOMONTH($A554,0)+1,
All_Stats!$P:$P,""&lt;&gt;Email Marketing""
)"),0.0)</f>
        <v>0</v>
      </c>
      <c r="L554" s="164">
        <f t="shared" si="153"/>
        <v>0</v>
      </c>
    </row>
    <row r="555" hidden="1">
      <c r="A555" s="128">
        <v>44866.0</v>
      </c>
      <c r="B555" s="131" t="s">
        <v>501</v>
      </c>
      <c r="C555" s="134" t="str">
        <f>if(ifna(VLOOKUP(B555,'Vendor Directory'!A:C,3,0),"NOT FOUND")="","NOT FOUND",VLOOKUP(B555,'Vendor Directory'!A:C,3,0))</f>
        <v>#N/A</v>
      </c>
      <c r="D555" s="131">
        <f>SUMIFS(All_Stats!$G:$G,
All_Stats!$D:$D,$B555,
All_Stats!$B:$B,"&gt;="&amp;EOMONTH($A555,-1)+1,
All_Stats!$B:$B,"&lt;"&amp;EOMONTH($A555,0)+1,
All_Stats!$P:$P,"&lt;&gt;Email Marketing"
)</f>
        <v>0</v>
      </c>
      <c r="E555" s="113">
        <f>SUMIFS(All_Stats!$I:$I,
All_Stats!$D:$D,$B555,
All_Stats!$B:$B,"&gt;="&amp;EOMONTH($A555,-1)+1,
All_Stats!$B:$B,"&lt;"&amp;EOMONTH($A555,0)+1,
All_Stats!$P:$P,"&lt;&gt;Email Marketing"
)</f>
        <v>0</v>
      </c>
      <c r="F555" s="132" t="str">
        <f t="shared" si="152"/>
        <v>N/A</v>
      </c>
      <c r="G555" s="131">
        <f>SUMIFS(All_Stats!$H:$H,
All_Stats!$D:$D,$B555,
All_Stats!$B:$B,"&gt;="&amp;EOMONTH($A555,-1)+1,
All_Stats!$B:$B,"&lt;"&amp;EOMONTH($A555,0)+1,
All_Stats!$P:$P,"&lt;&gt;Email Marketing"
)</f>
        <v>0</v>
      </c>
      <c r="H555" s="113">
        <f>SUMIFS(All_Stats!$K:$K,
All_Stats!$D:$D,$B555,
All_Stats!$B:$B,"&gt;="&amp;EOMONTH($A555,-1)+1,
All_Stats!$B:$B,"&lt;"&amp;EOMONTH($A555,0)+1,
All_Stats!$P:$P,"&lt;&gt;Email Marketing"
)</f>
        <v>0</v>
      </c>
      <c r="I555" s="152">
        <f>IFERROR(__xludf.DUMMYFUNCTION("COUNTUNIQUEIFS(All_Stats!A:A,
All_Stats!$D:$D,$B555,
All_Stats!$B:$B,""&gt;=""&amp;EOMONTH($A555,-1)+1,
All_Stats!$B:$B,""&lt;""&amp;EOMONTH($A555,0)+1,
All_Stats!$P:$P,""&lt;&gt;Email Marketing""
)"),0.0)</f>
        <v>0</v>
      </c>
      <c r="L555" s="164">
        <f t="shared" si="153"/>
        <v>0</v>
      </c>
    </row>
    <row r="556" hidden="1">
      <c r="A556" s="128">
        <v>44867.0</v>
      </c>
      <c r="B556" s="131" t="s">
        <v>164</v>
      </c>
      <c r="C556" s="134" t="s">
        <v>539</v>
      </c>
      <c r="D556" s="131">
        <f>SUMIFS(All_Stats!$G:$G,
All_Stats!$D:$D,$B556,
All_Stats!$B:$B,"&gt;="&amp;EOMONTH($A556,-1)+1,
All_Stats!$B:$B,"&lt;"&amp;EOMONTH($A556,0)+1,
All_Stats!$P:$P,"&lt;&gt;Email Marketing"
)</f>
        <v>0</v>
      </c>
      <c r="E556" s="113">
        <f>SUMIFS(All_Stats!$I:$I,
All_Stats!$D:$D,$B556,
All_Stats!$B:$B,"&gt;="&amp;EOMONTH($A556,-1)+1,
All_Stats!$B:$B,"&lt;"&amp;EOMONTH($A556,0)+1,
All_Stats!$P:$P,"&lt;&gt;Email Marketing"
)</f>
        <v>0</v>
      </c>
      <c r="F556" s="132" t="str">
        <f t="shared" si="152"/>
        <v>N/A</v>
      </c>
      <c r="G556" s="131">
        <f>SUMIFS(All_Stats!$H:$H,
All_Stats!$D:$D,$B556,
All_Stats!$B:$B,"&gt;="&amp;EOMONTH($A556,-1)+1,
All_Stats!$B:$B,"&lt;"&amp;EOMONTH($A556,0)+1,
All_Stats!$P:$P,"&lt;&gt;Email Marketing"
)</f>
        <v>0</v>
      </c>
      <c r="H556" s="113">
        <f>SUMIFS(All_Stats!$K:$K,
All_Stats!$D:$D,$B556,
All_Stats!$B:$B,"&gt;="&amp;EOMONTH($A556,-1)+1,
All_Stats!$B:$B,"&lt;"&amp;EOMONTH($A556,0)+1,
All_Stats!$P:$P,"&lt;&gt;Email Marketing"
)</f>
        <v>0</v>
      </c>
      <c r="I556" s="152">
        <f>IFERROR(__xludf.DUMMYFUNCTION("COUNTUNIQUEIFS(All_Stats!A:A,
All_Stats!$D:$D,$B556,
All_Stats!$B:$B,""&gt;=""&amp;EOMONTH($A556,-1)+1,
All_Stats!$B:$B,""&lt;""&amp;EOMONTH($A556,0)+1,
All_Stats!$P:$P,""&lt;&gt;Email Marketing""
)"),0.0)</f>
        <v>0</v>
      </c>
      <c r="L556" s="164">
        <f t="shared" si="153"/>
        <v>0</v>
      </c>
    </row>
    <row r="557" hidden="1">
      <c r="A557" s="128">
        <v>44866.0</v>
      </c>
      <c r="B557" s="131" t="s">
        <v>91</v>
      </c>
      <c r="C557" s="134" t="str">
        <f>if(ifna(VLOOKUP(B557,'Vendor Directory'!A:C,3,0),"NOT FOUND")="","NOT FOUND",VLOOKUP(B557,'Vendor Directory'!A:C,3,0))</f>
        <v>#N/A</v>
      </c>
      <c r="D557" s="131">
        <f>SUMIFS(All_Stats!$G:$G,
All_Stats!$D:$D,$B557,
All_Stats!$B:$B,"&gt;="&amp;EOMONTH($A557,-1)+1,
All_Stats!$B:$B,"&lt;"&amp;EOMONTH($A557,0)+1,
All_Stats!$P:$P,"&lt;&gt;Email Marketing"
)</f>
        <v>0</v>
      </c>
      <c r="E557" s="113">
        <f>SUMIFS(All_Stats!$I:$I,
All_Stats!$D:$D,$B557,
All_Stats!$B:$B,"&gt;="&amp;EOMONTH($A557,-1)+1,
All_Stats!$B:$B,"&lt;"&amp;EOMONTH($A557,0)+1,
All_Stats!$P:$P,"&lt;&gt;Email Marketing"
)</f>
        <v>0</v>
      </c>
      <c r="F557" s="132" t="str">
        <f t="shared" si="152"/>
        <v>N/A</v>
      </c>
      <c r="G557" s="131">
        <f>SUMIFS(All_Stats!$H:$H,
All_Stats!$D:$D,$B557,
All_Stats!$B:$B,"&gt;="&amp;EOMONTH($A557,-1)+1,
All_Stats!$B:$B,"&lt;"&amp;EOMONTH($A557,0)+1,
All_Stats!$P:$P,"&lt;&gt;Email Marketing"
)</f>
        <v>0</v>
      </c>
      <c r="H557" s="113">
        <f>SUMIFS(All_Stats!$K:$K,
All_Stats!$D:$D,$B557,
All_Stats!$B:$B,"&gt;="&amp;EOMONTH($A557,-1)+1,
All_Stats!$B:$B,"&lt;"&amp;EOMONTH($A557,0)+1,
All_Stats!$P:$P,"&lt;&gt;Email Marketing"
)</f>
        <v>0</v>
      </c>
      <c r="I557" s="152">
        <f>IFERROR(__xludf.DUMMYFUNCTION("COUNTUNIQUEIFS(All_Stats!A:A,
All_Stats!$D:$D,$B557,
All_Stats!$B:$B,""&gt;=""&amp;EOMONTH($A557,-1)+1,
All_Stats!$B:$B,""&lt;""&amp;EOMONTH($A557,0)+1,
All_Stats!$P:$P,""&lt;&gt;Email Marketing""
)"),0.0)</f>
        <v>0</v>
      </c>
      <c r="J557" s="2"/>
      <c r="K557" s="2">
        <v>1.0</v>
      </c>
      <c r="L557" s="164">
        <f t="shared" si="153"/>
        <v>1</v>
      </c>
    </row>
    <row r="558" hidden="1">
      <c r="A558" s="128">
        <v>44866.0</v>
      </c>
      <c r="B558" s="129" t="s">
        <v>313</v>
      </c>
      <c r="C558" s="130" t="s">
        <v>541</v>
      </c>
      <c r="D558" s="131">
        <f>SUMIFS(All_Stats!$G:$G,
All_Stats!$D:$D,$B558,
All_Stats!$B:$B,"&gt;="&amp;EOMONTH($A558,-1)+1,
All_Stats!$B:$B,"&lt;"&amp;EOMONTH($A558,0)+1,
All_Stats!$P:$P,"&lt;&gt;Email Marketing"
)</f>
        <v>0</v>
      </c>
      <c r="E558" s="113">
        <f>SUMIFS(All_Stats!$I:$I,
All_Stats!$D:$D,$B558,
All_Stats!$B:$B,"&gt;="&amp;EOMONTH($A558,-1)+1,
All_Stats!$B:$B,"&lt;"&amp;EOMONTH($A558,0)+1,
All_Stats!$P:$P,"&lt;&gt;Email Marketing"
)</f>
        <v>0</v>
      </c>
      <c r="F558" s="132" t="str">
        <f t="shared" si="152"/>
        <v>N/A</v>
      </c>
      <c r="G558" s="131">
        <f>SUMIFS(All_Stats!$H:$H,
All_Stats!$D:$D,$B558,
All_Stats!$B:$B,"&gt;="&amp;EOMONTH($A558,-1)+1,
All_Stats!$B:$B,"&lt;"&amp;EOMONTH($A558,0)+1,
All_Stats!$P:$P,"&lt;&gt;Email Marketing"
)</f>
        <v>0</v>
      </c>
      <c r="H558" s="113">
        <f>SUMIFS(All_Stats!$K:$K,
All_Stats!$D:$D,$B558,
All_Stats!$B:$B,"&gt;="&amp;EOMONTH($A558,-1)+1,
All_Stats!$B:$B,"&lt;"&amp;EOMONTH($A558,0)+1,
All_Stats!$P:$P,"&lt;&gt;Email Marketing"
)</f>
        <v>0</v>
      </c>
      <c r="I558" s="152">
        <f>IFERROR(__xludf.DUMMYFUNCTION("COUNTUNIQUEIFS(All_Stats!A:A,
All_Stats!$D:$D,$B558,
All_Stats!$B:$B,""&gt;=""&amp;EOMONTH($A558,-1)+1,
All_Stats!$B:$B,""&lt;""&amp;EOMONTH($A558,0)+1,
All_Stats!$P:$P,""&lt;&gt;Email Marketing""
)"),0.0)</f>
        <v>0</v>
      </c>
      <c r="L558" s="164">
        <f t="shared" si="153"/>
        <v>0</v>
      </c>
    </row>
    <row r="559" hidden="1">
      <c r="A559" s="128">
        <v>44866.0</v>
      </c>
      <c r="B559" s="129" t="s">
        <v>109</v>
      </c>
      <c r="C559" s="130" t="s">
        <v>490</v>
      </c>
      <c r="D559" s="131">
        <f>SUMIFS(All_Stats!$G:$G,
All_Stats!$D:$D,$B559,
All_Stats!$B:$B,"&gt;="&amp;EOMONTH($A559,-1)+1,
All_Stats!$B:$B,"&lt;"&amp;EOMONTH($A559,0)+1,
All_Stats!$P:$P,"&lt;&gt;Email Marketing"
)</f>
        <v>0</v>
      </c>
      <c r="E559" s="113">
        <f>SUMIFS(All_Stats!$I:$I,
All_Stats!$D:$D,$B559,
All_Stats!$B:$B,"&gt;="&amp;EOMONTH($A559,-1)+1,
All_Stats!$B:$B,"&lt;"&amp;EOMONTH($A559,0)+1,
All_Stats!$P:$P,"&lt;&gt;Email Marketing"
)</f>
        <v>0</v>
      </c>
      <c r="F559" s="132" t="str">
        <f t="shared" si="152"/>
        <v>N/A</v>
      </c>
      <c r="G559" s="131">
        <f>SUMIFS(All_Stats!$H:$H,
All_Stats!$D:$D,$B559,
All_Stats!$B:$B,"&gt;="&amp;EOMONTH($A559,-1)+1,
All_Stats!$B:$B,"&lt;"&amp;EOMONTH($A559,0)+1,
All_Stats!$P:$P,"&lt;&gt;Email Marketing"
)</f>
        <v>0</v>
      </c>
      <c r="H559" s="113">
        <f>SUMIFS(All_Stats!$K:$K,
All_Stats!$D:$D,$B559,
All_Stats!$B:$B,"&gt;="&amp;EOMONTH($A559,-1)+1,
All_Stats!$B:$B,"&lt;"&amp;EOMONTH($A559,0)+1,
All_Stats!$P:$P,"&lt;&gt;Email Marketing"
)</f>
        <v>0</v>
      </c>
      <c r="I559" s="152">
        <f>IFERROR(__xludf.DUMMYFUNCTION("COUNTUNIQUEIFS(All_Stats!A:A,
All_Stats!$D:$D,$B559,
All_Stats!$B:$B,""&gt;=""&amp;EOMONTH($A559,-1)+1,
All_Stats!$B:$B,""&lt;""&amp;EOMONTH($A559,0)+1,
All_Stats!$P:$P,""&lt;&gt;Email Marketing""
)"),0.0)</f>
        <v>0</v>
      </c>
      <c r="J559" s="2"/>
      <c r="K559" s="2">
        <v>3.0</v>
      </c>
      <c r="L559" s="164">
        <f t="shared" si="153"/>
        <v>3</v>
      </c>
    </row>
    <row r="560" hidden="1">
      <c r="A560" s="128">
        <v>44866.0</v>
      </c>
      <c r="B560" s="129" t="s">
        <v>79</v>
      </c>
      <c r="C560" s="130" t="s">
        <v>488</v>
      </c>
      <c r="D560" s="131">
        <f>SUMIFS(All_Stats!$G:$G,
All_Stats!$D:$D,$B560,
All_Stats!$B:$B,"&gt;="&amp;EOMONTH($A560,-1)+1,
All_Stats!$B:$B,"&lt;"&amp;EOMONTH($A560,0)+1,
All_Stats!$P:$P,"&lt;&gt;Email Marketing"
)</f>
        <v>0</v>
      </c>
      <c r="E560" s="113">
        <f>SUMIFS(All_Stats!$I:$I,
All_Stats!$D:$D,$B560,
All_Stats!$B:$B,"&gt;="&amp;EOMONTH($A560,-1)+1,
All_Stats!$B:$B,"&lt;"&amp;EOMONTH($A560,0)+1,
All_Stats!$P:$P,"&lt;&gt;Email Marketing"
)</f>
        <v>0</v>
      </c>
      <c r="F560" s="132" t="str">
        <f t="shared" si="152"/>
        <v>N/A</v>
      </c>
      <c r="G560" s="131">
        <f>SUMIFS(All_Stats!$H:$H,
All_Stats!$D:$D,$B560,
All_Stats!$B:$B,"&gt;="&amp;EOMONTH($A560,-1)+1,
All_Stats!$B:$B,"&lt;"&amp;EOMONTH($A560,0)+1,
All_Stats!$P:$P,"&lt;&gt;Email Marketing"
)</f>
        <v>0</v>
      </c>
      <c r="H560" s="113">
        <f>SUMIFS(All_Stats!$K:$K,
All_Stats!$D:$D,$B560,
All_Stats!$B:$B,"&gt;="&amp;EOMONTH($A560,-1)+1,
All_Stats!$B:$B,"&lt;"&amp;EOMONTH($A560,0)+1,
All_Stats!$P:$P,"&lt;&gt;Email Marketing"
)</f>
        <v>0</v>
      </c>
      <c r="I560" s="152">
        <f>IFERROR(__xludf.DUMMYFUNCTION("COUNTUNIQUEIFS(All_Stats!A:A,
All_Stats!$D:$D,$B560,
All_Stats!$B:$B,""&gt;=""&amp;EOMONTH($A560,-1)+1,
All_Stats!$B:$B,""&lt;""&amp;EOMONTH($A560,0)+1,
All_Stats!$P:$P,""&lt;&gt;Email Marketing""
)"),0.0)</f>
        <v>0</v>
      </c>
      <c r="L560" s="164">
        <f t="shared" si="153"/>
        <v>0</v>
      </c>
    </row>
    <row r="561" hidden="1">
      <c r="A561" s="128">
        <v>44866.0</v>
      </c>
      <c r="B561" s="129" t="s">
        <v>33</v>
      </c>
      <c r="C561" s="142" t="s">
        <v>492</v>
      </c>
      <c r="D561" s="131">
        <f>SUMIFS(All_Stats!$G:$G,
All_Stats!$D:$D,$B561,
All_Stats!$B:$B,"&gt;="&amp;EOMONTH($A561,-1)+1,
All_Stats!$B:$B,"&lt;"&amp;EOMONTH($A561,0)+1,
All_Stats!$P:$P,"&lt;&gt;Email Marketing"
)</f>
        <v>0</v>
      </c>
      <c r="E561" s="113">
        <f>SUMIFS(All_Stats!$I:$I,
All_Stats!$D:$D,$B561,
All_Stats!$B:$B,"&gt;="&amp;EOMONTH($A561,-1)+1,
All_Stats!$B:$B,"&lt;"&amp;EOMONTH($A561,0)+1,
All_Stats!$P:$P,"&lt;&gt;Email Marketing"
)</f>
        <v>0</v>
      </c>
      <c r="F561" s="132" t="str">
        <f t="shared" si="152"/>
        <v>N/A</v>
      </c>
      <c r="G561" s="131">
        <f>SUMIFS(All_Stats!$H:$H,
All_Stats!$D:$D,$B561,
All_Stats!$B:$B,"&gt;="&amp;EOMONTH($A561,-1)+1,
All_Stats!$B:$B,"&lt;"&amp;EOMONTH($A561,0)+1,
All_Stats!$P:$P,"&lt;&gt;Email Marketing"
)</f>
        <v>0</v>
      </c>
      <c r="H561" s="113">
        <f>SUMIFS(All_Stats!$K:$K,
All_Stats!$D:$D,$B561,
All_Stats!$B:$B,"&gt;="&amp;EOMONTH($A561,-1)+1,
All_Stats!$B:$B,"&lt;"&amp;EOMONTH($A561,0)+1,
All_Stats!$P:$P,"&lt;&gt;Email Marketing"
)</f>
        <v>0</v>
      </c>
      <c r="I561" s="152">
        <f>IFERROR(__xludf.DUMMYFUNCTION("COUNTUNIQUEIFS(All_Stats!A:A,
All_Stats!$D:$D,$B561,
All_Stats!$B:$B,""&gt;=""&amp;EOMONTH($A561,-1)+1,
All_Stats!$B:$B,""&lt;""&amp;EOMONTH($A561,0)+1,
All_Stats!$P:$P,""&lt;&gt;Email Marketing""
)"),0.0)</f>
        <v>0</v>
      </c>
      <c r="J561" s="2"/>
      <c r="K561" s="2">
        <v>1.0</v>
      </c>
      <c r="L561" s="164">
        <f t="shared" si="153"/>
        <v>1</v>
      </c>
    </row>
    <row r="562" hidden="1">
      <c r="A562" s="135"/>
      <c r="B562" s="135"/>
      <c r="C562" s="136" t="s">
        <v>23</v>
      </c>
      <c r="D562" s="137">
        <f t="shared" ref="D562:E562" si="154">SUM(D548:D561)</f>
        <v>0</v>
      </c>
      <c r="E562" s="137">
        <f t="shared" si="154"/>
        <v>0</v>
      </c>
      <c r="F562" s="138" t="str">
        <f t="shared" si="152"/>
        <v>N/A</v>
      </c>
      <c r="G562" s="137">
        <f t="shared" ref="G562:H562" si="155">SUM(G548:G561)</f>
        <v>0</v>
      </c>
      <c r="H562" s="137">
        <f t="shared" si="155"/>
        <v>0</v>
      </c>
      <c r="I562" s="139"/>
      <c r="L562" s="164">
        <f t="shared" si="153"/>
        <v>0</v>
      </c>
    </row>
    <row r="563" hidden="1">
      <c r="A563" s="131"/>
      <c r="B563" s="131"/>
      <c r="C563" s="131"/>
      <c r="D563" s="140"/>
      <c r="F563" s="131"/>
      <c r="G563" s="131"/>
    </row>
    <row r="564" hidden="1">
      <c r="A564" s="131"/>
      <c r="B564" s="131"/>
      <c r="C564" s="131"/>
      <c r="D564" s="140">
        <f t="shared" ref="D564:E564" si="156">D545+D562</f>
        <v>0</v>
      </c>
      <c r="E564" s="140">
        <f t="shared" si="156"/>
        <v>0</v>
      </c>
      <c r="F564" s="131"/>
      <c r="G564" s="140">
        <f t="shared" ref="G564:H564" si="157">G545+G562</f>
        <v>0</v>
      </c>
      <c r="H564" s="140">
        <f t="shared" si="157"/>
        <v>0</v>
      </c>
      <c r="K564" s="164">
        <f>sum(K542:K562)</f>
        <v>24</v>
      </c>
      <c r="L564" s="164">
        <f>sum(E564,G564,H564,K564)</f>
        <v>24</v>
      </c>
    </row>
    <row r="565" hidden="1">
      <c r="A565" s="131"/>
      <c r="B565" s="131"/>
      <c r="C565" s="131"/>
      <c r="D565" s="140"/>
      <c r="F565" s="131"/>
      <c r="G565" s="131"/>
    </row>
    <row r="566" hidden="1">
      <c r="C566" s="118" t="s">
        <v>484</v>
      </c>
      <c r="D566" s="119"/>
      <c r="E566" s="119"/>
      <c r="F566" s="119"/>
      <c r="G566" s="119"/>
      <c r="H566" s="119"/>
      <c r="I566" s="159"/>
    </row>
    <row r="567" hidden="1">
      <c r="A567" s="121" t="s">
        <v>1</v>
      </c>
      <c r="B567" s="122" t="s">
        <v>485</v>
      </c>
      <c r="C567" s="123" t="s">
        <v>486</v>
      </c>
      <c r="D567" s="124" t="s">
        <v>6</v>
      </c>
      <c r="E567" s="125" t="s">
        <v>8</v>
      </c>
      <c r="F567" s="124" t="s">
        <v>479</v>
      </c>
      <c r="G567" s="126" t="s">
        <v>7</v>
      </c>
      <c r="H567" s="125" t="s">
        <v>10</v>
      </c>
      <c r="I567" s="160" t="s">
        <v>487</v>
      </c>
      <c r="J567" s="8"/>
      <c r="K567" s="8" t="s">
        <v>529</v>
      </c>
      <c r="L567" s="8" t="s">
        <v>530</v>
      </c>
    </row>
    <row r="568" hidden="1">
      <c r="A568" s="128">
        <v>44896.0</v>
      </c>
      <c r="B568" s="131" t="s">
        <v>164</v>
      </c>
      <c r="C568" s="134" t="str">
        <f>if(ifna(VLOOKUP(B568,'Vendor Directory'!A:C,3,0),"NOT FOUND")="","NOT FOUND",VLOOKUP(B568,'Vendor Directory'!A:C,3,0))</f>
        <v>#N/A</v>
      </c>
      <c r="D568" s="131">
        <f>SUMIFS(All_Stats!$G:$G,
All_Stats!$D:$D,$B568,
All_Stats!$B:$B,"&gt;="&amp;EOMONTH($A568,-1)+1,
All_Stats!$B:$B,"&lt;"&amp;EOMONTH($A568,0)+1,
All_Stats!$P:$P,"Email Marketing"
)</f>
        <v>0</v>
      </c>
      <c r="E568" s="113">
        <f>SUMIFS(All_Stats!$I:$I,
All_Stats!$D:$D,$B568,
All_Stats!$B:$B,"&gt;="&amp;EOMONTH($A568,-1)+1,
All_Stats!$B:$B,"&lt;"&amp;EOMONTH($A568,0)+1,
All_Stats!$P:$P,"Email Marketing"
)</f>
        <v>0</v>
      </c>
      <c r="F568" s="132" t="str">
        <f t="shared" ref="F568:F571" si="158">iferror(E568/D568,"N/A")</f>
        <v>N/A</v>
      </c>
      <c r="G568" s="131">
        <f>SUMIFS(All_Stats!$H:$H,
All_Stats!$D:$D,$B568,
All_Stats!$B:$B,"&gt;="&amp;EOMONTH($A568,-1)+1,
All_Stats!$B:$B,"&lt;"&amp;EOMONTH($A568,0)+1,
All_Stats!$P:$P,"Email Marketing"
)</f>
        <v>0</v>
      </c>
      <c r="H568" s="113">
        <f>SUMIFS(All_Stats!$K:$K,
All_Stats!$D:$D,$B568,
All_Stats!$B:$B,"&gt;="&amp;EOMONTH($A568,-1)+1,
All_Stats!$B:$B,"&lt;"&amp;EOMONTH($A568,0)+1,
All_Stats!$P:$P,"Email Marketing"
)</f>
        <v>0</v>
      </c>
      <c r="I568" s="152">
        <f>IFERROR(__xludf.DUMMYFUNCTION("COUNTUNIQUEIFS(All_Stats!A:A,
All_Stats!$D:$D,$B568,
All_Stats!$B:$B,""&gt;=""&amp;EOMONTH($A568,-1)+1,
All_Stats!$B:$B,""&lt;""&amp;EOMONTH($A568,0)+1,
All_Stats!$P:$P,""Email Marketing""
)"),0.0)</f>
        <v>0</v>
      </c>
      <c r="J568" s="2"/>
      <c r="K568" s="2">
        <v>4.0</v>
      </c>
      <c r="L568" s="164">
        <f t="shared" ref="L568:L571" si="159">sum(E568,G568,H568,K568)</f>
        <v>4</v>
      </c>
    </row>
    <row r="569" hidden="1">
      <c r="A569" s="128">
        <v>44896.0</v>
      </c>
      <c r="B569" s="129" t="s">
        <v>79</v>
      </c>
      <c r="C569" s="130" t="s">
        <v>488</v>
      </c>
      <c r="D569" s="131">
        <f>SUMIFS(All_Stats!$G:$G,
All_Stats!$D:$D,$B569,
All_Stats!$B:$B,"&gt;="&amp;EOMONTH($A569,-1)+1,
All_Stats!$B:$B,"&lt;"&amp;EOMONTH($A569,0)+1,
All_Stats!$P:$P,"Email Marketing"
)</f>
        <v>0</v>
      </c>
      <c r="E569" s="113">
        <f>SUMIFS(All_Stats!$I:$I,
All_Stats!$D:$D,$B569,
All_Stats!$B:$B,"&gt;="&amp;EOMONTH($A569,-1)+1,
All_Stats!$B:$B,"&lt;"&amp;EOMONTH($A569,0)+1,
All_Stats!$P:$P,"Email Marketing"
)</f>
        <v>0</v>
      </c>
      <c r="F569" s="132" t="str">
        <f t="shared" si="158"/>
        <v>N/A</v>
      </c>
      <c r="G569" s="131">
        <f>SUMIFS(All_Stats!$H:$H,
All_Stats!$D:$D,$B569,
All_Stats!$B:$B,"&gt;="&amp;EOMONTH($A569,-1)+1,
All_Stats!$B:$B,"&lt;"&amp;EOMONTH($A569,0)+1,
All_Stats!$P:$P,"Email Marketing"
)</f>
        <v>0</v>
      </c>
      <c r="H569" s="113">
        <f>SUMIFS(All_Stats!$K:$K,
All_Stats!$D:$D,$B569,
All_Stats!$B:$B,"&gt;="&amp;EOMONTH($A569,-1)+1,
All_Stats!$B:$B,"&lt;"&amp;EOMONTH($A569,0)+1,
All_Stats!$P:$P,"Email Marketing"
)</f>
        <v>0</v>
      </c>
      <c r="I569" s="152">
        <f>IFERROR(__xludf.DUMMYFUNCTION("COUNTUNIQUEIFS(All_Stats!A:A,
All_Stats!$D:$D,$B569,
All_Stats!$B:$B,""&gt;=""&amp;EOMONTH($A569,-1)+1,
All_Stats!$B:$B,""&lt;""&amp;EOMONTH($A569,0)+1,
All_Stats!$P:$P,""Email Marketing""
)"),0.0)</f>
        <v>0</v>
      </c>
      <c r="L569" s="164">
        <f t="shared" si="159"/>
        <v>0</v>
      </c>
    </row>
    <row r="570" hidden="1">
      <c r="A570" s="128">
        <v>44896.0</v>
      </c>
      <c r="B570" s="129" t="s">
        <v>313</v>
      </c>
      <c r="C570" s="142" t="s">
        <v>525</v>
      </c>
      <c r="D570" s="131">
        <f>SUMIFS(All_Stats!$G:$G,
All_Stats!$D:$D,$B570,
All_Stats!$B:$B,"&gt;="&amp;EOMONTH($A570,-1)+1,
All_Stats!$B:$B,"&lt;"&amp;EOMONTH($A570,0)+1,
All_Stats!$P:$P,"Email Marketing"
)</f>
        <v>0</v>
      </c>
      <c r="E570" s="113">
        <f>SUMIFS(All_Stats!$I:$I,
All_Stats!$D:$D,$B570,
All_Stats!$B:$B,"&gt;="&amp;EOMONTH($A570,-1)+1,
All_Stats!$B:$B,"&lt;"&amp;EOMONTH($A570,0)+1,
All_Stats!$P:$P,"Email Marketing"
)</f>
        <v>0</v>
      </c>
      <c r="F570" s="132" t="str">
        <f t="shared" si="158"/>
        <v>N/A</v>
      </c>
      <c r="G570" s="131">
        <f>SUMIFS(All_Stats!$H:$H,
All_Stats!$D:$D,$B570,
All_Stats!$B:$B,"&gt;="&amp;EOMONTH($A570,-1)+1,
All_Stats!$B:$B,"&lt;"&amp;EOMONTH($A570,0)+1,
All_Stats!$P:$P,"Email Marketing"
)</f>
        <v>0</v>
      </c>
      <c r="H570" s="113">
        <f>SUMIFS(All_Stats!$K:$K,
All_Stats!$D:$D,$B570,
All_Stats!$B:$B,"&gt;="&amp;EOMONTH($A570,-1)+1,
All_Stats!$B:$B,"&lt;"&amp;EOMONTH($A570,0)+1,
All_Stats!$P:$P,"Email Marketing"
)</f>
        <v>0</v>
      </c>
      <c r="I570" s="152">
        <f>IFERROR(__xludf.DUMMYFUNCTION("COUNTUNIQUEIFS(All_Stats!A:A,
All_Stats!$D:$D,$B570,
All_Stats!$B:$B,""&gt;=""&amp;EOMONTH($A570,-1)+1,
All_Stats!$B:$B,""&lt;""&amp;EOMONTH($A570,0)+1,
All_Stats!$P:$P,""Email Marketing""
)"),0.0)</f>
        <v>0</v>
      </c>
      <c r="J570" s="2"/>
      <c r="K570" s="2">
        <v>5.0</v>
      </c>
      <c r="L570" s="164">
        <f t="shared" si="159"/>
        <v>5</v>
      </c>
    </row>
    <row r="571" hidden="1">
      <c r="A571" s="135"/>
      <c r="B571" s="135"/>
      <c r="C571" s="136" t="s">
        <v>23</v>
      </c>
      <c r="D571" s="137">
        <f t="shared" ref="D571:E571" si="160">SUM(D568:D570)</f>
        <v>0</v>
      </c>
      <c r="E571" s="137">
        <f t="shared" si="160"/>
        <v>0</v>
      </c>
      <c r="F571" s="138" t="str">
        <f t="shared" si="158"/>
        <v>N/A</v>
      </c>
      <c r="G571" s="137">
        <f t="shared" ref="G571:H571" si="161">SUM(G568:G570)</f>
        <v>0</v>
      </c>
      <c r="H571" s="137">
        <f t="shared" si="161"/>
        <v>0</v>
      </c>
      <c r="I571" s="139"/>
      <c r="K571" s="164">
        <f>SUM(K568:K570)</f>
        <v>9</v>
      </c>
      <c r="L571" s="164">
        <f t="shared" si="159"/>
        <v>9</v>
      </c>
    </row>
    <row r="572" hidden="1">
      <c r="A572" s="131"/>
      <c r="B572" s="131"/>
      <c r="C572" s="131"/>
      <c r="D572" s="140"/>
      <c r="F572" s="131"/>
      <c r="G572" s="131"/>
    </row>
    <row r="573" hidden="1">
      <c r="A573" s="121" t="s">
        <v>1</v>
      </c>
      <c r="B573" s="122" t="s">
        <v>485</v>
      </c>
      <c r="C573" s="123" t="s">
        <v>486</v>
      </c>
      <c r="D573" s="124" t="s">
        <v>6</v>
      </c>
      <c r="E573" s="125" t="s">
        <v>8</v>
      </c>
      <c r="F573" s="124" t="s">
        <v>479</v>
      </c>
      <c r="G573" s="126" t="s">
        <v>7</v>
      </c>
      <c r="H573" s="125" t="s">
        <v>10</v>
      </c>
      <c r="I573" s="160" t="s">
        <v>487</v>
      </c>
    </row>
    <row r="574" hidden="1">
      <c r="A574" s="128">
        <v>44896.0</v>
      </c>
      <c r="B574" s="129" t="s">
        <v>19</v>
      </c>
      <c r="C574" s="141" t="s">
        <v>489</v>
      </c>
      <c r="D574" s="131">
        <f>SUMIFS(All_Stats!$G:$G,
All_Stats!$D:$D,$B574,
All_Stats!$B:$B,"&gt;="&amp;EOMONTH($A574,-1)+1,
All_Stats!$B:$B,"&lt;"&amp;EOMONTH($A574,0)+1,
All_Stats!$P:$P,"&lt;&gt;Email Marketing"
)</f>
        <v>48</v>
      </c>
      <c r="E574" s="113">
        <f>SUMIFS(All_Stats!$I:$I,
All_Stats!$D:$D,$B574,
All_Stats!$B:$B,"&gt;="&amp;EOMONTH($A574,-1)+1,
All_Stats!$B:$B,"&lt;"&amp;EOMONTH($A574,0)+1,
All_Stats!$P:$P,"&lt;&gt;Email Marketing"
)</f>
        <v>4</v>
      </c>
      <c r="F574" s="132">
        <f t="shared" ref="F574:F588" si="162">iferror(E574/D574,"N/A")</f>
        <v>0.08333333333</v>
      </c>
      <c r="G574" s="131">
        <f>SUMIFS(All_Stats!$H:$H,
All_Stats!$D:$D,$B574,
All_Stats!$B:$B,"&gt;="&amp;EOMONTH($A574,-1)+1,
All_Stats!$B:$B,"&lt;"&amp;EOMONTH($A574,0)+1,
All_Stats!$P:$P,"&lt;&gt;Email Marketing"
)</f>
        <v>44</v>
      </c>
      <c r="H574" s="113">
        <f>SUMIFS(All_Stats!$K:$K,
All_Stats!$D:$D,$B574,
All_Stats!$B:$B,"&gt;="&amp;EOMONTH($A574,-1)+1,
All_Stats!$B:$B,"&lt;"&amp;EOMONTH($A574,0)+1,
All_Stats!$P:$P,"&lt;&gt;Email Marketing"
)</f>
        <v>0</v>
      </c>
      <c r="I574" s="152">
        <f>IFERROR(__xludf.DUMMYFUNCTION("COUNTUNIQUEIFS(All_Stats!A:A,
All_Stats!$D:$D,$B574,
All_Stats!$B:$B,""&gt;=""&amp;EOMONTH($A574,-1)+1,
All_Stats!$B:$B,""&lt;""&amp;EOMONTH($A574,0)+1,
All_Stats!$P:$P,""&lt;&gt;Email Marketing""
)"),1.0)</f>
        <v>1</v>
      </c>
      <c r="L574" s="164">
        <f t="shared" ref="L574:L588" si="163">sum(E574,G574,H574,K574)</f>
        <v>48</v>
      </c>
    </row>
    <row r="575" hidden="1">
      <c r="A575" s="128">
        <v>44896.0</v>
      </c>
      <c r="B575" s="131" t="s">
        <v>127</v>
      </c>
      <c r="C575" s="134" t="str">
        <f>if(ifna(VLOOKUP(B575,'Vendor Directory'!A:C,3,0),"NOT FOUND")="","NOT FOUND",VLOOKUP(B575,'Vendor Directory'!A:C,3,0))</f>
        <v>#N/A</v>
      </c>
      <c r="D575" s="131">
        <f>SUMIFS(All_Stats!$G:$G,
All_Stats!$D:$D,$B575,
All_Stats!$B:$B,"&gt;="&amp;EOMONTH($A575,-1)+1,
All_Stats!$B:$B,"&lt;"&amp;EOMONTH($A575,0)+1,
All_Stats!$P:$P,"&lt;&gt;Email Marketing"
)</f>
        <v>0</v>
      </c>
      <c r="E575" s="113">
        <f>SUMIFS(All_Stats!$I:$I,
All_Stats!$D:$D,$B575,
All_Stats!$B:$B,"&gt;="&amp;EOMONTH($A575,-1)+1,
All_Stats!$B:$B,"&lt;"&amp;EOMONTH($A575,0)+1,
All_Stats!$P:$P,"&lt;&gt;Email Marketing"
)</f>
        <v>0</v>
      </c>
      <c r="F575" s="132" t="str">
        <f t="shared" si="162"/>
        <v>N/A</v>
      </c>
      <c r="G575" s="131">
        <f>SUMIFS(All_Stats!$H:$H,
All_Stats!$D:$D,$B575,
All_Stats!$B:$B,"&gt;="&amp;EOMONTH($A575,-1)+1,
All_Stats!$B:$B,"&lt;"&amp;EOMONTH($A575,0)+1,
All_Stats!$P:$P,"&lt;&gt;Email Marketing"
)</f>
        <v>0</v>
      </c>
      <c r="H575" s="113">
        <f>SUMIFS(All_Stats!$K:$K,
All_Stats!$D:$D,$B575,
All_Stats!$B:$B,"&gt;="&amp;EOMONTH($A575,-1)+1,
All_Stats!$B:$B,"&lt;"&amp;EOMONTH($A575,0)+1,
All_Stats!$P:$P,"&lt;&gt;Email Marketing"
)</f>
        <v>0</v>
      </c>
      <c r="I575" s="152">
        <f>IFERROR(__xludf.DUMMYFUNCTION("COUNTUNIQUEIFS(All_Stats!A:A,
All_Stats!$D:$D,$B575,
All_Stats!$B:$B,""&gt;=""&amp;EOMONTH($A575,-1)+1,
All_Stats!$B:$B,""&lt;""&amp;EOMONTH($A575,0)+1,
All_Stats!$P:$P,""&lt;&gt;Email Marketing""
)"),0.0)</f>
        <v>0</v>
      </c>
      <c r="L575" s="164">
        <f t="shared" si="163"/>
        <v>0</v>
      </c>
    </row>
    <row r="576" hidden="1">
      <c r="A576" s="128">
        <v>44896.0</v>
      </c>
      <c r="B576" s="131" t="s">
        <v>157</v>
      </c>
      <c r="C576" s="134" t="str">
        <f>if(ifna(VLOOKUP(B576,'Vendor Directory'!A:C,3,0),"NOT FOUND")="","NOT FOUND",VLOOKUP(B576,'Vendor Directory'!A:C,3,0))</f>
        <v>#N/A</v>
      </c>
      <c r="D576" s="131">
        <f>SUMIFS(All_Stats!$G:$G,
All_Stats!$D:$D,$B576,
All_Stats!$B:$B,"&gt;="&amp;EOMONTH($A576,-1)+1,
All_Stats!$B:$B,"&lt;"&amp;EOMONTH($A576,0)+1,
All_Stats!$P:$P,"&lt;&gt;Email Marketing"
)</f>
        <v>0</v>
      </c>
      <c r="E576" s="113">
        <f>SUMIFS(All_Stats!$I:$I,
All_Stats!$D:$D,$B576,
All_Stats!$B:$B,"&gt;="&amp;EOMONTH($A576,-1)+1,
All_Stats!$B:$B,"&lt;"&amp;EOMONTH($A576,0)+1,
All_Stats!$P:$P,"&lt;&gt;Email Marketing"
)</f>
        <v>0</v>
      </c>
      <c r="F576" s="132" t="str">
        <f t="shared" si="162"/>
        <v>N/A</v>
      </c>
      <c r="G576" s="131">
        <f>SUMIFS(All_Stats!$H:$H,
All_Stats!$D:$D,$B576,
All_Stats!$B:$B,"&gt;="&amp;EOMONTH($A576,-1)+1,
All_Stats!$B:$B,"&lt;"&amp;EOMONTH($A576,0)+1,
All_Stats!$P:$P,"&lt;&gt;Email Marketing"
)</f>
        <v>0</v>
      </c>
      <c r="H576" s="113">
        <f>SUMIFS(All_Stats!$K:$K,
All_Stats!$D:$D,$B576,
All_Stats!$B:$B,"&gt;="&amp;EOMONTH($A576,-1)+1,
All_Stats!$B:$B,"&lt;"&amp;EOMONTH($A576,0)+1,
All_Stats!$P:$P,"&lt;&gt;Email Marketing"
)</f>
        <v>0</v>
      </c>
      <c r="I576" s="152">
        <f>IFERROR(__xludf.DUMMYFUNCTION("COUNTUNIQUEIFS(All_Stats!A:A,
All_Stats!$D:$D,$B576,
All_Stats!$B:$B,""&gt;=""&amp;EOMONTH($A576,-1)+1,
All_Stats!$B:$B,""&lt;""&amp;EOMONTH($A576,0)+1,
All_Stats!$P:$P,""&lt;&gt;Email Marketing""
)"),0.0)</f>
        <v>0</v>
      </c>
      <c r="L576" s="164">
        <f t="shared" si="163"/>
        <v>0</v>
      </c>
    </row>
    <row r="577" hidden="1">
      <c r="A577" s="128">
        <v>44896.0</v>
      </c>
      <c r="B577" s="131" t="s">
        <v>30</v>
      </c>
      <c r="C577" s="134" t="str">
        <f>if(ifna(VLOOKUP(B577,'Vendor Directory'!A:C,3,0),"NOT FOUND")="","NOT FOUND",VLOOKUP(B577,'Vendor Directory'!A:C,3,0))</f>
        <v>Vendor 2 Name</v>
      </c>
      <c r="D577" s="131">
        <f>SUMIFS(All_Stats!$G:$G,
All_Stats!$D:$D,$B577,
All_Stats!$B:$B,"&gt;="&amp;EOMONTH($A577,-1)+1,
All_Stats!$B:$B,"&lt;"&amp;EOMONTH($A577,0)+1,
All_Stats!$P:$P,"&lt;&gt;Email Marketing"
)</f>
        <v>0</v>
      </c>
      <c r="E577" s="113">
        <f>SUMIFS(All_Stats!$I:$I,
All_Stats!$D:$D,$B577,
All_Stats!$B:$B,"&gt;="&amp;EOMONTH($A577,-1)+1,
All_Stats!$B:$B,"&lt;"&amp;EOMONTH($A577,0)+1,
All_Stats!$P:$P,"&lt;&gt;Email Marketing"
)</f>
        <v>0</v>
      </c>
      <c r="F577" s="132" t="str">
        <f t="shared" si="162"/>
        <v>N/A</v>
      </c>
      <c r="G577" s="131">
        <f>SUMIFS(All_Stats!$H:$H,
All_Stats!$D:$D,$B577,
All_Stats!$B:$B,"&gt;="&amp;EOMONTH($A577,-1)+1,
All_Stats!$B:$B,"&lt;"&amp;EOMONTH($A577,0)+1,
All_Stats!$P:$P,"&lt;&gt;Email Marketing"
)</f>
        <v>0</v>
      </c>
      <c r="H577" s="113">
        <f>SUMIFS(All_Stats!$K:$K,
All_Stats!$D:$D,$B577,
All_Stats!$B:$B,"&gt;="&amp;EOMONTH($A577,-1)+1,
All_Stats!$B:$B,"&lt;"&amp;EOMONTH($A577,0)+1,
All_Stats!$P:$P,"&lt;&gt;Email Marketing"
)</f>
        <v>0</v>
      </c>
      <c r="I577" s="152">
        <f>IFERROR(__xludf.DUMMYFUNCTION("COUNTUNIQUEIFS(All_Stats!A:A,
All_Stats!$D:$D,$B577,
All_Stats!$B:$B,""&gt;=""&amp;EOMONTH($A577,-1)+1,
All_Stats!$B:$B,""&lt;""&amp;EOMONTH($A577,0)+1,
All_Stats!$P:$P,""&lt;&gt;Email Marketing""
)"),0.0)</f>
        <v>0</v>
      </c>
      <c r="L577" s="164">
        <f t="shared" si="163"/>
        <v>0</v>
      </c>
    </row>
    <row r="578" hidden="1">
      <c r="A578" s="128">
        <v>44897.0</v>
      </c>
      <c r="B578" s="131" t="s">
        <v>164</v>
      </c>
      <c r="C578" s="134" t="s">
        <v>539</v>
      </c>
      <c r="D578" s="131">
        <f>SUMIFS(All_Stats!$G:$G,
All_Stats!$D:$D,$B578,
All_Stats!$B:$B,"&gt;="&amp;EOMONTH($A578,-1)+1,
All_Stats!$B:$B,"&lt;"&amp;EOMONTH($A578,0)+1,
All_Stats!$P:$P,"&lt;&gt;Email Marketing"
)</f>
        <v>0</v>
      </c>
      <c r="E578" s="113">
        <f>SUMIFS(All_Stats!$I:$I,
All_Stats!$D:$D,$B578,
All_Stats!$B:$B,"&gt;="&amp;EOMONTH($A578,-1)+1,
All_Stats!$B:$B,"&lt;"&amp;EOMONTH($A578,0)+1,
All_Stats!$P:$P,"&lt;&gt;Email Marketing"
)</f>
        <v>0</v>
      </c>
      <c r="F578" s="132" t="str">
        <f t="shared" si="162"/>
        <v>N/A</v>
      </c>
      <c r="G578" s="131">
        <f>SUMIFS(All_Stats!$H:$H,
All_Stats!$D:$D,$B578,
All_Stats!$B:$B,"&gt;="&amp;EOMONTH($A578,-1)+1,
All_Stats!$B:$B,"&lt;"&amp;EOMONTH($A578,0)+1,
All_Stats!$P:$P,"&lt;&gt;Email Marketing"
)</f>
        <v>0</v>
      </c>
      <c r="H578" s="113">
        <f>SUMIFS(All_Stats!$K:$K,
All_Stats!$D:$D,$B578,
All_Stats!$B:$B,"&gt;="&amp;EOMONTH($A578,-1)+1,
All_Stats!$B:$B,"&lt;"&amp;EOMONTH($A578,0)+1,
All_Stats!$P:$P,"&lt;&gt;Email Marketing"
)</f>
        <v>0</v>
      </c>
      <c r="I578" s="152">
        <f>IFERROR(__xludf.DUMMYFUNCTION("COUNTUNIQUEIFS(All_Stats!A:A,
All_Stats!$D:$D,$B578,
All_Stats!$B:$B,""&gt;=""&amp;EOMONTH($A578,-1)+1,
All_Stats!$B:$B,""&lt;""&amp;EOMONTH($A578,0)+1,
All_Stats!$P:$P,""&lt;&gt;Email Marketing""
)"),0.0)</f>
        <v>0</v>
      </c>
      <c r="L578" s="164">
        <f t="shared" si="163"/>
        <v>0</v>
      </c>
    </row>
    <row r="579" hidden="1">
      <c r="A579" s="128">
        <v>44898.0</v>
      </c>
      <c r="B579" s="129" t="s">
        <v>542</v>
      </c>
      <c r="C579" s="142" t="s">
        <v>543</v>
      </c>
      <c r="D579" s="131">
        <f>SUMIFS(All_Stats!$G:$G,
All_Stats!$D:$D,$B579,
All_Stats!$B:$B,"&gt;="&amp;EOMONTH($A579,-1)+1,
All_Stats!$B:$B,"&lt;"&amp;EOMONTH($A579,0)+1,
All_Stats!$P:$P,"&lt;&gt;Email Marketing"
)</f>
        <v>0</v>
      </c>
      <c r="E579" s="113">
        <f>SUMIFS(All_Stats!$I:$I,
All_Stats!$D:$D,$B579,
All_Stats!$B:$B,"&gt;="&amp;EOMONTH($A579,-1)+1,
All_Stats!$B:$B,"&lt;"&amp;EOMONTH($A579,0)+1,
All_Stats!$P:$P,"&lt;&gt;Email Marketing"
)</f>
        <v>0</v>
      </c>
      <c r="F579" s="132" t="str">
        <f t="shared" si="162"/>
        <v>N/A</v>
      </c>
      <c r="G579" s="131">
        <f>SUMIFS(All_Stats!$H:$H,
All_Stats!$D:$D,$B579,
All_Stats!$B:$B,"&gt;="&amp;EOMONTH($A579,-1)+1,
All_Stats!$B:$B,"&lt;"&amp;EOMONTH($A579,0)+1,
All_Stats!$P:$P,"&lt;&gt;Email Marketing"
)</f>
        <v>0</v>
      </c>
      <c r="H579" s="113">
        <f>SUMIFS(All_Stats!$K:$K,
All_Stats!$D:$D,$B579,
All_Stats!$B:$B,"&gt;="&amp;EOMONTH($A579,-1)+1,
All_Stats!$B:$B,"&lt;"&amp;EOMONTH($A579,0)+1,
All_Stats!$P:$P,"&lt;&gt;Email Marketing"
)</f>
        <v>0</v>
      </c>
      <c r="I579" s="152">
        <f>IFERROR(__xludf.DUMMYFUNCTION("COUNTUNIQUEIFS(All_Stats!A:A,
All_Stats!$D:$D,$B579,
All_Stats!$B:$B,""&gt;=""&amp;EOMONTH($A579,-1)+1,
All_Stats!$B:$B,""&lt;""&amp;EOMONTH($A579,0)+1,
All_Stats!$P:$P,""&lt;&gt;Email Marketing""
)"),0.0)</f>
        <v>0</v>
      </c>
      <c r="L579" s="164">
        <f t="shared" si="163"/>
        <v>0</v>
      </c>
    </row>
    <row r="580" hidden="1">
      <c r="A580" s="128">
        <v>44896.0</v>
      </c>
      <c r="B580" s="129" t="s">
        <v>495</v>
      </c>
      <c r="C580" s="142" t="s">
        <v>528</v>
      </c>
      <c r="D580" s="131">
        <f>SUMIFS(All_Stats!$G:$G,
All_Stats!$D:$D,$B580,
All_Stats!$B:$B,"&gt;="&amp;EOMONTH($A580,-1)+1,
All_Stats!$B:$B,"&lt;"&amp;EOMONTH($A580,0)+1,
All_Stats!$P:$P,"&lt;&gt;Email Marketing"
)</f>
        <v>0</v>
      </c>
      <c r="E580" s="113">
        <f>SUMIFS(All_Stats!$I:$I,
All_Stats!$D:$D,$B580,
All_Stats!$B:$B,"&gt;="&amp;EOMONTH($A580,-1)+1,
All_Stats!$B:$B,"&lt;"&amp;EOMONTH($A580,0)+1,
All_Stats!$P:$P,"&lt;&gt;Email Marketing"
)</f>
        <v>0</v>
      </c>
      <c r="F580" s="132" t="str">
        <f t="shared" si="162"/>
        <v>N/A</v>
      </c>
      <c r="G580" s="131">
        <f>SUMIFS(All_Stats!$H:$H,
All_Stats!$D:$D,$B580,
All_Stats!$B:$B,"&gt;="&amp;EOMONTH($A580,-1)+1,
All_Stats!$B:$B,"&lt;"&amp;EOMONTH($A580,0)+1,
All_Stats!$P:$P,"&lt;&gt;Email Marketing"
)</f>
        <v>0</v>
      </c>
      <c r="H580" s="113">
        <f>SUMIFS(All_Stats!$K:$K,
All_Stats!$D:$D,$B580,
All_Stats!$B:$B,"&gt;="&amp;EOMONTH($A580,-1)+1,
All_Stats!$B:$B,"&lt;"&amp;EOMONTH($A580,0)+1,
All_Stats!$P:$P,"&lt;&gt;Email Marketing"
)</f>
        <v>0</v>
      </c>
      <c r="I580" s="152">
        <f>IFERROR(__xludf.DUMMYFUNCTION("COUNTUNIQUEIFS(All_Stats!A:A,
All_Stats!$D:$D,$B580,
All_Stats!$B:$B,""&gt;=""&amp;EOMONTH($A580,-1)+1,
All_Stats!$B:$B,""&lt;""&amp;EOMONTH($A580,0)+1,
All_Stats!$P:$P,""&lt;&gt;Email Marketing""
)"),0.0)</f>
        <v>0</v>
      </c>
      <c r="L580" s="164">
        <f t="shared" si="163"/>
        <v>0</v>
      </c>
    </row>
    <row r="581" hidden="1">
      <c r="A581" s="128">
        <v>44896.0</v>
      </c>
      <c r="B581" s="131" t="s">
        <v>91</v>
      </c>
      <c r="C581" s="134" t="str">
        <f>if(ifna(VLOOKUP(B581,'Vendor Directory'!A:C,3,0),"NOT FOUND")="","NOT FOUND",VLOOKUP(B581,'Vendor Directory'!A:C,3,0))</f>
        <v>#N/A</v>
      </c>
      <c r="D581" s="131">
        <f>SUMIFS(All_Stats!$G:$G,
All_Stats!$D:$D,$B581,
All_Stats!$B:$B,"&gt;="&amp;EOMONTH($A581,-1)+1,
All_Stats!$B:$B,"&lt;"&amp;EOMONTH($A581,0)+1,
All_Stats!$P:$P,"&lt;&gt;Email Marketing"
)</f>
        <v>152</v>
      </c>
      <c r="E581" s="113">
        <f>SUMIFS(All_Stats!$I:$I,
All_Stats!$D:$D,$B581,
All_Stats!$B:$B,"&gt;="&amp;EOMONTH($A581,-1)+1,
All_Stats!$B:$B,"&lt;"&amp;EOMONTH($A581,0)+1,
All_Stats!$P:$P,"&lt;&gt;Email Marketing"
)</f>
        <v>39</v>
      </c>
      <c r="F581" s="132">
        <f t="shared" si="162"/>
        <v>0.2565789474</v>
      </c>
      <c r="G581" s="131">
        <f>SUMIFS(All_Stats!$H:$H,
All_Stats!$D:$D,$B581,
All_Stats!$B:$B,"&gt;="&amp;EOMONTH($A581,-1)+1,
All_Stats!$B:$B,"&lt;"&amp;EOMONTH($A581,0)+1,
All_Stats!$P:$P,"&lt;&gt;Email Marketing"
)</f>
        <v>108</v>
      </c>
      <c r="H581" s="113">
        <f>SUMIFS(All_Stats!$K:$K,
All_Stats!$D:$D,$B581,
All_Stats!$B:$B,"&gt;="&amp;EOMONTH($A581,-1)+1,
All_Stats!$B:$B,"&lt;"&amp;EOMONTH($A581,0)+1,
All_Stats!$P:$P,"&lt;&gt;Email Marketing"
)</f>
        <v>0</v>
      </c>
      <c r="I581" s="152">
        <f>IFERROR(__xludf.DUMMYFUNCTION("COUNTUNIQUEIFS(All_Stats!A:A,
All_Stats!$D:$D,$B581,
All_Stats!$B:$B,""&gt;=""&amp;EOMONTH($A581,-1)+1,
All_Stats!$B:$B,""&lt;""&amp;EOMONTH($A581,0)+1,
All_Stats!$P:$P,""&lt;&gt;Email Marketing""
)"),1.0)</f>
        <v>1</v>
      </c>
      <c r="J581" s="2"/>
      <c r="K581" s="2">
        <v>5.0</v>
      </c>
      <c r="L581" s="164">
        <f t="shared" si="163"/>
        <v>152</v>
      </c>
    </row>
    <row r="582" hidden="1">
      <c r="A582" s="128">
        <v>44896.0</v>
      </c>
      <c r="B582" s="131" t="s">
        <v>501</v>
      </c>
      <c r="C582" s="134" t="str">
        <f>if(ifna(VLOOKUP(B582,'Vendor Directory'!A:C,3,0),"NOT FOUND")="","NOT FOUND",VLOOKUP(B582,'Vendor Directory'!A:C,3,0))</f>
        <v>#N/A</v>
      </c>
      <c r="D582" s="131">
        <f>SUMIFS(All_Stats!$G:$G,
All_Stats!$D:$D,$B582,
All_Stats!$B:$B,"&gt;="&amp;EOMONTH($A582,-1)+1,
All_Stats!$B:$B,"&lt;"&amp;EOMONTH($A582,0)+1,
All_Stats!$P:$P,"&lt;&gt;Email Marketing"
)</f>
        <v>0</v>
      </c>
      <c r="E582" s="113">
        <f>SUMIFS(All_Stats!$I:$I,
All_Stats!$D:$D,$B582,
All_Stats!$B:$B,"&gt;="&amp;EOMONTH($A582,-1)+1,
All_Stats!$B:$B,"&lt;"&amp;EOMONTH($A582,0)+1,
All_Stats!$P:$P,"&lt;&gt;Email Marketing"
)</f>
        <v>0</v>
      </c>
      <c r="F582" s="132" t="str">
        <f t="shared" si="162"/>
        <v>N/A</v>
      </c>
      <c r="G582" s="131">
        <f>SUMIFS(All_Stats!$H:$H,
All_Stats!$D:$D,$B582,
All_Stats!$B:$B,"&gt;="&amp;EOMONTH($A582,-1)+1,
All_Stats!$B:$B,"&lt;"&amp;EOMONTH($A582,0)+1,
All_Stats!$P:$P,"&lt;&gt;Email Marketing"
)</f>
        <v>0</v>
      </c>
      <c r="H582" s="113">
        <f>SUMIFS(All_Stats!$K:$K,
All_Stats!$D:$D,$B582,
All_Stats!$B:$B,"&gt;="&amp;EOMONTH($A582,-1)+1,
All_Stats!$B:$B,"&lt;"&amp;EOMONTH($A582,0)+1,
All_Stats!$P:$P,"&lt;&gt;Email Marketing"
)</f>
        <v>0</v>
      </c>
      <c r="I582" s="152">
        <f>IFERROR(__xludf.DUMMYFUNCTION("COUNTUNIQUEIFS(All_Stats!A:A,
All_Stats!$D:$D,$B582,
All_Stats!$B:$B,""&gt;=""&amp;EOMONTH($A582,-1)+1,
All_Stats!$B:$B,""&lt;""&amp;EOMONTH($A582,0)+1,
All_Stats!$P:$P,""&lt;&gt;Email Marketing""
)"),0.0)</f>
        <v>0</v>
      </c>
      <c r="L582" s="164">
        <f t="shared" si="163"/>
        <v>0</v>
      </c>
    </row>
    <row r="583" hidden="1">
      <c r="A583" s="128">
        <v>44896.0</v>
      </c>
      <c r="B583" s="129" t="s">
        <v>417</v>
      </c>
      <c r="C583" s="142" t="s">
        <v>540</v>
      </c>
      <c r="D583" s="131">
        <f>SUMIFS(All_Stats!$G:$G,
All_Stats!$D:$D,$B583,
All_Stats!$B:$B,"&gt;="&amp;EOMONTH($A583,-1)+1,
All_Stats!$B:$B,"&lt;"&amp;EOMONTH($A583,0)+1,
All_Stats!$P:$P,"&lt;&gt;Email Marketing"
)</f>
        <v>0</v>
      </c>
      <c r="E583" s="113">
        <f>SUMIFS(All_Stats!$I:$I,
All_Stats!$D:$D,$B583,
All_Stats!$B:$B,"&gt;="&amp;EOMONTH($A583,-1)+1,
All_Stats!$B:$B,"&lt;"&amp;EOMONTH($A583,0)+1,
All_Stats!$P:$P,"&lt;&gt;Email Marketing"
)</f>
        <v>0</v>
      </c>
      <c r="F583" s="132" t="str">
        <f t="shared" si="162"/>
        <v>N/A</v>
      </c>
      <c r="G583" s="131">
        <f>SUMIFS(All_Stats!$H:$H,
All_Stats!$D:$D,$B583,
All_Stats!$B:$B,"&gt;="&amp;EOMONTH($A583,-1)+1,
All_Stats!$B:$B,"&lt;"&amp;EOMONTH($A583,0)+1,
All_Stats!$P:$P,"&lt;&gt;Email Marketing"
)</f>
        <v>0</v>
      </c>
      <c r="H583" s="113">
        <f>SUMIFS(All_Stats!$K:$K,
All_Stats!$D:$D,$B583,
All_Stats!$B:$B,"&gt;="&amp;EOMONTH($A583,-1)+1,
All_Stats!$B:$B,"&lt;"&amp;EOMONTH($A583,0)+1,
All_Stats!$P:$P,"&lt;&gt;Email Marketing"
)</f>
        <v>0</v>
      </c>
      <c r="I583" s="152">
        <f>IFERROR(__xludf.DUMMYFUNCTION("COUNTUNIQUEIFS(All_Stats!A:A,
All_Stats!$D:$D,$B583,
All_Stats!$B:$B,""&gt;=""&amp;EOMONTH($A583,-1)+1,
All_Stats!$B:$B,""&lt;""&amp;EOMONTH($A583,0)+1,
All_Stats!$P:$P,""&lt;&gt;Email Marketing""
)"),0.0)</f>
        <v>0</v>
      </c>
      <c r="L583" s="164">
        <f t="shared" si="163"/>
        <v>0</v>
      </c>
    </row>
    <row r="584" hidden="1">
      <c r="A584" s="128">
        <v>44897.0</v>
      </c>
      <c r="B584" s="190" t="s">
        <v>313</v>
      </c>
      <c r="C584" s="191" t="s">
        <v>541</v>
      </c>
      <c r="D584" s="131">
        <f>SUMIFS(All_Stats!$G:$G,
All_Stats!$D:$D,$B584,
All_Stats!$B:$B,"&gt;="&amp;EOMONTH($A584,-1)+1,
All_Stats!$B:$B,"&lt;"&amp;EOMONTH($A584,0)+1,
All_Stats!$P:$P,"&lt;&gt;Email Marketing"
)</f>
        <v>0</v>
      </c>
      <c r="E584" s="113">
        <f>SUMIFS(All_Stats!$I:$I,
All_Stats!$D:$D,$B584,
All_Stats!$B:$B,"&gt;="&amp;EOMONTH($A584,-1)+1,
All_Stats!$B:$B,"&lt;"&amp;EOMONTH($A584,0)+1,
All_Stats!$P:$P,"&lt;&gt;Email Marketing"
)</f>
        <v>0</v>
      </c>
      <c r="F584" s="132" t="str">
        <f t="shared" si="162"/>
        <v>N/A</v>
      </c>
      <c r="G584" s="131">
        <f>SUMIFS(All_Stats!$H:$H,
All_Stats!$D:$D,$B584,
All_Stats!$B:$B,"&gt;="&amp;EOMONTH($A584,-1)+1,
All_Stats!$B:$B,"&lt;"&amp;EOMONTH($A584,0)+1,
All_Stats!$P:$P,"&lt;&gt;Email Marketing"
)</f>
        <v>0</v>
      </c>
      <c r="H584" s="113">
        <f>SUMIFS(All_Stats!$K:$K,
All_Stats!$D:$D,$B584,
All_Stats!$B:$B,"&gt;="&amp;EOMONTH($A584,-1)+1,
All_Stats!$B:$B,"&lt;"&amp;EOMONTH($A584,0)+1,
All_Stats!$P:$P,"&lt;&gt;Email Marketing"
)</f>
        <v>0</v>
      </c>
      <c r="I584" s="152">
        <f>IFERROR(__xludf.DUMMYFUNCTION("COUNTUNIQUEIFS(All_Stats!A:A,
All_Stats!$D:$D,$B584,
All_Stats!$B:$B,""&gt;=""&amp;EOMONTH($A584,-1)+1,
All_Stats!$B:$B,""&lt;""&amp;EOMONTH($A584,0)+1,
All_Stats!$P:$P,""&lt;&gt;Email Marketing""
)"),0.0)</f>
        <v>0</v>
      </c>
      <c r="L584" s="164">
        <f t="shared" si="163"/>
        <v>0</v>
      </c>
    </row>
    <row r="585" hidden="1">
      <c r="A585" s="128">
        <v>44896.0</v>
      </c>
      <c r="B585" s="129" t="s">
        <v>79</v>
      </c>
      <c r="C585" s="130" t="s">
        <v>488</v>
      </c>
      <c r="D585" s="131">
        <f>SUMIFS(All_Stats!$G:$G,
All_Stats!$D:$D,$B585,
All_Stats!$B:$B,"&gt;="&amp;EOMONTH($A585,-1)+1,
All_Stats!$B:$B,"&lt;"&amp;EOMONTH($A585,0)+1,
All_Stats!$P:$P,"&lt;&gt;Email Marketing"
)</f>
        <v>0</v>
      </c>
      <c r="E585" s="113">
        <f>SUMIFS(All_Stats!$I:$I,
All_Stats!$D:$D,$B585,
All_Stats!$B:$B,"&gt;="&amp;EOMONTH($A585,-1)+1,
All_Stats!$B:$B,"&lt;"&amp;EOMONTH($A585,0)+1,
All_Stats!$P:$P,"&lt;&gt;Email Marketing"
)</f>
        <v>0</v>
      </c>
      <c r="F585" s="132" t="str">
        <f t="shared" si="162"/>
        <v>N/A</v>
      </c>
      <c r="G585" s="131">
        <f>SUMIFS(All_Stats!$H:$H,
All_Stats!$D:$D,$B585,
All_Stats!$B:$B,"&gt;="&amp;EOMONTH($A585,-1)+1,
All_Stats!$B:$B,"&lt;"&amp;EOMONTH($A585,0)+1,
All_Stats!$P:$P,"&lt;&gt;Email Marketing"
)</f>
        <v>0</v>
      </c>
      <c r="H585" s="113">
        <f>SUMIFS(All_Stats!$K:$K,
All_Stats!$D:$D,$B585,
All_Stats!$B:$B,"&gt;="&amp;EOMONTH($A585,-1)+1,
All_Stats!$B:$B,"&lt;"&amp;EOMONTH($A585,0)+1,
All_Stats!$P:$P,"&lt;&gt;Email Marketing"
)</f>
        <v>0</v>
      </c>
      <c r="I585" s="152">
        <f>IFERROR(__xludf.DUMMYFUNCTION("COUNTUNIQUEIFS(All_Stats!A:A,
All_Stats!$D:$D,$B585,
All_Stats!$B:$B,""&gt;=""&amp;EOMONTH($A585,-1)+1,
All_Stats!$B:$B,""&lt;""&amp;EOMONTH($A585,0)+1,
All_Stats!$P:$P,""&lt;&gt;Email Marketing""
)"),0.0)</f>
        <v>0</v>
      </c>
      <c r="L585" s="164">
        <f t="shared" si="163"/>
        <v>0</v>
      </c>
    </row>
    <row r="586" hidden="1">
      <c r="A586" s="128">
        <v>44896.0</v>
      </c>
      <c r="B586" s="129" t="s">
        <v>33</v>
      </c>
      <c r="C586" s="142" t="s">
        <v>492</v>
      </c>
      <c r="D586" s="131">
        <f>SUMIFS(All_Stats!$G:$G,
All_Stats!$D:$D,$B586,
All_Stats!$B:$B,"&gt;="&amp;EOMONTH($A586,-1)+1,
All_Stats!$B:$B,"&lt;"&amp;EOMONTH($A586,0)+1,
All_Stats!$P:$P,"&lt;&gt;Email Marketing"
)</f>
        <v>0</v>
      </c>
      <c r="E586" s="113">
        <f>SUMIFS(All_Stats!$I:$I,
All_Stats!$D:$D,$B586,
All_Stats!$B:$B,"&gt;="&amp;EOMONTH($A586,-1)+1,
All_Stats!$B:$B,"&lt;"&amp;EOMONTH($A586,0)+1,
All_Stats!$P:$P,"&lt;&gt;Email Marketing"
)</f>
        <v>0</v>
      </c>
      <c r="F586" s="132" t="str">
        <f t="shared" si="162"/>
        <v>N/A</v>
      </c>
      <c r="G586" s="131">
        <f>SUMIFS(All_Stats!$H:$H,
All_Stats!$D:$D,$B586,
All_Stats!$B:$B,"&gt;="&amp;EOMONTH($A586,-1)+1,
All_Stats!$B:$B,"&lt;"&amp;EOMONTH($A586,0)+1,
All_Stats!$P:$P,"&lt;&gt;Email Marketing"
)</f>
        <v>0</v>
      </c>
      <c r="H586" s="113">
        <f>SUMIFS(All_Stats!$K:$K,
All_Stats!$D:$D,$B586,
All_Stats!$B:$B,"&gt;="&amp;EOMONTH($A586,-1)+1,
All_Stats!$B:$B,"&lt;"&amp;EOMONTH($A586,0)+1,
All_Stats!$P:$P,"&lt;&gt;Email Marketing"
)</f>
        <v>0</v>
      </c>
      <c r="I586" s="152">
        <f>IFERROR(__xludf.DUMMYFUNCTION("COUNTUNIQUEIFS(All_Stats!A:A,
All_Stats!$D:$D,$B586,
All_Stats!$B:$B,""&gt;=""&amp;EOMONTH($A586,-1)+1,
All_Stats!$B:$B,""&lt;""&amp;EOMONTH($A586,0)+1,
All_Stats!$P:$P,""&lt;&gt;Email Marketing""
)"),0.0)</f>
        <v>0</v>
      </c>
      <c r="J586" s="2"/>
      <c r="K586" s="2">
        <v>10.0</v>
      </c>
      <c r="L586" s="164">
        <f t="shared" si="163"/>
        <v>10</v>
      </c>
    </row>
    <row r="587" hidden="1">
      <c r="A587" s="128">
        <v>44896.0</v>
      </c>
      <c r="B587" s="129" t="s">
        <v>109</v>
      </c>
      <c r="C587" s="130" t="s">
        <v>490</v>
      </c>
      <c r="D587" s="131">
        <f>SUMIFS(All_Stats!$G:$G,
All_Stats!$D:$D,$B587,
All_Stats!$B:$B,"&gt;="&amp;EOMONTH($A587,-1)+1,
All_Stats!$B:$B,"&lt;"&amp;EOMONTH($A587,0)+1,
All_Stats!$P:$P,"&lt;&gt;Email Marketing"
)</f>
        <v>0</v>
      </c>
      <c r="E587" s="113">
        <f>SUMIFS(All_Stats!$I:$I,
All_Stats!$D:$D,$B587,
All_Stats!$B:$B,"&gt;="&amp;EOMONTH($A587,-1)+1,
All_Stats!$B:$B,"&lt;"&amp;EOMONTH($A587,0)+1,
All_Stats!$P:$P,"&lt;&gt;Email Marketing"
)</f>
        <v>0</v>
      </c>
      <c r="F587" s="132" t="str">
        <f t="shared" si="162"/>
        <v>N/A</v>
      </c>
      <c r="G587" s="131">
        <f>SUMIFS(All_Stats!$H:$H,
All_Stats!$D:$D,$B587,
All_Stats!$B:$B,"&gt;="&amp;EOMONTH($A587,-1)+1,
All_Stats!$B:$B,"&lt;"&amp;EOMONTH($A587,0)+1,
All_Stats!$P:$P,"&lt;&gt;Email Marketing"
)</f>
        <v>0</v>
      </c>
      <c r="H587" s="113">
        <f>SUMIFS(All_Stats!$K:$K,
All_Stats!$D:$D,$B587,
All_Stats!$B:$B,"&gt;="&amp;EOMONTH($A587,-1)+1,
All_Stats!$B:$B,"&lt;"&amp;EOMONTH($A587,0)+1,
All_Stats!$P:$P,"&lt;&gt;Email Marketing"
)</f>
        <v>0</v>
      </c>
      <c r="I587" s="152">
        <f>IFERROR(__xludf.DUMMYFUNCTION("COUNTUNIQUEIFS(All_Stats!A:A,
All_Stats!$D:$D,$B587,
All_Stats!$B:$B,""&gt;=""&amp;EOMONTH($A587,-1)+1,
All_Stats!$B:$B,""&lt;""&amp;EOMONTH($A587,0)+1,
All_Stats!$P:$P,""&lt;&gt;Email Marketing""
)"),0.0)</f>
        <v>0</v>
      </c>
      <c r="L587" s="164">
        <f t="shared" si="163"/>
        <v>0</v>
      </c>
    </row>
    <row r="588" hidden="1">
      <c r="A588" s="135"/>
      <c r="B588" s="135"/>
      <c r="C588" s="136" t="s">
        <v>23</v>
      </c>
      <c r="D588" s="137">
        <f t="shared" ref="D588:E588" si="164">SUM(D574:D587)</f>
        <v>200</v>
      </c>
      <c r="E588" s="137">
        <f t="shared" si="164"/>
        <v>43</v>
      </c>
      <c r="F588" s="138">
        <f t="shared" si="162"/>
        <v>0.215</v>
      </c>
      <c r="G588" s="137">
        <f t="shared" ref="G588:H588" si="165">SUM(G574:G587)</f>
        <v>152</v>
      </c>
      <c r="H588" s="137">
        <f t="shared" si="165"/>
        <v>0</v>
      </c>
      <c r="I588" s="139"/>
      <c r="K588" s="164">
        <f>SUM(K574:K587)</f>
        <v>15</v>
      </c>
      <c r="L588" s="164">
        <f t="shared" si="163"/>
        <v>210</v>
      </c>
    </row>
    <row r="589" hidden="1">
      <c r="A589" s="131"/>
      <c r="B589" s="131"/>
      <c r="C589" s="131"/>
      <c r="D589" s="140"/>
      <c r="F589" s="131"/>
      <c r="G589" s="131"/>
    </row>
    <row r="590" hidden="1">
      <c r="A590" s="131"/>
      <c r="B590" s="131"/>
      <c r="C590" s="131"/>
      <c r="D590" s="140">
        <f t="shared" ref="D590:E590" si="166">D571+D588</f>
        <v>200</v>
      </c>
      <c r="E590" s="140">
        <f t="shared" si="166"/>
        <v>43</v>
      </c>
      <c r="F590" s="131"/>
      <c r="G590" s="140">
        <f t="shared" ref="G590:H590" si="167">G571+G588</f>
        <v>152</v>
      </c>
      <c r="H590" s="140">
        <f t="shared" si="167"/>
        <v>0</v>
      </c>
      <c r="K590" s="164">
        <f>sum(K571,K588)</f>
        <v>24</v>
      </c>
      <c r="L590" s="164">
        <f>sum(E590,G590,H590,K590)</f>
        <v>219</v>
      </c>
    </row>
    <row r="591" hidden="1">
      <c r="A591" s="131"/>
      <c r="B591" s="131"/>
      <c r="C591" s="131"/>
      <c r="D591" s="140"/>
      <c r="F591" s="131"/>
      <c r="G591" s="131"/>
    </row>
    <row r="592">
      <c r="A592" s="192">
        <v>2023.0</v>
      </c>
      <c r="B592" s="119"/>
      <c r="C592" s="119"/>
      <c r="D592" s="119"/>
      <c r="E592" s="119"/>
      <c r="F592" s="119"/>
      <c r="G592" s="119"/>
      <c r="H592" s="119"/>
      <c r="I592" s="120"/>
    </row>
    <row r="593" hidden="1">
      <c r="C593" s="118" t="s">
        <v>484</v>
      </c>
      <c r="D593" s="119"/>
      <c r="E593" s="119"/>
      <c r="F593" s="119"/>
      <c r="G593" s="119"/>
      <c r="H593" s="119"/>
      <c r="I593" s="120"/>
    </row>
    <row r="594" hidden="1">
      <c r="A594" s="121" t="s">
        <v>1</v>
      </c>
      <c r="B594" s="122" t="s">
        <v>485</v>
      </c>
      <c r="C594" s="123" t="s">
        <v>486</v>
      </c>
      <c r="D594" s="124" t="s">
        <v>6</v>
      </c>
      <c r="E594" s="125" t="s">
        <v>8</v>
      </c>
      <c r="F594" s="124" t="s">
        <v>479</v>
      </c>
      <c r="G594" s="126" t="s">
        <v>7</v>
      </c>
      <c r="H594" s="125" t="s">
        <v>10</v>
      </c>
      <c r="I594" s="127" t="s">
        <v>487</v>
      </c>
      <c r="J594" s="2" t="s">
        <v>544</v>
      </c>
    </row>
    <row r="595" hidden="1">
      <c r="A595" s="128">
        <v>44927.0</v>
      </c>
      <c r="B595" s="131" t="s">
        <v>164</v>
      </c>
      <c r="C595" s="134" t="str">
        <f>if(ifna(VLOOKUP(B595,'Vendor Directory'!A:C,3,0),"NOT FOUND")="","NOT FOUND",VLOOKUP(B595,'Vendor Directory'!A:C,3,0))</f>
        <v>#N/A</v>
      </c>
      <c r="D595" s="131">
        <f>SUMIFS(All_Stats!$G:$G,
All_Stats!$D:$D,$B595,
All_Stats!$B:$B,"&gt;="&amp;EOMONTH($A595,-1)+1,
All_Stats!$B:$B,"&lt;"&amp;EOMONTH($A595,0)+1,
All_Stats!$P:$P,"Email Marketing"
)</f>
        <v>0</v>
      </c>
      <c r="E595" s="113">
        <f>SUMIFS(All_Stats!$I:$I,
All_Stats!$D:$D,$B595,
All_Stats!$B:$B,"&gt;="&amp;EOMONTH($A595,-1)+1,
All_Stats!$B:$B,"&lt;"&amp;EOMONTH($A595,0)+1,
All_Stats!$P:$P,"Email Marketing"
)</f>
        <v>0</v>
      </c>
      <c r="F595" s="132" t="str">
        <f t="shared" ref="F595:F598" si="168">iferror(E595/D595,"N/A")</f>
        <v>N/A</v>
      </c>
      <c r="G595" s="131">
        <f>SUMIFS(All_Stats!$H:$H,
All_Stats!$D:$D,$B595,
All_Stats!$B:$B,"&gt;="&amp;EOMONTH($A595,-1)+1,
All_Stats!$B:$B,"&lt;"&amp;EOMONTH($A595,0)+1,
All_Stats!$P:$P,"Email Marketing"
)</f>
        <v>0</v>
      </c>
      <c r="H595" s="113">
        <f>SUMIFS(All_Stats!$K:$K,
All_Stats!$D:$D,$B595,
All_Stats!$B:$B,"&gt;="&amp;EOMONTH($A595,-1)+1,
All_Stats!$B:$B,"&lt;"&amp;EOMONTH($A595,0)+1,
All_Stats!$P:$P,"Email Marketing"
)</f>
        <v>0</v>
      </c>
      <c r="I595" s="133">
        <f>IFERROR(__xludf.DUMMYFUNCTION("COUNTUNIQUEIFS(All_Stats!A:A,
All_Stats!$D:$D,$B595,
All_Stats!$B:$B,""&gt;=""&amp;EOMONTH($A595,-1)+1,
All_Stats!$B:$B,""&lt;""&amp;EOMONTH($A595,0)+1,
All_Stats!$P:$P,""Email Marketing""
)"),0.0)</f>
        <v>0</v>
      </c>
      <c r="J595" s="193">
        <v>1.0</v>
      </c>
      <c r="K595" s="164">
        <f t="shared" ref="K595:K597" si="169">G595+H595+E595+J595</f>
        <v>1</v>
      </c>
    </row>
    <row r="596" hidden="1">
      <c r="A596" s="128">
        <v>44927.0</v>
      </c>
      <c r="B596" s="129" t="s">
        <v>79</v>
      </c>
      <c r="C596" s="130" t="s">
        <v>488</v>
      </c>
      <c r="D596" s="131">
        <f>SUMIFS(All_Stats!$G:$G,
All_Stats!$D:$D,$B596,
All_Stats!$B:$B,"&gt;="&amp;EOMONTH($A596,-1)+1,
All_Stats!$B:$B,"&lt;"&amp;EOMONTH($A596,0)+1,
All_Stats!$P:$P,"Email Marketing"
)</f>
        <v>0</v>
      </c>
      <c r="E596" s="113">
        <f>SUMIFS(All_Stats!$I:$I,
All_Stats!$D:$D,$B596,
All_Stats!$B:$B,"&gt;="&amp;EOMONTH($A596,-1)+1,
All_Stats!$B:$B,"&lt;"&amp;EOMONTH($A596,0)+1,
All_Stats!$P:$P,"Email Marketing"
)</f>
        <v>0</v>
      </c>
      <c r="F596" s="132" t="str">
        <f t="shared" si="168"/>
        <v>N/A</v>
      </c>
      <c r="G596" s="131">
        <f>SUMIFS(All_Stats!$H:$H,
All_Stats!$D:$D,$B596,
All_Stats!$B:$B,"&gt;="&amp;EOMONTH($A596,-1)+1,
All_Stats!$B:$B,"&lt;"&amp;EOMONTH($A596,0)+1,
All_Stats!$P:$P,"Email Marketing"
)</f>
        <v>0</v>
      </c>
      <c r="H596" s="113">
        <f>SUMIFS(All_Stats!$K:$K,
All_Stats!$D:$D,$B596,
All_Stats!$B:$B,"&gt;="&amp;EOMONTH($A596,-1)+1,
All_Stats!$B:$B,"&lt;"&amp;EOMONTH($A596,0)+1,
All_Stats!$P:$P,"Email Marketing"
)</f>
        <v>0</v>
      </c>
      <c r="I596" s="133">
        <f>IFERROR(__xludf.DUMMYFUNCTION("COUNTUNIQUEIFS(All_Stats!A:A,
All_Stats!$D:$D,$B596,
All_Stats!$B:$B,""&gt;=""&amp;EOMONTH($A596,-1)+1,
All_Stats!$B:$B,""&lt;""&amp;EOMONTH($A596,0)+1,
All_Stats!$P:$P,""Email Marketing""
)"),0.0)</f>
        <v>0</v>
      </c>
      <c r="K596" s="164">
        <f t="shared" si="169"/>
        <v>0</v>
      </c>
    </row>
    <row r="597" hidden="1">
      <c r="A597" s="128">
        <v>44927.0</v>
      </c>
      <c r="B597" s="129" t="s">
        <v>313</v>
      </c>
      <c r="C597" s="142" t="s">
        <v>525</v>
      </c>
      <c r="D597" s="131">
        <f>SUMIFS(All_Stats!$G:$G,
All_Stats!$D:$D,$B597,
All_Stats!$B:$B,"&gt;="&amp;EOMONTH($A597,-1)+1,
All_Stats!$B:$B,"&lt;"&amp;EOMONTH($A597,0)+1,
All_Stats!$P:$P,"Email Marketing"
)</f>
        <v>0</v>
      </c>
      <c r="E597" s="113">
        <f>SUMIFS(All_Stats!$I:$I,
All_Stats!$D:$D,$B597,
All_Stats!$B:$B,"&gt;="&amp;EOMONTH($A597,-1)+1,
All_Stats!$B:$B,"&lt;"&amp;EOMONTH($A597,0)+1,
All_Stats!$P:$P,"Email Marketing"
)</f>
        <v>0</v>
      </c>
      <c r="F597" s="132" t="str">
        <f t="shared" si="168"/>
        <v>N/A</v>
      </c>
      <c r="G597" s="131">
        <f>SUMIFS(All_Stats!$H:$H,
All_Stats!$D:$D,$B597,
All_Stats!$B:$B,"&gt;="&amp;EOMONTH($A597,-1)+1,
All_Stats!$B:$B,"&lt;"&amp;EOMONTH($A597,0)+1,
All_Stats!$P:$P,"Email Marketing"
)</f>
        <v>0</v>
      </c>
      <c r="H597" s="113">
        <f>SUMIFS(All_Stats!$K:$K,
All_Stats!$D:$D,$B597,
All_Stats!$B:$B,"&gt;="&amp;EOMONTH($A597,-1)+1,
All_Stats!$B:$B,"&lt;"&amp;EOMONTH($A597,0)+1,
All_Stats!$P:$P,"Email Marketing"
)</f>
        <v>0</v>
      </c>
      <c r="I597" s="133">
        <f>IFERROR(__xludf.DUMMYFUNCTION("COUNTUNIQUEIFS(All_Stats!A:A,
All_Stats!$D:$D,$B597,
All_Stats!$B:$B,""&gt;=""&amp;EOMONTH($A597,-1)+1,
All_Stats!$B:$B,""&lt;""&amp;EOMONTH($A597,0)+1,
All_Stats!$P:$P,""Email Marketing""
)"),0.0)</f>
        <v>0</v>
      </c>
      <c r="J597" s="30"/>
      <c r="K597" s="164">
        <f t="shared" si="169"/>
        <v>0</v>
      </c>
    </row>
    <row r="598" hidden="1">
      <c r="A598" s="135"/>
      <c r="B598" s="135"/>
      <c r="C598" s="136" t="s">
        <v>23</v>
      </c>
      <c r="D598" s="137">
        <f t="shared" ref="D598:E598" si="170">SUM(D595:D597)</f>
        <v>0</v>
      </c>
      <c r="E598" s="137">
        <f t="shared" si="170"/>
        <v>0</v>
      </c>
      <c r="F598" s="138" t="str">
        <f t="shared" si="168"/>
        <v>N/A</v>
      </c>
      <c r="G598" s="137">
        <f t="shared" ref="G598:H598" si="171">SUM(G595:G597)</f>
        <v>0</v>
      </c>
      <c r="H598" s="137">
        <f t="shared" si="171"/>
        <v>0</v>
      </c>
      <c r="I598" s="139"/>
      <c r="J598" s="30"/>
      <c r="K598" s="164">
        <f>G598+H598+E598+J595</f>
        <v>1</v>
      </c>
    </row>
    <row r="599" hidden="1">
      <c r="A599" s="131"/>
      <c r="B599" s="131"/>
      <c r="C599" s="131"/>
      <c r="D599" s="140"/>
      <c r="F599" s="131"/>
      <c r="G599" s="131"/>
      <c r="J599" s="30"/>
    </row>
    <row r="600" hidden="1">
      <c r="A600" s="121" t="s">
        <v>1</v>
      </c>
      <c r="B600" s="122" t="s">
        <v>485</v>
      </c>
      <c r="C600" s="123" t="s">
        <v>486</v>
      </c>
      <c r="D600" s="124" t="s">
        <v>6</v>
      </c>
      <c r="E600" s="125" t="s">
        <v>8</v>
      </c>
      <c r="F600" s="124" t="s">
        <v>479</v>
      </c>
      <c r="G600" s="126" t="s">
        <v>7</v>
      </c>
      <c r="H600" s="125" t="s">
        <v>10</v>
      </c>
      <c r="I600" s="127" t="s">
        <v>487</v>
      </c>
      <c r="J600" s="30"/>
    </row>
    <row r="601" hidden="1">
      <c r="A601" s="128">
        <v>44927.0</v>
      </c>
      <c r="B601" s="129" t="s">
        <v>19</v>
      </c>
      <c r="C601" s="141" t="s">
        <v>489</v>
      </c>
      <c r="D601" s="131">
        <f>SUMIFS(All_Stats!$G:$G,
All_Stats!$D:$D,$B601,
All_Stats!$B:$B,"&gt;="&amp;EOMONTH($A601,-1)+1,
All_Stats!$B:$B,"&lt;"&amp;EOMONTH($A601,0)+1,
All_Stats!$P:$P,"&lt;&gt;Email Marketing"
)</f>
        <v>0</v>
      </c>
      <c r="E601" s="113">
        <f>SUMIFS(All_Stats!$I:$I,
All_Stats!$D:$D,$B601,
All_Stats!$B:$B,"&gt;="&amp;EOMONTH($A601,-1)+1,
All_Stats!$B:$B,"&lt;"&amp;EOMONTH($A601,0)+1,
All_Stats!$P:$P,"&lt;&gt;Email Marketing"
)</f>
        <v>0</v>
      </c>
      <c r="F601" s="132" t="str">
        <f t="shared" ref="F601:F614" si="172">iferror(E601/D601,"N/A")</f>
        <v>N/A</v>
      </c>
      <c r="G601" s="131">
        <f>SUMIFS(All_Stats!$H:$H,
All_Stats!$D:$D,$B601,
All_Stats!$B:$B,"&gt;="&amp;EOMONTH($A601,-1)+1,
All_Stats!$B:$B,"&lt;"&amp;EOMONTH($A601,0)+1,
All_Stats!$P:$P,"&lt;&gt;Email Marketing"
)</f>
        <v>0</v>
      </c>
      <c r="H601" s="113">
        <f>SUMIFS(All_Stats!$K:$K,
All_Stats!$D:$D,$B601,
All_Stats!$B:$B,"&gt;="&amp;EOMONTH($A601,-1)+1,
All_Stats!$B:$B,"&lt;"&amp;EOMONTH($A601,0)+1,
All_Stats!$P:$P,"&lt;&gt;Email Marketing"
)</f>
        <v>0</v>
      </c>
      <c r="I601" s="133">
        <f>IFERROR(__xludf.DUMMYFUNCTION("COUNTUNIQUEIFS(All_Stats!A:A,
All_Stats!$D:$D,$B601,
All_Stats!$B:$B,""&gt;=""&amp;EOMONTH($A601,-1)+1,
All_Stats!$B:$B,""&lt;""&amp;EOMONTH($A601,0)+1,
All_Stats!$P:$P,""&lt;&gt;Email Marketing""
)"),0.0)</f>
        <v>0</v>
      </c>
      <c r="J601" s="193">
        <v>3.0</v>
      </c>
      <c r="K601" s="164">
        <f t="shared" ref="K601:K603" si="173">G601+H601+E601+J601</f>
        <v>3</v>
      </c>
    </row>
    <row r="602" hidden="1">
      <c r="A602" s="128">
        <v>44927.0</v>
      </c>
      <c r="B602" s="131" t="s">
        <v>127</v>
      </c>
      <c r="C602" s="134" t="str">
        <f>if(ifna(VLOOKUP(B602,'Vendor Directory'!A:C,3,0),"NOT FOUND")="","NOT FOUND",VLOOKUP(B602,'Vendor Directory'!A:C,3,0))</f>
        <v>#N/A</v>
      </c>
      <c r="D602" s="131">
        <f>SUMIFS(All_Stats!$G:$G,
All_Stats!$D:$D,$B602,
All_Stats!$B:$B,"&gt;="&amp;EOMONTH($A602,-1)+1,
All_Stats!$B:$B,"&lt;"&amp;EOMONTH($A602,0)+1,
All_Stats!$P:$P,"&lt;&gt;Email Marketing"
)</f>
        <v>0</v>
      </c>
      <c r="E602" s="113">
        <f>SUMIFS(All_Stats!$I:$I,
All_Stats!$D:$D,$B602,
All_Stats!$B:$B,"&gt;="&amp;EOMONTH($A602,-1)+1,
All_Stats!$B:$B,"&lt;"&amp;EOMONTH($A602,0)+1,
All_Stats!$P:$P,"&lt;&gt;Email Marketing"
)</f>
        <v>0</v>
      </c>
      <c r="F602" s="132" t="str">
        <f t="shared" si="172"/>
        <v>N/A</v>
      </c>
      <c r="G602" s="131">
        <f>SUMIFS(All_Stats!$H:$H,
All_Stats!$D:$D,$B602,
All_Stats!$B:$B,"&gt;="&amp;EOMONTH($A602,-1)+1,
All_Stats!$B:$B,"&lt;"&amp;EOMONTH($A602,0)+1,
All_Stats!$P:$P,"&lt;&gt;Email Marketing"
)</f>
        <v>0</v>
      </c>
      <c r="H602" s="113">
        <f>SUMIFS(All_Stats!$K:$K,
All_Stats!$D:$D,$B602,
All_Stats!$B:$B,"&gt;="&amp;EOMONTH($A602,-1)+1,
All_Stats!$B:$B,"&lt;"&amp;EOMONTH($A602,0)+1,
All_Stats!$P:$P,"&lt;&gt;Email Marketing"
)</f>
        <v>0</v>
      </c>
      <c r="I602" s="133">
        <f>IFERROR(__xludf.DUMMYFUNCTION("COUNTUNIQUEIFS(All_Stats!A:A,
All_Stats!$D:$D,$B602,
All_Stats!$B:$B,""&gt;=""&amp;EOMONTH($A602,-1)+1,
All_Stats!$B:$B,""&lt;""&amp;EOMONTH($A602,0)+1,
All_Stats!$P:$P,""&lt;&gt;Email Marketing""
)"),0.0)</f>
        <v>0</v>
      </c>
      <c r="J602" s="193">
        <v>5.0</v>
      </c>
      <c r="K602" s="164">
        <f t="shared" si="173"/>
        <v>5</v>
      </c>
    </row>
    <row r="603" hidden="1">
      <c r="A603" s="128">
        <v>44927.0</v>
      </c>
      <c r="B603" s="131" t="s">
        <v>157</v>
      </c>
      <c r="C603" s="134" t="str">
        <f>if(ifna(VLOOKUP(B603,'Vendor Directory'!A:C,3,0),"NOT FOUND")="","NOT FOUND",VLOOKUP(B603,'Vendor Directory'!A:C,3,0))</f>
        <v>#N/A</v>
      </c>
      <c r="D603" s="131">
        <f>SUMIFS(All_Stats!$G:$G,
All_Stats!$D:$D,$B603,
All_Stats!$B:$B,"&gt;="&amp;EOMONTH($A603,-1)+1,
All_Stats!$B:$B,"&lt;"&amp;EOMONTH($A603,0)+1,
All_Stats!$P:$P,"&lt;&gt;Email Marketing"
)</f>
        <v>0</v>
      </c>
      <c r="E603" s="113">
        <f>SUMIFS(All_Stats!$I:$I,
All_Stats!$D:$D,$B603,
All_Stats!$B:$B,"&gt;="&amp;EOMONTH($A603,-1)+1,
All_Stats!$B:$B,"&lt;"&amp;EOMONTH($A603,0)+1,
All_Stats!$P:$P,"&lt;&gt;Email Marketing"
)</f>
        <v>0</v>
      </c>
      <c r="F603" s="132" t="str">
        <f t="shared" si="172"/>
        <v>N/A</v>
      </c>
      <c r="G603" s="131">
        <f>SUMIFS(All_Stats!$H:$H,
All_Stats!$D:$D,$B603,
All_Stats!$B:$B,"&gt;="&amp;EOMONTH($A603,-1)+1,
All_Stats!$B:$B,"&lt;"&amp;EOMONTH($A603,0)+1,
All_Stats!$P:$P,"&lt;&gt;Email Marketing"
)</f>
        <v>0</v>
      </c>
      <c r="H603" s="113">
        <f>SUMIFS(All_Stats!$K:$K,
All_Stats!$D:$D,$B603,
All_Stats!$B:$B,"&gt;="&amp;EOMONTH($A603,-1)+1,
All_Stats!$B:$B,"&lt;"&amp;EOMONTH($A603,0)+1,
All_Stats!$P:$P,"&lt;&gt;Email Marketing"
)</f>
        <v>0</v>
      </c>
      <c r="I603" s="133">
        <f>IFERROR(__xludf.DUMMYFUNCTION("COUNTUNIQUEIFS(All_Stats!A:A,
All_Stats!$D:$D,$B603,
All_Stats!$B:$B,""&gt;=""&amp;EOMONTH($A603,-1)+1,
All_Stats!$B:$B,""&lt;""&amp;EOMONTH($A603,0)+1,
All_Stats!$P:$P,""&lt;&gt;Email Marketing""
)"),0.0)</f>
        <v>0</v>
      </c>
      <c r="J603" s="193">
        <v>2.0</v>
      </c>
      <c r="K603" s="164">
        <f t="shared" si="173"/>
        <v>2</v>
      </c>
    </row>
    <row r="604" hidden="1">
      <c r="A604" s="128">
        <v>44927.0</v>
      </c>
      <c r="B604" s="131" t="s">
        <v>30</v>
      </c>
      <c r="C604" s="134" t="str">
        <f>if(ifna(VLOOKUP(B604,'Vendor Directory'!A:C,3,0),"NOT FOUND")="","NOT FOUND",VLOOKUP(B604,'Vendor Directory'!A:C,3,0))</f>
        <v>Vendor 2 Name</v>
      </c>
      <c r="D604" s="131">
        <f>SUMIFS(All_Stats!$G:$G,
All_Stats!$D:$D,$B604,
All_Stats!$B:$B,"&gt;="&amp;EOMONTH($A604,-1)+1,
All_Stats!$B:$B,"&lt;"&amp;EOMONTH($A604,0)+1,
All_Stats!$P:$P,"&lt;&gt;Email Marketing"
)</f>
        <v>0</v>
      </c>
      <c r="E604" s="113">
        <f>SUMIFS(All_Stats!$I:$I,
All_Stats!$D:$D,$B604,
All_Stats!$B:$B,"&gt;="&amp;EOMONTH($A604,-1)+1,
All_Stats!$B:$B,"&lt;"&amp;EOMONTH($A604,0)+1,
All_Stats!$P:$P,"&lt;&gt;Email Marketing"
)</f>
        <v>0</v>
      </c>
      <c r="F604" s="132" t="str">
        <f t="shared" si="172"/>
        <v>N/A</v>
      </c>
      <c r="G604" s="131">
        <f>SUMIFS(All_Stats!$H:$H,
All_Stats!$D:$D,$B604,
All_Stats!$B:$B,"&gt;="&amp;EOMONTH($A604,-1)+1,
All_Stats!$B:$B,"&lt;"&amp;EOMONTH($A604,0)+1,
All_Stats!$P:$P,"&lt;&gt;Email Marketing"
)</f>
        <v>0</v>
      </c>
      <c r="H604" s="113">
        <f>SUMIFS(All_Stats!$K:$K,
All_Stats!$D:$D,$B604,
All_Stats!$B:$B,"&gt;="&amp;EOMONTH($A604,-1)+1,
All_Stats!$B:$B,"&lt;"&amp;EOMONTH($A604,0)+1,
All_Stats!$P:$P,"&lt;&gt;Email Marketing"
)</f>
        <v>0</v>
      </c>
      <c r="I604" s="133">
        <f>IFERROR(__xludf.DUMMYFUNCTION("COUNTUNIQUEIFS(All_Stats!A:A,
All_Stats!$D:$D,$B604,
All_Stats!$B:$B,""&gt;=""&amp;EOMONTH($A604,-1)+1,
All_Stats!$B:$B,""&lt;""&amp;EOMONTH($A604,0)+1,
All_Stats!$P:$P,""&lt;&gt;Email Marketing""
)"),0.0)</f>
        <v>0</v>
      </c>
      <c r="J604" s="30"/>
      <c r="K604" s="164">
        <f t="shared" ref="K604:K613" si="174">G604+H604+E604</f>
        <v>0</v>
      </c>
    </row>
    <row r="605" hidden="1">
      <c r="A605" s="128">
        <v>44927.0</v>
      </c>
      <c r="B605" s="131" t="s">
        <v>164</v>
      </c>
      <c r="C605" s="134" t="s">
        <v>539</v>
      </c>
      <c r="D605" s="131">
        <f>SUMIFS(All_Stats!$G:$G,
All_Stats!$D:$D,$B605,
All_Stats!$B:$B,"&gt;="&amp;EOMONTH($A605,-1)+1,
All_Stats!$B:$B,"&lt;"&amp;EOMONTH($A605,0)+1,
All_Stats!$P:$P,"&lt;&gt;Email Marketing"
)</f>
        <v>0</v>
      </c>
      <c r="E605" s="113">
        <f>SUMIFS(All_Stats!$I:$I,
All_Stats!$D:$D,$B605,
All_Stats!$B:$B,"&gt;="&amp;EOMONTH($A605,-1)+1,
All_Stats!$B:$B,"&lt;"&amp;EOMONTH($A605,0)+1,
All_Stats!$P:$P,"&lt;&gt;Email Marketing"
)</f>
        <v>0</v>
      </c>
      <c r="F605" s="132" t="str">
        <f t="shared" si="172"/>
        <v>N/A</v>
      </c>
      <c r="G605" s="131">
        <f>SUMIFS(All_Stats!$H:$H,
All_Stats!$D:$D,$B605,
All_Stats!$B:$B,"&gt;="&amp;EOMONTH($A605,-1)+1,
All_Stats!$B:$B,"&lt;"&amp;EOMONTH($A605,0)+1,
All_Stats!$P:$P,"&lt;&gt;Email Marketing"
)</f>
        <v>0</v>
      </c>
      <c r="H605" s="113">
        <f>SUMIFS(All_Stats!$K:$K,
All_Stats!$D:$D,$B605,
All_Stats!$B:$B,"&gt;="&amp;EOMONTH($A605,-1)+1,
All_Stats!$B:$B,"&lt;"&amp;EOMONTH($A605,0)+1,
All_Stats!$P:$P,"&lt;&gt;Email Marketing"
)</f>
        <v>0</v>
      </c>
      <c r="I605" s="133">
        <f>IFERROR(__xludf.DUMMYFUNCTION("COUNTUNIQUEIFS(All_Stats!A:A,
All_Stats!$D:$D,$B605,
All_Stats!$B:$B,""&gt;=""&amp;EOMONTH($A605,-1)+1,
All_Stats!$B:$B,""&lt;""&amp;EOMONTH($A605,0)+1,
All_Stats!$P:$P,""&lt;&gt;Email Marketing""
)"),0.0)</f>
        <v>0</v>
      </c>
      <c r="J605" s="30"/>
      <c r="K605" s="164">
        <f t="shared" si="174"/>
        <v>0</v>
      </c>
    </row>
    <row r="606" hidden="1">
      <c r="A606" s="128">
        <v>44927.0</v>
      </c>
      <c r="B606" s="129" t="s">
        <v>542</v>
      </c>
      <c r="C606" s="142" t="s">
        <v>543</v>
      </c>
      <c r="D606" s="131">
        <f>SUMIFS(All_Stats!$G:$G,
All_Stats!$D:$D,$B606,
All_Stats!$B:$B,"&gt;="&amp;EOMONTH($A606,-1)+1,
All_Stats!$B:$B,"&lt;"&amp;EOMONTH($A606,0)+1,
All_Stats!$P:$P,"&lt;&gt;Email Marketing"
)</f>
        <v>0</v>
      </c>
      <c r="E606" s="113">
        <f>SUMIFS(All_Stats!$I:$I,
All_Stats!$D:$D,$B606,
All_Stats!$B:$B,"&gt;="&amp;EOMONTH($A606,-1)+1,
All_Stats!$B:$B,"&lt;"&amp;EOMONTH($A606,0)+1,
All_Stats!$P:$P,"&lt;&gt;Email Marketing"
)</f>
        <v>0</v>
      </c>
      <c r="F606" s="132" t="str">
        <f t="shared" si="172"/>
        <v>N/A</v>
      </c>
      <c r="G606" s="131">
        <f>SUMIFS(All_Stats!$H:$H,
All_Stats!$D:$D,$B606,
All_Stats!$B:$B,"&gt;="&amp;EOMONTH($A606,-1)+1,
All_Stats!$B:$B,"&lt;"&amp;EOMONTH($A606,0)+1,
All_Stats!$P:$P,"&lt;&gt;Email Marketing"
)</f>
        <v>0</v>
      </c>
      <c r="H606" s="113">
        <f>SUMIFS(All_Stats!$K:$K,
All_Stats!$D:$D,$B606,
All_Stats!$B:$B,"&gt;="&amp;EOMONTH($A606,-1)+1,
All_Stats!$B:$B,"&lt;"&amp;EOMONTH($A606,0)+1,
All_Stats!$P:$P,"&lt;&gt;Email Marketing"
)</f>
        <v>0</v>
      </c>
      <c r="I606" s="133">
        <f>IFERROR(__xludf.DUMMYFUNCTION("COUNTUNIQUEIFS(All_Stats!A:A,
All_Stats!$D:$D,$B606,
All_Stats!$B:$B,""&gt;=""&amp;EOMONTH($A606,-1)+1,
All_Stats!$B:$B,""&lt;""&amp;EOMONTH($A606,0)+1,
All_Stats!$P:$P,""&lt;&gt;Email Marketing""
)"),0.0)</f>
        <v>0</v>
      </c>
      <c r="J606" s="30"/>
      <c r="K606" s="164">
        <f t="shared" si="174"/>
        <v>0</v>
      </c>
    </row>
    <row r="607" hidden="1">
      <c r="A607" s="128">
        <v>44927.0</v>
      </c>
      <c r="B607" s="129" t="s">
        <v>495</v>
      </c>
      <c r="C607" s="142" t="s">
        <v>528</v>
      </c>
      <c r="D607" s="131">
        <f>SUMIFS(All_Stats!$G:$G,
All_Stats!$D:$D,$B607,
All_Stats!$B:$B,"&gt;="&amp;EOMONTH($A607,-1)+1,
All_Stats!$B:$B,"&lt;"&amp;EOMONTH($A607,0)+1,
All_Stats!$P:$P,"&lt;&gt;Email Marketing"
)</f>
        <v>0</v>
      </c>
      <c r="E607" s="113">
        <f>SUMIFS(All_Stats!$I:$I,
All_Stats!$D:$D,$B607,
All_Stats!$B:$B,"&gt;="&amp;EOMONTH($A607,-1)+1,
All_Stats!$B:$B,"&lt;"&amp;EOMONTH($A607,0)+1,
All_Stats!$P:$P,"&lt;&gt;Email Marketing"
)</f>
        <v>0</v>
      </c>
      <c r="F607" s="132" t="str">
        <f t="shared" si="172"/>
        <v>N/A</v>
      </c>
      <c r="G607" s="131">
        <f>SUMIFS(All_Stats!$H:$H,
All_Stats!$D:$D,$B607,
All_Stats!$B:$B,"&gt;="&amp;EOMONTH($A607,-1)+1,
All_Stats!$B:$B,"&lt;"&amp;EOMONTH($A607,0)+1,
All_Stats!$P:$P,"&lt;&gt;Email Marketing"
)</f>
        <v>0</v>
      </c>
      <c r="H607" s="113">
        <f>SUMIFS(All_Stats!$K:$K,
All_Stats!$D:$D,$B607,
All_Stats!$B:$B,"&gt;="&amp;EOMONTH($A607,-1)+1,
All_Stats!$B:$B,"&lt;"&amp;EOMONTH($A607,0)+1,
All_Stats!$P:$P,"&lt;&gt;Email Marketing"
)</f>
        <v>0</v>
      </c>
      <c r="I607" s="133">
        <f>IFERROR(__xludf.DUMMYFUNCTION("COUNTUNIQUEIFS(All_Stats!A:A,
All_Stats!$D:$D,$B607,
All_Stats!$B:$B,""&gt;=""&amp;EOMONTH($A607,-1)+1,
All_Stats!$B:$B,""&lt;""&amp;EOMONTH($A607,0)+1,
All_Stats!$P:$P,""&lt;&gt;Email Marketing""
)"),0.0)</f>
        <v>0</v>
      </c>
      <c r="J607" s="30"/>
      <c r="K607" s="164">
        <f t="shared" si="174"/>
        <v>0</v>
      </c>
    </row>
    <row r="608" hidden="1">
      <c r="A608" s="128">
        <v>44927.0</v>
      </c>
      <c r="B608" s="131" t="s">
        <v>91</v>
      </c>
      <c r="C608" s="134" t="str">
        <f>if(ifna(VLOOKUP(B608,'Vendor Directory'!A:C,3,0),"NOT FOUND")="","NOT FOUND",VLOOKUP(B608,'Vendor Directory'!A:C,3,0))</f>
        <v>#N/A</v>
      </c>
      <c r="D608" s="131">
        <f>SUMIFS(All_Stats!$G:$G,
All_Stats!$D:$D,$B608,
All_Stats!$B:$B,"&gt;="&amp;EOMONTH($A608,-1)+1,
All_Stats!$B:$B,"&lt;"&amp;EOMONTH($A608,0)+1,
All_Stats!$P:$P,"&lt;&gt;Email Marketing"
)</f>
        <v>0</v>
      </c>
      <c r="E608" s="113">
        <f>SUMIFS(All_Stats!$I:$I,
All_Stats!$D:$D,$B608,
All_Stats!$B:$B,"&gt;="&amp;EOMONTH($A608,-1)+1,
All_Stats!$B:$B,"&lt;"&amp;EOMONTH($A608,0)+1,
All_Stats!$P:$P,"&lt;&gt;Email Marketing"
)</f>
        <v>0</v>
      </c>
      <c r="F608" s="132" t="str">
        <f t="shared" si="172"/>
        <v>N/A</v>
      </c>
      <c r="G608" s="131">
        <f>SUMIFS(All_Stats!$H:$H,
All_Stats!$D:$D,$B608,
All_Stats!$B:$B,"&gt;="&amp;EOMONTH($A608,-1)+1,
All_Stats!$B:$B,"&lt;"&amp;EOMONTH($A608,0)+1,
All_Stats!$P:$P,"&lt;&gt;Email Marketing"
)</f>
        <v>0</v>
      </c>
      <c r="H608" s="113">
        <f>SUMIFS(All_Stats!$K:$K,
All_Stats!$D:$D,$B608,
All_Stats!$B:$B,"&gt;="&amp;EOMONTH($A608,-1)+1,
All_Stats!$B:$B,"&lt;"&amp;EOMONTH($A608,0)+1,
All_Stats!$P:$P,"&lt;&gt;Email Marketing"
)</f>
        <v>0</v>
      </c>
      <c r="I608" s="133">
        <f>IFERROR(__xludf.DUMMYFUNCTION("COUNTUNIQUEIFS(All_Stats!A:A,
All_Stats!$D:$D,$B608,
All_Stats!$B:$B,""&gt;=""&amp;EOMONTH($A608,-1)+1,
All_Stats!$B:$B,""&lt;""&amp;EOMONTH($A608,0)+1,
All_Stats!$P:$P,""&lt;&gt;Email Marketing""
)"),0.0)</f>
        <v>0</v>
      </c>
      <c r="J608" s="30"/>
      <c r="K608" s="164">
        <f t="shared" si="174"/>
        <v>0</v>
      </c>
    </row>
    <row r="609" hidden="1">
      <c r="A609" s="128">
        <v>44927.0</v>
      </c>
      <c r="B609" s="131" t="s">
        <v>501</v>
      </c>
      <c r="C609" s="134" t="str">
        <f>if(ifna(VLOOKUP(B609,'Vendor Directory'!A:C,3,0),"NOT FOUND")="","NOT FOUND",VLOOKUP(B609,'Vendor Directory'!A:C,3,0))</f>
        <v>#N/A</v>
      </c>
      <c r="D609" s="131">
        <f>SUMIFS(All_Stats!$G:$G,
All_Stats!$D:$D,$B609,
All_Stats!$B:$B,"&gt;="&amp;EOMONTH($A609,-1)+1,
All_Stats!$B:$B,"&lt;"&amp;EOMONTH($A609,0)+1,
All_Stats!$P:$P,"&lt;&gt;Email Marketing"
)</f>
        <v>0</v>
      </c>
      <c r="E609" s="113">
        <f>SUMIFS(All_Stats!$I:$I,
All_Stats!$D:$D,$B609,
All_Stats!$B:$B,"&gt;="&amp;EOMONTH($A609,-1)+1,
All_Stats!$B:$B,"&lt;"&amp;EOMONTH($A609,0)+1,
All_Stats!$P:$P,"&lt;&gt;Email Marketing"
)</f>
        <v>0</v>
      </c>
      <c r="F609" s="132" t="str">
        <f t="shared" si="172"/>
        <v>N/A</v>
      </c>
      <c r="G609" s="131">
        <f>SUMIFS(All_Stats!$H:$H,
All_Stats!$D:$D,$B609,
All_Stats!$B:$B,"&gt;="&amp;EOMONTH($A609,-1)+1,
All_Stats!$B:$B,"&lt;"&amp;EOMONTH($A609,0)+1,
All_Stats!$P:$P,"&lt;&gt;Email Marketing"
)</f>
        <v>0</v>
      </c>
      <c r="H609" s="113">
        <f>SUMIFS(All_Stats!$K:$K,
All_Stats!$D:$D,$B609,
All_Stats!$B:$B,"&gt;="&amp;EOMONTH($A609,-1)+1,
All_Stats!$B:$B,"&lt;"&amp;EOMONTH($A609,0)+1,
All_Stats!$P:$P,"&lt;&gt;Email Marketing"
)</f>
        <v>0</v>
      </c>
      <c r="I609" s="133">
        <f>IFERROR(__xludf.DUMMYFUNCTION("COUNTUNIQUEIFS(All_Stats!A:A,
All_Stats!$D:$D,$B609,
All_Stats!$B:$B,""&gt;=""&amp;EOMONTH($A609,-1)+1,
All_Stats!$B:$B,""&lt;""&amp;EOMONTH($A609,0)+1,
All_Stats!$P:$P,""&lt;&gt;Email Marketing""
)"),0.0)</f>
        <v>0</v>
      </c>
      <c r="J609" s="30"/>
      <c r="K609" s="164">
        <f t="shared" si="174"/>
        <v>0</v>
      </c>
    </row>
    <row r="610" hidden="1">
      <c r="A610" s="128">
        <v>44927.0</v>
      </c>
      <c r="B610" s="129" t="s">
        <v>417</v>
      </c>
      <c r="C610" s="142" t="s">
        <v>540</v>
      </c>
      <c r="D610" s="131">
        <f>SUMIFS(All_Stats!$G:$G,
All_Stats!$D:$D,$B610,
All_Stats!$B:$B,"&gt;="&amp;EOMONTH($A610,-1)+1,
All_Stats!$B:$B,"&lt;"&amp;EOMONTH($A610,0)+1,
All_Stats!$P:$P,"&lt;&gt;Email Marketing"
)</f>
        <v>0</v>
      </c>
      <c r="E610" s="113">
        <f>SUMIFS(All_Stats!$I:$I,
All_Stats!$D:$D,$B610,
All_Stats!$B:$B,"&gt;="&amp;EOMONTH($A610,-1)+1,
All_Stats!$B:$B,"&lt;"&amp;EOMONTH($A610,0)+1,
All_Stats!$P:$P,"&lt;&gt;Email Marketing"
)</f>
        <v>0</v>
      </c>
      <c r="F610" s="132" t="str">
        <f t="shared" si="172"/>
        <v>N/A</v>
      </c>
      <c r="G610" s="131">
        <f>SUMIFS(All_Stats!$H:$H,
All_Stats!$D:$D,$B610,
All_Stats!$B:$B,"&gt;="&amp;EOMONTH($A610,-1)+1,
All_Stats!$B:$B,"&lt;"&amp;EOMONTH($A610,0)+1,
All_Stats!$P:$P,"&lt;&gt;Email Marketing"
)</f>
        <v>0</v>
      </c>
      <c r="H610" s="113">
        <f>SUMIFS(All_Stats!$K:$K,
All_Stats!$D:$D,$B610,
All_Stats!$B:$B,"&gt;="&amp;EOMONTH($A610,-1)+1,
All_Stats!$B:$B,"&lt;"&amp;EOMONTH($A610,0)+1,
All_Stats!$P:$P,"&lt;&gt;Email Marketing"
)</f>
        <v>0</v>
      </c>
      <c r="I610" s="133">
        <f>IFERROR(__xludf.DUMMYFUNCTION("COUNTUNIQUEIFS(All_Stats!A:A,
All_Stats!$D:$D,$B610,
All_Stats!$B:$B,""&gt;=""&amp;EOMONTH($A610,-1)+1,
All_Stats!$B:$B,""&lt;""&amp;EOMONTH($A610,0)+1,
All_Stats!$P:$P,""&lt;&gt;Email Marketing""
)"),0.0)</f>
        <v>0</v>
      </c>
      <c r="J610" s="30"/>
      <c r="K610" s="164">
        <f t="shared" si="174"/>
        <v>0</v>
      </c>
    </row>
    <row r="611" hidden="1">
      <c r="A611" s="128">
        <v>44927.0</v>
      </c>
      <c r="B611" s="129" t="s">
        <v>79</v>
      </c>
      <c r="C611" s="130" t="s">
        <v>488</v>
      </c>
      <c r="D611" s="131">
        <f>SUMIFS(All_Stats!$G:$G,
All_Stats!$D:$D,$B611,
All_Stats!$B:$B,"&gt;="&amp;EOMONTH($A611,-1)+1,
All_Stats!$B:$B,"&lt;"&amp;EOMONTH($A611,0)+1,
All_Stats!$P:$P,"&lt;&gt;Email Marketing"
)</f>
        <v>0</v>
      </c>
      <c r="E611" s="113">
        <f>SUMIFS(All_Stats!$I:$I,
All_Stats!$D:$D,$B611,
All_Stats!$B:$B,"&gt;="&amp;EOMONTH($A611,-1)+1,
All_Stats!$B:$B,"&lt;"&amp;EOMONTH($A611,0)+1,
All_Stats!$P:$P,"&lt;&gt;Email Marketing"
)</f>
        <v>0</v>
      </c>
      <c r="F611" s="132" t="str">
        <f t="shared" si="172"/>
        <v>N/A</v>
      </c>
      <c r="G611" s="131">
        <f>SUMIFS(All_Stats!$H:$H,
All_Stats!$D:$D,$B611,
All_Stats!$B:$B,"&gt;="&amp;EOMONTH($A611,-1)+1,
All_Stats!$B:$B,"&lt;"&amp;EOMONTH($A611,0)+1,
All_Stats!$P:$P,"&lt;&gt;Email Marketing"
)</f>
        <v>0</v>
      </c>
      <c r="H611" s="113">
        <f>SUMIFS(All_Stats!$K:$K,
All_Stats!$D:$D,$B611,
All_Stats!$B:$B,"&gt;="&amp;EOMONTH($A611,-1)+1,
All_Stats!$B:$B,"&lt;"&amp;EOMONTH($A611,0)+1,
All_Stats!$P:$P,"&lt;&gt;Email Marketing"
)</f>
        <v>0</v>
      </c>
      <c r="I611" s="133">
        <f>IFERROR(__xludf.DUMMYFUNCTION("COUNTUNIQUEIFS(All_Stats!A:A,
All_Stats!$D:$D,$B611,
All_Stats!$B:$B,""&gt;=""&amp;EOMONTH($A611,-1)+1,
All_Stats!$B:$B,""&lt;""&amp;EOMONTH($A611,0)+1,
All_Stats!$P:$P,""&lt;&gt;Email Marketing""
)"),0.0)</f>
        <v>0</v>
      </c>
      <c r="J611" s="30"/>
      <c r="K611" s="164">
        <f t="shared" si="174"/>
        <v>0</v>
      </c>
    </row>
    <row r="612" hidden="1">
      <c r="A612" s="128">
        <v>44927.0</v>
      </c>
      <c r="B612" s="129" t="s">
        <v>33</v>
      </c>
      <c r="C612" s="142" t="s">
        <v>492</v>
      </c>
      <c r="D612" s="131">
        <f>SUMIFS(All_Stats!$G:$G,
All_Stats!$D:$D,$B612,
All_Stats!$B:$B,"&gt;="&amp;EOMONTH($A612,-1)+1,
All_Stats!$B:$B,"&lt;"&amp;EOMONTH($A612,0)+1,
All_Stats!$P:$P,"&lt;&gt;Email Marketing"
)</f>
        <v>0</v>
      </c>
      <c r="E612" s="113">
        <f>SUMIFS(All_Stats!$I:$I,
All_Stats!$D:$D,$B612,
All_Stats!$B:$B,"&gt;="&amp;EOMONTH($A612,-1)+1,
All_Stats!$B:$B,"&lt;"&amp;EOMONTH($A612,0)+1,
All_Stats!$P:$P,"&lt;&gt;Email Marketing"
)</f>
        <v>0</v>
      </c>
      <c r="F612" s="132" t="str">
        <f t="shared" si="172"/>
        <v>N/A</v>
      </c>
      <c r="G612" s="131">
        <f>SUMIFS(All_Stats!$H:$H,
All_Stats!$D:$D,$B612,
All_Stats!$B:$B,"&gt;="&amp;EOMONTH($A612,-1)+1,
All_Stats!$B:$B,"&lt;"&amp;EOMONTH($A612,0)+1,
All_Stats!$P:$P,"&lt;&gt;Email Marketing"
)</f>
        <v>0</v>
      </c>
      <c r="H612" s="113">
        <f>SUMIFS(All_Stats!$K:$K,
All_Stats!$D:$D,$B612,
All_Stats!$B:$B,"&gt;="&amp;EOMONTH($A612,-1)+1,
All_Stats!$B:$B,"&lt;"&amp;EOMONTH($A612,0)+1,
All_Stats!$P:$P,"&lt;&gt;Email Marketing"
)</f>
        <v>0</v>
      </c>
      <c r="I612" s="133">
        <f>IFERROR(__xludf.DUMMYFUNCTION("COUNTUNIQUEIFS(All_Stats!A:A,
All_Stats!$D:$D,$B612,
All_Stats!$B:$B,""&gt;=""&amp;EOMONTH($A612,-1)+1,
All_Stats!$B:$B,""&lt;""&amp;EOMONTH($A612,0)+1,
All_Stats!$P:$P,""&lt;&gt;Email Marketing""
)"),0.0)</f>
        <v>0</v>
      </c>
      <c r="J612" s="30"/>
      <c r="K612" s="164">
        <f t="shared" si="174"/>
        <v>0</v>
      </c>
    </row>
    <row r="613" hidden="1">
      <c r="A613" s="128">
        <v>44927.0</v>
      </c>
      <c r="B613" s="129" t="s">
        <v>109</v>
      </c>
      <c r="C613" s="130" t="s">
        <v>490</v>
      </c>
      <c r="D613" s="131">
        <f>SUMIFS(All_Stats!$G:$G,
All_Stats!$D:$D,$B613,
All_Stats!$B:$B,"&gt;="&amp;EOMONTH($A613,-1)+1,
All_Stats!$B:$B,"&lt;"&amp;EOMONTH($A613,0)+1,
All_Stats!$P:$P,"&lt;&gt;Email Marketing"
)</f>
        <v>0</v>
      </c>
      <c r="E613" s="113">
        <f>SUMIFS(All_Stats!$I:$I,
All_Stats!$D:$D,$B613,
All_Stats!$B:$B,"&gt;="&amp;EOMONTH($A613,-1)+1,
All_Stats!$B:$B,"&lt;"&amp;EOMONTH($A613,0)+1,
All_Stats!$P:$P,"&lt;&gt;Email Marketing"
)</f>
        <v>0</v>
      </c>
      <c r="F613" s="132" t="str">
        <f t="shared" si="172"/>
        <v>N/A</v>
      </c>
      <c r="G613" s="131">
        <f>SUMIFS(All_Stats!$H:$H,
All_Stats!$D:$D,$B613,
All_Stats!$B:$B,"&gt;="&amp;EOMONTH($A613,-1)+1,
All_Stats!$B:$B,"&lt;"&amp;EOMONTH($A613,0)+1,
All_Stats!$P:$P,"&lt;&gt;Email Marketing"
)</f>
        <v>0</v>
      </c>
      <c r="H613" s="113">
        <f>SUMIFS(All_Stats!$K:$K,
All_Stats!$D:$D,$B613,
All_Stats!$B:$B,"&gt;="&amp;EOMONTH($A613,-1)+1,
All_Stats!$B:$B,"&lt;"&amp;EOMONTH($A613,0)+1,
All_Stats!$P:$P,"&lt;&gt;Email Marketing"
)</f>
        <v>0</v>
      </c>
      <c r="I613" s="133">
        <f>IFERROR(__xludf.DUMMYFUNCTION("COUNTUNIQUEIFS(All_Stats!A:A,
All_Stats!$D:$D,$B613,
All_Stats!$B:$B,""&gt;=""&amp;EOMONTH($A613,-1)+1,
All_Stats!$B:$B,""&lt;""&amp;EOMONTH($A613,0)+1,
All_Stats!$P:$P,""&lt;&gt;Email Marketing""
)"),0.0)</f>
        <v>0</v>
      </c>
      <c r="J613" s="30"/>
      <c r="K613" s="164">
        <f t="shared" si="174"/>
        <v>0</v>
      </c>
    </row>
    <row r="614" hidden="1">
      <c r="A614" s="135"/>
      <c r="B614" s="135"/>
      <c r="C614" s="136" t="s">
        <v>23</v>
      </c>
      <c r="D614" s="137">
        <f t="shared" ref="D614:E614" si="175">SUM(D601:D613)</f>
        <v>0</v>
      </c>
      <c r="E614" s="137">
        <f t="shared" si="175"/>
        <v>0</v>
      </c>
      <c r="F614" s="138" t="str">
        <f t="shared" si="172"/>
        <v>N/A</v>
      </c>
      <c r="G614" s="137">
        <f t="shared" ref="G614:H614" si="176">SUM(G601:G613)</f>
        <v>0</v>
      </c>
      <c r="H614" s="137">
        <f t="shared" si="176"/>
        <v>0</v>
      </c>
      <c r="I614" s="139"/>
      <c r="J614" s="164">
        <f>sum(J595:J613)</f>
        <v>11</v>
      </c>
      <c r="K614" s="164">
        <f>G614+H614+E614+J614</f>
        <v>11</v>
      </c>
    </row>
    <row r="615" hidden="1">
      <c r="A615" s="131"/>
      <c r="B615" s="131"/>
      <c r="C615" s="131"/>
      <c r="D615" s="140"/>
      <c r="F615" s="131"/>
      <c r="G615" s="131"/>
      <c r="J615" s="30"/>
    </row>
    <row r="616" hidden="1">
      <c r="A616" s="131"/>
      <c r="B616" s="131"/>
      <c r="C616" s="131"/>
      <c r="D616" s="140">
        <f t="shared" ref="D616:E616" si="177">D598+D614</f>
        <v>0</v>
      </c>
      <c r="E616" s="140">
        <f t="shared" si="177"/>
        <v>0</v>
      </c>
      <c r="F616" s="131"/>
      <c r="G616" s="140">
        <f t="shared" ref="G616:H616" si="178">G598+G614</f>
        <v>0</v>
      </c>
      <c r="H616" s="140">
        <f t="shared" si="178"/>
        <v>0</v>
      </c>
      <c r="K616" s="164">
        <f>G616+H616+E616+J614</f>
        <v>11</v>
      </c>
    </row>
    <row r="617" hidden="1">
      <c r="A617" s="131"/>
      <c r="B617" s="131"/>
      <c r="C617" s="131"/>
      <c r="D617" s="140"/>
      <c r="F617" s="131"/>
      <c r="G617" s="131"/>
    </row>
    <row r="618" hidden="1">
      <c r="C618" s="118" t="s">
        <v>484</v>
      </c>
      <c r="D618" s="119"/>
      <c r="E618" s="119"/>
      <c r="F618" s="119"/>
      <c r="G618" s="119"/>
      <c r="H618" s="119"/>
      <c r="I618" s="120"/>
    </row>
    <row r="619" hidden="1">
      <c r="A619" s="121" t="s">
        <v>1</v>
      </c>
      <c r="B619" s="122" t="s">
        <v>485</v>
      </c>
      <c r="C619" s="123" t="s">
        <v>486</v>
      </c>
      <c r="D619" s="124" t="s">
        <v>6</v>
      </c>
      <c r="E619" s="125" t="s">
        <v>8</v>
      </c>
      <c r="F619" s="124" t="s">
        <v>479</v>
      </c>
      <c r="G619" s="126" t="s">
        <v>7</v>
      </c>
      <c r="H619" s="125" t="s">
        <v>10</v>
      </c>
      <c r="I619" s="127" t="s">
        <v>487</v>
      </c>
      <c r="J619" s="2" t="s">
        <v>474</v>
      </c>
    </row>
    <row r="620" hidden="1">
      <c r="A620" s="128">
        <v>44958.0</v>
      </c>
      <c r="B620" s="131" t="s">
        <v>164</v>
      </c>
      <c r="C620" s="134" t="str">
        <f>if(ifna(VLOOKUP(B620,'Vendor Directory'!A:C,3,0),"NOT FOUND")="","NOT FOUND",VLOOKUP(B620,'Vendor Directory'!A:C,3,0))</f>
        <v>#N/A</v>
      </c>
      <c r="D620" s="131">
        <f>SUMIFS(All_Stats!$G:$G,
All_Stats!$D:$D,$B620,
All_Stats!$B:$B,"&gt;="&amp;EOMONTH($A620,-1)+1,
All_Stats!$B:$B,"&lt;"&amp;EOMONTH($A620,0)+1,
All_Stats!$P:$P,"Email Marketing"
)</f>
        <v>0</v>
      </c>
      <c r="E620" s="113">
        <f>SUMIFS(All_Stats!$I:$I,
All_Stats!$D:$D,$B620,
All_Stats!$B:$B,"&gt;="&amp;EOMONTH($A620,-1)+1,
All_Stats!$B:$B,"&lt;"&amp;EOMONTH($A620,0)+1,
All_Stats!$P:$P,"Email Marketing"
)</f>
        <v>0</v>
      </c>
      <c r="F620" s="132" t="str">
        <f t="shared" ref="F620:F623" si="179">iferror(E620/D620,"N/A")</f>
        <v>N/A</v>
      </c>
      <c r="G620" s="131">
        <f>SUMIFS(All_Stats!$H:$H,
All_Stats!$D:$D,$B620,
All_Stats!$B:$B,"&gt;="&amp;EOMONTH($A620,-1)+1,
All_Stats!$B:$B,"&lt;"&amp;EOMONTH($A620,0)+1,
All_Stats!$P:$P,"Email Marketing"
)</f>
        <v>0</v>
      </c>
      <c r="H620" s="113">
        <f>SUMIFS(All_Stats!$K:$K,
All_Stats!$D:$D,$B620,
All_Stats!$B:$B,"&gt;="&amp;EOMONTH($A620,-1)+1,
All_Stats!$B:$B,"&lt;"&amp;EOMONTH($A620,0)+1,
All_Stats!$P:$P,"Email Marketing"
)</f>
        <v>0</v>
      </c>
      <c r="I620" s="133">
        <f>IFERROR(__xludf.DUMMYFUNCTION("COUNTUNIQUEIFS(All_Stats!A:A,
All_Stats!$D:$D,$B620,
All_Stats!$B:$B,""&gt;=""&amp;EOMONTH($A620,-1)+1,
All_Stats!$B:$B,""&lt;""&amp;EOMONTH($A620,0)+1,
All_Stats!$P:$P,""Email Marketing""
)"),0.0)</f>
        <v>0</v>
      </c>
    </row>
    <row r="621" hidden="1">
      <c r="A621" s="128">
        <v>44958.0</v>
      </c>
      <c r="B621" s="129" t="s">
        <v>79</v>
      </c>
      <c r="C621" s="130" t="s">
        <v>488</v>
      </c>
      <c r="D621" s="131">
        <f>SUMIFS(All_Stats!$G:$G,
All_Stats!$D:$D,$B621,
All_Stats!$B:$B,"&gt;="&amp;EOMONTH($A621,-1)+1,
All_Stats!$B:$B,"&lt;"&amp;EOMONTH($A621,0)+1,
All_Stats!$P:$P,"Email Marketing"
)</f>
        <v>0</v>
      </c>
      <c r="E621" s="113">
        <f>SUMIFS(All_Stats!$I:$I,
All_Stats!$D:$D,$B621,
All_Stats!$B:$B,"&gt;="&amp;EOMONTH($A621,-1)+1,
All_Stats!$B:$B,"&lt;"&amp;EOMONTH($A621,0)+1,
All_Stats!$P:$P,"Email Marketing"
)</f>
        <v>0</v>
      </c>
      <c r="F621" s="132" t="str">
        <f t="shared" si="179"/>
        <v>N/A</v>
      </c>
      <c r="G621" s="131">
        <f>SUMIFS(All_Stats!$H:$H,
All_Stats!$D:$D,$B621,
All_Stats!$B:$B,"&gt;="&amp;EOMONTH($A621,-1)+1,
All_Stats!$B:$B,"&lt;"&amp;EOMONTH($A621,0)+1,
All_Stats!$P:$P,"Email Marketing"
)</f>
        <v>0</v>
      </c>
      <c r="H621" s="113">
        <f>SUMIFS(All_Stats!$K:$K,
All_Stats!$D:$D,$B621,
All_Stats!$B:$B,"&gt;="&amp;EOMONTH($A621,-1)+1,
All_Stats!$B:$B,"&lt;"&amp;EOMONTH($A621,0)+1,
All_Stats!$P:$P,"Email Marketing"
)</f>
        <v>0</v>
      </c>
      <c r="I621" s="133">
        <f>IFERROR(__xludf.DUMMYFUNCTION("COUNTUNIQUEIFS(All_Stats!A:A,
All_Stats!$D:$D,$B621,
All_Stats!$B:$B,""&gt;=""&amp;EOMONTH($A621,-1)+1,
All_Stats!$B:$B,""&lt;""&amp;EOMONTH($A621,0)+1,
All_Stats!$P:$P,""Email Marketing""
)"),0.0)</f>
        <v>0</v>
      </c>
    </row>
    <row r="622" hidden="1">
      <c r="A622" s="128">
        <v>44958.0</v>
      </c>
      <c r="B622" s="129" t="s">
        <v>313</v>
      </c>
      <c r="C622" s="142" t="s">
        <v>525</v>
      </c>
      <c r="D622" s="131">
        <f>SUMIFS(All_Stats!$G:$G,
All_Stats!$D:$D,$B622,
All_Stats!$B:$B,"&gt;="&amp;EOMONTH($A622,-1)+1,
All_Stats!$B:$B,"&lt;"&amp;EOMONTH($A622,0)+1,
All_Stats!$P:$P,"Email Marketing"
)</f>
        <v>15</v>
      </c>
      <c r="E622" s="113">
        <f>SUMIFS(All_Stats!$I:$I,
All_Stats!$D:$D,$B622,
All_Stats!$B:$B,"&gt;="&amp;EOMONTH($A622,-1)+1,
All_Stats!$B:$B,"&lt;"&amp;EOMONTH($A622,0)+1,
All_Stats!$P:$P,"Email Marketing"
)</f>
        <v>10</v>
      </c>
      <c r="F622" s="132">
        <f t="shared" si="179"/>
        <v>0.6666666667</v>
      </c>
      <c r="G622" s="131">
        <f>SUMIFS(All_Stats!$H:$H,
All_Stats!$D:$D,$B622,
All_Stats!$B:$B,"&gt;="&amp;EOMONTH($A622,-1)+1,
All_Stats!$B:$B,"&lt;"&amp;EOMONTH($A622,0)+1,
All_Stats!$P:$P,"Email Marketing"
)</f>
        <v>5</v>
      </c>
      <c r="H622" s="113">
        <f>SUMIFS(All_Stats!$K:$K,
All_Stats!$D:$D,$B622,
All_Stats!$B:$B,"&gt;="&amp;EOMONTH($A622,-1)+1,
All_Stats!$B:$B,"&lt;"&amp;EOMONTH($A622,0)+1,
All_Stats!$P:$P,"Email Marketing"
)</f>
        <v>0</v>
      </c>
      <c r="I622" s="133">
        <f>IFERROR(__xludf.DUMMYFUNCTION("COUNTUNIQUEIFS(All_Stats!A:A,
All_Stats!$D:$D,$B622,
All_Stats!$B:$B,""&gt;=""&amp;EOMONTH($A622,-1)+1,
All_Stats!$B:$B,""&lt;""&amp;EOMONTH($A622,0)+1,
All_Stats!$P:$P,""Email Marketing""
)"),1.0)</f>
        <v>1</v>
      </c>
    </row>
    <row r="623" hidden="1">
      <c r="A623" s="135"/>
      <c r="B623" s="135"/>
      <c r="C623" s="136" t="s">
        <v>23</v>
      </c>
      <c r="D623" s="137">
        <f t="shared" ref="D623:E623" si="180">SUM(D620:D622)</f>
        <v>15</v>
      </c>
      <c r="E623" s="137">
        <f t="shared" si="180"/>
        <v>10</v>
      </c>
      <c r="F623" s="138">
        <f t="shared" si="179"/>
        <v>0.6666666667</v>
      </c>
      <c r="G623" s="137">
        <f t="shared" ref="G623:H623" si="181">SUM(G620:G622)</f>
        <v>5</v>
      </c>
      <c r="H623" s="137">
        <f t="shared" si="181"/>
        <v>0</v>
      </c>
      <c r="I623" s="139"/>
    </row>
    <row r="624" hidden="1">
      <c r="A624" s="131"/>
      <c r="B624" s="131"/>
      <c r="C624" s="131"/>
      <c r="D624" s="140"/>
      <c r="F624" s="131"/>
      <c r="G624" s="131"/>
    </row>
    <row r="625" hidden="1">
      <c r="A625" s="121" t="s">
        <v>1</v>
      </c>
      <c r="B625" s="122" t="s">
        <v>485</v>
      </c>
      <c r="C625" s="123" t="s">
        <v>486</v>
      </c>
      <c r="D625" s="124" t="s">
        <v>6</v>
      </c>
      <c r="E625" s="125" t="s">
        <v>8</v>
      </c>
      <c r="F625" s="124" t="s">
        <v>479</v>
      </c>
      <c r="G625" s="126" t="s">
        <v>7</v>
      </c>
      <c r="H625" s="125" t="s">
        <v>10</v>
      </c>
      <c r="I625" s="127" t="s">
        <v>487</v>
      </c>
    </row>
    <row r="626" hidden="1">
      <c r="A626" s="128">
        <v>44958.0</v>
      </c>
      <c r="B626" s="129" t="s">
        <v>19</v>
      </c>
      <c r="C626" s="141" t="s">
        <v>489</v>
      </c>
      <c r="D626" s="131">
        <f>SUMIFS(All_Stats!$G:$G,
All_Stats!$D:$D,$B626,
All_Stats!$B:$B,"&gt;="&amp;EOMONTH($A626,-1)+1,
All_Stats!$B:$B,"&lt;"&amp;EOMONTH($A626,0)+1,
All_Stats!$P:$P,"&lt;&gt;Email Marketing"
)</f>
        <v>0</v>
      </c>
      <c r="E626" s="113">
        <f>SUMIFS(All_Stats!$I:$I,
All_Stats!$D:$D,$B626,
All_Stats!$B:$B,"&gt;="&amp;EOMONTH($A626,-1)+1,
All_Stats!$B:$B,"&lt;"&amp;EOMONTH($A626,0)+1,
All_Stats!$P:$P,"&lt;&gt;Email Marketing"
)</f>
        <v>0</v>
      </c>
      <c r="F626" s="132" t="str">
        <f t="shared" ref="F626:F636" si="182">iferror(E626/D626,"N/A")</f>
        <v>N/A</v>
      </c>
      <c r="G626" s="131">
        <f>SUMIFS(All_Stats!$H:$H,
All_Stats!$D:$D,$B626,
All_Stats!$B:$B,"&gt;="&amp;EOMONTH($A626,-1)+1,
All_Stats!$B:$B,"&lt;"&amp;EOMONTH($A626,0)+1,
All_Stats!$P:$P,"&lt;&gt;Email Marketing"
)</f>
        <v>0</v>
      </c>
      <c r="H626" s="113">
        <f>SUMIFS(All_Stats!$K:$K,
All_Stats!$D:$D,$B626,
All_Stats!$B:$B,"&gt;="&amp;EOMONTH($A626,-1)+1,
All_Stats!$B:$B,"&lt;"&amp;EOMONTH($A626,0)+1,
All_Stats!$P:$P,"&lt;&gt;Email Marketing"
)</f>
        <v>0</v>
      </c>
      <c r="I626" s="133">
        <f>IFERROR(__xludf.DUMMYFUNCTION("COUNTUNIQUEIFS(All_Stats!A:A,
All_Stats!$D:$D,$B626,
All_Stats!$B:$B,""&gt;=""&amp;EOMONTH($A626,-1)+1,
All_Stats!$B:$B,""&lt;""&amp;EOMONTH($A626,0)+1,
All_Stats!$P:$P,""&lt;&gt;Email Marketing""
)"),0.0)</f>
        <v>0</v>
      </c>
    </row>
    <row r="627" hidden="1">
      <c r="A627" s="128">
        <v>44958.0</v>
      </c>
      <c r="B627" s="131" t="s">
        <v>127</v>
      </c>
      <c r="C627" s="134" t="str">
        <f>if(ifna(VLOOKUP(B627,'Vendor Directory'!A:C,3,0),"NOT FOUND")="","NOT FOUND",VLOOKUP(B627,'Vendor Directory'!A:C,3,0))</f>
        <v>#N/A</v>
      </c>
      <c r="D627" s="131">
        <f>SUMIFS(All_Stats!$G:$G,
All_Stats!$D:$D,$B627,
All_Stats!$B:$B,"&gt;="&amp;EOMONTH($A627,-1)+1,
All_Stats!$B:$B,"&lt;"&amp;EOMONTH($A627,0)+1,
All_Stats!$P:$P,"&lt;&gt;Email Marketing"
)</f>
        <v>0</v>
      </c>
      <c r="E627" s="113">
        <f>SUMIFS(All_Stats!$I:$I,
All_Stats!$D:$D,$B627,
All_Stats!$B:$B,"&gt;="&amp;EOMONTH($A627,-1)+1,
All_Stats!$B:$B,"&lt;"&amp;EOMONTH($A627,0)+1,
All_Stats!$P:$P,"&lt;&gt;Email Marketing"
)</f>
        <v>0</v>
      </c>
      <c r="F627" s="132" t="str">
        <f t="shared" si="182"/>
        <v>N/A</v>
      </c>
      <c r="G627" s="131">
        <f>SUMIFS(All_Stats!$H:$H,
All_Stats!$D:$D,$B627,
All_Stats!$B:$B,"&gt;="&amp;EOMONTH($A627,-1)+1,
All_Stats!$B:$B,"&lt;"&amp;EOMONTH($A627,0)+1,
All_Stats!$P:$P,"&lt;&gt;Email Marketing"
)</f>
        <v>0</v>
      </c>
      <c r="H627" s="113">
        <f>SUMIFS(All_Stats!$K:$K,
All_Stats!$D:$D,$B627,
All_Stats!$B:$B,"&gt;="&amp;EOMONTH($A627,-1)+1,
All_Stats!$B:$B,"&lt;"&amp;EOMONTH($A627,0)+1,
All_Stats!$P:$P,"&lt;&gt;Email Marketing"
)</f>
        <v>0</v>
      </c>
      <c r="I627" s="133">
        <f>IFERROR(__xludf.DUMMYFUNCTION("COUNTUNIQUEIFS(All_Stats!A:A,
All_Stats!$D:$D,$B627,
All_Stats!$B:$B,""&gt;=""&amp;EOMONTH($A627,-1)+1,
All_Stats!$B:$B,""&lt;""&amp;EOMONTH($A627,0)+1,
All_Stats!$P:$P,""&lt;&gt;Email Marketing""
)"),0.0)</f>
        <v>0</v>
      </c>
    </row>
    <row r="628" hidden="1">
      <c r="A628" s="128">
        <v>44958.0</v>
      </c>
      <c r="B628" s="194" t="s">
        <v>501</v>
      </c>
      <c r="C628" s="134" t="str">
        <f>if(ifna(VLOOKUP(B628,'Vendor Directory'!A:C,3,0),"NOT FOUND")="","NOT FOUND",VLOOKUP(B628,'Vendor Directory'!A:C,3,0))</f>
        <v>#N/A</v>
      </c>
      <c r="D628" s="131">
        <f>SUMIFS(All_Stats!$G:$G,
All_Stats!$D:$D,$B628,
All_Stats!$B:$B,"&gt;="&amp;EOMONTH($A628,-1)+1,
All_Stats!$B:$B,"&lt;"&amp;EOMONTH($A628,0)+1,
All_Stats!$P:$P,"&lt;&gt;Email Marketing"
)</f>
        <v>0</v>
      </c>
      <c r="E628" s="113">
        <f>SUMIFS(All_Stats!$I:$I,
All_Stats!$D:$D,$B628,
All_Stats!$B:$B,"&gt;="&amp;EOMONTH($A628,-1)+1,
All_Stats!$B:$B,"&lt;"&amp;EOMONTH($A628,0)+1,
All_Stats!$P:$P,"&lt;&gt;Email Marketing"
)</f>
        <v>0</v>
      </c>
      <c r="F628" s="132" t="str">
        <f t="shared" si="182"/>
        <v>N/A</v>
      </c>
      <c r="G628" s="131">
        <f>SUMIFS(All_Stats!$H:$H,
All_Stats!$D:$D,$B628,
All_Stats!$B:$B,"&gt;="&amp;EOMONTH($A628,-1)+1,
All_Stats!$B:$B,"&lt;"&amp;EOMONTH($A628,0)+1,
All_Stats!$P:$P,"&lt;&gt;Email Marketing"
)</f>
        <v>0</v>
      </c>
      <c r="H628" s="113">
        <f>SUMIFS(All_Stats!$K:$K,
All_Stats!$D:$D,$B628,
All_Stats!$B:$B,"&gt;="&amp;EOMONTH($A628,-1)+1,
All_Stats!$B:$B,"&lt;"&amp;EOMONTH($A628,0)+1,
All_Stats!$P:$P,"&lt;&gt;Email Marketing"
)</f>
        <v>0</v>
      </c>
      <c r="I628" s="133">
        <f>IFERROR(__xludf.DUMMYFUNCTION("COUNTUNIQUEIFS(All_Stats!A:A,
All_Stats!$D:$D,$B628,
All_Stats!$B:$B,""&gt;=""&amp;EOMONTH($A628,-1)+1,
All_Stats!$B:$B,""&lt;""&amp;EOMONTH($A628,0)+1,
All_Stats!$P:$P,""&lt;&gt;Email Marketing""
)"),0.0)</f>
        <v>0</v>
      </c>
    </row>
    <row r="629" hidden="1">
      <c r="A629" s="128">
        <v>44958.0</v>
      </c>
      <c r="B629" s="194" t="s">
        <v>157</v>
      </c>
      <c r="C629" s="134" t="str">
        <f>if(ifna(VLOOKUP(B629,'Vendor Directory'!A:C,3,0),"NOT FOUND")="","NOT FOUND",VLOOKUP(B629,'Vendor Directory'!A:C,3,0))</f>
        <v>#N/A</v>
      </c>
      <c r="D629" s="131">
        <f>SUMIFS(All_Stats!$G:$G,
All_Stats!$D:$D,$B629,
All_Stats!$B:$B,"&gt;="&amp;EOMONTH($A629,-1)+1,
All_Stats!$B:$B,"&lt;"&amp;EOMONTH($A629,0)+1,
All_Stats!$P:$P,"&lt;&gt;Email Marketing"
)</f>
        <v>0</v>
      </c>
      <c r="E629" s="113">
        <f>SUMIFS(All_Stats!$I:$I,
All_Stats!$D:$D,$B629,
All_Stats!$B:$B,"&gt;="&amp;EOMONTH($A629,-1)+1,
All_Stats!$B:$B,"&lt;"&amp;EOMONTH($A629,0)+1,
All_Stats!$P:$P,"&lt;&gt;Email Marketing"
)</f>
        <v>0</v>
      </c>
      <c r="F629" s="132" t="str">
        <f t="shared" si="182"/>
        <v>N/A</v>
      </c>
      <c r="G629" s="131">
        <f>SUMIFS(All_Stats!$H:$H,
All_Stats!$D:$D,$B629,
All_Stats!$B:$B,"&gt;="&amp;EOMONTH($A629,-1)+1,
All_Stats!$B:$B,"&lt;"&amp;EOMONTH($A629,0)+1,
All_Stats!$P:$P,"&lt;&gt;Email Marketing"
)</f>
        <v>0</v>
      </c>
      <c r="H629" s="113">
        <f>SUMIFS(All_Stats!$K:$K,
All_Stats!$D:$D,$B629,
All_Stats!$B:$B,"&gt;="&amp;EOMONTH($A629,-1)+1,
All_Stats!$B:$B,"&lt;"&amp;EOMONTH($A629,0)+1,
All_Stats!$P:$P,"&lt;&gt;Email Marketing"
)</f>
        <v>0</v>
      </c>
      <c r="I629" s="133">
        <f>IFERROR(__xludf.DUMMYFUNCTION("COUNTUNIQUEIFS(All_Stats!A:A,
All_Stats!$D:$D,$B629,
All_Stats!$B:$B,""&gt;=""&amp;EOMONTH($A629,-1)+1,
All_Stats!$B:$B,""&lt;""&amp;EOMONTH($A629,0)+1,
All_Stats!$P:$P,""&lt;&gt;Email Marketing""
)"),0.0)</f>
        <v>0</v>
      </c>
    </row>
    <row r="630" hidden="1">
      <c r="A630" s="128">
        <v>44958.0</v>
      </c>
      <c r="B630" s="194" t="s">
        <v>91</v>
      </c>
      <c r="C630" s="134" t="str">
        <f>if(ifna(VLOOKUP(B630,'Vendor Directory'!A:C,3,0),"NOT FOUND")="","NOT FOUND",VLOOKUP(B630,'Vendor Directory'!A:C,3,0))</f>
        <v>#N/A</v>
      </c>
      <c r="D630" s="131">
        <f>SUMIFS(All_Stats!$G:$G,
All_Stats!$D:$D,$B630,
All_Stats!$B:$B,"&gt;="&amp;EOMONTH($A630,-1)+1,
All_Stats!$B:$B,"&lt;"&amp;EOMONTH($A630,0)+1,
All_Stats!$P:$P,"&lt;&gt;Email Marketing"
)</f>
        <v>0</v>
      </c>
      <c r="E630" s="113">
        <f>SUMIFS(All_Stats!$I:$I,
All_Stats!$D:$D,$B630,
All_Stats!$B:$B,"&gt;="&amp;EOMONTH($A630,-1)+1,
All_Stats!$B:$B,"&lt;"&amp;EOMONTH($A630,0)+1,
All_Stats!$P:$P,"&lt;&gt;Email Marketing"
)</f>
        <v>0</v>
      </c>
      <c r="F630" s="132" t="str">
        <f t="shared" si="182"/>
        <v>N/A</v>
      </c>
      <c r="G630" s="131">
        <f>SUMIFS(All_Stats!$H:$H,
All_Stats!$D:$D,$B630,
All_Stats!$B:$B,"&gt;="&amp;EOMONTH($A630,-1)+1,
All_Stats!$B:$B,"&lt;"&amp;EOMONTH($A630,0)+1,
All_Stats!$P:$P,"&lt;&gt;Email Marketing"
)</f>
        <v>0</v>
      </c>
      <c r="H630" s="113">
        <f>SUMIFS(All_Stats!$K:$K,
All_Stats!$D:$D,$B630,
All_Stats!$B:$B,"&gt;="&amp;EOMONTH($A630,-1)+1,
All_Stats!$B:$B,"&lt;"&amp;EOMONTH($A630,0)+1,
All_Stats!$P:$P,"&lt;&gt;Email Marketing"
)</f>
        <v>0</v>
      </c>
      <c r="I630" s="133">
        <f>IFERROR(__xludf.DUMMYFUNCTION("COUNTUNIQUEIFS(All_Stats!A:A,
All_Stats!$D:$D,$B630,
All_Stats!$B:$B,""&gt;=""&amp;EOMONTH($A630,-1)+1,
All_Stats!$B:$B,""&lt;""&amp;EOMONTH($A630,0)+1,
All_Stats!$P:$P,""&lt;&gt;Email Marketing""
)"),0.0)</f>
        <v>0</v>
      </c>
    </row>
    <row r="631" hidden="1">
      <c r="A631" s="128">
        <v>44958.0</v>
      </c>
      <c r="B631" s="195" t="s">
        <v>33</v>
      </c>
      <c r="C631" s="142" t="s">
        <v>492</v>
      </c>
      <c r="D631" s="131">
        <f>SUMIFS(All_Stats!$G:$G,
All_Stats!$D:$D,$B631,
All_Stats!$B:$B,"&gt;="&amp;EOMONTH($A631,-1)+1,
All_Stats!$B:$B,"&lt;"&amp;EOMONTH($A631,0)+1,
All_Stats!$P:$P,"&lt;&gt;Email Marketing"
)</f>
        <v>0</v>
      </c>
      <c r="E631" s="113">
        <f>SUMIFS(All_Stats!$I:$I,
All_Stats!$D:$D,$B631,
All_Stats!$B:$B,"&gt;="&amp;EOMONTH($A631,-1)+1,
All_Stats!$B:$B,"&lt;"&amp;EOMONTH($A631,0)+1,
All_Stats!$P:$P,"&lt;&gt;Email Marketing"
)</f>
        <v>0</v>
      </c>
      <c r="F631" s="132" t="str">
        <f t="shared" si="182"/>
        <v>N/A</v>
      </c>
      <c r="G631" s="131">
        <f>SUMIFS(All_Stats!$H:$H,
All_Stats!$D:$D,$B631,
All_Stats!$B:$B,"&gt;="&amp;EOMONTH($A631,-1)+1,
All_Stats!$B:$B,"&lt;"&amp;EOMONTH($A631,0)+1,
All_Stats!$P:$P,"&lt;&gt;Email Marketing"
)</f>
        <v>0</v>
      </c>
      <c r="H631" s="113">
        <f>SUMIFS(All_Stats!$K:$K,
All_Stats!$D:$D,$B631,
All_Stats!$B:$B,"&gt;="&amp;EOMONTH($A631,-1)+1,
All_Stats!$B:$B,"&lt;"&amp;EOMONTH($A631,0)+1,
All_Stats!$P:$P,"&lt;&gt;Email Marketing"
)</f>
        <v>0</v>
      </c>
      <c r="I631" s="133">
        <f>IFERROR(__xludf.DUMMYFUNCTION("COUNTUNIQUEIFS(All_Stats!A:A,
All_Stats!$D:$D,$B631,
All_Stats!$B:$B,""&gt;=""&amp;EOMONTH($A631,-1)+1,
All_Stats!$B:$B,""&lt;""&amp;EOMONTH($A631,0)+1,
All_Stats!$P:$P,""&lt;&gt;Email Marketing""
)"),0.0)</f>
        <v>0</v>
      </c>
    </row>
    <row r="632" hidden="1">
      <c r="A632" s="128">
        <v>44958.0</v>
      </c>
      <c r="B632" s="131" t="s">
        <v>30</v>
      </c>
      <c r="C632" s="134" t="str">
        <f>if(ifna(VLOOKUP(B632,'Vendor Directory'!A:C,3,0),"NOT FOUND")="","NOT FOUND",VLOOKUP(B632,'Vendor Directory'!A:C,3,0))</f>
        <v>Vendor 2 Name</v>
      </c>
      <c r="D632" s="131">
        <f>SUMIFS(All_Stats!$G:$G,
All_Stats!$D:$D,$B632,
All_Stats!$B:$B,"&gt;="&amp;EOMONTH($A632,-1)+1,
All_Stats!$B:$B,"&lt;"&amp;EOMONTH($A632,0)+1,
All_Stats!$P:$P,"&lt;&gt;Email Marketing"
)</f>
        <v>0</v>
      </c>
      <c r="E632" s="113">
        <f>SUMIFS(All_Stats!$I:$I,
All_Stats!$D:$D,$B632,
All_Stats!$B:$B,"&gt;="&amp;EOMONTH($A632,-1)+1,
All_Stats!$B:$B,"&lt;"&amp;EOMONTH($A632,0)+1,
All_Stats!$P:$P,"&lt;&gt;Email Marketing"
)</f>
        <v>0</v>
      </c>
      <c r="F632" s="132" t="str">
        <f t="shared" si="182"/>
        <v>N/A</v>
      </c>
      <c r="G632" s="131">
        <f>SUMIFS(All_Stats!$H:$H,
All_Stats!$D:$D,$B632,
All_Stats!$B:$B,"&gt;="&amp;EOMONTH($A632,-1)+1,
All_Stats!$B:$B,"&lt;"&amp;EOMONTH($A632,0)+1,
All_Stats!$P:$P,"&lt;&gt;Email Marketing"
)</f>
        <v>0</v>
      </c>
      <c r="H632" s="113">
        <f>SUMIFS(All_Stats!$K:$K,
All_Stats!$D:$D,$B632,
All_Stats!$B:$B,"&gt;="&amp;EOMONTH($A632,-1)+1,
All_Stats!$B:$B,"&lt;"&amp;EOMONTH($A632,0)+1,
All_Stats!$P:$P,"&lt;&gt;Email Marketing"
)</f>
        <v>0</v>
      </c>
      <c r="I632" s="133">
        <f>IFERROR(__xludf.DUMMYFUNCTION("COUNTUNIQUEIFS(All_Stats!A:A,
All_Stats!$D:$D,$B632,
All_Stats!$B:$B,""&gt;=""&amp;EOMONTH($A632,-1)+1,
All_Stats!$B:$B,""&lt;""&amp;EOMONTH($A632,0)+1,
All_Stats!$P:$P,""&lt;&gt;Email Marketing""
)"),0.0)</f>
        <v>0</v>
      </c>
    </row>
    <row r="633" hidden="1">
      <c r="A633" s="128">
        <v>44958.0</v>
      </c>
      <c r="B633" s="129" t="s">
        <v>542</v>
      </c>
      <c r="C633" s="142" t="s">
        <v>543</v>
      </c>
      <c r="D633" s="131">
        <f>SUMIFS(All_Stats!$G:$G,
All_Stats!$D:$D,$B633,
All_Stats!$B:$B,"&gt;="&amp;EOMONTH($A633,-1)+1,
All_Stats!$B:$B,"&lt;"&amp;EOMONTH($A633,0)+1,
All_Stats!$P:$P,"&lt;&gt;Email Marketing"
)</f>
        <v>0</v>
      </c>
      <c r="E633" s="113">
        <f>SUMIFS(All_Stats!$I:$I,
All_Stats!$D:$D,$B633,
All_Stats!$B:$B,"&gt;="&amp;EOMONTH($A633,-1)+1,
All_Stats!$B:$B,"&lt;"&amp;EOMONTH($A633,0)+1,
All_Stats!$P:$P,"&lt;&gt;Email Marketing"
)</f>
        <v>0</v>
      </c>
      <c r="F633" s="132" t="str">
        <f t="shared" si="182"/>
        <v>N/A</v>
      </c>
      <c r="G633" s="131">
        <f>SUMIFS(All_Stats!$H:$H,
All_Stats!$D:$D,$B633,
All_Stats!$B:$B,"&gt;="&amp;EOMONTH($A633,-1)+1,
All_Stats!$B:$B,"&lt;"&amp;EOMONTH($A633,0)+1,
All_Stats!$P:$P,"&lt;&gt;Email Marketing"
)</f>
        <v>0</v>
      </c>
      <c r="H633" s="113">
        <f>SUMIFS(All_Stats!$K:$K,
All_Stats!$D:$D,$B633,
All_Stats!$B:$B,"&gt;="&amp;EOMONTH($A633,-1)+1,
All_Stats!$B:$B,"&lt;"&amp;EOMONTH($A633,0)+1,
All_Stats!$P:$P,"&lt;&gt;Email Marketing"
)</f>
        <v>0</v>
      </c>
      <c r="I633" s="133">
        <f>IFERROR(__xludf.DUMMYFUNCTION("COUNTUNIQUEIFS(All_Stats!A:A,
All_Stats!$D:$D,$B633,
All_Stats!$B:$B,""&gt;=""&amp;EOMONTH($A633,-1)+1,
All_Stats!$B:$B,""&lt;""&amp;EOMONTH($A633,0)+1,
All_Stats!$P:$P,""&lt;&gt;Email Marketing""
)"),0.0)</f>
        <v>0</v>
      </c>
    </row>
    <row r="634" hidden="1">
      <c r="A634" s="128">
        <v>44958.0</v>
      </c>
      <c r="B634" s="195" t="s">
        <v>79</v>
      </c>
      <c r="C634" s="130" t="s">
        <v>488</v>
      </c>
      <c r="D634" s="131">
        <f>SUMIFS(All_Stats!$G:$G,
All_Stats!$D:$D,$B634,
All_Stats!$B:$B,"&gt;="&amp;EOMONTH($A634,-1)+1,
All_Stats!$B:$B,"&lt;"&amp;EOMONTH($A634,0)+1,
All_Stats!$P:$P,"&lt;&gt;Email Marketing"
)</f>
        <v>0</v>
      </c>
      <c r="E634" s="113">
        <f>SUMIFS(All_Stats!$I:$I,
All_Stats!$D:$D,$B634,
All_Stats!$B:$B,"&gt;="&amp;EOMONTH($A634,-1)+1,
All_Stats!$B:$B,"&lt;"&amp;EOMONTH($A634,0)+1,
All_Stats!$P:$P,"&lt;&gt;Email Marketing"
)</f>
        <v>0</v>
      </c>
      <c r="F634" s="132" t="str">
        <f t="shared" si="182"/>
        <v>N/A</v>
      </c>
      <c r="G634" s="131">
        <f>SUMIFS(All_Stats!$H:$H,
All_Stats!$D:$D,$B634,
All_Stats!$B:$B,"&gt;="&amp;EOMONTH($A634,-1)+1,
All_Stats!$B:$B,"&lt;"&amp;EOMONTH($A634,0)+1,
All_Stats!$P:$P,"&lt;&gt;Email Marketing"
)</f>
        <v>0</v>
      </c>
      <c r="H634" s="113">
        <f>SUMIFS(All_Stats!$K:$K,
All_Stats!$D:$D,$B634,
All_Stats!$B:$B,"&gt;="&amp;EOMONTH($A634,-1)+1,
All_Stats!$B:$B,"&lt;"&amp;EOMONTH($A634,0)+1,
All_Stats!$P:$P,"&lt;&gt;Email Marketing"
)</f>
        <v>0</v>
      </c>
      <c r="I634" s="133">
        <f>IFERROR(__xludf.DUMMYFUNCTION("COUNTUNIQUEIFS(All_Stats!A:A,
All_Stats!$D:$D,$B634,
All_Stats!$B:$B,""&gt;=""&amp;EOMONTH($A634,-1)+1,
All_Stats!$B:$B,""&lt;""&amp;EOMONTH($A634,0)+1,
All_Stats!$P:$P,""&lt;&gt;Email Marketing""
)"),0.0)</f>
        <v>0</v>
      </c>
    </row>
    <row r="635" hidden="1">
      <c r="A635" s="128">
        <v>44958.0</v>
      </c>
      <c r="B635" s="131" t="s">
        <v>164</v>
      </c>
      <c r="C635" s="134" t="s">
        <v>539</v>
      </c>
      <c r="D635" s="131">
        <f>SUMIFS(All_Stats!$G:$G,
All_Stats!$D:$D,$B635,
All_Stats!$B:$B,"&gt;="&amp;EOMONTH($A635,-1)+1,
All_Stats!$B:$B,"&lt;"&amp;EOMONTH($A635,0)+1,
All_Stats!$P:$P,"&lt;&gt;Email Marketing"
)</f>
        <v>0</v>
      </c>
      <c r="E635" s="113">
        <f>SUMIFS(All_Stats!$I:$I,
All_Stats!$D:$D,$B635,
All_Stats!$B:$B,"&gt;="&amp;EOMONTH($A635,-1)+1,
All_Stats!$B:$B,"&lt;"&amp;EOMONTH($A635,0)+1,
All_Stats!$P:$P,"&lt;&gt;Email Marketing"
)</f>
        <v>0</v>
      </c>
      <c r="F635" s="132" t="str">
        <f t="shared" si="182"/>
        <v>N/A</v>
      </c>
      <c r="G635" s="131">
        <f>SUMIFS(All_Stats!$H:$H,
All_Stats!$D:$D,$B635,
All_Stats!$B:$B,"&gt;="&amp;EOMONTH($A635,-1)+1,
All_Stats!$B:$B,"&lt;"&amp;EOMONTH($A635,0)+1,
All_Stats!$P:$P,"&lt;&gt;Email Marketing"
)</f>
        <v>0</v>
      </c>
      <c r="H635" s="113">
        <f>SUMIFS(All_Stats!$K:$K,
All_Stats!$D:$D,$B635,
All_Stats!$B:$B,"&gt;="&amp;EOMONTH($A635,-1)+1,
All_Stats!$B:$B,"&lt;"&amp;EOMONTH($A635,0)+1,
All_Stats!$P:$P,"&lt;&gt;Email Marketing"
)</f>
        <v>0</v>
      </c>
      <c r="I635" s="133">
        <f>IFERROR(__xludf.DUMMYFUNCTION("COUNTUNIQUEIFS(All_Stats!A:A,
All_Stats!$D:$D,$B635,
All_Stats!$B:$B,""&gt;=""&amp;EOMONTH($A635,-1)+1,
All_Stats!$B:$B,""&lt;""&amp;EOMONTH($A635,0)+1,
All_Stats!$P:$P,""&lt;&gt;Email Marketing""
)"),0.0)</f>
        <v>0</v>
      </c>
    </row>
    <row r="636" hidden="1">
      <c r="A636" s="135"/>
      <c r="B636" s="135"/>
      <c r="C636" s="136" t="s">
        <v>23</v>
      </c>
      <c r="D636" s="137">
        <f t="shared" ref="D636:E636" si="183">SUM(D627:D635)</f>
        <v>0</v>
      </c>
      <c r="E636" s="137">
        <f t="shared" si="183"/>
        <v>0</v>
      </c>
      <c r="F636" s="138" t="str">
        <f t="shared" si="182"/>
        <v>N/A</v>
      </c>
      <c r="G636" s="137">
        <f t="shared" ref="G636:H636" si="184">SUM(G627:G635)</f>
        <v>0</v>
      </c>
      <c r="H636" s="137">
        <f t="shared" si="184"/>
        <v>0</v>
      </c>
      <c r="I636" s="139"/>
    </row>
    <row r="637" hidden="1">
      <c r="A637" s="131"/>
      <c r="B637" s="131"/>
      <c r="C637" s="131"/>
      <c r="D637" s="140"/>
      <c r="F637" s="131"/>
      <c r="G637" s="131"/>
    </row>
    <row r="638" hidden="1">
      <c r="A638" s="131"/>
      <c r="B638" s="131"/>
      <c r="C638" s="131"/>
      <c r="D638" s="140">
        <f t="shared" ref="D638:E638" si="185">sum(D623+D636)</f>
        <v>15</v>
      </c>
      <c r="E638" s="140">
        <f t="shared" si="185"/>
        <v>10</v>
      </c>
      <c r="F638" s="131"/>
      <c r="G638" s="140">
        <f t="shared" ref="G638:H638" si="186">sum(G623+G636)</f>
        <v>5</v>
      </c>
      <c r="H638" s="140">
        <f t="shared" si="186"/>
        <v>0</v>
      </c>
    </row>
    <row r="639" hidden="1">
      <c r="A639" s="131"/>
      <c r="B639" s="131"/>
      <c r="C639" s="131"/>
      <c r="D639" s="140"/>
      <c r="F639" s="131"/>
      <c r="G639" s="131"/>
    </row>
    <row r="640" hidden="1">
      <c r="C640" s="118" t="s">
        <v>484</v>
      </c>
      <c r="D640" s="119"/>
      <c r="E640" s="119"/>
      <c r="F640" s="119"/>
      <c r="G640" s="119"/>
      <c r="H640" s="119"/>
      <c r="I640" s="120"/>
    </row>
    <row r="641" hidden="1">
      <c r="A641" s="121" t="s">
        <v>1</v>
      </c>
      <c r="B641" s="122" t="s">
        <v>485</v>
      </c>
      <c r="C641" s="123" t="s">
        <v>486</v>
      </c>
      <c r="D641" s="124" t="s">
        <v>6</v>
      </c>
      <c r="E641" s="125" t="s">
        <v>8</v>
      </c>
      <c r="F641" s="124" t="s">
        <v>479</v>
      </c>
      <c r="G641" s="126" t="s">
        <v>7</v>
      </c>
      <c r="H641" s="125" t="s">
        <v>10</v>
      </c>
      <c r="I641" s="127" t="s">
        <v>487</v>
      </c>
      <c r="K641" s="2" t="s">
        <v>544</v>
      </c>
    </row>
    <row r="642" hidden="1">
      <c r="A642" s="128">
        <v>44986.0</v>
      </c>
      <c r="B642" s="131" t="s">
        <v>164</v>
      </c>
      <c r="C642" s="134" t="str">
        <f>if(ifna(VLOOKUP(B642,'Vendor Directory'!A:C,3,0),"NOT FOUND")="","NOT FOUND",VLOOKUP(B642,'Vendor Directory'!A:C,3,0))</f>
        <v>#N/A</v>
      </c>
      <c r="D642" s="196">
        <f>SUMIFS(All_Stats!$G:$G,
All_Stats!$D:$D,$B642,
All_Stats!$B:$B,"&gt;="&amp;EOMONTH($A642,-1)+1,
All_Stats!$B:$B,"&lt;"&amp;EOMONTH($A642,0)+1,
All_Stats!$P:$P,"Email Marketing"
)</f>
        <v>154</v>
      </c>
      <c r="E642" s="113">
        <f>SUMIFS(All_Stats!$I:$I,
All_Stats!$D:$D,$B642,
All_Stats!$B:$B,"&gt;="&amp;EOMONTH($A642,-1)+1,
All_Stats!$B:$B,"&lt;"&amp;EOMONTH($A642,0)+1,
All_Stats!$P:$P,"Email Marketing"
)</f>
        <v>67</v>
      </c>
      <c r="F642" s="132">
        <f t="shared" ref="F642:F645" si="187">iferror(E642/D642,"N/A")</f>
        <v>0.4350649351</v>
      </c>
      <c r="G642" s="131">
        <f>SUMIFS(All_Stats!$H:$H,
All_Stats!$D:$D,$B642,
All_Stats!$B:$B,"&gt;="&amp;EOMONTH($A642,-1)+1,
All_Stats!$B:$B,"&lt;"&amp;EOMONTH($A642,0)+1,
All_Stats!$P:$P,"Email Marketing"
)</f>
        <v>87</v>
      </c>
      <c r="H642" s="113">
        <f>SUMIFS(All_Stats!$K:$K,
All_Stats!$D:$D,$B642,
All_Stats!$B:$B,"&gt;="&amp;EOMONTH($A642,-1)+1,
All_Stats!$B:$B,"&lt;"&amp;EOMONTH($A642,0)+1,
All_Stats!$P:$P,"Email Marketing"
)</f>
        <v>0</v>
      </c>
      <c r="I642" s="133">
        <f>IFERROR(__xludf.DUMMYFUNCTION("COUNTUNIQUEIFS(All_Stats!A:A,
All_Stats!$D:$D,$B642,
All_Stats!$B:$B,""&gt;=""&amp;EOMONTH($A642,-1)+1,
All_Stats!$B:$B,""&lt;""&amp;EOMONTH($A642,0)+1,
All_Stats!$P:$P,""Email Marketing""
)"),7.0)</f>
        <v>7</v>
      </c>
      <c r="J642" s="164">
        <f t="shared" ref="J642:J645" si="188">E642+G642+H642</f>
        <v>154</v>
      </c>
    </row>
    <row r="643" hidden="1">
      <c r="A643" s="128">
        <v>44986.0</v>
      </c>
      <c r="B643" s="129" t="s">
        <v>79</v>
      </c>
      <c r="C643" s="130" t="s">
        <v>488</v>
      </c>
      <c r="D643" s="197">
        <f>SUMIFS(All_Stats!$G:$G,
All_Stats!$D:$D,$B643,
All_Stats!$B:$B,"&gt;="&amp;EOMONTH($A643,-1)+1,
All_Stats!$B:$B,"&lt;"&amp;EOMONTH($A643,0)+1,
All_Stats!$P:$P,"Email Marketing"
)</f>
        <v>0</v>
      </c>
      <c r="E643" s="113">
        <f>SUMIFS(All_Stats!$I:$I,
All_Stats!$D:$D,$B643,
All_Stats!$B:$B,"&gt;="&amp;EOMONTH($A643,-1)+1,
All_Stats!$B:$B,"&lt;"&amp;EOMONTH($A643,0)+1,
All_Stats!$P:$P,"Email Marketing"
)</f>
        <v>0</v>
      </c>
      <c r="F643" s="132" t="str">
        <f t="shared" si="187"/>
        <v>N/A</v>
      </c>
      <c r="G643" s="131">
        <f>SUMIFS(All_Stats!$H:$H,
All_Stats!$D:$D,$B643,
All_Stats!$B:$B,"&gt;="&amp;EOMONTH($A643,-1)+1,
All_Stats!$B:$B,"&lt;"&amp;EOMONTH($A643,0)+1,
All_Stats!$P:$P,"Email Marketing"
)</f>
        <v>0</v>
      </c>
      <c r="H643" s="113">
        <f>SUMIFS(All_Stats!$K:$K,
All_Stats!$D:$D,$B643,
All_Stats!$B:$B,"&gt;="&amp;EOMONTH($A643,-1)+1,
All_Stats!$B:$B,"&lt;"&amp;EOMONTH($A643,0)+1,
All_Stats!$P:$P,"Email Marketing"
)</f>
        <v>0</v>
      </c>
      <c r="I643" s="133">
        <f>IFERROR(__xludf.DUMMYFUNCTION("COUNTUNIQUEIFS(All_Stats!A:A,
All_Stats!$D:$D,$B643,
All_Stats!$B:$B,""&gt;=""&amp;EOMONTH($A643,-1)+1,
All_Stats!$B:$B,""&lt;""&amp;EOMONTH($A643,0)+1,
All_Stats!$P:$P,""Email Marketing""
)"),2.0)</f>
        <v>2</v>
      </c>
      <c r="J643" s="164">
        <f t="shared" si="188"/>
        <v>0</v>
      </c>
    </row>
    <row r="644" hidden="1">
      <c r="A644" s="128">
        <v>44986.0</v>
      </c>
      <c r="B644" s="129" t="s">
        <v>313</v>
      </c>
      <c r="C644" s="142" t="s">
        <v>525</v>
      </c>
      <c r="D644" s="197">
        <f>SUMIFS(All_Stats!$G:$G,
All_Stats!$D:$D,$B644,
All_Stats!$B:$B,"&gt;="&amp;EOMONTH($A644,-1)+1,
All_Stats!$B:$B,"&lt;"&amp;EOMONTH($A644,0)+1,
All_Stats!$P:$P,"Email Marketing"
)</f>
        <v>203</v>
      </c>
      <c r="E644" s="113">
        <f>SUMIFS(All_Stats!$I:$I,
All_Stats!$D:$D,$B644,
All_Stats!$B:$B,"&gt;="&amp;EOMONTH($A644,-1)+1,
All_Stats!$B:$B,"&lt;"&amp;EOMONTH($A644,0)+1,
All_Stats!$P:$P,"Email Marketing"
)</f>
        <v>108</v>
      </c>
      <c r="F644" s="132">
        <f t="shared" si="187"/>
        <v>0.5320197044</v>
      </c>
      <c r="G644" s="131">
        <f>SUMIFS(All_Stats!$H:$H,
All_Stats!$D:$D,$B644,
All_Stats!$B:$B,"&gt;="&amp;EOMONTH($A644,-1)+1,
All_Stats!$B:$B,"&lt;"&amp;EOMONTH($A644,0)+1,
All_Stats!$P:$P,"Email Marketing"
)</f>
        <v>95</v>
      </c>
      <c r="H644" s="113">
        <f>SUMIFS(All_Stats!$K:$K,
All_Stats!$D:$D,$B644,
All_Stats!$B:$B,"&gt;="&amp;EOMONTH($A644,-1)+1,
All_Stats!$B:$B,"&lt;"&amp;EOMONTH($A644,0)+1,
All_Stats!$P:$P,"Email Marketing"
)</f>
        <v>0</v>
      </c>
      <c r="I644" s="133">
        <f>IFERROR(__xludf.DUMMYFUNCTION("COUNTUNIQUEIFS(All_Stats!A:A,
All_Stats!$D:$D,$B644,
All_Stats!$B:$B,""&gt;=""&amp;EOMONTH($A644,-1)+1,
All_Stats!$B:$B,""&lt;""&amp;EOMONTH($A644,0)+1,
All_Stats!$P:$P,""Email Marketing""
)"),2.0)</f>
        <v>2</v>
      </c>
      <c r="J644" s="164">
        <f t="shared" si="188"/>
        <v>203</v>
      </c>
    </row>
    <row r="645" hidden="1">
      <c r="A645" s="135"/>
      <c r="B645" s="135"/>
      <c r="C645" s="136" t="s">
        <v>23</v>
      </c>
      <c r="D645" s="137">
        <f t="shared" ref="D645:E645" si="189">SUM(D642:D644)</f>
        <v>357</v>
      </c>
      <c r="E645" s="137">
        <f t="shared" si="189"/>
        <v>175</v>
      </c>
      <c r="F645" s="138">
        <f t="shared" si="187"/>
        <v>0.4901960784</v>
      </c>
      <c r="G645" s="137">
        <f t="shared" ref="G645:H645" si="190">SUM(G642:G644)</f>
        <v>182</v>
      </c>
      <c r="H645" s="137">
        <f t="shared" si="190"/>
        <v>0</v>
      </c>
      <c r="I645" s="139"/>
      <c r="J645" s="164">
        <f t="shared" si="188"/>
        <v>357</v>
      </c>
    </row>
    <row r="646" hidden="1">
      <c r="A646" s="131"/>
      <c r="B646" s="131"/>
      <c r="C646" s="131"/>
      <c r="D646" s="140"/>
      <c r="F646" s="131"/>
      <c r="G646" s="131"/>
    </row>
    <row r="647" hidden="1">
      <c r="A647" s="121" t="s">
        <v>1</v>
      </c>
      <c r="B647" s="122" t="s">
        <v>485</v>
      </c>
      <c r="C647" s="123" t="s">
        <v>486</v>
      </c>
      <c r="D647" s="124" t="s">
        <v>6</v>
      </c>
      <c r="E647" s="125" t="s">
        <v>8</v>
      </c>
      <c r="F647" s="124" t="s">
        <v>479</v>
      </c>
      <c r="G647" s="126" t="s">
        <v>7</v>
      </c>
      <c r="H647" s="125" t="s">
        <v>10</v>
      </c>
      <c r="I647" s="127" t="s">
        <v>487</v>
      </c>
    </row>
    <row r="648" hidden="1">
      <c r="A648" s="128">
        <v>44986.0</v>
      </c>
      <c r="B648" s="129" t="s">
        <v>19</v>
      </c>
      <c r="C648" s="141" t="s">
        <v>489</v>
      </c>
      <c r="D648" s="131">
        <f>SUMIFS(All_Stats!$G:$G,
All_Stats!$D:$D,$B648,
All_Stats!$B:$B,"&gt;="&amp;EOMONTH($A648,-1)+1,
All_Stats!$B:$B,"&lt;"&amp;EOMONTH($A648,0)+1,
All_Stats!$P:$P,"&lt;&gt;Email Marketing"
)</f>
        <v>5</v>
      </c>
      <c r="E648" s="113">
        <f>SUMIFS(All_Stats!$I:$I,
All_Stats!$D:$D,$B648,
All_Stats!$B:$B,"&gt;="&amp;EOMONTH($A648,-1)+1,
All_Stats!$B:$B,"&lt;"&amp;EOMONTH($A648,0)+1,
All_Stats!$P:$P,"&lt;&gt;Email Marketing"
)</f>
        <v>1</v>
      </c>
      <c r="F648" s="132">
        <f t="shared" ref="F648:F658" si="191">iferror(E648/D648,"N/A")</f>
        <v>0.2</v>
      </c>
      <c r="G648" s="131">
        <f>SUMIFS(All_Stats!$H:$H,
All_Stats!$D:$D,$B648,
All_Stats!$B:$B,"&gt;="&amp;EOMONTH($A648,-1)+1,
All_Stats!$B:$B,"&lt;"&amp;EOMONTH($A648,0)+1,
All_Stats!$P:$P,"&lt;&gt;Email Marketing"
)</f>
        <v>0</v>
      </c>
      <c r="H648" s="113">
        <f>SUMIFS(All_Stats!$K:$K,
All_Stats!$D:$D,$B648,
All_Stats!$B:$B,"&gt;="&amp;EOMONTH($A648,-1)+1,
All_Stats!$B:$B,"&lt;"&amp;EOMONTH($A648,0)+1,
All_Stats!$P:$P,"&lt;&gt;Email Marketing"
)</f>
        <v>0</v>
      </c>
      <c r="I648" s="133">
        <f>IFERROR(__xludf.DUMMYFUNCTION("COUNTUNIQUEIFS(All_Stats!A:A,
All_Stats!$D:$D,$B648,
All_Stats!$B:$B,""&gt;=""&amp;EOMONTH($A648,-1)+1,
All_Stats!$B:$B,""&lt;""&amp;EOMONTH($A648,0)+1,
All_Stats!$P:$P,""&lt;&gt;Email Marketing""
)"),1.0)</f>
        <v>1</v>
      </c>
      <c r="J648" s="198">
        <f t="shared" ref="J648:J658" si="192">E648+G648+H648</f>
        <v>1</v>
      </c>
    </row>
    <row r="649" hidden="1">
      <c r="A649" s="128">
        <v>44986.0</v>
      </c>
      <c r="B649" s="131" t="s">
        <v>30</v>
      </c>
      <c r="C649" s="134" t="str">
        <f>if(ifna(VLOOKUP(B649,'Vendor Directory'!A:C,3,0),"NOT FOUND")="","NOT FOUND",VLOOKUP(B649,'Vendor Directory'!A:C,3,0))</f>
        <v>Vendor 2 Name</v>
      </c>
      <c r="D649" s="197">
        <f>SUMIFS(All_Stats!$G:$G,
All_Stats!$D:$D,$B649,
All_Stats!$B:$B,"&gt;="&amp;EOMONTH($A649,-1)+1,
All_Stats!$B:$B,"&lt;"&amp;EOMONTH($A649,0)+1,
All_Stats!$P:$P,"&lt;&gt;Email Marketing"
)</f>
        <v>92</v>
      </c>
      <c r="E649" s="113">
        <f>SUMIFS(All_Stats!$I:$I,
All_Stats!$D:$D,$B649,
All_Stats!$B:$B,"&gt;="&amp;EOMONTH($A649,-1)+1,
All_Stats!$B:$B,"&lt;"&amp;EOMONTH($A649,0)+1,
All_Stats!$P:$P,"&lt;&gt;Email Marketing"
)</f>
        <v>47</v>
      </c>
      <c r="F649" s="132">
        <f t="shared" si="191"/>
        <v>0.5108695652</v>
      </c>
      <c r="G649" s="131">
        <f>SUMIFS(All_Stats!$H:$H,
All_Stats!$D:$D,$B649,
All_Stats!$B:$B,"&gt;="&amp;EOMONTH($A649,-1)+1,
All_Stats!$B:$B,"&lt;"&amp;EOMONTH($A649,0)+1,
All_Stats!$P:$P,"&lt;&gt;Email Marketing"
)</f>
        <v>41</v>
      </c>
      <c r="H649" s="113">
        <f>SUMIFS(All_Stats!$K:$K,
All_Stats!$D:$D,$B649,
All_Stats!$B:$B,"&gt;="&amp;EOMONTH($A649,-1)+1,
All_Stats!$B:$B,"&lt;"&amp;EOMONTH($A649,0)+1,
All_Stats!$P:$P,"&lt;&gt;Email Marketing"
)</f>
        <v>0</v>
      </c>
      <c r="I649" s="133">
        <f>IFERROR(__xludf.DUMMYFUNCTION("COUNTUNIQUEIFS(All_Stats!A:A,
All_Stats!$D:$D,$B649,
All_Stats!$B:$B,""&gt;=""&amp;EOMONTH($A649,-1)+1,
All_Stats!$B:$B,""&lt;""&amp;EOMONTH($A649,0)+1,
All_Stats!$P:$P,""&lt;&gt;Email Marketing""
)"),1.0)</f>
        <v>1</v>
      </c>
      <c r="J649" s="164">
        <f t="shared" si="192"/>
        <v>88</v>
      </c>
    </row>
    <row r="650" hidden="1">
      <c r="A650" s="128">
        <v>44986.0</v>
      </c>
      <c r="B650" s="131" t="s">
        <v>127</v>
      </c>
      <c r="C650" s="134" t="str">
        <f>if(ifna(VLOOKUP(B650,'Vendor Directory'!A:C,3,0),"NOT FOUND")="","NOT FOUND",VLOOKUP(B650,'Vendor Directory'!A:C,3,0))</f>
        <v>#N/A</v>
      </c>
      <c r="D650" s="197">
        <f>SUMIFS(All_Stats!$G:$G,
All_Stats!$D:$D,$B650,
All_Stats!$B:$B,"&gt;="&amp;EOMONTH($A650,-1)+1,
All_Stats!$B:$B,"&lt;"&amp;EOMONTH($A650,0)+1,
All_Stats!$P:$P,"&lt;&gt;Email Marketing"
)</f>
        <v>0</v>
      </c>
      <c r="E650" s="113">
        <f>SUMIFS(All_Stats!$I:$I,
All_Stats!$D:$D,$B650,
All_Stats!$B:$B,"&gt;="&amp;EOMONTH($A650,-1)+1,
All_Stats!$B:$B,"&lt;"&amp;EOMONTH($A650,0)+1,
All_Stats!$P:$P,"&lt;&gt;Email Marketing"
)</f>
        <v>0</v>
      </c>
      <c r="F650" s="132" t="str">
        <f t="shared" si="191"/>
        <v>N/A</v>
      </c>
      <c r="G650" s="131">
        <f>SUMIFS(All_Stats!$H:$H,
All_Stats!$D:$D,$B650,
All_Stats!$B:$B,"&gt;="&amp;EOMONTH($A650,-1)+1,
All_Stats!$B:$B,"&lt;"&amp;EOMONTH($A650,0)+1,
All_Stats!$P:$P,"&lt;&gt;Email Marketing"
)</f>
        <v>0</v>
      </c>
      <c r="H650" s="113">
        <f>SUMIFS(All_Stats!$K:$K,
All_Stats!$D:$D,$B650,
All_Stats!$B:$B,"&gt;="&amp;EOMONTH($A650,-1)+1,
All_Stats!$B:$B,"&lt;"&amp;EOMONTH($A650,0)+1,
All_Stats!$P:$P,"&lt;&gt;Email Marketing"
)</f>
        <v>0</v>
      </c>
      <c r="I650" s="133">
        <f>IFERROR(__xludf.DUMMYFUNCTION("COUNTUNIQUEIFS(All_Stats!A:A,
All_Stats!$D:$D,$B650,
All_Stats!$B:$B,""&gt;=""&amp;EOMONTH($A650,-1)+1,
All_Stats!$B:$B,""&lt;""&amp;EOMONTH($A650,0)+1,
All_Stats!$P:$P,""&lt;&gt;Email Marketing""
)"),0.0)</f>
        <v>0</v>
      </c>
      <c r="J650" s="198">
        <f t="shared" si="192"/>
        <v>0</v>
      </c>
    </row>
    <row r="651" hidden="1">
      <c r="A651" s="128">
        <v>44986.0</v>
      </c>
      <c r="B651" s="131" t="s">
        <v>91</v>
      </c>
      <c r="C651" s="134" t="str">
        <f>if(ifna(VLOOKUP(B651,'Vendor Directory'!A:C,3,0),"NOT FOUND")="","NOT FOUND",VLOOKUP(B651,'Vendor Directory'!A:C,3,0))</f>
        <v>#N/A</v>
      </c>
      <c r="D651" s="197">
        <f>SUMIFS(All_Stats!$G:$G,
All_Stats!$D:$D,$B651,
All_Stats!$B:$B,"&gt;="&amp;EOMONTH($A651,-1)+1,
All_Stats!$B:$B,"&lt;"&amp;EOMONTH($A651,0)+1,
All_Stats!$P:$P,"&lt;&gt;Email Marketing"
)</f>
        <v>0</v>
      </c>
      <c r="E651" s="113">
        <f>SUMIFS(All_Stats!$I:$I,
All_Stats!$D:$D,$B651,
All_Stats!$B:$B,"&gt;="&amp;EOMONTH($A651,-1)+1,
All_Stats!$B:$B,"&lt;"&amp;EOMONTH($A651,0)+1,
All_Stats!$P:$P,"&lt;&gt;Email Marketing"
)</f>
        <v>0</v>
      </c>
      <c r="F651" s="132" t="str">
        <f t="shared" si="191"/>
        <v>N/A</v>
      </c>
      <c r="G651" s="131">
        <f>SUMIFS(All_Stats!$H:$H,
All_Stats!$D:$D,$B651,
All_Stats!$B:$B,"&gt;="&amp;EOMONTH($A651,-1)+1,
All_Stats!$B:$B,"&lt;"&amp;EOMONTH($A651,0)+1,
All_Stats!$P:$P,"&lt;&gt;Email Marketing"
)</f>
        <v>0</v>
      </c>
      <c r="H651" s="113">
        <f>SUMIFS(All_Stats!$K:$K,
All_Stats!$D:$D,$B651,
All_Stats!$B:$B,"&gt;="&amp;EOMONTH($A651,-1)+1,
All_Stats!$B:$B,"&lt;"&amp;EOMONTH($A651,0)+1,
All_Stats!$P:$P,"&lt;&gt;Email Marketing"
)</f>
        <v>0</v>
      </c>
      <c r="I651" s="133">
        <f>IFERROR(__xludf.DUMMYFUNCTION("COUNTUNIQUEIFS(All_Stats!A:A,
All_Stats!$D:$D,$B651,
All_Stats!$B:$B,""&gt;=""&amp;EOMONTH($A651,-1)+1,
All_Stats!$B:$B,""&lt;""&amp;EOMONTH($A651,0)+1,
All_Stats!$P:$P,""&lt;&gt;Email Marketing""
)"),0.0)</f>
        <v>0</v>
      </c>
      <c r="J651" s="198">
        <f t="shared" si="192"/>
        <v>0</v>
      </c>
    </row>
    <row r="652" hidden="1">
      <c r="A652" s="128">
        <v>44986.0</v>
      </c>
      <c r="B652" s="129" t="s">
        <v>33</v>
      </c>
      <c r="C652" s="142" t="s">
        <v>492</v>
      </c>
      <c r="D652" s="197">
        <f>SUMIFS(All_Stats!$G:$G,
All_Stats!$D:$D,$B652,
All_Stats!$B:$B,"&gt;="&amp;EOMONTH($A652,-1)+1,
All_Stats!$B:$B,"&lt;"&amp;EOMONTH($A652,0)+1,
All_Stats!$P:$P,"&lt;&gt;Email Marketing"
)</f>
        <v>0</v>
      </c>
      <c r="E652" s="113">
        <f>SUMIFS(All_Stats!$I:$I,
All_Stats!$D:$D,$B652,
All_Stats!$B:$B,"&gt;="&amp;EOMONTH($A652,-1)+1,
All_Stats!$B:$B,"&lt;"&amp;EOMONTH($A652,0)+1,
All_Stats!$P:$P,"&lt;&gt;Email Marketing"
)</f>
        <v>0</v>
      </c>
      <c r="F652" s="132" t="str">
        <f t="shared" si="191"/>
        <v>N/A</v>
      </c>
      <c r="G652" s="131">
        <f>SUMIFS(All_Stats!$H:$H,
All_Stats!$D:$D,$B652,
All_Stats!$B:$B,"&gt;="&amp;EOMONTH($A652,-1)+1,
All_Stats!$B:$B,"&lt;"&amp;EOMONTH($A652,0)+1,
All_Stats!$P:$P,"&lt;&gt;Email Marketing"
)</f>
        <v>0</v>
      </c>
      <c r="H652" s="113">
        <f>SUMIFS(All_Stats!$K:$K,
All_Stats!$D:$D,$B652,
All_Stats!$B:$B,"&gt;="&amp;EOMONTH($A652,-1)+1,
All_Stats!$B:$B,"&lt;"&amp;EOMONTH($A652,0)+1,
All_Stats!$P:$P,"&lt;&gt;Email Marketing"
)</f>
        <v>0</v>
      </c>
      <c r="I652" s="133">
        <f>IFERROR(__xludf.DUMMYFUNCTION("COUNTUNIQUEIFS(All_Stats!A:A,
All_Stats!$D:$D,$B652,
All_Stats!$B:$B,""&gt;=""&amp;EOMONTH($A652,-1)+1,
All_Stats!$B:$B,""&lt;""&amp;EOMONTH($A652,0)+1,
All_Stats!$P:$P,""&lt;&gt;Email Marketing""
)"),0.0)</f>
        <v>0</v>
      </c>
      <c r="J652" s="164">
        <f t="shared" si="192"/>
        <v>0</v>
      </c>
    </row>
    <row r="653" hidden="1">
      <c r="A653" s="128">
        <v>44986.0</v>
      </c>
      <c r="B653" s="129" t="s">
        <v>109</v>
      </c>
      <c r="C653" s="130" t="s">
        <v>490</v>
      </c>
      <c r="D653" s="197">
        <f>SUMIFS(All_Stats!$G:$G,
All_Stats!$D:$D,$B653,
All_Stats!$B:$B,"&gt;="&amp;EOMONTH($A653,-1)+1,
All_Stats!$B:$B,"&lt;"&amp;EOMONTH($A653,0)+1,
All_Stats!$P:$P,"&lt;&gt;Email Marketing"
)</f>
        <v>0</v>
      </c>
      <c r="E653" s="113">
        <f>SUMIFS(All_Stats!$I:$I,
All_Stats!$D:$D,$B653,
All_Stats!$B:$B,"&gt;="&amp;EOMONTH($A653,-1)+1,
All_Stats!$B:$B,"&lt;"&amp;EOMONTH($A653,0)+1,
All_Stats!$P:$P,"&lt;&gt;Email Marketing"
)</f>
        <v>0</v>
      </c>
      <c r="F653" s="132" t="str">
        <f t="shared" si="191"/>
        <v>N/A</v>
      </c>
      <c r="G653" s="131">
        <f>SUMIFS(All_Stats!$H:$H,
All_Stats!$D:$D,$B653,
All_Stats!$B:$B,"&gt;="&amp;EOMONTH($A653,-1)+1,
All_Stats!$B:$B,"&lt;"&amp;EOMONTH($A653,0)+1,
All_Stats!$P:$P,"&lt;&gt;Email Marketing"
)</f>
        <v>0</v>
      </c>
      <c r="H653" s="113">
        <f>SUMIFS(All_Stats!$K:$K,
All_Stats!$D:$D,$B653,
All_Stats!$B:$B,"&gt;="&amp;EOMONTH($A653,-1)+1,
All_Stats!$B:$B,"&lt;"&amp;EOMONTH($A653,0)+1,
All_Stats!$P:$P,"&lt;&gt;Email Marketing"
)</f>
        <v>0</v>
      </c>
      <c r="I653" s="133">
        <f>IFERROR(__xludf.DUMMYFUNCTION("COUNTUNIQUEIFS(All_Stats!A:A,
All_Stats!$D:$D,$B653,
All_Stats!$B:$B,""&gt;=""&amp;EOMONTH($A653,-1)+1,
All_Stats!$B:$B,""&lt;""&amp;EOMONTH($A653,0)+1,
All_Stats!$P:$P,""&lt;&gt;Email Marketing""
)"),0.0)</f>
        <v>0</v>
      </c>
      <c r="J653" s="164">
        <f t="shared" si="192"/>
        <v>0</v>
      </c>
    </row>
    <row r="654" hidden="1">
      <c r="A654" s="128">
        <v>44986.0</v>
      </c>
      <c r="B654" s="131" t="s">
        <v>157</v>
      </c>
      <c r="C654" s="134" t="str">
        <f>if(ifna(VLOOKUP(B654,'Vendor Directory'!A:C,3,0),"NOT FOUND")="","NOT FOUND",VLOOKUP(B654,'Vendor Directory'!A:C,3,0))</f>
        <v>#N/A</v>
      </c>
      <c r="D654" s="197">
        <f>SUMIFS(All_Stats!$G:$G,
All_Stats!$D:$D,$B654,
All_Stats!$B:$B,"&gt;="&amp;EOMONTH($A654,-1)+1,
All_Stats!$B:$B,"&lt;"&amp;EOMONTH($A654,0)+1,
All_Stats!$P:$P,"&lt;&gt;Email Marketing"
)</f>
        <v>0</v>
      </c>
      <c r="E654" s="113">
        <f>SUMIFS(All_Stats!$I:$I,
All_Stats!$D:$D,$B654,
All_Stats!$B:$B,"&gt;="&amp;EOMONTH($A654,-1)+1,
All_Stats!$B:$B,"&lt;"&amp;EOMONTH($A654,0)+1,
All_Stats!$P:$P,"&lt;&gt;Email Marketing"
)</f>
        <v>0</v>
      </c>
      <c r="F654" s="132" t="str">
        <f t="shared" si="191"/>
        <v>N/A</v>
      </c>
      <c r="G654" s="131">
        <f>SUMIFS(All_Stats!$H:$H,
All_Stats!$D:$D,$B654,
All_Stats!$B:$B,"&gt;="&amp;EOMONTH($A654,-1)+1,
All_Stats!$B:$B,"&lt;"&amp;EOMONTH($A654,0)+1,
All_Stats!$P:$P,"&lt;&gt;Email Marketing"
)</f>
        <v>0</v>
      </c>
      <c r="H654" s="113">
        <f>SUMIFS(All_Stats!$K:$K,
All_Stats!$D:$D,$B654,
All_Stats!$B:$B,"&gt;="&amp;EOMONTH($A654,-1)+1,
All_Stats!$B:$B,"&lt;"&amp;EOMONTH($A654,0)+1,
All_Stats!$P:$P,"&lt;&gt;Email Marketing"
)</f>
        <v>0</v>
      </c>
      <c r="I654" s="133">
        <f>IFERROR(__xludf.DUMMYFUNCTION("COUNTUNIQUEIFS(All_Stats!A:A,
All_Stats!$D:$D,$B654,
All_Stats!$B:$B,""&gt;=""&amp;EOMONTH($A654,-1)+1,
All_Stats!$B:$B,""&lt;""&amp;EOMONTH($A654,0)+1,
All_Stats!$P:$P,""&lt;&gt;Email Marketing""
)"),0.0)</f>
        <v>0</v>
      </c>
      <c r="J654" s="164">
        <f t="shared" si="192"/>
        <v>0</v>
      </c>
    </row>
    <row r="655" hidden="1">
      <c r="A655" s="128">
        <v>44986.0</v>
      </c>
      <c r="B655" s="129" t="s">
        <v>542</v>
      </c>
      <c r="C655" s="142" t="s">
        <v>543</v>
      </c>
      <c r="D655" s="197">
        <f>SUMIFS(All_Stats!$G:$G,
All_Stats!$D:$D,$B655,
All_Stats!$B:$B,"&gt;="&amp;EOMONTH($A655,-1)+1,
All_Stats!$B:$B,"&lt;"&amp;EOMONTH($A655,0)+1,
All_Stats!$P:$P,"&lt;&gt;Email Marketing"
)</f>
        <v>0</v>
      </c>
      <c r="E655" s="113">
        <f>SUMIFS(All_Stats!$I:$I,
All_Stats!$D:$D,$B655,
All_Stats!$B:$B,"&gt;="&amp;EOMONTH($A655,-1)+1,
All_Stats!$B:$B,"&lt;"&amp;EOMONTH($A655,0)+1,
All_Stats!$P:$P,"&lt;&gt;Email Marketing"
)</f>
        <v>0</v>
      </c>
      <c r="F655" s="132" t="str">
        <f t="shared" si="191"/>
        <v>N/A</v>
      </c>
      <c r="G655" s="131">
        <f>SUMIFS(All_Stats!$H:$H,
All_Stats!$D:$D,$B655,
All_Stats!$B:$B,"&gt;="&amp;EOMONTH($A655,-1)+1,
All_Stats!$B:$B,"&lt;"&amp;EOMONTH($A655,0)+1,
All_Stats!$P:$P,"&lt;&gt;Email Marketing"
)</f>
        <v>0</v>
      </c>
      <c r="H655" s="113">
        <f>SUMIFS(All_Stats!$K:$K,
All_Stats!$D:$D,$B655,
All_Stats!$B:$B,"&gt;="&amp;EOMONTH($A655,-1)+1,
All_Stats!$B:$B,"&lt;"&amp;EOMONTH($A655,0)+1,
All_Stats!$P:$P,"&lt;&gt;Email Marketing"
)</f>
        <v>0</v>
      </c>
      <c r="I655" s="133">
        <f>IFERROR(__xludf.DUMMYFUNCTION("COUNTUNIQUEIFS(All_Stats!A:A,
All_Stats!$D:$D,$B655,
All_Stats!$B:$B,""&gt;=""&amp;EOMONTH($A655,-1)+1,
All_Stats!$B:$B,""&lt;""&amp;EOMONTH($A655,0)+1,
All_Stats!$P:$P,""&lt;&gt;Email Marketing""
)"),0.0)</f>
        <v>0</v>
      </c>
      <c r="J655" s="164">
        <f t="shared" si="192"/>
        <v>0</v>
      </c>
    </row>
    <row r="656" hidden="1">
      <c r="A656" s="128">
        <v>44986.0</v>
      </c>
      <c r="B656" s="131" t="s">
        <v>501</v>
      </c>
      <c r="C656" s="134" t="str">
        <f>if(ifna(VLOOKUP(B656,'Vendor Directory'!A:C,3,0),"NOT FOUND")="","NOT FOUND",VLOOKUP(B656,'Vendor Directory'!A:C,3,0))</f>
        <v>#N/A</v>
      </c>
      <c r="D656" s="197">
        <f>SUMIFS(All_Stats!$G:$G,
All_Stats!$D:$D,$B656,
All_Stats!$B:$B,"&gt;="&amp;EOMONTH($A656,-1)+1,
All_Stats!$B:$B,"&lt;"&amp;EOMONTH($A656,0)+1,
All_Stats!$P:$P,"&lt;&gt;Email Marketing"
)</f>
        <v>0</v>
      </c>
      <c r="E656" s="113">
        <f>SUMIFS(All_Stats!$I:$I,
All_Stats!$D:$D,$B656,
All_Stats!$B:$B,"&gt;="&amp;EOMONTH($A656,-1)+1,
All_Stats!$B:$B,"&lt;"&amp;EOMONTH($A656,0)+1,
All_Stats!$P:$P,"&lt;&gt;Email Marketing"
)</f>
        <v>0</v>
      </c>
      <c r="F656" s="132" t="str">
        <f t="shared" si="191"/>
        <v>N/A</v>
      </c>
      <c r="G656" s="131">
        <f>SUMIFS(All_Stats!$H:$H,
All_Stats!$D:$D,$B656,
All_Stats!$B:$B,"&gt;="&amp;EOMONTH($A656,-1)+1,
All_Stats!$B:$B,"&lt;"&amp;EOMONTH($A656,0)+1,
All_Stats!$P:$P,"&lt;&gt;Email Marketing"
)</f>
        <v>0</v>
      </c>
      <c r="H656" s="113">
        <f>SUMIFS(All_Stats!$K:$K,
All_Stats!$D:$D,$B656,
All_Stats!$B:$B,"&gt;="&amp;EOMONTH($A656,-1)+1,
All_Stats!$B:$B,"&lt;"&amp;EOMONTH($A656,0)+1,
All_Stats!$P:$P,"&lt;&gt;Email Marketing"
)</f>
        <v>0</v>
      </c>
      <c r="I656" s="133">
        <f>IFERROR(__xludf.DUMMYFUNCTION("COUNTUNIQUEIFS(All_Stats!A:A,
All_Stats!$D:$D,$B656,
All_Stats!$B:$B,""&gt;=""&amp;EOMONTH($A656,-1)+1,
All_Stats!$B:$B,""&lt;""&amp;EOMONTH($A656,0)+1,
All_Stats!$P:$P,""&lt;&gt;Email Marketing""
)"),0.0)</f>
        <v>0</v>
      </c>
      <c r="J656" s="164">
        <f t="shared" si="192"/>
        <v>0</v>
      </c>
    </row>
    <row r="657" hidden="1">
      <c r="A657" s="128">
        <v>44986.0</v>
      </c>
      <c r="B657" s="129" t="s">
        <v>79</v>
      </c>
      <c r="C657" s="130" t="s">
        <v>488</v>
      </c>
      <c r="D657" s="197">
        <f>SUMIFS(All_Stats!$G:$G,
All_Stats!$D:$D,$B657,
All_Stats!$B:$B,"&gt;="&amp;EOMONTH($A657,-1)+1,
All_Stats!$B:$B,"&lt;"&amp;EOMONTH($A657,0)+1,
All_Stats!$P:$P,"&lt;&gt;Email Marketing"
)</f>
        <v>0</v>
      </c>
      <c r="E657" s="113">
        <f>SUMIFS(All_Stats!$I:$I,
All_Stats!$D:$D,$B657,
All_Stats!$B:$B,"&gt;="&amp;EOMONTH($A657,-1)+1,
All_Stats!$B:$B,"&lt;"&amp;EOMONTH($A657,0)+1,
All_Stats!$P:$P,"&lt;&gt;Email Marketing"
)</f>
        <v>0</v>
      </c>
      <c r="F657" s="132" t="str">
        <f t="shared" si="191"/>
        <v>N/A</v>
      </c>
      <c r="G657" s="131">
        <f>SUMIFS(All_Stats!$H:$H,
All_Stats!$D:$D,$B657,
All_Stats!$B:$B,"&gt;="&amp;EOMONTH($A657,-1)+1,
All_Stats!$B:$B,"&lt;"&amp;EOMONTH($A657,0)+1,
All_Stats!$P:$P,"&lt;&gt;Email Marketing"
)</f>
        <v>0</v>
      </c>
      <c r="H657" s="113">
        <f>SUMIFS(All_Stats!$K:$K,
All_Stats!$D:$D,$B657,
All_Stats!$B:$B,"&gt;="&amp;EOMONTH($A657,-1)+1,
All_Stats!$B:$B,"&lt;"&amp;EOMONTH($A657,0)+1,
All_Stats!$P:$P,"&lt;&gt;Email Marketing"
)</f>
        <v>0</v>
      </c>
      <c r="I657" s="133">
        <f>IFERROR(__xludf.DUMMYFUNCTION("COUNTUNIQUEIFS(All_Stats!A:A,
All_Stats!$D:$D,$B657,
All_Stats!$B:$B,""&gt;=""&amp;EOMONTH($A657,-1)+1,
All_Stats!$B:$B,""&lt;""&amp;EOMONTH($A657,0)+1,
All_Stats!$P:$P,""&lt;&gt;Email Marketing""
)"),0.0)</f>
        <v>0</v>
      </c>
      <c r="J657" s="164">
        <f t="shared" si="192"/>
        <v>0</v>
      </c>
    </row>
    <row r="658" hidden="1">
      <c r="A658" s="135"/>
      <c r="B658" s="135"/>
      <c r="C658" s="136" t="s">
        <v>23</v>
      </c>
      <c r="D658" s="137">
        <f t="shared" ref="D658:E658" si="193">SUM(D650:D656)</f>
        <v>0</v>
      </c>
      <c r="E658" s="137">
        <f t="shared" si="193"/>
        <v>0</v>
      </c>
      <c r="F658" s="138" t="str">
        <f t="shared" si="191"/>
        <v>N/A</v>
      </c>
      <c r="G658" s="137">
        <f t="shared" ref="G658:H658" si="194">SUM(G650:G656)</f>
        <v>0</v>
      </c>
      <c r="H658" s="137">
        <f t="shared" si="194"/>
        <v>0</v>
      </c>
      <c r="I658" s="139"/>
      <c r="J658" s="164">
        <f t="shared" si="192"/>
        <v>0</v>
      </c>
    </row>
    <row r="659" hidden="1">
      <c r="A659" s="131"/>
      <c r="B659" s="131"/>
      <c r="C659" s="131"/>
      <c r="D659" s="140"/>
      <c r="F659" s="131"/>
      <c r="G659" s="131"/>
    </row>
    <row r="660" hidden="1">
      <c r="A660" s="131"/>
      <c r="B660" s="131"/>
      <c r="C660" s="131"/>
      <c r="D660" s="140">
        <f t="shared" ref="D660:E660" si="195">D645+D658</f>
        <v>357</v>
      </c>
      <c r="E660" s="140">
        <f t="shared" si="195"/>
        <v>175</v>
      </c>
      <c r="F660" s="131"/>
      <c r="G660" s="140">
        <f t="shared" ref="G660:H660" si="196">G645+G658</f>
        <v>182</v>
      </c>
      <c r="H660" s="140">
        <f t="shared" si="196"/>
        <v>0</v>
      </c>
      <c r="J660" s="164">
        <f>E660+G660+H660</f>
        <v>357</v>
      </c>
    </row>
    <row r="661" hidden="1">
      <c r="A661" s="131"/>
      <c r="B661" s="131"/>
      <c r="C661" s="131"/>
      <c r="D661" s="140"/>
      <c r="F661" s="131"/>
      <c r="G661" s="131"/>
    </row>
    <row r="662" hidden="1">
      <c r="C662" s="118" t="s">
        <v>484</v>
      </c>
      <c r="D662" s="119"/>
      <c r="E662" s="119"/>
      <c r="F662" s="119"/>
      <c r="G662" s="119"/>
      <c r="H662" s="119"/>
      <c r="I662" s="120"/>
    </row>
    <row r="663" hidden="1">
      <c r="A663" s="121" t="s">
        <v>1</v>
      </c>
      <c r="B663" s="122" t="s">
        <v>485</v>
      </c>
      <c r="C663" s="123" t="s">
        <v>486</v>
      </c>
      <c r="D663" s="124" t="s">
        <v>6</v>
      </c>
      <c r="E663" s="125" t="s">
        <v>8</v>
      </c>
      <c r="F663" s="124" t="s">
        <v>479</v>
      </c>
      <c r="G663" s="126" t="s">
        <v>7</v>
      </c>
      <c r="H663" s="125" t="s">
        <v>10</v>
      </c>
      <c r="I663" s="127" t="s">
        <v>487</v>
      </c>
    </row>
    <row r="664" hidden="1">
      <c r="A664" s="128">
        <v>45017.0</v>
      </c>
      <c r="B664" s="131" t="s">
        <v>164</v>
      </c>
      <c r="C664" s="134" t="str">
        <f>if(ifna(VLOOKUP(B664,'Vendor Directory'!A:C,3,0),"NOT FOUND")="","NOT FOUND",VLOOKUP(B664,'Vendor Directory'!A:C,3,0))</f>
        <v>#N/A</v>
      </c>
      <c r="D664" s="131">
        <f>SUMIFS(All_Stats!$G:$G,
All_Stats!$D:$D,$B664,
All_Stats!$B:$B,"&gt;="&amp;EOMONTH($A664,-1)+1,
All_Stats!$B:$B,"&lt;"&amp;EOMONTH($A664,0)+1,
All_Stats!$P:$P,"Email Marketing"
)</f>
        <v>692</v>
      </c>
      <c r="E664" s="113">
        <f>SUMIFS(All_Stats!$I:$I,
All_Stats!$D:$D,$B664,
All_Stats!$B:$B,"&gt;="&amp;EOMONTH($A664,-1)+1,
All_Stats!$B:$B,"&lt;"&amp;EOMONTH($A664,0)+1,
All_Stats!$P:$P,"Email Marketing"
)</f>
        <v>340</v>
      </c>
      <c r="F664" s="132">
        <f t="shared" ref="F664:F667" si="197">iferror(E664/D664,"N/A")</f>
        <v>0.4913294798</v>
      </c>
      <c r="G664" s="131">
        <f>SUMIFS(All_Stats!$H:$H,
All_Stats!$D:$D,$B664,
All_Stats!$B:$B,"&gt;="&amp;EOMONTH($A664,-1)+1,
All_Stats!$B:$B,"&lt;"&amp;EOMONTH($A664,0)+1,
All_Stats!$P:$P,"Email Marketing"
)</f>
        <v>352</v>
      </c>
      <c r="H664" s="113">
        <f>SUMIFS(All_Stats!$K:$K,
All_Stats!$D:$D,$B664,
All_Stats!$B:$B,"&gt;="&amp;EOMONTH($A664,-1)+1,
All_Stats!$B:$B,"&lt;"&amp;EOMONTH($A664,0)+1,
All_Stats!$P:$P,"Email Marketing"
)</f>
        <v>0</v>
      </c>
      <c r="I664" s="133">
        <f>IFERROR(__xludf.DUMMYFUNCTION("COUNTUNIQUEIFS(All_Stats!A:A,
All_Stats!$D:$D,$B664,
All_Stats!$B:$B,""&gt;=""&amp;EOMONTH($A664,-1)+1,
All_Stats!$B:$B,""&lt;""&amp;EOMONTH($A664,0)+1,
All_Stats!$P:$P,""Email Marketing""
)"),9.0)</f>
        <v>9</v>
      </c>
    </row>
    <row r="665" hidden="1">
      <c r="A665" s="128">
        <v>45017.0</v>
      </c>
      <c r="B665" s="129" t="s">
        <v>79</v>
      </c>
      <c r="C665" s="130" t="s">
        <v>488</v>
      </c>
      <c r="D665" s="131">
        <f>SUMIFS(All_Stats!$G:$G,
All_Stats!$D:$D,$B665,
All_Stats!$B:$B,"&gt;="&amp;EOMONTH($A665,-1)+1,
All_Stats!$B:$B,"&lt;"&amp;EOMONTH($A665,0)+1,
All_Stats!$P:$P,"Email Marketing"
)</f>
        <v>94</v>
      </c>
      <c r="E665" s="113">
        <f>SUMIFS(All_Stats!$I:$I,
All_Stats!$D:$D,$B665,
All_Stats!$B:$B,"&gt;="&amp;EOMONTH($A665,-1)+1,
All_Stats!$B:$B,"&lt;"&amp;EOMONTH($A665,0)+1,
All_Stats!$P:$P,"Email Marketing"
)</f>
        <v>54</v>
      </c>
      <c r="F665" s="132">
        <f t="shared" si="197"/>
        <v>0.5744680851</v>
      </c>
      <c r="G665" s="131">
        <f>SUMIFS(All_Stats!$H:$H,
All_Stats!$D:$D,$B665,
All_Stats!$B:$B,"&gt;="&amp;EOMONTH($A665,-1)+1,
All_Stats!$B:$B,"&lt;"&amp;EOMONTH($A665,0)+1,
All_Stats!$P:$P,"Email Marketing"
)</f>
        <v>40</v>
      </c>
      <c r="H665" s="113">
        <f>SUMIFS(All_Stats!$K:$K,
All_Stats!$D:$D,$B665,
All_Stats!$B:$B,"&gt;="&amp;EOMONTH($A665,-1)+1,
All_Stats!$B:$B,"&lt;"&amp;EOMONTH($A665,0)+1,
All_Stats!$P:$P,"Email Marketing"
)</f>
        <v>0</v>
      </c>
      <c r="I665" s="133">
        <f>IFERROR(__xludf.DUMMYFUNCTION("COUNTUNIQUEIFS(All_Stats!A:A,
All_Stats!$D:$D,$B665,
All_Stats!$B:$B,""&gt;=""&amp;EOMONTH($A665,-1)+1,
All_Stats!$B:$B,""&lt;""&amp;EOMONTH($A665,0)+1,
All_Stats!$P:$P,""Email Marketing""
)"),2.0)</f>
        <v>2</v>
      </c>
    </row>
    <row r="666" hidden="1">
      <c r="A666" s="128">
        <v>45017.0</v>
      </c>
      <c r="B666" s="129" t="s">
        <v>313</v>
      </c>
      <c r="C666" s="142" t="s">
        <v>525</v>
      </c>
      <c r="D666" s="131">
        <f>SUMIFS(All_Stats!$G:$G,
All_Stats!$D:$D,$B666,
All_Stats!$B:$B,"&gt;="&amp;EOMONTH($A666,-1)+1,
All_Stats!$B:$B,"&lt;"&amp;EOMONTH($A666,0)+1,
All_Stats!$P:$P,"Email Marketing"
)</f>
        <v>89</v>
      </c>
      <c r="E666" s="113">
        <f>SUMIFS(All_Stats!$I:$I,
All_Stats!$D:$D,$B666,
All_Stats!$B:$B,"&gt;="&amp;EOMONTH($A666,-1)+1,
All_Stats!$B:$B,"&lt;"&amp;EOMONTH($A666,0)+1,
All_Stats!$P:$P,"Email Marketing"
)</f>
        <v>62</v>
      </c>
      <c r="F666" s="132">
        <f t="shared" si="197"/>
        <v>0.6966292135</v>
      </c>
      <c r="G666" s="131">
        <f>SUMIFS(All_Stats!$H:$H,
All_Stats!$D:$D,$B666,
All_Stats!$B:$B,"&gt;="&amp;EOMONTH($A666,-1)+1,
All_Stats!$B:$B,"&lt;"&amp;EOMONTH($A666,0)+1,
All_Stats!$P:$P,"Email Marketing"
)</f>
        <v>27</v>
      </c>
      <c r="H666" s="113">
        <f>SUMIFS(All_Stats!$K:$K,
All_Stats!$D:$D,$B666,
All_Stats!$B:$B,"&gt;="&amp;EOMONTH($A666,-1)+1,
All_Stats!$B:$B,"&lt;"&amp;EOMONTH($A666,0)+1,
All_Stats!$P:$P,"Email Marketing"
)</f>
        <v>0</v>
      </c>
      <c r="I666" s="133">
        <f>IFERROR(__xludf.DUMMYFUNCTION("COUNTUNIQUEIFS(All_Stats!A:A,
All_Stats!$D:$D,$B666,
All_Stats!$B:$B,""&gt;=""&amp;EOMONTH($A666,-1)+1,
All_Stats!$B:$B,""&lt;""&amp;EOMONTH($A666,0)+1,
All_Stats!$P:$P,""Email Marketing""
)"),2.0)</f>
        <v>2</v>
      </c>
    </row>
    <row r="667" hidden="1">
      <c r="A667" s="135"/>
      <c r="B667" s="135"/>
      <c r="C667" s="136" t="s">
        <v>23</v>
      </c>
      <c r="D667" s="137">
        <f t="shared" ref="D667:E667" si="198">SUM(D664:D666)</f>
        <v>875</v>
      </c>
      <c r="E667" s="137">
        <f t="shared" si="198"/>
        <v>456</v>
      </c>
      <c r="F667" s="138">
        <f t="shared" si="197"/>
        <v>0.5211428571</v>
      </c>
      <c r="G667" s="137">
        <f t="shared" ref="G667:H667" si="199">SUM(G664:G666)</f>
        <v>419</v>
      </c>
      <c r="H667" s="137">
        <f t="shared" si="199"/>
        <v>0</v>
      </c>
      <c r="I667" s="139"/>
    </row>
    <row r="668" hidden="1">
      <c r="A668" s="131"/>
      <c r="B668" s="131"/>
      <c r="C668" s="131"/>
      <c r="D668" s="140"/>
      <c r="F668" s="131"/>
      <c r="G668" s="131"/>
    </row>
    <row r="669" hidden="1">
      <c r="A669" s="121" t="s">
        <v>1</v>
      </c>
      <c r="B669" s="122" t="s">
        <v>485</v>
      </c>
      <c r="C669" s="123" t="s">
        <v>486</v>
      </c>
      <c r="D669" s="124" t="s">
        <v>6</v>
      </c>
      <c r="E669" s="125" t="s">
        <v>8</v>
      </c>
      <c r="F669" s="124" t="s">
        <v>479</v>
      </c>
      <c r="G669" s="126" t="s">
        <v>7</v>
      </c>
      <c r="H669" s="125" t="s">
        <v>10</v>
      </c>
      <c r="I669" s="127" t="s">
        <v>487</v>
      </c>
    </row>
    <row r="670" hidden="1">
      <c r="A670" s="128">
        <v>45017.0</v>
      </c>
      <c r="B670" s="129" t="s">
        <v>19</v>
      </c>
      <c r="C670" s="141" t="s">
        <v>489</v>
      </c>
      <c r="D670" s="131">
        <f>SUMIFS(All_Stats!$G:$G,
All_Stats!$D:$D,$B670,
All_Stats!$B:$B,"&gt;="&amp;EOMONTH($A670,-1)+1,
All_Stats!$B:$B,"&lt;"&amp;EOMONTH($A670,0)+1,
All_Stats!$P:$P,"&lt;&gt;Email Marketing"
)</f>
        <v>1</v>
      </c>
      <c r="E670" s="113">
        <f>SUMIFS(All_Stats!$I:$I,
All_Stats!$D:$D,$B670,
All_Stats!$B:$B,"&gt;="&amp;EOMONTH($A670,-1)+1,
All_Stats!$B:$B,"&lt;"&amp;EOMONTH($A670,0)+1,
All_Stats!$P:$P,"&lt;&gt;Email Marketing"
)</f>
        <v>1</v>
      </c>
      <c r="F670" s="132">
        <f t="shared" ref="F670:F679" si="200">iferror(E670/D670,"N/A")</f>
        <v>1</v>
      </c>
      <c r="G670" s="131">
        <f>SUMIFS(All_Stats!$H:$H,
All_Stats!$D:$D,$B670,
All_Stats!$B:$B,"&gt;="&amp;EOMONTH($A670,-1)+1,
All_Stats!$B:$B,"&lt;"&amp;EOMONTH($A670,0)+1,
All_Stats!$P:$P,"&lt;&gt;Email Marketing"
)</f>
        <v>0</v>
      </c>
      <c r="H670" s="113">
        <f>SUMIFS(All_Stats!$K:$K,
All_Stats!$D:$D,$B670,
All_Stats!$B:$B,"&gt;="&amp;EOMONTH($A670,-1)+1,
All_Stats!$B:$B,"&lt;"&amp;EOMONTH($A670,0)+1,
All_Stats!$P:$P,"&lt;&gt;Email Marketing"
)</f>
        <v>0</v>
      </c>
      <c r="I670" s="133">
        <f>IFERROR(__xludf.DUMMYFUNCTION("COUNTUNIQUEIFS(All_Stats!A:A,
All_Stats!$D:$D,$B670,
All_Stats!$B:$B,""&gt;=""&amp;EOMONTH($A670,-1)+1,
All_Stats!$B:$B,""&lt;""&amp;EOMONTH($A670,0)+1,
All_Stats!$P:$P,""&lt;&gt;Email Marketing""
)"),1.0)</f>
        <v>1</v>
      </c>
    </row>
    <row r="671" hidden="1">
      <c r="A671" s="128">
        <v>45017.0</v>
      </c>
      <c r="B671" s="131" t="s">
        <v>30</v>
      </c>
      <c r="C671" s="134" t="str">
        <f>if(ifna(VLOOKUP(B671,'Vendor Directory'!A:C,3,0),"NOT FOUND")="","NOT FOUND",VLOOKUP(B671,'Vendor Directory'!A:C,3,0))</f>
        <v>Vendor 2 Name</v>
      </c>
      <c r="D671" s="131">
        <f>SUMIFS(All_Stats!$G:$G,
All_Stats!$D:$D,$B671,
All_Stats!$B:$B,"&gt;="&amp;EOMONTH($A671,-1)+1,
All_Stats!$B:$B,"&lt;"&amp;EOMONTH($A671,0)+1,
All_Stats!$P:$P,"&lt;&gt;Email Marketing"
)</f>
        <v>285</v>
      </c>
      <c r="E671" s="113">
        <f>SUMIFS(All_Stats!$I:$I,
All_Stats!$D:$D,$B671,
All_Stats!$B:$B,"&gt;="&amp;EOMONTH($A671,-1)+1,
All_Stats!$B:$B,"&lt;"&amp;EOMONTH($A671,0)+1,
All_Stats!$P:$P,"&lt;&gt;Email Marketing"
)</f>
        <v>137</v>
      </c>
      <c r="F671" s="132">
        <f t="shared" si="200"/>
        <v>0.4807017544</v>
      </c>
      <c r="G671" s="131">
        <f>SUMIFS(All_Stats!$H:$H,
All_Stats!$D:$D,$B671,
All_Stats!$B:$B,"&gt;="&amp;EOMONTH($A671,-1)+1,
All_Stats!$B:$B,"&lt;"&amp;EOMONTH($A671,0)+1,
All_Stats!$P:$P,"&lt;&gt;Email Marketing"
)</f>
        <v>130</v>
      </c>
      <c r="H671" s="113">
        <f>SUMIFS(All_Stats!$K:$K,
All_Stats!$D:$D,$B671,
All_Stats!$B:$B,"&gt;="&amp;EOMONTH($A671,-1)+1,
All_Stats!$B:$B,"&lt;"&amp;EOMONTH($A671,0)+1,
All_Stats!$P:$P,"&lt;&gt;Email Marketing"
)</f>
        <v>0</v>
      </c>
      <c r="I671" s="133">
        <f>IFERROR(__xludf.DUMMYFUNCTION("COUNTUNIQUEIFS(All_Stats!A:A,
All_Stats!$D:$D,$B671,
All_Stats!$B:$B,""&gt;=""&amp;EOMONTH($A671,-1)+1,
All_Stats!$B:$B,""&lt;""&amp;EOMONTH($A671,0)+1,
All_Stats!$P:$P,""&lt;&gt;Email Marketing""
)"),1.0)</f>
        <v>1</v>
      </c>
    </row>
    <row r="672" hidden="1">
      <c r="A672" s="128">
        <v>45017.0</v>
      </c>
      <c r="B672" s="131" t="s">
        <v>127</v>
      </c>
      <c r="C672" s="134" t="str">
        <f>if(ifna(VLOOKUP(B672,'Vendor Directory'!A:C,3,0),"NOT FOUND")="","NOT FOUND",VLOOKUP(B672,'Vendor Directory'!A:C,3,0))</f>
        <v>#N/A</v>
      </c>
      <c r="D672" s="131">
        <f>SUMIFS(All_Stats!$G:$G,
All_Stats!$D:$D,$B672,
All_Stats!$B:$B,"&gt;="&amp;EOMONTH($A672,-1)+1,
All_Stats!$B:$B,"&lt;"&amp;EOMONTH($A672,0)+1,
All_Stats!$P:$P,"&lt;&gt;Email Marketing"
)</f>
        <v>12</v>
      </c>
      <c r="E672" s="113">
        <f>SUMIFS(All_Stats!$I:$I,
All_Stats!$D:$D,$B672,
All_Stats!$B:$B,"&gt;="&amp;EOMONTH($A672,-1)+1,
All_Stats!$B:$B,"&lt;"&amp;EOMONTH($A672,0)+1,
All_Stats!$P:$P,"&lt;&gt;Email Marketing"
)</f>
        <v>6</v>
      </c>
      <c r="F672" s="132">
        <f t="shared" si="200"/>
        <v>0.5</v>
      </c>
      <c r="G672" s="131">
        <f>SUMIFS(All_Stats!$H:$H,
All_Stats!$D:$D,$B672,
All_Stats!$B:$B,"&gt;="&amp;EOMONTH($A672,-1)+1,
All_Stats!$B:$B,"&lt;"&amp;EOMONTH($A672,0)+1,
All_Stats!$P:$P,"&lt;&gt;Email Marketing"
)</f>
        <v>6</v>
      </c>
      <c r="H672" s="113">
        <f>SUMIFS(All_Stats!$K:$K,
All_Stats!$D:$D,$B672,
All_Stats!$B:$B,"&gt;="&amp;EOMONTH($A672,-1)+1,
All_Stats!$B:$B,"&lt;"&amp;EOMONTH($A672,0)+1,
All_Stats!$P:$P,"&lt;&gt;Email Marketing"
)</f>
        <v>0</v>
      </c>
      <c r="I672" s="133">
        <f>IFERROR(__xludf.DUMMYFUNCTION("COUNTUNIQUEIFS(All_Stats!A:A,
All_Stats!$D:$D,$B672,
All_Stats!$B:$B,""&gt;=""&amp;EOMONTH($A672,-1)+1,
All_Stats!$B:$B,""&lt;""&amp;EOMONTH($A672,0)+1,
All_Stats!$P:$P,""&lt;&gt;Email Marketing""
)"),1.0)</f>
        <v>1</v>
      </c>
    </row>
    <row r="673" hidden="1">
      <c r="A673" s="128">
        <v>45017.0</v>
      </c>
      <c r="B673" s="129" t="s">
        <v>109</v>
      </c>
      <c r="C673" s="130" t="s">
        <v>490</v>
      </c>
      <c r="D673" s="131">
        <f>SUMIFS(All_Stats!$G:$G,
All_Stats!$D:$D,$B673,
All_Stats!$B:$B,"&gt;="&amp;EOMONTH($A673,-1)+1,
All_Stats!$B:$B,"&lt;"&amp;EOMONTH($A673,0)+1,
All_Stats!$P:$P,"&lt;&gt;Email Marketing"
)</f>
        <v>0</v>
      </c>
      <c r="E673" s="113">
        <f>SUMIFS(All_Stats!$I:$I,
All_Stats!$D:$D,$B673,
All_Stats!$B:$B,"&gt;="&amp;EOMONTH($A673,-1)+1,
All_Stats!$B:$B,"&lt;"&amp;EOMONTH($A673,0)+1,
All_Stats!$P:$P,"&lt;&gt;Email Marketing"
)</f>
        <v>0</v>
      </c>
      <c r="F673" s="132" t="str">
        <f t="shared" si="200"/>
        <v>N/A</v>
      </c>
      <c r="G673" s="131">
        <f>SUMIFS(All_Stats!$H:$H,
All_Stats!$D:$D,$B673,
All_Stats!$B:$B,"&gt;="&amp;EOMONTH($A673,-1)+1,
All_Stats!$B:$B,"&lt;"&amp;EOMONTH($A673,0)+1,
All_Stats!$P:$P,"&lt;&gt;Email Marketing"
)</f>
        <v>0</v>
      </c>
      <c r="H673" s="113">
        <f>SUMIFS(All_Stats!$K:$K,
All_Stats!$D:$D,$B673,
All_Stats!$B:$B,"&gt;="&amp;EOMONTH($A673,-1)+1,
All_Stats!$B:$B,"&lt;"&amp;EOMONTH($A673,0)+1,
All_Stats!$P:$P,"&lt;&gt;Email Marketing"
)</f>
        <v>0</v>
      </c>
      <c r="I673" s="133">
        <f>IFERROR(__xludf.DUMMYFUNCTION("COUNTUNIQUEIFS(All_Stats!A:A,
All_Stats!$D:$D,$B673,
All_Stats!$B:$B,""&gt;=""&amp;EOMONTH($A673,-1)+1,
All_Stats!$B:$B,""&lt;""&amp;EOMONTH($A673,0)+1,
All_Stats!$P:$P,""&lt;&gt;Email Marketing""
)"),0.0)</f>
        <v>0</v>
      </c>
    </row>
    <row r="674" hidden="1">
      <c r="A674" s="128">
        <v>45017.0</v>
      </c>
      <c r="B674" s="131" t="s">
        <v>91</v>
      </c>
      <c r="C674" s="134" t="str">
        <f>if(ifna(VLOOKUP(B674,'Vendor Directory'!A:C,3,0),"NOT FOUND")="","NOT FOUND",VLOOKUP(B674,'Vendor Directory'!A:C,3,0))</f>
        <v>#N/A</v>
      </c>
      <c r="D674" s="131">
        <f>SUMIFS(All_Stats!$G:$G,
All_Stats!$D:$D,$B674,
All_Stats!$B:$B,"&gt;="&amp;EOMONTH($A674,-1)+1,
All_Stats!$B:$B,"&lt;"&amp;EOMONTH($A674,0)+1,
All_Stats!$P:$P,"&lt;&gt;Email Marketing"
)</f>
        <v>0</v>
      </c>
      <c r="E674" s="113">
        <f>SUMIFS(All_Stats!$I:$I,
All_Stats!$D:$D,$B674,
All_Stats!$B:$B,"&gt;="&amp;EOMONTH($A674,-1)+1,
All_Stats!$B:$B,"&lt;"&amp;EOMONTH($A674,0)+1,
All_Stats!$P:$P,"&lt;&gt;Email Marketing"
)</f>
        <v>0</v>
      </c>
      <c r="F674" s="132" t="str">
        <f t="shared" si="200"/>
        <v>N/A</v>
      </c>
      <c r="G674" s="131">
        <f>SUMIFS(All_Stats!$H:$H,
All_Stats!$D:$D,$B674,
All_Stats!$B:$B,"&gt;="&amp;EOMONTH($A674,-1)+1,
All_Stats!$B:$B,"&lt;"&amp;EOMONTH($A674,0)+1,
All_Stats!$P:$P,"&lt;&gt;Email Marketing"
)</f>
        <v>0</v>
      </c>
      <c r="H674" s="113">
        <f>SUMIFS(All_Stats!$K:$K,
All_Stats!$D:$D,$B674,
All_Stats!$B:$B,"&gt;="&amp;EOMONTH($A674,-1)+1,
All_Stats!$B:$B,"&lt;"&amp;EOMONTH($A674,0)+1,
All_Stats!$P:$P,"&lt;&gt;Email Marketing"
)</f>
        <v>0</v>
      </c>
      <c r="I674" s="133">
        <f>IFERROR(__xludf.DUMMYFUNCTION("COUNTUNIQUEIFS(All_Stats!A:A,
All_Stats!$D:$D,$B674,
All_Stats!$B:$B,""&gt;=""&amp;EOMONTH($A674,-1)+1,
All_Stats!$B:$B,""&lt;""&amp;EOMONTH($A674,0)+1,
All_Stats!$P:$P,""&lt;&gt;Email Marketing""
)"),0.0)</f>
        <v>0</v>
      </c>
    </row>
    <row r="675" hidden="1">
      <c r="A675" s="128">
        <v>45017.0</v>
      </c>
      <c r="B675" s="131" t="s">
        <v>157</v>
      </c>
      <c r="C675" s="134" t="str">
        <f>if(ifna(VLOOKUP(B675,'Vendor Directory'!A:C,3,0),"NOT FOUND")="","NOT FOUND",VLOOKUP(B675,'Vendor Directory'!A:C,3,0))</f>
        <v>#N/A</v>
      </c>
      <c r="D675" s="131">
        <f>SUMIFS(All_Stats!$G:$G,
All_Stats!$D:$D,$B675,
All_Stats!$B:$B,"&gt;="&amp;EOMONTH($A675,-1)+1,
All_Stats!$B:$B,"&lt;"&amp;EOMONTH($A675,0)+1,
All_Stats!$P:$P,"&lt;&gt;Email Marketing"
)</f>
        <v>0</v>
      </c>
      <c r="E675" s="113">
        <f>SUMIFS(All_Stats!$I:$I,
All_Stats!$D:$D,$B675,
All_Stats!$B:$B,"&gt;="&amp;EOMONTH($A675,-1)+1,
All_Stats!$B:$B,"&lt;"&amp;EOMONTH($A675,0)+1,
All_Stats!$P:$P,"&lt;&gt;Email Marketing"
)</f>
        <v>0</v>
      </c>
      <c r="F675" s="132" t="str">
        <f t="shared" si="200"/>
        <v>N/A</v>
      </c>
      <c r="G675" s="131">
        <f>SUMIFS(All_Stats!$H:$H,
All_Stats!$D:$D,$B675,
All_Stats!$B:$B,"&gt;="&amp;EOMONTH($A675,-1)+1,
All_Stats!$B:$B,"&lt;"&amp;EOMONTH($A675,0)+1,
All_Stats!$P:$P,"&lt;&gt;Email Marketing"
)</f>
        <v>0</v>
      </c>
      <c r="H675" s="113">
        <f>SUMIFS(All_Stats!$K:$K,
All_Stats!$D:$D,$B675,
All_Stats!$B:$B,"&gt;="&amp;EOMONTH($A675,-1)+1,
All_Stats!$B:$B,"&lt;"&amp;EOMONTH($A675,0)+1,
All_Stats!$P:$P,"&lt;&gt;Email Marketing"
)</f>
        <v>0</v>
      </c>
      <c r="I675" s="133">
        <f>IFERROR(__xludf.DUMMYFUNCTION("COUNTUNIQUEIFS(All_Stats!A:A,
All_Stats!$D:$D,$B675,
All_Stats!$B:$B,""&gt;=""&amp;EOMONTH($A675,-1)+1,
All_Stats!$B:$B,""&lt;""&amp;EOMONTH($A675,0)+1,
All_Stats!$P:$P,""&lt;&gt;Email Marketing""
)"),0.0)</f>
        <v>0</v>
      </c>
    </row>
    <row r="676" hidden="1">
      <c r="A676" s="128">
        <v>45017.0</v>
      </c>
      <c r="B676" s="129" t="s">
        <v>33</v>
      </c>
      <c r="C676" s="142" t="s">
        <v>492</v>
      </c>
      <c r="D676" s="131">
        <f>SUMIFS(All_Stats!$G:$G,
All_Stats!$D:$D,$B676,
All_Stats!$B:$B,"&gt;="&amp;EOMONTH($A676,-1)+1,
All_Stats!$B:$B,"&lt;"&amp;EOMONTH($A676,0)+1,
All_Stats!$P:$P,"&lt;&gt;Email Marketing"
)</f>
        <v>0</v>
      </c>
      <c r="E676" s="113">
        <f>SUMIFS(All_Stats!$I:$I,
All_Stats!$D:$D,$B676,
All_Stats!$B:$B,"&gt;="&amp;EOMONTH($A676,-1)+1,
All_Stats!$B:$B,"&lt;"&amp;EOMONTH($A676,0)+1,
All_Stats!$P:$P,"&lt;&gt;Email Marketing"
)</f>
        <v>0</v>
      </c>
      <c r="F676" s="132" t="str">
        <f t="shared" si="200"/>
        <v>N/A</v>
      </c>
      <c r="G676" s="131">
        <f>SUMIFS(All_Stats!$H:$H,
All_Stats!$D:$D,$B676,
All_Stats!$B:$B,"&gt;="&amp;EOMONTH($A676,-1)+1,
All_Stats!$B:$B,"&lt;"&amp;EOMONTH($A676,0)+1,
All_Stats!$P:$P,"&lt;&gt;Email Marketing"
)</f>
        <v>0</v>
      </c>
      <c r="H676" s="113">
        <f>SUMIFS(All_Stats!$K:$K,
All_Stats!$D:$D,$B676,
All_Stats!$B:$B,"&gt;="&amp;EOMONTH($A676,-1)+1,
All_Stats!$B:$B,"&lt;"&amp;EOMONTH($A676,0)+1,
All_Stats!$P:$P,"&lt;&gt;Email Marketing"
)</f>
        <v>0</v>
      </c>
      <c r="I676" s="133">
        <f>IFERROR(__xludf.DUMMYFUNCTION("COUNTUNIQUEIFS(All_Stats!A:A,
All_Stats!$D:$D,$B676,
All_Stats!$B:$B,""&gt;=""&amp;EOMONTH($A676,-1)+1,
All_Stats!$B:$B,""&lt;""&amp;EOMONTH($A676,0)+1,
All_Stats!$P:$P,""&lt;&gt;Email Marketing""
)"),0.0)</f>
        <v>0</v>
      </c>
    </row>
    <row r="677" hidden="1">
      <c r="A677" s="128">
        <v>45017.0</v>
      </c>
      <c r="B677" s="129" t="s">
        <v>542</v>
      </c>
      <c r="C677" s="142" t="s">
        <v>543</v>
      </c>
      <c r="D677" s="131">
        <f>SUMIFS(All_Stats!$G:$G,
All_Stats!$D:$D,$B677,
All_Stats!$B:$B,"&gt;="&amp;EOMONTH($A677,-1)+1,
All_Stats!$B:$B,"&lt;"&amp;EOMONTH($A677,0)+1,
All_Stats!$P:$P,"&lt;&gt;Email Marketing"
)</f>
        <v>0</v>
      </c>
      <c r="E677" s="113">
        <f>SUMIFS(All_Stats!$I:$I,
All_Stats!$D:$D,$B677,
All_Stats!$B:$B,"&gt;="&amp;EOMONTH($A677,-1)+1,
All_Stats!$B:$B,"&lt;"&amp;EOMONTH($A677,0)+1,
All_Stats!$P:$P,"&lt;&gt;Email Marketing"
)</f>
        <v>0</v>
      </c>
      <c r="F677" s="132" t="str">
        <f t="shared" si="200"/>
        <v>N/A</v>
      </c>
      <c r="G677" s="131">
        <f>SUMIFS(All_Stats!$H:$H,
All_Stats!$D:$D,$B677,
All_Stats!$B:$B,"&gt;="&amp;EOMONTH($A677,-1)+1,
All_Stats!$B:$B,"&lt;"&amp;EOMONTH($A677,0)+1,
All_Stats!$P:$P,"&lt;&gt;Email Marketing"
)</f>
        <v>0</v>
      </c>
      <c r="H677" s="113">
        <f>SUMIFS(All_Stats!$K:$K,
All_Stats!$D:$D,$B677,
All_Stats!$B:$B,"&gt;="&amp;EOMONTH($A677,-1)+1,
All_Stats!$B:$B,"&lt;"&amp;EOMONTH($A677,0)+1,
All_Stats!$P:$P,"&lt;&gt;Email Marketing"
)</f>
        <v>0</v>
      </c>
      <c r="I677" s="133">
        <f>IFERROR(__xludf.DUMMYFUNCTION("COUNTUNIQUEIFS(All_Stats!A:A,
All_Stats!$D:$D,$B677,
All_Stats!$B:$B,""&gt;=""&amp;EOMONTH($A677,-1)+1,
All_Stats!$B:$B,""&lt;""&amp;EOMONTH($A677,0)+1,
All_Stats!$P:$P,""&lt;&gt;Email Marketing""
)"),0.0)</f>
        <v>0</v>
      </c>
    </row>
    <row r="678" hidden="1">
      <c r="A678" s="128">
        <v>45017.0</v>
      </c>
      <c r="B678" s="129" t="s">
        <v>79</v>
      </c>
      <c r="C678" s="130" t="s">
        <v>488</v>
      </c>
      <c r="D678" s="131">
        <f>SUMIFS(All_Stats!$G:$G,
All_Stats!$D:$D,$B678,
All_Stats!$B:$B,"&gt;="&amp;EOMONTH($A678,-1)+1,
All_Stats!$B:$B,"&lt;"&amp;EOMONTH($A678,0)+1,
All_Stats!$P:$P,"&lt;&gt;Email Marketing"
)</f>
        <v>0</v>
      </c>
      <c r="E678" s="113">
        <f>SUMIFS(All_Stats!$I:$I,
All_Stats!$D:$D,$B678,
All_Stats!$B:$B,"&gt;="&amp;EOMONTH($A678,-1)+1,
All_Stats!$B:$B,"&lt;"&amp;EOMONTH($A678,0)+1,
All_Stats!$P:$P,"&lt;&gt;Email Marketing"
)</f>
        <v>0</v>
      </c>
      <c r="F678" s="132" t="str">
        <f t="shared" si="200"/>
        <v>N/A</v>
      </c>
      <c r="G678" s="131">
        <f>SUMIFS(All_Stats!$H:$H,
All_Stats!$D:$D,$B678,
All_Stats!$B:$B,"&gt;="&amp;EOMONTH($A678,-1)+1,
All_Stats!$B:$B,"&lt;"&amp;EOMONTH($A678,0)+1,
All_Stats!$P:$P,"&lt;&gt;Email Marketing"
)</f>
        <v>0</v>
      </c>
      <c r="H678" s="113">
        <f>SUMIFS(All_Stats!$K:$K,
All_Stats!$D:$D,$B678,
All_Stats!$B:$B,"&gt;="&amp;EOMONTH($A678,-1)+1,
All_Stats!$B:$B,"&lt;"&amp;EOMONTH($A678,0)+1,
All_Stats!$P:$P,"&lt;&gt;Email Marketing"
)</f>
        <v>0</v>
      </c>
      <c r="I678" s="133">
        <f>IFERROR(__xludf.DUMMYFUNCTION("COUNTUNIQUEIFS(All_Stats!A:A,
All_Stats!$D:$D,$B678,
All_Stats!$B:$B,""&gt;=""&amp;EOMONTH($A678,-1)+1,
All_Stats!$B:$B,""&lt;""&amp;EOMONTH($A678,0)+1,
All_Stats!$P:$P,""&lt;&gt;Email Marketing""
)"),0.0)</f>
        <v>0</v>
      </c>
    </row>
    <row r="679" hidden="1">
      <c r="A679" s="135"/>
      <c r="B679" s="135"/>
      <c r="C679" s="136" t="s">
        <v>23</v>
      </c>
      <c r="D679" s="137">
        <f t="shared" ref="D679:E679" si="201">SUM(D672:D678)</f>
        <v>12</v>
      </c>
      <c r="E679" s="137">
        <f t="shared" si="201"/>
        <v>6</v>
      </c>
      <c r="F679" s="138">
        <f t="shared" si="200"/>
        <v>0.5</v>
      </c>
      <c r="G679" s="137">
        <f>SUM(G672:G678)</f>
        <v>6</v>
      </c>
      <c r="H679" s="137">
        <f>SUM(H670:H678)</f>
        <v>0</v>
      </c>
      <c r="I679" s="139"/>
    </row>
    <row r="680" hidden="1">
      <c r="A680" s="131"/>
      <c r="B680" s="131"/>
      <c r="C680" s="131"/>
      <c r="D680" s="140"/>
      <c r="F680" s="131"/>
      <c r="G680" s="131"/>
    </row>
    <row r="681" hidden="1">
      <c r="A681" s="131"/>
      <c r="B681" s="131"/>
      <c r="C681" s="131"/>
      <c r="D681" s="140">
        <f t="shared" ref="D681:E681" si="202">sum(D667+D679)</f>
        <v>887</v>
      </c>
      <c r="E681" s="140">
        <f t="shared" si="202"/>
        <v>462</v>
      </c>
      <c r="F681" s="131"/>
      <c r="G681" s="140">
        <f t="shared" ref="G681:H681" si="203">sum(G667+G679)</f>
        <v>425</v>
      </c>
      <c r="H681" s="140">
        <f t="shared" si="203"/>
        <v>0</v>
      </c>
    </row>
    <row r="682" hidden="1">
      <c r="A682" s="131"/>
      <c r="B682" s="131"/>
      <c r="C682" s="131"/>
      <c r="D682" s="140"/>
      <c r="F682" s="131"/>
      <c r="G682" s="131"/>
    </row>
    <row r="683" hidden="1">
      <c r="C683" s="118" t="s">
        <v>484</v>
      </c>
      <c r="D683" s="119"/>
      <c r="E683" s="119"/>
      <c r="F683" s="119"/>
      <c r="G683" s="119"/>
      <c r="H683" s="119"/>
      <c r="I683" s="120"/>
    </row>
    <row r="684" hidden="1">
      <c r="A684" s="121" t="s">
        <v>1</v>
      </c>
      <c r="B684" s="122" t="s">
        <v>485</v>
      </c>
      <c r="C684" s="123" t="s">
        <v>486</v>
      </c>
      <c r="D684" s="124" t="s">
        <v>6</v>
      </c>
      <c r="E684" s="125" t="s">
        <v>8</v>
      </c>
      <c r="F684" s="124" t="s">
        <v>479</v>
      </c>
      <c r="G684" s="126" t="s">
        <v>7</v>
      </c>
      <c r="H684" s="125" t="s">
        <v>10</v>
      </c>
      <c r="I684" s="127" t="s">
        <v>487</v>
      </c>
    </row>
    <row r="685" hidden="1">
      <c r="A685" s="128">
        <v>45047.0</v>
      </c>
      <c r="B685" s="131" t="s">
        <v>164</v>
      </c>
      <c r="C685" s="134" t="str">
        <f>if(ifna(VLOOKUP(B685,'Vendor Directory'!A:C,3,0),"NOT FOUND")="","NOT FOUND",VLOOKUP(B685,'Vendor Directory'!A:C,3,0))</f>
        <v>#N/A</v>
      </c>
      <c r="D685" s="131">
        <f>SUMIFS(All_Stats!$G:$G,
All_Stats!$D:$D,$B685,
All_Stats!$B:$B,"&gt;="&amp;EOMONTH($A685,-1)+1,
All_Stats!$B:$B,"&lt;"&amp;EOMONTH($A685,0)+1,
All_Stats!$P:$P,"Email Marketing"
)</f>
        <v>2032</v>
      </c>
      <c r="E685" s="113">
        <f>SUMIFS(All_Stats!$I:$I,
All_Stats!$D:$D,$B685,
All_Stats!$B:$B,"&gt;="&amp;EOMONTH($A685,-1)+1,
All_Stats!$B:$B,"&lt;"&amp;EOMONTH($A685,0)+1,
All_Stats!$P:$P,"Email Marketing"
)</f>
        <v>881</v>
      </c>
      <c r="F685" s="132">
        <f t="shared" ref="F685:F688" si="204">iferror(E685/D685,"N/A")</f>
        <v>0.4335629921</v>
      </c>
      <c r="G685" s="131">
        <f>SUMIFS(All_Stats!$H:$H,
All_Stats!$D:$D,$B685,
All_Stats!$B:$B,"&gt;="&amp;EOMONTH($A685,-1)+1,
All_Stats!$B:$B,"&lt;"&amp;EOMONTH($A685,0)+1,
All_Stats!$P:$P,"Email Marketing"
)</f>
        <v>1151</v>
      </c>
      <c r="H685" s="113">
        <f>SUMIFS(All_Stats!$K:$K,
All_Stats!$D:$D,$B685,
All_Stats!$B:$B,"&gt;="&amp;EOMONTH($A685,-1)+1,
All_Stats!$B:$B,"&lt;"&amp;EOMONTH($A685,0)+1,
All_Stats!$P:$P,"Email Marketing"
)</f>
        <v>0</v>
      </c>
      <c r="I685" s="133">
        <f>IFERROR(__xludf.DUMMYFUNCTION("COUNTUNIQUEIFS(All_Stats!A:A,
All_Stats!$D:$D,$B685,
All_Stats!$B:$B,""&gt;=""&amp;EOMONTH($A685,-1)+1,
All_Stats!$B:$B,""&lt;""&amp;EOMONTH($A685,0)+1,
All_Stats!$P:$P,""Email Marketing""
)"),20.0)</f>
        <v>20</v>
      </c>
    </row>
    <row r="686" hidden="1">
      <c r="A686" s="128">
        <v>45047.0</v>
      </c>
      <c r="B686" s="129" t="s">
        <v>79</v>
      </c>
      <c r="C686" s="130" t="s">
        <v>488</v>
      </c>
      <c r="D686" s="131">
        <f>SUMIFS(All_Stats!$G:$G,
All_Stats!$D:$D,$B686,
All_Stats!$B:$B,"&gt;="&amp;EOMONTH($A686,-1)+1,
All_Stats!$B:$B,"&lt;"&amp;EOMONTH($A686,0)+1,
All_Stats!$P:$P,"Email Marketing"
)</f>
        <v>0</v>
      </c>
      <c r="E686" s="113">
        <f>SUMIFS(All_Stats!$I:$I,
All_Stats!$D:$D,$B686,
All_Stats!$B:$B,"&gt;="&amp;EOMONTH($A686,-1)+1,
All_Stats!$B:$B,"&lt;"&amp;EOMONTH($A686,0)+1,
All_Stats!$P:$P,"Email Marketing"
)</f>
        <v>0</v>
      </c>
      <c r="F686" s="132" t="str">
        <f t="shared" si="204"/>
        <v>N/A</v>
      </c>
      <c r="G686" s="131">
        <f>SUMIFS(All_Stats!$H:$H,
All_Stats!$D:$D,$B686,
All_Stats!$B:$B,"&gt;="&amp;EOMONTH($A686,-1)+1,
All_Stats!$B:$B,"&lt;"&amp;EOMONTH($A686,0)+1,
All_Stats!$P:$P,"Email Marketing"
)</f>
        <v>0</v>
      </c>
      <c r="H686" s="113">
        <f>SUMIFS(All_Stats!$K:$K,
All_Stats!$D:$D,$B686,
All_Stats!$B:$B,"&gt;="&amp;EOMONTH($A686,-1)+1,
All_Stats!$B:$B,"&lt;"&amp;EOMONTH($A686,0)+1,
All_Stats!$P:$P,"Email Marketing"
)</f>
        <v>0</v>
      </c>
      <c r="I686" s="133">
        <f>IFERROR(__xludf.DUMMYFUNCTION("COUNTUNIQUEIFS(All_Stats!A:A,
All_Stats!$D:$D,$B686,
All_Stats!$B:$B,""&gt;=""&amp;EOMONTH($A686,-1)+1,
All_Stats!$B:$B,""&lt;""&amp;EOMONTH($A686,0)+1,
All_Stats!$P:$P,""Email Marketing""
)"),0.0)</f>
        <v>0</v>
      </c>
    </row>
    <row r="687" hidden="1">
      <c r="A687" s="128">
        <v>45047.0</v>
      </c>
      <c r="B687" s="129" t="s">
        <v>313</v>
      </c>
      <c r="C687" s="142" t="s">
        <v>525</v>
      </c>
      <c r="D687" s="131">
        <f>SUMIFS(All_Stats!$G:$G,
All_Stats!$D:$D,$B687,
All_Stats!$B:$B,"&gt;="&amp;EOMONTH($A687,-1)+1,
All_Stats!$B:$B,"&lt;"&amp;EOMONTH($A687,0)+1,
All_Stats!$P:$P,"Email Marketing"
)</f>
        <v>39</v>
      </c>
      <c r="E687" s="113">
        <f>SUMIFS(All_Stats!$I:$I,
All_Stats!$D:$D,$B687,
All_Stats!$B:$B,"&gt;="&amp;EOMONTH($A687,-1)+1,
All_Stats!$B:$B,"&lt;"&amp;EOMONTH($A687,0)+1,
All_Stats!$P:$P,"Email Marketing"
)</f>
        <v>24</v>
      </c>
      <c r="F687" s="132">
        <f t="shared" si="204"/>
        <v>0.6153846154</v>
      </c>
      <c r="G687" s="131">
        <f>SUMIFS(All_Stats!$H:$H,
All_Stats!$D:$D,$B687,
All_Stats!$B:$B,"&gt;="&amp;EOMONTH($A687,-1)+1,
All_Stats!$B:$B,"&lt;"&amp;EOMONTH($A687,0)+1,
All_Stats!$P:$P,"Email Marketing"
)</f>
        <v>15</v>
      </c>
      <c r="H687" s="113">
        <f>SUMIFS(All_Stats!$K:$K,
All_Stats!$D:$D,$B687,
All_Stats!$B:$B,"&gt;="&amp;EOMONTH($A687,-1)+1,
All_Stats!$B:$B,"&lt;"&amp;EOMONTH($A687,0)+1,
All_Stats!$P:$P,"Email Marketing"
)</f>
        <v>0</v>
      </c>
      <c r="I687" s="133">
        <f>IFERROR(__xludf.DUMMYFUNCTION("COUNTUNIQUEIFS(All_Stats!A:A,
All_Stats!$D:$D,$B687,
All_Stats!$B:$B,""&gt;=""&amp;EOMONTH($A687,-1)+1,
All_Stats!$B:$B,""&lt;""&amp;EOMONTH($A687,0)+1,
All_Stats!$P:$P,""Email Marketing""
)"),1.0)</f>
        <v>1</v>
      </c>
    </row>
    <row r="688" hidden="1">
      <c r="A688" s="135"/>
      <c r="B688" s="135"/>
      <c r="C688" s="136" t="s">
        <v>23</v>
      </c>
      <c r="D688" s="137">
        <f t="shared" ref="D688:E688" si="205">SUM(D685:D687)</f>
        <v>2071</v>
      </c>
      <c r="E688" s="137">
        <f t="shared" si="205"/>
        <v>905</v>
      </c>
      <c r="F688" s="138">
        <f t="shared" si="204"/>
        <v>0.4369869628</v>
      </c>
      <c r="G688" s="137">
        <f t="shared" ref="G688:H688" si="206">SUM(G685:G687)</f>
        <v>1166</v>
      </c>
      <c r="H688" s="137">
        <f t="shared" si="206"/>
        <v>0</v>
      </c>
      <c r="I688" s="139"/>
    </row>
    <row r="689" hidden="1">
      <c r="A689" s="131"/>
      <c r="B689" s="131"/>
      <c r="C689" s="131"/>
      <c r="D689" s="140"/>
      <c r="F689" s="131"/>
      <c r="G689" s="131"/>
    </row>
    <row r="690" hidden="1">
      <c r="A690" s="121" t="s">
        <v>1</v>
      </c>
      <c r="B690" s="122" t="s">
        <v>485</v>
      </c>
      <c r="C690" s="123" t="s">
        <v>486</v>
      </c>
      <c r="D690" s="124" t="s">
        <v>6</v>
      </c>
      <c r="E690" s="125" t="s">
        <v>8</v>
      </c>
      <c r="F690" s="124" t="s">
        <v>479</v>
      </c>
      <c r="G690" s="126" t="s">
        <v>7</v>
      </c>
      <c r="H690" s="125" t="s">
        <v>10</v>
      </c>
      <c r="I690" s="127" t="s">
        <v>487</v>
      </c>
    </row>
    <row r="691" hidden="1">
      <c r="A691" s="128">
        <v>45047.0</v>
      </c>
      <c r="B691" s="129" t="s">
        <v>19</v>
      </c>
      <c r="C691" s="141" t="s">
        <v>489</v>
      </c>
      <c r="D691" s="131">
        <f>SUMIFS(All_Stats!$G:$G,
All_Stats!$D:$D,$B691,
All_Stats!$B:$B,"&gt;="&amp;EOMONTH($A691,-1)+1,
All_Stats!$B:$B,"&lt;"&amp;EOMONTH($A691,0)+1,
All_Stats!$P:$P,"&lt;&gt;Email Marketing"
)</f>
        <v>181</v>
      </c>
      <c r="E691" s="113">
        <f>SUMIFS(All_Stats!$I:$I,
All_Stats!$D:$D,$B691,
All_Stats!$B:$B,"&gt;="&amp;EOMONTH($A691,-1)+1,
All_Stats!$B:$B,"&lt;"&amp;EOMONTH($A691,0)+1,
All_Stats!$P:$P,"&lt;&gt;Email Marketing"
)</f>
        <v>80</v>
      </c>
      <c r="F691" s="132">
        <f t="shared" ref="F691:F700" si="207">iferror(E691/D691,"N/A")</f>
        <v>0.4419889503</v>
      </c>
      <c r="G691" s="131">
        <f>SUMIFS(All_Stats!$H:$H,
All_Stats!$D:$D,$B691,
All_Stats!$B:$B,"&gt;="&amp;EOMONTH($A691,-1)+1,
All_Stats!$B:$B,"&lt;"&amp;EOMONTH($A691,0)+1,
All_Stats!$P:$P,"&lt;&gt;Email Marketing"
)</f>
        <v>98</v>
      </c>
      <c r="H691" s="113">
        <f>SUMIFS(All_Stats!$K:$K,
All_Stats!$D:$D,$B691,
All_Stats!$B:$B,"&gt;="&amp;EOMONTH($A691,-1)+1,
All_Stats!$B:$B,"&lt;"&amp;EOMONTH($A691,0)+1,
All_Stats!$P:$P,"&lt;&gt;Email Marketing"
)</f>
        <v>0</v>
      </c>
      <c r="I691" s="133">
        <f>IFERROR(__xludf.DUMMYFUNCTION("COUNTUNIQUEIFS(All_Stats!A:A,
All_Stats!$D:$D,$B691,
All_Stats!$B:$B,""&gt;=""&amp;EOMONTH($A691,-1)+1,
All_Stats!$B:$B,""&lt;""&amp;EOMONTH($A691,0)+1,
All_Stats!$P:$P,""&lt;&gt;Email Marketing""
)"),7.0)</f>
        <v>7</v>
      </c>
    </row>
    <row r="692" hidden="1">
      <c r="A692" s="128">
        <v>45047.0</v>
      </c>
      <c r="B692" s="131" t="s">
        <v>127</v>
      </c>
      <c r="C692" s="134" t="str">
        <f>if(ifna(VLOOKUP(B692,'Vendor Directory'!A:C,3,0),"NOT FOUND")="","NOT FOUND",VLOOKUP(B692,'Vendor Directory'!A:C,3,0))</f>
        <v>#N/A</v>
      </c>
      <c r="D692" s="131">
        <f>SUMIFS(All_Stats!$G:$G,
All_Stats!$D:$D,$B692,
All_Stats!$B:$B,"&gt;="&amp;EOMONTH($A692,-1)+1,
All_Stats!$B:$B,"&lt;"&amp;EOMONTH($A692,0)+1,
All_Stats!$P:$P,"&lt;&gt;Email Marketing"
)</f>
        <v>60</v>
      </c>
      <c r="E692" s="113">
        <f>SUMIFS(All_Stats!$I:$I,
All_Stats!$D:$D,$B692,
All_Stats!$B:$B,"&gt;="&amp;EOMONTH($A692,-1)+1,
All_Stats!$B:$B,"&lt;"&amp;EOMONTH($A692,0)+1,
All_Stats!$P:$P,"&lt;&gt;Email Marketing"
)</f>
        <v>11</v>
      </c>
      <c r="F692" s="132">
        <f t="shared" si="207"/>
        <v>0.1833333333</v>
      </c>
      <c r="G692" s="131">
        <f>SUMIFS(All_Stats!$H:$H,
All_Stats!$D:$D,$B692,
All_Stats!$B:$B,"&gt;="&amp;EOMONTH($A692,-1)+1,
All_Stats!$B:$B,"&lt;"&amp;EOMONTH($A692,0)+1,
All_Stats!$P:$P,"&lt;&gt;Email Marketing"
)</f>
        <v>40</v>
      </c>
      <c r="H692" s="113">
        <f>SUMIFS(All_Stats!$K:$K,
All_Stats!$D:$D,$B692,
All_Stats!$B:$B,"&gt;="&amp;EOMONTH($A692,-1)+1,
All_Stats!$B:$B,"&lt;"&amp;EOMONTH($A692,0)+1,
All_Stats!$P:$P,"&lt;&gt;Email Marketing"
)</f>
        <v>0</v>
      </c>
      <c r="I692" s="133">
        <f>IFERROR(__xludf.DUMMYFUNCTION("COUNTUNIQUEIFS(All_Stats!A:A,
All_Stats!$D:$D,$B692,
All_Stats!$B:$B,""&gt;=""&amp;EOMONTH($A692,-1)+1,
All_Stats!$B:$B,""&lt;""&amp;EOMONTH($A692,0)+1,
All_Stats!$P:$P,""&lt;&gt;Email Marketing""
)"),1.0)</f>
        <v>1</v>
      </c>
    </row>
    <row r="693" hidden="1">
      <c r="A693" s="128">
        <v>45047.0</v>
      </c>
      <c r="B693" s="131" t="s">
        <v>30</v>
      </c>
      <c r="C693" s="134" t="str">
        <f>if(ifna(VLOOKUP(B693,'Vendor Directory'!A:C,3,0),"NOT FOUND")="","NOT FOUND",VLOOKUP(B693,'Vendor Directory'!A:C,3,0))</f>
        <v>Vendor 2 Name</v>
      </c>
      <c r="D693" s="131">
        <f>SUMIFS(All_Stats!$G:$G,
All_Stats!$D:$D,$B693,
All_Stats!$B:$B,"&gt;="&amp;EOMONTH($A693,-1)+1,
All_Stats!$B:$B,"&lt;"&amp;EOMONTH($A693,0)+1,
All_Stats!$P:$P,"&lt;&gt;Email Marketing"
)</f>
        <v>69</v>
      </c>
      <c r="E693" s="113">
        <f>SUMIFS(All_Stats!$I:$I,
All_Stats!$D:$D,$B693,
All_Stats!$B:$B,"&gt;="&amp;EOMONTH($A693,-1)+1,
All_Stats!$B:$B,"&lt;"&amp;EOMONTH($A693,0)+1,
All_Stats!$P:$P,"&lt;&gt;Email Marketing"
)</f>
        <v>26</v>
      </c>
      <c r="F693" s="132">
        <f t="shared" si="207"/>
        <v>0.3768115942</v>
      </c>
      <c r="G693" s="131">
        <f>SUMIFS(All_Stats!$H:$H,
All_Stats!$D:$D,$B693,
All_Stats!$B:$B,"&gt;="&amp;EOMONTH($A693,-1)+1,
All_Stats!$B:$B,"&lt;"&amp;EOMONTH($A693,0)+1,
All_Stats!$P:$P,"&lt;&gt;Email Marketing"
)</f>
        <v>41</v>
      </c>
      <c r="H693" s="113">
        <f>SUMIFS(All_Stats!$K:$K,
All_Stats!$D:$D,$B693,
All_Stats!$B:$B,"&gt;="&amp;EOMONTH($A693,-1)+1,
All_Stats!$B:$B,"&lt;"&amp;EOMONTH($A693,0)+1,
All_Stats!$P:$P,"&lt;&gt;Email Marketing"
)</f>
        <v>0</v>
      </c>
      <c r="I693" s="133">
        <f>IFERROR(__xludf.DUMMYFUNCTION("COUNTUNIQUEIFS(All_Stats!A:A,
All_Stats!$D:$D,$B693,
All_Stats!$B:$B,""&gt;=""&amp;EOMONTH($A693,-1)+1,
All_Stats!$B:$B,""&lt;""&amp;EOMONTH($A693,0)+1,
All_Stats!$P:$P,""&lt;&gt;Email Marketing""
)"),1.0)</f>
        <v>1</v>
      </c>
    </row>
    <row r="694" hidden="1">
      <c r="A694" s="128">
        <v>45047.0</v>
      </c>
      <c r="B694" s="131" t="s">
        <v>91</v>
      </c>
      <c r="C694" s="134" t="str">
        <f>if(ifna(VLOOKUP(B694,'Vendor Directory'!A:C,3,0),"NOT FOUND")="","NOT FOUND",VLOOKUP(B694,'Vendor Directory'!A:C,3,0))</f>
        <v>#N/A</v>
      </c>
      <c r="D694" s="131">
        <f>SUMIFS(All_Stats!$G:$G,
All_Stats!$D:$D,$B694,
All_Stats!$B:$B,"&gt;="&amp;EOMONTH($A694,-1)+1,
All_Stats!$B:$B,"&lt;"&amp;EOMONTH($A694,0)+1,
All_Stats!$P:$P,"&lt;&gt;Email Marketing"
)</f>
        <v>87</v>
      </c>
      <c r="E694" s="113">
        <f>SUMIFS(All_Stats!$I:$I,
All_Stats!$D:$D,$B694,
All_Stats!$B:$B,"&gt;="&amp;EOMONTH($A694,-1)+1,
All_Stats!$B:$B,"&lt;"&amp;EOMONTH($A694,0)+1,
All_Stats!$P:$P,"&lt;&gt;Email Marketing"
)</f>
        <v>13</v>
      </c>
      <c r="F694" s="132">
        <f t="shared" si="207"/>
        <v>0.1494252874</v>
      </c>
      <c r="G694" s="131">
        <f>SUMIFS(All_Stats!$H:$H,
All_Stats!$D:$D,$B694,
All_Stats!$B:$B,"&gt;="&amp;EOMONTH($A694,-1)+1,
All_Stats!$B:$B,"&lt;"&amp;EOMONTH($A694,0)+1,
All_Stats!$P:$P,"&lt;&gt;Email Marketing"
)</f>
        <v>65</v>
      </c>
      <c r="H694" s="113">
        <f>SUMIFS(All_Stats!$K:$K,
All_Stats!$D:$D,$B694,
All_Stats!$B:$B,"&gt;="&amp;EOMONTH($A694,-1)+1,
All_Stats!$B:$B,"&lt;"&amp;EOMONTH($A694,0)+1,
All_Stats!$P:$P,"&lt;&gt;Email Marketing"
)</f>
        <v>0</v>
      </c>
      <c r="I694" s="133">
        <f>IFERROR(__xludf.DUMMYFUNCTION("COUNTUNIQUEIFS(All_Stats!A:A,
All_Stats!$D:$D,$B694,
All_Stats!$B:$B,""&gt;=""&amp;EOMONTH($A694,-1)+1,
All_Stats!$B:$B,""&lt;""&amp;EOMONTH($A694,0)+1,
All_Stats!$P:$P,""&lt;&gt;Email Marketing""
)"),5.0)</f>
        <v>5</v>
      </c>
    </row>
    <row r="695" hidden="1">
      <c r="A695" s="128">
        <v>45047.0</v>
      </c>
      <c r="B695" s="131" t="s">
        <v>157</v>
      </c>
      <c r="C695" s="134" t="str">
        <f>if(ifna(VLOOKUP(B695,'Vendor Directory'!A:C,3,0),"NOT FOUND")="","NOT FOUND",VLOOKUP(B695,'Vendor Directory'!A:C,3,0))</f>
        <v>#N/A</v>
      </c>
      <c r="D695" s="131">
        <f>SUMIFS(All_Stats!$G:$G,
All_Stats!$D:$D,$B695,
All_Stats!$B:$B,"&gt;="&amp;EOMONTH($A695,-1)+1,
All_Stats!$B:$B,"&lt;"&amp;EOMONTH($A695,0)+1,
All_Stats!$P:$P,"&lt;&gt;Email Marketing"
)</f>
        <v>0</v>
      </c>
      <c r="E695" s="113">
        <f>SUMIFS(All_Stats!$I:$I,
All_Stats!$D:$D,$B695,
All_Stats!$B:$B,"&gt;="&amp;EOMONTH($A695,-1)+1,
All_Stats!$B:$B,"&lt;"&amp;EOMONTH($A695,0)+1,
All_Stats!$P:$P,"&lt;&gt;Email Marketing"
)</f>
        <v>0</v>
      </c>
      <c r="F695" s="132" t="str">
        <f t="shared" si="207"/>
        <v>N/A</v>
      </c>
      <c r="G695" s="131">
        <f>SUMIFS(All_Stats!$H:$H,
All_Stats!$D:$D,$B695,
All_Stats!$B:$B,"&gt;="&amp;EOMONTH($A695,-1)+1,
All_Stats!$B:$B,"&lt;"&amp;EOMONTH($A695,0)+1,
All_Stats!$P:$P,"&lt;&gt;Email Marketing"
)</f>
        <v>0</v>
      </c>
      <c r="H695" s="113">
        <f>SUMIFS(All_Stats!$K:$K,
All_Stats!$D:$D,$B695,
All_Stats!$B:$B,"&gt;="&amp;EOMONTH($A695,-1)+1,
All_Stats!$B:$B,"&lt;"&amp;EOMONTH($A695,0)+1,
All_Stats!$P:$P,"&lt;&gt;Email Marketing"
)</f>
        <v>0</v>
      </c>
      <c r="I695" s="133">
        <f>IFERROR(__xludf.DUMMYFUNCTION("COUNTUNIQUEIFS(All_Stats!A:A,
All_Stats!$D:$D,$B695,
All_Stats!$B:$B,""&gt;=""&amp;EOMONTH($A695,-1)+1,
All_Stats!$B:$B,""&lt;""&amp;EOMONTH($A695,0)+1,
All_Stats!$P:$P,""&lt;&gt;Email Marketing""
)"),0.0)</f>
        <v>0</v>
      </c>
    </row>
    <row r="696" hidden="1">
      <c r="A696" s="128">
        <v>45047.0</v>
      </c>
      <c r="B696" s="129" t="s">
        <v>109</v>
      </c>
      <c r="C696" s="130" t="s">
        <v>490</v>
      </c>
      <c r="D696" s="131">
        <f>SUMIFS(All_Stats!$G:$G,
All_Stats!$D:$D,$B696,
All_Stats!$B:$B,"&gt;="&amp;EOMONTH($A696,-1)+1,
All_Stats!$B:$B,"&lt;"&amp;EOMONTH($A696,0)+1,
All_Stats!$P:$P,"&lt;&gt;Email Marketing"
)</f>
        <v>39</v>
      </c>
      <c r="E696" s="113">
        <f>SUMIFS(All_Stats!$I:$I,
All_Stats!$D:$D,$B696,
All_Stats!$B:$B,"&gt;="&amp;EOMONTH($A696,-1)+1,
All_Stats!$B:$B,"&lt;"&amp;EOMONTH($A696,0)+1,
All_Stats!$P:$P,"&lt;&gt;Email Marketing"
)</f>
        <v>14</v>
      </c>
      <c r="F696" s="132">
        <f t="shared" si="207"/>
        <v>0.358974359</v>
      </c>
      <c r="G696" s="131">
        <f>SUMIFS(All_Stats!$H:$H,
All_Stats!$D:$D,$B696,
All_Stats!$B:$B,"&gt;="&amp;EOMONTH($A696,-1)+1,
All_Stats!$B:$B,"&lt;"&amp;EOMONTH($A696,0)+1,
All_Stats!$P:$P,"&lt;&gt;Email Marketing"
)</f>
        <v>20</v>
      </c>
      <c r="H696" s="113">
        <f>SUMIFS(All_Stats!$K:$K,
All_Stats!$D:$D,$B696,
All_Stats!$B:$B,"&gt;="&amp;EOMONTH($A696,-1)+1,
All_Stats!$B:$B,"&lt;"&amp;EOMONTH($A696,0)+1,
All_Stats!$P:$P,"&lt;&gt;Email Marketing"
)</f>
        <v>0</v>
      </c>
      <c r="I696" s="133">
        <f>IFERROR(__xludf.DUMMYFUNCTION("COUNTUNIQUEIFS(All_Stats!A:A,
All_Stats!$D:$D,$B696,
All_Stats!$B:$B,""&gt;=""&amp;EOMONTH($A696,-1)+1,
All_Stats!$B:$B,""&lt;""&amp;EOMONTH($A696,0)+1,
All_Stats!$P:$P,""&lt;&gt;Email Marketing""
)"),4.0)</f>
        <v>4</v>
      </c>
    </row>
    <row r="697" hidden="1">
      <c r="A697" s="128">
        <v>45047.0</v>
      </c>
      <c r="B697" s="129" t="s">
        <v>33</v>
      </c>
      <c r="C697" s="142" t="s">
        <v>492</v>
      </c>
      <c r="D697" s="131">
        <f>SUMIFS(All_Stats!$G:$G,
All_Stats!$D:$D,$B697,
All_Stats!$B:$B,"&gt;="&amp;EOMONTH($A697,-1)+1,
All_Stats!$B:$B,"&lt;"&amp;EOMONTH($A697,0)+1,
All_Stats!$P:$P,"&lt;&gt;Email Marketing"
)</f>
        <v>17</v>
      </c>
      <c r="E697" s="113">
        <f>SUMIFS(All_Stats!$I:$I,
All_Stats!$D:$D,$B697,
All_Stats!$B:$B,"&gt;="&amp;EOMONTH($A697,-1)+1,
All_Stats!$B:$B,"&lt;"&amp;EOMONTH($A697,0)+1,
All_Stats!$P:$P,"&lt;&gt;Email Marketing"
)</f>
        <v>4</v>
      </c>
      <c r="F697" s="132">
        <f t="shared" si="207"/>
        <v>0.2352941176</v>
      </c>
      <c r="G697" s="131">
        <f>SUMIFS(All_Stats!$H:$H,
All_Stats!$D:$D,$B697,
All_Stats!$B:$B,"&gt;="&amp;EOMONTH($A697,-1)+1,
All_Stats!$B:$B,"&lt;"&amp;EOMONTH($A697,0)+1,
All_Stats!$P:$P,"&lt;&gt;Email Marketing"
)</f>
        <v>12</v>
      </c>
      <c r="H697" s="113">
        <f>SUMIFS(All_Stats!$K:$K,
All_Stats!$D:$D,$B697,
All_Stats!$B:$B,"&gt;="&amp;EOMONTH($A697,-1)+1,
All_Stats!$B:$B,"&lt;"&amp;EOMONTH($A697,0)+1,
All_Stats!$P:$P,"&lt;&gt;Email Marketing"
)</f>
        <v>0</v>
      </c>
      <c r="I697" s="133">
        <f>IFERROR(__xludf.DUMMYFUNCTION("COUNTUNIQUEIFS(All_Stats!A:A,
All_Stats!$D:$D,$B697,
All_Stats!$B:$B,""&gt;=""&amp;EOMONTH($A697,-1)+1,
All_Stats!$B:$B,""&lt;""&amp;EOMONTH($A697,0)+1,
All_Stats!$P:$P,""&lt;&gt;Email Marketing""
)"),3.0)</f>
        <v>3</v>
      </c>
    </row>
    <row r="698" hidden="1">
      <c r="A698" s="128">
        <v>45047.0</v>
      </c>
      <c r="B698" s="129" t="s">
        <v>313</v>
      </c>
      <c r="C698" s="130" t="s">
        <v>525</v>
      </c>
      <c r="D698" s="131">
        <f>SUMIFS(All_Stats!$G:$G,
All_Stats!$D:$D,$B698,
All_Stats!$B:$B,"&gt;="&amp;EOMONTH($A698,-1)+1,
All_Stats!$B:$B,"&lt;"&amp;EOMONTH($A698,0)+1,
All_Stats!$P:$P,"&lt;&gt;Email Marketing"
)</f>
        <v>0</v>
      </c>
      <c r="E698" s="113">
        <f>SUMIFS(All_Stats!$I:$I,
All_Stats!$D:$D,$B698,
All_Stats!$B:$B,"&gt;="&amp;EOMONTH($A698,-1)+1,
All_Stats!$B:$B,"&lt;"&amp;EOMONTH($A698,0)+1,
All_Stats!$P:$P,"&lt;&gt;Email Marketing"
)</f>
        <v>0</v>
      </c>
      <c r="F698" s="132" t="str">
        <f t="shared" si="207"/>
        <v>N/A</v>
      </c>
      <c r="G698" s="131">
        <f>SUMIFS(All_Stats!$H:$H,
All_Stats!$D:$D,$B698,
All_Stats!$B:$B,"&gt;="&amp;EOMONTH($A698,-1)+1,
All_Stats!$B:$B,"&lt;"&amp;EOMONTH($A698,0)+1,
All_Stats!$P:$P,"&lt;&gt;Email Marketing"
)</f>
        <v>0</v>
      </c>
      <c r="H698" s="113">
        <f>SUMIFS(All_Stats!$K:$K,
All_Stats!$D:$D,$B698,
All_Stats!$B:$B,"&gt;="&amp;EOMONTH($A698,-1)+1,
All_Stats!$B:$B,"&lt;"&amp;EOMONTH($A698,0)+1,
All_Stats!$P:$P,"&lt;&gt;Email Marketing"
)</f>
        <v>0</v>
      </c>
      <c r="I698" s="133">
        <f>IFERROR(__xludf.DUMMYFUNCTION("COUNTUNIQUEIFS(All_Stats!A:A,
All_Stats!$D:$D,$B698,
All_Stats!$B:$B,""&gt;=""&amp;EOMONTH($A698,-1)+1,
All_Stats!$B:$B,""&lt;""&amp;EOMONTH($A698,0)+1,
All_Stats!$P:$P,""&lt;&gt;Email Marketing""
)"),0.0)</f>
        <v>0</v>
      </c>
    </row>
    <row r="699" hidden="1">
      <c r="A699" s="128">
        <v>45047.0</v>
      </c>
      <c r="B699" s="129" t="s">
        <v>79</v>
      </c>
      <c r="C699" s="130" t="s">
        <v>488</v>
      </c>
      <c r="D699" s="131">
        <f>SUMIFS(All_Stats!$G:$G,
All_Stats!$D:$D,$B699,
All_Stats!$B:$B,"&gt;="&amp;EOMONTH($A699,-1)+1,
All_Stats!$B:$B,"&lt;"&amp;EOMONTH($A699,0)+1,
All_Stats!$P:$P,"&lt;&gt;Email Marketing"
)</f>
        <v>6</v>
      </c>
      <c r="E699" s="113">
        <f>SUMIFS(All_Stats!$I:$I,
All_Stats!$D:$D,$B699,
All_Stats!$B:$B,"&gt;="&amp;EOMONTH($A699,-1)+1,
All_Stats!$B:$B,"&lt;"&amp;EOMONTH($A699,0)+1,
All_Stats!$P:$P,"&lt;&gt;Email Marketing"
)</f>
        <v>2</v>
      </c>
      <c r="F699" s="132">
        <f t="shared" si="207"/>
        <v>0.3333333333</v>
      </c>
      <c r="G699" s="131">
        <f>SUMIFS(All_Stats!$H:$H,
All_Stats!$D:$D,$B699,
All_Stats!$B:$B,"&gt;="&amp;EOMONTH($A699,-1)+1,
All_Stats!$B:$B,"&lt;"&amp;EOMONTH($A699,0)+1,
All_Stats!$P:$P,"&lt;&gt;Email Marketing"
)</f>
        <v>4</v>
      </c>
      <c r="H699" s="113">
        <f>SUMIFS(All_Stats!$K:$K,
All_Stats!$D:$D,$B699,
All_Stats!$B:$B,"&gt;="&amp;EOMONTH($A699,-1)+1,
All_Stats!$B:$B,"&lt;"&amp;EOMONTH($A699,0)+1,
All_Stats!$P:$P,"&lt;&gt;Email Marketing"
)</f>
        <v>0</v>
      </c>
      <c r="I699" s="133">
        <f>IFERROR(__xludf.DUMMYFUNCTION("COUNTUNIQUEIFS(All_Stats!A:A,
All_Stats!$D:$D,$B699,
All_Stats!$B:$B,""&gt;=""&amp;EOMONTH($A699,-1)+1,
All_Stats!$B:$B,""&lt;""&amp;EOMONTH($A699,0)+1,
All_Stats!$P:$P,""&lt;&gt;Email Marketing""
)"),2.0)</f>
        <v>2</v>
      </c>
    </row>
    <row r="700" hidden="1">
      <c r="A700" s="135"/>
      <c r="B700" s="135"/>
      <c r="C700" s="136" t="s">
        <v>23</v>
      </c>
      <c r="D700" s="137">
        <f t="shared" ref="D700:E700" si="208">SUM(D692:D699)</f>
        <v>278</v>
      </c>
      <c r="E700" s="137">
        <f t="shared" si="208"/>
        <v>70</v>
      </c>
      <c r="F700" s="138">
        <f t="shared" si="207"/>
        <v>0.2517985612</v>
      </c>
      <c r="G700" s="137">
        <f>SUM(G692:G699)</f>
        <v>182</v>
      </c>
      <c r="H700" s="137">
        <f>SUM(H691:H699)</f>
        <v>0</v>
      </c>
      <c r="I700" s="139"/>
    </row>
    <row r="701" hidden="1">
      <c r="A701" s="131"/>
      <c r="B701" s="131"/>
      <c r="C701" s="131"/>
      <c r="D701" s="140"/>
      <c r="F701" s="131"/>
      <c r="G701" s="131"/>
    </row>
    <row r="702" hidden="1">
      <c r="A702" s="131"/>
      <c r="B702" s="131"/>
      <c r="C702" s="131"/>
      <c r="D702" s="140">
        <f t="shared" ref="D702:E702" si="209">D688+D700</f>
        <v>2349</v>
      </c>
      <c r="E702" s="140">
        <f t="shared" si="209"/>
        <v>975</v>
      </c>
      <c r="F702" s="131"/>
      <c r="G702" s="140">
        <f t="shared" ref="G702:H702" si="210">G688+G700</f>
        <v>1348</v>
      </c>
      <c r="H702" s="140">
        <f t="shared" si="210"/>
        <v>0</v>
      </c>
    </row>
    <row r="703" hidden="1">
      <c r="A703" s="131"/>
      <c r="B703" s="131"/>
      <c r="C703" s="131"/>
      <c r="D703" s="140"/>
      <c r="F703" s="131"/>
      <c r="G703" s="131"/>
    </row>
    <row r="704" hidden="1">
      <c r="C704" s="118" t="s">
        <v>484</v>
      </c>
      <c r="D704" s="119"/>
      <c r="E704" s="119"/>
      <c r="F704" s="119"/>
      <c r="G704" s="119"/>
      <c r="H704" s="119"/>
      <c r="I704" s="120"/>
    </row>
    <row r="705" hidden="1">
      <c r="A705" s="121" t="s">
        <v>1</v>
      </c>
      <c r="B705" s="122" t="s">
        <v>485</v>
      </c>
      <c r="C705" s="123" t="s">
        <v>486</v>
      </c>
      <c r="D705" s="124" t="s">
        <v>6</v>
      </c>
      <c r="E705" s="125" t="s">
        <v>8</v>
      </c>
      <c r="F705" s="124" t="s">
        <v>479</v>
      </c>
      <c r="G705" s="126" t="s">
        <v>7</v>
      </c>
      <c r="H705" s="125" t="s">
        <v>10</v>
      </c>
      <c r="I705" s="127" t="s">
        <v>487</v>
      </c>
    </row>
    <row r="706" hidden="1">
      <c r="A706" s="128">
        <v>45078.0</v>
      </c>
      <c r="B706" s="131" t="s">
        <v>164</v>
      </c>
      <c r="C706" s="134" t="str">
        <f>if(ifna(VLOOKUP(B706,'Vendor Directory'!A:C,3,0),"NOT FOUND")="","NOT FOUND",VLOOKUP(B706,'Vendor Directory'!A:C,3,0))</f>
        <v>#N/A</v>
      </c>
      <c r="D706" s="131">
        <f>SUMIFS(All_Stats!$G:$G,
All_Stats!$D:$D,$B706,
All_Stats!$B:$B,"&gt;="&amp;EOMONTH($A706,-1)+1,
All_Stats!$B:$B,"&lt;"&amp;EOMONTH($A706,0)+1,
All_Stats!$P:$P,"Email Marketing"
)</f>
        <v>1223</v>
      </c>
      <c r="E706" s="113">
        <f>SUMIFS(All_Stats!$I:$I,
All_Stats!$D:$D,$B706,
All_Stats!$B:$B,"&gt;="&amp;EOMONTH($A706,-1)+1,
All_Stats!$B:$B,"&lt;"&amp;EOMONTH($A706,0)+1,
All_Stats!$P:$P,"Email Marketing"
)</f>
        <v>545</v>
      </c>
      <c r="F706" s="132">
        <f t="shared" ref="F706:F709" si="211">iferror(E706/D706,"N/A")</f>
        <v>0.445625511</v>
      </c>
      <c r="G706" s="131">
        <f>SUMIFS(All_Stats!$H:$H,
All_Stats!$D:$D,$B706,
All_Stats!$B:$B,"&gt;="&amp;EOMONTH($A706,-1)+1,
All_Stats!$B:$B,"&lt;"&amp;EOMONTH($A706,0)+1,
All_Stats!$P:$P,"Email Marketing"
)</f>
        <v>678</v>
      </c>
      <c r="H706" s="113">
        <f>SUMIFS(All_Stats!$K:$K,
All_Stats!$D:$D,$B706,
All_Stats!$B:$B,"&gt;="&amp;EOMONTH($A706,-1)+1,
All_Stats!$B:$B,"&lt;"&amp;EOMONTH($A706,0)+1,
All_Stats!$P:$P,"Email Marketing"
)</f>
        <v>0</v>
      </c>
      <c r="I706" s="133">
        <f>IFERROR(__xludf.DUMMYFUNCTION("COUNTUNIQUEIFS(All_Stats!A:A,
All_Stats!$D:$D,$B706,
All_Stats!$B:$B,""&gt;=""&amp;EOMONTH($A706,-1)+1,
All_Stats!$B:$B,""&lt;""&amp;EOMONTH($A706,0)+1,
All_Stats!$P:$P,""Email Marketing""
)"),12.0)</f>
        <v>12</v>
      </c>
      <c r="J706" s="164">
        <f t="shared" ref="J706:J709" si="212">H706+G706+E706</f>
        <v>1223</v>
      </c>
    </row>
    <row r="707" hidden="1">
      <c r="A707" s="128">
        <v>45078.0</v>
      </c>
      <c r="B707" s="129" t="s">
        <v>79</v>
      </c>
      <c r="C707" s="130" t="s">
        <v>488</v>
      </c>
      <c r="D707" s="131">
        <f>SUMIFS(All_Stats!$G:$G,
All_Stats!$D:$D,$B707,
All_Stats!$B:$B,"&gt;="&amp;EOMONTH($A707,-1)+1,
All_Stats!$B:$B,"&lt;"&amp;EOMONTH($A707,0)+1,
All_Stats!$P:$P,"Email Marketing"
)</f>
        <v>7</v>
      </c>
      <c r="E707" s="113">
        <f>SUMIFS(All_Stats!$I:$I,
All_Stats!$D:$D,$B707,
All_Stats!$B:$B,"&gt;="&amp;EOMONTH($A707,-1)+1,
All_Stats!$B:$B,"&lt;"&amp;EOMONTH($A707,0)+1,
All_Stats!$P:$P,"Email Marketing"
)</f>
        <v>0</v>
      </c>
      <c r="F707" s="132">
        <f t="shared" si="211"/>
        <v>0</v>
      </c>
      <c r="G707" s="131">
        <f>SUMIFS(All_Stats!$H:$H,
All_Stats!$D:$D,$B707,
All_Stats!$B:$B,"&gt;="&amp;EOMONTH($A707,-1)+1,
All_Stats!$B:$B,"&lt;"&amp;EOMONTH($A707,0)+1,
All_Stats!$P:$P,"Email Marketing"
)</f>
        <v>7</v>
      </c>
      <c r="H707" s="113">
        <f>SUMIFS(All_Stats!$K:$K,
All_Stats!$D:$D,$B707,
All_Stats!$B:$B,"&gt;="&amp;EOMONTH($A707,-1)+1,
All_Stats!$B:$B,"&lt;"&amp;EOMONTH($A707,0)+1,
All_Stats!$P:$P,"Email Marketing"
)</f>
        <v>0</v>
      </c>
      <c r="I707" s="133">
        <f>IFERROR(__xludf.DUMMYFUNCTION("COUNTUNIQUEIFS(All_Stats!A:A,
All_Stats!$D:$D,$B707,
All_Stats!$B:$B,""&gt;=""&amp;EOMONTH($A707,-1)+1,
All_Stats!$B:$B,""&lt;""&amp;EOMONTH($A707,0)+1,
All_Stats!$P:$P,""Email Marketing""
)"),1.0)</f>
        <v>1</v>
      </c>
      <c r="J707" s="164">
        <f t="shared" si="212"/>
        <v>7</v>
      </c>
    </row>
    <row r="708" hidden="1">
      <c r="A708" s="128">
        <v>45078.0</v>
      </c>
      <c r="B708" s="129" t="s">
        <v>313</v>
      </c>
      <c r="C708" s="142" t="s">
        <v>525</v>
      </c>
      <c r="D708" s="131">
        <f>SUMIFS(All_Stats!$G:$G,
All_Stats!$D:$D,$B708,
All_Stats!$B:$B,"&gt;="&amp;EOMONTH($A708,-1)+1,
All_Stats!$B:$B,"&lt;"&amp;EOMONTH($A708,0)+1,
All_Stats!$P:$P,"Email Marketing"
)</f>
        <v>59</v>
      </c>
      <c r="E708" s="113">
        <f>SUMIFS(All_Stats!$I:$I,
All_Stats!$D:$D,$B708,
All_Stats!$B:$B,"&gt;="&amp;EOMONTH($A708,-1)+1,
All_Stats!$B:$B,"&lt;"&amp;EOMONTH($A708,0)+1,
All_Stats!$P:$P,"Email Marketing"
)</f>
        <v>33</v>
      </c>
      <c r="F708" s="132">
        <f t="shared" si="211"/>
        <v>0.5593220339</v>
      </c>
      <c r="G708" s="131">
        <f>SUMIFS(All_Stats!$H:$H,
All_Stats!$D:$D,$B708,
All_Stats!$B:$B,"&gt;="&amp;EOMONTH($A708,-1)+1,
All_Stats!$B:$B,"&lt;"&amp;EOMONTH($A708,0)+1,
All_Stats!$P:$P,"Email Marketing"
)</f>
        <v>26</v>
      </c>
      <c r="H708" s="113">
        <f>SUMIFS(All_Stats!$K:$K,
All_Stats!$D:$D,$B708,
All_Stats!$B:$B,"&gt;="&amp;EOMONTH($A708,-1)+1,
All_Stats!$B:$B,"&lt;"&amp;EOMONTH($A708,0)+1,
All_Stats!$P:$P,"Email Marketing"
)</f>
        <v>0</v>
      </c>
      <c r="I708" s="133">
        <f>IFERROR(__xludf.DUMMYFUNCTION("COUNTUNIQUEIFS(All_Stats!A:A,
All_Stats!$D:$D,$B708,
All_Stats!$B:$B,""&gt;=""&amp;EOMONTH($A708,-1)+1,
All_Stats!$B:$B,""&lt;""&amp;EOMONTH($A708,0)+1,
All_Stats!$P:$P,""Email Marketing""
)"),1.0)</f>
        <v>1</v>
      </c>
      <c r="J708" s="164">
        <f t="shared" si="212"/>
        <v>59</v>
      </c>
    </row>
    <row r="709" hidden="1">
      <c r="A709" s="135"/>
      <c r="B709" s="135"/>
      <c r="C709" s="136" t="s">
        <v>23</v>
      </c>
      <c r="D709" s="137">
        <f t="shared" ref="D709:E709" si="213">SUM(D706:D708)</f>
        <v>1289</v>
      </c>
      <c r="E709" s="137">
        <f t="shared" si="213"/>
        <v>578</v>
      </c>
      <c r="F709" s="138">
        <f t="shared" si="211"/>
        <v>0.4484096199</v>
      </c>
      <c r="G709" s="137">
        <f t="shared" ref="G709:H709" si="214">SUM(G706:G708)</f>
        <v>711</v>
      </c>
      <c r="H709" s="137">
        <f t="shared" si="214"/>
        <v>0</v>
      </c>
      <c r="I709" s="139"/>
      <c r="J709" s="164">
        <f t="shared" si="212"/>
        <v>1289</v>
      </c>
    </row>
    <row r="710" hidden="1">
      <c r="A710" s="131"/>
      <c r="B710" s="131"/>
      <c r="C710" s="131"/>
      <c r="D710" s="140"/>
      <c r="F710" s="131"/>
      <c r="G710" s="131"/>
    </row>
    <row r="711" hidden="1">
      <c r="A711" s="121" t="s">
        <v>1</v>
      </c>
      <c r="B711" s="122" t="s">
        <v>485</v>
      </c>
      <c r="C711" s="123" t="s">
        <v>486</v>
      </c>
      <c r="D711" s="124" t="s">
        <v>6</v>
      </c>
      <c r="E711" s="125" t="s">
        <v>8</v>
      </c>
      <c r="F711" s="124" t="s">
        <v>479</v>
      </c>
      <c r="G711" s="126" t="s">
        <v>7</v>
      </c>
      <c r="H711" s="125" t="s">
        <v>10</v>
      </c>
      <c r="I711" s="127" t="s">
        <v>487</v>
      </c>
    </row>
    <row r="712" hidden="1">
      <c r="A712" s="128">
        <v>45078.0</v>
      </c>
      <c r="B712" s="131" t="s">
        <v>127</v>
      </c>
      <c r="C712" s="134" t="str">
        <f>if(ifna(VLOOKUP(B712,'Vendor Directory'!A:C,3,0),"NOT FOUND")="","NOT FOUND",VLOOKUP(B712,'Vendor Directory'!A:C,3,0))</f>
        <v>#N/A</v>
      </c>
      <c r="D712" s="131">
        <f>SUMIFS(All_Stats!$G:$G,
All_Stats!$D:$D,$B712,
All_Stats!$B:$B,"&gt;="&amp;EOMONTH($A712,-1)+1,
All_Stats!$B:$B,"&lt;"&amp;EOMONTH($A712,0)+1,
All_Stats!$P:$P,"&lt;&gt;Email Marketing"
)</f>
        <v>1031</v>
      </c>
      <c r="E712" s="113">
        <f>SUMIFS(All_Stats!$I:$I,
All_Stats!$D:$D,$B712,
All_Stats!$B:$B,"&gt;="&amp;EOMONTH($A712,-1)+1,
All_Stats!$B:$B,"&lt;"&amp;EOMONTH($A712,0)+1,
All_Stats!$P:$P,"&lt;&gt;Email Marketing"
)</f>
        <v>312</v>
      </c>
      <c r="F712" s="132">
        <f t="shared" ref="F712:F721" si="215">iferror(E712/D712,"N/A")</f>
        <v>0.3026188167</v>
      </c>
      <c r="G712" s="131">
        <f>SUMIFS(All_Stats!$H:$H,
All_Stats!$D:$D,$B712,
All_Stats!$B:$B,"&gt;="&amp;EOMONTH($A712,-1)+1,
All_Stats!$B:$B,"&lt;"&amp;EOMONTH($A712,0)+1,
All_Stats!$P:$P,"&lt;&gt;Email Marketing"
)</f>
        <v>702</v>
      </c>
      <c r="H712" s="113">
        <f>SUMIFS(All_Stats!$K:$K,
All_Stats!$D:$D,$B712,
All_Stats!$B:$B,"&gt;="&amp;EOMONTH($A712,-1)+1,
All_Stats!$B:$B,"&lt;"&amp;EOMONTH($A712,0)+1,
All_Stats!$P:$P,"&lt;&gt;Email Marketing"
)</f>
        <v>0</v>
      </c>
      <c r="I712" s="133">
        <f>IFERROR(__xludf.DUMMYFUNCTION("COUNTUNIQUEIFS(All_Stats!A:A,
All_Stats!$D:$D,$B712,
All_Stats!$B:$B,""&gt;=""&amp;EOMONTH($A712,-1)+1,
All_Stats!$B:$B,""&lt;""&amp;EOMONTH($A712,0)+1,
All_Stats!$P:$P,""&lt;&gt;Email Marketing""
)"),7.0)</f>
        <v>7</v>
      </c>
      <c r="J712" s="199">
        <f t="shared" ref="J712:J721" si="216">H712+G712+E712</f>
        <v>1014</v>
      </c>
      <c r="K712" s="2" t="s">
        <v>545</v>
      </c>
    </row>
    <row r="713" hidden="1">
      <c r="A713" s="128">
        <v>45078.0</v>
      </c>
      <c r="B713" s="129" t="s">
        <v>19</v>
      </c>
      <c r="C713" s="141" t="s">
        <v>489</v>
      </c>
      <c r="D713" s="131">
        <f>SUMIFS(All_Stats!$G:$G,
All_Stats!$D:$D,$B713,
All_Stats!$B:$B,"&gt;="&amp;EOMONTH($A713,-1)+1,
All_Stats!$B:$B,"&lt;"&amp;EOMONTH($A713,0)+1,
All_Stats!$P:$P,"&lt;&gt;Email Marketing"
)</f>
        <v>403</v>
      </c>
      <c r="E713" s="113">
        <f>SUMIFS(All_Stats!$I:$I,
All_Stats!$D:$D,$B713,
All_Stats!$B:$B,"&gt;="&amp;EOMONTH($A713,-1)+1,
All_Stats!$B:$B,"&lt;"&amp;EOMONTH($A713,0)+1,
All_Stats!$P:$P,"&lt;&gt;Email Marketing"
)</f>
        <v>145</v>
      </c>
      <c r="F713" s="132">
        <f t="shared" si="215"/>
        <v>0.3598014888</v>
      </c>
      <c r="G713" s="131">
        <f>SUMIFS(All_Stats!$H:$H,
All_Stats!$D:$D,$B713,
All_Stats!$B:$B,"&gt;="&amp;EOMONTH($A713,-1)+1,
All_Stats!$B:$B,"&lt;"&amp;EOMONTH($A713,0)+1,
All_Stats!$P:$P,"&lt;&gt;Email Marketing"
)</f>
        <v>245</v>
      </c>
      <c r="H713" s="113">
        <f>SUMIFS(All_Stats!$K:$K,
All_Stats!$D:$D,$B713,
All_Stats!$B:$B,"&gt;="&amp;EOMONTH($A713,-1)+1,
All_Stats!$B:$B,"&lt;"&amp;EOMONTH($A713,0)+1,
All_Stats!$P:$P,"&lt;&gt;Email Marketing"
)</f>
        <v>0</v>
      </c>
      <c r="I713" s="133">
        <f>IFERROR(__xludf.DUMMYFUNCTION("COUNTUNIQUEIFS(All_Stats!A:A,
All_Stats!$D:$D,$B713,
All_Stats!$B:$B,""&gt;=""&amp;EOMONTH($A713,-1)+1,
All_Stats!$B:$B,""&lt;""&amp;EOMONTH($A713,0)+1,
All_Stats!$P:$P,""&lt;&gt;Email Marketing""
)"),23.0)</f>
        <v>23</v>
      </c>
      <c r="J713" s="199">
        <f t="shared" si="216"/>
        <v>390</v>
      </c>
    </row>
    <row r="714" hidden="1">
      <c r="A714" s="128">
        <v>45078.0</v>
      </c>
      <c r="B714" s="131" t="s">
        <v>157</v>
      </c>
      <c r="C714" s="134" t="str">
        <f>if(ifna(VLOOKUP(B714,'Vendor Directory'!A:C,3,0),"NOT FOUND")="","NOT FOUND",VLOOKUP(B714,'Vendor Directory'!A:C,3,0))</f>
        <v>#N/A</v>
      </c>
      <c r="D714" s="131">
        <f>SUMIFS(All_Stats!$G:$G,
All_Stats!$D:$D,$B714,
All_Stats!$B:$B,"&gt;="&amp;EOMONTH($A714,-1)+1,
All_Stats!$B:$B,"&lt;"&amp;EOMONTH($A714,0)+1,
All_Stats!$P:$P,"&lt;&gt;Email Marketing"
)</f>
        <v>165</v>
      </c>
      <c r="E714" s="113">
        <f>SUMIFS(All_Stats!$I:$I,
All_Stats!$D:$D,$B714,
All_Stats!$B:$B,"&gt;="&amp;EOMONTH($A714,-1)+1,
All_Stats!$B:$B,"&lt;"&amp;EOMONTH($A714,0)+1,
All_Stats!$P:$P,"&lt;&gt;Email Marketing"
)</f>
        <v>64</v>
      </c>
      <c r="F714" s="132">
        <f t="shared" si="215"/>
        <v>0.3878787879</v>
      </c>
      <c r="G714" s="131">
        <f>SUMIFS(All_Stats!$H:$H,
All_Stats!$D:$D,$B714,
All_Stats!$B:$B,"&gt;="&amp;EOMONTH($A714,-1)+1,
All_Stats!$B:$B,"&lt;"&amp;EOMONTH($A714,0)+1,
All_Stats!$P:$P,"&lt;&gt;Email Marketing"
)</f>
        <v>92</v>
      </c>
      <c r="H714" s="113">
        <f>SUMIFS(All_Stats!$K:$K,
All_Stats!$D:$D,$B714,
All_Stats!$B:$B,"&gt;="&amp;EOMONTH($A714,-1)+1,
All_Stats!$B:$B,"&lt;"&amp;EOMONTH($A714,0)+1,
All_Stats!$P:$P,"&lt;&gt;Email Marketing"
)</f>
        <v>0</v>
      </c>
      <c r="I714" s="133">
        <f>IFERROR(__xludf.DUMMYFUNCTION("COUNTUNIQUEIFS(All_Stats!A:A,
All_Stats!$D:$D,$B714,
All_Stats!$B:$B,""&gt;=""&amp;EOMONTH($A714,-1)+1,
All_Stats!$B:$B,""&lt;""&amp;EOMONTH($A714,0)+1,
All_Stats!$P:$P,""&lt;&gt;Email Marketing""
)"),5.0)</f>
        <v>5</v>
      </c>
      <c r="J714" s="199">
        <f t="shared" si="216"/>
        <v>156</v>
      </c>
    </row>
    <row r="715" hidden="1">
      <c r="A715" s="128">
        <v>45078.0</v>
      </c>
      <c r="B715" s="131" t="s">
        <v>30</v>
      </c>
      <c r="C715" s="134" t="str">
        <f>if(ifna(VLOOKUP(B715,'Vendor Directory'!A:C,3,0),"NOT FOUND")="","NOT FOUND",VLOOKUP(B715,'Vendor Directory'!A:C,3,0))</f>
        <v>Vendor 2 Name</v>
      </c>
      <c r="D715" s="131">
        <f>SUMIFS(All_Stats!$G:$G,
All_Stats!$D:$D,$B715,
All_Stats!$B:$B,"&gt;="&amp;EOMONTH($A715,-1)+1,
All_Stats!$B:$B,"&lt;"&amp;EOMONTH($A715,0)+1,
All_Stats!$P:$P,"&lt;&gt;Email Marketing"
)</f>
        <v>76</v>
      </c>
      <c r="E715" s="113">
        <f>SUMIFS(All_Stats!$I:$I,
All_Stats!$D:$D,$B715,
All_Stats!$B:$B,"&gt;="&amp;EOMONTH($A715,-1)+1,
All_Stats!$B:$B,"&lt;"&amp;EOMONTH($A715,0)+1,
All_Stats!$P:$P,"&lt;&gt;Email Marketing"
)</f>
        <v>26</v>
      </c>
      <c r="F715" s="132">
        <f t="shared" si="215"/>
        <v>0.3421052632</v>
      </c>
      <c r="G715" s="131">
        <f>SUMIFS(All_Stats!$H:$H,
All_Stats!$D:$D,$B715,
All_Stats!$B:$B,"&gt;="&amp;EOMONTH($A715,-1)+1,
All_Stats!$B:$B,"&lt;"&amp;EOMONTH($A715,0)+1,
All_Stats!$P:$P,"&lt;&gt;Email Marketing"
)</f>
        <v>31</v>
      </c>
      <c r="H715" s="113">
        <f>SUMIFS(All_Stats!$K:$K,
All_Stats!$D:$D,$B715,
All_Stats!$B:$B,"&gt;="&amp;EOMONTH($A715,-1)+1,
All_Stats!$B:$B,"&lt;"&amp;EOMONTH($A715,0)+1,
All_Stats!$P:$P,"&lt;&gt;Email Marketing"
)</f>
        <v>0</v>
      </c>
      <c r="I715" s="133">
        <f>IFERROR(__xludf.DUMMYFUNCTION("COUNTUNIQUEIFS(All_Stats!A:A,
All_Stats!$D:$D,$B715,
All_Stats!$B:$B,""&gt;=""&amp;EOMONTH($A715,-1)+1,
All_Stats!$B:$B,""&lt;""&amp;EOMONTH($A715,0)+1,
All_Stats!$P:$P,""&lt;&gt;Email Marketing""
)"),2.0)</f>
        <v>2</v>
      </c>
      <c r="J715" s="199">
        <f t="shared" si="216"/>
        <v>57</v>
      </c>
    </row>
    <row r="716" hidden="1">
      <c r="A716" s="128">
        <v>45078.0</v>
      </c>
      <c r="B716" s="131" t="s">
        <v>91</v>
      </c>
      <c r="C716" s="134" t="str">
        <f>if(ifna(VLOOKUP(B716,'Vendor Directory'!A:C,3,0),"NOT FOUND")="","NOT FOUND",VLOOKUP(B716,'Vendor Directory'!A:C,3,0))</f>
        <v>#N/A</v>
      </c>
      <c r="D716" s="131">
        <f>SUMIFS(All_Stats!$G:$G,
All_Stats!$D:$D,$B716,
All_Stats!$B:$B,"&gt;="&amp;EOMONTH($A716,-1)+1,
All_Stats!$B:$B,"&lt;"&amp;EOMONTH($A716,0)+1,
All_Stats!$P:$P,"&lt;&gt;Email Marketing"
)</f>
        <v>159</v>
      </c>
      <c r="E716" s="113">
        <f>SUMIFS(All_Stats!$I:$I,
All_Stats!$D:$D,$B716,
All_Stats!$B:$B,"&gt;="&amp;EOMONTH($A716,-1)+1,
All_Stats!$B:$B,"&lt;"&amp;EOMONTH($A716,0)+1,
All_Stats!$P:$P,"&lt;&gt;Email Marketing"
)</f>
        <v>39</v>
      </c>
      <c r="F716" s="132">
        <f t="shared" si="215"/>
        <v>0.2452830189</v>
      </c>
      <c r="G716" s="131">
        <f>SUMIFS(All_Stats!$H:$H,
All_Stats!$D:$D,$B716,
All_Stats!$B:$B,"&gt;="&amp;EOMONTH($A716,-1)+1,
All_Stats!$B:$B,"&lt;"&amp;EOMONTH($A716,0)+1,
All_Stats!$P:$P,"&lt;&gt;Email Marketing"
)</f>
        <v>114</v>
      </c>
      <c r="H716" s="113">
        <f>SUMIFS(All_Stats!$K:$K,
All_Stats!$D:$D,$B716,
All_Stats!$B:$B,"&gt;="&amp;EOMONTH($A716,-1)+1,
All_Stats!$B:$B,"&lt;"&amp;EOMONTH($A716,0)+1,
All_Stats!$P:$P,"&lt;&gt;Email Marketing"
)</f>
        <v>0</v>
      </c>
      <c r="I716" s="133">
        <f>IFERROR(__xludf.DUMMYFUNCTION("COUNTUNIQUEIFS(All_Stats!A:A,
All_Stats!$D:$D,$B716,
All_Stats!$B:$B,""&gt;=""&amp;EOMONTH($A716,-1)+1,
All_Stats!$B:$B,""&lt;""&amp;EOMONTH($A716,0)+1,
All_Stats!$P:$P,""&lt;&gt;Email Marketing""
)"),9.0)</f>
        <v>9</v>
      </c>
      <c r="J716" s="199">
        <f t="shared" si="216"/>
        <v>153</v>
      </c>
    </row>
    <row r="717" hidden="1">
      <c r="A717" s="128">
        <v>45078.0</v>
      </c>
      <c r="B717" s="129" t="s">
        <v>313</v>
      </c>
      <c r="C717" s="130" t="s">
        <v>525</v>
      </c>
      <c r="D717" s="131">
        <f>SUMIFS(All_Stats!$G:$G,
All_Stats!$D:$D,$B717,
All_Stats!$B:$B,"&gt;="&amp;EOMONTH($A717,-1)+1,
All_Stats!$B:$B,"&lt;"&amp;EOMONTH($A717,0)+1,
All_Stats!$P:$P,"&lt;&gt;Email Marketing"
)</f>
        <v>22</v>
      </c>
      <c r="E717" s="113">
        <f>SUMIFS(All_Stats!$I:$I,
All_Stats!$D:$D,$B717,
All_Stats!$B:$B,"&gt;="&amp;EOMONTH($A717,-1)+1,
All_Stats!$B:$B,"&lt;"&amp;EOMONTH($A717,0)+1,
All_Stats!$P:$P,"&lt;&gt;Email Marketing"
)</f>
        <v>15</v>
      </c>
      <c r="F717" s="132">
        <f t="shared" si="215"/>
        <v>0.6818181818</v>
      </c>
      <c r="G717" s="131">
        <f>SUMIFS(All_Stats!$H:$H,
All_Stats!$D:$D,$B717,
All_Stats!$B:$B,"&gt;="&amp;EOMONTH($A717,-1)+1,
All_Stats!$B:$B,"&lt;"&amp;EOMONTH($A717,0)+1,
All_Stats!$P:$P,"&lt;&gt;Email Marketing"
)</f>
        <v>7</v>
      </c>
      <c r="H717" s="113">
        <f>SUMIFS(All_Stats!$K:$K,
All_Stats!$D:$D,$B717,
All_Stats!$B:$B,"&gt;="&amp;EOMONTH($A717,-1)+1,
All_Stats!$B:$B,"&lt;"&amp;EOMONTH($A717,0)+1,
All_Stats!$P:$P,"&lt;&gt;Email Marketing"
)</f>
        <v>0</v>
      </c>
      <c r="I717" s="133">
        <f>IFERROR(__xludf.DUMMYFUNCTION("COUNTUNIQUEIFS(All_Stats!A:A,
All_Stats!$D:$D,$B717,
All_Stats!$B:$B,""&gt;=""&amp;EOMONTH($A717,-1)+1,
All_Stats!$B:$B,""&lt;""&amp;EOMONTH($A717,0)+1,
All_Stats!$P:$P,""&lt;&gt;Email Marketing""
)"),1.0)</f>
        <v>1</v>
      </c>
      <c r="J717" s="164">
        <f t="shared" si="216"/>
        <v>22</v>
      </c>
    </row>
    <row r="718" hidden="1">
      <c r="A718" s="128">
        <v>45078.0</v>
      </c>
      <c r="B718" s="129" t="s">
        <v>109</v>
      </c>
      <c r="C718" s="130" t="s">
        <v>490</v>
      </c>
      <c r="D718" s="131">
        <f>SUMIFS(All_Stats!$G:$G,
All_Stats!$D:$D,$B718,
All_Stats!$B:$B,"&gt;="&amp;EOMONTH($A718,-1)+1,
All_Stats!$B:$B,"&lt;"&amp;EOMONTH($A718,0)+1,
All_Stats!$P:$P,"&lt;&gt;Email Marketing"
)</f>
        <v>45</v>
      </c>
      <c r="E718" s="113">
        <f>SUMIFS(All_Stats!$I:$I,
All_Stats!$D:$D,$B718,
All_Stats!$B:$B,"&gt;="&amp;EOMONTH($A718,-1)+1,
All_Stats!$B:$B,"&lt;"&amp;EOMONTH($A718,0)+1,
All_Stats!$P:$P,"&lt;&gt;Email Marketing"
)</f>
        <v>23</v>
      </c>
      <c r="F718" s="132">
        <f t="shared" si="215"/>
        <v>0.5111111111</v>
      </c>
      <c r="G718" s="131">
        <f>SUMIFS(All_Stats!$H:$H,
All_Stats!$D:$D,$B718,
All_Stats!$B:$B,"&gt;="&amp;EOMONTH($A718,-1)+1,
All_Stats!$B:$B,"&lt;"&amp;EOMONTH($A718,0)+1,
All_Stats!$P:$P,"&lt;&gt;Email Marketing"
)</f>
        <v>19</v>
      </c>
      <c r="H718" s="113">
        <f>SUMIFS(All_Stats!$K:$K,
All_Stats!$D:$D,$B718,
All_Stats!$B:$B,"&gt;="&amp;EOMONTH($A718,-1)+1,
All_Stats!$B:$B,"&lt;"&amp;EOMONTH($A718,0)+1,
All_Stats!$P:$P,"&lt;&gt;Email Marketing"
)</f>
        <v>0</v>
      </c>
      <c r="I718" s="133">
        <f>IFERROR(__xludf.DUMMYFUNCTION("COUNTUNIQUEIFS(All_Stats!A:A,
All_Stats!$D:$D,$B718,
All_Stats!$B:$B,""&gt;=""&amp;EOMONTH($A718,-1)+1,
All_Stats!$B:$B,""&lt;""&amp;EOMONTH($A718,0)+1,
All_Stats!$P:$P,""&lt;&gt;Email Marketing""
)"),6.0)</f>
        <v>6</v>
      </c>
      <c r="J718" s="199">
        <f t="shared" si="216"/>
        <v>42</v>
      </c>
    </row>
    <row r="719" hidden="1">
      <c r="A719" s="128">
        <v>45078.0</v>
      </c>
      <c r="B719" s="129" t="s">
        <v>33</v>
      </c>
      <c r="C719" s="142" t="s">
        <v>492</v>
      </c>
      <c r="D719" s="131">
        <f>SUMIFS(All_Stats!$G:$G,
All_Stats!$D:$D,$B719,
All_Stats!$B:$B,"&gt;="&amp;EOMONTH($A719,-1)+1,
All_Stats!$B:$B,"&lt;"&amp;EOMONTH($A719,0)+1,
All_Stats!$P:$P,"&lt;&gt;Email Marketing"
)</f>
        <v>54</v>
      </c>
      <c r="E719" s="113">
        <f>SUMIFS(All_Stats!$I:$I,
All_Stats!$D:$D,$B719,
All_Stats!$B:$B,"&gt;="&amp;EOMONTH($A719,-1)+1,
All_Stats!$B:$B,"&lt;"&amp;EOMONTH($A719,0)+1,
All_Stats!$P:$P,"&lt;&gt;Email Marketing"
)</f>
        <v>10</v>
      </c>
      <c r="F719" s="132">
        <f t="shared" si="215"/>
        <v>0.1851851852</v>
      </c>
      <c r="G719" s="131">
        <f>SUMIFS(All_Stats!$H:$H,
All_Stats!$D:$D,$B719,
All_Stats!$B:$B,"&gt;="&amp;EOMONTH($A719,-1)+1,
All_Stats!$B:$B,"&lt;"&amp;EOMONTH($A719,0)+1,
All_Stats!$P:$P,"&lt;&gt;Email Marketing"
)</f>
        <v>38</v>
      </c>
      <c r="H719" s="113">
        <f>SUMIFS(All_Stats!$K:$K,
All_Stats!$D:$D,$B719,
All_Stats!$B:$B,"&gt;="&amp;EOMONTH($A719,-1)+1,
All_Stats!$B:$B,"&lt;"&amp;EOMONTH($A719,0)+1,
All_Stats!$P:$P,"&lt;&gt;Email Marketing"
)</f>
        <v>0</v>
      </c>
      <c r="I719" s="133">
        <f>IFERROR(__xludf.DUMMYFUNCTION("COUNTUNIQUEIFS(All_Stats!A:A,
All_Stats!$D:$D,$B719,
All_Stats!$B:$B,""&gt;=""&amp;EOMONTH($A719,-1)+1,
All_Stats!$B:$B,""&lt;""&amp;EOMONTH($A719,0)+1,
All_Stats!$P:$P,""&lt;&gt;Email Marketing""
)"),4.0)</f>
        <v>4</v>
      </c>
      <c r="J719" s="199">
        <f t="shared" si="216"/>
        <v>48</v>
      </c>
    </row>
    <row r="720" hidden="1">
      <c r="A720" s="128">
        <v>45078.0</v>
      </c>
      <c r="B720" s="129" t="s">
        <v>79</v>
      </c>
      <c r="C720" s="130" t="s">
        <v>488</v>
      </c>
      <c r="D720" s="131">
        <f>SUMIFS(All_Stats!$G:$G,
All_Stats!$D:$D,$B720,
All_Stats!$B:$B,"&gt;="&amp;EOMONTH($A720,-1)+1,
All_Stats!$B:$B,"&lt;"&amp;EOMONTH($A720,0)+1,
All_Stats!$P:$P,"&lt;&gt;Email Marketing"
)</f>
        <v>31</v>
      </c>
      <c r="E720" s="113">
        <f>SUMIFS(All_Stats!$I:$I,
All_Stats!$D:$D,$B720,
All_Stats!$B:$B,"&gt;="&amp;EOMONTH($A720,-1)+1,
All_Stats!$B:$B,"&lt;"&amp;EOMONTH($A720,0)+1,
All_Stats!$P:$P,"&lt;&gt;Email Marketing"
)</f>
        <v>17</v>
      </c>
      <c r="F720" s="132">
        <f t="shared" si="215"/>
        <v>0.5483870968</v>
      </c>
      <c r="G720" s="131">
        <f>SUMIFS(All_Stats!$H:$H,
All_Stats!$D:$D,$B720,
All_Stats!$B:$B,"&gt;="&amp;EOMONTH($A720,-1)+1,
All_Stats!$B:$B,"&lt;"&amp;EOMONTH($A720,0)+1,
All_Stats!$P:$P,"&lt;&gt;Email Marketing"
)</f>
        <v>13</v>
      </c>
      <c r="H720" s="113">
        <f>SUMIFS(All_Stats!$K:$K,
All_Stats!$D:$D,$B720,
All_Stats!$B:$B,"&gt;="&amp;EOMONTH($A720,-1)+1,
All_Stats!$B:$B,"&lt;"&amp;EOMONTH($A720,0)+1,
All_Stats!$P:$P,"&lt;&gt;Email Marketing"
)</f>
        <v>0</v>
      </c>
      <c r="I720" s="133">
        <f>IFERROR(__xludf.DUMMYFUNCTION("COUNTUNIQUEIFS(All_Stats!A:A,
All_Stats!$D:$D,$B720,
All_Stats!$B:$B,""&gt;=""&amp;EOMONTH($A720,-1)+1,
All_Stats!$B:$B,""&lt;""&amp;EOMONTH($A720,0)+1,
All_Stats!$P:$P,""&lt;&gt;Email Marketing""
)"),2.0)</f>
        <v>2</v>
      </c>
      <c r="J720" s="164">
        <f t="shared" si="216"/>
        <v>30</v>
      </c>
    </row>
    <row r="721" hidden="1">
      <c r="A721" s="135"/>
      <c r="B721" s="135"/>
      <c r="C721" s="136" t="s">
        <v>23</v>
      </c>
      <c r="D721" s="137">
        <f t="shared" ref="D721:E721" si="217">SUM(D712:D720)</f>
        <v>1986</v>
      </c>
      <c r="E721" s="137">
        <f t="shared" si="217"/>
        <v>651</v>
      </c>
      <c r="F721" s="138">
        <f t="shared" si="215"/>
        <v>0.3277945619</v>
      </c>
      <c r="G721" s="137">
        <f>SUM(G712:G720)</f>
        <v>1261</v>
      </c>
      <c r="H721" s="137">
        <f>SUM(H713:H720)</f>
        <v>0</v>
      </c>
      <c r="I721" s="139"/>
      <c r="J721" s="164">
        <f t="shared" si="216"/>
        <v>1912</v>
      </c>
    </row>
    <row r="722" hidden="1">
      <c r="A722" s="131"/>
      <c r="B722" s="131"/>
      <c r="C722" s="131"/>
      <c r="D722" s="140"/>
      <c r="F722" s="131"/>
      <c r="G722" s="131"/>
    </row>
    <row r="723" hidden="1">
      <c r="A723" s="131"/>
      <c r="B723" s="131"/>
      <c r="C723" s="131"/>
      <c r="D723" s="140">
        <f t="shared" ref="D723:E723" si="218">D709+D721</f>
        <v>3275</v>
      </c>
      <c r="E723" s="140">
        <f t="shared" si="218"/>
        <v>1229</v>
      </c>
      <c r="F723" s="131"/>
      <c r="G723" s="140">
        <f t="shared" ref="G723:H723" si="219">G709+G721</f>
        <v>1972</v>
      </c>
      <c r="H723" s="140">
        <f t="shared" si="219"/>
        <v>0</v>
      </c>
    </row>
    <row r="724" hidden="1">
      <c r="A724" s="131"/>
      <c r="B724" s="131"/>
      <c r="C724" s="131"/>
      <c r="D724" s="140"/>
      <c r="F724" s="131"/>
      <c r="G724" s="131"/>
    </row>
    <row r="725" hidden="1">
      <c r="C725" s="118" t="s">
        <v>484</v>
      </c>
      <c r="D725" s="119"/>
      <c r="E725" s="119"/>
      <c r="F725" s="119"/>
      <c r="G725" s="119"/>
      <c r="H725" s="119"/>
      <c r="I725" s="120"/>
    </row>
    <row r="726" hidden="1">
      <c r="A726" s="121" t="s">
        <v>1</v>
      </c>
      <c r="B726" s="122" t="s">
        <v>485</v>
      </c>
      <c r="C726" s="123" t="s">
        <v>486</v>
      </c>
      <c r="D726" s="124" t="s">
        <v>6</v>
      </c>
      <c r="E726" s="125" t="s">
        <v>8</v>
      </c>
      <c r="F726" s="124" t="s">
        <v>479</v>
      </c>
      <c r="G726" s="126" t="s">
        <v>7</v>
      </c>
      <c r="H726" s="125" t="s">
        <v>10</v>
      </c>
      <c r="I726" s="127" t="s">
        <v>487</v>
      </c>
    </row>
    <row r="727" hidden="1">
      <c r="A727" s="128">
        <v>45108.0</v>
      </c>
      <c r="B727" s="131" t="s">
        <v>164</v>
      </c>
      <c r="C727" s="134" t="str">
        <f>if(ifna(VLOOKUP(B727,'Vendor Directory'!A:C,3,0),"NOT FOUND")="","NOT FOUND",VLOOKUP(B727,'Vendor Directory'!A:C,3,0))</f>
        <v>#N/A</v>
      </c>
      <c r="D727" s="131">
        <f>SUMIFS(All_Stats!$G:$G,
All_Stats!$D:$D,$B727,
All_Stats!$B:$B,"&gt;="&amp;EOMONTH($A727,-1)+1,
All_Stats!$B:$B,"&lt;"&amp;EOMONTH($A727,0)+1,
All_Stats!$P:$P,"Email Marketing"
)</f>
        <v>843</v>
      </c>
      <c r="E727" s="113">
        <f>SUMIFS(All_Stats!$I:$I,
All_Stats!$D:$D,$B727,
All_Stats!$B:$B,"&gt;="&amp;EOMONTH($A727,-1)+1,
All_Stats!$B:$B,"&lt;"&amp;EOMONTH($A727,0)+1,
All_Stats!$P:$P,"Email Marketing"
)</f>
        <v>316</v>
      </c>
      <c r="F727" s="132">
        <f t="shared" ref="F727:F731" si="220">iferror(E727/D727,"N/A")</f>
        <v>0.37485172</v>
      </c>
      <c r="G727" s="131">
        <f>SUMIFS(All_Stats!$H:$H,
All_Stats!$D:$D,$B727,
All_Stats!$B:$B,"&gt;="&amp;EOMONTH($A727,-1)+1,
All_Stats!$B:$B,"&lt;"&amp;EOMONTH($A727,0)+1,
All_Stats!$P:$P,"Email Marketing"
)</f>
        <v>527</v>
      </c>
      <c r="H727" s="113">
        <f>SUMIFS(All_Stats!$K:$K,
All_Stats!$D:$D,$B727,
All_Stats!$B:$B,"&gt;="&amp;EOMONTH($A727,-1)+1,
All_Stats!$B:$B,"&lt;"&amp;EOMONTH($A727,0)+1,
All_Stats!$P:$P,"Email Marketing"
)</f>
        <v>0</v>
      </c>
      <c r="I727" s="133">
        <f>IFERROR(__xludf.DUMMYFUNCTION("COUNTUNIQUEIFS(All_Stats!A:A,
All_Stats!$D:$D,$B727,
All_Stats!$B:$B,""&gt;=""&amp;EOMONTH($A727,-1)+1,
All_Stats!$B:$B,""&lt;""&amp;EOMONTH($A727,0)+1,
All_Stats!$P:$P,""Email Marketing""
)"),21.0)</f>
        <v>21</v>
      </c>
    </row>
    <row r="728" hidden="1">
      <c r="A728" s="128">
        <v>45108.0</v>
      </c>
      <c r="B728" s="129" t="s">
        <v>79</v>
      </c>
      <c r="C728" s="130" t="s">
        <v>488</v>
      </c>
      <c r="D728" s="131">
        <f>SUMIFS(All_Stats!$G:$G,
All_Stats!$D:$D,$B728,
All_Stats!$B:$B,"&gt;="&amp;EOMONTH($A728,-1)+1,
All_Stats!$B:$B,"&lt;"&amp;EOMONTH($A728,0)+1,
All_Stats!$P:$P,"Email Marketing"
)</f>
        <v>463</v>
      </c>
      <c r="E728" s="113">
        <f>SUMIFS(All_Stats!$I:$I,
All_Stats!$D:$D,$B728,
All_Stats!$B:$B,"&gt;="&amp;EOMONTH($A728,-1)+1,
All_Stats!$B:$B,"&lt;"&amp;EOMONTH($A728,0)+1,
All_Stats!$P:$P,"Email Marketing"
)</f>
        <v>180</v>
      </c>
      <c r="F728" s="132">
        <f t="shared" si="220"/>
        <v>0.3887688985</v>
      </c>
      <c r="G728" s="131">
        <f>SUMIFS(All_Stats!$H:$H,
All_Stats!$D:$D,$B728,
All_Stats!$B:$B,"&gt;="&amp;EOMONTH($A728,-1)+1,
All_Stats!$B:$B,"&lt;"&amp;EOMONTH($A728,0)+1,
All_Stats!$P:$P,"Email Marketing"
)</f>
        <v>283</v>
      </c>
      <c r="H728" s="113">
        <f>SUMIFS(All_Stats!$K:$K,
All_Stats!$D:$D,$B728,
All_Stats!$B:$B,"&gt;="&amp;EOMONTH($A728,-1)+1,
All_Stats!$B:$B,"&lt;"&amp;EOMONTH($A728,0)+1,
All_Stats!$P:$P,"Email Marketing"
)</f>
        <v>0</v>
      </c>
      <c r="I728" s="133">
        <f>IFERROR(__xludf.DUMMYFUNCTION("COUNTUNIQUEIFS(All_Stats!A:A,
All_Stats!$D:$D,$B728,
All_Stats!$B:$B,""&gt;=""&amp;EOMONTH($A728,-1)+1,
All_Stats!$B:$B,""&lt;""&amp;EOMONTH($A728,0)+1,
All_Stats!$P:$P,""Email Marketing""
)"),6.0)</f>
        <v>6</v>
      </c>
    </row>
    <row r="729" hidden="1">
      <c r="A729" s="128">
        <v>45108.0</v>
      </c>
      <c r="B729" s="129" t="s">
        <v>313</v>
      </c>
      <c r="C729" s="142" t="s">
        <v>525</v>
      </c>
      <c r="D729" s="131">
        <f>SUMIFS(All_Stats!$G:$G,
All_Stats!$D:$D,$B729,
All_Stats!$B:$B,"&gt;="&amp;EOMONTH($A729,-1)+1,
All_Stats!$B:$B,"&lt;"&amp;EOMONTH($A729,0)+1,
All_Stats!$P:$P,"Email Marketing"
)</f>
        <v>225</v>
      </c>
      <c r="E729" s="113">
        <f>SUMIFS(All_Stats!$I:$I,
All_Stats!$D:$D,$B729,
All_Stats!$B:$B,"&gt;="&amp;EOMONTH($A729,-1)+1,
All_Stats!$B:$B,"&lt;"&amp;EOMONTH($A729,0)+1,
All_Stats!$P:$P,"Email Marketing"
)</f>
        <v>126</v>
      </c>
      <c r="F729" s="132">
        <f t="shared" si="220"/>
        <v>0.56</v>
      </c>
      <c r="G729" s="131">
        <f>SUMIFS(All_Stats!$H:$H,
All_Stats!$D:$D,$B729,
All_Stats!$B:$B,"&gt;="&amp;EOMONTH($A729,-1)+1,
All_Stats!$B:$B,"&lt;"&amp;EOMONTH($A729,0)+1,
All_Stats!$P:$P,"Email Marketing"
)</f>
        <v>99</v>
      </c>
      <c r="H729" s="113">
        <f>SUMIFS(All_Stats!$K:$K,
All_Stats!$D:$D,$B729,
All_Stats!$B:$B,"&gt;="&amp;EOMONTH($A729,-1)+1,
All_Stats!$B:$B,"&lt;"&amp;EOMONTH($A729,0)+1,
All_Stats!$P:$P,"Email Marketing"
)</f>
        <v>0</v>
      </c>
      <c r="I729" s="133">
        <f>IFERROR(__xludf.DUMMYFUNCTION("COUNTUNIQUEIFS(All_Stats!A:A,
All_Stats!$D:$D,$B729,
All_Stats!$B:$B,""&gt;=""&amp;EOMONTH($A729,-1)+1,
All_Stats!$B:$B,""&lt;""&amp;EOMONTH($A729,0)+1,
All_Stats!$P:$P,""Email Marketing""
)"),2.0)</f>
        <v>2</v>
      </c>
    </row>
    <row r="730" hidden="1">
      <c r="A730" s="128">
        <v>45108.0</v>
      </c>
      <c r="B730" s="129" t="s">
        <v>33</v>
      </c>
      <c r="C730" s="142" t="s">
        <v>492</v>
      </c>
      <c r="D730" s="131">
        <f>SUMIFS(All_Stats!$G:$G,
All_Stats!$D:$D,$B730,
All_Stats!$B:$B,"&gt;="&amp;EOMONTH($A730,-1)+1,
All_Stats!$B:$B,"&lt;"&amp;EOMONTH($A730,0)+1,
All_Stats!$P:$P,"Email Marketing"
)</f>
        <v>18</v>
      </c>
      <c r="E730" s="113">
        <f>SUMIFS(All_Stats!$I:$I,
All_Stats!$D:$D,$B730,
All_Stats!$B:$B,"&gt;="&amp;EOMONTH($A730,-1)+1,
All_Stats!$B:$B,"&lt;"&amp;EOMONTH($A730,0)+1,
All_Stats!$P:$P,"Email Marketing"
)</f>
        <v>9</v>
      </c>
      <c r="F730" s="132">
        <f t="shared" si="220"/>
        <v>0.5</v>
      </c>
      <c r="G730" s="131">
        <f>SUMIFS(All_Stats!$H:$H,
All_Stats!$D:$D,$B730,
All_Stats!$B:$B,"&gt;="&amp;EOMONTH($A730,-1)+1,
All_Stats!$B:$B,"&lt;"&amp;EOMONTH($A730,0)+1,
All_Stats!$P:$P,"Email Marketing"
)</f>
        <v>9</v>
      </c>
      <c r="H730" s="113">
        <f>SUMIFS(All_Stats!$K:$K,
All_Stats!$D:$D,$B730,
All_Stats!$B:$B,"&gt;="&amp;EOMONTH($A730,-1)+1,
All_Stats!$B:$B,"&lt;"&amp;EOMONTH($A730,0)+1,
All_Stats!$P:$P,"Email Marketing"
)</f>
        <v>0</v>
      </c>
      <c r="I730" s="133">
        <f>IFERROR(__xludf.DUMMYFUNCTION("COUNTUNIQUEIFS(All_Stats!A:A,
All_Stats!$D:$D,$B730,
All_Stats!$B:$B,""&gt;=""&amp;EOMONTH($A730,-1)+1,
All_Stats!$B:$B,""&lt;""&amp;EOMONTH($A730,0)+1,
All_Stats!$P:$P,""Email Marketing""
)"),3.0)</f>
        <v>3</v>
      </c>
    </row>
    <row r="731" hidden="1">
      <c r="A731" s="135"/>
      <c r="B731" s="135"/>
      <c r="C731" s="136" t="s">
        <v>23</v>
      </c>
      <c r="D731" s="137">
        <f t="shared" ref="D731:E731" si="221">SUM(D727:D730)</f>
        <v>1549</v>
      </c>
      <c r="E731" s="137">
        <f t="shared" si="221"/>
        <v>631</v>
      </c>
      <c r="F731" s="138">
        <f t="shared" si="220"/>
        <v>0.4073595868</v>
      </c>
      <c r="G731" s="137">
        <f t="shared" ref="G731:H731" si="222">SUM(G727:G730)</f>
        <v>918</v>
      </c>
      <c r="H731" s="137">
        <f t="shared" si="222"/>
        <v>0</v>
      </c>
      <c r="I731" s="139"/>
    </row>
    <row r="732" hidden="1">
      <c r="A732" s="131"/>
      <c r="B732" s="131"/>
      <c r="C732" s="131"/>
      <c r="D732" s="140"/>
      <c r="F732" s="131"/>
      <c r="G732" s="131"/>
    </row>
    <row r="733" hidden="1">
      <c r="A733" s="121" t="s">
        <v>1</v>
      </c>
      <c r="B733" s="122" t="s">
        <v>485</v>
      </c>
      <c r="C733" s="123" t="s">
        <v>486</v>
      </c>
      <c r="D733" s="124" t="s">
        <v>6</v>
      </c>
      <c r="E733" s="125" t="s">
        <v>8</v>
      </c>
      <c r="F733" s="124" t="s">
        <v>479</v>
      </c>
      <c r="G733" s="126" t="s">
        <v>7</v>
      </c>
      <c r="H733" s="125" t="s">
        <v>10</v>
      </c>
      <c r="I733" s="127" t="s">
        <v>487</v>
      </c>
    </row>
    <row r="734" hidden="1">
      <c r="A734" s="128">
        <v>45108.0</v>
      </c>
      <c r="B734" s="129" t="s">
        <v>19</v>
      </c>
      <c r="C734" s="141" t="s">
        <v>489</v>
      </c>
      <c r="D734" s="131">
        <f>SUMIFS(All_Stats!$G:$G,
All_Stats!$D:$D,$B734,
All_Stats!$B:$B,"&gt;="&amp;EOMONTH($A734,-1)+1,
All_Stats!$B:$B,"&lt;"&amp;EOMONTH($A734,0)+1,
All_Stats!$P:$P,"&lt;&gt;Email Marketing"
)</f>
        <v>1284</v>
      </c>
      <c r="E734" s="113">
        <f>SUMIFS(All_Stats!$I:$I,
All_Stats!$D:$D,$B734,
All_Stats!$B:$B,"&gt;="&amp;EOMONTH($A734,-1)+1,
All_Stats!$B:$B,"&lt;"&amp;EOMONTH($A734,0)+1,
All_Stats!$P:$P,"&lt;&gt;Email Marketing"
)</f>
        <v>417</v>
      </c>
      <c r="F734" s="132">
        <f t="shared" ref="F734:F742" si="223">iferror(E734/D734,"N/A")</f>
        <v>0.3247663551</v>
      </c>
      <c r="G734" s="131">
        <f>SUMIFS(All_Stats!$H:$H,
All_Stats!$D:$D,$B734,
All_Stats!$B:$B,"&gt;="&amp;EOMONTH($A734,-1)+1,
All_Stats!$B:$B,"&lt;"&amp;EOMONTH($A734,0)+1,
All_Stats!$P:$P,"&lt;&gt;Email Marketing"
)</f>
        <v>830</v>
      </c>
      <c r="H734" s="113">
        <f>SUMIFS(All_Stats!$K:$K,
All_Stats!$D:$D,$B734,
All_Stats!$B:$B,"&gt;="&amp;EOMONTH($A734,-1)+1,
All_Stats!$B:$B,"&lt;"&amp;EOMONTH($A734,0)+1,
All_Stats!$P:$P,"&lt;&gt;Email Marketing"
)</f>
        <v>0</v>
      </c>
      <c r="I734" s="133">
        <f>IFERROR(__xludf.DUMMYFUNCTION("COUNTUNIQUEIFS(All_Stats!A:A,
All_Stats!$D:$D,$B734,
All_Stats!$B:$B,""&gt;=""&amp;EOMONTH($A734,-1)+1,
All_Stats!$B:$B,""&lt;""&amp;EOMONTH($A734,0)+1,
All_Stats!$P:$P,""&lt;&gt;Email Marketing""
)"),52.0)</f>
        <v>52</v>
      </c>
    </row>
    <row r="735" hidden="1">
      <c r="A735" s="128">
        <v>45108.0</v>
      </c>
      <c r="B735" s="131" t="s">
        <v>157</v>
      </c>
      <c r="C735" s="134" t="str">
        <f>if(ifna(VLOOKUP(B735,'Vendor Directory'!A:C,3,0),"NOT FOUND")="","NOT FOUND",VLOOKUP(B735,'Vendor Directory'!A:C,3,0))</f>
        <v>#N/A</v>
      </c>
      <c r="D735" s="131">
        <f>SUMIFS(All_Stats!$G:$G,
All_Stats!$D:$D,$B735,
All_Stats!$B:$B,"&gt;="&amp;EOMONTH($A735,-1)+1,
All_Stats!$B:$B,"&lt;"&amp;EOMONTH($A735,0)+1,
All_Stats!$P:$P,"&lt;&gt;Email Marketing"
)</f>
        <v>1029</v>
      </c>
      <c r="E735" s="113">
        <f>SUMIFS(All_Stats!$I:$I,
All_Stats!$D:$D,$B735,
All_Stats!$B:$B,"&gt;="&amp;EOMONTH($A735,-1)+1,
All_Stats!$B:$B,"&lt;"&amp;EOMONTH($A735,0)+1,
All_Stats!$P:$P,"&lt;&gt;Email Marketing"
)</f>
        <v>478</v>
      </c>
      <c r="F735" s="132">
        <f t="shared" si="223"/>
        <v>0.4645286686</v>
      </c>
      <c r="G735" s="131">
        <f>SUMIFS(All_Stats!$H:$H,
All_Stats!$D:$D,$B735,
All_Stats!$B:$B,"&gt;="&amp;EOMONTH($A735,-1)+1,
All_Stats!$B:$B,"&lt;"&amp;EOMONTH($A735,0)+1,
All_Stats!$P:$P,"&lt;&gt;Email Marketing"
)</f>
        <v>547</v>
      </c>
      <c r="H735" s="113">
        <f>SUMIFS(All_Stats!$K:$K,
All_Stats!$D:$D,$B735,
All_Stats!$B:$B,"&gt;="&amp;EOMONTH($A735,-1)+1,
All_Stats!$B:$B,"&lt;"&amp;EOMONTH($A735,0)+1,
All_Stats!$P:$P,"&lt;&gt;Email Marketing"
)</f>
        <v>0</v>
      </c>
      <c r="I735" s="133">
        <f>IFERROR(__xludf.DUMMYFUNCTION("COUNTUNIQUEIFS(All_Stats!A:A,
All_Stats!$D:$D,$B735,
All_Stats!$B:$B,""&gt;=""&amp;EOMONTH($A735,-1)+1,
All_Stats!$B:$B,""&lt;""&amp;EOMONTH($A735,0)+1,
All_Stats!$P:$P,""&lt;&gt;Email Marketing""
)"),15.0)</f>
        <v>15</v>
      </c>
    </row>
    <row r="736" hidden="1">
      <c r="A736" s="128">
        <v>45108.0</v>
      </c>
      <c r="B736" s="131" t="s">
        <v>127</v>
      </c>
      <c r="C736" s="134" t="str">
        <f>if(ifna(VLOOKUP(B736,'Vendor Directory'!A:C,3,0),"NOT FOUND")="","NOT FOUND",VLOOKUP(B736,'Vendor Directory'!A:C,3,0))</f>
        <v>#N/A</v>
      </c>
      <c r="D736" s="131">
        <f>SUMIFS(All_Stats!$G:$G,
All_Stats!$D:$D,$B736,
All_Stats!$B:$B,"&gt;="&amp;EOMONTH($A736,-1)+1,
All_Stats!$B:$B,"&lt;"&amp;EOMONTH($A736,0)+1,
All_Stats!$P:$P,"&lt;&gt;Email Marketing"
)</f>
        <v>428</v>
      </c>
      <c r="E736" s="113">
        <f>SUMIFS(All_Stats!$I:$I,
All_Stats!$D:$D,$B736,
All_Stats!$B:$B,"&gt;="&amp;EOMONTH($A736,-1)+1,
All_Stats!$B:$B,"&lt;"&amp;EOMONTH($A736,0)+1,
All_Stats!$P:$P,"&lt;&gt;Email Marketing"
)</f>
        <v>110</v>
      </c>
      <c r="F736" s="132">
        <f t="shared" si="223"/>
        <v>0.2570093458</v>
      </c>
      <c r="G736" s="131">
        <f>SUMIFS(All_Stats!$H:$H,
All_Stats!$D:$D,$B736,
All_Stats!$B:$B,"&gt;="&amp;EOMONTH($A736,-1)+1,
All_Stats!$B:$B,"&lt;"&amp;EOMONTH($A736,0)+1,
All_Stats!$P:$P,"&lt;&gt;Email Marketing"
)</f>
        <v>316</v>
      </c>
      <c r="H736" s="113">
        <f>SUMIFS(All_Stats!$K:$K,
All_Stats!$D:$D,$B736,
All_Stats!$B:$B,"&gt;="&amp;EOMONTH($A736,-1)+1,
All_Stats!$B:$B,"&lt;"&amp;EOMONTH($A736,0)+1,
All_Stats!$P:$P,"&lt;&gt;Email Marketing"
)</f>
        <v>0</v>
      </c>
      <c r="I736" s="133">
        <f>IFERROR(__xludf.DUMMYFUNCTION("COUNTUNIQUEIFS(All_Stats!A:A,
All_Stats!$D:$D,$B736,
All_Stats!$B:$B,""&gt;=""&amp;EOMONTH($A736,-1)+1,
All_Stats!$B:$B,""&lt;""&amp;EOMONTH($A736,0)+1,
All_Stats!$P:$P,""&lt;&gt;Email Marketing""
)"),12.0)</f>
        <v>12</v>
      </c>
    </row>
    <row r="737" hidden="1">
      <c r="A737" s="128">
        <v>45108.0</v>
      </c>
      <c r="B737" s="131" t="s">
        <v>91</v>
      </c>
      <c r="C737" s="134" t="str">
        <f>if(ifna(VLOOKUP(B737,'Vendor Directory'!A:C,3,0),"NOT FOUND")="","NOT FOUND",VLOOKUP(B737,'Vendor Directory'!A:C,3,0))</f>
        <v>#N/A</v>
      </c>
      <c r="D737" s="131">
        <f>SUMIFS(All_Stats!$G:$G,
All_Stats!$D:$D,$B737,
All_Stats!$B:$B,"&gt;="&amp;EOMONTH($A737,-1)+1,
All_Stats!$B:$B,"&lt;"&amp;EOMONTH($A737,0)+1,
All_Stats!$P:$P,"&lt;&gt;Email Marketing"
)</f>
        <v>176</v>
      </c>
      <c r="E737" s="113">
        <f>SUMIFS(All_Stats!$I:$I,
All_Stats!$D:$D,$B737,
All_Stats!$B:$B,"&gt;="&amp;EOMONTH($A737,-1)+1,
All_Stats!$B:$B,"&lt;"&amp;EOMONTH($A737,0)+1,
All_Stats!$P:$P,"&lt;&gt;Email Marketing"
)</f>
        <v>46</v>
      </c>
      <c r="F737" s="132">
        <f t="shared" si="223"/>
        <v>0.2613636364</v>
      </c>
      <c r="G737" s="131">
        <f>SUMIFS(All_Stats!$H:$H,
All_Stats!$D:$D,$B737,
All_Stats!$B:$B,"&gt;="&amp;EOMONTH($A737,-1)+1,
All_Stats!$B:$B,"&lt;"&amp;EOMONTH($A737,0)+1,
All_Stats!$P:$P,"&lt;&gt;Email Marketing"
)</f>
        <v>125</v>
      </c>
      <c r="H737" s="113">
        <f>SUMIFS(All_Stats!$K:$K,
All_Stats!$D:$D,$B737,
All_Stats!$B:$B,"&gt;="&amp;EOMONTH($A737,-1)+1,
All_Stats!$B:$B,"&lt;"&amp;EOMONTH($A737,0)+1,
All_Stats!$P:$P,"&lt;&gt;Email Marketing"
)</f>
        <v>0</v>
      </c>
      <c r="I737" s="133">
        <f>IFERROR(__xludf.DUMMYFUNCTION("COUNTUNIQUEIFS(All_Stats!A:A,
All_Stats!$D:$D,$B737,
All_Stats!$B:$B,""&gt;=""&amp;EOMONTH($A737,-1)+1,
All_Stats!$B:$B,""&lt;""&amp;EOMONTH($A737,0)+1,
All_Stats!$P:$P,""&lt;&gt;Email Marketing""
)"),15.0)</f>
        <v>15</v>
      </c>
    </row>
    <row r="738" hidden="1">
      <c r="A738" s="128">
        <v>45108.0</v>
      </c>
      <c r="B738" s="129" t="s">
        <v>109</v>
      </c>
      <c r="C738" s="130" t="s">
        <v>490</v>
      </c>
      <c r="D738" s="131">
        <f>SUMIFS(All_Stats!$G:$G,
All_Stats!$D:$D,$B738,
All_Stats!$B:$B,"&gt;="&amp;EOMONTH($A738,-1)+1,
All_Stats!$B:$B,"&lt;"&amp;EOMONTH($A738,0)+1,
All_Stats!$P:$P,"&lt;&gt;Email Marketing"
)</f>
        <v>113</v>
      </c>
      <c r="E738" s="113">
        <f>SUMIFS(All_Stats!$I:$I,
All_Stats!$D:$D,$B738,
All_Stats!$B:$B,"&gt;="&amp;EOMONTH($A738,-1)+1,
All_Stats!$B:$B,"&lt;"&amp;EOMONTH($A738,0)+1,
All_Stats!$P:$P,"&lt;&gt;Email Marketing"
)</f>
        <v>60</v>
      </c>
      <c r="F738" s="132">
        <f t="shared" si="223"/>
        <v>0.5309734513</v>
      </c>
      <c r="G738" s="131">
        <f>SUMIFS(All_Stats!$H:$H,
All_Stats!$D:$D,$B738,
All_Stats!$B:$B,"&gt;="&amp;EOMONTH($A738,-1)+1,
All_Stats!$B:$B,"&lt;"&amp;EOMONTH($A738,0)+1,
All_Stats!$P:$P,"&lt;&gt;Email Marketing"
)</f>
        <v>53</v>
      </c>
      <c r="H738" s="113">
        <f>SUMIFS(All_Stats!$K:$K,
All_Stats!$D:$D,$B738,
All_Stats!$B:$B,"&gt;="&amp;EOMONTH($A738,-1)+1,
All_Stats!$B:$B,"&lt;"&amp;EOMONTH($A738,0)+1,
All_Stats!$P:$P,"&lt;&gt;Email Marketing"
)</f>
        <v>0</v>
      </c>
      <c r="I738" s="133">
        <f>IFERROR(__xludf.DUMMYFUNCTION("COUNTUNIQUEIFS(All_Stats!A:A,
All_Stats!$D:$D,$B738,
All_Stats!$B:$B,""&gt;=""&amp;EOMONTH($A738,-1)+1,
All_Stats!$B:$B,""&lt;""&amp;EOMONTH($A738,0)+1,
All_Stats!$P:$P,""&lt;&gt;Email Marketing""
)"),10.0)</f>
        <v>10</v>
      </c>
    </row>
    <row r="739" hidden="1">
      <c r="A739" s="128">
        <v>45108.0</v>
      </c>
      <c r="B739" s="131" t="s">
        <v>30</v>
      </c>
      <c r="C739" s="134" t="str">
        <f>if(ifna(VLOOKUP(B739,'Vendor Directory'!A:C,3,0),"NOT FOUND")="","NOT FOUND",VLOOKUP(B739,'Vendor Directory'!A:C,3,0))</f>
        <v>Vendor 2 Name</v>
      </c>
      <c r="D739" s="131">
        <f>SUMIFS(All_Stats!$G:$G,
All_Stats!$D:$D,$B739,
All_Stats!$B:$B,"&gt;="&amp;EOMONTH($A739,-1)+1,
All_Stats!$B:$B,"&lt;"&amp;EOMONTH($A739,0)+1,
All_Stats!$P:$P,"&lt;&gt;Email Marketing"
)</f>
        <v>136</v>
      </c>
      <c r="E739" s="113">
        <f>SUMIFS(All_Stats!$I:$I,
All_Stats!$D:$D,$B739,
All_Stats!$B:$B,"&gt;="&amp;EOMONTH($A739,-1)+1,
All_Stats!$B:$B,"&lt;"&amp;EOMONTH($A739,0)+1,
All_Stats!$P:$P,"&lt;&gt;Email Marketing"
)</f>
        <v>58</v>
      </c>
      <c r="F739" s="132">
        <f t="shared" si="223"/>
        <v>0.4264705882</v>
      </c>
      <c r="G739" s="131">
        <f>SUMIFS(All_Stats!$H:$H,
All_Stats!$D:$D,$B739,
All_Stats!$B:$B,"&gt;="&amp;EOMONTH($A739,-1)+1,
All_Stats!$B:$B,"&lt;"&amp;EOMONTH($A739,0)+1,
All_Stats!$P:$P,"&lt;&gt;Email Marketing"
)</f>
        <v>74</v>
      </c>
      <c r="H739" s="113">
        <f>SUMIFS(All_Stats!$K:$K,
All_Stats!$D:$D,$B739,
All_Stats!$B:$B,"&gt;="&amp;EOMONTH($A739,-1)+1,
All_Stats!$B:$B,"&lt;"&amp;EOMONTH($A739,0)+1,
All_Stats!$P:$P,"&lt;&gt;Email Marketing"
)</f>
        <v>0</v>
      </c>
      <c r="I739" s="133">
        <f>IFERROR(__xludf.DUMMYFUNCTION("COUNTUNIQUEIFS(All_Stats!A:A,
All_Stats!$D:$D,$B739,
All_Stats!$B:$B,""&gt;=""&amp;EOMONTH($A739,-1)+1,
All_Stats!$B:$B,""&lt;""&amp;EOMONTH($A739,0)+1,
All_Stats!$P:$P,""&lt;&gt;Email Marketing""
)"),4.0)</f>
        <v>4</v>
      </c>
    </row>
    <row r="740" hidden="1">
      <c r="A740" s="128">
        <v>45108.0</v>
      </c>
      <c r="B740" s="129" t="s">
        <v>33</v>
      </c>
      <c r="C740" s="142" t="s">
        <v>492</v>
      </c>
      <c r="D740" s="131">
        <f>SUMIFS(All_Stats!$G:$G,
All_Stats!$D:$D,$B740,
All_Stats!$B:$B,"&gt;="&amp;EOMONTH($A740,-1)+1,
All_Stats!$B:$B,"&lt;"&amp;EOMONTH($A740,0)+1,
All_Stats!$P:$P,"&lt;&gt;Email Marketing"
)</f>
        <v>57</v>
      </c>
      <c r="E740" s="113">
        <f>SUMIFS(All_Stats!$I:$I,
All_Stats!$D:$D,$B740,
All_Stats!$B:$B,"&gt;="&amp;EOMONTH($A740,-1)+1,
All_Stats!$B:$B,"&lt;"&amp;EOMONTH($A740,0)+1,
All_Stats!$P:$P,"&lt;&gt;Email Marketing"
)</f>
        <v>20</v>
      </c>
      <c r="F740" s="132">
        <f t="shared" si="223"/>
        <v>0.350877193</v>
      </c>
      <c r="G740" s="131">
        <f>SUMIFS(All_Stats!$H:$H,
All_Stats!$D:$D,$B740,
All_Stats!$B:$B,"&gt;="&amp;EOMONTH($A740,-1)+1,
All_Stats!$B:$B,"&lt;"&amp;EOMONTH($A740,0)+1,
All_Stats!$P:$P,"&lt;&gt;Email Marketing"
)</f>
        <v>27</v>
      </c>
      <c r="H740" s="113">
        <f>SUMIFS(All_Stats!$K:$K,
All_Stats!$D:$D,$B740,
All_Stats!$B:$B,"&gt;="&amp;EOMONTH($A740,-1)+1,
All_Stats!$B:$B,"&lt;"&amp;EOMONTH($A740,0)+1,
All_Stats!$P:$P,"&lt;&gt;Email Marketing"
)</f>
        <v>0</v>
      </c>
      <c r="I740" s="133">
        <f>IFERROR(__xludf.DUMMYFUNCTION("COUNTUNIQUEIFS(All_Stats!A:A,
All_Stats!$D:$D,$B740,
All_Stats!$B:$B,""&gt;=""&amp;EOMONTH($A740,-1)+1,
All_Stats!$B:$B,""&lt;""&amp;EOMONTH($A740,0)+1,
All_Stats!$P:$P,""&lt;&gt;Email Marketing""
)"),4.0)</f>
        <v>4</v>
      </c>
    </row>
    <row r="741" hidden="1">
      <c r="A741" s="128">
        <v>45108.0</v>
      </c>
      <c r="B741" s="129" t="s">
        <v>79</v>
      </c>
      <c r="C741" s="130" t="s">
        <v>488</v>
      </c>
      <c r="D741" s="131">
        <f>SUMIFS(All_Stats!$G:$G,
All_Stats!$D:$D,$B741,
All_Stats!$B:$B,"&gt;="&amp;EOMONTH($A741,-1)+1,
All_Stats!$B:$B,"&lt;"&amp;EOMONTH($A741,0)+1,
All_Stats!$P:$P,"&lt;&gt;Email Marketing"
)</f>
        <v>17</v>
      </c>
      <c r="E741" s="113">
        <f>SUMIFS(All_Stats!$I:$I,
All_Stats!$D:$D,$B741,
All_Stats!$B:$B,"&gt;="&amp;EOMONTH($A741,-1)+1,
All_Stats!$B:$B,"&lt;"&amp;EOMONTH($A741,0)+1,
All_Stats!$P:$P,"&lt;&gt;Email Marketing"
)</f>
        <v>11</v>
      </c>
      <c r="F741" s="132">
        <f t="shared" si="223"/>
        <v>0.6470588235</v>
      </c>
      <c r="G741" s="131">
        <f>SUMIFS(All_Stats!$H:$H,
All_Stats!$D:$D,$B741,
All_Stats!$B:$B,"&gt;="&amp;EOMONTH($A741,-1)+1,
All_Stats!$B:$B,"&lt;"&amp;EOMONTH($A741,0)+1,
All_Stats!$P:$P,"&lt;&gt;Email Marketing"
)</f>
        <v>6</v>
      </c>
      <c r="H741" s="113">
        <f>SUMIFS(All_Stats!$K:$K,
All_Stats!$D:$D,$B741,
All_Stats!$B:$B,"&gt;="&amp;EOMONTH($A741,-1)+1,
All_Stats!$B:$B,"&lt;"&amp;EOMONTH($A741,0)+1,
All_Stats!$P:$P,"&lt;&gt;Email Marketing"
)</f>
        <v>0</v>
      </c>
      <c r="I741" s="133">
        <f>IFERROR(__xludf.DUMMYFUNCTION("COUNTUNIQUEIFS(All_Stats!A:A,
All_Stats!$D:$D,$B741,
All_Stats!$B:$B,""&gt;=""&amp;EOMONTH($A741,-1)+1,
All_Stats!$B:$B,""&lt;""&amp;EOMONTH($A741,0)+1,
All_Stats!$P:$P,""&lt;&gt;Email Marketing""
)"),2.0)</f>
        <v>2</v>
      </c>
    </row>
    <row r="742" hidden="1">
      <c r="A742" s="135"/>
      <c r="B742" s="135"/>
      <c r="C742" s="136" t="s">
        <v>23</v>
      </c>
      <c r="D742" s="137">
        <f t="shared" ref="D742:E742" si="224">SUM(D734:D741)</f>
        <v>3240</v>
      </c>
      <c r="E742" s="137">
        <f t="shared" si="224"/>
        <v>1200</v>
      </c>
      <c r="F742" s="138">
        <f t="shared" si="223"/>
        <v>0.3703703704</v>
      </c>
      <c r="G742" s="137">
        <f t="shared" ref="G742:H742" si="225">SUM(G734:G741)</f>
        <v>1978</v>
      </c>
      <c r="H742" s="137">
        <f t="shared" si="225"/>
        <v>0</v>
      </c>
      <c r="I742" s="139"/>
    </row>
    <row r="743" hidden="1">
      <c r="A743" s="114"/>
      <c r="B743" s="114"/>
      <c r="C743" s="115"/>
      <c r="D743" s="116"/>
      <c r="E743" s="116"/>
      <c r="F743" s="117"/>
      <c r="G743" s="116"/>
      <c r="H743" s="116"/>
      <c r="I743" s="116"/>
    </row>
    <row r="744" hidden="1">
      <c r="A744" s="114"/>
      <c r="B744" s="114"/>
      <c r="C744" s="115"/>
      <c r="D744" s="116">
        <f t="shared" ref="D744:E744" si="226">sum(D731+D742)</f>
        <v>4789</v>
      </c>
      <c r="E744" s="116">
        <f t="shared" si="226"/>
        <v>1831</v>
      </c>
      <c r="F744" s="117"/>
      <c r="G744" s="116">
        <f t="shared" ref="G744:H744" si="227">sum(G731+G742)</f>
        <v>2896</v>
      </c>
      <c r="H744" s="116">
        <f t="shared" si="227"/>
        <v>0</v>
      </c>
      <c r="I744" s="116"/>
    </row>
    <row r="745" hidden="1">
      <c r="A745" s="114"/>
      <c r="B745" s="114"/>
      <c r="C745" s="115"/>
      <c r="D745" s="116"/>
      <c r="E745" s="116"/>
      <c r="F745" s="117"/>
      <c r="G745" s="116"/>
      <c r="H745" s="116"/>
      <c r="I745" s="116"/>
    </row>
    <row r="746" hidden="1">
      <c r="C746" s="118" t="s">
        <v>484</v>
      </c>
      <c r="D746" s="119"/>
      <c r="E746" s="119"/>
      <c r="F746" s="119"/>
      <c r="G746" s="119"/>
      <c r="H746" s="119"/>
      <c r="I746" s="120"/>
    </row>
    <row r="747" hidden="1">
      <c r="A747" s="121" t="s">
        <v>1</v>
      </c>
      <c r="B747" s="122" t="s">
        <v>485</v>
      </c>
      <c r="C747" s="123" t="s">
        <v>486</v>
      </c>
      <c r="D747" s="124" t="s">
        <v>6</v>
      </c>
      <c r="E747" s="125" t="s">
        <v>8</v>
      </c>
      <c r="F747" s="124" t="s">
        <v>479</v>
      </c>
      <c r="G747" s="126" t="s">
        <v>7</v>
      </c>
      <c r="H747" s="125" t="s">
        <v>10</v>
      </c>
      <c r="I747" s="127" t="s">
        <v>487</v>
      </c>
    </row>
    <row r="748" hidden="1">
      <c r="A748" s="128">
        <v>45139.0</v>
      </c>
      <c r="B748" s="129" t="s">
        <v>79</v>
      </c>
      <c r="C748" s="130" t="s">
        <v>488</v>
      </c>
      <c r="D748" s="131">
        <f>SUMIFS(All_Stats!$G:$G,
All_Stats!$D:$D,$B748,
All_Stats!$B:$B,"&gt;="&amp;EOMONTH($A748,-1)+1,
All_Stats!$B:$B,"&lt;"&amp;EOMONTH($A748,0)+1,
All_Stats!$P:$P,"Email Marketing"
)</f>
        <v>2285</v>
      </c>
      <c r="E748" s="113">
        <f>SUMIFS(All_Stats!$I:$I,
All_Stats!$D:$D,$B748,
All_Stats!$B:$B,"&gt;="&amp;EOMONTH($A748,-1)+1,
All_Stats!$B:$B,"&lt;"&amp;EOMONTH($A748,0)+1,
All_Stats!$P:$P,"Email Marketing"
)</f>
        <v>1414</v>
      </c>
      <c r="F748" s="132">
        <f t="shared" ref="F748:F751" si="228">iferror(E748/D748,"N/A")</f>
        <v>0.6188183807</v>
      </c>
      <c r="G748" s="131">
        <f>SUMIFS(All_Stats!$H:$H,
All_Stats!$D:$D,$B748,
All_Stats!$B:$B,"&gt;="&amp;EOMONTH($A748,-1)+1,
All_Stats!$B:$B,"&lt;"&amp;EOMONTH($A748,0)+1,
All_Stats!$P:$P,"Email Marketing"
)</f>
        <v>871</v>
      </c>
      <c r="H748" s="113">
        <f>SUMIFS(All_Stats!$K:$K,
All_Stats!$D:$D,$B748,
All_Stats!$B:$B,"&gt;="&amp;EOMONTH($A748,-1)+1,
All_Stats!$B:$B,"&lt;"&amp;EOMONTH($A748,0)+1,
All_Stats!$P:$P,"Email Marketing"
)</f>
        <v>0</v>
      </c>
      <c r="I748" s="133">
        <f>IFERROR(__xludf.DUMMYFUNCTION("COUNTUNIQUEIFS(All_Stats!A:A,
All_Stats!$D:$D,$B748,
All_Stats!$B:$B,""&gt;=""&amp;EOMONTH($A748,-1)+1,
All_Stats!$B:$B,""&lt;""&amp;EOMONTH($A748,0)+1,
All_Stats!$P:$P,""Email Marketing""
)"),13.0)</f>
        <v>13</v>
      </c>
    </row>
    <row r="749" hidden="1">
      <c r="A749" s="128">
        <v>45139.0</v>
      </c>
      <c r="B749" s="131" t="s">
        <v>164</v>
      </c>
      <c r="C749" s="134" t="str">
        <f>if(ifna(VLOOKUP(B749,'Vendor Directory'!A:C,3,0),"NOT FOUND")="","NOT FOUND",VLOOKUP(B749,'Vendor Directory'!A:C,3,0))</f>
        <v>#N/A</v>
      </c>
      <c r="D749" s="131">
        <f>SUMIFS(All_Stats!$G:$G,
All_Stats!$D:$D,$B749,
All_Stats!$B:$B,"&gt;="&amp;EOMONTH($A749,-1)+1,
All_Stats!$B:$B,"&lt;"&amp;EOMONTH($A749,0)+1,
All_Stats!$P:$P,"Email Marketing"
)</f>
        <v>922</v>
      </c>
      <c r="E749" s="113">
        <f>SUMIFS(All_Stats!$I:$I,
All_Stats!$D:$D,$B749,
All_Stats!$B:$B,"&gt;="&amp;EOMONTH($A749,-1)+1,
All_Stats!$B:$B,"&lt;"&amp;EOMONTH($A749,0)+1,
All_Stats!$P:$P,"Email Marketing"
)</f>
        <v>596</v>
      </c>
      <c r="F749" s="132">
        <f t="shared" si="228"/>
        <v>0.6464208243</v>
      </c>
      <c r="G749" s="131">
        <f>SUMIFS(All_Stats!$H:$H,
All_Stats!$D:$D,$B749,
All_Stats!$B:$B,"&gt;="&amp;EOMONTH($A749,-1)+1,
All_Stats!$B:$B,"&lt;"&amp;EOMONTH($A749,0)+1,
All_Stats!$P:$P,"Email Marketing"
)</f>
        <v>326</v>
      </c>
      <c r="H749" s="113">
        <f>SUMIFS(All_Stats!$K:$K,
All_Stats!$D:$D,$B749,
All_Stats!$B:$B,"&gt;="&amp;EOMONTH($A749,-1)+1,
All_Stats!$B:$B,"&lt;"&amp;EOMONTH($A749,0)+1,
All_Stats!$P:$P,"Email Marketing"
)</f>
        <v>0</v>
      </c>
      <c r="I749" s="133">
        <f>IFERROR(__xludf.DUMMYFUNCTION("COUNTUNIQUEIFS(All_Stats!A:A,
All_Stats!$D:$D,$B749,
All_Stats!$B:$B,""&gt;=""&amp;EOMONTH($A749,-1)+1,
All_Stats!$B:$B,""&lt;""&amp;EOMONTH($A749,0)+1,
All_Stats!$P:$P,""Email Marketing""
)"),26.0)</f>
        <v>26</v>
      </c>
    </row>
    <row r="750" hidden="1">
      <c r="A750" s="128">
        <v>45139.0</v>
      </c>
      <c r="B750" s="129" t="s">
        <v>313</v>
      </c>
      <c r="C750" s="142" t="s">
        <v>525</v>
      </c>
      <c r="D750" s="131">
        <f>SUMIFS(All_Stats!$G:$G,
All_Stats!$D:$D,$B750,
All_Stats!$B:$B,"&gt;="&amp;EOMONTH($A750,-1)+1,
All_Stats!$B:$B,"&lt;"&amp;EOMONTH($A750,0)+1,
All_Stats!$P:$P,"Email Marketing"
)</f>
        <v>103</v>
      </c>
      <c r="E750" s="113">
        <f>SUMIFS(All_Stats!$I:$I,
All_Stats!$D:$D,$B750,
All_Stats!$B:$B,"&gt;="&amp;EOMONTH($A750,-1)+1,
All_Stats!$B:$B,"&lt;"&amp;EOMONTH($A750,0)+1,
All_Stats!$P:$P,"Email Marketing"
)</f>
        <v>45</v>
      </c>
      <c r="F750" s="132">
        <f t="shared" si="228"/>
        <v>0.4368932039</v>
      </c>
      <c r="G750" s="131">
        <f>SUMIFS(All_Stats!$H:$H,
All_Stats!$D:$D,$B750,
All_Stats!$B:$B,"&gt;="&amp;EOMONTH($A750,-1)+1,
All_Stats!$B:$B,"&lt;"&amp;EOMONTH($A750,0)+1,
All_Stats!$P:$P,"Email Marketing"
)</f>
        <v>58</v>
      </c>
      <c r="H750" s="113">
        <f>SUMIFS(All_Stats!$K:$K,
All_Stats!$D:$D,$B750,
All_Stats!$B:$B,"&gt;="&amp;EOMONTH($A750,-1)+1,
All_Stats!$B:$B,"&lt;"&amp;EOMONTH($A750,0)+1,
All_Stats!$P:$P,"Email Marketing"
)</f>
        <v>0</v>
      </c>
      <c r="I750" s="133">
        <f>IFERROR(__xludf.DUMMYFUNCTION("COUNTUNIQUEIFS(All_Stats!A:A,
All_Stats!$D:$D,$B750,
All_Stats!$B:$B,""&gt;=""&amp;EOMONTH($A750,-1)+1,
All_Stats!$B:$B,""&lt;""&amp;EOMONTH($A750,0)+1,
All_Stats!$P:$P,""Email Marketing""
)"),2.0)</f>
        <v>2</v>
      </c>
    </row>
    <row r="751" hidden="1">
      <c r="A751" s="135"/>
      <c r="B751" s="135"/>
      <c r="C751" s="136" t="s">
        <v>23</v>
      </c>
      <c r="D751" s="137">
        <f t="shared" ref="D751:E751" si="229">SUM(D748:D750)</f>
        <v>3310</v>
      </c>
      <c r="E751" s="137">
        <f t="shared" si="229"/>
        <v>2055</v>
      </c>
      <c r="F751" s="138">
        <f t="shared" si="228"/>
        <v>0.6208459215</v>
      </c>
      <c r="G751" s="137">
        <f t="shared" ref="G751:H751" si="230">SUM(G748:G750)</f>
        <v>1255</v>
      </c>
      <c r="H751" s="137">
        <f t="shared" si="230"/>
        <v>0</v>
      </c>
      <c r="I751" s="139"/>
    </row>
    <row r="752" hidden="1">
      <c r="A752" s="131"/>
      <c r="B752" s="131"/>
      <c r="C752" s="129"/>
      <c r="D752" s="140"/>
      <c r="F752" s="131"/>
      <c r="G752" s="131"/>
    </row>
    <row r="753" hidden="1">
      <c r="A753" s="121" t="s">
        <v>1</v>
      </c>
      <c r="B753" s="122" t="s">
        <v>485</v>
      </c>
      <c r="C753" s="123" t="s">
        <v>486</v>
      </c>
      <c r="D753" s="124" t="s">
        <v>6</v>
      </c>
      <c r="E753" s="125" t="s">
        <v>8</v>
      </c>
      <c r="F753" s="124" t="s">
        <v>479</v>
      </c>
      <c r="G753" s="126" t="s">
        <v>7</v>
      </c>
      <c r="H753" s="125" t="s">
        <v>10</v>
      </c>
      <c r="I753" s="127" t="s">
        <v>487</v>
      </c>
    </row>
    <row r="754" hidden="1">
      <c r="A754" s="128">
        <v>45139.0</v>
      </c>
      <c r="B754" s="131" t="s">
        <v>127</v>
      </c>
      <c r="C754" s="134" t="str">
        <f>if(ifna(VLOOKUP(B754,'Vendor Directory'!A:C,3,0),"NOT FOUND")="","NOT FOUND",VLOOKUP(B754,'Vendor Directory'!A:C,3,0))</f>
        <v>#N/A</v>
      </c>
      <c r="D754" s="131">
        <f>SUMIFS(All_Stats!$G:$G,
All_Stats!$D:$D,$B754,
All_Stats!$B:$B,"&gt;="&amp;EOMONTH($A754,-1)+1,
All_Stats!$B:$B,"&lt;"&amp;EOMONTH($A754,0)+1,
All_Stats!$P:$P,"&lt;&gt;Email Marketing"
)</f>
        <v>1446</v>
      </c>
      <c r="E754" s="113">
        <f>SUMIFS(All_Stats!$I:$I,
All_Stats!$D:$D,$B754,
All_Stats!$B:$B,"&gt;="&amp;EOMONTH($A754,-1)+1,
All_Stats!$B:$B,"&lt;"&amp;EOMONTH($A754,0)+1,
All_Stats!$P:$P,"&lt;&gt;Email Marketing"
)</f>
        <v>556</v>
      </c>
      <c r="F754" s="132">
        <f t="shared" ref="F754:F763" si="231">iferror(E754/D754,"N/A")</f>
        <v>0.3845089903</v>
      </c>
      <c r="G754" s="131">
        <f>SUMIFS(All_Stats!$H:$H,
All_Stats!$D:$D,$B754,
All_Stats!$B:$B,"&gt;="&amp;EOMONTH($A754,-1)+1,
All_Stats!$B:$B,"&lt;"&amp;EOMONTH($A754,0)+1,
All_Stats!$P:$P,"&lt;&gt;Email Marketing"
)</f>
        <v>801</v>
      </c>
      <c r="H754" s="113">
        <f>SUMIFS(All_Stats!$K:$K,
All_Stats!$D:$D,$B754,
All_Stats!$B:$B,"&gt;="&amp;EOMONTH($A754,-1)+1,
All_Stats!$B:$B,"&lt;"&amp;EOMONTH($A754,0)+1,
All_Stats!$P:$P,"&lt;&gt;Email Marketing"
)</f>
        <v>0</v>
      </c>
      <c r="I754" s="133">
        <f>IFERROR(__xludf.DUMMYFUNCTION("COUNTUNIQUEIFS(All_Stats!A:A,
All_Stats!$D:$D,$B754,
All_Stats!$B:$B,""&gt;=""&amp;EOMONTH($A754,-1)+1,
All_Stats!$B:$B,""&lt;""&amp;EOMONTH($A754,0)+1,
All_Stats!$P:$P,""&lt;&gt;Email Marketing""
)"),23.0)</f>
        <v>23</v>
      </c>
    </row>
    <row r="755" hidden="1">
      <c r="A755" s="128">
        <v>45139.0</v>
      </c>
      <c r="B755" s="129" t="s">
        <v>19</v>
      </c>
      <c r="C755" s="141" t="s">
        <v>489</v>
      </c>
      <c r="D755" s="131">
        <f>SUMIFS(All_Stats!$G:$G,
All_Stats!$D:$D,$B755,
All_Stats!$B:$B,"&gt;="&amp;EOMONTH($A755,-1)+1,
All_Stats!$B:$B,"&lt;"&amp;EOMONTH($A755,0)+1,
All_Stats!$P:$P,"&lt;&gt;Email Marketing"
)</f>
        <v>1326</v>
      </c>
      <c r="E755" s="113">
        <f>SUMIFS(All_Stats!$I:$I,
All_Stats!$D:$D,$B755,
All_Stats!$B:$B,"&gt;="&amp;EOMONTH($A755,-1)+1,
All_Stats!$B:$B,"&lt;"&amp;EOMONTH($A755,0)+1,
All_Stats!$P:$P,"&lt;&gt;Email Marketing"
)</f>
        <v>383</v>
      </c>
      <c r="F755" s="132">
        <f t="shared" si="231"/>
        <v>0.2888386124</v>
      </c>
      <c r="G755" s="131">
        <f>SUMIFS(All_Stats!$H:$H,
All_Stats!$D:$D,$B755,
All_Stats!$B:$B,"&gt;="&amp;EOMONTH($A755,-1)+1,
All_Stats!$B:$B,"&lt;"&amp;EOMONTH($A755,0)+1,
All_Stats!$P:$P,"&lt;&gt;Email Marketing"
)</f>
        <v>912</v>
      </c>
      <c r="H755" s="113">
        <f>SUMIFS(All_Stats!$K:$K,
All_Stats!$D:$D,$B755,
All_Stats!$B:$B,"&gt;="&amp;EOMONTH($A755,-1)+1,
All_Stats!$B:$B,"&lt;"&amp;EOMONTH($A755,0)+1,
All_Stats!$P:$P,"&lt;&gt;Email Marketing"
)</f>
        <v>0</v>
      </c>
      <c r="I755" s="133">
        <f>IFERROR(__xludf.DUMMYFUNCTION("COUNTUNIQUEIFS(All_Stats!A:A,
All_Stats!$D:$D,$B755,
All_Stats!$B:$B,""&gt;=""&amp;EOMONTH($A755,-1)+1,
All_Stats!$B:$B,""&lt;""&amp;EOMONTH($A755,0)+1,
All_Stats!$P:$P,""&lt;&gt;Email Marketing""
)"),70.0)</f>
        <v>70</v>
      </c>
    </row>
    <row r="756" hidden="1">
      <c r="A756" s="128">
        <v>45139.0</v>
      </c>
      <c r="B756" s="131" t="s">
        <v>157</v>
      </c>
      <c r="C756" s="134" t="str">
        <f>if(ifna(VLOOKUP(B756,'Vendor Directory'!A:C,3,0),"NOT FOUND")="","NOT FOUND",VLOOKUP(B756,'Vendor Directory'!A:C,3,0))</f>
        <v>#N/A</v>
      </c>
      <c r="D756" s="131">
        <f>SUMIFS(All_Stats!$G:$G,
All_Stats!$D:$D,$B756,
All_Stats!$B:$B,"&gt;="&amp;EOMONTH($A756,-1)+1,
All_Stats!$B:$B,"&lt;"&amp;EOMONTH($A756,0)+1,
All_Stats!$P:$P,"&lt;&gt;Email Marketing"
)</f>
        <v>556</v>
      </c>
      <c r="E756" s="113">
        <f>SUMIFS(All_Stats!$I:$I,
All_Stats!$D:$D,$B756,
All_Stats!$B:$B,"&gt;="&amp;EOMONTH($A756,-1)+1,
All_Stats!$B:$B,"&lt;"&amp;EOMONTH($A756,0)+1,
All_Stats!$P:$P,"&lt;&gt;Email Marketing"
)</f>
        <v>224</v>
      </c>
      <c r="F756" s="132">
        <f t="shared" si="231"/>
        <v>0.4028776978</v>
      </c>
      <c r="G756" s="131">
        <f>SUMIFS(All_Stats!$H:$H,
All_Stats!$D:$D,$B756,
All_Stats!$B:$B,"&gt;="&amp;EOMONTH($A756,-1)+1,
All_Stats!$B:$B,"&lt;"&amp;EOMONTH($A756,0)+1,
All_Stats!$P:$P,"&lt;&gt;Email Marketing"
)</f>
        <v>329</v>
      </c>
      <c r="H756" s="113">
        <f>SUMIFS(All_Stats!$K:$K,
All_Stats!$D:$D,$B756,
All_Stats!$B:$B,"&gt;="&amp;EOMONTH($A756,-1)+1,
All_Stats!$B:$B,"&lt;"&amp;EOMONTH($A756,0)+1,
All_Stats!$P:$P,"&lt;&gt;Email Marketing"
)</f>
        <v>0</v>
      </c>
      <c r="I756" s="133">
        <f>IFERROR(__xludf.DUMMYFUNCTION("COUNTUNIQUEIFS(All_Stats!A:A,
All_Stats!$D:$D,$B756,
All_Stats!$B:$B,""&gt;=""&amp;EOMONTH($A756,-1)+1,
All_Stats!$B:$B,""&lt;""&amp;EOMONTH($A756,0)+1,
All_Stats!$P:$P,""&lt;&gt;Email Marketing""
)"),8.0)</f>
        <v>8</v>
      </c>
    </row>
    <row r="757" hidden="1">
      <c r="A757" s="128">
        <v>45139.0</v>
      </c>
      <c r="B757" s="131" t="s">
        <v>91</v>
      </c>
      <c r="C757" s="134" t="str">
        <f>if(ifna(VLOOKUP(B757,'Vendor Directory'!A:C,3,0),"NOT FOUND")="","NOT FOUND",VLOOKUP(B757,'Vendor Directory'!A:C,3,0))</f>
        <v>#N/A</v>
      </c>
      <c r="D757" s="131">
        <f>SUMIFS(All_Stats!$G:$G,
All_Stats!$D:$D,$B757,
All_Stats!$B:$B,"&gt;="&amp;EOMONTH($A757,-1)+1,
All_Stats!$B:$B,"&lt;"&amp;EOMONTH($A757,0)+1,
All_Stats!$P:$P,"&lt;&gt;Email Marketing"
)</f>
        <v>378</v>
      </c>
      <c r="E757" s="113">
        <f>SUMIFS(All_Stats!$I:$I,
All_Stats!$D:$D,$B757,
All_Stats!$B:$B,"&gt;="&amp;EOMONTH($A757,-1)+1,
All_Stats!$B:$B,"&lt;"&amp;EOMONTH($A757,0)+1,
All_Stats!$P:$P,"&lt;&gt;Email Marketing"
)</f>
        <v>84</v>
      </c>
      <c r="F757" s="132">
        <f t="shared" si="231"/>
        <v>0.2222222222</v>
      </c>
      <c r="G757" s="131">
        <f>SUMIFS(All_Stats!$H:$H,
All_Stats!$D:$D,$B757,
All_Stats!$B:$B,"&gt;="&amp;EOMONTH($A757,-1)+1,
All_Stats!$B:$B,"&lt;"&amp;EOMONTH($A757,0)+1,
All_Stats!$P:$P,"&lt;&gt;Email Marketing"
)</f>
        <v>289</v>
      </c>
      <c r="H757" s="113">
        <f>SUMIFS(All_Stats!$K:$K,
All_Stats!$D:$D,$B757,
All_Stats!$B:$B,"&gt;="&amp;EOMONTH($A757,-1)+1,
All_Stats!$B:$B,"&lt;"&amp;EOMONTH($A757,0)+1,
All_Stats!$P:$P,"&lt;&gt;Email Marketing"
)</f>
        <v>0</v>
      </c>
      <c r="I757" s="133">
        <f>IFERROR(__xludf.DUMMYFUNCTION("COUNTUNIQUEIFS(All_Stats!A:A,
All_Stats!$D:$D,$B757,
All_Stats!$B:$B,""&gt;=""&amp;EOMONTH($A757,-1)+1,
All_Stats!$B:$B,""&lt;""&amp;EOMONTH($A757,0)+1,
All_Stats!$P:$P,""&lt;&gt;Email Marketing""
)"),24.0)</f>
        <v>24</v>
      </c>
    </row>
    <row r="758" hidden="1">
      <c r="A758" s="128">
        <v>45139.0</v>
      </c>
      <c r="B758" s="131" t="s">
        <v>30</v>
      </c>
      <c r="C758" s="134" t="str">
        <f>if(ifna(VLOOKUP(B758,'Vendor Directory'!A:C,3,0),"NOT FOUND")="","NOT FOUND",VLOOKUP(B758,'Vendor Directory'!A:C,3,0))</f>
        <v>Vendor 2 Name</v>
      </c>
      <c r="D758" s="131">
        <f>SUMIFS(All_Stats!$G:$G,
All_Stats!$D:$D,$B758,
All_Stats!$B:$B,"&gt;="&amp;EOMONTH($A758,-1)+1,
All_Stats!$B:$B,"&lt;"&amp;EOMONTH($A758,0)+1,
All_Stats!$P:$P,"&lt;&gt;Email Marketing"
)</f>
        <v>326</v>
      </c>
      <c r="E758" s="113">
        <f>SUMIFS(All_Stats!$I:$I,
All_Stats!$D:$D,$B758,
All_Stats!$B:$B,"&gt;="&amp;EOMONTH($A758,-1)+1,
All_Stats!$B:$B,"&lt;"&amp;EOMONTH($A758,0)+1,
All_Stats!$P:$P,"&lt;&gt;Email Marketing"
)</f>
        <v>98</v>
      </c>
      <c r="F758" s="132">
        <f t="shared" si="231"/>
        <v>0.3006134969</v>
      </c>
      <c r="G758" s="131">
        <f>SUMIFS(All_Stats!$H:$H,
All_Stats!$D:$D,$B758,
All_Stats!$B:$B,"&gt;="&amp;EOMONTH($A758,-1)+1,
All_Stats!$B:$B,"&lt;"&amp;EOMONTH($A758,0)+1,
All_Stats!$P:$P,"&lt;&gt;Email Marketing"
)</f>
        <v>227</v>
      </c>
      <c r="H758" s="113">
        <f>SUMIFS(All_Stats!$K:$K,
All_Stats!$D:$D,$B758,
All_Stats!$B:$B,"&gt;="&amp;EOMONTH($A758,-1)+1,
All_Stats!$B:$B,"&lt;"&amp;EOMONTH($A758,0)+1,
All_Stats!$P:$P,"&lt;&gt;Email Marketing"
)</f>
        <v>0</v>
      </c>
      <c r="I758" s="133">
        <f>IFERROR(__xludf.DUMMYFUNCTION("COUNTUNIQUEIFS(All_Stats!A:A,
All_Stats!$D:$D,$B758,
All_Stats!$B:$B,""&gt;=""&amp;EOMONTH($A758,-1)+1,
All_Stats!$B:$B,""&lt;""&amp;EOMONTH($A758,0)+1,
All_Stats!$P:$P,""&lt;&gt;Email Marketing""
)"),12.0)</f>
        <v>12</v>
      </c>
    </row>
    <row r="759" hidden="1">
      <c r="A759" s="128">
        <v>45139.0</v>
      </c>
      <c r="B759" s="129" t="s">
        <v>109</v>
      </c>
      <c r="C759" s="130" t="s">
        <v>490</v>
      </c>
      <c r="D759" s="131">
        <f>SUMIFS(All_Stats!$G:$G,
All_Stats!$D:$D,$B759,
All_Stats!$B:$B,"&gt;="&amp;EOMONTH($A759,-1)+1,
All_Stats!$B:$B,"&lt;"&amp;EOMONTH($A759,0)+1,
All_Stats!$P:$P,"&lt;&gt;Email Marketing"
)</f>
        <v>340</v>
      </c>
      <c r="E759" s="113">
        <f>SUMIFS(All_Stats!$I:$I,
All_Stats!$D:$D,$B759,
All_Stats!$B:$B,"&gt;="&amp;EOMONTH($A759,-1)+1,
All_Stats!$B:$B,"&lt;"&amp;EOMONTH($A759,0)+1,
All_Stats!$P:$P,"&lt;&gt;Email Marketing"
)</f>
        <v>194</v>
      </c>
      <c r="F759" s="132">
        <f t="shared" si="231"/>
        <v>0.5705882353</v>
      </c>
      <c r="G759" s="131">
        <f>SUMIFS(All_Stats!$H:$H,
All_Stats!$D:$D,$B759,
All_Stats!$B:$B,"&gt;="&amp;EOMONTH($A759,-1)+1,
All_Stats!$B:$B,"&lt;"&amp;EOMONTH($A759,0)+1,
All_Stats!$P:$P,"&lt;&gt;Email Marketing"
)</f>
        <v>146</v>
      </c>
      <c r="H759" s="113">
        <f>SUMIFS(All_Stats!$K:$K,
All_Stats!$D:$D,$B759,
All_Stats!$B:$B,"&gt;="&amp;EOMONTH($A759,-1)+1,
All_Stats!$B:$B,"&lt;"&amp;EOMONTH($A759,0)+1,
All_Stats!$P:$P,"&lt;&gt;Email Marketing"
)</f>
        <v>0</v>
      </c>
      <c r="I759" s="133">
        <f>IFERROR(__xludf.DUMMYFUNCTION("COUNTUNIQUEIFS(All_Stats!A:A,
All_Stats!$D:$D,$B759,
All_Stats!$B:$B,""&gt;=""&amp;EOMONTH($A759,-1)+1,
All_Stats!$B:$B,""&lt;""&amp;EOMONTH($A759,0)+1,
All_Stats!$P:$P,""&lt;&gt;Email Marketing""
)"),19.0)</f>
        <v>19</v>
      </c>
    </row>
    <row r="760" hidden="1">
      <c r="A760" s="128">
        <v>45139.0</v>
      </c>
      <c r="B760" s="129" t="s">
        <v>33</v>
      </c>
      <c r="C760" s="142" t="s">
        <v>492</v>
      </c>
      <c r="D760" s="131">
        <f>SUMIFS(All_Stats!$G:$G,
All_Stats!$D:$D,$B760,
All_Stats!$B:$B,"&gt;="&amp;EOMONTH($A760,-1)+1,
All_Stats!$B:$B,"&lt;"&amp;EOMONTH($A760,0)+1,
All_Stats!$P:$P,"&lt;&gt;Email Marketing"
)</f>
        <v>13</v>
      </c>
      <c r="E760" s="113">
        <f>SUMIFS(All_Stats!$I:$I,
All_Stats!$D:$D,$B760,
All_Stats!$B:$B,"&gt;="&amp;EOMONTH($A760,-1)+1,
All_Stats!$B:$B,"&lt;"&amp;EOMONTH($A760,0)+1,
All_Stats!$P:$P,"&lt;&gt;Email Marketing"
)</f>
        <v>4</v>
      </c>
      <c r="F760" s="132">
        <f t="shared" si="231"/>
        <v>0.3076923077</v>
      </c>
      <c r="G760" s="131">
        <f>SUMIFS(All_Stats!$H:$H,
All_Stats!$D:$D,$B760,
All_Stats!$B:$B,"&gt;="&amp;EOMONTH($A760,-1)+1,
All_Stats!$B:$B,"&lt;"&amp;EOMONTH($A760,0)+1,
All_Stats!$P:$P,"&lt;&gt;Email Marketing"
)</f>
        <v>1</v>
      </c>
      <c r="H760" s="113">
        <f>SUMIFS(All_Stats!$K:$K,
All_Stats!$D:$D,$B760,
All_Stats!$B:$B,"&gt;="&amp;EOMONTH($A760,-1)+1,
All_Stats!$B:$B,"&lt;"&amp;EOMONTH($A760,0)+1,
All_Stats!$P:$P,"&lt;&gt;Email Marketing"
)</f>
        <v>0</v>
      </c>
      <c r="I760" s="133">
        <f>IFERROR(__xludf.DUMMYFUNCTION("COUNTUNIQUEIFS(All_Stats!A:A,
All_Stats!$D:$D,$B760,
All_Stats!$B:$B,""&gt;=""&amp;EOMONTH($A760,-1)+1,
All_Stats!$B:$B,""&lt;""&amp;EOMONTH($A760,0)+1,
All_Stats!$P:$P,""&lt;&gt;Email Marketing""
)"),5.0)</f>
        <v>5</v>
      </c>
    </row>
    <row r="761" hidden="1">
      <c r="A761" s="128">
        <v>45139.0</v>
      </c>
      <c r="B761" s="129" t="s">
        <v>69</v>
      </c>
      <c r="C761" s="142" t="s">
        <v>491</v>
      </c>
      <c r="D761" s="131">
        <f>SUMIFS(All_Stats!$G:$G,
All_Stats!$D:$D,$B761,
All_Stats!$B:$B,"&gt;="&amp;EOMONTH($A761,-1)+1,
All_Stats!$B:$B,"&lt;"&amp;EOMONTH($A761,0)+1,
All_Stats!$P:$P,"&lt;&gt;Email Marketing"
)</f>
        <v>7</v>
      </c>
      <c r="E761" s="113">
        <f>SUMIFS(All_Stats!$I:$I,
All_Stats!$D:$D,$B761,
All_Stats!$B:$B,"&gt;="&amp;EOMONTH($A761,-1)+1,
All_Stats!$B:$B,"&lt;"&amp;EOMONTH($A761,0)+1,
All_Stats!$P:$P,"&lt;&gt;Email Marketing"
)</f>
        <v>4</v>
      </c>
      <c r="F761" s="132">
        <f t="shared" si="231"/>
        <v>0.5714285714</v>
      </c>
      <c r="G761" s="131">
        <f>SUMIFS(All_Stats!$H:$H,
All_Stats!$D:$D,$B761,
All_Stats!$B:$B,"&gt;="&amp;EOMONTH($A761,-1)+1,
All_Stats!$B:$B,"&lt;"&amp;EOMONTH($A761,0)+1,
All_Stats!$P:$P,"&lt;&gt;Email Marketing"
)</f>
        <v>3</v>
      </c>
      <c r="H761" s="113">
        <f>SUMIFS(All_Stats!$K:$K,
All_Stats!$D:$D,$B761,
All_Stats!$B:$B,"&gt;="&amp;EOMONTH($A761,-1)+1,
All_Stats!$B:$B,"&lt;"&amp;EOMONTH($A761,0)+1,
All_Stats!$P:$P,"&lt;&gt;Email Marketing"
)</f>
        <v>0</v>
      </c>
      <c r="I761" s="133">
        <f>IFERROR(__xludf.DUMMYFUNCTION("COUNTUNIQUEIFS(All_Stats!A:A,
All_Stats!$D:$D,$B761,
All_Stats!$B:$B,""&gt;=""&amp;EOMONTH($A761,-1)+1,
All_Stats!$B:$B,""&lt;""&amp;EOMONTH($A761,0)+1,
All_Stats!$P:$P,""&lt;&gt;Email Marketing""
)"),3.0)</f>
        <v>3</v>
      </c>
    </row>
    <row r="762" hidden="1">
      <c r="A762" s="128">
        <v>45139.0</v>
      </c>
      <c r="B762" s="129" t="s">
        <v>79</v>
      </c>
      <c r="C762" s="130" t="s">
        <v>488</v>
      </c>
      <c r="D762" s="131">
        <f>SUMIFS(All_Stats!$G:$G,
All_Stats!$D:$D,$B762,
All_Stats!$B:$B,"&gt;="&amp;EOMONTH($A762,-1)+1,
All_Stats!$B:$B,"&lt;"&amp;EOMONTH($A762,0)+1,
All_Stats!$P:$P,"&lt;&gt;Email Marketing"
)</f>
        <v>7</v>
      </c>
      <c r="E762" s="113">
        <f>SUMIFS(All_Stats!$I:$I,
All_Stats!$D:$D,$B762,
All_Stats!$B:$B,"&gt;="&amp;EOMONTH($A762,-1)+1,
All_Stats!$B:$B,"&lt;"&amp;EOMONTH($A762,0)+1,
All_Stats!$P:$P,"&lt;&gt;Email Marketing"
)</f>
        <v>2</v>
      </c>
      <c r="F762" s="132">
        <f t="shared" si="231"/>
        <v>0.2857142857</v>
      </c>
      <c r="G762" s="131">
        <f>SUMIFS(All_Stats!$H:$H,
All_Stats!$D:$D,$B762,
All_Stats!$B:$B,"&gt;="&amp;EOMONTH($A762,-1)+1,
All_Stats!$B:$B,"&lt;"&amp;EOMONTH($A762,0)+1,
All_Stats!$P:$P,"&lt;&gt;Email Marketing"
)</f>
        <v>5</v>
      </c>
      <c r="H762" s="113">
        <f>SUMIFS(All_Stats!$K:$K,
All_Stats!$D:$D,$B762,
All_Stats!$B:$B,"&gt;="&amp;EOMONTH($A762,-1)+1,
All_Stats!$B:$B,"&lt;"&amp;EOMONTH($A762,0)+1,
All_Stats!$P:$P,"&lt;&gt;Email Marketing"
)</f>
        <v>0</v>
      </c>
      <c r="I762" s="133">
        <f>IFERROR(__xludf.DUMMYFUNCTION("COUNTUNIQUEIFS(All_Stats!A:A,
All_Stats!$D:$D,$B762,
All_Stats!$B:$B,""&gt;=""&amp;EOMONTH($A762,-1)+1,
All_Stats!$B:$B,""&lt;""&amp;EOMONTH($A762,0)+1,
All_Stats!$P:$P,""&lt;&gt;Email Marketing""
)"),4.0)</f>
        <v>4</v>
      </c>
    </row>
    <row r="763" hidden="1">
      <c r="A763" s="135"/>
      <c r="B763" s="135"/>
      <c r="C763" s="136" t="s">
        <v>23</v>
      </c>
      <c r="D763" s="137">
        <f t="shared" ref="D763:E763" si="232">SUM(D754:D762)</f>
        <v>4399</v>
      </c>
      <c r="E763" s="137">
        <f t="shared" si="232"/>
        <v>1549</v>
      </c>
      <c r="F763" s="138">
        <f t="shared" si="231"/>
        <v>0.3521254831</v>
      </c>
      <c r="G763" s="137">
        <f t="shared" ref="G763:H763" si="233">SUM(G754:G762)</f>
        <v>2713</v>
      </c>
      <c r="H763" s="137">
        <f t="shared" si="233"/>
        <v>0</v>
      </c>
      <c r="I763" s="139"/>
    </row>
    <row r="764" hidden="1">
      <c r="A764" s="114"/>
      <c r="B764" s="114"/>
      <c r="C764" s="115"/>
      <c r="D764" s="116"/>
      <c r="E764" s="116"/>
      <c r="F764" s="117"/>
      <c r="G764" s="116"/>
      <c r="H764" s="116"/>
      <c r="I764" s="116"/>
    </row>
    <row r="765" hidden="1">
      <c r="A765" s="114"/>
      <c r="B765" s="114"/>
      <c r="C765" s="115"/>
      <c r="D765" s="116">
        <f t="shared" ref="D765:E765" si="234">sum(D751+D763)</f>
        <v>7709</v>
      </c>
      <c r="E765" s="116">
        <f t="shared" si="234"/>
        <v>3604</v>
      </c>
      <c r="F765" s="117"/>
      <c r="G765" s="116">
        <f t="shared" ref="G765:H765" si="235">sum(G751+G763)</f>
        <v>3968</v>
      </c>
      <c r="H765" s="116">
        <f t="shared" si="235"/>
        <v>0</v>
      </c>
      <c r="I765" s="116"/>
    </row>
    <row r="766" hidden="1">
      <c r="A766" s="114"/>
      <c r="B766" s="114"/>
      <c r="C766" s="115"/>
      <c r="D766" s="116"/>
      <c r="E766" s="116"/>
      <c r="F766" s="117"/>
      <c r="G766" s="116"/>
      <c r="H766" s="116"/>
      <c r="I766" s="116"/>
    </row>
    <row r="767" hidden="1">
      <c r="C767" s="118" t="s">
        <v>484</v>
      </c>
      <c r="D767" s="119"/>
      <c r="E767" s="119"/>
      <c r="F767" s="119"/>
      <c r="G767" s="119"/>
      <c r="H767" s="119"/>
      <c r="I767" s="120"/>
    </row>
    <row r="768" hidden="1">
      <c r="A768" s="121" t="s">
        <v>1</v>
      </c>
      <c r="B768" s="122" t="s">
        <v>485</v>
      </c>
      <c r="C768" s="123" t="s">
        <v>486</v>
      </c>
      <c r="D768" s="124" t="s">
        <v>6</v>
      </c>
      <c r="E768" s="125" t="s">
        <v>8</v>
      </c>
      <c r="F768" s="124" t="s">
        <v>479</v>
      </c>
      <c r="G768" s="126" t="s">
        <v>7</v>
      </c>
      <c r="H768" s="125" t="s">
        <v>10</v>
      </c>
      <c r="I768" s="127" t="s">
        <v>487</v>
      </c>
    </row>
    <row r="769" hidden="1">
      <c r="A769" s="128">
        <v>45170.0</v>
      </c>
      <c r="B769" s="131" t="s">
        <v>164</v>
      </c>
      <c r="C769" s="134" t="str">
        <f>if(ifna(VLOOKUP(B769,'Vendor Directory'!A:C,3,0),"NOT FOUND")="","NOT FOUND",VLOOKUP(B769,'Vendor Directory'!A:C,3,0))</f>
        <v>#N/A</v>
      </c>
      <c r="D769" s="131">
        <f>SUMIFS(All_Stats!$G:$G,
All_Stats!$D:$D,$B769,
All_Stats!$B:$B,"&gt;="&amp;EOMONTH($A769,-1)+1,
All_Stats!$B:$B,"&lt;"&amp;EOMONTH($A769,0)+1,
All_Stats!$P:$P,"Email Marketing"
)</f>
        <v>1587</v>
      </c>
      <c r="E769" s="113">
        <f>SUMIFS(All_Stats!$I:$I,
All_Stats!$D:$D,$B769,
All_Stats!$B:$B,"&gt;="&amp;EOMONTH($A769,-1)+1,
All_Stats!$B:$B,"&lt;"&amp;EOMONTH($A769,0)+1,
All_Stats!$P:$P,"Email Marketing"
)</f>
        <v>686</v>
      </c>
      <c r="F769" s="132">
        <f t="shared" ref="F769:F773" si="236">iferror(E769/D769,"N/A")</f>
        <v>0.4322621298</v>
      </c>
      <c r="G769" s="131">
        <f>SUMIFS(All_Stats!$H:$H,
All_Stats!$D:$D,$B769,
All_Stats!$B:$B,"&gt;="&amp;EOMONTH($A769,-1)+1,
All_Stats!$B:$B,"&lt;"&amp;EOMONTH($A769,0)+1,
All_Stats!$P:$P,"Email Marketing"
)</f>
        <v>900</v>
      </c>
      <c r="H769" s="113">
        <f>SUMIFS(All_Stats!$K:$K,
All_Stats!$D:$D,$B769,
All_Stats!$B:$B,"&gt;="&amp;EOMONTH($A769,-1)+1,
All_Stats!$B:$B,"&lt;"&amp;EOMONTH($A769,0)+1,
All_Stats!$P:$P,"Email Marketing"
)</f>
        <v>0</v>
      </c>
      <c r="I769" s="133">
        <f>IFERROR(__xludf.DUMMYFUNCTION("COUNTUNIQUEIFS(All_Stats!A:A,
All_Stats!$D:$D,$B769,
All_Stats!$B:$B,""&gt;=""&amp;EOMONTH($A769,-1)+1,
All_Stats!$B:$B,""&lt;""&amp;EOMONTH($A769,0)+1,
All_Stats!$P:$P,""Email Marketing""
)"),18.0)</f>
        <v>18</v>
      </c>
    </row>
    <row r="770" hidden="1">
      <c r="A770" s="128">
        <v>45170.0</v>
      </c>
      <c r="B770" s="129" t="s">
        <v>79</v>
      </c>
      <c r="C770" s="130" t="s">
        <v>488</v>
      </c>
      <c r="D770" s="131">
        <f>SUMIFS(All_Stats!$G:$G,
All_Stats!$D:$D,$B770,
All_Stats!$B:$B,"&gt;="&amp;EOMONTH($A770,-1)+1,
All_Stats!$B:$B,"&lt;"&amp;EOMONTH($A770,0)+1,
All_Stats!$P:$P,"Email Marketing"
)</f>
        <v>582</v>
      </c>
      <c r="E770" s="113">
        <f>SUMIFS(All_Stats!$I:$I,
All_Stats!$D:$D,$B770,
All_Stats!$B:$B,"&gt;="&amp;EOMONTH($A770,-1)+1,
All_Stats!$B:$B,"&lt;"&amp;EOMONTH($A770,0)+1,
All_Stats!$P:$P,"Email Marketing"
)</f>
        <v>282</v>
      </c>
      <c r="F770" s="132">
        <f t="shared" si="236"/>
        <v>0.4845360825</v>
      </c>
      <c r="G770" s="131">
        <f>SUMIFS(All_Stats!$H:$H,
All_Stats!$D:$D,$B770,
All_Stats!$B:$B,"&gt;="&amp;EOMONTH($A770,-1)+1,
All_Stats!$B:$B,"&lt;"&amp;EOMONTH($A770,0)+1,
All_Stats!$P:$P,"Email Marketing"
)</f>
        <v>300</v>
      </c>
      <c r="H770" s="113">
        <f>SUMIFS(All_Stats!$K:$K,
All_Stats!$D:$D,$B770,
All_Stats!$B:$B,"&gt;="&amp;EOMONTH($A770,-1)+1,
All_Stats!$B:$B,"&lt;"&amp;EOMONTH($A770,0)+1,
All_Stats!$P:$P,"Email Marketing"
)</f>
        <v>0</v>
      </c>
      <c r="I770" s="133">
        <f>IFERROR(__xludf.DUMMYFUNCTION("COUNTUNIQUEIFS(All_Stats!A:A,
All_Stats!$D:$D,$B770,
All_Stats!$B:$B,""&gt;=""&amp;EOMONTH($A770,-1)+1,
All_Stats!$B:$B,""&lt;""&amp;EOMONTH($A770,0)+1,
All_Stats!$P:$P,""Email Marketing""
)"),9.0)</f>
        <v>9</v>
      </c>
    </row>
    <row r="771" hidden="1">
      <c r="A771" s="128">
        <v>45170.0</v>
      </c>
      <c r="B771" s="129" t="s">
        <v>33</v>
      </c>
      <c r="C771" s="142" t="s">
        <v>492</v>
      </c>
      <c r="D771" s="131">
        <f>SUMIFS(All_Stats!$G:$G,
All_Stats!$D:$D,$B771,
All_Stats!$B:$B,"&gt;="&amp;EOMONTH($A771,-1)+1,
All_Stats!$B:$B,"&lt;"&amp;EOMONTH($A771,0)+1,
All_Stats!$P:$P,"Email Marketing"
)</f>
        <v>39</v>
      </c>
      <c r="E771" s="113">
        <f>SUMIFS(All_Stats!$I:$I,
All_Stats!$D:$D,$B771,
All_Stats!$B:$B,"&gt;="&amp;EOMONTH($A771,-1)+1,
All_Stats!$B:$B,"&lt;"&amp;EOMONTH($A771,0)+1,
All_Stats!$P:$P,"Email Marketing"
)</f>
        <v>24</v>
      </c>
      <c r="F771" s="132">
        <f t="shared" si="236"/>
        <v>0.6153846154</v>
      </c>
      <c r="G771" s="131">
        <f>SUMIFS(All_Stats!$H:$H,
All_Stats!$D:$D,$B771,
All_Stats!$B:$B,"&gt;="&amp;EOMONTH($A771,-1)+1,
All_Stats!$B:$B,"&lt;"&amp;EOMONTH($A771,0)+1,
All_Stats!$P:$P,"Email Marketing"
)</f>
        <v>15</v>
      </c>
      <c r="H771" s="113">
        <f>SUMIFS(All_Stats!$K:$K,
All_Stats!$D:$D,$B771,
All_Stats!$B:$B,"&gt;="&amp;EOMONTH($A771,-1)+1,
All_Stats!$B:$B,"&lt;"&amp;EOMONTH($A771,0)+1,
All_Stats!$P:$P,"Email Marketing"
)</f>
        <v>0</v>
      </c>
      <c r="I771" s="133">
        <f>IFERROR(__xludf.DUMMYFUNCTION("COUNTUNIQUEIFS(All_Stats!A:A,
All_Stats!$D:$D,$B771,
All_Stats!$B:$B,""&gt;=""&amp;EOMONTH($A771,-1)+1,
All_Stats!$B:$B,""&lt;""&amp;EOMONTH($A771,0)+1,
All_Stats!$P:$P,""Email Marketing""
)"),3.0)</f>
        <v>3</v>
      </c>
    </row>
    <row r="772" hidden="1">
      <c r="A772" s="128">
        <v>45170.0</v>
      </c>
      <c r="B772" s="129" t="s">
        <v>109</v>
      </c>
      <c r="C772" s="130" t="s">
        <v>490</v>
      </c>
      <c r="D772" s="131">
        <f>SUMIFS(All_Stats!$G:$G,
All_Stats!$D:$D,$B772,
All_Stats!$B:$B,"&gt;="&amp;EOMONTH($A772,-1)+1,
All_Stats!$B:$B,"&lt;"&amp;EOMONTH($A772,0)+1,
All_Stats!$P:$P,"Email Marketing"
)</f>
        <v>24</v>
      </c>
      <c r="E772" s="113">
        <f>SUMIFS(All_Stats!$I:$I,
All_Stats!$D:$D,$B772,
All_Stats!$B:$B,"&gt;="&amp;EOMONTH($A772,-1)+1,
All_Stats!$B:$B,"&lt;"&amp;EOMONTH($A772,0)+1,
All_Stats!$P:$P,"Email Marketing"
)</f>
        <v>13</v>
      </c>
      <c r="F772" s="132">
        <f t="shared" si="236"/>
        <v>0.5416666667</v>
      </c>
      <c r="G772" s="131">
        <f>SUMIFS(All_Stats!$H:$H,
All_Stats!$D:$D,$B772,
All_Stats!$B:$B,"&gt;="&amp;EOMONTH($A772,-1)+1,
All_Stats!$B:$B,"&lt;"&amp;EOMONTH($A772,0)+1,
All_Stats!$P:$P,"Email Marketing"
)</f>
        <v>11</v>
      </c>
      <c r="H772" s="113">
        <f>SUMIFS(All_Stats!$K:$K,
All_Stats!$D:$D,$B772,
All_Stats!$B:$B,"&gt;="&amp;EOMONTH($A772,-1)+1,
All_Stats!$B:$B,"&lt;"&amp;EOMONTH($A772,0)+1,
All_Stats!$P:$P,"Email Marketing"
)</f>
        <v>0</v>
      </c>
      <c r="I772" s="133">
        <f>IFERROR(__xludf.DUMMYFUNCTION("COUNTUNIQUEIFS(All_Stats!A:A,
All_Stats!$D:$D,$B772,
All_Stats!$B:$B,""&gt;=""&amp;EOMONTH($A772,-1)+1,
All_Stats!$B:$B,""&lt;""&amp;EOMONTH($A772,0)+1,
All_Stats!$P:$P,""Email Marketing""
)"),3.0)</f>
        <v>3</v>
      </c>
    </row>
    <row r="773" hidden="1">
      <c r="A773" s="135"/>
      <c r="B773" s="135"/>
      <c r="C773" s="136" t="s">
        <v>23</v>
      </c>
      <c r="D773" s="137">
        <f t="shared" ref="D773:E773" si="237">SUM(D769:D772)</f>
        <v>2232</v>
      </c>
      <c r="E773" s="137">
        <f t="shared" si="237"/>
        <v>1005</v>
      </c>
      <c r="F773" s="138">
        <f t="shared" si="236"/>
        <v>0.4502688172</v>
      </c>
      <c r="G773" s="137">
        <f>SUM(G769:G772)</f>
        <v>1226</v>
      </c>
      <c r="H773" s="137">
        <f>SUM(H770:H772)</f>
        <v>0</v>
      </c>
      <c r="I773" s="139"/>
    </row>
    <row r="774" hidden="1">
      <c r="A774" s="131"/>
      <c r="B774" s="131"/>
      <c r="C774" s="129"/>
      <c r="D774" s="140"/>
      <c r="F774" s="131"/>
      <c r="G774" s="131"/>
    </row>
    <row r="775" hidden="1">
      <c r="A775" s="121" t="s">
        <v>1</v>
      </c>
      <c r="B775" s="122" t="s">
        <v>485</v>
      </c>
      <c r="C775" s="123" t="s">
        <v>486</v>
      </c>
      <c r="D775" s="124" t="s">
        <v>6</v>
      </c>
      <c r="E775" s="125" t="s">
        <v>8</v>
      </c>
      <c r="F775" s="124" t="s">
        <v>479</v>
      </c>
      <c r="G775" s="126" t="s">
        <v>7</v>
      </c>
      <c r="H775" s="125" t="s">
        <v>10</v>
      </c>
      <c r="I775" s="127" t="s">
        <v>487</v>
      </c>
    </row>
    <row r="776" hidden="1">
      <c r="A776" s="128">
        <v>45170.0</v>
      </c>
      <c r="B776" s="129" t="s">
        <v>19</v>
      </c>
      <c r="C776" s="141" t="s">
        <v>489</v>
      </c>
      <c r="D776" s="131">
        <f>SUMIFS(All_Stats!$G:$G,
All_Stats!$D:$D,$B776,
All_Stats!$B:$B,"&gt;="&amp;EOMONTH($A776,-1)+1,
All_Stats!$B:$B,"&lt;"&amp;EOMONTH($A776,0)+1,
All_Stats!$P:$P,"&lt;&gt;Email Marketing"
)</f>
        <v>1543</v>
      </c>
      <c r="E776" s="113">
        <f>SUMIFS(All_Stats!$I:$I,
All_Stats!$D:$D,$B776,
All_Stats!$B:$B,"&gt;="&amp;EOMONTH($A776,-1)+1,
All_Stats!$B:$B,"&lt;"&amp;EOMONTH($A776,0)+1,
All_Stats!$P:$P,"&lt;&gt;Email Marketing"
)</f>
        <v>476</v>
      </c>
      <c r="F776" s="132">
        <f t="shared" ref="F776:F785" si="238">iferror(E776/D776,"N/A")</f>
        <v>0.3084899546</v>
      </c>
      <c r="G776" s="131">
        <f>SUMIFS(All_Stats!$H:$H,
All_Stats!$D:$D,$B776,
All_Stats!$B:$B,"&gt;="&amp;EOMONTH($A776,-1)+1,
All_Stats!$B:$B,"&lt;"&amp;EOMONTH($A776,0)+1,
All_Stats!$P:$P,"&lt;&gt;Email Marketing"
)</f>
        <v>1044</v>
      </c>
      <c r="H776" s="113">
        <f>SUMIFS(All_Stats!$K:$K,
All_Stats!$D:$D,$B776,
All_Stats!$B:$B,"&gt;="&amp;EOMONTH($A776,-1)+1,
All_Stats!$B:$B,"&lt;"&amp;EOMONTH($A776,0)+1,
All_Stats!$P:$P,"&lt;&gt;Email Marketing"
)</f>
        <v>0</v>
      </c>
      <c r="I776" s="133">
        <f>IFERROR(__xludf.DUMMYFUNCTION("COUNTUNIQUEIFS(All_Stats!A:A,
All_Stats!$D:$D,$B776,
All_Stats!$B:$B,""&gt;=""&amp;EOMONTH($A776,-1)+1,
All_Stats!$B:$B,""&lt;""&amp;EOMONTH($A776,0)+1,
All_Stats!$P:$P,""&lt;&gt;Email Marketing""
)"),66.0)</f>
        <v>66</v>
      </c>
    </row>
    <row r="777" hidden="1">
      <c r="A777" s="128">
        <v>45170.0</v>
      </c>
      <c r="B777" s="131" t="s">
        <v>127</v>
      </c>
      <c r="C777" s="134" t="str">
        <f>if(ifna(VLOOKUP(B777,'Vendor Directory'!A:C,3,0),"NOT FOUND")="","NOT FOUND",VLOOKUP(B777,'Vendor Directory'!A:C,3,0))</f>
        <v>#N/A</v>
      </c>
      <c r="D777" s="131">
        <f>SUMIFS(All_Stats!$G:$G,
All_Stats!$D:$D,$B777,
All_Stats!$B:$B,"&gt;="&amp;EOMONTH($A777,-1)+1,
All_Stats!$B:$B,"&lt;"&amp;EOMONTH($A777,0)+1,
All_Stats!$P:$P,"&lt;&gt;Email Marketing"
)</f>
        <v>1320</v>
      </c>
      <c r="E777" s="113">
        <f>SUMIFS(All_Stats!$I:$I,
All_Stats!$D:$D,$B777,
All_Stats!$B:$B,"&gt;="&amp;EOMONTH($A777,-1)+1,
All_Stats!$B:$B,"&lt;"&amp;EOMONTH($A777,0)+1,
All_Stats!$P:$P,"&lt;&gt;Email Marketing"
)</f>
        <v>412</v>
      </c>
      <c r="F777" s="132">
        <f t="shared" si="238"/>
        <v>0.3121212121</v>
      </c>
      <c r="G777" s="131">
        <f>SUMIFS(All_Stats!$H:$H,
All_Stats!$D:$D,$B777,
All_Stats!$B:$B,"&gt;="&amp;EOMONTH($A777,-1)+1,
All_Stats!$B:$B,"&lt;"&amp;EOMONTH($A777,0)+1,
All_Stats!$P:$P,"&lt;&gt;Email Marketing"
)</f>
        <v>804</v>
      </c>
      <c r="H777" s="113">
        <f>SUMIFS(All_Stats!$K:$K,
All_Stats!$D:$D,$B777,
All_Stats!$B:$B,"&gt;="&amp;EOMONTH($A777,-1)+1,
All_Stats!$B:$B,"&lt;"&amp;EOMONTH($A777,0)+1,
All_Stats!$P:$P,"&lt;&gt;Email Marketing"
)</f>
        <v>102</v>
      </c>
      <c r="I777" s="133">
        <f>IFERROR(__xludf.DUMMYFUNCTION("COUNTUNIQUEIFS(All_Stats!A:A,
All_Stats!$D:$D,$B777,
All_Stats!$B:$B,""&gt;=""&amp;EOMONTH($A777,-1)+1,
All_Stats!$B:$B,""&lt;""&amp;EOMONTH($A777,0)+1,
All_Stats!$P:$P,""&lt;&gt;Email Marketing""
)"),24.0)</f>
        <v>24</v>
      </c>
    </row>
    <row r="778" hidden="1">
      <c r="A778" s="128">
        <v>45170.0</v>
      </c>
      <c r="B778" s="131" t="s">
        <v>30</v>
      </c>
      <c r="C778" s="134" t="str">
        <f>if(ifna(VLOOKUP(B778,'Vendor Directory'!A:C,3,0),"NOT FOUND")="","NOT FOUND",VLOOKUP(B778,'Vendor Directory'!A:C,3,0))</f>
        <v>Vendor 2 Name</v>
      </c>
      <c r="D778" s="131">
        <f>SUMIFS(All_Stats!$G:$G,
All_Stats!$D:$D,$B778,
All_Stats!$B:$B,"&gt;="&amp;EOMONTH($A778,-1)+1,
All_Stats!$B:$B,"&lt;"&amp;EOMONTH($A778,0)+1,
All_Stats!$P:$P,"&lt;&gt;Email Marketing"
)</f>
        <v>859</v>
      </c>
      <c r="E778" s="113">
        <f>SUMIFS(All_Stats!$I:$I,
All_Stats!$D:$D,$B778,
All_Stats!$B:$B,"&gt;="&amp;EOMONTH($A778,-1)+1,
All_Stats!$B:$B,"&lt;"&amp;EOMONTH($A778,0)+1,
All_Stats!$P:$P,"&lt;&gt;Email Marketing"
)</f>
        <v>201</v>
      </c>
      <c r="F778" s="132">
        <f t="shared" si="238"/>
        <v>0.2339930151</v>
      </c>
      <c r="G778" s="131">
        <f>SUMIFS(All_Stats!$H:$H,
All_Stats!$D:$D,$B778,
All_Stats!$B:$B,"&gt;="&amp;EOMONTH($A778,-1)+1,
All_Stats!$B:$B,"&lt;"&amp;EOMONTH($A778,0)+1,
All_Stats!$P:$P,"&lt;&gt;Email Marketing"
)</f>
        <v>658</v>
      </c>
      <c r="H778" s="113">
        <f>SUMIFS(All_Stats!$K:$K,
All_Stats!$D:$D,$B778,
All_Stats!$B:$B,"&gt;="&amp;EOMONTH($A778,-1)+1,
All_Stats!$B:$B,"&lt;"&amp;EOMONTH($A778,0)+1,
All_Stats!$P:$P,"&lt;&gt;Email Marketing"
)</f>
        <v>0</v>
      </c>
      <c r="I778" s="133">
        <f>IFERROR(__xludf.DUMMYFUNCTION("COUNTUNIQUEIFS(All_Stats!A:A,
All_Stats!$D:$D,$B778,
All_Stats!$B:$B,""&gt;=""&amp;EOMONTH($A778,-1)+1,
All_Stats!$B:$B,""&lt;""&amp;EOMONTH($A778,0)+1,
All_Stats!$P:$P,""&lt;&gt;Email Marketing""
)"),18.0)</f>
        <v>18</v>
      </c>
    </row>
    <row r="779" hidden="1">
      <c r="A779" s="128">
        <v>45170.0</v>
      </c>
      <c r="B779" s="131" t="s">
        <v>91</v>
      </c>
      <c r="C779" s="134" t="str">
        <f>if(ifna(VLOOKUP(B779,'Vendor Directory'!A:C,3,0),"NOT FOUND")="","NOT FOUND",VLOOKUP(B779,'Vendor Directory'!A:C,3,0))</f>
        <v>#N/A</v>
      </c>
      <c r="D779" s="131">
        <f>SUMIFS(All_Stats!$G:$G,
All_Stats!$D:$D,$B779,
All_Stats!$B:$B,"&gt;="&amp;EOMONTH($A779,-1)+1,
All_Stats!$B:$B,"&lt;"&amp;EOMONTH($A779,0)+1,
All_Stats!$P:$P,"&lt;&gt;Email Marketing"
)</f>
        <v>639</v>
      </c>
      <c r="E779" s="113">
        <f>SUMIFS(All_Stats!$I:$I,
All_Stats!$D:$D,$B779,
All_Stats!$B:$B,"&gt;="&amp;EOMONTH($A779,-1)+1,
All_Stats!$B:$B,"&lt;"&amp;EOMONTH($A779,0)+1,
All_Stats!$P:$P,"&lt;&gt;Email Marketing"
)</f>
        <v>161</v>
      </c>
      <c r="F779" s="132">
        <f t="shared" si="238"/>
        <v>0.2519561815</v>
      </c>
      <c r="G779" s="131">
        <f>SUMIFS(All_Stats!$H:$H,
All_Stats!$D:$D,$B779,
All_Stats!$B:$B,"&gt;="&amp;EOMONTH($A779,-1)+1,
All_Stats!$B:$B,"&lt;"&amp;EOMONTH($A779,0)+1,
All_Stats!$P:$P,"&lt;&gt;Email Marketing"
)</f>
        <v>468</v>
      </c>
      <c r="H779" s="113">
        <f>SUMIFS(All_Stats!$K:$K,
All_Stats!$D:$D,$B779,
All_Stats!$B:$B,"&gt;="&amp;EOMONTH($A779,-1)+1,
All_Stats!$B:$B,"&lt;"&amp;EOMONTH($A779,0)+1,
All_Stats!$P:$P,"&lt;&gt;Email Marketing"
)</f>
        <v>0</v>
      </c>
      <c r="I779" s="133">
        <f>IFERROR(__xludf.DUMMYFUNCTION("COUNTUNIQUEIFS(All_Stats!A:A,
All_Stats!$D:$D,$B779,
All_Stats!$B:$B,""&gt;=""&amp;EOMONTH($A779,-1)+1,
All_Stats!$B:$B,""&lt;""&amp;EOMONTH($A779,0)+1,
All_Stats!$P:$P,""&lt;&gt;Email Marketing""
)"),25.0)</f>
        <v>25</v>
      </c>
    </row>
    <row r="780" hidden="1">
      <c r="A780" s="128">
        <v>45170.0</v>
      </c>
      <c r="B780" s="129" t="s">
        <v>109</v>
      </c>
      <c r="C780" s="130" t="s">
        <v>490</v>
      </c>
      <c r="D780" s="131">
        <f>SUMIFS(All_Stats!$G:$G,
All_Stats!$D:$D,$B780,
All_Stats!$B:$B,"&gt;="&amp;EOMONTH($A780,-1)+1,
All_Stats!$B:$B,"&lt;"&amp;EOMONTH($A780,0)+1,
All_Stats!$P:$P,"&lt;&gt;Email Marketing"
)</f>
        <v>273</v>
      </c>
      <c r="E780" s="113">
        <f>SUMIFS(All_Stats!$I:$I,
All_Stats!$D:$D,$B780,
All_Stats!$B:$B,"&gt;="&amp;EOMONTH($A780,-1)+1,
All_Stats!$B:$B,"&lt;"&amp;EOMONTH($A780,0)+1,
All_Stats!$P:$P,"&lt;&gt;Email Marketing"
)</f>
        <v>137</v>
      </c>
      <c r="F780" s="132">
        <f t="shared" si="238"/>
        <v>0.5018315018</v>
      </c>
      <c r="G780" s="131">
        <f>SUMIFS(All_Stats!$H:$H,
All_Stats!$D:$D,$B780,
All_Stats!$B:$B,"&gt;="&amp;EOMONTH($A780,-1)+1,
All_Stats!$B:$B,"&lt;"&amp;EOMONTH($A780,0)+1,
All_Stats!$P:$P,"&lt;&gt;Email Marketing"
)</f>
        <v>130</v>
      </c>
      <c r="H780" s="113">
        <f>SUMIFS(All_Stats!$K:$K,
All_Stats!$D:$D,$B780,
All_Stats!$B:$B,"&gt;="&amp;EOMONTH($A780,-1)+1,
All_Stats!$B:$B,"&lt;"&amp;EOMONTH($A780,0)+1,
All_Stats!$P:$P,"&lt;&gt;Email Marketing"
)</f>
        <v>0</v>
      </c>
      <c r="I780" s="133">
        <f>IFERROR(__xludf.DUMMYFUNCTION("COUNTUNIQUEIFS(All_Stats!A:A,
All_Stats!$D:$D,$B780,
All_Stats!$B:$B,""&gt;=""&amp;EOMONTH($A780,-1)+1,
All_Stats!$B:$B,""&lt;""&amp;EOMONTH($A780,0)+1,
All_Stats!$P:$P,""&lt;&gt;Email Marketing""
)"),11.0)</f>
        <v>11</v>
      </c>
    </row>
    <row r="781" hidden="1">
      <c r="A781" s="128">
        <v>45170.0</v>
      </c>
      <c r="B781" s="131" t="s">
        <v>157</v>
      </c>
      <c r="C781" s="134" t="str">
        <f>if(ifna(VLOOKUP(B781,'Vendor Directory'!A:C,3,0),"NOT FOUND")="","NOT FOUND",VLOOKUP(B781,'Vendor Directory'!A:C,3,0))</f>
        <v>#N/A</v>
      </c>
      <c r="D781" s="131">
        <f>SUMIFS(All_Stats!$G:$G,
All_Stats!$D:$D,$B781,
All_Stats!$B:$B,"&gt;="&amp;EOMONTH($A781,-1)+1,
All_Stats!$B:$B,"&lt;"&amp;EOMONTH($A781,0)+1,
All_Stats!$P:$P,"&lt;&gt;Email Marketing"
)</f>
        <v>198</v>
      </c>
      <c r="E781" s="113">
        <f>SUMIFS(All_Stats!$I:$I,
All_Stats!$D:$D,$B781,
All_Stats!$B:$B,"&gt;="&amp;EOMONTH($A781,-1)+1,
All_Stats!$B:$B,"&lt;"&amp;EOMONTH($A781,0)+1,
All_Stats!$P:$P,"&lt;&gt;Email Marketing"
)</f>
        <v>83</v>
      </c>
      <c r="F781" s="132">
        <f t="shared" si="238"/>
        <v>0.4191919192</v>
      </c>
      <c r="G781" s="131">
        <f>SUMIFS(All_Stats!$H:$H,
All_Stats!$D:$D,$B781,
All_Stats!$B:$B,"&gt;="&amp;EOMONTH($A781,-1)+1,
All_Stats!$B:$B,"&lt;"&amp;EOMONTH($A781,0)+1,
All_Stats!$P:$P,"&lt;&gt;Email Marketing"
)</f>
        <v>115</v>
      </c>
      <c r="H781" s="113">
        <f>SUMIFS(All_Stats!$K:$K,
All_Stats!$D:$D,$B781,
All_Stats!$B:$B,"&gt;="&amp;EOMONTH($A781,-1)+1,
All_Stats!$B:$B,"&lt;"&amp;EOMONTH($A781,0)+1,
All_Stats!$P:$P,"&lt;&gt;Email Marketing"
)</f>
        <v>0</v>
      </c>
      <c r="I781" s="133">
        <f>IFERROR(__xludf.DUMMYFUNCTION("COUNTUNIQUEIFS(All_Stats!A:A,
All_Stats!$D:$D,$B781,
All_Stats!$B:$B,""&gt;=""&amp;EOMONTH($A781,-1)+1,
All_Stats!$B:$B,""&lt;""&amp;EOMONTH($A781,0)+1,
All_Stats!$P:$P,""&lt;&gt;Email Marketing""
)"),13.0)</f>
        <v>13</v>
      </c>
    </row>
    <row r="782" hidden="1">
      <c r="A782" s="128">
        <v>45170.0</v>
      </c>
      <c r="B782" s="129" t="s">
        <v>33</v>
      </c>
      <c r="C782" s="142" t="s">
        <v>492</v>
      </c>
      <c r="D782" s="131">
        <f>SUMIFS(All_Stats!$G:$G,
All_Stats!$D:$D,$B782,
All_Stats!$B:$B,"&gt;="&amp;EOMONTH($A782,-1)+1,
All_Stats!$B:$B,"&lt;"&amp;EOMONTH($A782,0)+1,
All_Stats!$P:$P,"&lt;&gt;Email Marketing"
)</f>
        <v>104</v>
      </c>
      <c r="E782" s="113">
        <f>SUMIFS(All_Stats!$I:$I,
All_Stats!$D:$D,$B782,
All_Stats!$B:$B,"&gt;="&amp;EOMONTH($A782,-1)+1,
All_Stats!$B:$B,"&lt;"&amp;EOMONTH($A782,0)+1,
All_Stats!$P:$P,"&lt;&gt;Email Marketing"
)</f>
        <v>45</v>
      </c>
      <c r="F782" s="132">
        <f t="shared" si="238"/>
        <v>0.4326923077</v>
      </c>
      <c r="G782" s="131">
        <f>SUMIFS(All_Stats!$H:$H,
All_Stats!$D:$D,$B782,
All_Stats!$B:$B,"&gt;="&amp;EOMONTH($A782,-1)+1,
All_Stats!$B:$B,"&lt;"&amp;EOMONTH($A782,0)+1,
All_Stats!$P:$P,"&lt;&gt;Email Marketing"
)</f>
        <v>27</v>
      </c>
      <c r="H782" s="113">
        <f>SUMIFS(All_Stats!$K:$K,
All_Stats!$D:$D,$B782,
All_Stats!$B:$B,"&gt;="&amp;EOMONTH($A782,-1)+1,
All_Stats!$B:$B,"&lt;"&amp;EOMONTH($A782,0)+1,
All_Stats!$P:$P,"&lt;&gt;Email Marketing"
)</f>
        <v>0</v>
      </c>
      <c r="I782" s="133">
        <f>IFERROR(__xludf.DUMMYFUNCTION("COUNTUNIQUEIFS(All_Stats!A:A,
All_Stats!$D:$D,$B782,
All_Stats!$B:$B,""&gt;=""&amp;EOMONTH($A782,-1)+1,
All_Stats!$B:$B,""&lt;""&amp;EOMONTH($A782,0)+1,
All_Stats!$P:$P,""&lt;&gt;Email Marketing""
)"),11.0)</f>
        <v>11</v>
      </c>
    </row>
    <row r="783" hidden="1">
      <c r="A783" s="128">
        <v>45170.0</v>
      </c>
      <c r="B783" s="129" t="s">
        <v>79</v>
      </c>
      <c r="C783" s="130" t="s">
        <v>488</v>
      </c>
      <c r="D783" s="131">
        <f>SUMIFS(All_Stats!$G:$G,
All_Stats!$D:$D,$B783,
All_Stats!$B:$B,"&gt;="&amp;EOMONTH($A783,-1)+1,
All_Stats!$B:$B,"&lt;"&amp;EOMONTH($A783,0)+1,
All_Stats!$P:$P,"&lt;&gt;Email Marketing"
)</f>
        <v>75</v>
      </c>
      <c r="E783" s="113">
        <f>SUMIFS(All_Stats!$I:$I,
All_Stats!$D:$D,$B783,
All_Stats!$B:$B,"&gt;="&amp;EOMONTH($A783,-1)+1,
All_Stats!$B:$B,"&lt;"&amp;EOMONTH($A783,0)+1,
All_Stats!$P:$P,"&lt;&gt;Email Marketing"
)</f>
        <v>27</v>
      </c>
      <c r="F783" s="132">
        <f t="shared" si="238"/>
        <v>0.36</v>
      </c>
      <c r="G783" s="131">
        <f>SUMIFS(All_Stats!$H:$H,
All_Stats!$D:$D,$B783,
All_Stats!$B:$B,"&gt;="&amp;EOMONTH($A783,-1)+1,
All_Stats!$B:$B,"&lt;"&amp;EOMONTH($A783,0)+1,
All_Stats!$P:$P,"&lt;&gt;Email Marketing"
)</f>
        <v>48</v>
      </c>
      <c r="H783" s="113">
        <f>SUMIFS(All_Stats!$K:$K,
All_Stats!$D:$D,$B783,
All_Stats!$B:$B,"&gt;="&amp;EOMONTH($A783,-1)+1,
All_Stats!$B:$B,"&lt;"&amp;EOMONTH($A783,0)+1,
All_Stats!$P:$P,"&lt;&gt;Email Marketing"
)</f>
        <v>0</v>
      </c>
      <c r="I783" s="133">
        <f>IFERROR(__xludf.DUMMYFUNCTION("COUNTUNIQUEIFS(All_Stats!A:A,
All_Stats!$D:$D,$B783,
All_Stats!$B:$B,""&gt;=""&amp;EOMONTH($A783,-1)+1,
All_Stats!$B:$B,""&lt;""&amp;EOMONTH($A783,0)+1,
All_Stats!$P:$P,""&lt;&gt;Email Marketing""
)"),5.0)</f>
        <v>5</v>
      </c>
    </row>
    <row r="784" hidden="1">
      <c r="A784" s="128">
        <v>45170.0</v>
      </c>
      <c r="B784" s="129" t="s">
        <v>69</v>
      </c>
      <c r="C784" s="142" t="s">
        <v>491</v>
      </c>
      <c r="D784" s="131">
        <f>SUMIFS(All_Stats!$G:$G,
All_Stats!$D:$D,$B784,
All_Stats!$B:$B,"&gt;="&amp;EOMONTH($A784,-1)+1,
All_Stats!$B:$B,"&lt;"&amp;EOMONTH($A784,0)+1,
All_Stats!$P:$P,"&lt;&gt;Email Marketing"
)</f>
        <v>20</v>
      </c>
      <c r="E784" s="113">
        <f>SUMIFS(All_Stats!$I:$I,
All_Stats!$D:$D,$B784,
All_Stats!$B:$B,"&gt;="&amp;EOMONTH($A784,-1)+1,
All_Stats!$B:$B,"&lt;"&amp;EOMONTH($A784,0)+1,
All_Stats!$P:$P,"&lt;&gt;Email Marketing"
)</f>
        <v>11</v>
      </c>
      <c r="F784" s="132">
        <f t="shared" si="238"/>
        <v>0.55</v>
      </c>
      <c r="G784" s="131">
        <f>SUMIFS(All_Stats!$H:$H,
All_Stats!$D:$D,$B784,
All_Stats!$B:$B,"&gt;="&amp;EOMONTH($A784,-1)+1,
All_Stats!$B:$B,"&lt;"&amp;EOMONTH($A784,0)+1,
All_Stats!$P:$P,"&lt;&gt;Email Marketing"
)</f>
        <v>9</v>
      </c>
      <c r="H784" s="113">
        <f>SUMIFS(All_Stats!$K:$K,
All_Stats!$D:$D,$B784,
All_Stats!$B:$B,"&gt;="&amp;EOMONTH($A784,-1)+1,
All_Stats!$B:$B,"&lt;"&amp;EOMONTH($A784,0)+1,
All_Stats!$P:$P,"&lt;&gt;Email Marketing"
)</f>
        <v>0</v>
      </c>
      <c r="I784" s="133">
        <f>IFERROR(__xludf.DUMMYFUNCTION("COUNTUNIQUEIFS(All_Stats!A:A,
All_Stats!$D:$D,$B784,
All_Stats!$B:$B,""&gt;=""&amp;EOMONTH($A784,-1)+1,
All_Stats!$B:$B,""&lt;""&amp;EOMONTH($A784,0)+1,
All_Stats!$P:$P,""&lt;&gt;Email Marketing""
)"),3.0)</f>
        <v>3</v>
      </c>
    </row>
    <row r="785" hidden="1">
      <c r="A785" s="135"/>
      <c r="B785" s="135"/>
      <c r="C785" s="136" t="s">
        <v>23</v>
      </c>
      <c r="D785" s="137">
        <f t="shared" ref="D785:E785" si="239">SUM(D776:D784)</f>
        <v>5031</v>
      </c>
      <c r="E785" s="137">
        <f t="shared" si="239"/>
        <v>1553</v>
      </c>
      <c r="F785" s="138">
        <f t="shared" si="238"/>
        <v>0.3086861459</v>
      </c>
      <c r="G785" s="137">
        <f t="shared" ref="G785:H785" si="240">SUM(G776:G784)</f>
        <v>3303</v>
      </c>
      <c r="H785" s="137">
        <f t="shared" si="240"/>
        <v>102</v>
      </c>
      <c r="I785" s="139"/>
    </row>
    <row r="786" hidden="1">
      <c r="A786" s="114"/>
      <c r="B786" s="114"/>
      <c r="C786" s="115"/>
      <c r="D786" s="116"/>
      <c r="E786" s="116"/>
      <c r="F786" s="117"/>
      <c r="G786" s="116"/>
      <c r="H786" s="116"/>
      <c r="I786" s="116"/>
    </row>
    <row r="787" hidden="1">
      <c r="A787" s="114"/>
      <c r="B787" s="114"/>
      <c r="C787" s="115"/>
      <c r="D787" s="116">
        <f t="shared" ref="D787:E787" si="241">sum(D773+D785)</f>
        <v>7263</v>
      </c>
      <c r="E787" s="116">
        <f t="shared" si="241"/>
        <v>2558</v>
      </c>
      <c r="F787" s="117"/>
      <c r="G787" s="116">
        <f t="shared" ref="G787:H787" si="242">sum(G773+G785)</f>
        <v>4529</v>
      </c>
      <c r="H787" s="116">
        <f t="shared" si="242"/>
        <v>102</v>
      </c>
      <c r="I787" s="116"/>
    </row>
    <row r="788" hidden="1">
      <c r="A788" s="114"/>
      <c r="B788" s="114"/>
      <c r="C788" s="115"/>
      <c r="D788" s="116"/>
      <c r="E788" s="116"/>
      <c r="F788" s="117"/>
      <c r="G788" s="116"/>
      <c r="H788" s="116"/>
      <c r="I788" s="116"/>
    </row>
    <row r="789" hidden="1">
      <c r="C789" s="118" t="s">
        <v>484</v>
      </c>
      <c r="D789" s="119"/>
      <c r="E789" s="119"/>
      <c r="F789" s="119"/>
      <c r="G789" s="119"/>
      <c r="H789" s="119"/>
      <c r="I789" s="120"/>
    </row>
    <row r="790" hidden="1">
      <c r="A790" s="121" t="s">
        <v>1</v>
      </c>
      <c r="B790" s="122" t="s">
        <v>485</v>
      </c>
      <c r="C790" s="123" t="s">
        <v>486</v>
      </c>
      <c r="D790" s="124" t="s">
        <v>6</v>
      </c>
      <c r="E790" s="125" t="s">
        <v>8</v>
      </c>
      <c r="F790" s="124" t="s">
        <v>479</v>
      </c>
      <c r="G790" s="126" t="s">
        <v>7</v>
      </c>
      <c r="H790" s="125" t="s">
        <v>10</v>
      </c>
      <c r="I790" s="127" t="s">
        <v>487</v>
      </c>
    </row>
    <row r="791" hidden="1">
      <c r="A791" s="128">
        <v>45201.0</v>
      </c>
      <c r="B791" s="131" t="s">
        <v>164</v>
      </c>
      <c r="C791" s="134" t="str">
        <f>if(ifna(VLOOKUP(B791,'Vendor Directory'!A:C,3,0),"NOT FOUND")="","NOT FOUND",VLOOKUP(B791,'Vendor Directory'!A:C,3,0))</f>
        <v>#N/A</v>
      </c>
      <c r="D791" s="131">
        <f>SUMIFS(All_Stats!$G:$G,
All_Stats!$D:$D,$B791,
All_Stats!$B:$B,"&gt;="&amp;EOMONTH($A791,-1)+1,
All_Stats!$B:$B,"&lt;"&amp;EOMONTH($A791,0)+1,
All_Stats!$P:$P,"Email Marketing"
)</f>
        <v>1135</v>
      </c>
      <c r="E791" s="113">
        <f>SUMIFS(All_Stats!$I:$I,
All_Stats!$D:$D,$B791,
All_Stats!$B:$B,"&gt;="&amp;EOMONTH($A791,-1)+1,
All_Stats!$B:$B,"&lt;"&amp;EOMONTH($A791,0)+1,
All_Stats!$P:$P,"Email Marketing"
)</f>
        <v>592</v>
      </c>
      <c r="F791" s="132">
        <f t="shared" ref="F791:F795" si="243">iferror(E791/D791,"N/A")</f>
        <v>0.5215859031</v>
      </c>
      <c r="G791" s="131">
        <f>SUMIFS(All_Stats!$H:$H,
All_Stats!$D:$D,$B791,
All_Stats!$B:$B,"&gt;="&amp;EOMONTH($A791,-1)+1,
All_Stats!$B:$B,"&lt;"&amp;EOMONTH($A791,0)+1,
All_Stats!$P:$P,"Email Marketing"
)</f>
        <v>543</v>
      </c>
      <c r="H791" s="113">
        <f>SUMIFS(All_Stats!$K:$K,
All_Stats!$D:$D,$B791,
All_Stats!$B:$B,"&gt;="&amp;EOMONTH($A791,-1)+1,
All_Stats!$B:$B,"&lt;"&amp;EOMONTH($A791,0)+1,
All_Stats!$P:$P,"Email Marketing"
)</f>
        <v>0</v>
      </c>
      <c r="I791" s="133">
        <f>IFERROR(__xludf.DUMMYFUNCTION("COUNTUNIQUEIFS(All_Stats!A:A,
All_Stats!$D:$D,$B791,
All_Stats!$B:$B,""&gt;=""&amp;EOMONTH($A791,-1)+1,
All_Stats!$B:$B,""&lt;""&amp;EOMONTH($A791,0)+1,
All_Stats!$P:$P,""Email Marketing""
)"),19.0)</f>
        <v>19</v>
      </c>
    </row>
    <row r="792" hidden="1">
      <c r="A792" s="128">
        <v>45201.0</v>
      </c>
      <c r="B792" s="129" t="s">
        <v>79</v>
      </c>
      <c r="C792" s="130" t="s">
        <v>488</v>
      </c>
      <c r="D792" s="131">
        <f>SUMIFS(All_Stats!$G:$G,
All_Stats!$D:$D,$B792,
All_Stats!$B:$B,"&gt;="&amp;EOMONTH($A792,-1)+1,
All_Stats!$B:$B,"&lt;"&amp;EOMONTH($A792,0)+1,
All_Stats!$P:$P,"Email Marketing"
)</f>
        <v>871</v>
      </c>
      <c r="E792" s="113">
        <f>SUMIFS(All_Stats!$I:$I,
All_Stats!$D:$D,$B792,
All_Stats!$B:$B,"&gt;="&amp;EOMONTH($A792,-1)+1,
All_Stats!$B:$B,"&lt;"&amp;EOMONTH($A792,0)+1,
All_Stats!$P:$P,"Email Marketing"
)</f>
        <v>411</v>
      </c>
      <c r="F792" s="132">
        <f t="shared" si="243"/>
        <v>0.4718714122</v>
      </c>
      <c r="G792" s="131">
        <f>SUMIFS(All_Stats!$H:$H,
All_Stats!$D:$D,$B792,
All_Stats!$B:$B,"&gt;="&amp;EOMONTH($A792,-1)+1,
All_Stats!$B:$B,"&lt;"&amp;EOMONTH($A792,0)+1,
All_Stats!$P:$P,"Email Marketing"
)</f>
        <v>460</v>
      </c>
      <c r="H792" s="113">
        <f>SUMIFS(All_Stats!$K:$K,
All_Stats!$D:$D,$B792,
All_Stats!$B:$B,"&gt;="&amp;EOMONTH($A792,-1)+1,
All_Stats!$B:$B,"&lt;"&amp;EOMONTH($A792,0)+1,
All_Stats!$P:$P,"Email Marketing"
)</f>
        <v>0</v>
      </c>
      <c r="I792" s="133">
        <f>IFERROR(__xludf.DUMMYFUNCTION("COUNTUNIQUEIFS(All_Stats!A:A,
All_Stats!$D:$D,$B792,
All_Stats!$B:$B,""&gt;=""&amp;EOMONTH($A792,-1)+1,
All_Stats!$B:$B,""&lt;""&amp;EOMONTH($A792,0)+1,
All_Stats!$P:$P,""Email Marketing""
)"),5.0)</f>
        <v>5</v>
      </c>
    </row>
    <row r="793" hidden="1">
      <c r="A793" s="128">
        <v>45201.0</v>
      </c>
      <c r="B793" s="129" t="s">
        <v>109</v>
      </c>
      <c r="C793" s="130" t="s">
        <v>490</v>
      </c>
      <c r="D793" s="131">
        <f>SUMIFS(All_Stats!$G:$G,
All_Stats!$D:$D,$B793,
All_Stats!$B:$B,"&gt;="&amp;EOMONTH($A793,-1)+1,
All_Stats!$B:$B,"&lt;"&amp;EOMONTH($A793,0)+1,
All_Stats!$P:$P,"Email Marketing"
)</f>
        <v>36</v>
      </c>
      <c r="E793" s="113">
        <f>SUMIFS(All_Stats!$I:$I,
All_Stats!$D:$D,$B793,
All_Stats!$B:$B,"&gt;="&amp;EOMONTH($A793,-1)+1,
All_Stats!$B:$B,"&lt;"&amp;EOMONTH($A793,0)+1,
All_Stats!$P:$P,"Email Marketing"
)</f>
        <v>21</v>
      </c>
      <c r="F793" s="132">
        <f t="shared" si="243"/>
        <v>0.5833333333</v>
      </c>
      <c r="G793" s="131">
        <f>SUMIFS(All_Stats!$H:$H,
All_Stats!$D:$D,$B793,
All_Stats!$B:$B,"&gt;="&amp;EOMONTH($A793,-1)+1,
All_Stats!$B:$B,"&lt;"&amp;EOMONTH($A793,0)+1,
All_Stats!$P:$P,"Email Marketing"
)</f>
        <v>15</v>
      </c>
      <c r="H793" s="113">
        <f>SUMIFS(All_Stats!$K:$K,
All_Stats!$D:$D,$B793,
All_Stats!$B:$B,"&gt;="&amp;EOMONTH($A793,-1)+1,
All_Stats!$B:$B,"&lt;"&amp;EOMONTH($A793,0)+1,
All_Stats!$P:$P,"Email Marketing"
)</f>
        <v>0</v>
      </c>
      <c r="I793" s="133">
        <f>IFERROR(__xludf.DUMMYFUNCTION("COUNTUNIQUEIFS(All_Stats!A:A,
All_Stats!$D:$D,$B793,
All_Stats!$B:$B,""&gt;=""&amp;EOMONTH($A793,-1)+1,
All_Stats!$B:$B,""&lt;""&amp;EOMONTH($A793,0)+1,
All_Stats!$P:$P,""Email Marketing""
)"),4.0)</f>
        <v>4</v>
      </c>
    </row>
    <row r="794" hidden="1">
      <c r="A794" s="128">
        <v>45201.0</v>
      </c>
      <c r="B794" s="129" t="s">
        <v>33</v>
      </c>
      <c r="C794" s="142" t="s">
        <v>492</v>
      </c>
      <c r="D794" s="131">
        <f>SUMIFS(All_Stats!$G:$G,
All_Stats!$D:$D,$B794,
All_Stats!$B:$B,"&gt;="&amp;EOMONTH($A794,-1)+1,
All_Stats!$B:$B,"&lt;"&amp;EOMONTH($A794,0)+1,
All_Stats!$P:$P,"Email Marketing"
)</f>
        <v>7</v>
      </c>
      <c r="E794" s="113">
        <f>SUMIFS(All_Stats!$I:$I,
All_Stats!$D:$D,$B794,
All_Stats!$B:$B,"&gt;="&amp;EOMONTH($A794,-1)+1,
All_Stats!$B:$B,"&lt;"&amp;EOMONTH($A794,0)+1,
All_Stats!$P:$P,"Email Marketing"
)</f>
        <v>3</v>
      </c>
      <c r="F794" s="132">
        <f t="shared" si="243"/>
        <v>0.4285714286</v>
      </c>
      <c r="G794" s="131">
        <f>SUMIFS(All_Stats!$H:$H,
All_Stats!$D:$D,$B794,
All_Stats!$B:$B,"&gt;="&amp;EOMONTH($A794,-1)+1,
All_Stats!$B:$B,"&lt;"&amp;EOMONTH($A794,0)+1,
All_Stats!$P:$P,"Email Marketing"
)</f>
        <v>4</v>
      </c>
      <c r="H794" s="113">
        <f>SUMIFS(All_Stats!$K:$K,
All_Stats!$D:$D,$B794,
All_Stats!$B:$B,"&gt;="&amp;EOMONTH($A794,-1)+1,
All_Stats!$B:$B,"&lt;"&amp;EOMONTH($A794,0)+1,
All_Stats!$P:$P,"Email Marketing"
)</f>
        <v>0</v>
      </c>
      <c r="I794" s="133">
        <f>IFERROR(__xludf.DUMMYFUNCTION("COUNTUNIQUEIFS(All_Stats!A:A,
All_Stats!$D:$D,$B794,
All_Stats!$B:$B,""&gt;=""&amp;EOMONTH($A794,-1)+1,
All_Stats!$B:$B,""&lt;""&amp;EOMONTH($A794,0)+1,
All_Stats!$P:$P,""Email Marketing""
)"),3.0)</f>
        <v>3</v>
      </c>
    </row>
    <row r="795" hidden="1">
      <c r="A795" s="135"/>
      <c r="B795" s="135"/>
      <c r="C795" s="136" t="s">
        <v>23</v>
      </c>
      <c r="D795" s="137">
        <f t="shared" ref="D795:E795" si="244">SUM(D791:D794)</f>
        <v>2049</v>
      </c>
      <c r="E795" s="137">
        <f t="shared" si="244"/>
        <v>1027</v>
      </c>
      <c r="F795" s="138">
        <f t="shared" si="243"/>
        <v>0.5012201074</v>
      </c>
      <c r="G795" s="137">
        <f t="shared" ref="G795:H795" si="245">SUM(G791:G794)</f>
        <v>1022</v>
      </c>
      <c r="H795" s="137">
        <f t="shared" si="245"/>
        <v>0</v>
      </c>
      <c r="I795" s="139"/>
    </row>
    <row r="796" hidden="1">
      <c r="A796" s="131"/>
      <c r="B796" s="131"/>
      <c r="C796" s="129"/>
      <c r="D796" s="140"/>
      <c r="F796" s="131"/>
      <c r="G796" s="131"/>
    </row>
    <row r="797" hidden="1">
      <c r="A797" s="121" t="s">
        <v>1</v>
      </c>
      <c r="B797" s="122" t="s">
        <v>485</v>
      </c>
      <c r="C797" s="123" t="s">
        <v>486</v>
      </c>
      <c r="D797" s="124" t="s">
        <v>6</v>
      </c>
      <c r="E797" s="125" t="s">
        <v>8</v>
      </c>
      <c r="F797" s="124" t="s">
        <v>479</v>
      </c>
      <c r="G797" s="126" t="s">
        <v>7</v>
      </c>
      <c r="H797" s="125" t="s">
        <v>10</v>
      </c>
      <c r="I797" s="127" t="s">
        <v>487</v>
      </c>
    </row>
    <row r="798" hidden="1">
      <c r="A798" s="128">
        <v>45201.0</v>
      </c>
      <c r="B798" s="131" t="s">
        <v>127</v>
      </c>
      <c r="C798" s="134" t="str">
        <f>if(ifna(VLOOKUP(B798,'Vendor Directory'!A:C,3,0),"NOT FOUND")="","NOT FOUND",VLOOKUP(B798,'Vendor Directory'!A:C,3,0))</f>
        <v>#N/A</v>
      </c>
      <c r="D798" s="131">
        <f>SUMIFS(All_Stats!$G:$G,
All_Stats!$D:$D,$B798,
All_Stats!$B:$B,"&gt;="&amp;EOMONTH($A798,-1)+1,
All_Stats!$B:$B,"&lt;"&amp;EOMONTH($A798,0)+1,
All_Stats!$P:$P,"&lt;&gt;Email Marketing"
)</f>
        <v>1542</v>
      </c>
      <c r="E798" s="113">
        <f>SUMIFS(All_Stats!$I:$I,
All_Stats!$D:$D,$B798,
All_Stats!$B:$B,"&gt;="&amp;EOMONTH($A798,-1)+1,
All_Stats!$B:$B,"&lt;"&amp;EOMONTH($A798,0)+1,
All_Stats!$P:$P,"&lt;&gt;Email Marketing"
)</f>
        <v>649</v>
      </c>
      <c r="F798" s="132">
        <f t="shared" ref="F798:F807" si="246">iferror(E798/D798,"N/A")</f>
        <v>0.4208819715</v>
      </c>
      <c r="G798" s="131">
        <f>SUMIFS(All_Stats!$H:$H,
All_Stats!$D:$D,$B798,
All_Stats!$B:$B,"&gt;="&amp;EOMONTH($A798,-1)+1,
All_Stats!$B:$B,"&lt;"&amp;EOMONTH($A798,0)+1,
All_Stats!$P:$P,"&lt;&gt;Email Marketing"
)</f>
        <v>885</v>
      </c>
      <c r="H798" s="113">
        <f>SUMIFS(All_Stats!$K:$K,
All_Stats!$D:$D,$B798,
All_Stats!$B:$B,"&gt;="&amp;EOMONTH($A798,-1)+1,
All_Stats!$B:$B,"&lt;"&amp;EOMONTH($A798,0)+1,
All_Stats!$P:$P,"&lt;&gt;Email Marketing"
)</f>
        <v>0</v>
      </c>
      <c r="I798" s="133">
        <f>IFERROR(__xludf.DUMMYFUNCTION("COUNTUNIQUEIFS(All_Stats!A:A,
All_Stats!$D:$D,$B798,
All_Stats!$B:$B,""&gt;=""&amp;EOMONTH($A798,-1)+1,
All_Stats!$B:$B,""&lt;""&amp;EOMONTH($A798,0)+1,
All_Stats!$P:$P,""&lt;&gt;Email Marketing""
)"),22.0)</f>
        <v>22</v>
      </c>
    </row>
    <row r="799" hidden="1">
      <c r="A799" s="128">
        <v>45201.0</v>
      </c>
      <c r="B799" s="129" t="s">
        <v>19</v>
      </c>
      <c r="C799" s="141" t="s">
        <v>489</v>
      </c>
      <c r="D799" s="131">
        <f>SUMIFS(All_Stats!$G:$G,
All_Stats!$D:$D,$B799,
All_Stats!$B:$B,"&gt;="&amp;EOMONTH($A799,-1)+1,
All_Stats!$B:$B,"&lt;"&amp;EOMONTH($A799,0)+1,
All_Stats!$P:$P,"&lt;&gt;Email Marketing"
)</f>
        <v>1403</v>
      </c>
      <c r="E799" s="113">
        <f>SUMIFS(All_Stats!$I:$I,
All_Stats!$D:$D,$B799,
All_Stats!$B:$B,"&gt;="&amp;EOMONTH($A799,-1)+1,
All_Stats!$B:$B,"&lt;"&amp;EOMONTH($A799,0)+1,
All_Stats!$P:$P,"&lt;&gt;Email Marketing"
)</f>
        <v>503</v>
      </c>
      <c r="F799" s="132">
        <f t="shared" si="246"/>
        <v>0.3585174626</v>
      </c>
      <c r="G799" s="131">
        <f>SUMIFS(All_Stats!$H:$H,
All_Stats!$D:$D,$B799,
All_Stats!$B:$B,"&gt;="&amp;EOMONTH($A799,-1)+1,
All_Stats!$B:$B,"&lt;"&amp;EOMONTH($A799,0)+1,
All_Stats!$P:$P,"&lt;&gt;Email Marketing"
)</f>
        <v>887</v>
      </c>
      <c r="H799" s="113">
        <f>SUMIFS(All_Stats!$K:$K,
All_Stats!$D:$D,$B799,
All_Stats!$B:$B,"&gt;="&amp;EOMONTH($A799,-1)+1,
All_Stats!$B:$B,"&lt;"&amp;EOMONTH($A799,0)+1,
All_Stats!$P:$P,"&lt;&gt;Email Marketing"
)</f>
        <v>1</v>
      </c>
      <c r="I799" s="133">
        <f>IFERROR(__xludf.DUMMYFUNCTION("COUNTUNIQUEIFS(All_Stats!A:A,
All_Stats!$D:$D,$B799,
All_Stats!$B:$B,""&gt;=""&amp;EOMONTH($A799,-1)+1,
All_Stats!$B:$B,""&lt;""&amp;EOMONTH($A799,0)+1,
All_Stats!$P:$P,""&lt;&gt;Email Marketing""
)"),63.0)</f>
        <v>63</v>
      </c>
    </row>
    <row r="800" hidden="1">
      <c r="A800" s="128">
        <v>45201.0</v>
      </c>
      <c r="B800" s="131" t="s">
        <v>30</v>
      </c>
      <c r="C800" s="134" t="str">
        <f>if(ifna(VLOOKUP(B800,'Vendor Directory'!A:C,3,0),"NOT FOUND")="","NOT FOUND",VLOOKUP(B800,'Vendor Directory'!A:C,3,0))</f>
        <v>Vendor 2 Name</v>
      </c>
      <c r="D800" s="131">
        <f>SUMIFS(All_Stats!$G:$G,
All_Stats!$D:$D,$B800,
All_Stats!$B:$B,"&gt;="&amp;EOMONTH($A800,-1)+1,
All_Stats!$B:$B,"&lt;"&amp;EOMONTH($A800,0)+1,
All_Stats!$P:$P,"&lt;&gt;Email Marketing"
)</f>
        <v>694</v>
      </c>
      <c r="E800" s="113">
        <f>SUMIFS(All_Stats!$I:$I,
All_Stats!$D:$D,$B800,
All_Stats!$B:$B,"&gt;="&amp;EOMONTH($A800,-1)+1,
All_Stats!$B:$B,"&lt;"&amp;EOMONTH($A800,0)+1,
All_Stats!$P:$P,"&lt;&gt;Email Marketing"
)</f>
        <v>153</v>
      </c>
      <c r="F800" s="132">
        <f t="shared" si="246"/>
        <v>0.2204610951</v>
      </c>
      <c r="G800" s="131">
        <f>SUMIFS(All_Stats!$H:$H,
All_Stats!$D:$D,$B800,
All_Stats!$B:$B,"&gt;="&amp;EOMONTH($A800,-1)+1,
All_Stats!$B:$B,"&lt;"&amp;EOMONTH($A800,0)+1,
All_Stats!$P:$P,"&lt;&gt;Email Marketing"
)</f>
        <v>537</v>
      </c>
      <c r="H800" s="113">
        <f>SUMIFS(All_Stats!$K:$K,
All_Stats!$D:$D,$B800,
All_Stats!$B:$B,"&gt;="&amp;EOMONTH($A800,-1)+1,
All_Stats!$B:$B,"&lt;"&amp;EOMONTH($A800,0)+1,
All_Stats!$P:$P,"&lt;&gt;Email Marketing"
)</f>
        <v>0</v>
      </c>
      <c r="I800" s="133">
        <f>IFERROR(__xludf.DUMMYFUNCTION("COUNTUNIQUEIFS(All_Stats!A:A,
All_Stats!$D:$D,$B800,
All_Stats!$B:$B,""&gt;=""&amp;EOMONTH($A800,-1)+1,
All_Stats!$B:$B,""&lt;""&amp;EOMONTH($A800,0)+1,
All_Stats!$P:$P,""&lt;&gt;Email Marketing""
)"),9.0)</f>
        <v>9</v>
      </c>
    </row>
    <row r="801" hidden="1">
      <c r="A801" s="128">
        <v>45201.0</v>
      </c>
      <c r="B801" s="131" t="s">
        <v>91</v>
      </c>
      <c r="C801" s="134" t="str">
        <f>if(ifna(VLOOKUP(B801,'Vendor Directory'!A:C,3,0),"NOT FOUND")="","NOT FOUND",VLOOKUP(B801,'Vendor Directory'!A:C,3,0))</f>
        <v>#N/A</v>
      </c>
      <c r="D801" s="131">
        <f>SUMIFS(All_Stats!$G:$G,
All_Stats!$D:$D,$B801,
All_Stats!$B:$B,"&gt;="&amp;EOMONTH($A801,-1)+1,
All_Stats!$B:$B,"&lt;"&amp;EOMONTH($A801,0)+1,
All_Stats!$P:$P,"&lt;&gt;Email Marketing"
)</f>
        <v>305</v>
      </c>
      <c r="E801" s="113">
        <f>SUMIFS(All_Stats!$I:$I,
All_Stats!$D:$D,$B801,
All_Stats!$B:$B,"&gt;="&amp;EOMONTH($A801,-1)+1,
All_Stats!$B:$B,"&lt;"&amp;EOMONTH($A801,0)+1,
All_Stats!$P:$P,"&lt;&gt;Email Marketing"
)</f>
        <v>97</v>
      </c>
      <c r="F801" s="132">
        <f t="shared" si="246"/>
        <v>0.3180327869</v>
      </c>
      <c r="G801" s="131">
        <f>SUMIFS(All_Stats!$H:$H,
All_Stats!$D:$D,$B801,
All_Stats!$B:$B,"&gt;="&amp;EOMONTH($A801,-1)+1,
All_Stats!$B:$B,"&lt;"&amp;EOMONTH($A801,0)+1,
All_Stats!$P:$P,"&lt;&gt;Email Marketing"
)</f>
        <v>192</v>
      </c>
      <c r="H801" s="113">
        <f>SUMIFS(All_Stats!$K:$K,
All_Stats!$D:$D,$B801,
All_Stats!$B:$B,"&gt;="&amp;EOMONTH($A801,-1)+1,
All_Stats!$B:$B,"&lt;"&amp;EOMONTH($A801,0)+1,
All_Stats!$P:$P,"&lt;&gt;Email Marketing"
)</f>
        <v>16</v>
      </c>
      <c r="I801" s="133">
        <f>IFERROR(__xludf.DUMMYFUNCTION("COUNTUNIQUEIFS(All_Stats!A:A,
All_Stats!$D:$D,$B801,
All_Stats!$B:$B,""&gt;=""&amp;EOMONTH($A801,-1)+1,
All_Stats!$B:$B,""&lt;""&amp;EOMONTH($A801,0)+1,
All_Stats!$P:$P,""&lt;&gt;Email Marketing""
)"),18.0)</f>
        <v>18</v>
      </c>
    </row>
    <row r="802" hidden="1">
      <c r="A802" s="128">
        <v>45201.0</v>
      </c>
      <c r="B802" s="131" t="s">
        <v>157</v>
      </c>
      <c r="C802" s="134" t="str">
        <f>if(ifna(VLOOKUP(B802,'Vendor Directory'!A:C,3,0),"NOT FOUND")="","NOT FOUND",VLOOKUP(B802,'Vendor Directory'!A:C,3,0))</f>
        <v>#N/A</v>
      </c>
      <c r="D802" s="131">
        <f>SUMIFS(All_Stats!$G:$G,
All_Stats!$D:$D,$B802,
All_Stats!$B:$B,"&gt;="&amp;EOMONTH($A802,-1)+1,
All_Stats!$B:$B,"&lt;"&amp;EOMONTH($A802,0)+1,
All_Stats!$P:$P,"&lt;&gt;Email Marketing"
)</f>
        <v>92</v>
      </c>
      <c r="E802" s="113">
        <f>SUMIFS(All_Stats!$I:$I,
All_Stats!$D:$D,$B802,
All_Stats!$B:$B,"&gt;="&amp;EOMONTH($A802,-1)+1,
All_Stats!$B:$B,"&lt;"&amp;EOMONTH($A802,0)+1,
All_Stats!$P:$P,"&lt;&gt;Email Marketing"
)</f>
        <v>52</v>
      </c>
      <c r="F802" s="132">
        <f t="shared" si="246"/>
        <v>0.5652173913</v>
      </c>
      <c r="G802" s="131">
        <f>SUMIFS(All_Stats!$H:$H,
All_Stats!$D:$D,$B802,
All_Stats!$B:$B,"&gt;="&amp;EOMONTH($A802,-1)+1,
All_Stats!$B:$B,"&lt;"&amp;EOMONTH($A802,0)+1,
All_Stats!$P:$P,"&lt;&gt;Email Marketing"
)</f>
        <v>40</v>
      </c>
      <c r="H802" s="113">
        <f>SUMIFS(All_Stats!$K:$K,
All_Stats!$D:$D,$B802,
All_Stats!$B:$B,"&gt;="&amp;EOMONTH($A802,-1)+1,
All_Stats!$B:$B,"&lt;"&amp;EOMONTH($A802,0)+1,
All_Stats!$P:$P,"&lt;&gt;Email Marketing"
)</f>
        <v>0</v>
      </c>
      <c r="I802" s="133">
        <f>IFERROR(__xludf.DUMMYFUNCTION("COUNTUNIQUEIFS(All_Stats!A:A,
All_Stats!$D:$D,$B802,
All_Stats!$B:$B,""&gt;=""&amp;EOMONTH($A802,-1)+1,
All_Stats!$B:$B,""&lt;""&amp;EOMONTH($A802,0)+1,
All_Stats!$P:$P,""&lt;&gt;Email Marketing""
)"),5.0)</f>
        <v>5</v>
      </c>
    </row>
    <row r="803" hidden="1">
      <c r="A803" s="128">
        <v>45201.0</v>
      </c>
      <c r="B803" s="129" t="s">
        <v>33</v>
      </c>
      <c r="C803" s="142" t="s">
        <v>492</v>
      </c>
      <c r="D803" s="131">
        <f>SUMIFS(All_Stats!$G:$G,
All_Stats!$D:$D,$B803,
All_Stats!$B:$B,"&gt;="&amp;EOMONTH($A803,-1)+1,
All_Stats!$B:$B,"&lt;"&amp;EOMONTH($A803,0)+1,
All_Stats!$P:$P,"&lt;&gt;Email Marketing"
)</f>
        <v>101</v>
      </c>
      <c r="E803" s="113">
        <f>SUMIFS(All_Stats!$I:$I,
All_Stats!$D:$D,$B803,
All_Stats!$B:$B,"&gt;="&amp;EOMONTH($A803,-1)+1,
All_Stats!$B:$B,"&lt;"&amp;EOMONTH($A803,0)+1,
All_Stats!$P:$P,"&lt;&gt;Email Marketing"
)</f>
        <v>46</v>
      </c>
      <c r="F803" s="132">
        <f t="shared" si="246"/>
        <v>0.4554455446</v>
      </c>
      <c r="G803" s="131">
        <f>SUMIFS(All_Stats!$H:$H,
All_Stats!$D:$D,$B803,
All_Stats!$B:$B,"&gt;="&amp;EOMONTH($A803,-1)+1,
All_Stats!$B:$B,"&lt;"&amp;EOMONTH($A803,0)+1,
All_Stats!$P:$P,"&lt;&gt;Email Marketing"
)</f>
        <v>49</v>
      </c>
      <c r="H803" s="113">
        <f>SUMIFS(All_Stats!$K:$K,
All_Stats!$D:$D,$B803,
All_Stats!$B:$B,"&gt;="&amp;EOMONTH($A803,-1)+1,
All_Stats!$B:$B,"&lt;"&amp;EOMONTH($A803,0)+1,
All_Stats!$P:$P,"&lt;&gt;Email Marketing"
)</f>
        <v>0</v>
      </c>
      <c r="I803" s="133">
        <f>IFERROR(__xludf.DUMMYFUNCTION("COUNTUNIQUEIFS(All_Stats!A:A,
All_Stats!$D:$D,$B803,
All_Stats!$B:$B,""&gt;=""&amp;EOMONTH($A803,-1)+1,
All_Stats!$B:$B,""&lt;""&amp;EOMONTH($A803,0)+1,
All_Stats!$P:$P,""&lt;&gt;Email Marketing""
)"),10.0)</f>
        <v>10</v>
      </c>
    </row>
    <row r="804" hidden="1">
      <c r="A804" s="128">
        <v>45201.0</v>
      </c>
      <c r="B804" s="129" t="s">
        <v>109</v>
      </c>
      <c r="C804" s="130" t="s">
        <v>490</v>
      </c>
      <c r="D804" s="131">
        <f>SUMIFS(All_Stats!$G:$G,
All_Stats!$D:$D,$B804,
All_Stats!$B:$B,"&gt;="&amp;EOMONTH($A804,-1)+1,
All_Stats!$B:$B,"&lt;"&amp;EOMONTH($A804,0)+1,
All_Stats!$P:$P,"&lt;&gt;Email Marketing"
)</f>
        <v>54</v>
      </c>
      <c r="E804" s="113">
        <f>SUMIFS(All_Stats!$I:$I,
All_Stats!$D:$D,$B804,
All_Stats!$B:$B,"&gt;="&amp;EOMONTH($A804,-1)+1,
All_Stats!$B:$B,"&lt;"&amp;EOMONTH($A804,0)+1,
All_Stats!$P:$P,"&lt;&gt;Email Marketing"
)</f>
        <v>28</v>
      </c>
      <c r="F804" s="132">
        <f t="shared" si="246"/>
        <v>0.5185185185</v>
      </c>
      <c r="G804" s="131">
        <f>SUMIFS(All_Stats!$H:$H,
All_Stats!$D:$D,$B804,
All_Stats!$B:$B,"&gt;="&amp;EOMONTH($A804,-1)+1,
All_Stats!$B:$B,"&lt;"&amp;EOMONTH($A804,0)+1,
All_Stats!$P:$P,"&lt;&gt;Email Marketing"
)</f>
        <v>26</v>
      </c>
      <c r="H804" s="113">
        <f>SUMIFS(All_Stats!$K:$K,
All_Stats!$D:$D,$B804,
All_Stats!$B:$B,"&gt;="&amp;EOMONTH($A804,-1)+1,
All_Stats!$B:$B,"&lt;"&amp;EOMONTH($A804,0)+1,
All_Stats!$P:$P,"&lt;&gt;Email Marketing"
)</f>
        <v>0</v>
      </c>
      <c r="I804" s="133">
        <f>IFERROR(__xludf.DUMMYFUNCTION("COUNTUNIQUEIFS(All_Stats!A:A,
All_Stats!$D:$D,$B804,
All_Stats!$B:$B,""&gt;=""&amp;EOMONTH($A804,-1)+1,
All_Stats!$B:$B,""&lt;""&amp;EOMONTH($A804,0)+1,
All_Stats!$P:$P,""&lt;&gt;Email Marketing""
)"),6.0)</f>
        <v>6</v>
      </c>
    </row>
    <row r="805" hidden="1">
      <c r="A805" s="128">
        <v>45201.0</v>
      </c>
      <c r="B805" s="129" t="s">
        <v>69</v>
      </c>
      <c r="C805" s="142" t="s">
        <v>491</v>
      </c>
      <c r="D805" s="131">
        <f>SUMIFS(All_Stats!$G:$G,
All_Stats!$D:$D,$B805,
All_Stats!$B:$B,"&gt;="&amp;EOMONTH($A805,-1)+1,
All_Stats!$B:$B,"&lt;"&amp;EOMONTH($A805,0)+1,
All_Stats!$P:$P,"&lt;&gt;Email Marketing"
)</f>
        <v>24</v>
      </c>
      <c r="E805" s="113">
        <f>SUMIFS(All_Stats!$I:$I,
All_Stats!$D:$D,$B805,
All_Stats!$B:$B,"&gt;="&amp;EOMONTH($A805,-1)+1,
All_Stats!$B:$B,"&lt;"&amp;EOMONTH($A805,0)+1,
All_Stats!$P:$P,"&lt;&gt;Email Marketing"
)</f>
        <v>14</v>
      </c>
      <c r="F805" s="132">
        <f t="shared" si="246"/>
        <v>0.5833333333</v>
      </c>
      <c r="G805" s="131">
        <f>SUMIFS(All_Stats!$H:$H,
All_Stats!$D:$D,$B805,
All_Stats!$B:$B,"&gt;="&amp;EOMONTH($A805,-1)+1,
All_Stats!$B:$B,"&lt;"&amp;EOMONTH($A805,0)+1,
All_Stats!$P:$P,"&lt;&gt;Email Marketing"
)</f>
        <v>10</v>
      </c>
      <c r="H805" s="113">
        <f>SUMIFS(All_Stats!$K:$K,
All_Stats!$D:$D,$B805,
All_Stats!$B:$B,"&gt;="&amp;EOMONTH($A805,-1)+1,
All_Stats!$B:$B,"&lt;"&amp;EOMONTH($A805,0)+1,
All_Stats!$P:$P,"&lt;&gt;Email Marketing"
)</f>
        <v>0</v>
      </c>
      <c r="I805" s="133">
        <f>IFERROR(__xludf.DUMMYFUNCTION("COUNTUNIQUEIFS(All_Stats!A:A,
All_Stats!$D:$D,$B805,
All_Stats!$B:$B,""&gt;=""&amp;EOMONTH($A805,-1)+1,
All_Stats!$B:$B,""&lt;""&amp;EOMONTH($A805,0)+1,
All_Stats!$P:$P,""&lt;&gt;Email Marketing""
)"),5.0)</f>
        <v>5</v>
      </c>
    </row>
    <row r="806" hidden="1">
      <c r="A806" s="128">
        <v>45201.0</v>
      </c>
      <c r="B806" s="129" t="s">
        <v>79</v>
      </c>
      <c r="C806" s="130" t="s">
        <v>488</v>
      </c>
      <c r="D806" s="131">
        <f>SUMIFS(All_Stats!$G:$G,
All_Stats!$D:$D,$B806,
All_Stats!$B:$B,"&gt;="&amp;EOMONTH($A806,-1)+1,
All_Stats!$B:$B,"&lt;"&amp;EOMONTH($A806,0)+1,
All_Stats!$P:$P,"&lt;&gt;Email Marketing"
)</f>
        <v>6</v>
      </c>
      <c r="E806" s="113">
        <f>SUMIFS(All_Stats!$I:$I,
All_Stats!$D:$D,$B806,
All_Stats!$B:$B,"&gt;="&amp;EOMONTH($A806,-1)+1,
All_Stats!$B:$B,"&lt;"&amp;EOMONTH($A806,0)+1,
All_Stats!$P:$P,"&lt;&gt;Email Marketing"
)</f>
        <v>4</v>
      </c>
      <c r="F806" s="132">
        <f t="shared" si="246"/>
        <v>0.6666666667</v>
      </c>
      <c r="G806" s="131">
        <f>SUMIFS(All_Stats!$H:$H,
All_Stats!$D:$D,$B806,
All_Stats!$B:$B,"&gt;="&amp;EOMONTH($A806,-1)+1,
All_Stats!$B:$B,"&lt;"&amp;EOMONTH($A806,0)+1,
All_Stats!$P:$P,"&lt;&gt;Email Marketing"
)</f>
        <v>2</v>
      </c>
      <c r="H806" s="113">
        <f>SUMIFS(All_Stats!$K:$K,
All_Stats!$D:$D,$B806,
All_Stats!$B:$B,"&gt;="&amp;EOMONTH($A806,-1)+1,
All_Stats!$B:$B,"&lt;"&amp;EOMONTH($A806,0)+1,
All_Stats!$P:$P,"&lt;&gt;Email Marketing"
)</f>
        <v>0</v>
      </c>
      <c r="I806" s="133">
        <f>IFERROR(__xludf.DUMMYFUNCTION("COUNTUNIQUEIFS(All_Stats!A:A,
All_Stats!$D:$D,$B806,
All_Stats!$B:$B,""&gt;=""&amp;EOMONTH($A806,-1)+1,
All_Stats!$B:$B,""&lt;""&amp;EOMONTH($A806,0)+1,
All_Stats!$P:$P,""&lt;&gt;Email Marketing""
)"),3.0)</f>
        <v>3</v>
      </c>
    </row>
    <row r="807" hidden="1">
      <c r="A807" s="135"/>
      <c r="B807" s="135"/>
      <c r="C807" s="136" t="s">
        <v>23</v>
      </c>
      <c r="D807" s="137">
        <f t="shared" ref="D807:E807" si="247">SUM(D798:D806)</f>
        <v>4221</v>
      </c>
      <c r="E807" s="137">
        <f t="shared" si="247"/>
        <v>1546</v>
      </c>
      <c r="F807" s="138">
        <f t="shared" si="246"/>
        <v>0.3662639185</v>
      </c>
      <c r="G807" s="137">
        <f t="shared" ref="G807:H807" si="248">SUM(G798:G806)</f>
        <v>2628</v>
      </c>
      <c r="H807" s="137">
        <f t="shared" si="248"/>
        <v>17</v>
      </c>
      <c r="I807" s="139"/>
    </row>
    <row r="808" hidden="1">
      <c r="A808" s="114"/>
      <c r="B808" s="114"/>
      <c r="C808" s="115"/>
      <c r="D808" s="116"/>
      <c r="E808" s="116"/>
      <c r="F808" s="117"/>
      <c r="G808" s="116"/>
      <c r="H808" s="116"/>
      <c r="I808" s="116"/>
    </row>
    <row r="809" hidden="1">
      <c r="A809" s="114"/>
      <c r="B809" s="114"/>
      <c r="C809" s="115"/>
      <c r="D809" s="116">
        <f t="shared" ref="D809:E809" si="249">D795+D807</f>
        <v>6270</v>
      </c>
      <c r="E809" s="116">
        <f t="shared" si="249"/>
        <v>2573</v>
      </c>
      <c r="F809" s="117"/>
      <c r="G809" s="116">
        <f t="shared" ref="G809:H809" si="250">G795+G807</f>
        <v>3650</v>
      </c>
      <c r="H809" s="116">
        <f t="shared" si="250"/>
        <v>17</v>
      </c>
      <c r="I809" s="116"/>
    </row>
    <row r="810" hidden="1">
      <c r="A810" s="114"/>
      <c r="B810" s="114"/>
      <c r="C810" s="115"/>
      <c r="D810" s="116"/>
      <c r="E810" s="116"/>
      <c r="F810" s="117"/>
      <c r="G810" s="116"/>
      <c r="H810" s="116"/>
      <c r="I810" s="116"/>
    </row>
    <row r="811" hidden="1">
      <c r="C811" s="118" t="s">
        <v>484</v>
      </c>
      <c r="D811" s="119"/>
      <c r="E811" s="119"/>
      <c r="F811" s="119"/>
      <c r="G811" s="119"/>
      <c r="H811" s="119"/>
      <c r="I811" s="120"/>
    </row>
    <row r="812" hidden="1">
      <c r="A812" s="121" t="s">
        <v>1</v>
      </c>
      <c r="B812" s="122" t="s">
        <v>485</v>
      </c>
      <c r="C812" s="123" t="s">
        <v>486</v>
      </c>
      <c r="D812" s="124" t="s">
        <v>6</v>
      </c>
      <c r="E812" s="125" t="s">
        <v>8</v>
      </c>
      <c r="F812" s="124" t="s">
        <v>479</v>
      </c>
      <c r="G812" s="126" t="s">
        <v>7</v>
      </c>
      <c r="H812" s="125" t="s">
        <v>10</v>
      </c>
      <c r="I812" s="127" t="s">
        <v>487</v>
      </c>
    </row>
    <row r="813" hidden="1">
      <c r="A813" s="128">
        <v>45231.0</v>
      </c>
      <c r="B813" s="129" t="s">
        <v>79</v>
      </c>
      <c r="C813" s="130" t="s">
        <v>488</v>
      </c>
      <c r="D813" s="131">
        <f>SUMIFS(All_Stats!$G:$G,
All_Stats!$D:$D,$B813,
All_Stats!$B:$B,"&gt;="&amp;EOMONTH($A813,-1)+1,
All_Stats!$B:$B,"&lt;"&amp;EOMONTH($A813,0)+1,
All_Stats!$P:$P,"Email Marketing"
)</f>
        <v>1775</v>
      </c>
      <c r="E813" s="113">
        <f>SUMIFS(All_Stats!$I:$I,
All_Stats!$D:$D,$B813,
All_Stats!$B:$B,"&gt;="&amp;EOMONTH($A813,-1)+1,
All_Stats!$B:$B,"&lt;"&amp;EOMONTH($A813,0)+1,
All_Stats!$P:$P,"Email Marketing"
)</f>
        <v>846</v>
      </c>
      <c r="F813" s="132">
        <f t="shared" ref="F813:F815" si="251">iferror(E813/D813,"N/A")</f>
        <v>0.4766197183</v>
      </c>
      <c r="G813" s="131">
        <f>SUMIFS(All_Stats!$H:$H,
All_Stats!$D:$D,$B813,
All_Stats!$B:$B,"&gt;="&amp;EOMONTH($A813,-1)+1,
All_Stats!$B:$B,"&lt;"&amp;EOMONTH($A813,0)+1,
All_Stats!$P:$P,"Email Marketing"
)</f>
        <v>929</v>
      </c>
      <c r="H813" s="113">
        <f>SUMIFS(All_Stats!$K:$K,
All_Stats!$D:$D,$B813,
All_Stats!$B:$B,"&gt;="&amp;EOMONTH($A813,-1)+1,
All_Stats!$B:$B,"&lt;"&amp;EOMONTH($A813,0)+1,
All_Stats!$P:$P,"Email Marketing"
)</f>
        <v>0</v>
      </c>
      <c r="I813" s="133">
        <f>IFERROR(__xludf.DUMMYFUNCTION("COUNTUNIQUEIFS(All_Stats!A:A,
All_Stats!$D:$D,$B813,
All_Stats!$B:$B,""&gt;=""&amp;EOMONTH($A813,-1)+1,
All_Stats!$B:$B,""&lt;""&amp;EOMONTH($A813,0)+1,
All_Stats!$P:$P,""Email Marketing""
)"),15.0)</f>
        <v>15</v>
      </c>
    </row>
    <row r="814" hidden="1">
      <c r="A814" s="128">
        <v>45231.0</v>
      </c>
      <c r="B814" s="131" t="s">
        <v>164</v>
      </c>
      <c r="C814" s="134" t="str">
        <f>if(ifna(VLOOKUP(B814,'Vendor Directory'!A:C,3,0),"NOT FOUND")="","NOT FOUND",VLOOKUP(B814,'Vendor Directory'!A:C,3,0))</f>
        <v>#N/A</v>
      </c>
      <c r="D814" s="131">
        <f>SUMIFS(All_Stats!$G:$G,
All_Stats!$D:$D,$B814,
All_Stats!$B:$B,"&gt;="&amp;EOMONTH($A814,-1)+1,
All_Stats!$B:$B,"&lt;"&amp;EOMONTH($A814,0)+1,
All_Stats!$P:$P,"Email Marketing"
)</f>
        <v>1417</v>
      </c>
      <c r="E814" s="113">
        <f>SUMIFS(All_Stats!$I:$I,
All_Stats!$D:$D,$B814,
All_Stats!$B:$B,"&gt;="&amp;EOMONTH($A814,-1)+1,
All_Stats!$B:$B,"&lt;"&amp;EOMONTH($A814,0)+1,
All_Stats!$P:$P,"Email Marketing"
)</f>
        <v>760</v>
      </c>
      <c r="F814" s="132">
        <f t="shared" si="251"/>
        <v>0.5363443896</v>
      </c>
      <c r="G814" s="131">
        <f>SUMIFS(All_Stats!$H:$H,
All_Stats!$D:$D,$B814,
All_Stats!$B:$B,"&gt;="&amp;EOMONTH($A814,-1)+1,
All_Stats!$B:$B,"&lt;"&amp;EOMONTH($A814,0)+1,
All_Stats!$P:$P,"Email Marketing"
)</f>
        <v>657</v>
      </c>
      <c r="H814" s="113">
        <f>SUMIFS(All_Stats!$K:$K,
All_Stats!$D:$D,$B814,
All_Stats!$B:$B,"&gt;="&amp;EOMONTH($A814,-1)+1,
All_Stats!$B:$B,"&lt;"&amp;EOMONTH($A814,0)+1,
All_Stats!$P:$P,"Email Marketing"
)</f>
        <v>0</v>
      </c>
      <c r="I814" s="133">
        <f>IFERROR(__xludf.DUMMYFUNCTION("COUNTUNIQUEIFS(All_Stats!A:A,
All_Stats!$D:$D,$B814,
All_Stats!$B:$B,""&gt;=""&amp;EOMONTH($A814,-1)+1,
All_Stats!$B:$B,""&lt;""&amp;EOMONTH($A814,0)+1,
All_Stats!$P:$P,""Email Marketing""
)"),19.0)</f>
        <v>19</v>
      </c>
    </row>
    <row r="815" hidden="1">
      <c r="A815" s="135"/>
      <c r="B815" s="135"/>
      <c r="C815" s="136" t="s">
        <v>23</v>
      </c>
      <c r="D815" s="137">
        <f t="shared" ref="D815:E815" si="252">SUM(D813:D814)</f>
        <v>3192</v>
      </c>
      <c r="E815" s="137">
        <f t="shared" si="252"/>
        <v>1606</v>
      </c>
      <c r="F815" s="138">
        <f t="shared" si="251"/>
        <v>0.5031328321</v>
      </c>
      <c r="G815" s="137">
        <f t="shared" ref="G815:H815" si="253">SUM(G813:G814)</f>
        <v>1586</v>
      </c>
      <c r="H815" s="137">
        <f t="shared" si="253"/>
        <v>0</v>
      </c>
      <c r="I815" s="139"/>
    </row>
    <row r="816" hidden="1">
      <c r="A816" s="131"/>
      <c r="B816" s="131"/>
      <c r="C816" s="129"/>
      <c r="D816" s="140"/>
      <c r="F816" s="131"/>
      <c r="G816" s="131"/>
    </row>
    <row r="817" hidden="1">
      <c r="A817" s="121" t="s">
        <v>1</v>
      </c>
      <c r="B817" s="122" t="s">
        <v>485</v>
      </c>
      <c r="C817" s="123" t="s">
        <v>486</v>
      </c>
      <c r="D817" s="124" t="s">
        <v>6</v>
      </c>
      <c r="E817" s="125" t="s">
        <v>8</v>
      </c>
      <c r="F817" s="124" t="s">
        <v>479</v>
      </c>
      <c r="G817" s="126" t="s">
        <v>7</v>
      </c>
      <c r="H817" s="125" t="s">
        <v>10</v>
      </c>
      <c r="I817" s="127" t="s">
        <v>487</v>
      </c>
    </row>
    <row r="818" hidden="1">
      <c r="A818" s="128">
        <v>45231.0</v>
      </c>
      <c r="B818" s="129" t="s">
        <v>19</v>
      </c>
      <c r="C818" s="141" t="s">
        <v>489</v>
      </c>
      <c r="D818" s="131">
        <f>SUMIFS(All_Stats!$G:$G,
All_Stats!$D:$D,$B818,
All_Stats!$B:$B,"&gt;="&amp;EOMONTH($A818,-1)+1,
All_Stats!$B:$B,"&lt;"&amp;EOMONTH($A818,0)+1,
All_Stats!$P:$P,"&lt;&gt;Email Marketing"
)</f>
        <v>1877</v>
      </c>
      <c r="E818" s="113">
        <f>SUMIFS(All_Stats!$I:$I,
All_Stats!$D:$D,$B818,
All_Stats!$B:$B,"&gt;="&amp;EOMONTH($A818,-1)+1,
All_Stats!$B:$B,"&lt;"&amp;EOMONTH($A818,0)+1,
All_Stats!$P:$P,"&lt;&gt;Email Marketing"
)</f>
        <v>593</v>
      </c>
      <c r="F818" s="132">
        <f t="shared" ref="F818:F828" si="254">iferror(E818/D818,"N/A")</f>
        <v>0.315929675</v>
      </c>
      <c r="G818" s="131">
        <f>SUMIFS(All_Stats!$H:$H,
All_Stats!$D:$D,$B818,
All_Stats!$B:$B,"&gt;="&amp;EOMONTH($A818,-1)+1,
All_Stats!$B:$B,"&lt;"&amp;EOMONTH($A818,0)+1,
All_Stats!$P:$P,"&lt;&gt;Email Marketing"
)</f>
        <v>1264</v>
      </c>
      <c r="H818" s="113">
        <f>SUMIFS(All_Stats!$K:$K,
All_Stats!$D:$D,$B818,
All_Stats!$B:$B,"&gt;="&amp;EOMONTH($A818,-1)+1,
All_Stats!$B:$B,"&lt;"&amp;EOMONTH($A818,0)+1,
All_Stats!$P:$P,"&lt;&gt;Email Marketing"
)</f>
        <v>0</v>
      </c>
      <c r="I818" s="133">
        <f>IFERROR(__xludf.DUMMYFUNCTION("COUNTUNIQUEIFS(All_Stats!A:A,
All_Stats!$D:$D,$B818,
All_Stats!$B:$B,""&gt;=""&amp;EOMONTH($A818,-1)+1,
All_Stats!$B:$B,""&lt;""&amp;EOMONTH($A818,0)+1,
All_Stats!$P:$P,""&lt;&gt;Email Marketing""
)"),69.0)</f>
        <v>69</v>
      </c>
    </row>
    <row r="819" hidden="1">
      <c r="A819" s="128">
        <v>45231.0</v>
      </c>
      <c r="B819" s="131" t="s">
        <v>127</v>
      </c>
      <c r="C819" s="134" t="str">
        <f>if(ifna(VLOOKUP(B819,'Vendor Directory'!A:C,3,0),"NOT FOUND")="","NOT FOUND",VLOOKUP(B819,'Vendor Directory'!A:C,3,0))</f>
        <v>#N/A</v>
      </c>
      <c r="D819" s="131">
        <f>SUMIFS(All_Stats!$G:$G,
All_Stats!$D:$D,$B819,
All_Stats!$B:$B,"&gt;="&amp;EOMONTH($A819,-1)+1,
All_Stats!$B:$B,"&lt;"&amp;EOMONTH($A819,0)+1,
All_Stats!$P:$P,"&lt;&gt;Email Marketing"
)</f>
        <v>1659</v>
      </c>
      <c r="E819" s="113">
        <f>SUMIFS(All_Stats!$I:$I,
All_Stats!$D:$D,$B819,
All_Stats!$B:$B,"&gt;="&amp;EOMONTH($A819,-1)+1,
All_Stats!$B:$B,"&lt;"&amp;EOMONTH($A819,0)+1,
All_Stats!$P:$P,"&lt;&gt;Email Marketing"
)</f>
        <v>776</v>
      </c>
      <c r="F819" s="132">
        <f t="shared" si="254"/>
        <v>0.4677516576</v>
      </c>
      <c r="G819" s="131">
        <f>SUMIFS(All_Stats!$H:$H,
All_Stats!$D:$D,$B819,
All_Stats!$B:$B,"&gt;="&amp;EOMONTH($A819,-1)+1,
All_Stats!$B:$B,"&lt;"&amp;EOMONTH($A819,0)+1,
All_Stats!$P:$P,"&lt;&gt;Email Marketing"
)</f>
        <v>875</v>
      </c>
      <c r="H819" s="113">
        <f>SUMIFS(All_Stats!$K:$K,
All_Stats!$D:$D,$B819,
All_Stats!$B:$B,"&gt;="&amp;EOMONTH($A819,-1)+1,
All_Stats!$B:$B,"&lt;"&amp;EOMONTH($A819,0)+1,
All_Stats!$P:$P,"&lt;&gt;Email Marketing"
)</f>
        <v>0</v>
      </c>
      <c r="I819" s="133">
        <f>IFERROR(__xludf.DUMMYFUNCTION("COUNTUNIQUEIFS(All_Stats!A:A,
All_Stats!$D:$D,$B819,
All_Stats!$B:$B,""&gt;=""&amp;EOMONTH($A819,-1)+1,
All_Stats!$B:$B,""&lt;""&amp;EOMONTH($A819,0)+1,
All_Stats!$P:$P,""&lt;&gt;Email Marketing""
)"),25.0)</f>
        <v>25</v>
      </c>
    </row>
    <row r="820" hidden="1">
      <c r="A820" s="128">
        <v>45231.0</v>
      </c>
      <c r="B820" s="131" t="s">
        <v>30</v>
      </c>
      <c r="C820" s="134" t="str">
        <f>if(ifna(VLOOKUP(B820,'Vendor Directory'!A:C,3,0),"NOT FOUND")="","NOT FOUND",VLOOKUP(B820,'Vendor Directory'!A:C,3,0))</f>
        <v>Vendor 2 Name</v>
      </c>
      <c r="D820" s="131">
        <f>SUMIFS(All_Stats!$G:$G,
All_Stats!$D:$D,$B820,
All_Stats!$B:$B,"&gt;="&amp;EOMONTH($A820,-1)+1,
All_Stats!$B:$B,"&lt;"&amp;EOMONTH($A820,0)+1,
All_Stats!$P:$P,"&lt;&gt;Email Marketing"
)</f>
        <v>855</v>
      </c>
      <c r="E820" s="113">
        <f>SUMIFS(All_Stats!$I:$I,
All_Stats!$D:$D,$B820,
All_Stats!$B:$B,"&gt;="&amp;EOMONTH($A820,-1)+1,
All_Stats!$B:$B,"&lt;"&amp;EOMONTH($A820,0)+1,
All_Stats!$P:$P,"&lt;&gt;Email Marketing"
)</f>
        <v>345</v>
      </c>
      <c r="F820" s="132">
        <f t="shared" si="254"/>
        <v>0.4035087719</v>
      </c>
      <c r="G820" s="131">
        <f>SUMIFS(All_Stats!$H:$H,
All_Stats!$D:$D,$B820,
All_Stats!$B:$B,"&gt;="&amp;EOMONTH($A820,-1)+1,
All_Stats!$B:$B,"&lt;"&amp;EOMONTH($A820,0)+1,
All_Stats!$P:$P,"&lt;&gt;Email Marketing"
)</f>
        <v>510</v>
      </c>
      <c r="H820" s="113">
        <f>SUMIFS(All_Stats!$K:$K,
All_Stats!$D:$D,$B820,
All_Stats!$B:$B,"&gt;="&amp;EOMONTH($A820,-1)+1,
All_Stats!$B:$B,"&lt;"&amp;EOMONTH($A820,0)+1,
All_Stats!$P:$P,"&lt;&gt;Email Marketing"
)</f>
        <v>0</v>
      </c>
      <c r="I820" s="133">
        <f>IFERROR(__xludf.DUMMYFUNCTION("COUNTUNIQUEIFS(All_Stats!A:A,
All_Stats!$D:$D,$B820,
All_Stats!$B:$B,""&gt;=""&amp;EOMONTH($A820,-1)+1,
All_Stats!$B:$B,""&lt;""&amp;EOMONTH($A820,0)+1,
All_Stats!$P:$P,""&lt;&gt;Email Marketing""
)"),29.0)</f>
        <v>29</v>
      </c>
    </row>
    <row r="821" hidden="1">
      <c r="A821" s="128">
        <v>45231.0</v>
      </c>
      <c r="B821" s="131" t="s">
        <v>91</v>
      </c>
      <c r="C821" s="134" t="str">
        <f>if(ifna(VLOOKUP(B821,'Vendor Directory'!A:C,3,0),"NOT FOUND")="","NOT FOUND",VLOOKUP(B821,'Vendor Directory'!A:C,3,0))</f>
        <v>#N/A</v>
      </c>
      <c r="D821" s="131">
        <f>SUMIFS(All_Stats!$G:$G,
All_Stats!$D:$D,$B821,
All_Stats!$B:$B,"&gt;="&amp;EOMONTH($A821,-1)+1,
All_Stats!$B:$B,"&lt;"&amp;EOMONTH($A821,0)+1,
All_Stats!$P:$P,"&lt;&gt;Email Marketing"
)</f>
        <v>336</v>
      </c>
      <c r="E821" s="113">
        <f>SUMIFS(All_Stats!$I:$I,
All_Stats!$D:$D,$B821,
All_Stats!$B:$B,"&gt;="&amp;EOMONTH($A821,-1)+1,
All_Stats!$B:$B,"&lt;"&amp;EOMONTH($A821,0)+1,
All_Stats!$P:$P,"&lt;&gt;Email Marketing"
)</f>
        <v>84</v>
      </c>
      <c r="F821" s="132">
        <f t="shared" si="254"/>
        <v>0.25</v>
      </c>
      <c r="G821" s="131">
        <f>SUMIFS(All_Stats!$H:$H,
All_Stats!$D:$D,$B821,
All_Stats!$B:$B,"&gt;="&amp;EOMONTH($A821,-1)+1,
All_Stats!$B:$B,"&lt;"&amp;EOMONTH($A821,0)+1,
All_Stats!$P:$P,"&lt;&gt;Email Marketing"
)</f>
        <v>252</v>
      </c>
      <c r="H821" s="113">
        <f>SUMIFS(All_Stats!$K:$K,
All_Stats!$D:$D,$B821,
All_Stats!$B:$B,"&gt;="&amp;EOMONTH($A821,-1)+1,
All_Stats!$B:$B,"&lt;"&amp;EOMONTH($A821,0)+1,
All_Stats!$P:$P,"&lt;&gt;Email Marketing"
)</f>
        <v>0</v>
      </c>
      <c r="I821" s="133">
        <f>IFERROR(__xludf.DUMMYFUNCTION("COUNTUNIQUEIFS(All_Stats!A:A,
All_Stats!$D:$D,$B821,
All_Stats!$B:$B,""&gt;=""&amp;EOMONTH($A821,-1)+1,
All_Stats!$B:$B,""&lt;""&amp;EOMONTH($A821,0)+1,
All_Stats!$P:$P,""&lt;&gt;Email Marketing""
)"),21.0)</f>
        <v>21</v>
      </c>
    </row>
    <row r="822" hidden="1">
      <c r="A822" s="128">
        <v>45231.0</v>
      </c>
      <c r="B822" s="131" t="s">
        <v>157</v>
      </c>
      <c r="C822" s="134" t="str">
        <f>if(ifna(VLOOKUP(B822,'Vendor Directory'!A:C,3,0),"NOT FOUND")="","NOT FOUND",VLOOKUP(B822,'Vendor Directory'!A:C,3,0))</f>
        <v>#N/A</v>
      </c>
      <c r="D822" s="131">
        <f>SUMIFS(All_Stats!$G:$G,
All_Stats!$D:$D,$B822,
All_Stats!$B:$B,"&gt;="&amp;EOMONTH($A822,-1)+1,
All_Stats!$B:$B,"&lt;"&amp;EOMONTH($A822,0)+1,
All_Stats!$P:$P,"&lt;&gt;Email Marketing"
)</f>
        <v>354</v>
      </c>
      <c r="E822" s="113">
        <f>SUMIFS(All_Stats!$I:$I,
All_Stats!$D:$D,$B822,
All_Stats!$B:$B,"&gt;="&amp;EOMONTH($A822,-1)+1,
All_Stats!$B:$B,"&lt;"&amp;EOMONTH($A822,0)+1,
All_Stats!$P:$P,"&lt;&gt;Email Marketing"
)</f>
        <v>131</v>
      </c>
      <c r="F822" s="132">
        <f t="shared" si="254"/>
        <v>0.3700564972</v>
      </c>
      <c r="G822" s="131">
        <f>SUMIFS(All_Stats!$H:$H,
All_Stats!$D:$D,$B822,
All_Stats!$B:$B,"&gt;="&amp;EOMONTH($A822,-1)+1,
All_Stats!$B:$B,"&lt;"&amp;EOMONTH($A822,0)+1,
All_Stats!$P:$P,"&lt;&gt;Email Marketing"
)</f>
        <v>221</v>
      </c>
      <c r="H822" s="113">
        <f>SUMIFS(All_Stats!$K:$K,
All_Stats!$D:$D,$B822,
All_Stats!$B:$B,"&gt;="&amp;EOMONTH($A822,-1)+1,
All_Stats!$B:$B,"&lt;"&amp;EOMONTH($A822,0)+1,
All_Stats!$P:$P,"&lt;&gt;Email Marketing"
)</f>
        <v>0</v>
      </c>
      <c r="I822" s="133">
        <f>IFERROR(__xludf.DUMMYFUNCTION("COUNTUNIQUEIFS(All_Stats!A:A,
All_Stats!$D:$D,$B822,
All_Stats!$B:$B,""&gt;=""&amp;EOMONTH($A822,-1)+1,
All_Stats!$B:$B,""&lt;""&amp;EOMONTH($A822,0)+1,
All_Stats!$P:$P,""&lt;&gt;Email Marketing""
)"),24.0)</f>
        <v>24</v>
      </c>
    </row>
    <row r="823" hidden="1">
      <c r="A823" s="128">
        <v>45231.0</v>
      </c>
      <c r="B823" s="129" t="s">
        <v>109</v>
      </c>
      <c r="C823" s="130" t="s">
        <v>490</v>
      </c>
      <c r="D823" s="131">
        <f>SUMIFS(All_Stats!$G:$G,
All_Stats!$D:$D,$B823,
All_Stats!$B:$B,"&gt;="&amp;EOMONTH($A823,-1)+1,
All_Stats!$B:$B,"&lt;"&amp;EOMONTH($A823,0)+1,
All_Stats!$P:$P,"&lt;&gt;Email Marketing"
)</f>
        <v>95</v>
      </c>
      <c r="E823" s="113">
        <f>SUMIFS(All_Stats!$I:$I,
All_Stats!$D:$D,$B823,
All_Stats!$B:$B,"&gt;="&amp;EOMONTH($A823,-1)+1,
All_Stats!$B:$B,"&lt;"&amp;EOMONTH($A823,0)+1,
All_Stats!$P:$P,"&lt;&gt;Email Marketing"
)</f>
        <v>35</v>
      </c>
      <c r="F823" s="132">
        <f t="shared" si="254"/>
        <v>0.3684210526</v>
      </c>
      <c r="G823" s="131">
        <f>SUMIFS(All_Stats!$H:$H,
All_Stats!$D:$D,$B823,
All_Stats!$B:$B,"&gt;="&amp;EOMONTH($A823,-1)+1,
All_Stats!$B:$B,"&lt;"&amp;EOMONTH($A823,0)+1,
All_Stats!$P:$P,"&lt;&gt;Email Marketing"
)</f>
        <v>60</v>
      </c>
      <c r="H823" s="113">
        <f>SUMIFS(All_Stats!$K:$K,
All_Stats!$D:$D,$B823,
All_Stats!$B:$B,"&gt;="&amp;EOMONTH($A823,-1)+1,
All_Stats!$B:$B,"&lt;"&amp;EOMONTH($A823,0)+1,
All_Stats!$P:$P,"&lt;&gt;Email Marketing"
)</f>
        <v>0</v>
      </c>
      <c r="I823" s="133">
        <f>IFERROR(__xludf.DUMMYFUNCTION("COUNTUNIQUEIFS(All_Stats!A:A,
All_Stats!$D:$D,$B823,
All_Stats!$B:$B,""&gt;=""&amp;EOMONTH($A823,-1)+1,
All_Stats!$B:$B,""&lt;""&amp;EOMONTH($A823,0)+1,
All_Stats!$P:$P,""&lt;&gt;Email Marketing""
)"),6.0)</f>
        <v>6</v>
      </c>
    </row>
    <row r="824" hidden="1">
      <c r="A824" s="128">
        <v>45231.0</v>
      </c>
      <c r="B824" s="129" t="s">
        <v>33</v>
      </c>
      <c r="C824" s="142" t="s">
        <v>492</v>
      </c>
      <c r="D824" s="131">
        <f>SUMIFS(All_Stats!$G:$G,
All_Stats!$D:$D,$B824,
All_Stats!$B:$B,"&gt;="&amp;EOMONTH($A824,-1)+1,
All_Stats!$B:$B,"&lt;"&amp;EOMONTH($A824,0)+1,
All_Stats!$P:$P,"&lt;&gt;Email Marketing"
)</f>
        <v>42</v>
      </c>
      <c r="E824" s="113">
        <f>SUMIFS(All_Stats!$I:$I,
All_Stats!$D:$D,$B824,
All_Stats!$B:$B,"&gt;="&amp;EOMONTH($A824,-1)+1,
All_Stats!$B:$B,"&lt;"&amp;EOMONTH($A824,0)+1,
All_Stats!$P:$P,"&lt;&gt;Email Marketing"
)</f>
        <v>15</v>
      </c>
      <c r="F824" s="132">
        <f t="shared" si="254"/>
        <v>0.3571428571</v>
      </c>
      <c r="G824" s="131">
        <f>SUMIFS(All_Stats!$H:$H,
All_Stats!$D:$D,$B824,
All_Stats!$B:$B,"&gt;="&amp;EOMONTH($A824,-1)+1,
All_Stats!$B:$B,"&lt;"&amp;EOMONTH($A824,0)+1,
All_Stats!$P:$P,"&lt;&gt;Email Marketing"
)</f>
        <v>26</v>
      </c>
      <c r="H824" s="113">
        <f>SUMIFS(All_Stats!$K:$K,
All_Stats!$D:$D,$B824,
All_Stats!$B:$B,"&gt;="&amp;EOMONTH($A824,-1)+1,
All_Stats!$B:$B,"&lt;"&amp;EOMONTH($A824,0)+1,
All_Stats!$P:$P,"&lt;&gt;Email Marketing"
)</f>
        <v>0</v>
      </c>
      <c r="I824" s="133">
        <f>IFERROR(__xludf.DUMMYFUNCTION("COUNTUNIQUEIFS(All_Stats!A:A,
All_Stats!$D:$D,$B824,
All_Stats!$B:$B,""&gt;=""&amp;EOMONTH($A824,-1)+1,
All_Stats!$B:$B,""&lt;""&amp;EOMONTH($A824,0)+1,
All_Stats!$P:$P,""&lt;&gt;Email Marketing""
)"),8.0)</f>
        <v>8</v>
      </c>
    </row>
    <row r="825" hidden="1">
      <c r="A825" s="128">
        <v>45231.0</v>
      </c>
      <c r="B825" s="129" t="s">
        <v>69</v>
      </c>
      <c r="C825" s="142" t="s">
        <v>491</v>
      </c>
      <c r="D825" s="131">
        <f>SUMIFS(All_Stats!$G:$G,
All_Stats!$D:$D,$B825,
All_Stats!$B:$B,"&gt;="&amp;EOMONTH($A825,-1)+1,
All_Stats!$B:$B,"&lt;"&amp;EOMONTH($A825,0)+1,
All_Stats!$P:$P,"&lt;&gt;Email Marketing"
)</f>
        <v>28</v>
      </c>
      <c r="E825" s="113">
        <f>SUMIFS(All_Stats!$I:$I,
All_Stats!$D:$D,$B825,
All_Stats!$B:$B,"&gt;="&amp;EOMONTH($A825,-1)+1,
All_Stats!$B:$B,"&lt;"&amp;EOMONTH($A825,0)+1,
All_Stats!$P:$P,"&lt;&gt;Email Marketing"
)</f>
        <v>17</v>
      </c>
      <c r="F825" s="132">
        <f t="shared" si="254"/>
        <v>0.6071428571</v>
      </c>
      <c r="G825" s="131">
        <f>SUMIFS(All_Stats!$H:$H,
All_Stats!$D:$D,$B825,
All_Stats!$B:$B,"&gt;="&amp;EOMONTH($A825,-1)+1,
All_Stats!$B:$B,"&lt;"&amp;EOMONTH($A825,0)+1,
All_Stats!$P:$P,"&lt;&gt;Email Marketing"
)</f>
        <v>11</v>
      </c>
      <c r="H825" s="113">
        <f>SUMIFS(All_Stats!$K:$K,
All_Stats!$D:$D,$B825,
All_Stats!$B:$B,"&gt;="&amp;EOMONTH($A825,-1)+1,
All_Stats!$B:$B,"&lt;"&amp;EOMONTH($A825,0)+1,
All_Stats!$P:$P,"&lt;&gt;Email Marketing"
)</f>
        <v>0</v>
      </c>
      <c r="I825" s="133">
        <f>IFERROR(__xludf.DUMMYFUNCTION("COUNTUNIQUEIFS(All_Stats!A:A,
All_Stats!$D:$D,$B825,
All_Stats!$B:$B,""&gt;=""&amp;EOMONTH($A825,-1)+1,
All_Stats!$B:$B,""&lt;""&amp;EOMONTH($A825,0)+1,
All_Stats!$P:$P,""&lt;&gt;Email Marketing""
)"),4.0)</f>
        <v>4</v>
      </c>
    </row>
    <row r="826" hidden="1">
      <c r="A826" s="128">
        <v>45231.0</v>
      </c>
      <c r="B826" s="129" t="s">
        <v>79</v>
      </c>
      <c r="C826" s="130" t="s">
        <v>488</v>
      </c>
      <c r="D826" s="131">
        <f>SUMIFS(All_Stats!$G:$G,
All_Stats!$D:$D,$B826,
All_Stats!$B:$B,"&gt;="&amp;EOMONTH($A826,-1)+1,
All_Stats!$B:$B,"&lt;"&amp;EOMONTH($A826,0)+1,
All_Stats!$P:$P,"&lt;&gt;Email Marketing"
)</f>
        <v>27</v>
      </c>
      <c r="E826" s="113">
        <f>SUMIFS(All_Stats!$I:$I,
All_Stats!$D:$D,$B826,
All_Stats!$B:$B,"&gt;="&amp;EOMONTH($A826,-1)+1,
All_Stats!$B:$B,"&lt;"&amp;EOMONTH($A826,0)+1,
All_Stats!$P:$P,"&lt;&gt;Email Marketing"
)</f>
        <v>7</v>
      </c>
      <c r="F826" s="132">
        <f t="shared" si="254"/>
        <v>0.2592592593</v>
      </c>
      <c r="G826" s="131">
        <f>SUMIFS(All_Stats!$H:$H,
All_Stats!$D:$D,$B826,
All_Stats!$B:$B,"&gt;="&amp;EOMONTH($A826,-1)+1,
All_Stats!$B:$B,"&lt;"&amp;EOMONTH($A826,0)+1,
All_Stats!$P:$P,"&lt;&gt;Email Marketing"
)</f>
        <v>20</v>
      </c>
      <c r="H826" s="113">
        <f>SUMIFS(All_Stats!$K:$K,
All_Stats!$D:$D,$B826,
All_Stats!$B:$B,"&gt;="&amp;EOMONTH($A826,-1)+1,
All_Stats!$B:$B,"&lt;"&amp;EOMONTH($A826,0)+1,
All_Stats!$P:$P,"&lt;&gt;Email Marketing"
)</f>
        <v>0</v>
      </c>
      <c r="I826" s="133">
        <f>IFERROR(__xludf.DUMMYFUNCTION("COUNTUNIQUEIFS(All_Stats!A:A,
All_Stats!$D:$D,$B826,
All_Stats!$B:$B,""&gt;=""&amp;EOMONTH($A826,-1)+1,
All_Stats!$B:$B,""&lt;""&amp;EOMONTH($A826,0)+1,
All_Stats!$P:$P,""&lt;&gt;Email Marketing""
)"),5.0)</f>
        <v>5</v>
      </c>
    </row>
    <row r="827" hidden="1">
      <c r="A827" s="128">
        <v>45231.0</v>
      </c>
      <c r="B827" s="129" t="s">
        <v>231</v>
      </c>
      <c r="C827" s="142" t="s">
        <v>546</v>
      </c>
      <c r="D827" s="131">
        <f>SUMIFS(All_Stats!$G:$G,
All_Stats!$D:$D,$B827,
All_Stats!$B:$B,"&gt;="&amp;EOMONTH($A827,-1)+1,
All_Stats!$B:$B,"&lt;"&amp;EOMONTH($A827,0)+1,
All_Stats!$P:$P,"&lt;&gt;Email Marketing"
)</f>
        <v>5</v>
      </c>
      <c r="E827" s="113">
        <f>SUMIFS(All_Stats!$I:$I,
All_Stats!$D:$D,$B827,
All_Stats!$B:$B,"&gt;="&amp;EOMONTH($A827,-1)+1,
All_Stats!$B:$B,"&lt;"&amp;EOMONTH($A827,0)+1,
All_Stats!$P:$P,"&lt;&gt;Email Marketing"
)</f>
        <v>5</v>
      </c>
      <c r="F827" s="132">
        <f t="shared" si="254"/>
        <v>1</v>
      </c>
      <c r="G827" s="131">
        <f>SUMIFS(All_Stats!$H:$H,
All_Stats!$D:$D,$B827,
All_Stats!$B:$B,"&gt;="&amp;EOMONTH($A827,-1)+1,
All_Stats!$B:$B,"&lt;"&amp;EOMONTH($A827,0)+1,
All_Stats!$P:$P,"&lt;&gt;Email Marketing"
)</f>
        <v>0</v>
      </c>
      <c r="H827" s="113">
        <f>SUMIFS(All_Stats!$K:$K,
All_Stats!$D:$D,$B827,
All_Stats!$B:$B,"&gt;="&amp;EOMONTH($A827,-1)+1,
All_Stats!$B:$B,"&lt;"&amp;EOMONTH($A827,0)+1,
All_Stats!$P:$P,"&lt;&gt;Email Marketing"
)</f>
        <v>0</v>
      </c>
      <c r="I827" s="133">
        <f>IFERROR(__xludf.DUMMYFUNCTION("COUNTUNIQUEIFS(All_Stats!A:A,
All_Stats!$D:$D,$B827,
All_Stats!$B:$B,""&gt;=""&amp;EOMONTH($A827,-1)+1,
All_Stats!$B:$B,""&lt;""&amp;EOMONTH($A827,0)+1,
All_Stats!$P:$P,""&lt;&gt;Email Marketing""
)"),1.0)</f>
        <v>1</v>
      </c>
    </row>
    <row r="828" hidden="1">
      <c r="A828" s="135"/>
      <c r="B828" s="135"/>
      <c r="C828" s="136" t="s">
        <v>23</v>
      </c>
      <c r="D828" s="137">
        <f t="shared" ref="D828:E828" si="255">SUM(D818:D827)</f>
        <v>5278</v>
      </c>
      <c r="E828" s="137">
        <f t="shared" si="255"/>
        <v>2008</v>
      </c>
      <c r="F828" s="138">
        <f t="shared" si="254"/>
        <v>0.3804471391</v>
      </c>
      <c r="G828" s="137">
        <f t="shared" ref="G828:H828" si="256">SUM(G818:G827)</f>
        <v>3239</v>
      </c>
      <c r="H828" s="137">
        <f t="shared" si="256"/>
        <v>0</v>
      </c>
      <c r="I828" s="139"/>
    </row>
    <row r="829" hidden="1">
      <c r="A829" s="114"/>
      <c r="B829" s="114"/>
      <c r="C829" s="115"/>
      <c r="D829" s="116"/>
      <c r="E829" s="116"/>
      <c r="F829" s="117"/>
      <c r="G829" s="116"/>
      <c r="H829" s="116"/>
      <c r="I829" s="116"/>
    </row>
    <row r="830" hidden="1">
      <c r="A830" s="114"/>
      <c r="B830" s="114"/>
      <c r="C830" s="115"/>
      <c r="D830" s="116">
        <f t="shared" ref="D830:E830" si="257">D815+D828</f>
        <v>8470</v>
      </c>
      <c r="E830" s="116">
        <f t="shared" si="257"/>
        <v>3614</v>
      </c>
      <c r="F830" s="117"/>
      <c r="G830" s="116">
        <f t="shared" ref="G830:H830" si="258">G815+G828</f>
        <v>4825</v>
      </c>
      <c r="H830" s="116">
        <f t="shared" si="258"/>
        <v>0</v>
      </c>
      <c r="I830" s="116"/>
    </row>
    <row r="831" hidden="1">
      <c r="A831" s="114"/>
      <c r="B831" s="114"/>
      <c r="C831" s="115"/>
      <c r="D831" s="116"/>
      <c r="E831" s="116"/>
      <c r="F831" s="117"/>
      <c r="G831" s="116"/>
      <c r="H831" s="116"/>
      <c r="I831" s="116"/>
    </row>
    <row r="832" hidden="1">
      <c r="C832" s="118" t="s">
        <v>484</v>
      </c>
      <c r="D832" s="119"/>
      <c r="E832" s="119"/>
      <c r="F832" s="119"/>
      <c r="G832" s="119"/>
      <c r="H832" s="119"/>
      <c r="I832" s="120"/>
    </row>
    <row r="833" hidden="1">
      <c r="A833" s="121" t="s">
        <v>1</v>
      </c>
      <c r="B833" s="122" t="s">
        <v>485</v>
      </c>
      <c r="C833" s="123" t="s">
        <v>486</v>
      </c>
      <c r="D833" s="124" t="s">
        <v>6</v>
      </c>
      <c r="E833" s="125" t="s">
        <v>8</v>
      </c>
      <c r="F833" s="124" t="s">
        <v>479</v>
      </c>
      <c r="G833" s="126" t="s">
        <v>7</v>
      </c>
      <c r="H833" s="125" t="s">
        <v>10</v>
      </c>
      <c r="I833" s="127" t="s">
        <v>487</v>
      </c>
    </row>
    <row r="834" hidden="1">
      <c r="A834" s="128">
        <v>45261.0</v>
      </c>
      <c r="B834" s="129" t="s">
        <v>79</v>
      </c>
      <c r="C834" s="130" t="s">
        <v>488</v>
      </c>
      <c r="D834" s="131">
        <f>SUMIFS(All_Stats!$G:$G,
All_Stats!$D:$D,$B834,
All_Stats!$B:$B,"&gt;="&amp;EOMONTH($A834,-1)+1,
All_Stats!$B:$B,"&lt;"&amp;EOMONTH($A834,0)+1,
All_Stats!$P:$P,"Email Marketing"
)</f>
        <v>2794</v>
      </c>
      <c r="E834" s="113">
        <f>SUMIFS(All_Stats!$I:$I,
All_Stats!$D:$D,$B834,
All_Stats!$B:$B,"&gt;="&amp;EOMONTH($A834,-1)+1,
All_Stats!$B:$B,"&lt;"&amp;EOMONTH($A834,0)+1,
All_Stats!$P:$P,"Email Marketing"
)</f>
        <v>1251</v>
      </c>
      <c r="F834" s="132">
        <f t="shared" ref="F834:F836" si="259">iferror(E834/D834,"N/A")</f>
        <v>0.4477451682</v>
      </c>
      <c r="G834" s="131">
        <f>SUMIFS(All_Stats!$H:$H,
All_Stats!$D:$D,$B834,
All_Stats!$B:$B,"&gt;="&amp;EOMONTH($A834,-1)+1,
All_Stats!$B:$B,"&lt;"&amp;EOMONTH($A834,0)+1,
All_Stats!$P:$P,"Email Marketing"
)</f>
        <v>1428</v>
      </c>
      <c r="H834" s="113">
        <f>SUMIFS(All_Stats!$K:$K,
All_Stats!$D:$D,$B834,
All_Stats!$B:$B,"&gt;="&amp;EOMONTH($A834,-1)+1,
All_Stats!$B:$B,"&lt;"&amp;EOMONTH($A834,0)+1,
All_Stats!$P:$P,"Email Marketing"
)</f>
        <v>115</v>
      </c>
      <c r="I834" s="133">
        <f>IFERROR(__xludf.DUMMYFUNCTION("COUNTUNIQUEIFS(All_Stats!A:A,
All_Stats!$D:$D,$B834,
All_Stats!$B:$B,""&gt;=""&amp;EOMONTH($A834,-1)+1,
All_Stats!$B:$B,""&lt;""&amp;EOMONTH($A834,0)+1,
All_Stats!$P:$P,""Email Marketing""
)"),24.0)</f>
        <v>24</v>
      </c>
    </row>
    <row r="835" hidden="1">
      <c r="A835" s="128">
        <v>45261.0</v>
      </c>
      <c r="B835" s="131" t="s">
        <v>164</v>
      </c>
      <c r="C835" s="134" t="str">
        <f>if(ifna(VLOOKUP(B835,'Vendor Directory'!A:C,3,0),"NOT FOUND")="","NOT FOUND",VLOOKUP(B835,'Vendor Directory'!A:C,3,0))</f>
        <v>#N/A</v>
      </c>
      <c r="D835" s="131">
        <f>SUMIFS(All_Stats!$G:$G,
All_Stats!$D:$D,$B835,
All_Stats!$B:$B,"&gt;="&amp;EOMONTH($A835,-1)+1,
All_Stats!$B:$B,"&lt;"&amp;EOMONTH($A835,0)+1,
All_Stats!$P:$P,"Email Marketing"
)</f>
        <v>1394</v>
      </c>
      <c r="E835" s="113">
        <f>SUMIFS(All_Stats!$I:$I,
All_Stats!$D:$D,$B835,
All_Stats!$B:$B,"&gt;="&amp;EOMONTH($A835,-1)+1,
All_Stats!$B:$B,"&lt;"&amp;EOMONTH($A835,0)+1,
All_Stats!$P:$P,"Email Marketing"
)</f>
        <v>755</v>
      </c>
      <c r="F835" s="132">
        <f t="shared" si="259"/>
        <v>0.5416068867</v>
      </c>
      <c r="G835" s="131">
        <f>SUMIFS(All_Stats!$H:$H,
All_Stats!$D:$D,$B835,
All_Stats!$B:$B,"&gt;="&amp;EOMONTH($A835,-1)+1,
All_Stats!$B:$B,"&lt;"&amp;EOMONTH($A835,0)+1,
All_Stats!$P:$P,"Email Marketing"
)</f>
        <v>629</v>
      </c>
      <c r="H835" s="113">
        <f>SUMIFS(All_Stats!$K:$K,
All_Stats!$D:$D,$B835,
All_Stats!$B:$B,"&gt;="&amp;EOMONTH($A835,-1)+1,
All_Stats!$B:$B,"&lt;"&amp;EOMONTH($A835,0)+1,
All_Stats!$P:$P,"Email Marketing"
)</f>
        <v>10</v>
      </c>
      <c r="I835" s="133">
        <f>IFERROR(__xludf.DUMMYFUNCTION("COUNTUNIQUEIFS(All_Stats!A:A,
All_Stats!$D:$D,$B835,
All_Stats!$B:$B,""&gt;=""&amp;EOMONTH($A835,-1)+1,
All_Stats!$B:$B,""&lt;""&amp;EOMONTH($A835,0)+1,
All_Stats!$P:$P,""Email Marketing""
)"),25.0)</f>
        <v>25</v>
      </c>
    </row>
    <row r="836" hidden="1">
      <c r="A836" s="135"/>
      <c r="B836" s="135"/>
      <c r="C836" s="136" t="s">
        <v>23</v>
      </c>
      <c r="D836" s="137">
        <f t="shared" ref="D836:E836" si="260">SUM(D834:D835)</f>
        <v>4188</v>
      </c>
      <c r="E836" s="137">
        <f t="shared" si="260"/>
        <v>2006</v>
      </c>
      <c r="F836" s="138">
        <f t="shared" si="259"/>
        <v>0.4789875836</v>
      </c>
      <c r="G836" s="137">
        <f t="shared" ref="G836:H836" si="261">SUM(G834:G835)</f>
        <v>2057</v>
      </c>
      <c r="H836" s="137">
        <f t="shared" si="261"/>
        <v>125</v>
      </c>
      <c r="I836" s="139"/>
    </row>
    <row r="837" hidden="1">
      <c r="A837" s="131"/>
      <c r="B837" s="131"/>
      <c r="C837" s="129"/>
      <c r="D837" s="140"/>
      <c r="F837" s="131"/>
      <c r="G837" s="131"/>
    </row>
    <row r="838" hidden="1">
      <c r="A838" s="121" t="s">
        <v>1</v>
      </c>
      <c r="B838" s="122" t="s">
        <v>485</v>
      </c>
      <c r="C838" s="123" t="s">
        <v>486</v>
      </c>
      <c r="D838" s="124" t="s">
        <v>6</v>
      </c>
      <c r="E838" s="125" t="s">
        <v>8</v>
      </c>
      <c r="F838" s="124" t="s">
        <v>479</v>
      </c>
      <c r="G838" s="126" t="s">
        <v>7</v>
      </c>
      <c r="H838" s="125" t="s">
        <v>10</v>
      </c>
      <c r="I838" s="127" t="s">
        <v>487</v>
      </c>
    </row>
    <row r="839" hidden="1">
      <c r="A839" s="128">
        <v>45261.0</v>
      </c>
      <c r="B839" s="129" t="s">
        <v>19</v>
      </c>
      <c r="C839" s="141" t="s">
        <v>489</v>
      </c>
      <c r="D839" s="131">
        <f>SUMIFS(All_Stats!$G:$G,
All_Stats!$D:$D,$B839,
All_Stats!$B:$B,"&gt;="&amp;EOMONTH($A839,-1)+1,
All_Stats!$B:$B,"&lt;"&amp;EOMONTH($A839,0)+1,
All_Stats!$P:$P,"&lt;&gt;Email Marketing"
)</f>
        <v>1660</v>
      </c>
      <c r="E839" s="113">
        <f>SUMIFS(All_Stats!$I:$I,
All_Stats!$D:$D,$B839,
All_Stats!$B:$B,"&gt;="&amp;EOMONTH($A839,-1)+1,
All_Stats!$B:$B,"&lt;"&amp;EOMONTH($A839,0)+1,
All_Stats!$P:$P,"&lt;&gt;Email Marketing"
)</f>
        <v>518</v>
      </c>
      <c r="F839" s="132">
        <f t="shared" ref="F839:F849" si="262">iferror(E839/D839,"N/A")</f>
        <v>0.3120481928</v>
      </c>
      <c r="G839" s="131">
        <f>SUMIFS(All_Stats!$H:$H,
All_Stats!$D:$D,$B839,
All_Stats!$B:$B,"&gt;="&amp;EOMONTH($A839,-1)+1,
All_Stats!$B:$B,"&lt;"&amp;EOMONTH($A839,0)+1,
All_Stats!$P:$P,"&lt;&gt;Email Marketing"
)</f>
        <v>1045</v>
      </c>
      <c r="H839" s="113">
        <f>SUMIFS(All_Stats!$K:$K,
All_Stats!$D:$D,$B839,
All_Stats!$B:$B,"&gt;="&amp;EOMONTH($A839,-1)+1,
All_Stats!$B:$B,"&lt;"&amp;EOMONTH($A839,0)+1,
All_Stats!$P:$P,"&lt;&gt;Email Marketing"
)</f>
        <v>16</v>
      </c>
      <c r="I839" s="133">
        <f>IFERROR(__xludf.DUMMYFUNCTION("COUNTUNIQUEIFS(All_Stats!A:A,
All_Stats!$D:$D,$B839,
All_Stats!$B:$B,""&gt;=""&amp;EOMONTH($A839,-1)+1,
All_Stats!$B:$B,""&lt;""&amp;EOMONTH($A839,0)+1,
All_Stats!$P:$P,""&lt;&gt;Email Marketing""
)"),67.0)</f>
        <v>67</v>
      </c>
    </row>
    <row r="840" hidden="1">
      <c r="A840" s="128">
        <v>45261.0</v>
      </c>
      <c r="B840" s="131" t="s">
        <v>127</v>
      </c>
      <c r="C840" s="134" t="str">
        <f>if(ifna(VLOOKUP(B840,'Vendor Directory'!A:C,3,0),"NOT FOUND")="","NOT FOUND",VLOOKUP(B840,'Vendor Directory'!A:C,3,0))</f>
        <v>#N/A</v>
      </c>
      <c r="D840" s="131">
        <f>SUMIFS(All_Stats!$G:$G,
All_Stats!$D:$D,$B840,
All_Stats!$B:$B,"&gt;="&amp;EOMONTH($A840,-1)+1,
All_Stats!$B:$B,"&lt;"&amp;EOMONTH($A840,0)+1,
All_Stats!$P:$P,"&lt;&gt;Email Marketing"
)</f>
        <v>1249</v>
      </c>
      <c r="E840" s="113">
        <f>SUMIFS(All_Stats!$I:$I,
All_Stats!$D:$D,$B840,
All_Stats!$B:$B,"&gt;="&amp;EOMONTH($A840,-1)+1,
All_Stats!$B:$B,"&lt;"&amp;EOMONTH($A840,0)+1,
All_Stats!$P:$P,"&lt;&gt;Email Marketing"
)</f>
        <v>403</v>
      </c>
      <c r="F840" s="132">
        <f t="shared" si="262"/>
        <v>0.3226581265</v>
      </c>
      <c r="G840" s="131">
        <f>SUMIFS(All_Stats!$H:$H,
All_Stats!$D:$D,$B840,
All_Stats!$B:$B,"&gt;="&amp;EOMONTH($A840,-1)+1,
All_Stats!$B:$B,"&lt;"&amp;EOMONTH($A840,0)+1,
All_Stats!$P:$P,"&lt;&gt;Email Marketing"
)</f>
        <v>846</v>
      </c>
      <c r="H840" s="113">
        <f>SUMIFS(All_Stats!$K:$K,
All_Stats!$D:$D,$B840,
All_Stats!$B:$B,"&gt;="&amp;EOMONTH($A840,-1)+1,
All_Stats!$B:$B,"&lt;"&amp;EOMONTH($A840,0)+1,
All_Stats!$P:$P,"&lt;&gt;Email Marketing"
)</f>
        <v>0</v>
      </c>
      <c r="I840" s="133">
        <f>IFERROR(__xludf.DUMMYFUNCTION("COUNTUNIQUEIFS(All_Stats!A:A,
All_Stats!$D:$D,$B840,
All_Stats!$B:$B,""&gt;=""&amp;EOMONTH($A840,-1)+1,
All_Stats!$B:$B,""&lt;""&amp;EOMONTH($A840,0)+1,
All_Stats!$P:$P,""&lt;&gt;Email Marketing""
)"),20.0)</f>
        <v>20</v>
      </c>
    </row>
    <row r="841" hidden="1">
      <c r="A841" s="128">
        <v>45261.0</v>
      </c>
      <c r="B841" s="131" t="s">
        <v>30</v>
      </c>
      <c r="C841" s="134" t="str">
        <f>if(ifna(VLOOKUP(B841,'Vendor Directory'!A:C,3,0),"NOT FOUND")="","NOT FOUND",VLOOKUP(B841,'Vendor Directory'!A:C,3,0))</f>
        <v>Vendor 2 Name</v>
      </c>
      <c r="D841" s="131">
        <f>SUMIFS(All_Stats!$G:$G,
All_Stats!$D:$D,$B841,
All_Stats!$B:$B,"&gt;="&amp;EOMONTH($A841,-1)+1,
All_Stats!$B:$B,"&lt;"&amp;EOMONTH($A841,0)+1,
All_Stats!$P:$P,"&lt;&gt;Email Marketing"
)</f>
        <v>677</v>
      </c>
      <c r="E841" s="113">
        <f>SUMIFS(All_Stats!$I:$I,
All_Stats!$D:$D,$B841,
All_Stats!$B:$B,"&gt;="&amp;EOMONTH($A841,-1)+1,
All_Stats!$B:$B,"&lt;"&amp;EOMONTH($A841,0)+1,
All_Stats!$P:$P,"&lt;&gt;Email Marketing"
)</f>
        <v>270</v>
      </c>
      <c r="F841" s="132">
        <f t="shared" si="262"/>
        <v>0.3988183161</v>
      </c>
      <c r="G841" s="131">
        <f>SUMIFS(All_Stats!$H:$H,
All_Stats!$D:$D,$B841,
All_Stats!$B:$B,"&gt;="&amp;EOMONTH($A841,-1)+1,
All_Stats!$B:$B,"&lt;"&amp;EOMONTH($A841,0)+1,
All_Stats!$P:$P,"&lt;&gt;Email Marketing"
)</f>
        <v>407</v>
      </c>
      <c r="H841" s="113">
        <f>SUMIFS(All_Stats!$K:$K,
All_Stats!$D:$D,$B841,
All_Stats!$B:$B,"&gt;="&amp;EOMONTH($A841,-1)+1,
All_Stats!$B:$B,"&lt;"&amp;EOMONTH($A841,0)+1,
All_Stats!$P:$P,"&lt;&gt;Email Marketing"
)</f>
        <v>0</v>
      </c>
      <c r="I841" s="133">
        <f>IFERROR(__xludf.DUMMYFUNCTION("COUNTUNIQUEIFS(All_Stats!A:A,
All_Stats!$D:$D,$B841,
All_Stats!$B:$B,""&gt;=""&amp;EOMONTH($A841,-1)+1,
All_Stats!$B:$B,""&lt;""&amp;EOMONTH($A841,0)+1,
All_Stats!$P:$P,""&lt;&gt;Email Marketing""
)"),24.0)</f>
        <v>24</v>
      </c>
    </row>
    <row r="842" hidden="1">
      <c r="A842" s="128">
        <v>45261.0</v>
      </c>
      <c r="B842" s="131" t="s">
        <v>157</v>
      </c>
      <c r="C842" s="134" t="str">
        <f>if(ifna(VLOOKUP(B842,'Vendor Directory'!A:C,3,0),"NOT FOUND")="","NOT FOUND",VLOOKUP(B842,'Vendor Directory'!A:C,3,0))</f>
        <v>#N/A</v>
      </c>
      <c r="D842" s="131">
        <f>SUMIFS(All_Stats!$G:$G,
All_Stats!$D:$D,$B842,
All_Stats!$B:$B,"&gt;="&amp;EOMONTH($A842,-1)+1,
All_Stats!$B:$B,"&lt;"&amp;EOMONTH($A842,0)+1,
All_Stats!$P:$P,"&lt;&gt;Email Marketing"
)</f>
        <v>547</v>
      </c>
      <c r="E842" s="113">
        <f>SUMIFS(All_Stats!$I:$I,
All_Stats!$D:$D,$B842,
All_Stats!$B:$B,"&gt;="&amp;EOMONTH($A842,-1)+1,
All_Stats!$B:$B,"&lt;"&amp;EOMONTH($A842,0)+1,
All_Stats!$P:$P,"&lt;&gt;Email Marketing"
)</f>
        <v>193</v>
      </c>
      <c r="F842" s="132">
        <f t="shared" si="262"/>
        <v>0.352833638</v>
      </c>
      <c r="G842" s="131">
        <f>SUMIFS(All_Stats!$H:$H,
All_Stats!$D:$D,$B842,
All_Stats!$B:$B,"&gt;="&amp;EOMONTH($A842,-1)+1,
All_Stats!$B:$B,"&lt;"&amp;EOMONTH($A842,0)+1,
All_Stats!$P:$P,"&lt;&gt;Email Marketing"
)</f>
        <v>354</v>
      </c>
      <c r="H842" s="113">
        <f>SUMIFS(All_Stats!$K:$K,
All_Stats!$D:$D,$B842,
All_Stats!$B:$B,"&gt;="&amp;EOMONTH($A842,-1)+1,
All_Stats!$B:$B,"&lt;"&amp;EOMONTH($A842,0)+1,
All_Stats!$P:$P,"&lt;&gt;Email Marketing"
)</f>
        <v>0</v>
      </c>
      <c r="I842" s="133">
        <f>IFERROR(__xludf.DUMMYFUNCTION("COUNTUNIQUEIFS(All_Stats!A:A,
All_Stats!$D:$D,$B842,
All_Stats!$B:$B,""&gt;=""&amp;EOMONTH($A842,-1)+1,
All_Stats!$B:$B,""&lt;""&amp;EOMONTH($A842,0)+1,
All_Stats!$P:$P,""&lt;&gt;Email Marketing""
)"),19.0)</f>
        <v>19</v>
      </c>
    </row>
    <row r="843" hidden="1">
      <c r="A843" s="128">
        <v>45261.0</v>
      </c>
      <c r="B843" s="131" t="s">
        <v>91</v>
      </c>
      <c r="C843" s="134" t="str">
        <f>if(ifna(VLOOKUP(B843,'Vendor Directory'!A:C,3,0),"NOT FOUND")="","NOT FOUND",VLOOKUP(B843,'Vendor Directory'!A:C,3,0))</f>
        <v>#N/A</v>
      </c>
      <c r="D843" s="131">
        <f>SUMIFS(All_Stats!$G:$G,
All_Stats!$D:$D,$B843,
All_Stats!$B:$B,"&gt;="&amp;EOMONTH($A843,-1)+1,
All_Stats!$B:$B,"&lt;"&amp;EOMONTH($A843,0)+1,
All_Stats!$P:$P,"&lt;&gt;Email Marketing"
)</f>
        <v>536</v>
      </c>
      <c r="E843" s="113">
        <f>SUMIFS(All_Stats!$I:$I,
All_Stats!$D:$D,$B843,
All_Stats!$B:$B,"&gt;="&amp;EOMONTH($A843,-1)+1,
All_Stats!$B:$B,"&lt;"&amp;EOMONTH($A843,0)+1,
All_Stats!$P:$P,"&lt;&gt;Email Marketing"
)</f>
        <v>123</v>
      </c>
      <c r="F843" s="132">
        <f t="shared" si="262"/>
        <v>0.2294776119</v>
      </c>
      <c r="G843" s="131">
        <f>SUMIFS(All_Stats!$H:$H,
All_Stats!$D:$D,$B843,
All_Stats!$B:$B,"&gt;="&amp;EOMONTH($A843,-1)+1,
All_Stats!$B:$B,"&lt;"&amp;EOMONTH($A843,0)+1,
All_Stats!$P:$P,"&lt;&gt;Email Marketing"
)</f>
        <v>395</v>
      </c>
      <c r="H843" s="113">
        <f>SUMIFS(All_Stats!$K:$K,
All_Stats!$D:$D,$B843,
All_Stats!$B:$B,"&gt;="&amp;EOMONTH($A843,-1)+1,
All_Stats!$B:$B,"&lt;"&amp;EOMONTH($A843,0)+1,
All_Stats!$P:$P,"&lt;&gt;Email Marketing"
)</f>
        <v>0</v>
      </c>
      <c r="I843" s="133">
        <f>IFERROR(__xludf.DUMMYFUNCTION("COUNTUNIQUEIFS(All_Stats!A:A,
All_Stats!$D:$D,$B843,
All_Stats!$B:$B,""&gt;=""&amp;EOMONTH($A843,-1)+1,
All_Stats!$B:$B,""&lt;""&amp;EOMONTH($A843,0)+1,
All_Stats!$P:$P,""&lt;&gt;Email Marketing""
)"),15.0)</f>
        <v>15</v>
      </c>
    </row>
    <row r="844" hidden="1">
      <c r="A844" s="128">
        <v>45261.0</v>
      </c>
      <c r="B844" s="129" t="s">
        <v>109</v>
      </c>
      <c r="C844" s="130" t="s">
        <v>490</v>
      </c>
      <c r="D844" s="131">
        <f>SUMIFS(All_Stats!$G:$G,
All_Stats!$D:$D,$B844,
All_Stats!$B:$B,"&gt;="&amp;EOMONTH($A844,-1)+1,
All_Stats!$B:$B,"&lt;"&amp;EOMONTH($A844,0)+1,
All_Stats!$P:$P,"&lt;&gt;Email Marketing"
)</f>
        <v>131</v>
      </c>
      <c r="E844" s="113">
        <f>SUMIFS(All_Stats!$I:$I,
All_Stats!$D:$D,$B844,
All_Stats!$B:$B,"&gt;="&amp;EOMONTH($A844,-1)+1,
All_Stats!$B:$B,"&lt;"&amp;EOMONTH($A844,0)+1,
All_Stats!$P:$P,"&lt;&gt;Email Marketing"
)</f>
        <v>55</v>
      </c>
      <c r="F844" s="132">
        <f t="shared" si="262"/>
        <v>0.4198473282</v>
      </c>
      <c r="G844" s="131">
        <f>SUMIFS(All_Stats!$H:$H,
All_Stats!$D:$D,$B844,
All_Stats!$B:$B,"&gt;="&amp;EOMONTH($A844,-1)+1,
All_Stats!$B:$B,"&lt;"&amp;EOMONTH($A844,0)+1,
All_Stats!$P:$P,"&lt;&gt;Email Marketing"
)</f>
        <v>76</v>
      </c>
      <c r="H844" s="113">
        <f>SUMIFS(All_Stats!$K:$K,
All_Stats!$D:$D,$B844,
All_Stats!$B:$B,"&gt;="&amp;EOMONTH($A844,-1)+1,
All_Stats!$B:$B,"&lt;"&amp;EOMONTH($A844,0)+1,
All_Stats!$P:$P,"&lt;&gt;Email Marketing"
)</f>
        <v>0</v>
      </c>
      <c r="I844" s="133">
        <f>IFERROR(__xludf.DUMMYFUNCTION("COUNTUNIQUEIFS(All_Stats!A:A,
All_Stats!$D:$D,$B844,
All_Stats!$B:$B,""&gt;=""&amp;EOMONTH($A844,-1)+1,
All_Stats!$B:$B,""&lt;""&amp;EOMONTH($A844,0)+1,
All_Stats!$P:$P,""&lt;&gt;Email Marketing""
)"),5.0)</f>
        <v>5</v>
      </c>
    </row>
    <row r="845" hidden="1">
      <c r="A845" s="128">
        <v>45261.0</v>
      </c>
      <c r="B845" s="129" t="s">
        <v>79</v>
      </c>
      <c r="C845" s="130" t="s">
        <v>488</v>
      </c>
      <c r="D845" s="131">
        <f>SUMIFS(All_Stats!$G:$G,
All_Stats!$D:$D,$B845,
All_Stats!$B:$B,"&gt;="&amp;EOMONTH($A845,-1)+1,
All_Stats!$B:$B,"&lt;"&amp;EOMONTH($A845,0)+1,
All_Stats!$P:$P,"&lt;&gt;Email Marketing"
)</f>
        <v>35</v>
      </c>
      <c r="E845" s="113">
        <f>SUMIFS(All_Stats!$I:$I,
All_Stats!$D:$D,$B845,
All_Stats!$B:$B,"&gt;="&amp;EOMONTH($A845,-1)+1,
All_Stats!$B:$B,"&lt;"&amp;EOMONTH($A845,0)+1,
All_Stats!$P:$P,"&lt;&gt;Email Marketing"
)</f>
        <v>4</v>
      </c>
      <c r="F845" s="132">
        <f t="shared" si="262"/>
        <v>0.1142857143</v>
      </c>
      <c r="G845" s="131">
        <f>SUMIFS(All_Stats!$H:$H,
All_Stats!$D:$D,$B845,
All_Stats!$B:$B,"&gt;="&amp;EOMONTH($A845,-1)+1,
All_Stats!$B:$B,"&lt;"&amp;EOMONTH($A845,0)+1,
All_Stats!$P:$P,"&lt;&gt;Email Marketing"
)</f>
        <v>9</v>
      </c>
      <c r="H845" s="113">
        <f>SUMIFS(All_Stats!$K:$K,
All_Stats!$D:$D,$B845,
All_Stats!$B:$B,"&gt;="&amp;EOMONTH($A845,-1)+1,
All_Stats!$B:$B,"&lt;"&amp;EOMONTH($A845,0)+1,
All_Stats!$P:$P,"&lt;&gt;Email Marketing"
)</f>
        <v>2</v>
      </c>
      <c r="I845" s="133">
        <f>IFERROR(__xludf.DUMMYFUNCTION("COUNTUNIQUEIFS(All_Stats!A:A,
All_Stats!$D:$D,$B845,
All_Stats!$B:$B,""&gt;=""&amp;EOMONTH($A845,-1)+1,
All_Stats!$B:$B,""&lt;""&amp;EOMONTH($A845,0)+1,
All_Stats!$P:$P,""&lt;&gt;Email Marketing""
)"),7.0)</f>
        <v>7</v>
      </c>
    </row>
    <row r="846" hidden="1">
      <c r="A846" s="128">
        <v>45261.0</v>
      </c>
      <c r="B846" s="129" t="s">
        <v>69</v>
      </c>
      <c r="C846" s="142" t="s">
        <v>491</v>
      </c>
      <c r="D846" s="131">
        <f>SUMIFS(All_Stats!$G:$G,
All_Stats!$D:$D,$B846,
All_Stats!$B:$B,"&gt;="&amp;EOMONTH($A846,-1)+1,
All_Stats!$B:$B,"&lt;"&amp;EOMONTH($A846,0)+1,
All_Stats!$P:$P,"&lt;&gt;Email Marketing"
)</f>
        <v>47</v>
      </c>
      <c r="E846" s="113">
        <f>SUMIFS(All_Stats!$I:$I,
All_Stats!$D:$D,$B846,
All_Stats!$B:$B,"&gt;="&amp;EOMONTH($A846,-1)+1,
All_Stats!$B:$B,"&lt;"&amp;EOMONTH($A846,0)+1,
All_Stats!$P:$P,"&lt;&gt;Email Marketing"
)</f>
        <v>27</v>
      </c>
      <c r="F846" s="132">
        <f t="shared" si="262"/>
        <v>0.5744680851</v>
      </c>
      <c r="G846" s="131">
        <f>SUMIFS(All_Stats!$H:$H,
All_Stats!$D:$D,$B846,
All_Stats!$B:$B,"&gt;="&amp;EOMONTH($A846,-1)+1,
All_Stats!$B:$B,"&lt;"&amp;EOMONTH($A846,0)+1,
All_Stats!$P:$P,"&lt;&gt;Email Marketing"
)</f>
        <v>19</v>
      </c>
      <c r="H846" s="113">
        <f>SUMIFS(All_Stats!$K:$K,
All_Stats!$D:$D,$B846,
All_Stats!$B:$B,"&gt;="&amp;EOMONTH($A846,-1)+1,
All_Stats!$B:$B,"&lt;"&amp;EOMONTH($A846,0)+1,
All_Stats!$P:$P,"&lt;&gt;Email Marketing"
)</f>
        <v>0</v>
      </c>
      <c r="I846" s="133">
        <f>IFERROR(__xludf.DUMMYFUNCTION("COUNTUNIQUEIFS(All_Stats!A:A,
All_Stats!$D:$D,$B846,
All_Stats!$B:$B,""&gt;=""&amp;EOMONTH($A846,-1)+1,
All_Stats!$B:$B,""&lt;""&amp;EOMONTH($A846,0)+1,
All_Stats!$P:$P,""&lt;&gt;Email Marketing""
)"),6.0)</f>
        <v>6</v>
      </c>
    </row>
    <row r="847" hidden="1">
      <c r="A847" s="128">
        <v>45261.0</v>
      </c>
      <c r="B847" s="129" t="s">
        <v>33</v>
      </c>
      <c r="C847" s="142" t="s">
        <v>492</v>
      </c>
      <c r="D847" s="131">
        <f>SUMIFS(All_Stats!$G:$G,
All_Stats!$D:$D,$B847,
All_Stats!$B:$B,"&gt;="&amp;EOMONTH($A847,-1)+1,
All_Stats!$B:$B,"&lt;"&amp;EOMONTH($A847,0)+1,
All_Stats!$P:$P,"&lt;&gt;Email Marketing"
)</f>
        <v>27</v>
      </c>
      <c r="E847" s="113">
        <f>SUMIFS(All_Stats!$I:$I,
All_Stats!$D:$D,$B847,
All_Stats!$B:$B,"&gt;="&amp;EOMONTH($A847,-1)+1,
All_Stats!$B:$B,"&lt;"&amp;EOMONTH($A847,0)+1,
All_Stats!$P:$P,"&lt;&gt;Email Marketing"
)</f>
        <v>11</v>
      </c>
      <c r="F847" s="132">
        <f t="shared" si="262"/>
        <v>0.4074074074</v>
      </c>
      <c r="G847" s="131">
        <f>SUMIFS(All_Stats!$H:$H,
All_Stats!$D:$D,$B847,
All_Stats!$B:$B,"&gt;="&amp;EOMONTH($A847,-1)+1,
All_Stats!$B:$B,"&lt;"&amp;EOMONTH($A847,0)+1,
All_Stats!$P:$P,"&lt;&gt;Email Marketing"
)</f>
        <v>16</v>
      </c>
      <c r="H847" s="113">
        <f>SUMIFS(All_Stats!$K:$K,
All_Stats!$D:$D,$B847,
All_Stats!$B:$B,"&gt;="&amp;EOMONTH($A847,-1)+1,
All_Stats!$B:$B,"&lt;"&amp;EOMONTH($A847,0)+1,
All_Stats!$P:$P,"&lt;&gt;Email Marketing"
)</f>
        <v>0</v>
      </c>
      <c r="I847" s="133">
        <f>IFERROR(__xludf.DUMMYFUNCTION("COUNTUNIQUEIFS(All_Stats!A:A,
All_Stats!$D:$D,$B847,
All_Stats!$B:$B,""&gt;=""&amp;EOMONTH($A847,-1)+1,
All_Stats!$B:$B,""&lt;""&amp;EOMONTH($A847,0)+1,
All_Stats!$P:$P,""&lt;&gt;Email Marketing""
)"),5.0)</f>
        <v>5</v>
      </c>
    </row>
    <row r="848" hidden="1">
      <c r="A848" s="128">
        <v>45261.0</v>
      </c>
      <c r="B848" s="129" t="s">
        <v>231</v>
      </c>
      <c r="C848" s="142" t="s">
        <v>546</v>
      </c>
      <c r="D848" s="131">
        <f>SUMIFS(All_Stats!$G:$G,
All_Stats!$D:$D,$B848,
All_Stats!$B:$B,"&gt;="&amp;EOMONTH($A848,-1)+1,
All_Stats!$B:$B,"&lt;"&amp;EOMONTH($A848,0)+1,
All_Stats!$P:$P,"&lt;&gt;Email Marketing"
)</f>
        <v>0</v>
      </c>
      <c r="E848" s="113">
        <f>SUMIFS(All_Stats!$I:$I,
All_Stats!$D:$D,$B848,
All_Stats!$B:$B,"&gt;="&amp;EOMONTH($A848,-1)+1,
All_Stats!$B:$B,"&lt;"&amp;EOMONTH($A848,0)+1,
All_Stats!$P:$P,"&lt;&gt;Email Marketing"
)</f>
        <v>0</v>
      </c>
      <c r="F848" s="132" t="str">
        <f t="shared" si="262"/>
        <v>N/A</v>
      </c>
      <c r="G848" s="131">
        <f>SUMIFS(All_Stats!$H:$H,
All_Stats!$D:$D,$B848,
All_Stats!$B:$B,"&gt;="&amp;EOMONTH($A848,-1)+1,
All_Stats!$B:$B,"&lt;"&amp;EOMONTH($A848,0)+1,
All_Stats!$P:$P,"&lt;&gt;Email Marketing"
)</f>
        <v>0</v>
      </c>
      <c r="H848" s="113">
        <f>SUMIFS(All_Stats!$K:$K,
All_Stats!$D:$D,$B848,
All_Stats!$B:$B,"&gt;="&amp;EOMONTH($A848,-1)+1,
All_Stats!$B:$B,"&lt;"&amp;EOMONTH($A848,0)+1,
All_Stats!$P:$P,"&lt;&gt;Email Marketing"
)</f>
        <v>0</v>
      </c>
      <c r="I848" s="133">
        <f>IFERROR(__xludf.DUMMYFUNCTION("COUNTUNIQUEIFS(All_Stats!A:A,
All_Stats!$D:$D,$B848,
All_Stats!$B:$B,""&gt;=""&amp;EOMONTH($A848,-1)+1,
All_Stats!$B:$B,""&lt;""&amp;EOMONTH($A848,0)+1,
All_Stats!$P:$P,""&lt;&gt;Email Marketing""
)"),0.0)</f>
        <v>0</v>
      </c>
    </row>
    <row r="849" hidden="1">
      <c r="A849" s="135"/>
      <c r="B849" s="135"/>
      <c r="C849" s="136" t="s">
        <v>23</v>
      </c>
      <c r="D849" s="137">
        <f t="shared" ref="D849:E849" si="263">SUM(D839:D848)</f>
        <v>4909</v>
      </c>
      <c r="E849" s="137">
        <f t="shared" si="263"/>
        <v>1604</v>
      </c>
      <c r="F849" s="138">
        <f t="shared" si="262"/>
        <v>0.3267467916</v>
      </c>
      <c r="G849" s="137">
        <f t="shared" ref="G849:H849" si="264">SUM(G839:G848)</f>
        <v>3167</v>
      </c>
      <c r="H849" s="137">
        <f t="shared" si="264"/>
        <v>18</v>
      </c>
      <c r="I849" s="139"/>
    </row>
    <row r="850" hidden="1">
      <c r="A850" s="114"/>
      <c r="B850" s="114"/>
      <c r="C850" s="115"/>
      <c r="D850" s="116"/>
      <c r="E850" s="116"/>
      <c r="F850" s="117"/>
      <c r="G850" s="116"/>
      <c r="H850" s="116"/>
      <c r="I850" s="116"/>
    </row>
    <row r="851" hidden="1">
      <c r="A851" s="114"/>
      <c r="B851" s="114"/>
      <c r="C851" s="115"/>
      <c r="D851" s="116">
        <f t="shared" ref="D851:E851" si="265">D836+D849</f>
        <v>9097</v>
      </c>
      <c r="E851" s="116">
        <f t="shared" si="265"/>
        <v>3610</v>
      </c>
      <c r="F851" s="117"/>
      <c r="G851" s="116">
        <f t="shared" ref="G851:H851" si="266">G836+G849</f>
        <v>5224</v>
      </c>
      <c r="H851" s="116">
        <f t="shared" si="266"/>
        <v>143</v>
      </c>
      <c r="I851" s="116"/>
    </row>
    <row r="852" hidden="1">
      <c r="A852" s="114"/>
      <c r="B852" s="114"/>
      <c r="C852" s="115"/>
      <c r="D852" s="116"/>
      <c r="E852" s="116"/>
      <c r="F852" s="117"/>
      <c r="G852" s="116"/>
      <c r="H852" s="116"/>
      <c r="I852" s="116"/>
    </row>
    <row r="853">
      <c r="A853" s="200">
        <v>2023.0</v>
      </c>
      <c r="B853" s="119"/>
      <c r="C853" s="119"/>
      <c r="D853" s="119"/>
      <c r="E853" s="119"/>
      <c r="F853" s="119"/>
      <c r="G853" s="119"/>
      <c r="H853" s="119"/>
      <c r="I853" s="120"/>
    </row>
    <row r="854" hidden="1">
      <c r="A854" s="114"/>
      <c r="B854" s="114"/>
      <c r="C854" s="115"/>
      <c r="D854" s="116"/>
      <c r="E854" s="116"/>
      <c r="F854" s="117"/>
      <c r="G854" s="116"/>
      <c r="H854" s="116"/>
      <c r="I854" s="116"/>
    </row>
    <row r="855" hidden="1">
      <c r="C855" s="118" t="s">
        <v>484</v>
      </c>
      <c r="D855" s="119"/>
      <c r="E855" s="119"/>
      <c r="F855" s="119"/>
      <c r="G855" s="119"/>
      <c r="H855" s="119"/>
      <c r="I855" s="120"/>
    </row>
    <row r="856" hidden="1">
      <c r="A856" s="121" t="s">
        <v>1</v>
      </c>
      <c r="B856" s="122" t="s">
        <v>485</v>
      </c>
      <c r="C856" s="123" t="s">
        <v>486</v>
      </c>
      <c r="D856" s="124" t="s">
        <v>6</v>
      </c>
      <c r="E856" s="125" t="s">
        <v>8</v>
      </c>
      <c r="F856" s="124" t="s">
        <v>479</v>
      </c>
      <c r="G856" s="126" t="s">
        <v>7</v>
      </c>
      <c r="H856" s="125" t="s">
        <v>10</v>
      </c>
      <c r="I856" s="127" t="s">
        <v>487</v>
      </c>
    </row>
    <row r="857" hidden="1">
      <c r="A857" s="128">
        <v>45293.0</v>
      </c>
      <c r="B857" s="129" t="s">
        <v>79</v>
      </c>
      <c r="C857" s="130" t="s">
        <v>488</v>
      </c>
      <c r="D857" s="131">
        <f>SUMIFS(All_Stats!$G:$G,
All_Stats!$D:$D,$B857,
All_Stats!$B:$B,"&gt;="&amp;EOMONTH($A857,-1)+1,
All_Stats!$B:$B,"&lt;"&amp;EOMONTH($A857,0)+1,
All_Stats!$P:$P,"Email Marketing"
)</f>
        <v>3203</v>
      </c>
      <c r="E857" s="113">
        <f>SUMIFS(All_Stats!$I:$I,
All_Stats!$D:$D,$B857,
All_Stats!$B:$B,"&gt;="&amp;EOMONTH($A857,-1)+1,
All_Stats!$B:$B,"&lt;"&amp;EOMONTH($A857,0)+1,
All_Stats!$P:$P,"Email Marketing"
)</f>
        <v>1656</v>
      </c>
      <c r="F857" s="132">
        <f t="shared" ref="F857:F859" si="267">iferror(E857/D857,"N/A")</f>
        <v>0.5170152982</v>
      </c>
      <c r="G857" s="131">
        <f>SUMIFS(All_Stats!$H:$H,
All_Stats!$D:$D,$B857,
All_Stats!$B:$B,"&gt;="&amp;EOMONTH($A857,-1)+1,
All_Stats!$B:$B,"&lt;"&amp;EOMONTH($A857,0)+1,
All_Stats!$P:$P,"Email Marketing"
)</f>
        <v>1520</v>
      </c>
      <c r="H857" s="113">
        <f>SUMIFS(All_Stats!$K:$K,
All_Stats!$D:$D,$B857,
All_Stats!$B:$B,"&gt;="&amp;EOMONTH($A857,-1)+1,
All_Stats!$B:$B,"&lt;"&amp;EOMONTH($A857,0)+1,
All_Stats!$P:$P,"Email Marketing"
)</f>
        <v>27</v>
      </c>
      <c r="I857" s="133">
        <f>IFERROR(__xludf.DUMMYFUNCTION("COUNTUNIQUEIFS(All_Stats!A:A,
All_Stats!$D:$D,$B857,
All_Stats!$B:$B,""&gt;=""&amp;EOMONTH($A857,-1)+1,
All_Stats!$B:$B,""&lt;""&amp;EOMONTH($A857,0)+1,
All_Stats!$P:$P,""Email Marketing""
)"),20.0)</f>
        <v>20</v>
      </c>
    </row>
    <row r="858" hidden="1">
      <c r="A858" s="128">
        <v>45293.0</v>
      </c>
      <c r="B858" s="131" t="s">
        <v>164</v>
      </c>
      <c r="C858" s="134" t="str">
        <f>if(ifna(VLOOKUP(B858,'Vendor Directory'!A:C,3,0),"NOT FOUND")="","NOT FOUND",VLOOKUP(B858,'Vendor Directory'!A:C,3,0))</f>
        <v>#N/A</v>
      </c>
      <c r="D858" s="131">
        <f>SUMIFS(All_Stats!$G:$G,
All_Stats!$D:$D,$B858,
All_Stats!$B:$B,"&gt;="&amp;EOMONTH($A858,-1)+1,
All_Stats!$B:$B,"&lt;"&amp;EOMONTH($A858,0)+1,
All_Stats!$P:$P,"Email Marketing"
)</f>
        <v>2467</v>
      </c>
      <c r="E858" s="113">
        <f>SUMIFS(All_Stats!$I:$I,
All_Stats!$D:$D,$B858,
All_Stats!$B:$B,"&gt;="&amp;EOMONTH($A858,-1)+1,
All_Stats!$B:$B,"&lt;"&amp;EOMONTH($A858,0)+1,
All_Stats!$P:$P,"Email Marketing"
)</f>
        <v>722</v>
      </c>
      <c r="F858" s="132">
        <f t="shared" si="267"/>
        <v>0.2926631536</v>
      </c>
      <c r="G858" s="131">
        <f>SUMIFS(All_Stats!$H:$H,
All_Stats!$D:$D,$B858,
All_Stats!$B:$B,"&gt;="&amp;EOMONTH($A858,-1)+1,
All_Stats!$B:$B,"&lt;"&amp;EOMONTH($A858,0)+1,
All_Stats!$P:$P,"Email Marketing"
)</f>
        <v>1598</v>
      </c>
      <c r="H858" s="113">
        <f>SUMIFS(All_Stats!$K:$K,
All_Stats!$D:$D,$B858,
All_Stats!$B:$B,"&gt;="&amp;EOMONTH($A858,-1)+1,
All_Stats!$B:$B,"&lt;"&amp;EOMONTH($A858,0)+1,
All_Stats!$P:$P,"Email Marketing"
)</f>
        <v>0</v>
      </c>
      <c r="I858" s="133">
        <f>IFERROR(__xludf.DUMMYFUNCTION("COUNTUNIQUEIFS(All_Stats!A:A,
All_Stats!$D:$D,$B858,
All_Stats!$B:$B,""&gt;=""&amp;EOMONTH($A858,-1)+1,
All_Stats!$B:$B,""&lt;""&amp;EOMONTH($A858,0)+1,
All_Stats!$P:$P,""Email Marketing""
)"),28.0)</f>
        <v>28</v>
      </c>
    </row>
    <row r="859" hidden="1">
      <c r="A859" s="135"/>
      <c r="B859" s="135"/>
      <c r="C859" s="136" t="s">
        <v>23</v>
      </c>
      <c r="D859" s="137">
        <f t="shared" ref="D859:E859" si="268">SUM(D857:D858)</f>
        <v>5670</v>
      </c>
      <c r="E859" s="137">
        <f t="shared" si="268"/>
        <v>2378</v>
      </c>
      <c r="F859" s="138">
        <f t="shared" si="267"/>
        <v>0.4194003527</v>
      </c>
      <c r="G859" s="137">
        <f t="shared" ref="G859:H859" si="269">SUM(G857:G858)</f>
        <v>3118</v>
      </c>
      <c r="H859" s="137">
        <f t="shared" si="269"/>
        <v>27</v>
      </c>
      <c r="I859" s="139"/>
    </row>
    <row r="860" hidden="1">
      <c r="A860" s="131"/>
      <c r="B860" s="131"/>
      <c r="C860" s="129"/>
      <c r="D860" s="140"/>
      <c r="F860" s="131"/>
      <c r="G860" s="131"/>
    </row>
    <row r="861" hidden="1">
      <c r="A861" s="121" t="s">
        <v>1</v>
      </c>
      <c r="B861" s="122" t="s">
        <v>485</v>
      </c>
      <c r="C861" s="123" t="s">
        <v>486</v>
      </c>
      <c r="D861" s="124" t="s">
        <v>6</v>
      </c>
      <c r="E861" s="125" t="s">
        <v>8</v>
      </c>
      <c r="F861" s="124" t="s">
        <v>479</v>
      </c>
      <c r="G861" s="126" t="s">
        <v>7</v>
      </c>
      <c r="H861" s="125" t="s">
        <v>10</v>
      </c>
      <c r="I861" s="127" t="s">
        <v>487</v>
      </c>
    </row>
    <row r="862" hidden="1">
      <c r="A862" s="128">
        <v>45293.0</v>
      </c>
      <c r="B862" s="129" t="s">
        <v>19</v>
      </c>
      <c r="C862" s="141" t="s">
        <v>489</v>
      </c>
      <c r="D862" s="131">
        <f>SUMIFS(All_Stats!$G:$G,
All_Stats!$D:$D,$B862,
All_Stats!$B:$B,"&gt;="&amp;EOMONTH($A862,-1)+1,
All_Stats!$B:$B,"&lt;"&amp;EOMONTH($A862,0)+1,
All_Stats!$P:$P,"&lt;&gt;Email Marketing"
)</f>
        <v>2177</v>
      </c>
      <c r="E862" s="113">
        <f>SUMIFS(All_Stats!$I:$I,
All_Stats!$D:$D,$B862,
All_Stats!$B:$B,"&gt;="&amp;EOMONTH($A862,-1)+1,
All_Stats!$B:$B,"&lt;"&amp;EOMONTH($A862,0)+1,
All_Stats!$P:$P,"&lt;&gt;Email Marketing"
)</f>
        <v>567</v>
      </c>
      <c r="F862" s="132">
        <f t="shared" ref="F862:F871" si="270">iferror(E862/D862,"N/A")</f>
        <v>0.2604501608</v>
      </c>
      <c r="G862" s="131">
        <f>SUMIFS(All_Stats!$H:$H,
All_Stats!$D:$D,$B862,
All_Stats!$B:$B,"&gt;="&amp;EOMONTH($A862,-1)+1,
All_Stats!$B:$B,"&lt;"&amp;EOMONTH($A862,0)+1,
All_Stats!$P:$P,"&lt;&gt;Email Marketing"
)</f>
        <v>1525</v>
      </c>
      <c r="H862" s="113">
        <f>SUMIFS(All_Stats!$K:$K,
All_Stats!$D:$D,$B862,
All_Stats!$B:$B,"&gt;="&amp;EOMONTH($A862,-1)+1,
All_Stats!$B:$B,"&lt;"&amp;EOMONTH($A862,0)+1,
All_Stats!$P:$P,"&lt;&gt;Email Marketing"
)</f>
        <v>24</v>
      </c>
      <c r="I862" s="133">
        <f>IFERROR(__xludf.DUMMYFUNCTION("COUNTUNIQUEIFS(All_Stats!A:A,
All_Stats!$D:$D,$B862,
All_Stats!$B:$B,""&gt;=""&amp;EOMONTH($A862,-1)+1,
All_Stats!$B:$B,""&lt;""&amp;EOMONTH($A862,0)+1,
All_Stats!$P:$P,""&lt;&gt;Email Marketing""
)"),82.0)</f>
        <v>82</v>
      </c>
    </row>
    <row r="863" hidden="1">
      <c r="A863" s="128">
        <v>45293.0</v>
      </c>
      <c r="B863" s="131" t="s">
        <v>127</v>
      </c>
      <c r="C863" s="134" t="str">
        <f>if(ifna(VLOOKUP(B863,'Vendor Directory'!A:C,3,0),"NOT FOUND")="","NOT FOUND",VLOOKUP(B863,'Vendor Directory'!A:C,3,0))</f>
        <v>#N/A</v>
      </c>
      <c r="D863" s="131">
        <f>SUMIFS(All_Stats!$G:$G,
All_Stats!$D:$D,$B863,
All_Stats!$B:$B,"&gt;="&amp;EOMONTH($A863,-1)+1,
All_Stats!$B:$B,"&lt;"&amp;EOMONTH($A863,0)+1,
All_Stats!$P:$P,"&lt;&gt;Email Marketing"
)</f>
        <v>2507</v>
      </c>
      <c r="E863" s="113">
        <f>SUMIFS(All_Stats!$I:$I,
All_Stats!$D:$D,$B863,
All_Stats!$B:$B,"&gt;="&amp;EOMONTH($A863,-1)+1,
All_Stats!$B:$B,"&lt;"&amp;EOMONTH($A863,0)+1,
All_Stats!$P:$P,"&lt;&gt;Email Marketing"
)</f>
        <v>702</v>
      </c>
      <c r="F863" s="132">
        <f t="shared" si="270"/>
        <v>0.2800159553</v>
      </c>
      <c r="G863" s="131">
        <f>SUMIFS(All_Stats!$H:$H,
All_Stats!$D:$D,$B863,
All_Stats!$B:$B,"&gt;="&amp;EOMONTH($A863,-1)+1,
All_Stats!$B:$B,"&lt;"&amp;EOMONTH($A863,0)+1,
All_Stats!$P:$P,"&lt;&gt;Email Marketing"
)</f>
        <v>1805</v>
      </c>
      <c r="H863" s="113">
        <f>SUMIFS(All_Stats!$K:$K,
All_Stats!$D:$D,$B863,
All_Stats!$B:$B,"&gt;="&amp;EOMONTH($A863,-1)+1,
All_Stats!$B:$B,"&lt;"&amp;EOMONTH($A863,0)+1,
All_Stats!$P:$P,"&lt;&gt;Email Marketing"
)</f>
        <v>0</v>
      </c>
      <c r="I863" s="133">
        <f>IFERROR(__xludf.DUMMYFUNCTION("COUNTUNIQUEIFS(All_Stats!A:A,
All_Stats!$D:$D,$B863,
All_Stats!$B:$B,""&gt;=""&amp;EOMONTH($A863,-1)+1,
All_Stats!$B:$B,""&lt;""&amp;EOMONTH($A863,0)+1,
All_Stats!$P:$P,""&lt;&gt;Email Marketing""
)"),33.0)</f>
        <v>33</v>
      </c>
    </row>
    <row r="864" hidden="1">
      <c r="A864" s="128">
        <v>45293.0</v>
      </c>
      <c r="B864" s="131" t="s">
        <v>157</v>
      </c>
      <c r="C864" s="134" t="str">
        <f>if(ifna(VLOOKUP(B864,'Vendor Directory'!A:C,3,0),"NOT FOUND")="","NOT FOUND",VLOOKUP(B864,'Vendor Directory'!A:C,3,0))</f>
        <v>#N/A</v>
      </c>
      <c r="D864" s="131">
        <f>SUMIFS(All_Stats!$G:$G,
All_Stats!$D:$D,$B864,
All_Stats!$B:$B,"&gt;="&amp;EOMONTH($A864,-1)+1,
All_Stats!$B:$B,"&lt;"&amp;EOMONTH($A864,0)+1,
All_Stats!$P:$P,"&lt;&gt;Email Marketing"
)</f>
        <v>819</v>
      </c>
      <c r="E864" s="113">
        <f>SUMIFS(All_Stats!$I:$I,
All_Stats!$D:$D,$B864,
All_Stats!$B:$B,"&gt;="&amp;EOMONTH($A864,-1)+1,
All_Stats!$B:$B,"&lt;"&amp;EOMONTH($A864,0)+1,
All_Stats!$P:$P,"&lt;&gt;Email Marketing"
)</f>
        <v>281</v>
      </c>
      <c r="F864" s="132">
        <f t="shared" si="270"/>
        <v>0.3431013431</v>
      </c>
      <c r="G864" s="131">
        <f>SUMIFS(All_Stats!$H:$H,
All_Stats!$D:$D,$B864,
All_Stats!$B:$B,"&gt;="&amp;EOMONTH($A864,-1)+1,
All_Stats!$B:$B,"&lt;"&amp;EOMONTH($A864,0)+1,
All_Stats!$P:$P,"&lt;&gt;Email Marketing"
)</f>
        <v>507</v>
      </c>
      <c r="H864" s="113">
        <f>SUMIFS(All_Stats!$K:$K,
All_Stats!$D:$D,$B864,
All_Stats!$B:$B,"&gt;="&amp;EOMONTH($A864,-1)+1,
All_Stats!$B:$B,"&lt;"&amp;EOMONTH($A864,0)+1,
All_Stats!$P:$P,"&lt;&gt;Email Marketing"
)</f>
        <v>0</v>
      </c>
      <c r="I864" s="133">
        <f>IFERROR(__xludf.DUMMYFUNCTION("COUNTUNIQUEIFS(All_Stats!A:A,
All_Stats!$D:$D,$B864,
All_Stats!$B:$B,""&gt;=""&amp;EOMONTH($A864,-1)+1,
All_Stats!$B:$B,""&lt;""&amp;EOMONTH($A864,0)+1,
All_Stats!$P:$P,""&lt;&gt;Email Marketing""
)"),19.0)</f>
        <v>19</v>
      </c>
    </row>
    <row r="865" hidden="1">
      <c r="A865" s="128">
        <v>45293.0</v>
      </c>
      <c r="B865" s="131" t="s">
        <v>91</v>
      </c>
      <c r="C865" s="134" t="str">
        <f>if(ifna(VLOOKUP(B865,'Vendor Directory'!A:C,3,0),"NOT FOUND")="","NOT FOUND",VLOOKUP(B865,'Vendor Directory'!A:C,3,0))</f>
        <v>#N/A</v>
      </c>
      <c r="D865" s="131">
        <f>SUMIFS(All_Stats!$G:$G,
All_Stats!$D:$D,$B865,
All_Stats!$B:$B,"&gt;="&amp;EOMONTH($A865,-1)+1,
All_Stats!$B:$B,"&lt;"&amp;EOMONTH($A865,0)+1,
All_Stats!$P:$P,"&lt;&gt;Email Marketing"
)</f>
        <v>565</v>
      </c>
      <c r="E865" s="113">
        <f>SUMIFS(All_Stats!$I:$I,
All_Stats!$D:$D,$B865,
All_Stats!$B:$B,"&gt;="&amp;EOMONTH($A865,-1)+1,
All_Stats!$B:$B,"&lt;"&amp;EOMONTH($A865,0)+1,
All_Stats!$P:$P,"&lt;&gt;Email Marketing"
)</f>
        <v>128</v>
      </c>
      <c r="F865" s="132">
        <f t="shared" si="270"/>
        <v>0.2265486726</v>
      </c>
      <c r="G865" s="131">
        <f>SUMIFS(All_Stats!$H:$H,
All_Stats!$D:$D,$B865,
All_Stats!$B:$B,"&gt;="&amp;EOMONTH($A865,-1)+1,
All_Stats!$B:$B,"&lt;"&amp;EOMONTH($A865,0)+1,
All_Stats!$P:$P,"&lt;&gt;Email Marketing"
)</f>
        <v>395</v>
      </c>
      <c r="H865" s="113">
        <f>SUMIFS(All_Stats!$K:$K,
All_Stats!$D:$D,$B865,
All_Stats!$B:$B,"&gt;="&amp;EOMONTH($A865,-1)+1,
All_Stats!$B:$B,"&lt;"&amp;EOMONTH($A865,0)+1,
All_Stats!$P:$P,"&lt;&gt;Email Marketing"
)</f>
        <v>28</v>
      </c>
      <c r="I865" s="133">
        <f>IFERROR(__xludf.DUMMYFUNCTION("COUNTUNIQUEIFS(All_Stats!A:A,
All_Stats!$D:$D,$B865,
All_Stats!$B:$B,""&gt;=""&amp;EOMONTH($A865,-1)+1,
All_Stats!$B:$B,""&lt;""&amp;EOMONTH($A865,0)+1,
All_Stats!$P:$P,""&lt;&gt;Email Marketing""
)"),13.0)</f>
        <v>13</v>
      </c>
    </row>
    <row r="866" hidden="1">
      <c r="A866" s="128">
        <v>45293.0</v>
      </c>
      <c r="B866" s="131" t="s">
        <v>30</v>
      </c>
      <c r="C866" s="134" t="str">
        <f>if(ifna(VLOOKUP(B866,'Vendor Directory'!A:C,3,0),"NOT FOUND")="","NOT FOUND",VLOOKUP(B866,'Vendor Directory'!A:C,3,0))</f>
        <v>Vendor 2 Name</v>
      </c>
      <c r="D866" s="131">
        <f>SUMIFS(All_Stats!$G:$G,
All_Stats!$D:$D,$B866,
All_Stats!$B:$B,"&gt;="&amp;EOMONTH($A866,-1)+1,
All_Stats!$B:$B,"&lt;"&amp;EOMONTH($A866,0)+1,
All_Stats!$P:$P,"&lt;&gt;Email Marketing"
)</f>
        <v>492</v>
      </c>
      <c r="E866" s="113">
        <f>SUMIFS(All_Stats!$I:$I,
All_Stats!$D:$D,$B866,
All_Stats!$B:$B,"&gt;="&amp;EOMONTH($A866,-1)+1,
All_Stats!$B:$B,"&lt;"&amp;EOMONTH($A866,0)+1,
All_Stats!$P:$P,"&lt;&gt;Email Marketing"
)</f>
        <v>160</v>
      </c>
      <c r="F866" s="132">
        <f t="shared" si="270"/>
        <v>0.325203252</v>
      </c>
      <c r="G866" s="131">
        <f>SUMIFS(All_Stats!$H:$H,
All_Stats!$D:$D,$B866,
All_Stats!$B:$B,"&gt;="&amp;EOMONTH($A866,-1)+1,
All_Stats!$B:$B,"&lt;"&amp;EOMONTH($A866,0)+1,
All_Stats!$P:$P,"&lt;&gt;Email Marketing"
)</f>
        <v>245</v>
      </c>
      <c r="H866" s="113">
        <f>SUMIFS(All_Stats!$K:$K,
All_Stats!$D:$D,$B866,
All_Stats!$B:$B,"&gt;="&amp;EOMONTH($A866,-1)+1,
All_Stats!$B:$B,"&lt;"&amp;EOMONTH($A866,0)+1,
All_Stats!$P:$P,"&lt;&gt;Email Marketing"
)</f>
        <v>31</v>
      </c>
      <c r="I866" s="133">
        <f>IFERROR(__xludf.DUMMYFUNCTION("COUNTUNIQUEIFS(All_Stats!A:A,
All_Stats!$D:$D,$B866,
All_Stats!$B:$B,""&gt;=""&amp;EOMONTH($A866,-1)+1,
All_Stats!$B:$B,""&lt;""&amp;EOMONTH($A866,0)+1,
All_Stats!$P:$P,""&lt;&gt;Email Marketing""
)"),13.0)</f>
        <v>13</v>
      </c>
    </row>
    <row r="867" hidden="1">
      <c r="A867" s="128">
        <v>45293.0</v>
      </c>
      <c r="B867" s="129" t="s">
        <v>109</v>
      </c>
      <c r="C867" s="130" t="s">
        <v>490</v>
      </c>
      <c r="D867" s="131">
        <f>SUMIFS(All_Stats!$G:$G,
All_Stats!$D:$D,$B867,
All_Stats!$B:$B,"&gt;="&amp;EOMONTH($A867,-1)+1,
All_Stats!$B:$B,"&lt;"&amp;EOMONTH($A867,0)+1,
All_Stats!$P:$P,"&lt;&gt;Email Marketing"
)</f>
        <v>70</v>
      </c>
      <c r="E867" s="113">
        <f>SUMIFS(All_Stats!$I:$I,
All_Stats!$D:$D,$B867,
All_Stats!$B:$B,"&gt;="&amp;EOMONTH($A867,-1)+1,
All_Stats!$B:$B,"&lt;"&amp;EOMONTH($A867,0)+1,
All_Stats!$P:$P,"&lt;&gt;Email Marketing"
)</f>
        <v>30</v>
      </c>
      <c r="F867" s="132">
        <f t="shared" si="270"/>
        <v>0.4285714286</v>
      </c>
      <c r="G867" s="131">
        <f>SUMIFS(All_Stats!$H:$H,
All_Stats!$D:$D,$B867,
All_Stats!$B:$B,"&gt;="&amp;EOMONTH($A867,-1)+1,
All_Stats!$B:$B,"&lt;"&amp;EOMONTH($A867,0)+1,
All_Stats!$P:$P,"&lt;&gt;Email Marketing"
)</f>
        <v>34</v>
      </c>
      <c r="H867" s="113">
        <f>SUMIFS(All_Stats!$K:$K,
All_Stats!$D:$D,$B867,
All_Stats!$B:$B,"&gt;="&amp;EOMONTH($A867,-1)+1,
All_Stats!$B:$B,"&lt;"&amp;EOMONTH($A867,0)+1,
All_Stats!$P:$P,"&lt;&gt;Email Marketing"
)</f>
        <v>3</v>
      </c>
      <c r="I867" s="133">
        <f>IFERROR(__xludf.DUMMYFUNCTION("COUNTUNIQUEIFS(All_Stats!A:A,
All_Stats!$D:$D,$B867,
All_Stats!$B:$B,""&gt;=""&amp;EOMONTH($A867,-1)+1,
All_Stats!$B:$B,""&lt;""&amp;EOMONTH($A867,0)+1,
All_Stats!$P:$P,""&lt;&gt;Email Marketing""
)"),15.0)</f>
        <v>15</v>
      </c>
    </row>
    <row r="868" hidden="1">
      <c r="A868" s="128">
        <v>45293.0</v>
      </c>
      <c r="B868" s="129" t="s">
        <v>69</v>
      </c>
      <c r="C868" s="142" t="s">
        <v>491</v>
      </c>
      <c r="D868" s="131">
        <f>SUMIFS(All_Stats!$G:$G,
All_Stats!$D:$D,$B868,
All_Stats!$B:$B,"&gt;="&amp;EOMONTH($A868,-1)+1,
All_Stats!$B:$B,"&lt;"&amp;EOMONTH($A868,0)+1,
All_Stats!$P:$P,"&lt;&gt;Email Marketing"
)</f>
        <v>37</v>
      </c>
      <c r="E868" s="113">
        <f>SUMIFS(All_Stats!$I:$I,
All_Stats!$D:$D,$B868,
All_Stats!$B:$B,"&gt;="&amp;EOMONTH($A868,-1)+1,
All_Stats!$B:$B,"&lt;"&amp;EOMONTH($A868,0)+1,
All_Stats!$P:$P,"&lt;&gt;Email Marketing"
)</f>
        <v>9</v>
      </c>
      <c r="F868" s="132">
        <f t="shared" si="270"/>
        <v>0.2432432432</v>
      </c>
      <c r="G868" s="131">
        <f>SUMIFS(All_Stats!$H:$H,
All_Stats!$D:$D,$B868,
All_Stats!$B:$B,"&gt;="&amp;EOMONTH($A868,-1)+1,
All_Stats!$B:$B,"&lt;"&amp;EOMONTH($A868,0)+1,
All_Stats!$P:$P,"&lt;&gt;Email Marketing"
)</f>
        <v>27</v>
      </c>
      <c r="H868" s="113">
        <f>SUMIFS(All_Stats!$K:$K,
All_Stats!$D:$D,$B868,
All_Stats!$B:$B,"&gt;="&amp;EOMONTH($A868,-1)+1,
All_Stats!$B:$B,"&lt;"&amp;EOMONTH($A868,0)+1,
All_Stats!$P:$P,"&lt;&gt;Email Marketing"
)</f>
        <v>1</v>
      </c>
      <c r="I868" s="133">
        <f>IFERROR(__xludf.DUMMYFUNCTION("COUNTUNIQUEIFS(All_Stats!A:A,
All_Stats!$D:$D,$B868,
All_Stats!$B:$B,""&gt;=""&amp;EOMONTH($A868,-1)+1,
All_Stats!$B:$B,""&lt;""&amp;EOMONTH($A868,0)+1,
All_Stats!$P:$P,""&lt;&gt;Email Marketing""
)"),4.0)</f>
        <v>4</v>
      </c>
    </row>
    <row r="869" hidden="1">
      <c r="A869" s="128">
        <v>45293.0</v>
      </c>
      <c r="B869" s="129" t="s">
        <v>33</v>
      </c>
      <c r="C869" s="142" t="s">
        <v>492</v>
      </c>
      <c r="D869" s="131">
        <f>SUMIFS(All_Stats!$G:$G,
All_Stats!$D:$D,$B869,
All_Stats!$B:$B,"&gt;="&amp;EOMONTH($A869,-1)+1,
All_Stats!$B:$B,"&lt;"&amp;EOMONTH($A869,0)+1,
All_Stats!$P:$P,"&lt;&gt;Email Marketing"
)</f>
        <v>39</v>
      </c>
      <c r="E869" s="113">
        <f>SUMIFS(All_Stats!$I:$I,
All_Stats!$D:$D,$B869,
All_Stats!$B:$B,"&gt;="&amp;EOMONTH($A869,-1)+1,
All_Stats!$B:$B,"&lt;"&amp;EOMONTH($A869,0)+1,
All_Stats!$P:$P,"&lt;&gt;Email Marketing"
)</f>
        <v>9</v>
      </c>
      <c r="F869" s="132">
        <f t="shared" si="270"/>
        <v>0.2307692308</v>
      </c>
      <c r="G869" s="131">
        <f>SUMIFS(All_Stats!$H:$H,
All_Stats!$D:$D,$B869,
All_Stats!$B:$B,"&gt;="&amp;EOMONTH($A869,-1)+1,
All_Stats!$B:$B,"&lt;"&amp;EOMONTH($A869,0)+1,
All_Stats!$P:$P,"&lt;&gt;Email Marketing"
)</f>
        <v>28</v>
      </c>
      <c r="H869" s="113">
        <f>SUMIFS(All_Stats!$K:$K,
All_Stats!$D:$D,$B869,
All_Stats!$B:$B,"&gt;="&amp;EOMONTH($A869,-1)+1,
All_Stats!$B:$B,"&lt;"&amp;EOMONTH($A869,0)+1,
All_Stats!$P:$P,"&lt;&gt;Email Marketing"
)</f>
        <v>0</v>
      </c>
      <c r="I869" s="133">
        <f>IFERROR(__xludf.DUMMYFUNCTION("COUNTUNIQUEIFS(All_Stats!A:A,
All_Stats!$D:$D,$B869,
All_Stats!$B:$B,""&gt;=""&amp;EOMONTH($A869,-1)+1,
All_Stats!$B:$B,""&lt;""&amp;EOMONTH($A869,0)+1,
All_Stats!$P:$P,""&lt;&gt;Email Marketing""
)"),6.0)</f>
        <v>6</v>
      </c>
    </row>
    <row r="870" hidden="1">
      <c r="A870" s="128">
        <v>45293.0</v>
      </c>
      <c r="B870" s="129" t="s">
        <v>79</v>
      </c>
      <c r="C870" s="130" t="s">
        <v>488</v>
      </c>
      <c r="D870" s="131">
        <f>SUMIFS(All_Stats!$G:$G,
All_Stats!$D:$D,$B870,
All_Stats!$B:$B,"&gt;="&amp;EOMONTH($A870,-1)+1,
All_Stats!$B:$B,"&lt;"&amp;EOMONTH($A870,0)+1,
All_Stats!$P:$P,"&lt;&gt;Email Marketing"
)</f>
        <v>1</v>
      </c>
      <c r="E870" s="113">
        <f>SUMIFS(All_Stats!$I:$I,
All_Stats!$D:$D,$B870,
All_Stats!$B:$B,"&gt;="&amp;EOMONTH($A870,-1)+1,
All_Stats!$B:$B,"&lt;"&amp;EOMONTH($A870,0)+1,
All_Stats!$P:$P,"&lt;&gt;Email Marketing"
)</f>
        <v>0</v>
      </c>
      <c r="F870" s="132">
        <f t="shared" si="270"/>
        <v>0</v>
      </c>
      <c r="G870" s="131">
        <f>SUMIFS(All_Stats!$H:$H,
All_Stats!$D:$D,$B870,
All_Stats!$B:$B,"&gt;="&amp;EOMONTH($A870,-1)+1,
All_Stats!$B:$B,"&lt;"&amp;EOMONTH($A870,0)+1,
All_Stats!$P:$P,"&lt;&gt;Email Marketing"
)</f>
        <v>1</v>
      </c>
      <c r="H870" s="113">
        <f>SUMIFS(All_Stats!$K:$K,
All_Stats!$D:$D,$B870,
All_Stats!$B:$B,"&gt;="&amp;EOMONTH($A870,-1)+1,
All_Stats!$B:$B,"&lt;"&amp;EOMONTH($A870,0)+1,
All_Stats!$P:$P,"&lt;&gt;Email Marketing"
)</f>
        <v>0</v>
      </c>
      <c r="I870" s="133">
        <f>IFERROR(__xludf.DUMMYFUNCTION("COUNTUNIQUEIFS(All_Stats!A:A,
All_Stats!$D:$D,$B870,
All_Stats!$B:$B,""&gt;=""&amp;EOMONTH($A870,-1)+1,
All_Stats!$B:$B,""&lt;""&amp;EOMONTH($A870,0)+1,
All_Stats!$P:$P,""&lt;&gt;Email Marketing""
)"),4.0)</f>
        <v>4</v>
      </c>
    </row>
    <row r="871" hidden="1">
      <c r="A871" s="135"/>
      <c r="B871" s="135"/>
      <c r="C871" s="136" t="s">
        <v>23</v>
      </c>
      <c r="D871" s="137">
        <f t="shared" ref="D871:E871" si="271">SUM(D862:D869)</f>
        <v>6706</v>
      </c>
      <c r="E871" s="137">
        <f t="shared" si="271"/>
        <v>1886</v>
      </c>
      <c r="F871" s="138">
        <f t="shared" si="270"/>
        <v>0.28124068</v>
      </c>
      <c r="G871" s="137">
        <f t="shared" ref="G871:H871" si="272">SUM(G862:G869)</f>
        <v>4566</v>
      </c>
      <c r="H871" s="137">
        <f t="shared" si="272"/>
        <v>87</v>
      </c>
      <c r="I871" s="139"/>
    </row>
    <row r="872" hidden="1">
      <c r="A872" s="114"/>
      <c r="B872" s="114"/>
      <c r="C872" s="115"/>
      <c r="D872" s="116"/>
      <c r="E872" s="116"/>
      <c r="F872" s="117"/>
      <c r="G872" s="116"/>
      <c r="H872" s="116"/>
      <c r="I872" s="116"/>
    </row>
    <row r="873" hidden="1">
      <c r="A873" s="114"/>
      <c r="B873" s="114"/>
      <c r="C873" s="115"/>
      <c r="D873" s="116">
        <f t="shared" ref="D873:E873" si="273">D859+D871</f>
        <v>12376</v>
      </c>
      <c r="E873" s="116">
        <f t="shared" si="273"/>
        <v>4264</v>
      </c>
      <c r="F873" s="117"/>
      <c r="G873" s="116">
        <f t="shared" ref="G873:H873" si="274">G859+G871</f>
        <v>7684</v>
      </c>
      <c r="H873" s="116">
        <f t="shared" si="274"/>
        <v>114</v>
      </c>
      <c r="I873" s="116"/>
    </row>
    <row r="874">
      <c r="A874" s="114"/>
      <c r="B874" s="114"/>
      <c r="C874" s="115"/>
      <c r="D874" s="116"/>
      <c r="E874" s="116"/>
      <c r="F874" s="117"/>
      <c r="G874" s="116"/>
      <c r="H874" s="116"/>
      <c r="I874" s="116"/>
    </row>
    <row r="875">
      <c r="C875" s="118" t="s">
        <v>484</v>
      </c>
      <c r="D875" s="119"/>
      <c r="E875" s="119"/>
      <c r="F875" s="119"/>
      <c r="G875" s="119"/>
      <c r="H875" s="119"/>
      <c r="I875" s="120"/>
    </row>
    <row r="876">
      <c r="A876" s="121" t="s">
        <v>1</v>
      </c>
      <c r="B876" s="122" t="s">
        <v>485</v>
      </c>
      <c r="C876" s="123" t="s">
        <v>486</v>
      </c>
      <c r="D876" s="124" t="s">
        <v>6</v>
      </c>
      <c r="E876" s="125" t="s">
        <v>8</v>
      </c>
      <c r="F876" s="124" t="s">
        <v>479</v>
      </c>
      <c r="G876" s="126" t="s">
        <v>7</v>
      </c>
      <c r="H876" s="125" t="s">
        <v>10</v>
      </c>
      <c r="I876" s="127" t="s">
        <v>487</v>
      </c>
    </row>
    <row r="877">
      <c r="A877" s="128">
        <v>45323.0</v>
      </c>
      <c r="B877" s="129" t="s">
        <v>79</v>
      </c>
      <c r="C877" s="130" t="s">
        <v>488</v>
      </c>
      <c r="D877" s="131">
        <f>SUMIFS(All_Stats!$G:$G,
All_Stats!$D:$D,$B877,
All_Stats!$B:$B,"&gt;="&amp;EOMONTH($A877,-1)+1,
All_Stats!$B:$B,"&lt;"&amp;EOMONTH($A877,0)+1,
All_Stats!$P:$P,"Email Marketing"
)</f>
        <v>2186</v>
      </c>
      <c r="E877" s="113">
        <f>SUMIFS(All_Stats!$I:$I,
All_Stats!$D:$D,$B877,
All_Stats!$B:$B,"&gt;="&amp;EOMONTH($A877,-1)+1,
All_Stats!$B:$B,"&lt;"&amp;EOMONTH($A877,0)+1,
All_Stats!$P:$P,"Email Marketing"
)</f>
        <v>889</v>
      </c>
      <c r="F877" s="132">
        <f t="shared" ref="F877:F879" si="275">iferror(E877/D877,"N/A")</f>
        <v>0.4066788655</v>
      </c>
      <c r="G877" s="131">
        <f>SUMIFS(All_Stats!$H:$H,
All_Stats!$D:$D,$B877,
All_Stats!$B:$B,"&gt;="&amp;EOMONTH($A877,-1)+1,
All_Stats!$B:$B,"&lt;"&amp;EOMONTH($A877,0)+1,
All_Stats!$P:$P,"Email Marketing"
)</f>
        <v>1118</v>
      </c>
      <c r="H877" s="113">
        <f>SUMIFS(All_Stats!$K:$K,
All_Stats!$D:$D,$B877,
All_Stats!$B:$B,"&gt;="&amp;EOMONTH($A877,-1)+1,
All_Stats!$B:$B,"&lt;"&amp;EOMONTH($A877,0)+1,
All_Stats!$P:$P,"Email Marketing"
)</f>
        <v>179</v>
      </c>
      <c r="I877" s="133">
        <f>IFERROR(__xludf.DUMMYFUNCTION("COUNTUNIQUEIFS(All_Stats!A:A,
All_Stats!$D:$D,$B877,
All_Stats!$B:$B,""&gt;=""&amp;EOMONTH($A877,-1)+1,
All_Stats!$B:$B,""&lt;""&amp;EOMONTH($A877,0)+1,
All_Stats!$P:$P,""Email Marketing""
)"),15.0)</f>
        <v>15</v>
      </c>
    </row>
    <row r="878">
      <c r="A878" s="128">
        <v>45323.0</v>
      </c>
      <c r="B878" s="131" t="s">
        <v>164</v>
      </c>
      <c r="C878" s="134" t="str">
        <f>if(ifna(VLOOKUP(B878,'Vendor Directory'!A:C,3,0),"NOT FOUND")="","NOT FOUND",VLOOKUP(B878,'Vendor Directory'!A:C,3,0))</f>
        <v>#N/A</v>
      </c>
      <c r="D878" s="131">
        <f>SUMIFS(All_Stats!$G:$G,
All_Stats!$D:$D,$B878,
All_Stats!$B:$B,"&gt;="&amp;EOMONTH($A878,-1)+1,
All_Stats!$B:$B,"&lt;"&amp;EOMONTH($A878,0)+1,
All_Stats!$P:$P,"Email Marketing"
)</f>
        <v>3190</v>
      </c>
      <c r="E878" s="113">
        <f>SUMIFS(All_Stats!$I:$I,
All_Stats!$D:$D,$B878,
All_Stats!$B:$B,"&gt;="&amp;EOMONTH($A878,-1)+1,
All_Stats!$B:$B,"&lt;"&amp;EOMONTH($A878,0)+1,
All_Stats!$P:$P,"Email Marketing"
)</f>
        <v>1266</v>
      </c>
      <c r="F878" s="132">
        <f t="shared" si="275"/>
        <v>0.3968652038</v>
      </c>
      <c r="G878" s="131">
        <f>SUMIFS(All_Stats!$H:$H,
All_Stats!$D:$D,$B878,
All_Stats!$B:$B,"&gt;="&amp;EOMONTH($A878,-1)+1,
All_Stats!$B:$B,"&lt;"&amp;EOMONTH($A878,0)+1,
All_Stats!$P:$P,"Email Marketing"
)</f>
        <v>1314</v>
      </c>
      <c r="H878" s="113">
        <f>SUMIFS(All_Stats!$K:$K,
All_Stats!$D:$D,$B878,
All_Stats!$B:$B,"&gt;="&amp;EOMONTH($A878,-1)+1,
All_Stats!$B:$B,"&lt;"&amp;EOMONTH($A878,0)+1,
All_Stats!$P:$P,"Email Marketing"
)</f>
        <v>610</v>
      </c>
      <c r="I878" s="133">
        <f>IFERROR(__xludf.DUMMYFUNCTION("COUNTUNIQUEIFS(All_Stats!A:A,
All_Stats!$D:$D,$B878,
All_Stats!$B:$B,""&gt;=""&amp;EOMONTH($A878,-1)+1,
All_Stats!$B:$B,""&lt;""&amp;EOMONTH($A878,0)+1,
All_Stats!$P:$P,""Email Marketing""
)"),39.0)</f>
        <v>39</v>
      </c>
    </row>
    <row r="879">
      <c r="A879" s="135"/>
      <c r="B879" s="135"/>
      <c r="C879" s="136" t="s">
        <v>23</v>
      </c>
      <c r="D879" s="137">
        <f t="shared" ref="D879:E879" si="276">SUM(D877:D878)</f>
        <v>5376</v>
      </c>
      <c r="E879" s="137">
        <f t="shared" si="276"/>
        <v>2155</v>
      </c>
      <c r="F879" s="138">
        <f t="shared" si="275"/>
        <v>0.4008556548</v>
      </c>
      <c r="G879" s="137">
        <f t="shared" ref="G879:H879" si="277">SUM(G877:G878)</f>
        <v>2432</v>
      </c>
      <c r="H879" s="137">
        <f t="shared" si="277"/>
        <v>789</v>
      </c>
      <c r="I879" s="139"/>
    </row>
    <row r="880">
      <c r="A880" s="131"/>
      <c r="B880" s="131"/>
      <c r="C880" s="129"/>
      <c r="D880" s="140"/>
      <c r="F880" s="131"/>
      <c r="G880" s="131"/>
    </row>
    <row r="881">
      <c r="A881" s="121" t="s">
        <v>1</v>
      </c>
      <c r="B881" s="122" t="s">
        <v>485</v>
      </c>
      <c r="C881" s="123" t="s">
        <v>486</v>
      </c>
      <c r="D881" s="124" t="s">
        <v>6</v>
      </c>
      <c r="E881" s="125" t="s">
        <v>8</v>
      </c>
      <c r="F881" s="124" t="s">
        <v>479</v>
      </c>
      <c r="G881" s="126" t="s">
        <v>7</v>
      </c>
      <c r="H881" s="125" t="s">
        <v>10</v>
      </c>
      <c r="I881" s="127" t="s">
        <v>487</v>
      </c>
    </row>
    <row r="882">
      <c r="A882" s="128">
        <v>45323.0</v>
      </c>
      <c r="B882" s="129" t="s">
        <v>19</v>
      </c>
      <c r="C882" s="141" t="s">
        <v>489</v>
      </c>
      <c r="D882" s="131">
        <f>SUMIFS(All_Stats!$G:$G,
All_Stats!$D:$D,$B882,
All_Stats!$B:$B,"&gt;="&amp;EOMONTH($A882,-1)+1,
All_Stats!$B:$B,"&lt;"&amp;EOMONTH($A882,0)+1,
All_Stats!$P:$P,"&lt;&gt;Email Marketing"
)</f>
        <v>1103</v>
      </c>
      <c r="E882" s="113">
        <f>SUMIFS(All_Stats!$I:$I,
All_Stats!$D:$D,$B882,
All_Stats!$B:$B,"&gt;="&amp;EOMONTH($A882,-1)+1,
All_Stats!$B:$B,"&lt;"&amp;EOMONTH($A882,0)+1,
All_Stats!$P:$P,"&lt;&gt;Email Marketing"
)</f>
        <v>322</v>
      </c>
      <c r="F882" s="132">
        <f t="shared" ref="F882:F891" si="278">iferror(E882/D882,"N/A")</f>
        <v>0.291931097</v>
      </c>
      <c r="G882" s="131">
        <f>SUMIFS(All_Stats!$H:$H,
All_Stats!$D:$D,$B882,
All_Stats!$B:$B,"&gt;="&amp;EOMONTH($A882,-1)+1,
All_Stats!$B:$B,"&lt;"&amp;EOMONTH($A882,0)+1,
All_Stats!$P:$P,"&lt;&gt;Email Marketing"
)</f>
        <v>716</v>
      </c>
      <c r="H882" s="113">
        <f>SUMIFS(All_Stats!$K:$K,
All_Stats!$D:$D,$B882,
All_Stats!$B:$B,"&gt;="&amp;EOMONTH($A882,-1)+1,
All_Stats!$B:$B,"&lt;"&amp;EOMONTH($A882,0)+1,
All_Stats!$P:$P,"&lt;&gt;Email Marketing"
)</f>
        <v>55</v>
      </c>
      <c r="I882" s="133">
        <f>IFERROR(__xludf.DUMMYFUNCTION("COUNTUNIQUEIFS(All_Stats!A:A,
All_Stats!$D:$D,$B882,
All_Stats!$B:$B,""&gt;=""&amp;EOMONTH($A882,-1)+1,
All_Stats!$B:$B,""&lt;""&amp;EOMONTH($A882,0)+1,
All_Stats!$P:$P,""&lt;&gt;Email Marketing""
)"),51.0)</f>
        <v>51</v>
      </c>
    </row>
    <row r="883">
      <c r="A883" s="128">
        <v>45323.0</v>
      </c>
      <c r="B883" s="131" t="s">
        <v>127</v>
      </c>
      <c r="C883" s="134" t="str">
        <f>if(ifna(VLOOKUP(B883,'Vendor Directory'!A:C,3,0),"NOT FOUND")="","NOT FOUND",VLOOKUP(B883,'Vendor Directory'!A:C,3,0))</f>
        <v>#N/A</v>
      </c>
      <c r="D883" s="131">
        <f>SUMIFS(All_Stats!$G:$G,
All_Stats!$D:$D,$B883,
All_Stats!$B:$B,"&gt;="&amp;EOMONTH($A883,-1)+1,
All_Stats!$B:$B,"&lt;"&amp;EOMONTH($A883,0)+1,
All_Stats!$P:$P,"&lt;&gt;Email Marketing"
)</f>
        <v>575</v>
      </c>
      <c r="E883" s="113">
        <f>SUMIFS(All_Stats!$I:$I,
All_Stats!$D:$D,$B883,
All_Stats!$B:$B,"&gt;="&amp;EOMONTH($A883,-1)+1,
All_Stats!$B:$B,"&lt;"&amp;EOMONTH($A883,0)+1,
All_Stats!$P:$P,"&lt;&gt;Email Marketing"
)</f>
        <v>254</v>
      </c>
      <c r="F883" s="132">
        <f t="shared" si="278"/>
        <v>0.4417391304</v>
      </c>
      <c r="G883" s="131">
        <f>SUMIFS(All_Stats!$H:$H,
All_Stats!$D:$D,$B883,
All_Stats!$B:$B,"&gt;="&amp;EOMONTH($A883,-1)+1,
All_Stats!$B:$B,"&lt;"&amp;EOMONTH($A883,0)+1,
All_Stats!$P:$P,"&lt;&gt;Email Marketing"
)</f>
        <v>320</v>
      </c>
      <c r="H883" s="113">
        <f>SUMIFS(All_Stats!$K:$K,
All_Stats!$D:$D,$B883,
All_Stats!$B:$B,"&gt;="&amp;EOMONTH($A883,-1)+1,
All_Stats!$B:$B,"&lt;"&amp;EOMONTH($A883,0)+1,
All_Stats!$P:$P,"&lt;&gt;Email Marketing"
)</f>
        <v>0</v>
      </c>
      <c r="I883" s="133">
        <f>IFERROR(__xludf.DUMMYFUNCTION("COUNTUNIQUEIFS(All_Stats!A:A,
All_Stats!$D:$D,$B883,
All_Stats!$B:$B,""&gt;=""&amp;EOMONTH($A883,-1)+1,
All_Stats!$B:$B,""&lt;""&amp;EOMONTH($A883,0)+1,
All_Stats!$P:$P,""&lt;&gt;Email Marketing""
)"),16.0)</f>
        <v>16</v>
      </c>
    </row>
    <row r="884">
      <c r="A884" s="128">
        <v>45323.0</v>
      </c>
      <c r="B884" s="131" t="s">
        <v>157</v>
      </c>
      <c r="C884" s="134" t="str">
        <f>if(ifna(VLOOKUP(B884,'Vendor Directory'!A:C,3,0),"NOT FOUND")="","NOT FOUND",VLOOKUP(B884,'Vendor Directory'!A:C,3,0))</f>
        <v>#N/A</v>
      </c>
      <c r="D884" s="131">
        <f>SUMIFS(All_Stats!$G:$G,
All_Stats!$D:$D,$B884,
All_Stats!$B:$B,"&gt;="&amp;EOMONTH($A884,-1)+1,
All_Stats!$B:$B,"&lt;"&amp;EOMONTH($A884,0)+1,
All_Stats!$P:$P,"&lt;&gt;Email Marketing"
)</f>
        <v>564</v>
      </c>
      <c r="E884" s="113">
        <f>SUMIFS(All_Stats!$I:$I,
All_Stats!$D:$D,$B884,
All_Stats!$B:$B,"&gt;="&amp;EOMONTH($A884,-1)+1,
All_Stats!$B:$B,"&lt;"&amp;EOMONTH($A884,0)+1,
All_Stats!$P:$P,"&lt;&gt;Email Marketing"
)</f>
        <v>232</v>
      </c>
      <c r="F884" s="132">
        <f t="shared" si="278"/>
        <v>0.4113475177</v>
      </c>
      <c r="G884" s="131">
        <f>SUMIFS(All_Stats!$H:$H,
All_Stats!$D:$D,$B884,
All_Stats!$B:$B,"&gt;="&amp;EOMONTH($A884,-1)+1,
All_Stats!$B:$B,"&lt;"&amp;EOMONTH($A884,0)+1,
All_Stats!$P:$P,"&lt;&gt;Email Marketing"
)</f>
        <v>295</v>
      </c>
      <c r="H884" s="113">
        <f>SUMIFS(All_Stats!$K:$K,
All_Stats!$D:$D,$B884,
All_Stats!$B:$B,"&gt;="&amp;EOMONTH($A884,-1)+1,
All_Stats!$B:$B,"&lt;"&amp;EOMONTH($A884,0)+1,
All_Stats!$P:$P,"&lt;&gt;Email Marketing"
)</f>
        <v>32</v>
      </c>
      <c r="I884" s="133">
        <f>IFERROR(__xludf.DUMMYFUNCTION("COUNTUNIQUEIFS(All_Stats!A:A,
All_Stats!$D:$D,$B884,
All_Stats!$B:$B,""&gt;=""&amp;EOMONTH($A884,-1)+1,
All_Stats!$B:$B,""&lt;""&amp;EOMONTH($A884,0)+1,
All_Stats!$P:$P,""&lt;&gt;Email Marketing""
)"),10.0)</f>
        <v>10</v>
      </c>
    </row>
    <row r="885">
      <c r="A885" s="128">
        <v>45323.0</v>
      </c>
      <c r="B885" s="131" t="s">
        <v>91</v>
      </c>
      <c r="C885" s="134" t="str">
        <f>if(ifna(VLOOKUP(B885,'Vendor Directory'!A:C,3,0),"NOT FOUND")="","NOT FOUND",VLOOKUP(B885,'Vendor Directory'!A:C,3,0))</f>
        <v>#N/A</v>
      </c>
      <c r="D885" s="131">
        <f>SUMIFS(All_Stats!$G:$G,
All_Stats!$D:$D,$B885,
All_Stats!$B:$B,"&gt;="&amp;EOMONTH($A885,-1)+1,
All_Stats!$B:$B,"&lt;"&amp;EOMONTH($A885,0)+1,
All_Stats!$P:$P,"&lt;&gt;Email Marketing"
)</f>
        <v>446</v>
      </c>
      <c r="E885" s="113">
        <f>SUMIFS(All_Stats!$I:$I,
All_Stats!$D:$D,$B885,
All_Stats!$B:$B,"&gt;="&amp;EOMONTH($A885,-1)+1,
All_Stats!$B:$B,"&lt;"&amp;EOMONTH($A885,0)+1,
All_Stats!$P:$P,"&lt;&gt;Email Marketing"
)</f>
        <v>76</v>
      </c>
      <c r="F885" s="132">
        <f t="shared" si="278"/>
        <v>0.1704035874</v>
      </c>
      <c r="G885" s="131">
        <f>SUMIFS(All_Stats!$H:$H,
All_Stats!$D:$D,$B885,
All_Stats!$B:$B,"&gt;="&amp;EOMONTH($A885,-1)+1,
All_Stats!$B:$B,"&lt;"&amp;EOMONTH($A885,0)+1,
All_Stats!$P:$P,"&lt;&gt;Email Marketing"
)</f>
        <v>353</v>
      </c>
      <c r="H885" s="113">
        <f>SUMIFS(All_Stats!$K:$K,
All_Stats!$D:$D,$B885,
All_Stats!$B:$B,"&gt;="&amp;EOMONTH($A885,-1)+1,
All_Stats!$B:$B,"&lt;"&amp;EOMONTH($A885,0)+1,
All_Stats!$P:$P,"&lt;&gt;Email Marketing"
)</f>
        <v>7</v>
      </c>
      <c r="I885" s="133">
        <f>IFERROR(__xludf.DUMMYFUNCTION("COUNTUNIQUEIFS(All_Stats!A:A,
All_Stats!$D:$D,$B885,
All_Stats!$B:$B,""&gt;=""&amp;EOMONTH($A885,-1)+1,
All_Stats!$B:$B,""&lt;""&amp;EOMONTH($A885,0)+1,
All_Stats!$P:$P,""&lt;&gt;Email Marketing""
)"),14.0)</f>
        <v>14</v>
      </c>
    </row>
    <row r="886">
      <c r="A886" s="128">
        <v>45323.0</v>
      </c>
      <c r="B886" s="131" t="s">
        <v>30</v>
      </c>
      <c r="C886" s="134" t="str">
        <f>if(ifna(VLOOKUP(B886,'Vendor Directory'!A:C,3,0),"NOT FOUND")="","NOT FOUND",VLOOKUP(B886,'Vendor Directory'!A:C,3,0))</f>
        <v>Vendor 2 Name</v>
      </c>
      <c r="D886" s="131">
        <f>SUMIFS(All_Stats!$G:$G,
All_Stats!$D:$D,$B886,
All_Stats!$B:$B,"&gt;="&amp;EOMONTH($A886,-1)+1,
All_Stats!$B:$B,"&lt;"&amp;EOMONTH($A886,0)+1,
All_Stats!$P:$P,"&lt;&gt;Email Marketing"
)</f>
        <v>72</v>
      </c>
      <c r="E886" s="113">
        <f>SUMIFS(All_Stats!$I:$I,
All_Stats!$D:$D,$B886,
All_Stats!$B:$B,"&gt;="&amp;EOMONTH($A886,-1)+1,
All_Stats!$B:$B,"&lt;"&amp;EOMONTH($A886,0)+1,
All_Stats!$P:$P,"&lt;&gt;Email Marketing"
)</f>
        <v>3</v>
      </c>
      <c r="F886" s="132">
        <f t="shared" si="278"/>
        <v>0.04166666667</v>
      </c>
      <c r="G886" s="131">
        <f>SUMIFS(All_Stats!$H:$H,
All_Stats!$D:$D,$B886,
All_Stats!$B:$B,"&gt;="&amp;EOMONTH($A886,-1)+1,
All_Stats!$B:$B,"&lt;"&amp;EOMONTH($A886,0)+1,
All_Stats!$P:$P,"&lt;&gt;Email Marketing"
)</f>
        <v>12</v>
      </c>
      <c r="H886" s="113">
        <f>SUMIFS(All_Stats!$K:$K,
All_Stats!$D:$D,$B886,
All_Stats!$B:$B,"&gt;="&amp;EOMONTH($A886,-1)+1,
All_Stats!$B:$B,"&lt;"&amp;EOMONTH($A886,0)+1,
All_Stats!$P:$P,"&lt;&gt;Email Marketing"
)</f>
        <v>57</v>
      </c>
      <c r="I886" s="133">
        <f>IFERROR(__xludf.DUMMYFUNCTION("COUNTUNIQUEIFS(All_Stats!A:A,
All_Stats!$D:$D,$B886,
All_Stats!$B:$B,""&gt;=""&amp;EOMONTH($A886,-1)+1,
All_Stats!$B:$B,""&lt;""&amp;EOMONTH($A886,0)+1,
All_Stats!$P:$P,""&lt;&gt;Email Marketing""
)"),4.0)</f>
        <v>4</v>
      </c>
    </row>
    <row r="887">
      <c r="A887" s="128">
        <v>45323.0</v>
      </c>
      <c r="B887" s="129" t="s">
        <v>109</v>
      </c>
      <c r="C887" s="130" t="s">
        <v>490</v>
      </c>
      <c r="D887" s="131">
        <f>SUMIFS(All_Stats!$G:$G,
All_Stats!$D:$D,$B887,
All_Stats!$B:$B,"&gt;="&amp;EOMONTH($A887,-1)+1,
All_Stats!$B:$B,"&lt;"&amp;EOMONTH($A887,0)+1,
All_Stats!$P:$P,"&lt;&gt;Email Marketing"
)</f>
        <v>107</v>
      </c>
      <c r="E887" s="113">
        <f>SUMIFS(All_Stats!$I:$I,
All_Stats!$D:$D,$B887,
All_Stats!$B:$B,"&gt;="&amp;EOMONTH($A887,-1)+1,
All_Stats!$B:$B,"&lt;"&amp;EOMONTH($A887,0)+1,
All_Stats!$P:$P,"&lt;&gt;Email Marketing"
)</f>
        <v>56</v>
      </c>
      <c r="F887" s="132">
        <f t="shared" si="278"/>
        <v>0.523364486</v>
      </c>
      <c r="G887" s="131">
        <f>SUMIFS(All_Stats!$H:$H,
All_Stats!$D:$D,$B887,
All_Stats!$B:$B,"&gt;="&amp;EOMONTH($A887,-1)+1,
All_Stats!$B:$B,"&lt;"&amp;EOMONTH($A887,0)+1,
All_Stats!$P:$P,"&lt;&gt;Email Marketing"
)</f>
        <v>50</v>
      </c>
      <c r="H887" s="113">
        <f>SUMIFS(All_Stats!$K:$K,
All_Stats!$D:$D,$B887,
All_Stats!$B:$B,"&gt;="&amp;EOMONTH($A887,-1)+1,
All_Stats!$B:$B,"&lt;"&amp;EOMONTH($A887,0)+1,
All_Stats!$P:$P,"&lt;&gt;Email Marketing"
)</f>
        <v>0</v>
      </c>
      <c r="I887" s="133">
        <f>IFERROR(__xludf.DUMMYFUNCTION("COUNTUNIQUEIFS(All_Stats!A:A,
All_Stats!$D:$D,$B887,
All_Stats!$B:$B,""&gt;=""&amp;EOMONTH($A887,-1)+1,
All_Stats!$B:$B,""&lt;""&amp;EOMONTH($A887,0)+1,
All_Stats!$P:$P,""&lt;&gt;Email Marketing""
)"),9.0)</f>
        <v>9</v>
      </c>
    </row>
    <row r="888">
      <c r="A888" s="128">
        <v>45323.0</v>
      </c>
      <c r="B888" s="129" t="s">
        <v>69</v>
      </c>
      <c r="C888" s="142" t="s">
        <v>491</v>
      </c>
      <c r="D888" s="131">
        <f>SUMIFS(All_Stats!$G:$G,
All_Stats!$D:$D,$B888,
All_Stats!$B:$B,"&gt;="&amp;EOMONTH($A888,-1)+1,
All_Stats!$B:$B,"&lt;"&amp;EOMONTH($A888,0)+1,
All_Stats!$P:$P,"&lt;&gt;Email Marketing"
)</f>
        <v>32</v>
      </c>
      <c r="E888" s="113">
        <f>SUMIFS(All_Stats!$I:$I,
All_Stats!$D:$D,$B888,
All_Stats!$B:$B,"&gt;="&amp;EOMONTH($A888,-1)+1,
All_Stats!$B:$B,"&lt;"&amp;EOMONTH($A888,0)+1,
All_Stats!$P:$P,"&lt;&gt;Email Marketing"
)</f>
        <v>24</v>
      </c>
      <c r="F888" s="132">
        <f t="shared" si="278"/>
        <v>0.75</v>
      </c>
      <c r="G888" s="131">
        <f>SUMIFS(All_Stats!$H:$H,
All_Stats!$D:$D,$B888,
All_Stats!$B:$B,"&gt;="&amp;EOMONTH($A888,-1)+1,
All_Stats!$B:$B,"&lt;"&amp;EOMONTH($A888,0)+1,
All_Stats!$P:$P,"&lt;&gt;Email Marketing"
)</f>
        <v>8</v>
      </c>
      <c r="H888" s="113">
        <f>SUMIFS(All_Stats!$K:$K,
All_Stats!$D:$D,$B888,
All_Stats!$B:$B,"&gt;="&amp;EOMONTH($A888,-1)+1,
All_Stats!$B:$B,"&lt;"&amp;EOMONTH($A888,0)+1,
All_Stats!$P:$P,"&lt;&gt;Email Marketing"
)</f>
        <v>0</v>
      </c>
      <c r="I888" s="133">
        <f>IFERROR(__xludf.DUMMYFUNCTION("COUNTUNIQUEIFS(All_Stats!A:A,
All_Stats!$D:$D,$B888,
All_Stats!$B:$B,""&gt;=""&amp;EOMONTH($A888,-1)+1,
All_Stats!$B:$B,""&lt;""&amp;EOMONTH($A888,0)+1,
All_Stats!$P:$P,""&lt;&gt;Email Marketing""
)"),4.0)</f>
        <v>4</v>
      </c>
    </row>
    <row r="889">
      <c r="A889" s="128">
        <v>45323.0</v>
      </c>
      <c r="B889" s="129" t="s">
        <v>33</v>
      </c>
      <c r="C889" s="142" t="s">
        <v>492</v>
      </c>
      <c r="D889" s="131">
        <f>SUMIFS(All_Stats!$G:$G,
All_Stats!$D:$D,$B889,
All_Stats!$B:$B,"&gt;="&amp;EOMONTH($A889,-1)+1,
All_Stats!$B:$B,"&lt;"&amp;EOMONTH($A889,0)+1,
All_Stats!$P:$P,"&lt;&gt;Email Marketing"
)</f>
        <v>85</v>
      </c>
      <c r="E889" s="113">
        <f>SUMIFS(All_Stats!$I:$I,
All_Stats!$D:$D,$B889,
All_Stats!$B:$B,"&gt;="&amp;EOMONTH($A889,-1)+1,
All_Stats!$B:$B,"&lt;"&amp;EOMONTH($A889,0)+1,
All_Stats!$P:$P,"&lt;&gt;Email Marketing"
)</f>
        <v>33</v>
      </c>
      <c r="F889" s="132">
        <f t="shared" si="278"/>
        <v>0.3882352941</v>
      </c>
      <c r="G889" s="131">
        <f>SUMIFS(All_Stats!$H:$H,
All_Stats!$D:$D,$B889,
All_Stats!$B:$B,"&gt;="&amp;EOMONTH($A889,-1)+1,
All_Stats!$B:$B,"&lt;"&amp;EOMONTH($A889,0)+1,
All_Stats!$P:$P,"&lt;&gt;Email Marketing"
)</f>
        <v>52</v>
      </c>
      <c r="H889" s="113">
        <f>SUMIFS(All_Stats!$K:$K,
All_Stats!$D:$D,$B889,
All_Stats!$B:$B,"&gt;="&amp;EOMONTH($A889,-1)+1,
All_Stats!$B:$B,"&lt;"&amp;EOMONTH($A889,0)+1,
All_Stats!$P:$P,"&lt;&gt;Email Marketing"
)</f>
        <v>0</v>
      </c>
      <c r="I889" s="133">
        <f>IFERROR(__xludf.DUMMYFUNCTION("COUNTUNIQUEIFS(All_Stats!A:A,
All_Stats!$D:$D,$B889,
All_Stats!$B:$B,""&gt;=""&amp;EOMONTH($A889,-1)+1,
All_Stats!$B:$B,""&lt;""&amp;EOMONTH($A889,0)+1,
All_Stats!$P:$P,""&lt;&gt;Email Marketing""
)"),4.0)</f>
        <v>4</v>
      </c>
    </row>
    <row r="890">
      <c r="A890" s="128">
        <v>45323.0</v>
      </c>
      <c r="B890" s="129" t="s">
        <v>79</v>
      </c>
      <c r="C890" s="130" t="s">
        <v>488</v>
      </c>
      <c r="D890" s="131">
        <f>SUMIFS(All_Stats!$G:$G,
All_Stats!$D:$D,$B890,
All_Stats!$B:$B,"&gt;="&amp;EOMONTH($A890,-1)+1,
All_Stats!$B:$B,"&lt;"&amp;EOMONTH($A890,0)+1,
All_Stats!$P:$P,"&lt;&gt;Email Marketing"
)</f>
        <v>0</v>
      </c>
      <c r="E890" s="113">
        <f>SUMIFS(All_Stats!$I:$I,
All_Stats!$D:$D,$B890,
All_Stats!$B:$B,"&gt;="&amp;EOMONTH($A890,-1)+1,
All_Stats!$B:$B,"&lt;"&amp;EOMONTH($A890,0)+1,
All_Stats!$P:$P,"&lt;&gt;Email Marketing"
)</f>
        <v>0</v>
      </c>
      <c r="F890" s="132" t="str">
        <f t="shared" si="278"/>
        <v>N/A</v>
      </c>
      <c r="G890" s="131">
        <f>SUMIFS(All_Stats!$H:$H,
All_Stats!$D:$D,$B890,
All_Stats!$B:$B,"&gt;="&amp;EOMONTH($A890,-1)+1,
All_Stats!$B:$B,"&lt;"&amp;EOMONTH($A890,0)+1,
All_Stats!$P:$P,"&lt;&gt;Email Marketing"
)</f>
        <v>0</v>
      </c>
      <c r="H890" s="113">
        <f>SUMIFS(All_Stats!$K:$K,
All_Stats!$D:$D,$B890,
All_Stats!$B:$B,"&gt;="&amp;EOMONTH($A890,-1)+1,
All_Stats!$B:$B,"&lt;"&amp;EOMONTH($A890,0)+1,
All_Stats!$P:$P,"&lt;&gt;Email Marketing"
)</f>
        <v>0</v>
      </c>
      <c r="I890" s="133">
        <f>IFERROR(__xludf.DUMMYFUNCTION("COUNTUNIQUEIFS(All_Stats!A:A,
All_Stats!$D:$D,$B890,
All_Stats!$B:$B,""&gt;=""&amp;EOMONTH($A890,-1)+1,
All_Stats!$B:$B,""&lt;""&amp;EOMONTH($A890,0)+1,
All_Stats!$P:$P,""&lt;&gt;Email Marketing""
)"),1.0)</f>
        <v>1</v>
      </c>
    </row>
    <row r="891">
      <c r="A891" s="135"/>
      <c r="B891" s="135"/>
      <c r="C891" s="136" t="s">
        <v>23</v>
      </c>
      <c r="D891" s="137">
        <f t="shared" ref="D891:E891" si="279">SUM(D882:D889)</f>
        <v>2984</v>
      </c>
      <c r="E891" s="137">
        <f t="shared" si="279"/>
        <v>1000</v>
      </c>
      <c r="F891" s="138">
        <f t="shared" si="278"/>
        <v>0.3351206434</v>
      </c>
      <c r="G891" s="137">
        <f t="shared" ref="G891:H891" si="280">SUM(G882:G889)</f>
        <v>1806</v>
      </c>
      <c r="H891" s="137">
        <f t="shared" si="280"/>
        <v>151</v>
      </c>
      <c r="I891" s="139"/>
    </row>
    <row r="892">
      <c r="A892" s="114"/>
      <c r="B892" s="114"/>
      <c r="C892" s="115"/>
      <c r="D892" s="116"/>
      <c r="E892" s="116"/>
      <c r="F892" s="117"/>
      <c r="G892" s="116"/>
      <c r="H892" s="116"/>
      <c r="I892" s="116"/>
    </row>
    <row r="893">
      <c r="A893" s="114"/>
      <c r="B893" s="114"/>
      <c r="C893" s="115"/>
      <c r="D893" s="116">
        <f t="shared" ref="D893:E893" si="281">D879+D891</f>
        <v>8360</v>
      </c>
      <c r="E893" s="116">
        <f t="shared" si="281"/>
        <v>3155</v>
      </c>
      <c r="F893" s="117"/>
      <c r="G893" s="116">
        <f t="shared" ref="G893:H893" si="282">G879+G891</f>
        <v>4238</v>
      </c>
      <c r="H893" s="116">
        <f t="shared" si="282"/>
        <v>940</v>
      </c>
      <c r="I893" s="116"/>
    </row>
    <row r="894">
      <c r="A894" s="114"/>
      <c r="B894" s="114"/>
      <c r="C894" s="115"/>
      <c r="D894" s="116"/>
      <c r="E894" s="116"/>
      <c r="F894" s="117"/>
      <c r="G894" s="116"/>
      <c r="H894" s="116"/>
      <c r="I894" s="116"/>
    </row>
    <row r="895">
      <c r="C895" s="118" t="s">
        <v>484</v>
      </c>
      <c r="D895" s="119"/>
      <c r="E895" s="119"/>
      <c r="F895" s="119"/>
      <c r="G895" s="119"/>
      <c r="H895" s="119"/>
      <c r="I895" s="120"/>
    </row>
    <row r="896">
      <c r="A896" s="121" t="s">
        <v>1</v>
      </c>
      <c r="B896" s="122" t="s">
        <v>485</v>
      </c>
      <c r="C896" s="123" t="s">
        <v>486</v>
      </c>
      <c r="D896" s="124" t="s">
        <v>6</v>
      </c>
      <c r="E896" s="125" t="s">
        <v>8</v>
      </c>
      <c r="F896" s="124" t="s">
        <v>479</v>
      </c>
      <c r="G896" s="126" t="s">
        <v>7</v>
      </c>
      <c r="H896" s="125" t="s">
        <v>10</v>
      </c>
      <c r="I896" s="127" t="s">
        <v>487</v>
      </c>
    </row>
    <row r="897">
      <c r="A897" s="128">
        <v>45352.0</v>
      </c>
      <c r="B897" s="129" t="s">
        <v>79</v>
      </c>
      <c r="C897" s="130" t="s">
        <v>488</v>
      </c>
      <c r="D897" s="131">
        <f>SUMIFS(All_Stats!$G:$G,
All_Stats!$D:$D,$B897,
All_Stats!$B:$B,"&gt;="&amp;EOMONTH($A897,-1)+1,
All_Stats!$B:$B,"&lt;"&amp;EOMONTH($A897,0)+1,
All_Stats!$P:$P,"Email Marketing"
)</f>
        <v>935</v>
      </c>
      <c r="E897" s="113">
        <f>SUMIFS(All_Stats!$I:$I,
All_Stats!$D:$D,$B897,
All_Stats!$B:$B,"&gt;="&amp;EOMONTH($A897,-1)+1,
All_Stats!$B:$B,"&lt;"&amp;EOMONTH($A897,0)+1,
All_Stats!$P:$P,"Email Marketing"
)</f>
        <v>117</v>
      </c>
      <c r="F897" s="132">
        <f t="shared" ref="F897:F899" si="283">iferror(E897/D897,"N/A")</f>
        <v>0.1251336898</v>
      </c>
      <c r="G897" s="131">
        <f>SUMIFS(All_Stats!$H:$H,
All_Stats!$D:$D,$B897,
All_Stats!$B:$B,"&gt;="&amp;EOMONTH($A897,-1)+1,
All_Stats!$B:$B,"&lt;"&amp;EOMONTH($A897,0)+1,
All_Stats!$P:$P,"Email Marketing"
)</f>
        <v>130</v>
      </c>
      <c r="H897" s="113">
        <f>SUMIFS(All_Stats!$K:$K,
All_Stats!$D:$D,$B897,
All_Stats!$B:$B,"&gt;="&amp;EOMONTH($A897,-1)+1,
All_Stats!$B:$B,"&lt;"&amp;EOMONTH($A897,0)+1,
All_Stats!$P:$P,"Email Marketing"
)</f>
        <v>688</v>
      </c>
      <c r="I897" s="133">
        <f>IFERROR(__xludf.DUMMYFUNCTION("COUNTUNIQUEIFS(All_Stats!A:A,
All_Stats!$D:$D,$B897,
All_Stats!$B:$B,""&gt;=""&amp;EOMONTH($A897,-1)+1,
All_Stats!$B:$B,""&lt;""&amp;EOMONTH($A897,0)+1,
All_Stats!$P:$P,""Email Marketing""
)"),18.0)</f>
        <v>18</v>
      </c>
    </row>
    <row r="898">
      <c r="A898" s="128">
        <v>45352.0</v>
      </c>
      <c r="B898" s="131" t="s">
        <v>164</v>
      </c>
      <c r="C898" s="134" t="str">
        <f>if(ifna(VLOOKUP(B898,'Vendor Directory'!A:C,3,0),"NOT FOUND")="","NOT FOUND",VLOOKUP(B898,'Vendor Directory'!A:C,3,0))</f>
        <v>#N/A</v>
      </c>
      <c r="D898" s="131">
        <f>SUMIFS(All_Stats!$G:$G,
All_Stats!$D:$D,$B898,
All_Stats!$B:$B,"&gt;="&amp;EOMONTH($A898,-1)+1,
All_Stats!$B:$B,"&lt;"&amp;EOMONTH($A898,0)+1,
All_Stats!$P:$P,"Email Marketing"
)</f>
        <v>876</v>
      </c>
      <c r="E898" s="113">
        <f>SUMIFS(All_Stats!$I:$I,
All_Stats!$D:$D,$B898,
All_Stats!$B:$B,"&gt;="&amp;EOMONTH($A898,-1)+1,
All_Stats!$B:$B,"&lt;"&amp;EOMONTH($A898,0)+1,
All_Stats!$P:$P,"Email Marketing"
)</f>
        <v>151</v>
      </c>
      <c r="F898" s="132">
        <f t="shared" si="283"/>
        <v>0.1723744292</v>
      </c>
      <c r="G898" s="131">
        <f>SUMIFS(All_Stats!$H:$H,
All_Stats!$D:$D,$B898,
All_Stats!$B:$B,"&gt;="&amp;EOMONTH($A898,-1)+1,
All_Stats!$B:$B,"&lt;"&amp;EOMONTH($A898,0)+1,
All_Stats!$P:$P,"Email Marketing"
)</f>
        <v>97</v>
      </c>
      <c r="H898" s="113">
        <f>SUMIFS(All_Stats!$K:$K,
All_Stats!$D:$D,$B898,
All_Stats!$B:$B,"&gt;="&amp;EOMONTH($A898,-1)+1,
All_Stats!$B:$B,"&lt;"&amp;EOMONTH($A898,0)+1,
All_Stats!$P:$P,"Email Marketing"
)</f>
        <v>628</v>
      </c>
      <c r="I898" s="133">
        <f>IFERROR(__xludf.DUMMYFUNCTION("COUNTUNIQUEIFS(All_Stats!A:A,
All_Stats!$D:$D,$B898,
All_Stats!$B:$B,""&gt;=""&amp;EOMONTH($A898,-1)+1,
All_Stats!$B:$B,""&lt;""&amp;EOMONTH($A898,0)+1,
All_Stats!$P:$P,""Email Marketing""
)"),27.0)</f>
        <v>27</v>
      </c>
    </row>
    <row r="899">
      <c r="A899" s="135"/>
      <c r="B899" s="135"/>
      <c r="C899" s="136" t="s">
        <v>23</v>
      </c>
      <c r="D899" s="137">
        <f t="shared" ref="D899:E899" si="284">SUM(D897:D898)</f>
        <v>1811</v>
      </c>
      <c r="E899" s="137">
        <f t="shared" si="284"/>
        <v>268</v>
      </c>
      <c r="F899" s="138">
        <f t="shared" si="283"/>
        <v>0.1479845389</v>
      </c>
      <c r="G899" s="137">
        <f t="shared" ref="G899:H899" si="285">SUM(G897:G898)</f>
        <v>227</v>
      </c>
      <c r="H899" s="137">
        <f t="shared" si="285"/>
        <v>1316</v>
      </c>
      <c r="I899" s="139"/>
    </row>
    <row r="900">
      <c r="A900" s="131"/>
      <c r="B900" s="131"/>
      <c r="C900" s="129"/>
      <c r="D900" s="140"/>
      <c r="F900" s="131"/>
      <c r="G900" s="131"/>
    </row>
    <row r="901">
      <c r="A901" s="121" t="s">
        <v>1</v>
      </c>
      <c r="B901" s="122" t="s">
        <v>485</v>
      </c>
      <c r="C901" s="123" t="s">
        <v>486</v>
      </c>
      <c r="D901" s="124" t="s">
        <v>6</v>
      </c>
      <c r="E901" s="125" t="s">
        <v>8</v>
      </c>
      <c r="F901" s="124" t="s">
        <v>479</v>
      </c>
      <c r="G901" s="126" t="s">
        <v>7</v>
      </c>
      <c r="H901" s="125" t="s">
        <v>10</v>
      </c>
      <c r="I901" s="127" t="s">
        <v>487</v>
      </c>
    </row>
    <row r="902">
      <c r="A902" s="128">
        <v>45352.0</v>
      </c>
      <c r="B902" s="129" t="s">
        <v>19</v>
      </c>
      <c r="C902" s="141" t="s">
        <v>489</v>
      </c>
      <c r="D902" s="131">
        <f>SUMIFS(All_Stats!$G:$G,
All_Stats!$D:$D,$B902,
All_Stats!$B:$B,"&gt;="&amp;EOMONTH($A902,-1)+1,
All_Stats!$B:$B,"&lt;"&amp;EOMONTH($A902,0)+1,
All_Stats!$P:$P,"&lt;&gt;Email Marketing"
)</f>
        <v>85</v>
      </c>
      <c r="E902" s="113">
        <f>SUMIFS(All_Stats!$I:$I,
All_Stats!$D:$D,$B902,
All_Stats!$B:$B,"&gt;="&amp;EOMONTH($A902,-1)+1,
All_Stats!$B:$B,"&lt;"&amp;EOMONTH($A902,0)+1,
All_Stats!$P:$P,"&lt;&gt;Email Marketing"
)</f>
        <v>19</v>
      </c>
      <c r="F902" s="132">
        <f t="shared" ref="F902:F911" si="286">iferror(E902/D902,"N/A")</f>
        <v>0.2235294118</v>
      </c>
      <c r="G902" s="131">
        <f>SUMIFS(All_Stats!$H:$H,
All_Stats!$D:$D,$B902,
All_Stats!$B:$B,"&gt;="&amp;EOMONTH($A902,-1)+1,
All_Stats!$B:$B,"&lt;"&amp;EOMONTH($A902,0)+1,
All_Stats!$P:$P,"&lt;&gt;Email Marketing"
)</f>
        <v>17</v>
      </c>
      <c r="H902" s="113">
        <f>SUMIFS(All_Stats!$K:$K,
All_Stats!$D:$D,$B902,
All_Stats!$B:$B,"&gt;="&amp;EOMONTH($A902,-1)+1,
All_Stats!$B:$B,"&lt;"&amp;EOMONTH($A902,0)+1,
All_Stats!$P:$P,"&lt;&gt;Email Marketing"
)</f>
        <v>49</v>
      </c>
      <c r="I902" s="133">
        <f>IFERROR(__xludf.DUMMYFUNCTION("COUNTUNIQUEIFS(All_Stats!A:A,
All_Stats!$D:$D,$B902,
All_Stats!$B:$B,""&gt;=""&amp;EOMONTH($A902,-1)+1,
All_Stats!$B:$B,""&lt;""&amp;EOMONTH($A902,0)+1,
All_Stats!$P:$P,""&lt;&gt;Email Marketing""
)"),34.0)</f>
        <v>34</v>
      </c>
    </row>
    <row r="903">
      <c r="A903" s="128">
        <v>45352.0</v>
      </c>
      <c r="B903" s="131" t="s">
        <v>127</v>
      </c>
      <c r="C903" s="134" t="str">
        <f>if(ifna(VLOOKUP(B903,'Vendor Directory'!A:C,3,0),"NOT FOUND")="","NOT FOUND",VLOOKUP(B903,'Vendor Directory'!A:C,3,0))</f>
        <v>#N/A</v>
      </c>
      <c r="D903" s="131">
        <f>SUMIFS(All_Stats!$G:$G,
All_Stats!$D:$D,$B903,
All_Stats!$B:$B,"&gt;="&amp;EOMONTH($A903,-1)+1,
All_Stats!$B:$B,"&lt;"&amp;EOMONTH($A903,0)+1,
All_Stats!$P:$P,"&lt;&gt;Email Marketing"
)</f>
        <v>63</v>
      </c>
      <c r="E903" s="113">
        <f>SUMIFS(All_Stats!$I:$I,
All_Stats!$D:$D,$B903,
All_Stats!$B:$B,"&gt;="&amp;EOMONTH($A903,-1)+1,
All_Stats!$B:$B,"&lt;"&amp;EOMONTH($A903,0)+1,
All_Stats!$P:$P,"&lt;&gt;Email Marketing"
)</f>
        <v>9</v>
      </c>
      <c r="F903" s="132">
        <f t="shared" si="286"/>
        <v>0.1428571429</v>
      </c>
      <c r="G903" s="131">
        <f>SUMIFS(All_Stats!$H:$H,
All_Stats!$D:$D,$B903,
All_Stats!$B:$B,"&gt;="&amp;EOMONTH($A903,-1)+1,
All_Stats!$B:$B,"&lt;"&amp;EOMONTH($A903,0)+1,
All_Stats!$P:$P,"&lt;&gt;Email Marketing"
)</f>
        <v>54</v>
      </c>
      <c r="H903" s="113">
        <f>SUMIFS(All_Stats!$K:$K,
All_Stats!$D:$D,$B903,
All_Stats!$B:$B,"&gt;="&amp;EOMONTH($A903,-1)+1,
All_Stats!$B:$B,"&lt;"&amp;EOMONTH($A903,0)+1,
All_Stats!$P:$P,"&lt;&gt;Email Marketing"
)</f>
        <v>0</v>
      </c>
      <c r="I903" s="133">
        <f>IFERROR(__xludf.DUMMYFUNCTION("COUNTUNIQUEIFS(All_Stats!A:A,
All_Stats!$D:$D,$B903,
All_Stats!$B:$B,""&gt;=""&amp;EOMONTH($A903,-1)+1,
All_Stats!$B:$B,""&lt;""&amp;EOMONTH($A903,0)+1,
All_Stats!$P:$P,""&lt;&gt;Email Marketing""
)"),10.0)</f>
        <v>10</v>
      </c>
    </row>
    <row r="904">
      <c r="A904" s="128">
        <v>45352.0</v>
      </c>
      <c r="B904" s="131" t="s">
        <v>157</v>
      </c>
      <c r="C904" s="134" t="str">
        <f>if(ifna(VLOOKUP(B904,'Vendor Directory'!A:C,3,0),"NOT FOUND")="","NOT FOUND",VLOOKUP(B904,'Vendor Directory'!A:C,3,0))</f>
        <v>#N/A</v>
      </c>
      <c r="D904" s="131">
        <f>SUMIFS(All_Stats!$G:$G,
All_Stats!$D:$D,$B904,
All_Stats!$B:$B,"&gt;="&amp;EOMONTH($A904,-1)+1,
All_Stats!$B:$B,"&lt;"&amp;EOMONTH($A904,0)+1,
All_Stats!$P:$P,"&lt;&gt;Email Marketing"
)</f>
        <v>68</v>
      </c>
      <c r="E904" s="113">
        <f>SUMIFS(All_Stats!$I:$I,
All_Stats!$D:$D,$B904,
All_Stats!$B:$B,"&gt;="&amp;EOMONTH($A904,-1)+1,
All_Stats!$B:$B,"&lt;"&amp;EOMONTH($A904,0)+1,
All_Stats!$P:$P,"&lt;&gt;Email Marketing"
)</f>
        <v>21</v>
      </c>
      <c r="F904" s="132">
        <f t="shared" si="286"/>
        <v>0.3088235294</v>
      </c>
      <c r="G904" s="131">
        <f>SUMIFS(All_Stats!$H:$H,
All_Stats!$D:$D,$B904,
All_Stats!$B:$B,"&gt;="&amp;EOMONTH($A904,-1)+1,
All_Stats!$B:$B,"&lt;"&amp;EOMONTH($A904,0)+1,
All_Stats!$P:$P,"&lt;&gt;Email Marketing"
)</f>
        <v>0</v>
      </c>
      <c r="H904" s="113">
        <f>SUMIFS(All_Stats!$K:$K,
All_Stats!$D:$D,$B904,
All_Stats!$B:$B,"&gt;="&amp;EOMONTH($A904,-1)+1,
All_Stats!$B:$B,"&lt;"&amp;EOMONTH($A904,0)+1,
All_Stats!$P:$P,"&lt;&gt;Email Marketing"
)</f>
        <v>47</v>
      </c>
      <c r="I904" s="133">
        <f>IFERROR(__xludf.DUMMYFUNCTION("COUNTUNIQUEIFS(All_Stats!A:A,
All_Stats!$D:$D,$B904,
All_Stats!$B:$B,""&gt;=""&amp;EOMONTH($A904,-1)+1,
All_Stats!$B:$B,""&lt;""&amp;EOMONTH($A904,0)+1,
All_Stats!$P:$P,""&lt;&gt;Email Marketing""
)"),3.0)</f>
        <v>3</v>
      </c>
    </row>
    <row r="905">
      <c r="A905" s="128">
        <v>45352.0</v>
      </c>
      <c r="B905" s="131" t="s">
        <v>91</v>
      </c>
      <c r="C905" s="134" t="str">
        <f>if(ifna(VLOOKUP(B905,'Vendor Directory'!A:C,3,0),"NOT FOUND")="","NOT FOUND",VLOOKUP(B905,'Vendor Directory'!A:C,3,0))</f>
        <v>#N/A</v>
      </c>
      <c r="D905" s="131">
        <f>SUMIFS(All_Stats!$G:$G,
All_Stats!$D:$D,$B905,
All_Stats!$B:$B,"&gt;="&amp;EOMONTH($A905,-1)+1,
All_Stats!$B:$B,"&lt;"&amp;EOMONTH($A905,0)+1,
All_Stats!$P:$P,"&lt;&gt;Email Marketing"
)</f>
        <v>134</v>
      </c>
      <c r="E905" s="113">
        <f>SUMIFS(All_Stats!$I:$I,
All_Stats!$D:$D,$B905,
All_Stats!$B:$B,"&gt;="&amp;EOMONTH($A905,-1)+1,
All_Stats!$B:$B,"&lt;"&amp;EOMONTH($A905,0)+1,
All_Stats!$P:$P,"&lt;&gt;Email Marketing"
)</f>
        <v>12</v>
      </c>
      <c r="F905" s="132">
        <f t="shared" si="286"/>
        <v>0.08955223881</v>
      </c>
      <c r="G905" s="131">
        <f>SUMIFS(All_Stats!$H:$H,
All_Stats!$D:$D,$B905,
All_Stats!$B:$B,"&gt;="&amp;EOMONTH($A905,-1)+1,
All_Stats!$B:$B,"&lt;"&amp;EOMONTH($A905,0)+1,
All_Stats!$P:$P,"&lt;&gt;Email Marketing"
)</f>
        <v>60</v>
      </c>
      <c r="H905" s="113">
        <f>SUMIFS(All_Stats!$K:$K,
All_Stats!$D:$D,$B905,
All_Stats!$B:$B,"&gt;="&amp;EOMONTH($A905,-1)+1,
All_Stats!$B:$B,"&lt;"&amp;EOMONTH($A905,0)+1,
All_Stats!$P:$P,"&lt;&gt;Email Marketing"
)</f>
        <v>62</v>
      </c>
      <c r="I905" s="133">
        <f>IFERROR(__xludf.DUMMYFUNCTION("COUNTUNIQUEIFS(All_Stats!A:A,
All_Stats!$D:$D,$B905,
All_Stats!$B:$B,""&gt;=""&amp;EOMONTH($A905,-1)+1,
All_Stats!$B:$B,""&lt;""&amp;EOMONTH($A905,0)+1,
All_Stats!$P:$P,""&lt;&gt;Email Marketing""
)"),11.0)</f>
        <v>11</v>
      </c>
    </row>
    <row r="906">
      <c r="A906" s="128">
        <v>45352.0</v>
      </c>
      <c r="B906" s="131" t="s">
        <v>30</v>
      </c>
      <c r="C906" s="134" t="str">
        <f>if(ifna(VLOOKUP(B906,'Vendor Directory'!A:C,3,0),"NOT FOUND")="","NOT FOUND",VLOOKUP(B906,'Vendor Directory'!A:C,3,0))</f>
        <v>Vendor 2 Name</v>
      </c>
      <c r="D906" s="131">
        <f>SUMIFS(All_Stats!$G:$G,
All_Stats!$D:$D,$B906,
All_Stats!$B:$B,"&gt;="&amp;EOMONTH($A906,-1)+1,
All_Stats!$B:$B,"&lt;"&amp;EOMONTH($A906,0)+1,
All_Stats!$P:$P,"&lt;&gt;Email Marketing"
)</f>
        <v>0</v>
      </c>
      <c r="E906" s="113">
        <f>SUMIFS(All_Stats!$I:$I,
All_Stats!$D:$D,$B906,
All_Stats!$B:$B,"&gt;="&amp;EOMONTH($A906,-1)+1,
All_Stats!$B:$B,"&lt;"&amp;EOMONTH($A906,0)+1,
All_Stats!$P:$P,"&lt;&gt;Email Marketing"
)</f>
        <v>0</v>
      </c>
      <c r="F906" s="132" t="str">
        <f t="shared" si="286"/>
        <v>N/A</v>
      </c>
      <c r="G906" s="131">
        <f>SUMIFS(All_Stats!$H:$H,
All_Stats!$D:$D,$B906,
All_Stats!$B:$B,"&gt;="&amp;EOMONTH($A906,-1)+1,
All_Stats!$B:$B,"&lt;"&amp;EOMONTH($A906,0)+1,
All_Stats!$P:$P,"&lt;&gt;Email Marketing"
)</f>
        <v>0</v>
      </c>
      <c r="H906" s="113">
        <f>SUMIFS(All_Stats!$K:$K,
All_Stats!$D:$D,$B906,
All_Stats!$B:$B,"&gt;="&amp;EOMONTH($A906,-1)+1,
All_Stats!$B:$B,"&lt;"&amp;EOMONTH($A906,0)+1,
All_Stats!$P:$P,"&lt;&gt;Email Marketing"
)</f>
        <v>0</v>
      </c>
      <c r="I906" s="133">
        <f>IFERROR(__xludf.DUMMYFUNCTION("COUNTUNIQUEIFS(All_Stats!A:A,
All_Stats!$D:$D,$B906,
All_Stats!$B:$B,""&gt;=""&amp;EOMONTH($A906,-1)+1,
All_Stats!$B:$B,""&lt;""&amp;EOMONTH($A906,0)+1,
All_Stats!$P:$P,""&lt;&gt;Email Marketing""
)"),4.0)</f>
        <v>4</v>
      </c>
    </row>
    <row r="907">
      <c r="A907" s="128">
        <v>45352.0</v>
      </c>
      <c r="B907" s="129" t="s">
        <v>109</v>
      </c>
      <c r="C907" s="130" t="s">
        <v>490</v>
      </c>
      <c r="D907" s="131">
        <f>SUMIFS(All_Stats!$G:$G,
All_Stats!$D:$D,$B907,
All_Stats!$B:$B,"&gt;="&amp;EOMONTH($A907,-1)+1,
All_Stats!$B:$B,"&lt;"&amp;EOMONTH($A907,0)+1,
All_Stats!$P:$P,"&lt;&gt;Email Marketing"
)</f>
        <v>6</v>
      </c>
      <c r="E907" s="113">
        <f>SUMIFS(All_Stats!$I:$I,
All_Stats!$D:$D,$B907,
All_Stats!$B:$B,"&gt;="&amp;EOMONTH($A907,-1)+1,
All_Stats!$B:$B,"&lt;"&amp;EOMONTH($A907,0)+1,
All_Stats!$P:$P,"&lt;&gt;Email Marketing"
)</f>
        <v>0</v>
      </c>
      <c r="F907" s="132">
        <f t="shared" si="286"/>
        <v>0</v>
      </c>
      <c r="G907" s="131">
        <f>SUMIFS(All_Stats!$H:$H,
All_Stats!$D:$D,$B907,
All_Stats!$B:$B,"&gt;="&amp;EOMONTH($A907,-1)+1,
All_Stats!$B:$B,"&lt;"&amp;EOMONTH($A907,0)+1,
All_Stats!$P:$P,"&lt;&gt;Email Marketing"
)</f>
        <v>0</v>
      </c>
      <c r="H907" s="113">
        <f>SUMIFS(All_Stats!$K:$K,
All_Stats!$D:$D,$B907,
All_Stats!$B:$B,"&gt;="&amp;EOMONTH($A907,-1)+1,
All_Stats!$B:$B,"&lt;"&amp;EOMONTH($A907,0)+1,
All_Stats!$P:$P,"&lt;&gt;Email Marketing"
)</f>
        <v>6</v>
      </c>
      <c r="I907" s="133">
        <f>IFERROR(__xludf.DUMMYFUNCTION("COUNTUNIQUEIFS(All_Stats!A:A,
All_Stats!$D:$D,$B907,
All_Stats!$B:$B,""&gt;=""&amp;EOMONTH($A907,-1)+1,
All_Stats!$B:$B,""&lt;""&amp;EOMONTH($A907,0)+1,
All_Stats!$P:$P,""&lt;&gt;Email Marketing""
)"),8.0)</f>
        <v>8</v>
      </c>
    </row>
    <row r="908">
      <c r="A908" s="128">
        <v>45352.0</v>
      </c>
      <c r="B908" s="129" t="s">
        <v>69</v>
      </c>
      <c r="C908" s="142" t="s">
        <v>491</v>
      </c>
      <c r="D908" s="131">
        <f>SUMIFS(All_Stats!$G:$G,
All_Stats!$D:$D,$B908,
All_Stats!$B:$B,"&gt;="&amp;EOMONTH($A908,-1)+1,
All_Stats!$B:$B,"&lt;"&amp;EOMONTH($A908,0)+1,
All_Stats!$P:$P,"&lt;&gt;Email Marketing"
)</f>
        <v>2</v>
      </c>
      <c r="E908" s="113">
        <f>SUMIFS(All_Stats!$I:$I,
All_Stats!$D:$D,$B908,
All_Stats!$B:$B,"&gt;="&amp;EOMONTH($A908,-1)+1,
All_Stats!$B:$B,"&lt;"&amp;EOMONTH($A908,0)+1,
All_Stats!$P:$P,"&lt;&gt;Email Marketing"
)</f>
        <v>0</v>
      </c>
      <c r="F908" s="132">
        <f t="shared" si="286"/>
        <v>0</v>
      </c>
      <c r="G908" s="131">
        <f>SUMIFS(All_Stats!$H:$H,
All_Stats!$D:$D,$B908,
All_Stats!$B:$B,"&gt;="&amp;EOMONTH($A908,-1)+1,
All_Stats!$B:$B,"&lt;"&amp;EOMONTH($A908,0)+1,
All_Stats!$P:$P,"&lt;&gt;Email Marketing"
)</f>
        <v>0</v>
      </c>
      <c r="H908" s="113">
        <f>SUMIFS(All_Stats!$K:$K,
All_Stats!$D:$D,$B908,
All_Stats!$B:$B,"&gt;="&amp;EOMONTH($A908,-1)+1,
All_Stats!$B:$B,"&lt;"&amp;EOMONTH($A908,0)+1,
All_Stats!$P:$P,"&lt;&gt;Email Marketing"
)</f>
        <v>2</v>
      </c>
      <c r="I908" s="133">
        <f>IFERROR(__xludf.DUMMYFUNCTION("COUNTUNIQUEIFS(All_Stats!A:A,
All_Stats!$D:$D,$B908,
All_Stats!$B:$B,""&gt;=""&amp;EOMONTH($A908,-1)+1,
All_Stats!$B:$B,""&lt;""&amp;EOMONTH($A908,0)+1,
All_Stats!$P:$P,""&lt;&gt;Email Marketing""
)"),1.0)</f>
        <v>1</v>
      </c>
    </row>
    <row r="909">
      <c r="A909" s="128">
        <v>45352.0</v>
      </c>
      <c r="B909" s="129" t="s">
        <v>33</v>
      </c>
      <c r="C909" s="142" t="s">
        <v>492</v>
      </c>
      <c r="D909" s="131">
        <f>SUMIFS(All_Stats!$G:$G,
All_Stats!$D:$D,$B909,
All_Stats!$B:$B,"&gt;="&amp;EOMONTH($A909,-1)+1,
All_Stats!$B:$B,"&lt;"&amp;EOMONTH($A909,0)+1,
All_Stats!$P:$P,"&lt;&gt;Email Marketing"
)</f>
        <v>0</v>
      </c>
      <c r="E909" s="113">
        <f>SUMIFS(All_Stats!$I:$I,
All_Stats!$D:$D,$B909,
All_Stats!$B:$B,"&gt;="&amp;EOMONTH($A909,-1)+1,
All_Stats!$B:$B,"&lt;"&amp;EOMONTH($A909,0)+1,
All_Stats!$P:$P,"&lt;&gt;Email Marketing"
)</f>
        <v>0</v>
      </c>
      <c r="F909" s="132" t="str">
        <f t="shared" si="286"/>
        <v>N/A</v>
      </c>
      <c r="G909" s="131">
        <f>SUMIFS(All_Stats!$H:$H,
All_Stats!$D:$D,$B909,
All_Stats!$B:$B,"&gt;="&amp;EOMONTH($A909,-1)+1,
All_Stats!$B:$B,"&lt;"&amp;EOMONTH($A909,0)+1,
All_Stats!$P:$P,"&lt;&gt;Email Marketing"
)</f>
        <v>0</v>
      </c>
      <c r="H909" s="113">
        <f>SUMIFS(All_Stats!$K:$K,
All_Stats!$D:$D,$B909,
All_Stats!$B:$B,"&gt;="&amp;EOMONTH($A909,-1)+1,
All_Stats!$B:$B,"&lt;"&amp;EOMONTH($A909,0)+1,
All_Stats!$P:$P,"&lt;&gt;Email Marketing"
)</f>
        <v>0</v>
      </c>
      <c r="I909" s="133">
        <f>IFERROR(__xludf.DUMMYFUNCTION("COUNTUNIQUEIFS(All_Stats!A:A,
All_Stats!$D:$D,$B909,
All_Stats!$B:$B,""&gt;=""&amp;EOMONTH($A909,-1)+1,
All_Stats!$B:$B,""&lt;""&amp;EOMONTH($A909,0)+1,
All_Stats!$P:$P,""&lt;&gt;Email Marketing""
)"),2.0)</f>
        <v>2</v>
      </c>
    </row>
    <row r="910">
      <c r="A910" s="128">
        <v>45352.0</v>
      </c>
      <c r="B910" s="129" t="s">
        <v>79</v>
      </c>
      <c r="C910" s="130" t="s">
        <v>488</v>
      </c>
      <c r="D910" s="131">
        <f>SUMIFS(All_Stats!$G:$G,
All_Stats!$D:$D,$B910,
All_Stats!$B:$B,"&gt;="&amp;EOMONTH($A910,-1)+1,
All_Stats!$B:$B,"&lt;"&amp;EOMONTH($A910,0)+1,
All_Stats!$P:$P,"&lt;&gt;Email Marketing"
)</f>
        <v>0</v>
      </c>
      <c r="E910" s="113">
        <f>SUMIFS(All_Stats!$I:$I,
All_Stats!$D:$D,$B910,
All_Stats!$B:$B,"&gt;="&amp;EOMONTH($A910,-1)+1,
All_Stats!$B:$B,"&lt;"&amp;EOMONTH($A910,0)+1,
All_Stats!$P:$P,"&lt;&gt;Email Marketing"
)</f>
        <v>0</v>
      </c>
      <c r="F910" s="132" t="str">
        <f t="shared" si="286"/>
        <v>N/A</v>
      </c>
      <c r="G910" s="131">
        <f>SUMIFS(All_Stats!$H:$H,
All_Stats!$D:$D,$B910,
All_Stats!$B:$B,"&gt;="&amp;EOMONTH($A910,-1)+1,
All_Stats!$B:$B,"&lt;"&amp;EOMONTH($A910,0)+1,
All_Stats!$P:$P,"&lt;&gt;Email Marketing"
)</f>
        <v>0</v>
      </c>
      <c r="H910" s="113">
        <f>SUMIFS(All_Stats!$K:$K,
All_Stats!$D:$D,$B910,
All_Stats!$B:$B,"&gt;="&amp;EOMONTH($A910,-1)+1,
All_Stats!$B:$B,"&lt;"&amp;EOMONTH($A910,0)+1,
All_Stats!$P:$P,"&lt;&gt;Email Marketing"
)</f>
        <v>0</v>
      </c>
      <c r="I910" s="133">
        <f>IFERROR(__xludf.DUMMYFUNCTION("COUNTUNIQUEIFS(All_Stats!A:A,
All_Stats!$D:$D,$B910,
All_Stats!$B:$B,""&gt;=""&amp;EOMONTH($A910,-1)+1,
All_Stats!$B:$B,""&lt;""&amp;EOMONTH($A910,0)+1,
All_Stats!$P:$P,""&lt;&gt;Email Marketing""
)"),1.0)</f>
        <v>1</v>
      </c>
    </row>
    <row r="911">
      <c r="A911" s="135"/>
      <c r="B911" s="135"/>
      <c r="C911" s="136" t="s">
        <v>23</v>
      </c>
      <c r="D911" s="137">
        <f t="shared" ref="D911:E911" si="287">SUM(D902:D909)</f>
        <v>358</v>
      </c>
      <c r="E911" s="137">
        <f t="shared" si="287"/>
        <v>61</v>
      </c>
      <c r="F911" s="138">
        <f t="shared" si="286"/>
        <v>0.1703910615</v>
      </c>
      <c r="G911" s="137">
        <f t="shared" ref="G911:H911" si="288">SUM(G902:G909)</f>
        <v>131</v>
      </c>
      <c r="H911" s="137">
        <f t="shared" si="288"/>
        <v>166</v>
      </c>
      <c r="I911" s="139"/>
    </row>
    <row r="912">
      <c r="A912" s="114"/>
      <c r="B912" s="114"/>
      <c r="C912" s="115"/>
      <c r="D912" s="116"/>
      <c r="E912" s="116"/>
      <c r="F912" s="117"/>
      <c r="G912" s="116"/>
      <c r="H912" s="116"/>
      <c r="I912" s="116"/>
    </row>
    <row r="913">
      <c r="A913" s="114"/>
      <c r="B913" s="114"/>
      <c r="C913" s="115"/>
      <c r="D913" s="116">
        <f t="shared" ref="D913:E913" si="289">D899+D911</f>
        <v>2169</v>
      </c>
      <c r="E913" s="116">
        <f t="shared" si="289"/>
        <v>329</v>
      </c>
      <c r="F913" s="117"/>
      <c r="G913" s="116">
        <f t="shared" ref="G913:H913" si="290">G899+G911</f>
        <v>358</v>
      </c>
      <c r="H913" s="116">
        <f t="shared" si="290"/>
        <v>1482</v>
      </c>
      <c r="I913" s="116"/>
    </row>
    <row r="914">
      <c r="A914" s="114"/>
      <c r="B914" s="114"/>
      <c r="C914" s="115"/>
      <c r="D914" s="116"/>
      <c r="E914" s="116"/>
      <c r="F914" s="117"/>
      <c r="G914" s="116"/>
      <c r="H914" s="116"/>
      <c r="I914" s="116"/>
    </row>
    <row r="915">
      <c r="A915" s="114"/>
      <c r="B915" s="114"/>
      <c r="C915" s="115"/>
      <c r="D915" s="116"/>
      <c r="E915" s="116"/>
      <c r="F915" s="117"/>
      <c r="G915" s="116"/>
      <c r="H915" s="116"/>
      <c r="I915" s="116"/>
    </row>
    <row r="916">
      <c r="A916" s="114"/>
      <c r="B916" s="114"/>
      <c r="C916" s="115"/>
      <c r="D916" s="116"/>
      <c r="E916" s="116"/>
      <c r="F916" s="117"/>
      <c r="G916" s="116"/>
      <c r="H916" s="116"/>
      <c r="I916" s="116"/>
    </row>
    <row r="917">
      <c r="A917" s="114"/>
      <c r="B917" s="114"/>
      <c r="C917" s="115"/>
      <c r="D917" s="116"/>
      <c r="E917" s="116"/>
      <c r="F917" s="117"/>
      <c r="G917" s="116"/>
      <c r="H917" s="116"/>
      <c r="I917" s="116"/>
    </row>
    <row r="918">
      <c r="A918" s="114"/>
      <c r="B918" s="114"/>
      <c r="C918" s="115"/>
      <c r="D918" s="116"/>
      <c r="E918" s="116"/>
      <c r="F918" s="117"/>
      <c r="G918" s="116"/>
      <c r="H918" s="116"/>
      <c r="I918" s="116"/>
    </row>
    <row r="919">
      <c r="A919" s="114"/>
      <c r="B919" s="114"/>
      <c r="C919" s="115"/>
      <c r="D919" s="116"/>
      <c r="E919" s="116"/>
      <c r="F919" s="117"/>
      <c r="G919" s="116"/>
      <c r="H919" s="116"/>
      <c r="I919" s="116"/>
    </row>
    <row r="920">
      <c r="A920" s="114"/>
      <c r="B920" s="114"/>
      <c r="C920" s="115"/>
      <c r="D920" s="116"/>
      <c r="E920" s="116"/>
      <c r="F920" s="117"/>
      <c r="G920" s="116"/>
      <c r="H920" s="116"/>
      <c r="I920" s="116"/>
    </row>
    <row r="921">
      <c r="A921" s="114"/>
      <c r="B921" s="114"/>
      <c r="C921" s="115"/>
      <c r="D921" s="116"/>
      <c r="E921" s="116"/>
      <c r="F921" s="117"/>
      <c r="G921" s="116"/>
      <c r="H921" s="116"/>
      <c r="I921" s="116"/>
    </row>
    <row r="922">
      <c r="A922" s="114"/>
      <c r="B922" s="114"/>
      <c r="C922" s="115"/>
      <c r="D922" s="116"/>
      <c r="E922" s="116"/>
      <c r="F922" s="117"/>
      <c r="G922" s="116"/>
      <c r="H922" s="116"/>
      <c r="I922" s="116"/>
    </row>
    <row r="923">
      <c r="A923" s="114"/>
      <c r="B923" s="114"/>
      <c r="C923" s="115"/>
      <c r="D923" s="116"/>
      <c r="E923" s="116"/>
      <c r="F923" s="117"/>
      <c r="G923" s="116"/>
      <c r="H923" s="116"/>
      <c r="I923" s="116"/>
    </row>
    <row r="924">
      <c r="A924" s="114"/>
      <c r="B924" s="114"/>
      <c r="C924" s="115"/>
      <c r="D924" s="116"/>
      <c r="E924" s="116"/>
      <c r="F924" s="117"/>
      <c r="G924" s="116"/>
      <c r="H924" s="116"/>
      <c r="I924" s="116"/>
    </row>
    <row r="925">
      <c r="A925" s="114"/>
      <c r="B925" s="114"/>
      <c r="C925" s="115"/>
      <c r="D925" s="116"/>
      <c r="E925" s="116"/>
      <c r="F925" s="117"/>
      <c r="G925" s="116"/>
      <c r="H925" s="116"/>
      <c r="I925" s="116"/>
    </row>
    <row r="926">
      <c r="A926" s="114"/>
      <c r="B926" s="114"/>
      <c r="C926" s="115"/>
      <c r="D926" s="116"/>
      <c r="E926" s="116"/>
      <c r="F926" s="117"/>
      <c r="G926" s="116"/>
      <c r="H926" s="116"/>
      <c r="I926" s="116"/>
    </row>
    <row r="927">
      <c r="A927" s="114"/>
      <c r="B927" s="114"/>
      <c r="C927" s="115"/>
      <c r="D927" s="116"/>
      <c r="E927" s="116"/>
      <c r="F927" s="117"/>
      <c r="G927" s="116"/>
      <c r="H927" s="116"/>
      <c r="I927" s="116"/>
    </row>
    <row r="928">
      <c r="A928" s="114"/>
      <c r="B928" s="114"/>
      <c r="C928" s="115"/>
      <c r="D928" s="116"/>
      <c r="E928" s="116"/>
      <c r="F928" s="117"/>
      <c r="G928" s="116"/>
      <c r="H928" s="116"/>
      <c r="I928" s="116"/>
    </row>
    <row r="929">
      <c r="A929" s="114"/>
      <c r="B929" s="114"/>
      <c r="C929" s="115"/>
      <c r="D929" s="116"/>
      <c r="E929" s="116"/>
      <c r="F929" s="117"/>
      <c r="G929" s="116"/>
      <c r="H929" s="116"/>
      <c r="I929" s="116"/>
    </row>
  </sheetData>
  <mergeCells count="57">
    <mergeCell ref="A1:I1"/>
    <mergeCell ref="C23:I23"/>
    <mergeCell ref="C30:I30"/>
    <mergeCell ref="C59:I59"/>
    <mergeCell ref="C66:I66"/>
    <mergeCell ref="C90:I90"/>
    <mergeCell ref="C97:I97"/>
    <mergeCell ref="C115:I115"/>
    <mergeCell ref="C122:I122"/>
    <mergeCell ref="C144:I144"/>
    <mergeCell ref="C150:I150"/>
    <mergeCell ref="C172:I172"/>
    <mergeCell ref="C178:I178"/>
    <mergeCell ref="C201:I201"/>
    <mergeCell ref="C207:I207"/>
    <mergeCell ref="C232:I232"/>
    <mergeCell ref="C239:I239"/>
    <mergeCell ref="A263:I263"/>
    <mergeCell ref="C264:I264"/>
    <mergeCell ref="C270:I270"/>
    <mergeCell ref="C290:I290"/>
    <mergeCell ref="C299:I299"/>
    <mergeCell ref="C316:I316"/>
    <mergeCell ref="C326:I326"/>
    <mergeCell ref="C346:I346"/>
    <mergeCell ref="C356:I356"/>
    <mergeCell ref="C375:I375"/>
    <mergeCell ref="C384:I384"/>
    <mergeCell ref="C403:I403"/>
    <mergeCell ref="C411:I411"/>
    <mergeCell ref="C431:I431"/>
    <mergeCell ref="C439:I439"/>
    <mergeCell ref="C459:I459"/>
    <mergeCell ref="C466:I466"/>
    <mergeCell ref="C486:I486"/>
    <mergeCell ref="C493:I493"/>
    <mergeCell ref="C513:I513"/>
    <mergeCell ref="C520:I520"/>
    <mergeCell ref="C540:I540"/>
    <mergeCell ref="C566:I566"/>
    <mergeCell ref="A592:I592"/>
    <mergeCell ref="C593:I593"/>
    <mergeCell ref="C767:I767"/>
    <mergeCell ref="C789:I789"/>
    <mergeCell ref="C811:I811"/>
    <mergeCell ref="C832:I832"/>
    <mergeCell ref="A853:I853"/>
    <mergeCell ref="C855:I855"/>
    <mergeCell ref="C875:I875"/>
    <mergeCell ref="C895:I895"/>
    <mergeCell ref="C618:I618"/>
    <mergeCell ref="C640:I640"/>
    <mergeCell ref="C662:I662"/>
    <mergeCell ref="C683:I683"/>
    <mergeCell ref="C704:I704"/>
    <mergeCell ref="C725:I725"/>
    <mergeCell ref="C746:I746"/>
  </mergeCells>
  <conditionalFormatting sqref="J222:K222">
    <cfRule type="expression" dxfId="0" priority="1">
      <formula>countif(J:J,J222)&gt;1</formula>
    </cfRule>
  </conditionalFormatting>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39.13"/>
    <col customWidth="1" hidden="1" min="3" max="3" width="5.13"/>
    <col customWidth="1" min="4" max="4" width="5.63"/>
    <col customWidth="1" min="5" max="5" width="11.25"/>
    <col customWidth="1" min="6" max="6" width="8.88"/>
    <col customWidth="1" min="7" max="7" width="7.38"/>
    <col customWidth="1" min="8" max="8" width="7.88"/>
    <col customWidth="1" min="9" max="9" width="8.0"/>
    <col customWidth="1" min="10" max="10" width="7.63"/>
    <col customWidth="1" min="11" max="11" width="9.38"/>
    <col customWidth="1" min="12" max="12" width="9.63"/>
    <col customWidth="1" min="13" max="13" width="8.63"/>
    <col customWidth="1" min="14" max="14" width="5.13"/>
    <col customWidth="1" min="15" max="15" width="9.38"/>
    <col customWidth="1" min="16" max="16" width="10.13"/>
    <col customWidth="1" min="17" max="17" width="10.88"/>
    <col customWidth="1" min="18" max="18" width="12.13"/>
    <col customWidth="1" min="19" max="20" width="9.88"/>
    <col customWidth="1" min="21" max="33" width="8.5"/>
    <col customWidth="1" min="34" max="34" width="10.0"/>
  </cols>
  <sheetData>
    <row r="1">
      <c r="A1" s="201" t="s">
        <v>547</v>
      </c>
      <c r="B1" s="202" t="s">
        <v>548</v>
      </c>
      <c r="C1" s="203" t="s">
        <v>549</v>
      </c>
      <c r="D1" s="202" t="s">
        <v>3</v>
      </c>
      <c r="E1" s="202" t="s">
        <v>0</v>
      </c>
      <c r="F1" s="204" t="s">
        <v>550</v>
      </c>
      <c r="G1" s="204" t="s">
        <v>551</v>
      </c>
      <c r="H1" s="204" t="s">
        <v>552</v>
      </c>
      <c r="I1" s="205" t="s">
        <v>553</v>
      </c>
      <c r="J1" s="205" t="s">
        <v>554</v>
      </c>
      <c r="K1" s="206" t="s">
        <v>555</v>
      </c>
      <c r="L1" s="205" t="s">
        <v>556</v>
      </c>
      <c r="M1" s="205" t="s">
        <v>557</v>
      </c>
      <c r="N1" s="205" t="s">
        <v>558</v>
      </c>
      <c r="O1" s="207" t="s">
        <v>559</v>
      </c>
      <c r="P1" s="208" t="s">
        <v>560</v>
      </c>
      <c r="Q1" s="209" t="s">
        <v>561</v>
      </c>
      <c r="R1" s="209" t="s">
        <v>562</v>
      </c>
      <c r="S1" s="205" t="s">
        <v>10</v>
      </c>
      <c r="T1" s="210" t="s">
        <v>11</v>
      </c>
      <c r="U1" s="211">
        <f>IFERROR(__xludf.DUMMYFUNCTION("ifna(transpose(sort(QUERY(Backend_Days!A1:B50,""Select A LIMIT 13""),1,1)),""No date is selected)"")"),45346.0)</f>
        <v>45346</v>
      </c>
      <c r="V1" s="212">
        <f>IFERROR(__xludf.DUMMYFUNCTION("""COMPUTED_VALUE"""),45347.0)</f>
        <v>45347</v>
      </c>
      <c r="W1" s="213">
        <f>IFERROR(__xludf.DUMMYFUNCTION("""COMPUTED_VALUE"""),45348.0)</f>
        <v>45348</v>
      </c>
      <c r="X1" s="213">
        <f>IFERROR(__xludf.DUMMYFUNCTION("""COMPUTED_VALUE"""),45349.0)</f>
        <v>45349</v>
      </c>
      <c r="Y1" s="214">
        <f>IFERROR(__xludf.DUMMYFUNCTION("""COMPUTED_VALUE"""),45350.0)</f>
        <v>45350</v>
      </c>
      <c r="Z1" s="212">
        <f>IFERROR(__xludf.DUMMYFUNCTION("""COMPUTED_VALUE"""),45351.0)</f>
        <v>45351</v>
      </c>
      <c r="AA1" s="212">
        <f>IFERROR(__xludf.DUMMYFUNCTION("""COMPUTED_VALUE"""),45352.0)</f>
        <v>45352</v>
      </c>
      <c r="AB1" s="213">
        <f>IFERROR(__xludf.DUMMYFUNCTION("""COMPUTED_VALUE"""),45353.0)</f>
        <v>45353</v>
      </c>
      <c r="AC1" s="212">
        <f>IFERROR(__xludf.DUMMYFUNCTION("""COMPUTED_VALUE"""),45354.0)</f>
        <v>45354</v>
      </c>
      <c r="AD1" s="212">
        <f>IFERROR(__xludf.DUMMYFUNCTION("""COMPUTED_VALUE"""),45355.0)</f>
        <v>45355</v>
      </c>
      <c r="AE1" s="215">
        <f>IFERROR(__xludf.DUMMYFUNCTION("""COMPUTED_VALUE"""),45356.0)</f>
        <v>45356</v>
      </c>
      <c r="AF1" s="214">
        <f>IFERROR(__xludf.DUMMYFUNCTION("""COMPUTED_VALUE"""),45357.0)</f>
        <v>45357</v>
      </c>
      <c r="AG1" s="212">
        <f>IFERROR(__xludf.DUMMYFUNCTION("""COMPUTED_VALUE"""),45358.0)</f>
        <v>45358</v>
      </c>
      <c r="AH1" s="216">
        <v>45359.0</v>
      </c>
    </row>
    <row r="2">
      <c r="A2" s="217" t="s">
        <v>563</v>
      </c>
      <c r="B2" s="32"/>
      <c r="C2" s="32"/>
      <c r="D2" s="32"/>
      <c r="E2" s="33"/>
      <c r="F2" s="218"/>
      <c r="G2" s="219"/>
      <c r="H2" s="218"/>
      <c r="I2" s="219"/>
      <c r="J2" s="219"/>
      <c r="K2" s="219"/>
      <c r="L2" s="219"/>
      <c r="M2" s="220"/>
      <c r="N2" s="220"/>
      <c r="O2" s="221"/>
      <c r="P2" s="222"/>
      <c r="Q2" s="223"/>
      <c r="R2" s="224"/>
      <c r="S2" s="220"/>
      <c r="T2" s="225"/>
      <c r="U2" s="220"/>
      <c r="V2" s="220"/>
      <c r="W2" s="220"/>
      <c r="X2" s="220"/>
      <c r="Y2" s="220"/>
      <c r="Z2" s="220"/>
      <c r="AA2" s="220"/>
      <c r="AB2" s="220"/>
      <c r="AC2" s="220"/>
      <c r="AD2" s="220"/>
      <c r="AE2" s="220"/>
      <c r="AF2" s="220"/>
      <c r="AG2" s="220"/>
      <c r="AH2" s="220"/>
    </row>
    <row r="3">
      <c r="A3" s="226" t="s">
        <v>564</v>
      </c>
      <c r="B3" s="227"/>
      <c r="C3" s="227"/>
      <c r="D3" s="227"/>
      <c r="E3" s="227"/>
      <c r="F3" s="228" t="str">
        <f>iferror(
if(K3="","",
if(DATEDIF(K3,Today(),"D")/DATEDIF(K3,O3,"D")&gt;1,1,
DATEDIF(K3,Today(),"D")/DATEDIF(K3,O3,"D"))),O3)</f>
        <v/>
      </c>
      <c r="G3" s="229" t="str">
        <f>iferror(M3/J3,"")</f>
        <v/>
      </c>
      <c r="H3" s="228" t="str">
        <f>IF(G3="","",1-G3)</f>
        <v/>
      </c>
      <c r="I3" s="229" t="str">
        <f>iferror(L3/J3,"")</f>
        <v/>
      </c>
      <c r="J3" s="229" t="str">
        <f>if(OR($E3="",$D3=""),"",sumifs(All_Stats!F:F,All_Stats!D:D,D3,All_Stats!A:A,E3,All_Stats!B:B,"Overall"))</f>
        <v/>
      </c>
      <c r="K3" s="229"/>
      <c r="L3" s="229" t="str">
        <f>if(OR($E3="",$D3=""),"",sumifs(All_Stats!G:G,All_Stats!D:D,D3,All_Stats!A:A,E3,All_Stats!B:B,"Overall"))</f>
        <v/>
      </c>
      <c r="M3" s="230" t="str">
        <f>if(OR($E3="",$D3=""),"",sumifs(All_Stats!H:H,All_Stats!D:D,D3,All_Stats!A:A,E3,All_Stats!B:B,"Overall"))</f>
        <v/>
      </c>
      <c r="N3" s="230" t="str">
        <f>if(D3="","",J3-M3)</f>
        <v/>
      </c>
      <c r="O3" s="231"/>
      <c r="P3" s="229"/>
      <c r="Q3" s="229"/>
      <c r="R3" s="229"/>
      <c r="S3" s="229"/>
      <c r="T3" s="232"/>
      <c r="U3" s="233" t="str">
        <f>if(OR($E3="",$D3="",COUNTIFS(DailyDelivery!$A:$A,$E3,DailyDelivery!$B:$B,$D3,DailyDelivery!$C:$C,U$1)=0),"",COUNTIFS(DailyDelivery!$A:$A,$E3,DailyDelivery!$B:$B,$D3,DailyDelivery!$C:$C,U$1))</f>
        <v/>
      </c>
      <c r="V3" s="233" t="str">
        <f>if(OR($E3="",$D3="",COUNTIFS(DailyDelivery!$A:$A,$E3,DailyDelivery!$B:$B,$D3,DailyDelivery!$C:$C,V$1)=0),"",COUNTIFS(DailyDelivery!$A:$A,$E3,DailyDelivery!$B:$B,$D3,DailyDelivery!$C:$C,V$1))</f>
        <v/>
      </c>
      <c r="W3" s="233" t="str">
        <f>if(OR($E3="",$D3="",COUNTIFS(DailyDelivery!$A:$A,$E3,DailyDelivery!$B:$B,$D3,DailyDelivery!$C:$C,W$1)=0),"",COUNTIFS(DailyDelivery!$A:$A,$E3,DailyDelivery!$B:$B,$D3,DailyDelivery!$C:$C,W$1))</f>
        <v/>
      </c>
      <c r="X3" s="233" t="str">
        <f>if(OR($E3="",$D3="",COUNTIFS(DailyDelivery!$A:$A,$E3,DailyDelivery!$B:$B,$D3,DailyDelivery!$C:$C,X$1)=0),"",COUNTIFS(DailyDelivery!$A:$A,$E3,DailyDelivery!$B:$B,$D3,DailyDelivery!$C:$C,X$1))</f>
        <v/>
      </c>
      <c r="Y3" s="233" t="str">
        <f>if(OR($E3="",$D3="",COUNTIFS(DailyDelivery!$A:$A,$E3,DailyDelivery!$B:$B,$D3,DailyDelivery!$C:$C,Y$1)=0),"",COUNTIFS(DailyDelivery!$A:$A,$E3,DailyDelivery!$B:$B,$D3,DailyDelivery!$C:$C,Y$1))</f>
        <v/>
      </c>
      <c r="Z3" s="233" t="str">
        <f>if(OR($E3="",$D3="",COUNTIFS(DailyDelivery!$A:$A,$E3,DailyDelivery!$B:$B,$D3,DailyDelivery!$C:$C,Z$1)=0),"",COUNTIFS(DailyDelivery!$A:$A,$E3,DailyDelivery!$B:$B,$D3,DailyDelivery!$C:$C,Z$1))</f>
        <v/>
      </c>
      <c r="AA3" s="233" t="str">
        <f>if(OR($E3="",$D3="",COUNTIFS(DailyDelivery!$A:$A,$E3,DailyDelivery!$B:$B,$D3,DailyDelivery!$C:$C,AA$1)=0),"",COUNTIFS(DailyDelivery!$A:$A,$E3,DailyDelivery!$B:$B,$D3,DailyDelivery!$C:$C,AA$1))</f>
        <v/>
      </c>
      <c r="AB3" s="233" t="str">
        <f>if(OR($E3="",$D3="",COUNTIFS(DailyDelivery!$A:$A,$E3,DailyDelivery!$B:$B,$D3,DailyDelivery!$C:$C,AB$1)=0),"",COUNTIFS(DailyDelivery!$A:$A,$E3,DailyDelivery!$B:$B,$D3,DailyDelivery!$C:$C,AB$1))</f>
        <v/>
      </c>
      <c r="AC3" s="233" t="str">
        <f>if(OR($E3="",$D3="",COUNTIFS(DailyDelivery!$A:$A,$E3,DailyDelivery!$B:$B,$D3,DailyDelivery!$C:$C,AC$1)=0),"",COUNTIFS(DailyDelivery!$A:$A,$E3,DailyDelivery!$B:$B,$D3,DailyDelivery!$C:$C,AC$1))</f>
        <v/>
      </c>
      <c r="AD3" s="233" t="str">
        <f>if(OR($E3="",$D3="",COUNTIFS(DailyDelivery!$A:$A,$E3,DailyDelivery!$B:$B,$D3,DailyDelivery!$C:$C,AD$1)=0),"",COUNTIFS(DailyDelivery!$A:$A,$E3,DailyDelivery!$B:$B,$D3,DailyDelivery!$C:$C,AD$1))</f>
        <v/>
      </c>
      <c r="AE3" s="233" t="str">
        <f>if(OR($E3="",$D3="",COUNTIFS(DailyDelivery!$A:$A,$E3,DailyDelivery!$B:$B,$D3,DailyDelivery!$C:$C,AE$1)=0),"",COUNTIFS(DailyDelivery!$A:$A,$E3,DailyDelivery!$B:$B,$D3,DailyDelivery!$C:$C,AE$1))</f>
        <v/>
      </c>
      <c r="AF3" s="233" t="str">
        <f>if(OR($E3="",$D3="",COUNTIFS(DailyDelivery!$A:$A,$E3,DailyDelivery!$B:$B,$D3,DailyDelivery!$C:$C,AF$1)=0),"",COUNTIFS(DailyDelivery!$A:$A,$E3,DailyDelivery!$B:$B,$D3,DailyDelivery!$C:$C,AF$1))</f>
        <v/>
      </c>
      <c r="AG3" s="233" t="str">
        <f>if(OR($E3="",$D3="",COUNTIFS(DailyDelivery!$A:$A,$E3,DailyDelivery!$B:$B,$D3,DailyDelivery!$C:$C,AG$1)=0),"",COUNTIFS(DailyDelivery!$A:$A,$E3,DailyDelivery!$B:$B,$D3,DailyDelivery!$C:$C,AG$1))</f>
        <v/>
      </c>
      <c r="AH3" s="233" t="str">
        <f>if(OR($E3="",$D3="",COUNTIFS(DailyDelivery!$A:$A,$E3,DailyDelivery!$B:$B,$D3,DailyDelivery!$C:$C,AH$1)=0),"",COUNTIFS(DailyDelivery!$A:$A,$E3,DailyDelivery!$B:$B,$D3,DailyDelivery!$C:$C,AH$1))</f>
        <v/>
      </c>
    </row>
    <row r="4">
      <c r="A4" s="234" t="s">
        <v>565</v>
      </c>
      <c r="B4" s="235"/>
      <c r="C4" s="235"/>
      <c r="D4" s="235"/>
      <c r="E4" s="235"/>
      <c r="F4" s="235"/>
      <c r="G4" s="235"/>
      <c r="H4" s="235"/>
      <c r="I4" s="235"/>
      <c r="J4" s="235"/>
      <c r="K4" s="235"/>
      <c r="L4" s="235"/>
      <c r="M4" s="235"/>
      <c r="N4" s="235"/>
      <c r="O4" s="235"/>
      <c r="P4" s="235"/>
      <c r="Q4" s="235"/>
      <c r="R4" s="235"/>
      <c r="S4" s="235"/>
      <c r="T4" s="235"/>
      <c r="U4" s="235"/>
      <c r="V4" s="235"/>
      <c r="W4" s="235"/>
      <c r="X4" s="235"/>
      <c r="Y4" s="235"/>
      <c r="Z4" s="236"/>
      <c r="AA4" s="237"/>
      <c r="AB4" s="237"/>
      <c r="AC4" s="237"/>
      <c r="AD4" s="237"/>
      <c r="AE4" s="237"/>
      <c r="AF4" s="237"/>
      <c r="AG4" s="237"/>
      <c r="AH4" s="237"/>
    </row>
    <row r="5">
      <c r="A5" s="238" t="s">
        <v>20</v>
      </c>
      <c r="B5" s="239" t="s">
        <v>566</v>
      </c>
      <c r="C5" s="240"/>
      <c r="D5" s="241" t="s">
        <v>19</v>
      </c>
      <c r="E5" s="241" t="s">
        <v>16</v>
      </c>
      <c r="F5" s="242" t="str">
        <f t="shared" ref="F5:F11" si="1">iferror(
if(K5="","",
if(DATEDIF(K5,Today(),"D")/DATEDIF(K5,O5,"D")&gt;1,1,
DATEDIF(K5,Today(),"D")/DATEDIF(K5,O5,"D"))),O5)</f>
        <v/>
      </c>
      <c r="G5" s="243">
        <f t="shared" ref="G5:G11" si="2">iferror(M5/J5,"")</f>
        <v>0.4978813559</v>
      </c>
      <c r="H5" s="242">
        <f t="shared" ref="H5:H11" si="3">IF(G5="","",1-G5)</f>
        <v>0.5021186441</v>
      </c>
      <c r="I5" s="243">
        <f t="shared" ref="I5:I11" si="4">iferror(L5/J5,"")</f>
        <v>0.7786016949</v>
      </c>
      <c r="J5" s="244">
        <f>if(OR($E5="",$D5=""),"",sumifs(All_Stats!F:F,All_Stats!D:D,D5,All_Stats!A:A,E5,All_Stats!B:B,"Overall"))</f>
        <v>944</v>
      </c>
      <c r="K5" s="245">
        <v>45302.0</v>
      </c>
      <c r="L5" s="246">
        <f>if(OR($E5="",$D5=""),"",sumifs(All_Stats!G:G,All_Stats!D:D,D5,All_Stats!A:A,E5,All_Stats!B:B,"Overall"))</f>
        <v>735</v>
      </c>
      <c r="M5" s="246">
        <f>if(OR($E5="",$D5=""),"",sumifs(All_Stats!H:H,All_Stats!D:D,D5,All_Stats!A:A,E5,All_Stats!B:B,"Overall"))</f>
        <v>470</v>
      </c>
      <c r="N5" s="246">
        <f t="shared" ref="N5:N11" si="5">if(D5="","",J5-M5)</f>
        <v>474</v>
      </c>
      <c r="O5" s="247"/>
      <c r="P5" s="248"/>
      <c r="Q5" s="249" t="s">
        <v>18</v>
      </c>
      <c r="R5" s="250"/>
      <c r="S5" s="246">
        <f>SUMIFS(All_Stats!K:K,All_Stats!D:D,D5,All_Stats!A:A,E5,All_Stats!B:B,"Overall")</f>
        <v>14</v>
      </c>
      <c r="T5" s="251">
        <f>SUMIFS(All_Stats!L:L,All_Stats!D:D,D5,All_Stats!A:A,E5,All_Stats!B:B,"Overall")</f>
        <v>64</v>
      </c>
      <c r="U5" s="246"/>
      <c r="V5" s="246"/>
      <c r="W5" s="246"/>
      <c r="X5" s="246"/>
      <c r="Y5" s="246"/>
      <c r="Z5" s="246"/>
      <c r="AA5" s="246"/>
      <c r="AB5" s="246"/>
      <c r="AC5" s="246"/>
      <c r="AD5" s="246"/>
      <c r="AE5" s="246"/>
      <c r="AF5" s="246"/>
      <c r="AG5" s="246"/>
      <c r="AH5" s="246"/>
    </row>
    <row r="6">
      <c r="A6" s="238" t="s">
        <v>20</v>
      </c>
      <c r="B6" s="239" t="s">
        <v>567</v>
      </c>
      <c r="C6" s="240"/>
      <c r="D6" s="241" t="s">
        <v>19</v>
      </c>
      <c r="E6" s="241" t="s">
        <v>568</v>
      </c>
      <c r="F6" s="242">
        <f t="shared" si="1"/>
        <v>1</v>
      </c>
      <c r="G6" s="243" t="str">
        <f t="shared" si="2"/>
        <v/>
      </c>
      <c r="H6" s="242" t="str">
        <f t="shared" si="3"/>
        <v/>
      </c>
      <c r="I6" s="243" t="str">
        <f t="shared" si="4"/>
        <v/>
      </c>
      <c r="J6" s="244">
        <f>if(OR($E6="",$D6=""),"",sumifs(All_Stats!F:F,All_Stats!D:D,D6,All_Stats!A:A,E6,All_Stats!B:B,"Overall"))</f>
        <v>0</v>
      </c>
      <c r="K6" s="252">
        <v>45313.0</v>
      </c>
      <c r="L6" s="246">
        <f>if(OR($E6="",$D6=""),"",sumifs(All_Stats!G:G,All_Stats!D:D,D6,All_Stats!A:A,E6,All_Stats!B:B,"Overall"))</f>
        <v>0</v>
      </c>
      <c r="M6" s="246">
        <f>if(OR($E6="",$D6=""),"",sumifs(All_Stats!H:H,All_Stats!D:D,D6,All_Stats!A:A,E6,All_Stats!B:B,"Overall"))</f>
        <v>0</v>
      </c>
      <c r="N6" s="246">
        <f t="shared" si="5"/>
        <v>0</v>
      </c>
      <c r="O6" s="253">
        <v>45461.0</v>
      </c>
      <c r="P6" s="248"/>
      <c r="Q6" s="249" t="s">
        <v>18</v>
      </c>
      <c r="R6" s="250"/>
      <c r="S6" s="246">
        <f>SUMIFS(All_Stats!K:K,All_Stats!D:D,D6,All_Stats!A:A,E6,All_Stats!B:B,"Overall")</f>
        <v>0</v>
      </c>
      <c r="T6" s="251">
        <f>SUMIFS(All_Stats!L:L,All_Stats!D:D,D6,All_Stats!A:A,E6,All_Stats!B:B,"Overall")</f>
        <v>0</v>
      </c>
      <c r="U6" s="246"/>
      <c r="V6" s="246"/>
      <c r="W6" s="246"/>
      <c r="X6" s="246"/>
      <c r="Y6" s="246"/>
      <c r="Z6" s="246"/>
      <c r="AA6" s="246"/>
      <c r="AB6" s="246"/>
      <c r="AC6" s="246"/>
      <c r="AD6" s="246"/>
      <c r="AE6" s="246"/>
      <c r="AF6" s="246"/>
      <c r="AG6" s="246"/>
      <c r="AH6" s="246"/>
    </row>
    <row r="7">
      <c r="A7" s="238" t="s">
        <v>20</v>
      </c>
      <c r="B7" s="239" t="s">
        <v>569</v>
      </c>
      <c r="C7" s="240"/>
      <c r="D7" s="241" t="s">
        <v>19</v>
      </c>
      <c r="E7" s="241" t="s">
        <v>570</v>
      </c>
      <c r="F7" s="242">
        <f t="shared" si="1"/>
        <v>1</v>
      </c>
      <c r="G7" s="243" t="str">
        <f t="shared" si="2"/>
        <v/>
      </c>
      <c r="H7" s="242" t="str">
        <f t="shared" si="3"/>
        <v/>
      </c>
      <c r="I7" s="243" t="str">
        <f t="shared" si="4"/>
        <v/>
      </c>
      <c r="J7" s="244">
        <f>if(OR($E7="",$D7=""),"",sumifs(All_Stats!F:F,All_Stats!D:D,D7,All_Stats!A:A,E7,All_Stats!B:B,"Overall"))</f>
        <v>0</v>
      </c>
      <c r="K7" s="252">
        <v>45268.0</v>
      </c>
      <c r="L7" s="246">
        <f>if(OR($E7="",$D7=""),"",sumifs(All_Stats!G:G,All_Stats!D:D,D7,All_Stats!A:A,E7,All_Stats!B:B,"Overall"))</f>
        <v>0</v>
      </c>
      <c r="M7" s="246">
        <f>if(OR($E7="",$D7=""),"",sumifs(All_Stats!H:H,All_Stats!D:D,D7,All_Stats!A:A,E7,All_Stats!B:B,"Overall"))</f>
        <v>0</v>
      </c>
      <c r="N7" s="246">
        <f t="shared" si="5"/>
        <v>0</v>
      </c>
      <c r="O7" s="253">
        <v>45379.0</v>
      </c>
      <c r="P7" s="248"/>
      <c r="Q7" s="249" t="s">
        <v>113</v>
      </c>
      <c r="R7" s="250"/>
      <c r="S7" s="246">
        <f>SUMIFS(All_Stats!K:K,All_Stats!D:D,D7,All_Stats!A:A,E7,All_Stats!B:B,"Overall")</f>
        <v>0</v>
      </c>
      <c r="T7" s="251">
        <f>SUMIFS(All_Stats!L:L,All_Stats!D:D,D7,All_Stats!A:A,E7,All_Stats!B:B,"Overall")</f>
        <v>0</v>
      </c>
      <c r="U7" s="246" t="str">
        <f>if(OR($E7="",$D7="",COUNTIFS(DailyDelivery!$A:$A,$E7,DailyDelivery!$B:$B,$D7,DailyDelivery!$C:$C,U$1)=0),"",COUNTIFS(DailyDelivery!$A:$A,$E7,DailyDelivery!$B:$B,$D7,DailyDelivery!$C:$C,U$1))</f>
        <v/>
      </c>
      <c r="V7" s="246" t="str">
        <f>if(OR($E7="",$D7="",COUNTIFS(DailyDelivery!$A:$A,$E7,DailyDelivery!$B:$B,$D7,DailyDelivery!$C:$C,V$1)=0),"",COUNTIFS(DailyDelivery!$A:$A,$E7,DailyDelivery!$B:$B,$D7,DailyDelivery!$C:$C,V$1))</f>
        <v/>
      </c>
      <c r="W7" s="246" t="str">
        <f>if(OR($E7="",$D7="",COUNTIFS(DailyDelivery!$A:$A,$E7,DailyDelivery!$B:$B,$D7,DailyDelivery!$C:$C,W$1)=0),"",COUNTIFS(DailyDelivery!$A:$A,$E7,DailyDelivery!$B:$B,$D7,DailyDelivery!$C:$C,W$1))</f>
        <v/>
      </c>
      <c r="X7" s="246" t="str">
        <f>if(OR($E7="",$D7="",COUNTIFS(DailyDelivery!$A:$A,$E7,DailyDelivery!$B:$B,$D7,DailyDelivery!$C:$C,X$1)=0),"",COUNTIFS(DailyDelivery!$A:$A,$E7,DailyDelivery!$B:$B,$D7,DailyDelivery!$C:$C,X$1))</f>
        <v/>
      </c>
      <c r="Y7" s="246" t="str">
        <f>if(OR($E7="",$D7="",COUNTIFS(DailyDelivery!$A:$A,$E7,DailyDelivery!$B:$B,$D7,DailyDelivery!$C:$C,Y$1)=0),"",COUNTIFS(DailyDelivery!$A:$A,$E7,DailyDelivery!$B:$B,$D7,DailyDelivery!$C:$C,Y$1))</f>
        <v/>
      </c>
      <c r="Z7" s="246" t="str">
        <f>if(OR($E7="",$D7="",COUNTIFS(DailyDelivery!$A:$A,$E7,DailyDelivery!$B:$B,$D7,DailyDelivery!$C:$C,Z$1)=0),"",COUNTIFS(DailyDelivery!$A:$A,$E7,DailyDelivery!$B:$B,$D7,DailyDelivery!$C:$C,Z$1))</f>
        <v/>
      </c>
      <c r="AA7" s="246" t="str">
        <f>if(OR($E7="",$D7="",COUNTIFS(DailyDelivery!$A:$A,$E7,DailyDelivery!$B:$B,$D7,DailyDelivery!$C:$C,AA$1)=0),"",COUNTIFS(DailyDelivery!$A:$A,$E7,DailyDelivery!$B:$B,$D7,DailyDelivery!$C:$C,AA$1))</f>
        <v/>
      </c>
      <c r="AB7" s="246" t="str">
        <f>if(OR($E7="",$D7="",COUNTIFS(DailyDelivery!$A:$A,$E7,DailyDelivery!$B:$B,$D7,DailyDelivery!$C:$C,AB$1)=0),"",COUNTIFS(DailyDelivery!$A:$A,$E7,DailyDelivery!$B:$B,$D7,DailyDelivery!$C:$C,AB$1))</f>
        <v/>
      </c>
      <c r="AC7" s="246" t="str">
        <f>if(OR($E7="",$D7="",COUNTIFS(DailyDelivery!$A:$A,$E7,DailyDelivery!$B:$B,$D7,DailyDelivery!$C:$C,AC$1)=0),"",COUNTIFS(DailyDelivery!$A:$A,$E7,DailyDelivery!$B:$B,$D7,DailyDelivery!$C:$C,AC$1))</f>
        <v/>
      </c>
      <c r="AD7" s="246" t="str">
        <f>if(OR($E7="",$D7="",COUNTIFS(DailyDelivery!$A:$A,$E7,DailyDelivery!$B:$B,$D7,DailyDelivery!$C:$C,AD$1)=0),"",COUNTIFS(DailyDelivery!$A:$A,$E7,DailyDelivery!$B:$B,$D7,DailyDelivery!$C:$C,AD$1))</f>
        <v/>
      </c>
      <c r="AE7" s="246" t="str">
        <f>if(OR($E7="",$D7="",COUNTIFS(DailyDelivery!$A:$A,$E7,DailyDelivery!$B:$B,$D7,DailyDelivery!$C:$C,AE$1)=0),"",COUNTIFS(DailyDelivery!$A:$A,$E7,DailyDelivery!$B:$B,$D7,DailyDelivery!$C:$C,AE$1))</f>
        <v/>
      </c>
      <c r="AF7" s="246" t="str">
        <f>if(OR($E7="",$D7="",COUNTIFS(DailyDelivery!$A:$A,$E7,DailyDelivery!$B:$B,$D7,DailyDelivery!$C:$C,AF$1)=0),"",COUNTIFS(DailyDelivery!$A:$A,$E7,DailyDelivery!$B:$B,$D7,DailyDelivery!$C:$C,AF$1))</f>
        <v/>
      </c>
      <c r="AG7" s="246" t="str">
        <f>if(OR($E7="",$D7="",COUNTIFS(DailyDelivery!$A:$A,$E7,DailyDelivery!$B:$B,$D7,DailyDelivery!$C:$C,AG$1)=0),"",COUNTIFS(DailyDelivery!$A:$A,$E7,DailyDelivery!$B:$B,$D7,DailyDelivery!$C:$C,AG$1))</f>
        <v/>
      </c>
      <c r="AH7" s="246" t="str">
        <f>if(OR($E7="",$D7="",COUNTIFS(DailyDelivery!$A:$A,$E7,DailyDelivery!$B:$B,$D7,DailyDelivery!$C:$C,AH$1)=0),"",COUNTIFS(DailyDelivery!$A:$A,$E7,DailyDelivery!$B:$B,$D7,DailyDelivery!$C:$C,AH$1))</f>
        <v/>
      </c>
    </row>
    <row r="8">
      <c r="A8" s="238" t="s">
        <v>20</v>
      </c>
      <c r="B8" s="239" t="s">
        <v>571</v>
      </c>
      <c r="C8" s="240"/>
      <c r="D8" s="241" t="s">
        <v>19</v>
      </c>
      <c r="E8" s="241" t="s">
        <v>572</v>
      </c>
      <c r="F8" s="242">
        <f t="shared" si="1"/>
        <v>1</v>
      </c>
      <c r="G8" s="243" t="str">
        <f t="shared" si="2"/>
        <v/>
      </c>
      <c r="H8" s="242" t="str">
        <f t="shared" si="3"/>
        <v/>
      </c>
      <c r="I8" s="243" t="str">
        <f t="shared" si="4"/>
        <v/>
      </c>
      <c r="J8" s="244">
        <f>if(OR($E8="",$D8=""),"",sumifs(All_Stats!F:F,All_Stats!D:D,D8,All_Stats!A:A,E8,All_Stats!B:B,"Overall"))</f>
        <v>0</v>
      </c>
      <c r="K8" s="252">
        <v>45154.0</v>
      </c>
      <c r="L8" s="246">
        <f>if(OR($E8="",$D8=""),"",sumifs(All_Stats!G:G,All_Stats!D:D,D8,All_Stats!A:A,E8,All_Stats!B:B,"Overall"))</f>
        <v>0</v>
      </c>
      <c r="M8" s="246">
        <f>if(OR($E8="",$D8=""),"",sumifs(All_Stats!H:H,All_Stats!D:D,D8,All_Stats!A:A,E8,All_Stats!B:B,"Overall"))</f>
        <v>0</v>
      </c>
      <c r="N8" s="246">
        <f t="shared" si="5"/>
        <v>0</v>
      </c>
      <c r="O8" s="253">
        <v>45379.0</v>
      </c>
      <c r="P8" s="254" t="s">
        <v>573</v>
      </c>
      <c r="Q8" s="249" t="s">
        <v>113</v>
      </c>
      <c r="R8" s="250"/>
      <c r="S8" s="246">
        <f>SUMIFS(All_Stats!K:K,All_Stats!D:D,D8,All_Stats!A:A,E8,All_Stats!B:B,"Overall")</f>
        <v>0</v>
      </c>
      <c r="T8" s="251">
        <f>SUMIFS(All_Stats!L:L,All_Stats!D:D,D8,All_Stats!A:A,E8,All_Stats!B:B,"Overall")</f>
        <v>0</v>
      </c>
      <c r="U8" s="246" t="str">
        <f>if(OR($E8="",$D8="",COUNTIFS(DailyDelivery!$A:$A,$E8,DailyDelivery!$B:$B,$D8,DailyDelivery!$C:$C,U$1)=0),"",COUNTIFS(DailyDelivery!$A:$A,$E8,DailyDelivery!$B:$B,$D8,DailyDelivery!$C:$C,U$1))</f>
        <v/>
      </c>
      <c r="V8" s="246" t="str">
        <f>if(OR($E8="",$D8="",COUNTIFS(DailyDelivery!$A:$A,$E8,DailyDelivery!$B:$B,$D8,DailyDelivery!$C:$C,V$1)=0),"",COUNTIFS(DailyDelivery!$A:$A,$E8,DailyDelivery!$B:$B,$D8,DailyDelivery!$C:$C,V$1))</f>
        <v/>
      </c>
      <c r="W8" s="246" t="str">
        <f>if(OR($E8="",$D8="",COUNTIFS(DailyDelivery!$A:$A,$E8,DailyDelivery!$B:$B,$D8,DailyDelivery!$C:$C,W$1)=0),"",COUNTIFS(DailyDelivery!$A:$A,$E8,DailyDelivery!$B:$B,$D8,DailyDelivery!$C:$C,W$1))</f>
        <v/>
      </c>
      <c r="X8" s="246" t="str">
        <f>if(OR($E8="",$D8="",COUNTIFS(DailyDelivery!$A:$A,$E8,DailyDelivery!$B:$B,$D8,DailyDelivery!$C:$C,X$1)=0),"",COUNTIFS(DailyDelivery!$A:$A,$E8,DailyDelivery!$B:$B,$D8,DailyDelivery!$C:$C,X$1))</f>
        <v/>
      </c>
      <c r="Y8" s="246" t="str">
        <f>if(OR($E8="",$D8="",COUNTIFS(DailyDelivery!$A:$A,$E8,DailyDelivery!$B:$B,$D8,DailyDelivery!$C:$C,Y$1)=0),"",COUNTIFS(DailyDelivery!$A:$A,$E8,DailyDelivery!$B:$B,$D8,DailyDelivery!$C:$C,Y$1))</f>
        <v/>
      </c>
      <c r="Z8" s="246" t="str">
        <f>if(OR($E8="",$D8="",COUNTIFS(DailyDelivery!$A:$A,$E8,DailyDelivery!$B:$B,$D8,DailyDelivery!$C:$C,Z$1)=0),"",COUNTIFS(DailyDelivery!$A:$A,$E8,DailyDelivery!$B:$B,$D8,DailyDelivery!$C:$C,Z$1))</f>
        <v/>
      </c>
      <c r="AA8" s="246" t="str">
        <f>if(OR($E8="",$D8="",COUNTIFS(DailyDelivery!$A:$A,$E8,DailyDelivery!$B:$B,$D8,DailyDelivery!$C:$C,AA$1)=0),"",COUNTIFS(DailyDelivery!$A:$A,$E8,DailyDelivery!$B:$B,$D8,DailyDelivery!$C:$C,AA$1))</f>
        <v/>
      </c>
      <c r="AB8" s="246" t="str">
        <f>if(OR($E8="",$D8="",COUNTIFS(DailyDelivery!$A:$A,$E8,DailyDelivery!$B:$B,$D8,DailyDelivery!$C:$C,AB$1)=0),"",COUNTIFS(DailyDelivery!$A:$A,$E8,DailyDelivery!$B:$B,$D8,DailyDelivery!$C:$C,AB$1))</f>
        <v/>
      </c>
      <c r="AC8" s="246" t="str">
        <f>if(OR($E8="",$D8="",COUNTIFS(DailyDelivery!$A:$A,$E8,DailyDelivery!$B:$B,$D8,DailyDelivery!$C:$C,AC$1)=0),"",COUNTIFS(DailyDelivery!$A:$A,$E8,DailyDelivery!$B:$B,$D8,DailyDelivery!$C:$C,AC$1))</f>
        <v/>
      </c>
      <c r="AD8" s="246" t="str">
        <f>if(OR($E8="",$D8="",COUNTIFS(DailyDelivery!$A:$A,$E8,DailyDelivery!$B:$B,$D8,DailyDelivery!$C:$C,AD$1)=0),"",COUNTIFS(DailyDelivery!$A:$A,$E8,DailyDelivery!$B:$B,$D8,DailyDelivery!$C:$C,AD$1))</f>
        <v/>
      </c>
      <c r="AE8" s="246" t="str">
        <f>if(OR($E8="",$D8="",COUNTIFS(DailyDelivery!$A:$A,$E8,DailyDelivery!$B:$B,$D8,DailyDelivery!$C:$C,AE$1)=0),"",COUNTIFS(DailyDelivery!$A:$A,$E8,DailyDelivery!$B:$B,$D8,DailyDelivery!$C:$C,AE$1))</f>
        <v/>
      </c>
      <c r="AF8" s="246" t="str">
        <f>if(OR($E8="",$D8="",COUNTIFS(DailyDelivery!$A:$A,$E8,DailyDelivery!$B:$B,$D8,DailyDelivery!$C:$C,AF$1)=0),"",COUNTIFS(DailyDelivery!$A:$A,$E8,DailyDelivery!$B:$B,$D8,DailyDelivery!$C:$C,AF$1))</f>
        <v/>
      </c>
      <c r="AG8" s="246" t="str">
        <f>if(OR($E8="",$D8="",COUNTIFS(DailyDelivery!$A:$A,$E8,DailyDelivery!$B:$B,$D8,DailyDelivery!$C:$C,AG$1)=0),"",COUNTIFS(DailyDelivery!$A:$A,$E8,DailyDelivery!$B:$B,$D8,DailyDelivery!$C:$C,AG$1))</f>
        <v/>
      </c>
      <c r="AH8" s="246" t="str">
        <f>if(OR($E8="",$D8="",COUNTIFS(DailyDelivery!$A:$A,$E8,DailyDelivery!$B:$B,$D8,DailyDelivery!$C:$C,AH$1)=0),"",COUNTIFS(DailyDelivery!$A:$A,$E8,DailyDelivery!$B:$B,$D8,DailyDelivery!$C:$C,AH$1))</f>
        <v/>
      </c>
    </row>
    <row r="9">
      <c r="A9" s="238" t="s">
        <v>20</v>
      </c>
      <c r="B9" s="239" t="s">
        <v>574</v>
      </c>
      <c r="C9" s="240"/>
      <c r="D9" s="241" t="s">
        <v>19</v>
      </c>
      <c r="E9" s="255" t="s">
        <v>575</v>
      </c>
      <c r="F9" s="242" t="str">
        <f t="shared" si="1"/>
        <v/>
      </c>
      <c r="G9" s="243" t="str">
        <f t="shared" si="2"/>
        <v/>
      </c>
      <c r="H9" s="242" t="str">
        <f t="shared" si="3"/>
        <v/>
      </c>
      <c r="I9" s="243" t="str">
        <f t="shared" si="4"/>
        <v/>
      </c>
      <c r="J9" s="244">
        <f>if(OR($E9="",$D9=""),"",sumifs(All_Stats!F:F,All_Stats!D:D,D9,All_Stats!A:A,E9,All_Stats!B:B,"Overall"))</f>
        <v>0</v>
      </c>
      <c r="K9" s="252"/>
      <c r="L9" s="246">
        <f>if(OR($E9="",$D9=""),"",sumifs(All_Stats!G:G,All_Stats!D:D,D9,All_Stats!A:A,E9,All_Stats!B:B,"Overall"))</f>
        <v>0</v>
      </c>
      <c r="M9" s="246">
        <f>if(OR($E9="",$D9=""),"",sumifs(All_Stats!H:H,All_Stats!D:D,D9,All_Stats!A:A,E9,All_Stats!B:B,"Overall"))</f>
        <v>0</v>
      </c>
      <c r="N9" s="246">
        <f t="shared" si="5"/>
        <v>0</v>
      </c>
      <c r="O9" s="253"/>
      <c r="P9" s="254"/>
      <c r="Q9" s="249" t="s">
        <v>135</v>
      </c>
      <c r="R9" s="250"/>
      <c r="S9" s="246">
        <f>SUMIFS(All_Stats!K:K,All_Stats!D:D,D9,All_Stats!A:A,E9,All_Stats!B:B,"Overall")</f>
        <v>0</v>
      </c>
      <c r="T9" s="251">
        <f>SUMIFS(All_Stats!L:L,All_Stats!D:D,D9,All_Stats!A:A,E9,All_Stats!B:B,"Overall")</f>
        <v>0</v>
      </c>
      <c r="U9" s="246"/>
      <c r="V9" s="246"/>
      <c r="W9" s="246"/>
      <c r="X9" s="246"/>
      <c r="Y9" s="246"/>
      <c r="Z9" s="246"/>
      <c r="AA9" s="246"/>
      <c r="AB9" s="246"/>
      <c r="AC9" s="246"/>
      <c r="AD9" s="246"/>
      <c r="AE9" s="246"/>
      <c r="AF9" s="246"/>
      <c r="AG9" s="246"/>
      <c r="AH9" s="246"/>
    </row>
    <row r="10">
      <c r="A10" s="238" t="s">
        <v>20</v>
      </c>
      <c r="B10" s="239" t="s">
        <v>576</v>
      </c>
      <c r="C10" s="240"/>
      <c r="D10" s="241" t="s">
        <v>19</v>
      </c>
      <c r="E10" s="255" t="s">
        <v>577</v>
      </c>
      <c r="F10" s="242" t="str">
        <f t="shared" si="1"/>
        <v/>
      </c>
      <c r="G10" s="243" t="str">
        <f t="shared" si="2"/>
        <v/>
      </c>
      <c r="H10" s="242" t="str">
        <f t="shared" si="3"/>
        <v/>
      </c>
      <c r="I10" s="243" t="str">
        <f t="shared" si="4"/>
        <v/>
      </c>
      <c r="J10" s="244">
        <f>if(OR($E10="",$D10=""),"",sumifs(All_Stats!F:F,All_Stats!D:D,D10,All_Stats!A:A,E10,All_Stats!B:B,"Overall"))</f>
        <v>0</v>
      </c>
      <c r="K10" s="252"/>
      <c r="L10" s="246">
        <f>if(OR($E10="",$D10=""),"",sumifs(All_Stats!G:G,All_Stats!D:D,D10,All_Stats!A:A,E10,All_Stats!B:B,"Overall"))</f>
        <v>0</v>
      </c>
      <c r="M10" s="246">
        <f>if(OR($E10="",$D10=""),"",sumifs(All_Stats!H:H,All_Stats!D:D,D10,All_Stats!A:A,E10,All_Stats!B:B,"Overall"))</f>
        <v>0</v>
      </c>
      <c r="N10" s="246">
        <f t="shared" si="5"/>
        <v>0</v>
      </c>
      <c r="O10" s="253"/>
      <c r="P10" s="254"/>
      <c r="Q10" s="249" t="s">
        <v>135</v>
      </c>
      <c r="R10" s="250"/>
      <c r="S10" s="246">
        <f>SUMIFS(All_Stats!K:K,All_Stats!D:D,D10,All_Stats!A:A,E10,All_Stats!B:B,"Overall")</f>
        <v>0</v>
      </c>
      <c r="T10" s="251">
        <f>SUMIFS(All_Stats!L:L,All_Stats!D:D,D10,All_Stats!A:A,E10,All_Stats!B:B,"Overall")</f>
        <v>0</v>
      </c>
      <c r="U10" s="246"/>
      <c r="V10" s="246"/>
      <c r="W10" s="246"/>
      <c r="X10" s="246"/>
      <c r="Y10" s="246"/>
      <c r="Z10" s="246"/>
      <c r="AA10" s="246"/>
      <c r="AB10" s="246"/>
      <c r="AC10" s="246"/>
      <c r="AD10" s="246"/>
      <c r="AE10" s="246"/>
      <c r="AF10" s="246"/>
      <c r="AG10" s="246"/>
      <c r="AH10" s="246"/>
    </row>
    <row r="11">
      <c r="A11" s="256" t="s">
        <v>20</v>
      </c>
      <c r="B11" s="239" t="s">
        <v>578</v>
      </c>
      <c r="C11" s="257"/>
      <c r="D11" s="258" t="s">
        <v>19</v>
      </c>
      <c r="E11" s="258" t="s">
        <v>579</v>
      </c>
      <c r="F11" s="259" t="str">
        <f t="shared" si="1"/>
        <v/>
      </c>
      <c r="G11" s="260" t="str">
        <f t="shared" si="2"/>
        <v/>
      </c>
      <c r="H11" s="259" t="str">
        <f t="shared" si="3"/>
        <v/>
      </c>
      <c r="I11" s="260" t="str">
        <f t="shared" si="4"/>
        <v/>
      </c>
      <c r="J11" s="261">
        <f>if(OR($E11="",$D11=""),"",sumifs(All_Stats!F:F,All_Stats!D:D,D11,All_Stats!A:A,E11,All_Stats!B:B,"Overall"))</f>
        <v>0</v>
      </c>
      <c r="K11" s="262"/>
      <c r="L11" s="263">
        <f>if(OR($E11="",$D11=""),"",sumifs(All_Stats!G:G,All_Stats!D:D,D11,All_Stats!A:A,E11,All_Stats!B:B,"Overall"))</f>
        <v>0</v>
      </c>
      <c r="M11" s="263">
        <f>if(OR($E11="",$D11=""),"",sumifs(All_Stats!H:H,All_Stats!D:D,D11,All_Stats!A:A,E11,All_Stats!B:B,"Overall"))</f>
        <v>0</v>
      </c>
      <c r="N11" s="263">
        <f t="shared" si="5"/>
        <v>0</v>
      </c>
      <c r="O11" s="264"/>
      <c r="P11" s="265"/>
      <c r="Q11" s="266" t="s">
        <v>135</v>
      </c>
      <c r="R11" s="267"/>
      <c r="S11" s="263">
        <f>SUMIFS(All_Stats!K:K,All_Stats!D:D,D11,All_Stats!A:A,E11,All_Stats!B:B,"Overall")</f>
        <v>0</v>
      </c>
      <c r="T11" s="268">
        <f>SUMIFS(All_Stats!L:L,All_Stats!D:D,D11,All_Stats!A:A,E11,All_Stats!B:B,"Overall")</f>
        <v>0</v>
      </c>
      <c r="U11" s="263"/>
      <c r="V11" s="263"/>
      <c r="W11" s="263"/>
      <c r="X11" s="263"/>
      <c r="Y11" s="263"/>
      <c r="Z11" s="263"/>
      <c r="AA11" s="263"/>
      <c r="AB11" s="263"/>
      <c r="AC11" s="263"/>
      <c r="AD11" s="263"/>
      <c r="AE11" s="263"/>
      <c r="AF11" s="263"/>
      <c r="AG11" s="263"/>
      <c r="AH11" s="263"/>
    </row>
    <row r="12">
      <c r="A12" s="269" t="s">
        <v>580</v>
      </c>
      <c r="B12" s="32"/>
      <c r="C12" s="32"/>
      <c r="D12" s="32"/>
      <c r="E12" s="32"/>
      <c r="F12" s="32"/>
      <c r="G12" s="32"/>
      <c r="H12" s="32"/>
      <c r="I12" s="32"/>
      <c r="J12" s="32"/>
      <c r="K12" s="32"/>
      <c r="L12" s="32"/>
      <c r="M12" s="32"/>
      <c r="N12" s="32"/>
      <c r="O12" s="32"/>
      <c r="P12" s="32"/>
      <c r="Q12" s="32"/>
      <c r="R12" s="32"/>
      <c r="S12" s="32"/>
      <c r="T12" s="32"/>
      <c r="U12" s="32"/>
      <c r="V12" s="32"/>
      <c r="W12" s="32"/>
      <c r="X12" s="32"/>
      <c r="Y12" s="32"/>
      <c r="Z12" s="33"/>
      <c r="AA12" s="246"/>
      <c r="AB12" s="246"/>
      <c r="AC12" s="246"/>
      <c r="AD12" s="246"/>
      <c r="AE12" s="246"/>
      <c r="AF12" s="246"/>
      <c r="AG12" s="246"/>
      <c r="AH12" s="246"/>
    </row>
    <row r="13">
      <c r="A13" s="238">
        <v>4.0</v>
      </c>
      <c r="B13" s="239" t="s">
        <v>581</v>
      </c>
      <c r="C13" s="240"/>
      <c r="D13" s="241" t="s">
        <v>19</v>
      </c>
      <c r="E13" s="241" t="s">
        <v>582</v>
      </c>
      <c r="F13" s="242">
        <f t="shared" ref="F13:F129" si="6">iferror(
if(K13="","",
if(DATEDIF(K13,Today(),"D")/DATEDIF(K13,O13,"D")&gt;1,1,
DATEDIF(K13,Today(),"D")/DATEDIF(K13,O13,"D"))),O13)</f>
        <v>1</v>
      </c>
      <c r="G13" s="243" t="str">
        <f t="shared" ref="G13:G129" si="7">iferror(M13/J13,"")</f>
        <v/>
      </c>
      <c r="H13" s="242" t="str">
        <f t="shared" ref="H13:H129" si="8">IF(G13="","",1-G13)</f>
        <v/>
      </c>
      <c r="I13" s="243" t="str">
        <f t="shared" ref="I13:I129" si="9">iferror(L13/J13,"")</f>
        <v/>
      </c>
      <c r="J13" s="244">
        <f>if(OR($E13="",$D13=""),"",sumifs(All_Stats!F:F,All_Stats!D:D,D13,All_Stats!A:A,E13,All_Stats!B:B,"Overall"))</f>
        <v>0</v>
      </c>
      <c r="K13" s="252">
        <v>45341.0</v>
      </c>
      <c r="L13" s="246">
        <f>if(OR($E13="",$D13=""),"",sumifs(All_Stats!G:G,All_Stats!D:D,D13,All_Stats!A:A,E13,All_Stats!B:B,"Overall"))</f>
        <v>0</v>
      </c>
      <c r="M13" s="246">
        <f>if(OR($E13="",$D13=""),"",sumifs(All_Stats!H:H,All_Stats!D:D,D13,All_Stats!A:A,E13,All_Stats!B:B,"Overall"))</f>
        <v>0</v>
      </c>
      <c r="N13" s="246">
        <f t="shared" ref="N13:N129" si="10">if(D13="","",J13-M13)</f>
        <v>0</v>
      </c>
      <c r="O13" s="253">
        <v>45362.0</v>
      </c>
      <c r="P13" s="270"/>
      <c r="Q13" s="249" t="s">
        <v>18</v>
      </c>
      <c r="R13" s="250"/>
      <c r="S13" s="246">
        <f>SUMIFS(All_Stats!K:K,All_Stats!D:D,D13,All_Stats!A:A,E13,All_Stats!B:B,"Overall")</f>
        <v>0</v>
      </c>
      <c r="T13" s="251">
        <f>SUMIFS(All_Stats!L:L,All_Stats!D:D,D13,All_Stats!A:A,E13,All_Stats!B:B,"Overall")</f>
        <v>0</v>
      </c>
      <c r="U13" s="246"/>
      <c r="V13" s="246"/>
      <c r="W13" s="246"/>
      <c r="X13" s="246"/>
      <c r="Y13" s="246"/>
      <c r="Z13" s="246"/>
      <c r="AA13" s="246"/>
      <c r="AB13" s="246"/>
      <c r="AC13" s="246"/>
      <c r="AD13" s="246"/>
      <c r="AE13" s="246"/>
      <c r="AF13" s="246"/>
      <c r="AG13" s="246"/>
      <c r="AH13" s="246"/>
    </row>
    <row r="14">
      <c r="A14" s="238">
        <v>1.0</v>
      </c>
      <c r="B14" s="239" t="s">
        <v>581</v>
      </c>
      <c r="C14" s="240"/>
      <c r="D14" s="241" t="s">
        <v>19</v>
      </c>
      <c r="E14" s="241" t="s">
        <v>583</v>
      </c>
      <c r="F14" s="242">
        <f t="shared" si="6"/>
        <v>1</v>
      </c>
      <c r="G14" s="243" t="str">
        <f t="shared" si="7"/>
        <v/>
      </c>
      <c r="H14" s="242" t="str">
        <f t="shared" si="8"/>
        <v/>
      </c>
      <c r="I14" s="243" t="str">
        <f t="shared" si="9"/>
        <v/>
      </c>
      <c r="J14" s="244">
        <f>if(OR($E14="",$D14=""),"",sumifs(All_Stats!F:F,All_Stats!D:D,D14,All_Stats!A:A,E14,All_Stats!B:B,"Overall"))</f>
        <v>0</v>
      </c>
      <c r="K14" s="252">
        <v>45345.0</v>
      </c>
      <c r="L14" s="246">
        <f>if(OR($E14="",$D14=""),"",sumifs(All_Stats!G:G,All_Stats!D:D,D14,All_Stats!A:A,E14,All_Stats!B:B,"Overall"))</f>
        <v>0</v>
      </c>
      <c r="M14" s="246">
        <f>if(OR($E14="",$D14=""),"",sumifs(All_Stats!H:H,All_Stats!D:D,D14,All_Stats!A:A,E14,All_Stats!B:B,"Overall"))</f>
        <v>0</v>
      </c>
      <c r="N14" s="246">
        <f t="shared" si="10"/>
        <v>0</v>
      </c>
      <c r="O14" s="253">
        <v>45362.0</v>
      </c>
      <c r="P14" s="271"/>
      <c r="Q14" s="249" t="s">
        <v>18</v>
      </c>
      <c r="R14" s="250"/>
      <c r="S14" s="246">
        <f>SUMIFS(All_Stats!K:K,All_Stats!D:D,D14,All_Stats!A:A,E14,All_Stats!B:B,"Overall")</f>
        <v>0</v>
      </c>
      <c r="T14" s="251">
        <f>SUMIFS(All_Stats!L:L,All_Stats!D:D,D14,All_Stats!A:A,E14,All_Stats!B:B,"Overall")</f>
        <v>0</v>
      </c>
      <c r="U14" s="246"/>
      <c r="V14" s="246"/>
      <c r="W14" s="246"/>
      <c r="X14" s="246"/>
      <c r="Y14" s="246"/>
      <c r="Z14" s="246"/>
      <c r="AA14" s="246"/>
      <c r="AB14" s="246"/>
      <c r="AC14" s="246"/>
      <c r="AD14" s="246"/>
      <c r="AE14" s="246"/>
      <c r="AF14" s="246"/>
      <c r="AG14" s="246"/>
      <c r="AH14" s="246"/>
    </row>
    <row r="15">
      <c r="A15" s="238">
        <v>2.0</v>
      </c>
      <c r="B15" s="239" t="s">
        <v>581</v>
      </c>
      <c r="C15" s="240"/>
      <c r="D15" s="241" t="s">
        <v>19</v>
      </c>
      <c r="E15" s="241" t="s">
        <v>584</v>
      </c>
      <c r="F15" s="242">
        <f t="shared" si="6"/>
        <v>1</v>
      </c>
      <c r="G15" s="243" t="str">
        <f t="shared" si="7"/>
        <v/>
      </c>
      <c r="H15" s="242" t="str">
        <f t="shared" si="8"/>
        <v/>
      </c>
      <c r="I15" s="243" t="str">
        <f t="shared" si="9"/>
        <v/>
      </c>
      <c r="J15" s="244">
        <f>if(OR($E15="",$D15=""),"",sumifs(All_Stats!F:F,All_Stats!D:D,D15,All_Stats!A:A,E15,All_Stats!B:B,"Overall"))</f>
        <v>0</v>
      </c>
      <c r="K15" s="252">
        <v>45331.0</v>
      </c>
      <c r="L15" s="246">
        <f>if(OR($E15="",$D15=""),"",sumifs(All_Stats!G:G,All_Stats!D:D,D15,All_Stats!A:A,E15,All_Stats!B:B,"Overall"))</f>
        <v>0</v>
      </c>
      <c r="M15" s="246">
        <f>if(OR($E15="",$D15=""),"",sumifs(All_Stats!H:H,All_Stats!D:D,D15,All_Stats!A:A,E15,All_Stats!B:B,"Overall"))</f>
        <v>0</v>
      </c>
      <c r="N15" s="246">
        <f t="shared" si="10"/>
        <v>0</v>
      </c>
      <c r="O15" s="253">
        <v>45363.0</v>
      </c>
      <c r="P15" s="270"/>
      <c r="Q15" s="249" t="s">
        <v>113</v>
      </c>
      <c r="R15" s="250"/>
      <c r="S15" s="246">
        <f>SUMIFS(All_Stats!K:K,All_Stats!D:D,D15,All_Stats!A:A,E15,All_Stats!B:B,"Overall")</f>
        <v>0</v>
      </c>
      <c r="T15" s="251">
        <f>SUMIFS(All_Stats!L:L,All_Stats!D:D,D15,All_Stats!A:A,E15,All_Stats!B:B,"Overall")</f>
        <v>0</v>
      </c>
      <c r="U15" s="246" t="str">
        <f>if(OR($E15="",$D15="",COUNTIFS(DailyDelivery!$A:$A,$E15,DailyDelivery!$B:$B,$D15,DailyDelivery!$C:$C,U$1)=0),"",COUNTIFS(DailyDelivery!$A:$A,$E15,DailyDelivery!$B:$B,$D15,DailyDelivery!$C:$C,U$1))</f>
        <v/>
      </c>
      <c r="V15" s="246" t="str">
        <f>if(OR($E15="",$D15="",COUNTIFS(DailyDelivery!$A:$A,$E15,DailyDelivery!$B:$B,$D15,DailyDelivery!$C:$C,V$1)=0),"",COUNTIFS(DailyDelivery!$A:$A,$E15,DailyDelivery!$B:$B,$D15,DailyDelivery!$C:$C,V$1))</f>
        <v/>
      </c>
      <c r="W15" s="246" t="str">
        <f>if(OR($E15="",$D15="",COUNTIFS(DailyDelivery!$A:$A,$E15,DailyDelivery!$B:$B,$D15,DailyDelivery!$C:$C,W$1)=0),"",COUNTIFS(DailyDelivery!$A:$A,$E15,DailyDelivery!$B:$B,$D15,DailyDelivery!$C:$C,W$1))</f>
        <v/>
      </c>
      <c r="X15" s="246" t="str">
        <f>if(OR($E15="",$D15="",COUNTIFS(DailyDelivery!$A:$A,$E15,DailyDelivery!$B:$B,$D15,DailyDelivery!$C:$C,X$1)=0),"",COUNTIFS(DailyDelivery!$A:$A,$E15,DailyDelivery!$B:$B,$D15,DailyDelivery!$C:$C,X$1))</f>
        <v/>
      </c>
      <c r="Y15" s="246" t="str">
        <f>if(OR($E15="",$D15="",COUNTIFS(DailyDelivery!$A:$A,$E15,DailyDelivery!$B:$B,$D15,DailyDelivery!$C:$C,Y$1)=0),"",COUNTIFS(DailyDelivery!$A:$A,$E15,DailyDelivery!$B:$B,$D15,DailyDelivery!$C:$C,Y$1))</f>
        <v/>
      </c>
      <c r="Z15" s="246" t="str">
        <f>if(OR($E15="",$D15="",COUNTIFS(DailyDelivery!$A:$A,$E15,DailyDelivery!$B:$B,$D15,DailyDelivery!$C:$C,Z$1)=0),"",COUNTIFS(DailyDelivery!$A:$A,$E15,DailyDelivery!$B:$B,$D15,DailyDelivery!$C:$C,Z$1))</f>
        <v/>
      </c>
      <c r="AA15" s="246" t="str">
        <f>if(OR($E15="",$D15="",COUNTIFS(DailyDelivery!$A:$A,$E15,DailyDelivery!$B:$B,$D15,DailyDelivery!$C:$C,AA$1)=0),"",COUNTIFS(DailyDelivery!$A:$A,$E15,DailyDelivery!$B:$B,$D15,DailyDelivery!$C:$C,AA$1))</f>
        <v/>
      </c>
      <c r="AB15" s="246" t="str">
        <f>if(OR($E15="",$D15="",COUNTIFS(DailyDelivery!$A:$A,$E15,DailyDelivery!$B:$B,$D15,DailyDelivery!$C:$C,AB$1)=0),"",COUNTIFS(DailyDelivery!$A:$A,$E15,DailyDelivery!$B:$B,$D15,DailyDelivery!$C:$C,AB$1))</f>
        <v/>
      </c>
      <c r="AC15" s="246" t="str">
        <f>if(OR($E15="",$D15="",COUNTIFS(DailyDelivery!$A:$A,$E15,DailyDelivery!$B:$B,$D15,DailyDelivery!$C:$C,AC$1)=0),"",COUNTIFS(DailyDelivery!$A:$A,$E15,DailyDelivery!$B:$B,$D15,DailyDelivery!$C:$C,AC$1))</f>
        <v/>
      </c>
      <c r="AD15" s="246" t="str">
        <f>if(OR($E15="",$D15="",COUNTIFS(DailyDelivery!$A:$A,$E15,DailyDelivery!$B:$B,$D15,DailyDelivery!$C:$C,AD$1)=0),"",COUNTIFS(DailyDelivery!$A:$A,$E15,DailyDelivery!$B:$B,$D15,DailyDelivery!$C:$C,AD$1))</f>
        <v/>
      </c>
      <c r="AE15" s="246" t="str">
        <f>if(OR($E15="",$D15="",COUNTIFS(DailyDelivery!$A:$A,$E15,DailyDelivery!$B:$B,$D15,DailyDelivery!$C:$C,AE$1)=0),"",COUNTIFS(DailyDelivery!$A:$A,$E15,DailyDelivery!$B:$B,$D15,DailyDelivery!$C:$C,AE$1))</f>
        <v/>
      </c>
      <c r="AF15" s="246" t="str">
        <f>if(OR($E15="",$D15="",COUNTIFS(DailyDelivery!$A:$A,$E15,DailyDelivery!$B:$B,$D15,DailyDelivery!$C:$C,AF$1)=0),"",COUNTIFS(DailyDelivery!$A:$A,$E15,DailyDelivery!$B:$B,$D15,DailyDelivery!$C:$C,AF$1))</f>
        <v/>
      </c>
      <c r="AG15" s="246" t="str">
        <f>if(OR($E15="",$D15="",COUNTIFS(DailyDelivery!$A:$A,$E15,DailyDelivery!$B:$B,$D15,DailyDelivery!$C:$C,AG$1)=0),"",COUNTIFS(DailyDelivery!$A:$A,$E15,DailyDelivery!$B:$B,$D15,DailyDelivery!$C:$C,AG$1))</f>
        <v/>
      </c>
      <c r="AH15" s="246" t="str">
        <f>if(OR($E15="",$D15="",COUNTIFS(DailyDelivery!$A:$A,$E15,DailyDelivery!$B:$B,$D15,DailyDelivery!$C:$C,AH$1)=0),"",COUNTIFS(DailyDelivery!$A:$A,$E15,DailyDelivery!$B:$B,$D15,DailyDelivery!$C:$C,AH$1))</f>
        <v/>
      </c>
    </row>
    <row r="16">
      <c r="A16" s="238">
        <v>2.0</v>
      </c>
      <c r="B16" s="239" t="s">
        <v>585</v>
      </c>
      <c r="C16" s="240"/>
      <c r="D16" s="241" t="s">
        <v>19</v>
      </c>
      <c r="E16" s="241" t="s">
        <v>586</v>
      </c>
      <c r="F16" s="242">
        <f t="shared" si="6"/>
        <v>1</v>
      </c>
      <c r="G16" s="243" t="str">
        <f t="shared" si="7"/>
        <v/>
      </c>
      <c r="H16" s="242" t="str">
        <f t="shared" si="8"/>
        <v/>
      </c>
      <c r="I16" s="243" t="str">
        <f t="shared" si="9"/>
        <v/>
      </c>
      <c r="J16" s="244">
        <f>if(OR($E16="",$D16=""),"",sumifs(All_Stats!F:F,All_Stats!D:D,D16,All_Stats!A:A,E16,All_Stats!B:B,"Overall"))</f>
        <v>0</v>
      </c>
      <c r="K16" s="252">
        <v>45322.0</v>
      </c>
      <c r="L16" s="246">
        <f>if(OR($E16="",$D16=""),"",sumifs(All_Stats!G:G,All_Stats!D:D,D16,All_Stats!A:A,E16,All_Stats!B:B,"Overall"))</f>
        <v>0</v>
      </c>
      <c r="M16" s="246">
        <f>if(OR($E16="",$D16=""),"",sumifs(All_Stats!H:H,All_Stats!D:D,D16,All_Stats!A:A,E16,All_Stats!B:B,"Overall"))</f>
        <v>0</v>
      </c>
      <c r="N16" s="246">
        <f t="shared" si="10"/>
        <v>0</v>
      </c>
      <c r="O16" s="253">
        <v>45363.0</v>
      </c>
      <c r="P16" s="271"/>
      <c r="Q16" s="249" t="s">
        <v>18</v>
      </c>
      <c r="R16" s="250"/>
      <c r="S16" s="246">
        <f>SUMIFS(All_Stats!K:K,All_Stats!D:D,D16,All_Stats!A:A,E16,All_Stats!B:B,"Overall")</f>
        <v>0</v>
      </c>
      <c r="T16" s="251">
        <f>SUMIFS(All_Stats!L:L,All_Stats!D:D,D16,All_Stats!A:A,E16,All_Stats!B:B,"Overall")</f>
        <v>0</v>
      </c>
      <c r="U16" s="246"/>
      <c r="V16" s="246"/>
      <c r="W16" s="246"/>
      <c r="X16" s="246"/>
      <c r="Y16" s="246"/>
      <c r="Z16" s="246"/>
      <c r="AA16" s="246"/>
      <c r="AB16" s="246"/>
      <c r="AC16" s="246"/>
      <c r="AD16" s="246"/>
      <c r="AE16" s="246"/>
      <c r="AF16" s="246"/>
      <c r="AG16" s="246"/>
      <c r="AH16" s="246"/>
    </row>
    <row r="17">
      <c r="A17" s="238">
        <v>1.0</v>
      </c>
      <c r="B17" s="239" t="s">
        <v>587</v>
      </c>
      <c r="C17" s="240"/>
      <c r="D17" s="241" t="s">
        <v>19</v>
      </c>
      <c r="E17" s="241" t="s">
        <v>588</v>
      </c>
      <c r="F17" s="242">
        <f t="shared" si="6"/>
        <v>1</v>
      </c>
      <c r="G17" s="243" t="str">
        <f t="shared" si="7"/>
        <v/>
      </c>
      <c r="H17" s="242" t="str">
        <f t="shared" si="8"/>
        <v/>
      </c>
      <c r="I17" s="243" t="str">
        <f t="shared" si="9"/>
        <v/>
      </c>
      <c r="J17" s="244">
        <f>if(OR($E17="",$D17=""),"",sumifs(All_Stats!F:F,All_Stats!D:D,D17,All_Stats!A:A,E17,All_Stats!B:B,"Overall"))</f>
        <v>0</v>
      </c>
      <c r="K17" s="252">
        <v>45335.0</v>
      </c>
      <c r="L17" s="246">
        <f>if(OR($E17="",$D17=""),"",sumifs(All_Stats!G:G,All_Stats!D:D,D17,All_Stats!A:A,E17,All_Stats!B:B,"Overall"))</f>
        <v>0</v>
      </c>
      <c r="M17" s="246">
        <f>if(OR($E17="",$D17=""),"",sumifs(All_Stats!H:H,All_Stats!D:D,D17,All_Stats!A:A,E17,All_Stats!B:B,"Overall"))</f>
        <v>0</v>
      </c>
      <c r="N17" s="246">
        <f t="shared" si="10"/>
        <v>0</v>
      </c>
      <c r="O17" s="252">
        <v>45364.0</v>
      </c>
      <c r="P17" s="270"/>
      <c r="Q17" s="249" t="s">
        <v>113</v>
      </c>
      <c r="R17" s="250"/>
      <c r="S17" s="246">
        <f>SUMIFS(All_Stats!K:K,All_Stats!D:D,D17,All_Stats!A:A,E17,All_Stats!B:B,"Overall")</f>
        <v>0</v>
      </c>
      <c r="T17" s="251">
        <f>SUMIFS(All_Stats!L:L,All_Stats!D:D,D17,All_Stats!A:A,E17,All_Stats!B:B,"Overall")</f>
        <v>0</v>
      </c>
      <c r="U17" s="246"/>
      <c r="V17" s="246"/>
      <c r="W17" s="246"/>
      <c r="X17" s="246"/>
      <c r="Y17" s="246"/>
      <c r="Z17" s="246"/>
      <c r="AA17" s="246"/>
      <c r="AB17" s="246"/>
      <c r="AC17" s="246"/>
      <c r="AD17" s="246"/>
      <c r="AE17" s="246"/>
      <c r="AF17" s="246"/>
      <c r="AG17" s="246"/>
      <c r="AH17" s="246"/>
    </row>
    <row r="18">
      <c r="A18" s="238">
        <v>1.0</v>
      </c>
      <c r="B18" s="239" t="s">
        <v>587</v>
      </c>
      <c r="C18" s="240"/>
      <c r="D18" s="241" t="s">
        <v>19</v>
      </c>
      <c r="E18" s="241" t="s">
        <v>589</v>
      </c>
      <c r="F18" s="242">
        <f t="shared" si="6"/>
        <v>1</v>
      </c>
      <c r="G18" s="243" t="str">
        <f t="shared" si="7"/>
        <v/>
      </c>
      <c r="H18" s="242" t="str">
        <f t="shared" si="8"/>
        <v/>
      </c>
      <c r="I18" s="243" t="str">
        <f t="shared" si="9"/>
        <v/>
      </c>
      <c r="J18" s="244">
        <f>if(OR($E18="",$D18=""),"",sumifs(All_Stats!F:F,All_Stats!D:D,D18,All_Stats!A:A,E18,All_Stats!B:B,"Overall"))</f>
        <v>0</v>
      </c>
      <c r="K18" s="252">
        <v>45340.0</v>
      </c>
      <c r="L18" s="246">
        <f>if(OR($E18="",$D18=""),"",sumifs(All_Stats!G:G,All_Stats!D:D,D18,All_Stats!A:A,E18,All_Stats!B:B,"Overall"))</f>
        <v>0</v>
      </c>
      <c r="M18" s="246">
        <f>if(OR($E18="",$D18=""),"",sumifs(All_Stats!H:H,All_Stats!D:D,D18,All_Stats!A:A,E18,All_Stats!B:B,"Overall"))</f>
        <v>0</v>
      </c>
      <c r="N18" s="246">
        <f t="shared" si="10"/>
        <v>0</v>
      </c>
      <c r="O18" s="253">
        <v>45364.0</v>
      </c>
      <c r="P18" s="271"/>
      <c r="Q18" s="249" t="s">
        <v>18</v>
      </c>
      <c r="R18" s="250"/>
      <c r="S18" s="246">
        <f>SUMIFS(All_Stats!K:K,All_Stats!D:D,D18,All_Stats!A:A,E18,All_Stats!B:B,"Overall")</f>
        <v>0</v>
      </c>
      <c r="T18" s="251">
        <f>SUMIFS(All_Stats!L:L,All_Stats!D:D,D18,All_Stats!A:A,E18,All_Stats!B:B,"Overall")</f>
        <v>0</v>
      </c>
      <c r="U18" s="246"/>
      <c r="V18" s="246"/>
      <c r="W18" s="246"/>
      <c r="X18" s="246"/>
      <c r="Y18" s="246"/>
      <c r="Z18" s="246"/>
      <c r="AA18" s="246"/>
      <c r="AB18" s="246"/>
      <c r="AC18" s="246"/>
      <c r="AD18" s="246"/>
      <c r="AE18" s="246"/>
      <c r="AF18" s="246"/>
      <c r="AG18" s="246"/>
      <c r="AH18" s="246"/>
    </row>
    <row r="19">
      <c r="A19" s="238">
        <v>2.0</v>
      </c>
      <c r="B19" s="239" t="s">
        <v>587</v>
      </c>
      <c r="C19" s="240"/>
      <c r="D19" s="241" t="s">
        <v>19</v>
      </c>
      <c r="E19" s="241" t="s">
        <v>590</v>
      </c>
      <c r="F19" s="242">
        <f t="shared" si="6"/>
        <v>1</v>
      </c>
      <c r="G19" s="243" t="str">
        <f t="shared" si="7"/>
        <v/>
      </c>
      <c r="H19" s="242" t="str">
        <f t="shared" si="8"/>
        <v/>
      </c>
      <c r="I19" s="243" t="str">
        <f t="shared" si="9"/>
        <v/>
      </c>
      <c r="J19" s="244">
        <f>if(OR($E19="",$D19=""),"",sumifs(All_Stats!F:F,All_Stats!D:D,D19,All_Stats!A:A,E19,All_Stats!B:B,"Overall"))</f>
        <v>0</v>
      </c>
      <c r="K19" s="252">
        <v>45352.0</v>
      </c>
      <c r="L19" s="246">
        <f>if(OR($E19="",$D19=""),"",sumifs(All_Stats!G:G,All_Stats!D:D,D19,All_Stats!A:A,E19,All_Stats!B:B,"Overall"))</f>
        <v>0</v>
      </c>
      <c r="M19" s="246">
        <f>if(OR($E19="",$D19=""),"",sumifs(All_Stats!H:H,All_Stats!D:D,D19,All_Stats!A:A,E19,All_Stats!B:B,"Overall"))</f>
        <v>0</v>
      </c>
      <c r="N19" s="246">
        <f t="shared" si="10"/>
        <v>0</v>
      </c>
      <c r="O19" s="253">
        <v>45378.0</v>
      </c>
      <c r="P19" s="271"/>
      <c r="Q19" s="249" t="s">
        <v>57</v>
      </c>
      <c r="R19" s="250"/>
      <c r="S19" s="246">
        <f>SUMIFS(All_Stats!K:K,All_Stats!D:D,D19,All_Stats!A:A,E19,All_Stats!B:B,"Overall")</f>
        <v>0</v>
      </c>
      <c r="T19" s="251">
        <f>SUMIFS(All_Stats!L:L,All_Stats!D:D,D19,All_Stats!A:A,E19,All_Stats!B:B,"Overall")</f>
        <v>0</v>
      </c>
      <c r="U19" s="246" t="str">
        <f>if(OR($E19="",$D19="",COUNTIFS(DailyDelivery!$A:$A,$E19,DailyDelivery!$B:$B,$D19,DailyDelivery!$C:$C,U$1)=0),"",COUNTIFS(DailyDelivery!$A:$A,$E19,DailyDelivery!$B:$B,$D19,DailyDelivery!$C:$C,U$1))</f>
        <v/>
      </c>
      <c r="V19" s="246" t="str">
        <f>if(OR($E19="",$D19="",COUNTIFS(DailyDelivery!$A:$A,$E19,DailyDelivery!$B:$B,$D19,DailyDelivery!$C:$C,V$1)=0),"",COUNTIFS(DailyDelivery!$A:$A,$E19,DailyDelivery!$B:$B,$D19,DailyDelivery!$C:$C,V$1))</f>
        <v/>
      </c>
      <c r="W19" s="246" t="str">
        <f>if(OR($E19="",$D19="",COUNTIFS(DailyDelivery!$A:$A,$E19,DailyDelivery!$B:$B,$D19,DailyDelivery!$C:$C,W$1)=0),"",COUNTIFS(DailyDelivery!$A:$A,$E19,DailyDelivery!$B:$B,$D19,DailyDelivery!$C:$C,W$1))</f>
        <v/>
      </c>
      <c r="X19" s="246" t="str">
        <f>if(OR($E19="",$D19="",COUNTIFS(DailyDelivery!$A:$A,$E19,DailyDelivery!$B:$B,$D19,DailyDelivery!$C:$C,X$1)=0),"",COUNTIFS(DailyDelivery!$A:$A,$E19,DailyDelivery!$B:$B,$D19,DailyDelivery!$C:$C,X$1))</f>
        <v/>
      </c>
      <c r="Y19" s="246" t="str">
        <f>if(OR($E19="",$D19="",COUNTIFS(DailyDelivery!$A:$A,$E19,DailyDelivery!$B:$B,$D19,DailyDelivery!$C:$C,Y$1)=0),"",COUNTIFS(DailyDelivery!$A:$A,$E19,DailyDelivery!$B:$B,$D19,DailyDelivery!$C:$C,Y$1))</f>
        <v/>
      </c>
      <c r="Z19" s="246" t="str">
        <f>if(OR($E19="",$D19="",COUNTIFS(DailyDelivery!$A:$A,$E19,DailyDelivery!$B:$B,$D19,DailyDelivery!$C:$C,Z$1)=0),"",COUNTIFS(DailyDelivery!$A:$A,$E19,DailyDelivery!$B:$B,$D19,DailyDelivery!$C:$C,Z$1))</f>
        <v/>
      </c>
      <c r="AA19" s="246" t="str">
        <f>if(OR($E19="",$D19="",COUNTIFS(DailyDelivery!$A:$A,$E19,DailyDelivery!$B:$B,$D19,DailyDelivery!$C:$C,AA$1)=0),"",COUNTIFS(DailyDelivery!$A:$A,$E19,DailyDelivery!$B:$B,$D19,DailyDelivery!$C:$C,AA$1))</f>
        <v/>
      </c>
      <c r="AB19" s="246" t="str">
        <f>if(OR($E19="",$D19="",COUNTIFS(DailyDelivery!$A:$A,$E19,DailyDelivery!$B:$B,$D19,DailyDelivery!$C:$C,AB$1)=0),"",COUNTIFS(DailyDelivery!$A:$A,$E19,DailyDelivery!$B:$B,$D19,DailyDelivery!$C:$C,AB$1))</f>
        <v/>
      </c>
      <c r="AC19" s="246" t="str">
        <f>if(OR($E19="",$D19="",COUNTIFS(DailyDelivery!$A:$A,$E19,DailyDelivery!$B:$B,$D19,DailyDelivery!$C:$C,AC$1)=0),"",COUNTIFS(DailyDelivery!$A:$A,$E19,DailyDelivery!$B:$B,$D19,DailyDelivery!$C:$C,AC$1))</f>
        <v/>
      </c>
      <c r="AD19" s="246" t="str">
        <f>if(OR($E19="",$D19="",COUNTIFS(DailyDelivery!$A:$A,$E19,DailyDelivery!$B:$B,$D19,DailyDelivery!$C:$C,AD$1)=0),"",COUNTIFS(DailyDelivery!$A:$A,$E19,DailyDelivery!$B:$B,$D19,DailyDelivery!$C:$C,AD$1))</f>
        <v/>
      </c>
      <c r="AE19" s="246" t="str">
        <f>if(OR($E19="",$D19="",COUNTIFS(DailyDelivery!$A:$A,$E19,DailyDelivery!$B:$B,$D19,DailyDelivery!$C:$C,AE$1)=0),"",COUNTIFS(DailyDelivery!$A:$A,$E19,DailyDelivery!$B:$B,$D19,DailyDelivery!$C:$C,AE$1))</f>
        <v/>
      </c>
      <c r="AF19" s="246" t="str">
        <f>if(OR($E19="",$D19="",COUNTIFS(DailyDelivery!$A:$A,$E19,DailyDelivery!$B:$B,$D19,DailyDelivery!$C:$C,AF$1)=0),"",COUNTIFS(DailyDelivery!$A:$A,$E19,DailyDelivery!$B:$B,$D19,DailyDelivery!$C:$C,AF$1))</f>
        <v/>
      </c>
      <c r="AG19" s="246" t="str">
        <f>if(OR($E19="",$D19="",COUNTIFS(DailyDelivery!$A:$A,$E19,DailyDelivery!$B:$B,$D19,DailyDelivery!$C:$C,AG$1)=0),"",COUNTIFS(DailyDelivery!$A:$A,$E19,DailyDelivery!$B:$B,$D19,DailyDelivery!$C:$C,AG$1))</f>
        <v/>
      </c>
      <c r="AH19" s="246" t="str">
        <f>if(OR($E19="",$D19="",COUNTIFS(DailyDelivery!$A:$A,$E19,DailyDelivery!$B:$B,$D19,DailyDelivery!$C:$C,AH$1)=0),"",COUNTIFS(DailyDelivery!$A:$A,$E19,DailyDelivery!$B:$B,$D19,DailyDelivery!$C:$C,AH$1))</f>
        <v/>
      </c>
    </row>
    <row r="20">
      <c r="A20" s="238">
        <v>3.0</v>
      </c>
      <c r="B20" s="239" t="s">
        <v>587</v>
      </c>
      <c r="C20" s="240"/>
      <c r="D20" s="241" t="s">
        <v>19</v>
      </c>
      <c r="E20" s="241" t="s">
        <v>591</v>
      </c>
      <c r="F20" s="242">
        <f t="shared" si="6"/>
        <v>1</v>
      </c>
      <c r="G20" s="243" t="str">
        <f t="shared" si="7"/>
        <v/>
      </c>
      <c r="H20" s="242" t="str">
        <f t="shared" si="8"/>
        <v/>
      </c>
      <c r="I20" s="243" t="str">
        <f t="shared" si="9"/>
        <v/>
      </c>
      <c r="J20" s="244">
        <f>if(OR($E20="",$D20=""),"",sumifs(All_Stats!F:F,All_Stats!D:D,D20,All_Stats!A:A,E20,All_Stats!B:B,"Overall"))</f>
        <v>0</v>
      </c>
      <c r="K20" s="252">
        <v>45338.0</v>
      </c>
      <c r="L20" s="246">
        <f>if(OR($E20="",$D20=""),"",sumifs(All_Stats!G:G,All_Stats!D:D,D20,All_Stats!A:A,E20,All_Stats!B:B,"Overall"))</f>
        <v>0</v>
      </c>
      <c r="M20" s="246">
        <f>if(OR($E20="",$D20=""),"",sumifs(All_Stats!H:H,All_Stats!D:D,D20,All_Stats!A:A,E20,All_Stats!B:B,"Overall"))</f>
        <v>0</v>
      </c>
      <c r="N20" s="246">
        <f t="shared" si="10"/>
        <v>0</v>
      </c>
      <c r="O20" s="253">
        <v>45379.0</v>
      </c>
      <c r="P20" s="271"/>
      <c r="Q20" s="249" t="s">
        <v>57</v>
      </c>
      <c r="R20" s="250"/>
      <c r="S20" s="246">
        <f>SUMIFS(All_Stats!K:K,All_Stats!D:D,D20,All_Stats!A:A,E20,All_Stats!B:B,"Overall")</f>
        <v>0</v>
      </c>
      <c r="T20" s="251">
        <f>SUMIFS(All_Stats!L:L,All_Stats!D:D,D20,All_Stats!A:A,E20,All_Stats!B:B,"Overall")</f>
        <v>0</v>
      </c>
      <c r="U20" s="246" t="str">
        <f>if(OR($E20="",$D20="",COUNTIFS(DailyDelivery!$A:$A,$E20,DailyDelivery!$B:$B,$D20,DailyDelivery!$C:$C,U$1)=0),"",COUNTIFS(DailyDelivery!$A:$A,$E20,DailyDelivery!$B:$B,$D20,DailyDelivery!$C:$C,U$1))</f>
        <v/>
      </c>
      <c r="V20" s="246" t="str">
        <f>if(OR($E20="",$D20="",COUNTIFS(DailyDelivery!$A:$A,$E20,DailyDelivery!$B:$B,$D20,DailyDelivery!$C:$C,V$1)=0),"",COUNTIFS(DailyDelivery!$A:$A,$E20,DailyDelivery!$B:$B,$D20,DailyDelivery!$C:$C,V$1))</f>
        <v/>
      </c>
      <c r="W20" s="246" t="str">
        <f>if(OR($E20="",$D20="",COUNTIFS(DailyDelivery!$A:$A,$E20,DailyDelivery!$B:$B,$D20,DailyDelivery!$C:$C,W$1)=0),"",COUNTIFS(DailyDelivery!$A:$A,$E20,DailyDelivery!$B:$B,$D20,DailyDelivery!$C:$C,W$1))</f>
        <v/>
      </c>
      <c r="X20" s="246" t="str">
        <f>if(OR($E20="",$D20="",COUNTIFS(DailyDelivery!$A:$A,$E20,DailyDelivery!$B:$B,$D20,DailyDelivery!$C:$C,X$1)=0),"",COUNTIFS(DailyDelivery!$A:$A,$E20,DailyDelivery!$B:$B,$D20,DailyDelivery!$C:$C,X$1))</f>
        <v/>
      </c>
      <c r="Y20" s="246" t="str">
        <f>if(OR($E20="",$D20="",COUNTIFS(DailyDelivery!$A:$A,$E20,DailyDelivery!$B:$B,$D20,DailyDelivery!$C:$C,Y$1)=0),"",COUNTIFS(DailyDelivery!$A:$A,$E20,DailyDelivery!$B:$B,$D20,DailyDelivery!$C:$C,Y$1))</f>
        <v/>
      </c>
      <c r="Z20" s="246" t="str">
        <f>if(OR($E20="",$D20="",COUNTIFS(DailyDelivery!$A:$A,$E20,DailyDelivery!$B:$B,$D20,DailyDelivery!$C:$C,Z$1)=0),"",COUNTIFS(DailyDelivery!$A:$A,$E20,DailyDelivery!$B:$B,$D20,DailyDelivery!$C:$C,Z$1))</f>
        <v/>
      </c>
      <c r="AA20" s="246" t="str">
        <f>if(OR($E20="",$D20="",COUNTIFS(DailyDelivery!$A:$A,$E20,DailyDelivery!$B:$B,$D20,DailyDelivery!$C:$C,AA$1)=0),"",COUNTIFS(DailyDelivery!$A:$A,$E20,DailyDelivery!$B:$B,$D20,DailyDelivery!$C:$C,AA$1))</f>
        <v/>
      </c>
      <c r="AB20" s="246" t="str">
        <f>if(OR($E20="",$D20="",COUNTIFS(DailyDelivery!$A:$A,$E20,DailyDelivery!$B:$B,$D20,DailyDelivery!$C:$C,AB$1)=0),"",COUNTIFS(DailyDelivery!$A:$A,$E20,DailyDelivery!$B:$B,$D20,DailyDelivery!$C:$C,AB$1))</f>
        <v/>
      </c>
      <c r="AC20" s="246" t="str">
        <f>if(OR($E20="",$D20="",COUNTIFS(DailyDelivery!$A:$A,$E20,DailyDelivery!$B:$B,$D20,DailyDelivery!$C:$C,AC$1)=0),"",COUNTIFS(DailyDelivery!$A:$A,$E20,DailyDelivery!$B:$B,$D20,DailyDelivery!$C:$C,AC$1))</f>
        <v/>
      </c>
      <c r="AD20" s="246" t="str">
        <f>if(OR($E20="",$D20="",COUNTIFS(DailyDelivery!$A:$A,$E20,DailyDelivery!$B:$B,$D20,DailyDelivery!$C:$C,AD$1)=0),"",COUNTIFS(DailyDelivery!$A:$A,$E20,DailyDelivery!$B:$B,$D20,DailyDelivery!$C:$C,AD$1))</f>
        <v/>
      </c>
      <c r="AE20" s="246" t="str">
        <f>if(OR($E20="",$D20="",COUNTIFS(DailyDelivery!$A:$A,$E20,DailyDelivery!$B:$B,$D20,DailyDelivery!$C:$C,AE$1)=0),"",COUNTIFS(DailyDelivery!$A:$A,$E20,DailyDelivery!$B:$B,$D20,DailyDelivery!$C:$C,AE$1))</f>
        <v/>
      </c>
      <c r="AF20" s="246" t="str">
        <f>if(OR($E20="",$D20="",COUNTIFS(DailyDelivery!$A:$A,$E20,DailyDelivery!$B:$B,$D20,DailyDelivery!$C:$C,AF$1)=0),"",COUNTIFS(DailyDelivery!$A:$A,$E20,DailyDelivery!$B:$B,$D20,DailyDelivery!$C:$C,AF$1))</f>
        <v/>
      </c>
      <c r="AG20" s="246" t="str">
        <f>if(OR($E20="",$D20="",COUNTIFS(DailyDelivery!$A:$A,$E20,DailyDelivery!$B:$B,$D20,DailyDelivery!$C:$C,AG$1)=0),"",COUNTIFS(DailyDelivery!$A:$A,$E20,DailyDelivery!$B:$B,$D20,DailyDelivery!$C:$C,AG$1))</f>
        <v/>
      </c>
      <c r="AH20" s="246" t="str">
        <f>if(OR($E20="",$D20="",COUNTIFS(DailyDelivery!$A:$A,$E20,DailyDelivery!$B:$B,$D20,DailyDelivery!$C:$C,AH$1)=0),"",COUNTIFS(DailyDelivery!$A:$A,$E20,DailyDelivery!$B:$B,$D20,DailyDelivery!$C:$C,AH$1))</f>
        <v/>
      </c>
    </row>
    <row r="21">
      <c r="A21" s="272"/>
      <c r="B21" s="273"/>
      <c r="C21" s="240"/>
      <c r="D21" s="274"/>
      <c r="E21" s="274"/>
      <c r="F21" s="242" t="str">
        <f t="shared" si="6"/>
        <v/>
      </c>
      <c r="G21" s="243" t="str">
        <f t="shared" si="7"/>
        <v/>
      </c>
      <c r="H21" s="242" t="str">
        <f t="shared" si="8"/>
        <v/>
      </c>
      <c r="I21" s="243" t="str">
        <f t="shared" si="9"/>
        <v/>
      </c>
      <c r="J21" s="244" t="str">
        <f>if(OR($E21="",$D21=""),"",sumifs(All_Stats!F:F,All_Stats!D:D,D21,All_Stats!A:A,E21,All_Stats!B:B,"Overall"))</f>
        <v/>
      </c>
      <c r="K21" s="275"/>
      <c r="L21" s="246" t="str">
        <f>if(OR($E21="",$D21=""),"",sumifs(All_Stats!G:G,All_Stats!D:D,D21,All_Stats!A:A,E21,All_Stats!B:B,"Overall"))</f>
        <v/>
      </c>
      <c r="M21" s="246" t="str">
        <f>if(OR($E21="",$D21=""),"",sumifs(All_Stats!H:H,All_Stats!D:D,D21,All_Stats!A:A,E21,All_Stats!B:B,"Overall"))</f>
        <v/>
      </c>
      <c r="N21" s="246" t="str">
        <f t="shared" si="10"/>
        <v/>
      </c>
      <c r="O21" s="276"/>
      <c r="P21" s="277"/>
      <c r="Q21" s="278"/>
      <c r="R21" s="250"/>
      <c r="S21" s="246">
        <f>SUMIFS(All_Stats!K:K,All_Stats!D:D,D21,All_Stats!A:A,E21,All_Stats!B:B,"Overall")</f>
        <v>0</v>
      </c>
      <c r="T21" s="251">
        <f>SUMIFS(All_Stats!L:L,All_Stats!D:D,D21,All_Stats!A:A,E21,All_Stats!B:B,"Overall")</f>
        <v>0</v>
      </c>
      <c r="U21" s="246" t="str">
        <f>if(OR($E21="",$D21="",COUNTIFS(DailyDelivery!$A:$A,$E21,DailyDelivery!$B:$B,$D21,DailyDelivery!$C:$C,U$1)=0),"",COUNTIFS(DailyDelivery!$A:$A,$E21,DailyDelivery!$B:$B,$D21,DailyDelivery!$C:$C,U$1))</f>
        <v/>
      </c>
      <c r="V21" s="246" t="str">
        <f>if(OR($E21="",$D21="",COUNTIFS(DailyDelivery!$A:$A,$E21,DailyDelivery!$B:$B,$D21,DailyDelivery!$C:$C,V$1)=0),"",COUNTIFS(DailyDelivery!$A:$A,$E21,DailyDelivery!$B:$B,$D21,DailyDelivery!$C:$C,V$1))</f>
        <v/>
      </c>
      <c r="W21" s="246" t="str">
        <f>if(OR($E21="",$D21="",COUNTIFS(DailyDelivery!$A:$A,$E21,DailyDelivery!$B:$B,$D21,DailyDelivery!$C:$C,W$1)=0),"",COUNTIFS(DailyDelivery!$A:$A,$E21,DailyDelivery!$B:$B,$D21,DailyDelivery!$C:$C,W$1))</f>
        <v/>
      </c>
      <c r="X21" s="246" t="str">
        <f>if(OR($E21="",$D21="",COUNTIFS(DailyDelivery!$A:$A,$E21,DailyDelivery!$B:$B,$D21,DailyDelivery!$C:$C,X$1)=0),"",COUNTIFS(DailyDelivery!$A:$A,$E21,DailyDelivery!$B:$B,$D21,DailyDelivery!$C:$C,X$1))</f>
        <v/>
      </c>
      <c r="Y21" s="246" t="str">
        <f>if(OR($E21="",$D21="",COUNTIFS(DailyDelivery!$A:$A,$E21,DailyDelivery!$B:$B,$D21,DailyDelivery!$C:$C,Y$1)=0),"",COUNTIFS(DailyDelivery!$A:$A,$E21,DailyDelivery!$B:$B,$D21,DailyDelivery!$C:$C,Y$1))</f>
        <v/>
      </c>
      <c r="Z21" s="246" t="str">
        <f>if(OR($E21="",$D21="",COUNTIFS(DailyDelivery!$A:$A,$E21,DailyDelivery!$B:$B,$D21,DailyDelivery!$C:$C,Z$1)=0),"",COUNTIFS(DailyDelivery!$A:$A,$E21,DailyDelivery!$B:$B,$D21,DailyDelivery!$C:$C,Z$1))</f>
        <v/>
      </c>
      <c r="AA21" s="246" t="str">
        <f>if(OR($E21="",$D21="",COUNTIFS(DailyDelivery!$A:$A,$E21,DailyDelivery!$B:$B,$D21,DailyDelivery!$C:$C,AA$1)=0),"",COUNTIFS(DailyDelivery!$A:$A,$E21,DailyDelivery!$B:$B,$D21,DailyDelivery!$C:$C,AA$1))</f>
        <v/>
      </c>
      <c r="AB21" s="246" t="str">
        <f>if(OR($E21="",$D21="",COUNTIFS(DailyDelivery!$A:$A,$E21,DailyDelivery!$B:$B,$D21,DailyDelivery!$C:$C,AB$1)=0),"",COUNTIFS(DailyDelivery!$A:$A,$E21,DailyDelivery!$B:$B,$D21,DailyDelivery!$C:$C,AB$1))</f>
        <v/>
      </c>
      <c r="AC21" s="246" t="str">
        <f>if(OR($E21="",$D21="",COUNTIFS(DailyDelivery!$A:$A,$E21,DailyDelivery!$B:$B,$D21,DailyDelivery!$C:$C,AC$1)=0),"",COUNTIFS(DailyDelivery!$A:$A,$E21,DailyDelivery!$B:$B,$D21,DailyDelivery!$C:$C,AC$1))</f>
        <v/>
      </c>
      <c r="AD21" s="246" t="str">
        <f>if(OR($E21="",$D21="",COUNTIFS(DailyDelivery!$A:$A,$E21,DailyDelivery!$B:$B,$D21,DailyDelivery!$C:$C,AD$1)=0),"",COUNTIFS(DailyDelivery!$A:$A,$E21,DailyDelivery!$B:$B,$D21,DailyDelivery!$C:$C,AD$1))</f>
        <v/>
      </c>
      <c r="AE21" s="246" t="str">
        <f>if(OR($E21="",$D21="",COUNTIFS(DailyDelivery!$A:$A,$E21,DailyDelivery!$B:$B,$D21,DailyDelivery!$C:$C,AE$1)=0),"",COUNTIFS(DailyDelivery!$A:$A,$E21,DailyDelivery!$B:$B,$D21,DailyDelivery!$C:$C,AE$1))</f>
        <v/>
      </c>
      <c r="AF21" s="246" t="str">
        <f>if(OR($E21="",$D21="",COUNTIFS(DailyDelivery!$A:$A,$E21,DailyDelivery!$B:$B,$D21,DailyDelivery!$C:$C,AF$1)=0),"",COUNTIFS(DailyDelivery!$A:$A,$E21,DailyDelivery!$B:$B,$D21,DailyDelivery!$C:$C,AF$1))</f>
        <v/>
      </c>
      <c r="AG21" s="246" t="str">
        <f>if(OR($E21="",$D21="",COUNTIFS(DailyDelivery!$A:$A,$E21,DailyDelivery!$B:$B,$D21,DailyDelivery!$C:$C,AG$1)=0),"",COUNTIFS(DailyDelivery!$A:$A,$E21,DailyDelivery!$B:$B,$D21,DailyDelivery!$C:$C,AG$1))</f>
        <v/>
      </c>
      <c r="AH21" s="246" t="str">
        <f>if(OR($E21="",$D21="",COUNTIFS(DailyDelivery!$A:$A,$E21,DailyDelivery!$B:$B,$D21,DailyDelivery!$C:$C,AH$1)=0),"",COUNTIFS(DailyDelivery!$A:$A,$E21,DailyDelivery!$B:$B,$D21,DailyDelivery!$C:$C,AH$1))</f>
        <v/>
      </c>
    </row>
    <row r="22">
      <c r="A22" s="272"/>
      <c r="B22" s="273"/>
      <c r="C22" s="240"/>
      <c r="D22" s="274"/>
      <c r="E22" s="274"/>
      <c r="F22" s="242" t="str">
        <f t="shared" si="6"/>
        <v/>
      </c>
      <c r="G22" s="243" t="str">
        <f t="shared" si="7"/>
        <v/>
      </c>
      <c r="H22" s="242" t="str">
        <f t="shared" si="8"/>
        <v/>
      </c>
      <c r="I22" s="243" t="str">
        <f t="shared" si="9"/>
        <v/>
      </c>
      <c r="J22" s="244" t="str">
        <f>if(OR($E22="",$D22=""),"",sumifs(All_Stats!F:F,All_Stats!D:D,D22,All_Stats!A:A,E22,All_Stats!B:B,"Overall"))</f>
        <v/>
      </c>
      <c r="K22" s="275"/>
      <c r="L22" s="246" t="str">
        <f>if(OR($E22="",$D22=""),"",sumifs(All_Stats!G:G,All_Stats!D:D,D22,All_Stats!A:A,E22,All_Stats!B:B,"Overall"))</f>
        <v/>
      </c>
      <c r="M22" s="246" t="str">
        <f>if(OR($E22="",$D22=""),"",sumifs(All_Stats!H:H,All_Stats!D:D,D22,All_Stats!A:A,E22,All_Stats!B:B,"Overall"))</f>
        <v/>
      </c>
      <c r="N22" s="246" t="str">
        <f t="shared" si="10"/>
        <v/>
      </c>
      <c r="O22" s="276"/>
      <c r="P22" s="277"/>
      <c r="Q22" s="278"/>
      <c r="R22" s="250"/>
      <c r="S22" s="246">
        <f>SUMIFS(All_Stats!K:K,All_Stats!D:D,D22,All_Stats!A:A,E22,All_Stats!B:B,"Overall")</f>
        <v>0</v>
      </c>
      <c r="T22" s="251">
        <f>SUMIFS(All_Stats!L:L,All_Stats!D:D,D22,All_Stats!A:A,E22,All_Stats!B:B,"Overall")</f>
        <v>0</v>
      </c>
      <c r="U22" s="246" t="str">
        <f>if(OR($E22="",$D22="",COUNTIFS(DailyDelivery!$A:$A,$E22,DailyDelivery!$B:$B,$D22,DailyDelivery!$C:$C,U$1)=0),"",COUNTIFS(DailyDelivery!$A:$A,$E22,DailyDelivery!$B:$B,$D22,DailyDelivery!$C:$C,U$1))</f>
        <v/>
      </c>
      <c r="V22" s="246" t="str">
        <f>if(OR($E22="",$D22="",COUNTIFS(DailyDelivery!$A:$A,$E22,DailyDelivery!$B:$B,$D22,DailyDelivery!$C:$C,V$1)=0),"",COUNTIFS(DailyDelivery!$A:$A,$E22,DailyDelivery!$B:$B,$D22,DailyDelivery!$C:$C,V$1))</f>
        <v/>
      </c>
      <c r="W22" s="246" t="str">
        <f>if(OR($E22="",$D22="",COUNTIFS(DailyDelivery!$A:$A,$E22,DailyDelivery!$B:$B,$D22,DailyDelivery!$C:$C,W$1)=0),"",COUNTIFS(DailyDelivery!$A:$A,$E22,DailyDelivery!$B:$B,$D22,DailyDelivery!$C:$C,W$1))</f>
        <v/>
      </c>
      <c r="X22" s="246" t="str">
        <f>if(OR($E22="",$D22="",COUNTIFS(DailyDelivery!$A:$A,$E22,DailyDelivery!$B:$B,$D22,DailyDelivery!$C:$C,X$1)=0),"",COUNTIFS(DailyDelivery!$A:$A,$E22,DailyDelivery!$B:$B,$D22,DailyDelivery!$C:$C,X$1))</f>
        <v/>
      </c>
      <c r="Y22" s="246" t="str">
        <f>if(OR($E22="",$D22="",COUNTIFS(DailyDelivery!$A:$A,$E22,DailyDelivery!$B:$B,$D22,DailyDelivery!$C:$C,Y$1)=0),"",COUNTIFS(DailyDelivery!$A:$A,$E22,DailyDelivery!$B:$B,$D22,DailyDelivery!$C:$C,Y$1))</f>
        <v/>
      </c>
      <c r="Z22" s="246" t="str">
        <f>if(OR($E22="",$D22="",COUNTIFS(DailyDelivery!$A:$A,$E22,DailyDelivery!$B:$B,$D22,DailyDelivery!$C:$C,Z$1)=0),"",COUNTIFS(DailyDelivery!$A:$A,$E22,DailyDelivery!$B:$B,$D22,DailyDelivery!$C:$C,Z$1))</f>
        <v/>
      </c>
      <c r="AA22" s="246" t="str">
        <f>if(OR($E22="",$D22="",COUNTIFS(DailyDelivery!$A:$A,$E22,DailyDelivery!$B:$B,$D22,DailyDelivery!$C:$C,AA$1)=0),"",COUNTIFS(DailyDelivery!$A:$A,$E22,DailyDelivery!$B:$B,$D22,DailyDelivery!$C:$C,AA$1))</f>
        <v/>
      </c>
      <c r="AB22" s="246" t="str">
        <f>if(OR($E22="",$D22="",COUNTIFS(DailyDelivery!$A:$A,$E22,DailyDelivery!$B:$B,$D22,DailyDelivery!$C:$C,AB$1)=0),"",COUNTIFS(DailyDelivery!$A:$A,$E22,DailyDelivery!$B:$B,$D22,DailyDelivery!$C:$C,AB$1))</f>
        <v/>
      </c>
      <c r="AC22" s="246" t="str">
        <f>if(OR($E22="",$D22="",COUNTIFS(DailyDelivery!$A:$A,$E22,DailyDelivery!$B:$B,$D22,DailyDelivery!$C:$C,AC$1)=0),"",COUNTIFS(DailyDelivery!$A:$A,$E22,DailyDelivery!$B:$B,$D22,DailyDelivery!$C:$C,AC$1))</f>
        <v/>
      </c>
      <c r="AD22" s="246" t="str">
        <f>if(OR($E22="",$D22="",COUNTIFS(DailyDelivery!$A:$A,$E22,DailyDelivery!$B:$B,$D22,DailyDelivery!$C:$C,AD$1)=0),"",COUNTIFS(DailyDelivery!$A:$A,$E22,DailyDelivery!$B:$B,$D22,DailyDelivery!$C:$C,AD$1))</f>
        <v/>
      </c>
      <c r="AE22" s="246" t="str">
        <f>if(OR($E22="",$D22="",COUNTIFS(DailyDelivery!$A:$A,$E22,DailyDelivery!$B:$B,$D22,DailyDelivery!$C:$C,AE$1)=0),"",COUNTIFS(DailyDelivery!$A:$A,$E22,DailyDelivery!$B:$B,$D22,DailyDelivery!$C:$C,AE$1))</f>
        <v/>
      </c>
      <c r="AF22" s="246" t="str">
        <f>if(OR($E22="",$D22="",COUNTIFS(DailyDelivery!$A:$A,$E22,DailyDelivery!$B:$B,$D22,DailyDelivery!$C:$C,AF$1)=0),"",COUNTIFS(DailyDelivery!$A:$A,$E22,DailyDelivery!$B:$B,$D22,DailyDelivery!$C:$C,AF$1))</f>
        <v/>
      </c>
      <c r="AG22" s="246" t="str">
        <f>if(OR($E22="",$D22="",COUNTIFS(DailyDelivery!$A:$A,$E22,DailyDelivery!$B:$B,$D22,DailyDelivery!$C:$C,AG$1)=0),"",COUNTIFS(DailyDelivery!$A:$A,$E22,DailyDelivery!$B:$B,$D22,DailyDelivery!$C:$C,AG$1))</f>
        <v/>
      </c>
      <c r="AH22" s="246" t="str">
        <f>if(OR($E22="",$D22="",COUNTIFS(DailyDelivery!$A:$A,$E22,DailyDelivery!$B:$B,$D22,DailyDelivery!$C:$C,AH$1)=0),"",COUNTIFS(DailyDelivery!$A:$A,$E22,DailyDelivery!$B:$B,$D22,DailyDelivery!$C:$C,AH$1))</f>
        <v/>
      </c>
    </row>
    <row r="23">
      <c r="A23" s="272"/>
      <c r="B23" s="273"/>
      <c r="C23" s="240"/>
      <c r="D23" s="274"/>
      <c r="E23" s="274"/>
      <c r="F23" s="242" t="str">
        <f t="shared" si="6"/>
        <v/>
      </c>
      <c r="G23" s="243" t="str">
        <f t="shared" si="7"/>
        <v/>
      </c>
      <c r="H23" s="242" t="str">
        <f t="shared" si="8"/>
        <v/>
      </c>
      <c r="I23" s="243" t="str">
        <f t="shared" si="9"/>
        <v/>
      </c>
      <c r="J23" s="244" t="str">
        <f>if(OR($E23="",$D23=""),"",sumifs(All_Stats!F:F,All_Stats!D:D,D23,All_Stats!A:A,E23,All_Stats!B:B,"Overall"))</f>
        <v/>
      </c>
      <c r="K23" s="275"/>
      <c r="L23" s="246" t="str">
        <f>if(OR($E23="",$D23=""),"",sumifs(All_Stats!G:G,All_Stats!D:D,D23,All_Stats!A:A,E23,All_Stats!B:B,"Overall"))</f>
        <v/>
      </c>
      <c r="M23" s="246" t="str">
        <f>if(OR($E23="",$D23=""),"",sumifs(All_Stats!H:H,All_Stats!D:D,D23,All_Stats!A:A,E23,All_Stats!B:B,"Overall"))</f>
        <v/>
      </c>
      <c r="N23" s="246" t="str">
        <f t="shared" si="10"/>
        <v/>
      </c>
      <c r="O23" s="276"/>
      <c r="P23" s="277"/>
      <c r="Q23" s="278"/>
      <c r="R23" s="250"/>
      <c r="S23" s="246">
        <f>SUMIFS(All_Stats!K:K,All_Stats!D:D,D23,All_Stats!A:A,E23,All_Stats!B:B,"Overall")</f>
        <v>0</v>
      </c>
      <c r="T23" s="251">
        <f>SUMIFS(All_Stats!L:L,All_Stats!D:D,D23,All_Stats!A:A,E23,All_Stats!B:B,"Overall")</f>
        <v>0</v>
      </c>
      <c r="U23" s="246" t="str">
        <f>if(OR($E23="",$D23="",COUNTIFS(DailyDelivery!$A:$A,$E23,DailyDelivery!$B:$B,$D23,DailyDelivery!$C:$C,U$1)=0),"",COUNTIFS(DailyDelivery!$A:$A,$E23,DailyDelivery!$B:$B,$D23,DailyDelivery!$C:$C,U$1))</f>
        <v/>
      </c>
      <c r="V23" s="246" t="str">
        <f>if(OR($E23="",$D23="",COUNTIFS(DailyDelivery!$A:$A,$E23,DailyDelivery!$B:$B,$D23,DailyDelivery!$C:$C,V$1)=0),"",COUNTIFS(DailyDelivery!$A:$A,$E23,DailyDelivery!$B:$B,$D23,DailyDelivery!$C:$C,V$1))</f>
        <v/>
      </c>
      <c r="W23" s="246" t="str">
        <f>if(OR($E23="",$D23="",COUNTIFS(DailyDelivery!$A:$A,$E23,DailyDelivery!$B:$B,$D23,DailyDelivery!$C:$C,W$1)=0),"",COUNTIFS(DailyDelivery!$A:$A,$E23,DailyDelivery!$B:$B,$D23,DailyDelivery!$C:$C,W$1))</f>
        <v/>
      </c>
      <c r="X23" s="246" t="str">
        <f>if(OR($E23="",$D23="",COUNTIFS(DailyDelivery!$A:$A,$E23,DailyDelivery!$B:$B,$D23,DailyDelivery!$C:$C,X$1)=0),"",COUNTIFS(DailyDelivery!$A:$A,$E23,DailyDelivery!$B:$B,$D23,DailyDelivery!$C:$C,X$1))</f>
        <v/>
      </c>
      <c r="Y23" s="246" t="str">
        <f>if(OR($E23="",$D23="",COUNTIFS(DailyDelivery!$A:$A,$E23,DailyDelivery!$B:$B,$D23,DailyDelivery!$C:$C,Y$1)=0),"",COUNTIFS(DailyDelivery!$A:$A,$E23,DailyDelivery!$B:$B,$D23,DailyDelivery!$C:$C,Y$1))</f>
        <v/>
      </c>
      <c r="Z23" s="246" t="str">
        <f>if(OR($E23="",$D23="",COUNTIFS(DailyDelivery!$A:$A,$E23,DailyDelivery!$B:$B,$D23,DailyDelivery!$C:$C,Z$1)=0),"",COUNTIFS(DailyDelivery!$A:$A,$E23,DailyDelivery!$B:$B,$D23,DailyDelivery!$C:$C,Z$1))</f>
        <v/>
      </c>
      <c r="AA23" s="246" t="str">
        <f>if(OR($E23="",$D23="",COUNTIFS(DailyDelivery!$A:$A,$E23,DailyDelivery!$B:$B,$D23,DailyDelivery!$C:$C,AA$1)=0),"",COUNTIFS(DailyDelivery!$A:$A,$E23,DailyDelivery!$B:$B,$D23,DailyDelivery!$C:$C,AA$1))</f>
        <v/>
      </c>
      <c r="AB23" s="246" t="str">
        <f>if(OR($E23="",$D23="",COUNTIFS(DailyDelivery!$A:$A,$E23,DailyDelivery!$B:$B,$D23,DailyDelivery!$C:$C,AB$1)=0),"",COUNTIFS(DailyDelivery!$A:$A,$E23,DailyDelivery!$B:$B,$D23,DailyDelivery!$C:$C,AB$1))</f>
        <v/>
      </c>
      <c r="AC23" s="246" t="str">
        <f>if(OR($E23="",$D23="",COUNTIFS(DailyDelivery!$A:$A,$E23,DailyDelivery!$B:$B,$D23,DailyDelivery!$C:$C,AC$1)=0),"",COUNTIFS(DailyDelivery!$A:$A,$E23,DailyDelivery!$B:$B,$D23,DailyDelivery!$C:$C,AC$1))</f>
        <v/>
      </c>
      <c r="AD23" s="246" t="str">
        <f>if(OR($E23="",$D23="",COUNTIFS(DailyDelivery!$A:$A,$E23,DailyDelivery!$B:$B,$D23,DailyDelivery!$C:$C,AD$1)=0),"",COUNTIFS(DailyDelivery!$A:$A,$E23,DailyDelivery!$B:$B,$D23,DailyDelivery!$C:$C,AD$1))</f>
        <v/>
      </c>
      <c r="AE23" s="246" t="str">
        <f>if(OR($E23="",$D23="",COUNTIFS(DailyDelivery!$A:$A,$E23,DailyDelivery!$B:$B,$D23,DailyDelivery!$C:$C,AE$1)=0),"",COUNTIFS(DailyDelivery!$A:$A,$E23,DailyDelivery!$B:$B,$D23,DailyDelivery!$C:$C,AE$1))</f>
        <v/>
      </c>
      <c r="AF23" s="246" t="str">
        <f>if(OR($E23="",$D23="",COUNTIFS(DailyDelivery!$A:$A,$E23,DailyDelivery!$B:$B,$D23,DailyDelivery!$C:$C,AF$1)=0),"",COUNTIFS(DailyDelivery!$A:$A,$E23,DailyDelivery!$B:$B,$D23,DailyDelivery!$C:$C,AF$1))</f>
        <v/>
      </c>
      <c r="AG23" s="246" t="str">
        <f>if(OR($E23="",$D23="",COUNTIFS(DailyDelivery!$A:$A,$E23,DailyDelivery!$B:$B,$D23,DailyDelivery!$C:$C,AG$1)=0),"",COUNTIFS(DailyDelivery!$A:$A,$E23,DailyDelivery!$B:$B,$D23,DailyDelivery!$C:$C,AG$1))</f>
        <v/>
      </c>
      <c r="AH23" s="246" t="str">
        <f>if(OR($E23="",$D23="",COUNTIFS(DailyDelivery!$A:$A,$E23,DailyDelivery!$B:$B,$D23,DailyDelivery!$C:$C,AH$1)=0),"",COUNTIFS(DailyDelivery!$A:$A,$E23,DailyDelivery!$B:$B,$D23,DailyDelivery!$C:$C,AH$1))</f>
        <v/>
      </c>
    </row>
    <row r="24">
      <c r="A24" s="272"/>
      <c r="B24" s="273"/>
      <c r="C24" s="240"/>
      <c r="D24" s="274"/>
      <c r="E24" s="274"/>
      <c r="F24" s="242" t="str">
        <f t="shared" si="6"/>
        <v/>
      </c>
      <c r="G24" s="243" t="str">
        <f t="shared" si="7"/>
        <v/>
      </c>
      <c r="H24" s="242" t="str">
        <f t="shared" si="8"/>
        <v/>
      </c>
      <c r="I24" s="243" t="str">
        <f t="shared" si="9"/>
        <v/>
      </c>
      <c r="J24" s="244" t="str">
        <f>if(OR($E24="",$D24=""),"",sumifs(All_Stats!F:F,All_Stats!D:D,D24,All_Stats!A:A,E24,All_Stats!B:B,"Overall"))</f>
        <v/>
      </c>
      <c r="K24" s="275"/>
      <c r="L24" s="246" t="str">
        <f>if(OR($E24="",$D24=""),"",sumifs(All_Stats!G:G,All_Stats!D:D,D24,All_Stats!A:A,E24,All_Stats!B:B,"Overall"))</f>
        <v/>
      </c>
      <c r="M24" s="246" t="str">
        <f>if(OR($E24="",$D24=""),"",sumifs(All_Stats!H:H,All_Stats!D:D,D24,All_Stats!A:A,E24,All_Stats!B:B,"Overall"))</f>
        <v/>
      </c>
      <c r="N24" s="246" t="str">
        <f t="shared" si="10"/>
        <v/>
      </c>
      <c r="O24" s="276"/>
      <c r="P24" s="277"/>
      <c r="Q24" s="278"/>
      <c r="R24" s="250"/>
      <c r="S24" s="246">
        <f>SUMIFS(All_Stats!K:K,All_Stats!D:D,D24,All_Stats!A:A,E24,All_Stats!B:B,"Overall")</f>
        <v>0</v>
      </c>
      <c r="T24" s="251">
        <f>SUMIFS(All_Stats!L:L,All_Stats!D:D,D24,All_Stats!A:A,E24,All_Stats!B:B,"Overall")</f>
        <v>0</v>
      </c>
      <c r="U24" s="246" t="str">
        <f>if(OR($E24="",$D24="",COUNTIFS(DailyDelivery!$A:$A,$E24,DailyDelivery!$B:$B,$D24,DailyDelivery!$C:$C,U$1)=0),"",COUNTIFS(DailyDelivery!$A:$A,$E24,DailyDelivery!$B:$B,$D24,DailyDelivery!$C:$C,U$1))</f>
        <v/>
      </c>
      <c r="V24" s="246" t="str">
        <f>if(OR($E24="",$D24="",COUNTIFS(DailyDelivery!$A:$A,$E24,DailyDelivery!$B:$B,$D24,DailyDelivery!$C:$C,V$1)=0),"",COUNTIFS(DailyDelivery!$A:$A,$E24,DailyDelivery!$B:$B,$D24,DailyDelivery!$C:$C,V$1))</f>
        <v/>
      </c>
      <c r="W24" s="246" t="str">
        <f>if(OR($E24="",$D24="",COUNTIFS(DailyDelivery!$A:$A,$E24,DailyDelivery!$B:$B,$D24,DailyDelivery!$C:$C,W$1)=0),"",COUNTIFS(DailyDelivery!$A:$A,$E24,DailyDelivery!$B:$B,$D24,DailyDelivery!$C:$C,W$1))</f>
        <v/>
      </c>
      <c r="X24" s="246" t="str">
        <f>if(OR($E24="",$D24="",COUNTIFS(DailyDelivery!$A:$A,$E24,DailyDelivery!$B:$B,$D24,DailyDelivery!$C:$C,X$1)=0),"",COUNTIFS(DailyDelivery!$A:$A,$E24,DailyDelivery!$B:$B,$D24,DailyDelivery!$C:$C,X$1))</f>
        <v/>
      </c>
      <c r="Y24" s="246" t="str">
        <f>if(OR($E24="",$D24="",COUNTIFS(DailyDelivery!$A:$A,$E24,DailyDelivery!$B:$B,$D24,DailyDelivery!$C:$C,Y$1)=0),"",COUNTIFS(DailyDelivery!$A:$A,$E24,DailyDelivery!$B:$B,$D24,DailyDelivery!$C:$C,Y$1))</f>
        <v/>
      </c>
      <c r="Z24" s="246" t="str">
        <f>if(OR($E24="",$D24="",COUNTIFS(DailyDelivery!$A:$A,$E24,DailyDelivery!$B:$B,$D24,DailyDelivery!$C:$C,Z$1)=0),"",COUNTIFS(DailyDelivery!$A:$A,$E24,DailyDelivery!$B:$B,$D24,DailyDelivery!$C:$C,Z$1))</f>
        <v/>
      </c>
      <c r="AA24" s="246" t="str">
        <f>if(OR($E24="",$D24="",COUNTIFS(DailyDelivery!$A:$A,$E24,DailyDelivery!$B:$B,$D24,DailyDelivery!$C:$C,AA$1)=0),"",COUNTIFS(DailyDelivery!$A:$A,$E24,DailyDelivery!$B:$B,$D24,DailyDelivery!$C:$C,AA$1))</f>
        <v/>
      </c>
      <c r="AB24" s="246" t="str">
        <f>if(OR($E24="",$D24="",COUNTIFS(DailyDelivery!$A:$A,$E24,DailyDelivery!$B:$B,$D24,DailyDelivery!$C:$C,AB$1)=0),"",COUNTIFS(DailyDelivery!$A:$A,$E24,DailyDelivery!$B:$B,$D24,DailyDelivery!$C:$C,AB$1))</f>
        <v/>
      </c>
      <c r="AC24" s="246" t="str">
        <f>if(OR($E24="",$D24="",COUNTIFS(DailyDelivery!$A:$A,$E24,DailyDelivery!$B:$B,$D24,DailyDelivery!$C:$C,AC$1)=0),"",COUNTIFS(DailyDelivery!$A:$A,$E24,DailyDelivery!$B:$B,$D24,DailyDelivery!$C:$C,AC$1))</f>
        <v/>
      </c>
      <c r="AD24" s="246" t="str">
        <f>if(OR($E24="",$D24="",COUNTIFS(DailyDelivery!$A:$A,$E24,DailyDelivery!$B:$B,$D24,DailyDelivery!$C:$C,AD$1)=0),"",COUNTIFS(DailyDelivery!$A:$A,$E24,DailyDelivery!$B:$B,$D24,DailyDelivery!$C:$C,AD$1))</f>
        <v/>
      </c>
      <c r="AE24" s="246" t="str">
        <f>if(OR($E24="",$D24="",COUNTIFS(DailyDelivery!$A:$A,$E24,DailyDelivery!$B:$B,$D24,DailyDelivery!$C:$C,AE$1)=0),"",COUNTIFS(DailyDelivery!$A:$A,$E24,DailyDelivery!$B:$B,$D24,DailyDelivery!$C:$C,AE$1))</f>
        <v/>
      </c>
      <c r="AF24" s="246" t="str">
        <f>if(OR($E24="",$D24="",COUNTIFS(DailyDelivery!$A:$A,$E24,DailyDelivery!$B:$B,$D24,DailyDelivery!$C:$C,AF$1)=0),"",COUNTIFS(DailyDelivery!$A:$A,$E24,DailyDelivery!$B:$B,$D24,DailyDelivery!$C:$C,AF$1))</f>
        <v/>
      </c>
      <c r="AG24" s="246" t="str">
        <f>if(OR($E24="",$D24="",COUNTIFS(DailyDelivery!$A:$A,$E24,DailyDelivery!$B:$B,$D24,DailyDelivery!$C:$C,AG$1)=0),"",COUNTIFS(DailyDelivery!$A:$A,$E24,DailyDelivery!$B:$B,$D24,DailyDelivery!$C:$C,AG$1))</f>
        <v/>
      </c>
      <c r="AH24" s="246" t="str">
        <f>if(OR($E24="",$D24="",COUNTIFS(DailyDelivery!$A:$A,$E24,DailyDelivery!$B:$B,$D24,DailyDelivery!$C:$C,AH$1)=0),"",COUNTIFS(DailyDelivery!$A:$A,$E24,DailyDelivery!$B:$B,$D24,DailyDelivery!$C:$C,AH$1))</f>
        <v/>
      </c>
    </row>
    <row r="25">
      <c r="A25" s="272"/>
      <c r="B25" s="273"/>
      <c r="C25" s="240"/>
      <c r="D25" s="274"/>
      <c r="E25" s="274"/>
      <c r="F25" s="242" t="str">
        <f t="shared" si="6"/>
        <v/>
      </c>
      <c r="G25" s="243" t="str">
        <f t="shared" si="7"/>
        <v/>
      </c>
      <c r="H25" s="242" t="str">
        <f t="shared" si="8"/>
        <v/>
      </c>
      <c r="I25" s="243" t="str">
        <f t="shared" si="9"/>
        <v/>
      </c>
      <c r="J25" s="244" t="str">
        <f>if(OR($E25="",$D25=""),"",sumifs(All_Stats!F:F,All_Stats!D:D,D25,All_Stats!A:A,E25,All_Stats!B:B,"Overall"))</f>
        <v/>
      </c>
      <c r="K25" s="275"/>
      <c r="L25" s="246" t="str">
        <f>if(OR($E25="",$D25=""),"",sumifs(All_Stats!G:G,All_Stats!D:D,D25,All_Stats!A:A,E25,All_Stats!B:B,"Overall"))</f>
        <v/>
      </c>
      <c r="M25" s="246" t="str">
        <f>if(OR($E25="",$D25=""),"",sumifs(All_Stats!H:H,All_Stats!D:D,D25,All_Stats!A:A,E25,All_Stats!B:B,"Overall"))</f>
        <v/>
      </c>
      <c r="N25" s="246" t="str">
        <f t="shared" si="10"/>
        <v/>
      </c>
      <c r="O25" s="276"/>
      <c r="P25" s="277"/>
      <c r="Q25" s="278"/>
      <c r="R25" s="250"/>
      <c r="S25" s="246">
        <f>SUMIFS(All_Stats!K:K,All_Stats!D:D,D25,All_Stats!A:A,E25,All_Stats!B:B,"Overall")</f>
        <v>0</v>
      </c>
      <c r="T25" s="251">
        <f>SUMIFS(All_Stats!L:L,All_Stats!D:D,D25,All_Stats!A:A,E25,All_Stats!B:B,"Overall")</f>
        <v>0</v>
      </c>
      <c r="U25" s="246" t="str">
        <f>if(OR($E25="",$D25="",COUNTIFS(DailyDelivery!$A:$A,$E25,DailyDelivery!$B:$B,$D25,DailyDelivery!$C:$C,U$1)=0),"",COUNTIFS(DailyDelivery!$A:$A,$E25,DailyDelivery!$B:$B,$D25,DailyDelivery!$C:$C,U$1))</f>
        <v/>
      </c>
      <c r="V25" s="246" t="str">
        <f>if(OR($E25="",$D25="",COUNTIFS(DailyDelivery!$A:$A,$E25,DailyDelivery!$B:$B,$D25,DailyDelivery!$C:$C,V$1)=0),"",COUNTIFS(DailyDelivery!$A:$A,$E25,DailyDelivery!$B:$B,$D25,DailyDelivery!$C:$C,V$1))</f>
        <v/>
      </c>
      <c r="W25" s="246" t="str">
        <f>if(OR($E25="",$D25="",COUNTIFS(DailyDelivery!$A:$A,$E25,DailyDelivery!$B:$B,$D25,DailyDelivery!$C:$C,W$1)=0),"",COUNTIFS(DailyDelivery!$A:$A,$E25,DailyDelivery!$B:$B,$D25,DailyDelivery!$C:$C,W$1))</f>
        <v/>
      </c>
      <c r="X25" s="246" t="str">
        <f>if(OR($E25="",$D25="",COUNTIFS(DailyDelivery!$A:$A,$E25,DailyDelivery!$B:$B,$D25,DailyDelivery!$C:$C,X$1)=0),"",COUNTIFS(DailyDelivery!$A:$A,$E25,DailyDelivery!$B:$B,$D25,DailyDelivery!$C:$C,X$1))</f>
        <v/>
      </c>
      <c r="Y25" s="246" t="str">
        <f>if(OR($E25="",$D25="",COUNTIFS(DailyDelivery!$A:$A,$E25,DailyDelivery!$B:$B,$D25,DailyDelivery!$C:$C,Y$1)=0),"",COUNTIFS(DailyDelivery!$A:$A,$E25,DailyDelivery!$B:$B,$D25,DailyDelivery!$C:$C,Y$1))</f>
        <v/>
      </c>
      <c r="Z25" s="246" t="str">
        <f>if(OR($E25="",$D25="",COUNTIFS(DailyDelivery!$A:$A,$E25,DailyDelivery!$B:$B,$D25,DailyDelivery!$C:$C,Z$1)=0),"",COUNTIFS(DailyDelivery!$A:$A,$E25,DailyDelivery!$B:$B,$D25,DailyDelivery!$C:$C,Z$1))</f>
        <v/>
      </c>
      <c r="AA25" s="246" t="str">
        <f>if(OR($E25="",$D25="",COUNTIFS(DailyDelivery!$A:$A,$E25,DailyDelivery!$B:$B,$D25,DailyDelivery!$C:$C,AA$1)=0),"",COUNTIFS(DailyDelivery!$A:$A,$E25,DailyDelivery!$B:$B,$D25,DailyDelivery!$C:$C,AA$1))</f>
        <v/>
      </c>
      <c r="AB25" s="246" t="str">
        <f>if(OR($E25="",$D25="",COUNTIFS(DailyDelivery!$A:$A,$E25,DailyDelivery!$B:$B,$D25,DailyDelivery!$C:$C,AB$1)=0),"",COUNTIFS(DailyDelivery!$A:$A,$E25,DailyDelivery!$B:$B,$D25,DailyDelivery!$C:$C,AB$1))</f>
        <v/>
      </c>
      <c r="AC25" s="246" t="str">
        <f>if(OR($E25="",$D25="",COUNTIFS(DailyDelivery!$A:$A,$E25,DailyDelivery!$B:$B,$D25,DailyDelivery!$C:$C,AC$1)=0),"",COUNTIFS(DailyDelivery!$A:$A,$E25,DailyDelivery!$B:$B,$D25,DailyDelivery!$C:$C,AC$1))</f>
        <v/>
      </c>
      <c r="AD25" s="246" t="str">
        <f>if(OR($E25="",$D25="",COUNTIFS(DailyDelivery!$A:$A,$E25,DailyDelivery!$B:$B,$D25,DailyDelivery!$C:$C,AD$1)=0),"",COUNTIFS(DailyDelivery!$A:$A,$E25,DailyDelivery!$B:$B,$D25,DailyDelivery!$C:$C,AD$1))</f>
        <v/>
      </c>
      <c r="AE25" s="246" t="str">
        <f>if(OR($E25="",$D25="",COUNTIFS(DailyDelivery!$A:$A,$E25,DailyDelivery!$B:$B,$D25,DailyDelivery!$C:$C,AE$1)=0),"",COUNTIFS(DailyDelivery!$A:$A,$E25,DailyDelivery!$B:$B,$D25,DailyDelivery!$C:$C,AE$1))</f>
        <v/>
      </c>
      <c r="AF25" s="246" t="str">
        <f>if(OR($E25="",$D25="",COUNTIFS(DailyDelivery!$A:$A,$E25,DailyDelivery!$B:$B,$D25,DailyDelivery!$C:$C,AF$1)=0),"",COUNTIFS(DailyDelivery!$A:$A,$E25,DailyDelivery!$B:$B,$D25,DailyDelivery!$C:$C,AF$1))</f>
        <v/>
      </c>
      <c r="AG25" s="246" t="str">
        <f>if(OR($E25="",$D25="",COUNTIFS(DailyDelivery!$A:$A,$E25,DailyDelivery!$B:$B,$D25,DailyDelivery!$C:$C,AG$1)=0),"",COUNTIFS(DailyDelivery!$A:$A,$E25,DailyDelivery!$B:$B,$D25,DailyDelivery!$C:$C,AG$1))</f>
        <v/>
      </c>
      <c r="AH25" s="246" t="str">
        <f>if(OR($E25="",$D25="",COUNTIFS(DailyDelivery!$A:$A,$E25,DailyDelivery!$B:$B,$D25,DailyDelivery!$C:$C,AH$1)=0),"",COUNTIFS(DailyDelivery!$A:$A,$E25,DailyDelivery!$B:$B,$D25,DailyDelivery!$C:$C,AH$1))</f>
        <v/>
      </c>
    </row>
    <row r="26">
      <c r="A26" s="272"/>
      <c r="B26" s="273"/>
      <c r="C26" s="240"/>
      <c r="D26" s="274"/>
      <c r="E26" s="274"/>
      <c r="F26" s="242" t="str">
        <f t="shared" si="6"/>
        <v/>
      </c>
      <c r="G26" s="243" t="str">
        <f t="shared" si="7"/>
        <v/>
      </c>
      <c r="H26" s="242" t="str">
        <f t="shared" si="8"/>
        <v/>
      </c>
      <c r="I26" s="243" t="str">
        <f t="shared" si="9"/>
        <v/>
      </c>
      <c r="J26" s="244" t="str">
        <f>if(OR($E26="",$D26=""),"",sumifs(All_Stats!F:F,All_Stats!D:D,D26,All_Stats!A:A,E26,All_Stats!B:B,"Overall"))</f>
        <v/>
      </c>
      <c r="K26" s="275"/>
      <c r="L26" s="246" t="str">
        <f>if(OR($E26="",$D26=""),"",sumifs(All_Stats!G:G,All_Stats!D:D,D26,All_Stats!A:A,E26,All_Stats!B:B,"Overall"))</f>
        <v/>
      </c>
      <c r="M26" s="246" t="str">
        <f>if(OR($E26="",$D26=""),"",sumifs(All_Stats!H:H,All_Stats!D:D,D26,All_Stats!A:A,E26,All_Stats!B:B,"Overall"))</f>
        <v/>
      </c>
      <c r="N26" s="246" t="str">
        <f t="shared" si="10"/>
        <v/>
      </c>
      <c r="O26" s="276"/>
      <c r="P26" s="277"/>
      <c r="Q26" s="278"/>
      <c r="R26" s="250"/>
      <c r="S26" s="246">
        <f>SUMIFS(All_Stats!K:K,All_Stats!D:D,D26,All_Stats!A:A,E26,All_Stats!B:B,"Overall")</f>
        <v>0</v>
      </c>
      <c r="T26" s="251">
        <f>SUMIFS(All_Stats!L:L,All_Stats!D:D,D26,All_Stats!A:A,E26,All_Stats!B:B,"Overall")</f>
        <v>0</v>
      </c>
      <c r="U26" s="246" t="str">
        <f>if(OR($E26="",$D26="",COUNTIFS(DailyDelivery!$A:$A,$E26,DailyDelivery!$B:$B,$D26,DailyDelivery!$C:$C,U$1)=0),"",COUNTIFS(DailyDelivery!$A:$A,$E26,DailyDelivery!$B:$B,$D26,DailyDelivery!$C:$C,U$1))</f>
        <v/>
      </c>
      <c r="V26" s="246" t="str">
        <f>if(OR($E26="",$D26="",COUNTIFS(DailyDelivery!$A:$A,$E26,DailyDelivery!$B:$B,$D26,DailyDelivery!$C:$C,V$1)=0),"",COUNTIFS(DailyDelivery!$A:$A,$E26,DailyDelivery!$B:$B,$D26,DailyDelivery!$C:$C,V$1))</f>
        <v/>
      </c>
      <c r="W26" s="246" t="str">
        <f>if(OR($E26="",$D26="",COUNTIFS(DailyDelivery!$A:$A,$E26,DailyDelivery!$B:$B,$D26,DailyDelivery!$C:$C,W$1)=0),"",COUNTIFS(DailyDelivery!$A:$A,$E26,DailyDelivery!$B:$B,$D26,DailyDelivery!$C:$C,W$1))</f>
        <v/>
      </c>
      <c r="X26" s="246" t="str">
        <f>if(OR($E26="",$D26="",COUNTIFS(DailyDelivery!$A:$A,$E26,DailyDelivery!$B:$B,$D26,DailyDelivery!$C:$C,X$1)=0),"",COUNTIFS(DailyDelivery!$A:$A,$E26,DailyDelivery!$B:$B,$D26,DailyDelivery!$C:$C,X$1))</f>
        <v/>
      </c>
      <c r="Y26" s="246" t="str">
        <f>if(OR($E26="",$D26="",COUNTIFS(DailyDelivery!$A:$A,$E26,DailyDelivery!$B:$B,$D26,DailyDelivery!$C:$C,Y$1)=0),"",COUNTIFS(DailyDelivery!$A:$A,$E26,DailyDelivery!$B:$B,$D26,DailyDelivery!$C:$C,Y$1))</f>
        <v/>
      </c>
      <c r="Z26" s="246" t="str">
        <f>if(OR($E26="",$D26="",COUNTIFS(DailyDelivery!$A:$A,$E26,DailyDelivery!$B:$B,$D26,DailyDelivery!$C:$C,Z$1)=0),"",COUNTIFS(DailyDelivery!$A:$A,$E26,DailyDelivery!$B:$B,$D26,DailyDelivery!$C:$C,Z$1))</f>
        <v/>
      </c>
      <c r="AA26" s="246" t="str">
        <f>if(OR($E26="",$D26="",COUNTIFS(DailyDelivery!$A:$A,$E26,DailyDelivery!$B:$B,$D26,DailyDelivery!$C:$C,AA$1)=0),"",COUNTIFS(DailyDelivery!$A:$A,$E26,DailyDelivery!$B:$B,$D26,DailyDelivery!$C:$C,AA$1))</f>
        <v/>
      </c>
      <c r="AB26" s="246" t="str">
        <f>if(OR($E26="",$D26="",COUNTIFS(DailyDelivery!$A:$A,$E26,DailyDelivery!$B:$B,$D26,DailyDelivery!$C:$C,AB$1)=0),"",COUNTIFS(DailyDelivery!$A:$A,$E26,DailyDelivery!$B:$B,$D26,DailyDelivery!$C:$C,AB$1))</f>
        <v/>
      </c>
      <c r="AC26" s="246" t="str">
        <f>if(OR($E26="",$D26="",COUNTIFS(DailyDelivery!$A:$A,$E26,DailyDelivery!$B:$B,$D26,DailyDelivery!$C:$C,AC$1)=0),"",COUNTIFS(DailyDelivery!$A:$A,$E26,DailyDelivery!$B:$B,$D26,DailyDelivery!$C:$C,AC$1))</f>
        <v/>
      </c>
      <c r="AD26" s="246" t="str">
        <f>if(OR($E26="",$D26="",COUNTIFS(DailyDelivery!$A:$A,$E26,DailyDelivery!$B:$B,$D26,DailyDelivery!$C:$C,AD$1)=0),"",COUNTIFS(DailyDelivery!$A:$A,$E26,DailyDelivery!$B:$B,$D26,DailyDelivery!$C:$C,AD$1))</f>
        <v/>
      </c>
      <c r="AE26" s="246" t="str">
        <f>if(OR($E26="",$D26="",COUNTIFS(DailyDelivery!$A:$A,$E26,DailyDelivery!$B:$B,$D26,DailyDelivery!$C:$C,AE$1)=0),"",COUNTIFS(DailyDelivery!$A:$A,$E26,DailyDelivery!$B:$B,$D26,DailyDelivery!$C:$C,AE$1))</f>
        <v/>
      </c>
      <c r="AF26" s="246" t="str">
        <f>if(OR($E26="",$D26="",COUNTIFS(DailyDelivery!$A:$A,$E26,DailyDelivery!$B:$B,$D26,DailyDelivery!$C:$C,AF$1)=0),"",COUNTIFS(DailyDelivery!$A:$A,$E26,DailyDelivery!$B:$B,$D26,DailyDelivery!$C:$C,AF$1))</f>
        <v/>
      </c>
      <c r="AG26" s="246" t="str">
        <f>if(OR($E26="",$D26="",COUNTIFS(DailyDelivery!$A:$A,$E26,DailyDelivery!$B:$B,$D26,DailyDelivery!$C:$C,AG$1)=0),"",COUNTIFS(DailyDelivery!$A:$A,$E26,DailyDelivery!$B:$B,$D26,DailyDelivery!$C:$C,AG$1))</f>
        <v/>
      </c>
      <c r="AH26" s="246" t="str">
        <f>if(OR($E26="",$D26="",COUNTIFS(DailyDelivery!$A:$A,$E26,DailyDelivery!$B:$B,$D26,DailyDelivery!$C:$C,AH$1)=0),"",COUNTIFS(DailyDelivery!$A:$A,$E26,DailyDelivery!$B:$B,$D26,DailyDelivery!$C:$C,AH$1))</f>
        <v/>
      </c>
    </row>
    <row r="27">
      <c r="A27" s="272"/>
      <c r="B27" s="273"/>
      <c r="C27" s="240"/>
      <c r="D27" s="274"/>
      <c r="E27" s="274"/>
      <c r="F27" s="242" t="str">
        <f t="shared" si="6"/>
        <v/>
      </c>
      <c r="G27" s="243" t="str">
        <f t="shared" si="7"/>
        <v/>
      </c>
      <c r="H27" s="242" t="str">
        <f t="shared" si="8"/>
        <v/>
      </c>
      <c r="I27" s="243" t="str">
        <f t="shared" si="9"/>
        <v/>
      </c>
      <c r="J27" s="244" t="str">
        <f>if(OR($E27="",$D27=""),"",sumifs(All_Stats!F:F,All_Stats!D:D,D27,All_Stats!A:A,E27,All_Stats!B:B,"Overall"))</f>
        <v/>
      </c>
      <c r="K27" s="275"/>
      <c r="L27" s="246" t="str">
        <f>if(OR($E27="",$D27=""),"",sumifs(All_Stats!G:G,All_Stats!D:D,D27,All_Stats!A:A,E27,All_Stats!B:B,"Overall"))</f>
        <v/>
      </c>
      <c r="M27" s="246" t="str">
        <f>if(OR($E27="",$D27=""),"",sumifs(All_Stats!H:H,All_Stats!D:D,D27,All_Stats!A:A,E27,All_Stats!B:B,"Overall"))</f>
        <v/>
      </c>
      <c r="N27" s="246" t="str">
        <f t="shared" si="10"/>
        <v/>
      </c>
      <c r="O27" s="276"/>
      <c r="P27" s="277"/>
      <c r="Q27" s="278"/>
      <c r="R27" s="250"/>
      <c r="S27" s="246">
        <f>SUMIFS(All_Stats!K:K,All_Stats!D:D,D27,All_Stats!A:A,E27,All_Stats!B:B,"Overall")</f>
        <v>0</v>
      </c>
      <c r="T27" s="251">
        <f>SUMIFS(All_Stats!L:L,All_Stats!D:D,D27,All_Stats!A:A,E27,All_Stats!B:B,"Overall")</f>
        <v>0</v>
      </c>
      <c r="U27" s="246" t="str">
        <f>if(OR($E27="",$D27="",COUNTIFS(DailyDelivery!$A:$A,$E27,DailyDelivery!$B:$B,$D27,DailyDelivery!$C:$C,U$1)=0),"",COUNTIFS(DailyDelivery!$A:$A,$E27,DailyDelivery!$B:$B,$D27,DailyDelivery!$C:$C,U$1))</f>
        <v/>
      </c>
      <c r="V27" s="246" t="str">
        <f>if(OR($E27="",$D27="",COUNTIFS(DailyDelivery!$A:$A,$E27,DailyDelivery!$B:$B,$D27,DailyDelivery!$C:$C,V$1)=0),"",COUNTIFS(DailyDelivery!$A:$A,$E27,DailyDelivery!$B:$B,$D27,DailyDelivery!$C:$C,V$1))</f>
        <v/>
      </c>
      <c r="W27" s="246" t="str">
        <f>if(OR($E27="",$D27="",COUNTIFS(DailyDelivery!$A:$A,$E27,DailyDelivery!$B:$B,$D27,DailyDelivery!$C:$C,W$1)=0),"",COUNTIFS(DailyDelivery!$A:$A,$E27,DailyDelivery!$B:$B,$D27,DailyDelivery!$C:$C,W$1))</f>
        <v/>
      </c>
      <c r="X27" s="246" t="str">
        <f>if(OR($E27="",$D27="",COUNTIFS(DailyDelivery!$A:$A,$E27,DailyDelivery!$B:$B,$D27,DailyDelivery!$C:$C,X$1)=0),"",COUNTIFS(DailyDelivery!$A:$A,$E27,DailyDelivery!$B:$B,$D27,DailyDelivery!$C:$C,X$1))</f>
        <v/>
      </c>
      <c r="Y27" s="246" t="str">
        <f>if(OR($E27="",$D27="",COUNTIFS(DailyDelivery!$A:$A,$E27,DailyDelivery!$B:$B,$D27,DailyDelivery!$C:$C,Y$1)=0),"",COUNTIFS(DailyDelivery!$A:$A,$E27,DailyDelivery!$B:$B,$D27,DailyDelivery!$C:$C,Y$1))</f>
        <v/>
      </c>
      <c r="Z27" s="246" t="str">
        <f>if(OR($E27="",$D27="",COUNTIFS(DailyDelivery!$A:$A,$E27,DailyDelivery!$B:$B,$D27,DailyDelivery!$C:$C,Z$1)=0),"",COUNTIFS(DailyDelivery!$A:$A,$E27,DailyDelivery!$B:$B,$D27,DailyDelivery!$C:$C,Z$1))</f>
        <v/>
      </c>
      <c r="AA27" s="246" t="str">
        <f>if(OR($E27="",$D27="",COUNTIFS(DailyDelivery!$A:$A,$E27,DailyDelivery!$B:$B,$D27,DailyDelivery!$C:$C,AA$1)=0),"",COUNTIFS(DailyDelivery!$A:$A,$E27,DailyDelivery!$B:$B,$D27,DailyDelivery!$C:$C,AA$1))</f>
        <v/>
      </c>
      <c r="AB27" s="246" t="str">
        <f>if(OR($E27="",$D27="",COUNTIFS(DailyDelivery!$A:$A,$E27,DailyDelivery!$B:$B,$D27,DailyDelivery!$C:$C,AB$1)=0),"",COUNTIFS(DailyDelivery!$A:$A,$E27,DailyDelivery!$B:$B,$D27,DailyDelivery!$C:$C,AB$1))</f>
        <v/>
      </c>
      <c r="AC27" s="246" t="str">
        <f>if(OR($E27="",$D27="",COUNTIFS(DailyDelivery!$A:$A,$E27,DailyDelivery!$B:$B,$D27,DailyDelivery!$C:$C,AC$1)=0),"",COUNTIFS(DailyDelivery!$A:$A,$E27,DailyDelivery!$B:$B,$D27,DailyDelivery!$C:$C,AC$1))</f>
        <v/>
      </c>
      <c r="AD27" s="246" t="str">
        <f>if(OR($E27="",$D27="",COUNTIFS(DailyDelivery!$A:$A,$E27,DailyDelivery!$B:$B,$D27,DailyDelivery!$C:$C,AD$1)=0),"",COUNTIFS(DailyDelivery!$A:$A,$E27,DailyDelivery!$B:$B,$D27,DailyDelivery!$C:$C,AD$1))</f>
        <v/>
      </c>
      <c r="AE27" s="246" t="str">
        <f>if(OR($E27="",$D27="",COUNTIFS(DailyDelivery!$A:$A,$E27,DailyDelivery!$B:$B,$D27,DailyDelivery!$C:$C,AE$1)=0),"",COUNTIFS(DailyDelivery!$A:$A,$E27,DailyDelivery!$B:$B,$D27,DailyDelivery!$C:$C,AE$1))</f>
        <v/>
      </c>
      <c r="AF27" s="246" t="str">
        <f>if(OR($E27="",$D27="",COUNTIFS(DailyDelivery!$A:$A,$E27,DailyDelivery!$B:$B,$D27,DailyDelivery!$C:$C,AF$1)=0),"",COUNTIFS(DailyDelivery!$A:$A,$E27,DailyDelivery!$B:$B,$D27,DailyDelivery!$C:$C,AF$1))</f>
        <v/>
      </c>
      <c r="AG27" s="246" t="str">
        <f>if(OR($E27="",$D27="",COUNTIFS(DailyDelivery!$A:$A,$E27,DailyDelivery!$B:$B,$D27,DailyDelivery!$C:$C,AG$1)=0),"",COUNTIFS(DailyDelivery!$A:$A,$E27,DailyDelivery!$B:$B,$D27,DailyDelivery!$C:$C,AG$1))</f>
        <v/>
      </c>
      <c r="AH27" s="246" t="str">
        <f>if(OR($E27="",$D27="",COUNTIFS(DailyDelivery!$A:$A,$E27,DailyDelivery!$B:$B,$D27,DailyDelivery!$C:$C,AH$1)=0),"",COUNTIFS(DailyDelivery!$A:$A,$E27,DailyDelivery!$B:$B,$D27,DailyDelivery!$C:$C,AH$1))</f>
        <v/>
      </c>
    </row>
    <row r="28">
      <c r="A28" s="272"/>
      <c r="B28" s="273"/>
      <c r="C28" s="240"/>
      <c r="D28" s="274"/>
      <c r="E28" s="274"/>
      <c r="F28" s="242" t="str">
        <f t="shared" si="6"/>
        <v/>
      </c>
      <c r="G28" s="243" t="str">
        <f t="shared" si="7"/>
        <v/>
      </c>
      <c r="H28" s="242" t="str">
        <f t="shared" si="8"/>
        <v/>
      </c>
      <c r="I28" s="243" t="str">
        <f t="shared" si="9"/>
        <v/>
      </c>
      <c r="J28" s="244" t="str">
        <f>if(OR($E28="",$D28=""),"",sumifs(All_Stats!F:F,All_Stats!D:D,D28,All_Stats!A:A,E28,All_Stats!B:B,"Overall"))</f>
        <v/>
      </c>
      <c r="K28" s="275"/>
      <c r="L28" s="246" t="str">
        <f>if(OR($E28="",$D28=""),"",sumifs(All_Stats!G:G,All_Stats!D:D,D28,All_Stats!A:A,E28,All_Stats!B:B,"Overall"))</f>
        <v/>
      </c>
      <c r="M28" s="246" t="str">
        <f>if(OR($E28="",$D28=""),"",sumifs(All_Stats!H:H,All_Stats!D:D,D28,All_Stats!A:A,E28,All_Stats!B:B,"Overall"))</f>
        <v/>
      </c>
      <c r="N28" s="246" t="str">
        <f t="shared" si="10"/>
        <v/>
      </c>
      <c r="O28" s="276"/>
      <c r="P28" s="277"/>
      <c r="Q28" s="278"/>
      <c r="R28" s="250"/>
      <c r="S28" s="246">
        <f>SUMIFS(All_Stats!K:K,All_Stats!D:D,D28,All_Stats!A:A,E28,All_Stats!B:B,"Overall")</f>
        <v>0</v>
      </c>
      <c r="T28" s="251">
        <f>SUMIFS(All_Stats!L:L,All_Stats!D:D,D28,All_Stats!A:A,E28,All_Stats!B:B,"Overall")</f>
        <v>0</v>
      </c>
      <c r="U28" s="246" t="str">
        <f>if(OR($E28="",$D28="",COUNTIFS(DailyDelivery!$A:$A,$E28,DailyDelivery!$B:$B,$D28,DailyDelivery!$C:$C,U$1)=0),"",COUNTIFS(DailyDelivery!$A:$A,$E28,DailyDelivery!$B:$B,$D28,DailyDelivery!$C:$C,U$1))</f>
        <v/>
      </c>
      <c r="V28" s="246" t="str">
        <f>if(OR($E28="",$D28="",COUNTIFS(DailyDelivery!$A:$A,$E28,DailyDelivery!$B:$B,$D28,DailyDelivery!$C:$C,V$1)=0),"",COUNTIFS(DailyDelivery!$A:$A,$E28,DailyDelivery!$B:$B,$D28,DailyDelivery!$C:$C,V$1))</f>
        <v/>
      </c>
      <c r="W28" s="246" t="str">
        <f>if(OR($E28="",$D28="",COUNTIFS(DailyDelivery!$A:$A,$E28,DailyDelivery!$B:$B,$D28,DailyDelivery!$C:$C,W$1)=0),"",COUNTIFS(DailyDelivery!$A:$A,$E28,DailyDelivery!$B:$B,$D28,DailyDelivery!$C:$C,W$1))</f>
        <v/>
      </c>
      <c r="X28" s="246" t="str">
        <f>if(OR($E28="",$D28="",COUNTIFS(DailyDelivery!$A:$A,$E28,DailyDelivery!$B:$B,$D28,DailyDelivery!$C:$C,X$1)=0),"",COUNTIFS(DailyDelivery!$A:$A,$E28,DailyDelivery!$B:$B,$D28,DailyDelivery!$C:$C,X$1))</f>
        <v/>
      </c>
      <c r="Y28" s="246" t="str">
        <f>if(OR($E28="",$D28="",COUNTIFS(DailyDelivery!$A:$A,$E28,DailyDelivery!$B:$B,$D28,DailyDelivery!$C:$C,Y$1)=0),"",COUNTIFS(DailyDelivery!$A:$A,$E28,DailyDelivery!$B:$B,$D28,DailyDelivery!$C:$C,Y$1))</f>
        <v/>
      </c>
      <c r="Z28" s="246" t="str">
        <f>if(OR($E28="",$D28="",COUNTIFS(DailyDelivery!$A:$A,$E28,DailyDelivery!$B:$B,$D28,DailyDelivery!$C:$C,Z$1)=0),"",COUNTIFS(DailyDelivery!$A:$A,$E28,DailyDelivery!$B:$B,$D28,DailyDelivery!$C:$C,Z$1))</f>
        <v/>
      </c>
      <c r="AA28" s="246" t="str">
        <f>if(OR($E28="",$D28="",COUNTIFS(DailyDelivery!$A:$A,$E28,DailyDelivery!$B:$B,$D28,DailyDelivery!$C:$C,AA$1)=0),"",COUNTIFS(DailyDelivery!$A:$A,$E28,DailyDelivery!$B:$B,$D28,DailyDelivery!$C:$C,AA$1))</f>
        <v/>
      </c>
      <c r="AB28" s="246" t="str">
        <f>if(OR($E28="",$D28="",COUNTIFS(DailyDelivery!$A:$A,$E28,DailyDelivery!$B:$B,$D28,DailyDelivery!$C:$C,AB$1)=0),"",COUNTIFS(DailyDelivery!$A:$A,$E28,DailyDelivery!$B:$B,$D28,DailyDelivery!$C:$C,AB$1))</f>
        <v/>
      </c>
      <c r="AC28" s="246" t="str">
        <f>if(OR($E28="",$D28="",COUNTIFS(DailyDelivery!$A:$A,$E28,DailyDelivery!$B:$B,$D28,DailyDelivery!$C:$C,AC$1)=0),"",COUNTIFS(DailyDelivery!$A:$A,$E28,DailyDelivery!$B:$B,$D28,DailyDelivery!$C:$C,AC$1))</f>
        <v/>
      </c>
      <c r="AD28" s="246" t="str">
        <f>if(OR($E28="",$D28="",COUNTIFS(DailyDelivery!$A:$A,$E28,DailyDelivery!$B:$B,$D28,DailyDelivery!$C:$C,AD$1)=0),"",COUNTIFS(DailyDelivery!$A:$A,$E28,DailyDelivery!$B:$B,$D28,DailyDelivery!$C:$C,AD$1))</f>
        <v/>
      </c>
      <c r="AE28" s="246" t="str">
        <f>if(OR($E28="",$D28="",COUNTIFS(DailyDelivery!$A:$A,$E28,DailyDelivery!$B:$B,$D28,DailyDelivery!$C:$C,AE$1)=0),"",COUNTIFS(DailyDelivery!$A:$A,$E28,DailyDelivery!$B:$B,$D28,DailyDelivery!$C:$C,AE$1))</f>
        <v/>
      </c>
      <c r="AF28" s="246" t="str">
        <f>if(OR($E28="",$D28="",COUNTIFS(DailyDelivery!$A:$A,$E28,DailyDelivery!$B:$B,$D28,DailyDelivery!$C:$C,AF$1)=0),"",COUNTIFS(DailyDelivery!$A:$A,$E28,DailyDelivery!$B:$B,$D28,DailyDelivery!$C:$C,AF$1))</f>
        <v/>
      </c>
      <c r="AG28" s="246" t="str">
        <f>if(OR($E28="",$D28="",COUNTIFS(DailyDelivery!$A:$A,$E28,DailyDelivery!$B:$B,$D28,DailyDelivery!$C:$C,AG$1)=0),"",COUNTIFS(DailyDelivery!$A:$A,$E28,DailyDelivery!$B:$B,$D28,DailyDelivery!$C:$C,AG$1))</f>
        <v/>
      </c>
      <c r="AH28" s="246" t="str">
        <f>if(OR($E28="",$D28="",COUNTIFS(DailyDelivery!$A:$A,$E28,DailyDelivery!$B:$B,$D28,DailyDelivery!$C:$C,AH$1)=0),"",COUNTIFS(DailyDelivery!$A:$A,$E28,DailyDelivery!$B:$B,$D28,DailyDelivery!$C:$C,AH$1))</f>
        <v/>
      </c>
    </row>
    <row r="29">
      <c r="A29" s="272"/>
      <c r="B29" s="273"/>
      <c r="C29" s="240"/>
      <c r="D29" s="274"/>
      <c r="E29" s="274"/>
      <c r="F29" s="242" t="str">
        <f t="shared" si="6"/>
        <v/>
      </c>
      <c r="G29" s="243" t="str">
        <f t="shared" si="7"/>
        <v/>
      </c>
      <c r="H29" s="242" t="str">
        <f t="shared" si="8"/>
        <v/>
      </c>
      <c r="I29" s="243" t="str">
        <f t="shared" si="9"/>
        <v/>
      </c>
      <c r="J29" s="244" t="str">
        <f>if(OR($E29="",$D29=""),"",sumifs(All_Stats!F:F,All_Stats!D:D,D29,All_Stats!A:A,E29,All_Stats!B:B,"Overall"))</f>
        <v/>
      </c>
      <c r="K29" s="275"/>
      <c r="L29" s="246" t="str">
        <f>if(OR($E29="",$D29=""),"",sumifs(All_Stats!G:G,All_Stats!D:D,D29,All_Stats!A:A,E29,All_Stats!B:B,"Overall"))</f>
        <v/>
      </c>
      <c r="M29" s="246" t="str">
        <f>if(OR($E29="",$D29=""),"",sumifs(All_Stats!H:H,All_Stats!D:D,D29,All_Stats!A:A,E29,All_Stats!B:B,"Overall"))</f>
        <v/>
      </c>
      <c r="N29" s="246" t="str">
        <f t="shared" si="10"/>
        <v/>
      </c>
      <c r="O29" s="276"/>
      <c r="P29" s="277"/>
      <c r="Q29" s="278"/>
      <c r="R29" s="250"/>
      <c r="S29" s="246">
        <f>SUMIFS(All_Stats!K:K,All_Stats!D:D,D29,All_Stats!A:A,E29,All_Stats!B:B,"Overall")</f>
        <v>0</v>
      </c>
      <c r="T29" s="251">
        <f>SUMIFS(All_Stats!L:L,All_Stats!D:D,D29,All_Stats!A:A,E29,All_Stats!B:B,"Overall")</f>
        <v>0</v>
      </c>
      <c r="U29" s="246" t="str">
        <f>if(OR($E29="",$D29="",COUNTIFS(DailyDelivery!$A:$A,$E29,DailyDelivery!$B:$B,$D29,DailyDelivery!$C:$C,U$1)=0),"",COUNTIFS(DailyDelivery!$A:$A,$E29,DailyDelivery!$B:$B,$D29,DailyDelivery!$C:$C,U$1))</f>
        <v/>
      </c>
      <c r="V29" s="246" t="str">
        <f>if(OR($E29="",$D29="",COUNTIFS(DailyDelivery!$A:$A,$E29,DailyDelivery!$B:$B,$D29,DailyDelivery!$C:$C,V$1)=0),"",COUNTIFS(DailyDelivery!$A:$A,$E29,DailyDelivery!$B:$B,$D29,DailyDelivery!$C:$C,V$1))</f>
        <v/>
      </c>
      <c r="W29" s="246" t="str">
        <f>if(OR($E29="",$D29="",COUNTIFS(DailyDelivery!$A:$A,$E29,DailyDelivery!$B:$B,$D29,DailyDelivery!$C:$C,W$1)=0),"",COUNTIFS(DailyDelivery!$A:$A,$E29,DailyDelivery!$B:$B,$D29,DailyDelivery!$C:$C,W$1))</f>
        <v/>
      </c>
      <c r="X29" s="246" t="str">
        <f>if(OR($E29="",$D29="",COUNTIFS(DailyDelivery!$A:$A,$E29,DailyDelivery!$B:$B,$D29,DailyDelivery!$C:$C,X$1)=0),"",COUNTIFS(DailyDelivery!$A:$A,$E29,DailyDelivery!$B:$B,$D29,DailyDelivery!$C:$C,X$1))</f>
        <v/>
      </c>
      <c r="Y29" s="246" t="str">
        <f>if(OR($E29="",$D29="",COUNTIFS(DailyDelivery!$A:$A,$E29,DailyDelivery!$B:$B,$D29,DailyDelivery!$C:$C,Y$1)=0),"",COUNTIFS(DailyDelivery!$A:$A,$E29,DailyDelivery!$B:$B,$D29,DailyDelivery!$C:$C,Y$1))</f>
        <v/>
      </c>
      <c r="Z29" s="246" t="str">
        <f>if(OR($E29="",$D29="",COUNTIFS(DailyDelivery!$A:$A,$E29,DailyDelivery!$B:$B,$D29,DailyDelivery!$C:$C,Z$1)=0),"",COUNTIFS(DailyDelivery!$A:$A,$E29,DailyDelivery!$B:$B,$D29,DailyDelivery!$C:$C,Z$1))</f>
        <v/>
      </c>
      <c r="AA29" s="246" t="str">
        <f>if(OR($E29="",$D29="",COUNTIFS(DailyDelivery!$A:$A,$E29,DailyDelivery!$B:$B,$D29,DailyDelivery!$C:$C,AA$1)=0),"",COUNTIFS(DailyDelivery!$A:$A,$E29,DailyDelivery!$B:$B,$D29,DailyDelivery!$C:$C,AA$1))</f>
        <v/>
      </c>
      <c r="AB29" s="246" t="str">
        <f>if(OR($E29="",$D29="",COUNTIFS(DailyDelivery!$A:$A,$E29,DailyDelivery!$B:$B,$D29,DailyDelivery!$C:$C,AB$1)=0),"",COUNTIFS(DailyDelivery!$A:$A,$E29,DailyDelivery!$B:$B,$D29,DailyDelivery!$C:$C,AB$1))</f>
        <v/>
      </c>
      <c r="AC29" s="246" t="str">
        <f>if(OR($E29="",$D29="",COUNTIFS(DailyDelivery!$A:$A,$E29,DailyDelivery!$B:$B,$D29,DailyDelivery!$C:$C,AC$1)=0),"",COUNTIFS(DailyDelivery!$A:$A,$E29,DailyDelivery!$B:$B,$D29,DailyDelivery!$C:$C,AC$1))</f>
        <v/>
      </c>
      <c r="AD29" s="246" t="str">
        <f>if(OR($E29="",$D29="",COUNTIFS(DailyDelivery!$A:$A,$E29,DailyDelivery!$B:$B,$D29,DailyDelivery!$C:$C,AD$1)=0),"",COUNTIFS(DailyDelivery!$A:$A,$E29,DailyDelivery!$B:$B,$D29,DailyDelivery!$C:$C,AD$1))</f>
        <v/>
      </c>
      <c r="AE29" s="246" t="str">
        <f>if(OR($E29="",$D29="",COUNTIFS(DailyDelivery!$A:$A,$E29,DailyDelivery!$B:$B,$D29,DailyDelivery!$C:$C,AE$1)=0),"",COUNTIFS(DailyDelivery!$A:$A,$E29,DailyDelivery!$B:$B,$D29,DailyDelivery!$C:$C,AE$1))</f>
        <v/>
      </c>
      <c r="AF29" s="246" t="str">
        <f>if(OR($E29="",$D29="",COUNTIFS(DailyDelivery!$A:$A,$E29,DailyDelivery!$B:$B,$D29,DailyDelivery!$C:$C,AF$1)=0),"",COUNTIFS(DailyDelivery!$A:$A,$E29,DailyDelivery!$B:$B,$D29,DailyDelivery!$C:$C,AF$1))</f>
        <v/>
      </c>
      <c r="AG29" s="246" t="str">
        <f>if(OR($E29="",$D29="",COUNTIFS(DailyDelivery!$A:$A,$E29,DailyDelivery!$B:$B,$D29,DailyDelivery!$C:$C,AG$1)=0),"",COUNTIFS(DailyDelivery!$A:$A,$E29,DailyDelivery!$B:$B,$D29,DailyDelivery!$C:$C,AG$1))</f>
        <v/>
      </c>
      <c r="AH29" s="246" t="str">
        <f>if(OR($E29="",$D29="",COUNTIFS(DailyDelivery!$A:$A,$E29,DailyDelivery!$B:$B,$D29,DailyDelivery!$C:$C,AH$1)=0),"",COUNTIFS(DailyDelivery!$A:$A,$E29,DailyDelivery!$B:$B,$D29,DailyDelivery!$C:$C,AH$1))</f>
        <v/>
      </c>
    </row>
    <row r="30">
      <c r="A30" s="272"/>
      <c r="B30" s="273"/>
      <c r="C30" s="240"/>
      <c r="D30" s="274"/>
      <c r="E30" s="274"/>
      <c r="F30" s="242" t="str">
        <f t="shared" si="6"/>
        <v/>
      </c>
      <c r="G30" s="243" t="str">
        <f t="shared" si="7"/>
        <v/>
      </c>
      <c r="H30" s="242" t="str">
        <f t="shared" si="8"/>
        <v/>
      </c>
      <c r="I30" s="243" t="str">
        <f t="shared" si="9"/>
        <v/>
      </c>
      <c r="J30" s="244" t="str">
        <f>if(OR($E30="",$D30=""),"",sumifs(All_Stats!F:F,All_Stats!D:D,D30,All_Stats!A:A,E30,All_Stats!B:B,"Overall"))</f>
        <v/>
      </c>
      <c r="K30" s="275"/>
      <c r="L30" s="246" t="str">
        <f>if(OR($E30="",$D30=""),"",sumifs(All_Stats!G:G,All_Stats!D:D,D30,All_Stats!A:A,E30,All_Stats!B:B,"Overall"))</f>
        <v/>
      </c>
      <c r="M30" s="246" t="str">
        <f>if(OR($E30="",$D30=""),"",sumifs(All_Stats!H:H,All_Stats!D:D,D30,All_Stats!A:A,E30,All_Stats!B:B,"Overall"))</f>
        <v/>
      </c>
      <c r="N30" s="246" t="str">
        <f t="shared" si="10"/>
        <v/>
      </c>
      <c r="O30" s="276"/>
      <c r="P30" s="277"/>
      <c r="Q30" s="278"/>
      <c r="R30" s="250"/>
      <c r="S30" s="246">
        <f>SUMIFS(All_Stats!K:K,All_Stats!D:D,D30,All_Stats!A:A,E30,All_Stats!B:B,"Overall")</f>
        <v>0</v>
      </c>
      <c r="T30" s="251">
        <f>SUMIFS(All_Stats!L:L,All_Stats!D:D,D30,All_Stats!A:A,E30,All_Stats!B:B,"Overall")</f>
        <v>0</v>
      </c>
      <c r="U30" s="246" t="str">
        <f>if(OR($E30="",$D30="",COUNTIFS(DailyDelivery!$A:$A,$E30,DailyDelivery!$B:$B,$D30,DailyDelivery!$C:$C,U$1)=0),"",COUNTIFS(DailyDelivery!$A:$A,$E30,DailyDelivery!$B:$B,$D30,DailyDelivery!$C:$C,U$1))</f>
        <v/>
      </c>
      <c r="V30" s="246" t="str">
        <f>if(OR($E30="",$D30="",COUNTIFS(DailyDelivery!$A:$A,$E30,DailyDelivery!$B:$B,$D30,DailyDelivery!$C:$C,V$1)=0),"",COUNTIFS(DailyDelivery!$A:$A,$E30,DailyDelivery!$B:$B,$D30,DailyDelivery!$C:$C,V$1))</f>
        <v/>
      </c>
      <c r="W30" s="246" t="str">
        <f>if(OR($E30="",$D30="",COUNTIFS(DailyDelivery!$A:$A,$E30,DailyDelivery!$B:$B,$D30,DailyDelivery!$C:$C,W$1)=0),"",COUNTIFS(DailyDelivery!$A:$A,$E30,DailyDelivery!$B:$B,$D30,DailyDelivery!$C:$C,W$1))</f>
        <v/>
      </c>
      <c r="X30" s="246" t="str">
        <f>if(OR($E30="",$D30="",COUNTIFS(DailyDelivery!$A:$A,$E30,DailyDelivery!$B:$B,$D30,DailyDelivery!$C:$C,X$1)=0),"",COUNTIFS(DailyDelivery!$A:$A,$E30,DailyDelivery!$B:$B,$D30,DailyDelivery!$C:$C,X$1))</f>
        <v/>
      </c>
      <c r="Y30" s="246" t="str">
        <f>if(OR($E30="",$D30="",COUNTIFS(DailyDelivery!$A:$A,$E30,DailyDelivery!$B:$B,$D30,DailyDelivery!$C:$C,Y$1)=0),"",COUNTIFS(DailyDelivery!$A:$A,$E30,DailyDelivery!$B:$B,$D30,DailyDelivery!$C:$C,Y$1))</f>
        <v/>
      </c>
      <c r="Z30" s="246" t="str">
        <f>if(OR($E30="",$D30="",COUNTIFS(DailyDelivery!$A:$A,$E30,DailyDelivery!$B:$B,$D30,DailyDelivery!$C:$C,Z$1)=0),"",COUNTIFS(DailyDelivery!$A:$A,$E30,DailyDelivery!$B:$B,$D30,DailyDelivery!$C:$C,Z$1))</f>
        <v/>
      </c>
      <c r="AA30" s="246" t="str">
        <f>if(OR($E30="",$D30="",COUNTIFS(DailyDelivery!$A:$A,$E30,DailyDelivery!$B:$B,$D30,DailyDelivery!$C:$C,AA$1)=0),"",COUNTIFS(DailyDelivery!$A:$A,$E30,DailyDelivery!$B:$B,$D30,DailyDelivery!$C:$C,AA$1))</f>
        <v/>
      </c>
      <c r="AB30" s="246" t="str">
        <f>if(OR($E30="",$D30="",COUNTIFS(DailyDelivery!$A:$A,$E30,DailyDelivery!$B:$B,$D30,DailyDelivery!$C:$C,AB$1)=0),"",COUNTIFS(DailyDelivery!$A:$A,$E30,DailyDelivery!$B:$B,$D30,DailyDelivery!$C:$C,AB$1))</f>
        <v/>
      </c>
      <c r="AC30" s="246" t="str">
        <f>if(OR($E30="",$D30="",COUNTIFS(DailyDelivery!$A:$A,$E30,DailyDelivery!$B:$B,$D30,DailyDelivery!$C:$C,AC$1)=0),"",COUNTIFS(DailyDelivery!$A:$A,$E30,DailyDelivery!$B:$B,$D30,DailyDelivery!$C:$C,AC$1))</f>
        <v/>
      </c>
      <c r="AD30" s="246" t="str">
        <f>if(OR($E30="",$D30="",COUNTIFS(DailyDelivery!$A:$A,$E30,DailyDelivery!$B:$B,$D30,DailyDelivery!$C:$C,AD$1)=0),"",COUNTIFS(DailyDelivery!$A:$A,$E30,DailyDelivery!$B:$B,$D30,DailyDelivery!$C:$C,AD$1))</f>
        <v/>
      </c>
      <c r="AE30" s="246" t="str">
        <f>if(OR($E30="",$D30="",COUNTIFS(DailyDelivery!$A:$A,$E30,DailyDelivery!$B:$B,$D30,DailyDelivery!$C:$C,AE$1)=0),"",COUNTIFS(DailyDelivery!$A:$A,$E30,DailyDelivery!$B:$B,$D30,DailyDelivery!$C:$C,AE$1))</f>
        <v/>
      </c>
      <c r="AF30" s="246" t="str">
        <f>if(OR($E30="",$D30="",COUNTIFS(DailyDelivery!$A:$A,$E30,DailyDelivery!$B:$B,$D30,DailyDelivery!$C:$C,AF$1)=0),"",COUNTIFS(DailyDelivery!$A:$A,$E30,DailyDelivery!$B:$B,$D30,DailyDelivery!$C:$C,AF$1))</f>
        <v/>
      </c>
      <c r="AG30" s="246" t="str">
        <f>if(OR($E30="",$D30="",COUNTIFS(DailyDelivery!$A:$A,$E30,DailyDelivery!$B:$B,$D30,DailyDelivery!$C:$C,AG$1)=0),"",COUNTIFS(DailyDelivery!$A:$A,$E30,DailyDelivery!$B:$B,$D30,DailyDelivery!$C:$C,AG$1))</f>
        <v/>
      </c>
      <c r="AH30" s="246" t="str">
        <f>if(OR($E30="",$D30="",COUNTIFS(DailyDelivery!$A:$A,$E30,DailyDelivery!$B:$B,$D30,DailyDelivery!$C:$C,AH$1)=0),"",COUNTIFS(DailyDelivery!$A:$A,$E30,DailyDelivery!$B:$B,$D30,DailyDelivery!$C:$C,AH$1))</f>
        <v/>
      </c>
    </row>
    <row r="31">
      <c r="A31" s="272"/>
      <c r="B31" s="273"/>
      <c r="C31" s="240"/>
      <c r="D31" s="274"/>
      <c r="E31" s="274"/>
      <c r="F31" s="242" t="str">
        <f t="shared" si="6"/>
        <v/>
      </c>
      <c r="G31" s="243" t="str">
        <f t="shared" si="7"/>
        <v/>
      </c>
      <c r="H31" s="242" t="str">
        <f t="shared" si="8"/>
        <v/>
      </c>
      <c r="I31" s="243" t="str">
        <f t="shared" si="9"/>
        <v/>
      </c>
      <c r="J31" s="244" t="str">
        <f>if(OR($E31="",$D31=""),"",sumifs(All_Stats!F:F,All_Stats!D:D,D31,All_Stats!A:A,E31,All_Stats!B:B,"Overall"))</f>
        <v/>
      </c>
      <c r="K31" s="275"/>
      <c r="L31" s="246" t="str">
        <f>if(OR($E31="",$D31=""),"",sumifs(All_Stats!G:G,All_Stats!D:D,D31,All_Stats!A:A,E31,All_Stats!B:B,"Overall"))</f>
        <v/>
      </c>
      <c r="M31" s="246" t="str">
        <f>if(OR($E31="",$D31=""),"",sumifs(All_Stats!H:H,All_Stats!D:D,D31,All_Stats!A:A,E31,All_Stats!B:B,"Overall"))</f>
        <v/>
      </c>
      <c r="N31" s="246" t="str">
        <f t="shared" si="10"/>
        <v/>
      </c>
      <c r="O31" s="276"/>
      <c r="P31" s="277"/>
      <c r="Q31" s="278"/>
      <c r="R31" s="250"/>
      <c r="S31" s="246">
        <f>SUMIFS(All_Stats!K:K,All_Stats!D:D,D31,All_Stats!A:A,E31,All_Stats!B:B,"Overall")</f>
        <v>0</v>
      </c>
      <c r="T31" s="251">
        <f>SUMIFS(All_Stats!L:L,All_Stats!D:D,D31,All_Stats!A:A,E31,All_Stats!B:B,"Overall")</f>
        <v>0</v>
      </c>
      <c r="U31" s="246" t="str">
        <f>if(OR($E31="",$D31="",COUNTIFS(DailyDelivery!$A:$A,$E31,DailyDelivery!$B:$B,$D31,DailyDelivery!$C:$C,U$1)=0),"",COUNTIFS(DailyDelivery!$A:$A,$E31,DailyDelivery!$B:$B,$D31,DailyDelivery!$C:$C,U$1))</f>
        <v/>
      </c>
      <c r="V31" s="246" t="str">
        <f>if(OR($E31="",$D31="",COUNTIFS(DailyDelivery!$A:$A,$E31,DailyDelivery!$B:$B,$D31,DailyDelivery!$C:$C,V$1)=0),"",COUNTIFS(DailyDelivery!$A:$A,$E31,DailyDelivery!$B:$B,$D31,DailyDelivery!$C:$C,V$1))</f>
        <v/>
      </c>
      <c r="W31" s="246" t="str">
        <f>if(OR($E31="",$D31="",COUNTIFS(DailyDelivery!$A:$A,$E31,DailyDelivery!$B:$B,$D31,DailyDelivery!$C:$C,W$1)=0),"",COUNTIFS(DailyDelivery!$A:$A,$E31,DailyDelivery!$B:$B,$D31,DailyDelivery!$C:$C,W$1))</f>
        <v/>
      </c>
      <c r="X31" s="246" t="str">
        <f>if(OR($E31="",$D31="",COUNTIFS(DailyDelivery!$A:$A,$E31,DailyDelivery!$B:$B,$D31,DailyDelivery!$C:$C,X$1)=0),"",COUNTIFS(DailyDelivery!$A:$A,$E31,DailyDelivery!$B:$B,$D31,DailyDelivery!$C:$C,X$1))</f>
        <v/>
      </c>
      <c r="Y31" s="246" t="str">
        <f>if(OR($E31="",$D31="",COUNTIFS(DailyDelivery!$A:$A,$E31,DailyDelivery!$B:$B,$D31,DailyDelivery!$C:$C,Y$1)=0),"",COUNTIFS(DailyDelivery!$A:$A,$E31,DailyDelivery!$B:$B,$D31,DailyDelivery!$C:$C,Y$1))</f>
        <v/>
      </c>
      <c r="Z31" s="246" t="str">
        <f>if(OR($E31="",$D31="",COUNTIFS(DailyDelivery!$A:$A,$E31,DailyDelivery!$B:$B,$D31,DailyDelivery!$C:$C,Z$1)=0),"",COUNTIFS(DailyDelivery!$A:$A,$E31,DailyDelivery!$B:$B,$D31,DailyDelivery!$C:$C,Z$1))</f>
        <v/>
      </c>
      <c r="AA31" s="246" t="str">
        <f>if(OR($E31="",$D31="",COUNTIFS(DailyDelivery!$A:$A,$E31,DailyDelivery!$B:$B,$D31,DailyDelivery!$C:$C,AA$1)=0),"",COUNTIFS(DailyDelivery!$A:$A,$E31,DailyDelivery!$B:$B,$D31,DailyDelivery!$C:$C,AA$1))</f>
        <v/>
      </c>
      <c r="AB31" s="246" t="str">
        <f>if(OR($E31="",$D31="",COUNTIFS(DailyDelivery!$A:$A,$E31,DailyDelivery!$B:$B,$D31,DailyDelivery!$C:$C,AB$1)=0),"",COUNTIFS(DailyDelivery!$A:$A,$E31,DailyDelivery!$B:$B,$D31,DailyDelivery!$C:$C,AB$1))</f>
        <v/>
      </c>
      <c r="AC31" s="246" t="str">
        <f>if(OR($E31="",$D31="",COUNTIFS(DailyDelivery!$A:$A,$E31,DailyDelivery!$B:$B,$D31,DailyDelivery!$C:$C,AC$1)=0),"",COUNTIFS(DailyDelivery!$A:$A,$E31,DailyDelivery!$B:$B,$D31,DailyDelivery!$C:$C,AC$1))</f>
        <v/>
      </c>
      <c r="AD31" s="246" t="str">
        <f>if(OR($E31="",$D31="",COUNTIFS(DailyDelivery!$A:$A,$E31,DailyDelivery!$B:$B,$D31,DailyDelivery!$C:$C,AD$1)=0),"",COUNTIFS(DailyDelivery!$A:$A,$E31,DailyDelivery!$B:$B,$D31,DailyDelivery!$C:$C,AD$1))</f>
        <v/>
      </c>
      <c r="AE31" s="246" t="str">
        <f>if(OR($E31="",$D31="",COUNTIFS(DailyDelivery!$A:$A,$E31,DailyDelivery!$B:$B,$D31,DailyDelivery!$C:$C,AE$1)=0),"",COUNTIFS(DailyDelivery!$A:$A,$E31,DailyDelivery!$B:$B,$D31,DailyDelivery!$C:$C,AE$1))</f>
        <v/>
      </c>
      <c r="AF31" s="246" t="str">
        <f>if(OR($E31="",$D31="",COUNTIFS(DailyDelivery!$A:$A,$E31,DailyDelivery!$B:$B,$D31,DailyDelivery!$C:$C,AF$1)=0),"",COUNTIFS(DailyDelivery!$A:$A,$E31,DailyDelivery!$B:$B,$D31,DailyDelivery!$C:$C,AF$1))</f>
        <v/>
      </c>
      <c r="AG31" s="246" t="str">
        <f>if(OR($E31="",$D31="",COUNTIFS(DailyDelivery!$A:$A,$E31,DailyDelivery!$B:$B,$D31,DailyDelivery!$C:$C,AG$1)=0),"",COUNTIFS(DailyDelivery!$A:$A,$E31,DailyDelivery!$B:$B,$D31,DailyDelivery!$C:$C,AG$1))</f>
        <v/>
      </c>
      <c r="AH31" s="246" t="str">
        <f>if(OR($E31="",$D31="",COUNTIFS(DailyDelivery!$A:$A,$E31,DailyDelivery!$B:$B,$D31,DailyDelivery!$C:$C,AH$1)=0),"",COUNTIFS(DailyDelivery!$A:$A,$E31,DailyDelivery!$B:$B,$D31,DailyDelivery!$C:$C,AH$1))</f>
        <v/>
      </c>
    </row>
    <row r="32">
      <c r="A32" s="272"/>
      <c r="B32" s="273"/>
      <c r="C32" s="240"/>
      <c r="D32" s="274"/>
      <c r="E32" s="274"/>
      <c r="F32" s="242" t="str">
        <f t="shared" si="6"/>
        <v/>
      </c>
      <c r="G32" s="243" t="str">
        <f t="shared" si="7"/>
        <v/>
      </c>
      <c r="H32" s="242" t="str">
        <f t="shared" si="8"/>
        <v/>
      </c>
      <c r="I32" s="243" t="str">
        <f t="shared" si="9"/>
        <v/>
      </c>
      <c r="J32" s="244" t="str">
        <f>if(OR($E32="",$D32=""),"",sumifs(All_Stats!F:F,All_Stats!D:D,D32,All_Stats!A:A,E32,All_Stats!B:B,"Overall"))</f>
        <v/>
      </c>
      <c r="K32" s="275"/>
      <c r="L32" s="246" t="str">
        <f>if(OR($E32="",$D32=""),"",sumifs(All_Stats!G:G,All_Stats!D:D,D32,All_Stats!A:A,E32,All_Stats!B:B,"Overall"))</f>
        <v/>
      </c>
      <c r="M32" s="246" t="str">
        <f>if(OR($E32="",$D32=""),"",sumifs(All_Stats!H:H,All_Stats!D:D,D32,All_Stats!A:A,E32,All_Stats!B:B,"Overall"))</f>
        <v/>
      </c>
      <c r="N32" s="246" t="str">
        <f t="shared" si="10"/>
        <v/>
      </c>
      <c r="O32" s="276"/>
      <c r="P32" s="277"/>
      <c r="Q32" s="278"/>
      <c r="R32" s="250"/>
      <c r="S32" s="246">
        <f>SUMIFS(All_Stats!K:K,All_Stats!D:D,D32,All_Stats!A:A,E32,All_Stats!B:B,"Overall")</f>
        <v>0</v>
      </c>
      <c r="T32" s="251">
        <f>SUMIFS(All_Stats!L:L,All_Stats!D:D,D32,All_Stats!A:A,E32,All_Stats!B:B,"Overall")</f>
        <v>0</v>
      </c>
      <c r="U32" s="246" t="str">
        <f>if(OR($E32="",$D32="",COUNTIFS(DailyDelivery!$A:$A,$E32,DailyDelivery!$B:$B,$D32,DailyDelivery!$C:$C,U$1)=0),"",COUNTIFS(DailyDelivery!$A:$A,$E32,DailyDelivery!$B:$B,$D32,DailyDelivery!$C:$C,U$1))</f>
        <v/>
      </c>
      <c r="V32" s="246" t="str">
        <f>if(OR($E32="",$D32="",COUNTIFS(DailyDelivery!$A:$A,$E32,DailyDelivery!$B:$B,$D32,DailyDelivery!$C:$C,V$1)=0),"",COUNTIFS(DailyDelivery!$A:$A,$E32,DailyDelivery!$B:$B,$D32,DailyDelivery!$C:$C,V$1))</f>
        <v/>
      </c>
      <c r="W32" s="246" t="str">
        <f>if(OR($E32="",$D32="",COUNTIFS(DailyDelivery!$A:$A,$E32,DailyDelivery!$B:$B,$D32,DailyDelivery!$C:$C,W$1)=0),"",COUNTIFS(DailyDelivery!$A:$A,$E32,DailyDelivery!$B:$B,$D32,DailyDelivery!$C:$C,W$1))</f>
        <v/>
      </c>
      <c r="X32" s="246" t="str">
        <f>if(OR($E32="",$D32="",COUNTIFS(DailyDelivery!$A:$A,$E32,DailyDelivery!$B:$B,$D32,DailyDelivery!$C:$C,X$1)=0),"",COUNTIFS(DailyDelivery!$A:$A,$E32,DailyDelivery!$B:$B,$D32,DailyDelivery!$C:$C,X$1))</f>
        <v/>
      </c>
      <c r="Y32" s="246" t="str">
        <f>if(OR($E32="",$D32="",COUNTIFS(DailyDelivery!$A:$A,$E32,DailyDelivery!$B:$B,$D32,DailyDelivery!$C:$C,Y$1)=0),"",COUNTIFS(DailyDelivery!$A:$A,$E32,DailyDelivery!$B:$B,$D32,DailyDelivery!$C:$C,Y$1))</f>
        <v/>
      </c>
      <c r="Z32" s="246" t="str">
        <f>if(OR($E32="",$D32="",COUNTIFS(DailyDelivery!$A:$A,$E32,DailyDelivery!$B:$B,$D32,DailyDelivery!$C:$C,Z$1)=0),"",COUNTIFS(DailyDelivery!$A:$A,$E32,DailyDelivery!$B:$B,$D32,DailyDelivery!$C:$C,Z$1))</f>
        <v/>
      </c>
      <c r="AA32" s="246" t="str">
        <f>if(OR($E32="",$D32="",COUNTIFS(DailyDelivery!$A:$A,$E32,DailyDelivery!$B:$B,$D32,DailyDelivery!$C:$C,AA$1)=0),"",COUNTIFS(DailyDelivery!$A:$A,$E32,DailyDelivery!$B:$B,$D32,DailyDelivery!$C:$C,AA$1))</f>
        <v/>
      </c>
      <c r="AB32" s="246" t="str">
        <f>if(OR($E32="",$D32="",COUNTIFS(DailyDelivery!$A:$A,$E32,DailyDelivery!$B:$B,$D32,DailyDelivery!$C:$C,AB$1)=0),"",COUNTIFS(DailyDelivery!$A:$A,$E32,DailyDelivery!$B:$B,$D32,DailyDelivery!$C:$C,AB$1))</f>
        <v/>
      </c>
      <c r="AC32" s="246" t="str">
        <f>if(OR($E32="",$D32="",COUNTIFS(DailyDelivery!$A:$A,$E32,DailyDelivery!$B:$B,$D32,DailyDelivery!$C:$C,AC$1)=0),"",COUNTIFS(DailyDelivery!$A:$A,$E32,DailyDelivery!$B:$B,$D32,DailyDelivery!$C:$C,AC$1))</f>
        <v/>
      </c>
      <c r="AD32" s="246" t="str">
        <f>if(OR($E32="",$D32="",COUNTIFS(DailyDelivery!$A:$A,$E32,DailyDelivery!$B:$B,$D32,DailyDelivery!$C:$C,AD$1)=0),"",COUNTIFS(DailyDelivery!$A:$A,$E32,DailyDelivery!$B:$B,$D32,DailyDelivery!$C:$C,AD$1))</f>
        <v/>
      </c>
      <c r="AE32" s="246" t="str">
        <f>if(OR($E32="",$D32="",COUNTIFS(DailyDelivery!$A:$A,$E32,DailyDelivery!$B:$B,$D32,DailyDelivery!$C:$C,AE$1)=0),"",COUNTIFS(DailyDelivery!$A:$A,$E32,DailyDelivery!$B:$B,$D32,DailyDelivery!$C:$C,AE$1))</f>
        <v/>
      </c>
      <c r="AF32" s="246" t="str">
        <f>if(OR($E32="",$D32="",COUNTIFS(DailyDelivery!$A:$A,$E32,DailyDelivery!$B:$B,$D32,DailyDelivery!$C:$C,AF$1)=0),"",COUNTIFS(DailyDelivery!$A:$A,$E32,DailyDelivery!$B:$B,$D32,DailyDelivery!$C:$C,AF$1))</f>
        <v/>
      </c>
      <c r="AG32" s="246" t="str">
        <f>if(OR($E32="",$D32="",COUNTIFS(DailyDelivery!$A:$A,$E32,DailyDelivery!$B:$B,$D32,DailyDelivery!$C:$C,AG$1)=0),"",COUNTIFS(DailyDelivery!$A:$A,$E32,DailyDelivery!$B:$B,$D32,DailyDelivery!$C:$C,AG$1))</f>
        <v/>
      </c>
      <c r="AH32" s="246" t="str">
        <f>if(OR($E32="",$D32="",COUNTIFS(DailyDelivery!$A:$A,$E32,DailyDelivery!$B:$B,$D32,DailyDelivery!$C:$C,AH$1)=0),"",COUNTIFS(DailyDelivery!$A:$A,$E32,DailyDelivery!$B:$B,$D32,DailyDelivery!$C:$C,AH$1))</f>
        <v/>
      </c>
    </row>
    <row r="33">
      <c r="A33" s="272"/>
      <c r="B33" s="273"/>
      <c r="C33" s="240"/>
      <c r="D33" s="274"/>
      <c r="E33" s="274"/>
      <c r="F33" s="242" t="str">
        <f t="shared" si="6"/>
        <v/>
      </c>
      <c r="G33" s="243" t="str">
        <f t="shared" si="7"/>
        <v/>
      </c>
      <c r="H33" s="242" t="str">
        <f t="shared" si="8"/>
        <v/>
      </c>
      <c r="I33" s="243" t="str">
        <f t="shared" si="9"/>
        <v/>
      </c>
      <c r="J33" s="244" t="str">
        <f>if(OR($E33="",$D33=""),"",sumifs(All_Stats!F:F,All_Stats!D:D,D33,All_Stats!A:A,E33,All_Stats!B:B,"Overall"))</f>
        <v/>
      </c>
      <c r="K33" s="275"/>
      <c r="L33" s="246" t="str">
        <f>if(OR($E33="",$D33=""),"",sumifs(All_Stats!G:G,All_Stats!D:D,D33,All_Stats!A:A,E33,All_Stats!B:B,"Overall"))</f>
        <v/>
      </c>
      <c r="M33" s="246" t="str">
        <f>if(OR($E33="",$D33=""),"",sumifs(All_Stats!H:H,All_Stats!D:D,D33,All_Stats!A:A,E33,All_Stats!B:B,"Overall"))</f>
        <v/>
      </c>
      <c r="N33" s="246" t="str">
        <f t="shared" si="10"/>
        <v/>
      </c>
      <c r="O33" s="276"/>
      <c r="P33" s="277"/>
      <c r="Q33" s="278"/>
      <c r="R33" s="250"/>
      <c r="S33" s="246">
        <f>SUMIFS(All_Stats!K:K,All_Stats!D:D,D33,All_Stats!A:A,E33,All_Stats!B:B,"Overall")</f>
        <v>0</v>
      </c>
      <c r="T33" s="251">
        <f>SUMIFS(All_Stats!L:L,All_Stats!D:D,D33,All_Stats!A:A,E33,All_Stats!B:B,"Overall")</f>
        <v>0</v>
      </c>
      <c r="U33" s="246" t="str">
        <f>if(OR($E33="",$D33="",COUNTIFS(DailyDelivery!$A:$A,$E33,DailyDelivery!$B:$B,$D33,DailyDelivery!$C:$C,U$1)=0),"",COUNTIFS(DailyDelivery!$A:$A,$E33,DailyDelivery!$B:$B,$D33,DailyDelivery!$C:$C,U$1))</f>
        <v/>
      </c>
      <c r="V33" s="246" t="str">
        <f>if(OR($E33="",$D33="",COUNTIFS(DailyDelivery!$A:$A,$E33,DailyDelivery!$B:$B,$D33,DailyDelivery!$C:$C,V$1)=0),"",COUNTIFS(DailyDelivery!$A:$A,$E33,DailyDelivery!$B:$B,$D33,DailyDelivery!$C:$C,V$1))</f>
        <v/>
      </c>
      <c r="W33" s="246" t="str">
        <f>if(OR($E33="",$D33="",COUNTIFS(DailyDelivery!$A:$A,$E33,DailyDelivery!$B:$B,$D33,DailyDelivery!$C:$C,W$1)=0),"",COUNTIFS(DailyDelivery!$A:$A,$E33,DailyDelivery!$B:$B,$D33,DailyDelivery!$C:$C,W$1))</f>
        <v/>
      </c>
      <c r="X33" s="246" t="str">
        <f>if(OR($E33="",$D33="",COUNTIFS(DailyDelivery!$A:$A,$E33,DailyDelivery!$B:$B,$D33,DailyDelivery!$C:$C,X$1)=0),"",COUNTIFS(DailyDelivery!$A:$A,$E33,DailyDelivery!$B:$B,$D33,DailyDelivery!$C:$C,X$1))</f>
        <v/>
      </c>
      <c r="Y33" s="246" t="str">
        <f>if(OR($E33="",$D33="",COUNTIFS(DailyDelivery!$A:$A,$E33,DailyDelivery!$B:$B,$D33,DailyDelivery!$C:$C,Y$1)=0),"",COUNTIFS(DailyDelivery!$A:$A,$E33,DailyDelivery!$B:$B,$D33,DailyDelivery!$C:$C,Y$1))</f>
        <v/>
      </c>
      <c r="Z33" s="246" t="str">
        <f>if(OR($E33="",$D33="",COUNTIFS(DailyDelivery!$A:$A,$E33,DailyDelivery!$B:$B,$D33,DailyDelivery!$C:$C,Z$1)=0),"",COUNTIFS(DailyDelivery!$A:$A,$E33,DailyDelivery!$B:$B,$D33,DailyDelivery!$C:$C,Z$1))</f>
        <v/>
      </c>
      <c r="AA33" s="246" t="str">
        <f>if(OR($E33="",$D33="",COUNTIFS(DailyDelivery!$A:$A,$E33,DailyDelivery!$B:$B,$D33,DailyDelivery!$C:$C,AA$1)=0),"",COUNTIFS(DailyDelivery!$A:$A,$E33,DailyDelivery!$B:$B,$D33,DailyDelivery!$C:$C,AA$1))</f>
        <v/>
      </c>
      <c r="AB33" s="246" t="str">
        <f>if(OR($E33="",$D33="",COUNTIFS(DailyDelivery!$A:$A,$E33,DailyDelivery!$B:$B,$D33,DailyDelivery!$C:$C,AB$1)=0),"",COUNTIFS(DailyDelivery!$A:$A,$E33,DailyDelivery!$B:$B,$D33,DailyDelivery!$C:$C,AB$1))</f>
        <v/>
      </c>
      <c r="AC33" s="246" t="str">
        <f>if(OR($E33="",$D33="",COUNTIFS(DailyDelivery!$A:$A,$E33,DailyDelivery!$B:$B,$D33,DailyDelivery!$C:$C,AC$1)=0),"",COUNTIFS(DailyDelivery!$A:$A,$E33,DailyDelivery!$B:$B,$D33,DailyDelivery!$C:$C,AC$1))</f>
        <v/>
      </c>
      <c r="AD33" s="246" t="str">
        <f>if(OR($E33="",$D33="",COUNTIFS(DailyDelivery!$A:$A,$E33,DailyDelivery!$B:$B,$D33,DailyDelivery!$C:$C,AD$1)=0),"",COUNTIFS(DailyDelivery!$A:$A,$E33,DailyDelivery!$B:$B,$D33,DailyDelivery!$C:$C,AD$1))</f>
        <v/>
      </c>
      <c r="AE33" s="246" t="str">
        <f>if(OR($E33="",$D33="",COUNTIFS(DailyDelivery!$A:$A,$E33,DailyDelivery!$B:$B,$D33,DailyDelivery!$C:$C,AE$1)=0),"",COUNTIFS(DailyDelivery!$A:$A,$E33,DailyDelivery!$B:$B,$D33,DailyDelivery!$C:$C,AE$1))</f>
        <v/>
      </c>
      <c r="AF33" s="246" t="str">
        <f>if(OR($E33="",$D33="",COUNTIFS(DailyDelivery!$A:$A,$E33,DailyDelivery!$B:$B,$D33,DailyDelivery!$C:$C,AF$1)=0),"",COUNTIFS(DailyDelivery!$A:$A,$E33,DailyDelivery!$B:$B,$D33,DailyDelivery!$C:$C,AF$1))</f>
        <v/>
      </c>
      <c r="AG33" s="246" t="str">
        <f>if(OR($E33="",$D33="",COUNTIFS(DailyDelivery!$A:$A,$E33,DailyDelivery!$B:$B,$D33,DailyDelivery!$C:$C,AG$1)=0),"",COUNTIFS(DailyDelivery!$A:$A,$E33,DailyDelivery!$B:$B,$D33,DailyDelivery!$C:$C,AG$1))</f>
        <v/>
      </c>
      <c r="AH33" s="246" t="str">
        <f>if(OR($E33="",$D33="",COUNTIFS(DailyDelivery!$A:$A,$E33,DailyDelivery!$B:$B,$D33,DailyDelivery!$C:$C,AH$1)=0),"",COUNTIFS(DailyDelivery!$A:$A,$E33,DailyDelivery!$B:$B,$D33,DailyDelivery!$C:$C,AH$1))</f>
        <v/>
      </c>
    </row>
    <row r="34">
      <c r="A34" s="272"/>
      <c r="B34" s="273"/>
      <c r="C34" s="240"/>
      <c r="D34" s="274"/>
      <c r="E34" s="274"/>
      <c r="F34" s="242" t="str">
        <f t="shared" si="6"/>
        <v/>
      </c>
      <c r="G34" s="243" t="str">
        <f t="shared" si="7"/>
        <v/>
      </c>
      <c r="H34" s="242" t="str">
        <f t="shared" si="8"/>
        <v/>
      </c>
      <c r="I34" s="243" t="str">
        <f t="shared" si="9"/>
        <v/>
      </c>
      <c r="J34" s="244" t="str">
        <f>if(OR($E34="",$D34=""),"",sumifs(All_Stats!F:F,All_Stats!D:D,D34,All_Stats!A:A,E34,All_Stats!B:B,"Overall"))</f>
        <v/>
      </c>
      <c r="K34" s="275"/>
      <c r="L34" s="246" t="str">
        <f>if(OR($E34="",$D34=""),"",sumifs(All_Stats!G:G,All_Stats!D:D,D34,All_Stats!A:A,E34,All_Stats!B:B,"Overall"))</f>
        <v/>
      </c>
      <c r="M34" s="246" t="str">
        <f>if(OR($E34="",$D34=""),"",sumifs(All_Stats!H:H,All_Stats!D:D,D34,All_Stats!A:A,E34,All_Stats!B:B,"Overall"))</f>
        <v/>
      </c>
      <c r="N34" s="246" t="str">
        <f t="shared" si="10"/>
        <v/>
      </c>
      <c r="O34" s="276"/>
      <c r="P34" s="277"/>
      <c r="Q34" s="278"/>
      <c r="R34" s="250"/>
      <c r="S34" s="246">
        <f>SUMIFS(All_Stats!K:K,All_Stats!D:D,D34,All_Stats!A:A,E34,All_Stats!B:B,"Overall")</f>
        <v>0</v>
      </c>
      <c r="T34" s="251">
        <f>SUMIFS(All_Stats!L:L,All_Stats!D:D,D34,All_Stats!A:A,E34,All_Stats!B:B,"Overall")</f>
        <v>0</v>
      </c>
      <c r="U34" s="246" t="str">
        <f>if(OR($E34="",$D34="",COUNTIFS(DailyDelivery!$A:$A,$E34,DailyDelivery!$B:$B,$D34,DailyDelivery!$C:$C,U$1)=0),"",COUNTIFS(DailyDelivery!$A:$A,$E34,DailyDelivery!$B:$B,$D34,DailyDelivery!$C:$C,U$1))</f>
        <v/>
      </c>
      <c r="V34" s="246" t="str">
        <f>if(OR($E34="",$D34="",COUNTIFS(DailyDelivery!$A:$A,$E34,DailyDelivery!$B:$B,$D34,DailyDelivery!$C:$C,V$1)=0),"",COUNTIFS(DailyDelivery!$A:$A,$E34,DailyDelivery!$B:$B,$D34,DailyDelivery!$C:$C,V$1))</f>
        <v/>
      </c>
      <c r="W34" s="246" t="str">
        <f>if(OR($E34="",$D34="",COUNTIFS(DailyDelivery!$A:$A,$E34,DailyDelivery!$B:$B,$D34,DailyDelivery!$C:$C,W$1)=0),"",COUNTIFS(DailyDelivery!$A:$A,$E34,DailyDelivery!$B:$B,$D34,DailyDelivery!$C:$C,W$1))</f>
        <v/>
      </c>
      <c r="X34" s="246" t="str">
        <f>if(OR($E34="",$D34="",COUNTIFS(DailyDelivery!$A:$A,$E34,DailyDelivery!$B:$B,$D34,DailyDelivery!$C:$C,X$1)=0),"",COUNTIFS(DailyDelivery!$A:$A,$E34,DailyDelivery!$B:$B,$D34,DailyDelivery!$C:$C,X$1))</f>
        <v/>
      </c>
      <c r="Y34" s="246" t="str">
        <f>if(OR($E34="",$D34="",COUNTIFS(DailyDelivery!$A:$A,$E34,DailyDelivery!$B:$B,$D34,DailyDelivery!$C:$C,Y$1)=0),"",COUNTIFS(DailyDelivery!$A:$A,$E34,DailyDelivery!$B:$B,$D34,DailyDelivery!$C:$C,Y$1))</f>
        <v/>
      </c>
      <c r="Z34" s="246" t="str">
        <f>if(OR($E34="",$D34="",COUNTIFS(DailyDelivery!$A:$A,$E34,DailyDelivery!$B:$B,$D34,DailyDelivery!$C:$C,Z$1)=0),"",COUNTIFS(DailyDelivery!$A:$A,$E34,DailyDelivery!$B:$B,$D34,DailyDelivery!$C:$C,Z$1))</f>
        <v/>
      </c>
      <c r="AA34" s="246" t="str">
        <f>if(OR($E34="",$D34="",COUNTIFS(DailyDelivery!$A:$A,$E34,DailyDelivery!$B:$B,$D34,DailyDelivery!$C:$C,AA$1)=0),"",COUNTIFS(DailyDelivery!$A:$A,$E34,DailyDelivery!$B:$B,$D34,DailyDelivery!$C:$C,AA$1))</f>
        <v/>
      </c>
      <c r="AB34" s="246" t="str">
        <f>if(OR($E34="",$D34="",COUNTIFS(DailyDelivery!$A:$A,$E34,DailyDelivery!$B:$B,$D34,DailyDelivery!$C:$C,AB$1)=0),"",COUNTIFS(DailyDelivery!$A:$A,$E34,DailyDelivery!$B:$B,$D34,DailyDelivery!$C:$C,AB$1))</f>
        <v/>
      </c>
      <c r="AC34" s="246" t="str">
        <f>if(OR($E34="",$D34="",COUNTIFS(DailyDelivery!$A:$A,$E34,DailyDelivery!$B:$B,$D34,DailyDelivery!$C:$C,AC$1)=0),"",COUNTIFS(DailyDelivery!$A:$A,$E34,DailyDelivery!$B:$B,$D34,DailyDelivery!$C:$C,AC$1))</f>
        <v/>
      </c>
      <c r="AD34" s="246" t="str">
        <f>if(OR($E34="",$D34="",COUNTIFS(DailyDelivery!$A:$A,$E34,DailyDelivery!$B:$B,$D34,DailyDelivery!$C:$C,AD$1)=0),"",COUNTIFS(DailyDelivery!$A:$A,$E34,DailyDelivery!$B:$B,$D34,DailyDelivery!$C:$C,AD$1))</f>
        <v/>
      </c>
      <c r="AE34" s="246" t="str">
        <f>if(OR($E34="",$D34="",COUNTIFS(DailyDelivery!$A:$A,$E34,DailyDelivery!$B:$B,$D34,DailyDelivery!$C:$C,AE$1)=0),"",COUNTIFS(DailyDelivery!$A:$A,$E34,DailyDelivery!$B:$B,$D34,DailyDelivery!$C:$C,AE$1))</f>
        <v/>
      </c>
      <c r="AF34" s="246" t="str">
        <f>if(OR($E34="",$D34="",COUNTIFS(DailyDelivery!$A:$A,$E34,DailyDelivery!$B:$B,$D34,DailyDelivery!$C:$C,AF$1)=0),"",COUNTIFS(DailyDelivery!$A:$A,$E34,DailyDelivery!$B:$B,$D34,DailyDelivery!$C:$C,AF$1))</f>
        <v/>
      </c>
      <c r="AG34" s="246" t="str">
        <f>if(OR($E34="",$D34="",COUNTIFS(DailyDelivery!$A:$A,$E34,DailyDelivery!$B:$B,$D34,DailyDelivery!$C:$C,AG$1)=0),"",COUNTIFS(DailyDelivery!$A:$A,$E34,DailyDelivery!$B:$B,$D34,DailyDelivery!$C:$C,AG$1))</f>
        <v/>
      </c>
      <c r="AH34" s="246" t="str">
        <f>if(OR($E34="",$D34="",COUNTIFS(DailyDelivery!$A:$A,$E34,DailyDelivery!$B:$B,$D34,DailyDelivery!$C:$C,AH$1)=0),"",COUNTIFS(DailyDelivery!$A:$A,$E34,DailyDelivery!$B:$B,$D34,DailyDelivery!$C:$C,AH$1))</f>
        <v/>
      </c>
    </row>
    <row r="35">
      <c r="A35" s="272"/>
      <c r="B35" s="273"/>
      <c r="C35" s="240"/>
      <c r="D35" s="274"/>
      <c r="E35" s="274"/>
      <c r="F35" s="242" t="str">
        <f t="shared" si="6"/>
        <v/>
      </c>
      <c r="G35" s="243" t="str">
        <f t="shared" si="7"/>
        <v/>
      </c>
      <c r="H35" s="242" t="str">
        <f t="shared" si="8"/>
        <v/>
      </c>
      <c r="I35" s="243" t="str">
        <f t="shared" si="9"/>
        <v/>
      </c>
      <c r="J35" s="244" t="str">
        <f>if(OR($E35="",$D35=""),"",sumifs(All_Stats!F:F,All_Stats!D:D,D35,All_Stats!A:A,E35,All_Stats!B:B,"Overall"))</f>
        <v/>
      </c>
      <c r="K35" s="275"/>
      <c r="L35" s="246" t="str">
        <f>if(OR($E35="",$D35=""),"",sumifs(All_Stats!G:G,All_Stats!D:D,D35,All_Stats!A:A,E35,All_Stats!B:B,"Overall"))</f>
        <v/>
      </c>
      <c r="M35" s="246" t="str">
        <f>if(OR($E35="",$D35=""),"",sumifs(All_Stats!H:H,All_Stats!D:D,D35,All_Stats!A:A,E35,All_Stats!B:B,"Overall"))</f>
        <v/>
      </c>
      <c r="N35" s="246" t="str">
        <f t="shared" si="10"/>
        <v/>
      </c>
      <c r="O35" s="276"/>
      <c r="P35" s="277"/>
      <c r="Q35" s="278"/>
      <c r="R35" s="250"/>
      <c r="S35" s="246">
        <f>SUMIFS(All_Stats!K:K,All_Stats!D:D,D35,All_Stats!A:A,E35,All_Stats!B:B,"Overall")</f>
        <v>0</v>
      </c>
      <c r="T35" s="251">
        <f>SUMIFS(All_Stats!L:L,All_Stats!D:D,D35,All_Stats!A:A,E35,All_Stats!B:B,"Overall")</f>
        <v>0</v>
      </c>
      <c r="U35" s="246" t="str">
        <f>if(OR($E35="",$D35="",COUNTIFS(DailyDelivery!$A:$A,$E35,DailyDelivery!$B:$B,$D35,DailyDelivery!$C:$C,U$1)=0),"",COUNTIFS(DailyDelivery!$A:$A,$E35,DailyDelivery!$B:$B,$D35,DailyDelivery!$C:$C,U$1))</f>
        <v/>
      </c>
      <c r="V35" s="246" t="str">
        <f>if(OR($E35="",$D35="",COUNTIFS(DailyDelivery!$A:$A,$E35,DailyDelivery!$B:$B,$D35,DailyDelivery!$C:$C,V$1)=0),"",COUNTIFS(DailyDelivery!$A:$A,$E35,DailyDelivery!$B:$B,$D35,DailyDelivery!$C:$C,V$1))</f>
        <v/>
      </c>
      <c r="W35" s="246" t="str">
        <f>if(OR($E35="",$D35="",COUNTIFS(DailyDelivery!$A:$A,$E35,DailyDelivery!$B:$B,$D35,DailyDelivery!$C:$C,W$1)=0),"",COUNTIFS(DailyDelivery!$A:$A,$E35,DailyDelivery!$B:$B,$D35,DailyDelivery!$C:$C,W$1))</f>
        <v/>
      </c>
      <c r="X35" s="246" t="str">
        <f>if(OR($E35="",$D35="",COUNTIFS(DailyDelivery!$A:$A,$E35,DailyDelivery!$B:$B,$D35,DailyDelivery!$C:$C,X$1)=0),"",COUNTIFS(DailyDelivery!$A:$A,$E35,DailyDelivery!$B:$B,$D35,DailyDelivery!$C:$C,X$1))</f>
        <v/>
      </c>
      <c r="Y35" s="246" t="str">
        <f>if(OR($E35="",$D35="",COUNTIFS(DailyDelivery!$A:$A,$E35,DailyDelivery!$B:$B,$D35,DailyDelivery!$C:$C,Y$1)=0),"",COUNTIFS(DailyDelivery!$A:$A,$E35,DailyDelivery!$B:$B,$D35,DailyDelivery!$C:$C,Y$1))</f>
        <v/>
      </c>
      <c r="Z35" s="246" t="str">
        <f>if(OR($E35="",$D35="",COUNTIFS(DailyDelivery!$A:$A,$E35,DailyDelivery!$B:$B,$D35,DailyDelivery!$C:$C,Z$1)=0),"",COUNTIFS(DailyDelivery!$A:$A,$E35,DailyDelivery!$B:$B,$D35,DailyDelivery!$C:$C,Z$1))</f>
        <v/>
      </c>
      <c r="AA35" s="246" t="str">
        <f>if(OR($E35="",$D35="",COUNTIFS(DailyDelivery!$A:$A,$E35,DailyDelivery!$B:$B,$D35,DailyDelivery!$C:$C,AA$1)=0),"",COUNTIFS(DailyDelivery!$A:$A,$E35,DailyDelivery!$B:$B,$D35,DailyDelivery!$C:$C,AA$1))</f>
        <v/>
      </c>
      <c r="AB35" s="246" t="str">
        <f>if(OR($E35="",$D35="",COUNTIFS(DailyDelivery!$A:$A,$E35,DailyDelivery!$B:$B,$D35,DailyDelivery!$C:$C,AB$1)=0),"",COUNTIFS(DailyDelivery!$A:$A,$E35,DailyDelivery!$B:$B,$D35,DailyDelivery!$C:$C,AB$1))</f>
        <v/>
      </c>
      <c r="AC35" s="246" t="str">
        <f>if(OR($E35="",$D35="",COUNTIFS(DailyDelivery!$A:$A,$E35,DailyDelivery!$B:$B,$D35,DailyDelivery!$C:$C,AC$1)=0),"",COUNTIFS(DailyDelivery!$A:$A,$E35,DailyDelivery!$B:$B,$D35,DailyDelivery!$C:$C,AC$1))</f>
        <v/>
      </c>
      <c r="AD35" s="246" t="str">
        <f>if(OR($E35="",$D35="",COUNTIFS(DailyDelivery!$A:$A,$E35,DailyDelivery!$B:$B,$D35,DailyDelivery!$C:$C,AD$1)=0),"",COUNTIFS(DailyDelivery!$A:$A,$E35,DailyDelivery!$B:$B,$D35,DailyDelivery!$C:$C,AD$1))</f>
        <v/>
      </c>
      <c r="AE35" s="246" t="str">
        <f>if(OR($E35="",$D35="",COUNTIFS(DailyDelivery!$A:$A,$E35,DailyDelivery!$B:$B,$D35,DailyDelivery!$C:$C,AE$1)=0),"",COUNTIFS(DailyDelivery!$A:$A,$E35,DailyDelivery!$B:$B,$D35,DailyDelivery!$C:$C,AE$1))</f>
        <v/>
      </c>
      <c r="AF35" s="246" t="str">
        <f>if(OR($E35="",$D35="",COUNTIFS(DailyDelivery!$A:$A,$E35,DailyDelivery!$B:$B,$D35,DailyDelivery!$C:$C,AF$1)=0),"",COUNTIFS(DailyDelivery!$A:$A,$E35,DailyDelivery!$B:$B,$D35,DailyDelivery!$C:$C,AF$1))</f>
        <v/>
      </c>
      <c r="AG35" s="246" t="str">
        <f>if(OR($E35="",$D35="",COUNTIFS(DailyDelivery!$A:$A,$E35,DailyDelivery!$B:$B,$D35,DailyDelivery!$C:$C,AG$1)=0),"",COUNTIFS(DailyDelivery!$A:$A,$E35,DailyDelivery!$B:$B,$D35,DailyDelivery!$C:$C,AG$1))</f>
        <v/>
      </c>
      <c r="AH35" s="246" t="str">
        <f>if(OR($E35="",$D35="",COUNTIFS(DailyDelivery!$A:$A,$E35,DailyDelivery!$B:$B,$D35,DailyDelivery!$C:$C,AH$1)=0),"",COUNTIFS(DailyDelivery!$A:$A,$E35,DailyDelivery!$B:$B,$D35,DailyDelivery!$C:$C,AH$1))</f>
        <v/>
      </c>
    </row>
    <row r="36">
      <c r="A36" s="272"/>
      <c r="B36" s="273"/>
      <c r="C36" s="240"/>
      <c r="D36" s="274"/>
      <c r="E36" s="274"/>
      <c r="F36" s="242" t="str">
        <f t="shared" si="6"/>
        <v/>
      </c>
      <c r="G36" s="243" t="str">
        <f t="shared" si="7"/>
        <v/>
      </c>
      <c r="H36" s="242" t="str">
        <f t="shared" si="8"/>
        <v/>
      </c>
      <c r="I36" s="243" t="str">
        <f t="shared" si="9"/>
        <v/>
      </c>
      <c r="J36" s="244" t="str">
        <f>if(OR($E36="",$D36=""),"",sumifs(All_Stats!F:F,All_Stats!D:D,D36,All_Stats!A:A,E36,All_Stats!B:B,"Overall"))</f>
        <v/>
      </c>
      <c r="K36" s="275"/>
      <c r="L36" s="246" t="str">
        <f>if(OR($E36="",$D36=""),"",sumifs(All_Stats!G:G,All_Stats!D:D,D36,All_Stats!A:A,E36,All_Stats!B:B,"Overall"))</f>
        <v/>
      </c>
      <c r="M36" s="246" t="str">
        <f>if(OR($E36="",$D36=""),"",sumifs(All_Stats!H:H,All_Stats!D:D,D36,All_Stats!A:A,E36,All_Stats!B:B,"Overall"))</f>
        <v/>
      </c>
      <c r="N36" s="246" t="str">
        <f t="shared" si="10"/>
        <v/>
      </c>
      <c r="O36" s="276"/>
      <c r="P36" s="277"/>
      <c r="Q36" s="278"/>
      <c r="R36" s="250"/>
      <c r="S36" s="246">
        <f>SUMIFS(All_Stats!K:K,All_Stats!D:D,D36,All_Stats!A:A,E36,All_Stats!B:B,"Overall")</f>
        <v>0</v>
      </c>
      <c r="T36" s="251">
        <f>SUMIFS(All_Stats!L:L,All_Stats!D:D,D36,All_Stats!A:A,E36,All_Stats!B:B,"Overall")</f>
        <v>0</v>
      </c>
      <c r="U36" s="246" t="str">
        <f>if(OR($E36="",$D36="",COUNTIFS(DailyDelivery!$A:$A,$E36,DailyDelivery!$B:$B,$D36,DailyDelivery!$C:$C,U$1)=0),"",COUNTIFS(DailyDelivery!$A:$A,$E36,DailyDelivery!$B:$B,$D36,DailyDelivery!$C:$C,U$1))</f>
        <v/>
      </c>
      <c r="V36" s="246" t="str">
        <f>if(OR($E36="",$D36="",COUNTIFS(DailyDelivery!$A:$A,$E36,DailyDelivery!$B:$B,$D36,DailyDelivery!$C:$C,V$1)=0),"",COUNTIFS(DailyDelivery!$A:$A,$E36,DailyDelivery!$B:$B,$D36,DailyDelivery!$C:$C,V$1))</f>
        <v/>
      </c>
      <c r="W36" s="246" t="str">
        <f>if(OR($E36="",$D36="",COUNTIFS(DailyDelivery!$A:$A,$E36,DailyDelivery!$B:$B,$D36,DailyDelivery!$C:$C,W$1)=0),"",COUNTIFS(DailyDelivery!$A:$A,$E36,DailyDelivery!$B:$B,$D36,DailyDelivery!$C:$C,W$1))</f>
        <v/>
      </c>
      <c r="X36" s="246" t="str">
        <f>if(OR($E36="",$D36="",COUNTIFS(DailyDelivery!$A:$A,$E36,DailyDelivery!$B:$B,$D36,DailyDelivery!$C:$C,X$1)=0),"",COUNTIFS(DailyDelivery!$A:$A,$E36,DailyDelivery!$B:$B,$D36,DailyDelivery!$C:$C,X$1))</f>
        <v/>
      </c>
      <c r="Y36" s="246" t="str">
        <f>if(OR($E36="",$D36="",COUNTIFS(DailyDelivery!$A:$A,$E36,DailyDelivery!$B:$B,$D36,DailyDelivery!$C:$C,Y$1)=0),"",COUNTIFS(DailyDelivery!$A:$A,$E36,DailyDelivery!$B:$B,$D36,DailyDelivery!$C:$C,Y$1))</f>
        <v/>
      </c>
      <c r="Z36" s="246" t="str">
        <f>if(OR($E36="",$D36="",COUNTIFS(DailyDelivery!$A:$A,$E36,DailyDelivery!$B:$B,$D36,DailyDelivery!$C:$C,Z$1)=0),"",COUNTIFS(DailyDelivery!$A:$A,$E36,DailyDelivery!$B:$B,$D36,DailyDelivery!$C:$C,Z$1))</f>
        <v/>
      </c>
      <c r="AA36" s="246" t="str">
        <f>if(OR($E36="",$D36="",COUNTIFS(DailyDelivery!$A:$A,$E36,DailyDelivery!$B:$B,$D36,DailyDelivery!$C:$C,AA$1)=0),"",COUNTIFS(DailyDelivery!$A:$A,$E36,DailyDelivery!$B:$B,$D36,DailyDelivery!$C:$C,AA$1))</f>
        <v/>
      </c>
      <c r="AB36" s="246" t="str">
        <f>if(OR($E36="",$D36="",COUNTIFS(DailyDelivery!$A:$A,$E36,DailyDelivery!$B:$B,$D36,DailyDelivery!$C:$C,AB$1)=0),"",COUNTIFS(DailyDelivery!$A:$A,$E36,DailyDelivery!$B:$B,$D36,DailyDelivery!$C:$C,AB$1))</f>
        <v/>
      </c>
      <c r="AC36" s="246" t="str">
        <f>if(OR($E36="",$D36="",COUNTIFS(DailyDelivery!$A:$A,$E36,DailyDelivery!$B:$B,$D36,DailyDelivery!$C:$C,AC$1)=0),"",COUNTIFS(DailyDelivery!$A:$A,$E36,DailyDelivery!$B:$B,$D36,DailyDelivery!$C:$C,AC$1))</f>
        <v/>
      </c>
      <c r="AD36" s="246" t="str">
        <f>if(OR($E36="",$D36="",COUNTIFS(DailyDelivery!$A:$A,$E36,DailyDelivery!$B:$B,$D36,DailyDelivery!$C:$C,AD$1)=0),"",COUNTIFS(DailyDelivery!$A:$A,$E36,DailyDelivery!$B:$B,$D36,DailyDelivery!$C:$C,AD$1))</f>
        <v/>
      </c>
      <c r="AE36" s="246" t="str">
        <f>if(OR($E36="",$D36="",COUNTIFS(DailyDelivery!$A:$A,$E36,DailyDelivery!$B:$B,$D36,DailyDelivery!$C:$C,AE$1)=0),"",COUNTIFS(DailyDelivery!$A:$A,$E36,DailyDelivery!$B:$B,$D36,DailyDelivery!$C:$C,AE$1))</f>
        <v/>
      </c>
      <c r="AF36" s="246" t="str">
        <f>if(OR($E36="",$D36="",COUNTIFS(DailyDelivery!$A:$A,$E36,DailyDelivery!$B:$B,$D36,DailyDelivery!$C:$C,AF$1)=0),"",COUNTIFS(DailyDelivery!$A:$A,$E36,DailyDelivery!$B:$B,$D36,DailyDelivery!$C:$C,AF$1))</f>
        <v/>
      </c>
      <c r="AG36" s="246" t="str">
        <f>if(OR($E36="",$D36="",COUNTIFS(DailyDelivery!$A:$A,$E36,DailyDelivery!$B:$B,$D36,DailyDelivery!$C:$C,AG$1)=0),"",COUNTIFS(DailyDelivery!$A:$A,$E36,DailyDelivery!$B:$B,$D36,DailyDelivery!$C:$C,AG$1))</f>
        <v/>
      </c>
      <c r="AH36" s="246" t="str">
        <f>if(OR($E36="",$D36="",COUNTIFS(DailyDelivery!$A:$A,$E36,DailyDelivery!$B:$B,$D36,DailyDelivery!$C:$C,AH$1)=0),"",COUNTIFS(DailyDelivery!$A:$A,$E36,DailyDelivery!$B:$B,$D36,DailyDelivery!$C:$C,AH$1))</f>
        <v/>
      </c>
    </row>
    <row r="37">
      <c r="A37" s="272"/>
      <c r="B37" s="273"/>
      <c r="C37" s="240"/>
      <c r="D37" s="274"/>
      <c r="E37" s="274"/>
      <c r="F37" s="242" t="str">
        <f t="shared" si="6"/>
        <v/>
      </c>
      <c r="G37" s="243" t="str">
        <f t="shared" si="7"/>
        <v/>
      </c>
      <c r="H37" s="242" t="str">
        <f t="shared" si="8"/>
        <v/>
      </c>
      <c r="I37" s="243" t="str">
        <f t="shared" si="9"/>
        <v/>
      </c>
      <c r="J37" s="244" t="str">
        <f>if(OR($E37="",$D37=""),"",sumifs(All_Stats!F:F,All_Stats!D:D,D37,All_Stats!A:A,E37,All_Stats!B:B,"Overall"))</f>
        <v/>
      </c>
      <c r="K37" s="275"/>
      <c r="L37" s="246" t="str">
        <f>if(OR($E37="",$D37=""),"",sumifs(All_Stats!G:G,All_Stats!D:D,D37,All_Stats!A:A,E37,All_Stats!B:B,"Overall"))</f>
        <v/>
      </c>
      <c r="M37" s="246" t="str">
        <f>if(OR($E37="",$D37=""),"",sumifs(All_Stats!H:H,All_Stats!D:D,D37,All_Stats!A:A,E37,All_Stats!B:B,"Overall"))</f>
        <v/>
      </c>
      <c r="N37" s="246" t="str">
        <f t="shared" si="10"/>
        <v/>
      </c>
      <c r="O37" s="276"/>
      <c r="P37" s="277"/>
      <c r="Q37" s="278"/>
      <c r="R37" s="250"/>
      <c r="S37" s="246">
        <f>SUMIFS(All_Stats!K:K,All_Stats!D:D,D37,All_Stats!A:A,E37,All_Stats!B:B,"Overall")</f>
        <v>0</v>
      </c>
      <c r="T37" s="251">
        <f>SUMIFS(All_Stats!L:L,All_Stats!D:D,D37,All_Stats!A:A,E37,All_Stats!B:B,"Overall")</f>
        <v>0</v>
      </c>
      <c r="U37" s="246" t="str">
        <f>if(OR($E37="",$D37="",COUNTIFS(DailyDelivery!$A:$A,$E37,DailyDelivery!$B:$B,$D37,DailyDelivery!$C:$C,U$1)=0),"",COUNTIFS(DailyDelivery!$A:$A,$E37,DailyDelivery!$B:$B,$D37,DailyDelivery!$C:$C,U$1))</f>
        <v/>
      </c>
      <c r="V37" s="246" t="str">
        <f>if(OR($E37="",$D37="",COUNTIFS(DailyDelivery!$A:$A,$E37,DailyDelivery!$B:$B,$D37,DailyDelivery!$C:$C,V$1)=0),"",COUNTIFS(DailyDelivery!$A:$A,$E37,DailyDelivery!$B:$B,$D37,DailyDelivery!$C:$C,V$1))</f>
        <v/>
      </c>
      <c r="W37" s="246" t="str">
        <f>if(OR($E37="",$D37="",COUNTIFS(DailyDelivery!$A:$A,$E37,DailyDelivery!$B:$B,$D37,DailyDelivery!$C:$C,W$1)=0),"",COUNTIFS(DailyDelivery!$A:$A,$E37,DailyDelivery!$B:$B,$D37,DailyDelivery!$C:$C,W$1))</f>
        <v/>
      </c>
      <c r="X37" s="246" t="str">
        <f>if(OR($E37="",$D37="",COUNTIFS(DailyDelivery!$A:$A,$E37,DailyDelivery!$B:$B,$D37,DailyDelivery!$C:$C,X$1)=0),"",COUNTIFS(DailyDelivery!$A:$A,$E37,DailyDelivery!$B:$B,$D37,DailyDelivery!$C:$C,X$1))</f>
        <v/>
      </c>
      <c r="Y37" s="246" t="str">
        <f>if(OR($E37="",$D37="",COUNTIFS(DailyDelivery!$A:$A,$E37,DailyDelivery!$B:$B,$D37,DailyDelivery!$C:$C,Y$1)=0),"",COUNTIFS(DailyDelivery!$A:$A,$E37,DailyDelivery!$B:$B,$D37,DailyDelivery!$C:$C,Y$1))</f>
        <v/>
      </c>
      <c r="Z37" s="246" t="str">
        <f>if(OR($E37="",$D37="",COUNTIFS(DailyDelivery!$A:$A,$E37,DailyDelivery!$B:$B,$D37,DailyDelivery!$C:$C,Z$1)=0),"",COUNTIFS(DailyDelivery!$A:$A,$E37,DailyDelivery!$B:$B,$D37,DailyDelivery!$C:$C,Z$1))</f>
        <v/>
      </c>
      <c r="AA37" s="246" t="str">
        <f>if(OR($E37="",$D37="",COUNTIFS(DailyDelivery!$A:$A,$E37,DailyDelivery!$B:$B,$D37,DailyDelivery!$C:$C,AA$1)=0),"",COUNTIFS(DailyDelivery!$A:$A,$E37,DailyDelivery!$B:$B,$D37,DailyDelivery!$C:$C,AA$1))</f>
        <v/>
      </c>
      <c r="AB37" s="246" t="str">
        <f>if(OR($E37="",$D37="",COUNTIFS(DailyDelivery!$A:$A,$E37,DailyDelivery!$B:$B,$D37,DailyDelivery!$C:$C,AB$1)=0),"",COUNTIFS(DailyDelivery!$A:$A,$E37,DailyDelivery!$B:$B,$D37,DailyDelivery!$C:$C,AB$1))</f>
        <v/>
      </c>
      <c r="AC37" s="246" t="str">
        <f>if(OR($E37="",$D37="",COUNTIFS(DailyDelivery!$A:$A,$E37,DailyDelivery!$B:$B,$D37,DailyDelivery!$C:$C,AC$1)=0),"",COUNTIFS(DailyDelivery!$A:$A,$E37,DailyDelivery!$B:$B,$D37,DailyDelivery!$C:$C,AC$1))</f>
        <v/>
      </c>
      <c r="AD37" s="246" t="str">
        <f>if(OR($E37="",$D37="",COUNTIFS(DailyDelivery!$A:$A,$E37,DailyDelivery!$B:$B,$D37,DailyDelivery!$C:$C,AD$1)=0),"",COUNTIFS(DailyDelivery!$A:$A,$E37,DailyDelivery!$B:$B,$D37,DailyDelivery!$C:$C,AD$1))</f>
        <v/>
      </c>
      <c r="AE37" s="246" t="str">
        <f>if(OR($E37="",$D37="",COUNTIFS(DailyDelivery!$A:$A,$E37,DailyDelivery!$B:$B,$D37,DailyDelivery!$C:$C,AE$1)=0),"",COUNTIFS(DailyDelivery!$A:$A,$E37,DailyDelivery!$B:$B,$D37,DailyDelivery!$C:$C,AE$1))</f>
        <v/>
      </c>
      <c r="AF37" s="246" t="str">
        <f>if(OR($E37="",$D37="",COUNTIFS(DailyDelivery!$A:$A,$E37,DailyDelivery!$B:$B,$D37,DailyDelivery!$C:$C,AF$1)=0),"",COUNTIFS(DailyDelivery!$A:$A,$E37,DailyDelivery!$B:$B,$D37,DailyDelivery!$C:$C,AF$1))</f>
        <v/>
      </c>
      <c r="AG37" s="246" t="str">
        <f>if(OR($E37="",$D37="",COUNTIFS(DailyDelivery!$A:$A,$E37,DailyDelivery!$B:$B,$D37,DailyDelivery!$C:$C,AG$1)=0),"",COUNTIFS(DailyDelivery!$A:$A,$E37,DailyDelivery!$B:$B,$D37,DailyDelivery!$C:$C,AG$1))</f>
        <v/>
      </c>
      <c r="AH37" s="246" t="str">
        <f>if(OR($E37="",$D37="",COUNTIFS(DailyDelivery!$A:$A,$E37,DailyDelivery!$B:$B,$D37,DailyDelivery!$C:$C,AH$1)=0),"",COUNTIFS(DailyDelivery!$A:$A,$E37,DailyDelivery!$B:$B,$D37,DailyDelivery!$C:$C,AH$1))</f>
        <v/>
      </c>
    </row>
    <row r="38">
      <c r="A38" s="272"/>
      <c r="B38" s="273"/>
      <c r="C38" s="240"/>
      <c r="D38" s="274"/>
      <c r="E38" s="274"/>
      <c r="F38" s="242" t="str">
        <f t="shared" si="6"/>
        <v/>
      </c>
      <c r="G38" s="243" t="str">
        <f t="shared" si="7"/>
        <v/>
      </c>
      <c r="H38" s="242" t="str">
        <f t="shared" si="8"/>
        <v/>
      </c>
      <c r="I38" s="243" t="str">
        <f t="shared" si="9"/>
        <v/>
      </c>
      <c r="J38" s="244" t="str">
        <f>if(OR($E38="",$D38=""),"",sumifs(All_Stats!F:F,All_Stats!D:D,D38,All_Stats!A:A,E38,All_Stats!B:B,"Overall"))</f>
        <v/>
      </c>
      <c r="K38" s="275"/>
      <c r="L38" s="246" t="str">
        <f>if(OR($E38="",$D38=""),"",sumifs(All_Stats!G:G,All_Stats!D:D,D38,All_Stats!A:A,E38,All_Stats!B:B,"Overall"))</f>
        <v/>
      </c>
      <c r="M38" s="246" t="str">
        <f>if(OR($E38="",$D38=""),"",sumifs(All_Stats!H:H,All_Stats!D:D,D38,All_Stats!A:A,E38,All_Stats!B:B,"Overall"))</f>
        <v/>
      </c>
      <c r="N38" s="246" t="str">
        <f t="shared" si="10"/>
        <v/>
      </c>
      <c r="O38" s="276"/>
      <c r="P38" s="277"/>
      <c r="Q38" s="278"/>
      <c r="R38" s="250"/>
      <c r="S38" s="246">
        <f>SUMIFS(All_Stats!K:K,All_Stats!D:D,D38,All_Stats!A:A,E38,All_Stats!B:B,"Overall")</f>
        <v>0</v>
      </c>
      <c r="T38" s="251">
        <f>SUMIFS(All_Stats!L:L,All_Stats!D:D,D38,All_Stats!A:A,E38,All_Stats!B:B,"Overall")</f>
        <v>0</v>
      </c>
      <c r="U38" s="246" t="str">
        <f>if(OR($E38="",$D38="",COUNTIFS(DailyDelivery!$A:$A,$E38,DailyDelivery!$B:$B,$D38,DailyDelivery!$C:$C,U$1)=0),"",COUNTIFS(DailyDelivery!$A:$A,$E38,DailyDelivery!$B:$B,$D38,DailyDelivery!$C:$C,U$1))</f>
        <v/>
      </c>
      <c r="V38" s="246" t="str">
        <f>if(OR($E38="",$D38="",COUNTIFS(DailyDelivery!$A:$A,$E38,DailyDelivery!$B:$B,$D38,DailyDelivery!$C:$C,V$1)=0),"",COUNTIFS(DailyDelivery!$A:$A,$E38,DailyDelivery!$B:$B,$D38,DailyDelivery!$C:$C,V$1))</f>
        <v/>
      </c>
      <c r="W38" s="246" t="str">
        <f>if(OR($E38="",$D38="",COUNTIFS(DailyDelivery!$A:$A,$E38,DailyDelivery!$B:$B,$D38,DailyDelivery!$C:$C,W$1)=0),"",COUNTIFS(DailyDelivery!$A:$A,$E38,DailyDelivery!$B:$B,$D38,DailyDelivery!$C:$C,W$1))</f>
        <v/>
      </c>
      <c r="X38" s="246" t="str">
        <f>if(OR($E38="",$D38="",COUNTIFS(DailyDelivery!$A:$A,$E38,DailyDelivery!$B:$B,$D38,DailyDelivery!$C:$C,X$1)=0),"",COUNTIFS(DailyDelivery!$A:$A,$E38,DailyDelivery!$B:$B,$D38,DailyDelivery!$C:$C,X$1))</f>
        <v/>
      </c>
      <c r="Y38" s="246" t="str">
        <f>if(OR($E38="",$D38="",COUNTIFS(DailyDelivery!$A:$A,$E38,DailyDelivery!$B:$B,$D38,DailyDelivery!$C:$C,Y$1)=0),"",COUNTIFS(DailyDelivery!$A:$A,$E38,DailyDelivery!$B:$B,$D38,DailyDelivery!$C:$C,Y$1))</f>
        <v/>
      </c>
      <c r="Z38" s="246" t="str">
        <f>if(OR($E38="",$D38="",COUNTIFS(DailyDelivery!$A:$A,$E38,DailyDelivery!$B:$B,$D38,DailyDelivery!$C:$C,Z$1)=0),"",COUNTIFS(DailyDelivery!$A:$A,$E38,DailyDelivery!$B:$B,$D38,DailyDelivery!$C:$C,Z$1))</f>
        <v/>
      </c>
      <c r="AA38" s="246" t="str">
        <f>if(OR($E38="",$D38="",COUNTIFS(DailyDelivery!$A:$A,$E38,DailyDelivery!$B:$B,$D38,DailyDelivery!$C:$C,AA$1)=0),"",COUNTIFS(DailyDelivery!$A:$A,$E38,DailyDelivery!$B:$B,$D38,DailyDelivery!$C:$C,AA$1))</f>
        <v/>
      </c>
      <c r="AB38" s="246" t="str">
        <f>if(OR($E38="",$D38="",COUNTIFS(DailyDelivery!$A:$A,$E38,DailyDelivery!$B:$B,$D38,DailyDelivery!$C:$C,AB$1)=0),"",COUNTIFS(DailyDelivery!$A:$A,$E38,DailyDelivery!$B:$B,$D38,DailyDelivery!$C:$C,AB$1))</f>
        <v/>
      </c>
      <c r="AC38" s="246" t="str">
        <f>if(OR($E38="",$D38="",COUNTIFS(DailyDelivery!$A:$A,$E38,DailyDelivery!$B:$B,$D38,DailyDelivery!$C:$C,AC$1)=0),"",COUNTIFS(DailyDelivery!$A:$A,$E38,DailyDelivery!$B:$B,$D38,DailyDelivery!$C:$C,AC$1))</f>
        <v/>
      </c>
      <c r="AD38" s="246" t="str">
        <f>if(OR($E38="",$D38="",COUNTIFS(DailyDelivery!$A:$A,$E38,DailyDelivery!$B:$B,$D38,DailyDelivery!$C:$C,AD$1)=0),"",COUNTIFS(DailyDelivery!$A:$A,$E38,DailyDelivery!$B:$B,$D38,DailyDelivery!$C:$C,AD$1))</f>
        <v/>
      </c>
      <c r="AE38" s="246" t="str">
        <f>if(OR($E38="",$D38="",COUNTIFS(DailyDelivery!$A:$A,$E38,DailyDelivery!$B:$B,$D38,DailyDelivery!$C:$C,AE$1)=0),"",COUNTIFS(DailyDelivery!$A:$A,$E38,DailyDelivery!$B:$B,$D38,DailyDelivery!$C:$C,AE$1))</f>
        <v/>
      </c>
      <c r="AF38" s="246" t="str">
        <f>if(OR($E38="",$D38="",COUNTIFS(DailyDelivery!$A:$A,$E38,DailyDelivery!$B:$B,$D38,DailyDelivery!$C:$C,AF$1)=0),"",COUNTIFS(DailyDelivery!$A:$A,$E38,DailyDelivery!$B:$B,$D38,DailyDelivery!$C:$C,AF$1))</f>
        <v/>
      </c>
      <c r="AG38" s="246" t="str">
        <f>if(OR($E38="",$D38="",COUNTIFS(DailyDelivery!$A:$A,$E38,DailyDelivery!$B:$B,$D38,DailyDelivery!$C:$C,AG$1)=0),"",COUNTIFS(DailyDelivery!$A:$A,$E38,DailyDelivery!$B:$B,$D38,DailyDelivery!$C:$C,AG$1))</f>
        <v/>
      </c>
      <c r="AH38" s="246" t="str">
        <f>if(OR($E38="",$D38="",COUNTIFS(DailyDelivery!$A:$A,$E38,DailyDelivery!$B:$B,$D38,DailyDelivery!$C:$C,AH$1)=0),"",COUNTIFS(DailyDelivery!$A:$A,$E38,DailyDelivery!$B:$B,$D38,DailyDelivery!$C:$C,AH$1))</f>
        <v/>
      </c>
    </row>
    <row r="39">
      <c r="A39" s="272"/>
      <c r="B39" s="273"/>
      <c r="C39" s="240"/>
      <c r="D39" s="274"/>
      <c r="E39" s="274"/>
      <c r="F39" s="242" t="str">
        <f t="shared" si="6"/>
        <v/>
      </c>
      <c r="G39" s="243" t="str">
        <f t="shared" si="7"/>
        <v/>
      </c>
      <c r="H39" s="242" t="str">
        <f t="shared" si="8"/>
        <v/>
      </c>
      <c r="I39" s="243" t="str">
        <f t="shared" si="9"/>
        <v/>
      </c>
      <c r="J39" s="244" t="str">
        <f>if(OR($E39="",$D39=""),"",sumifs(All_Stats!F:F,All_Stats!D:D,D39,All_Stats!A:A,E39,All_Stats!B:B,"Overall"))</f>
        <v/>
      </c>
      <c r="K39" s="275"/>
      <c r="L39" s="246" t="str">
        <f>if(OR($E39="",$D39=""),"",sumifs(All_Stats!G:G,All_Stats!D:D,D39,All_Stats!A:A,E39,All_Stats!B:B,"Overall"))</f>
        <v/>
      </c>
      <c r="M39" s="246" t="str">
        <f>if(OR($E39="",$D39=""),"",sumifs(All_Stats!H:H,All_Stats!D:D,D39,All_Stats!A:A,E39,All_Stats!B:B,"Overall"))</f>
        <v/>
      </c>
      <c r="N39" s="246" t="str">
        <f t="shared" si="10"/>
        <v/>
      </c>
      <c r="O39" s="276"/>
      <c r="P39" s="277"/>
      <c r="Q39" s="278"/>
      <c r="R39" s="250"/>
      <c r="S39" s="246">
        <f>SUMIFS(All_Stats!K:K,All_Stats!D:D,D39,All_Stats!A:A,E39,All_Stats!B:B,"Overall")</f>
        <v>0</v>
      </c>
      <c r="T39" s="251">
        <f>SUMIFS(All_Stats!L:L,All_Stats!D:D,D39,All_Stats!A:A,E39,All_Stats!B:B,"Overall")</f>
        <v>0</v>
      </c>
      <c r="U39" s="246" t="str">
        <f>if(OR($E39="",$D39="",COUNTIFS(DailyDelivery!$A:$A,$E39,DailyDelivery!$B:$B,$D39,DailyDelivery!$C:$C,U$1)=0),"",COUNTIFS(DailyDelivery!$A:$A,$E39,DailyDelivery!$B:$B,$D39,DailyDelivery!$C:$C,U$1))</f>
        <v/>
      </c>
      <c r="V39" s="246" t="str">
        <f>if(OR($E39="",$D39="",COUNTIFS(DailyDelivery!$A:$A,$E39,DailyDelivery!$B:$B,$D39,DailyDelivery!$C:$C,V$1)=0),"",COUNTIFS(DailyDelivery!$A:$A,$E39,DailyDelivery!$B:$B,$D39,DailyDelivery!$C:$C,V$1))</f>
        <v/>
      </c>
      <c r="W39" s="246" t="str">
        <f>if(OR($E39="",$D39="",COUNTIFS(DailyDelivery!$A:$A,$E39,DailyDelivery!$B:$B,$D39,DailyDelivery!$C:$C,W$1)=0),"",COUNTIFS(DailyDelivery!$A:$A,$E39,DailyDelivery!$B:$B,$D39,DailyDelivery!$C:$C,W$1))</f>
        <v/>
      </c>
      <c r="X39" s="246" t="str">
        <f>if(OR($E39="",$D39="",COUNTIFS(DailyDelivery!$A:$A,$E39,DailyDelivery!$B:$B,$D39,DailyDelivery!$C:$C,X$1)=0),"",COUNTIFS(DailyDelivery!$A:$A,$E39,DailyDelivery!$B:$B,$D39,DailyDelivery!$C:$C,X$1))</f>
        <v/>
      </c>
      <c r="Y39" s="246" t="str">
        <f>if(OR($E39="",$D39="",COUNTIFS(DailyDelivery!$A:$A,$E39,DailyDelivery!$B:$B,$D39,DailyDelivery!$C:$C,Y$1)=0),"",COUNTIFS(DailyDelivery!$A:$A,$E39,DailyDelivery!$B:$B,$D39,DailyDelivery!$C:$C,Y$1))</f>
        <v/>
      </c>
      <c r="Z39" s="246" t="str">
        <f>if(OR($E39="",$D39="",COUNTIFS(DailyDelivery!$A:$A,$E39,DailyDelivery!$B:$B,$D39,DailyDelivery!$C:$C,Z$1)=0),"",COUNTIFS(DailyDelivery!$A:$A,$E39,DailyDelivery!$B:$B,$D39,DailyDelivery!$C:$C,Z$1))</f>
        <v/>
      </c>
      <c r="AA39" s="246" t="str">
        <f>if(OR($E39="",$D39="",COUNTIFS(DailyDelivery!$A:$A,$E39,DailyDelivery!$B:$B,$D39,DailyDelivery!$C:$C,AA$1)=0),"",COUNTIFS(DailyDelivery!$A:$A,$E39,DailyDelivery!$B:$B,$D39,DailyDelivery!$C:$C,AA$1))</f>
        <v/>
      </c>
      <c r="AB39" s="246" t="str">
        <f>if(OR($E39="",$D39="",COUNTIFS(DailyDelivery!$A:$A,$E39,DailyDelivery!$B:$B,$D39,DailyDelivery!$C:$C,AB$1)=0),"",COUNTIFS(DailyDelivery!$A:$A,$E39,DailyDelivery!$B:$B,$D39,DailyDelivery!$C:$C,AB$1))</f>
        <v/>
      </c>
      <c r="AC39" s="246" t="str">
        <f>if(OR($E39="",$D39="",COUNTIFS(DailyDelivery!$A:$A,$E39,DailyDelivery!$B:$B,$D39,DailyDelivery!$C:$C,AC$1)=0),"",COUNTIFS(DailyDelivery!$A:$A,$E39,DailyDelivery!$B:$B,$D39,DailyDelivery!$C:$C,AC$1))</f>
        <v/>
      </c>
      <c r="AD39" s="246" t="str">
        <f>if(OR($E39="",$D39="",COUNTIFS(DailyDelivery!$A:$A,$E39,DailyDelivery!$B:$B,$D39,DailyDelivery!$C:$C,AD$1)=0),"",COUNTIFS(DailyDelivery!$A:$A,$E39,DailyDelivery!$B:$B,$D39,DailyDelivery!$C:$C,AD$1))</f>
        <v/>
      </c>
      <c r="AE39" s="246" t="str">
        <f>if(OR($E39="",$D39="",COUNTIFS(DailyDelivery!$A:$A,$E39,DailyDelivery!$B:$B,$D39,DailyDelivery!$C:$C,AE$1)=0),"",COUNTIFS(DailyDelivery!$A:$A,$E39,DailyDelivery!$B:$B,$D39,DailyDelivery!$C:$C,AE$1))</f>
        <v/>
      </c>
      <c r="AF39" s="246" t="str">
        <f>if(OR($E39="",$D39="",COUNTIFS(DailyDelivery!$A:$A,$E39,DailyDelivery!$B:$B,$D39,DailyDelivery!$C:$C,AF$1)=0),"",COUNTIFS(DailyDelivery!$A:$A,$E39,DailyDelivery!$B:$B,$D39,DailyDelivery!$C:$C,AF$1))</f>
        <v/>
      </c>
      <c r="AG39" s="246" t="str">
        <f>if(OR($E39="",$D39="",COUNTIFS(DailyDelivery!$A:$A,$E39,DailyDelivery!$B:$B,$D39,DailyDelivery!$C:$C,AG$1)=0),"",COUNTIFS(DailyDelivery!$A:$A,$E39,DailyDelivery!$B:$B,$D39,DailyDelivery!$C:$C,AG$1))</f>
        <v/>
      </c>
      <c r="AH39" s="246" t="str">
        <f>if(OR($E39="",$D39="",COUNTIFS(DailyDelivery!$A:$A,$E39,DailyDelivery!$B:$B,$D39,DailyDelivery!$C:$C,AH$1)=0),"",COUNTIFS(DailyDelivery!$A:$A,$E39,DailyDelivery!$B:$B,$D39,DailyDelivery!$C:$C,AH$1))</f>
        <v/>
      </c>
    </row>
    <row r="40">
      <c r="A40" s="272"/>
      <c r="B40" s="273"/>
      <c r="C40" s="240"/>
      <c r="D40" s="274"/>
      <c r="E40" s="274"/>
      <c r="F40" s="242" t="str">
        <f t="shared" si="6"/>
        <v/>
      </c>
      <c r="G40" s="243" t="str">
        <f t="shared" si="7"/>
        <v/>
      </c>
      <c r="H40" s="242" t="str">
        <f t="shared" si="8"/>
        <v/>
      </c>
      <c r="I40" s="243" t="str">
        <f t="shared" si="9"/>
        <v/>
      </c>
      <c r="J40" s="244" t="str">
        <f>if(OR($E40="",$D40=""),"",sumifs(All_Stats!F:F,All_Stats!D:D,D40,All_Stats!A:A,E40,All_Stats!B:B,"Overall"))</f>
        <v/>
      </c>
      <c r="K40" s="275"/>
      <c r="L40" s="246" t="str">
        <f>if(OR($E40="",$D40=""),"",sumifs(All_Stats!G:G,All_Stats!D:D,D40,All_Stats!A:A,E40,All_Stats!B:B,"Overall"))</f>
        <v/>
      </c>
      <c r="M40" s="246" t="str">
        <f>if(OR($E40="",$D40=""),"",sumifs(All_Stats!H:H,All_Stats!D:D,D40,All_Stats!A:A,E40,All_Stats!B:B,"Overall"))</f>
        <v/>
      </c>
      <c r="N40" s="246" t="str">
        <f t="shared" si="10"/>
        <v/>
      </c>
      <c r="O40" s="276"/>
      <c r="P40" s="277"/>
      <c r="Q40" s="278"/>
      <c r="R40" s="250"/>
      <c r="S40" s="246">
        <f>SUMIFS(All_Stats!K:K,All_Stats!D:D,D40,All_Stats!A:A,E40,All_Stats!B:B,"Overall")</f>
        <v>0</v>
      </c>
      <c r="T40" s="251">
        <f>SUMIFS(All_Stats!L:L,All_Stats!D:D,D40,All_Stats!A:A,E40,All_Stats!B:B,"Overall")</f>
        <v>0</v>
      </c>
      <c r="U40" s="246" t="str">
        <f>if(OR($E40="",$D40="",COUNTIFS(DailyDelivery!$A:$A,$E40,DailyDelivery!$B:$B,$D40,DailyDelivery!$C:$C,U$1)=0),"",COUNTIFS(DailyDelivery!$A:$A,$E40,DailyDelivery!$B:$B,$D40,DailyDelivery!$C:$C,U$1))</f>
        <v/>
      </c>
      <c r="V40" s="246" t="str">
        <f>if(OR($E40="",$D40="",COUNTIFS(DailyDelivery!$A:$A,$E40,DailyDelivery!$B:$B,$D40,DailyDelivery!$C:$C,V$1)=0),"",COUNTIFS(DailyDelivery!$A:$A,$E40,DailyDelivery!$B:$B,$D40,DailyDelivery!$C:$C,V$1))</f>
        <v/>
      </c>
      <c r="W40" s="246" t="str">
        <f>if(OR($E40="",$D40="",COUNTIFS(DailyDelivery!$A:$A,$E40,DailyDelivery!$B:$B,$D40,DailyDelivery!$C:$C,W$1)=0),"",COUNTIFS(DailyDelivery!$A:$A,$E40,DailyDelivery!$B:$B,$D40,DailyDelivery!$C:$C,W$1))</f>
        <v/>
      </c>
      <c r="X40" s="246" t="str">
        <f>if(OR($E40="",$D40="",COUNTIFS(DailyDelivery!$A:$A,$E40,DailyDelivery!$B:$B,$D40,DailyDelivery!$C:$C,X$1)=0),"",COUNTIFS(DailyDelivery!$A:$A,$E40,DailyDelivery!$B:$B,$D40,DailyDelivery!$C:$C,X$1))</f>
        <v/>
      </c>
      <c r="Y40" s="246" t="str">
        <f>if(OR($E40="",$D40="",COUNTIFS(DailyDelivery!$A:$A,$E40,DailyDelivery!$B:$B,$D40,DailyDelivery!$C:$C,Y$1)=0),"",COUNTIFS(DailyDelivery!$A:$A,$E40,DailyDelivery!$B:$B,$D40,DailyDelivery!$C:$C,Y$1))</f>
        <v/>
      </c>
      <c r="Z40" s="246" t="str">
        <f>if(OR($E40="",$D40="",COUNTIFS(DailyDelivery!$A:$A,$E40,DailyDelivery!$B:$B,$D40,DailyDelivery!$C:$C,Z$1)=0),"",COUNTIFS(DailyDelivery!$A:$A,$E40,DailyDelivery!$B:$B,$D40,DailyDelivery!$C:$C,Z$1))</f>
        <v/>
      </c>
      <c r="AA40" s="246" t="str">
        <f>if(OR($E40="",$D40="",COUNTIFS(DailyDelivery!$A:$A,$E40,DailyDelivery!$B:$B,$D40,DailyDelivery!$C:$C,AA$1)=0),"",COUNTIFS(DailyDelivery!$A:$A,$E40,DailyDelivery!$B:$B,$D40,DailyDelivery!$C:$C,AA$1))</f>
        <v/>
      </c>
      <c r="AB40" s="246" t="str">
        <f>if(OR($E40="",$D40="",COUNTIFS(DailyDelivery!$A:$A,$E40,DailyDelivery!$B:$B,$D40,DailyDelivery!$C:$C,AB$1)=0),"",COUNTIFS(DailyDelivery!$A:$A,$E40,DailyDelivery!$B:$B,$D40,DailyDelivery!$C:$C,AB$1))</f>
        <v/>
      </c>
      <c r="AC40" s="246" t="str">
        <f>if(OR($E40="",$D40="",COUNTIFS(DailyDelivery!$A:$A,$E40,DailyDelivery!$B:$B,$D40,DailyDelivery!$C:$C,AC$1)=0),"",COUNTIFS(DailyDelivery!$A:$A,$E40,DailyDelivery!$B:$B,$D40,DailyDelivery!$C:$C,AC$1))</f>
        <v/>
      </c>
      <c r="AD40" s="246" t="str">
        <f>if(OR($E40="",$D40="",COUNTIFS(DailyDelivery!$A:$A,$E40,DailyDelivery!$B:$B,$D40,DailyDelivery!$C:$C,AD$1)=0),"",COUNTIFS(DailyDelivery!$A:$A,$E40,DailyDelivery!$B:$B,$D40,DailyDelivery!$C:$C,AD$1))</f>
        <v/>
      </c>
      <c r="AE40" s="246" t="str">
        <f>if(OR($E40="",$D40="",COUNTIFS(DailyDelivery!$A:$A,$E40,DailyDelivery!$B:$B,$D40,DailyDelivery!$C:$C,AE$1)=0),"",COUNTIFS(DailyDelivery!$A:$A,$E40,DailyDelivery!$B:$B,$D40,DailyDelivery!$C:$C,AE$1))</f>
        <v/>
      </c>
      <c r="AF40" s="246" t="str">
        <f>if(OR($E40="",$D40="",COUNTIFS(DailyDelivery!$A:$A,$E40,DailyDelivery!$B:$B,$D40,DailyDelivery!$C:$C,AF$1)=0),"",COUNTIFS(DailyDelivery!$A:$A,$E40,DailyDelivery!$B:$B,$D40,DailyDelivery!$C:$C,AF$1))</f>
        <v/>
      </c>
      <c r="AG40" s="246" t="str">
        <f>if(OR($E40="",$D40="",COUNTIFS(DailyDelivery!$A:$A,$E40,DailyDelivery!$B:$B,$D40,DailyDelivery!$C:$C,AG$1)=0),"",COUNTIFS(DailyDelivery!$A:$A,$E40,DailyDelivery!$B:$B,$D40,DailyDelivery!$C:$C,AG$1))</f>
        <v/>
      </c>
      <c r="AH40" s="246" t="str">
        <f>if(OR($E40="",$D40="",COUNTIFS(DailyDelivery!$A:$A,$E40,DailyDelivery!$B:$B,$D40,DailyDelivery!$C:$C,AH$1)=0),"",COUNTIFS(DailyDelivery!$A:$A,$E40,DailyDelivery!$B:$B,$D40,DailyDelivery!$C:$C,AH$1))</f>
        <v/>
      </c>
    </row>
    <row r="41">
      <c r="A41" s="272"/>
      <c r="B41" s="273"/>
      <c r="C41" s="240"/>
      <c r="D41" s="274"/>
      <c r="E41" s="274"/>
      <c r="F41" s="242" t="str">
        <f t="shared" si="6"/>
        <v/>
      </c>
      <c r="G41" s="243" t="str">
        <f t="shared" si="7"/>
        <v/>
      </c>
      <c r="H41" s="242" t="str">
        <f t="shared" si="8"/>
        <v/>
      </c>
      <c r="I41" s="243" t="str">
        <f t="shared" si="9"/>
        <v/>
      </c>
      <c r="J41" s="244" t="str">
        <f>if(OR($E41="",$D41=""),"",sumifs(All_Stats!F:F,All_Stats!D:D,D41,All_Stats!A:A,E41,All_Stats!B:B,"Overall"))</f>
        <v/>
      </c>
      <c r="K41" s="275"/>
      <c r="L41" s="246" t="str">
        <f>if(OR($E41="",$D41=""),"",sumifs(All_Stats!G:G,All_Stats!D:D,D41,All_Stats!A:A,E41,All_Stats!B:B,"Overall"))</f>
        <v/>
      </c>
      <c r="M41" s="246" t="str">
        <f>if(OR($E41="",$D41=""),"",sumifs(All_Stats!H:H,All_Stats!D:D,D41,All_Stats!A:A,E41,All_Stats!B:B,"Overall"))</f>
        <v/>
      </c>
      <c r="N41" s="246" t="str">
        <f t="shared" si="10"/>
        <v/>
      </c>
      <c r="O41" s="276"/>
      <c r="P41" s="277"/>
      <c r="Q41" s="278"/>
      <c r="R41" s="250"/>
      <c r="S41" s="246">
        <f>SUMIFS(All_Stats!K:K,All_Stats!D:D,D41,All_Stats!A:A,E41,All_Stats!B:B,"Overall")</f>
        <v>0</v>
      </c>
      <c r="T41" s="251">
        <f>SUMIFS(All_Stats!L:L,All_Stats!D:D,D41,All_Stats!A:A,E41,All_Stats!B:B,"Overall")</f>
        <v>0</v>
      </c>
      <c r="U41" s="246" t="str">
        <f>if(OR($E41="",$D41="",COUNTIFS(DailyDelivery!$A:$A,$E41,DailyDelivery!$B:$B,$D41,DailyDelivery!$C:$C,U$1)=0),"",COUNTIFS(DailyDelivery!$A:$A,$E41,DailyDelivery!$B:$B,$D41,DailyDelivery!$C:$C,U$1))</f>
        <v/>
      </c>
      <c r="V41" s="246" t="str">
        <f>if(OR($E41="",$D41="",COUNTIFS(DailyDelivery!$A:$A,$E41,DailyDelivery!$B:$B,$D41,DailyDelivery!$C:$C,V$1)=0),"",COUNTIFS(DailyDelivery!$A:$A,$E41,DailyDelivery!$B:$B,$D41,DailyDelivery!$C:$C,V$1))</f>
        <v/>
      </c>
      <c r="W41" s="246" t="str">
        <f>if(OR($E41="",$D41="",COUNTIFS(DailyDelivery!$A:$A,$E41,DailyDelivery!$B:$B,$D41,DailyDelivery!$C:$C,W$1)=0),"",COUNTIFS(DailyDelivery!$A:$A,$E41,DailyDelivery!$B:$B,$D41,DailyDelivery!$C:$C,W$1))</f>
        <v/>
      </c>
      <c r="X41" s="246" t="str">
        <f>if(OR($E41="",$D41="",COUNTIFS(DailyDelivery!$A:$A,$E41,DailyDelivery!$B:$B,$D41,DailyDelivery!$C:$C,X$1)=0),"",COUNTIFS(DailyDelivery!$A:$A,$E41,DailyDelivery!$B:$B,$D41,DailyDelivery!$C:$C,X$1))</f>
        <v/>
      </c>
      <c r="Y41" s="246" t="str">
        <f>if(OR($E41="",$D41="",COUNTIFS(DailyDelivery!$A:$A,$E41,DailyDelivery!$B:$B,$D41,DailyDelivery!$C:$C,Y$1)=0),"",COUNTIFS(DailyDelivery!$A:$A,$E41,DailyDelivery!$B:$B,$D41,DailyDelivery!$C:$C,Y$1))</f>
        <v/>
      </c>
      <c r="Z41" s="246" t="str">
        <f>if(OR($E41="",$D41="",COUNTIFS(DailyDelivery!$A:$A,$E41,DailyDelivery!$B:$B,$D41,DailyDelivery!$C:$C,Z$1)=0),"",COUNTIFS(DailyDelivery!$A:$A,$E41,DailyDelivery!$B:$B,$D41,DailyDelivery!$C:$C,Z$1))</f>
        <v/>
      </c>
      <c r="AA41" s="246" t="str">
        <f>if(OR($E41="",$D41="",COUNTIFS(DailyDelivery!$A:$A,$E41,DailyDelivery!$B:$B,$D41,DailyDelivery!$C:$C,AA$1)=0),"",COUNTIFS(DailyDelivery!$A:$A,$E41,DailyDelivery!$B:$B,$D41,DailyDelivery!$C:$C,AA$1))</f>
        <v/>
      </c>
      <c r="AB41" s="246" t="str">
        <f>if(OR($E41="",$D41="",COUNTIFS(DailyDelivery!$A:$A,$E41,DailyDelivery!$B:$B,$D41,DailyDelivery!$C:$C,AB$1)=0),"",COUNTIFS(DailyDelivery!$A:$A,$E41,DailyDelivery!$B:$B,$D41,DailyDelivery!$C:$C,AB$1))</f>
        <v/>
      </c>
      <c r="AC41" s="246" t="str">
        <f>if(OR($E41="",$D41="",COUNTIFS(DailyDelivery!$A:$A,$E41,DailyDelivery!$B:$B,$D41,DailyDelivery!$C:$C,AC$1)=0),"",COUNTIFS(DailyDelivery!$A:$A,$E41,DailyDelivery!$B:$B,$D41,DailyDelivery!$C:$C,AC$1))</f>
        <v/>
      </c>
      <c r="AD41" s="246" t="str">
        <f>if(OR($E41="",$D41="",COUNTIFS(DailyDelivery!$A:$A,$E41,DailyDelivery!$B:$B,$D41,DailyDelivery!$C:$C,AD$1)=0),"",COUNTIFS(DailyDelivery!$A:$A,$E41,DailyDelivery!$B:$B,$D41,DailyDelivery!$C:$C,AD$1))</f>
        <v/>
      </c>
      <c r="AE41" s="246" t="str">
        <f>if(OR($E41="",$D41="",COUNTIFS(DailyDelivery!$A:$A,$E41,DailyDelivery!$B:$B,$D41,DailyDelivery!$C:$C,AE$1)=0),"",COUNTIFS(DailyDelivery!$A:$A,$E41,DailyDelivery!$B:$B,$D41,DailyDelivery!$C:$C,AE$1))</f>
        <v/>
      </c>
      <c r="AF41" s="246" t="str">
        <f>if(OR($E41="",$D41="",COUNTIFS(DailyDelivery!$A:$A,$E41,DailyDelivery!$B:$B,$D41,DailyDelivery!$C:$C,AF$1)=0),"",COUNTIFS(DailyDelivery!$A:$A,$E41,DailyDelivery!$B:$B,$D41,DailyDelivery!$C:$C,AF$1))</f>
        <v/>
      </c>
      <c r="AG41" s="246" t="str">
        <f>if(OR($E41="",$D41="",COUNTIFS(DailyDelivery!$A:$A,$E41,DailyDelivery!$B:$B,$D41,DailyDelivery!$C:$C,AG$1)=0),"",COUNTIFS(DailyDelivery!$A:$A,$E41,DailyDelivery!$B:$B,$D41,DailyDelivery!$C:$C,AG$1))</f>
        <v/>
      </c>
      <c r="AH41" s="246" t="str">
        <f>if(OR($E41="",$D41="",COUNTIFS(DailyDelivery!$A:$A,$E41,DailyDelivery!$B:$B,$D41,DailyDelivery!$C:$C,AH$1)=0),"",COUNTIFS(DailyDelivery!$A:$A,$E41,DailyDelivery!$B:$B,$D41,DailyDelivery!$C:$C,AH$1))</f>
        <v/>
      </c>
    </row>
    <row r="42">
      <c r="A42" s="272"/>
      <c r="B42" s="273"/>
      <c r="C42" s="240"/>
      <c r="D42" s="274"/>
      <c r="E42" s="274"/>
      <c r="F42" s="242" t="str">
        <f t="shared" si="6"/>
        <v/>
      </c>
      <c r="G42" s="243" t="str">
        <f t="shared" si="7"/>
        <v/>
      </c>
      <c r="H42" s="242" t="str">
        <f t="shared" si="8"/>
        <v/>
      </c>
      <c r="I42" s="243" t="str">
        <f t="shared" si="9"/>
        <v/>
      </c>
      <c r="J42" s="244" t="str">
        <f>if(OR($E42="",$D42=""),"",sumifs(All_Stats!F:F,All_Stats!D:D,D42,All_Stats!A:A,E42,All_Stats!B:B,"Overall"))</f>
        <v/>
      </c>
      <c r="K42" s="275"/>
      <c r="L42" s="246" t="str">
        <f>if(OR($E42="",$D42=""),"",sumifs(All_Stats!G:G,All_Stats!D:D,D42,All_Stats!A:A,E42,All_Stats!B:B,"Overall"))</f>
        <v/>
      </c>
      <c r="M42" s="246" t="str">
        <f>if(OR($E42="",$D42=""),"",sumifs(All_Stats!H:H,All_Stats!D:D,D42,All_Stats!A:A,E42,All_Stats!B:B,"Overall"))</f>
        <v/>
      </c>
      <c r="N42" s="246" t="str">
        <f t="shared" si="10"/>
        <v/>
      </c>
      <c r="O42" s="276"/>
      <c r="P42" s="277"/>
      <c r="Q42" s="278"/>
      <c r="R42" s="250"/>
      <c r="S42" s="246">
        <f>SUMIFS(All_Stats!K:K,All_Stats!D:D,D42,All_Stats!A:A,E42,All_Stats!B:B,"Overall")</f>
        <v>0</v>
      </c>
      <c r="T42" s="251">
        <f>SUMIFS(All_Stats!L:L,All_Stats!D:D,D42,All_Stats!A:A,E42,All_Stats!B:B,"Overall")</f>
        <v>0</v>
      </c>
      <c r="U42" s="246" t="str">
        <f>if(OR($E42="",$D42="",COUNTIFS(DailyDelivery!$A:$A,$E42,DailyDelivery!$B:$B,$D42,DailyDelivery!$C:$C,U$1)=0),"",COUNTIFS(DailyDelivery!$A:$A,$E42,DailyDelivery!$B:$B,$D42,DailyDelivery!$C:$C,U$1))</f>
        <v/>
      </c>
      <c r="V42" s="246" t="str">
        <f>if(OR($E42="",$D42="",COUNTIFS(DailyDelivery!$A:$A,$E42,DailyDelivery!$B:$B,$D42,DailyDelivery!$C:$C,V$1)=0),"",COUNTIFS(DailyDelivery!$A:$A,$E42,DailyDelivery!$B:$B,$D42,DailyDelivery!$C:$C,V$1))</f>
        <v/>
      </c>
      <c r="W42" s="246" t="str">
        <f>if(OR($E42="",$D42="",COUNTIFS(DailyDelivery!$A:$A,$E42,DailyDelivery!$B:$B,$D42,DailyDelivery!$C:$C,W$1)=0),"",COUNTIFS(DailyDelivery!$A:$A,$E42,DailyDelivery!$B:$B,$D42,DailyDelivery!$C:$C,W$1))</f>
        <v/>
      </c>
      <c r="X42" s="246" t="str">
        <f>if(OR($E42="",$D42="",COUNTIFS(DailyDelivery!$A:$A,$E42,DailyDelivery!$B:$B,$D42,DailyDelivery!$C:$C,X$1)=0),"",COUNTIFS(DailyDelivery!$A:$A,$E42,DailyDelivery!$B:$B,$D42,DailyDelivery!$C:$C,X$1))</f>
        <v/>
      </c>
      <c r="Y42" s="246" t="str">
        <f>if(OR($E42="",$D42="",COUNTIFS(DailyDelivery!$A:$A,$E42,DailyDelivery!$B:$B,$D42,DailyDelivery!$C:$C,Y$1)=0),"",COUNTIFS(DailyDelivery!$A:$A,$E42,DailyDelivery!$B:$B,$D42,DailyDelivery!$C:$C,Y$1))</f>
        <v/>
      </c>
      <c r="Z42" s="246" t="str">
        <f>if(OR($E42="",$D42="",COUNTIFS(DailyDelivery!$A:$A,$E42,DailyDelivery!$B:$B,$D42,DailyDelivery!$C:$C,Z$1)=0),"",COUNTIFS(DailyDelivery!$A:$A,$E42,DailyDelivery!$B:$B,$D42,DailyDelivery!$C:$C,Z$1))</f>
        <v/>
      </c>
      <c r="AA42" s="246" t="str">
        <f>if(OR($E42="",$D42="",COUNTIFS(DailyDelivery!$A:$A,$E42,DailyDelivery!$B:$B,$D42,DailyDelivery!$C:$C,AA$1)=0),"",COUNTIFS(DailyDelivery!$A:$A,$E42,DailyDelivery!$B:$B,$D42,DailyDelivery!$C:$C,AA$1))</f>
        <v/>
      </c>
      <c r="AB42" s="246" t="str">
        <f>if(OR($E42="",$D42="",COUNTIFS(DailyDelivery!$A:$A,$E42,DailyDelivery!$B:$B,$D42,DailyDelivery!$C:$C,AB$1)=0),"",COUNTIFS(DailyDelivery!$A:$A,$E42,DailyDelivery!$B:$B,$D42,DailyDelivery!$C:$C,AB$1))</f>
        <v/>
      </c>
      <c r="AC42" s="246" t="str">
        <f>if(OR($E42="",$D42="",COUNTIFS(DailyDelivery!$A:$A,$E42,DailyDelivery!$B:$B,$D42,DailyDelivery!$C:$C,AC$1)=0),"",COUNTIFS(DailyDelivery!$A:$A,$E42,DailyDelivery!$B:$B,$D42,DailyDelivery!$C:$C,AC$1))</f>
        <v/>
      </c>
      <c r="AD42" s="246" t="str">
        <f>if(OR($E42="",$D42="",COUNTIFS(DailyDelivery!$A:$A,$E42,DailyDelivery!$B:$B,$D42,DailyDelivery!$C:$C,AD$1)=0),"",COUNTIFS(DailyDelivery!$A:$A,$E42,DailyDelivery!$B:$B,$D42,DailyDelivery!$C:$C,AD$1))</f>
        <v/>
      </c>
      <c r="AE42" s="246" t="str">
        <f>if(OR($E42="",$D42="",COUNTIFS(DailyDelivery!$A:$A,$E42,DailyDelivery!$B:$B,$D42,DailyDelivery!$C:$C,AE$1)=0),"",COUNTIFS(DailyDelivery!$A:$A,$E42,DailyDelivery!$B:$B,$D42,DailyDelivery!$C:$C,AE$1))</f>
        <v/>
      </c>
      <c r="AF42" s="246" t="str">
        <f>if(OR($E42="",$D42="",COUNTIFS(DailyDelivery!$A:$A,$E42,DailyDelivery!$B:$B,$D42,DailyDelivery!$C:$C,AF$1)=0),"",COUNTIFS(DailyDelivery!$A:$A,$E42,DailyDelivery!$B:$B,$D42,DailyDelivery!$C:$C,AF$1))</f>
        <v/>
      </c>
      <c r="AG42" s="246" t="str">
        <f>if(OR($E42="",$D42="",COUNTIFS(DailyDelivery!$A:$A,$E42,DailyDelivery!$B:$B,$D42,DailyDelivery!$C:$C,AG$1)=0),"",COUNTIFS(DailyDelivery!$A:$A,$E42,DailyDelivery!$B:$B,$D42,DailyDelivery!$C:$C,AG$1))</f>
        <v/>
      </c>
      <c r="AH42" s="246" t="str">
        <f>if(OR($E42="",$D42="",COUNTIFS(DailyDelivery!$A:$A,$E42,DailyDelivery!$B:$B,$D42,DailyDelivery!$C:$C,AH$1)=0),"",COUNTIFS(DailyDelivery!$A:$A,$E42,DailyDelivery!$B:$B,$D42,DailyDelivery!$C:$C,AH$1))</f>
        <v/>
      </c>
    </row>
    <row r="43">
      <c r="A43" s="272"/>
      <c r="B43" s="273"/>
      <c r="C43" s="240"/>
      <c r="D43" s="274"/>
      <c r="E43" s="274"/>
      <c r="F43" s="242" t="str">
        <f t="shared" si="6"/>
        <v/>
      </c>
      <c r="G43" s="243" t="str">
        <f t="shared" si="7"/>
        <v/>
      </c>
      <c r="H43" s="242" t="str">
        <f t="shared" si="8"/>
        <v/>
      </c>
      <c r="I43" s="243" t="str">
        <f t="shared" si="9"/>
        <v/>
      </c>
      <c r="J43" s="244" t="str">
        <f>if(OR($E43="",$D43=""),"",sumifs(All_Stats!F:F,All_Stats!D:D,D43,All_Stats!A:A,E43,All_Stats!B:B,"Overall"))</f>
        <v/>
      </c>
      <c r="K43" s="275"/>
      <c r="L43" s="246" t="str">
        <f>if(OR($E43="",$D43=""),"",sumifs(All_Stats!G:G,All_Stats!D:D,D43,All_Stats!A:A,E43,All_Stats!B:B,"Overall"))</f>
        <v/>
      </c>
      <c r="M43" s="246" t="str">
        <f>if(OR($E43="",$D43=""),"",sumifs(All_Stats!H:H,All_Stats!D:D,D43,All_Stats!A:A,E43,All_Stats!B:B,"Overall"))</f>
        <v/>
      </c>
      <c r="N43" s="246" t="str">
        <f t="shared" si="10"/>
        <v/>
      </c>
      <c r="O43" s="276"/>
      <c r="P43" s="277"/>
      <c r="Q43" s="278"/>
      <c r="R43" s="250"/>
      <c r="S43" s="246">
        <f>SUMIFS(All_Stats!K:K,All_Stats!D:D,D43,All_Stats!A:A,E43,All_Stats!B:B,"Overall")</f>
        <v>0</v>
      </c>
      <c r="T43" s="251">
        <f>SUMIFS(All_Stats!L:L,All_Stats!D:D,D43,All_Stats!A:A,E43,All_Stats!B:B,"Overall")</f>
        <v>0</v>
      </c>
      <c r="U43" s="246" t="str">
        <f>if(OR($E43="",$D43="",COUNTIFS(DailyDelivery!$A:$A,$E43,DailyDelivery!$B:$B,$D43,DailyDelivery!$C:$C,U$1)=0),"",COUNTIFS(DailyDelivery!$A:$A,$E43,DailyDelivery!$B:$B,$D43,DailyDelivery!$C:$C,U$1))</f>
        <v/>
      </c>
      <c r="V43" s="246" t="str">
        <f>if(OR($E43="",$D43="",COUNTIFS(DailyDelivery!$A:$A,$E43,DailyDelivery!$B:$B,$D43,DailyDelivery!$C:$C,V$1)=0),"",COUNTIFS(DailyDelivery!$A:$A,$E43,DailyDelivery!$B:$B,$D43,DailyDelivery!$C:$C,V$1))</f>
        <v/>
      </c>
      <c r="W43" s="246" t="str">
        <f>if(OR($E43="",$D43="",COUNTIFS(DailyDelivery!$A:$A,$E43,DailyDelivery!$B:$B,$D43,DailyDelivery!$C:$C,W$1)=0),"",COUNTIFS(DailyDelivery!$A:$A,$E43,DailyDelivery!$B:$B,$D43,DailyDelivery!$C:$C,W$1))</f>
        <v/>
      </c>
      <c r="X43" s="246" t="str">
        <f>if(OR($E43="",$D43="",COUNTIFS(DailyDelivery!$A:$A,$E43,DailyDelivery!$B:$B,$D43,DailyDelivery!$C:$C,X$1)=0),"",COUNTIFS(DailyDelivery!$A:$A,$E43,DailyDelivery!$B:$B,$D43,DailyDelivery!$C:$C,X$1))</f>
        <v/>
      </c>
      <c r="Y43" s="246" t="str">
        <f>if(OR($E43="",$D43="",COUNTIFS(DailyDelivery!$A:$A,$E43,DailyDelivery!$B:$B,$D43,DailyDelivery!$C:$C,Y$1)=0),"",COUNTIFS(DailyDelivery!$A:$A,$E43,DailyDelivery!$B:$B,$D43,DailyDelivery!$C:$C,Y$1))</f>
        <v/>
      </c>
      <c r="Z43" s="246" t="str">
        <f>if(OR($E43="",$D43="",COUNTIFS(DailyDelivery!$A:$A,$E43,DailyDelivery!$B:$B,$D43,DailyDelivery!$C:$C,Z$1)=0),"",COUNTIFS(DailyDelivery!$A:$A,$E43,DailyDelivery!$B:$B,$D43,DailyDelivery!$C:$C,Z$1))</f>
        <v/>
      </c>
      <c r="AA43" s="246" t="str">
        <f>if(OR($E43="",$D43="",COUNTIFS(DailyDelivery!$A:$A,$E43,DailyDelivery!$B:$B,$D43,DailyDelivery!$C:$C,AA$1)=0),"",COUNTIFS(DailyDelivery!$A:$A,$E43,DailyDelivery!$B:$B,$D43,DailyDelivery!$C:$C,AA$1))</f>
        <v/>
      </c>
      <c r="AB43" s="246" t="str">
        <f>if(OR($E43="",$D43="",COUNTIFS(DailyDelivery!$A:$A,$E43,DailyDelivery!$B:$B,$D43,DailyDelivery!$C:$C,AB$1)=0),"",COUNTIFS(DailyDelivery!$A:$A,$E43,DailyDelivery!$B:$B,$D43,DailyDelivery!$C:$C,AB$1))</f>
        <v/>
      </c>
      <c r="AC43" s="246" t="str">
        <f>if(OR($E43="",$D43="",COUNTIFS(DailyDelivery!$A:$A,$E43,DailyDelivery!$B:$B,$D43,DailyDelivery!$C:$C,AC$1)=0),"",COUNTIFS(DailyDelivery!$A:$A,$E43,DailyDelivery!$B:$B,$D43,DailyDelivery!$C:$C,AC$1))</f>
        <v/>
      </c>
      <c r="AD43" s="246" t="str">
        <f>if(OR($E43="",$D43="",COUNTIFS(DailyDelivery!$A:$A,$E43,DailyDelivery!$B:$B,$D43,DailyDelivery!$C:$C,AD$1)=0),"",COUNTIFS(DailyDelivery!$A:$A,$E43,DailyDelivery!$B:$B,$D43,DailyDelivery!$C:$C,AD$1))</f>
        <v/>
      </c>
      <c r="AE43" s="246" t="str">
        <f>if(OR($E43="",$D43="",COUNTIFS(DailyDelivery!$A:$A,$E43,DailyDelivery!$B:$B,$D43,DailyDelivery!$C:$C,AE$1)=0),"",COUNTIFS(DailyDelivery!$A:$A,$E43,DailyDelivery!$B:$B,$D43,DailyDelivery!$C:$C,AE$1))</f>
        <v/>
      </c>
      <c r="AF43" s="246" t="str">
        <f>if(OR($E43="",$D43="",COUNTIFS(DailyDelivery!$A:$A,$E43,DailyDelivery!$B:$B,$D43,DailyDelivery!$C:$C,AF$1)=0),"",COUNTIFS(DailyDelivery!$A:$A,$E43,DailyDelivery!$B:$B,$D43,DailyDelivery!$C:$C,AF$1))</f>
        <v/>
      </c>
      <c r="AG43" s="246" t="str">
        <f>if(OR($E43="",$D43="",COUNTIFS(DailyDelivery!$A:$A,$E43,DailyDelivery!$B:$B,$D43,DailyDelivery!$C:$C,AG$1)=0),"",COUNTIFS(DailyDelivery!$A:$A,$E43,DailyDelivery!$B:$B,$D43,DailyDelivery!$C:$C,AG$1))</f>
        <v/>
      </c>
      <c r="AH43" s="246" t="str">
        <f>if(OR($E43="",$D43="",COUNTIFS(DailyDelivery!$A:$A,$E43,DailyDelivery!$B:$B,$D43,DailyDelivery!$C:$C,AH$1)=0),"",COUNTIFS(DailyDelivery!$A:$A,$E43,DailyDelivery!$B:$B,$D43,DailyDelivery!$C:$C,AH$1))</f>
        <v/>
      </c>
    </row>
    <row r="44">
      <c r="A44" s="272"/>
      <c r="B44" s="273"/>
      <c r="C44" s="240"/>
      <c r="D44" s="274"/>
      <c r="E44" s="274"/>
      <c r="F44" s="242" t="str">
        <f t="shared" si="6"/>
        <v/>
      </c>
      <c r="G44" s="243" t="str">
        <f t="shared" si="7"/>
        <v/>
      </c>
      <c r="H44" s="242" t="str">
        <f t="shared" si="8"/>
        <v/>
      </c>
      <c r="I44" s="243" t="str">
        <f t="shared" si="9"/>
        <v/>
      </c>
      <c r="J44" s="244" t="str">
        <f>if(OR($E44="",$D44=""),"",sumifs(All_Stats!F:F,All_Stats!D:D,D44,All_Stats!A:A,E44,All_Stats!B:B,"Overall"))</f>
        <v/>
      </c>
      <c r="K44" s="275"/>
      <c r="L44" s="246" t="str">
        <f>if(OR($E44="",$D44=""),"",sumifs(All_Stats!G:G,All_Stats!D:D,D44,All_Stats!A:A,E44,All_Stats!B:B,"Overall"))</f>
        <v/>
      </c>
      <c r="M44" s="246" t="str">
        <f>if(OR($E44="",$D44=""),"",sumifs(All_Stats!H:H,All_Stats!D:D,D44,All_Stats!A:A,E44,All_Stats!B:B,"Overall"))</f>
        <v/>
      </c>
      <c r="N44" s="246" t="str">
        <f t="shared" si="10"/>
        <v/>
      </c>
      <c r="O44" s="276"/>
      <c r="P44" s="277"/>
      <c r="Q44" s="278"/>
      <c r="R44" s="250"/>
      <c r="S44" s="246">
        <f>SUMIFS(All_Stats!K:K,All_Stats!D:D,D44,All_Stats!A:A,E44,All_Stats!B:B,"Overall")</f>
        <v>0</v>
      </c>
      <c r="T44" s="251">
        <f>SUMIFS(All_Stats!L:L,All_Stats!D:D,D44,All_Stats!A:A,E44,All_Stats!B:B,"Overall")</f>
        <v>0</v>
      </c>
      <c r="U44" s="246" t="str">
        <f>if(OR($E44="",$D44="",COUNTIFS(DailyDelivery!$A:$A,$E44,DailyDelivery!$B:$B,$D44,DailyDelivery!$C:$C,U$1)=0),"",COUNTIFS(DailyDelivery!$A:$A,$E44,DailyDelivery!$B:$B,$D44,DailyDelivery!$C:$C,U$1))</f>
        <v/>
      </c>
      <c r="V44" s="246" t="str">
        <f>if(OR($E44="",$D44="",COUNTIFS(DailyDelivery!$A:$A,$E44,DailyDelivery!$B:$B,$D44,DailyDelivery!$C:$C,V$1)=0),"",COUNTIFS(DailyDelivery!$A:$A,$E44,DailyDelivery!$B:$B,$D44,DailyDelivery!$C:$C,V$1))</f>
        <v/>
      </c>
      <c r="W44" s="246" t="str">
        <f>if(OR($E44="",$D44="",COUNTIFS(DailyDelivery!$A:$A,$E44,DailyDelivery!$B:$B,$D44,DailyDelivery!$C:$C,W$1)=0),"",COUNTIFS(DailyDelivery!$A:$A,$E44,DailyDelivery!$B:$B,$D44,DailyDelivery!$C:$C,W$1))</f>
        <v/>
      </c>
      <c r="X44" s="246" t="str">
        <f>if(OR($E44="",$D44="",COUNTIFS(DailyDelivery!$A:$A,$E44,DailyDelivery!$B:$B,$D44,DailyDelivery!$C:$C,X$1)=0),"",COUNTIFS(DailyDelivery!$A:$A,$E44,DailyDelivery!$B:$B,$D44,DailyDelivery!$C:$C,X$1))</f>
        <v/>
      </c>
      <c r="Y44" s="246" t="str">
        <f>if(OR($E44="",$D44="",COUNTIFS(DailyDelivery!$A:$A,$E44,DailyDelivery!$B:$B,$D44,DailyDelivery!$C:$C,Y$1)=0),"",COUNTIFS(DailyDelivery!$A:$A,$E44,DailyDelivery!$B:$B,$D44,DailyDelivery!$C:$C,Y$1))</f>
        <v/>
      </c>
      <c r="Z44" s="246" t="str">
        <f>if(OR($E44="",$D44="",COUNTIFS(DailyDelivery!$A:$A,$E44,DailyDelivery!$B:$B,$D44,DailyDelivery!$C:$C,Z$1)=0),"",COUNTIFS(DailyDelivery!$A:$A,$E44,DailyDelivery!$B:$B,$D44,DailyDelivery!$C:$C,Z$1))</f>
        <v/>
      </c>
      <c r="AA44" s="246" t="str">
        <f>if(OR($E44="",$D44="",COUNTIFS(DailyDelivery!$A:$A,$E44,DailyDelivery!$B:$B,$D44,DailyDelivery!$C:$C,AA$1)=0),"",COUNTIFS(DailyDelivery!$A:$A,$E44,DailyDelivery!$B:$B,$D44,DailyDelivery!$C:$C,AA$1))</f>
        <v/>
      </c>
      <c r="AB44" s="246" t="str">
        <f>if(OR($E44="",$D44="",COUNTIFS(DailyDelivery!$A:$A,$E44,DailyDelivery!$B:$B,$D44,DailyDelivery!$C:$C,AB$1)=0),"",COUNTIFS(DailyDelivery!$A:$A,$E44,DailyDelivery!$B:$B,$D44,DailyDelivery!$C:$C,AB$1))</f>
        <v/>
      </c>
      <c r="AC44" s="246" t="str">
        <f>if(OR($E44="",$D44="",COUNTIFS(DailyDelivery!$A:$A,$E44,DailyDelivery!$B:$B,$D44,DailyDelivery!$C:$C,AC$1)=0),"",COUNTIFS(DailyDelivery!$A:$A,$E44,DailyDelivery!$B:$B,$D44,DailyDelivery!$C:$C,AC$1))</f>
        <v/>
      </c>
      <c r="AD44" s="246" t="str">
        <f>if(OR($E44="",$D44="",COUNTIFS(DailyDelivery!$A:$A,$E44,DailyDelivery!$B:$B,$D44,DailyDelivery!$C:$C,AD$1)=0),"",COUNTIFS(DailyDelivery!$A:$A,$E44,DailyDelivery!$B:$B,$D44,DailyDelivery!$C:$C,AD$1))</f>
        <v/>
      </c>
      <c r="AE44" s="246" t="str">
        <f>if(OR($E44="",$D44="",COUNTIFS(DailyDelivery!$A:$A,$E44,DailyDelivery!$B:$B,$D44,DailyDelivery!$C:$C,AE$1)=0),"",COUNTIFS(DailyDelivery!$A:$A,$E44,DailyDelivery!$B:$B,$D44,DailyDelivery!$C:$C,AE$1))</f>
        <v/>
      </c>
      <c r="AF44" s="246" t="str">
        <f>if(OR($E44="",$D44="",COUNTIFS(DailyDelivery!$A:$A,$E44,DailyDelivery!$B:$B,$D44,DailyDelivery!$C:$C,AF$1)=0),"",COUNTIFS(DailyDelivery!$A:$A,$E44,DailyDelivery!$B:$B,$D44,DailyDelivery!$C:$C,AF$1))</f>
        <v/>
      </c>
      <c r="AG44" s="246" t="str">
        <f>if(OR($E44="",$D44="",COUNTIFS(DailyDelivery!$A:$A,$E44,DailyDelivery!$B:$B,$D44,DailyDelivery!$C:$C,AG$1)=0),"",COUNTIFS(DailyDelivery!$A:$A,$E44,DailyDelivery!$B:$B,$D44,DailyDelivery!$C:$C,AG$1))</f>
        <v/>
      </c>
      <c r="AH44" s="246" t="str">
        <f>if(OR($E44="",$D44="",COUNTIFS(DailyDelivery!$A:$A,$E44,DailyDelivery!$B:$B,$D44,DailyDelivery!$C:$C,AH$1)=0),"",COUNTIFS(DailyDelivery!$A:$A,$E44,DailyDelivery!$B:$B,$D44,DailyDelivery!$C:$C,AH$1))</f>
        <v/>
      </c>
    </row>
    <row r="45">
      <c r="A45" s="272"/>
      <c r="B45" s="273"/>
      <c r="C45" s="240"/>
      <c r="D45" s="274"/>
      <c r="E45" s="274"/>
      <c r="F45" s="242" t="str">
        <f t="shared" si="6"/>
        <v/>
      </c>
      <c r="G45" s="243" t="str">
        <f t="shared" si="7"/>
        <v/>
      </c>
      <c r="H45" s="242" t="str">
        <f t="shared" si="8"/>
        <v/>
      </c>
      <c r="I45" s="243" t="str">
        <f t="shared" si="9"/>
        <v/>
      </c>
      <c r="J45" s="244" t="str">
        <f>if(OR($E45="",$D45=""),"",sumifs(All_Stats!F:F,All_Stats!D:D,D45,All_Stats!A:A,E45,All_Stats!B:B,"Overall"))</f>
        <v/>
      </c>
      <c r="K45" s="275"/>
      <c r="L45" s="246" t="str">
        <f>if(OR($E45="",$D45=""),"",sumifs(All_Stats!G:G,All_Stats!D:D,D45,All_Stats!A:A,E45,All_Stats!B:B,"Overall"))</f>
        <v/>
      </c>
      <c r="M45" s="246" t="str">
        <f>if(OR($E45="",$D45=""),"",sumifs(All_Stats!H:H,All_Stats!D:D,D45,All_Stats!A:A,E45,All_Stats!B:B,"Overall"))</f>
        <v/>
      </c>
      <c r="N45" s="246" t="str">
        <f t="shared" si="10"/>
        <v/>
      </c>
      <c r="O45" s="276"/>
      <c r="P45" s="277"/>
      <c r="Q45" s="278"/>
      <c r="R45" s="250"/>
      <c r="S45" s="246">
        <f>SUMIFS(All_Stats!K:K,All_Stats!D:D,D45,All_Stats!A:A,E45,All_Stats!B:B,"Overall")</f>
        <v>0</v>
      </c>
      <c r="T45" s="251">
        <f>SUMIFS(All_Stats!L:L,All_Stats!D:D,D45,All_Stats!A:A,E45,All_Stats!B:B,"Overall")</f>
        <v>0</v>
      </c>
      <c r="U45" s="246" t="str">
        <f>if(OR($E45="",$D45="",COUNTIFS(DailyDelivery!$A:$A,$E45,DailyDelivery!$B:$B,$D45,DailyDelivery!$C:$C,U$1)=0),"",COUNTIFS(DailyDelivery!$A:$A,$E45,DailyDelivery!$B:$B,$D45,DailyDelivery!$C:$C,U$1))</f>
        <v/>
      </c>
      <c r="V45" s="246" t="str">
        <f>if(OR($E45="",$D45="",COUNTIFS(DailyDelivery!$A:$A,$E45,DailyDelivery!$B:$B,$D45,DailyDelivery!$C:$C,V$1)=0),"",COUNTIFS(DailyDelivery!$A:$A,$E45,DailyDelivery!$B:$B,$D45,DailyDelivery!$C:$C,V$1))</f>
        <v/>
      </c>
      <c r="W45" s="246" t="str">
        <f>if(OR($E45="",$D45="",COUNTIFS(DailyDelivery!$A:$A,$E45,DailyDelivery!$B:$B,$D45,DailyDelivery!$C:$C,W$1)=0),"",COUNTIFS(DailyDelivery!$A:$A,$E45,DailyDelivery!$B:$B,$D45,DailyDelivery!$C:$C,W$1))</f>
        <v/>
      </c>
      <c r="X45" s="246" t="str">
        <f>if(OR($E45="",$D45="",COUNTIFS(DailyDelivery!$A:$A,$E45,DailyDelivery!$B:$B,$D45,DailyDelivery!$C:$C,X$1)=0),"",COUNTIFS(DailyDelivery!$A:$A,$E45,DailyDelivery!$B:$B,$D45,DailyDelivery!$C:$C,X$1))</f>
        <v/>
      </c>
      <c r="Y45" s="246" t="str">
        <f>if(OR($E45="",$D45="",COUNTIFS(DailyDelivery!$A:$A,$E45,DailyDelivery!$B:$B,$D45,DailyDelivery!$C:$C,Y$1)=0),"",COUNTIFS(DailyDelivery!$A:$A,$E45,DailyDelivery!$B:$B,$D45,DailyDelivery!$C:$C,Y$1))</f>
        <v/>
      </c>
      <c r="Z45" s="246" t="str">
        <f>if(OR($E45="",$D45="",COUNTIFS(DailyDelivery!$A:$A,$E45,DailyDelivery!$B:$B,$D45,DailyDelivery!$C:$C,Z$1)=0),"",COUNTIFS(DailyDelivery!$A:$A,$E45,DailyDelivery!$B:$B,$D45,DailyDelivery!$C:$C,Z$1))</f>
        <v/>
      </c>
      <c r="AA45" s="246" t="str">
        <f>if(OR($E45="",$D45="",COUNTIFS(DailyDelivery!$A:$A,$E45,DailyDelivery!$B:$B,$D45,DailyDelivery!$C:$C,AA$1)=0),"",COUNTIFS(DailyDelivery!$A:$A,$E45,DailyDelivery!$B:$B,$D45,DailyDelivery!$C:$C,AA$1))</f>
        <v/>
      </c>
      <c r="AB45" s="246" t="str">
        <f>if(OR($E45="",$D45="",COUNTIFS(DailyDelivery!$A:$A,$E45,DailyDelivery!$B:$B,$D45,DailyDelivery!$C:$C,AB$1)=0),"",COUNTIFS(DailyDelivery!$A:$A,$E45,DailyDelivery!$B:$B,$D45,DailyDelivery!$C:$C,AB$1))</f>
        <v/>
      </c>
      <c r="AC45" s="246" t="str">
        <f>if(OR($E45="",$D45="",COUNTIFS(DailyDelivery!$A:$A,$E45,DailyDelivery!$B:$B,$D45,DailyDelivery!$C:$C,AC$1)=0),"",COUNTIFS(DailyDelivery!$A:$A,$E45,DailyDelivery!$B:$B,$D45,DailyDelivery!$C:$C,AC$1))</f>
        <v/>
      </c>
      <c r="AD45" s="246" t="str">
        <f>if(OR($E45="",$D45="",COUNTIFS(DailyDelivery!$A:$A,$E45,DailyDelivery!$B:$B,$D45,DailyDelivery!$C:$C,AD$1)=0),"",COUNTIFS(DailyDelivery!$A:$A,$E45,DailyDelivery!$B:$B,$D45,DailyDelivery!$C:$C,AD$1))</f>
        <v/>
      </c>
      <c r="AE45" s="246" t="str">
        <f>if(OR($E45="",$D45="",COUNTIFS(DailyDelivery!$A:$A,$E45,DailyDelivery!$B:$B,$D45,DailyDelivery!$C:$C,AE$1)=0),"",COUNTIFS(DailyDelivery!$A:$A,$E45,DailyDelivery!$B:$B,$D45,DailyDelivery!$C:$C,AE$1))</f>
        <v/>
      </c>
      <c r="AF45" s="246" t="str">
        <f>if(OR($E45="",$D45="",COUNTIFS(DailyDelivery!$A:$A,$E45,DailyDelivery!$B:$B,$D45,DailyDelivery!$C:$C,AF$1)=0),"",COUNTIFS(DailyDelivery!$A:$A,$E45,DailyDelivery!$B:$B,$D45,DailyDelivery!$C:$C,AF$1))</f>
        <v/>
      </c>
      <c r="AG45" s="246" t="str">
        <f>if(OR($E45="",$D45="",COUNTIFS(DailyDelivery!$A:$A,$E45,DailyDelivery!$B:$B,$D45,DailyDelivery!$C:$C,AG$1)=0),"",COUNTIFS(DailyDelivery!$A:$A,$E45,DailyDelivery!$B:$B,$D45,DailyDelivery!$C:$C,AG$1))</f>
        <v/>
      </c>
      <c r="AH45" s="246" t="str">
        <f>if(OR($E45="",$D45="",COUNTIFS(DailyDelivery!$A:$A,$E45,DailyDelivery!$B:$B,$D45,DailyDelivery!$C:$C,AH$1)=0),"",COUNTIFS(DailyDelivery!$A:$A,$E45,DailyDelivery!$B:$B,$D45,DailyDelivery!$C:$C,AH$1))</f>
        <v/>
      </c>
    </row>
    <row r="46">
      <c r="A46" s="272"/>
      <c r="B46" s="273"/>
      <c r="C46" s="240"/>
      <c r="D46" s="274"/>
      <c r="E46" s="274"/>
      <c r="F46" s="242" t="str">
        <f t="shared" si="6"/>
        <v/>
      </c>
      <c r="G46" s="243" t="str">
        <f t="shared" si="7"/>
        <v/>
      </c>
      <c r="H46" s="242" t="str">
        <f t="shared" si="8"/>
        <v/>
      </c>
      <c r="I46" s="243" t="str">
        <f t="shared" si="9"/>
        <v/>
      </c>
      <c r="J46" s="244" t="str">
        <f>if(OR($E46="",$D46=""),"",sumifs(All_Stats!F:F,All_Stats!D:D,D46,All_Stats!A:A,E46,All_Stats!B:B,"Overall"))</f>
        <v/>
      </c>
      <c r="K46" s="275"/>
      <c r="L46" s="246" t="str">
        <f>if(OR($E46="",$D46=""),"",sumifs(All_Stats!G:G,All_Stats!D:D,D46,All_Stats!A:A,E46,All_Stats!B:B,"Overall"))</f>
        <v/>
      </c>
      <c r="M46" s="246" t="str">
        <f>if(OR($E46="",$D46=""),"",sumifs(All_Stats!H:H,All_Stats!D:D,D46,All_Stats!A:A,E46,All_Stats!B:B,"Overall"))</f>
        <v/>
      </c>
      <c r="N46" s="246" t="str">
        <f t="shared" si="10"/>
        <v/>
      </c>
      <c r="O46" s="276"/>
      <c r="P46" s="277"/>
      <c r="Q46" s="278"/>
      <c r="R46" s="250"/>
      <c r="S46" s="246">
        <f>SUMIFS(All_Stats!K:K,All_Stats!D:D,D46,All_Stats!A:A,E46,All_Stats!B:B,"Overall")</f>
        <v>0</v>
      </c>
      <c r="T46" s="251">
        <f>SUMIFS(All_Stats!L:L,All_Stats!D:D,D46,All_Stats!A:A,E46,All_Stats!B:B,"Overall")</f>
        <v>0</v>
      </c>
      <c r="U46" s="246" t="str">
        <f>if(OR($E46="",$D46="",COUNTIFS(DailyDelivery!$A:$A,$E46,DailyDelivery!$B:$B,$D46,DailyDelivery!$C:$C,U$1)=0),"",COUNTIFS(DailyDelivery!$A:$A,$E46,DailyDelivery!$B:$B,$D46,DailyDelivery!$C:$C,U$1))</f>
        <v/>
      </c>
      <c r="V46" s="246" t="str">
        <f>if(OR($E46="",$D46="",COUNTIFS(DailyDelivery!$A:$A,$E46,DailyDelivery!$B:$B,$D46,DailyDelivery!$C:$C,V$1)=0),"",COUNTIFS(DailyDelivery!$A:$A,$E46,DailyDelivery!$B:$B,$D46,DailyDelivery!$C:$C,V$1))</f>
        <v/>
      </c>
      <c r="W46" s="246" t="str">
        <f>if(OR($E46="",$D46="",COUNTIFS(DailyDelivery!$A:$A,$E46,DailyDelivery!$B:$B,$D46,DailyDelivery!$C:$C,W$1)=0),"",COUNTIFS(DailyDelivery!$A:$A,$E46,DailyDelivery!$B:$B,$D46,DailyDelivery!$C:$C,W$1))</f>
        <v/>
      </c>
      <c r="X46" s="246" t="str">
        <f>if(OR($E46="",$D46="",COUNTIFS(DailyDelivery!$A:$A,$E46,DailyDelivery!$B:$B,$D46,DailyDelivery!$C:$C,X$1)=0),"",COUNTIFS(DailyDelivery!$A:$A,$E46,DailyDelivery!$B:$B,$D46,DailyDelivery!$C:$C,X$1))</f>
        <v/>
      </c>
      <c r="Y46" s="246" t="str">
        <f>if(OR($E46="",$D46="",COUNTIFS(DailyDelivery!$A:$A,$E46,DailyDelivery!$B:$B,$D46,DailyDelivery!$C:$C,Y$1)=0),"",COUNTIFS(DailyDelivery!$A:$A,$E46,DailyDelivery!$B:$B,$D46,DailyDelivery!$C:$C,Y$1))</f>
        <v/>
      </c>
      <c r="Z46" s="246" t="str">
        <f>if(OR($E46="",$D46="",COUNTIFS(DailyDelivery!$A:$A,$E46,DailyDelivery!$B:$B,$D46,DailyDelivery!$C:$C,Z$1)=0),"",COUNTIFS(DailyDelivery!$A:$A,$E46,DailyDelivery!$B:$B,$D46,DailyDelivery!$C:$C,Z$1))</f>
        <v/>
      </c>
      <c r="AA46" s="246" t="str">
        <f>if(OR($E46="",$D46="",COUNTIFS(DailyDelivery!$A:$A,$E46,DailyDelivery!$B:$B,$D46,DailyDelivery!$C:$C,AA$1)=0),"",COUNTIFS(DailyDelivery!$A:$A,$E46,DailyDelivery!$B:$B,$D46,DailyDelivery!$C:$C,AA$1))</f>
        <v/>
      </c>
      <c r="AB46" s="246" t="str">
        <f>if(OR($E46="",$D46="",COUNTIFS(DailyDelivery!$A:$A,$E46,DailyDelivery!$B:$B,$D46,DailyDelivery!$C:$C,AB$1)=0),"",COUNTIFS(DailyDelivery!$A:$A,$E46,DailyDelivery!$B:$B,$D46,DailyDelivery!$C:$C,AB$1))</f>
        <v/>
      </c>
      <c r="AC46" s="246" t="str">
        <f>if(OR($E46="",$D46="",COUNTIFS(DailyDelivery!$A:$A,$E46,DailyDelivery!$B:$B,$D46,DailyDelivery!$C:$C,AC$1)=0),"",COUNTIFS(DailyDelivery!$A:$A,$E46,DailyDelivery!$B:$B,$D46,DailyDelivery!$C:$C,AC$1))</f>
        <v/>
      </c>
      <c r="AD46" s="246" t="str">
        <f>if(OR($E46="",$D46="",COUNTIFS(DailyDelivery!$A:$A,$E46,DailyDelivery!$B:$B,$D46,DailyDelivery!$C:$C,AD$1)=0),"",COUNTIFS(DailyDelivery!$A:$A,$E46,DailyDelivery!$B:$B,$D46,DailyDelivery!$C:$C,AD$1))</f>
        <v/>
      </c>
      <c r="AE46" s="246" t="str">
        <f>if(OR($E46="",$D46="",COUNTIFS(DailyDelivery!$A:$A,$E46,DailyDelivery!$B:$B,$D46,DailyDelivery!$C:$C,AE$1)=0),"",COUNTIFS(DailyDelivery!$A:$A,$E46,DailyDelivery!$B:$B,$D46,DailyDelivery!$C:$C,AE$1))</f>
        <v/>
      </c>
      <c r="AF46" s="246" t="str">
        <f>if(OR($E46="",$D46="",COUNTIFS(DailyDelivery!$A:$A,$E46,DailyDelivery!$B:$B,$D46,DailyDelivery!$C:$C,AF$1)=0),"",COUNTIFS(DailyDelivery!$A:$A,$E46,DailyDelivery!$B:$B,$D46,DailyDelivery!$C:$C,AF$1))</f>
        <v/>
      </c>
      <c r="AG46" s="246" t="str">
        <f>if(OR($E46="",$D46="",COUNTIFS(DailyDelivery!$A:$A,$E46,DailyDelivery!$B:$B,$D46,DailyDelivery!$C:$C,AG$1)=0),"",COUNTIFS(DailyDelivery!$A:$A,$E46,DailyDelivery!$B:$B,$D46,DailyDelivery!$C:$C,AG$1))</f>
        <v/>
      </c>
      <c r="AH46" s="246" t="str">
        <f>if(OR($E46="",$D46="",COUNTIFS(DailyDelivery!$A:$A,$E46,DailyDelivery!$B:$B,$D46,DailyDelivery!$C:$C,AH$1)=0),"",COUNTIFS(DailyDelivery!$A:$A,$E46,DailyDelivery!$B:$B,$D46,DailyDelivery!$C:$C,AH$1))</f>
        <v/>
      </c>
    </row>
    <row r="47">
      <c r="A47" s="272"/>
      <c r="B47" s="273"/>
      <c r="C47" s="240"/>
      <c r="D47" s="274"/>
      <c r="E47" s="274"/>
      <c r="F47" s="242" t="str">
        <f t="shared" si="6"/>
        <v/>
      </c>
      <c r="G47" s="243" t="str">
        <f t="shared" si="7"/>
        <v/>
      </c>
      <c r="H47" s="242" t="str">
        <f t="shared" si="8"/>
        <v/>
      </c>
      <c r="I47" s="243" t="str">
        <f t="shared" si="9"/>
        <v/>
      </c>
      <c r="J47" s="244" t="str">
        <f>if(OR($E47="",$D47=""),"",sumifs(All_Stats!F:F,All_Stats!D:D,D47,All_Stats!A:A,E47,All_Stats!B:B,"Overall"))</f>
        <v/>
      </c>
      <c r="K47" s="275"/>
      <c r="L47" s="246" t="str">
        <f>if(OR($E47="",$D47=""),"",sumifs(All_Stats!G:G,All_Stats!D:D,D47,All_Stats!A:A,E47,All_Stats!B:B,"Overall"))</f>
        <v/>
      </c>
      <c r="M47" s="246" t="str">
        <f>if(OR($E47="",$D47=""),"",sumifs(All_Stats!H:H,All_Stats!D:D,D47,All_Stats!A:A,E47,All_Stats!B:B,"Overall"))</f>
        <v/>
      </c>
      <c r="N47" s="246" t="str">
        <f t="shared" si="10"/>
        <v/>
      </c>
      <c r="O47" s="276"/>
      <c r="P47" s="277"/>
      <c r="Q47" s="278"/>
      <c r="R47" s="250"/>
      <c r="S47" s="246">
        <f>SUMIFS(All_Stats!K:K,All_Stats!D:D,D47,All_Stats!A:A,E47,All_Stats!B:B,"Overall")</f>
        <v>0</v>
      </c>
      <c r="T47" s="251">
        <f>SUMIFS(All_Stats!L:L,All_Stats!D:D,D47,All_Stats!A:A,E47,All_Stats!B:B,"Overall")</f>
        <v>0</v>
      </c>
      <c r="U47" s="246" t="str">
        <f>if(OR($E47="",$D47="",COUNTIFS(DailyDelivery!$A:$A,$E47,DailyDelivery!$B:$B,$D47,DailyDelivery!$C:$C,U$1)=0),"",COUNTIFS(DailyDelivery!$A:$A,$E47,DailyDelivery!$B:$B,$D47,DailyDelivery!$C:$C,U$1))</f>
        <v/>
      </c>
      <c r="V47" s="246" t="str">
        <f>if(OR($E47="",$D47="",COUNTIFS(DailyDelivery!$A:$A,$E47,DailyDelivery!$B:$B,$D47,DailyDelivery!$C:$C,V$1)=0),"",COUNTIFS(DailyDelivery!$A:$A,$E47,DailyDelivery!$B:$B,$D47,DailyDelivery!$C:$C,V$1))</f>
        <v/>
      </c>
      <c r="W47" s="246" t="str">
        <f>if(OR($E47="",$D47="",COUNTIFS(DailyDelivery!$A:$A,$E47,DailyDelivery!$B:$B,$D47,DailyDelivery!$C:$C,W$1)=0),"",COUNTIFS(DailyDelivery!$A:$A,$E47,DailyDelivery!$B:$B,$D47,DailyDelivery!$C:$C,W$1))</f>
        <v/>
      </c>
      <c r="X47" s="246" t="str">
        <f>if(OR($E47="",$D47="",COUNTIFS(DailyDelivery!$A:$A,$E47,DailyDelivery!$B:$B,$D47,DailyDelivery!$C:$C,X$1)=0),"",COUNTIFS(DailyDelivery!$A:$A,$E47,DailyDelivery!$B:$B,$D47,DailyDelivery!$C:$C,X$1))</f>
        <v/>
      </c>
      <c r="Y47" s="246" t="str">
        <f>if(OR($E47="",$D47="",COUNTIFS(DailyDelivery!$A:$A,$E47,DailyDelivery!$B:$B,$D47,DailyDelivery!$C:$C,Y$1)=0),"",COUNTIFS(DailyDelivery!$A:$A,$E47,DailyDelivery!$B:$B,$D47,DailyDelivery!$C:$C,Y$1))</f>
        <v/>
      </c>
      <c r="Z47" s="246" t="str">
        <f>if(OR($E47="",$D47="",COUNTIFS(DailyDelivery!$A:$A,$E47,DailyDelivery!$B:$B,$D47,DailyDelivery!$C:$C,Z$1)=0),"",COUNTIFS(DailyDelivery!$A:$A,$E47,DailyDelivery!$B:$B,$D47,DailyDelivery!$C:$C,Z$1))</f>
        <v/>
      </c>
      <c r="AA47" s="246" t="str">
        <f>if(OR($E47="",$D47="",COUNTIFS(DailyDelivery!$A:$A,$E47,DailyDelivery!$B:$B,$D47,DailyDelivery!$C:$C,AA$1)=0),"",COUNTIFS(DailyDelivery!$A:$A,$E47,DailyDelivery!$B:$B,$D47,DailyDelivery!$C:$C,AA$1))</f>
        <v/>
      </c>
      <c r="AB47" s="246" t="str">
        <f>if(OR($E47="",$D47="",COUNTIFS(DailyDelivery!$A:$A,$E47,DailyDelivery!$B:$B,$D47,DailyDelivery!$C:$C,AB$1)=0),"",COUNTIFS(DailyDelivery!$A:$A,$E47,DailyDelivery!$B:$B,$D47,DailyDelivery!$C:$C,AB$1))</f>
        <v/>
      </c>
      <c r="AC47" s="246" t="str">
        <f>if(OR($E47="",$D47="",COUNTIFS(DailyDelivery!$A:$A,$E47,DailyDelivery!$B:$B,$D47,DailyDelivery!$C:$C,AC$1)=0),"",COUNTIFS(DailyDelivery!$A:$A,$E47,DailyDelivery!$B:$B,$D47,DailyDelivery!$C:$C,AC$1))</f>
        <v/>
      </c>
      <c r="AD47" s="246" t="str">
        <f>if(OR($E47="",$D47="",COUNTIFS(DailyDelivery!$A:$A,$E47,DailyDelivery!$B:$B,$D47,DailyDelivery!$C:$C,AD$1)=0),"",COUNTIFS(DailyDelivery!$A:$A,$E47,DailyDelivery!$B:$B,$D47,DailyDelivery!$C:$C,AD$1))</f>
        <v/>
      </c>
      <c r="AE47" s="246" t="str">
        <f>if(OR($E47="",$D47="",COUNTIFS(DailyDelivery!$A:$A,$E47,DailyDelivery!$B:$B,$D47,DailyDelivery!$C:$C,AE$1)=0),"",COUNTIFS(DailyDelivery!$A:$A,$E47,DailyDelivery!$B:$B,$D47,DailyDelivery!$C:$C,AE$1))</f>
        <v/>
      </c>
      <c r="AF47" s="246" t="str">
        <f>if(OR($E47="",$D47="",COUNTIFS(DailyDelivery!$A:$A,$E47,DailyDelivery!$B:$B,$D47,DailyDelivery!$C:$C,AF$1)=0),"",COUNTIFS(DailyDelivery!$A:$A,$E47,DailyDelivery!$B:$B,$D47,DailyDelivery!$C:$C,AF$1))</f>
        <v/>
      </c>
      <c r="AG47" s="246" t="str">
        <f>if(OR($E47="",$D47="",COUNTIFS(DailyDelivery!$A:$A,$E47,DailyDelivery!$B:$B,$D47,DailyDelivery!$C:$C,AG$1)=0),"",COUNTIFS(DailyDelivery!$A:$A,$E47,DailyDelivery!$B:$B,$D47,DailyDelivery!$C:$C,AG$1))</f>
        <v/>
      </c>
      <c r="AH47" s="246" t="str">
        <f>if(OR($E47="",$D47="",COUNTIFS(DailyDelivery!$A:$A,$E47,DailyDelivery!$B:$B,$D47,DailyDelivery!$C:$C,AH$1)=0),"",COUNTIFS(DailyDelivery!$A:$A,$E47,DailyDelivery!$B:$B,$D47,DailyDelivery!$C:$C,AH$1))</f>
        <v/>
      </c>
    </row>
    <row r="48">
      <c r="A48" s="272"/>
      <c r="B48" s="273"/>
      <c r="C48" s="240"/>
      <c r="D48" s="274"/>
      <c r="E48" s="274"/>
      <c r="F48" s="242" t="str">
        <f t="shared" si="6"/>
        <v/>
      </c>
      <c r="G48" s="243" t="str">
        <f t="shared" si="7"/>
        <v/>
      </c>
      <c r="H48" s="242" t="str">
        <f t="shared" si="8"/>
        <v/>
      </c>
      <c r="I48" s="243" t="str">
        <f t="shared" si="9"/>
        <v/>
      </c>
      <c r="J48" s="244" t="str">
        <f>if(OR($E48="",$D48=""),"",sumifs(All_Stats!F:F,All_Stats!D:D,D48,All_Stats!A:A,E48,All_Stats!B:B,"Overall"))</f>
        <v/>
      </c>
      <c r="K48" s="275"/>
      <c r="L48" s="246" t="str">
        <f>if(OR($E48="",$D48=""),"",sumifs(All_Stats!G:G,All_Stats!D:D,D48,All_Stats!A:A,E48,All_Stats!B:B,"Overall"))</f>
        <v/>
      </c>
      <c r="M48" s="246" t="str">
        <f>if(OR($E48="",$D48=""),"",sumifs(All_Stats!H:H,All_Stats!D:D,D48,All_Stats!A:A,E48,All_Stats!B:B,"Overall"))</f>
        <v/>
      </c>
      <c r="N48" s="246" t="str">
        <f t="shared" si="10"/>
        <v/>
      </c>
      <c r="O48" s="276"/>
      <c r="P48" s="277"/>
      <c r="Q48" s="278"/>
      <c r="R48" s="250"/>
      <c r="S48" s="246">
        <f>SUMIFS(All_Stats!K:K,All_Stats!D:D,D48,All_Stats!A:A,E48,All_Stats!B:B,"Overall")</f>
        <v>0</v>
      </c>
      <c r="T48" s="251">
        <f>SUMIFS(All_Stats!L:L,All_Stats!D:D,D48,All_Stats!A:A,E48,All_Stats!B:B,"Overall")</f>
        <v>0</v>
      </c>
      <c r="U48" s="246" t="str">
        <f>if(OR($E48="",$D48="",COUNTIFS(DailyDelivery!$A:$A,$E48,DailyDelivery!$B:$B,$D48,DailyDelivery!$C:$C,U$1)=0),"",COUNTIFS(DailyDelivery!$A:$A,$E48,DailyDelivery!$B:$B,$D48,DailyDelivery!$C:$C,U$1))</f>
        <v/>
      </c>
      <c r="V48" s="246" t="str">
        <f>if(OR($E48="",$D48="",COUNTIFS(DailyDelivery!$A:$A,$E48,DailyDelivery!$B:$B,$D48,DailyDelivery!$C:$C,V$1)=0),"",COUNTIFS(DailyDelivery!$A:$A,$E48,DailyDelivery!$B:$B,$D48,DailyDelivery!$C:$C,V$1))</f>
        <v/>
      </c>
      <c r="W48" s="246" t="str">
        <f>if(OR($E48="",$D48="",COUNTIFS(DailyDelivery!$A:$A,$E48,DailyDelivery!$B:$B,$D48,DailyDelivery!$C:$C,W$1)=0),"",COUNTIFS(DailyDelivery!$A:$A,$E48,DailyDelivery!$B:$B,$D48,DailyDelivery!$C:$C,W$1))</f>
        <v/>
      </c>
      <c r="X48" s="246" t="str">
        <f>if(OR($E48="",$D48="",COUNTIFS(DailyDelivery!$A:$A,$E48,DailyDelivery!$B:$B,$D48,DailyDelivery!$C:$C,X$1)=0),"",COUNTIFS(DailyDelivery!$A:$A,$E48,DailyDelivery!$B:$B,$D48,DailyDelivery!$C:$C,X$1))</f>
        <v/>
      </c>
      <c r="Y48" s="246" t="str">
        <f>if(OR($E48="",$D48="",COUNTIFS(DailyDelivery!$A:$A,$E48,DailyDelivery!$B:$B,$D48,DailyDelivery!$C:$C,Y$1)=0),"",COUNTIFS(DailyDelivery!$A:$A,$E48,DailyDelivery!$B:$B,$D48,DailyDelivery!$C:$C,Y$1))</f>
        <v/>
      </c>
      <c r="Z48" s="246" t="str">
        <f>if(OR($E48="",$D48="",COUNTIFS(DailyDelivery!$A:$A,$E48,DailyDelivery!$B:$B,$D48,DailyDelivery!$C:$C,Z$1)=0),"",COUNTIFS(DailyDelivery!$A:$A,$E48,DailyDelivery!$B:$B,$D48,DailyDelivery!$C:$C,Z$1))</f>
        <v/>
      </c>
      <c r="AA48" s="246" t="str">
        <f>if(OR($E48="",$D48="",COUNTIFS(DailyDelivery!$A:$A,$E48,DailyDelivery!$B:$B,$D48,DailyDelivery!$C:$C,AA$1)=0),"",COUNTIFS(DailyDelivery!$A:$A,$E48,DailyDelivery!$B:$B,$D48,DailyDelivery!$C:$C,AA$1))</f>
        <v/>
      </c>
      <c r="AB48" s="246" t="str">
        <f>if(OR($E48="",$D48="",COUNTIFS(DailyDelivery!$A:$A,$E48,DailyDelivery!$B:$B,$D48,DailyDelivery!$C:$C,AB$1)=0),"",COUNTIFS(DailyDelivery!$A:$A,$E48,DailyDelivery!$B:$B,$D48,DailyDelivery!$C:$C,AB$1))</f>
        <v/>
      </c>
      <c r="AC48" s="246" t="str">
        <f>if(OR($E48="",$D48="",COUNTIFS(DailyDelivery!$A:$A,$E48,DailyDelivery!$B:$B,$D48,DailyDelivery!$C:$C,AC$1)=0),"",COUNTIFS(DailyDelivery!$A:$A,$E48,DailyDelivery!$B:$B,$D48,DailyDelivery!$C:$C,AC$1))</f>
        <v/>
      </c>
      <c r="AD48" s="246" t="str">
        <f>if(OR($E48="",$D48="",COUNTIFS(DailyDelivery!$A:$A,$E48,DailyDelivery!$B:$B,$D48,DailyDelivery!$C:$C,AD$1)=0),"",COUNTIFS(DailyDelivery!$A:$A,$E48,DailyDelivery!$B:$B,$D48,DailyDelivery!$C:$C,AD$1))</f>
        <v/>
      </c>
      <c r="AE48" s="246" t="str">
        <f>if(OR($E48="",$D48="",COUNTIFS(DailyDelivery!$A:$A,$E48,DailyDelivery!$B:$B,$D48,DailyDelivery!$C:$C,AE$1)=0),"",COUNTIFS(DailyDelivery!$A:$A,$E48,DailyDelivery!$B:$B,$D48,DailyDelivery!$C:$C,AE$1))</f>
        <v/>
      </c>
      <c r="AF48" s="246" t="str">
        <f>if(OR($E48="",$D48="",COUNTIFS(DailyDelivery!$A:$A,$E48,DailyDelivery!$B:$B,$D48,DailyDelivery!$C:$C,AF$1)=0),"",COUNTIFS(DailyDelivery!$A:$A,$E48,DailyDelivery!$B:$B,$D48,DailyDelivery!$C:$C,AF$1))</f>
        <v/>
      </c>
      <c r="AG48" s="246" t="str">
        <f>if(OR($E48="",$D48="",COUNTIFS(DailyDelivery!$A:$A,$E48,DailyDelivery!$B:$B,$D48,DailyDelivery!$C:$C,AG$1)=0),"",COUNTIFS(DailyDelivery!$A:$A,$E48,DailyDelivery!$B:$B,$D48,DailyDelivery!$C:$C,AG$1))</f>
        <v/>
      </c>
      <c r="AH48" s="246" t="str">
        <f>if(OR($E48="",$D48="",COUNTIFS(DailyDelivery!$A:$A,$E48,DailyDelivery!$B:$B,$D48,DailyDelivery!$C:$C,AH$1)=0),"",COUNTIFS(DailyDelivery!$A:$A,$E48,DailyDelivery!$B:$B,$D48,DailyDelivery!$C:$C,AH$1))</f>
        <v/>
      </c>
    </row>
    <row r="49">
      <c r="A49" s="272"/>
      <c r="B49" s="273"/>
      <c r="C49" s="240"/>
      <c r="D49" s="274"/>
      <c r="E49" s="274"/>
      <c r="F49" s="242" t="str">
        <f t="shared" si="6"/>
        <v/>
      </c>
      <c r="G49" s="243" t="str">
        <f t="shared" si="7"/>
        <v/>
      </c>
      <c r="H49" s="242" t="str">
        <f t="shared" si="8"/>
        <v/>
      </c>
      <c r="I49" s="243" t="str">
        <f t="shared" si="9"/>
        <v/>
      </c>
      <c r="J49" s="244" t="str">
        <f>if(OR($E49="",$D49=""),"",sumifs(All_Stats!F:F,All_Stats!D:D,D49,All_Stats!A:A,E49,All_Stats!B:B,"Overall"))</f>
        <v/>
      </c>
      <c r="K49" s="275"/>
      <c r="L49" s="246" t="str">
        <f>if(OR($E49="",$D49=""),"",sumifs(All_Stats!G:G,All_Stats!D:D,D49,All_Stats!A:A,E49,All_Stats!B:B,"Overall"))</f>
        <v/>
      </c>
      <c r="M49" s="246" t="str">
        <f>if(OR($E49="",$D49=""),"",sumifs(All_Stats!H:H,All_Stats!D:D,D49,All_Stats!A:A,E49,All_Stats!B:B,"Overall"))</f>
        <v/>
      </c>
      <c r="N49" s="246" t="str">
        <f t="shared" si="10"/>
        <v/>
      </c>
      <c r="O49" s="276"/>
      <c r="P49" s="277"/>
      <c r="Q49" s="278"/>
      <c r="R49" s="250"/>
      <c r="S49" s="246">
        <f>SUMIFS(All_Stats!K:K,All_Stats!D:D,D49,All_Stats!A:A,E49,All_Stats!B:B,"Overall")</f>
        <v>0</v>
      </c>
      <c r="T49" s="251">
        <f>SUMIFS(All_Stats!L:L,All_Stats!D:D,D49,All_Stats!A:A,E49,All_Stats!B:B,"Overall")</f>
        <v>0</v>
      </c>
      <c r="U49" s="246" t="str">
        <f>if(OR($E49="",$D49="",COUNTIFS(DailyDelivery!$A:$A,$E49,DailyDelivery!$B:$B,$D49,DailyDelivery!$C:$C,U$1)=0),"",COUNTIFS(DailyDelivery!$A:$A,$E49,DailyDelivery!$B:$B,$D49,DailyDelivery!$C:$C,U$1))</f>
        <v/>
      </c>
      <c r="V49" s="246" t="str">
        <f>if(OR($E49="",$D49="",COUNTIFS(DailyDelivery!$A:$A,$E49,DailyDelivery!$B:$B,$D49,DailyDelivery!$C:$C,V$1)=0),"",COUNTIFS(DailyDelivery!$A:$A,$E49,DailyDelivery!$B:$B,$D49,DailyDelivery!$C:$C,V$1))</f>
        <v/>
      </c>
      <c r="W49" s="246" t="str">
        <f>if(OR($E49="",$D49="",COUNTIFS(DailyDelivery!$A:$A,$E49,DailyDelivery!$B:$B,$D49,DailyDelivery!$C:$C,W$1)=0),"",COUNTIFS(DailyDelivery!$A:$A,$E49,DailyDelivery!$B:$B,$D49,DailyDelivery!$C:$C,W$1))</f>
        <v/>
      </c>
      <c r="X49" s="246" t="str">
        <f>if(OR($E49="",$D49="",COUNTIFS(DailyDelivery!$A:$A,$E49,DailyDelivery!$B:$B,$D49,DailyDelivery!$C:$C,X$1)=0),"",COUNTIFS(DailyDelivery!$A:$A,$E49,DailyDelivery!$B:$B,$D49,DailyDelivery!$C:$C,X$1))</f>
        <v/>
      </c>
      <c r="Y49" s="246" t="str">
        <f>if(OR($E49="",$D49="",COUNTIFS(DailyDelivery!$A:$A,$E49,DailyDelivery!$B:$B,$D49,DailyDelivery!$C:$C,Y$1)=0),"",COUNTIFS(DailyDelivery!$A:$A,$E49,DailyDelivery!$B:$B,$D49,DailyDelivery!$C:$C,Y$1))</f>
        <v/>
      </c>
      <c r="Z49" s="246" t="str">
        <f>if(OR($E49="",$D49="",COUNTIFS(DailyDelivery!$A:$A,$E49,DailyDelivery!$B:$B,$D49,DailyDelivery!$C:$C,Z$1)=0),"",COUNTIFS(DailyDelivery!$A:$A,$E49,DailyDelivery!$B:$B,$D49,DailyDelivery!$C:$C,Z$1))</f>
        <v/>
      </c>
      <c r="AA49" s="246" t="str">
        <f>if(OR($E49="",$D49="",COUNTIFS(DailyDelivery!$A:$A,$E49,DailyDelivery!$B:$B,$D49,DailyDelivery!$C:$C,AA$1)=0),"",COUNTIFS(DailyDelivery!$A:$A,$E49,DailyDelivery!$B:$B,$D49,DailyDelivery!$C:$C,AA$1))</f>
        <v/>
      </c>
      <c r="AB49" s="246" t="str">
        <f>if(OR($E49="",$D49="",COUNTIFS(DailyDelivery!$A:$A,$E49,DailyDelivery!$B:$B,$D49,DailyDelivery!$C:$C,AB$1)=0),"",COUNTIFS(DailyDelivery!$A:$A,$E49,DailyDelivery!$B:$B,$D49,DailyDelivery!$C:$C,AB$1))</f>
        <v/>
      </c>
      <c r="AC49" s="246" t="str">
        <f>if(OR($E49="",$D49="",COUNTIFS(DailyDelivery!$A:$A,$E49,DailyDelivery!$B:$B,$D49,DailyDelivery!$C:$C,AC$1)=0),"",COUNTIFS(DailyDelivery!$A:$A,$E49,DailyDelivery!$B:$B,$D49,DailyDelivery!$C:$C,AC$1))</f>
        <v/>
      </c>
      <c r="AD49" s="246" t="str">
        <f>if(OR($E49="",$D49="",COUNTIFS(DailyDelivery!$A:$A,$E49,DailyDelivery!$B:$B,$D49,DailyDelivery!$C:$C,AD$1)=0),"",COUNTIFS(DailyDelivery!$A:$A,$E49,DailyDelivery!$B:$B,$D49,DailyDelivery!$C:$C,AD$1))</f>
        <v/>
      </c>
      <c r="AE49" s="246" t="str">
        <f>if(OR($E49="",$D49="",COUNTIFS(DailyDelivery!$A:$A,$E49,DailyDelivery!$B:$B,$D49,DailyDelivery!$C:$C,AE$1)=0),"",COUNTIFS(DailyDelivery!$A:$A,$E49,DailyDelivery!$B:$B,$D49,DailyDelivery!$C:$C,AE$1))</f>
        <v/>
      </c>
      <c r="AF49" s="246" t="str">
        <f>if(OR($E49="",$D49="",COUNTIFS(DailyDelivery!$A:$A,$E49,DailyDelivery!$B:$B,$D49,DailyDelivery!$C:$C,AF$1)=0),"",COUNTIFS(DailyDelivery!$A:$A,$E49,DailyDelivery!$B:$B,$D49,DailyDelivery!$C:$C,AF$1))</f>
        <v/>
      </c>
      <c r="AG49" s="246" t="str">
        <f>if(OR($E49="",$D49="",COUNTIFS(DailyDelivery!$A:$A,$E49,DailyDelivery!$B:$B,$D49,DailyDelivery!$C:$C,AG$1)=0),"",COUNTIFS(DailyDelivery!$A:$A,$E49,DailyDelivery!$B:$B,$D49,DailyDelivery!$C:$C,AG$1))</f>
        <v/>
      </c>
      <c r="AH49" s="246" t="str">
        <f>if(OR($E49="",$D49="",COUNTIFS(DailyDelivery!$A:$A,$E49,DailyDelivery!$B:$B,$D49,DailyDelivery!$C:$C,AH$1)=0),"",COUNTIFS(DailyDelivery!$A:$A,$E49,DailyDelivery!$B:$B,$D49,DailyDelivery!$C:$C,AH$1))</f>
        <v/>
      </c>
    </row>
    <row r="50">
      <c r="A50" s="272"/>
      <c r="B50" s="273"/>
      <c r="C50" s="240"/>
      <c r="D50" s="274"/>
      <c r="E50" s="274"/>
      <c r="F50" s="242" t="str">
        <f t="shared" si="6"/>
        <v/>
      </c>
      <c r="G50" s="243" t="str">
        <f t="shared" si="7"/>
        <v/>
      </c>
      <c r="H50" s="242" t="str">
        <f t="shared" si="8"/>
        <v/>
      </c>
      <c r="I50" s="243" t="str">
        <f t="shared" si="9"/>
        <v/>
      </c>
      <c r="J50" s="244" t="str">
        <f>if(OR($E50="",$D50=""),"",sumifs(All_Stats!F:F,All_Stats!D:D,D50,All_Stats!A:A,E50,All_Stats!B:B,"Overall"))</f>
        <v/>
      </c>
      <c r="K50" s="275"/>
      <c r="L50" s="246" t="str">
        <f>if(OR($E50="",$D50=""),"",sumifs(All_Stats!G:G,All_Stats!D:D,D50,All_Stats!A:A,E50,All_Stats!B:B,"Overall"))</f>
        <v/>
      </c>
      <c r="M50" s="246" t="str">
        <f>if(OR($E50="",$D50=""),"",sumifs(All_Stats!H:H,All_Stats!D:D,D50,All_Stats!A:A,E50,All_Stats!B:B,"Overall"))</f>
        <v/>
      </c>
      <c r="N50" s="246" t="str">
        <f t="shared" si="10"/>
        <v/>
      </c>
      <c r="O50" s="276"/>
      <c r="P50" s="277"/>
      <c r="Q50" s="278"/>
      <c r="R50" s="250"/>
      <c r="S50" s="246">
        <f>SUMIFS(All_Stats!K:K,All_Stats!D:D,D50,All_Stats!A:A,E50,All_Stats!B:B,"Overall")</f>
        <v>0</v>
      </c>
      <c r="T50" s="251">
        <f>SUMIFS(All_Stats!L:L,All_Stats!D:D,D50,All_Stats!A:A,E50,All_Stats!B:B,"Overall")</f>
        <v>0</v>
      </c>
      <c r="U50" s="246" t="str">
        <f>if(OR($E50="",$D50="",COUNTIFS(DailyDelivery!$A:$A,$E50,DailyDelivery!$B:$B,$D50,DailyDelivery!$C:$C,U$1)=0),"",COUNTIFS(DailyDelivery!$A:$A,$E50,DailyDelivery!$B:$B,$D50,DailyDelivery!$C:$C,U$1))</f>
        <v/>
      </c>
      <c r="V50" s="246" t="str">
        <f>if(OR($E50="",$D50="",COUNTIFS(DailyDelivery!$A:$A,$E50,DailyDelivery!$B:$B,$D50,DailyDelivery!$C:$C,V$1)=0),"",COUNTIFS(DailyDelivery!$A:$A,$E50,DailyDelivery!$B:$B,$D50,DailyDelivery!$C:$C,V$1))</f>
        <v/>
      </c>
      <c r="W50" s="246" t="str">
        <f>if(OR($E50="",$D50="",COUNTIFS(DailyDelivery!$A:$A,$E50,DailyDelivery!$B:$B,$D50,DailyDelivery!$C:$C,W$1)=0),"",COUNTIFS(DailyDelivery!$A:$A,$E50,DailyDelivery!$B:$B,$D50,DailyDelivery!$C:$C,W$1))</f>
        <v/>
      </c>
      <c r="X50" s="246" t="str">
        <f>if(OR($E50="",$D50="",COUNTIFS(DailyDelivery!$A:$A,$E50,DailyDelivery!$B:$B,$D50,DailyDelivery!$C:$C,X$1)=0),"",COUNTIFS(DailyDelivery!$A:$A,$E50,DailyDelivery!$B:$B,$D50,DailyDelivery!$C:$C,X$1))</f>
        <v/>
      </c>
      <c r="Y50" s="246" t="str">
        <f>if(OR($E50="",$D50="",COUNTIFS(DailyDelivery!$A:$A,$E50,DailyDelivery!$B:$B,$D50,DailyDelivery!$C:$C,Y$1)=0),"",COUNTIFS(DailyDelivery!$A:$A,$E50,DailyDelivery!$B:$B,$D50,DailyDelivery!$C:$C,Y$1))</f>
        <v/>
      </c>
      <c r="Z50" s="246" t="str">
        <f>if(OR($E50="",$D50="",COUNTIFS(DailyDelivery!$A:$A,$E50,DailyDelivery!$B:$B,$D50,DailyDelivery!$C:$C,Z$1)=0),"",COUNTIFS(DailyDelivery!$A:$A,$E50,DailyDelivery!$B:$B,$D50,DailyDelivery!$C:$C,Z$1))</f>
        <v/>
      </c>
      <c r="AA50" s="246" t="str">
        <f>if(OR($E50="",$D50="",COUNTIFS(DailyDelivery!$A:$A,$E50,DailyDelivery!$B:$B,$D50,DailyDelivery!$C:$C,AA$1)=0),"",COUNTIFS(DailyDelivery!$A:$A,$E50,DailyDelivery!$B:$B,$D50,DailyDelivery!$C:$C,AA$1))</f>
        <v/>
      </c>
      <c r="AB50" s="246" t="str">
        <f>if(OR($E50="",$D50="",COUNTIFS(DailyDelivery!$A:$A,$E50,DailyDelivery!$B:$B,$D50,DailyDelivery!$C:$C,AB$1)=0),"",COUNTIFS(DailyDelivery!$A:$A,$E50,DailyDelivery!$B:$B,$D50,DailyDelivery!$C:$C,AB$1))</f>
        <v/>
      </c>
      <c r="AC50" s="246" t="str">
        <f>if(OR($E50="",$D50="",COUNTIFS(DailyDelivery!$A:$A,$E50,DailyDelivery!$B:$B,$D50,DailyDelivery!$C:$C,AC$1)=0),"",COUNTIFS(DailyDelivery!$A:$A,$E50,DailyDelivery!$B:$B,$D50,DailyDelivery!$C:$C,AC$1))</f>
        <v/>
      </c>
      <c r="AD50" s="246" t="str">
        <f>if(OR($E50="",$D50="",COUNTIFS(DailyDelivery!$A:$A,$E50,DailyDelivery!$B:$B,$D50,DailyDelivery!$C:$C,AD$1)=0),"",COUNTIFS(DailyDelivery!$A:$A,$E50,DailyDelivery!$B:$B,$D50,DailyDelivery!$C:$C,AD$1))</f>
        <v/>
      </c>
      <c r="AE50" s="246" t="str">
        <f>if(OR($E50="",$D50="",COUNTIFS(DailyDelivery!$A:$A,$E50,DailyDelivery!$B:$B,$D50,DailyDelivery!$C:$C,AE$1)=0),"",COUNTIFS(DailyDelivery!$A:$A,$E50,DailyDelivery!$B:$B,$D50,DailyDelivery!$C:$C,AE$1))</f>
        <v/>
      </c>
      <c r="AF50" s="246" t="str">
        <f>if(OR($E50="",$D50="",COUNTIFS(DailyDelivery!$A:$A,$E50,DailyDelivery!$B:$B,$D50,DailyDelivery!$C:$C,AF$1)=0),"",COUNTIFS(DailyDelivery!$A:$A,$E50,DailyDelivery!$B:$B,$D50,DailyDelivery!$C:$C,AF$1))</f>
        <v/>
      </c>
      <c r="AG50" s="246" t="str">
        <f>if(OR($E50="",$D50="",COUNTIFS(DailyDelivery!$A:$A,$E50,DailyDelivery!$B:$B,$D50,DailyDelivery!$C:$C,AG$1)=0),"",COUNTIFS(DailyDelivery!$A:$A,$E50,DailyDelivery!$B:$B,$D50,DailyDelivery!$C:$C,AG$1))</f>
        <v/>
      </c>
      <c r="AH50" s="246" t="str">
        <f>if(OR($E50="",$D50="",COUNTIFS(DailyDelivery!$A:$A,$E50,DailyDelivery!$B:$B,$D50,DailyDelivery!$C:$C,AH$1)=0),"",COUNTIFS(DailyDelivery!$A:$A,$E50,DailyDelivery!$B:$B,$D50,DailyDelivery!$C:$C,AH$1))</f>
        <v/>
      </c>
    </row>
    <row r="51">
      <c r="A51" s="272"/>
      <c r="B51" s="273"/>
      <c r="C51" s="240"/>
      <c r="D51" s="274"/>
      <c r="E51" s="274"/>
      <c r="F51" s="242" t="str">
        <f t="shared" si="6"/>
        <v/>
      </c>
      <c r="G51" s="243" t="str">
        <f t="shared" si="7"/>
        <v/>
      </c>
      <c r="H51" s="242" t="str">
        <f t="shared" si="8"/>
        <v/>
      </c>
      <c r="I51" s="243" t="str">
        <f t="shared" si="9"/>
        <v/>
      </c>
      <c r="J51" s="244" t="str">
        <f>if(OR($E51="",$D51=""),"",sumifs(All_Stats!F:F,All_Stats!D:D,D51,All_Stats!A:A,E51,All_Stats!B:B,"Overall"))</f>
        <v/>
      </c>
      <c r="K51" s="275"/>
      <c r="L51" s="246" t="str">
        <f>if(OR($E51="",$D51=""),"",sumifs(All_Stats!G:G,All_Stats!D:D,D51,All_Stats!A:A,E51,All_Stats!B:B,"Overall"))</f>
        <v/>
      </c>
      <c r="M51" s="246" t="str">
        <f>if(OR($E51="",$D51=""),"",sumifs(All_Stats!H:H,All_Stats!D:D,D51,All_Stats!A:A,E51,All_Stats!B:B,"Overall"))</f>
        <v/>
      </c>
      <c r="N51" s="246" t="str">
        <f t="shared" si="10"/>
        <v/>
      </c>
      <c r="O51" s="276"/>
      <c r="P51" s="277"/>
      <c r="Q51" s="278"/>
      <c r="R51" s="250"/>
      <c r="S51" s="246">
        <f>SUMIFS(All_Stats!K:K,All_Stats!D:D,D51,All_Stats!A:A,E51,All_Stats!B:B,"Overall")</f>
        <v>0</v>
      </c>
      <c r="T51" s="251">
        <f>SUMIFS(All_Stats!L:L,All_Stats!D:D,D51,All_Stats!A:A,E51,All_Stats!B:B,"Overall")</f>
        <v>0</v>
      </c>
      <c r="U51" s="246" t="str">
        <f>if(OR($E51="",$D51="",COUNTIFS(DailyDelivery!$A:$A,$E51,DailyDelivery!$B:$B,$D51,DailyDelivery!$C:$C,U$1)=0),"",COUNTIFS(DailyDelivery!$A:$A,$E51,DailyDelivery!$B:$B,$D51,DailyDelivery!$C:$C,U$1))</f>
        <v/>
      </c>
      <c r="V51" s="246" t="str">
        <f>if(OR($E51="",$D51="",COUNTIFS(DailyDelivery!$A:$A,$E51,DailyDelivery!$B:$B,$D51,DailyDelivery!$C:$C,V$1)=0),"",COUNTIFS(DailyDelivery!$A:$A,$E51,DailyDelivery!$B:$B,$D51,DailyDelivery!$C:$C,V$1))</f>
        <v/>
      </c>
      <c r="W51" s="246" t="str">
        <f>if(OR($E51="",$D51="",COUNTIFS(DailyDelivery!$A:$A,$E51,DailyDelivery!$B:$B,$D51,DailyDelivery!$C:$C,W$1)=0),"",COUNTIFS(DailyDelivery!$A:$A,$E51,DailyDelivery!$B:$B,$D51,DailyDelivery!$C:$C,W$1))</f>
        <v/>
      </c>
      <c r="X51" s="246" t="str">
        <f>if(OR($E51="",$D51="",COUNTIFS(DailyDelivery!$A:$A,$E51,DailyDelivery!$B:$B,$D51,DailyDelivery!$C:$C,X$1)=0),"",COUNTIFS(DailyDelivery!$A:$A,$E51,DailyDelivery!$B:$B,$D51,DailyDelivery!$C:$C,X$1))</f>
        <v/>
      </c>
      <c r="Y51" s="246" t="str">
        <f>if(OR($E51="",$D51="",COUNTIFS(DailyDelivery!$A:$A,$E51,DailyDelivery!$B:$B,$D51,DailyDelivery!$C:$C,Y$1)=0),"",COUNTIFS(DailyDelivery!$A:$A,$E51,DailyDelivery!$B:$B,$D51,DailyDelivery!$C:$C,Y$1))</f>
        <v/>
      </c>
      <c r="Z51" s="246" t="str">
        <f>if(OR($E51="",$D51="",COUNTIFS(DailyDelivery!$A:$A,$E51,DailyDelivery!$B:$B,$D51,DailyDelivery!$C:$C,Z$1)=0),"",COUNTIFS(DailyDelivery!$A:$A,$E51,DailyDelivery!$B:$B,$D51,DailyDelivery!$C:$C,Z$1))</f>
        <v/>
      </c>
      <c r="AA51" s="246" t="str">
        <f>if(OR($E51="",$D51="",COUNTIFS(DailyDelivery!$A:$A,$E51,DailyDelivery!$B:$B,$D51,DailyDelivery!$C:$C,AA$1)=0),"",COUNTIFS(DailyDelivery!$A:$A,$E51,DailyDelivery!$B:$B,$D51,DailyDelivery!$C:$C,AA$1))</f>
        <v/>
      </c>
      <c r="AB51" s="246" t="str">
        <f>if(OR($E51="",$D51="",COUNTIFS(DailyDelivery!$A:$A,$E51,DailyDelivery!$B:$B,$D51,DailyDelivery!$C:$C,AB$1)=0),"",COUNTIFS(DailyDelivery!$A:$A,$E51,DailyDelivery!$B:$B,$D51,DailyDelivery!$C:$C,AB$1))</f>
        <v/>
      </c>
      <c r="AC51" s="246" t="str">
        <f>if(OR($E51="",$D51="",COUNTIFS(DailyDelivery!$A:$A,$E51,DailyDelivery!$B:$B,$D51,DailyDelivery!$C:$C,AC$1)=0),"",COUNTIFS(DailyDelivery!$A:$A,$E51,DailyDelivery!$B:$B,$D51,DailyDelivery!$C:$C,AC$1))</f>
        <v/>
      </c>
      <c r="AD51" s="246" t="str">
        <f>if(OR($E51="",$D51="",COUNTIFS(DailyDelivery!$A:$A,$E51,DailyDelivery!$B:$B,$D51,DailyDelivery!$C:$C,AD$1)=0),"",COUNTIFS(DailyDelivery!$A:$A,$E51,DailyDelivery!$B:$B,$D51,DailyDelivery!$C:$C,AD$1))</f>
        <v/>
      </c>
      <c r="AE51" s="246" t="str">
        <f>if(OR($E51="",$D51="",COUNTIFS(DailyDelivery!$A:$A,$E51,DailyDelivery!$B:$B,$D51,DailyDelivery!$C:$C,AE$1)=0),"",COUNTIFS(DailyDelivery!$A:$A,$E51,DailyDelivery!$B:$B,$D51,DailyDelivery!$C:$C,AE$1))</f>
        <v/>
      </c>
      <c r="AF51" s="246" t="str">
        <f>if(OR($E51="",$D51="",COUNTIFS(DailyDelivery!$A:$A,$E51,DailyDelivery!$B:$B,$D51,DailyDelivery!$C:$C,AF$1)=0),"",COUNTIFS(DailyDelivery!$A:$A,$E51,DailyDelivery!$B:$B,$D51,DailyDelivery!$C:$C,AF$1))</f>
        <v/>
      </c>
      <c r="AG51" s="246" t="str">
        <f>if(OR($E51="",$D51="",COUNTIFS(DailyDelivery!$A:$A,$E51,DailyDelivery!$B:$B,$D51,DailyDelivery!$C:$C,AG$1)=0),"",COUNTIFS(DailyDelivery!$A:$A,$E51,DailyDelivery!$B:$B,$D51,DailyDelivery!$C:$C,AG$1))</f>
        <v/>
      </c>
      <c r="AH51" s="246" t="str">
        <f>if(OR($E51="",$D51="",COUNTIFS(DailyDelivery!$A:$A,$E51,DailyDelivery!$B:$B,$D51,DailyDelivery!$C:$C,AH$1)=0),"",COUNTIFS(DailyDelivery!$A:$A,$E51,DailyDelivery!$B:$B,$D51,DailyDelivery!$C:$C,AH$1))</f>
        <v/>
      </c>
    </row>
    <row r="52">
      <c r="A52" s="272"/>
      <c r="B52" s="273"/>
      <c r="C52" s="240"/>
      <c r="D52" s="274"/>
      <c r="E52" s="274"/>
      <c r="F52" s="242" t="str">
        <f t="shared" si="6"/>
        <v/>
      </c>
      <c r="G52" s="243" t="str">
        <f t="shared" si="7"/>
        <v/>
      </c>
      <c r="H52" s="242" t="str">
        <f t="shared" si="8"/>
        <v/>
      </c>
      <c r="I52" s="243" t="str">
        <f t="shared" si="9"/>
        <v/>
      </c>
      <c r="J52" s="244" t="str">
        <f>if(OR($E52="",$D52=""),"",sumifs(All_Stats!F:F,All_Stats!D:D,D52,All_Stats!A:A,E52,All_Stats!B:B,"Overall"))</f>
        <v/>
      </c>
      <c r="K52" s="275"/>
      <c r="L52" s="246" t="str">
        <f>if(OR($E52="",$D52=""),"",sumifs(All_Stats!G:G,All_Stats!D:D,D52,All_Stats!A:A,E52,All_Stats!B:B,"Overall"))</f>
        <v/>
      </c>
      <c r="M52" s="246" t="str">
        <f>if(OR($E52="",$D52=""),"",sumifs(All_Stats!H:H,All_Stats!D:D,D52,All_Stats!A:A,E52,All_Stats!B:B,"Overall"))</f>
        <v/>
      </c>
      <c r="N52" s="246" t="str">
        <f t="shared" si="10"/>
        <v/>
      </c>
      <c r="O52" s="276"/>
      <c r="P52" s="277"/>
      <c r="Q52" s="278"/>
      <c r="R52" s="250"/>
      <c r="S52" s="246">
        <f>SUMIFS(All_Stats!K:K,All_Stats!D:D,D52,All_Stats!A:A,E52,All_Stats!B:B,"Overall")</f>
        <v>0</v>
      </c>
      <c r="T52" s="251">
        <f>SUMIFS(All_Stats!L:L,All_Stats!D:D,D52,All_Stats!A:A,E52,All_Stats!B:B,"Overall")</f>
        <v>0</v>
      </c>
      <c r="U52" s="246" t="str">
        <f>if(OR($E52="",$D52="",COUNTIFS(DailyDelivery!$A:$A,$E52,DailyDelivery!$B:$B,$D52,DailyDelivery!$C:$C,U$1)=0),"",COUNTIFS(DailyDelivery!$A:$A,$E52,DailyDelivery!$B:$B,$D52,DailyDelivery!$C:$C,U$1))</f>
        <v/>
      </c>
      <c r="V52" s="246" t="str">
        <f>if(OR($E52="",$D52="",COUNTIFS(DailyDelivery!$A:$A,$E52,DailyDelivery!$B:$B,$D52,DailyDelivery!$C:$C,V$1)=0),"",COUNTIFS(DailyDelivery!$A:$A,$E52,DailyDelivery!$B:$B,$D52,DailyDelivery!$C:$C,V$1))</f>
        <v/>
      </c>
      <c r="W52" s="246" t="str">
        <f>if(OR($E52="",$D52="",COUNTIFS(DailyDelivery!$A:$A,$E52,DailyDelivery!$B:$B,$D52,DailyDelivery!$C:$C,W$1)=0),"",COUNTIFS(DailyDelivery!$A:$A,$E52,DailyDelivery!$B:$B,$D52,DailyDelivery!$C:$C,W$1))</f>
        <v/>
      </c>
      <c r="X52" s="246" t="str">
        <f>if(OR($E52="",$D52="",COUNTIFS(DailyDelivery!$A:$A,$E52,DailyDelivery!$B:$B,$D52,DailyDelivery!$C:$C,X$1)=0),"",COUNTIFS(DailyDelivery!$A:$A,$E52,DailyDelivery!$B:$B,$D52,DailyDelivery!$C:$C,X$1))</f>
        <v/>
      </c>
      <c r="Y52" s="246" t="str">
        <f>if(OR($E52="",$D52="",COUNTIFS(DailyDelivery!$A:$A,$E52,DailyDelivery!$B:$B,$D52,DailyDelivery!$C:$C,Y$1)=0),"",COUNTIFS(DailyDelivery!$A:$A,$E52,DailyDelivery!$B:$B,$D52,DailyDelivery!$C:$C,Y$1))</f>
        <v/>
      </c>
      <c r="Z52" s="246" t="str">
        <f>if(OR($E52="",$D52="",COUNTIFS(DailyDelivery!$A:$A,$E52,DailyDelivery!$B:$B,$D52,DailyDelivery!$C:$C,Z$1)=0),"",COUNTIFS(DailyDelivery!$A:$A,$E52,DailyDelivery!$B:$B,$D52,DailyDelivery!$C:$C,Z$1))</f>
        <v/>
      </c>
      <c r="AA52" s="246" t="str">
        <f>if(OR($E52="",$D52="",COUNTIFS(DailyDelivery!$A:$A,$E52,DailyDelivery!$B:$B,$D52,DailyDelivery!$C:$C,AA$1)=0),"",COUNTIFS(DailyDelivery!$A:$A,$E52,DailyDelivery!$B:$B,$D52,DailyDelivery!$C:$C,AA$1))</f>
        <v/>
      </c>
      <c r="AB52" s="246" t="str">
        <f>if(OR($E52="",$D52="",COUNTIFS(DailyDelivery!$A:$A,$E52,DailyDelivery!$B:$B,$D52,DailyDelivery!$C:$C,AB$1)=0),"",COUNTIFS(DailyDelivery!$A:$A,$E52,DailyDelivery!$B:$B,$D52,DailyDelivery!$C:$C,AB$1))</f>
        <v/>
      </c>
      <c r="AC52" s="246" t="str">
        <f>if(OR($E52="",$D52="",COUNTIFS(DailyDelivery!$A:$A,$E52,DailyDelivery!$B:$B,$D52,DailyDelivery!$C:$C,AC$1)=0),"",COUNTIFS(DailyDelivery!$A:$A,$E52,DailyDelivery!$B:$B,$D52,DailyDelivery!$C:$C,AC$1))</f>
        <v/>
      </c>
      <c r="AD52" s="246" t="str">
        <f>if(OR($E52="",$D52="",COUNTIFS(DailyDelivery!$A:$A,$E52,DailyDelivery!$B:$B,$D52,DailyDelivery!$C:$C,AD$1)=0),"",COUNTIFS(DailyDelivery!$A:$A,$E52,DailyDelivery!$B:$B,$D52,DailyDelivery!$C:$C,AD$1))</f>
        <v/>
      </c>
      <c r="AE52" s="246" t="str">
        <f>if(OR($E52="",$D52="",COUNTIFS(DailyDelivery!$A:$A,$E52,DailyDelivery!$B:$B,$D52,DailyDelivery!$C:$C,AE$1)=0),"",COUNTIFS(DailyDelivery!$A:$A,$E52,DailyDelivery!$B:$B,$D52,DailyDelivery!$C:$C,AE$1))</f>
        <v/>
      </c>
      <c r="AF52" s="246" t="str">
        <f>if(OR($E52="",$D52="",COUNTIFS(DailyDelivery!$A:$A,$E52,DailyDelivery!$B:$B,$D52,DailyDelivery!$C:$C,AF$1)=0),"",COUNTIFS(DailyDelivery!$A:$A,$E52,DailyDelivery!$B:$B,$D52,DailyDelivery!$C:$C,AF$1))</f>
        <v/>
      </c>
      <c r="AG52" s="246" t="str">
        <f>if(OR($E52="",$D52="",COUNTIFS(DailyDelivery!$A:$A,$E52,DailyDelivery!$B:$B,$D52,DailyDelivery!$C:$C,AG$1)=0),"",COUNTIFS(DailyDelivery!$A:$A,$E52,DailyDelivery!$B:$B,$D52,DailyDelivery!$C:$C,AG$1))</f>
        <v/>
      </c>
      <c r="AH52" s="246" t="str">
        <f>if(OR($E52="",$D52="",COUNTIFS(DailyDelivery!$A:$A,$E52,DailyDelivery!$B:$B,$D52,DailyDelivery!$C:$C,AH$1)=0),"",COUNTIFS(DailyDelivery!$A:$A,$E52,DailyDelivery!$B:$B,$D52,DailyDelivery!$C:$C,AH$1))</f>
        <v/>
      </c>
    </row>
    <row r="53">
      <c r="A53" s="272"/>
      <c r="B53" s="273"/>
      <c r="C53" s="240"/>
      <c r="D53" s="274"/>
      <c r="E53" s="274"/>
      <c r="F53" s="242" t="str">
        <f t="shared" si="6"/>
        <v/>
      </c>
      <c r="G53" s="243" t="str">
        <f t="shared" si="7"/>
        <v/>
      </c>
      <c r="H53" s="242" t="str">
        <f t="shared" si="8"/>
        <v/>
      </c>
      <c r="I53" s="243" t="str">
        <f t="shared" si="9"/>
        <v/>
      </c>
      <c r="J53" s="244" t="str">
        <f>if(OR($E53="",$D53=""),"",sumifs(All_Stats!F:F,All_Stats!D:D,D53,All_Stats!A:A,E53,All_Stats!B:B,"Overall"))</f>
        <v/>
      </c>
      <c r="K53" s="275"/>
      <c r="L53" s="246" t="str">
        <f>if(OR($E53="",$D53=""),"",sumifs(All_Stats!G:G,All_Stats!D:D,D53,All_Stats!A:A,E53,All_Stats!B:B,"Overall"))</f>
        <v/>
      </c>
      <c r="M53" s="246" t="str">
        <f>if(OR($E53="",$D53=""),"",sumifs(All_Stats!H:H,All_Stats!D:D,D53,All_Stats!A:A,E53,All_Stats!B:B,"Overall"))</f>
        <v/>
      </c>
      <c r="N53" s="246" t="str">
        <f t="shared" si="10"/>
        <v/>
      </c>
      <c r="O53" s="276"/>
      <c r="P53" s="277"/>
      <c r="Q53" s="278"/>
      <c r="R53" s="250"/>
      <c r="S53" s="246">
        <f>SUMIFS(All_Stats!K:K,All_Stats!D:D,D53,All_Stats!A:A,E53,All_Stats!B:B,"Overall")</f>
        <v>0</v>
      </c>
      <c r="T53" s="251">
        <f>SUMIFS(All_Stats!L:L,All_Stats!D:D,D53,All_Stats!A:A,E53,All_Stats!B:B,"Overall")</f>
        <v>0</v>
      </c>
      <c r="U53" s="246" t="str">
        <f>if(OR($E53="",$D53="",COUNTIFS(DailyDelivery!$A:$A,$E53,DailyDelivery!$B:$B,$D53,DailyDelivery!$C:$C,U$1)=0),"",COUNTIFS(DailyDelivery!$A:$A,$E53,DailyDelivery!$B:$B,$D53,DailyDelivery!$C:$C,U$1))</f>
        <v/>
      </c>
      <c r="V53" s="246" t="str">
        <f>if(OR($E53="",$D53="",COUNTIFS(DailyDelivery!$A:$A,$E53,DailyDelivery!$B:$B,$D53,DailyDelivery!$C:$C,V$1)=0),"",COUNTIFS(DailyDelivery!$A:$A,$E53,DailyDelivery!$B:$B,$D53,DailyDelivery!$C:$C,V$1))</f>
        <v/>
      </c>
      <c r="W53" s="246" t="str">
        <f>if(OR($E53="",$D53="",COUNTIFS(DailyDelivery!$A:$A,$E53,DailyDelivery!$B:$B,$D53,DailyDelivery!$C:$C,W$1)=0),"",COUNTIFS(DailyDelivery!$A:$A,$E53,DailyDelivery!$B:$B,$D53,DailyDelivery!$C:$C,W$1))</f>
        <v/>
      </c>
      <c r="X53" s="246" t="str">
        <f>if(OR($E53="",$D53="",COUNTIFS(DailyDelivery!$A:$A,$E53,DailyDelivery!$B:$B,$D53,DailyDelivery!$C:$C,X$1)=0),"",COUNTIFS(DailyDelivery!$A:$A,$E53,DailyDelivery!$B:$B,$D53,DailyDelivery!$C:$C,X$1))</f>
        <v/>
      </c>
      <c r="Y53" s="246" t="str">
        <f>if(OR($E53="",$D53="",COUNTIFS(DailyDelivery!$A:$A,$E53,DailyDelivery!$B:$B,$D53,DailyDelivery!$C:$C,Y$1)=0),"",COUNTIFS(DailyDelivery!$A:$A,$E53,DailyDelivery!$B:$B,$D53,DailyDelivery!$C:$C,Y$1))</f>
        <v/>
      </c>
      <c r="Z53" s="246" t="str">
        <f>if(OR($E53="",$D53="",COUNTIFS(DailyDelivery!$A:$A,$E53,DailyDelivery!$B:$B,$D53,DailyDelivery!$C:$C,Z$1)=0),"",COUNTIFS(DailyDelivery!$A:$A,$E53,DailyDelivery!$B:$B,$D53,DailyDelivery!$C:$C,Z$1))</f>
        <v/>
      </c>
      <c r="AA53" s="246" t="str">
        <f>if(OR($E53="",$D53="",COUNTIFS(DailyDelivery!$A:$A,$E53,DailyDelivery!$B:$B,$D53,DailyDelivery!$C:$C,AA$1)=0),"",COUNTIFS(DailyDelivery!$A:$A,$E53,DailyDelivery!$B:$B,$D53,DailyDelivery!$C:$C,AA$1))</f>
        <v/>
      </c>
      <c r="AB53" s="246" t="str">
        <f>if(OR($E53="",$D53="",COUNTIFS(DailyDelivery!$A:$A,$E53,DailyDelivery!$B:$B,$D53,DailyDelivery!$C:$C,AB$1)=0),"",COUNTIFS(DailyDelivery!$A:$A,$E53,DailyDelivery!$B:$B,$D53,DailyDelivery!$C:$C,AB$1))</f>
        <v/>
      </c>
      <c r="AC53" s="246" t="str">
        <f>if(OR($E53="",$D53="",COUNTIFS(DailyDelivery!$A:$A,$E53,DailyDelivery!$B:$B,$D53,DailyDelivery!$C:$C,AC$1)=0),"",COUNTIFS(DailyDelivery!$A:$A,$E53,DailyDelivery!$B:$B,$D53,DailyDelivery!$C:$C,AC$1))</f>
        <v/>
      </c>
      <c r="AD53" s="246" t="str">
        <f>if(OR($E53="",$D53="",COUNTIFS(DailyDelivery!$A:$A,$E53,DailyDelivery!$B:$B,$D53,DailyDelivery!$C:$C,AD$1)=0),"",COUNTIFS(DailyDelivery!$A:$A,$E53,DailyDelivery!$B:$B,$D53,DailyDelivery!$C:$C,AD$1))</f>
        <v/>
      </c>
      <c r="AE53" s="246" t="str">
        <f>if(OR($E53="",$D53="",COUNTIFS(DailyDelivery!$A:$A,$E53,DailyDelivery!$B:$B,$D53,DailyDelivery!$C:$C,AE$1)=0),"",COUNTIFS(DailyDelivery!$A:$A,$E53,DailyDelivery!$B:$B,$D53,DailyDelivery!$C:$C,AE$1))</f>
        <v/>
      </c>
      <c r="AF53" s="246" t="str">
        <f>if(OR($E53="",$D53="",COUNTIFS(DailyDelivery!$A:$A,$E53,DailyDelivery!$B:$B,$D53,DailyDelivery!$C:$C,AF$1)=0),"",COUNTIFS(DailyDelivery!$A:$A,$E53,DailyDelivery!$B:$B,$D53,DailyDelivery!$C:$C,AF$1))</f>
        <v/>
      </c>
      <c r="AG53" s="246" t="str">
        <f>if(OR($E53="",$D53="",COUNTIFS(DailyDelivery!$A:$A,$E53,DailyDelivery!$B:$B,$D53,DailyDelivery!$C:$C,AG$1)=0),"",COUNTIFS(DailyDelivery!$A:$A,$E53,DailyDelivery!$B:$B,$D53,DailyDelivery!$C:$C,AG$1))</f>
        <v/>
      </c>
      <c r="AH53" s="246" t="str">
        <f>if(OR($E53="",$D53="",COUNTIFS(DailyDelivery!$A:$A,$E53,DailyDelivery!$B:$B,$D53,DailyDelivery!$C:$C,AH$1)=0),"",COUNTIFS(DailyDelivery!$A:$A,$E53,DailyDelivery!$B:$B,$D53,DailyDelivery!$C:$C,AH$1))</f>
        <v/>
      </c>
    </row>
    <row r="54">
      <c r="A54" s="272"/>
      <c r="B54" s="273"/>
      <c r="C54" s="240"/>
      <c r="D54" s="274"/>
      <c r="E54" s="274"/>
      <c r="F54" s="242" t="str">
        <f t="shared" si="6"/>
        <v/>
      </c>
      <c r="G54" s="243" t="str">
        <f t="shared" si="7"/>
        <v/>
      </c>
      <c r="H54" s="242" t="str">
        <f t="shared" si="8"/>
        <v/>
      </c>
      <c r="I54" s="243" t="str">
        <f t="shared" si="9"/>
        <v/>
      </c>
      <c r="J54" s="244" t="str">
        <f>if(OR($E54="",$D54=""),"",sumifs(All_Stats!F:F,All_Stats!D:D,D54,All_Stats!A:A,E54,All_Stats!B:B,"Overall"))</f>
        <v/>
      </c>
      <c r="K54" s="275"/>
      <c r="L54" s="246" t="str">
        <f>if(OR($E54="",$D54=""),"",sumifs(All_Stats!G:G,All_Stats!D:D,D54,All_Stats!A:A,E54,All_Stats!B:B,"Overall"))</f>
        <v/>
      </c>
      <c r="M54" s="246" t="str">
        <f>if(OR($E54="",$D54=""),"",sumifs(All_Stats!H:H,All_Stats!D:D,D54,All_Stats!A:A,E54,All_Stats!B:B,"Overall"))</f>
        <v/>
      </c>
      <c r="N54" s="246" t="str">
        <f t="shared" si="10"/>
        <v/>
      </c>
      <c r="O54" s="276"/>
      <c r="P54" s="277"/>
      <c r="Q54" s="278"/>
      <c r="R54" s="250"/>
      <c r="S54" s="246">
        <f>SUMIFS(All_Stats!K:K,All_Stats!D:D,D54,All_Stats!A:A,E54,All_Stats!B:B,"Overall")</f>
        <v>0</v>
      </c>
      <c r="T54" s="251">
        <f>SUMIFS(All_Stats!L:L,All_Stats!D:D,D54,All_Stats!A:A,E54,All_Stats!B:B,"Overall")</f>
        <v>0</v>
      </c>
      <c r="U54" s="246" t="str">
        <f>if(OR($E54="",$D54="",COUNTIFS(DailyDelivery!$A:$A,$E54,DailyDelivery!$B:$B,$D54,DailyDelivery!$C:$C,U$1)=0),"",COUNTIFS(DailyDelivery!$A:$A,$E54,DailyDelivery!$B:$B,$D54,DailyDelivery!$C:$C,U$1))</f>
        <v/>
      </c>
      <c r="V54" s="246" t="str">
        <f>if(OR($E54="",$D54="",COUNTIFS(DailyDelivery!$A:$A,$E54,DailyDelivery!$B:$B,$D54,DailyDelivery!$C:$C,V$1)=0),"",COUNTIFS(DailyDelivery!$A:$A,$E54,DailyDelivery!$B:$B,$D54,DailyDelivery!$C:$C,V$1))</f>
        <v/>
      </c>
      <c r="W54" s="246" t="str">
        <f>if(OR($E54="",$D54="",COUNTIFS(DailyDelivery!$A:$A,$E54,DailyDelivery!$B:$B,$D54,DailyDelivery!$C:$C,W$1)=0),"",COUNTIFS(DailyDelivery!$A:$A,$E54,DailyDelivery!$B:$B,$D54,DailyDelivery!$C:$C,W$1))</f>
        <v/>
      </c>
      <c r="X54" s="246" t="str">
        <f>if(OR($E54="",$D54="",COUNTIFS(DailyDelivery!$A:$A,$E54,DailyDelivery!$B:$B,$D54,DailyDelivery!$C:$C,X$1)=0),"",COUNTIFS(DailyDelivery!$A:$A,$E54,DailyDelivery!$B:$B,$D54,DailyDelivery!$C:$C,X$1))</f>
        <v/>
      </c>
      <c r="Y54" s="246" t="str">
        <f>if(OR($E54="",$D54="",COUNTIFS(DailyDelivery!$A:$A,$E54,DailyDelivery!$B:$B,$D54,DailyDelivery!$C:$C,Y$1)=0),"",COUNTIFS(DailyDelivery!$A:$A,$E54,DailyDelivery!$B:$B,$D54,DailyDelivery!$C:$C,Y$1))</f>
        <v/>
      </c>
      <c r="Z54" s="246" t="str">
        <f>if(OR($E54="",$D54="",COUNTIFS(DailyDelivery!$A:$A,$E54,DailyDelivery!$B:$B,$D54,DailyDelivery!$C:$C,Z$1)=0),"",COUNTIFS(DailyDelivery!$A:$A,$E54,DailyDelivery!$B:$B,$D54,DailyDelivery!$C:$C,Z$1))</f>
        <v/>
      </c>
      <c r="AA54" s="246" t="str">
        <f>if(OR($E54="",$D54="",COUNTIFS(DailyDelivery!$A:$A,$E54,DailyDelivery!$B:$B,$D54,DailyDelivery!$C:$C,AA$1)=0),"",COUNTIFS(DailyDelivery!$A:$A,$E54,DailyDelivery!$B:$B,$D54,DailyDelivery!$C:$C,AA$1))</f>
        <v/>
      </c>
      <c r="AB54" s="246" t="str">
        <f>if(OR($E54="",$D54="",COUNTIFS(DailyDelivery!$A:$A,$E54,DailyDelivery!$B:$B,$D54,DailyDelivery!$C:$C,AB$1)=0),"",COUNTIFS(DailyDelivery!$A:$A,$E54,DailyDelivery!$B:$B,$D54,DailyDelivery!$C:$C,AB$1))</f>
        <v/>
      </c>
      <c r="AC54" s="246" t="str">
        <f>if(OR($E54="",$D54="",COUNTIFS(DailyDelivery!$A:$A,$E54,DailyDelivery!$B:$B,$D54,DailyDelivery!$C:$C,AC$1)=0),"",COUNTIFS(DailyDelivery!$A:$A,$E54,DailyDelivery!$B:$B,$D54,DailyDelivery!$C:$C,AC$1))</f>
        <v/>
      </c>
      <c r="AD54" s="246" t="str">
        <f>if(OR($E54="",$D54="",COUNTIFS(DailyDelivery!$A:$A,$E54,DailyDelivery!$B:$B,$D54,DailyDelivery!$C:$C,AD$1)=0),"",COUNTIFS(DailyDelivery!$A:$A,$E54,DailyDelivery!$B:$B,$D54,DailyDelivery!$C:$C,AD$1))</f>
        <v/>
      </c>
      <c r="AE54" s="246" t="str">
        <f>if(OR($E54="",$D54="",COUNTIFS(DailyDelivery!$A:$A,$E54,DailyDelivery!$B:$B,$D54,DailyDelivery!$C:$C,AE$1)=0),"",COUNTIFS(DailyDelivery!$A:$A,$E54,DailyDelivery!$B:$B,$D54,DailyDelivery!$C:$C,AE$1))</f>
        <v/>
      </c>
      <c r="AF54" s="246" t="str">
        <f>if(OR($E54="",$D54="",COUNTIFS(DailyDelivery!$A:$A,$E54,DailyDelivery!$B:$B,$D54,DailyDelivery!$C:$C,AF$1)=0),"",COUNTIFS(DailyDelivery!$A:$A,$E54,DailyDelivery!$B:$B,$D54,DailyDelivery!$C:$C,AF$1))</f>
        <v/>
      </c>
      <c r="AG54" s="246" t="str">
        <f>if(OR($E54="",$D54="",COUNTIFS(DailyDelivery!$A:$A,$E54,DailyDelivery!$B:$B,$D54,DailyDelivery!$C:$C,AG$1)=0),"",COUNTIFS(DailyDelivery!$A:$A,$E54,DailyDelivery!$B:$B,$D54,DailyDelivery!$C:$C,AG$1))</f>
        <v/>
      </c>
      <c r="AH54" s="246" t="str">
        <f>if(OR($E54="",$D54="",COUNTIFS(DailyDelivery!$A:$A,$E54,DailyDelivery!$B:$B,$D54,DailyDelivery!$C:$C,AH$1)=0),"",COUNTIFS(DailyDelivery!$A:$A,$E54,DailyDelivery!$B:$B,$D54,DailyDelivery!$C:$C,AH$1))</f>
        <v/>
      </c>
    </row>
    <row r="55">
      <c r="A55" s="272"/>
      <c r="B55" s="273"/>
      <c r="C55" s="240"/>
      <c r="D55" s="274"/>
      <c r="E55" s="274"/>
      <c r="F55" s="242" t="str">
        <f t="shared" si="6"/>
        <v/>
      </c>
      <c r="G55" s="243" t="str">
        <f t="shared" si="7"/>
        <v/>
      </c>
      <c r="H55" s="242" t="str">
        <f t="shared" si="8"/>
        <v/>
      </c>
      <c r="I55" s="243" t="str">
        <f t="shared" si="9"/>
        <v/>
      </c>
      <c r="J55" s="244" t="str">
        <f>if(OR($E55="",$D55=""),"",sumifs(All_Stats!F:F,All_Stats!D:D,D55,All_Stats!A:A,E55,All_Stats!B:B,"Overall"))</f>
        <v/>
      </c>
      <c r="K55" s="275"/>
      <c r="L55" s="246" t="str">
        <f>if(OR($E55="",$D55=""),"",sumifs(All_Stats!G:G,All_Stats!D:D,D55,All_Stats!A:A,E55,All_Stats!B:B,"Overall"))</f>
        <v/>
      </c>
      <c r="M55" s="246" t="str">
        <f>if(OR($E55="",$D55=""),"",sumifs(All_Stats!H:H,All_Stats!D:D,D55,All_Stats!A:A,E55,All_Stats!B:B,"Overall"))</f>
        <v/>
      </c>
      <c r="N55" s="246" t="str">
        <f t="shared" si="10"/>
        <v/>
      </c>
      <c r="O55" s="276"/>
      <c r="P55" s="277"/>
      <c r="Q55" s="278"/>
      <c r="R55" s="250"/>
      <c r="S55" s="246">
        <f>SUMIFS(All_Stats!K:K,All_Stats!D:D,D55,All_Stats!A:A,E55,All_Stats!B:B,"Overall")</f>
        <v>0</v>
      </c>
      <c r="T55" s="251">
        <f>SUMIFS(All_Stats!L:L,All_Stats!D:D,D55,All_Stats!A:A,E55,All_Stats!B:B,"Overall")</f>
        <v>0</v>
      </c>
      <c r="U55" s="246" t="str">
        <f>if(OR($E55="",$D55="",COUNTIFS(DailyDelivery!$A:$A,$E55,DailyDelivery!$B:$B,$D55,DailyDelivery!$C:$C,U$1)=0),"",COUNTIFS(DailyDelivery!$A:$A,$E55,DailyDelivery!$B:$B,$D55,DailyDelivery!$C:$C,U$1))</f>
        <v/>
      </c>
      <c r="V55" s="246" t="str">
        <f>if(OR($E55="",$D55="",COUNTIFS(DailyDelivery!$A:$A,$E55,DailyDelivery!$B:$B,$D55,DailyDelivery!$C:$C,V$1)=0),"",COUNTIFS(DailyDelivery!$A:$A,$E55,DailyDelivery!$B:$B,$D55,DailyDelivery!$C:$C,V$1))</f>
        <v/>
      </c>
      <c r="W55" s="246" t="str">
        <f>if(OR($E55="",$D55="",COUNTIFS(DailyDelivery!$A:$A,$E55,DailyDelivery!$B:$B,$D55,DailyDelivery!$C:$C,W$1)=0),"",COUNTIFS(DailyDelivery!$A:$A,$E55,DailyDelivery!$B:$B,$D55,DailyDelivery!$C:$C,W$1))</f>
        <v/>
      </c>
      <c r="X55" s="246" t="str">
        <f>if(OR($E55="",$D55="",COUNTIFS(DailyDelivery!$A:$A,$E55,DailyDelivery!$B:$B,$D55,DailyDelivery!$C:$C,X$1)=0),"",COUNTIFS(DailyDelivery!$A:$A,$E55,DailyDelivery!$B:$B,$D55,DailyDelivery!$C:$C,X$1))</f>
        <v/>
      </c>
      <c r="Y55" s="246" t="str">
        <f>if(OR($E55="",$D55="",COUNTIFS(DailyDelivery!$A:$A,$E55,DailyDelivery!$B:$B,$D55,DailyDelivery!$C:$C,Y$1)=0),"",COUNTIFS(DailyDelivery!$A:$A,$E55,DailyDelivery!$B:$B,$D55,DailyDelivery!$C:$C,Y$1))</f>
        <v/>
      </c>
      <c r="Z55" s="246" t="str">
        <f>if(OR($E55="",$D55="",COUNTIFS(DailyDelivery!$A:$A,$E55,DailyDelivery!$B:$B,$D55,DailyDelivery!$C:$C,Z$1)=0),"",COUNTIFS(DailyDelivery!$A:$A,$E55,DailyDelivery!$B:$B,$D55,DailyDelivery!$C:$C,Z$1))</f>
        <v/>
      </c>
      <c r="AA55" s="246" t="str">
        <f>if(OR($E55="",$D55="",COUNTIFS(DailyDelivery!$A:$A,$E55,DailyDelivery!$B:$B,$D55,DailyDelivery!$C:$C,AA$1)=0),"",COUNTIFS(DailyDelivery!$A:$A,$E55,DailyDelivery!$B:$B,$D55,DailyDelivery!$C:$C,AA$1))</f>
        <v/>
      </c>
      <c r="AB55" s="246" t="str">
        <f>if(OR($E55="",$D55="",COUNTIFS(DailyDelivery!$A:$A,$E55,DailyDelivery!$B:$B,$D55,DailyDelivery!$C:$C,AB$1)=0),"",COUNTIFS(DailyDelivery!$A:$A,$E55,DailyDelivery!$B:$B,$D55,DailyDelivery!$C:$C,AB$1))</f>
        <v/>
      </c>
      <c r="AC55" s="246" t="str">
        <f>if(OR($E55="",$D55="",COUNTIFS(DailyDelivery!$A:$A,$E55,DailyDelivery!$B:$B,$D55,DailyDelivery!$C:$C,AC$1)=0),"",COUNTIFS(DailyDelivery!$A:$A,$E55,DailyDelivery!$B:$B,$D55,DailyDelivery!$C:$C,AC$1))</f>
        <v/>
      </c>
      <c r="AD55" s="246" t="str">
        <f>if(OR($E55="",$D55="",COUNTIFS(DailyDelivery!$A:$A,$E55,DailyDelivery!$B:$B,$D55,DailyDelivery!$C:$C,AD$1)=0),"",COUNTIFS(DailyDelivery!$A:$A,$E55,DailyDelivery!$B:$B,$D55,DailyDelivery!$C:$C,AD$1))</f>
        <v/>
      </c>
      <c r="AE55" s="246" t="str">
        <f>if(OR($E55="",$D55="",COUNTIFS(DailyDelivery!$A:$A,$E55,DailyDelivery!$B:$B,$D55,DailyDelivery!$C:$C,AE$1)=0),"",COUNTIFS(DailyDelivery!$A:$A,$E55,DailyDelivery!$B:$B,$D55,DailyDelivery!$C:$C,AE$1))</f>
        <v/>
      </c>
      <c r="AF55" s="246" t="str">
        <f>if(OR($E55="",$D55="",COUNTIFS(DailyDelivery!$A:$A,$E55,DailyDelivery!$B:$B,$D55,DailyDelivery!$C:$C,AF$1)=0),"",COUNTIFS(DailyDelivery!$A:$A,$E55,DailyDelivery!$B:$B,$D55,DailyDelivery!$C:$C,AF$1))</f>
        <v/>
      </c>
      <c r="AG55" s="246" t="str">
        <f>if(OR($E55="",$D55="",COUNTIFS(DailyDelivery!$A:$A,$E55,DailyDelivery!$B:$B,$D55,DailyDelivery!$C:$C,AG$1)=0),"",COUNTIFS(DailyDelivery!$A:$A,$E55,DailyDelivery!$B:$B,$D55,DailyDelivery!$C:$C,AG$1))</f>
        <v/>
      </c>
      <c r="AH55" s="246" t="str">
        <f>if(OR($E55="",$D55="",COUNTIFS(DailyDelivery!$A:$A,$E55,DailyDelivery!$B:$B,$D55,DailyDelivery!$C:$C,AH$1)=0),"",COUNTIFS(DailyDelivery!$A:$A,$E55,DailyDelivery!$B:$B,$D55,DailyDelivery!$C:$C,AH$1))</f>
        <v/>
      </c>
    </row>
    <row r="56">
      <c r="A56" s="272"/>
      <c r="B56" s="273"/>
      <c r="C56" s="240"/>
      <c r="D56" s="274"/>
      <c r="E56" s="274"/>
      <c r="F56" s="242" t="str">
        <f t="shared" si="6"/>
        <v/>
      </c>
      <c r="G56" s="243" t="str">
        <f t="shared" si="7"/>
        <v/>
      </c>
      <c r="H56" s="242" t="str">
        <f t="shared" si="8"/>
        <v/>
      </c>
      <c r="I56" s="243" t="str">
        <f t="shared" si="9"/>
        <v/>
      </c>
      <c r="J56" s="244" t="str">
        <f>if(OR($E56="",$D56=""),"",sumifs(All_Stats!F:F,All_Stats!D:D,D56,All_Stats!A:A,E56,All_Stats!B:B,"Overall"))</f>
        <v/>
      </c>
      <c r="K56" s="275"/>
      <c r="L56" s="246" t="str">
        <f>if(OR($E56="",$D56=""),"",sumifs(All_Stats!G:G,All_Stats!D:D,D56,All_Stats!A:A,E56,All_Stats!B:B,"Overall"))</f>
        <v/>
      </c>
      <c r="M56" s="246" t="str">
        <f>if(OR($E56="",$D56=""),"",sumifs(All_Stats!H:H,All_Stats!D:D,D56,All_Stats!A:A,E56,All_Stats!B:B,"Overall"))</f>
        <v/>
      </c>
      <c r="N56" s="246" t="str">
        <f t="shared" si="10"/>
        <v/>
      </c>
      <c r="O56" s="276"/>
      <c r="P56" s="277"/>
      <c r="Q56" s="278"/>
      <c r="R56" s="250"/>
      <c r="S56" s="246">
        <f>SUMIFS(All_Stats!K:K,All_Stats!D:D,D56,All_Stats!A:A,E56,All_Stats!B:B,"Overall")</f>
        <v>0</v>
      </c>
      <c r="T56" s="251">
        <f>SUMIFS(All_Stats!L:L,All_Stats!D:D,D56,All_Stats!A:A,E56,All_Stats!B:B,"Overall")</f>
        <v>0</v>
      </c>
      <c r="U56" s="246" t="str">
        <f>if(OR($E56="",$D56="",COUNTIFS(DailyDelivery!$A:$A,$E56,DailyDelivery!$B:$B,$D56,DailyDelivery!$C:$C,U$1)=0),"",COUNTIFS(DailyDelivery!$A:$A,$E56,DailyDelivery!$B:$B,$D56,DailyDelivery!$C:$C,U$1))</f>
        <v/>
      </c>
      <c r="V56" s="246" t="str">
        <f>if(OR($E56="",$D56="",COUNTIFS(DailyDelivery!$A:$A,$E56,DailyDelivery!$B:$B,$D56,DailyDelivery!$C:$C,V$1)=0),"",COUNTIFS(DailyDelivery!$A:$A,$E56,DailyDelivery!$B:$B,$D56,DailyDelivery!$C:$C,V$1))</f>
        <v/>
      </c>
      <c r="W56" s="246" t="str">
        <f>if(OR($E56="",$D56="",COUNTIFS(DailyDelivery!$A:$A,$E56,DailyDelivery!$B:$B,$D56,DailyDelivery!$C:$C,W$1)=0),"",COUNTIFS(DailyDelivery!$A:$A,$E56,DailyDelivery!$B:$B,$D56,DailyDelivery!$C:$C,W$1))</f>
        <v/>
      </c>
      <c r="X56" s="246" t="str">
        <f>if(OR($E56="",$D56="",COUNTIFS(DailyDelivery!$A:$A,$E56,DailyDelivery!$B:$B,$D56,DailyDelivery!$C:$C,X$1)=0),"",COUNTIFS(DailyDelivery!$A:$A,$E56,DailyDelivery!$B:$B,$D56,DailyDelivery!$C:$C,X$1))</f>
        <v/>
      </c>
      <c r="Y56" s="246" t="str">
        <f>if(OR($E56="",$D56="",COUNTIFS(DailyDelivery!$A:$A,$E56,DailyDelivery!$B:$B,$D56,DailyDelivery!$C:$C,Y$1)=0),"",COUNTIFS(DailyDelivery!$A:$A,$E56,DailyDelivery!$B:$B,$D56,DailyDelivery!$C:$C,Y$1))</f>
        <v/>
      </c>
      <c r="Z56" s="246" t="str">
        <f>if(OR($E56="",$D56="",COUNTIFS(DailyDelivery!$A:$A,$E56,DailyDelivery!$B:$B,$D56,DailyDelivery!$C:$C,Z$1)=0),"",COUNTIFS(DailyDelivery!$A:$A,$E56,DailyDelivery!$B:$B,$D56,DailyDelivery!$C:$C,Z$1))</f>
        <v/>
      </c>
      <c r="AA56" s="246" t="str">
        <f>if(OR($E56="",$D56="",COUNTIFS(DailyDelivery!$A:$A,$E56,DailyDelivery!$B:$B,$D56,DailyDelivery!$C:$C,AA$1)=0),"",COUNTIFS(DailyDelivery!$A:$A,$E56,DailyDelivery!$B:$B,$D56,DailyDelivery!$C:$C,AA$1))</f>
        <v/>
      </c>
      <c r="AB56" s="246" t="str">
        <f>if(OR($E56="",$D56="",COUNTIFS(DailyDelivery!$A:$A,$E56,DailyDelivery!$B:$B,$D56,DailyDelivery!$C:$C,AB$1)=0),"",COUNTIFS(DailyDelivery!$A:$A,$E56,DailyDelivery!$B:$B,$D56,DailyDelivery!$C:$C,AB$1))</f>
        <v/>
      </c>
      <c r="AC56" s="246" t="str">
        <f>if(OR($E56="",$D56="",COUNTIFS(DailyDelivery!$A:$A,$E56,DailyDelivery!$B:$B,$D56,DailyDelivery!$C:$C,AC$1)=0),"",COUNTIFS(DailyDelivery!$A:$A,$E56,DailyDelivery!$B:$B,$D56,DailyDelivery!$C:$C,AC$1))</f>
        <v/>
      </c>
      <c r="AD56" s="246" t="str">
        <f>if(OR($E56="",$D56="",COUNTIFS(DailyDelivery!$A:$A,$E56,DailyDelivery!$B:$B,$D56,DailyDelivery!$C:$C,AD$1)=0),"",COUNTIFS(DailyDelivery!$A:$A,$E56,DailyDelivery!$B:$B,$D56,DailyDelivery!$C:$C,AD$1))</f>
        <v/>
      </c>
      <c r="AE56" s="246" t="str">
        <f>if(OR($E56="",$D56="",COUNTIFS(DailyDelivery!$A:$A,$E56,DailyDelivery!$B:$B,$D56,DailyDelivery!$C:$C,AE$1)=0),"",COUNTIFS(DailyDelivery!$A:$A,$E56,DailyDelivery!$B:$B,$D56,DailyDelivery!$C:$C,AE$1))</f>
        <v/>
      </c>
      <c r="AF56" s="246" t="str">
        <f>if(OR($E56="",$D56="",COUNTIFS(DailyDelivery!$A:$A,$E56,DailyDelivery!$B:$B,$D56,DailyDelivery!$C:$C,AF$1)=0),"",COUNTIFS(DailyDelivery!$A:$A,$E56,DailyDelivery!$B:$B,$D56,DailyDelivery!$C:$C,AF$1))</f>
        <v/>
      </c>
      <c r="AG56" s="246" t="str">
        <f>if(OR($E56="",$D56="",COUNTIFS(DailyDelivery!$A:$A,$E56,DailyDelivery!$B:$B,$D56,DailyDelivery!$C:$C,AG$1)=0),"",COUNTIFS(DailyDelivery!$A:$A,$E56,DailyDelivery!$B:$B,$D56,DailyDelivery!$C:$C,AG$1))</f>
        <v/>
      </c>
      <c r="AH56" s="246" t="str">
        <f>if(OR($E56="",$D56="",COUNTIFS(DailyDelivery!$A:$A,$E56,DailyDelivery!$B:$B,$D56,DailyDelivery!$C:$C,AH$1)=0),"",COUNTIFS(DailyDelivery!$A:$A,$E56,DailyDelivery!$B:$B,$D56,DailyDelivery!$C:$C,AH$1))</f>
        <v/>
      </c>
    </row>
    <row r="57">
      <c r="A57" s="272"/>
      <c r="B57" s="273"/>
      <c r="C57" s="240"/>
      <c r="D57" s="274"/>
      <c r="E57" s="274"/>
      <c r="F57" s="242" t="str">
        <f t="shared" si="6"/>
        <v/>
      </c>
      <c r="G57" s="243" t="str">
        <f t="shared" si="7"/>
        <v/>
      </c>
      <c r="H57" s="242" t="str">
        <f t="shared" si="8"/>
        <v/>
      </c>
      <c r="I57" s="243" t="str">
        <f t="shared" si="9"/>
        <v/>
      </c>
      <c r="J57" s="244" t="str">
        <f>if(OR($E57="",$D57=""),"",sumifs(All_Stats!F:F,All_Stats!D:D,D57,All_Stats!A:A,E57,All_Stats!B:B,"Overall"))</f>
        <v/>
      </c>
      <c r="K57" s="275"/>
      <c r="L57" s="246" t="str">
        <f>if(OR($E57="",$D57=""),"",sumifs(All_Stats!G:G,All_Stats!D:D,D57,All_Stats!A:A,E57,All_Stats!B:B,"Overall"))</f>
        <v/>
      </c>
      <c r="M57" s="246" t="str">
        <f>if(OR($E57="",$D57=""),"",sumifs(All_Stats!H:H,All_Stats!D:D,D57,All_Stats!A:A,E57,All_Stats!B:B,"Overall"))</f>
        <v/>
      </c>
      <c r="N57" s="246" t="str">
        <f t="shared" si="10"/>
        <v/>
      </c>
      <c r="O57" s="276"/>
      <c r="P57" s="277"/>
      <c r="Q57" s="278"/>
      <c r="R57" s="250"/>
      <c r="S57" s="246">
        <f>SUMIFS(All_Stats!K:K,All_Stats!D:D,D57,All_Stats!A:A,E57,All_Stats!B:B,"Overall")</f>
        <v>0</v>
      </c>
      <c r="T57" s="251">
        <f>SUMIFS(All_Stats!L:L,All_Stats!D:D,D57,All_Stats!A:A,E57,All_Stats!B:B,"Overall")</f>
        <v>0</v>
      </c>
      <c r="U57" s="246" t="str">
        <f>if(OR($E57="",$D57="",COUNTIFS(DailyDelivery!$A:$A,$E57,DailyDelivery!$B:$B,$D57,DailyDelivery!$C:$C,U$1)=0),"",COUNTIFS(DailyDelivery!$A:$A,$E57,DailyDelivery!$B:$B,$D57,DailyDelivery!$C:$C,U$1))</f>
        <v/>
      </c>
      <c r="V57" s="246" t="str">
        <f>if(OR($E57="",$D57="",COUNTIFS(DailyDelivery!$A:$A,$E57,DailyDelivery!$B:$B,$D57,DailyDelivery!$C:$C,V$1)=0),"",COUNTIFS(DailyDelivery!$A:$A,$E57,DailyDelivery!$B:$B,$D57,DailyDelivery!$C:$C,V$1))</f>
        <v/>
      </c>
      <c r="W57" s="246" t="str">
        <f>if(OR($E57="",$D57="",COUNTIFS(DailyDelivery!$A:$A,$E57,DailyDelivery!$B:$B,$D57,DailyDelivery!$C:$C,W$1)=0),"",COUNTIFS(DailyDelivery!$A:$A,$E57,DailyDelivery!$B:$B,$D57,DailyDelivery!$C:$C,W$1))</f>
        <v/>
      </c>
      <c r="X57" s="246" t="str">
        <f>if(OR($E57="",$D57="",COUNTIFS(DailyDelivery!$A:$A,$E57,DailyDelivery!$B:$B,$D57,DailyDelivery!$C:$C,X$1)=0),"",COUNTIFS(DailyDelivery!$A:$A,$E57,DailyDelivery!$B:$B,$D57,DailyDelivery!$C:$C,X$1))</f>
        <v/>
      </c>
      <c r="Y57" s="246" t="str">
        <f>if(OR($E57="",$D57="",COUNTIFS(DailyDelivery!$A:$A,$E57,DailyDelivery!$B:$B,$D57,DailyDelivery!$C:$C,Y$1)=0),"",COUNTIFS(DailyDelivery!$A:$A,$E57,DailyDelivery!$B:$B,$D57,DailyDelivery!$C:$C,Y$1))</f>
        <v/>
      </c>
      <c r="Z57" s="246" t="str">
        <f>if(OR($E57="",$D57="",COUNTIFS(DailyDelivery!$A:$A,$E57,DailyDelivery!$B:$B,$D57,DailyDelivery!$C:$C,Z$1)=0),"",COUNTIFS(DailyDelivery!$A:$A,$E57,DailyDelivery!$B:$B,$D57,DailyDelivery!$C:$C,Z$1))</f>
        <v/>
      </c>
      <c r="AA57" s="246" t="str">
        <f>if(OR($E57="",$D57="",COUNTIFS(DailyDelivery!$A:$A,$E57,DailyDelivery!$B:$B,$D57,DailyDelivery!$C:$C,AA$1)=0),"",COUNTIFS(DailyDelivery!$A:$A,$E57,DailyDelivery!$B:$B,$D57,DailyDelivery!$C:$C,AA$1))</f>
        <v/>
      </c>
      <c r="AB57" s="246" t="str">
        <f>if(OR($E57="",$D57="",COUNTIFS(DailyDelivery!$A:$A,$E57,DailyDelivery!$B:$B,$D57,DailyDelivery!$C:$C,AB$1)=0),"",COUNTIFS(DailyDelivery!$A:$A,$E57,DailyDelivery!$B:$B,$D57,DailyDelivery!$C:$C,AB$1))</f>
        <v/>
      </c>
      <c r="AC57" s="246" t="str">
        <f>if(OR($E57="",$D57="",COUNTIFS(DailyDelivery!$A:$A,$E57,DailyDelivery!$B:$B,$D57,DailyDelivery!$C:$C,AC$1)=0),"",COUNTIFS(DailyDelivery!$A:$A,$E57,DailyDelivery!$B:$B,$D57,DailyDelivery!$C:$C,AC$1))</f>
        <v/>
      </c>
      <c r="AD57" s="246" t="str">
        <f>if(OR($E57="",$D57="",COUNTIFS(DailyDelivery!$A:$A,$E57,DailyDelivery!$B:$B,$D57,DailyDelivery!$C:$C,AD$1)=0),"",COUNTIFS(DailyDelivery!$A:$A,$E57,DailyDelivery!$B:$B,$D57,DailyDelivery!$C:$C,AD$1))</f>
        <v/>
      </c>
      <c r="AE57" s="246" t="str">
        <f>if(OR($E57="",$D57="",COUNTIFS(DailyDelivery!$A:$A,$E57,DailyDelivery!$B:$B,$D57,DailyDelivery!$C:$C,AE$1)=0),"",COUNTIFS(DailyDelivery!$A:$A,$E57,DailyDelivery!$B:$B,$D57,DailyDelivery!$C:$C,AE$1))</f>
        <v/>
      </c>
      <c r="AF57" s="246" t="str">
        <f>if(OR($E57="",$D57="",COUNTIFS(DailyDelivery!$A:$A,$E57,DailyDelivery!$B:$B,$D57,DailyDelivery!$C:$C,AF$1)=0),"",COUNTIFS(DailyDelivery!$A:$A,$E57,DailyDelivery!$B:$B,$D57,DailyDelivery!$C:$C,AF$1))</f>
        <v/>
      </c>
      <c r="AG57" s="246" t="str">
        <f>if(OR($E57="",$D57="",COUNTIFS(DailyDelivery!$A:$A,$E57,DailyDelivery!$B:$B,$D57,DailyDelivery!$C:$C,AG$1)=0),"",COUNTIFS(DailyDelivery!$A:$A,$E57,DailyDelivery!$B:$B,$D57,DailyDelivery!$C:$C,AG$1))</f>
        <v/>
      </c>
      <c r="AH57" s="246" t="str">
        <f>if(OR($E57="",$D57="",COUNTIFS(DailyDelivery!$A:$A,$E57,DailyDelivery!$B:$B,$D57,DailyDelivery!$C:$C,AH$1)=0),"",COUNTIFS(DailyDelivery!$A:$A,$E57,DailyDelivery!$B:$B,$D57,DailyDelivery!$C:$C,AH$1))</f>
        <v/>
      </c>
    </row>
    <row r="58">
      <c r="A58" s="272"/>
      <c r="B58" s="273"/>
      <c r="C58" s="240"/>
      <c r="D58" s="274"/>
      <c r="E58" s="274"/>
      <c r="F58" s="242" t="str">
        <f t="shared" si="6"/>
        <v/>
      </c>
      <c r="G58" s="243" t="str">
        <f t="shared" si="7"/>
        <v/>
      </c>
      <c r="H58" s="242" t="str">
        <f t="shared" si="8"/>
        <v/>
      </c>
      <c r="I58" s="243" t="str">
        <f t="shared" si="9"/>
        <v/>
      </c>
      <c r="J58" s="244" t="str">
        <f>if(OR($E58="",$D58=""),"",sumifs(All_Stats!F:F,All_Stats!D:D,D58,All_Stats!A:A,E58,All_Stats!B:B,"Overall"))</f>
        <v/>
      </c>
      <c r="K58" s="275"/>
      <c r="L58" s="246" t="str">
        <f>if(OR($E58="",$D58=""),"",sumifs(All_Stats!G:G,All_Stats!D:D,D58,All_Stats!A:A,E58,All_Stats!B:B,"Overall"))</f>
        <v/>
      </c>
      <c r="M58" s="246" t="str">
        <f>if(OR($E58="",$D58=""),"",sumifs(All_Stats!H:H,All_Stats!D:D,D58,All_Stats!A:A,E58,All_Stats!B:B,"Overall"))</f>
        <v/>
      </c>
      <c r="N58" s="246" t="str">
        <f t="shared" si="10"/>
        <v/>
      </c>
      <c r="O58" s="276"/>
      <c r="P58" s="277"/>
      <c r="Q58" s="278"/>
      <c r="R58" s="250"/>
      <c r="S58" s="246">
        <f>SUMIFS(All_Stats!K:K,All_Stats!D:D,D58,All_Stats!A:A,E58,All_Stats!B:B,"Overall")</f>
        <v>0</v>
      </c>
      <c r="T58" s="251">
        <f>SUMIFS(All_Stats!L:L,All_Stats!D:D,D58,All_Stats!A:A,E58,All_Stats!B:B,"Overall")</f>
        <v>0</v>
      </c>
      <c r="U58" s="246" t="str">
        <f>if(OR($E58="",$D58="",COUNTIFS(DailyDelivery!$A:$A,$E58,DailyDelivery!$B:$B,$D58,DailyDelivery!$C:$C,U$1)=0),"",COUNTIFS(DailyDelivery!$A:$A,$E58,DailyDelivery!$B:$B,$D58,DailyDelivery!$C:$C,U$1))</f>
        <v/>
      </c>
      <c r="V58" s="246" t="str">
        <f>if(OR($E58="",$D58="",COUNTIFS(DailyDelivery!$A:$A,$E58,DailyDelivery!$B:$B,$D58,DailyDelivery!$C:$C,V$1)=0),"",COUNTIFS(DailyDelivery!$A:$A,$E58,DailyDelivery!$B:$B,$D58,DailyDelivery!$C:$C,V$1))</f>
        <v/>
      </c>
      <c r="W58" s="246" t="str">
        <f>if(OR($E58="",$D58="",COUNTIFS(DailyDelivery!$A:$A,$E58,DailyDelivery!$B:$B,$D58,DailyDelivery!$C:$C,W$1)=0),"",COUNTIFS(DailyDelivery!$A:$A,$E58,DailyDelivery!$B:$B,$D58,DailyDelivery!$C:$C,W$1))</f>
        <v/>
      </c>
      <c r="X58" s="246" t="str">
        <f>if(OR($E58="",$D58="",COUNTIFS(DailyDelivery!$A:$A,$E58,DailyDelivery!$B:$B,$D58,DailyDelivery!$C:$C,X$1)=0),"",COUNTIFS(DailyDelivery!$A:$A,$E58,DailyDelivery!$B:$B,$D58,DailyDelivery!$C:$C,X$1))</f>
        <v/>
      </c>
      <c r="Y58" s="246" t="str">
        <f>if(OR($E58="",$D58="",COUNTIFS(DailyDelivery!$A:$A,$E58,DailyDelivery!$B:$B,$D58,DailyDelivery!$C:$C,Y$1)=0),"",COUNTIFS(DailyDelivery!$A:$A,$E58,DailyDelivery!$B:$B,$D58,DailyDelivery!$C:$C,Y$1))</f>
        <v/>
      </c>
      <c r="Z58" s="246" t="str">
        <f>if(OR($E58="",$D58="",COUNTIFS(DailyDelivery!$A:$A,$E58,DailyDelivery!$B:$B,$D58,DailyDelivery!$C:$C,Z$1)=0),"",COUNTIFS(DailyDelivery!$A:$A,$E58,DailyDelivery!$B:$B,$D58,DailyDelivery!$C:$C,Z$1))</f>
        <v/>
      </c>
      <c r="AA58" s="246" t="str">
        <f>if(OR($E58="",$D58="",COUNTIFS(DailyDelivery!$A:$A,$E58,DailyDelivery!$B:$B,$D58,DailyDelivery!$C:$C,AA$1)=0),"",COUNTIFS(DailyDelivery!$A:$A,$E58,DailyDelivery!$B:$B,$D58,DailyDelivery!$C:$C,AA$1))</f>
        <v/>
      </c>
      <c r="AB58" s="246" t="str">
        <f>if(OR($E58="",$D58="",COUNTIFS(DailyDelivery!$A:$A,$E58,DailyDelivery!$B:$B,$D58,DailyDelivery!$C:$C,AB$1)=0),"",COUNTIFS(DailyDelivery!$A:$A,$E58,DailyDelivery!$B:$B,$D58,DailyDelivery!$C:$C,AB$1))</f>
        <v/>
      </c>
      <c r="AC58" s="246" t="str">
        <f>if(OR($E58="",$D58="",COUNTIFS(DailyDelivery!$A:$A,$E58,DailyDelivery!$B:$B,$D58,DailyDelivery!$C:$C,AC$1)=0),"",COUNTIFS(DailyDelivery!$A:$A,$E58,DailyDelivery!$B:$B,$D58,DailyDelivery!$C:$C,AC$1))</f>
        <v/>
      </c>
      <c r="AD58" s="246" t="str">
        <f>if(OR($E58="",$D58="",COUNTIFS(DailyDelivery!$A:$A,$E58,DailyDelivery!$B:$B,$D58,DailyDelivery!$C:$C,AD$1)=0),"",COUNTIFS(DailyDelivery!$A:$A,$E58,DailyDelivery!$B:$B,$D58,DailyDelivery!$C:$C,AD$1))</f>
        <v/>
      </c>
      <c r="AE58" s="246" t="str">
        <f>if(OR($E58="",$D58="",COUNTIFS(DailyDelivery!$A:$A,$E58,DailyDelivery!$B:$B,$D58,DailyDelivery!$C:$C,AE$1)=0),"",COUNTIFS(DailyDelivery!$A:$A,$E58,DailyDelivery!$B:$B,$D58,DailyDelivery!$C:$C,AE$1))</f>
        <v/>
      </c>
      <c r="AF58" s="246" t="str">
        <f>if(OR($E58="",$D58="",COUNTIFS(DailyDelivery!$A:$A,$E58,DailyDelivery!$B:$B,$D58,DailyDelivery!$C:$C,AF$1)=0),"",COUNTIFS(DailyDelivery!$A:$A,$E58,DailyDelivery!$B:$B,$D58,DailyDelivery!$C:$C,AF$1))</f>
        <v/>
      </c>
      <c r="AG58" s="246" t="str">
        <f>if(OR($E58="",$D58="",COUNTIFS(DailyDelivery!$A:$A,$E58,DailyDelivery!$B:$B,$D58,DailyDelivery!$C:$C,AG$1)=0),"",COUNTIFS(DailyDelivery!$A:$A,$E58,DailyDelivery!$B:$B,$D58,DailyDelivery!$C:$C,AG$1))</f>
        <v/>
      </c>
      <c r="AH58" s="246" t="str">
        <f>if(OR($E58="",$D58="",COUNTIFS(DailyDelivery!$A:$A,$E58,DailyDelivery!$B:$B,$D58,DailyDelivery!$C:$C,AH$1)=0),"",COUNTIFS(DailyDelivery!$A:$A,$E58,DailyDelivery!$B:$B,$D58,DailyDelivery!$C:$C,AH$1))</f>
        <v/>
      </c>
    </row>
    <row r="59">
      <c r="A59" s="272"/>
      <c r="B59" s="273"/>
      <c r="C59" s="240"/>
      <c r="D59" s="274"/>
      <c r="E59" s="274"/>
      <c r="F59" s="242" t="str">
        <f t="shared" si="6"/>
        <v/>
      </c>
      <c r="G59" s="243" t="str">
        <f t="shared" si="7"/>
        <v/>
      </c>
      <c r="H59" s="242" t="str">
        <f t="shared" si="8"/>
        <v/>
      </c>
      <c r="I59" s="243" t="str">
        <f t="shared" si="9"/>
        <v/>
      </c>
      <c r="J59" s="244" t="str">
        <f>if(OR($E59="",$D59=""),"",sumifs(All_Stats!F:F,All_Stats!D:D,D59,All_Stats!A:A,E59,All_Stats!B:B,"Overall"))</f>
        <v/>
      </c>
      <c r="K59" s="275"/>
      <c r="L59" s="246" t="str">
        <f>if(OR($E59="",$D59=""),"",sumifs(All_Stats!G:G,All_Stats!D:D,D59,All_Stats!A:A,E59,All_Stats!B:B,"Overall"))</f>
        <v/>
      </c>
      <c r="M59" s="246" t="str">
        <f>if(OR($E59="",$D59=""),"",sumifs(All_Stats!H:H,All_Stats!D:D,D59,All_Stats!A:A,E59,All_Stats!B:B,"Overall"))</f>
        <v/>
      </c>
      <c r="N59" s="246" t="str">
        <f t="shared" si="10"/>
        <v/>
      </c>
      <c r="O59" s="276"/>
      <c r="P59" s="277"/>
      <c r="Q59" s="278"/>
      <c r="R59" s="250"/>
      <c r="S59" s="246">
        <f>SUMIFS(All_Stats!K:K,All_Stats!D:D,D59,All_Stats!A:A,E59,All_Stats!B:B,"Overall")</f>
        <v>0</v>
      </c>
      <c r="T59" s="251">
        <f>SUMIFS(All_Stats!L:L,All_Stats!D:D,D59,All_Stats!A:A,E59,All_Stats!B:B,"Overall")</f>
        <v>0</v>
      </c>
      <c r="U59" s="246" t="str">
        <f>if(OR($E59="",$D59="",COUNTIFS(DailyDelivery!$A:$A,$E59,DailyDelivery!$B:$B,$D59,DailyDelivery!$C:$C,U$1)=0),"",COUNTIFS(DailyDelivery!$A:$A,$E59,DailyDelivery!$B:$B,$D59,DailyDelivery!$C:$C,U$1))</f>
        <v/>
      </c>
      <c r="V59" s="246" t="str">
        <f>if(OR($E59="",$D59="",COUNTIFS(DailyDelivery!$A:$A,$E59,DailyDelivery!$B:$B,$D59,DailyDelivery!$C:$C,V$1)=0),"",COUNTIFS(DailyDelivery!$A:$A,$E59,DailyDelivery!$B:$B,$D59,DailyDelivery!$C:$C,V$1))</f>
        <v/>
      </c>
      <c r="W59" s="246" t="str">
        <f>if(OR($E59="",$D59="",COUNTIFS(DailyDelivery!$A:$A,$E59,DailyDelivery!$B:$B,$D59,DailyDelivery!$C:$C,W$1)=0),"",COUNTIFS(DailyDelivery!$A:$A,$E59,DailyDelivery!$B:$B,$D59,DailyDelivery!$C:$C,W$1))</f>
        <v/>
      </c>
      <c r="X59" s="246" t="str">
        <f>if(OR($E59="",$D59="",COUNTIFS(DailyDelivery!$A:$A,$E59,DailyDelivery!$B:$B,$D59,DailyDelivery!$C:$C,X$1)=0),"",COUNTIFS(DailyDelivery!$A:$A,$E59,DailyDelivery!$B:$B,$D59,DailyDelivery!$C:$C,X$1))</f>
        <v/>
      </c>
      <c r="Y59" s="246" t="str">
        <f>if(OR($E59="",$D59="",COUNTIFS(DailyDelivery!$A:$A,$E59,DailyDelivery!$B:$B,$D59,DailyDelivery!$C:$C,Y$1)=0),"",COUNTIFS(DailyDelivery!$A:$A,$E59,DailyDelivery!$B:$B,$D59,DailyDelivery!$C:$C,Y$1))</f>
        <v/>
      </c>
      <c r="Z59" s="246" t="str">
        <f>if(OR($E59="",$D59="",COUNTIFS(DailyDelivery!$A:$A,$E59,DailyDelivery!$B:$B,$D59,DailyDelivery!$C:$C,Z$1)=0),"",COUNTIFS(DailyDelivery!$A:$A,$E59,DailyDelivery!$B:$B,$D59,DailyDelivery!$C:$C,Z$1))</f>
        <v/>
      </c>
      <c r="AA59" s="246" t="str">
        <f>if(OR($E59="",$D59="",COUNTIFS(DailyDelivery!$A:$A,$E59,DailyDelivery!$B:$B,$D59,DailyDelivery!$C:$C,AA$1)=0),"",COUNTIFS(DailyDelivery!$A:$A,$E59,DailyDelivery!$B:$B,$D59,DailyDelivery!$C:$C,AA$1))</f>
        <v/>
      </c>
      <c r="AB59" s="246" t="str">
        <f>if(OR($E59="",$D59="",COUNTIFS(DailyDelivery!$A:$A,$E59,DailyDelivery!$B:$B,$D59,DailyDelivery!$C:$C,AB$1)=0),"",COUNTIFS(DailyDelivery!$A:$A,$E59,DailyDelivery!$B:$B,$D59,DailyDelivery!$C:$C,AB$1))</f>
        <v/>
      </c>
      <c r="AC59" s="246" t="str">
        <f>if(OR($E59="",$D59="",COUNTIFS(DailyDelivery!$A:$A,$E59,DailyDelivery!$B:$B,$D59,DailyDelivery!$C:$C,AC$1)=0),"",COUNTIFS(DailyDelivery!$A:$A,$E59,DailyDelivery!$B:$B,$D59,DailyDelivery!$C:$C,AC$1))</f>
        <v/>
      </c>
      <c r="AD59" s="246" t="str">
        <f>if(OR($E59="",$D59="",COUNTIFS(DailyDelivery!$A:$A,$E59,DailyDelivery!$B:$B,$D59,DailyDelivery!$C:$C,AD$1)=0),"",COUNTIFS(DailyDelivery!$A:$A,$E59,DailyDelivery!$B:$B,$D59,DailyDelivery!$C:$C,AD$1))</f>
        <v/>
      </c>
      <c r="AE59" s="246" t="str">
        <f>if(OR($E59="",$D59="",COUNTIFS(DailyDelivery!$A:$A,$E59,DailyDelivery!$B:$B,$D59,DailyDelivery!$C:$C,AE$1)=0),"",COUNTIFS(DailyDelivery!$A:$A,$E59,DailyDelivery!$B:$B,$D59,DailyDelivery!$C:$C,AE$1))</f>
        <v/>
      </c>
      <c r="AF59" s="246" t="str">
        <f>if(OR($E59="",$D59="",COUNTIFS(DailyDelivery!$A:$A,$E59,DailyDelivery!$B:$B,$D59,DailyDelivery!$C:$C,AF$1)=0),"",COUNTIFS(DailyDelivery!$A:$A,$E59,DailyDelivery!$B:$B,$D59,DailyDelivery!$C:$C,AF$1))</f>
        <v/>
      </c>
      <c r="AG59" s="246" t="str">
        <f>if(OR($E59="",$D59="",COUNTIFS(DailyDelivery!$A:$A,$E59,DailyDelivery!$B:$B,$D59,DailyDelivery!$C:$C,AG$1)=0),"",COUNTIFS(DailyDelivery!$A:$A,$E59,DailyDelivery!$B:$B,$D59,DailyDelivery!$C:$C,AG$1))</f>
        <v/>
      </c>
      <c r="AH59" s="246" t="str">
        <f>if(OR($E59="",$D59="",COUNTIFS(DailyDelivery!$A:$A,$E59,DailyDelivery!$B:$B,$D59,DailyDelivery!$C:$C,AH$1)=0),"",COUNTIFS(DailyDelivery!$A:$A,$E59,DailyDelivery!$B:$B,$D59,DailyDelivery!$C:$C,AH$1))</f>
        <v/>
      </c>
    </row>
    <row r="60">
      <c r="A60" s="272"/>
      <c r="B60" s="273"/>
      <c r="C60" s="240"/>
      <c r="D60" s="274"/>
      <c r="E60" s="274"/>
      <c r="F60" s="242" t="str">
        <f t="shared" si="6"/>
        <v/>
      </c>
      <c r="G60" s="243" t="str">
        <f t="shared" si="7"/>
        <v/>
      </c>
      <c r="H60" s="242" t="str">
        <f t="shared" si="8"/>
        <v/>
      </c>
      <c r="I60" s="243" t="str">
        <f t="shared" si="9"/>
        <v/>
      </c>
      <c r="J60" s="244" t="str">
        <f>if(OR($E60="",$D60=""),"",sumifs(All_Stats!F:F,All_Stats!D:D,D60,All_Stats!A:A,E60,All_Stats!B:B,"Overall"))</f>
        <v/>
      </c>
      <c r="K60" s="275"/>
      <c r="L60" s="246" t="str">
        <f>if(OR($E60="",$D60=""),"",sumifs(All_Stats!G:G,All_Stats!D:D,D60,All_Stats!A:A,E60,All_Stats!B:B,"Overall"))</f>
        <v/>
      </c>
      <c r="M60" s="246" t="str">
        <f>if(OR($E60="",$D60=""),"",sumifs(All_Stats!H:H,All_Stats!D:D,D60,All_Stats!A:A,E60,All_Stats!B:B,"Overall"))</f>
        <v/>
      </c>
      <c r="N60" s="246" t="str">
        <f t="shared" si="10"/>
        <v/>
      </c>
      <c r="O60" s="276"/>
      <c r="P60" s="277"/>
      <c r="Q60" s="278"/>
      <c r="R60" s="250"/>
      <c r="S60" s="246">
        <f>SUMIFS(All_Stats!K:K,All_Stats!D:D,D60,All_Stats!A:A,E60,All_Stats!B:B,"Overall")</f>
        <v>0</v>
      </c>
      <c r="T60" s="251">
        <f>SUMIFS(All_Stats!L:L,All_Stats!D:D,D60,All_Stats!A:A,E60,All_Stats!B:B,"Overall")</f>
        <v>0</v>
      </c>
      <c r="U60" s="246" t="str">
        <f>if(OR($E60="",$D60="",COUNTIFS(DailyDelivery!$A:$A,$E60,DailyDelivery!$B:$B,$D60,DailyDelivery!$C:$C,U$1)=0),"",COUNTIFS(DailyDelivery!$A:$A,$E60,DailyDelivery!$B:$B,$D60,DailyDelivery!$C:$C,U$1))</f>
        <v/>
      </c>
      <c r="V60" s="246" t="str">
        <f>if(OR($E60="",$D60="",COUNTIFS(DailyDelivery!$A:$A,$E60,DailyDelivery!$B:$B,$D60,DailyDelivery!$C:$C,V$1)=0),"",COUNTIFS(DailyDelivery!$A:$A,$E60,DailyDelivery!$B:$B,$D60,DailyDelivery!$C:$C,V$1))</f>
        <v/>
      </c>
      <c r="W60" s="246" t="str">
        <f>if(OR($E60="",$D60="",COUNTIFS(DailyDelivery!$A:$A,$E60,DailyDelivery!$B:$B,$D60,DailyDelivery!$C:$C,W$1)=0),"",COUNTIFS(DailyDelivery!$A:$A,$E60,DailyDelivery!$B:$B,$D60,DailyDelivery!$C:$C,W$1))</f>
        <v/>
      </c>
      <c r="X60" s="246" t="str">
        <f>if(OR($E60="",$D60="",COUNTIFS(DailyDelivery!$A:$A,$E60,DailyDelivery!$B:$B,$D60,DailyDelivery!$C:$C,X$1)=0),"",COUNTIFS(DailyDelivery!$A:$A,$E60,DailyDelivery!$B:$B,$D60,DailyDelivery!$C:$C,X$1))</f>
        <v/>
      </c>
      <c r="Y60" s="246" t="str">
        <f>if(OR($E60="",$D60="",COUNTIFS(DailyDelivery!$A:$A,$E60,DailyDelivery!$B:$B,$D60,DailyDelivery!$C:$C,Y$1)=0),"",COUNTIFS(DailyDelivery!$A:$A,$E60,DailyDelivery!$B:$B,$D60,DailyDelivery!$C:$C,Y$1))</f>
        <v/>
      </c>
      <c r="Z60" s="246" t="str">
        <f>if(OR($E60="",$D60="",COUNTIFS(DailyDelivery!$A:$A,$E60,DailyDelivery!$B:$B,$D60,DailyDelivery!$C:$C,Z$1)=0),"",COUNTIFS(DailyDelivery!$A:$A,$E60,DailyDelivery!$B:$B,$D60,DailyDelivery!$C:$C,Z$1))</f>
        <v/>
      </c>
      <c r="AA60" s="246" t="str">
        <f>if(OR($E60="",$D60="",COUNTIFS(DailyDelivery!$A:$A,$E60,DailyDelivery!$B:$B,$D60,DailyDelivery!$C:$C,AA$1)=0),"",COUNTIFS(DailyDelivery!$A:$A,$E60,DailyDelivery!$B:$B,$D60,DailyDelivery!$C:$C,AA$1))</f>
        <v/>
      </c>
      <c r="AB60" s="246" t="str">
        <f>if(OR($E60="",$D60="",COUNTIFS(DailyDelivery!$A:$A,$E60,DailyDelivery!$B:$B,$D60,DailyDelivery!$C:$C,AB$1)=0),"",COUNTIFS(DailyDelivery!$A:$A,$E60,DailyDelivery!$B:$B,$D60,DailyDelivery!$C:$C,AB$1))</f>
        <v/>
      </c>
      <c r="AC60" s="246" t="str">
        <f>if(OR($E60="",$D60="",COUNTIFS(DailyDelivery!$A:$A,$E60,DailyDelivery!$B:$B,$D60,DailyDelivery!$C:$C,AC$1)=0),"",COUNTIFS(DailyDelivery!$A:$A,$E60,DailyDelivery!$B:$B,$D60,DailyDelivery!$C:$C,AC$1))</f>
        <v/>
      </c>
      <c r="AD60" s="246" t="str">
        <f>if(OR($E60="",$D60="",COUNTIFS(DailyDelivery!$A:$A,$E60,DailyDelivery!$B:$B,$D60,DailyDelivery!$C:$C,AD$1)=0),"",COUNTIFS(DailyDelivery!$A:$A,$E60,DailyDelivery!$B:$B,$D60,DailyDelivery!$C:$C,AD$1))</f>
        <v/>
      </c>
      <c r="AE60" s="246" t="str">
        <f>if(OR($E60="",$D60="",COUNTIFS(DailyDelivery!$A:$A,$E60,DailyDelivery!$B:$B,$D60,DailyDelivery!$C:$C,AE$1)=0),"",COUNTIFS(DailyDelivery!$A:$A,$E60,DailyDelivery!$B:$B,$D60,DailyDelivery!$C:$C,AE$1))</f>
        <v/>
      </c>
      <c r="AF60" s="246" t="str">
        <f>if(OR($E60="",$D60="",COUNTIFS(DailyDelivery!$A:$A,$E60,DailyDelivery!$B:$B,$D60,DailyDelivery!$C:$C,AF$1)=0),"",COUNTIFS(DailyDelivery!$A:$A,$E60,DailyDelivery!$B:$B,$D60,DailyDelivery!$C:$C,AF$1))</f>
        <v/>
      </c>
      <c r="AG60" s="246" t="str">
        <f>if(OR($E60="",$D60="",COUNTIFS(DailyDelivery!$A:$A,$E60,DailyDelivery!$B:$B,$D60,DailyDelivery!$C:$C,AG$1)=0),"",COUNTIFS(DailyDelivery!$A:$A,$E60,DailyDelivery!$B:$B,$D60,DailyDelivery!$C:$C,AG$1))</f>
        <v/>
      </c>
      <c r="AH60" s="246" t="str">
        <f>if(OR($E60="",$D60="",COUNTIFS(DailyDelivery!$A:$A,$E60,DailyDelivery!$B:$B,$D60,DailyDelivery!$C:$C,AH$1)=0),"",COUNTIFS(DailyDelivery!$A:$A,$E60,DailyDelivery!$B:$B,$D60,DailyDelivery!$C:$C,AH$1))</f>
        <v/>
      </c>
    </row>
    <row r="61">
      <c r="A61" s="272"/>
      <c r="B61" s="273"/>
      <c r="C61" s="240"/>
      <c r="D61" s="274"/>
      <c r="E61" s="274"/>
      <c r="F61" s="242" t="str">
        <f t="shared" si="6"/>
        <v/>
      </c>
      <c r="G61" s="243" t="str">
        <f t="shared" si="7"/>
        <v/>
      </c>
      <c r="H61" s="242" t="str">
        <f t="shared" si="8"/>
        <v/>
      </c>
      <c r="I61" s="243" t="str">
        <f t="shared" si="9"/>
        <v/>
      </c>
      <c r="J61" s="244" t="str">
        <f>if(OR($E61="",$D61=""),"",sumifs(All_Stats!F:F,All_Stats!D:D,D61,All_Stats!A:A,E61,All_Stats!B:B,"Overall"))</f>
        <v/>
      </c>
      <c r="K61" s="275"/>
      <c r="L61" s="246" t="str">
        <f>if(OR($E61="",$D61=""),"",sumifs(All_Stats!G:G,All_Stats!D:D,D61,All_Stats!A:A,E61,All_Stats!B:B,"Overall"))</f>
        <v/>
      </c>
      <c r="M61" s="246" t="str">
        <f>if(OR($E61="",$D61=""),"",sumifs(All_Stats!H:H,All_Stats!D:D,D61,All_Stats!A:A,E61,All_Stats!B:B,"Overall"))</f>
        <v/>
      </c>
      <c r="N61" s="246" t="str">
        <f t="shared" si="10"/>
        <v/>
      </c>
      <c r="O61" s="276"/>
      <c r="P61" s="277"/>
      <c r="Q61" s="278"/>
      <c r="R61" s="250"/>
      <c r="S61" s="246">
        <f>SUMIFS(All_Stats!K:K,All_Stats!D:D,D61,All_Stats!A:A,E61,All_Stats!B:B,"Overall")</f>
        <v>0</v>
      </c>
      <c r="T61" s="251">
        <f>SUMIFS(All_Stats!L:L,All_Stats!D:D,D61,All_Stats!A:A,E61,All_Stats!B:B,"Overall")</f>
        <v>0</v>
      </c>
      <c r="U61" s="246" t="str">
        <f>if(OR($E61="",$D61="",COUNTIFS(DailyDelivery!$A:$A,$E61,DailyDelivery!$B:$B,$D61,DailyDelivery!$C:$C,U$1)=0),"",COUNTIFS(DailyDelivery!$A:$A,$E61,DailyDelivery!$B:$B,$D61,DailyDelivery!$C:$C,U$1))</f>
        <v/>
      </c>
      <c r="V61" s="246" t="str">
        <f>if(OR($E61="",$D61="",COUNTIFS(DailyDelivery!$A:$A,$E61,DailyDelivery!$B:$B,$D61,DailyDelivery!$C:$C,V$1)=0),"",COUNTIFS(DailyDelivery!$A:$A,$E61,DailyDelivery!$B:$B,$D61,DailyDelivery!$C:$C,V$1))</f>
        <v/>
      </c>
      <c r="W61" s="246" t="str">
        <f>if(OR($E61="",$D61="",COUNTIFS(DailyDelivery!$A:$A,$E61,DailyDelivery!$B:$B,$D61,DailyDelivery!$C:$C,W$1)=0),"",COUNTIFS(DailyDelivery!$A:$A,$E61,DailyDelivery!$B:$B,$D61,DailyDelivery!$C:$C,W$1))</f>
        <v/>
      </c>
      <c r="X61" s="246" t="str">
        <f>if(OR($E61="",$D61="",COUNTIFS(DailyDelivery!$A:$A,$E61,DailyDelivery!$B:$B,$D61,DailyDelivery!$C:$C,X$1)=0),"",COUNTIFS(DailyDelivery!$A:$A,$E61,DailyDelivery!$B:$B,$D61,DailyDelivery!$C:$C,X$1))</f>
        <v/>
      </c>
      <c r="Y61" s="246" t="str">
        <f>if(OR($E61="",$D61="",COUNTIFS(DailyDelivery!$A:$A,$E61,DailyDelivery!$B:$B,$D61,DailyDelivery!$C:$C,Y$1)=0),"",COUNTIFS(DailyDelivery!$A:$A,$E61,DailyDelivery!$B:$B,$D61,DailyDelivery!$C:$C,Y$1))</f>
        <v/>
      </c>
      <c r="Z61" s="246" t="str">
        <f>if(OR($E61="",$D61="",COUNTIFS(DailyDelivery!$A:$A,$E61,DailyDelivery!$B:$B,$D61,DailyDelivery!$C:$C,Z$1)=0),"",COUNTIFS(DailyDelivery!$A:$A,$E61,DailyDelivery!$B:$B,$D61,DailyDelivery!$C:$C,Z$1))</f>
        <v/>
      </c>
      <c r="AA61" s="246" t="str">
        <f>if(OR($E61="",$D61="",COUNTIFS(DailyDelivery!$A:$A,$E61,DailyDelivery!$B:$B,$D61,DailyDelivery!$C:$C,AA$1)=0),"",COUNTIFS(DailyDelivery!$A:$A,$E61,DailyDelivery!$B:$B,$D61,DailyDelivery!$C:$C,AA$1))</f>
        <v/>
      </c>
      <c r="AB61" s="246" t="str">
        <f>if(OR($E61="",$D61="",COUNTIFS(DailyDelivery!$A:$A,$E61,DailyDelivery!$B:$B,$D61,DailyDelivery!$C:$C,AB$1)=0),"",COUNTIFS(DailyDelivery!$A:$A,$E61,DailyDelivery!$B:$B,$D61,DailyDelivery!$C:$C,AB$1))</f>
        <v/>
      </c>
      <c r="AC61" s="246" t="str">
        <f>if(OR($E61="",$D61="",COUNTIFS(DailyDelivery!$A:$A,$E61,DailyDelivery!$B:$B,$D61,DailyDelivery!$C:$C,AC$1)=0),"",COUNTIFS(DailyDelivery!$A:$A,$E61,DailyDelivery!$B:$B,$D61,DailyDelivery!$C:$C,AC$1))</f>
        <v/>
      </c>
      <c r="AD61" s="246" t="str">
        <f>if(OR($E61="",$D61="",COUNTIFS(DailyDelivery!$A:$A,$E61,DailyDelivery!$B:$B,$D61,DailyDelivery!$C:$C,AD$1)=0),"",COUNTIFS(DailyDelivery!$A:$A,$E61,DailyDelivery!$B:$B,$D61,DailyDelivery!$C:$C,AD$1))</f>
        <v/>
      </c>
      <c r="AE61" s="246" t="str">
        <f>if(OR($E61="",$D61="",COUNTIFS(DailyDelivery!$A:$A,$E61,DailyDelivery!$B:$B,$D61,DailyDelivery!$C:$C,AE$1)=0),"",COUNTIFS(DailyDelivery!$A:$A,$E61,DailyDelivery!$B:$B,$D61,DailyDelivery!$C:$C,AE$1))</f>
        <v/>
      </c>
      <c r="AF61" s="246" t="str">
        <f>if(OR($E61="",$D61="",COUNTIFS(DailyDelivery!$A:$A,$E61,DailyDelivery!$B:$B,$D61,DailyDelivery!$C:$C,AF$1)=0),"",COUNTIFS(DailyDelivery!$A:$A,$E61,DailyDelivery!$B:$B,$D61,DailyDelivery!$C:$C,AF$1))</f>
        <v/>
      </c>
      <c r="AG61" s="246" t="str">
        <f>if(OR($E61="",$D61="",COUNTIFS(DailyDelivery!$A:$A,$E61,DailyDelivery!$B:$B,$D61,DailyDelivery!$C:$C,AG$1)=0),"",COUNTIFS(DailyDelivery!$A:$A,$E61,DailyDelivery!$B:$B,$D61,DailyDelivery!$C:$C,AG$1))</f>
        <v/>
      </c>
      <c r="AH61" s="246" t="str">
        <f>if(OR($E61="",$D61="",COUNTIFS(DailyDelivery!$A:$A,$E61,DailyDelivery!$B:$B,$D61,DailyDelivery!$C:$C,AH$1)=0),"",COUNTIFS(DailyDelivery!$A:$A,$E61,DailyDelivery!$B:$B,$D61,DailyDelivery!$C:$C,AH$1))</f>
        <v/>
      </c>
    </row>
    <row r="62">
      <c r="A62" s="272"/>
      <c r="B62" s="273"/>
      <c r="C62" s="240"/>
      <c r="D62" s="274"/>
      <c r="E62" s="274"/>
      <c r="F62" s="242" t="str">
        <f t="shared" si="6"/>
        <v/>
      </c>
      <c r="G62" s="243" t="str">
        <f t="shared" si="7"/>
        <v/>
      </c>
      <c r="H62" s="242" t="str">
        <f t="shared" si="8"/>
        <v/>
      </c>
      <c r="I62" s="243" t="str">
        <f t="shared" si="9"/>
        <v/>
      </c>
      <c r="J62" s="244" t="str">
        <f>if(OR($E62="",$D62=""),"",sumifs(All_Stats!F:F,All_Stats!D:D,D62,All_Stats!A:A,E62,All_Stats!B:B,"Overall"))</f>
        <v/>
      </c>
      <c r="K62" s="275"/>
      <c r="L62" s="246" t="str">
        <f>if(OR($E62="",$D62=""),"",sumifs(All_Stats!G:G,All_Stats!D:D,D62,All_Stats!A:A,E62,All_Stats!B:B,"Overall"))</f>
        <v/>
      </c>
      <c r="M62" s="246" t="str">
        <f>if(OR($E62="",$D62=""),"",sumifs(All_Stats!H:H,All_Stats!D:D,D62,All_Stats!A:A,E62,All_Stats!B:B,"Overall"))</f>
        <v/>
      </c>
      <c r="N62" s="246" t="str">
        <f t="shared" si="10"/>
        <v/>
      </c>
      <c r="O62" s="276"/>
      <c r="P62" s="277"/>
      <c r="Q62" s="278"/>
      <c r="R62" s="250"/>
      <c r="S62" s="246">
        <f>SUMIFS(All_Stats!K:K,All_Stats!D:D,D62,All_Stats!A:A,E62,All_Stats!B:B,"Overall")</f>
        <v>0</v>
      </c>
      <c r="T62" s="251">
        <f>SUMIFS(All_Stats!L:L,All_Stats!D:D,D62,All_Stats!A:A,E62,All_Stats!B:B,"Overall")</f>
        <v>0</v>
      </c>
      <c r="U62" s="246" t="str">
        <f>if(OR($E62="",$D62="",COUNTIFS(DailyDelivery!$A:$A,$E62,DailyDelivery!$B:$B,$D62,DailyDelivery!$C:$C,U$1)=0),"",COUNTIFS(DailyDelivery!$A:$A,$E62,DailyDelivery!$B:$B,$D62,DailyDelivery!$C:$C,U$1))</f>
        <v/>
      </c>
      <c r="V62" s="246" t="str">
        <f>if(OR($E62="",$D62="",COUNTIFS(DailyDelivery!$A:$A,$E62,DailyDelivery!$B:$B,$D62,DailyDelivery!$C:$C,V$1)=0),"",COUNTIFS(DailyDelivery!$A:$A,$E62,DailyDelivery!$B:$B,$D62,DailyDelivery!$C:$C,V$1))</f>
        <v/>
      </c>
      <c r="W62" s="246" t="str">
        <f>if(OR($E62="",$D62="",COUNTIFS(DailyDelivery!$A:$A,$E62,DailyDelivery!$B:$B,$D62,DailyDelivery!$C:$C,W$1)=0),"",COUNTIFS(DailyDelivery!$A:$A,$E62,DailyDelivery!$B:$B,$D62,DailyDelivery!$C:$C,W$1))</f>
        <v/>
      </c>
      <c r="X62" s="246" t="str">
        <f>if(OR($E62="",$D62="",COUNTIFS(DailyDelivery!$A:$A,$E62,DailyDelivery!$B:$B,$D62,DailyDelivery!$C:$C,X$1)=0),"",COUNTIFS(DailyDelivery!$A:$A,$E62,DailyDelivery!$B:$B,$D62,DailyDelivery!$C:$C,X$1))</f>
        <v/>
      </c>
      <c r="Y62" s="246" t="str">
        <f>if(OR($E62="",$D62="",COUNTIFS(DailyDelivery!$A:$A,$E62,DailyDelivery!$B:$B,$D62,DailyDelivery!$C:$C,Y$1)=0),"",COUNTIFS(DailyDelivery!$A:$A,$E62,DailyDelivery!$B:$B,$D62,DailyDelivery!$C:$C,Y$1))</f>
        <v/>
      </c>
      <c r="Z62" s="246" t="str">
        <f>if(OR($E62="",$D62="",COUNTIFS(DailyDelivery!$A:$A,$E62,DailyDelivery!$B:$B,$D62,DailyDelivery!$C:$C,Z$1)=0),"",COUNTIFS(DailyDelivery!$A:$A,$E62,DailyDelivery!$B:$B,$D62,DailyDelivery!$C:$C,Z$1))</f>
        <v/>
      </c>
      <c r="AA62" s="246" t="str">
        <f>if(OR($E62="",$D62="",COUNTIFS(DailyDelivery!$A:$A,$E62,DailyDelivery!$B:$B,$D62,DailyDelivery!$C:$C,AA$1)=0),"",COUNTIFS(DailyDelivery!$A:$A,$E62,DailyDelivery!$B:$B,$D62,DailyDelivery!$C:$C,AA$1))</f>
        <v/>
      </c>
      <c r="AB62" s="246" t="str">
        <f>if(OR($E62="",$D62="",COUNTIFS(DailyDelivery!$A:$A,$E62,DailyDelivery!$B:$B,$D62,DailyDelivery!$C:$C,AB$1)=0),"",COUNTIFS(DailyDelivery!$A:$A,$E62,DailyDelivery!$B:$B,$D62,DailyDelivery!$C:$C,AB$1))</f>
        <v/>
      </c>
      <c r="AC62" s="246" t="str">
        <f>if(OR($E62="",$D62="",COUNTIFS(DailyDelivery!$A:$A,$E62,DailyDelivery!$B:$B,$D62,DailyDelivery!$C:$C,AC$1)=0),"",COUNTIFS(DailyDelivery!$A:$A,$E62,DailyDelivery!$B:$B,$D62,DailyDelivery!$C:$C,AC$1))</f>
        <v/>
      </c>
      <c r="AD62" s="246" t="str">
        <f>if(OR($E62="",$D62="",COUNTIFS(DailyDelivery!$A:$A,$E62,DailyDelivery!$B:$B,$D62,DailyDelivery!$C:$C,AD$1)=0),"",COUNTIFS(DailyDelivery!$A:$A,$E62,DailyDelivery!$B:$B,$D62,DailyDelivery!$C:$C,AD$1))</f>
        <v/>
      </c>
      <c r="AE62" s="246" t="str">
        <f>if(OR($E62="",$D62="",COUNTIFS(DailyDelivery!$A:$A,$E62,DailyDelivery!$B:$B,$D62,DailyDelivery!$C:$C,AE$1)=0),"",COUNTIFS(DailyDelivery!$A:$A,$E62,DailyDelivery!$B:$B,$D62,DailyDelivery!$C:$C,AE$1))</f>
        <v/>
      </c>
      <c r="AF62" s="246" t="str">
        <f>if(OR($E62="",$D62="",COUNTIFS(DailyDelivery!$A:$A,$E62,DailyDelivery!$B:$B,$D62,DailyDelivery!$C:$C,AF$1)=0),"",COUNTIFS(DailyDelivery!$A:$A,$E62,DailyDelivery!$B:$B,$D62,DailyDelivery!$C:$C,AF$1))</f>
        <v/>
      </c>
      <c r="AG62" s="246" t="str">
        <f>if(OR($E62="",$D62="",COUNTIFS(DailyDelivery!$A:$A,$E62,DailyDelivery!$B:$B,$D62,DailyDelivery!$C:$C,AG$1)=0),"",COUNTIFS(DailyDelivery!$A:$A,$E62,DailyDelivery!$B:$B,$D62,DailyDelivery!$C:$C,AG$1))</f>
        <v/>
      </c>
      <c r="AH62" s="246" t="str">
        <f>if(OR($E62="",$D62="",COUNTIFS(DailyDelivery!$A:$A,$E62,DailyDelivery!$B:$B,$D62,DailyDelivery!$C:$C,AH$1)=0),"",COUNTIFS(DailyDelivery!$A:$A,$E62,DailyDelivery!$B:$B,$D62,DailyDelivery!$C:$C,AH$1))</f>
        <v/>
      </c>
    </row>
    <row r="63">
      <c r="A63" s="272"/>
      <c r="B63" s="273"/>
      <c r="C63" s="240"/>
      <c r="D63" s="274"/>
      <c r="E63" s="274"/>
      <c r="F63" s="242" t="str">
        <f t="shared" si="6"/>
        <v/>
      </c>
      <c r="G63" s="243" t="str">
        <f t="shared" si="7"/>
        <v/>
      </c>
      <c r="H63" s="242" t="str">
        <f t="shared" si="8"/>
        <v/>
      </c>
      <c r="I63" s="243" t="str">
        <f t="shared" si="9"/>
        <v/>
      </c>
      <c r="J63" s="244" t="str">
        <f>if(OR($E63="",$D63=""),"",sumifs(All_Stats!F:F,All_Stats!D:D,D63,All_Stats!A:A,E63,All_Stats!B:B,"Overall"))</f>
        <v/>
      </c>
      <c r="K63" s="275"/>
      <c r="L63" s="246" t="str">
        <f>if(OR($E63="",$D63=""),"",sumifs(All_Stats!G:G,All_Stats!D:D,D63,All_Stats!A:A,E63,All_Stats!B:B,"Overall"))</f>
        <v/>
      </c>
      <c r="M63" s="246" t="str">
        <f>if(OR($E63="",$D63=""),"",sumifs(All_Stats!H:H,All_Stats!D:D,D63,All_Stats!A:A,E63,All_Stats!B:B,"Overall"))</f>
        <v/>
      </c>
      <c r="N63" s="246" t="str">
        <f t="shared" si="10"/>
        <v/>
      </c>
      <c r="O63" s="276"/>
      <c r="P63" s="277"/>
      <c r="Q63" s="278"/>
      <c r="R63" s="250"/>
      <c r="S63" s="246">
        <f>SUMIFS(All_Stats!K:K,All_Stats!D:D,D63,All_Stats!A:A,E63,All_Stats!B:B,"Overall")</f>
        <v>0</v>
      </c>
      <c r="T63" s="251">
        <f>SUMIFS(All_Stats!L:L,All_Stats!D:D,D63,All_Stats!A:A,E63,All_Stats!B:B,"Overall")</f>
        <v>0</v>
      </c>
      <c r="U63" s="246" t="str">
        <f>if(OR($E63="",$D63="",COUNTIFS(DailyDelivery!$A:$A,$E63,DailyDelivery!$B:$B,$D63,DailyDelivery!$C:$C,U$1)=0),"",COUNTIFS(DailyDelivery!$A:$A,$E63,DailyDelivery!$B:$B,$D63,DailyDelivery!$C:$C,U$1))</f>
        <v/>
      </c>
      <c r="V63" s="246" t="str">
        <f>if(OR($E63="",$D63="",COUNTIFS(DailyDelivery!$A:$A,$E63,DailyDelivery!$B:$B,$D63,DailyDelivery!$C:$C,V$1)=0),"",COUNTIFS(DailyDelivery!$A:$A,$E63,DailyDelivery!$B:$B,$D63,DailyDelivery!$C:$C,V$1))</f>
        <v/>
      </c>
      <c r="W63" s="246" t="str">
        <f>if(OR($E63="",$D63="",COUNTIFS(DailyDelivery!$A:$A,$E63,DailyDelivery!$B:$B,$D63,DailyDelivery!$C:$C,W$1)=0),"",COUNTIFS(DailyDelivery!$A:$A,$E63,DailyDelivery!$B:$B,$D63,DailyDelivery!$C:$C,W$1))</f>
        <v/>
      </c>
      <c r="X63" s="246" t="str">
        <f>if(OR($E63="",$D63="",COUNTIFS(DailyDelivery!$A:$A,$E63,DailyDelivery!$B:$B,$D63,DailyDelivery!$C:$C,X$1)=0),"",COUNTIFS(DailyDelivery!$A:$A,$E63,DailyDelivery!$B:$B,$D63,DailyDelivery!$C:$C,X$1))</f>
        <v/>
      </c>
      <c r="Y63" s="246" t="str">
        <f>if(OR($E63="",$D63="",COUNTIFS(DailyDelivery!$A:$A,$E63,DailyDelivery!$B:$B,$D63,DailyDelivery!$C:$C,Y$1)=0),"",COUNTIFS(DailyDelivery!$A:$A,$E63,DailyDelivery!$B:$B,$D63,DailyDelivery!$C:$C,Y$1))</f>
        <v/>
      </c>
      <c r="Z63" s="246" t="str">
        <f>if(OR($E63="",$D63="",COUNTIFS(DailyDelivery!$A:$A,$E63,DailyDelivery!$B:$B,$D63,DailyDelivery!$C:$C,Z$1)=0),"",COUNTIFS(DailyDelivery!$A:$A,$E63,DailyDelivery!$B:$B,$D63,DailyDelivery!$C:$C,Z$1))</f>
        <v/>
      </c>
      <c r="AA63" s="246" t="str">
        <f>if(OR($E63="",$D63="",COUNTIFS(DailyDelivery!$A:$A,$E63,DailyDelivery!$B:$B,$D63,DailyDelivery!$C:$C,AA$1)=0),"",COUNTIFS(DailyDelivery!$A:$A,$E63,DailyDelivery!$B:$B,$D63,DailyDelivery!$C:$C,AA$1))</f>
        <v/>
      </c>
      <c r="AB63" s="246" t="str">
        <f>if(OR($E63="",$D63="",COUNTIFS(DailyDelivery!$A:$A,$E63,DailyDelivery!$B:$B,$D63,DailyDelivery!$C:$C,AB$1)=0),"",COUNTIFS(DailyDelivery!$A:$A,$E63,DailyDelivery!$B:$B,$D63,DailyDelivery!$C:$C,AB$1))</f>
        <v/>
      </c>
      <c r="AC63" s="246" t="str">
        <f>if(OR($E63="",$D63="",COUNTIFS(DailyDelivery!$A:$A,$E63,DailyDelivery!$B:$B,$D63,DailyDelivery!$C:$C,AC$1)=0),"",COUNTIFS(DailyDelivery!$A:$A,$E63,DailyDelivery!$B:$B,$D63,DailyDelivery!$C:$C,AC$1))</f>
        <v/>
      </c>
      <c r="AD63" s="246" t="str">
        <f>if(OR($E63="",$D63="",COUNTIFS(DailyDelivery!$A:$A,$E63,DailyDelivery!$B:$B,$D63,DailyDelivery!$C:$C,AD$1)=0),"",COUNTIFS(DailyDelivery!$A:$A,$E63,DailyDelivery!$B:$B,$D63,DailyDelivery!$C:$C,AD$1))</f>
        <v/>
      </c>
      <c r="AE63" s="246" t="str">
        <f>if(OR($E63="",$D63="",COUNTIFS(DailyDelivery!$A:$A,$E63,DailyDelivery!$B:$B,$D63,DailyDelivery!$C:$C,AE$1)=0),"",COUNTIFS(DailyDelivery!$A:$A,$E63,DailyDelivery!$B:$B,$D63,DailyDelivery!$C:$C,AE$1))</f>
        <v/>
      </c>
      <c r="AF63" s="246" t="str">
        <f>if(OR($E63="",$D63="",COUNTIFS(DailyDelivery!$A:$A,$E63,DailyDelivery!$B:$B,$D63,DailyDelivery!$C:$C,AF$1)=0),"",COUNTIFS(DailyDelivery!$A:$A,$E63,DailyDelivery!$B:$B,$D63,DailyDelivery!$C:$C,AF$1))</f>
        <v/>
      </c>
      <c r="AG63" s="246" t="str">
        <f>if(OR($E63="",$D63="",COUNTIFS(DailyDelivery!$A:$A,$E63,DailyDelivery!$B:$B,$D63,DailyDelivery!$C:$C,AG$1)=0),"",COUNTIFS(DailyDelivery!$A:$A,$E63,DailyDelivery!$B:$B,$D63,DailyDelivery!$C:$C,AG$1))</f>
        <v/>
      </c>
      <c r="AH63" s="246" t="str">
        <f>if(OR($E63="",$D63="",COUNTIFS(DailyDelivery!$A:$A,$E63,DailyDelivery!$B:$B,$D63,DailyDelivery!$C:$C,AH$1)=0),"",COUNTIFS(DailyDelivery!$A:$A,$E63,DailyDelivery!$B:$B,$D63,DailyDelivery!$C:$C,AH$1))</f>
        <v/>
      </c>
    </row>
    <row r="64">
      <c r="A64" s="272"/>
      <c r="B64" s="273"/>
      <c r="C64" s="240"/>
      <c r="D64" s="274"/>
      <c r="E64" s="274"/>
      <c r="F64" s="242" t="str">
        <f t="shared" si="6"/>
        <v/>
      </c>
      <c r="G64" s="243" t="str">
        <f t="shared" si="7"/>
        <v/>
      </c>
      <c r="H64" s="242" t="str">
        <f t="shared" si="8"/>
        <v/>
      </c>
      <c r="I64" s="243" t="str">
        <f t="shared" si="9"/>
        <v/>
      </c>
      <c r="J64" s="244" t="str">
        <f>if(OR($E64="",$D64=""),"",sumifs(All_Stats!F:F,All_Stats!D:D,D64,All_Stats!A:A,E64,All_Stats!B:B,"Overall"))</f>
        <v/>
      </c>
      <c r="K64" s="275"/>
      <c r="L64" s="246" t="str">
        <f>if(OR($E64="",$D64=""),"",sumifs(All_Stats!G:G,All_Stats!D:D,D64,All_Stats!A:A,E64,All_Stats!B:B,"Overall"))</f>
        <v/>
      </c>
      <c r="M64" s="246" t="str">
        <f>if(OR($E64="",$D64=""),"",sumifs(All_Stats!H:H,All_Stats!D:D,D64,All_Stats!A:A,E64,All_Stats!B:B,"Overall"))</f>
        <v/>
      </c>
      <c r="N64" s="246" t="str">
        <f t="shared" si="10"/>
        <v/>
      </c>
      <c r="O64" s="276"/>
      <c r="P64" s="277"/>
      <c r="Q64" s="278"/>
      <c r="R64" s="250"/>
      <c r="S64" s="246">
        <f>SUMIFS(All_Stats!K:K,All_Stats!D:D,D64,All_Stats!A:A,E64,All_Stats!B:B,"Overall")</f>
        <v>0</v>
      </c>
      <c r="T64" s="251">
        <f>SUMIFS(All_Stats!L:L,All_Stats!D:D,D64,All_Stats!A:A,E64,All_Stats!B:B,"Overall")</f>
        <v>0</v>
      </c>
      <c r="U64" s="246" t="str">
        <f>if(OR($E64="",$D64="",COUNTIFS(DailyDelivery!$A:$A,$E64,DailyDelivery!$B:$B,$D64,DailyDelivery!$C:$C,U$1)=0),"",COUNTIFS(DailyDelivery!$A:$A,$E64,DailyDelivery!$B:$B,$D64,DailyDelivery!$C:$C,U$1))</f>
        <v/>
      </c>
      <c r="V64" s="246" t="str">
        <f>if(OR($E64="",$D64="",COUNTIFS(DailyDelivery!$A:$A,$E64,DailyDelivery!$B:$B,$D64,DailyDelivery!$C:$C,V$1)=0),"",COUNTIFS(DailyDelivery!$A:$A,$E64,DailyDelivery!$B:$B,$D64,DailyDelivery!$C:$C,V$1))</f>
        <v/>
      </c>
      <c r="W64" s="246" t="str">
        <f>if(OR($E64="",$D64="",COUNTIFS(DailyDelivery!$A:$A,$E64,DailyDelivery!$B:$B,$D64,DailyDelivery!$C:$C,W$1)=0),"",COUNTIFS(DailyDelivery!$A:$A,$E64,DailyDelivery!$B:$B,$D64,DailyDelivery!$C:$C,W$1))</f>
        <v/>
      </c>
      <c r="X64" s="246" t="str">
        <f>if(OR($E64="",$D64="",COUNTIFS(DailyDelivery!$A:$A,$E64,DailyDelivery!$B:$B,$D64,DailyDelivery!$C:$C,X$1)=0),"",COUNTIFS(DailyDelivery!$A:$A,$E64,DailyDelivery!$B:$B,$D64,DailyDelivery!$C:$C,X$1))</f>
        <v/>
      </c>
      <c r="Y64" s="246" t="str">
        <f>if(OR($E64="",$D64="",COUNTIFS(DailyDelivery!$A:$A,$E64,DailyDelivery!$B:$B,$D64,DailyDelivery!$C:$C,Y$1)=0),"",COUNTIFS(DailyDelivery!$A:$A,$E64,DailyDelivery!$B:$B,$D64,DailyDelivery!$C:$C,Y$1))</f>
        <v/>
      </c>
      <c r="Z64" s="246" t="str">
        <f>if(OR($E64="",$D64="",COUNTIFS(DailyDelivery!$A:$A,$E64,DailyDelivery!$B:$B,$D64,DailyDelivery!$C:$C,Z$1)=0),"",COUNTIFS(DailyDelivery!$A:$A,$E64,DailyDelivery!$B:$B,$D64,DailyDelivery!$C:$C,Z$1))</f>
        <v/>
      </c>
      <c r="AA64" s="246" t="str">
        <f>if(OR($E64="",$D64="",COUNTIFS(DailyDelivery!$A:$A,$E64,DailyDelivery!$B:$B,$D64,DailyDelivery!$C:$C,AA$1)=0),"",COUNTIFS(DailyDelivery!$A:$A,$E64,DailyDelivery!$B:$B,$D64,DailyDelivery!$C:$C,AA$1))</f>
        <v/>
      </c>
      <c r="AB64" s="246" t="str">
        <f>if(OR($E64="",$D64="",COUNTIFS(DailyDelivery!$A:$A,$E64,DailyDelivery!$B:$B,$D64,DailyDelivery!$C:$C,AB$1)=0),"",COUNTIFS(DailyDelivery!$A:$A,$E64,DailyDelivery!$B:$B,$D64,DailyDelivery!$C:$C,AB$1))</f>
        <v/>
      </c>
      <c r="AC64" s="246" t="str">
        <f>if(OR($E64="",$D64="",COUNTIFS(DailyDelivery!$A:$A,$E64,DailyDelivery!$B:$B,$D64,DailyDelivery!$C:$C,AC$1)=0),"",COUNTIFS(DailyDelivery!$A:$A,$E64,DailyDelivery!$B:$B,$D64,DailyDelivery!$C:$C,AC$1))</f>
        <v/>
      </c>
      <c r="AD64" s="246" t="str">
        <f>if(OR($E64="",$D64="",COUNTIFS(DailyDelivery!$A:$A,$E64,DailyDelivery!$B:$B,$D64,DailyDelivery!$C:$C,AD$1)=0),"",COUNTIFS(DailyDelivery!$A:$A,$E64,DailyDelivery!$B:$B,$D64,DailyDelivery!$C:$C,AD$1))</f>
        <v/>
      </c>
      <c r="AE64" s="246" t="str">
        <f>if(OR($E64="",$D64="",COUNTIFS(DailyDelivery!$A:$A,$E64,DailyDelivery!$B:$B,$D64,DailyDelivery!$C:$C,AE$1)=0),"",COUNTIFS(DailyDelivery!$A:$A,$E64,DailyDelivery!$B:$B,$D64,DailyDelivery!$C:$C,AE$1))</f>
        <v/>
      </c>
      <c r="AF64" s="246" t="str">
        <f>if(OR($E64="",$D64="",COUNTIFS(DailyDelivery!$A:$A,$E64,DailyDelivery!$B:$B,$D64,DailyDelivery!$C:$C,AF$1)=0),"",COUNTIFS(DailyDelivery!$A:$A,$E64,DailyDelivery!$B:$B,$D64,DailyDelivery!$C:$C,AF$1))</f>
        <v/>
      </c>
      <c r="AG64" s="246" t="str">
        <f>if(OR($E64="",$D64="",COUNTIFS(DailyDelivery!$A:$A,$E64,DailyDelivery!$B:$B,$D64,DailyDelivery!$C:$C,AG$1)=0),"",COUNTIFS(DailyDelivery!$A:$A,$E64,DailyDelivery!$B:$B,$D64,DailyDelivery!$C:$C,AG$1))</f>
        <v/>
      </c>
      <c r="AH64" s="246" t="str">
        <f>if(OR($E64="",$D64="",COUNTIFS(DailyDelivery!$A:$A,$E64,DailyDelivery!$B:$B,$D64,DailyDelivery!$C:$C,AH$1)=0),"",COUNTIFS(DailyDelivery!$A:$A,$E64,DailyDelivery!$B:$B,$D64,DailyDelivery!$C:$C,AH$1))</f>
        <v/>
      </c>
    </row>
    <row r="65">
      <c r="A65" s="272"/>
      <c r="B65" s="273"/>
      <c r="C65" s="240"/>
      <c r="D65" s="274"/>
      <c r="E65" s="274"/>
      <c r="F65" s="242" t="str">
        <f t="shared" si="6"/>
        <v/>
      </c>
      <c r="G65" s="243" t="str">
        <f t="shared" si="7"/>
        <v/>
      </c>
      <c r="H65" s="242" t="str">
        <f t="shared" si="8"/>
        <v/>
      </c>
      <c r="I65" s="243" t="str">
        <f t="shared" si="9"/>
        <v/>
      </c>
      <c r="J65" s="244" t="str">
        <f>if(OR($E65="",$D65=""),"",sumifs(All_Stats!F:F,All_Stats!D:D,D65,All_Stats!A:A,E65,All_Stats!B:B,"Overall"))</f>
        <v/>
      </c>
      <c r="K65" s="275"/>
      <c r="L65" s="246" t="str">
        <f>if(OR($E65="",$D65=""),"",sumifs(All_Stats!G:G,All_Stats!D:D,D65,All_Stats!A:A,E65,All_Stats!B:B,"Overall"))</f>
        <v/>
      </c>
      <c r="M65" s="246" t="str">
        <f>if(OR($E65="",$D65=""),"",sumifs(All_Stats!H:H,All_Stats!D:D,D65,All_Stats!A:A,E65,All_Stats!B:B,"Overall"))</f>
        <v/>
      </c>
      <c r="N65" s="246" t="str">
        <f t="shared" si="10"/>
        <v/>
      </c>
      <c r="O65" s="276"/>
      <c r="P65" s="277"/>
      <c r="Q65" s="278"/>
      <c r="R65" s="250"/>
      <c r="S65" s="246">
        <f>SUMIFS(All_Stats!K:K,All_Stats!D:D,D65,All_Stats!A:A,E65,All_Stats!B:B,"Overall")</f>
        <v>0</v>
      </c>
      <c r="T65" s="251">
        <f>SUMIFS(All_Stats!L:L,All_Stats!D:D,D65,All_Stats!A:A,E65,All_Stats!B:B,"Overall")</f>
        <v>0</v>
      </c>
      <c r="U65" s="246" t="str">
        <f>if(OR($E65="",$D65="",COUNTIFS(DailyDelivery!$A:$A,$E65,DailyDelivery!$B:$B,$D65,DailyDelivery!$C:$C,U$1)=0),"",COUNTIFS(DailyDelivery!$A:$A,$E65,DailyDelivery!$B:$B,$D65,DailyDelivery!$C:$C,U$1))</f>
        <v/>
      </c>
      <c r="V65" s="246" t="str">
        <f>if(OR($E65="",$D65="",COUNTIFS(DailyDelivery!$A:$A,$E65,DailyDelivery!$B:$B,$D65,DailyDelivery!$C:$C,V$1)=0),"",COUNTIFS(DailyDelivery!$A:$A,$E65,DailyDelivery!$B:$B,$D65,DailyDelivery!$C:$C,V$1))</f>
        <v/>
      </c>
      <c r="W65" s="246" t="str">
        <f>if(OR($E65="",$D65="",COUNTIFS(DailyDelivery!$A:$A,$E65,DailyDelivery!$B:$B,$D65,DailyDelivery!$C:$C,W$1)=0),"",COUNTIFS(DailyDelivery!$A:$A,$E65,DailyDelivery!$B:$B,$D65,DailyDelivery!$C:$C,W$1))</f>
        <v/>
      </c>
      <c r="X65" s="246" t="str">
        <f>if(OR($E65="",$D65="",COUNTIFS(DailyDelivery!$A:$A,$E65,DailyDelivery!$B:$B,$D65,DailyDelivery!$C:$C,X$1)=0),"",COUNTIFS(DailyDelivery!$A:$A,$E65,DailyDelivery!$B:$B,$D65,DailyDelivery!$C:$C,X$1))</f>
        <v/>
      </c>
      <c r="Y65" s="246" t="str">
        <f>if(OR($E65="",$D65="",COUNTIFS(DailyDelivery!$A:$A,$E65,DailyDelivery!$B:$B,$D65,DailyDelivery!$C:$C,Y$1)=0),"",COUNTIFS(DailyDelivery!$A:$A,$E65,DailyDelivery!$B:$B,$D65,DailyDelivery!$C:$C,Y$1))</f>
        <v/>
      </c>
      <c r="Z65" s="246" t="str">
        <f>if(OR($E65="",$D65="",COUNTIFS(DailyDelivery!$A:$A,$E65,DailyDelivery!$B:$B,$D65,DailyDelivery!$C:$C,Z$1)=0),"",COUNTIFS(DailyDelivery!$A:$A,$E65,DailyDelivery!$B:$B,$D65,DailyDelivery!$C:$C,Z$1))</f>
        <v/>
      </c>
      <c r="AA65" s="246" t="str">
        <f>if(OR($E65="",$D65="",COUNTIFS(DailyDelivery!$A:$A,$E65,DailyDelivery!$B:$B,$D65,DailyDelivery!$C:$C,AA$1)=0),"",COUNTIFS(DailyDelivery!$A:$A,$E65,DailyDelivery!$B:$B,$D65,DailyDelivery!$C:$C,AA$1))</f>
        <v/>
      </c>
      <c r="AB65" s="246" t="str">
        <f>if(OR($E65="",$D65="",COUNTIFS(DailyDelivery!$A:$A,$E65,DailyDelivery!$B:$B,$D65,DailyDelivery!$C:$C,AB$1)=0),"",COUNTIFS(DailyDelivery!$A:$A,$E65,DailyDelivery!$B:$B,$D65,DailyDelivery!$C:$C,AB$1))</f>
        <v/>
      </c>
      <c r="AC65" s="246" t="str">
        <f>if(OR($E65="",$D65="",COUNTIFS(DailyDelivery!$A:$A,$E65,DailyDelivery!$B:$B,$D65,DailyDelivery!$C:$C,AC$1)=0),"",COUNTIFS(DailyDelivery!$A:$A,$E65,DailyDelivery!$B:$B,$D65,DailyDelivery!$C:$C,AC$1))</f>
        <v/>
      </c>
      <c r="AD65" s="246" t="str">
        <f>if(OR($E65="",$D65="",COUNTIFS(DailyDelivery!$A:$A,$E65,DailyDelivery!$B:$B,$D65,DailyDelivery!$C:$C,AD$1)=0),"",COUNTIFS(DailyDelivery!$A:$A,$E65,DailyDelivery!$B:$B,$D65,DailyDelivery!$C:$C,AD$1))</f>
        <v/>
      </c>
      <c r="AE65" s="246" t="str">
        <f>if(OR($E65="",$D65="",COUNTIFS(DailyDelivery!$A:$A,$E65,DailyDelivery!$B:$B,$D65,DailyDelivery!$C:$C,AE$1)=0),"",COUNTIFS(DailyDelivery!$A:$A,$E65,DailyDelivery!$B:$B,$D65,DailyDelivery!$C:$C,AE$1))</f>
        <v/>
      </c>
      <c r="AF65" s="246" t="str">
        <f>if(OR($E65="",$D65="",COUNTIFS(DailyDelivery!$A:$A,$E65,DailyDelivery!$B:$B,$D65,DailyDelivery!$C:$C,AF$1)=0),"",COUNTIFS(DailyDelivery!$A:$A,$E65,DailyDelivery!$B:$B,$D65,DailyDelivery!$C:$C,AF$1))</f>
        <v/>
      </c>
      <c r="AG65" s="246" t="str">
        <f>if(OR($E65="",$D65="",COUNTIFS(DailyDelivery!$A:$A,$E65,DailyDelivery!$B:$B,$D65,DailyDelivery!$C:$C,AG$1)=0),"",COUNTIFS(DailyDelivery!$A:$A,$E65,DailyDelivery!$B:$B,$D65,DailyDelivery!$C:$C,AG$1))</f>
        <v/>
      </c>
      <c r="AH65" s="246" t="str">
        <f>if(OR($E65="",$D65="",COUNTIFS(DailyDelivery!$A:$A,$E65,DailyDelivery!$B:$B,$D65,DailyDelivery!$C:$C,AH$1)=0),"",COUNTIFS(DailyDelivery!$A:$A,$E65,DailyDelivery!$B:$B,$D65,DailyDelivery!$C:$C,AH$1))</f>
        <v/>
      </c>
    </row>
    <row r="66">
      <c r="A66" s="272"/>
      <c r="B66" s="273"/>
      <c r="C66" s="240"/>
      <c r="D66" s="274"/>
      <c r="E66" s="274"/>
      <c r="F66" s="242" t="str">
        <f t="shared" si="6"/>
        <v/>
      </c>
      <c r="G66" s="243" t="str">
        <f t="shared" si="7"/>
        <v/>
      </c>
      <c r="H66" s="242" t="str">
        <f t="shared" si="8"/>
        <v/>
      </c>
      <c r="I66" s="243" t="str">
        <f t="shared" si="9"/>
        <v/>
      </c>
      <c r="J66" s="244" t="str">
        <f>if(OR($E66="",$D66=""),"",sumifs(All_Stats!F:F,All_Stats!D:D,D66,All_Stats!A:A,E66,All_Stats!B:B,"Overall"))</f>
        <v/>
      </c>
      <c r="K66" s="275"/>
      <c r="L66" s="246" t="str">
        <f>if(OR($E66="",$D66=""),"",sumifs(All_Stats!G:G,All_Stats!D:D,D66,All_Stats!A:A,E66,All_Stats!B:B,"Overall"))</f>
        <v/>
      </c>
      <c r="M66" s="246" t="str">
        <f>if(OR($E66="",$D66=""),"",sumifs(All_Stats!H:H,All_Stats!D:D,D66,All_Stats!A:A,E66,All_Stats!B:B,"Overall"))</f>
        <v/>
      </c>
      <c r="N66" s="246" t="str">
        <f t="shared" si="10"/>
        <v/>
      </c>
      <c r="O66" s="276"/>
      <c r="P66" s="277"/>
      <c r="Q66" s="278"/>
      <c r="R66" s="250"/>
      <c r="S66" s="246">
        <f>SUMIFS(All_Stats!K:K,All_Stats!D:D,D66,All_Stats!A:A,E66,All_Stats!B:B,"Overall")</f>
        <v>0</v>
      </c>
      <c r="T66" s="251">
        <f>SUMIFS(All_Stats!L:L,All_Stats!D:D,D66,All_Stats!A:A,E66,All_Stats!B:B,"Overall")</f>
        <v>0</v>
      </c>
      <c r="U66" s="246" t="str">
        <f>if(OR($E66="",$D66="",COUNTIFS(DailyDelivery!$A:$A,$E66,DailyDelivery!$B:$B,$D66,DailyDelivery!$C:$C,U$1)=0),"",COUNTIFS(DailyDelivery!$A:$A,$E66,DailyDelivery!$B:$B,$D66,DailyDelivery!$C:$C,U$1))</f>
        <v/>
      </c>
      <c r="V66" s="246" t="str">
        <f>if(OR($E66="",$D66="",COUNTIFS(DailyDelivery!$A:$A,$E66,DailyDelivery!$B:$B,$D66,DailyDelivery!$C:$C,V$1)=0),"",COUNTIFS(DailyDelivery!$A:$A,$E66,DailyDelivery!$B:$B,$D66,DailyDelivery!$C:$C,V$1))</f>
        <v/>
      </c>
      <c r="W66" s="246" t="str">
        <f>if(OR($E66="",$D66="",COUNTIFS(DailyDelivery!$A:$A,$E66,DailyDelivery!$B:$B,$D66,DailyDelivery!$C:$C,W$1)=0),"",COUNTIFS(DailyDelivery!$A:$A,$E66,DailyDelivery!$B:$B,$D66,DailyDelivery!$C:$C,W$1))</f>
        <v/>
      </c>
      <c r="X66" s="246" t="str">
        <f>if(OR($E66="",$D66="",COUNTIFS(DailyDelivery!$A:$A,$E66,DailyDelivery!$B:$B,$D66,DailyDelivery!$C:$C,X$1)=0),"",COUNTIFS(DailyDelivery!$A:$A,$E66,DailyDelivery!$B:$B,$D66,DailyDelivery!$C:$C,X$1))</f>
        <v/>
      </c>
      <c r="Y66" s="246" t="str">
        <f>if(OR($E66="",$D66="",COUNTIFS(DailyDelivery!$A:$A,$E66,DailyDelivery!$B:$B,$D66,DailyDelivery!$C:$C,Y$1)=0),"",COUNTIFS(DailyDelivery!$A:$A,$E66,DailyDelivery!$B:$B,$D66,DailyDelivery!$C:$C,Y$1))</f>
        <v/>
      </c>
      <c r="Z66" s="246" t="str">
        <f>if(OR($E66="",$D66="",COUNTIFS(DailyDelivery!$A:$A,$E66,DailyDelivery!$B:$B,$D66,DailyDelivery!$C:$C,Z$1)=0),"",COUNTIFS(DailyDelivery!$A:$A,$E66,DailyDelivery!$B:$B,$D66,DailyDelivery!$C:$C,Z$1))</f>
        <v/>
      </c>
      <c r="AA66" s="246" t="str">
        <f>if(OR($E66="",$D66="",COUNTIFS(DailyDelivery!$A:$A,$E66,DailyDelivery!$B:$B,$D66,DailyDelivery!$C:$C,AA$1)=0),"",COUNTIFS(DailyDelivery!$A:$A,$E66,DailyDelivery!$B:$B,$D66,DailyDelivery!$C:$C,AA$1))</f>
        <v/>
      </c>
      <c r="AB66" s="246" t="str">
        <f>if(OR($E66="",$D66="",COUNTIFS(DailyDelivery!$A:$A,$E66,DailyDelivery!$B:$B,$D66,DailyDelivery!$C:$C,AB$1)=0),"",COUNTIFS(DailyDelivery!$A:$A,$E66,DailyDelivery!$B:$B,$D66,DailyDelivery!$C:$C,AB$1))</f>
        <v/>
      </c>
      <c r="AC66" s="246" t="str">
        <f>if(OR($E66="",$D66="",COUNTIFS(DailyDelivery!$A:$A,$E66,DailyDelivery!$B:$B,$D66,DailyDelivery!$C:$C,AC$1)=0),"",COUNTIFS(DailyDelivery!$A:$A,$E66,DailyDelivery!$B:$B,$D66,DailyDelivery!$C:$C,AC$1))</f>
        <v/>
      </c>
      <c r="AD66" s="246" t="str">
        <f>if(OR($E66="",$D66="",COUNTIFS(DailyDelivery!$A:$A,$E66,DailyDelivery!$B:$B,$D66,DailyDelivery!$C:$C,AD$1)=0),"",COUNTIFS(DailyDelivery!$A:$A,$E66,DailyDelivery!$B:$B,$D66,DailyDelivery!$C:$C,AD$1))</f>
        <v/>
      </c>
      <c r="AE66" s="246" t="str">
        <f>if(OR($E66="",$D66="",COUNTIFS(DailyDelivery!$A:$A,$E66,DailyDelivery!$B:$B,$D66,DailyDelivery!$C:$C,AE$1)=0),"",COUNTIFS(DailyDelivery!$A:$A,$E66,DailyDelivery!$B:$B,$D66,DailyDelivery!$C:$C,AE$1))</f>
        <v/>
      </c>
      <c r="AF66" s="246" t="str">
        <f>if(OR($E66="",$D66="",COUNTIFS(DailyDelivery!$A:$A,$E66,DailyDelivery!$B:$B,$D66,DailyDelivery!$C:$C,AF$1)=0),"",COUNTIFS(DailyDelivery!$A:$A,$E66,DailyDelivery!$B:$B,$D66,DailyDelivery!$C:$C,AF$1))</f>
        <v/>
      </c>
      <c r="AG66" s="246" t="str">
        <f>if(OR($E66="",$D66="",COUNTIFS(DailyDelivery!$A:$A,$E66,DailyDelivery!$B:$B,$D66,DailyDelivery!$C:$C,AG$1)=0),"",COUNTIFS(DailyDelivery!$A:$A,$E66,DailyDelivery!$B:$B,$D66,DailyDelivery!$C:$C,AG$1))</f>
        <v/>
      </c>
      <c r="AH66" s="246" t="str">
        <f>if(OR($E66="",$D66="",COUNTIFS(DailyDelivery!$A:$A,$E66,DailyDelivery!$B:$B,$D66,DailyDelivery!$C:$C,AH$1)=0),"",COUNTIFS(DailyDelivery!$A:$A,$E66,DailyDelivery!$B:$B,$D66,DailyDelivery!$C:$C,AH$1))</f>
        <v/>
      </c>
    </row>
    <row r="67">
      <c r="A67" s="272"/>
      <c r="B67" s="273"/>
      <c r="C67" s="240"/>
      <c r="D67" s="274"/>
      <c r="E67" s="274"/>
      <c r="F67" s="242" t="str">
        <f t="shared" si="6"/>
        <v/>
      </c>
      <c r="G67" s="243" t="str">
        <f t="shared" si="7"/>
        <v/>
      </c>
      <c r="H67" s="242" t="str">
        <f t="shared" si="8"/>
        <v/>
      </c>
      <c r="I67" s="243" t="str">
        <f t="shared" si="9"/>
        <v/>
      </c>
      <c r="J67" s="244" t="str">
        <f>if(OR($E67="",$D67=""),"",sumifs(All_Stats!F:F,All_Stats!D:D,D67,All_Stats!A:A,E67,All_Stats!B:B,"Overall"))</f>
        <v/>
      </c>
      <c r="K67" s="275"/>
      <c r="L67" s="246" t="str">
        <f>if(OR($E67="",$D67=""),"",sumifs(All_Stats!G:G,All_Stats!D:D,D67,All_Stats!A:A,E67,All_Stats!B:B,"Overall"))</f>
        <v/>
      </c>
      <c r="M67" s="246" t="str">
        <f>if(OR($E67="",$D67=""),"",sumifs(All_Stats!H:H,All_Stats!D:D,D67,All_Stats!A:A,E67,All_Stats!B:B,"Overall"))</f>
        <v/>
      </c>
      <c r="N67" s="246" t="str">
        <f t="shared" si="10"/>
        <v/>
      </c>
      <c r="O67" s="276"/>
      <c r="P67" s="277"/>
      <c r="Q67" s="278"/>
      <c r="R67" s="250"/>
      <c r="S67" s="246">
        <f>SUMIFS(All_Stats!K:K,All_Stats!D:D,D67,All_Stats!A:A,E67,All_Stats!B:B,"Overall")</f>
        <v>0</v>
      </c>
      <c r="T67" s="251">
        <f>SUMIFS(All_Stats!L:L,All_Stats!D:D,D67,All_Stats!A:A,E67,All_Stats!B:B,"Overall")</f>
        <v>0</v>
      </c>
      <c r="U67" s="246" t="str">
        <f>if(OR($E67="",$D67="",COUNTIFS(DailyDelivery!$A:$A,$E67,DailyDelivery!$B:$B,$D67,DailyDelivery!$C:$C,U$1)=0),"",COUNTIFS(DailyDelivery!$A:$A,$E67,DailyDelivery!$B:$B,$D67,DailyDelivery!$C:$C,U$1))</f>
        <v/>
      </c>
      <c r="V67" s="246" t="str">
        <f>if(OR($E67="",$D67="",COUNTIFS(DailyDelivery!$A:$A,$E67,DailyDelivery!$B:$B,$D67,DailyDelivery!$C:$C,V$1)=0),"",COUNTIFS(DailyDelivery!$A:$A,$E67,DailyDelivery!$B:$B,$D67,DailyDelivery!$C:$C,V$1))</f>
        <v/>
      </c>
      <c r="W67" s="246" t="str">
        <f>if(OR($E67="",$D67="",COUNTIFS(DailyDelivery!$A:$A,$E67,DailyDelivery!$B:$B,$D67,DailyDelivery!$C:$C,W$1)=0),"",COUNTIFS(DailyDelivery!$A:$A,$E67,DailyDelivery!$B:$B,$D67,DailyDelivery!$C:$C,W$1))</f>
        <v/>
      </c>
      <c r="X67" s="246" t="str">
        <f>if(OR($E67="",$D67="",COUNTIFS(DailyDelivery!$A:$A,$E67,DailyDelivery!$B:$B,$D67,DailyDelivery!$C:$C,X$1)=0),"",COUNTIFS(DailyDelivery!$A:$A,$E67,DailyDelivery!$B:$B,$D67,DailyDelivery!$C:$C,X$1))</f>
        <v/>
      </c>
      <c r="Y67" s="246" t="str">
        <f>if(OR($E67="",$D67="",COUNTIFS(DailyDelivery!$A:$A,$E67,DailyDelivery!$B:$B,$D67,DailyDelivery!$C:$C,Y$1)=0),"",COUNTIFS(DailyDelivery!$A:$A,$E67,DailyDelivery!$B:$B,$D67,DailyDelivery!$C:$C,Y$1))</f>
        <v/>
      </c>
      <c r="Z67" s="246" t="str">
        <f>if(OR($E67="",$D67="",COUNTIFS(DailyDelivery!$A:$A,$E67,DailyDelivery!$B:$B,$D67,DailyDelivery!$C:$C,Z$1)=0),"",COUNTIFS(DailyDelivery!$A:$A,$E67,DailyDelivery!$B:$B,$D67,DailyDelivery!$C:$C,Z$1))</f>
        <v/>
      </c>
      <c r="AA67" s="246" t="str">
        <f>if(OR($E67="",$D67="",COUNTIFS(DailyDelivery!$A:$A,$E67,DailyDelivery!$B:$B,$D67,DailyDelivery!$C:$C,AA$1)=0),"",COUNTIFS(DailyDelivery!$A:$A,$E67,DailyDelivery!$B:$B,$D67,DailyDelivery!$C:$C,AA$1))</f>
        <v/>
      </c>
      <c r="AB67" s="246" t="str">
        <f>if(OR($E67="",$D67="",COUNTIFS(DailyDelivery!$A:$A,$E67,DailyDelivery!$B:$B,$D67,DailyDelivery!$C:$C,AB$1)=0),"",COUNTIFS(DailyDelivery!$A:$A,$E67,DailyDelivery!$B:$B,$D67,DailyDelivery!$C:$C,AB$1))</f>
        <v/>
      </c>
      <c r="AC67" s="246" t="str">
        <f>if(OR($E67="",$D67="",COUNTIFS(DailyDelivery!$A:$A,$E67,DailyDelivery!$B:$B,$D67,DailyDelivery!$C:$C,AC$1)=0),"",COUNTIFS(DailyDelivery!$A:$A,$E67,DailyDelivery!$B:$B,$D67,DailyDelivery!$C:$C,AC$1))</f>
        <v/>
      </c>
      <c r="AD67" s="246" t="str">
        <f>if(OR($E67="",$D67="",COUNTIFS(DailyDelivery!$A:$A,$E67,DailyDelivery!$B:$B,$D67,DailyDelivery!$C:$C,AD$1)=0),"",COUNTIFS(DailyDelivery!$A:$A,$E67,DailyDelivery!$B:$B,$D67,DailyDelivery!$C:$C,AD$1))</f>
        <v/>
      </c>
      <c r="AE67" s="246" t="str">
        <f>if(OR($E67="",$D67="",COUNTIFS(DailyDelivery!$A:$A,$E67,DailyDelivery!$B:$B,$D67,DailyDelivery!$C:$C,AE$1)=0),"",COUNTIFS(DailyDelivery!$A:$A,$E67,DailyDelivery!$B:$B,$D67,DailyDelivery!$C:$C,AE$1))</f>
        <v/>
      </c>
      <c r="AF67" s="246" t="str">
        <f>if(OR($E67="",$D67="",COUNTIFS(DailyDelivery!$A:$A,$E67,DailyDelivery!$B:$B,$D67,DailyDelivery!$C:$C,AF$1)=0),"",COUNTIFS(DailyDelivery!$A:$A,$E67,DailyDelivery!$B:$B,$D67,DailyDelivery!$C:$C,AF$1))</f>
        <v/>
      </c>
      <c r="AG67" s="246" t="str">
        <f>if(OR($E67="",$D67="",COUNTIFS(DailyDelivery!$A:$A,$E67,DailyDelivery!$B:$B,$D67,DailyDelivery!$C:$C,AG$1)=0),"",COUNTIFS(DailyDelivery!$A:$A,$E67,DailyDelivery!$B:$B,$D67,DailyDelivery!$C:$C,AG$1))</f>
        <v/>
      </c>
      <c r="AH67" s="246" t="str">
        <f>if(OR($E67="",$D67="",COUNTIFS(DailyDelivery!$A:$A,$E67,DailyDelivery!$B:$B,$D67,DailyDelivery!$C:$C,AH$1)=0),"",COUNTIFS(DailyDelivery!$A:$A,$E67,DailyDelivery!$B:$B,$D67,DailyDelivery!$C:$C,AH$1))</f>
        <v/>
      </c>
    </row>
    <row r="68">
      <c r="A68" s="272"/>
      <c r="B68" s="273"/>
      <c r="C68" s="240"/>
      <c r="D68" s="274"/>
      <c r="E68" s="274"/>
      <c r="F68" s="242" t="str">
        <f t="shared" si="6"/>
        <v/>
      </c>
      <c r="G68" s="243" t="str">
        <f t="shared" si="7"/>
        <v/>
      </c>
      <c r="H68" s="242" t="str">
        <f t="shared" si="8"/>
        <v/>
      </c>
      <c r="I68" s="243" t="str">
        <f t="shared" si="9"/>
        <v/>
      </c>
      <c r="J68" s="244" t="str">
        <f>if(OR($E68="",$D68=""),"",sumifs(All_Stats!F:F,All_Stats!D:D,D68,All_Stats!A:A,E68,All_Stats!B:B,"Overall"))</f>
        <v/>
      </c>
      <c r="K68" s="275"/>
      <c r="L68" s="246" t="str">
        <f>if(OR($E68="",$D68=""),"",sumifs(All_Stats!G:G,All_Stats!D:D,D68,All_Stats!A:A,E68,All_Stats!B:B,"Overall"))</f>
        <v/>
      </c>
      <c r="M68" s="246" t="str">
        <f>if(OR($E68="",$D68=""),"",sumifs(All_Stats!H:H,All_Stats!D:D,D68,All_Stats!A:A,E68,All_Stats!B:B,"Overall"))</f>
        <v/>
      </c>
      <c r="N68" s="246" t="str">
        <f t="shared" si="10"/>
        <v/>
      </c>
      <c r="O68" s="276"/>
      <c r="P68" s="277"/>
      <c r="Q68" s="278"/>
      <c r="R68" s="250"/>
      <c r="S68" s="246">
        <f>SUMIFS(All_Stats!K:K,All_Stats!D:D,D68,All_Stats!A:A,E68,All_Stats!B:B,"Overall")</f>
        <v>0</v>
      </c>
      <c r="T68" s="251">
        <f>SUMIFS(All_Stats!L:L,All_Stats!D:D,D68,All_Stats!A:A,E68,All_Stats!B:B,"Overall")</f>
        <v>0</v>
      </c>
      <c r="U68" s="246" t="str">
        <f>if(OR($E68="",$D68="",COUNTIFS(DailyDelivery!$A:$A,$E68,DailyDelivery!$B:$B,$D68,DailyDelivery!$C:$C,U$1)=0),"",COUNTIFS(DailyDelivery!$A:$A,$E68,DailyDelivery!$B:$B,$D68,DailyDelivery!$C:$C,U$1))</f>
        <v/>
      </c>
      <c r="V68" s="246" t="str">
        <f>if(OR($E68="",$D68="",COUNTIFS(DailyDelivery!$A:$A,$E68,DailyDelivery!$B:$B,$D68,DailyDelivery!$C:$C,V$1)=0),"",COUNTIFS(DailyDelivery!$A:$A,$E68,DailyDelivery!$B:$B,$D68,DailyDelivery!$C:$C,V$1))</f>
        <v/>
      </c>
      <c r="W68" s="246" t="str">
        <f>if(OR($E68="",$D68="",COUNTIFS(DailyDelivery!$A:$A,$E68,DailyDelivery!$B:$B,$D68,DailyDelivery!$C:$C,W$1)=0),"",COUNTIFS(DailyDelivery!$A:$A,$E68,DailyDelivery!$B:$B,$D68,DailyDelivery!$C:$C,W$1))</f>
        <v/>
      </c>
      <c r="X68" s="246" t="str">
        <f>if(OR($E68="",$D68="",COUNTIFS(DailyDelivery!$A:$A,$E68,DailyDelivery!$B:$B,$D68,DailyDelivery!$C:$C,X$1)=0),"",COUNTIFS(DailyDelivery!$A:$A,$E68,DailyDelivery!$B:$B,$D68,DailyDelivery!$C:$C,X$1))</f>
        <v/>
      </c>
      <c r="Y68" s="246" t="str">
        <f>if(OR($E68="",$D68="",COUNTIFS(DailyDelivery!$A:$A,$E68,DailyDelivery!$B:$B,$D68,DailyDelivery!$C:$C,Y$1)=0),"",COUNTIFS(DailyDelivery!$A:$A,$E68,DailyDelivery!$B:$B,$D68,DailyDelivery!$C:$C,Y$1))</f>
        <v/>
      </c>
      <c r="Z68" s="246" t="str">
        <f>if(OR($E68="",$D68="",COUNTIFS(DailyDelivery!$A:$A,$E68,DailyDelivery!$B:$B,$D68,DailyDelivery!$C:$C,Z$1)=0),"",COUNTIFS(DailyDelivery!$A:$A,$E68,DailyDelivery!$B:$B,$D68,DailyDelivery!$C:$C,Z$1))</f>
        <v/>
      </c>
      <c r="AA68" s="246" t="str">
        <f>if(OR($E68="",$D68="",COUNTIFS(DailyDelivery!$A:$A,$E68,DailyDelivery!$B:$B,$D68,DailyDelivery!$C:$C,AA$1)=0),"",COUNTIFS(DailyDelivery!$A:$A,$E68,DailyDelivery!$B:$B,$D68,DailyDelivery!$C:$C,AA$1))</f>
        <v/>
      </c>
      <c r="AB68" s="246" t="str">
        <f>if(OR($E68="",$D68="",COUNTIFS(DailyDelivery!$A:$A,$E68,DailyDelivery!$B:$B,$D68,DailyDelivery!$C:$C,AB$1)=0),"",COUNTIFS(DailyDelivery!$A:$A,$E68,DailyDelivery!$B:$B,$D68,DailyDelivery!$C:$C,AB$1))</f>
        <v/>
      </c>
      <c r="AC68" s="246" t="str">
        <f>if(OR($E68="",$D68="",COUNTIFS(DailyDelivery!$A:$A,$E68,DailyDelivery!$B:$B,$D68,DailyDelivery!$C:$C,AC$1)=0),"",COUNTIFS(DailyDelivery!$A:$A,$E68,DailyDelivery!$B:$B,$D68,DailyDelivery!$C:$C,AC$1))</f>
        <v/>
      </c>
      <c r="AD68" s="246" t="str">
        <f>if(OR($E68="",$D68="",COUNTIFS(DailyDelivery!$A:$A,$E68,DailyDelivery!$B:$B,$D68,DailyDelivery!$C:$C,AD$1)=0),"",COUNTIFS(DailyDelivery!$A:$A,$E68,DailyDelivery!$B:$B,$D68,DailyDelivery!$C:$C,AD$1))</f>
        <v/>
      </c>
      <c r="AE68" s="246" t="str">
        <f>if(OR($E68="",$D68="",COUNTIFS(DailyDelivery!$A:$A,$E68,DailyDelivery!$B:$B,$D68,DailyDelivery!$C:$C,AE$1)=0),"",COUNTIFS(DailyDelivery!$A:$A,$E68,DailyDelivery!$B:$B,$D68,DailyDelivery!$C:$C,AE$1))</f>
        <v/>
      </c>
      <c r="AF68" s="246" t="str">
        <f>if(OR($E68="",$D68="",COUNTIFS(DailyDelivery!$A:$A,$E68,DailyDelivery!$B:$B,$D68,DailyDelivery!$C:$C,AF$1)=0),"",COUNTIFS(DailyDelivery!$A:$A,$E68,DailyDelivery!$B:$B,$D68,DailyDelivery!$C:$C,AF$1))</f>
        <v/>
      </c>
      <c r="AG68" s="246" t="str">
        <f>if(OR($E68="",$D68="",COUNTIFS(DailyDelivery!$A:$A,$E68,DailyDelivery!$B:$B,$D68,DailyDelivery!$C:$C,AG$1)=0),"",COUNTIFS(DailyDelivery!$A:$A,$E68,DailyDelivery!$B:$B,$D68,DailyDelivery!$C:$C,AG$1))</f>
        <v/>
      </c>
      <c r="AH68" s="246" t="str">
        <f>if(OR($E68="",$D68="",COUNTIFS(DailyDelivery!$A:$A,$E68,DailyDelivery!$B:$B,$D68,DailyDelivery!$C:$C,AH$1)=0),"",COUNTIFS(DailyDelivery!$A:$A,$E68,DailyDelivery!$B:$B,$D68,DailyDelivery!$C:$C,AH$1))</f>
        <v/>
      </c>
    </row>
    <row r="69">
      <c r="A69" s="272"/>
      <c r="B69" s="273"/>
      <c r="C69" s="240"/>
      <c r="D69" s="274"/>
      <c r="E69" s="274"/>
      <c r="F69" s="242" t="str">
        <f t="shared" si="6"/>
        <v/>
      </c>
      <c r="G69" s="243" t="str">
        <f t="shared" si="7"/>
        <v/>
      </c>
      <c r="H69" s="242" t="str">
        <f t="shared" si="8"/>
        <v/>
      </c>
      <c r="I69" s="243" t="str">
        <f t="shared" si="9"/>
        <v/>
      </c>
      <c r="J69" s="244" t="str">
        <f>if(OR($E69="",$D69=""),"",sumifs(All_Stats!F:F,All_Stats!D:D,D69,All_Stats!A:A,E69,All_Stats!B:B,"Overall"))</f>
        <v/>
      </c>
      <c r="K69" s="275"/>
      <c r="L69" s="246" t="str">
        <f>if(OR($E69="",$D69=""),"",sumifs(All_Stats!G:G,All_Stats!D:D,D69,All_Stats!A:A,E69,All_Stats!B:B,"Overall"))</f>
        <v/>
      </c>
      <c r="M69" s="246" t="str">
        <f>if(OR($E69="",$D69=""),"",sumifs(All_Stats!H:H,All_Stats!D:D,D69,All_Stats!A:A,E69,All_Stats!B:B,"Overall"))</f>
        <v/>
      </c>
      <c r="N69" s="246" t="str">
        <f t="shared" si="10"/>
        <v/>
      </c>
      <c r="O69" s="276"/>
      <c r="P69" s="277"/>
      <c r="Q69" s="278"/>
      <c r="R69" s="250"/>
      <c r="S69" s="246">
        <f>SUMIFS(All_Stats!K:K,All_Stats!D:D,D69,All_Stats!A:A,E69,All_Stats!B:B,"Overall")</f>
        <v>0</v>
      </c>
      <c r="T69" s="251">
        <f>SUMIFS(All_Stats!L:L,All_Stats!D:D,D69,All_Stats!A:A,E69,All_Stats!B:B,"Overall")</f>
        <v>0</v>
      </c>
      <c r="U69" s="246" t="str">
        <f>if(OR($E69="",$D69="",COUNTIFS(DailyDelivery!$A:$A,$E69,DailyDelivery!$B:$B,$D69,DailyDelivery!$C:$C,U$1)=0),"",COUNTIFS(DailyDelivery!$A:$A,$E69,DailyDelivery!$B:$B,$D69,DailyDelivery!$C:$C,U$1))</f>
        <v/>
      </c>
      <c r="V69" s="246" t="str">
        <f>if(OR($E69="",$D69="",COUNTIFS(DailyDelivery!$A:$A,$E69,DailyDelivery!$B:$B,$D69,DailyDelivery!$C:$C,V$1)=0),"",COUNTIFS(DailyDelivery!$A:$A,$E69,DailyDelivery!$B:$B,$D69,DailyDelivery!$C:$C,V$1))</f>
        <v/>
      </c>
      <c r="W69" s="246" t="str">
        <f>if(OR($E69="",$D69="",COUNTIFS(DailyDelivery!$A:$A,$E69,DailyDelivery!$B:$B,$D69,DailyDelivery!$C:$C,W$1)=0),"",COUNTIFS(DailyDelivery!$A:$A,$E69,DailyDelivery!$B:$B,$D69,DailyDelivery!$C:$C,W$1))</f>
        <v/>
      </c>
      <c r="X69" s="246" t="str">
        <f>if(OR($E69="",$D69="",COUNTIFS(DailyDelivery!$A:$A,$E69,DailyDelivery!$B:$B,$D69,DailyDelivery!$C:$C,X$1)=0),"",COUNTIFS(DailyDelivery!$A:$A,$E69,DailyDelivery!$B:$B,$D69,DailyDelivery!$C:$C,X$1))</f>
        <v/>
      </c>
      <c r="Y69" s="246" t="str">
        <f>if(OR($E69="",$D69="",COUNTIFS(DailyDelivery!$A:$A,$E69,DailyDelivery!$B:$B,$D69,DailyDelivery!$C:$C,Y$1)=0),"",COUNTIFS(DailyDelivery!$A:$A,$E69,DailyDelivery!$B:$B,$D69,DailyDelivery!$C:$C,Y$1))</f>
        <v/>
      </c>
      <c r="Z69" s="246" t="str">
        <f>if(OR($E69="",$D69="",COUNTIFS(DailyDelivery!$A:$A,$E69,DailyDelivery!$B:$B,$D69,DailyDelivery!$C:$C,Z$1)=0),"",COUNTIFS(DailyDelivery!$A:$A,$E69,DailyDelivery!$B:$B,$D69,DailyDelivery!$C:$C,Z$1))</f>
        <v/>
      </c>
      <c r="AA69" s="246" t="str">
        <f>if(OR($E69="",$D69="",COUNTIFS(DailyDelivery!$A:$A,$E69,DailyDelivery!$B:$B,$D69,DailyDelivery!$C:$C,AA$1)=0),"",COUNTIFS(DailyDelivery!$A:$A,$E69,DailyDelivery!$B:$B,$D69,DailyDelivery!$C:$C,AA$1))</f>
        <v/>
      </c>
      <c r="AB69" s="246" t="str">
        <f>if(OR($E69="",$D69="",COUNTIFS(DailyDelivery!$A:$A,$E69,DailyDelivery!$B:$B,$D69,DailyDelivery!$C:$C,AB$1)=0),"",COUNTIFS(DailyDelivery!$A:$A,$E69,DailyDelivery!$B:$B,$D69,DailyDelivery!$C:$C,AB$1))</f>
        <v/>
      </c>
      <c r="AC69" s="246" t="str">
        <f>if(OR($E69="",$D69="",COUNTIFS(DailyDelivery!$A:$A,$E69,DailyDelivery!$B:$B,$D69,DailyDelivery!$C:$C,AC$1)=0),"",COUNTIFS(DailyDelivery!$A:$A,$E69,DailyDelivery!$B:$B,$D69,DailyDelivery!$C:$C,AC$1))</f>
        <v/>
      </c>
      <c r="AD69" s="246" t="str">
        <f>if(OR($E69="",$D69="",COUNTIFS(DailyDelivery!$A:$A,$E69,DailyDelivery!$B:$B,$D69,DailyDelivery!$C:$C,AD$1)=0),"",COUNTIFS(DailyDelivery!$A:$A,$E69,DailyDelivery!$B:$B,$D69,DailyDelivery!$C:$C,AD$1))</f>
        <v/>
      </c>
      <c r="AE69" s="246" t="str">
        <f>if(OR($E69="",$D69="",COUNTIFS(DailyDelivery!$A:$A,$E69,DailyDelivery!$B:$B,$D69,DailyDelivery!$C:$C,AE$1)=0),"",COUNTIFS(DailyDelivery!$A:$A,$E69,DailyDelivery!$B:$B,$D69,DailyDelivery!$C:$C,AE$1))</f>
        <v/>
      </c>
      <c r="AF69" s="246" t="str">
        <f>if(OR($E69="",$D69="",COUNTIFS(DailyDelivery!$A:$A,$E69,DailyDelivery!$B:$B,$D69,DailyDelivery!$C:$C,AF$1)=0),"",COUNTIFS(DailyDelivery!$A:$A,$E69,DailyDelivery!$B:$B,$D69,DailyDelivery!$C:$C,AF$1))</f>
        <v/>
      </c>
      <c r="AG69" s="246" t="str">
        <f>if(OR($E69="",$D69="",COUNTIFS(DailyDelivery!$A:$A,$E69,DailyDelivery!$B:$B,$D69,DailyDelivery!$C:$C,AG$1)=0),"",COUNTIFS(DailyDelivery!$A:$A,$E69,DailyDelivery!$B:$B,$D69,DailyDelivery!$C:$C,AG$1))</f>
        <v/>
      </c>
      <c r="AH69" s="246" t="str">
        <f>if(OR($E69="",$D69="",COUNTIFS(DailyDelivery!$A:$A,$E69,DailyDelivery!$B:$B,$D69,DailyDelivery!$C:$C,AH$1)=0),"",COUNTIFS(DailyDelivery!$A:$A,$E69,DailyDelivery!$B:$B,$D69,DailyDelivery!$C:$C,AH$1))</f>
        <v/>
      </c>
    </row>
    <row r="70">
      <c r="A70" s="272"/>
      <c r="B70" s="273"/>
      <c r="C70" s="240"/>
      <c r="D70" s="274"/>
      <c r="E70" s="274"/>
      <c r="F70" s="242" t="str">
        <f t="shared" si="6"/>
        <v/>
      </c>
      <c r="G70" s="243" t="str">
        <f t="shared" si="7"/>
        <v/>
      </c>
      <c r="H70" s="242" t="str">
        <f t="shared" si="8"/>
        <v/>
      </c>
      <c r="I70" s="243" t="str">
        <f t="shared" si="9"/>
        <v/>
      </c>
      <c r="J70" s="244" t="str">
        <f>if(OR($E70="",$D70=""),"",sumifs(All_Stats!F:F,All_Stats!D:D,D70,All_Stats!A:A,E70,All_Stats!B:B,"Overall"))</f>
        <v/>
      </c>
      <c r="K70" s="275"/>
      <c r="L70" s="246" t="str">
        <f>if(OR($E70="",$D70=""),"",sumifs(All_Stats!G:G,All_Stats!D:D,D70,All_Stats!A:A,E70,All_Stats!B:B,"Overall"))</f>
        <v/>
      </c>
      <c r="M70" s="246" t="str">
        <f>if(OR($E70="",$D70=""),"",sumifs(All_Stats!H:H,All_Stats!D:D,D70,All_Stats!A:A,E70,All_Stats!B:B,"Overall"))</f>
        <v/>
      </c>
      <c r="N70" s="246" t="str">
        <f t="shared" si="10"/>
        <v/>
      </c>
      <c r="O70" s="276"/>
      <c r="P70" s="277"/>
      <c r="Q70" s="278"/>
      <c r="R70" s="250"/>
      <c r="S70" s="246">
        <f>SUMIFS(All_Stats!K:K,All_Stats!D:D,D70,All_Stats!A:A,E70,All_Stats!B:B,"Overall")</f>
        <v>0</v>
      </c>
      <c r="T70" s="251">
        <f>SUMIFS(All_Stats!L:L,All_Stats!D:D,D70,All_Stats!A:A,E70,All_Stats!B:B,"Overall")</f>
        <v>0</v>
      </c>
      <c r="U70" s="246" t="str">
        <f>if(OR($E70="",$D70="",COUNTIFS(DailyDelivery!$A:$A,$E70,DailyDelivery!$B:$B,$D70,DailyDelivery!$C:$C,U$1)=0),"",COUNTIFS(DailyDelivery!$A:$A,$E70,DailyDelivery!$B:$B,$D70,DailyDelivery!$C:$C,U$1))</f>
        <v/>
      </c>
      <c r="V70" s="246" t="str">
        <f>if(OR($E70="",$D70="",COUNTIFS(DailyDelivery!$A:$A,$E70,DailyDelivery!$B:$B,$D70,DailyDelivery!$C:$C,V$1)=0),"",COUNTIFS(DailyDelivery!$A:$A,$E70,DailyDelivery!$B:$B,$D70,DailyDelivery!$C:$C,V$1))</f>
        <v/>
      </c>
      <c r="W70" s="246" t="str">
        <f>if(OR($E70="",$D70="",COUNTIFS(DailyDelivery!$A:$A,$E70,DailyDelivery!$B:$B,$D70,DailyDelivery!$C:$C,W$1)=0),"",COUNTIFS(DailyDelivery!$A:$A,$E70,DailyDelivery!$B:$B,$D70,DailyDelivery!$C:$C,W$1))</f>
        <v/>
      </c>
      <c r="X70" s="246" t="str">
        <f>if(OR($E70="",$D70="",COUNTIFS(DailyDelivery!$A:$A,$E70,DailyDelivery!$B:$B,$D70,DailyDelivery!$C:$C,X$1)=0),"",COUNTIFS(DailyDelivery!$A:$A,$E70,DailyDelivery!$B:$B,$D70,DailyDelivery!$C:$C,X$1))</f>
        <v/>
      </c>
      <c r="Y70" s="246" t="str">
        <f>if(OR($E70="",$D70="",COUNTIFS(DailyDelivery!$A:$A,$E70,DailyDelivery!$B:$B,$D70,DailyDelivery!$C:$C,Y$1)=0),"",COUNTIFS(DailyDelivery!$A:$A,$E70,DailyDelivery!$B:$B,$D70,DailyDelivery!$C:$C,Y$1))</f>
        <v/>
      </c>
      <c r="Z70" s="246" t="str">
        <f>if(OR($E70="",$D70="",COUNTIFS(DailyDelivery!$A:$A,$E70,DailyDelivery!$B:$B,$D70,DailyDelivery!$C:$C,Z$1)=0),"",COUNTIFS(DailyDelivery!$A:$A,$E70,DailyDelivery!$B:$B,$D70,DailyDelivery!$C:$C,Z$1))</f>
        <v/>
      </c>
      <c r="AA70" s="246" t="str">
        <f>if(OR($E70="",$D70="",COUNTIFS(DailyDelivery!$A:$A,$E70,DailyDelivery!$B:$B,$D70,DailyDelivery!$C:$C,AA$1)=0),"",COUNTIFS(DailyDelivery!$A:$A,$E70,DailyDelivery!$B:$B,$D70,DailyDelivery!$C:$C,AA$1))</f>
        <v/>
      </c>
      <c r="AB70" s="246" t="str">
        <f>if(OR($E70="",$D70="",COUNTIFS(DailyDelivery!$A:$A,$E70,DailyDelivery!$B:$B,$D70,DailyDelivery!$C:$C,AB$1)=0),"",COUNTIFS(DailyDelivery!$A:$A,$E70,DailyDelivery!$B:$B,$D70,DailyDelivery!$C:$C,AB$1))</f>
        <v/>
      </c>
      <c r="AC70" s="246" t="str">
        <f>if(OR($E70="",$D70="",COUNTIFS(DailyDelivery!$A:$A,$E70,DailyDelivery!$B:$B,$D70,DailyDelivery!$C:$C,AC$1)=0),"",COUNTIFS(DailyDelivery!$A:$A,$E70,DailyDelivery!$B:$B,$D70,DailyDelivery!$C:$C,AC$1))</f>
        <v/>
      </c>
      <c r="AD70" s="246" t="str">
        <f>if(OR($E70="",$D70="",COUNTIFS(DailyDelivery!$A:$A,$E70,DailyDelivery!$B:$B,$D70,DailyDelivery!$C:$C,AD$1)=0),"",COUNTIFS(DailyDelivery!$A:$A,$E70,DailyDelivery!$B:$B,$D70,DailyDelivery!$C:$C,AD$1))</f>
        <v/>
      </c>
      <c r="AE70" s="246" t="str">
        <f>if(OR($E70="",$D70="",COUNTIFS(DailyDelivery!$A:$A,$E70,DailyDelivery!$B:$B,$D70,DailyDelivery!$C:$C,AE$1)=0),"",COUNTIFS(DailyDelivery!$A:$A,$E70,DailyDelivery!$B:$B,$D70,DailyDelivery!$C:$C,AE$1))</f>
        <v/>
      </c>
      <c r="AF70" s="246" t="str">
        <f>if(OR($E70="",$D70="",COUNTIFS(DailyDelivery!$A:$A,$E70,DailyDelivery!$B:$B,$D70,DailyDelivery!$C:$C,AF$1)=0),"",COUNTIFS(DailyDelivery!$A:$A,$E70,DailyDelivery!$B:$B,$D70,DailyDelivery!$C:$C,AF$1))</f>
        <v/>
      </c>
      <c r="AG70" s="246" t="str">
        <f>if(OR($E70="",$D70="",COUNTIFS(DailyDelivery!$A:$A,$E70,DailyDelivery!$B:$B,$D70,DailyDelivery!$C:$C,AG$1)=0),"",COUNTIFS(DailyDelivery!$A:$A,$E70,DailyDelivery!$B:$B,$D70,DailyDelivery!$C:$C,AG$1))</f>
        <v/>
      </c>
      <c r="AH70" s="246" t="str">
        <f>if(OR($E70="",$D70="",COUNTIFS(DailyDelivery!$A:$A,$E70,DailyDelivery!$B:$B,$D70,DailyDelivery!$C:$C,AH$1)=0),"",COUNTIFS(DailyDelivery!$A:$A,$E70,DailyDelivery!$B:$B,$D70,DailyDelivery!$C:$C,AH$1))</f>
        <v/>
      </c>
    </row>
    <row r="71">
      <c r="A71" s="272"/>
      <c r="B71" s="273"/>
      <c r="C71" s="240"/>
      <c r="D71" s="274"/>
      <c r="E71" s="274"/>
      <c r="F71" s="242" t="str">
        <f t="shared" si="6"/>
        <v/>
      </c>
      <c r="G71" s="243" t="str">
        <f t="shared" si="7"/>
        <v/>
      </c>
      <c r="H71" s="242" t="str">
        <f t="shared" si="8"/>
        <v/>
      </c>
      <c r="I71" s="243" t="str">
        <f t="shared" si="9"/>
        <v/>
      </c>
      <c r="J71" s="244" t="str">
        <f>if(OR($E71="",$D71=""),"",sumifs(All_Stats!F:F,All_Stats!D:D,D71,All_Stats!A:A,E71,All_Stats!B:B,"Overall"))</f>
        <v/>
      </c>
      <c r="K71" s="275"/>
      <c r="L71" s="246" t="str">
        <f>if(OR($E71="",$D71=""),"",sumifs(All_Stats!G:G,All_Stats!D:D,D71,All_Stats!A:A,E71,All_Stats!B:B,"Overall"))</f>
        <v/>
      </c>
      <c r="M71" s="246" t="str">
        <f>if(OR($E71="",$D71=""),"",sumifs(All_Stats!H:H,All_Stats!D:D,D71,All_Stats!A:A,E71,All_Stats!B:B,"Overall"))</f>
        <v/>
      </c>
      <c r="N71" s="246" t="str">
        <f t="shared" si="10"/>
        <v/>
      </c>
      <c r="O71" s="276"/>
      <c r="P71" s="277"/>
      <c r="Q71" s="278"/>
      <c r="R71" s="250"/>
      <c r="S71" s="246">
        <f>SUMIFS(All_Stats!K:K,All_Stats!D:D,D71,All_Stats!A:A,E71,All_Stats!B:B,"Overall")</f>
        <v>0</v>
      </c>
      <c r="T71" s="251">
        <f>SUMIFS(All_Stats!L:L,All_Stats!D:D,D71,All_Stats!A:A,E71,All_Stats!B:B,"Overall")</f>
        <v>0</v>
      </c>
      <c r="U71" s="246" t="str">
        <f>if(OR($E71="",$D71="",COUNTIFS(DailyDelivery!$A:$A,$E71,DailyDelivery!$B:$B,$D71,DailyDelivery!$C:$C,U$1)=0),"",COUNTIFS(DailyDelivery!$A:$A,$E71,DailyDelivery!$B:$B,$D71,DailyDelivery!$C:$C,U$1))</f>
        <v/>
      </c>
      <c r="V71" s="246" t="str">
        <f>if(OR($E71="",$D71="",COUNTIFS(DailyDelivery!$A:$A,$E71,DailyDelivery!$B:$B,$D71,DailyDelivery!$C:$C,V$1)=0),"",COUNTIFS(DailyDelivery!$A:$A,$E71,DailyDelivery!$B:$B,$D71,DailyDelivery!$C:$C,V$1))</f>
        <v/>
      </c>
      <c r="W71" s="246" t="str">
        <f>if(OR($E71="",$D71="",COUNTIFS(DailyDelivery!$A:$A,$E71,DailyDelivery!$B:$B,$D71,DailyDelivery!$C:$C,W$1)=0),"",COUNTIFS(DailyDelivery!$A:$A,$E71,DailyDelivery!$B:$B,$D71,DailyDelivery!$C:$C,W$1))</f>
        <v/>
      </c>
      <c r="X71" s="246" t="str">
        <f>if(OR($E71="",$D71="",COUNTIFS(DailyDelivery!$A:$A,$E71,DailyDelivery!$B:$B,$D71,DailyDelivery!$C:$C,X$1)=0),"",COUNTIFS(DailyDelivery!$A:$A,$E71,DailyDelivery!$B:$B,$D71,DailyDelivery!$C:$C,X$1))</f>
        <v/>
      </c>
      <c r="Y71" s="246" t="str">
        <f>if(OR($E71="",$D71="",COUNTIFS(DailyDelivery!$A:$A,$E71,DailyDelivery!$B:$B,$D71,DailyDelivery!$C:$C,Y$1)=0),"",COUNTIFS(DailyDelivery!$A:$A,$E71,DailyDelivery!$B:$B,$D71,DailyDelivery!$C:$C,Y$1))</f>
        <v/>
      </c>
      <c r="Z71" s="246" t="str">
        <f>if(OR($E71="",$D71="",COUNTIFS(DailyDelivery!$A:$A,$E71,DailyDelivery!$B:$B,$D71,DailyDelivery!$C:$C,Z$1)=0),"",COUNTIFS(DailyDelivery!$A:$A,$E71,DailyDelivery!$B:$B,$D71,DailyDelivery!$C:$C,Z$1))</f>
        <v/>
      </c>
      <c r="AA71" s="246" t="str">
        <f>if(OR($E71="",$D71="",COUNTIFS(DailyDelivery!$A:$A,$E71,DailyDelivery!$B:$B,$D71,DailyDelivery!$C:$C,AA$1)=0),"",COUNTIFS(DailyDelivery!$A:$A,$E71,DailyDelivery!$B:$B,$D71,DailyDelivery!$C:$C,AA$1))</f>
        <v/>
      </c>
      <c r="AB71" s="246" t="str">
        <f>if(OR($E71="",$D71="",COUNTIFS(DailyDelivery!$A:$A,$E71,DailyDelivery!$B:$B,$D71,DailyDelivery!$C:$C,AB$1)=0),"",COUNTIFS(DailyDelivery!$A:$A,$E71,DailyDelivery!$B:$B,$D71,DailyDelivery!$C:$C,AB$1))</f>
        <v/>
      </c>
      <c r="AC71" s="246" t="str">
        <f>if(OR($E71="",$D71="",COUNTIFS(DailyDelivery!$A:$A,$E71,DailyDelivery!$B:$B,$D71,DailyDelivery!$C:$C,AC$1)=0),"",COUNTIFS(DailyDelivery!$A:$A,$E71,DailyDelivery!$B:$B,$D71,DailyDelivery!$C:$C,AC$1))</f>
        <v/>
      </c>
      <c r="AD71" s="246" t="str">
        <f>if(OR($E71="",$D71="",COUNTIFS(DailyDelivery!$A:$A,$E71,DailyDelivery!$B:$B,$D71,DailyDelivery!$C:$C,AD$1)=0),"",COUNTIFS(DailyDelivery!$A:$A,$E71,DailyDelivery!$B:$B,$D71,DailyDelivery!$C:$C,AD$1))</f>
        <v/>
      </c>
      <c r="AE71" s="246" t="str">
        <f>if(OR($E71="",$D71="",COUNTIFS(DailyDelivery!$A:$A,$E71,DailyDelivery!$B:$B,$D71,DailyDelivery!$C:$C,AE$1)=0),"",COUNTIFS(DailyDelivery!$A:$A,$E71,DailyDelivery!$B:$B,$D71,DailyDelivery!$C:$C,AE$1))</f>
        <v/>
      </c>
      <c r="AF71" s="246" t="str">
        <f>if(OR($E71="",$D71="",COUNTIFS(DailyDelivery!$A:$A,$E71,DailyDelivery!$B:$B,$D71,DailyDelivery!$C:$C,AF$1)=0),"",COUNTIFS(DailyDelivery!$A:$A,$E71,DailyDelivery!$B:$B,$D71,DailyDelivery!$C:$C,AF$1))</f>
        <v/>
      </c>
      <c r="AG71" s="246" t="str">
        <f>if(OR($E71="",$D71="",COUNTIFS(DailyDelivery!$A:$A,$E71,DailyDelivery!$B:$B,$D71,DailyDelivery!$C:$C,AG$1)=0),"",COUNTIFS(DailyDelivery!$A:$A,$E71,DailyDelivery!$B:$B,$D71,DailyDelivery!$C:$C,AG$1))</f>
        <v/>
      </c>
      <c r="AH71" s="246" t="str">
        <f>if(OR($E71="",$D71="",COUNTIFS(DailyDelivery!$A:$A,$E71,DailyDelivery!$B:$B,$D71,DailyDelivery!$C:$C,AH$1)=0),"",COUNTIFS(DailyDelivery!$A:$A,$E71,DailyDelivery!$B:$B,$D71,DailyDelivery!$C:$C,AH$1))</f>
        <v/>
      </c>
    </row>
    <row r="72">
      <c r="A72" s="272"/>
      <c r="B72" s="273"/>
      <c r="C72" s="240"/>
      <c r="D72" s="274"/>
      <c r="E72" s="274"/>
      <c r="F72" s="242" t="str">
        <f t="shared" si="6"/>
        <v/>
      </c>
      <c r="G72" s="243" t="str">
        <f t="shared" si="7"/>
        <v/>
      </c>
      <c r="H72" s="242" t="str">
        <f t="shared" si="8"/>
        <v/>
      </c>
      <c r="I72" s="243" t="str">
        <f t="shared" si="9"/>
        <v/>
      </c>
      <c r="J72" s="244" t="str">
        <f>if(OR($E72="",$D72=""),"",sumifs(All_Stats!F:F,All_Stats!D:D,D72,All_Stats!A:A,E72,All_Stats!B:B,"Overall"))</f>
        <v/>
      </c>
      <c r="K72" s="275"/>
      <c r="L72" s="246" t="str">
        <f>if(OR($E72="",$D72=""),"",sumifs(All_Stats!G:G,All_Stats!D:D,D72,All_Stats!A:A,E72,All_Stats!B:B,"Overall"))</f>
        <v/>
      </c>
      <c r="M72" s="246" t="str">
        <f>if(OR($E72="",$D72=""),"",sumifs(All_Stats!H:H,All_Stats!D:D,D72,All_Stats!A:A,E72,All_Stats!B:B,"Overall"))</f>
        <v/>
      </c>
      <c r="N72" s="246" t="str">
        <f t="shared" si="10"/>
        <v/>
      </c>
      <c r="O72" s="276"/>
      <c r="P72" s="277"/>
      <c r="Q72" s="278"/>
      <c r="R72" s="250"/>
      <c r="S72" s="246">
        <f>SUMIFS(All_Stats!K:K,All_Stats!D:D,D72,All_Stats!A:A,E72,All_Stats!B:B,"Overall")</f>
        <v>0</v>
      </c>
      <c r="T72" s="251">
        <f>SUMIFS(All_Stats!L:L,All_Stats!D:D,D72,All_Stats!A:A,E72,All_Stats!B:B,"Overall")</f>
        <v>0</v>
      </c>
      <c r="U72" s="246" t="str">
        <f>if(OR($E72="",$D72="",COUNTIFS(DailyDelivery!$A:$A,$E72,DailyDelivery!$B:$B,$D72,DailyDelivery!$C:$C,U$1)=0),"",COUNTIFS(DailyDelivery!$A:$A,$E72,DailyDelivery!$B:$B,$D72,DailyDelivery!$C:$C,U$1))</f>
        <v/>
      </c>
      <c r="V72" s="246" t="str">
        <f>if(OR($E72="",$D72="",COUNTIFS(DailyDelivery!$A:$A,$E72,DailyDelivery!$B:$B,$D72,DailyDelivery!$C:$C,V$1)=0),"",COUNTIFS(DailyDelivery!$A:$A,$E72,DailyDelivery!$B:$B,$D72,DailyDelivery!$C:$C,V$1))</f>
        <v/>
      </c>
      <c r="W72" s="246" t="str">
        <f>if(OR($E72="",$D72="",COUNTIFS(DailyDelivery!$A:$A,$E72,DailyDelivery!$B:$B,$D72,DailyDelivery!$C:$C,W$1)=0),"",COUNTIFS(DailyDelivery!$A:$A,$E72,DailyDelivery!$B:$B,$D72,DailyDelivery!$C:$C,W$1))</f>
        <v/>
      </c>
      <c r="X72" s="246" t="str">
        <f>if(OR($E72="",$D72="",COUNTIFS(DailyDelivery!$A:$A,$E72,DailyDelivery!$B:$B,$D72,DailyDelivery!$C:$C,X$1)=0),"",COUNTIFS(DailyDelivery!$A:$A,$E72,DailyDelivery!$B:$B,$D72,DailyDelivery!$C:$C,X$1))</f>
        <v/>
      </c>
      <c r="Y72" s="246" t="str">
        <f>if(OR($E72="",$D72="",COUNTIFS(DailyDelivery!$A:$A,$E72,DailyDelivery!$B:$B,$D72,DailyDelivery!$C:$C,Y$1)=0),"",COUNTIFS(DailyDelivery!$A:$A,$E72,DailyDelivery!$B:$B,$D72,DailyDelivery!$C:$C,Y$1))</f>
        <v/>
      </c>
      <c r="Z72" s="246" t="str">
        <f>if(OR($E72="",$D72="",COUNTIFS(DailyDelivery!$A:$A,$E72,DailyDelivery!$B:$B,$D72,DailyDelivery!$C:$C,Z$1)=0),"",COUNTIFS(DailyDelivery!$A:$A,$E72,DailyDelivery!$B:$B,$D72,DailyDelivery!$C:$C,Z$1))</f>
        <v/>
      </c>
      <c r="AA72" s="246" t="str">
        <f>if(OR($E72="",$D72="",COUNTIFS(DailyDelivery!$A:$A,$E72,DailyDelivery!$B:$B,$D72,DailyDelivery!$C:$C,AA$1)=0),"",COUNTIFS(DailyDelivery!$A:$A,$E72,DailyDelivery!$B:$B,$D72,DailyDelivery!$C:$C,AA$1))</f>
        <v/>
      </c>
      <c r="AB72" s="246" t="str">
        <f>if(OR($E72="",$D72="",COUNTIFS(DailyDelivery!$A:$A,$E72,DailyDelivery!$B:$B,$D72,DailyDelivery!$C:$C,AB$1)=0),"",COUNTIFS(DailyDelivery!$A:$A,$E72,DailyDelivery!$B:$B,$D72,DailyDelivery!$C:$C,AB$1))</f>
        <v/>
      </c>
      <c r="AC72" s="246" t="str">
        <f>if(OR($E72="",$D72="",COUNTIFS(DailyDelivery!$A:$A,$E72,DailyDelivery!$B:$B,$D72,DailyDelivery!$C:$C,AC$1)=0),"",COUNTIFS(DailyDelivery!$A:$A,$E72,DailyDelivery!$B:$B,$D72,DailyDelivery!$C:$C,AC$1))</f>
        <v/>
      </c>
      <c r="AD72" s="246" t="str">
        <f>if(OR($E72="",$D72="",COUNTIFS(DailyDelivery!$A:$A,$E72,DailyDelivery!$B:$B,$D72,DailyDelivery!$C:$C,AD$1)=0),"",COUNTIFS(DailyDelivery!$A:$A,$E72,DailyDelivery!$B:$B,$D72,DailyDelivery!$C:$C,AD$1))</f>
        <v/>
      </c>
      <c r="AE72" s="246" t="str">
        <f>if(OR($E72="",$D72="",COUNTIFS(DailyDelivery!$A:$A,$E72,DailyDelivery!$B:$B,$D72,DailyDelivery!$C:$C,AE$1)=0),"",COUNTIFS(DailyDelivery!$A:$A,$E72,DailyDelivery!$B:$B,$D72,DailyDelivery!$C:$C,AE$1))</f>
        <v/>
      </c>
      <c r="AF72" s="246" t="str">
        <f>if(OR($E72="",$D72="",COUNTIFS(DailyDelivery!$A:$A,$E72,DailyDelivery!$B:$B,$D72,DailyDelivery!$C:$C,AF$1)=0),"",COUNTIFS(DailyDelivery!$A:$A,$E72,DailyDelivery!$B:$B,$D72,DailyDelivery!$C:$C,AF$1))</f>
        <v/>
      </c>
      <c r="AG72" s="246" t="str">
        <f>if(OR($E72="",$D72="",COUNTIFS(DailyDelivery!$A:$A,$E72,DailyDelivery!$B:$B,$D72,DailyDelivery!$C:$C,AG$1)=0),"",COUNTIFS(DailyDelivery!$A:$A,$E72,DailyDelivery!$B:$B,$D72,DailyDelivery!$C:$C,AG$1))</f>
        <v/>
      </c>
      <c r="AH72" s="246" t="str">
        <f>if(OR($E72="",$D72="",COUNTIFS(DailyDelivery!$A:$A,$E72,DailyDelivery!$B:$B,$D72,DailyDelivery!$C:$C,AH$1)=0),"",COUNTIFS(DailyDelivery!$A:$A,$E72,DailyDelivery!$B:$B,$D72,DailyDelivery!$C:$C,AH$1))</f>
        <v/>
      </c>
    </row>
    <row r="73">
      <c r="A73" s="272"/>
      <c r="B73" s="273"/>
      <c r="C73" s="240"/>
      <c r="D73" s="274"/>
      <c r="E73" s="274"/>
      <c r="F73" s="242" t="str">
        <f t="shared" si="6"/>
        <v/>
      </c>
      <c r="G73" s="243" t="str">
        <f t="shared" si="7"/>
        <v/>
      </c>
      <c r="H73" s="242" t="str">
        <f t="shared" si="8"/>
        <v/>
      </c>
      <c r="I73" s="243" t="str">
        <f t="shared" si="9"/>
        <v/>
      </c>
      <c r="J73" s="244" t="str">
        <f>if(OR($E73="",$D73=""),"",sumifs(All_Stats!F:F,All_Stats!D:D,D73,All_Stats!A:A,E73,All_Stats!B:B,"Overall"))</f>
        <v/>
      </c>
      <c r="K73" s="275"/>
      <c r="L73" s="246" t="str">
        <f>if(OR($E73="",$D73=""),"",sumifs(All_Stats!G:G,All_Stats!D:D,D73,All_Stats!A:A,E73,All_Stats!B:B,"Overall"))</f>
        <v/>
      </c>
      <c r="M73" s="246" t="str">
        <f>if(OR($E73="",$D73=""),"",sumifs(All_Stats!H:H,All_Stats!D:D,D73,All_Stats!A:A,E73,All_Stats!B:B,"Overall"))</f>
        <v/>
      </c>
      <c r="N73" s="246" t="str">
        <f t="shared" si="10"/>
        <v/>
      </c>
      <c r="O73" s="276"/>
      <c r="P73" s="277"/>
      <c r="Q73" s="278"/>
      <c r="R73" s="250"/>
      <c r="S73" s="246">
        <f>SUMIFS(All_Stats!K:K,All_Stats!D:D,D73,All_Stats!A:A,E73,All_Stats!B:B,"Overall")</f>
        <v>0</v>
      </c>
      <c r="T73" s="251">
        <f>SUMIFS(All_Stats!L:L,All_Stats!D:D,D73,All_Stats!A:A,E73,All_Stats!B:B,"Overall")</f>
        <v>0</v>
      </c>
      <c r="U73" s="246" t="str">
        <f>if(OR($E73="",$D73="",COUNTIFS(DailyDelivery!$A:$A,$E73,DailyDelivery!$B:$B,$D73,DailyDelivery!$C:$C,U$1)=0),"",COUNTIFS(DailyDelivery!$A:$A,$E73,DailyDelivery!$B:$B,$D73,DailyDelivery!$C:$C,U$1))</f>
        <v/>
      </c>
      <c r="V73" s="246" t="str">
        <f>if(OR($E73="",$D73="",COUNTIFS(DailyDelivery!$A:$A,$E73,DailyDelivery!$B:$B,$D73,DailyDelivery!$C:$C,V$1)=0),"",COUNTIFS(DailyDelivery!$A:$A,$E73,DailyDelivery!$B:$B,$D73,DailyDelivery!$C:$C,V$1))</f>
        <v/>
      </c>
      <c r="W73" s="246" t="str">
        <f>if(OR($E73="",$D73="",COUNTIFS(DailyDelivery!$A:$A,$E73,DailyDelivery!$B:$B,$D73,DailyDelivery!$C:$C,W$1)=0),"",COUNTIFS(DailyDelivery!$A:$A,$E73,DailyDelivery!$B:$B,$D73,DailyDelivery!$C:$C,W$1))</f>
        <v/>
      </c>
      <c r="X73" s="246" t="str">
        <f>if(OR($E73="",$D73="",COUNTIFS(DailyDelivery!$A:$A,$E73,DailyDelivery!$B:$B,$D73,DailyDelivery!$C:$C,X$1)=0),"",COUNTIFS(DailyDelivery!$A:$A,$E73,DailyDelivery!$B:$B,$D73,DailyDelivery!$C:$C,X$1))</f>
        <v/>
      </c>
      <c r="Y73" s="246" t="str">
        <f>if(OR($E73="",$D73="",COUNTIFS(DailyDelivery!$A:$A,$E73,DailyDelivery!$B:$B,$D73,DailyDelivery!$C:$C,Y$1)=0),"",COUNTIFS(DailyDelivery!$A:$A,$E73,DailyDelivery!$B:$B,$D73,DailyDelivery!$C:$C,Y$1))</f>
        <v/>
      </c>
      <c r="Z73" s="246" t="str">
        <f>if(OR($E73="",$D73="",COUNTIFS(DailyDelivery!$A:$A,$E73,DailyDelivery!$B:$B,$D73,DailyDelivery!$C:$C,Z$1)=0),"",COUNTIFS(DailyDelivery!$A:$A,$E73,DailyDelivery!$B:$B,$D73,DailyDelivery!$C:$C,Z$1))</f>
        <v/>
      </c>
      <c r="AA73" s="246" t="str">
        <f>if(OR($E73="",$D73="",COUNTIFS(DailyDelivery!$A:$A,$E73,DailyDelivery!$B:$B,$D73,DailyDelivery!$C:$C,AA$1)=0),"",COUNTIFS(DailyDelivery!$A:$A,$E73,DailyDelivery!$B:$B,$D73,DailyDelivery!$C:$C,AA$1))</f>
        <v/>
      </c>
      <c r="AB73" s="246" t="str">
        <f>if(OR($E73="",$D73="",COUNTIFS(DailyDelivery!$A:$A,$E73,DailyDelivery!$B:$B,$D73,DailyDelivery!$C:$C,AB$1)=0),"",COUNTIFS(DailyDelivery!$A:$A,$E73,DailyDelivery!$B:$B,$D73,DailyDelivery!$C:$C,AB$1))</f>
        <v/>
      </c>
      <c r="AC73" s="246" t="str">
        <f>if(OR($E73="",$D73="",COUNTIFS(DailyDelivery!$A:$A,$E73,DailyDelivery!$B:$B,$D73,DailyDelivery!$C:$C,AC$1)=0),"",COUNTIFS(DailyDelivery!$A:$A,$E73,DailyDelivery!$B:$B,$D73,DailyDelivery!$C:$C,AC$1))</f>
        <v/>
      </c>
      <c r="AD73" s="246" t="str">
        <f>if(OR($E73="",$D73="",COUNTIFS(DailyDelivery!$A:$A,$E73,DailyDelivery!$B:$B,$D73,DailyDelivery!$C:$C,AD$1)=0),"",COUNTIFS(DailyDelivery!$A:$A,$E73,DailyDelivery!$B:$B,$D73,DailyDelivery!$C:$C,AD$1))</f>
        <v/>
      </c>
      <c r="AE73" s="246" t="str">
        <f>if(OR($E73="",$D73="",COUNTIFS(DailyDelivery!$A:$A,$E73,DailyDelivery!$B:$B,$D73,DailyDelivery!$C:$C,AE$1)=0),"",COUNTIFS(DailyDelivery!$A:$A,$E73,DailyDelivery!$B:$B,$D73,DailyDelivery!$C:$C,AE$1))</f>
        <v/>
      </c>
      <c r="AF73" s="246" t="str">
        <f>if(OR($E73="",$D73="",COUNTIFS(DailyDelivery!$A:$A,$E73,DailyDelivery!$B:$B,$D73,DailyDelivery!$C:$C,AF$1)=0),"",COUNTIFS(DailyDelivery!$A:$A,$E73,DailyDelivery!$B:$B,$D73,DailyDelivery!$C:$C,AF$1))</f>
        <v/>
      </c>
      <c r="AG73" s="246" t="str">
        <f>if(OR($E73="",$D73="",COUNTIFS(DailyDelivery!$A:$A,$E73,DailyDelivery!$B:$B,$D73,DailyDelivery!$C:$C,AG$1)=0),"",COUNTIFS(DailyDelivery!$A:$A,$E73,DailyDelivery!$B:$B,$D73,DailyDelivery!$C:$C,AG$1))</f>
        <v/>
      </c>
      <c r="AH73" s="246" t="str">
        <f>if(OR($E73="",$D73="",COUNTIFS(DailyDelivery!$A:$A,$E73,DailyDelivery!$B:$B,$D73,DailyDelivery!$C:$C,AH$1)=0),"",COUNTIFS(DailyDelivery!$A:$A,$E73,DailyDelivery!$B:$B,$D73,DailyDelivery!$C:$C,AH$1))</f>
        <v/>
      </c>
    </row>
    <row r="74">
      <c r="A74" s="272"/>
      <c r="B74" s="273"/>
      <c r="C74" s="240"/>
      <c r="D74" s="274"/>
      <c r="E74" s="274"/>
      <c r="F74" s="242" t="str">
        <f t="shared" si="6"/>
        <v/>
      </c>
      <c r="G74" s="243" t="str">
        <f t="shared" si="7"/>
        <v/>
      </c>
      <c r="H74" s="242" t="str">
        <f t="shared" si="8"/>
        <v/>
      </c>
      <c r="I74" s="243" t="str">
        <f t="shared" si="9"/>
        <v/>
      </c>
      <c r="J74" s="244" t="str">
        <f>if(OR($E74="",$D74=""),"",sumifs(All_Stats!F:F,All_Stats!D:D,D74,All_Stats!A:A,E74,All_Stats!B:B,"Overall"))</f>
        <v/>
      </c>
      <c r="K74" s="275"/>
      <c r="L74" s="246" t="str">
        <f>if(OR($E74="",$D74=""),"",sumifs(All_Stats!G:G,All_Stats!D:D,D74,All_Stats!A:A,E74,All_Stats!B:B,"Overall"))</f>
        <v/>
      </c>
      <c r="M74" s="246" t="str">
        <f>if(OR($E74="",$D74=""),"",sumifs(All_Stats!H:H,All_Stats!D:D,D74,All_Stats!A:A,E74,All_Stats!B:B,"Overall"))</f>
        <v/>
      </c>
      <c r="N74" s="246" t="str">
        <f t="shared" si="10"/>
        <v/>
      </c>
      <c r="O74" s="276"/>
      <c r="P74" s="277"/>
      <c r="Q74" s="278"/>
      <c r="R74" s="250"/>
      <c r="S74" s="246">
        <f>SUMIFS(All_Stats!K:K,All_Stats!D:D,D74,All_Stats!A:A,E74,All_Stats!B:B,"Overall")</f>
        <v>0</v>
      </c>
      <c r="T74" s="251">
        <f>SUMIFS(All_Stats!L:L,All_Stats!D:D,D74,All_Stats!A:A,E74,All_Stats!B:B,"Overall")</f>
        <v>0</v>
      </c>
      <c r="U74" s="246" t="str">
        <f>if(OR($E74="",$D74="",COUNTIFS(DailyDelivery!$A:$A,$E74,DailyDelivery!$B:$B,$D74,DailyDelivery!$C:$C,U$1)=0),"",COUNTIFS(DailyDelivery!$A:$A,$E74,DailyDelivery!$B:$B,$D74,DailyDelivery!$C:$C,U$1))</f>
        <v/>
      </c>
      <c r="V74" s="246" t="str">
        <f>if(OR($E74="",$D74="",COUNTIFS(DailyDelivery!$A:$A,$E74,DailyDelivery!$B:$B,$D74,DailyDelivery!$C:$C,V$1)=0),"",COUNTIFS(DailyDelivery!$A:$A,$E74,DailyDelivery!$B:$B,$D74,DailyDelivery!$C:$C,V$1))</f>
        <v/>
      </c>
      <c r="W74" s="246" t="str">
        <f>if(OR($E74="",$D74="",COUNTIFS(DailyDelivery!$A:$A,$E74,DailyDelivery!$B:$B,$D74,DailyDelivery!$C:$C,W$1)=0),"",COUNTIFS(DailyDelivery!$A:$A,$E74,DailyDelivery!$B:$B,$D74,DailyDelivery!$C:$C,W$1))</f>
        <v/>
      </c>
      <c r="X74" s="246" t="str">
        <f>if(OR($E74="",$D74="",COUNTIFS(DailyDelivery!$A:$A,$E74,DailyDelivery!$B:$B,$D74,DailyDelivery!$C:$C,X$1)=0),"",COUNTIFS(DailyDelivery!$A:$A,$E74,DailyDelivery!$B:$B,$D74,DailyDelivery!$C:$C,X$1))</f>
        <v/>
      </c>
      <c r="Y74" s="246" t="str">
        <f>if(OR($E74="",$D74="",COUNTIFS(DailyDelivery!$A:$A,$E74,DailyDelivery!$B:$B,$D74,DailyDelivery!$C:$C,Y$1)=0),"",COUNTIFS(DailyDelivery!$A:$A,$E74,DailyDelivery!$B:$B,$D74,DailyDelivery!$C:$C,Y$1))</f>
        <v/>
      </c>
      <c r="Z74" s="246" t="str">
        <f>if(OR($E74="",$D74="",COUNTIFS(DailyDelivery!$A:$A,$E74,DailyDelivery!$B:$B,$D74,DailyDelivery!$C:$C,Z$1)=0),"",COUNTIFS(DailyDelivery!$A:$A,$E74,DailyDelivery!$B:$B,$D74,DailyDelivery!$C:$C,Z$1))</f>
        <v/>
      </c>
      <c r="AA74" s="246" t="str">
        <f>if(OR($E74="",$D74="",COUNTIFS(DailyDelivery!$A:$A,$E74,DailyDelivery!$B:$B,$D74,DailyDelivery!$C:$C,AA$1)=0),"",COUNTIFS(DailyDelivery!$A:$A,$E74,DailyDelivery!$B:$B,$D74,DailyDelivery!$C:$C,AA$1))</f>
        <v/>
      </c>
      <c r="AB74" s="246" t="str">
        <f>if(OR($E74="",$D74="",COUNTIFS(DailyDelivery!$A:$A,$E74,DailyDelivery!$B:$B,$D74,DailyDelivery!$C:$C,AB$1)=0),"",COUNTIFS(DailyDelivery!$A:$A,$E74,DailyDelivery!$B:$B,$D74,DailyDelivery!$C:$C,AB$1))</f>
        <v/>
      </c>
      <c r="AC74" s="246" t="str">
        <f>if(OR($E74="",$D74="",COUNTIFS(DailyDelivery!$A:$A,$E74,DailyDelivery!$B:$B,$D74,DailyDelivery!$C:$C,AC$1)=0),"",COUNTIFS(DailyDelivery!$A:$A,$E74,DailyDelivery!$B:$B,$D74,DailyDelivery!$C:$C,AC$1))</f>
        <v/>
      </c>
      <c r="AD74" s="246" t="str">
        <f>if(OR($E74="",$D74="",COUNTIFS(DailyDelivery!$A:$A,$E74,DailyDelivery!$B:$B,$D74,DailyDelivery!$C:$C,AD$1)=0),"",COUNTIFS(DailyDelivery!$A:$A,$E74,DailyDelivery!$B:$B,$D74,DailyDelivery!$C:$C,AD$1))</f>
        <v/>
      </c>
      <c r="AE74" s="246" t="str">
        <f>if(OR($E74="",$D74="",COUNTIFS(DailyDelivery!$A:$A,$E74,DailyDelivery!$B:$B,$D74,DailyDelivery!$C:$C,AE$1)=0),"",COUNTIFS(DailyDelivery!$A:$A,$E74,DailyDelivery!$B:$B,$D74,DailyDelivery!$C:$C,AE$1))</f>
        <v/>
      </c>
      <c r="AF74" s="246" t="str">
        <f>if(OR($E74="",$D74="",COUNTIFS(DailyDelivery!$A:$A,$E74,DailyDelivery!$B:$B,$D74,DailyDelivery!$C:$C,AF$1)=0),"",COUNTIFS(DailyDelivery!$A:$A,$E74,DailyDelivery!$B:$B,$D74,DailyDelivery!$C:$C,AF$1))</f>
        <v/>
      </c>
      <c r="AG74" s="246" t="str">
        <f>if(OR($E74="",$D74="",COUNTIFS(DailyDelivery!$A:$A,$E74,DailyDelivery!$B:$B,$D74,DailyDelivery!$C:$C,AG$1)=0),"",COUNTIFS(DailyDelivery!$A:$A,$E74,DailyDelivery!$B:$B,$D74,DailyDelivery!$C:$C,AG$1))</f>
        <v/>
      </c>
      <c r="AH74" s="246" t="str">
        <f>if(OR($E74="",$D74="",COUNTIFS(DailyDelivery!$A:$A,$E74,DailyDelivery!$B:$B,$D74,DailyDelivery!$C:$C,AH$1)=0),"",COUNTIFS(DailyDelivery!$A:$A,$E74,DailyDelivery!$B:$B,$D74,DailyDelivery!$C:$C,AH$1))</f>
        <v/>
      </c>
    </row>
    <row r="75">
      <c r="A75" s="272"/>
      <c r="B75" s="273"/>
      <c r="C75" s="240"/>
      <c r="D75" s="274"/>
      <c r="E75" s="274"/>
      <c r="F75" s="242" t="str">
        <f t="shared" si="6"/>
        <v/>
      </c>
      <c r="G75" s="243" t="str">
        <f t="shared" si="7"/>
        <v/>
      </c>
      <c r="H75" s="242" t="str">
        <f t="shared" si="8"/>
        <v/>
      </c>
      <c r="I75" s="243" t="str">
        <f t="shared" si="9"/>
        <v/>
      </c>
      <c r="J75" s="244" t="str">
        <f>if(OR($E75="",$D75=""),"",sumifs(All_Stats!F:F,All_Stats!D:D,D75,All_Stats!A:A,E75,All_Stats!B:B,"Overall"))</f>
        <v/>
      </c>
      <c r="K75" s="275"/>
      <c r="L75" s="246" t="str">
        <f>if(OR($E75="",$D75=""),"",sumifs(All_Stats!G:G,All_Stats!D:D,D75,All_Stats!A:A,E75,All_Stats!B:B,"Overall"))</f>
        <v/>
      </c>
      <c r="M75" s="246" t="str">
        <f>if(OR($E75="",$D75=""),"",sumifs(All_Stats!H:H,All_Stats!D:D,D75,All_Stats!A:A,E75,All_Stats!B:B,"Overall"))</f>
        <v/>
      </c>
      <c r="N75" s="246" t="str">
        <f t="shared" si="10"/>
        <v/>
      </c>
      <c r="O75" s="276"/>
      <c r="P75" s="277"/>
      <c r="Q75" s="278"/>
      <c r="R75" s="250"/>
      <c r="S75" s="246">
        <f>SUMIFS(All_Stats!K:K,All_Stats!D:D,D75,All_Stats!A:A,E75,All_Stats!B:B,"Overall")</f>
        <v>0</v>
      </c>
      <c r="T75" s="251">
        <f>SUMIFS(All_Stats!L:L,All_Stats!D:D,D75,All_Stats!A:A,E75,All_Stats!B:B,"Overall")</f>
        <v>0</v>
      </c>
      <c r="U75" s="246" t="str">
        <f>if(OR($E75="",$D75="",COUNTIFS(DailyDelivery!$A:$A,$E75,DailyDelivery!$B:$B,$D75,DailyDelivery!$C:$C,U$1)=0),"",COUNTIFS(DailyDelivery!$A:$A,$E75,DailyDelivery!$B:$B,$D75,DailyDelivery!$C:$C,U$1))</f>
        <v/>
      </c>
      <c r="V75" s="246" t="str">
        <f>if(OR($E75="",$D75="",COUNTIFS(DailyDelivery!$A:$A,$E75,DailyDelivery!$B:$B,$D75,DailyDelivery!$C:$C,V$1)=0),"",COUNTIFS(DailyDelivery!$A:$A,$E75,DailyDelivery!$B:$B,$D75,DailyDelivery!$C:$C,V$1))</f>
        <v/>
      </c>
      <c r="W75" s="246" t="str">
        <f>if(OR($E75="",$D75="",COUNTIFS(DailyDelivery!$A:$A,$E75,DailyDelivery!$B:$B,$D75,DailyDelivery!$C:$C,W$1)=0),"",COUNTIFS(DailyDelivery!$A:$A,$E75,DailyDelivery!$B:$B,$D75,DailyDelivery!$C:$C,W$1))</f>
        <v/>
      </c>
      <c r="X75" s="246" t="str">
        <f>if(OR($E75="",$D75="",COUNTIFS(DailyDelivery!$A:$A,$E75,DailyDelivery!$B:$B,$D75,DailyDelivery!$C:$C,X$1)=0),"",COUNTIFS(DailyDelivery!$A:$A,$E75,DailyDelivery!$B:$B,$D75,DailyDelivery!$C:$C,X$1))</f>
        <v/>
      </c>
      <c r="Y75" s="246" t="str">
        <f>if(OR($E75="",$D75="",COUNTIFS(DailyDelivery!$A:$A,$E75,DailyDelivery!$B:$B,$D75,DailyDelivery!$C:$C,Y$1)=0),"",COUNTIFS(DailyDelivery!$A:$A,$E75,DailyDelivery!$B:$B,$D75,DailyDelivery!$C:$C,Y$1))</f>
        <v/>
      </c>
      <c r="Z75" s="246" t="str">
        <f>if(OR($E75="",$D75="",COUNTIFS(DailyDelivery!$A:$A,$E75,DailyDelivery!$B:$B,$D75,DailyDelivery!$C:$C,Z$1)=0),"",COUNTIFS(DailyDelivery!$A:$A,$E75,DailyDelivery!$B:$B,$D75,DailyDelivery!$C:$C,Z$1))</f>
        <v/>
      </c>
      <c r="AA75" s="246" t="str">
        <f>if(OR($E75="",$D75="",COUNTIFS(DailyDelivery!$A:$A,$E75,DailyDelivery!$B:$B,$D75,DailyDelivery!$C:$C,AA$1)=0),"",COUNTIFS(DailyDelivery!$A:$A,$E75,DailyDelivery!$B:$B,$D75,DailyDelivery!$C:$C,AA$1))</f>
        <v/>
      </c>
      <c r="AB75" s="246" t="str">
        <f>if(OR($E75="",$D75="",COUNTIFS(DailyDelivery!$A:$A,$E75,DailyDelivery!$B:$B,$D75,DailyDelivery!$C:$C,AB$1)=0),"",COUNTIFS(DailyDelivery!$A:$A,$E75,DailyDelivery!$B:$B,$D75,DailyDelivery!$C:$C,AB$1))</f>
        <v/>
      </c>
      <c r="AC75" s="246" t="str">
        <f>if(OR($E75="",$D75="",COUNTIFS(DailyDelivery!$A:$A,$E75,DailyDelivery!$B:$B,$D75,DailyDelivery!$C:$C,AC$1)=0),"",COUNTIFS(DailyDelivery!$A:$A,$E75,DailyDelivery!$B:$B,$D75,DailyDelivery!$C:$C,AC$1))</f>
        <v/>
      </c>
      <c r="AD75" s="246" t="str">
        <f>if(OR($E75="",$D75="",COUNTIFS(DailyDelivery!$A:$A,$E75,DailyDelivery!$B:$B,$D75,DailyDelivery!$C:$C,AD$1)=0),"",COUNTIFS(DailyDelivery!$A:$A,$E75,DailyDelivery!$B:$B,$D75,DailyDelivery!$C:$C,AD$1))</f>
        <v/>
      </c>
      <c r="AE75" s="246" t="str">
        <f>if(OR($E75="",$D75="",COUNTIFS(DailyDelivery!$A:$A,$E75,DailyDelivery!$B:$B,$D75,DailyDelivery!$C:$C,AE$1)=0),"",COUNTIFS(DailyDelivery!$A:$A,$E75,DailyDelivery!$B:$B,$D75,DailyDelivery!$C:$C,AE$1))</f>
        <v/>
      </c>
      <c r="AF75" s="246" t="str">
        <f>if(OR($E75="",$D75="",COUNTIFS(DailyDelivery!$A:$A,$E75,DailyDelivery!$B:$B,$D75,DailyDelivery!$C:$C,AF$1)=0),"",COUNTIFS(DailyDelivery!$A:$A,$E75,DailyDelivery!$B:$B,$D75,DailyDelivery!$C:$C,AF$1))</f>
        <v/>
      </c>
      <c r="AG75" s="246" t="str">
        <f>if(OR($E75="",$D75="",COUNTIFS(DailyDelivery!$A:$A,$E75,DailyDelivery!$B:$B,$D75,DailyDelivery!$C:$C,AG$1)=0),"",COUNTIFS(DailyDelivery!$A:$A,$E75,DailyDelivery!$B:$B,$D75,DailyDelivery!$C:$C,AG$1))</f>
        <v/>
      </c>
      <c r="AH75" s="246" t="str">
        <f>if(OR($E75="",$D75="",COUNTIFS(DailyDelivery!$A:$A,$E75,DailyDelivery!$B:$B,$D75,DailyDelivery!$C:$C,AH$1)=0),"",COUNTIFS(DailyDelivery!$A:$A,$E75,DailyDelivery!$B:$B,$D75,DailyDelivery!$C:$C,AH$1))</f>
        <v/>
      </c>
    </row>
    <row r="76">
      <c r="A76" s="272"/>
      <c r="B76" s="273"/>
      <c r="C76" s="240"/>
      <c r="D76" s="274"/>
      <c r="E76" s="274"/>
      <c r="F76" s="242" t="str">
        <f t="shared" si="6"/>
        <v/>
      </c>
      <c r="G76" s="243" t="str">
        <f t="shared" si="7"/>
        <v/>
      </c>
      <c r="H76" s="242" t="str">
        <f t="shared" si="8"/>
        <v/>
      </c>
      <c r="I76" s="243" t="str">
        <f t="shared" si="9"/>
        <v/>
      </c>
      <c r="J76" s="244" t="str">
        <f>if(OR($E76="",$D76=""),"",sumifs(All_Stats!F:F,All_Stats!D:D,D76,All_Stats!A:A,E76,All_Stats!B:B,"Overall"))</f>
        <v/>
      </c>
      <c r="K76" s="275"/>
      <c r="L76" s="246" t="str">
        <f>if(OR($E76="",$D76=""),"",sumifs(All_Stats!G:G,All_Stats!D:D,D76,All_Stats!A:A,E76,All_Stats!B:B,"Overall"))</f>
        <v/>
      </c>
      <c r="M76" s="246" t="str">
        <f>if(OR($E76="",$D76=""),"",sumifs(All_Stats!H:H,All_Stats!D:D,D76,All_Stats!A:A,E76,All_Stats!B:B,"Overall"))</f>
        <v/>
      </c>
      <c r="N76" s="246" t="str">
        <f t="shared" si="10"/>
        <v/>
      </c>
      <c r="O76" s="276"/>
      <c r="P76" s="277"/>
      <c r="Q76" s="278"/>
      <c r="R76" s="250"/>
      <c r="S76" s="246">
        <f>SUMIFS(All_Stats!K:K,All_Stats!D:D,D76,All_Stats!A:A,E76,All_Stats!B:B,"Overall")</f>
        <v>0</v>
      </c>
      <c r="T76" s="251">
        <f>SUMIFS(All_Stats!L:L,All_Stats!D:D,D76,All_Stats!A:A,E76,All_Stats!B:B,"Overall")</f>
        <v>0</v>
      </c>
      <c r="U76" s="246" t="str">
        <f>if(OR($E76="",$D76="",COUNTIFS(DailyDelivery!$A:$A,$E76,DailyDelivery!$B:$B,$D76,DailyDelivery!$C:$C,U$1)=0),"",COUNTIFS(DailyDelivery!$A:$A,$E76,DailyDelivery!$B:$B,$D76,DailyDelivery!$C:$C,U$1))</f>
        <v/>
      </c>
      <c r="V76" s="246" t="str">
        <f>if(OR($E76="",$D76="",COUNTIFS(DailyDelivery!$A:$A,$E76,DailyDelivery!$B:$B,$D76,DailyDelivery!$C:$C,V$1)=0),"",COUNTIFS(DailyDelivery!$A:$A,$E76,DailyDelivery!$B:$B,$D76,DailyDelivery!$C:$C,V$1))</f>
        <v/>
      </c>
      <c r="W76" s="246" t="str">
        <f>if(OR($E76="",$D76="",COUNTIFS(DailyDelivery!$A:$A,$E76,DailyDelivery!$B:$B,$D76,DailyDelivery!$C:$C,W$1)=0),"",COUNTIFS(DailyDelivery!$A:$A,$E76,DailyDelivery!$B:$B,$D76,DailyDelivery!$C:$C,W$1))</f>
        <v/>
      </c>
      <c r="X76" s="246" t="str">
        <f>if(OR($E76="",$D76="",COUNTIFS(DailyDelivery!$A:$A,$E76,DailyDelivery!$B:$B,$D76,DailyDelivery!$C:$C,X$1)=0),"",COUNTIFS(DailyDelivery!$A:$A,$E76,DailyDelivery!$B:$B,$D76,DailyDelivery!$C:$C,X$1))</f>
        <v/>
      </c>
      <c r="Y76" s="246" t="str">
        <f>if(OR($E76="",$D76="",COUNTIFS(DailyDelivery!$A:$A,$E76,DailyDelivery!$B:$B,$D76,DailyDelivery!$C:$C,Y$1)=0),"",COUNTIFS(DailyDelivery!$A:$A,$E76,DailyDelivery!$B:$B,$D76,DailyDelivery!$C:$C,Y$1))</f>
        <v/>
      </c>
      <c r="Z76" s="246" t="str">
        <f>if(OR($E76="",$D76="",COUNTIFS(DailyDelivery!$A:$A,$E76,DailyDelivery!$B:$B,$D76,DailyDelivery!$C:$C,Z$1)=0),"",COUNTIFS(DailyDelivery!$A:$A,$E76,DailyDelivery!$B:$B,$D76,DailyDelivery!$C:$C,Z$1))</f>
        <v/>
      </c>
      <c r="AA76" s="246" t="str">
        <f>if(OR($E76="",$D76="",COUNTIFS(DailyDelivery!$A:$A,$E76,DailyDelivery!$B:$B,$D76,DailyDelivery!$C:$C,AA$1)=0),"",COUNTIFS(DailyDelivery!$A:$A,$E76,DailyDelivery!$B:$B,$D76,DailyDelivery!$C:$C,AA$1))</f>
        <v/>
      </c>
      <c r="AB76" s="246" t="str">
        <f>if(OR($E76="",$D76="",COUNTIFS(DailyDelivery!$A:$A,$E76,DailyDelivery!$B:$B,$D76,DailyDelivery!$C:$C,AB$1)=0),"",COUNTIFS(DailyDelivery!$A:$A,$E76,DailyDelivery!$B:$B,$D76,DailyDelivery!$C:$C,AB$1))</f>
        <v/>
      </c>
      <c r="AC76" s="246" t="str">
        <f>if(OR($E76="",$D76="",COUNTIFS(DailyDelivery!$A:$A,$E76,DailyDelivery!$B:$B,$D76,DailyDelivery!$C:$C,AC$1)=0),"",COUNTIFS(DailyDelivery!$A:$A,$E76,DailyDelivery!$B:$B,$D76,DailyDelivery!$C:$C,AC$1))</f>
        <v/>
      </c>
      <c r="AD76" s="246" t="str">
        <f>if(OR($E76="",$D76="",COUNTIFS(DailyDelivery!$A:$A,$E76,DailyDelivery!$B:$B,$D76,DailyDelivery!$C:$C,AD$1)=0),"",COUNTIFS(DailyDelivery!$A:$A,$E76,DailyDelivery!$B:$B,$D76,DailyDelivery!$C:$C,AD$1))</f>
        <v/>
      </c>
      <c r="AE76" s="246" t="str">
        <f>if(OR($E76="",$D76="",COUNTIFS(DailyDelivery!$A:$A,$E76,DailyDelivery!$B:$B,$D76,DailyDelivery!$C:$C,AE$1)=0),"",COUNTIFS(DailyDelivery!$A:$A,$E76,DailyDelivery!$B:$B,$D76,DailyDelivery!$C:$C,AE$1))</f>
        <v/>
      </c>
      <c r="AF76" s="246" t="str">
        <f>if(OR($E76="",$D76="",COUNTIFS(DailyDelivery!$A:$A,$E76,DailyDelivery!$B:$B,$D76,DailyDelivery!$C:$C,AF$1)=0),"",COUNTIFS(DailyDelivery!$A:$A,$E76,DailyDelivery!$B:$B,$D76,DailyDelivery!$C:$C,AF$1))</f>
        <v/>
      </c>
      <c r="AG76" s="246" t="str">
        <f>if(OR($E76="",$D76="",COUNTIFS(DailyDelivery!$A:$A,$E76,DailyDelivery!$B:$B,$D76,DailyDelivery!$C:$C,AG$1)=0),"",COUNTIFS(DailyDelivery!$A:$A,$E76,DailyDelivery!$B:$B,$D76,DailyDelivery!$C:$C,AG$1))</f>
        <v/>
      </c>
      <c r="AH76" s="246" t="str">
        <f>if(OR($E76="",$D76="",COUNTIFS(DailyDelivery!$A:$A,$E76,DailyDelivery!$B:$B,$D76,DailyDelivery!$C:$C,AH$1)=0),"",COUNTIFS(DailyDelivery!$A:$A,$E76,DailyDelivery!$B:$B,$D76,DailyDelivery!$C:$C,AH$1))</f>
        <v/>
      </c>
    </row>
    <row r="77">
      <c r="A77" s="272"/>
      <c r="B77" s="273"/>
      <c r="C77" s="240"/>
      <c r="D77" s="274"/>
      <c r="E77" s="274"/>
      <c r="F77" s="242" t="str">
        <f t="shared" si="6"/>
        <v/>
      </c>
      <c r="G77" s="243" t="str">
        <f t="shared" si="7"/>
        <v/>
      </c>
      <c r="H77" s="242" t="str">
        <f t="shared" si="8"/>
        <v/>
      </c>
      <c r="I77" s="243" t="str">
        <f t="shared" si="9"/>
        <v/>
      </c>
      <c r="J77" s="244" t="str">
        <f>if(OR($E77="",$D77=""),"",sumifs(All_Stats!F:F,All_Stats!D:D,D77,All_Stats!A:A,E77,All_Stats!B:B,"Overall"))</f>
        <v/>
      </c>
      <c r="K77" s="275"/>
      <c r="L77" s="246" t="str">
        <f>if(OR($E77="",$D77=""),"",sumifs(All_Stats!G:G,All_Stats!D:D,D77,All_Stats!A:A,E77,All_Stats!B:B,"Overall"))</f>
        <v/>
      </c>
      <c r="M77" s="246" t="str">
        <f>if(OR($E77="",$D77=""),"",sumifs(All_Stats!H:H,All_Stats!D:D,D77,All_Stats!A:A,E77,All_Stats!B:B,"Overall"))</f>
        <v/>
      </c>
      <c r="N77" s="246" t="str">
        <f t="shared" si="10"/>
        <v/>
      </c>
      <c r="O77" s="276"/>
      <c r="P77" s="277"/>
      <c r="Q77" s="278"/>
      <c r="R77" s="250"/>
      <c r="S77" s="246">
        <f>SUMIFS(All_Stats!K:K,All_Stats!D:D,D77,All_Stats!A:A,E77,All_Stats!B:B,"Overall")</f>
        <v>0</v>
      </c>
      <c r="T77" s="251">
        <f>SUMIFS(All_Stats!L:L,All_Stats!D:D,D77,All_Stats!A:A,E77,All_Stats!B:B,"Overall")</f>
        <v>0</v>
      </c>
      <c r="U77" s="246" t="str">
        <f>if(OR($E77="",$D77="",COUNTIFS(DailyDelivery!$A:$A,$E77,DailyDelivery!$B:$B,$D77,DailyDelivery!$C:$C,U$1)=0),"",COUNTIFS(DailyDelivery!$A:$A,$E77,DailyDelivery!$B:$B,$D77,DailyDelivery!$C:$C,U$1))</f>
        <v/>
      </c>
      <c r="V77" s="246" t="str">
        <f>if(OR($E77="",$D77="",COUNTIFS(DailyDelivery!$A:$A,$E77,DailyDelivery!$B:$B,$D77,DailyDelivery!$C:$C,V$1)=0),"",COUNTIFS(DailyDelivery!$A:$A,$E77,DailyDelivery!$B:$B,$D77,DailyDelivery!$C:$C,V$1))</f>
        <v/>
      </c>
      <c r="W77" s="246" t="str">
        <f>if(OR($E77="",$D77="",COUNTIFS(DailyDelivery!$A:$A,$E77,DailyDelivery!$B:$B,$D77,DailyDelivery!$C:$C,W$1)=0),"",COUNTIFS(DailyDelivery!$A:$A,$E77,DailyDelivery!$B:$B,$D77,DailyDelivery!$C:$C,W$1))</f>
        <v/>
      </c>
      <c r="X77" s="246" t="str">
        <f>if(OR($E77="",$D77="",COUNTIFS(DailyDelivery!$A:$A,$E77,DailyDelivery!$B:$B,$D77,DailyDelivery!$C:$C,X$1)=0),"",COUNTIFS(DailyDelivery!$A:$A,$E77,DailyDelivery!$B:$B,$D77,DailyDelivery!$C:$C,X$1))</f>
        <v/>
      </c>
      <c r="Y77" s="246" t="str">
        <f>if(OR($E77="",$D77="",COUNTIFS(DailyDelivery!$A:$A,$E77,DailyDelivery!$B:$B,$D77,DailyDelivery!$C:$C,Y$1)=0),"",COUNTIFS(DailyDelivery!$A:$A,$E77,DailyDelivery!$B:$B,$D77,DailyDelivery!$C:$C,Y$1))</f>
        <v/>
      </c>
      <c r="Z77" s="246" t="str">
        <f>if(OR($E77="",$D77="",COUNTIFS(DailyDelivery!$A:$A,$E77,DailyDelivery!$B:$B,$D77,DailyDelivery!$C:$C,Z$1)=0),"",COUNTIFS(DailyDelivery!$A:$A,$E77,DailyDelivery!$B:$B,$D77,DailyDelivery!$C:$C,Z$1))</f>
        <v/>
      </c>
      <c r="AA77" s="246" t="str">
        <f>if(OR($E77="",$D77="",COUNTIFS(DailyDelivery!$A:$A,$E77,DailyDelivery!$B:$B,$D77,DailyDelivery!$C:$C,AA$1)=0),"",COUNTIFS(DailyDelivery!$A:$A,$E77,DailyDelivery!$B:$B,$D77,DailyDelivery!$C:$C,AA$1))</f>
        <v/>
      </c>
      <c r="AB77" s="246" t="str">
        <f>if(OR($E77="",$D77="",COUNTIFS(DailyDelivery!$A:$A,$E77,DailyDelivery!$B:$B,$D77,DailyDelivery!$C:$C,AB$1)=0),"",COUNTIFS(DailyDelivery!$A:$A,$E77,DailyDelivery!$B:$B,$D77,DailyDelivery!$C:$C,AB$1))</f>
        <v/>
      </c>
      <c r="AC77" s="246" t="str">
        <f>if(OR($E77="",$D77="",COUNTIFS(DailyDelivery!$A:$A,$E77,DailyDelivery!$B:$B,$D77,DailyDelivery!$C:$C,AC$1)=0),"",COUNTIFS(DailyDelivery!$A:$A,$E77,DailyDelivery!$B:$B,$D77,DailyDelivery!$C:$C,AC$1))</f>
        <v/>
      </c>
      <c r="AD77" s="246" t="str">
        <f>if(OR($E77="",$D77="",COUNTIFS(DailyDelivery!$A:$A,$E77,DailyDelivery!$B:$B,$D77,DailyDelivery!$C:$C,AD$1)=0),"",COUNTIFS(DailyDelivery!$A:$A,$E77,DailyDelivery!$B:$B,$D77,DailyDelivery!$C:$C,AD$1))</f>
        <v/>
      </c>
      <c r="AE77" s="246" t="str">
        <f>if(OR($E77="",$D77="",COUNTIFS(DailyDelivery!$A:$A,$E77,DailyDelivery!$B:$B,$D77,DailyDelivery!$C:$C,AE$1)=0),"",COUNTIFS(DailyDelivery!$A:$A,$E77,DailyDelivery!$B:$B,$D77,DailyDelivery!$C:$C,AE$1))</f>
        <v/>
      </c>
      <c r="AF77" s="246" t="str">
        <f>if(OR($E77="",$D77="",COUNTIFS(DailyDelivery!$A:$A,$E77,DailyDelivery!$B:$B,$D77,DailyDelivery!$C:$C,AF$1)=0),"",COUNTIFS(DailyDelivery!$A:$A,$E77,DailyDelivery!$B:$B,$D77,DailyDelivery!$C:$C,AF$1))</f>
        <v/>
      </c>
      <c r="AG77" s="246" t="str">
        <f>if(OR($E77="",$D77="",COUNTIFS(DailyDelivery!$A:$A,$E77,DailyDelivery!$B:$B,$D77,DailyDelivery!$C:$C,AG$1)=0),"",COUNTIFS(DailyDelivery!$A:$A,$E77,DailyDelivery!$B:$B,$D77,DailyDelivery!$C:$C,AG$1))</f>
        <v/>
      </c>
      <c r="AH77" s="246" t="str">
        <f>if(OR($E77="",$D77="",COUNTIFS(DailyDelivery!$A:$A,$E77,DailyDelivery!$B:$B,$D77,DailyDelivery!$C:$C,AH$1)=0),"",COUNTIFS(DailyDelivery!$A:$A,$E77,DailyDelivery!$B:$B,$D77,DailyDelivery!$C:$C,AH$1))</f>
        <v/>
      </c>
    </row>
    <row r="78">
      <c r="A78" s="272"/>
      <c r="B78" s="273"/>
      <c r="C78" s="240"/>
      <c r="D78" s="274"/>
      <c r="E78" s="274"/>
      <c r="F78" s="242" t="str">
        <f t="shared" si="6"/>
        <v/>
      </c>
      <c r="G78" s="243" t="str">
        <f t="shared" si="7"/>
        <v/>
      </c>
      <c r="H78" s="242" t="str">
        <f t="shared" si="8"/>
        <v/>
      </c>
      <c r="I78" s="243" t="str">
        <f t="shared" si="9"/>
        <v/>
      </c>
      <c r="J78" s="244" t="str">
        <f>if(OR($E78="",$D78=""),"",sumifs(All_Stats!F:F,All_Stats!D:D,D78,All_Stats!A:A,E78,All_Stats!B:B,"Overall"))</f>
        <v/>
      </c>
      <c r="K78" s="275"/>
      <c r="L78" s="246" t="str">
        <f>if(OR($E78="",$D78=""),"",sumifs(All_Stats!G:G,All_Stats!D:D,D78,All_Stats!A:A,E78,All_Stats!B:B,"Overall"))</f>
        <v/>
      </c>
      <c r="M78" s="246" t="str">
        <f>if(OR($E78="",$D78=""),"",sumifs(All_Stats!H:H,All_Stats!D:D,D78,All_Stats!A:A,E78,All_Stats!B:B,"Overall"))</f>
        <v/>
      </c>
      <c r="N78" s="246" t="str">
        <f t="shared" si="10"/>
        <v/>
      </c>
      <c r="O78" s="276"/>
      <c r="P78" s="277"/>
      <c r="Q78" s="278"/>
      <c r="R78" s="250"/>
      <c r="S78" s="246">
        <f>SUMIFS(All_Stats!K:K,All_Stats!D:D,D78,All_Stats!A:A,E78,All_Stats!B:B,"Overall")</f>
        <v>0</v>
      </c>
      <c r="T78" s="251">
        <f>SUMIFS(All_Stats!L:L,All_Stats!D:D,D78,All_Stats!A:A,E78,All_Stats!B:B,"Overall")</f>
        <v>0</v>
      </c>
      <c r="U78" s="246" t="str">
        <f>if(OR($E78="",$D78="",COUNTIFS(DailyDelivery!$A:$A,$E78,DailyDelivery!$B:$B,$D78,DailyDelivery!$C:$C,U$1)=0),"",COUNTIFS(DailyDelivery!$A:$A,$E78,DailyDelivery!$B:$B,$D78,DailyDelivery!$C:$C,U$1))</f>
        <v/>
      </c>
      <c r="V78" s="246" t="str">
        <f>if(OR($E78="",$D78="",COUNTIFS(DailyDelivery!$A:$A,$E78,DailyDelivery!$B:$B,$D78,DailyDelivery!$C:$C,V$1)=0),"",COUNTIFS(DailyDelivery!$A:$A,$E78,DailyDelivery!$B:$B,$D78,DailyDelivery!$C:$C,V$1))</f>
        <v/>
      </c>
      <c r="W78" s="246" t="str">
        <f>if(OR($E78="",$D78="",COUNTIFS(DailyDelivery!$A:$A,$E78,DailyDelivery!$B:$B,$D78,DailyDelivery!$C:$C,W$1)=0),"",COUNTIFS(DailyDelivery!$A:$A,$E78,DailyDelivery!$B:$B,$D78,DailyDelivery!$C:$C,W$1))</f>
        <v/>
      </c>
      <c r="X78" s="246" t="str">
        <f>if(OR($E78="",$D78="",COUNTIFS(DailyDelivery!$A:$A,$E78,DailyDelivery!$B:$B,$D78,DailyDelivery!$C:$C,X$1)=0),"",COUNTIFS(DailyDelivery!$A:$A,$E78,DailyDelivery!$B:$B,$D78,DailyDelivery!$C:$C,X$1))</f>
        <v/>
      </c>
      <c r="Y78" s="246" t="str">
        <f>if(OR($E78="",$D78="",COUNTIFS(DailyDelivery!$A:$A,$E78,DailyDelivery!$B:$B,$D78,DailyDelivery!$C:$C,Y$1)=0),"",COUNTIFS(DailyDelivery!$A:$A,$E78,DailyDelivery!$B:$B,$D78,DailyDelivery!$C:$C,Y$1))</f>
        <v/>
      </c>
      <c r="Z78" s="246" t="str">
        <f>if(OR($E78="",$D78="",COUNTIFS(DailyDelivery!$A:$A,$E78,DailyDelivery!$B:$B,$D78,DailyDelivery!$C:$C,Z$1)=0),"",COUNTIFS(DailyDelivery!$A:$A,$E78,DailyDelivery!$B:$B,$D78,DailyDelivery!$C:$C,Z$1))</f>
        <v/>
      </c>
      <c r="AA78" s="246" t="str">
        <f>if(OR($E78="",$D78="",COUNTIFS(DailyDelivery!$A:$A,$E78,DailyDelivery!$B:$B,$D78,DailyDelivery!$C:$C,AA$1)=0),"",COUNTIFS(DailyDelivery!$A:$A,$E78,DailyDelivery!$B:$B,$D78,DailyDelivery!$C:$C,AA$1))</f>
        <v/>
      </c>
      <c r="AB78" s="246" t="str">
        <f>if(OR($E78="",$D78="",COUNTIFS(DailyDelivery!$A:$A,$E78,DailyDelivery!$B:$B,$D78,DailyDelivery!$C:$C,AB$1)=0),"",COUNTIFS(DailyDelivery!$A:$A,$E78,DailyDelivery!$B:$B,$D78,DailyDelivery!$C:$C,AB$1))</f>
        <v/>
      </c>
      <c r="AC78" s="246" t="str">
        <f>if(OR($E78="",$D78="",COUNTIFS(DailyDelivery!$A:$A,$E78,DailyDelivery!$B:$B,$D78,DailyDelivery!$C:$C,AC$1)=0),"",COUNTIFS(DailyDelivery!$A:$A,$E78,DailyDelivery!$B:$B,$D78,DailyDelivery!$C:$C,AC$1))</f>
        <v/>
      </c>
      <c r="AD78" s="246" t="str">
        <f>if(OR($E78="",$D78="",COUNTIFS(DailyDelivery!$A:$A,$E78,DailyDelivery!$B:$B,$D78,DailyDelivery!$C:$C,AD$1)=0),"",COUNTIFS(DailyDelivery!$A:$A,$E78,DailyDelivery!$B:$B,$D78,DailyDelivery!$C:$C,AD$1))</f>
        <v/>
      </c>
      <c r="AE78" s="246" t="str">
        <f>if(OR($E78="",$D78="",COUNTIFS(DailyDelivery!$A:$A,$E78,DailyDelivery!$B:$B,$D78,DailyDelivery!$C:$C,AE$1)=0),"",COUNTIFS(DailyDelivery!$A:$A,$E78,DailyDelivery!$B:$B,$D78,DailyDelivery!$C:$C,AE$1))</f>
        <v/>
      </c>
      <c r="AF78" s="246" t="str">
        <f>if(OR($E78="",$D78="",COUNTIFS(DailyDelivery!$A:$A,$E78,DailyDelivery!$B:$B,$D78,DailyDelivery!$C:$C,AF$1)=0),"",COUNTIFS(DailyDelivery!$A:$A,$E78,DailyDelivery!$B:$B,$D78,DailyDelivery!$C:$C,AF$1))</f>
        <v/>
      </c>
      <c r="AG78" s="246" t="str">
        <f>if(OR($E78="",$D78="",COUNTIFS(DailyDelivery!$A:$A,$E78,DailyDelivery!$B:$B,$D78,DailyDelivery!$C:$C,AG$1)=0),"",COUNTIFS(DailyDelivery!$A:$A,$E78,DailyDelivery!$B:$B,$D78,DailyDelivery!$C:$C,AG$1))</f>
        <v/>
      </c>
      <c r="AH78" s="246" t="str">
        <f>if(OR($E78="",$D78="",COUNTIFS(DailyDelivery!$A:$A,$E78,DailyDelivery!$B:$B,$D78,DailyDelivery!$C:$C,AH$1)=0),"",COUNTIFS(DailyDelivery!$A:$A,$E78,DailyDelivery!$B:$B,$D78,DailyDelivery!$C:$C,AH$1))</f>
        <v/>
      </c>
    </row>
    <row r="79">
      <c r="A79" s="272"/>
      <c r="B79" s="273"/>
      <c r="C79" s="240"/>
      <c r="D79" s="274"/>
      <c r="E79" s="274"/>
      <c r="F79" s="242" t="str">
        <f t="shared" si="6"/>
        <v/>
      </c>
      <c r="G79" s="243" t="str">
        <f t="shared" si="7"/>
        <v/>
      </c>
      <c r="H79" s="242" t="str">
        <f t="shared" si="8"/>
        <v/>
      </c>
      <c r="I79" s="243" t="str">
        <f t="shared" si="9"/>
        <v/>
      </c>
      <c r="J79" s="244" t="str">
        <f>if(OR($E79="",$D79=""),"",sumifs(All_Stats!F:F,All_Stats!D:D,D79,All_Stats!A:A,E79,All_Stats!B:B,"Overall"))</f>
        <v/>
      </c>
      <c r="K79" s="275"/>
      <c r="L79" s="246" t="str">
        <f>if(OR($E79="",$D79=""),"",sumifs(All_Stats!G:G,All_Stats!D:D,D79,All_Stats!A:A,E79,All_Stats!B:B,"Overall"))</f>
        <v/>
      </c>
      <c r="M79" s="246" t="str">
        <f>if(OR($E79="",$D79=""),"",sumifs(All_Stats!H:H,All_Stats!D:D,D79,All_Stats!A:A,E79,All_Stats!B:B,"Overall"))</f>
        <v/>
      </c>
      <c r="N79" s="246" t="str">
        <f t="shared" si="10"/>
        <v/>
      </c>
      <c r="O79" s="276"/>
      <c r="P79" s="277"/>
      <c r="Q79" s="278"/>
      <c r="R79" s="250"/>
      <c r="S79" s="246">
        <f>SUMIFS(All_Stats!K:K,All_Stats!D:D,D79,All_Stats!A:A,E79,All_Stats!B:B,"Overall")</f>
        <v>0</v>
      </c>
      <c r="T79" s="251">
        <f>SUMIFS(All_Stats!L:L,All_Stats!D:D,D79,All_Stats!A:A,E79,All_Stats!B:B,"Overall")</f>
        <v>0</v>
      </c>
      <c r="U79" s="246" t="str">
        <f>if(OR($E79="",$D79="",COUNTIFS(DailyDelivery!$A:$A,$E79,DailyDelivery!$B:$B,$D79,DailyDelivery!$C:$C,U$1)=0),"",COUNTIFS(DailyDelivery!$A:$A,$E79,DailyDelivery!$B:$B,$D79,DailyDelivery!$C:$C,U$1))</f>
        <v/>
      </c>
      <c r="V79" s="246" t="str">
        <f>if(OR($E79="",$D79="",COUNTIFS(DailyDelivery!$A:$A,$E79,DailyDelivery!$B:$B,$D79,DailyDelivery!$C:$C,V$1)=0),"",COUNTIFS(DailyDelivery!$A:$A,$E79,DailyDelivery!$B:$B,$D79,DailyDelivery!$C:$C,V$1))</f>
        <v/>
      </c>
      <c r="W79" s="246" t="str">
        <f>if(OR($E79="",$D79="",COUNTIFS(DailyDelivery!$A:$A,$E79,DailyDelivery!$B:$B,$D79,DailyDelivery!$C:$C,W$1)=0),"",COUNTIFS(DailyDelivery!$A:$A,$E79,DailyDelivery!$B:$B,$D79,DailyDelivery!$C:$C,W$1))</f>
        <v/>
      </c>
      <c r="X79" s="246" t="str">
        <f>if(OR($E79="",$D79="",COUNTIFS(DailyDelivery!$A:$A,$E79,DailyDelivery!$B:$B,$D79,DailyDelivery!$C:$C,X$1)=0),"",COUNTIFS(DailyDelivery!$A:$A,$E79,DailyDelivery!$B:$B,$D79,DailyDelivery!$C:$C,X$1))</f>
        <v/>
      </c>
      <c r="Y79" s="246" t="str">
        <f>if(OR($E79="",$D79="",COUNTIFS(DailyDelivery!$A:$A,$E79,DailyDelivery!$B:$B,$D79,DailyDelivery!$C:$C,Y$1)=0),"",COUNTIFS(DailyDelivery!$A:$A,$E79,DailyDelivery!$B:$B,$D79,DailyDelivery!$C:$C,Y$1))</f>
        <v/>
      </c>
      <c r="Z79" s="246" t="str">
        <f>if(OR($E79="",$D79="",COUNTIFS(DailyDelivery!$A:$A,$E79,DailyDelivery!$B:$B,$D79,DailyDelivery!$C:$C,Z$1)=0),"",COUNTIFS(DailyDelivery!$A:$A,$E79,DailyDelivery!$B:$B,$D79,DailyDelivery!$C:$C,Z$1))</f>
        <v/>
      </c>
      <c r="AA79" s="246" t="str">
        <f>if(OR($E79="",$D79="",COUNTIFS(DailyDelivery!$A:$A,$E79,DailyDelivery!$B:$B,$D79,DailyDelivery!$C:$C,AA$1)=0),"",COUNTIFS(DailyDelivery!$A:$A,$E79,DailyDelivery!$B:$B,$D79,DailyDelivery!$C:$C,AA$1))</f>
        <v/>
      </c>
      <c r="AB79" s="246" t="str">
        <f>if(OR($E79="",$D79="",COUNTIFS(DailyDelivery!$A:$A,$E79,DailyDelivery!$B:$B,$D79,DailyDelivery!$C:$C,AB$1)=0),"",COUNTIFS(DailyDelivery!$A:$A,$E79,DailyDelivery!$B:$B,$D79,DailyDelivery!$C:$C,AB$1))</f>
        <v/>
      </c>
      <c r="AC79" s="246" t="str">
        <f>if(OR($E79="",$D79="",COUNTIFS(DailyDelivery!$A:$A,$E79,DailyDelivery!$B:$B,$D79,DailyDelivery!$C:$C,AC$1)=0),"",COUNTIFS(DailyDelivery!$A:$A,$E79,DailyDelivery!$B:$B,$D79,DailyDelivery!$C:$C,AC$1))</f>
        <v/>
      </c>
      <c r="AD79" s="246" t="str">
        <f>if(OR($E79="",$D79="",COUNTIFS(DailyDelivery!$A:$A,$E79,DailyDelivery!$B:$B,$D79,DailyDelivery!$C:$C,AD$1)=0),"",COUNTIFS(DailyDelivery!$A:$A,$E79,DailyDelivery!$B:$B,$D79,DailyDelivery!$C:$C,AD$1))</f>
        <v/>
      </c>
      <c r="AE79" s="246" t="str">
        <f>if(OR($E79="",$D79="",COUNTIFS(DailyDelivery!$A:$A,$E79,DailyDelivery!$B:$B,$D79,DailyDelivery!$C:$C,AE$1)=0),"",COUNTIFS(DailyDelivery!$A:$A,$E79,DailyDelivery!$B:$B,$D79,DailyDelivery!$C:$C,AE$1))</f>
        <v/>
      </c>
      <c r="AF79" s="246" t="str">
        <f>if(OR($E79="",$D79="",COUNTIFS(DailyDelivery!$A:$A,$E79,DailyDelivery!$B:$B,$D79,DailyDelivery!$C:$C,AF$1)=0),"",COUNTIFS(DailyDelivery!$A:$A,$E79,DailyDelivery!$B:$B,$D79,DailyDelivery!$C:$C,AF$1))</f>
        <v/>
      </c>
      <c r="AG79" s="246" t="str">
        <f>if(OR($E79="",$D79="",COUNTIFS(DailyDelivery!$A:$A,$E79,DailyDelivery!$B:$B,$D79,DailyDelivery!$C:$C,AG$1)=0),"",COUNTIFS(DailyDelivery!$A:$A,$E79,DailyDelivery!$B:$B,$D79,DailyDelivery!$C:$C,AG$1))</f>
        <v/>
      </c>
      <c r="AH79" s="246" t="str">
        <f>if(OR($E79="",$D79="",COUNTIFS(DailyDelivery!$A:$A,$E79,DailyDelivery!$B:$B,$D79,DailyDelivery!$C:$C,AH$1)=0),"",COUNTIFS(DailyDelivery!$A:$A,$E79,DailyDelivery!$B:$B,$D79,DailyDelivery!$C:$C,AH$1))</f>
        <v/>
      </c>
    </row>
    <row r="80">
      <c r="A80" s="272"/>
      <c r="B80" s="273"/>
      <c r="C80" s="240"/>
      <c r="D80" s="274"/>
      <c r="E80" s="274"/>
      <c r="F80" s="242" t="str">
        <f t="shared" si="6"/>
        <v/>
      </c>
      <c r="G80" s="243" t="str">
        <f t="shared" si="7"/>
        <v/>
      </c>
      <c r="H80" s="242" t="str">
        <f t="shared" si="8"/>
        <v/>
      </c>
      <c r="I80" s="243" t="str">
        <f t="shared" si="9"/>
        <v/>
      </c>
      <c r="J80" s="244" t="str">
        <f>if(OR($E80="",$D80=""),"",sumifs(All_Stats!F:F,All_Stats!D:D,D80,All_Stats!A:A,E80,All_Stats!B:B,"Overall"))</f>
        <v/>
      </c>
      <c r="K80" s="275"/>
      <c r="L80" s="246" t="str">
        <f>if(OR($E80="",$D80=""),"",sumifs(All_Stats!G:G,All_Stats!D:D,D80,All_Stats!A:A,E80,All_Stats!B:B,"Overall"))</f>
        <v/>
      </c>
      <c r="M80" s="246" t="str">
        <f>if(OR($E80="",$D80=""),"",sumifs(All_Stats!H:H,All_Stats!D:D,D80,All_Stats!A:A,E80,All_Stats!B:B,"Overall"))</f>
        <v/>
      </c>
      <c r="N80" s="246" t="str">
        <f t="shared" si="10"/>
        <v/>
      </c>
      <c r="O80" s="276"/>
      <c r="P80" s="277"/>
      <c r="Q80" s="278"/>
      <c r="R80" s="250"/>
      <c r="S80" s="246">
        <f>SUMIFS(All_Stats!K:K,All_Stats!D:D,D80,All_Stats!A:A,E80,All_Stats!B:B,"Overall")</f>
        <v>0</v>
      </c>
      <c r="T80" s="251">
        <f>SUMIFS(All_Stats!L:L,All_Stats!D:D,D80,All_Stats!A:A,E80,All_Stats!B:B,"Overall")</f>
        <v>0</v>
      </c>
      <c r="U80" s="246" t="str">
        <f>if(OR($E80="",$D80="",COUNTIFS(DailyDelivery!$A:$A,$E80,DailyDelivery!$B:$B,$D80,DailyDelivery!$C:$C,U$1)=0),"",COUNTIFS(DailyDelivery!$A:$A,$E80,DailyDelivery!$B:$B,$D80,DailyDelivery!$C:$C,U$1))</f>
        <v/>
      </c>
      <c r="V80" s="246" t="str">
        <f>if(OR($E80="",$D80="",COUNTIFS(DailyDelivery!$A:$A,$E80,DailyDelivery!$B:$B,$D80,DailyDelivery!$C:$C,V$1)=0),"",COUNTIFS(DailyDelivery!$A:$A,$E80,DailyDelivery!$B:$B,$D80,DailyDelivery!$C:$C,V$1))</f>
        <v/>
      </c>
      <c r="W80" s="246" t="str">
        <f>if(OR($E80="",$D80="",COUNTIFS(DailyDelivery!$A:$A,$E80,DailyDelivery!$B:$B,$D80,DailyDelivery!$C:$C,W$1)=0),"",COUNTIFS(DailyDelivery!$A:$A,$E80,DailyDelivery!$B:$B,$D80,DailyDelivery!$C:$C,W$1))</f>
        <v/>
      </c>
      <c r="X80" s="246" t="str">
        <f>if(OR($E80="",$D80="",COUNTIFS(DailyDelivery!$A:$A,$E80,DailyDelivery!$B:$B,$D80,DailyDelivery!$C:$C,X$1)=0),"",COUNTIFS(DailyDelivery!$A:$A,$E80,DailyDelivery!$B:$B,$D80,DailyDelivery!$C:$C,X$1))</f>
        <v/>
      </c>
      <c r="Y80" s="246" t="str">
        <f>if(OR($E80="",$D80="",COUNTIFS(DailyDelivery!$A:$A,$E80,DailyDelivery!$B:$B,$D80,DailyDelivery!$C:$C,Y$1)=0),"",COUNTIFS(DailyDelivery!$A:$A,$E80,DailyDelivery!$B:$B,$D80,DailyDelivery!$C:$C,Y$1))</f>
        <v/>
      </c>
      <c r="Z80" s="246" t="str">
        <f>if(OR($E80="",$D80="",COUNTIFS(DailyDelivery!$A:$A,$E80,DailyDelivery!$B:$B,$D80,DailyDelivery!$C:$C,Z$1)=0),"",COUNTIFS(DailyDelivery!$A:$A,$E80,DailyDelivery!$B:$B,$D80,DailyDelivery!$C:$C,Z$1))</f>
        <v/>
      </c>
      <c r="AA80" s="246" t="str">
        <f>if(OR($E80="",$D80="",COUNTIFS(DailyDelivery!$A:$A,$E80,DailyDelivery!$B:$B,$D80,DailyDelivery!$C:$C,AA$1)=0),"",COUNTIFS(DailyDelivery!$A:$A,$E80,DailyDelivery!$B:$B,$D80,DailyDelivery!$C:$C,AA$1))</f>
        <v/>
      </c>
      <c r="AB80" s="246" t="str">
        <f>if(OR($E80="",$D80="",COUNTIFS(DailyDelivery!$A:$A,$E80,DailyDelivery!$B:$B,$D80,DailyDelivery!$C:$C,AB$1)=0),"",COUNTIFS(DailyDelivery!$A:$A,$E80,DailyDelivery!$B:$B,$D80,DailyDelivery!$C:$C,AB$1))</f>
        <v/>
      </c>
      <c r="AC80" s="246" t="str">
        <f>if(OR($E80="",$D80="",COUNTIFS(DailyDelivery!$A:$A,$E80,DailyDelivery!$B:$B,$D80,DailyDelivery!$C:$C,AC$1)=0),"",COUNTIFS(DailyDelivery!$A:$A,$E80,DailyDelivery!$B:$B,$D80,DailyDelivery!$C:$C,AC$1))</f>
        <v/>
      </c>
      <c r="AD80" s="246" t="str">
        <f>if(OR($E80="",$D80="",COUNTIFS(DailyDelivery!$A:$A,$E80,DailyDelivery!$B:$B,$D80,DailyDelivery!$C:$C,AD$1)=0),"",COUNTIFS(DailyDelivery!$A:$A,$E80,DailyDelivery!$B:$B,$D80,DailyDelivery!$C:$C,AD$1))</f>
        <v/>
      </c>
      <c r="AE80" s="246" t="str">
        <f>if(OR($E80="",$D80="",COUNTIFS(DailyDelivery!$A:$A,$E80,DailyDelivery!$B:$B,$D80,DailyDelivery!$C:$C,AE$1)=0),"",COUNTIFS(DailyDelivery!$A:$A,$E80,DailyDelivery!$B:$B,$D80,DailyDelivery!$C:$C,AE$1))</f>
        <v/>
      </c>
      <c r="AF80" s="246" t="str">
        <f>if(OR($E80="",$D80="",COUNTIFS(DailyDelivery!$A:$A,$E80,DailyDelivery!$B:$B,$D80,DailyDelivery!$C:$C,AF$1)=0),"",COUNTIFS(DailyDelivery!$A:$A,$E80,DailyDelivery!$B:$B,$D80,DailyDelivery!$C:$C,AF$1))</f>
        <v/>
      </c>
      <c r="AG80" s="246" t="str">
        <f>if(OR($E80="",$D80="",COUNTIFS(DailyDelivery!$A:$A,$E80,DailyDelivery!$B:$B,$D80,DailyDelivery!$C:$C,AG$1)=0),"",COUNTIFS(DailyDelivery!$A:$A,$E80,DailyDelivery!$B:$B,$D80,DailyDelivery!$C:$C,AG$1))</f>
        <v/>
      </c>
      <c r="AH80" s="246" t="str">
        <f>if(OR($E80="",$D80="",COUNTIFS(DailyDelivery!$A:$A,$E80,DailyDelivery!$B:$B,$D80,DailyDelivery!$C:$C,AH$1)=0),"",COUNTIFS(DailyDelivery!$A:$A,$E80,DailyDelivery!$B:$B,$D80,DailyDelivery!$C:$C,AH$1))</f>
        <v/>
      </c>
    </row>
    <row r="81">
      <c r="A81" s="272"/>
      <c r="B81" s="273"/>
      <c r="C81" s="240"/>
      <c r="D81" s="274"/>
      <c r="E81" s="274"/>
      <c r="F81" s="242" t="str">
        <f t="shared" si="6"/>
        <v/>
      </c>
      <c r="G81" s="243" t="str">
        <f t="shared" si="7"/>
        <v/>
      </c>
      <c r="H81" s="242" t="str">
        <f t="shared" si="8"/>
        <v/>
      </c>
      <c r="I81" s="243" t="str">
        <f t="shared" si="9"/>
        <v/>
      </c>
      <c r="J81" s="244" t="str">
        <f>if(OR($E81="",$D81=""),"",sumifs(All_Stats!F:F,All_Stats!D:D,D81,All_Stats!A:A,E81,All_Stats!B:B,"Overall"))</f>
        <v/>
      </c>
      <c r="K81" s="275"/>
      <c r="L81" s="246" t="str">
        <f>if(OR($E81="",$D81=""),"",sumifs(All_Stats!G:G,All_Stats!D:D,D81,All_Stats!A:A,E81,All_Stats!B:B,"Overall"))</f>
        <v/>
      </c>
      <c r="M81" s="246" t="str">
        <f>if(OR($E81="",$D81=""),"",sumifs(All_Stats!H:H,All_Stats!D:D,D81,All_Stats!A:A,E81,All_Stats!B:B,"Overall"))</f>
        <v/>
      </c>
      <c r="N81" s="246" t="str">
        <f t="shared" si="10"/>
        <v/>
      </c>
      <c r="O81" s="276"/>
      <c r="P81" s="277"/>
      <c r="Q81" s="278"/>
      <c r="R81" s="250"/>
      <c r="S81" s="246">
        <f>SUMIFS(All_Stats!K:K,All_Stats!D:D,D81,All_Stats!A:A,E81,All_Stats!B:B,"Overall")</f>
        <v>0</v>
      </c>
      <c r="T81" s="251">
        <f>SUMIFS(All_Stats!L:L,All_Stats!D:D,D81,All_Stats!A:A,E81,All_Stats!B:B,"Overall")</f>
        <v>0</v>
      </c>
      <c r="U81" s="246" t="str">
        <f>if(OR($E81="",$D81="",COUNTIFS(DailyDelivery!$A:$A,$E81,DailyDelivery!$B:$B,$D81,DailyDelivery!$C:$C,U$1)=0),"",COUNTIFS(DailyDelivery!$A:$A,$E81,DailyDelivery!$B:$B,$D81,DailyDelivery!$C:$C,U$1))</f>
        <v/>
      </c>
      <c r="V81" s="246" t="str">
        <f>if(OR($E81="",$D81="",COUNTIFS(DailyDelivery!$A:$A,$E81,DailyDelivery!$B:$B,$D81,DailyDelivery!$C:$C,V$1)=0),"",COUNTIFS(DailyDelivery!$A:$A,$E81,DailyDelivery!$B:$B,$D81,DailyDelivery!$C:$C,V$1))</f>
        <v/>
      </c>
      <c r="W81" s="246" t="str">
        <f>if(OR($E81="",$D81="",COUNTIFS(DailyDelivery!$A:$A,$E81,DailyDelivery!$B:$B,$D81,DailyDelivery!$C:$C,W$1)=0),"",COUNTIFS(DailyDelivery!$A:$A,$E81,DailyDelivery!$B:$B,$D81,DailyDelivery!$C:$C,W$1))</f>
        <v/>
      </c>
      <c r="X81" s="246" t="str">
        <f>if(OR($E81="",$D81="",COUNTIFS(DailyDelivery!$A:$A,$E81,DailyDelivery!$B:$B,$D81,DailyDelivery!$C:$C,X$1)=0),"",COUNTIFS(DailyDelivery!$A:$A,$E81,DailyDelivery!$B:$B,$D81,DailyDelivery!$C:$C,X$1))</f>
        <v/>
      </c>
      <c r="Y81" s="246" t="str">
        <f>if(OR($E81="",$D81="",COUNTIFS(DailyDelivery!$A:$A,$E81,DailyDelivery!$B:$B,$D81,DailyDelivery!$C:$C,Y$1)=0),"",COUNTIFS(DailyDelivery!$A:$A,$E81,DailyDelivery!$B:$B,$D81,DailyDelivery!$C:$C,Y$1))</f>
        <v/>
      </c>
      <c r="Z81" s="246" t="str">
        <f>if(OR($E81="",$D81="",COUNTIFS(DailyDelivery!$A:$A,$E81,DailyDelivery!$B:$B,$D81,DailyDelivery!$C:$C,Z$1)=0),"",COUNTIFS(DailyDelivery!$A:$A,$E81,DailyDelivery!$B:$B,$D81,DailyDelivery!$C:$C,Z$1))</f>
        <v/>
      </c>
      <c r="AA81" s="246" t="str">
        <f>if(OR($E81="",$D81="",COUNTIFS(DailyDelivery!$A:$A,$E81,DailyDelivery!$B:$B,$D81,DailyDelivery!$C:$C,AA$1)=0),"",COUNTIFS(DailyDelivery!$A:$A,$E81,DailyDelivery!$B:$B,$D81,DailyDelivery!$C:$C,AA$1))</f>
        <v/>
      </c>
      <c r="AB81" s="246" t="str">
        <f>if(OR($E81="",$D81="",COUNTIFS(DailyDelivery!$A:$A,$E81,DailyDelivery!$B:$B,$D81,DailyDelivery!$C:$C,AB$1)=0),"",COUNTIFS(DailyDelivery!$A:$A,$E81,DailyDelivery!$B:$B,$D81,DailyDelivery!$C:$C,AB$1))</f>
        <v/>
      </c>
      <c r="AC81" s="246" t="str">
        <f>if(OR($E81="",$D81="",COUNTIFS(DailyDelivery!$A:$A,$E81,DailyDelivery!$B:$B,$D81,DailyDelivery!$C:$C,AC$1)=0),"",COUNTIFS(DailyDelivery!$A:$A,$E81,DailyDelivery!$B:$B,$D81,DailyDelivery!$C:$C,AC$1))</f>
        <v/>
      </c>
      <c r="AD81" s="246" t="str">
        <f>if(OR($E81="",$D81="",COUNTIFS(DailyDelivery!$A:$A,$E81,DailyDelivery!$B:$B,$D81,DailyDelivery!$C:$C,AD$1)=0),"",COUNTIFS(DailyDelivery!$A:$A,$E81,DailyDelivery!$B:$B,$D81,DailyDelivery!$C:$C,AD$1))</f>
        <v/>
      </c>
      <c r="AE81" s="246" t="str">
        <f>if(OR($E81="",$D81="",COUNTIFS(DailyDelivery!$A:$A,$E81,DailyDelivery!$B:$B,$D81,DailyDelivery!$C:$C,AE$1)=0),"",COUNTIFS(DailyDelivery!$A:$A,$E81,DailyDelivery!$B:$B,$D81,DailyDelivery!$C:$C,AE$1))</f>
        <v/>
      </c>
      <c r="AF81" s="246" t="str">
        <f>if(OR($E81="",$D81="",COUNTIFS(DailyDelivery!$A:$A,$E81,DailyDelivery!$B:$B,$D81,DailyDelivery!$C:$C,AF$1)=0),"",COUNTIFS(DailyDelivery!$A:$A,$E81,DailyDelivery!$B:$B,$D81,DailyDelivery!$C:$C,AF$1))</f>
        <v/>
      </c>
      <c r="AG81" s="246" t="str">
        <f>if(OR($E81="",$D81="",COUNTIFS(DailyDelivery!$A:$A,$E81,DailyDelivery!$B:$B,$D81,DailyDelivery!$C:$C,AG$1)=0),"",COUNTIFS(DailyDelivery!$A:$A,$E81,DailyDelivery!$B:$B,$D81,DailyDelivery!$C:$C,AG$1))</f>
        <v/>
      </c>
      <c r="AH81" s="246" t="str">
        <f>if(OR($E81="",$D81="",COUNTIFS(DailyDelivery!$A:$A,$E81,DailyDelivery!$B:$B,$D81,DailyDelivery!$C:$C,AH$1)=0),"",COUNTIFS(DailyDelivery!$A:$A,$E81,DailyDelivery!$B:$B,$D81,DailyDelivery!$C:$C,AH$1))</f>
        <v/>
      </c>
    </row>
    <row r="82">
      <c r="A82" s="272"/>
      <c r="B82" s="273"/>
      <c r="C82" s="240"/>
      <c r="D82" s="274"/>
      <c r="E82" s="274"/>
      <c r="F82" s="242" t="str">
        <f t="shared" si="6"/>
        <v/>
      </c>
      <c r="G82" s="243" t="str">
        <f t="shared" si="7"/>
        <v/>
      </c>
      <c r="H82" s="242" t="str">
        <f t="shared" si="8"/>
        <v/>
      </c>
      <c r="I82" s="243" t="str">
        <f t="shared" si="9"/>
        <v/>
      </c>
      <c r="J82" s="244" t="str">
        <f>if(OR($E82="",$D82=""),"",sumifs(All_Stats!F:F,All_Stats!D:D,D82,All_Stats!A:A,E82,All_Stats!B:B,"Overall"))</f>
        <v/>
      </c>
      <c r="K82" s="275"/>
      <c r="L82" s="246" t="str">
        <f>if(OR($E82="",$D82=""),"",sumifs(All_Stats!G:G,All_Stats!D:D,D82,All_Stats!A:A,E82,All_Stats!B:B,"Overall"))</f>
        <v/>
      </c>
      <c r="M82" s="246" t="str">
        <f>if(OR($E82="",$D82=""),"",sumifs(All_Stats!H:H,All_Stats!D:D,D82,All_Stats!A:A,E82,All_Stats!B:B,"Overall"))</f>
        <v/>
      </c>
      <c r="N82" s="246" t="str">
        <f t="shared" si="10"/>
        <v/>
      </c>
      <c r="O82" s="276"/>
      <c r="P82" s="277"/>
      <c r="Q82" s="278"/>
      <c r="R82" s="250"/>
      <c r="S82" s="246">
        <f>SUMIFS(All_Stats!K:K,All_Stats!D:D,D82,All_Stats!A:A,E82,All_Stats!B:B,"Overall")</f>
        <v>0</v>
      </c>
      <c r="T82" s="251">
        <f>SUMIFS(All_Stats!L:L,All_Stats!D:D,D82,All_Stats!A:A,E82,All_Stats!B:B,"Overall")</f>
        <v>0</v>
      </c>
      <c r="U82" s="246" t="str">
        <f>if(OR($E82="",$D82="",COUNTIFS(DailyDelivery!$A:$A,$E82,DailyDelivery!$B:$B,$D82,DailyDelivery!$C:$C,U$1)=0),"",COUNTIFS(DailyDelivery!$A:$A,$E82,DailyDelivery!$B:$B,$D82,DailyDelivery!$C:$C,U$1))</f>
        <v/>
      </c>
      <c r="V82" s="246" t="str">
        <f>if(OR($E82="",$D82="",COUNTIFS(DailyDelivery!$A:$A,$E82,DailyDelivery!$B:$B,$D82,DailyDelivery!$C:$C,V$1)=0),"",COUNTIFS(DailyDelivery!$A:$A,$E82,DailyDelivery!$B:$B,$D82,DailyDelivery!$C:$C,V$1))</f>
        <v/>
      </c>
      <c r="W82" s="246" t="str">
        <f>if(OR($E82="",$D82="",COUNTIFS(DailyDelivery!$A:$A,$E82,DailyDelivery!$B:$B,$D82,DailyDelivery!$C:$C,W$1)=0),"",COUNTIFS(DailyDelivery!$A:$A,$E82,DailyDelivery!$B:$B,$D82,DailyDelivery!$C:$C,W$1))</f>
        <v/>
      </c>
      <c r="X82" s="246" t="str">
        <f>if(OR($E82="",$D82="",COUNTIFS(DailyDelivery!$A:$A,$E82,DailyDelivery!$B:$B,$D82,DailyDelivery!$C:$C,X$1)=0),"",COUNTIFS(DailyDelivery!$A:$A,$E82,DailyDelivery!$B:$B,$D82,DailyDelivery!$C:$C,X$1))</f>
        <v/>
      </c>
      <c r="Y82" s="246" t="str">
        <f>if(OR($E82="",$D82="",COUNTIFS(DailyDelivery!$A:$A,$E82,DailyDelivery!$B:$B,$D82,DailyDelivery!$C:$C,Y$1)=0),"",COUNTIFS(DailyDelivery!$A:$A,$E82,DailyDelivery!$B:$B,$D82,DailyDelivery!$C:$C,Y$1))</f>
        <v/>
      </c>
      <c r="Z82" s="246" t="str">
        <f>if(OR($E82="",$D82="",COUNTIFS(DailyDelivery!$A:$A,$E82,DailyDelivery!$B:$B,$D82,DailyDelivery!$C:$C,Z$1)=0),"",COUNTIFS(DailyDelivery!$A:$A,$E82,DailyDelivery!$B:$B,$D82,DailyDelivery!$C:$C,Z$1))</f>
        <v/>
      </c>
      <c r="AA82" s="246" t="str">
        <f>if(OR($E82="",$D82="",COUNTIFS(DailyDelivery!$A:$A,$E82,DailyDelivery!$B:$B,$D82,DailyDelivery!$C:$C,AA$1)=0),"",COUNTIFS(DailyDelivery!$A:$A,$E82,DailyDelivery!$B:$B,$D82,DailyDelivery!$C:$C,AA$1))</f>
        <v/>
      </c>
      <c r="AB82" s="246" t="str">
        <f>if(OR($E82="",$D82="",COUNTIFS(DailyDelivery!$A:$A,$E82,DailyDelivery!$B:$B,$D82,DailyDelivery!$C:$C,AB$1)=0),"",COUNTIFS(DailyDelivery!$A:$A,$E82,DailyDelivery!$B:$B,$D82,DailyDelivery!$C:$C,AB$1))</f>
        <v/>
      </c>
      <c r="AC82" s="246" t="str">
        <f>if(OR($E82="",$D82="",COUNTIFS(DailyDelivery!$A:$A,$E82,DailyDelivery!$B:$B,$D82,DailyDelivery!$C:$C,AC$1)=0),"",COUNTIFS(DailyDelivery!$A:$A,$E82,DailyDelivery!$B:$B,$D82,DailyDelivery!$C:$C,AC$1))</f>
        <v/>
      </c>
      <c r="AD82" s="246" t="str">
        <f>if(OR($E82="",$D82="",COUNTIFS(DailyDelivery!$A:$A,$E82,DailyDelivery!$B:$B,$D82,DailyDelivery!$C:$C,AD$1)=0),"",COUNTIFS(DailyDelivery!$A:$A,$E82,DailyDelivery!$B:$B,$D82,DailyDelivery!$C:$C,AD$1))</f>
        <v/>
      </c>
      <c r="AE82" s="246" t="str">
        <f>if(OR($E82="",$D82="",COUNTIFS(DailyDelivery!$A:$A,$E82,DailyDelivery!$B:$B,$D82,DailyDelivery!$C:$C,AE$1)=0),"",COUNTIFS(DailyDelivery!$A:$A,$E82,DailyDelivery!$B:$B,$D82,DailyDelivery!$C:$C,AE$1))</f>
        <v/>
      </c>
      <c r="AF82" s="246" t="str">
        <f>if(OR($E82="",$D82="",COUNTIFS(DailyDelivery!$A:$A,$E82,DailyDelivery!$B:$B,$D82,DailyDelivery!$C:$C,AF$1)=0),"",COUNTIFS(DailyDelivery!$A:$A,$E82,DailyDelivery!$B:$B,$D82,DailyDelivery!$C:$C,AF$1))</f>
        <v/>
      </c>
      <c r="AG82" s="246" t="str">
        <f>if(OR($E82="",$D82="",COUNTIFS(DailyDelivery!$A:$A,$E82,DailyDelivery!$B:$B,$D82,DailyDelivery!$C:$C,AG$1)=0),"",COUNTIFS(DailyDelivery!$A:$A,$E82,DailyDelivery!$B:$B,$D82,DailyDelivery!$C:$C,AG$1))</f>
        <v/>
      </c>
      <c r="AH82" s="246" t="str">
        <f>if(OR($E82="",$D82="",COUNTIFS(DailyDelivery!$A:$A,$E82,DailyDelivery!$B:$B,$D82,DailyDelivery!$C:$C,AH$1)=0),"",COUNTIFS(DailyDelivery!$A:$A,$E82,DailyDelivery!$B:$B,$D82,DailyDelivery!$C:$C,AH$1))</f>
        <v/>
      </c>
    </row>
    <row r="83">
      <c r="A83" s="272"/>
      <c r="B83" s="273"/>
      <c r="C83" s="240"/>
      <c r="D83" s="274"/>
      <c r="E83" s="274"/>
      <c r="F83" s="242" t="str">
        <f t="shared" si="6"/>
        <v/>
      </c>
      <c r="G83" s="243" t="str">
        <f t="shared" si="7"/>
        <v/>
      </c>
      <c r="H83" s="242" t="str">
        <f t="shared" si="8"/>
        <v/>
      </c>
      <c r="I83" s="243" t="str">
        <f t="shared" si="9"/>
        <v/>
      </c>
      <c r="J83" s="244" t="str">
        <f>if(OR($E83="",$D83=""),"",sumifs(All_Stats!F:F,All_Stats!D:D,D83,All_Stats!A:A,E83,All_Stats!B:B,"Overall"))</f>
        <v/>
      </c>
      <c r="K83" s="275"/>
      <c r="L83" s="246" t="str">
        <f>if(OR($E83="",$D83=""),"",sumifs(All_Stats!G:G,All_Stats!D:D,D83,All_Stats!A:A,E83,All_Stats!B:B,"Overall"))</f>
        <v/>
      </c>
      <c r="M83" s="246" t="str">
        <f>if(OR($E83="",$D83=""),"",sumifs(All_Stats!H:H,All_Stats!D:D,D83,All_Stats!A:A,E83,All_Stats!B:B,"Overall"))</f>
        <v/>
      </c>
      <c r="N83" s="246" t="str">
        <f t="shared" si="10"/>
        <v/>
      </c>
      <c r="O83" s="276"/>
      <c r="P83" s="277"/>
      <c r="Q83" s="278"/>
      <c r="R83" s="250"/>
      <c r="S83" s="246">
        <f>SUMIFS(All_Stats!K:K,All_Stats!D:D,D83,All_Stats!A:A,E83,All_Stats!B:B,"Overall")</f>
        <v>0</v>
      </c>
      <c r="T83" s="251">
        <f>SUMIFS(All_Stats!L:L,All_Stats!D:D,D83,All_Stats!A:A,E83,All_Stats!B:B,"Overall")</f>
        <v>0</v>
      </c>
      <c r="U83" s="246" t="str">
        <f>if(OR($E83="",$D83="",COUNTIFS(DailyDelivery!$A:$A,$E83,DailyDelivery!$B:$B,$D83,DailyDelivery!$C:$C,U$1)=0),"",COUNTIFS(DailyDelivery!$A:$A,$E83,DailyDelivery!$B:$B,$D83,DailyDelivery!$C:$C,U$1))</f>
        <v/>
      </c>
      <c r="V83" s="246" t="str">
        <f>if(OR($E83="",$D83="",COUNTIFS(DailyDelivery!$A:$A,$E83,DailyDelivery!$B:$B,$D83,DailyDelivery!$C:$C,V$1)=0),"",COUNTIFS(DailyDelivery!$A:$A,$E83,DailyDelivery!$B:$B,$D83,DailyDelivery!$C:$C,V$1))</f>
        <v/>
      </c>
      <c r="W83" s="246" t="str">
        <f>if(OR($E83="",$D83="",COUNTIFS(DailyDelivery!$A:$A,$E83,DailyDelivery!$B:$B,$D83,DailyDelivery!$C:$C,W$1)=0),"",COUNTIFS(DailyDelivery!$A:$A,$E83,DailyDelivery!$B:$B,$D83,DailyDelivery!$C:$C,W$1))</f>
        <v/>
      </c>
      <c r="X83" s="246" t="str">
        <f>if(OR($E83="",$D83="",COUNTIFS(DailyDelivery!$A:$A,$E83,DailyDelivery!$B:$B,$D83,DailyDelivery!$C:$C,X$1)=0),"",COUNTIFS(DailyDelivery!$A:$A,$E83,DailyDelivery!$B:$B,$D83,DailyDelivery!$C:$C,X$1))</f>
        <v/>
      </c>
      <c r="Y83" s="246" t="str">
        <f>if(OR($E83="",$D83="",COUNTIFS(DailyDelivery!$A:$A,$E83,DailyDelivery!$B:$B,$D83,DailyDelivery!$C:$C,Y$1)=0),"",COUNTIFS(DailyDelivery!$A:$A,$E83,DailyDelivery!$B:$B,$D83,DailyDelivery!$C:$C,Y$1))</f>
        <v/>
      </c>
      <c r="Z83" s="246" t="str">
        <f>if(OR($E83="",$D83="",COUNTIFS(DailyDelivery!$A:$A,$E83,DailyDelivery!$B:$B,$D83,DailyDelivery!$C:$C,Z$1)=0),"",COUNTIFS(DailyDelivery!$A:$A,$E83,DailyDelivery!$B:$B,$D83,DailyDelivery!$C:$C,Z$1))</f>
        <v/>
      </c>
      <c r="AA83" s="246" t="str">
        <f>if(OR($E83="",$D83="",COUNTIFS(DailyDelivery!$A:$A,$E83,DailyDelivery!$B:$B,$D83,DailyDelivery!$C:$C,AA$1)=0),"",COUNTIFS(DailyDelivery!$A:$A,$E83,DailyDelivery!$B:$B,$D83,DailyDelivery!$C:$C,AA$1))</f>
        <v/>
      </c>
      <c r="AB83" s="246" t="str">
        <f>if(OR($E83="",$D83="",COUNTIFS(DailyDelivery!$A:$A,$E83,DailyDelivery!$B:$B,$D83,DailyDelivery!$C:$C,AB$1)=0),"",COUNTIFS(DailyDelivery!$A:$A,$E83,DailyDelivery!$B:$B,$D83,DailyDelivery!$C:$C,AB$1))</f>
        <v/>
      </c>
      <c r="AC83" s="246" t="str">
        <f>if(OR($E83="",$D83="",COUNTIFS(DailyDelivery!$A:$A,$E83,DailyDelivery!$B:$B,$D83,DailyDelivery!$C:$C,AC$1)=0),"",COUNTIFS(DailyDelivery!$A:$A,$E83,DailyDelivery!$B:$B,$D83,DailyDelivery!$C:$C,AC$1))</f>
        <v/>
      </c>
      <c r="AD83" s="246" t="str">
        <f>if(OR($E83="",$D83="",COUNTIFS(DailyDelivery!$A:$A,$E83,DailyDelivery!$B:$B,$D83,DailyDelivery!$C:$C,AD$1)=0),"",COUNTIFS(DailyDelivery!$A:$A,$E83,DailyDelivery!$B:$B,$D83,DailyDelivery!$C:$C,AD$1))</f>
        <v/>
      </c>
      <c r="AE83" s="246" t="str">
        <f>if(OR($E83="",$D83="",COUNTIFS(DailyDelivery!$A:$A,$E83,DailyDelivery!$B:$B,$D83,DailyDelivery!$C:$C,AE$1)=0),"",COUNTIFS(DailyDelivery!$A:$A,$E83,DailyDelivery!$B:$B,$D83,DailyDelivery!$C:$C,AE$1))</f>
        <v/>
      </c>
      <c r="AF83" s="246" t="str">
        <f>if(OR($E83="",$D83="",COUNTIFS(DailyDelivery!$A:$A,$E83,DailyDelivery!$B:$B,$D83,DailyDelivery!$C:$C,AF$1)=0),"",COUNTIFS(DailyDelivery!$A:$A,$E83,DailyDelivery!$B:$B,$D83,DailyDelivery!$C:$C,AF$1))</f>
        <v/>
      </c>
      <c r="AG83" s="246" t="str">
        <f>if(OR($E83="",$D83="",COUNTIFS(DailyDelivery!$A:$A,$E83,DailyDelivery!$B:$B,$D83,DailyDelivery!$C:$C,AG$1)=0),"",COUNTIFS(DailyDelivery!$A:$A,$E83,DailyDelivery!$B:$B,$D83,DailyDelivery!$C:$C,AG$1))</f>
        <v/>
      </c>
      <c r="AH83" s="246" t="str">
        <f>if(OR($E83="",$D83="",COUNTIFS(DailyDelivery!$A:$A,$E83,DailyDelivery!$B:$B,$D83,DailyDelivery!$C:$C,AH$1)=0),"",COUNTIFS(DailyDelivery!$A:$A,$E83,DailyDelivery!$B:$B,$D83,DailyDelivery!$C:$C,AH$1))</f>
        <v/>
      </c>
    </row>
    <row r="84">
      <c r="A84" s="272"/>
      <c r="B84" s="273"/>
      <c r="C84" s="240"/>
      <c r="D84" s="274"/>
      <c r="E84" s="274"/>
      <c r="F84" s="242" t="str">
        <f t="shared" si="6"/>
        <v/>
      </c>
      <c r="G84" s="243" t="str">
        <f t="shared" si="7"/>
        <v/>
      </c>
      <c r="H84" s="242" t="str">
        <f t="shared" si="8"/>
        <v/>
      </c>
      <c r="I84" s="243" t="str">
        <f t="shared" si="9"/>
        <v/>
      </c>
      <c r="J84" s="244" t="str">
        <f>if(OR($E84="",$D84=""),"",sumifs(All_Stats!F:F,All_Stats!D:D,D84,All_Stats!A:A,E84,All_Stats!B:B,"Overall"))</f>
        <v/>
      </c>
      <c r="K84" s="275"/>
      <c r="L84" s="246" t="str">
        <f>if(OR($E84="",$D84=""),"",sumifs(All_Stats!G:G,All_Stats!D:D,D84,All_Stats!A:A,E84,All_Stats!B:B,"Overall"))</f>
        <v/>
      </c>
      <c r="M84" s="246" t="str">
        <f>if(OR($E84="",$D84=""),"",sumifs(All_Stats!H:H,All_Stats!D:D,D84,All_Stats!A:A,E84,All_Stats!B:B,"Overall"))</f>
        <v/>
      </c>
      <c r="N84" s="246" t="str">
        <f t="shared" si="10"/>
        <v/>
      </c>
      <c r="O84" s="276"/>
      <c r="P84" s="277"/>
      <c r="Q84" s="278"/>
      <c r="R84" s="250"/>
      <c r="S84" s="246">
        <f>SUMIFS(All_Stats!K:K,All_Stats!D:D,D84,All_Stats!A:A,E84,All_Stats!B:B,"Overall")</f>
        <v>0</v>
      </c>
      <c r="T84" s="251">
        <f>SUMIFS(All_Stats!L:L,All_Stats!D:D,D84,All_Stats!A:A,E84,All_Stats!B:B,"Overall")</f>
        <v>0</v>
      </c>
      <c r="U84" s="246" t="str">
        <f>if(OR($E84="",$D84="",COUNTIFS(DailyDelivery!$A:$A,$E84,DailyDelivery!$B:$B,$D84,DailyDelivery!$C:$C,U$1)=0),"",COUNTIFS(DailyDelivery!$A:$A,$E84,DailyDelivery!$B:$B,$D84,DailyDelivery!$C:$C,U$1))</f>
        <v/>
      </c>
      <c r="V84" s="246" t="str">
        <f>if(OR($E84="",$D84="",COUNTIFS(DailyDelivery!$A:$A,$E84,DailyDelivery!$B:$B,$D84,DailyDelivery!$C:$C,V$1)=0),"",COUNTIFS(DailyDelivery!$A:$A,$E84,DailyDelivery!$B:$B,$D84,DailyDelivery!$C:$C,V$1))</f>
        <v/>
      </c>
      <c r="W84" s="246" t="str">
        <f>if(OR($E84="",$D84="",COUNTIFS(DailyDelivery!$A:$A,$E84,DailyDelivery!$B:$B,$D84,DailyDelivery!$C:$C,W$1)=0),"",COUNTIFS(DailyDelivery!$A:$A,$E84,DailyDelivery!$B:$B,$D84,DailyDelivery!$C:$C,W$1))</f>
        <v/>
      </c>
      <c r="X84" s="246" t="str">
        <f>if(OR($E84="",$D84="",COUNTIFS(DailyDelivery!$A:$A,$E84,DailyDelivery!$B:$B,$D84,DailyDelivery!$C:$C,X$1)=0),"",COUNTIFS(DailyDelivery!$A:$A,$E84,DailyDelivery!$B:$B,$D84,DailyDelivery!$C:$C,X$1))</f>
        <v/>
      </c>
      <c r="Y84" s="246" t="str">
        <f>if(OR($E84="",$D84="",COUNTIFS(DailyDelivery!$A:$A,$E84,DailyDelivery!$B:$B,$D84,DailyDelivery!$C:$C,Y$1)=0),"",COUNTIFS(DailyDelivery!$A:$A,$E84,DailyDelivery!$B:$B,$D84,DailyDelivery!$C:$C,Y$1))</f>
        <v/>
      </c>
      <c r="Z84" s="246" t="str">
        <f>if(OR($E84="",$D84="",COUNTIFS(DailyDelivery!$A:$A,$E84,DailyDelivery!$B:$B,$D84,DailyDelivery!$C:$C,Z$1)=0),"",COUNTIFS(DailyDelivery!$A:$A,$E84,DailyDelivery!$B:$B,$D84,DailyDelivery!$C:$C,Z$1))</f>
        <v/>
      </c>
      <c r="AA84" s="246" t="str">
        <f>if(OR($E84="",$D84="",COUNTIFS(DailyDelivery!$A:$A,$E84,DailyDelivery!$B:$B,$D84,DailyDelivery!$C:$C,AA$1)=0),"",COUNTIFS(DailyDelivery!$A:$A,$E84,DailyDelivery!$B:$B,$D84,DailyDelivery!$C:$C,AA$1))</f>
        <v/>
      </c>
      <c r="AB84" s="246" t="str">
        <f>if(OR($E84="",$D84="",COUNTIFS(DailyDelivery!$A:$A,$E84,DailyDelivery!$B:$B,$D84,DailyDelivery!$C:$C,AB$1)=0),"",COUNTIFS(DailyDelivery!$A:$A,$E84,DailyDelivery!$B:$B,$D84,DailyDelivery!$C:$C,AB$1))</f>
        <v/>
      </c>
      <c r="AC84" s="246" t="str">
        <f>if(OR($E84="",$D84="",COUNTIFS(DailyDelivery!$A:$A,$E84,DailyDelivery!$B:$B,$D84,DailyDelivery!$C:$C,AC$1)=0),"",COUNTIFS(DailyDelivery!$A:$A,$E84,DailyDelivery!$B:$B,$D84,DailyDelivery!$C:$C,AC$1))</f>
        <v/>
      </c>
      <c r="AD84" s="246" t="str">
        <f>if(OR($E84="",$D84="",COUNTIFS(DailyDelivery!$A:$A,$E84,DailyDelivery!$B:$B,$D84,DailyDelivery!$C:$C,AD$1)=0),"",COUNTIFS(DailyDelivery!$A:$A,$E84,DailyDelivery!$B:$B,$D84,DailyDelivery!$C:$C,AD$1))</f>
        <v/>
      </c>
      <c r="AE84" s="246" t="str">
        <f>if(OR($E84="",$D84="",COUNTIFS(DailyDelivery!$A:$A,$E84,DailyDelivery!$B:$B,$D84,DailyDelivery!$C:$C,AE$1)=0),"",COUNTIFS(DailyDelivery!$A:$A,$E84,DailyDelivery!$B:$B,$D84,DailyDelivery!$C:$C,AE$1))</f>
        <v/>
      </c>
      <c r="AF84" s="246" t="str">
        <f>if(OR($E84="",$D84="",COUNTIFS(DailyDelivery!$A:$A,$E84,DailyDelivery!$B:$B,$D84,DailyDelivery!$C:$C,AF$1)=0),"",COUNTIFS(DailyDelivery!$A:$A,$E84,DailyDelivery!$B:$B,$D84,DailyDelivery!$C:$C,AF$1))</f>
        <v/>
      </c>
      <c r="AG84" s="246" t="str">
        <f>if(OR($E84="",$D84="",COUNTIFS(DailyDelivery!$A:$A,$E84,DailyDelivery!$B:$B,$D84,DailyDelivery!$C:$C,AG$1)=0),"",COUNTIFS(DailyDelivery!$A:$A,$E84,DailyDelivery!$B:$B,$D84,DailyDelivery!$C:$C,AG$1))</f>
        <v/>
      </c>
      <c r="AH84" s="246" t="str">
        <f>if(OR($E84="",$D84="",COUNTIFS(DailyDelivery!$A:$A,$E84,DailyDelivery!$B:$B,$D84,DailyDelivery!$C:$C,AH$1)=0),"",COUNTIFS(DailyDelivery!$A:$A,$E84,DailyDelivery!$B:$B,$D84,DailyDelivery!$C:$C,AH$1))</f>
        <v/>
      </c>
    </row>
    <row r="85">
      <c r="A85" s="272"/>
      <c r="B85" s="273"/>
      <c r="C85" s="240"/>
      <c r="D85" s="274"/>
      <c r="E85" s="274"/>
      <c r="F85" s="242" t="str">
        <f t="shared" si="6"/>
        <v/>
      </c>
      <c r="G85" s="243" t="str">
        <f t="shared" si="7"/>
        <v/>
      </c>
      <c r="H85" s="242" t="str">
        <f t="shared" si="8"/>
        <v/>
      </c>
      <c r="I85" s="243" t="str">
        <f t="shared" si="9"/>
        <v/>
      </c>
      <c r="J85" s="244" t="str">
        <f>if(OR($E85="",$D85=""),"",sumifs(All_Stats!F:F,All_Stats!D:D,D85,All_Stats!A:A,E85,All_Stats!B:B,"Overall"))</f>
        <v/>
      </c>
      <c r="K85" s="275"/>
      <c r="L85" s="246" t="str">
        <f>if(OR($E85="",$D85=""),"",sumifs(All_Stats!G:G,All_Stats!D:D,D85,All_Stats!A:A,E85,All_Stats!B:B,"Overall"))</f>
        <v/>
      </c>
      <c r="M85" s="246" t="str">
        <f>if(OR($E85="",$D85=""),"",sumifs(All_Stats!H:H,All_Stats!D:D,D85,All_Stats!A:A,E85,All_Stats!B:B,"Overall"))</f>
        <v/>
      </c>
      <c r="N85" s="246" t="str">
        <f t="shared" si="10"/>
        <v/>
      </c>
      <c r="O85" s="276"/>
      <c r="P85" s="277"/>
      <c r="Q85" s="278"/>
      <c r="R85" s="250"/>
      <c r="S85" s="246">
        <f>SUMIFS(All_Stats!K:K,All_Stats!D:D,D85,All_Stats!A:A,E85,All_Stats!B:B,"Overall")</f>
        <v>0</v>
      </c>
      <c r="T85" s="251">
        <f>SUMIFS(All_Stats!L:L,All_Stats!D:D,D85,All_Stats!A:A,E85,All_Stats!B:B,"Overall")</f>
        <v>0</v>
      </c>
      <c r="U85" s="246" t="str">
        <f>if(OR($E85="",$D85="",COUNTIFS(DailyDelivery!$A:$A,$E85,DailyDelivery!$B:$B,$D85,DailyDelivery!$C:$C,U$1)=0),"",COUNTIFS(DailyDelivery!$A:$A,$E85,DailyDelivery!$B:$B,$D85,DailyDelivery!$C:$C,U$1))</f>
        <v/>
      </c>
      <c r="V85" s="246" t="str">
        <f>if(OR($E85="",$D85="",COUNTIFS(DailyDelivery!$A:$A,$E85,DailyDelivery!$B:$B,$D85,DailyDelivery!$C:$C,V$1)=0),"",COUNTIFS(DailyDelivery!$A:$A,$E85,DailyDelivery!$B:$B,$D85,DailyDelivery!$C:$C,V$1))</f>
        <v/>
      </c>
      <c r="W85" s="246" t="str">
        <f>if(OR($E85="",$D85="",COUNTIFS(DailyDelivery!$A:$A,$E85,DailyDelivery!$B:$B,$D85,DailyDelivery!$C:$C,W$1)=0),"",COUNTIFS(DailyDelivery!$A:$A,$E85,DailyDelivery!$B:$B,$D85,DailyDelivery!$C:$C,W$1))</f>
        <v/>
      </c>
      <c r="X85" s="246" t="str">
        <f>if(OR($E85="",$D85="",COUNTIFS(DailyDelivery!$A:$A,$E85,DailyDelivery!$B:$B,$D85,DailyDelivery!$C:$C,X$1)=0),"",COUNTIFS(DailyDelivery!$A:$A,$E85,DailyDelivery!$B:$B,$D85,DailyDelivery!$C:$C,X$1))</f>
        <v/>
      </c>
      <c r="Y85" s="246" t="str">
        <f>if(OR($E85="",$D85="",COUNTIFS(DailyDelivery!$A:$A,$E85,DailyDelivery!$B:$B,$D85,DailyDelivery!$C:$C,Y$1)=0),"",COUNTIFS(DailyDelivery!$A:$A,$E85,DailyDelivery!$B:$B,$D85,DailyDelivery!$C:$C,Y$1))</f>
        <v/>
      </c>
      <c r="Z85" s="246" t="str">
        <f>if(OR($E85="",$D85="",COUNTIFS(DailyDelivery!$A:$A,$E85,DailyDelivery!$B:$B,$D85,DailyDelivery!$C:$C,Z$1)=0),"",COUNTIFS(DailyDelivery!$A:$A,$E85,DailyDelivery!$B:$B,$D85,DailyDelivery!$C:$C,Z$1))</f>
        <v/>
      </c>
      <c r="AA85" s="246" t="str">
        <f>if(OR($E85="",$D85="",COUNTIFS(DailyDelivery!$A:$A,$E85,DailyDelivery!$B:$B,$D85,DailyDelivery!$C:$C,AA$1)=0),"",COUNTIFS(DailyDelivery!$A:$A,$E85,DailyDelivery!$B:$B,$D85,DailyDelivery!$C:$C,AA$1))</f>
        <v/>
      </c>
      <c r="AB85" s="246" t="str">
        <f>if(OR($E85="",$D85="",COUNTIFS(DailyDelivery!$A:$A,$E85,DailyDelivery!$B:$B,$D85,DailyDelivery!$C:$C,AB$1)=0),"",COUNTIFS(DailyDelivery!$A:$A,$E85,DailyDelivery!$B:$B,$D85,DailyDelivery!$C:$C,AB$1))</f>
        <v/>
      </c>
      <c r="AC85" s="246" t="str">
        <f>if(OR($E85="",$D85="",COUNTIFS(DailyDelivery!$A:$A,$E85,DailyDelivery!$B:$B,$D85,DailyDelivery!$C:$C,AC$1)=0),"",COUNTIFS(DailyDelivery!$A:$A,$E85,DailyDelivery!$B:$B,$D85,DailyDelivery!$C:$C,AC$1))</f>
        <v/>
      </c>
      <c r="AD85" s="246" t="str">
        <f>if(OR($E85="",$D85="",COUNTIFS(DailyDelivery!$A:$A,$E85,DailyDelivery!$B:$B,$D85,DailyDelivery!$C:$C,AD$1)=0),"",COUNTIFS(DailyDelivery!$A:$A,$E85,DailyDelivery!$B:$B,$D85,DailyDelivery!$C:$C,AD$1))</f>
        <v/>
      </c>
      <c r="AE85" s="246" t="str">
        <f>if(OR($E85="",$D85="",COUNTIFS(DailyDelivery!$A:$A,$E85,DailyDelivery!$B:$B,$D85,DailyDelivery!$C:$C,AE$1)=0),"",COUNTIFS(DailyDelivery!$A:$A,$E85,DailyDelivery!$B:$B,$D85,DailyDelivery!$C:$C,AE$1))</f>
        <v/>
      </c>
      <c r="AF85" s="246" t="str">
        <f>if(OR($E85="",$D85="",COUNTIFS(DailyDelivery!$A:$A,$E85,DailyDelivery!$B:$B,$D85,DailyDelivery!$C:$C,AF$1)=0),"",COUNTIFS(DailyDelivery!$A:$A,$E85,DailyDelivery!$B:$B,$D85,DailyDelivery!$C:$C,AF$1))</f>
        <v/>
      </c>
      <c r="AG85" s="246" t="str">
        <f>if(OR($E85="",$D85="",COUNTIFS(DailyDelivery!$A:$A,$E85,DailyDelivery!$B:$B,$D85,DailyDelivery!$C:$C,AG$1)=0),"",COUNTIFS(DailyDelivery!$A:$A,$E85,DailyDelivery!$B:$B,$D85,DailyDelivery!$C:$C,AG$1))</f>
        <v/>
      </c>
      <c r="AH85" s="246" t="str">
        <f>if(OR($E85="",$D85="",COUNTIFS(DailyDelivery!$A:$A,$E85,DailyDelivery!$B:$B,$D85,DailyDelivery!$C:$C,AH$1)=0),"",COUNTIFS(DailyDelivery!$A:$A,$E85,DailyDelivery!$B:$B,$D85,DailyDelivery!$C:$C,AH$1))</f>
        <v/>
      </c>
    </row>
    <row r="86">
      <c r="A86" s="272"/>
      <c r="B86" s="273"/>
      <c r="C86" s="240"/>
      <c r="D86" s="274"/>
      <c r="E86" s="274"/>
      <c r="F86" s="242" t="str">
        <f t="shared" si="6"/>
        <v/>
      </c>
      <c r="G86" s="243" t="str">
        <f t="shared" si="7"/>
        <v/>
      </c>
      <c r="H86" s="242" t="str">
        <f t="shared" si="8"/>
        <v/>
      </c>
      <c r="I86" s="243" t="str">
        <f t="shared" si="9"/>
        <v/>
      </c>
      <c r="J86" s="244" t="str">
        <f>if(OR($E86="",$D86=""),"",sumifs(All_Stats!F:F,All_Stats!D:D,D86,All_Stats!A:A,E86,All_Stats!B:B,"Overall"))</f>
        <v/>
      </c>
      <c r="K86" s="275"/>
      <c r="L86" s="246" t="str">
        <f>if(OR($E86="",$D86=""),"",sumifs(All_Stats!G:G,All_Stats!D:D,D86,All_Stats!A:A,E86,All_Stats!B:B,"Overall"))</f>
        <v/>
      </c>
      <c r="M86" s="246" t="str">
        <f>if(OR($E86="",$D86=""),"",sumifs(All_Stats!H:H,All_Stats!D:D,D86,All_Stats!A:A,E86,All_Stats!B:B,"Overall"))</f>
        <v/>
      </c>
      <c r="N86" s="246" t="str">
        <f t="shared" si="10"/>
        <v/>
      </c>
      <c r="O86" s="276"/>
      <c r="P86" s="277"/>
      <c r="Q86" s="278"/>
      <c r="R86" s="250"/>
      <c r="S86" s="246">
        <f>SUMIFS(All_Stats!K:K,All_Stats!D:D,D86,All_Stats!A:A,E86,All_Stats!B:B,"Overall")</f>
        <v>0</v>
      </c>
      <c r="T86" s="251">
        <f>SUMIFS(All_Stats!L:L,All_Stats!D:D,D86,All_Stats!A:A,E86,All_Stats!B:B,"Overall")</f>
        <v>0</v>
      </c>
      <c r="U86" s="246" t="str">
        <f>if(OR($E86="",$D86="",COUNTIFS(DailyDelivery!$A:$A,$E86,DailyDelivery!$B:$B,$D86,DailyDelivery!$C:$C,U$1)=0),"",COUNTIFS(DailyDelivery!$A:$A,$E86,DailyDelivery!$B:$B,$D86,DailyDelivery!$C:$C,U$1))</f>
        <v/>
      </c>
      <c r="V86" s="246" t="str">
        <f>if(OR($E86="",$D86="",COUNTIFS(DailyDelivery!$A:$A,$E86,DailyDelivery!$B:$B,$D86,DailyDelivery!$C:$C,V$1)=0),"",COUNTIFS(DailyDelivery!$A:$A,$E86,DailyDelivery!$B:$B,$D86,DailyDelivery!$C:$C,V$1))</f>
        <v/>
      </c>
      <c r="W86" s="246" t="str">
        <f>if(OR($E86="",$D86="",COUNTIFS(DailyDelivery!$A:$A,$E86,DailyDelivery!$B:$B,$D86,DailyDelivery!$C:$C,W$1)=0),"",COUNTIFS(DailyDelivery!$A:$A,$E86,DailyDelivery!$B:$B,$D86,DailyDelivery!$C:$C,W$1))</f>
        <v/>
      </c>
      <c r="X86" s="246" t="str">
        <f>if(OR($E86="",$D86="",COUNTIFS(DailyDelivery!$A:$A,$E86,DailyDelivery!$B:$B,$D86,DailyDelivery!$C:$C,X$1)=0),"",COUNTIFS(DailyDelivery!$A:$A,$E86,DailyDelivery!$B:$B,$D86,DailyDelivery!$C:$C,X$1))</f>
        <v/>
      </c>
      <c r="Y86" s="246" t="str">
        <f>if(OR($E86="",$D86="",COUNTIFS(DailyDelivery!$A:$A,$E86,DailyDelivery!$B:$B,$D86,DailyDelivery!$C:$C,Y$1)=0),"",COUNTIFS(DailyDelivery!$A:$A,$E86,DailyDelivery!$B:$B,$D86,DailyDelivery!$C:$C,Y$1))</f>
        <v/>
      </c>
      <c r="Z86" s="246" t="str">
        <f>if(OR($E86="",$D86="",COUNTIFS(DailyDelivery!$A:$A,$E86,DailyDelivery!$B:$B,$D86,DailyDelivery!$C:$C,Z$1)=0),"",COUNTIFS(DailyDelivery!$A:$A,$E86,DailyDelivery!$B:$B,$D86,DailyDelivery!$C:$C,Z$1))</f>
        <v/>
      </c>
      <c r="AA86" s="246" t="str">
        <f>if(OR($E86="",$D86="",COUNTIFS(DailyDelivery!$A:$A,$E86,DailyDelivery!$B:$B,$D86,DailyDelivery!$C:$C,AA$1)=0),"",COUNTIFS(DailyDelivery!$A:$A,$E86,DailyDelivery!$B:$B,$D86,DailyDelivery!$C:$C,AA$1))</f>
        <v/>
      </c>
      <c r="AB86" s="246" t="str">
        <f>if(OR($E86="",$D86="",COUNTIFS(DailyDelivery!$A:$A,$E86,DailyDelivery!$B:$B,$D86,DailyDelivery!$C:$C,AB$1)=0),"",COUNTIFS(DailyDelivery!$A:$A,$E86,DailyDelivery!$B:$B,$D86,DailyDelivery!$C:$C,AB$1))</f>
        <v/>
      </c>
      <c r="AC86" s="246" t="str">
        <f>if(OR($E86="",$D86="",COUNTIFS(DailyDelivery!$A:$A,$E86,DailyDelivery!$B:$B,$D86,DailyDelivery!$C:$C,AC$1)=0),"",COUNTIFS(DailyDelivery!$A:$A,$E86,DailyDelivery!$B:$B,$D86,DailyDelivery!$C:$C,AC$1))</f>
        <v/>
      </c>
      <c r="AD86" s="246" t="str">
        <f>if(OR($E86="",$D86="",COUNTIFS(DailyDelivery!$A:$A,$E86,DailyDelivery!$B:$B,$D86,DailyDelivery!$C:$C,AD$1)=0),"",COUNTIFS(DailyDelivery!$A:$A,$E86,DailyDelivery!$B:$B,$D86,DailyDelivery!$C:$C,AD$1))</f>
        <v/>
      </c>
      <c r="AE86" s="246" t="str">
        <f>if(OR($E86="",$D86="",COUNTIFS(DailyDelivery!$A:$A,$E86,DailyDelivery!$B:$B,$D86,DailyDelivery!$C:$C,AE$1)=0),"",COUNTIFS(DailyDelivery!$A:$A,$E86,DailyDelivery!$B:$B,$D86,DailyDelivery!$C:$C,AE$1))</f>
        <v/>
      </c>
      <c r="AF86" s="246" t="str">
        <f>if(OR($E86="",$D86="",COUNTIFS(DailyDelivery!$A:$A,$E86,DailyDelivery!$B:$B,$D86,DailyDelivery!$C:$C,AF$1)=0),"",COUNTIFS(DailyDelivery!$A:$A,$E86,DailyDelivery!$B:$B,$D86,DailyDelivery!$C:$C,AF$1))</f>
        <v/>
      </c>
      <c r="AG86" s="246" t="str">
        <f>if(OR($E86="",$D86="",COUNTIFS(DailyDelivery!$A:$A,$E86,DailyDelivery!$B:$B,$D86,DailyDelivery!$C:$C,AG$1)=0),"",COUNTIFS(DailyDelivery!$A:$A,$E86,DailyDelivery!$B:$B,$D86,DailyDelivery!$C:$C,AG$1))</f>
        <v/>
      </c>
      <c r="AH86" s="246" t="str">
        <f>if(OR($E86="",$D86="",COUNTIFS(DailyDelivery!$A:$A,$E86,DailyDelivery!$B:$B,$D86,DailyDelivery!$C:$C,AH$1)=0),"",COUNTIFS(DailyDelivery!$A:$A,$E86,DailyDelivery!$B:$B,$D86,DailyDelivery!$C:$C,AH$1))</f>
        <v/>
      </c>
    </row>
    <row r="87">
      <c r="A87" s="272"/>
      <c r="B87" s="273"/>
      <c r="C87" s="240"/>
      <c r="D87" s="274"/>
      <c r="E87" s="274"/>
      <c r="F87" s="242" t="str">
        <f t="shared" si="6"/>
        <v/>
      </c>
      <c r="G87" s="243" t="str">
        <f t="shared" si="7"/>
        <v/>
      </c>
      <c r="H87" s="242" t="str">
        <f t="shared" si="8"/>
        <v/>
      </c>
      <c r="I87" s="243" t="str">
        <f t="shared" si="9"/>
        <v/>
      </c>
      <c r="J87" s="244" t="str">
        <f>if(OR($E87="",$D87=""),"",sumifs(All_Stats!F:F,All_Stats!D:D,D87,All_Stats!A:A,E87,All_Stats!B:B,"Overall"))</f>
        <v/>
      </c>
      <c r="K87" s="275"/>
      <c r="L87" s="246" t="str">
        <f>if(OR($E87="",$D87=""),"",sumifs(All_Stats!G:G,All_Stats!D:D,D87,All_Stats!A:A,E87,All_Stats!B:B,"Overall"))</f>
        <v/>
      </c>
      <c r="M87" s="246" t="str">
        <f>if(OR($E87="",$D87=""),"",sumifs(All_Stats!H:H,All_Stats!D:D,D87,All_Stats!A:A,E87,All_Stats!B:B,"Overall"))</f>
        <v/>
      </c>
      <c r="N87" s="246" t="str">
        <f t="shared" si="10"/>
        <v/>
      </c>
      <c r="O87" s="276"/>
      <c r="P87" s="277"/>
      <c r="Q87" s="278"/>
      <c r="R87" s="250"/>
      <c r="S87" s="246">
        <f>SUMIFS(All_Stats!K:K,All_Stats!D:D,D87,All_Stats!A:A,E87,All_Stats!B:B,"Overall")</f>
        <v>0</v>
      </c>
      <c r="T87" s="251">
        <f>SUMIFS(All_Stats!L:L,All_Stats!D:D,D87,All_Stats!A:A,E87,All_Stats!B:B,"Overall")</f>
        <v>0</v>
      </c>
      <c r="U87" s="246" t="str">
        <f>if(OR($E87="",$D87="",COUNTIFS(DailyDelivery!$A:$A,$E87,DailyDelivery!$B:$B,$D87,DailyDelivery!$C:$C,U$1)=0),"",COUNTIFS(DailyDelivery!$A:$A,$E87,DailyDelivery!$B:$B,$D87,DailyDelivery!$C:$C,U$1))</f>
        <v/>
      </c>
      <c r="V87" s="246" t="str">
        <f>if(OR($E87="",$D87="",COUNTIFS(DailyDelivery!$A:$A,$E87,DailyDelivery!$B:$B,$D87,DailyDelivery!$C:$C,V$1)=0),"",COUNTIFS(DailyDelivery!$A:$A,$E87,DailyDelivery!$B:$B,$D87,DailyDelivery!$C:$C,V$1))</f>
        <v/>
      </c>
      <c r="W87" s="246" t="str">
        <f>if(OR($E87="",$D87="",COUNTIFS(DailyDelivery!$A:$A,$E87,DailyDelivery!$B:$B,$D87,DailyDelivery!$C:$C,W$1)=0),"",COUNTIFS(DailyDelivery!$A:$A,$E87,DailyDelivery!$B:$B,$D87,DailyDelivery!$C:$C,W$1))</f>
        <v/>
      </c>
      <c r="X87" s="246" t="str">
        <f>if(OR($E87="",$D87="",COUNTIFS(DailyDelivery!$A:$A,$E87,DailyDelivery!$B:$B,$D87,DailyDelivery!$C:$C,X$1)=0),"",COUNTIFS(DailyDelivery!$A:$A,$E87,DailyDelivery!$B:$B,$D87,DailyDelivery!$C:$C,X$1))</f>
        <v/>
      </c>
      <c r="Y87" s="246" t="str">
        <f>if(OR($E87="",$D87="",COUNTIFS(DailyDelivery!$A:$A,$E87,DailyDelivery!$B:$B,$D87,DailyDelivery!$C:$C,Y$1)=0),"",COUNTIFS(DailyDelivery!$A:$A,$E87,DailyDelivery!$B:$B,$D87,DailyDelivery!$C:$C,Y$1))</f>
        <v/>
      </c>
      <c r="Z87" s="246" t="str">
        <f>if(OR($E87="",$D87="",COUNTIFS(DailyDelivery!$A:$A,$E87,DailyDelivery!$B:$B,$D87,DailyDelivery!$C:$C,Z$1)=0),"",COUNTIFS(DailyDelivery!$A:$A,$E87,DailyDelivery!$B:$B,$D87,DailyDelivery!$C:$C,Z$1))</f>
        <v/>
      </c>
      <c r="AA87" s="246" t="str">
        <f>if(OR($E87="",$D87="",COUNTIFS(DailyDelivery!$A:$A,$E87,DailyDelivery!$B:$B,$D87,DailyDelivery!$C:$C,AA$1)=0),"",COUNTIFS(DailyDelivery!$A:$A,$E87,DailyDelivery!$B:$B,$D87,DailyDelivery!$C:$C,AA$1))</f>
        <v/>
      </c>
      <c r="AB87" s="246" t="str">
        <f>if(OR($E87="",$D87="",COUNTIFS(DailyDelivery!$A:$A,$E87,DailyDelivery!$B:$B,$D87,DailyDelivery!$C:$C,AB$1)=0),"",COUNTIFS(DailyDelivery!$A:$A,$E87,DailyDelivery!$B:$B,$D87,DailyDelivery!$C:$C,AB$1))</f>
        <v/>
      </c>
      <c r="AC87" s="246" t="str">
        <f>if(OR($E87="",$D87="",COUNTIFS(DailyDelivery!$A:$A,$E87,DailyDelivery!$B:$B,$D87,DailyDelivery!$C:$C,AC$1)=0),"",COUNTIFS(DailyDelivery!$A:$A,$E87,DailyDelivery!$B:$B,$D87,DailyDelivery!$C:$C,AC$1))</f>
        <v/>
      </c>
      <c r="AD87" s="246" t="str">
        <f>if(OR($E87="",$D87="",COUNTIFS(DailyDelivery!$A:$A,$E87,DailyDelivery!$B:$B,$D87,DailyDelivery!$C:$C,AD$1)=0),"",COUNTIFS(DailyDelivery!$A:$A,$E87,DailyDelivery!$B:$B,$D87,DailyDelivery!$C:$C,AD$1))</f>
        <v/>
      </c>
      <c r="AE87" s="246" t="str">
        <f>if(OR($E87="",$D87="",COUNTIFS(DailyDelivery!$A:$A,$E87,DailyDelivery!$B:$B,$D87,DailyDelivery!$C:$C,AE$1)=0),"",COUNTIFS(DailyDelivery!$A:$A,$E87,DailyDelivery!$B:$B,$D87,DailyDelivery!$C:$C,AE$1))</f>
        <v/>
      </c>
      <c r="AF87" s="246" t="str">
        <f>if(OR($E87="",$D87="",COUNTIFS(DailyDelivery!$A:$A,$E87,DailyDelivery!$B:$B,$D87,DailyDelivery!$C:$C,AF$1)=0),"",COUNTIFS(DailyDelivery!$A:$A,$E87,DailyDelivery!$B:$B,$D87,DailyDelivery!$C:$C,AF$1))</f>
        <v/>
      </c>
      <c r="AG87" s="246" t="str">
        <f>if(OR($E87="",$D87="",COUNTIFS(DailyDelivery!$A:$A,$E87,DailyDelivery!$B:$B,$D87,DailyDelivery!$C:$C,AG$1)=0),"",COUNTIFS(DailyDelivery!$A:$A,$E87,DailyDelivery!$B:$B,$D87,DailyDelivery!$C:$C,AG$1))</f>
        <v/>
      </c>
      <c r="AH87" s="246" t="str">
        <f>if(OR($E87="",$D87="",COUNTIFS(DailyDelivery!$A:$A,$E87,DailyDelivery!$B:$B,$D87,DailyDelivery!$C:$C,AH$1)=0),"",COUNTIFS(DailyDelivery!$A:$A,$E87,DailyDelivery!$B:$B,$D87,DailyDelivery!$C:$C,AH$1))</f>
        <v/>
      </c>
    </row>
    <row r="88">
      <c r="A88" s="272"/>
      <c r="B88" s="273"/>
      <c r="C88" s="240"/>
      <c r="D88" s="274"/>
      <c r="E88" s="274"/>
      <c r="F88" s="242" t="str">
        <f t="shared" si="6"/>
        <v/>
      </c>
      <c r="G88" s="243" t="str">
        <f t="shared" si="7"/>
        <v/>
      </c>
      <c r="H88" s="242" t="str">
        <f t="shared" si="8"/>
        <v/>
      </c>
      <c r="I88" s="243" t="str">
        <f t="shared" si="9"/>
        <v/>
      </c>
      <c r="J88" s="244" t="str">
        <f>if(OR($E88="",$D88=""),"",sumifs(All_Stats!F:F,All_Stats!D:D,D88,All_Stats!A:A,E88,All_Stats!B:B,"Overall"))</f>
        <v/>
      </c>
      <c r="K88" s="275"/>
      <c r="L88" s="246" t="str">
        <f>if(OR($E88="",$D88=""),"",sumifs(All_Stats!G:G,All_Stats!D:D,D88,All_Stats!A:A,E88,All_Stats!B:B,"Overall"))</f>
        <v/>
      </c>
      <c r="M88" s="246" t="str">
        <f>if(OR($E88="",$D88=""),"",sumifs(All_Stats!H:H,All_Stats!D:D,D88,All_Stats!A:A,E88,All_Stats!B:B,"Overall"))</f>
        <v/>
      </c>
      <c r="N88" s="246" t="str">
        <f t="shared" si="10"/>
        <v/>
      </c>
      <c r="O88" s="276"/>
      <c r="P88" s="277"/>
      <c r="Q88" s="278"/>
      <c r="R88" s="250"/>
      <c r="S88" s="246">
        <f>SUMIFS(All_Stats!K:K,All_Stats!D:D,D88,All_Stats!A:A,E88,All_Stats!B:B,"Overall")</f>
        <v>0</v>
      </c>
      <c r="T88" s="251">
        <f>SUMIFS(All_Stats!L:L,All_Stats!D:D,D88,All_Stats!A:A,E88,All_Stats!B:B,"Overall")</f>
        <v>0</v>
      </c>
      <c r="U88" s="246" t="str">
        <f>if(OR($E88="",$D88="",COUNTIFS(DailyDelivery!$A:$A,$E88,DailyDelivery!$B:$B,$D88,DailyDelivery!$C:$C,U$1)=0),"",COUNTIFS(DailyDelivery!$A:$A,$E88,DailyDelivery!$B:$B,$D88,DailyDelivery!$C:$C,U$1))</f>
        <v/>
      </c>
      <c r="V88" s="246" t="str">
        <f>if(OR($E88="",$D88="",COUNTIFS(DailyDelivery!$A:$A,$E88,DailyDelivery!$B:$B,$D88,DailyDelivery!$C:$C,V$1)=0),"",COUNTIFS(DailyDelivery!$A:$A,$E88,DailyDelivery!$B:$B,$D88,DailyDelivery!$C:$C,V$1))</f>
        <v/>
      </c>
      <c r="W88" s="246" t="str">
        <f>if(OR($E88="",$D88="",COUNTIFS(DailyDelivery!$A:$A,$E88,DailyDelivery!$B:$B,$D88,DailyDelivery!$C:$C,W$1)=0),"",COUNTIFS(DailyDelivery!$A:$A,$E88,DailyDelivery!$B:$B,$D88,DailyDelivery!$C:$C,W$1))</f>
        <v/>
      </c>
      <c r="X88" s="246" t="str">
        <f>if(OR($E88="",$D88="",COUNTIFS(DailyDelivery!$A:$A,$E88,DailyDelivery!$B:$B,$D88,DailyDelivery!$C:$C,X$1)=0),"",COUNTIFS(DailyDelivery!$A:$A,$E88,DailyDelivery!$B:$B,$D88,DailyDelivery!$C:$C,X$1))</f>
        <v/>
      </c>
      <c r="Y88" s="246" t="str">
        <f>if(OR($E88="",$D88="",COUNTIFS(DailyDelivery!$A:$A,$E88,DailyDelivery!$B:$B,$D88,DailyDelivery!$C:$C,Y$1)=0),"",COUNTIFS(DailyDelivery!$A:$A,$E88,DailyDelivery!$B:$B,$D88,DailyDelivery!$C:$C,Y$1))</f>
        <v/>
      </c>
      <c r="Z88" s="246" t="str">
        <f>if(OR($E88="",$D88="",COUNTIFS(DailyDelivery!$A:$A,$E88,DailyDelivery!$B:$B,$D88,DailyDelivery!$C:$C,Z$1)=0),"",COUNTIFS(DailyDelivery!$A:$A,$E88,DailyDelivery!$B:$B,$D88,DailyDelivery!$C:$C,Z$1))</f>
        <v/>
      </c>
      <c r="AA88" s="246" t="str">
        <f>if(OR($E88="",$D88="",COUNTIFS(DailyDelivery!$A:$A,$E88,DailyDelivery!$B:$B,$D88,DailyDelivery!$C:$C,AA$1)=0),"",COUNTIFS(DailyDelivery!$A:$A,$E88,DailyDelivery!$B:$B,$D88,DailyDelivery!$C:$C,AA$1))</f>
        <v/>
      </c>
      <c r="AB88" s="246" t="str">
        <f>if(OR($E88="",$D88="",COUNTIFS(DailyDelivery!$A:$A,$E88,DailyDelivery!$B:$B,$D88,DailyDelivery!$C:$C,AB$1)=0),"",COUNTIFS(DailyDelivery!$A:$A,$E88,DailyDelivery!$B:$B,$D88,DailyDelivery!$C:$C,AB$1))</f>
        <v/>
      </c>
      <c r="AC88" s="246" t="str">
        <f>if(OR($E88="",$D88="",COUNTIFS(DailyDelivery!$A:$A,$E88,DailyDelivery!$B:$B,$D88,DailyDelivery!$C:$C,AC$1)=0),"",COUNTIFS(DailyDelivery!$A:$A,$E88,DailyDelivery!$B:$B,$D88,DailyDelivery!$C:$C,AC$1))</f>
        <v/>
      </c>
      <c r="AD88" s="246" t="str">
        <f>if(OR($E88="",$D88="",COUNTIFS(DailyDelivery!$A:$A,$E88,DailyDelivery!$B:$B,$D88,DailyDelivery!$C:$C,AD$1)=0),"",COUNTIFS(DailyDelivery!$A:$A,$E88,DailyDelivery!$B:$B,$D88,DailyDelivery!$C:$C,AD$1))</f>
        <v/>
      </c>
      <c r="AE88" s="246" t="str">
        <f>if(OR($E88="",$D88="",COUNTIFS(DailyDelivery!$A:$A,$E88,DailyDelivery!$B:$B,$D88,DailyDelivery!$C:$C,AE$1)=0),"",COUNTIFS(DailyDelivery!$A:$A,$E88,DailyDelivery!$B:$B,$D88,DailyDelivery!$C:$C,AE$1))</f>
        <v/>
      </c>
      <c r="AF88" s="246" t="str">
        <f>if(OR($E88="",$D88="",COUNTIFS(DailyDelivery!$A:$A,$E88,DailyDelivery!$B:$B,$D88,DailyDelivery!$C:$C,AF$1)=0),"",COUNTIFS(DailyDelivery!$A:$A,$E88,DailyDelivery!$B:$B,$D88,DailyDelivery!$C:$C,AF$1))</f>
        <v/>
      </c>
      <c r="AG88" s="246" t="str">
        <f>if(OR($E88="",$D88="",COUNTIFS(DailyDelivery!$A:$A,$E88,DailyDelivery!$B:$B,$D88,DailyDelivery!$C:$C,AG$1)=0),"",COUNTIFS(DailyDelivery!$A:$A,$E88,DailyDelivery!$B:$B,$D88,DailyDelivery!$C:$C,AG$1))</f>
        <v/>
      </c>
      <c r="AH88" s="246" t="str">
        <f>if(OR($E88="",$D88="",COUNTIFS(DailyDelivery!$A:$A,$E88,DailyDelivery!$B:$B,$D88,DailyDelivery!$C:$C,AH$1)=0),"",COUNTIFS(DailyDelivery!$A:$A,$E88,DailyDelivery!$B:$B,$D88,DailyDelivery!$C:$C,AH$1))</f>
        <v/>
      </c>
    </row>
    <row r="89">
      <c r="A89" s="272"/>
      <c r="B89" s="273"/>
      <c r="C89" s="240"/>
      <c r="D89" s="274"/>
      <c r="E89" s="274"/>
      <c r="F89" s="242" t="str">
        <f t="shared" si="6"/>
        <v/>
      </c>
      <c r="G89" s="243" t="str">
        <f t="shared" si="7"/>
        <v/>
      </c>
      <c r="H89" s="242" t="str">
        <f t="shared" si="8"/>
        <v/>
      </c>
      <c r="I89" s="243" t="str">
        <f t="shared" si="9"/>
        <v/>
      </c>
      <c r="J89" s="244" t="str">
        <f>if(OR($E89="",$D89=""),"",sumifs(All_Stats!F:F,All_Stats!D:D,D89,All_Stats!A:A,E89,All_Stats!B:B,"Overall"))</f>
        <v/>
      </c>
      <c r="K89" s="275"/>
      <c r="L89" s="246" t="str">
        <f>if(OR($E89="",$D89=""),"",sumifs(All_Stats!G:G,All_Stats!D:D,D89,All_Stats!A:A,E89,All_Stats!B:B,"Overall"))</f>
        <v/>
      </c>
      <c r="M89" s="246" t="str">
        <f>if(OR($E89="",$D89=""),"",sumifs(All_Stats!H:H,All_Stats!D:D,D89,All_Stats!A:A,E89,All_Stats!B:B,"Overall"))</f>
        <v/>
      </c>
      <c r="N89" s="246" t="str">
        <f t="shared" si="10"/>
        <v/>
      </c>
      <c r="O89" s="276"/>
      <c r="P89" s="277"/>
      <c r="Q89" s="278"/>
      <c r="R89" s="250"/>
      <c r="S89" s="246">
        <f>SUMIFS(All_Stats!K:K,All_Stats!D:D,D89,All_Stats!A:A,E89,All_Stats!B:B,"Overall")</f>
        <v>0</v>
      </c>
      <c r="T89" s="251">
        <f>SUMIFS(All_Stats!L:L,All_Stats!D:D,D89,All_Stats!A:A,E89,All_Stats!B:B,"Overall")</f>
        <v>0</v>
      </c>
      <c r="U89" s="246" t="str">
        <f>if(OR($E89="",$D89="",COUNTIFS(DailyDelivery!$A:$A,$E89,DailyDelivery!$B:$B,$D89,DailyDelivery!$C:$C,U$1)=0),"",COUNTIFS(DailyDelivery!$A:$A,$E89,DailyDelivery!$B:$B,$D89,DailyDelivery!$C:$C,U$1))</f>
        <v/>
      </c>
      <c r="V89" s="246" t="str">
        <f>if(OR($E89="",$D89="",COUNTIFS(DailyDelivery!$A:$A,$E89,DailyDelivery!$B:$B,$D89,DailyDelivery!$C:$C,V$1)=0),"",COUNTIFS(DailyDelivery!$A:$A,$E89,DailyDelivery!$B:$B,$D89,DailyDelivery!$C:$C,V$1))</f>
        <v/>
      </c>
      <c r="W89" s="246" t="str">
        <f>if(OR($E89="",$D89="",COUNTIFS(DailyDelivery!$A:$A,$E89,DailyDelivery!$B:$B,$D89,DailyDelivery!$C:$C,W$1)=0),"",COUNTIFS(DailyDelivery!$A:$A,$E89,DailyDelivery!$B:$B,$D89,DailyDelivery!$C:$C,W$1))</f>
        <v/>
      </c>
      <c r="X89" s="246" t="str">
        <f>if(OR($E89="",$D89="",COUNTIFS(DailyDelivery!$A:$A,$E89,DailyDelivery!$B:$B,$D89,DailyDelivery!$C:$C,X$1)=0),"",COUNTIFS(DailyDelivery!$A:$A,$E89,DailyDelivery!$B:$B,$D89,DailyDelivery!$C:$C,X$1))</f>
        <v/>
      </c>
      <c r="Y89" s="246" t="str">
        <f>if(OR($E89="",$D89="",COUNTIFS(DailyDelivery!$A:$A,$E89,DailyDelivery!$B:$B,$D89,DailyDelivery!$C:$C,Y$1)=0),"",COUNTIFS(DailyDelivery!$A:$A,$E89,DailyDelivery!$B:$B,$D89,DailyDelivery!$C:$C,Y$1))</f>
        <v/>
      </c>
      <c r="Z89" s="246" t="str">
        <f>if(OR($E89="",$D89="",COUNTIFS(DailyDelivery!$A:$A,$E89,DailyDelivery!$B:$B,$D89,DailyDelivery!$C:$C,Z$1)=0),"",COUNTIFS(DailyDelivery!$A:$A,$E89,DailyDelivery!$B:$B,$D89,DailyDelivery!$C:$C,Z$1))</f>
        <v/>
      </c>
      <c r="AA89" s="246" t="str">
        <f>if(OR($E89="",$D89="",COUNTIFS(DailyDelivery!$A:$A,$E89,DailyDelivery!$B:$B,$D89,DailyDelivery!$C:$C,AA$1)=0),"",COUNTIFS(DailyDelivery!$A:$A,$E89,DailyDelivery!$B:$B,$D89,DailyDelivery!$C:$C,AA$1))</f>
        <v/>
      </c>
      <c r="AB89" s="246" t="str">
        <f>if(OR($E89="",$D89="",COUNTIFS(DailyDelivery!$A:$A,$E89,DailyDelivery!$B:$B,$D89,DailyDelivery!$C:$C,AB$1)=0),"",COUNTIFS(DailyDelivery!$A:$A,$E89,DailyDelivery!$B:$B,$D89,DailyDelivery!$C:$C,AB$1))</f>
        <v/>
      </c>
      <c r="AC89" s="246" t="str">
        <f>if(OR($E89="",$D89="",COUNTIFS(DailyDelivery!$A:$A,$E89,DailyDelivery!$B:$B,$D89,DailyDelivery!$C:$C,AC$1)=0),"",COUNTIFS(DailyDelivery!$A:$A,$E89,DailyDelivery!$B:$B,$D89,DailyDelivery!$C:$C,AC$1))</f>
        <v/>
      </c>
      <c r="AD89" s="246" t="str">
        <f>if(OR($E89="",$D89="",COUNTIFS(DailyDelivery!$A:$A,$E89,DailyDelivery!$B:$B,$D89,DailyDelivery!$C:$C,AD$1)=0),"",COUNTIFS(DailyDelivery!$A:$A,$E89,DailyDelivery!$B:$B,$D89,DailyDelivery!$C:$C,AD$1))</f>
        <v/>
      </c>
      <c r="AE89" s="246" t="str">
        <f>if(OR($E89="",$D89="",COUNTIFS(DailyDelivery!$A:$A,$E89,DailyDelivery!$B:$B,$D89,DailyDelivery!$C:$C,AE$1)=0),"",COUNTIFS(DailyDelivery!$A:$A,$E89,DailyDelivery!$B:$B,$D89,DailyDelivery!$C:$C,AE$1))</f>
        <v/>
      </c>
      <c r="AF89" s="246" t="str">
        <f>if(OR($E89="",$D89="",COUNTIFS(DailyDelivery!$A:$A,$E89,DailyDelivery!$B:$B,$D89,DailyDelivery!$C:$C,AF$1)=0),"",COUNTIFS(DailyDelivery!$A:$A,$E89,DailyDelivery!$B:$B,$D89,DailyDelivery!$C:$C,AF$1))</f>
        <v/>
      </c>
      <c r="AG89" s="246" t="str">
        <f>if(OR($E89="",$D89="",COUNTIFS(DailyDelivery!$A:$A,$E89,DailyDelivery!$B:$B,$D89,DailyDelivery!$C:$C,AG$1)=0),"",COUNTIFS(DailyDelivery!$A:$A,$E89,DailyDelivery!$B:$B,$D89,DailyDelivery!$C:$C,AG$1))</f>
        <v/>
      </c>
      <c r="AH89" s="246" t="str">
        <f>if(OR($E89="",$D89="",COUNTIFS(DailyDelivery!$A:$A,$E89,DailyDelivery!$B:$B,$D89,DailyDelivery!$C:$C,AH$1)=0),"",COUNTIFS(DailyDelivery!$A:$A,$E89,DailyDelivery!$B:$B,$D89,DailyDelivery!$C:$C,AH$1))</f>
        <v/>
      </c>
    </row>
    <row r="90">
      <c r="A90" s="272"/>
      <c r="B90" s="273"/>
      <c r="C90" s="240"/>
      <c r="D90" s="274"/>
      <c r="E90" s="274"/>
      <c r="F90" s="242" t="str">
        <f t="shared" si="6"/>
        <v/>
      </c>
      <c r="G90" s="243" t="str">
        <f t="shared" si="7"/>
        <v/>
      </c>
      <c r="H90" s="242" t="str">
        <f t="shared" si="8"/>
        <v/>
      </c>
      <c r="I90" s="243" t="str">
        <f t="shared" si="9"/>
        <v/>
      </c>
      <c r="J90" s="244" t="str">
        <f>if(OR($E90="",$D90=""),"",sumifs(All_Stats!F:F,All_Stats!D:D,D90,All_Stats!A:A,E90,All_Stats!B:B,"Overall"))</f>
        <v/>
      </c>
      <c r="K90" s="275"/>
      <c r="L90" s="246" t="str">
        <f>if(OR($E90="",$D90=""),"",sumifs(All_Stats!G:G,All_Stats!D:D,D90,All_Stats!A:A,E90,All_Stats!B:B,"Overall"))</f>
        <v/>
      </c>
      <c r="M90" s="246" t="str">
        <f>if(OR($E90="",$D90=""),"",sumifs(All_Stats!H:H,All_Stats!D:D,D90,All_Stats!A:A,E90,All_Stats!B:B,"Overall"))</f>
        <v/>
      </c>
      <c r="N90" s="246" t="str">
        <f t="shared" si="10"/>
        <v/>
      </c>
      <c r="O90" s="276"/>
      <c r="P90" s="277"/>
      <c r="Q90" s="278"/>
      <c r="R90" s="250"/>
      <c r="S90" s="246">
        <f>SUMIFS(All_Stats!K:K,All_Stats!D:D,D90,All_Stats!A:A,E90,All_Stats!B:B,"Overall")</f>
        <v>0</v>
      </c>
      <c r="T90" s="251">
        <f>SUMIFS(All_Stats!L:L,All_Stats!D:D,D90,All_Stats!A:A,E90,All_Stats!B:B,"Overall")</f>
        <v>0</v>
      </c>
      <c r="U90" s="246" t="str">
        <f>if(OR($E90="",$D90="",COUNTIFS(DailyDelivery!$A:$A,$E90,DailyDelivery!$B:$B,$D90,DailyDelivery!$C:$C,U$1)=0),"",COUNTIFS(DailyDelivery!$A:$A,$E90,DailyDelivery!$B:$B,$D90,DailyDelivery!$C:$C,U$1))</f>
        <v/>
      </c>
      <c r="V90" s="246" t="str">
        <f>if(OR($E90="",$D90="",COUNTIFS(DailyDelivery!$A:$A,$E90,DailyDelivery!$B:$B,$D90,DailyDelivery!$C:$C,V$1)=0),"",COUNTIFS(DailyDelivery!$A:$A,$E90,DailyDelivery!$B:$B,$D90,DailyDelivery!$C:$C,V$1))</f>
        <v/>
      </c>
      <c r="W90" s="246" t="str">
        <f>if(OR($E90="",$D90="",COUNTIFS(DailyDelivery!$A:$A,$E90,DailyDelivery!$B:$B,$D90,DailyDelivery!$C:$C,W$1)=0),"",COUNTIFS(DailyDelivery!$A:$A,$E90,DailyDelivery!$B:$B,$D90,DailyDelivery!$C:$C,W$1))</f>
        <v/>
      </c>
      <c r="X90" s="246" t="str">
        <f>if(OR($E90="",$D90="",COUNTIFS(DailyDelivery!$A:$A,$E90,DailyDelivery!$B:$B,$D90,DailyDelivery!$C:$C,X$1)=0),"",COUNTIFS(DailyDelivery!$A:$A,$E90,DailyDelivery!$B:$B,$D90,DailyDelivery!$C:$C,X$1))</f>
        <v/>
      </c>
      <c r="Y90" s="246" t="str">
        <f>if(OR($E90="",$D90="",COUNTIFS(DailyDelivery!$A:$A,$E90,DailyDelivery!$B:$B,$D90,DailyDelivery!$C:$C,Y$1)=0),"",COUNTIFS(DailyDelivery!$A:$A,$E90,DailyDelivery!$B:$B,$D90,DailyDelivery!$C:$C,Y$1))</f>
        <v/>
      </c>
      <c r="Z90" s="246" t="str">
        <f>if(OR($E90="",$D90="",COUNTIFS(DailyDelivery!$A:$A,$E90,DailyDelivery!$B:$B,$D90,DailyDelivery!$C:$C,Z$1)=0),"",COUNTIFS(DailyDelivery!$A:$A,$E90,DailyDelivery!$B:$B,$D90,DailyDelivery!$C:$C,Z$1))</f>
        <v/>
      </c>
      <c r="AA90" s="246" t="str">
        <f>if(OR($E90="",$D90="",COUNTIFS(DailyDelivery!$A:$A,$E90,DailyDelivery!$B:$B,$D90,DailyDelivery!$C:$C,AA$1)=0),"",COUNTIFS(DailyDelivery!$A:$A,$E90,DailyDelivery!$B:$B,$D90,DailyDelivery!$C:$C,AA$1))</f>
        <v/>
      </c>
      <c r="AB90" s="246" t="str">
        <f>if(OR($E90="",$D90="",COUNTIFS(DailyDelivery!$A:$A,$E90,DailyDelivery!$B:$B,$D90,DailyDelivery!$C:$C,AB$1)=0),"",COUNTIFS(DailyDelivery!$A:$A,$E90,DailyDelivery!$B:$B,$D90,DailyDelivery!$C:$C,AB$1))</f>
        <v/>
      </c>
      <c r="AC90" s="246" t="str">
        <f>if(OR($E90="",$D90="",COUNTIFS(DailyDelivery!$A:$A,$E90,DailyDelivery!$B:$B,$D90,DailyDelivery!$C:$C,AC$1)=0),"",COUNTIFS(DailyDelivery!$A:$A,$E90,DailyDelivery!$B:$B,$D90,DailyDelivery!$C:$C,AC$1))</f>
        <v/>
      </c>
      <c r="AD90" s="246" t="str">
        <f>if(OR($E90="",$D90="",COUNTIFS(DailyDelivery!$A:$A,$E90,DailyDelivery!$B:$B,$D90,DailyDelivery!$C:$C,AD$1)=0),"",COUNTIFS(DailyDelivery!$A:$A,$E90,DailyDelivery!$B:$B,$D90,DailyDelivery!$C:$C,AD$1))</f>
        <v/>
      </c>
      <c r="AE90" s="246" t="str">
        <f>if(OR($E90="",$D90="",COUNTIFS(DailyDelivery!$A:$A,$E90,DailyDelivery!$B:$B,$D90,DailyDelivery!$C:$C,AE$1)=0),"",COUNTIFS(DailyDelivery!$A:$A,$E90,DailyDelivery!$B:$B,$D90,DailyDelivery!$C:$C,AE$1))</f>
        <v/>
      </c>
      <c r="AF90" s="246" t="str">
        <f>if(OR($E90="",$D90="",COUNTIFS(DailyDelivery!$A:$A,$E90,DailyDelivery!$B:$B,$D90,DailyDelivery!$C:$C,AF$1)=0),"",COUNTIFS(DailyDelivery!$A:$A,$E90,DailyDelivery!$B:$B,$D90,DailyDelivery!$C:$C,AF$1))</f>
        <v/>
      </c>
      <c r="AG90" s="246" t="str">
        <f>if(OR($E90="",$D90="",COUNTIFS(DailyDelivery!$A:$A,$E90,DailyDelivery!$B:$B,$D90,DailyDelivery!$C:$C,AG$1)=0),"",COUNTIFS(DailyDelivery!$A:$A,$E90,DailyDelivery!$B:$B,$D90,DailyDelivery!$C:$C,AG$1))</f>
        <v/>
      </c>
      <c r="AH90" s="246" t="str">
        <f>if(OR($E90="",$D90="",COUNTIFS(DailyDelivery!$A:$A,$E90,DailyDelivery!$B:$B,$D90,DailyDelivery!$C:$C,AH$1)=0),"",COUNTIFS(DailyDelivery!$A:$A,$E90,DailyDelivery!$B:$B,$D90,DailyDelivery!$C:$C,AH$1))</f>
        <v/>
      </c>
    </row>
    <row r="91">
      <c r="A91" s="272"/>
      <c r="B91" s="273"/>
      <c r="C91" s="240"/>
      <c r="D91" s="274"/>
      <c r="E91" s="274"/>
      <c r="F91" s="242" t="str">
        <f t="shared" si="6"/>
        <v/>
      </c>
      <c r="G91" s="243" t="str">
        <f t="shared" si="7"/>
        <v/>
      </c>
      <c r="H91" s="242" t="str">
        <f t="shared" si="8"/>
        <v/>
      </c>
      <c r="I91" s="243" t="str">
        <f t="shared" si="9"/>
        <v/>
      </c>
      <c r="J91" s="244" t="str">
        <f>if(OR($E91="",$D91=""),"",sumifs(All_Stats!F:F,All_Stats!D:D,D91,All_Stats!A:A,E91,All_Stats!B:B,"Overall"))</f>
        <v/>
      </c>
      <c r="K91" s="275"/>
      <c r="L91" s="246" t="str">
        <f>if(OR($E91="",$D91=""),"",sumifs(All_Stats!G:G,All_Stats!D:D,D91,All_Stats!A:A,E91,All_Stats!B:B,"Overall"))</f>
        <v/>
      </c>
      <c r="M91" s="246" t="str">
        <f>if(OR($E91="",$D91=""),"",sumifs(All_Stats!H:H,All_Stats!D:D,D91,All_Stats!A:A,E91,All_Stats!B:B,"Overall"))</f>
        <v/>
      </c>
      <c r="N91" s="246" t="str">
        <f t="shared" si="10"/>
        <v/>
      </c>
      <c r="O91" s="276"/>
      <c r="P91" s="277"/>
      <c r="Q91" s="278"/>
      <c r="R91" s="250"/>
      <c r="S91" s="246">
        <f>SUMIFS(All_Stats!K:K,All_Stats!D:D,D91,All_Stats!A:A,E91,All_Stats!B:B,"Overall")</f>
        <v>0</v>
      </c>
      <c r="T91" s="251">
        <f>SUMIFS(All_Stats!L:L,All_Stats!D:D,D91,All_Stats!A:A,E91,All_Stats!B:B,"Overall")</f>
        <v>0</v>
      </c>
      <c r="U91" s="246" t="str">
        <f>if(OR($E91="",$D91="",COUNTIFS(DailyDelivery!$A:$A,$E91,DailyDelivery!$B:$B,$D91,DailyDelivery!$C:$C,U$1)=0),"",COUNTIFS(DailyDelivery!$A:$A,$E91,DailyDelivery!$B:$B,$D91,DailyDelivery!$C:$C,U$1))</f>
        <v/>
      </c>
      <c r="V91" s="246" t="str">
        <f>if(OR($E91="",$D91="",COUNTIFS(DailyDelivery!$A:$A,$E91,DailyDelivery!$B:$B,$D91,DailyDelivery!$C:$C,V$1)=0),"",COUNTIFS(DailyDelivery!$A:$A,$E91,DailyDelivery!$B:$B,$D91,DailyDelivery!$C:$C,V$1))</f>
        <v/>
      </c>
      <c r="W91" s="246" t="str">
        <f>if(OR($E91="",$D91="",COUNTIFS(DailyDelivery!$A:$A,$E91,DailyDelivery!$B:$B,$D91,DailyDelivery!$C:$C,W$1)=0),"",COUNTIFS(DailyDelivery!$A:$A,$E91,DailyDelivery!$B:$B,$D91,DailyDelivery!$C:$C,W$1))</f>
        <v/>
      </c>
      <c r="X91" s="246" t="str">
        <f>if(OR($E91="",$D91="",COUNTIFS(DailyDelivery!$A:$A,$E91,DailyDelivery!$B:$B,$D91,DailyDelivery!$C:$C,X$1)=0),"",COUNTIFS(DailyDelivery!$A:$A,$E91,DailyDelivery!$B:$B,$D91,DailyDelivery!$C:$C,X$1))</f>
        <v/>
      </c>
      <c r="Y91" s="246" t="str">
        <f>if(OR($E91="",$D91="",COUNTIFS(DailyDelivery!$A:$A,$E91,DailyDelivery!$B:$B,$D91,DailyDelivery!$C:$C,Y$1)=0),"",COUNTIFS(DailyDelivery!$A:$A,$E91,DailyDelivery!$B:$B,$D91,DailyDelivery!$C:$C,Y$1))</f>
        <v/>
      </c>
      <c r="Z91" s="246" t="str">
        <f>if(OR($E91="",$D91="",COUNTIFS(DailyDelivery!$A:$A,$E91,DailyDelivery!$B:$B,$D91,DailyDelivery!$C:$C,Z$1)=0),"",COUNTIFS(DailyDelivery!$A:$A,$E91,DailyDelivery!$B:$B,$D91,DailyDelivery!$C:$C,Z$1))</f>
        <v/>
      </c>
      <c r="AA91" s="246" t="str">
        <f>if(OR($E91="",$D91="",COUNTIFS(DailyDelivery!$A:$A,$E91,DailyDelivery!$B:$B,$D91,DailyDelivery!$C:$C,AA$1)=0),"",COUNTIFS(DailyDelivery!$A:$A,$E91,DailyDelivery!$B:$B,$D91,DailyDelivery!$C:$C,AA$1))</f>
        <v/>
      </c>
      <c r="AB91" s="246" t="str">
        <f>if(OR($E91="",$D91="",COUNTIFS(DailyDelivery!$A:$A,$E91,DailyDelivery!$B:$B,$D91,DailyDelivery!$C:$C,AB$1)=0),"",COUNTIFS(DailyDelivery!$A:$A,$E91,DailyDelivery!$B:$B,$D91,DailyDelivery!$C:$C,AB$1))</f>
        <v/>
      </c>
      <c r="AC91" s="246" t="str">
        <f>if(OR($E91="",$D91="",COUNTIFS(DailyDelivery!$A:$A,$E91,DailyDelivery!$B:$B,$D91,DailyDelivery!$C:$C,AC$1)=0),"",COUNTIFS(DailyDelivery!$A:$A,$E91,DailyDelivery!$B:$B,$D91,DailyDelivery!$C:$C,AC$1))</f>
        <v/>
      </c>
      <c r="AD91" s="246" t="str">
        <f>if(OR($E91="",$D91="",COUNTIFS(DailyDelivery!$A:$A,$E91,DailyDelivery!$B:$B,$D91,DailyDelivery!$C:$C,AD$1)=0),"",COUNTIFS(DailyDelivery!$A:$A,$E91,DailyDelivery!$B:$B,$D91,DailyDelivery!$C:$C,AD$1))</f>
        <v/>
      </c>
      <c r="AE91" s="246" t="str">
        <f>if(OR($E91="",$D91="",COUNTIFS(DailyDelivery!$A:$A,$E91,DailyDelivery!$B:$B,$D91,DailyDelivery!$C:$C,AE$1)=0),"",COUNTIFS(DailyDelivery!$A:$A,$E91,DailyDelivery!$B:$B,$D91,DailyDelivery!$C:$C,AE$1))</f>
        <v/>
      </c>
      <c r="AF91" s="246" t="str">
        <f>if(OR($E91="",$D91="",COUNTIFS(DailyDelivery!$A:$A,$E91,DailyDelivery!$B:$B,$D91,DailyDelivery!$C:$C,AF$1)=0),"",COUNTIFS(DailyDelivery!$A:$A,$E91,DailyDelivery!$B:$B,$D91,DailyDelivery!$C:$C,AF$1))</f>
        <v/>
      </c>
      <c r="AG91" s="246" t="str">
        <f>if(OR($E91="",$D91="",COUNTIFS(DailyDelivery!$A:$A,$E91,DailyDelivery!$B:$B,$D91,DailyDelivery!$C:$C,AG$1)=0),"",COUNTIFS(DailyDelivery!$A:$A,$E91,DailyDelivery!$B:$B,$D91,DailyDelivery!$C:$C,AG$1))</f>
        <v/>
      </c>
      <c r="AH91" s="246" t="str">
        <f>if(OR($E91="",$D91="",COUNTIFS(DailyDelivery!$A:$A,$E91,DailyDelivery!$B:$B,$D91,DailyDelivery!$C:$C,AH$1)=0),"",COUNTIFS(DailyDelivery!$A:$A,$E91,DailyDelivery!$B:$B,$D91,DailyDelivery!$C:$C,AH$1))</f>
        <v/>
      </c>
    </row>
    <row r="92">
      <c r="A92" s="272"/>
      <c r="B92" s="273"/>
      <c r="C92" s="240"/>
      <c r="D92" s="274"/>
      <c r="E92" s="274"/>
      <c r="F92" s="242" t="str">
        <f t="shared" si="6"/>
        <v/>
      </c>
      <c r="G92" s="243" t="str">
        <f t="shared" si="7"/>
        <v/>
      </c>
      <c r="H92" s="242" t="str">
        <f t="shared" si="8"/>
        <v/>
      </c>
      <c r="I92" s="243" t="str">
        <f t="shared" si="9"/>
        <v/>
      </c>
      <c r="J92" s="244" t="str">
        <f>if(OR($E92="",$D92=""),"",sumifs(All_Stats!F:F,All_Stats!D:D,D92,All_Stats!A:A,E92,All_Stats!B:B,"Overall"))</f>
        <v/>
      </c>
      <c r="K92" s="275"/>
      <c r="L92" s="246" t="str">
        <f>if(OR($E92="",$D92=""),"",sumifs(All_Stats!G:G,All_Stats!D:D,D92,All_Stats!A:A,E92,All_Stats!B:B,"Overall"))</f>
        <v/>
      </c>
      <c r="M92" s="246" t="str">
        <f>if(OR($E92="",$D92=""),"",sumifs(All_Stats!H:H,All_Stats!D:D,D92,All_Stats!A:A,E92,All_Stats!B:B,"Overall"))</f>
        <v/>
      </c>
      <c r="N92" s="246" t="str">
        <f t="shared" si="10"/>
        <v/>
      </c>
      <c r="O92" s="276"/>
      <c r="P92" s="277"/>
      <c r="Q92" s="278"/>
      <c r="R92" s="250"/>
      <c r="S92" s="246">
        <f>SUMIFS(All_Stats!K:K,All_Stats!D:D,D92,All_Stats!A:A,E92,All_Stats!B:B,"Overall")</f>
        <v>0</v>
      </c>
      <c r="T92" s="251">
        <f>SUMIFS(All_Stats!L:L,All_Stats!D:D,D92,All_Stats!A:A,E92,All_Stats!B:B,"Overall")</f>
        <v>0</v>
      </c>
      <c r="U92" s="246" t="str">
        <f>if(OR($E92="",$D92="",COUNTIFS(DailyDelivery!$A:$A,$E92,DailyDelivery!$B:$B,$D92,DailyDelivery!$C:$C,U$1)=0),"",COUNTIFS(DailyDelivery!$A:$A,$E92,DailyDelivery!$B:$B,$D92,DailyDelivery!$C:$C,U$1))</f>
        <v/>
      </c>
      <c r="V92" s="246" t="str">
        <f>if(OR($E92="",$D92="",COUNTIFS(DailyDelivery!$A:$A,$E92,DailyDelivery!$B:$B,$D92,DailyDelivery!$C:$C,V$1)=0),"",COUNTIFS(DailyDelivery!$A:$A,$E92,DailyDelivery!$B:$B,$D92,DailyDelivery!$C:$C,V$1))</f>
        <v/>
      </c>
      <c r="W92" s="246" t="str">
        <f>if(OR($E92="",$D92="",COUNTIFS(DailyDelivery!$A:$A,$E92,DailyDelivery!$B:$B,$D92,DailyDelivery!$C:$C,W$1)=0),"",COUNTIFS(DailyDelivery!$A:$A,$E92,DailyDelivery!$B:$B,$D92,DailyDelivery!$C:$C,W$1))</f>
        <v/>
      </c>
      <c r="X92" s="246" t="str">
        <f>if(OR($E92="",$D92="",COUNTIFS(DailyDelivery!$A:$A,$E92,DailyDelivery!$B:$B,$D92,DailyDelivery!$C:$C,X$1)=0),"",COUNTIFS(DailyDelivery!$A:$A,$E92,DailyDelivery!$B:$B,$D92,DailyDelivery!$C:$C,X$1))</f>
        <v/>
      </c>
      <c r="Y92" s="246" t="str">
        <f>if(OR($E92="",$D92="",COUNTIFS(DailyDelivery!$A:$A,$E92,DailyDelivery!$B:$B,$D92,DailyDelivery!$C:$C,Y$1)=0),"",COUNTIFS(DailyDelivery!$A:$A,$E92,DailyDelivery!$B:$B,$D92,DailyDelivery!$C:$C,Y$1))</f>
        <v/>
      </c>
      <c r="Z92" s="246" t="str">
        <f>if(OR($E92="",$D92="",COUNTIFS(DailyDelivery!$A:$A,$E92,DailyDelivery!$B:$B,$D92,DailyDelivery!$C:$C,Z$1)=0),"",COUNTIFS(DailyDelivery!$A:$A,$E92,DailyDelivery!$B:$B,$D92,DailyDelivery!$C:$C,Z$1))</f>
        <v/>
      </c>
      <c r="AA92" s="246" t="str">
        <f>if(OR($E92="",$D92="",COUNTIFS(DailyDelivery!$A:$A,$E92,DailyDelivery!$B:$B,$D92,DailyDelivery!$C:$C,AA$1)=0),"",COUNTIFS(DailyDelivery!$A:$A,$E92,DailyDelivery!$B:$B,$D92,DailyDelivery!$C:$C,AA$1))</f>
        <v/>
      </c>
      <c r="AB92" s="246" t="str">
        <f>if(OR($E92="",$D92="",COUNTIFS(DailyDelivery!$A:$A,$E92,DailyDelivery!$B:$B,$D92,DailyDelivery!$C:$C,AB$1)=0),"",COUNTIFS(DailyDelivery!$A:$A,$E92,DailyDelivery!$B:$B,$D92,DailyDelivery!$C:$C,AB$1))</f>
        <v/>
      </c>
      <c r="AC92" s="246" t="str">
        <f>if(OR($E92="",$D92="",COUNTIFS(DailyDelivery!$A:$A,$E92,DailyDelivery!$B:$B,$D92,DailyDelivery!$C:$C,AC$1)=0),"",COUNTIFS(DailyDelivery!$A:$A,$E92,DailyDelivery!$B:$B,$D92,DailyDelivery!$C:$C,AC$1))</f>
        <v/>
      </c>
      <c r="AD92" s="246" t="str">
        <f>if(OR($E92="",$D92="",COUNTIFS(DailyDelivery!$A:$A,$E92,DailyDelivery!$B:$B,$D92,DailyDelivery!$C:$C,AD$1)=0),"",COUNTIFS(DailyDelivery!$A:$A,$E92,DailyDelivery!$B:$B,$D92,DailyDelivery!$C:$C,AD$1))</f>
        <v/>
      </c>
      <c r="AE92" s="246" t="str">
        <f>if(OR($E92="",$D92="",COUNTIFS(DailyDelivery!$A:$A,$E92,DailyDelivery!$B:$B,$D92,DailyDelivery!$C:$C,AE$1)=0),"",COUNTIFS(DailyDelivery!$A:$A,$E92,DailyDelivery!$B:$B,$D92,DailyDelivery!$C:$C,AE$1))</f>
        <v/>
      </c>
      <c r="AF92" s="246" t="str">
        <f>if(OR($E92="",$D92="",COUNTIFS(DailyDelivery!$A:$A,$E92,DailyDelivery!$B:$B,$D92,DailyDelivery!$C:$C,AF$1)=0),"",COUNTIFS(DailyDelivery!$A:$A,$E92,DailyDelivery!$B:$B,$D92,DailyDelivery!$C:$C,AF$1))</f>
        <v/>
      </c>
      <c r="AG92" s="246" t="str">
        <f>if(OR($E92="",$D92="",COUNTIFS(DailyDelivery!$A:$A,$E92,DailyDelivery!$B:$B,$D92,DailyDelivery!$C:$C,AG$1)=0),"",COUNTIFS(DailyDelivery!$A:$A,$E92,DailyDelivery!$B:$B,$D92,DailyDelivery!$C:$C,AG$1))</f>
        <v/>
      </c>
      <c r="AH92" s="246" t="str">
        <f>if(OR($E92="",$D92="",COUNTIFS(DailyDelivery!$A:$A,$E92,DailyDelivery!$B:$B,$D92,DailyDelivery!$C:$C,AH$1)=0),"",COUNTIFS(DailyDelivery!$A:$A,$E92,DailyDelivery!$B:$B,$D92,DailyDelivery!$C:$C,AH$1))</f>
        <v/>
      </c>
    </row>
    <row r="93">
      <c r="A93" s="272"/>
      <c r="B93" s="273"/>
      <c r="C93" s="240"/>
      <c r="D93" s="274"/>
      <c r="E93" s="274"/>
      <c r="F93" s="242" t="str">
        <f t="shared" si="6"/>
        <v/>
      </c>
      <c r="G93" s="243" t="str">
        <f t="shared" si="7"/>
        <v/>
      </c>
      <c r="H93" s="242" t="str">
        <f t="shared" si="8"/>
        <v/>
      </c>
      <c r="I93" s="243" t="str">
        <f t="shared" si="9"/>
        <v/>
      </c>
      <c r="J93" s="244" t="str">
        <f>if(OR($E93="",$D93=""),"",sumifs(All_Stats!F:F,All_Stats!D:D,D93,All_Stats!A:A,E93,All_Stats!B:B,"Overall"))</f>
        <v/>
      </c>
      <c r="K93" s="275"/>
      <c r="L93" s="246" t="str">
        <f>if(OR($E93="",$D93=""),"",sumifs(All_Stats!G:G,All_Stats!D:D,D93,All_Stats!A:A,E93,All_Stats!B:B,"Overall"))</f>
        <v/>
      </c>
      <c r="M93" s="246" t="str">
        <f>if(OR($E93="",$D93=""),"",sumifs(All_Stats!H:H,All_Stats!D:D,D93,All_Stats!A:A,E93,All_Stats!B:B,"Overall"))</f>
        <v/>
      </c>
      <c r="N93" s="246" t="str">
        <f t="shared" si="10"/>
        <v/>
      </c>
      <c r="O93" s="276"/>
      <c r="P93" s="277"/>
      <c r="Q93" s="278"/>
      <c r="R93" s="250"/>
      <c r="S93" s="246">
        <f>SUMIFS(All_Stats!K:K,All_Stats!D:D,D93,All_Stats!A:A,E93,All_Stats!B:B,"Overall")</f>
        <v>0</v>
      </c>
      <c r="T93" s="251">
        <f>SUMIFS(All_Stats!L:L,All_Stats!D:D,D93,All_Stats!A:A,E93,All_Stats!B:B,"Overall")</f>
        <v>0</v>
      </c>
      <c r="U93" s="246" t="str">
        <f>if(OR($E93="",$D93="",COUNTIFS(DailyDelivery!$A:$A,$E93,DailyDelivery!$B:$B,$D93,DailyDelivery!$C:$C,U$1)=0),"",COUNTIFS(DailyDelivery!$A:$A,$E93,DailyDelivery!$B:$B,$D93,DailyDelivery!$C:$C,U$1))</f>
        <v/>
      </c>
      <c r="V93" s="246" t="str">
        <f>if(OR($E93="",$D93="",COUNTIFS(DailyDelivery!$A:$A,$E93,DailyDelivery!$B:$B,$D93,DailyDelivery!$C:$C,V$1)=0),"",COUNTIFS(DailyDelivery!$A:$A,$E93,DailyDelivery!$B:$B,$D93,DailyDelivery!$C:$C,V$1))</f>
        <v/>
      </c>
      <c r="W93" s="246" t="str">
        <f>if(OR($E93="",$D93="",COUNTIFS(DailyDelivery!$A:$A,$E93,DailyDelivery!$B:$B,$D93,DailyDelivery!$C:$C,W$1)=0),"",COUNTIFS(DailyDelivery!$A:$A,$E93,DailyDelivery!$B:$B,$D93,DailyDelivery!$C:$C,W$1))</f>
        <v/>
      </c>
      <c r="X93" s="246" t="str">
        <f>if(OR($E93="",$D93="",COUNTIFS(DailyDelivery!$A:$A,$E93,DailyDelivery!$B:$B,$D93,DailyDelivery!$C:$C,X$1)=0),"",COUNTIFS(DailyDelivery!$A:$A,$E93,DailyDelivery!$B:$B,$D93,DailyDelivery!$C:$C,X$1))</f>
        <v/>
      </c>
      <c r="Y93" s="246" t="str">
        <f>if(OR($E93="",$D93="",COUNTIFS(DailyDelivery!$A:$A,$E93,DailyDelivery!$B:$B,$D93,DailyDelivery!$C:$C,Y$1)=0),"",COUNTIFS(DailyDelivery!$A:$A,$E93,DailyDelivery!$B:$B,$D93,DailyDelivery!$C:$C,Y$1))</f>
        <v/>
      </c>
      <c r="Z93" s="246" t="str">
        <f>if(OR($E93="",$D93="",COUNTIFS(DailyDelivery!$A:$A,$E93,DailyDelivery!$B:$B,$D93,DailyDelivery!$C:$C,Z$1)=0),"",COUNTIFS(DailyDelivery!$A:$A,$E93,DailyDelivery!$B:$B,$D93,DailyDelivery!$C:$C,Z$1))</f>
        <v/>
      </c>
      <c r="AA93" s="246" t="str">
        <f>if(OR($E93="",$D93="",COUNTIFS(DailyDelivery!$A:$A,$E93,DailyDelivery!$B:$B,$D93,DailyDelivery!$C:$C,AA$1)=0),"",COUNTIFS(DailyDelivery!$A:$A,$E93,DailyDelivery!$B:$B,$D93,DailyDelivery!$C:$C,AA$1))</f>
        <v/>
      </c>
      <c r="AB93" s="246" t="str">
        <f>if(OR($E93="",$D93="",COUNTIFS(DailyDelivery!$A:$A,$E93,DailyDelivery!$B:$B,$D93,DailyDelivery!$C:$C,AB$1)=0),"",COUNTIFS(DailyDelivery!$A:$A,$E93,DailyDelivery!$B:$B,$D93,DailyDelivery!$C:$C,AB$1))</f>
        <v/>
      </c>
      <c r="AC93" s="246" t="str">
        <f>if(OR($E93="",$D93="",COUNTIFS(DailyDelivery!$A:$A,$E93,DailyDelivery!$B:$B,$D93,DailyDelivery!$C:$C,AC$1)=0),"",COUNTIFS(DailyDelivery!$A:$A,$E93,DailyDelivery!$B:$B,$D93,DailyDelivery!$C:$C,AC$1))</f>
        <v/>
      </c>
      <c r="AD93" s="246" t="str">
        <f>if(OR($E93="",$D93="",COUNTIFS(DailyDelivery!$A:$A,$E93,DailyDelivery!$B:$B,$D93,DailyDelivery!$C:$C,AD$1)=0),"",COUNTIFS(DailyDelivery!$A:$A,$E93,DailyDelivery!$B:$B,$D93,DailyDelivery!$C:$C,AD$1))</f>
        <v/>
      </c>
      <c r="AE93" s="246" t="str">
        <f>if(OR($E93="",$D93="",COUNTIFS(DailyDelivery!$A:$A,$E93,DailyDelivery!$B:$B,$D93,DailyDelivery!$C:$C,AE$1)=0),"",COUNTIFS(DailyDelivery!$A:$A,$E93,DailyDelivery!$B:$B,$D93,DailyDelivery!$C:$C,AE$1))</f>
        <v/>
      </c>
      <c r="AF93" s="246" t="str">
        <f>if(OR($E93="",$D93="",COUNTIFS(DailyDelivery!$A:$A,$E93,DailyDelivery!$B:$B,$D93,DailyDelivery!$C:$C,AF$1)=0),"",COUNTIFS(DailyDelivery!$A:$A,$E93,DailyDelivery!$B:$B,$D93,DailyDelivery!$C:$C,AF$1))</f>
        <v/>
      </c>
      <c r="AG93" s="246" t="str">
        <f>if(OR($E93="",$D93="",COUNTIFS(DailyDelivery!$A:$A,$E93,DailyDelivery!$B:$B,$D93,DailyDelivery!$C:$C,AG$1)=0),"",COUNTIFS(DailyDelivery!$A:$A,$E93,DailyDelivery!$B:$B,$D93,DailyDelivery!$C:$C,AG$1))</f>
        <v/>
      </c>
      <c r="AH93" s="246" t="str">
        <f>if(OR($E93="",$D93="",COUNTIFS(DailyDelivery!$A:$A,$E93,DailyDelivery!$B:$B,$D93,DailyDelivery!$C:$C,AH$1)=0),"",COUNTIFS(DailyDelivery!$A:$A,$E93,DailyDelivery!$B:$B,$D93,DailyDelivery!$C:$C,AH$1))</f>
        <v/>
      </c>
    </row>
    <row r="94">
      <c r="A94" s="272"/>
      <c r="B94" s="273"/>
      <c r="C94" s="240"/>
      <c r="D94" s="274"/>
      <c r="E94" s="274"/>
      <c r="F94" s="242" t="str">
        <f t="shared" si="6"/>
        <v/>
      </c>
      <c r="G94" s="243" t="str">
        <f t="shared" si="7"/>
        <v/>
      </c>
      <c r="H94" s="242" t="str">
        <f t="shared" si="8"/>
        <v/>
      </c>
      <c r="I94" s="243" t="str">
        <f t="shared" si="9"/>
        <v/>
      </c>
      <c r="J94" s="244" t="str">
        <f>if(OR($E94="",$D94=""),"",sumifs(All_Stats!F:F,All_Stats!D:D,D94,All_Stats!A:A,E94,All_Stats!B:B,"Overall"))</f>
        <v/>
      </c>
      <c r="K94" s="275"/>
      <c r="L94" s="246" t="str">
        <f>if(OR($E94="",$D94=""),"",sumifs(All_Stats!G:G,All_Stats!D:D,D94,All_Stats!A:A,E94,All_Stats!B:B,"Overall"))</f>
        <v/>
      </c>
      <c r="M94" s="246" t="str">
        <f>if(OR($E94="",$D94=""),"",sumifs(All_Stats!H:H,All_Stats!D:D,D94,All_Stats!A:A,E94,All_Stats!B:B,"Overall"))</f>
        <v/>
      </c>
      <c r="N94" s="246" t="str">
        <f t="shared" si="10"/>
        <v/>
      </c>
      <c r="O94" s="276"/>
      <c r="P94" s="277"/>
      <c r="Q94" s="278"/>
      <c r="R94" s="250"/>
      <c r="S94" s="246">
        <f>SUMIFS(All_Stats!K:K,All_Stats!D:D,D94,All_Stats!A:A,E94,All_Stats!B:B,"Overall")</f>
        <v>0</v>
      </c>
      <c r="T94" s="251">
        <f>SUMIFS(All_Stats!L:L,All_Stats!D:D,D94,All_Stats!A:A,E94,All_Stats!B:B,"Overall")</f>
        <v>0</v>
      </c>
      <c r="U94" s="246" t="str">
        <f>if(OR($E94="",$D94="",COUNTIFS(DailyDelivery!$A:$A,$E94,DailyDelivery!$B:$B,$D94,DailyDelivery!$C:$C,U$1)=0),"",COUNTIFS(DailyDelivery!$A:$A,$E94,DailyDelivery!$B:$B,$D94,DailyDelivery!$C:$C,U$1))</f>
        <v/>
      </c>
      <c r="V94" s="246" t="str">
        <f>if(OR($E94="",$D94="",COUNTIFS(DailyDelivery!$A:$A,$E94,DailyDelivery!$B:$B,$D94,DailyDelivery!$C:$C,V$1)=0),"",COUNTIFS(DailyDelivery!$A:$A,$E94,DailyDelivery!$B:$B,$D94,DailyDelivery!$C:$C,V$1))</f>
        <v/>
      </c>
      <c r="W94" s="246" t="str">
        <f>if(OR($E94="",$D94="",COUNTIFS(DailyDelivery!$A:$A,$E94,DailyDelivery!$B:$B,$D94,DailyDelivery!$C:$C,W$1)=0),"",COUNTIFS(DailyDelivery!$A:$A,$E94,DailyDelivery!$B:$B,$D94,DailyDelivery!$C:$C,W$1))</f>
        <v/>
      </c>
      <c r="X94" s="246" t="str">
        <f>if(OR($E94="",$D94="",COUNTIFS(DailyDelivery!$A:$A,$E94,DailyDelivery!$B:$B,$D94,DailyDelivery!$C:$C,X$1)=0),"",COUNTIFS(DailyDelivery!$A:$A,$E94,DailyDelivery!$B:$B,$D94,DailyDelivery!$C:$C,X$1))</f>
        <v/>
      </c>
      <c r="Y94" s="246" t="str">
        <f>if(OR($E94="",$D94="",COUNTIFS(DailyDelivery!$A:$A,$E94,DailyDelivery!$B:$B,$D94,DailyDelivery!$C:$C,Y$1)=0),"",COUNTIFS(DailyDelivery!$A:$A,$E94,DailyDelivery!$B:$B,$D94,DailyDelivery!$C:$C,Y$1))</f>
        <v/>
      </c>
      <c r="Z94" s="246" t="str">
        <f>if(OR($E94="",$D94="",COUNTIFS(DailyDelivery!$A:$A,$E94,DailyDelivery!$B:$B,$D94,DailyDelivery!$C:$C,Z$1)=0),"",COUNTIFS(DailyDelivery!$A:$A,$E94,DailyDelivery!$B:$B,$D94,DailyDelivery!$C:$C,Z$1))</f>
        <v/>
      </c>
      <c r="AA94" s="246" t="str">
        <f>if(OR($E94="",$D94="",COUNTIFS(DailyDelivery!$A:$A,$E94,DailyDelivery!$B:$B,$D94,DailyDelivery!$C:$C,AA$1)=0),"",COUNTIFS(DailyDelivery!$A:$A,$E94,DailyDelivery!$B:$B,$D94,DailyDelivery!$C:$C,AA$1))</f>
        <v/>
      </c>
      <c r="AB94" s="246" t="str">
        <f>if(OR($E94="",$D94="",COUNTIFS(DailyDelivery!$A:$A,$E94,DailyDelivery!$B:$B,$D94,DailyDelivery!$C:$C,AB$1)=0),"",COUNTIFS(DailyDelivery!$A:$A,$E94,DailyDelivery!$B:$B,$D94,DailyDelivery!$C:$C,AB$1))</f>
        <v/>
      </c>
      <c r="AC94" s="246" t="str">
        <f>if(OR($E94="",$D94="",COUNTIFS(DailyDelivery!$A:$A,$E94,DailyDelivery!$B:$B,$D94,DailyDelivery!$C:$C,AC$1)=0),"",COUNTIFS(DailyDelivery!$A:$A,$E94,DailyDelivery!$B:$B,$D94,DailyDelivery!$C:$C,AC$1))</f>
        <v/>
      </c>
      <c r="AD94" s="246" t="str">
        <f>if(OR($E94="",$D94="",COUNTIFS(DailyDelivery!$A:$A,$E94,DailyDelivery!$B:$B,$D94,DailyDelivery!$C:$C,AD$1)=0),"",COUNTIFS(DailyDelivery!$A:$A,$E94,DailyDelivery!$B:$B,$D94,DailyDelivery!$C:$C,AD$1))</f>
        <v/>
      </c>
      <c r="AE94" s="246" t="str">
        <f>if(OR($E94="",$D94="",COUNTIFS(DailyDelivery!$A:$A,$E94,DailyDelivery!$B:$B,$D94,DailyDelivery!$C:$C,AE$1)=0),"",COUNTIFS(DailyDelivery!$A:$A,$E94,DailyDelivery!$B:$B,$D94,DailyDelivery!$C:$C,AE$1))</f>
        <v/>
      </c>
      <c r="AF94" s="246" t="str">
        <f>if(OR($E94="",$D94="",COUNTIFS(DailyDelivery!$A:$A,$E94,DailyDelivery!$B:$B,$D94,DailyDelivery!$C:$C,AF$1)=0),"",COUNTIFS(DailyDelivery!$A:$A,$E94,DailyDelivery!$B:$B,$D94,DailyDelivery!$C:$C,AF$1))</f>
        <v/>
      </c>
      <c r="AG94" s="246" t="str">
        <f>if(OR($E94="",$D94="",COUNTIFS(DailyDelivery!$A:$A,$E94,DailyDelivery!$B:$B,$D94,DailyDelivery!$C:$C,AG$1)=0),"",COUNTIFS(DailyDelivery!$A:$A,$E94,DailyDelivery!$B:$B,$D94,DailyDelivery!$C:$C,AG$1))</f>
        <v/>
      </c>
      <c r="AH94" s="246" t="str">
        <f>if(OR($E94="",$D94="",COUNTIFS(DailyDelivery!$A:$A,$E94,DailyDelivery!$B:$B,$D94,DailyDelivery!$C:$C,AH$1)=0),"",COUNTIFS(DailyDelivery!$A:$A,$E94,DailyDelivery!$B:$B,$D94,DailyDelivery!$C:$C,AH$1))</f>
        <v/>
      </c>
    </row>
    <row r="95">
      <c r="A95" s="272"/>
      <c r="B95" s="273"/>
      <c r="C95" s="240"/>
      <c r="D95" s="274"/>
      <c r="E95" s="274"/>
      <c r="F95" s="242" t="str">
        <f t="shared" si="6"/>
        <v/>
      </c>
      <c r="G95" s="243" t="str">
        <f t="shared" si="7"/>
        <v/>
      </c>
      <c r="H95" s="242" t="str">
        <f t="shared" si="8"/>
        <v/>
      </c>
      <c r="I95" s="243" t="str">
        <f t="shared" si="9"/>
        <v/>
      </c>
      <c r="J95" s="244" t="str">
        <f>if(OR($E95="",$D95=""),"",sumifs(All_Stats!F:F,All_Stats!D:D,D95,All_Stats!A:A,E95,All_Stats!B:B,"Overall"))</f>
        <v/>
      </c>
      <c r="K95" s="275"/>
      <c r="L95" s="246" t="str">
        <f>if(OR($E95="",$D95=""),"",sumifs(All_Stats!G:G,All_Stats!D:D,D95,All_Stats!A:A,E95,All_Stats!B:B,"Overall"))</f>
        <v/>
      </c>
      <c r="M95" s="246" t="str">
        <f>if(OR($E95="",$D95=""),"",sumifs(All_Stats!H:H,All_Stats!D:D,D95,All_Stats!A:A,E95,All_Stats!B:B,"Overall"))</f>
        <v/>
      </c>
      <c r="N95" s="246" t="str">
        <f t="shared" si="10"/>
        <v/>
      </c>
      <c r="O95" s="276"/>
      <c r="P95" s="277"/>
      <c r="Q95" s="278"/>
      <c r="R95" s="250"/>
      <c r="S95" s="246">
        <f>SUMIFS(All_Stats!K:K,All_Stats!D:D,D95,All_Stats!A:A,E95,All_Stats!B:B,"Overall")</f>
        <v>0</v>
      </c>
      <c r="T95" s="251">
        <f>SUMIFS(All_Stats!L:L,All_Stats!D:D,D95,All_Stats!A:A,E95,All_Stats!B:B,"Overall")</f>
        <v>0</v>
      </c>
      <c r="U95" s="246" t="str">
        <f>if(OR($E95="",$D95="",COUNTIFS(DailyDelivery!$A:$A,$E95,DailyDelivery!$B:$B,$D95,DailyDelivery!$C:$C,U$1)=0),"",COUNTIFS(DailyDelivery!$A:$A,$E95,DailyDelivery!$B:$B,$D95,DailyDelivery!$C:$C,U$1))</f>
        <v/>
      </c>
      <c r="V95" s="246" t="str">
        <f>if(OR($E95="",$D95="",COUNTIFS(DailyDelivery!$A:$A,$E95,DailyDelivery!$B:$B,$D95,DailyDelivery!$C:$C,V$1)=0),"",COUNTIFS(DailyDelivery!$A:$A,$E95,DailyDelivery!$B:$B,$D95,DailyDelivery!$C:$C,V$1))</f>
        <v/>
      </c>
      <c r="W95" s="246" t="str">
        <f>if(OR($E95="",$D95="",COUNTIFS(DailyDelivery!$A:$A,$E95,DailyDelivery!$B:$B,$D95,DailyDelivery!$C:$C,W$1)=0),"",COUNTIFS(DailyDelivery!$A:$A,$E95,DailyDelivery!$B:$B,$D95,DailyDelivery!$C:$C,W$1))</f>
        <v/>
      </c>
      <c r="X95" s="246" t="str">
        <f>if(OR($E95="",$D95="",COUNTIFS(DailyDelivery!$A:$A,$E95,DailyDelivery!$B:$B,$D95,DailyDelivery!$C:$C,X$1)=0),"",COUNTIFS(DailyDelivery!$A:$A,$E95,DailyDelivery!$B:$B,$D95,DailyDelivery!$C:$C,X$1))</f>
        <v/>
      </c>
      <c r="Y95" s="246" t="str">
        <f>if(OR($E95="",$D95="",COUNTIFS(DailyDelivery!$A:$A,$E95,DailyDelivery!$B:$B,$D95,DailyDelivery!$C:$C,Y$1)=0),"",COUNTIFS(DailyDelivery!$A:$A,$E95,DailyDelivery!$B:$B,$D95,DailyDelivery!$C:$C,Y$1))</f>
        <v/>
      </c>
      <c r="Z95" s="246" t="str">
        <f>if(OR($E95="",$D95="",COUNTIFS(DailyDelivery!$A:$A,$E95,DailyDelivery!$B:$B,$D95,DailyDelivery!$C:$C,Z$1)=0),"",COUNTIFS(DailyDelivery!$A:$A,$E95,DailyDelivery!$B:$B,$D95,DailyDelivery!$C:$C,Z$1))</f>
        <v/>
      </c>
      <c r="AA95" s="246" t="str">
        <f>if(OR($E95="",$D95="",COUNTIFS(DailyDelivery!$A:$A,$E95,DailyDelivery!$B:$B,$D95,DailyDelivery!$C:$C,AA$1)=0),"",COUNTIFS(DailyDelivery!$A:$A,$E95,DailyDelivery!$B:$B,$D95,DailyDelivery!$C:$C,AA$1))</f>
        <v/>
      </c>
      <c r="AB95" s="246" t="str">
        <f>if(OR($E95="",$D95="",COUNTIFS(DailyDelivery!$A:$A,$E95,DailyDelivery!$B:$B,$D95,DailyDelivery!$C:$C,AB$1)=0),"",COUNTIFS(DailyDelivery!$A:$A,$E95,DailyDelivery!$B:$B,$D95,DailyDelivery!$C:$C,AB$1))</f>
        <v/>
      </c>
      <c r="AC95" s="246" t="str">
        <f>if(OR($E95="",$D95="",COUNTIFS(DailyDelivery!$A:$A,$E95,DailyDelivery!$B:$B,$D95,DailyDelivery!$C:$C,AC$1)=0),"",COUNTIFS(DailyDelivery!$A:$A,$E95,DailyDelivery!$B:$B,$D95,DailyDelivery!$C:$C,AC$1))</f>
        <v/>
      </c>
      <c r="AD95" s="246" t="str">
        <f>if(OR($E95="",$D95="",COUNTIFS(DailyDelivery!$A:$A,$E95,DailyDelivery!$B:$B,$D95,DailyDelivery!$C:$C,AD$1)=0),"",COUNTIFS(DailyDelivery!$A:$A,$E95,DailyDelivery!$B:$B,$D95,DailyDelivery!$C:$C,AD$1))</f>
        <v/>
      </c>
      <c r="AE95" s="246" t="str">
        <f>if(OR($E95="",$D95="",COUNTIFS(DailyDelivery!$A:$A,$E95,DailyDelivery!$B:$B,$D95,DailyDelivery!$C:$C,AE$1)=0),"",COUNTIFS(DailyDelivery!$A:$A,$E95,DailyDelivery!$B:$B,$D95,DailyDelivery!$C:$C,AE$1))</f>
        <v/>
      </c>
      <c r="AF95" s="246" t="str">
        <f>if(OR($E95="",$D95="",COUNTIFS(DailyDelivery!$A:$A,$E95,DailyDelivery!$B:$B,$D95,DailyDelivery!$C:$C,AF$1)=0),"",COUNTIFS(DailyDelivery!$A:$A,$E95,DailyDelivery!$B:$B,$D95,DailyDelivery!$C:$C,AF$1))</f>
        <v/>
      </c>
      <c r="AG95" s="246" t="str">
        <f>if(OR($E95="",$D95="",COUNTIFS(DailyDelivery!$A:$A,$E95,DailyDelivery!$B:$B,$D95,DailyDelivery!$C:$C,AG$1)=0),"",COUNTIFS(DailyDelivery!$A:$A,$E95,DailyDelivery!$B:$B,$D95,DailyDelivery!$C:$C,AG$1))</f>
        <v/>
      </c>
      <c r="AH95" s="246" t="str">
        <f>if(OR($E95="",$D95="",COUNTIFS(DailyDelivery!$A:$A,$E95,DailyDelivery!$B:$B,$D95,DailyDelivery!$C:$C,AH$1)=0),"",COUNTIFS(DailyDelivery!$A:$A,$E95,DailyDelivery!$B:$B,$D95,DailyDelivery!$C:$C,AH$1))</f>
        <v/>
      </c>
    </row>
    <row r="96">
      <c r="A96" s="272"/>
      <c r="B96" s="273"/>
      <c r="C96" s="240"/>
      <c r="D96" s="274"/>
      <c r="E96" s="274"/>
      <c r="F96" s="242" t="str">
        <f t="shared" si="6"/>
        <v/>
      </c>
      <c r="G96" s="243" t="str">
        <f t="shared" si="7"/>
        <v/>
      </c>
      <c r="H96" s="242" t="str">
        <f t="shared" si="8"/>
        <v/>
      </c>
      <c r="I96" s="243" t="str">
        <f t="shared" si="9"/>
        <v/>
      </c>
      <c r="J96" s="244" t="str">
        <f>if(OR($E96="",$D96=""),"",sumifs(All_Stats!F:F,All_Stats!D:D,D96,All_Stats!A:A,E96,All_Stats!B:B,"Overall"))</f>
        <v/>
      </c>
      <c r="K96" s="275"/>
      <c r="L96" s="246" t="str">
        <f>if(OR($E96="",$D96=""),"",sumifs(All_Stats!G:G,All_Stats!D:D,D96,All_Stats!A:A,E96,All_Stats!B:B,"Overall"))</f>
        <v/>
      </c>
      <c r="M96" s="246" t="str">
        <f>if(OR($E96="",$D96=""),"",sumifs(All_Stats!H:H,All_Stats!D:D,D96,All_Stats!A:A,E96,All_Stats!B:B,"Overall"))</f>
        <v/>
      </c>
      <c r="N96" s="246" t="str">
        <f t="shared" si="10"/>
        <v/>
      </c>
      <c r="O96" s="276"/>
      <c r="P96" s="277"/>
      <c r="Q96" s="278"/>
      <c r="R96" s="250"/>
      <c r="S96" s="246">
        <f>SUMIFS(All_Stats!K:K,All_Stats!D:D,D96,All_Stats!A:A,E96,All_Stats!B:B,"Overall")</f>
        <v>0</v>
      </c>
      <c r="T96" s="251">
        <f>SUMIFS(All_Stats!L:L,All_Stats!D:D,D96,All_Stats!A:A,E96,All_Stats!B:B,"Overall")</f>
        <v>0</v>
      </c>
      <c r="U96" s="246" t="str">
        <f>if(OR($E96="",$D96="",COUNTIFS(DailyDelivery!$A:$A,$E96,DailyDelivery!$B:$B,$D96,DailyDelivery!$C:$C,U$1)=0),"",COUNTIFS(DailyDelivery!$A:$A,$E96,DailyDelivery!$B:$B,$D96,DailyDelivery!$C:$C,U$1))</f>
        <v/>
      </c>
      <c r="V96" s="246" t="str">
        <f>if(OR($E96="",$D96="",COUNTIFS(DailyDelivery!$A:$A,$E96,DailyDelivery!$B:$B,$D96,DailyDelivery!$C:$C,V$1)=0),"",COUNTIFS(DailyDelivery!$A:$A,$E96,DailyDelivery!$B:$B,$D96,DailyDelivery!$C:$C,V$1))</f>
        <v/>
      </c>
      <c r="W96" s="246" t="str">
        <f>if(OR($E96="",$D96="",COUNTIFS(DailyDelivery!$A:$A,$E96,DailyDelivery!$B:$B,$D96,DailyDelivery!$C:$C,W$1)=0),"",COUNTIFS(DailyDelivery!$A:$A,$E96,DailyDelivery!$B:$B,$D96,DailyDelivery!$C:$C,W$1))</f>
        <v/>
      </c>
      <c r="X96" s="246" t="str">
        <f>if(OR($E96="",$D96="",COUNTIFS(DailyDelivery!$A:$A,$E96,DailyDelivery!$B:$B,$D96,DailyDelivery!$C:$C,X$1)=0),"",COUNTIFS(DailyDelivery!$A:$A,$E96,DailyDelivery!$B:$B,$D96,DailyDelivery!$C:$C,X$1))</f>
        <v/>
      </c>
      <c r="Y96" s="246" t="str">
        <f>if(OR($E96="",$D96="",COUNTIFS(DailyDelivery!$A:$A,$E96,DailyDelivery!$B:$B,$D96,DailyDelivery!$C:$C,Y$1)=0),"",COUNTIFS(DailyDelivery!$A:$A,$E96,DailyDelivery!$B:$B,$D96,DailyDelivery!$C:$C,Y$1))</f>
        <v/>
      </c>
      <c r="Z96" s="246" t="str">
        <f>if(OR($E96="",$D96="",COUNTIFS(DailyDelivery!$A:$A,$E96,DailyDelivery!$B:$B,$D96,DailyDelivery!$C:$C,Z$1)=0),"",COUNTIFS(DailyDelivery!$A:$A,$E96,DailyDelivery!$B:$B,$D96,DailyDelivery!$C:$C,Z$1))</f>
        <v/>
      </c>
      <c r="AA96" s="246" t="str">
        <f>if(OR($E96="",$D96="",COUNTIFS(DailyDelivery!$A:$A,$E96,DailyDelivery!$B:$B,$D96,DailyDelivery!$C:$C,AA$1)=0),"",COUNTIFS(DailyDelivery!$A:$A,$E96,DailyDelivery!$B:$B,$D96,DailyDelivery!$C:$C,AA$1))</f>
        <v/>
      </c>
      <c r="AB96" s="246" t="str">
        <f>if(OR($E96="",$D96="",COUNTIFS(DailyDelivery!$A:$A,$E96,DailyDelivery!$B:$B,$D96,DailyDelivery!$C:$C,AB$1)=0),"",COUNTIFS(DailyDelivery!$A:$A,$E96,DailyDelivery!$B:$B,$D96,DailyDelivery!$C:$C,AB$1))</f>
        <v/>
      </c>
      <c r="AC96" s="246" t="str">
        <f>if(OR($E96="",$D96="",COUNTIFS(DailyDelivery!$A:$A,$E96,DailyDelivery!$B:$B,$D96,DailyDelivery!$C:$C,AC$1)=0),"",COUNTIFS(DailyDelivery!$A:$A,$E96,DailyDelivery!$B:$B,$D96,DailyDelivery!$C:$C,AC$1))</f>
        <v/>
      </c>
      <c r="AD96" s="246" t="str">
        <f>if(OR($E96="",$D96="",COUNTIFS(DailyDelivery!$A:$A,$E96,DailyDelivery!$B:$B,$D96,DailyDelivery!$C:$C,AD$1)=0),"",COUNTIFS(DailyDelivery!$A:$A,$E96,DailyDelivery!$B:$B,$D96,DailyDelivery!$C:$C,AD$1))</f>
        <v/>
      </c>
      <c r="AE96" s="246" t="str">
        <f>if(OR($E96="",$D96="",COUNTIFS(DailyDelivery!$A:$A,$E96,DailyDelivery!$B:$B,$D96,DailyDelivery!$C:$C,AE$1)=0),"",COUNTIFS(DailyDelivery!$A:$A,$E96,DailyDelivery!$B:$B,$D96,DailyDelivery!$C:$C,AE$1))</f>
        <v/>
      </c>
      <c r="AF96" s="246" t="str">
        <f>if(OR($E96="",$D96="",COUNTIFS(DailyDelivery!$A:$A,$E96,DailyDelivery!$B:$B,$D96,DailyDelivery!$C:$C,AF$1)=0),"",COUNTIFS(DailyDelivery!$A:$A,$E96,DailyDelivery!$B:$B,$D96,DailyDelivery!$C:$C,AF$1))</f>
        <v/>
      </c>
      <c r="AG96" s="246" t="str">
        <f>if(OR($E96="",$D96="",COUNTIFS(DailyDelivery!$A:$A,$E96,DailyDelivery!$B:$B,$D96,DailyDelivery!$C:$C,AG$1)=0),"",COUNTIFS(DailyDelivery!$A:$A,$E96,DailyDelivery!$B:$B,$D96,DailyDelivery!$C:$C,AG$1))</f>
        <v/>
      </c>
      <c r="AH96" s="246" t="str">
        <f>if(OR($E96="",$D96="",COUNTIFS(DailyDelivery!$A:$A,$E96,DailyDelivery!$B:$B,$D96,DailyDelivery!$C:$C,AH$1)=0),"",COUNTIFS(DailyDelivery!$A:$A,$E96,DailyDelivery!$B:$B,$D96,DailyDelivery!$C:$C,AH$1))</f>
        <v/>
      </c>
    </row>
    <row r="97">
      <c r="A97" s="272"/>
      <c r="B97" s="273"/>
      <c r="C97" s="240"/>
      <c r="D97" s="274"/>
      <c r="E97" s="274"/>
      <c r="F97" s="242" t="str">
        <f t="shared" si="6"/>
        <v/>
      </c>
      <c r="G97" s="243" t="str">
        <f t="shared" si="7"/>
        <v/>
      </c>
      <c r="H97" s="242" t="str">
        <f t="shared" si="8"/>
        <v/>
      </c>
      <c r="I97" s="243" t="str">
        <f t="shared" si="9"/>
        <v/>
      </c>
      <c r="J97" s="244" t="str">
        <f>if(OR($E97="",$D97=""),"",sumifs(All_Stats!F:F,All_Stats!D:D,D97,All_Stats!A:A,E97,All_Stats!B:B,"Overall"))</f>
        <v/>
      </c>
      <c r="K97" s="275"/>
      <c r="L97" s="246" t="str">
        <f>if(OR($E97="",$D97=""),"",sumifs(All_Stats!G:G,All_Stats!D:D,D97,All_Stats!A:A,E97,All_Stats!B:B,"Overall"))</f>
        <v/>
      </c>
      <c r="M97" s="246" t="str">
        <f>if(OR($E97="",$D97=""),"",sumifs(All_Stats!H:H,All_Stats!D:D,D97,All_Stats!A:A,E97,All_Stats!B:B,"Overall"))</f>
        <v/>
      </c>
      <c r="N97" s="246" t="str">
        <f t="shared" si="10"/>
        <v/>
      </c>
      <c r="O97" s="276"/>
      <c r="P97" s="277"/>
      <c r="Q97" s="278"/>
      <c r="R97" s="250"/>
      <c r="S97" s="246">
        <f>SUMIFS(All_Stats!K:K,All_Stats!D:D,D97,All_Stats!A:A,E97,All_Stats!B:B,"Overall")</f>
        <v>0</v>
      </c>
      <c r="T97" s="251">
        <f>SUMIFS(All_Stats!L:L,All_Stats!D:D,D97,All_Stats!A:A,E97,All_Stats!B:B,"Overall")</f>
        <v>0</v>
      </c>
      <c r="U97" s="246" t="str">
        <f>if(OR($E97="",$D97="",COUNTIFS(DailyDelivery!$A:$A,$E97,DailyDelivery!$B:$B,$D97,DailyDelivery!$C:$C,U$1)=0),"",COUNTIFS(DailyDelivery!$A:$A,$E97,DailyDelivery!$B:$B,$D97,DailyDelivery!$C:$C,U$1))</f>
        <v/>
      </c>
      <c r="V97" s="246" t="str">
        <f>if(OR($E97="",$D97="",COUNTIFS(DailyDelivery!$A:$A,$E97,DailyDelivery!$B:$B,$D97,DailyDelivery!$C:$C,V$1)=0),"",COUNTIFS(DailyDelivery!$A:$A,$E97,DailyDelivery!$B:$B,$D97,DailyDelivery!$C:$C,V$1))</f>
        <v/>
      </c>
      <c r="W97" s="246" t="str">
        <f>if(OR($E97="",$D97="",COUNTIFS(DailyDelivery!$A:$A,$E97,DailyDelivery!$B:$B,$D97,DailyDelivery!$C:$C,W$1)=0),"",COUNTIFS(DailyDelivery!$A:$A,$E97,DailyDelivery!$B:$B,$D97,DailyDelivery!$C:$C,W$1))</f>
        <v/>
      </c>
      <c r="X97" s="246" t="str">
        <f>if(OR($E97="",$D97="",COUNTIFS(DailyDelivery!$A:$A,$E97,DailyDelivery!$B:$B,$D97,DailyDelivery!$C:$C,X$1)=0),"",COUNTIFS(DailyDelivery!$A:$A,$E97,DailyDelivery!$B:$B,$D97,DailyDelivery!$C:$C,X$1))</f>
        <v/>
      </c>
      <c r="Y97" s="246" t="str">
        <f>if(OR($E97="",$D97="",COUNTIFS(DailyDelivery!$A:$A,$E97,DailyDelivery!$B:$B,$D97,DailyDelivery!$C:$C,Y$1)=0),"",COUNTIFS(DailyDelivery!$A:$A,$E97,DailyDelivery!$B:$B,$D97,DailyDelivery!$C:$C,Y$1))</f>
        <v/>
      </c>
      <c r="Z97" s="246" t="str">
        <f>if(OR($E97="",$D97="",COUNTIFS(DailyDelivery!$A:$A,$E97,DailyDelivery!$B:$B,$D97,DailyDelivery!$C:$C,Z$1)=0),"",COUNTIFS(DailyDelivery!$A:$A,$E97,DailyDelivery!$B:$B,$D97,DailyDelivery!$C:$C,Z$1))</f>
        <v/>
      </c>
      <c r="AA97" s="246" t="str">
        <f>if(OR($E97="",$D97="",COUNTIFS(DailyDelivery!$A:$A,$E97,DailyDelivery!$B:$B,$D97,DailyDelivery!$C:$C,AA$1)=0),"",COUNTIFS(DailyDelivery!$A:$A,$E97,DailyDelivery!$B:$B,$D97,DailyDelivery!$C:$C,AA$1))</f>
        <v/>
      </c>
      <c r="AB97" s="246" t="str">
        <f>if(OR($E97="",$D97="",COUNTIFS(DailyDelivery!$A:$A,$E97,DailyDelivery!$B:$B,$D97,DailyDelivery!$C:$C,AB$1)=0),"",COUNTIFS(DailyDelivery!$A:$A,$E97,DailyDelivery!$B:$B,$D97,DailyDelivery!$C:$C,AB$1))</f>
        <v/>
      </c>
      <c r="AC97" s="246" t="str">
        <f>if(OR($E97="",$D97="",COUNTIFS(DailyDelivery!$A:$A,$E97,DailyDelivery!$B:$B,$D97,DailyDelivery!$C:$C,AC$1)=0),"",COUNTIFS(DailyDelivery!$A:$A,$E97,DailyDelivery!$B:$B,$D97,DailyDelivery!$C:$C,AC$1))</f>
        <v/>
      </c>
      <c r="AD97" s="246" t="str">
        <f>if(OR($E97="",$D97="",COUNTIFS(DailyDelivery!$A:$A,$E97,DailyDelivery!$B:$B,$D97,DailyDelivery!$C:$C,AD$1)=0),"",COUNTIFS(DailyDelivery!$A:$A,$E97,DailyDelivery!$B:$B,$D97,DailyDelivery!$C:$C,AD$1))</f>
        <v/>
      </c>
      <c r="AE97" s="246" t="str">
        <f>if(OR($E97="",$D97="",COUNTIFS(DailyDelivery!$A:$A,$E97,DailyDelivery!$B:$B,$D97,DailyDelivery!$C:$C,AE$1)=0),"",COUNTIFS(DailyDelivery!$A:$A,$E97,DailyDelivery!$B:$B,$D97,DailyDelivery!$C:$C,AE$1))</f>
        <v/>
      </c>
      <c r="AF97" s="246" t="str">
        <f>if(OR($E97="",$D97="",COUNTIFS(DailyDelivery!$A:$A,$E97,DailyDelivery!$B:$B,$D97,DailyDelivery!$C:$C,AF$1)=0),"",COUNTIFS(DailyDelivery!$A:$A,$E97,DailyDelivery!$B:$B,$D97,DailyDelivery!$C:$C,AF$1))</f>
        <v/>
      </c>
      <c r="AG97" s="246" t="str">
        <f>if(OR($E97="",$D97="",COUNTIFS(DailyDelivery!$A:$A,$E97,DailyDelivery!$B:$B,$D97,DailyDelivery!$C:$C,AG$1)=0),"",COUNTIFS(DailyDelivery!$A:$A,$E97,DailyDelivery!$B:$B,$D97,DailyDelivery!$C:$C,AG$1))</f>
        <v/>
      </c>
      <c r="AH97" s="246" t="str">
        <f>if(OR($E97="",$D97="",COUNTIFS(DailyDelivery!$A:$A,$E97,DailyDelivery!$B:$B,$D97,DailyDelivery!$C:$C,AH$1)=0),"",COUNTIFS(DailyDelivery!$A:$A,$E97,DailyDelivery!$B:$B,$D97,DailyDelivery!$C:$C,AH$1))</f>
        <v/>
      </c>
    </row>
    <row r="98">
      <c r="A98" s="272"/>
      <c r="B98" s="273"/>
      <c r="C98" s="240"/>
      <c r="D98" s="274"/>
      <c r="E98" s="274"/>
      <c r="F98" s="242" t="str">
        <f t="shared" si="6"/>
        <v/>
      </c>
      <c r="G98" s="243" t="str">
        <f t="shared" si="7"/>
        <v/>
      </c>
      <c r="H98" s="242" t="str">
        <f t="shared" si="8"/>
        <v/>
      </c>
      <c r="I98" s="243" t="str">
        <f t="shared" si="9"/>
        <v/>
      </c>
      <c r="J98" s="244" t="str">
        <f>if(OR($E98="",$D98=""),"",sumifs(All_Stats!F:F,All_Stats!D:D,D98,All_Stats!A:A,E98,All_Stats!B:B,"Overall"))</f>
        <v/>
      </c>
      <c r="K98" s="275"/>
      <c r="L98" s="246" t="str">
        <f>if(OR($E98="",$D98=""),"",sumifs(All_Stats!G:G,All_Stats!D:D,D98,All_Stats!A:A,E98,All_Stats!B:B,"Overall"))</f>
        <v/>
      </c>
      <c r="M98" s="246" t="str">
        <f>if(OR($E98="",$D98=""),"",sumifs(All_Stats!H:H,All_Stats!D:D,D98,All_Stats!A:A,E98,All_Stats!B:B,"Overall"))</f>
        <v/>
      </c>
      <c r="N98" s="246" t="str">
        <f t="shared" si="10"/>
        <v/>
      </c>
      <c r="O98" s="276"/>
      <c r="P98" s="277"/>
      <c r="Q98" s="278"/>
      <c r="R98" s="250"/>
      <c r="S98" s="246">
        <f>SUMIFS(All_Stats!K:K,All_Stats!D:D,D98,All_Stats!A:A,E98,All_Stats!B:B,"Overall")</f>
        <v>0</v>
      </c>
      <c r="T98" s="251">
        <f>SUMIFS(All_Stats!L:L,All_Stats!D:D,D98,All_Stats!A:A,E98,All_Stats!B:B,"Overall")</f>
        <v>0</v>
      </c>
      <c r="U98" s="246" t="str">
        <f>if(OR($E98="",$D98="",COUNTIFS(DailyDelivery!$A:$A,$E98,DailyDelivery!$B:$B,$D98,DailyDelivery!$C:$C,U$1)=0),"",COUNTIFS(DailyDelivery!$A:$A,$E98,DailyDelivery!$B:$B,$D98,DailyDelivery!$C:$C,U$1))</f>
        <v/>
      </c>
      <c r="V98" s="246" t="str">
        <f>if(OR($E98="",$D98="",COUNTIFS(DailyDelivery!$A:$A,$E98,DailyDelivery!$B:$B,$D98,DailyDelivery!$C:$C,V$1)=0),"",COUNTIFS(DailyDelivery!$A:$A,$E98,DailyDelivery!$B:$B,$D98,DailyDelivery!$C:$C,V$1))</f>
        <v/>
      </c>
      <c r="W98" s="246" t="str">
        <f>if(OR($E98="",$D98="",COUNTIFS(DailyDelivery!$A:$A,$E98,DailyDelivery!$B:$B,$D98,DailyDelivery!$C:$C,W$1)=0),"",COUNTIFS(DailyDelivery!$A:$A,$E98,DailyDelivery!$B:$B,$D98,DailyDelivery!$C:$C,W$1))</f>
        <v/>
      </c>
      <c r="X98" s="246" t="str">
        <f>if(OR($E98="",$D98="",COUNTIFS(DailyDelivery!$A:$A,$E98,DailyDelivery!$B:$B,$D98,DailyDelivery!$C:$C,X$1)=0),"",COUNTIFS(DailyDelivery!$A:$A,$E98,DailyDelivery!$B:$B,$D98,DailyDelivery!$C:$C,X$1))</f>
        <v/>
      </c>
      <c r="Y98" s="246" t="str">
        <f>if(OR($E98="",$D98="",COUNTIFS(DailyDelivery!$A:$A,$E98,DailyDelivery!$B:$B,$D98,DailyDelivery!$C:$C,Y$1)=0),"",COUNTIFS(DailyDelivery!$A:$A,$E98,DailyDelivery!$B:$B,$D98,DailyDelivery!$C:$C,Y$1))</f>
        <v/>
      </c>
      <c r="Z98" s="246" t="str">
        <f>if(OR($E98="",$D98="",COUNTIFS(DailyDelivery!$A:$A,$E98,DailyDelivery!$B:$B,$D98,DailyDelivery!$C:$C,Z$1)=0),"",COUNTIFS(DailyDelivery!$A:$A,$E98,DailyDelivery!$B:$B,$D98,DailyDelivery!$C:$C,Z$1))</f>
        <v/>
      </c>
      <c r="AA98" s="246" t="str">
        <f>if(OR($E98="",$D98="",COUNTIFS(DailyDelivery!$A:$A,$E98,DailyDelivery!$B:$B,$D98,DailyDelivery!$C:$C,AA$1)=0),"",COUNTIFS(DailyDelivery!$A:$A,$E98,DailyDelivery!$B:$B,$D98,DailyDelivery!$C:$C,AA$1))</f>
        <v/>
      </c>
      <c r="AB98" s="246" t="str">
        <f>if(OR($E98="",$D98="",COUNTIFS(DailyDelivery!$A:$A,$E98,DailyDelivery!$B:$B,$D98,DailyDelivery!$C:$C,AB$1)=0),"",COUNTIFS(DailyDelivery!$A:$A,$E98,DailyDelivery!$B:$B,$D98,DailyDelivery!$C:$C,AB$1))</f>
        <v/>
      </c>
      <c r="AC98" s="246" t="str">
        <f>if(OR($E98="",$D98="",COUNTIFS(DailyDelivery!$A:$A,$E98,DailyDelivery!$B:$B,$D98,DailyDelivery!$C:$C,AC$1)=0),"",COUNTIFS(DailyDelivery!$A:$A,$E98,DailyDelivery!$B:$B,$D98,DailyDelivery!$C:$C,AC$1))</f>
        <v/>
      </c>
      <c r="AD98" s="246" t="str">
        <f>if(OR($E98="",$D98="",COUNTIFS(DailyDelivery!$A:$A,$E98,DailyDelivery!$B:$B,$D98,DailyDelivery!$C:$C,AD$1)=0),"",COUNTIFS(DailyDelivery!$A:$A,$E98,DailyDelivery!$B:$B,$D98,DailyDelivery!$C:$C,AD$1))</f>
        <v/>
      </c>
      <c r="AE98" s="246" t="str">
        <f>if(OR($E98="",$D98="",COUNTIFS(DailyDelivery!$A:$A,$E98,DailyDelivery!$B:$B,$D98,DailyDelivery!$C:$C,AE$1)=0),"",COUNTIFS(DailyDelivery!$A:$A,$E98,DailyDelivery!$B:$B,$D98,DailyDelivery!$C:$C,AE$1))</f>
        <v/>
      </c>
      <c r="AF98" s="246" t="str">
        <f>if(OR($E98="",$D98="",COUNTIFS(DailyDelivery!$A:$A,$E98,DailyDelivery!$B:$B,$D98,DailyDelivery!$C:$C,AF$1)=0),"",COUNTIFS(DailyDelivery!$A:$A,$E98,DailyDelivery!$B:$B,$D98,DailyDelivery!$C:$C,AF$1))</f>
        <v/>
      </c>
      <c r="AG98" s="246" t="str">
        <f>if(OR($E98="",$D98="",COUNTIFS(DailyDelivery!$A:$A,$E98,DailyDelivery!$B:$B,$D98,DailyDelivery!$C:$C,AG$1)=0),"",COUNTIFS(DailyDelivery!$A:$A,$E98,DailyDelivery!$B:$B,$D98,DailyDelivery!$C:$C,AG$1))</f>
        <v/>
      </c>
      <c r="AH98" s="246" t="str">
        <f>if(OR($E98="",$D98="",COUNTIFS(DailyDelivery!$A:$A,$E98,DailyDelivery!$B:$B,$D98,DailyDelivery!$C:$C,AH$1)=0),"",COUNTIFS(DailyDelivery!$A:$A,$E98,DailyDelivery!$B:$B,$D98,DailyDelivery!$C:$C,AH$1))</f>
        <v/>
      </c>
    </row>
    <row r="99">
      <c r="A99" s="272"/>
      <c r="B99" s="273"/>
      <c r="C99" s="240"/>
      <c r="D99" s="274"/>
      <c r="E99" s="274"/>
      <c r="F99" s="242" t="str">
        <f t="shared" si="6"/>
        <v/>
      </c>
      <c r="G99" s="243" t="str">
        <f t="shared" si="7"/>
        <v/>
      </c>
      <c r="H99" s="242" t="str">
        <f t="shared" si="8"/>
        <v/>
      </c>
      <c r="I99" s="243" t="str">
        <f t="shared" si="9"/>
        <v/>
      </c>
      <c r="J99" s="244" t="str">
        <f>if(OR($E99="",$D99=""),"",sumifs(All_Stats!F:F,All_Stats!D:D,D99,All_Stats!A:A,E99,All_Stats!B:B,"Overall"))</f>
        <v/>
      </c>
      <c r="K99" s="275"/>
      <c r="L99" s="246" t="str">
        <f>if(OR($E99="",$D99=""),"",sumifs(All_Stats!G:G,All_Stats!D:D,D99,All_Stats!A:A,E99,All_Stats!B:B,"Overall"))</f>
        <v/>
      </c>
      <c r="M99" s="246" t="str">
        <f>if(OR($E99="",$D99=""),"",sumifs(All_Stats!H:H,All_Stats!D:D,D99,All_Stats!A:A,E99,All_Stats!B:B,"Overall"))</f>
        <v/>
      </c>
      <c r="N99" s="246" t="str">
        <f t="shared" si="10"/>
        <v/>
      </c>
      <c r="O99" s="276"/>
      <c r="P99" s="277"/>
      <c r="Q99" s="278"/>
      <c r="R99" s="250"/>
      <c r="S99" s="246">
        <f>SUMIFS(All_Stats!K:K,All_Stats!D:D,D99,All_Stats!A:A,E99,All_Stats!B:B,"Overall")</f>
        <v>0</v>
      </c>
      <c r="T99" s="251">
        <f>SUMIFS(All_Stats!L:L,All_Stats!D:D,D99,All_Stats!A:A,E99,All_Stats!B:B,"Overall")</f>
        <v>0</v>
      </c>
      <c r="U99" s="246" t="str">
        <f>if(OR($E99="",$D99="",COUNTIFS(DailyDelivery!$A:$A,$E99,DailyDelivery!$B:$B,$D99,DailyDelivery!$C:$C,U$1)=0),"",COUNTIFS(DailyDelivery!$A:$A,$E99,DailyDelivery!$B:$B,$D99,DailyDelivery!$C:$C,U$1))</f>
        <v/>
      </c>
      <c r="V99" s="246" t="str">
        <f>if(OR($E99="",$D99="",COUNTIFS(DailyDelivery!$A:$A,$E99,DailyDelivery!$B:$B,$D99,DailyDelivery!$C:$C,V$1)=0),"",COUNTIFS(DailyDelivery!$A:$A,$E99,DailyDelivery!$B:$B,$D99,DailyDelivery!$C:$C,V$1))</f>
        <v/>
      </c>
      <c r="W99" s="246" t="str">
        <f>if(OR($E99="",$D99="",COUNTIFS(DailyDelivery!$A:$A,$E99,DailyDelivery!$B:$B,$D99,DailyDelivery!$C:$C,W$1)=0),"",COUNTIFS(DailyDelivery!$A:$A,$E99,DailyDelivery!$B:$B,$D99,DailyDelivery!$C:$C,W$1))</f>
        <v/>
      </c>
      <c r="X99" s="246" t="str">
        <f>if(OR($E99="",$D99="",COUNTIFS(DailyDelivery!$A:$A,$E99,DailyDelivery!$B:$B,$D99,DailyDelivery!$C:$C,X$1)=0),"",COUNTIFS(DailyDelivery!$A:$A,$E99,DailyDelivery!$B:$B,$D99,DailyDelivery!$C:$C,X$1))</f>
        <v/>
      </c>
      <c r="Y99" s="246" t="str">
        <f>if(OR($E99="",$D99="",COUNTIFS(DailyDelivery!$A:$A,$E99,DailyDelivery!$B:$B,$D99,DailyDelivery!$C:$C,Y$1)=0),"",COUNTIFS(DailyDelivery!$A:$A,$E99,DailyDelivery!$B:$B,$D99,DailyDelivery!$C:$C,Y$1))</f>
        <v/>
      </c>
      <c r="Z99" s="246" t="str">
        <f>if(OR($E99="",$D99="",COUNTIFS(DailyDelivery!$A:$A,$E99,DailyDelivery!$B:$B,$D99,DailyDelivery!$C:$C,Z$1)=0),"",COUNTIFS(DailyDelivery!$A:$A,$E99,DailyDelivery!$B:$B,$D99,DailyDelivery!$C:$C,Z$1))</f>
        <v/>
      </c>
      <c r="AA99" s="246" t="str">
        <f>if(OR($E99="",$D99="",COUNTIFS(DailyDelivery!$A:$A,$E99,DailyDelivery!$B:$B,$D99,DailyDelivery!$C:$C,AA$1)=0),"",COUNTIFS(DailyDelivery!$A:$A,$E99,DailyDelivery!$B:$B,$D99,DailyDelivery!$C:$C,AA$1))</f>
        <v/>
      </c>
      <c r="AB99" s="246" t="str">
        <f>if(OR($E99="",$D99="",COUNTIFS(DailyDelivery!$A:$A,$E99,DailyDelivery!$B:$B,$D99,DailyDelivery!$C:$C,AB$1)=0),"",COUNTIFS(DailyDelivery!$A:$A,$E99,DailyDelivery!$B:$B,$D99,DailyDelivery!$C:$C,AB$1))</f>
        <v/>
      </c>
      <c r="AC99" s="246" t="str">
        <f>if(OR($E99="",$D99="",COUNTIFS(DailyDelivery!$A:$A,$E99,DailyDelivery!$B:$B,$D99,DailyDelivery!$C:$C,AC$1)=0),"",COUNTIFS(DailyDelivery!$A:$A,$E99,DailyDelivery!$B:$B,$D99,DailyDelivery!$C:$C,AC$1))</f>
        <v/>
      </c>
      <c r="AD99" s="246" t="str">
        <f>if(OR($E99="",$D99="",COUNTIFS(DailyDelivery!$A:$A,$E99,DailyDelivery!$B:$B,$D99,DailyDelivery!$C:$C,AD$1)=0),"",COUNTIFS(DailyDelivery!$A:$A,$E99,DailyDelivery!$B:$B,$D99,DailyDelivery!$C:$C,AD$1))</f>
        <v/>
      </c>
      <c r="AE99" s="246" t="str">
        <f>if(OR($E99="",$D99="",COUNTIFS(DailyDelivery!$A:$A,$E99,DailyDelivery!$B:$B,$D99,DailyDelivery!$C:$C,AE$1)=0),"",COUNTIFS(DailyDelivery!$A:$A,$E99,DailyDelivery!$B:$B,$D99,DailyDelivery!$C:$C,AE$1))</f>
        <v/>
      </c>
      <c r="AF99" s="246" t="str">
        <f>if(OR($E99="",$D99="",COUNTIFS(DailyDelivery!$A:$A,$E99,DailyDelivery!$B:$B,$D99,DailyDelivery!$C:$C,AF$1)=0),"",COUNTIFS(DailyDelivery!$A:$A,$E99,DailyDelivery!$B:$B,$D99,DailyDelivery!$C:$C,AF$1))</f>
        <v/>
      </c>
      <c r="AG99" s="246" t="str">
        <f>if(OR($E99="",$D99="",COUNTIFS(DailyDelivery!$A:$A,$E99,DailyDelivery!$B:$B,$D99,DailyDelivery!$C:$C,AG$1)=0),"",COUNTIFS(DailyDelivery!$A:$A,$E99,DailyDelivery!$B:$B,$D99,DailyDelivery!$C:$C,AG$1))</f>
        <v/>
      </c>
      <c r="AH99" s="246" t="str">
        <f>if(OR($E99="",$D99="",COUNTIFS(DailyDelivery!$A:$A,$E99,DailyDelivery!$B:$B,$D99,DailyDelivery!$C:$C,AH$1)=0),"",COUNTIFS(DailyDelivery!$A:$A,$E99,DailyDelivery!$B:$B,$D99,DailyDelivery!$C:$C,AH$1))</f>
        <v/>
      </c>
    </row>
    <row r="100">
      <c r="A100" s="272"/>
      <c r="B100" s="273"/>
      <c r="C100" s="240"/>
      <c r="D100" s="274"/>
      <c r="E100" s="274"/>
      <c r="F100" s="242" t="str">
        <f t="shared" si="6"/>
        <v/>
      </c>
      <c r="G100" s="243" t="str">
        <f t="shared" si="7"/>
        <v/>
      </c>
      <c r="H100" s="242" t="str">
        <f t="shared" si="8"/>
        <v/>
      </c>
      <c r="I100" s="243" t="str">
        <f t="shared" si="9"/>
        <v/>
      </c>
      <c r="J100" s="244" t="str">
        <f>if(OR($E100="",$D100=""),"",sumifs(All_Stats!F:F,All_Stats!D:D,D100,All_Stats!A:A,E100,All_Stats!B:B,"Overall"))</f>
        <v/>
      </c>
      <c r="K100" s="275"/>
      <c r="L100" s="246" t="str">
        <f>if(OR($E100="",$D100=""),"",sumifs(All_Stats!G:G,All_Stats!D:D,D100,All_Stats!A:A,E100,All_Stats!B:B,"Overall"))</f>
        <v/>
      </c>
      <c r="M100" s="246" t="str">
        <f>if(OR($E100="",$D100=""),"",sumifs(All_Stats!H:H,All_Stats!D:D,D100,All_Stats!A:A,E100,All_Stats!B:B,"Overall"))</f>
        <v/>
      </c>
      <c r="N100" s="246" t="str">
        <f t="shared" si="10"/>
        <v/>
      </c>
      <c r="O100" s="276"/>
      <c r="P100" s="277"/>
      <c r="Q100" s="278"/>
      <c r="R100" s="250"/>
      <c r="S100" s="246">
        <f>SUMIFS(All_Stats!K:K,All_Stats!D:D,D100,All_Stats!A:A,E100,All_Stats!B:B,"Overall")</f>
        <v>0</v>
      </c>
      <c r="T100" s="251">
        <f>SUMIFS(All_Stats!L:L,All_Stats!D:D,D100,All_Stats!A:A,E100,All_Stats!B:B,"Overall")</f>
        <v>0</v>
      </c>
      <c r="U100" s="246" t="str">
        <f>if(OR($E100="",$D100="",COUNTIFS(DailyDelivery!$A:$A,$E100,DailyDelivery!$B:$B,$D100,DailyDelivery!$C:$C,U$1)=0),"",COUNTIFS(DailyDelivery!$A:$A,$E100,DailyDelivery!$B:$B,$D100,DailyDelivery!$C:$C,U$1))</f>
        <v/>
      </c>
      <c r="V100" s="246" t="str">
        <f>if(OR($E100="",$D100="",COUNTIFS(DailyDelivery!$A:$A,$E100,DailyDelivery!$B:$B,$D100,DailyDelivery!$C:$C,V$1)=0),"",COUNTIFS(DailyDelivery!$A:$A,$E100,DailyDelivery!$B:$B,$D100,DailyDelivery!$C:$C,V$1))</f>
        <v/>
      </c>
      <c r="W100" s="246" t="str">
        <f>if(OR($E100="",$D100="",COUNTIFS(DailyDelivery!$A:$A,$E100,DailyDelivery!$B:$B,$D100,DailyDelivery!$C:$C,W$1)=0),"",COUNTIFS(DailyDelivery!$A:$A,$E100,DailyDelivery!$B:$B,$D100,DailyDelivery!$C:$C,W$1))</f>
        <v/>
      </c>
      <c r="X100" s="246" t="str">
        <f>if(OR($E100="",$D100="",COUNTIFS(DailyDelivery!$A:$A,$E100,DailyDelivery!$B:$B,$D100,DailyDelivery!$C:$C,X$1)=0),"",COUNTIFS(DailyDelivery!$A:$A,$E100,DailyDelivery!$B:$B,$D100,DailyDelivery!$C:$C,X$1))</f>
        <v/>
      </c>
      <c r="Y100" s="246" t="str">
        <f>if(OR($E100="",$D100="",COUNTIFS(DailyDelivery!$A:$A,$E100,DailyDelivery!$B:$B,$D100,DailyDelivery!$C:$C,Y$1)=0),"",COUNTIFS(DailyDelivery!$A:$A,$E100,DailyDelivery!$B:$B,$D100,DailyDelivery!$C:$C,Y$1))</f>
        <v/>
      </c>
      <c r="Z100" s="246" t="str">
        <f>if(OR($E100="",$D100="",COUNTIFS(DailyDelivery!$A:$A,$E100,DailyDelivery!$B:$B,$D100,DailyDelivery!$C:$C,Z$1)=0),"",COUNTIFS(DailyDelivery!$A:$A,$E100,DailyDelivery!$B:$B,$D100,DailyDelivery!$C:$C,Z$1))</f>
        <v/>
      </c>
      <c r="AA100" s="246" t="str">
        <f>if(OR($E100="",$D100="",COUNTIFS(DailyDelivery!$A:$A,$E100,DailyDelivery!$B:$B,$D100,DailyDelivery!$C:$C,AA$1)=0),"",COUNTIFS(DailyDelivery!$A:$A,$E100,DailyDelivery!$B:$B,$D100,DailyDelivery!$C:$C,AA$1))</f>
        <v/>
      </c>
      <c r="AB100" s="246" t="str">
        <f>if(OR($E100="",$D100="",COUNTIFS(DailyDelivery!$A:$A,$E100,DailyDelivery!$B:$B,$D100,DailyDelivery!$C:$C,AB$1)=0),"",COUNTIFS(DailyDelivery!$A:$A,$E100,DailyDelivery!$B:$B,$D100,DailyDelivery!$C:$C,AB$1))</f>
        <v/>
      </c>
      <c r="AC100" s="246" t="str">
        <f>if(OR($E100="",$D100="",COUNTIFS(DailyDelivery!$A:$A,$E100,DailyDelivery!$B:$B,$D100,DailyDelivery!$C:$C,AC$1)=0),"",COUNTIFS(DailyDelivery!$A:$A,$E100,DailyDelivery!$B:$B,$D100,DailyDelivery!$C:$C,AC$1))</f>
        <v/>
      </c>
      <c r="AD100" s="246" t="str">
        <f>if(OR($E100="",$D100="",COUNTIFS(DailyDelivery!$A:$A,$E100,DailyDelivery!$B:$B,$D100,DailyDelivery!$C:$C,AD$1)=0),"",COUNTIFS(DailyDelivery!$A:$A,$E100,DailyDelivery!$B:$B,$D100,DailyDelivery!$C:$C,AD$1))</f>
        <v/>
      </c>
      <c r="AE100" s="246" t="str">
        <f>if(OR($E100="",$D100="",COUNTIFS(DailyDelivery!$A:$A,$E100,DailyDelivery!$B:$B,$D100,DailyDelivery!$C:$C,AE$1)=0),"",COUNTIFS(DailyDelivery!$A:$A,$E100,DailyDelivery!$B:$B,$D100,DailyDelivery!$C:$C,AE$1))</f>
        <v/>
      </c>
      <c r="AF100" s="246" t="str">
        <f>if(OR($E100="",$D100="",COUNTIFS(DailyDelivery!$A:$A,$E100,DailyDelivery!$B:$B,$D100,DailyDelivery!$C:$C,AF$1)=0),"",COUNTIFS(DailyDelivery!$A:$A,$E100,DailyDelivery!$B:$B,$D100,DailyDelivery!$C:$C,AF$1))</f>
        <v/>
      </c>
      <c r="AG100" s="246" t="str">
        <f>if(OR($E100="",$D100="",COUNTIFS(DailyDelivery!$A:$A,$E100,DailyDelivery!$B:$B,$D100,DailyDelivery!$C:$C,AG$1)=0),"",COUNTIFS(DailyDelivery!$A:$A,$E100,DailyDelivery!$B:$B,$D100,DailyDelivery!$C:$C,AG$1))</f>
        <v/>
      </c>
      <c r="AH100" s="246" t="str">
        <f>if(OR($E100="",$D100="",COUNTIFS(DailyDelivery!$A:$A,$E100,DailyDelivery!$B:$B,$D100,DailyDelivery!$C:$C,AH$1)=0),"",COUNTIFS(DailyDelivery!$A:$A,$E100,DailyDelivery!$B:$B,$D100,DailyDelivery!$C:$C,AH$1))</f>
        <v/>
      </c>
    </row>
    <row r="101">
      <c r="A101" s="272"/>
      <c r="B101" s="273"/>
      <c r="C101" s="240"/>
      <c r="D101" s="274"/>
      <c r="E101" s="274"/>
      <c r="F101" s="242" t="str">
        <f t="shared" si="6"/>
        <v/>
      </c>
      <c r="G101" s="243" t="str">
        <f t="shared" si="7"/>
        <v/>
      </c>
      <c r="H101" s="242" t="str">
        <f t="shared" si="8"/>
        <v/>
      </c>
      <c r="I101" s="243" t="str">
        <f t="shared" si="9"/>
        <v/>
      </c>
      <c r="J101" s="244" t="str">
        <f>if(OR($E101="",$D101=""),"",sumifs(All_Stats!F:F,All_Stats!D:D,D101,All_Stats!A:A,E101,All_Stats!B:B,"Overall"))</f>
        <v/>
      </c>
      <c r="K101" s="275"/>
      <c r="L101" s="246" t="str">
        <f>if(OR($E101="",$D101=""),"",sumifs(All_Stats!G:G,All_Stats!D:D,D101,All_Stats!A:A,E101,All_Stats!B:B,"Overall"))</f>
        <v/>
      </c>
      <c r="M101" s="246" t="str">
        <f>if(OR($E101="",$D101=""),"",sumifs(All_Stats!H:H,All_Stats!D:D,D101,All_Stats!A:A,E101,All_Stats!B:B,"Overall"))</f>
        <v/>
      </c>
      <c r="N101" s="246" t="str">
        <f t="shared" si="10"/>
        <v/>
      </c>
      <c r="O101" s="276"/>
      <c r="P101" s="277"/>
      <c r="Q101" s="278"/>
      <c r="R101" s="250"/>
      <c r="S101" s="246">
        <f>SUMIFS(All_Stats!K:K,All_Stats!D:D,D101,All_Stats!A:A,E101,All_Stats!B:B,"Overall")</f>
        <v>0</v>
      </c>
      <c r="T101" s="251">
        <f>SUMIFS(All_Stats!L:L,All_Stats!D:D,D101,All_Stats!A:A,E101,All_Stats!B:B,"Overall")</f>
        <v>0</v>
      </c>
      <c r="U101" s="246" t="str">
        <f>if(OR($E101="",$D101="",COUNTIFS(DailyDelivery!$A:$A,$E101,DailyDelivery!$B:$B,$D101,DailyDelivery!$C:$C,U$1)=0),"",COUNTIFS(DailyDelivery!$A:$A,$E101,DailyDelivery!$B:$B,$D101,DailyDelivery!$C:$C,U$1))</f>
        <v/>
      </c>
      <c r="V101" s="246" t="str">
        <f>if(OR($E101="",$D101="",COUNTIFS(DailyDelivery!$A:$A,$E101,DailyDelivery!$B:$B,$D101,DailyDelivery!$C:$C,V$1)=0),"",COUNTIFS(DailyDelivery!$A:$A,$E101,DailyDelivery!$B:$B,$D101,DailyDelivery!$C:$C,V$1))</f>
        <v/>
      </c>
      <c r="W101" s="246" t="str">
        <f>if(OR($E101="",$D101="",COUNTIFS(DailyDelivery!$A:$A,$E101,DailyDelivery!$B:$B,$D101,DailyDelivery!$C:$C,W$1)=0),"",COUNTIFS(DailyDelivery!$A:$A,$E101,DailyDelivery!$B:$B,$D101,DailyDelivery!$C:$C,W$1))</f>
        <v/>
      </c>
      <c r="X101" s="246" t="str">
        <f>if(OR($E101="",$D101="",COUNTIFS(DailyDelivery!$A:$A,$E101,DailyDelivery!$B:$B,$D101,DailyDelivery!$C:$C,X$1)=0),"",COUNTIFS(DailyDelivery!$A:$A,$E101,DailyDelivery!$B:$B,$D101,DailyDelivery!$C:$C,X$1))</f>
        <v/>
      </c>
      <c r="Y101" s="246" t="str">
        <f>if(OR($E101="",$D101="",COUNTIFS(DailyDelivery!$A:$A,$E101,DailyDelivery!$B:$B,$D101,DailyDelivery!$C:$C,Y$1)=0),"",COUNTIFS(DailyDelivery!$A:$A,$E101,DailyDelivery!$B:$B,$D101,DailyDelivery!$C:$C,Y$1))</f>
        <v/>
      </c>
      <c r="Z101" s="246" t="str">
        <f>if(OR($E101="",$D101="",COUNTIFS(DailyDelivery!$A:$A,$E101,DailyDelivery!$B:$B,$D101,DailyDelivery!$C:$C,Z$1)=0),"",COUNTIFS(DailyDelivery!$A:$A,$E101,DailyDelivery!$B:$B,$D101,DailyDelivery!$C:$C,Z$1))</f>
        <v/>
      </c>
      <c r="AA101" s="246" t="str">
        <f>if(OR($E101="",$D101="",COUNTIFS(DailyDelivery!$A:$A,$E101,DailyDelivery!$B:$B,$D101,DailyDelivery!$C:$C,AA$1)=0),"",COUNTIFS(DailyDelivery!$A:$A,$E101,DailyDelivery!$B:$B,$D101,DailyDelivery!$C:$C,AA$1))</f>
        <v/>
      </c>
      <c r="AB101" s="246" t="str">
        <f>if(OR($E101="",$D101="",COUNTIFS(DailyDelivery!$A:$A,$E101,DailyDelivery!$B:$B,$D101,DailyDelivery!$C:$C,AB$1)=0),"",COUNTIFS(DailyDelivery!$A:$A,$E101,DailyDelivery!$B:$B,$D101,DailyDelivery!$C:$C,AB$1))</f>
        <v/>
      </c>
      <c r="AC101" s="246" t="str">
        <f>if(OR($E101="",$D101="",COUNTIFS(DailyDelivery!$A:$A,$E101,DailyDelivery!$B:$B,$D101,DailyDelivery!$C:$C,AC$1)=0),"",COUNTIFS(DailyDelivery!$A:$A,$E101,DailyDelivery!$B:$B,$D101,DailyDelivery!$C:$C,AC$1))</f>
        <v/>
      </c>
      <c r="AD101" s="246" t="str">
        <f>if(OR($E101="",$D101="",COUNTIFS(DailyDelivery!$A:$A,$E101,DailyDelivery!$B:$B,$D101,DailyDelivery!$C:$C,AD$1)=0),"",COUNTIFS(DailyDelivery!$A:$A,$E101,DailyDelivery!$B:$B,$D101,DailyDelivery!$C:$C,AD$1))</f>
        <v/>
      </c>
      <c r="AE101" s="246" t="str">
        <f>if(OR($E101="",$D101="",COUNTIFS(DailyDelivery!$A:$A,$E101,DailyDelivery!$B:$B,$D101,DailyDelivery!$C:$C,AE$1)=0),"",COUNTIFS(DailyDelivery!$A:$A,$E101,DailyDelivery!$B:$B,$D101,DailyDelivery!$C:$C,AE$1))</f>
        <v/>
      </c>
      <c r="AF101" s="246" t="str">
        <f>if(OR($E101="",$D101="",COUNTIFS(DailyDelivery!$A:$A,$E101,DailyDelivery!$B:$B,$D101,DailyDelivery!$C:$C,AF$1)=0),"",COUNTIFS(DailyDelivery!$A:$A,$E101,DailyDelivery!$B:$B,$D101,DailyDelivery!$C:$C,AF$1))</f>
        <v/>
      </c>
      <c r="AG101" s="246" t="str">
        <f>if(OR($E101="",$D101="",COUNTIFS(DailyDelivery!$A:$A,$E101,DailyDelivery!$B:$B,$D101,DailyDelivery!$C:$C,AG$1)=0),"",COUNTIFS(DailyDelivery!$A:$A,$E101,DailyDelivery!$B:$B,$D101,DailyDelivery!$C:$C,AG$1))</f>
        <v/>
      </c>
      <c r="AH101" s="246" t="str">
        <f>if(OR($E101="",$D101="",COUNTIFS(DailyDelivery!$A:$A,$E101,DailyDelivery!$B:$B,$D101,DailyDelivery!$C:$C,AH$1)=0),"",COUNTIFS(DailyDelivery!$A:$A,$E101,DailyDelivery!$B:$B,$D101,DailyDelivery!$C:$C,AH$1))</f>
        <v/>
      </c>
    </row>
    <row r="102">
      <c r="A102" s="272"/>
      <c r="B102" s="273"/>
      <c r="C102" s="240"/>
      <c r="D102" s="274"/>
      <c r="E102" s="274"/>
      <c r="F102" s="242" t="str">
        <f t="shared" si="6"/>
        <v/>
      </c>
      <c r="G102" s="243" t="str">
        <f t="shared" si="7"/>
        <v/>
      </c>
      <c r="H102" s="242" t="str">
        <f t="shared" si="8"/>
        <v/>
      </c>
      <c r="I102" s="243" t="str">
        <f t="shared" si="9"/>
        <v/>
      </c>
      <c r="J102" s="244" t="str">
        <f>if(OR($E102="",$D102=""),"",sumifs(All_Stats!F:F,All_Stats!D:D,D102,All_Stats!A:A,E102,All_Stats!B:B,"Overall"))</f>
        <v/>
      </c>
      <c r="K102" s="275"/>
      <c r="L102" s="246" t="str">
        <f>if(OR($E102="",$D102=""),"",sumifs(All_Stats!G:G,All_Stats!D:D,D102,All_Stats!A:A,E102,All_Stats!B:B,"Overall"))</f>
        <v/>
      </c>
      <c r="M102" s="246" t="str">
        <f>if(OR($E102="",$D102=""),"",sumifs(All_Stats!H:H,All_Stats!D:D,D102,All_Stats!A:A,E102,All_Stats!B:B,"Overall"))</f>
        <v/>
      </c>
      <c r="N102" s="246" t="str">
        <f t="shared" si="10"/>
        <v/>
      </c>
      <c r="O102" s="276"/>
      <c r="P102" s="277"/>
      <c r="Q102" s="278"/>
      <c r="R102" s="250"/>
      <c r="S102" s="246">
        <f>SUMIFS(All_Stats!K:K,All_Stats!D:D,D102,All_Stats!A:A,E102,All_Stats!B:B,"Overall")</f>
        <v>0</v>
      </c>
      <c r="T102" s="251">
        <f>SUMIFS(All_Stats!L:L,All_Stats!D:D,D102,All_Stats!A:A,E102,All_Stats!B:B,"Overall")</f>
        <v>0</v>
      </c>
      <c r="U102" s="246" t="str">
        <f>if(OR($E102="",$D102="",COUNTIFS(DailyDelivery!$A:$A,$E102,DailyDelivery!$B:$B,$D102,DailyDelivery!$C:$C,U$1)=0),"",COUNTIFS(DailyDelivery!$A:$A,$E102,DailyDelivery!$B:$B,$D102,DailyDelivery!$C:$C,U$1))</f>
        <v/>
      </c>
      <c r="V102" s="246" t="str">
        <f>if(OR($E102="",$D102="",COUNTIFS(DailyDelivery!$A:$A,$E102,DailyDelivery!$B:$B,$D102,DailyDelivery!$C:$C,V$1)=0),"",COUNTIFS(DailyDelivery!$A:$A,$E102,DailyDelivery!$B:$B,$D102,DailyDelivery!$C:$C,V$1))</f>
        <v/>
      </c>
      <c r="W102" s="246" t="str">
        <f>if(OR($E102="",$D102="",COUNTIFS(DailyDelivery!$A:$A,$E102,DailyDelivery!$B:$B,$D102,DailyDelivery!$C:$C,W$1)=0),"",COUNTIFS(DailyDelivery!$A:$A,$E102,DailyDelivery!$B:$B,$D102,DailyDelivery!$C:$C,W$1))</f>
        <v/>
      </c>
      <c r="X102" s="246" t="str">
        <f>if(OR($E102="",$D102="",COUNTIFS(DailyDelivery!$A:$A,$E102,DailyDelivery!$B:$B,$D102,DailyDelivery!$C:$C,X$1)=0),"",COUNTIFS(DailyDelivery!$A:$A,$E102,DailyDelivery!$B:$B,$D102,DailyDelivery!$C:$C,X$1))</f>
        <v/>
      </c>
      <c r="Y102" s="246" t="str">
        <f>if(OR($E102="",$D102="",COUNTIFS(DailyDelivery!$A:$A,$E102,DailyDelivery!$B:$B,$D102,DailyDelivery!$C:$C,Y$1)=0),"",COUNTIFS(DailyDelivery!$A:$A,$E102,DailyDelivery!$B:$B,$D102,DailyDelivery!$C:$C,Y$1))</f>
        <v/>
      </c>
      <c r="Z102" s="246" t="str">
        <f>if(OR($E102="",$D102="",COUNTIFS(DailyDelivery!$A:$A,$E102,DailyDelivery!$B:$B,$D102,DailyDelivery!$C:$C,Z$1)=0),"",COUNTIFS(DailyDelivery!$A:$A,$E102,DailyDelivery!$B:$B,$D102,DailyDelivery!$C:$C,Z$1))</f>
        <v/>
      </c>
      <c r="AA102" s="246" t="str">
        <f>if(OR($E102="",$D102="",COUNTIFS(DailyDelivery!$A:$A,$E102,DailyDelivery!$B:$B,$D102,DailyDelivery!$C:$C,AA$1)=0),"",COUNTIFS(DailyDelivery!$A:$A,$E102,DailyDelivery!$B:$B,$D102,DailyDelivery!$C:$C,AA$1))</f>
        <v/>
      </c>
      <c r="AB102" s="246" t="str">
        <f>if(OR($E102="",$D102="",COUNTIFS(DailyDelivery!$A:$A,$E102,DailyDelivery!$B:$B,$D102,DailyDelivery!$C:$C,AB$1)=0),"",COUNTIFS(DailyDelivery!$A:$A,$E102,DailyDelivery!$B:$B,$D102,DailyDelivery!$C:$C,AB$1))</f>
        <v/>
      </c>
      <c r="AC102" s="246" t="str">
        <f>if(OR($E102="",$D102="",COUNTIFS(DailyDelivery!$A:$A,$E102,DailyDelivery!$B:$B,$D102,DailyDelivery!$C:$C,AC$1)=0),"",COUNTIFS(DailyDelivery!$A:$A,$E102,DailyDelivery!$B:$B,$D102,DailyDelivery!$C:$C,AC$1))</f>
        <v/>
      </c>
      <c r="AD102" s="246" t="str">
        <f>if(OR($E102="",$D102="",COUNTIFS(DailyDelivery!$A:$A,$E102,DailyDelivery!$B:$B,$D102,DailyDelivery!$C:$C,AD$1)=0),"",COUNTIFS(DailyDelivery!$A:$A,$E102,DailyDelivery!$B:$B,$D102,DailyDelivery!$C:$C,AD$1))</f>
        <v/>
      </c>
      <c r="AE102" s="246" t="str">
        <f>if(OR($E102="",$D102="",COUNTIFS(DailyDelivery!$A:$A,$E102,DailyDelivery!$B:$B,$D102,DailyDelivery!$C:$C,AE$1)=0),"",COUNTIFS(DailyDelivery!$A:$A,$E102,DailyDelivery!$B:$B,$D102,DailyDelivery!$C:$C,AE$1))</f>
        <v/>
      </c>
      <c r="AF102" s="246" t="str">
        <f>if(OR($E102="",$D102="",COUNTIFS(DailyDelivery!$A:$A,$E102,DailyDelivery!$B:$B,$D102,DailyDelivery!$C:$C,AF$1)=0),"",COUNTIFS(DailyDelivery!$A:$A,$E102,DailyDelivery!$B:$B,$D102,DailyDelivery!$C:$C,AF$1))</f>
        <v/>
      </c>
      <c r="AG102" s="246" t="str">
        <f>if(OR($E102="",$D102="",COUNTIFS(DailyDelivery!$A:$A,$E102,DailyDelivery!$B:$B,$D102,DailyDelivery!$C:$C,AG$1)=0),"",COUNTIFS(DailyDelivery!$A:$A,$E102,DailyDelivery!$B:$B,$D102,DailyDelivery!$C:$C,AG$1))</f>
        <v/>
      </c>
      <c r="AH102" s="246" t="str">
        <f>if(OR($E102="",$D102="",COUNTIFS(DailyDelivery!$A:$A,$E102,DailyDelivery!$B:$B,$D102,DailyDelivery!$C:$C,AH$1)=0),"",COUNTIFS(DailyDelivery!$A:$A,$E102,DailyDelivery!$B:$B,$D102,DailyDelivery!$C:$C,AH$1))</f>
        <v/>
      </c>
    </row>
    <row r="103">
      <c r="A103" s="272"/>
      <c r="B103" s="273"/>
      <c r="C103" s="240"/>
      <c r="D103" s="274"/>
      <c r="E103" s="274"/>
      <c r="F103" s="242" t="str">
        <f t="shared" si="6"/>
        <v/>
      </c>
      <c r="G103" s="243" t="str">
        <f t="shared" si="7"/>
        <v/>
      </c>
      <c r="H103" s="242" t="str">
        <f t="shared" si="8"/>
        <v/>
      </c>
      <c r="I103" s="243" t="str">
        <f t="shared" si="9"/>
        <v/>
      </c>
      <c r="J103" s="244" t="str">
        <f>if(OR($E103="",$D103=""),"",sumifs(All_Stats!F:F,All_Stats!D:D,D103,All_Stats!A:A,E103,All_Stats!B:B,"Overall"))</f>
        <v/>
      </c>
      <c r="K103" s="275"/>
      <c r="L103" s="246" t="str">
        <f>if(OR($E103="",$D103=""),"",sumifs(All_Stats!G:G,All_Stats!D:D,D103,All_Stats!A:A,E103,All_Stats!B:B,"Overall"))</f>
        <v/>
      </c>
      <c r="M103" s="246" t="str">
        <f>if(OR($E103="",$D103=""),"",sumifs(All_Stats!H:H,All_Stats!D:D,D103,All_Stats!A:A,E103,All_Stats!B:B,"Overall"))</f>
        <v/>
      </c>
      <c r="N103" s="246" t="str">
        <f t="shared" si="10"/>
        <v/>
      </c>
      <c r="O103" s="276"/>
      <c r="P103" s="277"/>
      <c r="Q103" s="278"/>
      <c r="R103" s="250"/>
      <c r="S103" s="246">
        <f>SUMIFS(All_Stats!K:K,All_Stats!D:D,D103,All_Stats!A:A,E103,All_Stats!B:B,"Overall")</f>
        <v>0</v>
      </c>
      <c r="T103" s="251">
        <f>SUMIFS(All_Stats!L:L,All_Stats!D:D,D103,All_Stats!A:A,E103,All_Stats!B:B,"Overall")</f>
        <v>0</v>
      </c>
      <c r="U103" s="246" t="str">
        <f>if(OR($E103="",$D103="",COUNTIFS(DailyDelivery!$A:$A,$E103,DailyDelivery!$B:$B,$D103,DailyDelivery!$C:$C,U$1)=0),"",COUNTIFS(DailyDelivery!$A:$A,$E103,DailyDelivery!$B:$B,$D103,DailyDelivery!$C:$C,U$1))</f>
        <v/>
      </c>
      <c r="V103" s="246" t="str">
        <f>if(OR($E103="",$D103="",COUNTIFS(DailyDelivery!$A:$A,$E103,DailyDelivery!$B:$B,$D103,DailyDelivery!$C:$C,V$1)=0),"",COUNTIFS(DailyDelivery!$A:$A,$E103,DailyDelivery!$B:$B,$D103,DailyDelivery!$C:$C,V$1))</f>
        <v/>
      </c>
      <c r="W103" s="246" t="str">
        <f>if(OR($E103="",$D103="",COUNTIFS(DailyDelivery!$A:$A,$E103,DailyDelivery!$B:$B,$D103,DailyDelivery!$C:$C,W$1)=0),"",COUNTIFS(DailyDelivery!$A:$A,$E103,DailyDelivery!$B:$B,$D103,DailyDelivery!$C:$C,W$1))</f>
        <v/>
      </c>
      <c r="X103" s="246" t="str">
        <f>if(OR($E103="",$D103="",COUNTIFS(DailyDelivery!$A:$A,$E103,DailyDelivery!$B:$B,$D103,DailyDelivery!$C:$C,X$1)=0),"",COUNTIFS(DailyDelivery!$A:$A,$E103,DailyDelivery!$B:$B,$D103,DailyDelivery!$C:$C,X$1))</f>
        <v/>
      </c>
      <c r="Y103" s="246" t="str">
        <f>if(OR($E103="",$D103="",COUNTIFS(DailyDelivery!$A:$A,$E103,DailyDelivery!$B:$B,$D103,DailyDelivery!$C:$C,Y$1)=0),"",COUNTIFS(DailyDelivery!$A:$A,$E103,DailyDelivery!$B:$B,$D103,DailyDelivery!$C:$C,Y$1))</f>
        <v/>
      </c>
      <c r="Z103" s="246" t="str">
        <f>if(OR($E103="",$D103="",COUNTIFS(DailyDelivery!$A:$A,$E103,DailyDelivery!$B:$B,$D103,DailyDelivery!$C:$C,Z$1)=0),"",COUNTIFS(DailyDelivery!$A:$A,$E103,DailyDelivery!$B:$B,$D103,DailyDelivery!$C:$C,Z$1))</f>
        <v/>
      </c>
      <c r="AA103" s="246" t="str">
        <f>if(OR($E103="",$D103="",COUNTIFS(DailyDelivery!$A:$A,$E103,DailyDelivery!$B:$B,$D103,DailyDelivery!$C:$C,AA$1)=0),"",COUNTIFS(DailyDelivery!$A:$A,$E103,DailyDelivery!$B:$B,$D103,DailyDelivery!$C:$C,AA$1))</f>
        <v/>
      </c>
      <c r="AB103" s="246" t="str">
        <f>if(OR($E103="",$D103="",COUNTIFS(DailyDelivery!$A:$A,$E103,DailyDelivery!$B:$B,$D103,DailyDelivery!$C:$C,AB$1)=0),"",COUNTIFS(DailyDelivery!$A:$A,$E103,DailyDelivery!$B:$B,$D103,DailyDelivery!$C:$C,AB$1))</f>
        <v/>
      </c>
      <c r="AC103" s="246" t="str">
        <f>if(OR($E103="",$D103="",COUNTIFS(DailyDelivery!$A:$A,$E103,DailyDelivery!$B:$B,$D103,DailyDelivery!$C:$C,AC$1)=0),"",COUNTIFS(DailyDelivery!$A:$A,$E103,DailyDelivery!$B:$B,$D103,DailyDelivery!$C:$C,AC$1))</f>
        <v/>
      </c>
      <c r="AD103" s="246" t="str">
        <f>if(OR($E103="",$D103="",COUNTIFS(DailyDelivery!$A:$A,$E103,DailyDelivery!$B:$B,$D103,DailyDelivery!$C:$C,AD$1)=0),"",COUNTIFS(DailyDelivery!$A:$A,$E103,DailyDelivery!$B:$B,$D103,DailyDelivery!$C:$C,AD$1))</f>
        <v/>
      </c>
      <c r="AE103" s="246" t="str">
        <f>if(OR($E103="",$D103="",COUNTIFS(DailyDelivery!$A:$A,$E103,DailyDelivery!$B:$B,$D103,DailyDelivery!$C:$C,AE$1)=0),"",COUNTIFS(DailyDelivery!$A:$A,$E103,DailyDelivery!$B:$B,$D103,DailyDelivery!$C:$C,AE$1))</f>
        <v/>
      </c>
      <c r="AF103" s="246" t="str">
        <f>if(OR($E103="",$D103="",COUNTIFS(DailyDelivery!$A:$A,$E103,DailyDelivery!$B:$B,$D103,DailyDelivery!$C:$C,AF$1)=0),"",COUNTIFS(DailyDelivery!$A:$A,$E103,DailyDelivery!$B:$B,$D103,DailyDelivery!$C:$C,AF$1))</f>
        <v/>
      </c>
      <c r="AG103" s="246" t="str">
        <f>if(OR($E103="",$D103="",COUNTIFS(DailyDelivery!$A:$A,$E103,DailyDelivery!$B:$B,$D103,DailyDelivery!$C:$C,AG$1)=0),"",COUNTIFS(DailyDelivery!$A:$A,$E103,DailyDelivery!$B:$B,$D103,DailyDelivery!$C:$C,AG$1))</f>
        <v/>
      </c>
      <c r="AH103" s="246" t="str">
        <f>if(OR($E103="",$D103="",COUNTIFS(DailyDelivery!$A:$A,$E103,DailyDelivery!$B:$B,$D103,DailyDelivery!$C:$C,AH$1)=0),"",COUNTIFS(DailyDelivery!$A:$A,$E103,DailyDelivery!$B:$B,$D103,DailyDelivery!$C:$C,AH$1))</f>
        <v/>
      </c>
    </row>
    <row r="104">
      <c r="A104" s="272"/>
      <c r="B104" s="273"/>
      <c r="C104" s="240"/>
      <c r="D104" s="274"/>
      <c r="E104" s="274"/>
      <c r="F104" s="242" t="str">
        <f t="shared" si="6"/>
        <v/>
      </c>
      <c r="G104" s="243" t="str">
        <f t="shared" si="7"/>
        <v/>
      </c>
      <c r="H104" s="242" t="str">
        <f t="shared" si="8"/>
        <v/>
      </c>
      <c r="I104" s="243" t="str">
        <f t="shared" si="9"/>
        <v/>
      </c>
      <c r="J104" s="244" t="str">
        <f>if(OR($E104="",$D104=""),"",sumifs(All_Stats!F:F,All_Stats!D:D,D104,All_Stats!A:A,E104,All_Stats!B:B,"Overall"))</f>
        <v/>
      </c>
      <c r="K104" s="275"/>
      <c r="L104" s="246" t="str">
        <f>if(OR($E104="",$D104=""),"",sumifs(All_Stats!G:G,All_Stats!D:D,D104,All_Stats!A:A,E104,All_Stats!B:B,"Overall"))</f>
        <v/>
      </c>
      <c r="M104" s="246" t="str">
        <f>if(OR($E104="",$D104=""),"",sumifs(All_Stats!H:H,All_Stats!D:D,D104,All_Stats!A:A,E104,All_Stats!B:B,"Overall"))</f>
        <v/>
      </c>
      <c r="N104" s="246" t="str">
        <f t="shared" si="10"/>
        <v/>
      </c>
      <c r="O104" s="276"/>
      <c r="P104" s="277"/>
      <c r="Q104" s="278"/>
      <c r="R104" s="250"/>
      <c r="S104" s="246">
        <f>SUMIFS(All_Stats!K:K,All_Stats!D:D,D104,All_Stats!A:A,E104,All_Stats!B:B,"Overall")</f>
        <v>0</v>
      </c>
      <c r="T104" s="251">
        <f>SUMIFS(All_Stats!L:L,All_Stats!D:D,D104,All_Stats!A:A,E104,All_Stats!B:B,"Overall")</f>
        <v>0</v>
      </c>
      <c r="U104" s="246" t="str">
        <f>if(OR($E104="",$D104="",COUNTIFS(DailyDelivery!$A:$A,$E104,DailyDelivery!$B:$B,$D104,DailyDelivery!$C:$C,U$1)=0),"",COUNTIFS(DailyDelivery!$A:$A,$E104,DailyDelivery!$B:$B,$D104,DailyDelivery!$C:$C,U$1))</f>
        <v/>
      </c>
      <c r="V104" s="246" t="str">
        <f>if(OR($E104="",$D104="",COUNTIFS(DailyDelivery!$A:$A,$E104,DailyDelivery!$B:$B,$D104,DailyDelivery!$C:$C,V$1)=0),"",COUNTIFS(DailyDelivery!$A:$A,$E104,DailyDelivery!$B:$B,$D104,DailyDelivery!$C:$C,V$1))</f>
        <v/>
      </c>
      <c r="W104" s="246" t="str">
        <f>if(OR($E104="",$D104="",COUNTIFS(DailyDelivery!$A:$A,$E104,DailyDelivery!$B:$B,$D104,DailyDelivery!$C:$C,W$1)=0),"",COUNTIFS(DailyDelivery!$A:$A,$E104,DailyDelivery!$B:$B,$D104,DailyDelivery!$C:$C,W$1))</f>
        <v/>
      </c>
      <c r="X104" s="246" t="str">
        <f>if(OR($E104="",$D104="",COUNTIFS(DailyDelivery!$A:$A,$E104,DailyDelivery!$B:$B,$D104,DailyDelivery!$C:$C,X$1)=0),"",COUNTIFS(DailyDelivery!$A:$A,$E104,DailyDelivery!$B:$B,$D104,DailyDelivery!$C:$C,X$1))</f>
        <v/>
      </c>
      <c r="Y104" s="246" t="str">
        <f>if(OR($E104="",$D104="",COUNTIFS(DailyDelivery!$A:$A,$E104,DailyDelivery!$B:$B,$D104,DailyDelivery!$C:$C,Y$1)=0),"",COUNTIFS(DailyDelivery!$A:$A,$E104,DailyDelivery!$B:$B,$D104,DailyDelivery!$C:$C,Y$1))</f>
        <v/>
      </c>
      <c r="Z104" s="246" t="str">
        <f>if(OR($E104="",$D104="",COUNTIFS(DailyDelivery!$A:$A,$E104,DailyDelivery!$B:$B,$D104,DailyDelivery!$C:$C,Z$1)=0),"",COUNTIFS(DailyDelivery!$A:$A,$E104,DailyDelivery!$B:$B,$D104,DailyDelivery!$C:$C,Z$1))</f>
        <v/>
      </c>
      <c r="AA104" s="246" t="str">
        <f>if(OR($E104="",$D104="",COUNTIFS(DailyDelivery!$A:$A,$E104,DailyDelivery!$B:$B,$D104,DailyDelivery!$C:$C,AA$1)=0),"",COUNTIFS(DailyDelivery!$A:$A,$E104,DailyDelivery!$B:$B,$D104,DailyDelivery!$C:$C,AA$1))</f>
        <v/>
      </c>
      <c r="AB104" s="246" t="str">
        <f>if(OR($E104="",$D104="",COUNTIFS(DailyDelivery!$A:$A,$E104,DailyDelivery!$B:$B,$D104,DailyDelivery!$C:$C,AB$1)=0),"",COUNTIFS(DailyDelivery!$A:$A,$E104,DailyDelivery!$B:$B,$D104,DailyDelivery!$C:$C,AB$1))</f>
        <v/>
      </c>
      <c r="AC104" s="246" t="str">
        <f>if(OR($E104="",$D104="",COUNTIFS(DailyDelivery!$A:$A,$E104,DailyDelivery!$B:$B,$D104,DailyDelivery!$C:$C,AC$1)=0),"",COUNTIFS(DailyDelivery!$A:$A,$E104,DailyDelivery!$B:$B,$D104,DailyDelivery!$C:$C,AC$1))</f>
        <v/>
      </c>
      <c r="AD104" s="246" t="str">
        <f>if(OR($E104="",$D104="",COUNTIFS(DailyDelivery!$A:$A,$E104,DailyDelivery!$B:$B,$D104,DailyDelivery!$C:$C,AD$1)=0),"",COUNTIFS(DailyDelivery!$A:$A,$E104,DailyDelivery!$B:$B,$D104,DailyDelivery!$C:$C,AD$1))</f>
        <v/>
      </c>
      <c r="AE104" s="246" t="str">
        <f>if(OR($E104="",$D104="",COUNTIFS(DailyDelivery!$A:$A,$E104,DailyDelivery!$B:$B,$D104,DailyDelivery!$C:$C,AE$1)=0),"",COUNTIFS(DailyDelivery!$A:$A,$E104,DailyDelivery!$B:$B,$D104,DailyDelivery!$C:$C,AE$1))</f>
        <v/>
      </c>
      <c r="AF104" s="246" t="str">
        <f>if(OR($E104="",$D104="",COUNTIFS(DailyDelivery!$A:$A,$E104,DailyDelivery!$B:$B,$D104,DailyDelivery!$C:$C,AF$1)=0),"",COUNTIFS(DailyDelivery!$A:$A,$E104,DailyDelivery!$B:$B,$D104,DailyDelivery!$C:$C,AF$1))</f>
        <v/>
      </c>
      <c r="AG104" s="246" t="str">
        <f>if(OR($E104="",$D104="",COUNTIFS(DailyDelivery!$A:$A,$E104,DailyDelivery!$B:$B,$D104,DailyDelivery!$C:$C,AG$1)=0),"",COUNTIFS(DailyDelivery!$A:$A,$E104,DailyDelivery!$B:$B,$D104,DailyDelivery!$C:$C,AG$1))</f>
        <v/>
      </c>
      <c r="AH104" s="246" t="str">
        <f>if(OR($E104="",$D104="",COUNTIFS(DailyDelivery!$A:$A,$E104,DailyDelivery!$B:$B,$D104,DailyDelivery!$C:$C,AH$1)=0),"",COUNTIFS(DailyDelivery!$A:$A,$E104,DailyDelivery!$B:$B,$D104,DailyDelivery!$C:$C,AH$1))</f>
        <v/>
      </c>
    </row>
    <row r="105">
      <c r="A105" s="272"/>
      <c r="B105" s="273"/>
      <c r="C105" s="240"/>
      <c r="D105" s="274"/>
      <c r="E105" s="274"/>
      <c r="F105" s="242" t="str">
        <f t="shared" si="6"/>
        <v/>
      </c>
      <c r="G105" s="243" t="str">
        <f t="shared" si="7"/>
        <v/>
      </c>
      <c r="H105" s="242" t="str">
        <f t="shared" si="8"/>
        <v/>
      </c>
      <c r="I105" s="243" t="str">
        <f t="shared" si="9"/>
        <v/>
      </c>
      <c r="J105" s="244" t="str">
        <f>if(OR($E105="",$D105=""),"",sumifs(All_Stats!F:F,All_Stats!D:D,D105,All_Stats!A:A,E105,All_Stats!B:B,"Overall"))</f>
        <v/>
      </c>
      <c r="K105" s="275"/>
      <c r="L105" s="246" t="str">
        <f>if(OR($E105="",$D105=""),"",sumifs(All_Stats!G:G,All_Stats!D:D,D105,All_Stats!A:A,E105,All_Stats!B:B,"Overall"))</f>
        <v/>
      </c>
      <c r="M105" s="246" t="str">
        <f>if(OR($E105="",$D105=""),"",sumifs(All_Stats!H:H,All_Stats!D:D,D105,All_Stats!A:A,E105,All_Stats!B:B,"Overall"))</f>
        <v/>
      </c>
      <c r="N105" s="246" t="str">
        <f t="shared" si="10"/>
        <v/>
      </c>
      <c r="O105" s="276"/>
      <c r="P105" s="277"/>
      <c r="Q105" s="278"/>
      <c r="R105" s="250"/>
      <c r="S105" s="246">
        <f>SUMIFS(All_Stats!K:K,All_Stats!D:D,D105,All_Stats!A:A,E105,All_Stats!B:B,"Overall")</f>
        <v>0</v>
      </c>
      <c r="T105" s="251">
        <f>SUMIFS(All_Stats!L:L,All_Stats!D:D,D105,All_Stats!A:A,E105,All_Stats!B:B,"Overall")</f>
        <v>0</v>
      </c>
      <c r="U105" s="246" t="str">
        <f>if(OR($E105="",$D105="",COUNTIFS(DailyDelivery!$A:$A,$E105,DailyDelivery!$B:$B,$D105,DailyDelivery!$C:$C,U$1)=0),"",COUNTIFS(DailyDelivery!$A:$A,$E105,DailyDelivery!$B:$B,$D105,DailyDelivery!$C:$C,U$1))</f>
        <v/>
      </c>
      <c r="V105" s="246" t="str">
        <f>if(OR($E105="",$D105="",COUNTIFS(DailyDelivery!$A:$A,$E105,DailyDelivery!$B:$B,$D105,DailyDelivery!$C:$C,V$1)=0),"",COUNTIFS(DailyDelivery!$A:$A,$E105,DailyDelivery!$B:$B,$D105,DailyDelivery!$C:$C,V$1))</f>
        <v/>
      </c>
      <c r="W105" s="246" t="str">
        <f>if(OR($E105="",$D105="",COUNTIFS(DailyDelivery!$A:$A,$E105,DailyDelivery!$B:$B,$D105,DailyDelivery!$C:$C,W$1)=0),"",COUNTIFS(DailyDelivery!$A:$A,$E105,DailyDelivery!$B:$B,$D105,DailyDelivery!$C:$C,W$1))</f>
        <v/>
      </c>
      <c r="X105" s="246" t="str">
        <f>if(OR($E105="",$D105="",COUNTIFS(DailyDelivery!$A:$A,$E105,DailyDelivery!$B:$B,$D105,DailyDelivery!$C:$C,X$1)=0),"",COUNTIFS(DailyDelivery!$A:$A,$E105,DailyDelivery!$B:$B,$D105,DailyDelivery!$C:$C,X$1))</f>
        <v/>
      </c>
      <c r="Y105" s="246" t="str">
        <f>if(OR($E105="",$D105="",COUNTIFS(DailyDelivery!$A:$A,$E105,DailyDelivery!$B:$B,$D105,DailyDelivery!$C:$C,Y$1)=0),"",COUNTIFS(DailyDelivery!$A:$A,$E105,DailyDelivery!$B:$B,$D105,DailyDelivery!$C:$C,Y$1))</f>
        <v/>
      </c>
      <c r="Z105" s="246" t="str">
        <f>if(OR($E105="",$D105="",COUNTIFS(DailyDelivery!$A:$A,$E105,DailyDelivery!$B:$B,$D105,DailyDelivery!$C:$C,Z$1)=0),"",COUNTIFS(DailyDelivery!$A:$A,$E105,DailyDelivery!$B:$B,$D105,DailyDelivery!$C:$C,Z$1))</f>
        <v/>
      </c>
      <c r="AA105" s="246" t="str">
        <f>if(OR($E105="",$D105="",COUNTIFS(DailyDelivery!$A:$A,$E105,DailyDelivery!$B:$B,$D105,DailyDelivery!$C:$C,AA$1)=0),"",COUNTIFS(DailyDelivery!$A:$A,$E105,DailyDelivery!$B:$B,$D105,DailyDelivery!$C:$C,AA$1))</f>
        <v/>
      </c>
      <c r="AB105" s="246" t="str">
        <f>if(OR($E105="",$D105="",COUNTIFS(DailyDelivery!$A:$A,$E105,DailyDelivery!$B:$B,$D105,DailyDelivery!$C:$C,AB$1)=0),"",COUNTIFS(DailyDelivery!$A:$A,$E105,DailyDelivery!$B:$B,$D105,DailyDelivery!$C:$C,AB$1))</f>
        <v/>
      </c>
      <c r="AC105" s="246" t="str">
        <f>if(OR($E105="",$D105="",COUNTIFS(DailyDelivery!$A:$A,$E105,DailyDelivery!$B:$B,$D105,DailyDelivery!$C:$C,AC$1)=0),"",COUNTIFS(DailyDelivery!$A:$A,$E105,DailyDelivery!$B:$B,$D105,DailyDelivery!$C:$C,AC$1))</f>
        <v/>
      </c>
      <c r="AD105" s="246" t="str">
        <f>if(OR($E105="",$D105="",COUNTIFS(DailyDelivery!$A:$A,$E105,DailyDelivery!$B:$B,$D105,DailyDelivery!$C:$C,AD$1)=0),"",COUNTIFS(DailyDelivery!$A:$A,$E105,DailyDelivery!$B:$B,$D105,DailyDelivery!$C:$C,AD$1))</f>
        <v/>
      </c>
      <c r="AE105" s="246" t="str">
        <f>if(OR($E105="",$D105="",COUNTIFS(DailyDelivery!$A:$A,$E105,DailyDelivery!$B:$B,$D105,DailyDelivery!$C:$C,AE$1)=0),"",COUNTIFS(DailyDelivery!$A:$A,$E105,DailyDelivery!$B:$B,$D105,DailyDelivery!$C:$C,AE$1))</f>
        <v/>
      </c>
      <c r="AF105" s="246" t="str">
        <f>if(OR($E105="",$D105="",COUNTIFS(DailyDelivery!$A:$A,$E105,DailyDelivery!$B:$B,$D105,DailyDelivery!$C:$C,AF$1)=0),"",COUNTIFS(DailyDelivery!$A:$A,$E105,DailyDelivery!$B:$B,$D105,DailyDelivery!$C:$C,AF$1))</f>
        <v/>
      </c>
      <c r="AG105" s="246" t="str">
        <f>if(OR($E105="",$D105="",COUNTIFS(DailyDelivery!$A:$A,$E105,DailyDelivery!$B:$B,$D105,DailyDelivery!$C:$C,AG$1)=0),"",COUNTIFS(DailyDelivery!$A:$A,$E105,DailyDelivery!$B:$B,$D105,DailyDelivery!$C:$C,AG$1))</f>
        <v/>
      </c>
      <c r="AH105" s="246" t="str">
        <f>if(OR($E105="",$D105="",COUNTIFS(DailyDelivery!$A:$A,$E105,DailyDelivery!$B:$B,$D105,DailyDelivery!$C:$C,AH$1)=0),"",COUNTIFS(DailyDelivery!$A:$A,$E105,DailyDelivery!$B:$B,$D105,DailyDelivery!$C:$C,AH$1))</f>
        <v/>
      </c>
    </row>
    <row r="106">
      <c r="A106" s="272"/>
      <c r="B106" s="273"/>
      <c r="C106" s="240"/>
      <c r="D106" s="274"/>
      <c r="E106" s="274"/>
      <c r="F106" s="242" t="str">
        <f t="shared" si="6"/>
        <v/>
      </c>
      <c r="G106" s="243" t="str">
        <f t="shared" si="7"/>
        <v/>
      </c>
      <c r="H106" s="242" t="str">
        <f t="shared" si="8"/>
        <v/>
      </c>
      <c r="I106" s="243" t="str">
        <f t="shared" si="9"/>
        <v/>
      </c>
      <c r="J106" s="244" t="str">
        <f>if(OR($E106="",$D106=""),"",sumifs(All_Stats!F:F,All_Stats!D:D,D106,All_Stats!A:A,E106,All_Stats!B:B,"Overall"))</f>
        <v/>
      </c>
      <c r="K106" s="275"/>
      <c r="L106" s="246" t="str">
        <f>if(OR($E106="",$D106=""),"",sumifs(All_Stats!G:G,All_Stats!D:D,D106,All_Stats!A:A,E106,All_Stats!B:B,"Overall"))</f>
        <v/>
      </c>
      <c r="M106" s="246" t="str">
        <f>if(OR($E106="",$D106=""),"",sumifs(All_Stats!H:H,All_Stats!D:D,D106,All_Stats!A:A,E106,All_Stats!B:B,"Overall"))</f>
        <v/>
      </c>
      <c r="N106" s="246" t="str">
        <f t="shared" si="10"/>
        <v/>
      </c>
      <c r="O106" s="276"/>
      <c r="P106" s="277"/>
      <c r="Q106" s="278"/>
      <c r="R106" s="250"/>
      <c r="S106" s="246">
        <f>SUMIFS(All_Stats!K:K,All_Stats!D:D,D106,All_Stats!A:A,E106,All_Stats!B:B,"Overall")</f>
        <v>0</v>
      </c>
      <c r="T106" s="251">
        <f>SUMIFS(All_Stats!L:L,All_Stats!D:D,D106,All_Stats!A:A,E106,All_Stats!B:B,"Overall")</f>
        <v>0</v>
      </c>
      <c r="U106" s="246" t="str">
        <f>if(OR($E106="",$D106="",COUNTIFS(DailyDelivery!$A:$A,$E106,DailyDelivery!$B:$B,$D106,DailyDelivery!$C:$C,U$1)=0),"",COUNTIFS(DailyDelivery!$A:$A,$E106,DailyDelivery!$B:$B,$D106,DailyDelivery!$C:$C,U$1))</f>
        <v/>
      </c>
      <c r="V106" s="246" t="str">
        <f>if(OR($E106="",$D106="",COUNTIFS(DailyDelivery!$A:$A,$E106,DailyDelivery!$B:$B,$D106,DailyDelivery!$C:$C,V$1)=0),"",COUNTIFS(DailyDelivery!$A:$A,$E106,DailyDelivery!$B:$B,$D106,DailyDelivery!$C:$C,V$1))</f>
        <v/>
      </c>
      <c r="W106" s="246" t="str">
        <f>if(OR($E106="",$D106="",COUNTIFS(DailyDelivery!$A:$A,$E106,DailyDelivery!$B:$B,$D106,DailyDelivery!$C:$C,W$1)=0),"",COUNTIFS(DailyDelivery!$A:$A,$E106,DailyDelivery!$B:$B,$D106,DailyDelivery!$C:$C,W$1))</f>
        <v/>
      </c>
      <c r="X106" s="246" t="str">
        <f>if(OR($E106="",$D106="",COUNTIFS(DailyDelivery!$A:$A,$E106,DailyDelivery!$B:$B,$D106,DailyDelivery!$C:$C,X$1)=0),"",COUNTIFS(DailyDelivery!$A:$A,$E106,DailyDelivery!$B:$B,$D106,DailyDelivery!$C:$C,X$1))</f>
        <v/>
      </c>
      <c r="Y106" s="246" t="str">
        <f>if(OR($E106="",$D106="",COUNTIFS(DailyDelivery!$A:$A,$E106,DailyDelivery!$B:$B,$D106,DailyDelivery!$C:$C,Y$1)=0),"",COUNTIFS(DailyDelivery!$A:$A,$E106,DailyDelivery!$B:$B,$D106,DailyDelivery!$C:$C,Y$1))</f>
        <v/>
      </c>
      <c r="Z106" s="246" t="str">
        <f>if(OR($E106="",$D106="",COUNTIFS(DailyDelivery!$A:$A,$E106,DailyDelivery!$B:$B,$D106,DailyDelivery!$C:$C,Z$1)=0),"",COUNTIFS(DailyDelivery!$A:$A,$E106,DailyDelivery!$B:$B,$D106,DailyDelivery!$C:$C,Z$1))</f>
        <v/>
      </c>
      <c r="AA106" s="246" t="str">
        <f>if(OR($E106="",$D106="",COUNTIFS(DailyDelivery!$A:$A,$E106,DailyDelivery!$B:$B,$D106,DailyDelivery!$C:$C,AA$1)=0),"",COUNTIFS(DailyDelivery!$A:$A,$E106,DailyDelivery!$B:$B,$D106,DailyDelivery!$C:$C,AA$1))</f>
        <v/>
      </c>
      <c r="AB106" s="246" t="str">
        <f>if(OR($E106="",$D106="",COUNTIFS(DailyDelivery!$A:$A,$E106,DailyDelivery!$B:$B,$D106,DailyDelivery!$C:$C,AB$1)=0),"",COUNTIFS(DailyDelivery!$A:$A,$E106,DailyDelivery!$B:$B,$D106,DailyDelivery!$C:$C,AB$1))</f>
        <v/>
      </c>
      <c r="AC106" s="246" t="str">
        <f>if(OR($E106="",$D106="",COUNTIFS(DailyDelivery!$A:$A,$E106,DailyDelivery!$B:$B,$D106,DailyDelivery!$C:$C,AC$1)=0),"",COUNTIFS(DailyDelivery!$A:$A,$E106,DailyDelivery!$B:$B,$D106,DailyDelivery!$C:$C,AC$1))</f>
        <v/>
      </c>
      <c r="AD106" s="246" t="str">
        <f>if(OR($E106="",$D106="",COUNTIFS(DailyDelivery!$A:$A,$E106,DailyDelivery!$B:$B,$D106,DailyDelivery!$C:$C,AD$1)=0),"",COUNTIFS(DailyDelivery!$A:$A,$E106,DailyDelivery!$B:$B,$D106,DailyDelivery!$C:$C,AD$1))</f>
        <v/>
      </c>
      <c r="AE106" s="246" t="str">
        <f>if(OR($E106="",$D106="",COUNTIFS(DailyDelivery!$A:$A,$E106,DailyDelivery!$B:$B,$D106,DailyDelivery!$C:$C,AE$1)=0),"",COUNTIFS(DailyDelivery!$A:$A,$E106,DailyDelivery!$B:$B,$D106,DailyDelivery!$C:$C,AE$1))</f>
        <v/>
      </c>
      <c r="AF106" s="246" t="str">
        <f>if(OR($E106="",$D106="",COUNTIFS(DailyDelivery!$A:$A,$E106,DailyDelivery!$B:$B,$D106,DailyDelivery!$C:$C,AF$1)=0),"",COUNTIFS(DailyDelivery!$A:$A,$E106,DailyDelivery!$B:$B,$D106,DailyDelivery!$C:$C,AF$1))</f>
        <v/>
      </c>
      <c r="AG106" s="246" t="str">
        <f>if(OR($E106="",$D106="",COUNTIFS(DailyDelivery!$A:$A,$E106,DailyDelivery!$B:$B,$D106,DailyDelivery!$C:$C,AG$1)=0),"",COUNTIFS(DailyDelivery!$A:$A,$E106,DailyDelivery!$B:$B,$D106,DailyDelivery!$C:$C,AG$1))</f>
        <v/>
      </c>
      <c r="AH106" s="246" t="str">
        <f>if(OR($E106="",$D106="",COUNTIFS(DailyDelivery!$A:$A,$E106,DailyDelivery!$B:$B,$D106,DailyDelivery!$C:$C,AH$1)=0),"",COUNTIFS(DailyDelivery!$A:$A,$E106,DailyDelivery!$B:$B,$D106,DailyDelivery!$C:$C,AH$1))</f>
        <v/>
      </c>
    </row>
    <row r="107">
      <c r="A107" s="272"/>
      <c r="B107" s="273"/>
      <c r="C107" s="240"/>
      <c r="D107" s="274"/>
      <c r="E107" s="274"/>
      <c r="F107" s="242" t="str">
        <f t="shared" si="6"/>
        <v/>
      </c>
      <c r="G107" s="243" t="str">
        <f t="shared" si="7"/>
        <v/>
      </c>
      <c r="H107" s="242" t="str">
        <f t="shared" si="8"/>
        <v/>
      </c>
      <c r="I107" s="243" t="str">
        <f t="shared" si="9"/>
        <v/>
      </c>
      <c r="J107" s="244" t="str">
        <f>if(OR($E107="",$D107=""),"",sumifs(All_Stats!F:F,All_Stats!D:D,D107,All_Stats!A:A,E107,All_Stats!B:B,"Overall"))</f>
        <v/>
      </c>
      <c r="K107" s="275"/>
      <c r="L107" s="246" t="str">
        <f>if(OR($E107="",$D107=""),"",sumifs(All_Stats!G:G,All_Stats!D:D,D107,All_Stats!A:A,E107,All_Stats!B:B,"Overall"))</f>
        <v/>
      </c>
      <c r="M107" s="246" t="str">
        <f>if(OR($E107="",$D107=""),"",sumifs(All_Stats!H:H,All_Stats!D:D,D107,All_Stats!A:A,E107,All_Stats!B:B,"Overall"))</f>
        <v/>
      </c>
      <c r="N107" s="246" t="str">
        <f t="shared" si="10"/>
        <v/>
      </c>
      <c r="O107" s="276"/>
      <c r="P107" s="277"/>
      <c r="Q107" s="278"/>
      <c r="R107" s="250"/>
      <c r="S107" s="246">
        <f>SUMIFS(All_Stats!K:K,All_Stats!D:D,D107,All_Stats!A:A,E107,All_Stats!B:B,"Overall")</f>
        <v>0</v>
      </c>
      <c r="T107" s="251">
        <f>SUMIFS(All_Stats!L:L,All_Stats!D:D,D107,All_Stats!A:A,E107,All_Stats!B:B,"Overall")</f>
        <v>0</v>
      </c>
      <c r="U107" s="246" t="str">
        <f>if(OR($E107="",$D107="",COUNTIFS(DailyDelivery!$A:$A,$E107,DailyDelivery!$B:$B,$D107,DailyDelivery!$C:$C,U$1)=0),"",COUNTIFS(DailyDelivery!$A:$A,$E107,DailyDelivery!$B:$B,$D107,DailyDelivery!$C:$C,U$1))</f>
        <v/>
      </c>
      <c r="V107" s="246" t="str">
        <f>if(OR($E107="",$D107="",COUNTIFS(DailyDelivery!$A:$A,$E107,DailyDelivery!$B:$B,$D107,DailyDelivery!$C:$C,V$1)=0),"",COUNTIFS(DailyDelivery!$A:$A,$E107,DailyDelivery!$B:$B,$D107,DailyDelivery!$C:$C,V$1))</f>
        <v/>
      </c>
      <c r="W107" s="246" t="str">
        <f>if(OR($E107="",$D107="",COUNTIFS(DailyDelivery!$A:$A,$E107,DailyDelivery!$B:$B,$D107,DailyDelivery!$C:$C,W$1)=0),"",COUNTIFS(DailyDelivery!$A:$A,$E107,DailyDelivery!$B:$B,$D107,DailyDelivery!$C:$C,W$1))</f>
        <v/>
      </c>
      <c r="X107" s="246" t="str">
        <f>if(OR($E107="",$D107="",COUNTIFS(DailyDelivery!$A:$A,$E107,DailyDelivery!$B:$B,$D107,DailyDelivery!$C:$C,X$1)=0),"",COUNTIFS(DailyDelivery!$A:$A,$E107,DailyDelivery!$B:$B,$D107,DailyDelivery!$C:$C,X$1))</f>
        <v/>
      </c>
      <c r="Y107" s="246" t="str">
        <f>if(OR($E107="",$D107="",COUNTIFS(DailyDelivery!$A:$A,$E107,DailyDelivery!$B:$B,$D107,DailyDelivery!$C:$C,Y$1)=0),"",COUNTIFS(DailyDelivery!$A:$A,$E107,DailyDelivery!$B:$B,$D107,DailyDelivery!$C:$C,Y$1))</f>
        <v/>
      </c>
      <c r="Z107" s="246" t="str">
        <f>if(OR($E107="",$D107="",COUNTIFS(DailyDelivery!$A:$A,$E107,DailyDelivery!$B:$B,$D107,DailyDelivery!$C:$C,Z$1)=0),"",COUNTIFS(DailyDelivery!$A:$A,$E107,DailyDelivery!$B:$B,$D107,DailyDelivery!$C:$C,Z$1))</f>
        <v/>
      </c>
      <c r="AA107" s="246" t="str">
        <f>if(OR($E107="",$D107="",COUNTIFS(DailyDelivery!$A:$A,$E107,DailyDelivery!$B:$B,$D107,DailyDelivery!$C:$C,AA$1)=0),"",COUNTIFS(DailyDelivery!$A:$A,$E107,DailyDelivery!$B:$B,$D107,DailyDelivery!$C:$C,AA$1))</f>
        <v/>
      </c>
      <c r="AB107" s="246" t="str">
        <f>if(OR($E107="",$D107="",COUNTIFS(DailyDelivery!$A:$A,$E107,DailyDelivery!$B:$B,$D107,DailyDelivery!$C:$C,AB$1)=0),"",COUNTIFS(DailyDelivery!$A:$A,$E107,DailyDelivery!$B:$B,$D107,DailyDelivery!$C:$C,AB$1))</f>
        <v/>
      </c>
      <c r="AC107" s="246" t="str">
        <f>if(OR($E107="",$D107="",COUNTIFS(DailyDelivery!$A:$A,$E107,DailyDelivery!$B:$B,$D107,DailyDelivery!$C:$C,AC$1)=0),"",COUNTIFS(DailyDelivery!$A:$A,$E107,DailyDelivery!$B:$B,$D107,DailyDelivery!$C:$C,AC$1))</f>
        <v/>
      </c>
      <c r="AD107" s="246" t="str">
        <f>if(OR($E107="",$D107="",COUNTIFS(DailyDelivery!$A:$A,$E107,DailyDelivery!$B:$B,$D107,DailyDelivery!$C:$C,AD$1)=0),"",COUNTIFS(DailyDelivery!$A:$A,$E107,DailyDelivery!$B:$B,$D107,DailyDelivery!$C:$C,AD$1))</f>
        <v/>
      </c>
      <c r="AE107" s="246" t="str">
        <f>if(OR($E107="",$D107="",COUNTIFS(DailyDelivery!$A:$A,$E107,DailyDelivery!$B:$B,$D107,DailyDelivery!$C:$C,AE$1)=0),"",COUNTIFS(DailyDelivery!$A:$A,$E107,DailyDelivery!$B:$B,$D107,DailyDelivery!$C:$C,AE$1))</f>
        <v/>
      </c>
      <c r="AF107" s="246" t="str">
        <f>if(OR($E107="",$D107="",COUNTIFS(DailyDelivery!$A:$A,$E107,DailyDelivery!$B:$B,$D107,DailyDelivery!$C:$C,AF$1)=0),"",COUNTIFS(DailyDelivery!$A:$A,$E107,DailyDelivery!$B:$B,$D107,DailyDelivery!$C:$C,AF$1))</f>
        <v/>
      </c>
      <c r="AG107" s="246" t="str">
        <f>if(OR($E107="",$D107="",COUNTIFS(DailyDelivery!$A:$A,$E107,DailyDelivery!$B:$B,$D107,DailyDelivery!$C:$C,AG$1)=0),"",COUNTIFS(DailyDelivery!$A:$A,$E107,DailyDelivery!$B:$B,$D107,DailyDelivery!$C:$C,AG$1))</f>
        <v/>
      </c>
      <c r="AH107" s="246" t="str">
        <f>if(OR($E107="",$D107="",COUNTIFS(DailyDelivery!$A:$A,$E107,DailyDelivery!$B:$B,$D107,DailyDelivery!$C:$C,AH$1)=0),"",COUNTIFS(DailyDelivery!$A:$A,$E107,DailyDelivery!$B:$B,$D107,DailyDelivery!$C:$C,AH$1))</f>
        <v/>
      </c>
    </row>
    <row r="108">
      <c r="A108" s="272"/>
      <c r="B108" s="273"/>
      <c r="C108" s="240"/>
      <c r="D108" s="274"/>
      <c r="E108" s="274"/>
      <c r="F108" s="242" t="str">
        <f t="shared" si="6"/>
        <v/>
      </c>
      <c r="G108" s="243" t="str">
        <f t="shared" si="7"/>
        <v/>
      </c>
      <c r="H108" s="242" t="str">
        <f t="shared" si="8"/>
        <v/>
      </c>
      <c r="I108" s="243" t="str">
        <f t="shared" si="9"/>
        <v/>
      </c>
      <c r="J108" s="244" t="str">
        <f>if(OR($E108="",$D108=""),"",sumifs(All_Stats!F:F,All_Stats!D:D,D108,All_Stats!A:A,E108,All_Stats!B:B,"Overall"))</f>
        <v/>
      </c>
      <c r="K108" s="275"/>
      <c r="L108" s="246" t="str">
        <f>if(OR($E108="",$D108=""),"",sumifs(All_Stats!G:G,All_Stats!D:D,D108,All_Stats!A:A,E108,All_Stats!B:B,"Overall"))</f>
        <v/>
      </c>
      <c r="M108" s="246" t="str">
        <f>if(OR($E108="",$D108=""),"",sumifs(All_Stats!H:H,All_Stats!D:D,D108,All_Stats!A:A,E108,All_Stats!B:B,"Overall"))</f>
        <v/>
      </c>
      <c r="N108" s="246" t="str">
        <f t="shared" si="10"/>
        <v/>
      </c>
      <c r="O108" s="276"/>
      <c r="P108" s="277"/>
      <c r="Q108" s="278"/>
      <c r="R108" s="250"/>
      <c r="S108" s="246">
        <f>SUMIFS(All_Stats!K:K,All_Stats!D:D,D108,All_Stats!A:A,E108,All_Stats!B:B,"Overall")</f>
        <v>0</v>
      </c>
      <c r="T108" s="251">
        <f>SUMIFS(All_Stats!L:L,All_Stats!D:D,D108,All_Stats!A:A,E108,All_Stats!B:B,"Overall")</f>
        <v>0</v>
      </c>
      <c r="U108" s="246" t="str">
        <f>if(OR($E108="",$D108="",COUNTIFS(DailyDelivery!$A:$A,$E108,DailyDelivery!$B:$B,$D108,DailyDelivery!$C:$C,U$1)=0),"",COUNTIFS(DailyDelivery!$A:$A,$E108,DailyDelivery!$B:$B,$D108,DailyDelivery!$C:$C,U$1))</f>
        <v/>
      </c>
      <c r="V108" s="246" t="str">
        <f>if(OR($E108="",$D108="",COUNTIFS(DailyDelivery!$A:$A,$E108,DailyDelivery!$B:$B,$D108,DailyDelivery!$C:$C,V$1)=0),"",COUNTIFS(DailyDelivery!$A:$A,$E108,DailyDelivery!$B:$B,$D108,DailyDelivery!$C:$C,V$1))</f>
        <v/>
      </c>
      <c r="W108" s="246" t="str">
        <f>if(OR($E108="",$D108="",COUNTIFS(DailyDelivery!$A:$A,$E108,DailyDelivery!$B:$B,$D108,DailyDelivery!$C:$C,W$1)=0),"",COUNTIFS(DailyDelivery!$A:$A,$E108,DailyDelivery!$B:$B,$D108,DailyDelivery!$C:$C,W$1))</f>
        <v/>
      </c>
      <c r="X108" s="246" t="str">
        <f>if(OR($E108="",$D108="",COUNTIFS(DailyDelivery!$A:$A,$E108,DailyDelivery!$B:$B,$D108,DailyDelivery!$C:$C,X$1)=0),"",COUNTIFS(DailyDelivery!$A:$A,$E108,DailyDelivery!$B:$B,$D108,DailyDelivery!$C:$C,X$1))</f>
        <v/>
      </c>
      <c r="Y108" s="246" t="str">
        <f>if(OR($E108="",$D108="",COUNTIFS(DailyDelivery!$A:$A,$E108,DailyDelivery!$B:$B,$D108,DailyDelivery!$C:$C,Y$1)=0),"",COUNTIFS(DailyDelivery!$A:$A,$E108,DailyDelivery!$B:$B,$D108,DailyDelivery!$C:$C,Y$1))</f>
        <v/>
      </c>
      <c r="Z108" s="246" t="str">
        <f>if(OR($E108="",$D108="",COUNTIFS(DailyDelivery!$A:$A,$E108,DailyDelivery!$B:$B,$D108,DailyDelivery!$C:$C,Z$1)=0),"",COUNTIFS(DailyDelivery!$A:$A,$E108,DailyDelivery!$B:$B,$D108,DailyDelivery!$C:$C,Z$1))</f>
        <v/>
      </c>
      <c r="AA108" s="246" t="str">
        <f>if(OR($E108="",$D108="",COUNTIFS(DailyDelivery!$A:$A,$E108,DailyDelivery!$B:$B,$D108,DailyDelivery!$C:$C,AA$1)=0),"",COUNTIFS(DailyDelivery!$A:$A,$E108,DailyDelivery!$B:$B,$D108,DailyDelivery!$C:$C,AA$1))</f>
        <v/>
      </c>
      <c r="AB108" s="246" t="str">
        <f>if(OR($E108="",$D108="",COUNTIFS(DailyDelivery!$A:$A,$E108,DailyDelivery!$B:$B,$D108,DailyDelivery!$C:$C,AB$1)=0),"",COUNTIFS(DailyDelivery!$A:$A,$E108,DailyDelivery!$B:$B,$D108,DailyDelivery!$C:$C,AB$1))</f>
        <v/>
      </c>
      <c r="AC108" s="246" t="str">
        <f>if(OR($E108="",$D108="",COUNTIFS(DailyDelivery!$A:$A,$E108,DailyDelivery!$B:$B,$D108,DailyDelivery!$C:$C,AC$1)=0),"",COUNTIFS(DailyDelivery!$A:$A,$E108,DailyDelivery!$B:$B,$D108,DailyDelivery!$C:$C,AC$1))</f>
        <v/>
      </c>
      <c r="AD108" s="246" t="str">
        <f>if(OR($E108="",$D108="",COUNTIFS(DailyDelivery!$A:$A,$E108,DailyDelivery!$B:$B,$D108,DailyDelivery!$C:$C,AD$1)=0),"",COUNTIFS(DailyDelivery!$A:$A,$E108,DailyDelivery!$B:$B,$D108,DailyDelivery!$C:$C,AD$1))</f>
        <v/>
      </c>
      <c r="AE108" s="246" t="str">
        <f>if(OR($E108="",$D108="",COUNTIFS(DailyDelivery!$A:$A,$E108,DailyDelivery!$B:$B,$D108,DailyDelivery!$C:$C,AE$1)=0),"",COUNTIFS(DailyDelivery!$A:$A,$E108,DailyDelivery!$B:$B,$D108,DailyDelivery!$C:$C,AE$1))</f>
        <v/>
      </c>
      <c r="AF108" s="246" t="str">
        <f>if(OR($E108="",$D108="",COUNTIFS(DailyDelivery!$A:$A,$E108,DailyDelivery!$B:$B,$D108,DailyDelivery!$C:$C,AF$1)=0),"",COUNTIFS(DailyDelivery!$A:$A,$E108,DailyDelivery!$B:$B,$D108,DailyDelivery!$C:$C,AF$1))</f>
        <v/>
      </c>
      <c r="AG108" s="246" t="str">
        <f>if(OR($E108="",$D108="",COUNTIFS(DailyDelivery!$A:$A,$E108,DailyDelivery!$B:$B,$D108,DailyDelivery!$C:$C,AG$1)=0),"",COUNTIFS(DailyDelivery!$A:$A,$E108,DailyDelivery!$B:$B,$D108,DailyDelivery!$C:$C,AG$1))</f>
        <v/>
      </c>
      <c r="AH108" s="246" t="str">
        <f>if(OR($E108="",$D108="",COUNTIFS(DailyDelivery!$A:$A,$E108,DailyDelivery!$B:$B,$D108,DailyDelivery!$C:$C,AH$1)=0),"",COUNTIFS(DailyDelivery!$A:$A,$E108,DailyDelivery!$B:$B,$D108,DailyDelivery!$C:$C,AH$1))</f>
        <v/>
      </c>
    </row>
    <row r="109">
      <c r="A109" s="272"/>
      <c r="B109" s="273"/>
      <c r="C109" s="240"/>
      <c r="D109" s="274"/>
      <c r="E109" s="274"/>
      <c r="F109" s="242" t="str">
        <f t="shared" si="6"/>
        <v/>
      </c>
      <c r="G109" s="243" t="str">
        <f t="shared" si="7"/>
        <v/>
      </c>
      <c r="H109" s="242" t="str">
        <f t="shared" si="8"/>
        <v/>
      </c>
      <c r="I109" s="243" t="str">
        <f t="shared" si="9"/>
        <v/>
      </c>
      <c r="J109" s="244" t="str">
        <f>if(OR($E109="",$D109=""),"",sumifs(All_Stats!F:F,All_Stats!D:D,D109,All_Stats!A:A,E109,All_Stats!B:B,"Overall"))</f>
        <v/>
      </c>
      <c r="K109" s="275"/>
      <c r="L109" s="246" t="str">
        <f>if(OR($E109="",$D109=""),"",sumifs(All_Stats!G:G,All_Stats!D:D,D109,All_Stats!A:A,E109,All_Stats!B:B,"Overall"))</f>
        <v/>
      </c>
      <c r="M109" s="246" t="str">
        <f>if(OR($E109="",$D109=""),"",sumifs(All_Stats!H:H,All_Stats!D:D,D109,All_Stats!A:A,E109,All_Stats!B:B,"Overall"))</f>
        <v/>
      </c>
      <c r="N109" s="246" t="str">
        <f t="shared" si="10"/>
        <v/>
      </c>
      <c r="O109" s="276"/>
      <c r="P109" s="277"/>
      <c r="Q109" s="278"/>
      <c r="R109" s="250"/>
      <c r="S109" s="246">
        <f>SUMIFS(All_Stats!K:K,All_Stats!D:D,D109,All_Stats!A:A,E109,All_Stats!B:B,"Overall")</f>
        <v>0</v>
      </c>
      <c r="T109" s="251">
        <f>SUMIFS(All_Stats!L:L,All_Stats!D:D,D109,All_Stats!A:A,E109,All_Stats!B:B,"Overall")</f>
        <v>0</v>
      </c>
      <c r="U109" s="246" t="str">
        <f>if(OR($E109="",$D109="",COUNTIFS(DailyDelivery!$A:$A,$E109,DailyDelivery!$B:$B,$D109,DailyDelivery!$C:$C,U$1)=0),"",COUNTIFS(DailyDelivery!$A:$A,$E109,DailyDelivery!$B:$B,$D109,DailyDelivery!$C:$C,U$1))</f>
        <v/>
      </c>
      <c r="V109" s="246" t="str">
        <f>if(OR($E109="",$D109="",COUNTIFS(DailyDelivery!$A:$A,$E109,DailyDelivery!$B:$B,$D109,DailyDelivery!$C:$C,V$1)=0),"",COUNTIFS(DailyDelivery!$A:$A,$E109,DailyDelivery!$B:$B,$D109,DailyDelivery!$C:$C,V$1))</f>
        <v/>
      </c>
      <c r="W109" s="246" t="str">
        <f>if(OR($E109="",$D109="",COUNTIFS(DailyDelivery!$A:$A,$E109,DailyDelivery!$B:$B,$D109,DailyDelivery!$C:$C,W$1)=0),"",COUNTIFS(DailyDelivery!$A:$A,$E109,DailyDelivery!$B:$B,$D109,DailyDelivery!$C:$C,W$1))</f>
        <v/>
      </c>
      <c r="X109" s="246" t="str">
        <f>if(OR($E109="",$D109="",COUNTIFS(DailyDelivery!$A:$A,$E109,DailyDelivery!$B:$B,$D109,DailyDelivery!$C:$C,X$1)=0),"",COUNTIFS(DailyDelivery!$A:$A,$E109,DailyDelivery!$B:$B,$D109,DailyDelivery!$C:$C,X$1))</f>
        <v/>
      </c>
      <c r="Y109" s="246" t="str">
        <f>if(OR($E109="",$D109="",COUNTIFS(DailyDelivery!$A:$A,$E109,DailyDelivery!$B:$B,$D109,DailyDelivery!$C:$C,Y$1)=0),"",COUNTIFS(DailyDelivery!$A:$A,$E109,DailyDelivery!$B:$B,$D109,DailyDelivery!$C:$C,Y$1))</f>
        <v/>
      </c>
      <c r="Z109" s="246" t="str">
        <f>if(OR($E109="",$D109="",COUNTIFS(DailyDelivery!$A:$A,$E109,DailyDelivery!$B:$B,$D109,DailyDelivery!$C:$C,Z$1)=0),"",COUNTIFS(DailyDelivery!$A:$A,$E109,DailyDelivery!$B:$B,$D109,DailyDelivery!$C:$C,Z$1))</f>
        <v/>
      </c>
      <c r="AA109" s="246" t="str">
        <f>if(OR($E109="",$D109="",COUNTIFS(DailyDelivery!$A:$A,$E109,DailyDelivery!$B:$B,$D109,DailyDelivery!$C:$C,AA$1)=0),"",COUNTIFS(DailyDelivery!$A:$A,$E109,DailyDelivery!$B:$B,$D109,DailyDelivery!$C:$C,AA$1))</f>
        <v/>
      </c>
      <c r="AB109" s="246" t="str">
        <f>if(OR($E109="",$D109="",COUNTIFS(DailyDelivery!$A:$A,$E109,DailyDelivery!$B:$B,$D109,DailyDelivery!$C:$C,AB$1)=0),"",COUNTIFS(DailyDelivery!$A:$A,$E109,DailyDelivery!$B:$B,$D109,DailyDelivery!$C:$C,AB$1))</f>
        <v/>
      </c>
      <c r="AC109" s="246" t="str">
        <f>if(OR($E109="",$D109="",COUNTIFS(DailyDelivery!$A:$A,$E109,DailyDelivery!$B:$B,$D109,DailyDelivery!$C:$C,AC$1)=0),"",COUNTIFS(DailyDelivery!$A:$A,$E109,DailyDelivery!$B:$B,$D109,DailyDelivery!$C:$C,AC$1))</f>
        <v/>
      </c>
      <c r="AD109" s="246" t="str">
        <f>if(OR($E109="",$D109="",COUNTIFS(DailyDelivery!$A:$A,$E109,DailyDelivery!$B:$B,$D109,DailyDelivery!$C:$C,AD$1)=0),"",COUNTIFS(DailyDelivery!$A:$A,$E109,DailyDelivery!$B:$B,$D109,DailyDelivery!$C:$C,AD$1))</f>
        <v/>
      </c>
      <c r="AE109" s="246" t="str">
        <f>if(OR($E109="",$D109="",COUNTIFS(DailyDelivery!$A:$A,$E109,DailyDelivery!$B:$B,$D109,DailyDelivery!$C:$C,AE$1)=0),"",COUNTIFS(DailyDelivery!$A:$A,$E109,DailyDelivery!$B:$B,$D109,DailyDelivery!$C:$C,AE$1))</f>
        <v/>
      </c>
      <c r="AF109" s="246" t="str">
        <f>if(OR($E109="",$D109="",COUNTIFS(DailyDelivery!$A:$A,$E109,DailyDelivery!$B:$B,$D109,DailyDelivery!$C:$C,AF$1)=0),"",COUNTIFS(DailyDelivery!$A:$A,$E109,DailyDelivery!$B:$B,$D109,DailyDelivery!$C:$C,AF$1))</f>
        <v/>
      </c>
      <c r="AG109" s="246" t="str">
        <f>if(OR($E109="",$D109="",COUNTIFS(DailyDelivery!$A:$A,$E109,DailyDelivery!$B:$B,$D109,DailyDelivery!$C:$C,AG$1)=0),"",COUNTIFS(DailyDelivery!$A:$A,$E109,DailyDelivery!$B:$B,$D109,DailyDelivery!$C:$C,AG$1))</f>
        <v/>
      </c>
      <c r="AH109" s="246" t="str">
        <f>if(OR($E109="",$D109="",COUNTIFS(DailyDelivery!$A:$A,$E109,DailyDelivery!$B:$B,$D109,DailyDelivery!$C:$C,AH$1)=0),"",COUNTIFS(DailyDelivery!$A:$A,$E109,DailyDelivery!$B:$B,$D109,DailyDelivery!$C:$C,AH$1))</f>
        <v/>
      </c>
    </row>
    <row r="110">
      <c r="A110" s="272"/>
      <c r="B110" s="273"/>
      <c r="C110" s="240"/>
      <c r="D110" s="274"/>
      <c r="E110" s="274"/>
      <c r="F110" s="242" t="str">
        <f t="shared" si="6"/>
        <v/>
      </c>
      <c r="G110" s="243" t="str">
        <f t="shared" si="7"/>
        <v/>
      </c>
      <c r="H110" s="242" t="str">
        <f t="shared" si="8"/>
        <v/>
      </c>
      <c r="I110" s="243" t="str">
        <f t="shared" si="9"/>
        <v/>
      </c>
      <c r="J110" s="244" t="str">
        <f>if(OR($E110="",$D110=""),"",sumifs(All_Stats!F:F,All_Stats!D:D,D110,All_Stats!A:A,E110,All_Stats!B:B,"Overall"))</f>
        <v/>
      </c>
      <c r="K110" s="275"/>
      <c r="L110" s="246" t="str">
        <f>if(OR($E110="",$D110=""),"",sumifs(All_Stats!G:G,All_Stats!D:D,D110,All_Stats!A:A,E110,All_Stats!B:B,"Overall"))</f>
        <v/>
      </c>
      <c r="M110" s="246" t="str">
        <f>if(OR($E110="",$D110=""),"",sumifs(All_Stats!H:H,All_Stats!D:D,D110,All_Stats!A:A,E110,All_Stats!B:B,"Overall"))</f>
        <v/>
      </c>
      <c r="N110" s="246" t="str">
        <f t="shared" si="10"/>
        <v/>
      </c>
      <c r="O110" s="276"/>
      <c r="P110" s="277"/>
      <c r="Q110" s="278"/>
      <c r="R110" s="250"/>
      <c r="S110" s="246">
        <f>SUMIFS(All_Stats!K:K,All_Stats!D:D,D110,All_Stats!A:A,E110,All_Stats!B:B,"Overall")</f>
        <v>0</v>
      </c>
      <c r="T110" s="251">
        <f>SUMIFS(All_Stats!L:L,All_Stats!D:D,D110,All_Stats!A:A,E110,All_Stats!B:B,"Overall")</f>
        <v>0</v>
      </c>
      <c r="U110" s="246" t="str">
        <f>if(OR($E110="",$D110="",COUNTIFS(DailyDelivery!$A:$A,$E110,DailyDelivery!$B:$B,$D110,DailyDelivery!$C:$C,U$1)=0),"",COUNTIFS(DailyDelivery!$A:$A,$E110,DailyDelivery!$B:$B,$D110,DailyDelivery!$C:$C,U$1))</f>
        <v/>
      </c>
      <c r="V110" s="246" t="str">
        <f>if(OR($E110="",$D110="",COUNTIFS(DailyDelivery!$A:$A,$E110,DailyDelivery!$B:$B,$D110,DailyDelivery!$C:$C,V$1)=0),"",COUNTIFS(DailyDelivery!$A:$A,$E110,DailyDelivery!$B:$B,$D110,DailyDelivery!$C:$C,V$1))</f>
        <v/>
      </c>
      <c r="W110" s="246" t="str">
        <f>if(OR($E110="",$D110="",COUNTIFS(DailyDelivery!$A:$A,$E110,DailyDelivery!$B:$B,$D110,DailyDelivery!$C:$C,W$1)=0),"",COUNTIFS(DailyDelivery!$A:$A,$E110,DailyDelivery!$B:$B,$D110,DailyDelivery!$C:$C,W$1))</f>
        <v/>
      </c>
      <c r="X110" s="246" t="str">
        <f>if(OR($E110="",$D110="",COUNTIFS(DailyDelivery!$A:$A,$E110,DailyDelivery!$B:$B,$D110,DailyDelivery!$C:$C,X$1)=0),"",COUNTIFS(DailyDelivery!$A:$A,$E110,DailyDelivery!$B:$B,$D110,DailyDelivery!$C:$C,X$1))</f>
        <v/>
      </c>
      <c r="Y110" s="246" t="str">
        <f>if(OR($E110="",$D110="",COUNTIFS(DailyDelivery!$A:$A,$E110,DailyDelivery!$B:$B,$D110,DailyDelivery!$C:$C,Y$1)=0),"",COUNTIFS(DailyDelivery!$A:$A,$E110,DailyDelivery!$B:$B,$D110,DailyDelivery!$C:$C,Y$1))</f>
        <v/>
      </c>
      <c r="Z110" s="246" t="str">
        <f>if(OR($E110="",$D110="",COUNTIFS(DailyDelivery!$A:$A,$E110,DailyDelivery!$B:$B,$D110,DailyDelivery!$C:$C,Z$1)=0),"",COUNTIFS(DailyDelivery!$A:$A,$E110,DailyDelivery!$B:$B,$D110,DailyDelivery!$C:$C,Z$1))</f>
        <v/>
      </c>
      <c r="AA110" s="246" t="str">
        <f>if(OR($E110="",$D110="",COUNTIFS(DailyDelivery!$A:$A,$E110,DailyDelivery!$B:$B,$D110,DailyDelivery!$C:$C,AA$1)=0),"",COUNTIFS(DailyDelivery!$A:$A,$E110,DailyDelivery!$B:$B,$D110,DailyDelivery!$C:$C,AA$1))</f>
        <v/>
      </c>
      <c r="AB110" s="246" t="str">
        <f>if(OR($E110="",$D110="",COUNTIFS(DailyDelivery!$A:$A,$E110,DailyDelivery!$B:$B,$D110,DailyDelivery!$C:$C,AB$1)=0),"",COUNTIFS(DailyDelivery!$A:$A,$E110,DailyDelivery!$B:$B,$D110,DailyDelivery!$C:$C,AB$1))</f>
        <v/>
      </c>
      <c r="AC110" s="246" t="str">
        <f>if(OR($E110="",$D110="",COUNTIFS(DailyDelivery!$A:$A,$E110,DailyDelivery!$B:$B,$D110,DailyDelivery!$C:$C,AC$1)=0),"",COUNTIFS(DailyDelivery!$A:$A,$E110,DailyDelivery!$B:$B,$D110,DailyDelivery!$C:$C,AC$1))</f>
        <v/>
      </c>
      <c r="AD110" s="246" t="str">
        <f>if(OR($E110="",$D110="",COUNTIFS(DailyDelivery!$A:$A,$E110,DailyDelivery!$B:$B,$D110,DailyDelivery!$C:$C,AD$1)=0),"",COUNTIFS(DailyDelivery!$A:$A,$E110,DailyDelivery!$B:$B,$D110,DailyDelivery!$C:$C,AD$1))</f>
        <v/>
      </c>
      <c r="AE110" s="246" t="str">
        <f>if(OR($E110="",$D110="",COUNTIFS(DailyDelivery!$A:$A,$E110,DailyDelivery!$B:$B,$D110,DailyDelivery!$C:$C,AE$1)=0),"",COUNTIFS(DailyDelivery!$A:$A,$E110,DailyDelivery!$B:$B,$D110,DailyDelivery!$C:$C,AE$1))</f>
        <v/>
      </c>
      <c r="AF110" s="246" t="str">
        <f>if(OR($E110="",$D110="",COUNTIFS(DailyDelivery!$A:$A,$E110,DailyDelivery!$B:$B,$D110,DailyDelivery!$C:$C,AF$1)=0),"",COUNTIFS(DailyDelivery!$A:$A,$E110,DailyDelivery!$B:$B,$D110,DailyDelivery!$C:$C,AF$1))</f>
        <v/>
      </c>
      <c r="AG110" s="246" t="str">
        <f>if(OR($E110="",$D110="",COUNTIFS(DailyDelivery!$A:$A,$E110,DailyDelivery!$B:$B,$D110,DailyDelivery!$C:$C,AG$1)=0),"",COUNTIFS(DailyDelivery!$A:$A,$E110,DailyDelivery!$B:$B,$D110,DailyDelivery!$C:$C,AG$1))</f>
        <v/>
      </c>
      <c r="AH110" s="246" t="str">
        <f>if(OR($E110="",$D110="",COUNTIFS(DailyDelivery!$A:$A,$E110,DailyDelivery!$B:$B,$D110,DailyDelivery!$C:$C,AH$1)=0),"",COUNTIFS(DailyDelivery!$A:$A,$E110,DailyDelivery!$B:$B,$D110,DailyDelivery!$C:$C,AH$1))</f>
        <v/>
      </c>
    </row>
    <row r="111">
      <c r="A111" s="272"/>
      <c r="B111" s="273"/>
      <c r="C111" s="240"/>
      <c r="D111" s="274"/>
      <c r="E111" s="274"/>
      <c r="F111" s="242" t="str">
        <f t="shared" si="6"/>
        <v/>
      </c>
      <c r="G111" s="243" t="str">
        <f t="shared" si="7"/>
        <v/>
      </c>
      <c r="H111" s="242" t="str">
        <f t="shared" si="8"/>
        <v/>
      </c>
      <c r="I111" s="243" t="str">
        <f t="shared" si="9"/>
        <v/>
      </c>
      <c r="J111" s="244" t="str">
        <f>if(OR($E111="",$D111=""),"",sumifs(All_Stats!F:F,All_Stats!D:D,D111,All_Stats!A:A,E111,All_Stats!B:B,"Overall"))</f>
        <v/>
      </c>
      <c r="K111" s="275"/>
      <c r="L111" s="246" t="str">
        <f>if(OR($E111="",$D111=""),"",sumifs(All_Stats!G:G,All_Stats!D:D,D111,All_Stats!A:A,E111,All_Stats!B:B,"Overall"))</f>
        <v/>
      </c>
      <c r="M111" s="246" t="str">
        <f>if(OR($E111="",$D111=""),"",sumifs(All_Stats!H:H,All_Stats!D:D,D111,All_Stats!A:A,E111,All_Stats!B:B,"Overall"))</f>
        <v/>
      </c>
      <c r="N111" s="246" t="str">
        <f t="shared" si="10"/>
        <v/>
      </c>
      <c r="O111" s="276"/>
      <c r="P111" s="277"/>
      <c r="Q111" s="278"/>
      <c r="R111" s="250"/>
      <c r="S111" s="246">
        <f>SUMIFS(All_Stats!K:K,All_Stats!D:D,D111,All_Stats!A:A,E111,All_Stats!B:B,"Overall")</f>
        <v>0</v>
      </c>
      <c r="T111" s="251">
        <f>SUMIFS(All_Stats!L:L,All_Stats!D:D,D111,All_Stats!A:A,E111,All_Stats!B:B,"Overall")</f>
        <v>0</v>
      </c>
      <c r="U111" s="246" t="str">
        <f>if(OR($E111="",$D111="",COUNTIFS(DailyDelivery!$A:$A,$E111,DailyDelivery!$B:$B,$D111,DailyDelivery!$C:$C,U$1)=0),"",COUNTIFS(DailyDelivery!$A:$A,$E111,DailyDelivery!$B:$B,$D111,DailyDelivery!$C:$C,U$1))</f>
        <v/>
      </c>
      <c r="V111" s="246" t="str">
        <f>if(OR($E111="",$D111="",COUNTIFS(DailyDelivery!$A:$A,$E111,DailyDelivery!$B:$B,$D111,DailyDelivery!$C:$C,V$1)=0),"",COUNTIFS(DailyDelivery!$A:$A,$E111,DailyDelivery!$B:$B,$D111,DailyDelivery!$C:$C,V$1))</f>
        <v/>
      </c>
      <c r="W111" s="246" t="str">
        <f>if(OR($E111="",$D111="",COUNTIFS(DailyDelivery!$A:$A,$E111,DailyDelivery!$B:$B,$D111,DailyDelivery!$C:$C,W$1)=0),"",COUNTIFS(DailyDelivery!$A:$A,$E111,DailyDelivery!$B:$B,$D111,DailyDelivery!$C:$C,W$1))</f>
        <v/>
      </c>
      <c r="X111" s="246" t="str">
        <f>if(OR($E111="",$D111="",COUNTIFS(DailyDelivery!$A:$A,$E111,DailyDelivery!$B:$B,$D111,DailyDelivery!$C:$C,X$1)=0),"",COUNTIFS(DailyDelivery!$A:$A,$E111,DailyDelivery!$B:$B,$D111,DailyDelivery!$C:$C,X$1))</f>
        <v/>
      </c>
      <c r="Y111" s="246" t="str">
        <f>if(OR($E111="",$D111="",COUNTIFS(DailyDelivery!$A:$A,$E111,DailyDelivery!$B:$B,$D111,DailyDelivery!$C:$C,Y$1)=0),"",COUNTIFS(DailyDelivery!$A:$A,$E111,DailyDelivery!$B:$B,$D111,DailyDelivery!$C:$C,Y$1))</f>
        <v/>
      </c>
      <c r="Z111" s="246" t="str">
        <f>if(OR($E111="",$D111="",COUNTIFS(DailyDelivery!$A:$A,$E111,DailyDelivery!$B:$B,$D111,DailyDelivery!$C:$C,Z$1)=0),"",COUNTIFS(DailyDelivery!$A:$A,$E111,DailyDelivery!$B:$B,$D111,DailyDelivery!$C:$C,Z$1))</f>
        <v/>
      </c>
      <c r="AA111" s="246" t="str">
        <f>if(OR($E111="",$D111="",COUNTIFS(DailyDelivery!$A:$A,$E111,DailyDelivery!$B:$B,$D111,DailyDelivery!$C:$C,AA$1)=0),"",COUNTIFS(DailyDelivery!$A:$A,$E111,DailyDelivery!$B:$B,$D111,DailyDelivery!$C:$C,AA$1))</f>
        <v/>
      </c>
      <c r="AB111" s="246" t="str">
        <f>if(OR($E111="",$D111="",COUNTIFS(DailyDelivery!$A:$A,$E111,DailyDelivery!$B:$B,$D111,DailyDelivery!$C:$C,AB$1)=0),"",COUNTIFS(DailyDelivery!$A:$A,$E111,DailyDelivery!$B:$B,$D111,DailyDelivery!$C:$C,AB$1))</f>
        <v/>
      </c>
      <c r="AC111" s="246" t="str">
        <f>if(OR($E111="",$D111="",COUNTIFS(DailyDelivery!$A:$A,$E111,DailyDelivery!$B:$B,$D111,DailyDelivery!$C:$C,AC$1)=0),"",COUNTIFS(DailyDelivery!$A:$A,$E111,DailyDelivery!$B:$B,$D111,DailyDelivery!$C:$C,AC$1))</f>
        <v/>
      </c>
      <c r="AD111" s="246" t="str">
        <f>if(OR($E111="",$D111="",COUNTIFS(DailyDelivery!$A:$A,$E111,DailyDelivery!$B:$B,$D111,DailyDelivery!$C:$C,AD$1)=0),"",COUNTIFS(DailyDelivery!$A:$A,$E111,DailyDelivery!$B:$B,$D111,DailyDelivery!$C:$C,AD$1))</f>
        <v/>
      </c>
      <c r="AE111" s="246" t="str">
        <f>if(OR($E111="",$D111="",COUNTIFS(DailyDelivery!$A:$A,$E111,DailyDelivery!$B:$B,$D111,DailyDelivery!$C:$C,AE$1)=0),"",COUNTIFS(DailyDelivery!$A:$A,$E111,DailyDelivery!$B:$B,$D111,DailyDelivery!$C:$C,AE$1))</f>
        <v/>
      </c>
      <c r="AF111" s="246" t="str">
        <f>if(OR($E111="",$D111="",COUNTIFS(DailyDelivery!$A:$A,$E111,DailyDelivery!$B:$B,$D111,DailyDelivery!$C:$C,AF$1)=0),"",COUNTIFS(DailyDelivery!$A:$A,$E111,DailyDelivery!$B:$B,$D111,DailyDelivery!$C:$C,AF$1))</f>
        <v/>
      </c>
      <c r="AG111" s="246" t="str">
        <f>if(OR($E111="",$D111="",COUNTIFS(DailyDelivery!$A:$A,$E111,DailyDelivery!$B:$B,$D111,DailyDelivery!$C:$C,AG$1)=0),"",COUNTIFS(DailyDelivery!$A:$A,$E111,DailyDelivery!$B:$B,$D111,DailyDelivery!$C:$C,AG$1))</f>
        <v/>
      </c>
      <c r="AH111" s="246" t="str">
        <f>if(OR($E111="",$D111="",COUNTIFS(DailyDelivery!$A:$A,$E111,DailyDelivery!$B:$B,$D111,DailyDelivery!$C:$C,AH$1)=0),"",COUNTIFS(DailyDelivery!$A:$A,$E111,DailyDelivery!$B:$B,$D111,DailyDelivery!$C:$C,AH$1))</f>
        <v/>
      </c>
    </row>
    <row r="112">
      <c r="A112" s="272"/>
      <c r="B112" s="273"/>
      <c r="C112" s="240"/>
      <c r="D112" s="274"/>
      <c r="E112" s="274"/>
      <c r="F112" s="242" t="str">
        <f t="shared" si="6"/>
        <v/>
      </c>
      <c r="G112" s="243" t="str">
        <f t="shared" si="7"/>
        <v/>
      </c>
      <c r="H112" s="242" t="str">
        <f t="shared" si="8"/>
        <v/>
      </c>
      <c r="I112" s="243" t="str">
        <f t="shared" si="9"/>
        <v/>
      </c>
      <c r="J112" s="244" t="str">
        <f>if(OR($E112="",$D112=""),"",sumifs(All_Stats!F:F,All_Stats!D:D,D112,All_Stats!A:A,E112,All_Stats!B:B,"Overall"))</f>
        <v/>
      </c>
      <c r="K112" s="275"/>
      <c r="L112" s="246" t="str">
        <f>if(OR($E112="",$D112=""),"",sumifs(All_Stats!G:G,All_Stats!D:D,D112,All_Stats!A:A,E112,All_Stats!B:B,"Overall"))</f>
        <v/>
      </c>
      <c r="M112" s="246" t="str">
        <f>if(OR($E112="",$D112=""),"",sumifs(All_Stats!H:H,All_Stats!D:D,D112,All_Stats!A:A,E112,All_Stats!B:B,"Overall"))</f>
        <v/>
      </c>
      <c r="N112" s="246" t="str">
        <f t="shared" si="10"/>
        <v/>
      </c>
      <c r="O112" s="276"/>
      <c r="P112" s="277"/>
      <c r="Q112" s="278"/>
      <c r="R112" s="250"/>
      <c r="S112" s="246">
        <f>SUMIFS(All_Stats!K:K,All_Stats!D:D,D112,All_Stats!A:A,E112,All_Stats!B:B,"Overall")</f>
        <v>0</v>
      </c>
      <c r="T112" s="251">
        <f>SUMIFS(All_Stats!L:L,All_Stats!D:D,D112,All_Stats!A:A,E112,All_Stats!B:B,"Overall")</f>
        <v>0</v>
      </c>
      <c r="U112" s="246" t="str">
        <f>if(OR($E112="",$D112="",COUNTIFS(DailyDelivery!$A:$A,$E112,DailyDelivery!$B:$B,$D112,DailyDelivery!$C:$C,U$1)=0),"",COUNTIFS(DailyDelivery!$A:$A,$E112,DailyDelivery!$B:$B,$D112,DailyDelivery!$C:$C,U$1))</f>
        <v/>
      </c>
      <c r="V112" s="246" t="str">
        <f>if(OR($E112="",$D112="",COUNTIFS(DailyDelivery!$A:$A,$E112,DailyDelivery!$B:$B,$D112,DailyDelivery!$C:$C,V$1)=0),"",COUNTIFS(DailyDelivery!$A:$A,$E112,DailyDelivery!$B:$B,$D112,DailyDelivery!$C:$C,V$1))</f>
        <v/>
      </c>
      <c r="W112" s="246" t="str">
        <f>if(OR($E112="",$D112="",COUNTIFS(DailyDelivery!$A:$A,$E112,DailyDelivery!$B:$B,$D112,DailyDelivery!$C:$C,W$1)=0),"",COUNTIFS(DailyDelivery!$A:$A,$E112,DailyDelivery!$B:$B,$D112,DailyDelivery!$C:$C,W$1))</f>
        <v/>
      </c>
      <c r="X112" s="246" t="str">
        <f>if(OR($E112="",$D112="",COUNTIFS(DailyDelivery!$A:$A,$E112,DailyDelivery!$B:$B,$D112,DailyDelivery!$C:$C,X$1)=0),"",COUNTIFS(DailyDelivery!$A:$A,$E112,DailyDelivery!$B:$B,$D112,DailyDelivery!$C:$C,X$1))</f>
        <v/>
      </c>
      <c r="Y112" s="246" t="str">
        <f>if(OR($E112="",$D112="",COUNTIFS(DailyDelivery!$A:$A,$E112,DailyDelivery!$B:$B,$D112,DailyDelivery!$C:$C,Y$1)=0),"",COUNTIFS(DailyDelivery!$A:$A,$E112,DailyDelivery!$B:$B,$D112,DailyDelivery!$C:$C,Y$1))</f>
        <v/>
      </c>
      <c r="Z112" s="246" t="str">
        <f>if(OR($E112="",$D112="",COUNTIFS(DailyDelivery!$A:$A,$E112,DailyDelivery!$B:$B,$D112,DailyDelivery!$C:$C,Z$1)=0),"",COUNTIFS(DailyDelivery!$A:$A,$E112,DailyDelivery!$B:$B,$D112,DailyDelivery!$C:$C,Z$1))</f>
        <v/>
      </c>
      <c r="AA112" s="246" t="str">
        <f>if(OR($E112="",$D112="",COUNTIFS(DailyDelivery!$A:$A,$E112,DailyDelivery!$B:$B,$D112,DailyDelivery!$C:$C,AA$1)=0),"",COUNTIFS(DailyDelivery!$A:$A,$E112,DailyDelivery!$B:$B,$D112,DailyDelivery!$C:$C,AA$1))</f>
        <v/>
      </c>
      <c r="AB112" s="246" t="str">
        <f>if(OR($E112="",$D112="",COUNTIFS(DailyDelivery!$A:$A,$E112,DailyDelivery!$B:$B,$D112,DailyDelivery!$C:$C,AB$1)=0),"",COUNTIFS(DailyDelivery!$A:$A,$E112,DailyDelivery!$B:$B,$D112,DailyDelivery!$C:$C,AB$1))</f>
        <v/>
      </c>
      <c r="AC112" s="246" t="str">
        <f>if(OR($E112="",$D112="",COUNTIFS(DailyDelivery!$A:$A,$E112,DailyDelivery!$B:$B,$D112,DailyDelivery!$C:$C,AC$1)=0),"",COUNTIFS(DailyDelivery!$A:$A,$E112,DailyDelivery!$B:$B,$D112,DailyDelivery!$C:$C,AC$1))</f>
        <v/>
      </c>
      <c r="AD112" s="246" t="str">
        <f>if(OR($E112="",$D112="",COUNTIFS(DailyDelivery!$A:$A,$E112,DailyDelivery!$B:$B,$D112,DailyDelivery!$C:$C,AD$1)=0),"",COUNTIFS(DailyDelivery!$A:$A,$E112,DailyDelivery!$B:$B,$D112,DailyDelivery!$C:$C,AD$1))</f>
        <v/>
      </c>
      <c r="AE112" s="246" t="str">
        <f>if(OR($E112="",$D112="",COUNTIFS(DailyDelivery!$A:$A,$E112,DailyDelivery!$B:$B,$D112,DailyDelivery!$C:$C,AE$1)=0),"",COUNTIFS(DailyDelivery!$A:$A,$E112,DailyDelivery!$B:$B,$D112,DailyDelivery!$C:$C,AE$1))</f>
        <v/>
      </c>
      <c r="AF112" s="246" t="str">
        <f>if(OR($E112="",$D112="",COUNTIFS(DailyDelivery!$A:$A,$E112,DailyDelivery!$B:$B,$D112,DailyDelivery!$C:$C,AF$1)=0),"",COUNTIFS(DailyDelivery!$A:$A,$E112,DailyDelivery!$B:$B,$D112,DailyDelivery!$C:$C,AF$1))</f>
        <v/>
      </c>
      <c r="AG112" s="246" t="str">
        <f>if(OR($E112="",$D112="",COUNTIFS(DailyDelivery!$A:$A,$E112,DailyDelivery!$B:$B,$D112,DailyDelivery!$C:$C,AG$1)=0),"",COUNTIFS(DailyDelivery!$A:$A,$E112,DailyDelivery!$B:$B,$D112,DailyDelivery!$C:$C,AG$1))</f>
        <v/>
      </c>
      <c r="AH112" s="246" t="str">
        <f>if(OR($E112="",$D112="",COUNTIFS(DailyDelivery!$A:$A,$E112,DailyDelivery!$B:$B,$D112,DailyDelivery!$C:$C,AH$1)=0),"",COUNTIFS(DailyDelivery!$A:$A,$E112,DailyDelivery!$B:$B,$D112,DailyDelivery!$C:$C,AH$1))</f>
        <v/>
      </c>
    </row>
    <row r="113">
      <c r="A113" s="272"/>
      <c r="B113" s="273"/>
      <c r="C113" s="240"/>
      <c r="D113" s="274"/>
      <c r="E113" s="274"/>
      <c r="F113" s="242" t="str">
        <f t="shared" si="6"/>
        <v/>
      </c>
      <c r="G113" s="243" t="str">
        <f t="shared" si="7"/>
        <v/>
      </c>
      <c r="H113" s="242" t="str">
        <f t="shared" si="8"/>
        <v/>
      </c>
      <c r="I113" s="243" t="str">
        <f t="shared" si="9"/>
        <v/>
      </c>
      <c r="J113" s="244" t="str">
        <f>if(OR($E113="",$D113=""),"",sumifs(All_Stats!F:F,All_Stats!D:D,D113,All_Stats!A:A,E113,All_Stats!B:B,"Overall"))</f>
        <v/>
      </c>
      <c r="K113" s="275"/>
      <c r="L113" s="246" t="str">
        <f>if(OR($E113="",$D113=""),"",sumifs(All_Stats!G:G,All_Stats!D:D,D113,All_Stats!A:A,E113,All_Stats!B:B,"Overall"))</f>
        <v/>
      </c>
      <c r="M113" s="246" t="str">
        <f>if(OR($E113="",$D113=""),"",sumifs(All_Stats!H:H,All_Stats!D:D,D113,All_Stats!A:A,E113,All_Stats!B:B,"Overall"))</f>
        <v/>
      </c>
      <c r="N113" s="246" t="str">
        <f t="shared" si="10"/>
        <v/>
      </c>
      <c r="O113" s="276"/>
      <c r="P113" s="277"/>
      <c r="Q113" s="278"/>
      <c r="R113" s="250"/>
      <c r="S113" s="246">
        <f>SUMIFS(All_Stats!K:K,All_Stats!D:D,D113,All_Stats!A:A,E113,All_Stats!B:B,"Overall")</f>
        <v>0</v>
      </c>
      <c r="T113" s="251">
        <f>SUMIFS(All_Stats!L:L,All_Stats!D:D,D113,All_Stats!A:A,E113,All_Stats!B:B,"Overall")</f>
        <v>0</v>
      </c>
      <c r="U113" s="246" t="str">
        <f>if(OR($E113="",$D113="",COUNTIFS(DailyDelivery!$A:$A,$E113,DailyDelivery!$B:$B,$D113,DailyDelivery!$C:$C,U$1)=0),"",COUNTIFS(DailyDelivery!$A:$A,$E113,DailyDelivery!$B:$B,$D113,DailyDelivery!$C:$C,U$1))</f>
        <v/>
      </c>
      <c r="V113" s="246" t="str">
        <f>if(OR($E113="",$D113="",COUNTIFS(DailyDelivery!$A:$A,$E113,DailyDelivery!$B:$B,$D113,DailyDelivery!$C:$C,V$1)=0),"",COUNTIFS(DailyDelivery!$A:$A,$E113,DailyDelivery!$B:$B,$D113,DailyDelivery!$C:$C,V$1))</f>
        <v/>
      </c>
      <c r="W113" s="246" t="str">
        <f>if(OR($E113="",$D113="",COUNTIFS(DailyDelivery!$A:$A,$E113,DailyDelivery!$B:$B,$D113,DailyDelivery!$C:$C,W$1)=0),"",COUNTIFS(DailyDelivery!$A:$A,$E113,DailyDelivery!$B:$B,$D113,DailyDelivery!$C:$C,W$1))</f>
        <v/>
      </c>
      <c r="X113" s="246" t="str">
        <f>if(OR($E113="",$D113="",COUNTIFS(DailyDelivery!$A:$A,$E113,DailyDelivery!$B:$B,$D113,DailyDelivery!$C:$C,X$1)=0),"",COUNTIFS(DailyDelivery!$A:$A,$E113,DailyDelivery!$B:$B,$D113,DailyDelivery!$C:$C,X$1))</f>
        <v/>
      </c>
      <c r="Y113" s="246" t="str">
        <f>if(OR($E113="",$D113="",COUNTIFS(DailyDelivery!$A:$A,$E113,DailyDelivery!$B:$B,$D113,DailyDelivery!$C:$C,Y$1)=0),"",COUNTIFS(DailyDelivery!$A:$A,$E113,DailyDelivery!$B:$B,$D113,DailyDelivery!$C:$C,Y$1))</f>
        <v/>
      </c>
      <c r="Z113" s="246" t="str">
        <f>if(OR($E113="",$D113="",COUNTIFS(DailyDelivery!$A:$A,$E113,DailyDelivery!$B:$B,$D113,DailyDelivery!$C:$C,Z$1)=0),"",COUNTIFS(DailyDelivery!$A:$A,$E113,DailyDelivery!$B:$B,$D113,DailyDelivery!$C:$C,Z$1))</f>
        <v/>
      </c>
      <c r="AA113" s="246" t="str">
        <f>if(OR($E113="",$D113="",COUNTIFS(DailyDelivery!$A:$A,$E113,DailyDelivery!$B:$B,$D113,DailyDelivery!$C:$C,AA$1)=0),"",COUNTIFS(DailyDelivery!$A:$A,$E113,DailyDelivery!$B:$B,$D113,DailyDelivery!$C:$C,AA$1))</f>
        <v/>
      </c>
      <c r="AB113" s="246" t="str">
        <f>if(OR($E113="",$D113="",COUNTIFS(DailyDelivery!$A:$A,$E113,DailyDelivery!$B:$B,$D113,DailyDelivery!$C:$C,AB$1)=0),"",COUNTIFS(DailyDelivery!$A:$A,$E113,DailyDelivery!$B:$B,$D113,DailyDelivery!$C:$C,AB$1))</f>
        <v/>
      </c>
      <c r="AC113" s="246" t="str">
        <f>if(OR($E113="",$D113="",COUNTIFS(DailyDelivery!$A:$A,$E113,DailyDelivery!$B:$B,$D113,DailyDelivery!$C:$C,AC$1)=0),"",COUNTIFS(DailyDelivery!$A:$A,$E113,DailyDelivery!$B:$B,$D113,DailyDelivery!$C:$C,AC$1))</f>
        <v/>
      </c>
      <c r="AD113" s="246" t="str">
        <f>if(OR($E113="",$D113="",COUNTIFS(DailyDelivery!$A:$A,$E113,DailyDelivery!$B:$B,$D113,DailyDelivery!$C:$C,AD$1)=0),"",COUNTIFS(DailyDelivery!$A:$A,$E113,DailyDelivery!$B:$B,$D113,DailyDelivery!$C:$C,AD$1))</f>
        <v/>
      </c>
      <c r="AE113" s="246" t="str">
        <f>if(OR($E113="",$D113="",COUNTIFS(DailyDelivery!$A:$A,$E113,DailyDelivery!$B:$B,$D113,DailyDelivery!$C:$C,AE$1)=0),"",COUNTIFS(DailyDelivery!$A:$A,$E113,DailyDelivery!$B:$B,$D113,DailyDelivery!$C:$C,AE$1))</f>
        <v/>
      </c>
      <c r="AF113" s="246" t="str">
        <f>if(OR($E113="",$D113="",COUNTIFS(DailyDelivery!$A:$A,$E113,DailyDelivery!$B:$B,$D113,DailyDelivery!$C:$C,AF$1)=0),"",COUNTIFS(DailyDelivery!$A:$A,$E113,DailyDelivery!$B:$B,$D113,DailyDelivery!$C:$C,AF$1))</f>
        <v/>
      </c>
      <c r="AG113" s="246" t="str">
        <f>if(OR($E113="",$D113="",COUNTIFS(DailyDelivery!$A:$A,$E113,DailyDelivery!$B:$B,$D113,DailyDelivery!$C:$C,AG$1)=0),"",COUNTIFS(DailyDelivery!$A:$A,$E113,DailyDelivery!$B:$B,$D113,DailyDelivery!$C:$C,AG$1))</f>
        <v/>
      </c>
      <c r="AH113" s="246" t="str">
        <f>if(OR($E113="",$D113="",COUNTIFS(DailyDelivery!$A:$A,$E113,DailyDelivery!$B:$B,$D113,DailyDelivery!$C:$C,AH$1)=0),"",COUNTIFS(DailyDelivery!$A:$A,$E113,DailyDelivery!$B:$B,$D113,DailyDelivery!$C:$C,AH$1))</f>
        <v/>
      </c>
    </row>
    <row r="114">
      <c r="A114" s="272"/>
      <c r="B114" s="273"/>
      <c r="C114" s="240"/>
      <c r="D114" s="274"/>
      <c r="E114" s="274"/>
      <c r="F114" s="242" t="str">
        <f t="shared" si="6"/>
        <v/>
      </c>
      <c r="G114" s="243" t="str">
        <f t="shared" si="7"/>
        <v/>
      </c>
      <c r="H114" s="242" t="str">
        <f t="shared" si="8"/>
        <v/>
      </c>
      <c r="I114" s="243" t="str">
        <f t="shared" si="9"/>
        <v/>
      </c>
      <c r="J114" s="244" t="str">
        <f>if(OR($E114="",$D114=""),"",sumifs(All_Stats!F:F,All_Stats!D:D,D114,All_Stats!A:A,E114,All_Stats!B:B,"Overall"))</f>
        <v/>
      </c>
      <c r="K114" s="275"/>
      <c r="L114" s="246" t="str">
        <f>if(OR($E114="",$D114=""),"",sumifs(All_Stats!G:G,All_Stats!D:D,D114,All_Stats!A:A,E114,All_Stats!B:B,"Overall"))</f>
        <v/>
      </c>
      <c r="M114" s="246" t="str">
        <f>if(OR($E114="",$D114=""),"",sumifs(All_Stats!H:H,All_Stats!D:D,D114,All_Stats!A:A,E114,All_Stats!B:B,"Overall"))</f>
        <v/>
      </c>
      <c r="N114" s="246" t="str">
        <f t="shared" si="10"/>
        <v/>
      </c>
      <c r="O114" s="276"/>
      <c r="P114" s="277"/>
      <c r="Q114" s="278"/>
      <c r="R114" s="250"/>
      <c r="S114" s="246">
        <f>SUMIFS(All_Stats!K:K,All_Stats!D:D,D114,All_Stats!A:A,E114,All_Stats!B:B,"Overall")</f>
        <v>0</v>
      </c>
      <c r="T114" s="251">
        <f>SUMIFS(All_Stats!L:L,All_Stats!D:D,D114,All_Stats!A:A,E114,All_Stats!B:B,"Overall")</f>
        <v>0</v>
      </c>
      <c r="U114" s="246" t="str">
        <f>if(OR($E114="",$D114="",COUNTIFS(DailyDelivery!$A:$A,$E114,DailyDelivery!$B:$B,$D114,DailyDelivery!$C:$C,U$1)=0),"",COUNTIFS(DailyDelivery!$A:$A,$E114,DailyDelivery!$B:$B,$D114,DailyDelivery!$C:$C,U$1))</f>
        <v/>
      </c>
      <c r="V114" s="246" t="str">
        <f>if(OR($E114="",$D114="",COUNTIFS(DailyDelivery!$A:$A,$E114,DailyDelivery!$B:$B,$D114,DailyDelivery!$C:$C,V$1)=0),"",COUNTIFS(DailyDelivery!$A:$A,$E114,DailyDelivery!$B:$B,$D114,DailyDelivery!$C:$C,V$1))</f>
        <v/>
      </c>
      <c r="W114" s="246" t="str">
        <f>if(OR($E114="",$D114="",COUNTIFS(DailyDelivery!$A:$A,$E114,DailyDelivery!$B:$B,$D114,DailyDelivery!$C:$C,W$1)=0),"",COUNTIFS(DailyDelivery!$A:$A,$E114,DailyDelivery!$B:$B,$D114,DailyDelivery!$C:$C,W$1))</f>
        <v/>
      </c>
      <c r="X114" s="246" t="str">
        <f>if(OR($E114="",$D114="",COUNTIFS(DailyDelivery!$A:$A,$E114,DailyDelivery!$B:$B,$D114,DailyDelivery!$C:$C,X$1)=0),"",COUNTIFS(DailyDelivery!$A:$A,$E114,DailyDelivery!$B:$B,$D114,DailyDelivery!$C:$C,X$1))</f>
        <v/>
      </c>
      <c r="Y114" s="246" t="str">
        <f>if(OR($E114="",$D114="",COUNTIFS(DailyDelivery!$A:$A,$E114,DailyDelivery!$B:$B,$D114,DailyDelivery!$C:$C,Y$1)=0),"",COUNTIFS(DailyDelivery!$A:$A,$E114,DailyDelivery!$B:$B,$D114,DailyDelivery!$C:$C,Y$1))</f>
        <v/>
      </c>
      <c r="Z114" s="246" t="str">
        <f>if(OR($E114="",$D114="",COUNTIFS(DailyDelivery!$A:$A,$E114,DailyDelivery!$B:$B,$D114,DailyDelivery!$C:$C,Z$1)=0),"",COUNTIFS(DailyDelivery!$A:$A,$E114,DailyDelivery!$B:$B,$D114,DailyDelivery!$C:$C,Z$1))</f>
        <v/>
      </c>
      <c r="AA114" s="246" t="str">
        <f>if(OR($E114="",$D114="",COUNTIFS(DailyDelivery!$A:$A,$E114,DailyDelivery!$B:$B,$D114,DailyDelivery!$C:$C,AA$1)=0),"",COUNTIFS(DailyDelivery!$A:$A,$E114,DailyDelivery!$B:$B,$D114,DailyDelivery!$C:$C,AA$1))</f>
        <v/>
      </c>
      <c r="AB114" s="246" t="str">
        <f>if(OR($E114="",$D114="",COUNTIFS(DailyDelivery!$A:$A,$E114,DailyDelivery!$B:$B,$D114,DailyDelivery!$C:$C,AB$1)=0),"",COUNTIFS(DailyDelivery!$A:$A,$E114,DailyDelivery!$B:$B,$D114,DailyDelivery!$C:$C,AB$1))</f>
        <v/>
      </c>
      <c r="AC114" s="246" t="str">
        <f>if(OR($E114="",$D114="",COUNTIFS(DailyDelivery!$A:$A,$E114,DailyDelivery!$B:$B,$D114,DailyDelivery!$C:$C,AC$1)=0),"",COUNTIFS(DailyDelivery!$A:$A,$E114,DailyDelivery!$B:$B,$D114,DailyDelivery!$C:$C,AC$1))</f>
        <v/>
      </c>
      <c r="AD114" s="246" t="str">
        <f>if(OR($E114="",$D114="",COUNTIFS(DailyDelivery!$A:$A,$E114,DailyDelivery!$B:$B,$D114,DailyDelivery!$C:$C,AD$1)=0),"",COUNTIFS(DailyDelivery!$A:$A,$E114,DailyDelivery!$B:$B,$D114,DailyDelivery!$C:$C,AD$1))</f>
        <v/>
      </c>
      <c r="AE114" s="246" t="str">
        <f>if(OR($E114="",$D114="",COUNTIFS(DailyDelivery!$A:$A,$E114,DailyDelivery!$B:$B,$D114,DailyDelivery!$C:$C,AE$1)=0),"",COUNTIFS(DailyDelivery!$A:$A,$E114,DailyDelivery!$B:$B,$D114,DailyDelivery!$C:$C,AE$1))</f>
        <v/>
      </c>
      <c r="AF114" s="246" t="str">
        <f>if(OR($E114="",$D114="",COUNTIFS(DailyDelivery!$A:$A,$E114,DailyDelivery!$B:$B,$D114,DailyDelivery!$C:$C,AF$1)=0),"",COUNTIFS(DailyDelivery!$A:$A,$E114,DailyDelivery!$B:$B,$D114,DailyDelivery!$C:$C,AF$1))</f>
        <v/>
      </c>
      <c r="AG114" s="246" t="str">
        <f>if(OR($E114="",$D114="",COUNTIFS(DailyDelivery!$A:$A,$E114,DailyDelivery!$B:$B,$D114,DailyDelivery!$C:$C,AG$1)=0),"",COUNTIFS(DailyDelivery!$A:$A,$E114,DailyDelivery!$B:$B,$D114,DailyDelivery!$C:$C,AG$1))</f>
        <v/>
      </c>
      <c r="AH114" s="246" t="str">
        <f>if(OR($E114="",$D114="",COUNTIFS(DailyDelivery!$A:$A,$E114,DailyDelivery!$B:$B,$D114,DailyDelivery!$C:$C,AH$1)=0),"",COUNTIFS(DailyDelivery!$A:$A,$E114,DailyDelivery!$B:$B,$D114,DailyDelivery!$C:$C,AH$1))</f>
        <v/>
      </c>
    </row>
    <row r="115">
      <c r="A115" s="272"/>
      <c r="B115" s="273"/>
      <c r="C115" s="240"/>
      <c r="D115" s="274"/>
      <c r="E115" s="274"/>
      <c r="F115" s="242" t="str">
        <f t="shared" si="6"/>
        <v/>
      </c>
      <c r="G115" s="243" t="str">
        <f t="shared" si="7"/>
        <v/>
      </c>
      <c r="H115" s="242" t="str">
        <f t="shared" si="8"/>
        <v/>
      </c>
      <c r="I115" s="243" t="str">
        <f t="shared" si="9"/>
        <v/>
      </c>
      <c r="J115" s="244" t="str">
        <f>if(OR($E115="",$D115=""),"",sumifs(All_Stats!F:F,All_Stats!D:D,D115,All_Stats!A:A,E115,All_Stats!B:B,"Overall"))</f>
        <v/>
      </c>
      <c r="K115" s="275"/>
      <c r="L115" s="246" t="str">
        <f>if(OR($E115="",$D115=""),"",sumifs(All_Stats!G:G,All_Stats!D:D,D115,All_Stats!A:A,E115,All_Stats!B:B,"Overall"))</f>
        <v/>
      </c>
      <c r="M115" s="246" t="str">
        <f>if(OR($E115="",$D115=""),"",sumifs(All_Stats!H:H,All_Stats!D:D,D115,All_Stats!A:A,E115,All_Stats!B:B,"Overall"))</f>
        <v/>
      </c>
      <c r="N115" s="246" t="str">
        <f t="shared" si="10"/>
        <v/>
      </c>
      <c r="O115" s="276"/>
      <c r="P115" s="277"/>
      <c r="Q115" s="278"/>
      <c r="R115" s="250"/>
      <c r="S115" s="246">
        <f>SUMIFS(All_Stats!K:K,All_Stats!D:D,D115,All_Stats!A:A,E115,All_Stats!B:B,"Overall")</f>
        <v>0</v>
      </c>
      <c r="T115" s="251">
        <f>SUMIFS(All_Stats!L:L,All_Stats!D:D,D115,All_Stats!A:A,E115,All_Stats!B:B,"Overall")</f>
        <v>0</v>
      </c>
      <c r="U115" s="246" t="str">
        <f>if(OR($E115="",$D115="",COUNTIFS(DailyDelivery!$A:$A,$E115,DailyDelivery!$B:$B,$D115,DailyDelivery!$C:$C,U$1)=0),"",COUNTIFS(DailyDelivery!$A:$A,$E115,DailyDelivery!$B:$B,$D115,DailyDelivery!$C:$C,U$1))</f>
        <v/>
      </c>
      <c r="V115" s="246" t="str">
        <f>if(OR($E115="",$D115="",COUNTIFS(DailyDelivery!$A:$A,$E115,DailyDelivery!$B:$B,$D115,DailyDelivery!$C:$C,V$1)=0),"",COUNTIFS(DailyDelivery!$A:$A,$E115,DailyDelivery!$B:$B,$D115,DailyDelivery!$C:$C,V$1))</f>
        <v/>
      </c>
      <c r="W115" s="246" t="str">
        <f>if(OR($E115="",$D115="",COUNTIFS(DailyDelivery!$A:$A,$E115,DailyDelivery!$B:$B,$D115,DailyDelivery!$C:$C,W$1)=0),"",COUNTIFS(DailyDelivery!$A:$A,$E115,DailyDelivery!$B:$B,$D115,DailyDelivery!$C:$C,W$1))</f>
        <v/>
      </c>
      <c r="X115" s="246" t="str">
        <f>if(OR($E115="",$D115="",COUNTIFS(DailyDelivery!$A:$A,$E115,DailyDelivery!$B:$B,$D115,DailyDelivery!$C:$C,X$1)=0),"",COUNTIFS(DailyDelivery!$A:$A,$E115,DailyDelivery!$B:$B,$D115,DailyDelivery!$C:$C,X$1))</f>
        <v/>
      </c>
      <c r="Y115" s="246" t="str">
        <f>if(OR($E115="",$D115="",COUNTIFS(DailyDelivery!$A:$A,$E115,DailyDelivery!$B:$B,$D115,DailyDelivery!$C:$C,Y$1)=0),"",COUNTIFS(DailyDelivery!$A:$A,$E115,DailyDelivery!$B:$B,$D115,DailyDelivery!$C:$C,Y$1))</f>
        <v/>
      </c>
      <c r="Z115" s="246" t="str">
        <f>if(OR($E115="",$D115="",COUNTIFS(DailyDelivery!$A:$A,$E115,DailyDelivery!$B:$B,$D115,DailyDelivery!$C:$C,Z$1)=0),"",COUNTIFS(DailyDelivery!$A:$A,$E115,DailyDelivery!$B:$B,$D115,DailyDelivery!$C:$C,Z$1))</f>
        <v/>
      </c>
      <c r="AA115" s="246" t="str">
        <f>if(OR($E115="",$D115="",COUNTIFS(DailyDelivery!$A:$A,$E115,DailyDelivery!$B:$B,$D115,DailyDelivery!$C:$C,AA$1)=0),"",COUNTIFS(DailyDelivery!$A:$A,$E115,DailyDelivery!$B:$B,$D115,DailyDelivery!$C:$C,AA$1))</f>
        <v/>
      </c>
      <c r="AB115" s="246" t="str">
        <f>if(OR($E115="",$D115="",COUNTIFS(DailyDelivery!$A:$A,$E115,DailyDelivery!$B:$B,$D115,DailyDelivery!$C:$C,AB$1)=0),"",COUNTIFS(DailyDelivery!$A:$A,$E115,DailyDelivery!$B:$B,$D115,DailyDelivery!$C:$C,AB$1))</f>
        <v/>
      </c>
      <c r="AC115" s="246" t="str">
        <f>if(OR($E115="",$D115="",COUNTIFS(DailyDelivery!$A:$A,$E115,DailyDelivery!$B:$B,$D115,DailyDelivery!$C:$C,AC$1)=0),"",COUNTIFS(DailyDelivery!$A:$A,$E115,DailyDelivery!$B:$B,$D115,DailyDelivery!$C:$C,AC$1))</f>
        <v/>
      </c>
      <c r="AD115" s="246" t="str">
        <f>if(OR($E115="",$D115="",COUNTIFS(DailyDelivery!$A:$A,$E115,DailyDelivery!$B:$B,$D115,DailyDelivery!$C:$C,AD$1)=0),"",COUNTIFS(DailyDelivery!$A:$A,$E115,DailyDelivery!$B:$B,$D115,DailyDelivery!$C:$C,AD$1))</f>
        <v/>
      </c>
      <c r="AE115" s="246" t="str">
        <f>if(OR($E115="",$D115="",COUNTIFS(DailyDelivery!$A:$A,$E115,DailyDelivery!$B:$B,$D115,DailyDelivery!$C:$C,AE$1)=0),"",COUNTIFS(DailyDelivery!$A:$A,$E115,DailyDelivery!$B:$B,$D115,DailyDelivery!$C:$C,AE$1))</f>
        <v/>
      </c>
      <c r="AF115" s="246" t="str">
        <f>if(OR($E115="",$D115="",COUNTIFS(DailyDelivery!$A:$A,$E115,DailyDelivery!$B:$B,$D115,DailyDelivery!$C:$C,AF$1)=0),"",COUNTIFS(DailyDelivery!$A:$A,$E115,DailyDelivery!$B:$B,$D115,DailyDelivery!$C:$C,AF$1))</f>
        <v/>
      </c>
      <c r="AG115" s="246" t="str">
        <f>if(OR($E115="",$D115="",COUNTIFS(DailyDelivery!$A:$A,$E115,DailyDelivery!$B:$B,$D115,DailyDelivery!$C:$C,AG$1)=0),"",COUNTIFS(DailyDelivery!$A:$A,$E115,DailyDelivery!$B:$B,$D115,DailyDelivery!$C:$C,AG$1))</f>
        <v/>
      </c>
      <c r="AH115" s="246" t="str">
        <f>if(OR($E115="",$D115="",COUNTIFS(DailyDelivery!$A:$A,$E115,DailyDelivery!$B:$B,$D115,DailyDelivery!$C:$C,AH$1)=0),"",COUNTIFS(DailyDelivery!$A:$A,$E115,DailyDelivery!$B:$B,$D115,DailyDelivery!$C:$C,AH$1))</f>
        <v/>
      </c>
    </row>
    <row r="116">
      <c r="A116" s="272"/>
      <c r="B116" s="273"/>
      <c r="C116" s="240"/>
      <c r="D116" s="274"/>
      <c r="E116" s="274"/>
      <c r="F116" s="242" t="str">
        <f t="shared" si="6"/>
        <v/>
      </c>
      <c r="G116" s="243" t="str">
        <f t="shared" si="7"/>
        <v/>
      </c>
      <c r="H116" s="242" t="str">
        <f t="shared" si="8"/>
        <v/>
      </c>
      <c r="I116" s="243" t="str">
        <f t="shared" si="9"/>
        <v/>
      </c>
      <c r="J116" s="244" t="str">
        <f>if(OR($E116="",$D116=""),"",sumifs(All_Stats!F:F,All_Stats!D:D,D116,All_Stats!A:A,E116,All_Stats!B:B,"Overall"))</f>
        <v/>
      </c>
      <c r="K116" s="275"/>
      <c r="L116" s="246" t="str">
        <f>if(OR($E116="",$D116=""),"",sumifs(All_Stats!G:G,All_Stats!D:D,D116,All_Stats!A:A,E116,All_Stats!B:B,"Overall"))</f>
        <v/>
      </c>
      <c r="M116" s="246" t="str">
        <f>if(OR($E116="",$D116=""),"",sumifs(All_Stats!H:H,All_Stats!D:D,D116,All_Stats!A:A,E116,All_Stats!B:B,"Overall"))</f>
        <v/>
      </c>
      <c r="N116" s="246" t="str">
        <f t="shared" si="10"/>
        <v/>
      </c>
      <c r="O116" s="276"/>
      <c r="P116" s="277"/>
      <c r="Q116" s="278"/>
      <c r="R116" s="250"/>
      <c r="S116" s="246">
        <f>SUMIFS(All_Stats!K:K,All_Stats!D:D,D116,All_Stats!A:A,E116,All_Stats!B:B,"Overall")</f>
        <v>0</v>
      </c>
      <c r="T116" s="251">
        <f>SUMIFS(All_Stats!L:L,All_Stats!D:D,D116,All_Stats!A:A,E116,All_Stats!B:B,"Overall")</f>
        <v>0</v>
      </c>
      <c r="U116" s="246" t="str">
        <f>if(OR($E116="",$D116="",COUNTIFS(DailyDelivery!$A:$A,$E116,DailyDelivery!$B:$B,$D116,DailyDelivery!$C:$C,U$1)=0),"",COUNTIFS(DailyDelivery!$A:$A,$E116,DailyDelivery!$B:$B,$D116,DailyDelivery!$C:$C,U$1))</f>
        <v/>
      </c>
      <c r="V116" s="246" t="str">
        <f>if(OR($E116="",$D116="",COUNTIFS(DailyDelivery!$A:$A,$E116,DailyDelivery!$B:$B,$D116,DailyDelivery!$C:$C,V$1)=0),"",COUNTIFS(DailyDelivery!$A:$A,$E116,DailyDelivery!$B:$B,$D116,DailyDelivery!$C:$C,V$1))</f>
        <v/>
      </c>
      <c r="W116" s="246" t="str">
        <f>if(OR($E116="",$D116="",COUNTIFS(DailyDelivery!$A:$A,$E116,DailyDelivery!$B:$B,$D116,DailyDelivery!$C:$C,W$1)=0),"",COUNTIFS(DailyDelivery!$A:$A,$E116,DailyDelivery!$B:$B,$D116,DailyDelivery!$C:$C,W$1))</f>
        <v/>
      </c>
      <c r="X116" s="246" t="str">
        <f>if(OR($E116="",$D116="",COUNTIFS(DailyDelivery!$A:$A,$E116,DailyDelivery!$B:$B,$D116,DailyDelivery!$C:$C,X$1)=0),"",COUNTIFS(DailyDelivery!$A:$A,$E116,DailyDelivery!$B:$B,$D116,DailyDelivery!$C:$C,X$1))</f>
        <v/>
      </c>
      <c r="Y116" s="246" t="str">
        <f>if(OR($E116="",$D116="",COUNTIFS(DailyDelivery!$A:$A,$E116,DailyDelivery!$B:$B,$D116,DailyDelivery!$C:$C,Y$1)=0),"",COUNTIFS(DailyDelivery!$A:$A,$E116,DailyDelivery!$B:$B,$D116,DailyDelivery!$C:$C,Y$1))</f>
        <v/>
      </c>
      <c r="Z116" s="246" t="str">
        <f>if(OR($E116="",$D116="",COUNTIFS(DailyDelivery!$A:$A,$E116,DailyDelivery!$B:$B,$D116,DailyDelivery!$C:$C,Z$1)=0),"",COUNTIFS(DailyDelivery!$A:$A,$E116,DailyDelivery!$B:$B,$D116,DailyDelivery!$C:$C,Z$1))</f>
        <v/>
      </c>
      <c r="AA116" s="246" t="str">
        <f>if(OR($E116="",$D116="",COUNTIFS(DailyDelivery!$A:$A,$E116,DailyDelivery!$B:$B,$D116,DailyDelivery!$C:$C,AA$1)=0),"",COUNTIFS(DailyDelivery!$A:$A,$E116,DailyDelivery!$B:$B,$D116,DailyDelivery!$C:$C,AA$1))</f>
        <v/>
      </c>
      <c r="AB116" s="246" t="str">
        <f>if(OR($E116="",$D116="",COUNTIFS(DailyDelivery!$A:$A,$E116,DailyDelivery!$B:$B,$D116,DailyDelivery!$C:$C,AB$1)=0),"",COUNTIFS(DailyDelivery!$A:$A,$E116,DailyDelivery!$B:$B,$D116,DailyDelivery!$C:$C,AB$1))</f>
        <v/>
      </c>
      <c r="AC116" s="246" t="str">
        <f>if(OR($E116="",$D116="",COUNTIFS(DailyDelivery!$A:$A,$E116,DailyDelivery!$B:$B,$D116,DailyDelivery!$C:$C,AC$1)=0),"",COUNTIFS(DailyDelivery!$A:$A,$E116,DailyDelivery!$B:$B,$D116,DailyDelivery!$C:$C,AC$1))</f>
        <v/>
      </c>
      <c r="AD116" s="246" t="str">
        <f>if(OR($E116="",$D116="",COUNTIFS(DailyDelivery!$A:$A,$E116,DailyDelivery!$B:$B,$D116,DailyDelivery!$C:$C,AD$1)=0),"",COUNTIFS(DailyDelivery!$A:$A,$E116,DailyDelivery!$B:$B,$D116,DailyDelivery!$C:$C,AD$1))</f>
        <v/>
      </c>
      <c r="AE116" s="246" t="str">
        <f>if(OR($E116="",$D116="",COUNTIFS(DailyDelivery!$A:$A,$E116,DailyDelivery!$B:$B,$D116,DailyDelivery!$C:$C,AE$1)=0),"",COUNTIFS(DailyDelivery!$A:$A,$E116,DailyDelivery!$B:$B,$D116,DailyDelivery!$C:$C,AE$1))</f>
        <v/>
      </c>
      <c r="AF116" s="246" t="str">
        <f>if(OR($E116="",$D116="",COUNTIFS(DailyDelivery!$A:$A,$E116,DailyDelivery!$B:$B,$D116,DailyDelivery!$C:$C,AF$1)=0),"",COUNTIFS(DailyDelivery!$A:$A,$E116,DailyDelivery!$B:$B,$D116,DailyDelivery!$C:$C,AF$1))</f>
        <v/>
      </c>
      <c r="AG116" s="246" t="str">
        <f>if(OR($E116="",$D116="",COUNTIFS(DailyDelivery!$A:$A,$E116,DailyDelivery!$B:$B,$D116,DailyDelivery!$C:$C,AG$1)=0),"",COUNTIFS(DailyDelivery!$A:$A,$E116,DailyDelivery!$B:$B,$D116,DailyDelivery!$C:$C,AG$1))</f>
        <v/>
      </c>
      <c r="AH116" s="246" t="str">
        <f>if(OR($E116="",$D116="",COUNTIFS(DailyDelivery!$A:$A,$E116,DailyDelivery!$B:$B,$D116,DailyDelivery!$C:$C,AH$1)=0),"",COUNTIFS(DailyDelivery!$A:$A,$E116,DailyDelivery!$B:$B,$D116,DailyDelivery!$C:$C,AH$1))</f>
        <v/>
      </c>
    </row>
    <row r="117">
      <c r="A117" s="272"/>
      <c r="B117" s="273"/>
      <c r="C117" s="240"/>
      <c r="D117" s="274"/>
      <c r="E117" s="274"/>
      <c r="F117" s="242" t="str">
        <f t="shared" si="6"/>
        <v/>
      </c>
      <c r="G117" s="243" t="str">
        <f t="shared" si="7"/>
        <v/>
      </c>
      <c r="H117" s="242" t="str">
        <f t="shared" si="8"/>
        <v/>
      </c>
      <c r="I117" s="243" t="str">
        <f t="shared" si="9"/>
        <v/>
      </c>
      <c r="J117" s="244" t="str">
        <f>if(OR($E117="",$D117=""),"",sumifs(All_Stats!F:F,All_Stats!D:D,D117,All_Stats!A:A,E117,All_Stats!B:B,"Overall"))</f>
        <v/>
      </c>
      <c r="K117" s="275"/>
      <c r="L117" s="246" t="str">
        <f>if(OR($E117="",$D117=""),"",sumifs(All_Stats!G:G,All_Stats!D:D,D117,All_Stats!A:A,E117,All_Stats!B:B,"Overall"))</f>
        <v/>
      </c>
      <c r="M117" s="246" t="str">
        <f>if(OR($E117="",$D117=""),"",sumifs(All_Stats!H:H,All_Stats!D:D,D117,All_Stats!A:A,E117,All_Stats!B:B,"Overall"))</f>
        <v/>
      </c>
      <c r="N117" s="246" t="str">
        <f t="shared" si="10"/>
        <v/>
      </c>
      <c r="O117" s="276"/>
      <c r="P117" s="277"/>
      <c r="Q117" s="278"/>
      <c r="R117" s="250"/>
      <c r="S117" s="246">
        <f>SUMIFS(All_Stats!K:K,All_Stats!D:D,D117,All_Stats!A:A,E117,All_Stats!B:B,"Overall")</f>
        <v>0</v>
      </c>
      <c r="T117" s="251">
        <f>SUMIFS(All_Stats!L:L,All_Stats!D:D,D117,All_Stats!A:A,E117,All_Stats!B:B,"Overall")</f>
        <v>0</v>
      </c>
      <c r="U117" s="246" t="str">
        <f>if(OR($E117="",$D117="",COUNTIFS(DailyDelivery!$A:$A,$E117,DailyDelivery!$B:$B,$D117,DailyDelivery!$C:$C,U$1)=0),"",COUNTIFS(DailyDelivery!$A:$A,$E117,DailyDelivery!$B:$B,$D117,DailyDelivery!$C:$C,U$1))</f>
        <v/>
      </c>
      <c r="V117" s="246" t="str">
        <f>if(OR($E117="",$D117="",COUNTIFS(DailyDelivery!$A:$A,$E117,DailyDelivery!$B:$B,$D117,DailyDelivery!$C:$C,V$1)=0),"",COUNTIFS(DailyDelivery!$A:$A,$E117,DailyDelivery!$B:$B,$D117,DailyDelivery!$C:$C,V$1))</f>
        <v/>
      </c>
      <c r="W117" s="246" t="str">
        <f>if(OR($E117="",$D117="",COUNTIFS(DailyDelivery!$A:$A,$E117,DailyDelivery!$B:$B,$D117,DailyDelivery!$C:$C,W$1)=0),"",COUNTIFS(DailyDelivery!$A:$A,$E117,DailyDelivery!$B:$B,$D117,DailyDelivery!$C:$C,W$1))</f>
        <v/>
      </c>
      <c r="X117" s="246" t="str">
        <f>if(OR($E117="",$D117="",COUNTIFS(DailyDelivery!$A:$A,$E117,DailyDelivery!$B:$B,$D117,DailyDelivery!$C:$C,X$1)=0),"",COUNTIFS(DailyDelivery!$A:$A,$E117,DailyDelivery!$B:$B,$D117,DailyDelivery!$C:$C,X$1))</f>
        <v/>
      </c>
      <c r="Y117" s="246" t="str">
        <f>if(OR($E117="",$D117="",COUNTIFS(DailyDelivery!$A:$A,$E117,DailyDelivery!$B:$B,$D117,DailyDelivery!$C:$C,Y$1)=0),"",COUNTIFS(DailyDelivery!$A:$A,$E117,DailyDelivery!$B:$B,$D117,DailyDelivery!$C:$C,Y$1))</f>
        <v/>
      </c>
      <c r="Z117" s="246" t="str">
        <f>if(OR($E117="",$D117="",COUNTIFS(DailyDelivery!$A:$A,$E117,DailyDelivery!$B:$B,$D117,DailyDelivery!$C:$C,Z$1)=0),"",COUNTIFS(DailyDelivery!$A:$A,$E117,DailyDelivery!$B:$B,$D117,DailyDelivery!$C:$C,Z$1))</f>
        <v/>
      </c>
      <c r="AA117" s="246" t="str">
        <f>if(OR($E117="",$D117="",COUNTIFS(DailyDelivery!$A:$A,$E117,DailyDelivery!$B:$B,$D117,DailyDelivery!$C:$C,AA$1)=0),"",COUNTIFS(DailyDelivery!$A:$A,$E117,DailyDelivery!$B:$B,$D117,DailyDelivery!$C:$C,AA$1))</f>
        <v/>
      </c>
      <c r="AB117" s="246" t="str">
        <f>if(OR($E117="",$D117="",COUNTIFS(DailyDelivery!$A:$A,$E117,DailyDelivery!$B:$B,$D117,DailyDelivery!$C:$C,AB$1)=0),"",COUNTIFS(DailyDelivery!$A:$A,$E117,DailyDelivery!$B:$B,$D117,DailyDelivery!$C:$C,AB$1))</f>
        <v/>
      </c>
      <c r="AC117" s="246" t="str">
        <f>if(OR($E117="",$D117="",COUNTIFS(DailyDelivery!$A:$A,$E117,DailyDelivery!$B:$B,$D117,DailyDelivery!$C:$C,AC$1)=0),"",COUNTIFS(DailyDelivery!$A:$A,$E117,DailyDelivery!$B:$B,$D117,DailyDelivery!$C:$C,AC$1))</f>
        <v/>
      </c>
      <c r="AD117" s="246" t="str">
        <f>if(OR($E117="",$D117="",COUNTIFS(DailyDelivery!$A:$A,$E117,DailyDelivery!$B:$B,$D117,DailyDelivery!$C:$C,AD$1)=0),"",COUNTIFS(DailyDelivery!$A:$A,$E117,DailyDelivery!$B:$B,$D117,DailyDelivery!$C:$C,AD$1))</f>
        <v/>
      </c>
      <c r="AE117" s="246" t="str">
        <f>if(OR($E117="",$D117="",COUNTIFS(DailyDelivery!$A:$A,$E117,DailyDelivery!$B:$B,$D117,DailyDelivery!$C:$C,AE$1)=0),"",COUNTIFS(DailyDelivery!$A:$A,$E117,DailyDelivery!$B:$B,$D117,DailyDelivery!$C:$C,AE$1))</f>
        <v/>
      </c>
      <c r="AF117" s="246" t="str">
        <f>if(OR($E117="",$D117="",COUNTIFS(DailyDelivery!$A:$A,$E117,DailyDelivery!$B:$B,$D117,DailyDelivery!$C:$C,AF$1)=0),"",COUNTIFS(DailyDelivery!$A:$A,$E117,DailyDelivery!$B:$B,$D117,DailyDelivery!$C:$C,AF$1))</f>
        <v/>
      </c>
      <c r="AG117" s="246" t="str">
        <f>if(OR($E117="",$D117="",COUNTIFS(DailyDelivery!$A:$A,$E117,DailyDelivery!$B:$B,$D117,DailyDelivery!$C:$C,AG$1)=0),"",COUNTIFS(DailyDelivery!$A:$A,$E117,DailyDelivery!$B:$B,$D117,DailyDelivery!$C:$C,AG$1))</f>
        <v/>
      </c>
      <c r="AH117" s="246" t="str">
        <f>if(OR($E117="",$D117="",COUNTIFS(DailyDelivery!$A:$A,$E117,DailyDelivery!$B:$B,$D117,DailyDelivery!$C:$C,AH$1)=0),"",COUNTIFS(DailyDelivery!$A:$A,$E117,DailyDelivery!$B:$B,$D117,DailyDelivery!$C:$C,AH$1))</f>
        <v/>
      </c>
    </row>
    <row r="118">
      <c r="A118" s="272"/>
      <c r="B118" s="273"/>
      <c r="C118" s="240"/>
      <c r="D118" s="274"/>
      <c r="E118" s="274"/>
      <c r="F118" s="242" t="str">
        <f t="shared" si="6"/>
        <v/>
      </c>
      <c r="G118" s="243" t="str">
        <f t="shared" si="7"/>
        <v/>
      </c>
      <c r="H118" s="242" t="str">
        <f t="shared" si="8"/>
        <v/>
      </c>
      <c r="I118" s="243" t="str">
        <f t="shared" si="9"/>
        <v/>
      </c>
      <c r="J118" s="244" t="str">
        <f>if(OR($E118="",$D118=""),"",sumifs(All_Stats!F:F,All_Stats!D:D,D118,All_Stats!A:A,E118,All_Stats!B:B,"Overall"))</f>
        <v/>
      </c>
      <c r="K118" s="275"/>
      <c r="L118" s="246" t="str">
        <f>if(OR($E118="",$D118=""),"",sumifs(All_Stats!G:G,All_Stats!D:D,D118,All_Stats!A:A,E118,All_Stats!B:B,"Overall"))</f>
        <v/>
      </c>
      <c r="M118" s="246" t="str">
        <f>if(OR($E118="",$D118=""),"",sumifs(All_Stats!H:H,All_Stats!D:D,D118,All_Stats!A:A,E118,All_Stats!B:B,"Overall"))</f>
        <v/>
      </c>
      <c r="N118" s="246" t="str">
        <f t="shared" si="10"/>
        <v/>
      </c>
      <c r="O118" s="276"/>
      <c r="P118" s="277"/>
      <c r="Q118" s="278"/>
      <c r="R118" s="250"/>
      <c r="S118" s="246">
        <f>SUMIFS(All_Stats!K:K,All_Stats!D:D,D118,All_Stats!A:A,E118,All_Stats!B:B,"Overall")</f>
        <v>0</v>
      </c>
      <c r="T118" s="251">
        <f>SUMIFS(All_Stats!L:L,All_Stats!D:D,D118,All_Stats!A:A,E118,All_Stats!B:B,"Overall")</f>
        <v>0</v>
      </c>
      <c r="U118" s="246" t="str">
        <f>if(OR($E118="",$D118="",COUNTIFS(DailyDelivery!$A:$A,$E118,DailyDelivery!$B:$B,$D118,DailyDelivery!$C:$C,U$1)=0),"",COUNTIFS(DailyDelivery!$A:$A,$E118,DailyDelivery!$B:$B,$D118,DailyDelivery!$C:$C,U$1))</f>
        <v/>
      </c>
      <c r="V118" s="246" t="str">
        <f>if(OR($E118="",$D118="",COUNTIFS(DailyDelivery!$A:$A,$E118,DailyDelivery!$B:$B,$D118,DailyDelivery!$C:$C,V$1)=0),"",COUNTIFS(DailyDelivery!$A:$A,$E118,DailyDelivery!$B:$B,$D118,DailyDelivery!$C:$C,V$1))</f>
        <v/>
      </c>
      <c r="W118" s="246" t="str">
        <f>if(OR($E118="",$D118="",COUNTIFS(DailyDelivery!$A:$A,$E118,DailyDelivery!$B:$B,$D118,DailyDelivery!$C:$C,W$1)=0),"",COUNTIFS(DailyDelivery!$A:$A,$E118,DailyDelivery!$B:$B,$D118,DailyDelivery!$C:$C,W$1))</f>
        <v/>
      </c>
      <c r="X118" s="246" t="str">
        <f>if(OR($E118="",$D118="",COUNTIFS(DailyDelivery!$A:$A,$E118,DailyDelivery!$B:$B,$D118,DailyDelivery!$C:$C,X$1)=0),"",COUNTIFS(DailyDelivery!$A:$A,$E118,DailyDelivery!$B:$B,$D118,DailyDelivery!$C:$C,X$1))</f>
        <v/>
      </c>
      <c r="Y118" s="246" t="str">
        <f>if(OR($E118="",$D118="",COUNTIFS(DailyDelivery!$A:$A,$E118,DailyDelivery!$B:$B,$D118,DailyDelivery!$C:$C,Y$1)=0),"",COUNTIFS(DailyDelivery!$A:$A,$E118,DailyDelivery!$B:$B,$D118,DailyDelivery!$C:$C,Y$1))</f>
        <v/>
      </c>
      <c r="Z118" s="246" t="str">
        <f>if(OR($E118="",$D118="",COUNTIFS(DailyDelivery!$A:$A,$E118,DailyDelivery!$B:$B,$D118,DailyDelivery!$C:$C,Z$1)=0),"",COUNTIFS(DailyDelivery!$A:$A,$E118,DailyDelivery!$B:$B,$D118,DailyDelivery!$C:$C,Z$1))</f>
        <v/>
      </c>
      <c r="AA118" s="246" t="str">
        <f>if(OR($E118="",$D118="",COUNTIFS(DailyDelivery!$A:$A,$E118,DailyDelivery!$B:$B,$D118,DailyDelivery!$C:$C,AA$1)=0),"",COUNTIFS(DailyDelivery!$A:$A,$E118,DailyDelivery!$B:$B,$D118,DailyDelivery!$C:$C,AA$1))</f>
        <v/>
      </c>
      <c r="AB118" s="246" t="str">
        <f>if(OR($E118="",$D118="",COUNTIFS(DailyDelivery!$A:$A,$E118,DailyDelivery!$B:$B,$D118,DailyDelivery!$C:$C,AB$1)=0),"",COUNTIFS(DailyDelivery!$A:$A,$E118,DailyDelivery!$B:$B,$D118,DailyDelivery!$C:$C,AB$1))</f>
        <v/>
      </c>
      <c r="AC118" s="246" t="str">
        <f>if(OR($E118="",$D118="",COUNTIFS(DailyDelivery!$A:$A,$E118,DailyDelivery!$B:$B,$D118,DailyDelivery!$C:$C,AC$1)=0),"",COUNTIFS(DailyDelivery!$A:$A,$E118,DailyDelivery!$B:$B,$D118,DailyDelivery!$C:$C,AC$1))</f>
        <v/>
      </c>
      <c r="AD118" s="246" t="str">
        <f>if(OR($E118="",$D118="",COUNTIFS(DailyDelivery!$A:$A,$E118,DailyDelivery!$B:$B,$D118,DailyDelivery!$C:$C,AD$1)=0),"",COUNTIFS(DailyDelivery!$A:$A,$E118,DailyDelivery!$B:$B,$D118,DailyDelivery!$C:$C,AD$1))</f>
        <v/>
      </c>
      <c r="AE118" s="246" t="str">
        <f>if(OR($E118="",$D118="",COUNTIFS(DailyDelivery!$A:$A,$E118,DailyDelivery!$B:$B,$D118,DailyDelivery!$C:$C,AE$1)=0),"",COUNTIFS(DailyDelivery!$A:$A,$E118,DailyDelivery!$B:$B,$D118,DailyDelivery!$C:$C,AE$1))</f>
        <v/>
      </c>
      <c r="AF118" s="246" t="str">
        <f>if(OR($E118="",$D118="",COUNTIFS(DailyDelivery!$A:$A,$E118,DailyDelivery!$B:$B,$D118,DailyDelivery!$C:$C,AF$1)=0),"",COUNTIFS(DailyDelivery!$A:$A,$E118,DailyDelivery!$B:$B,$D118,DailyDelivery!$C:$C,AF$1))</f>
        <v/>
      </c>
      <c r="AG118" s="246" t="str">
        <f>if(OR($E118="",$D118="",COUNTIFS(DailyDelivery!$A:$A,$E118,DailyDelivery!$B:$B,$D118,DailyDelivery!$C:$C,AG$1)=0),"",COUNTIFS(DailyDelivery!$A:$A,$E118,DailyDelivery!$B:$B,$D118,DailyDelivery!$C:$C,AG$1))</f>
        <v/>
      </c>
      <c r="AH118" s="246" t="str">
        <f>if(OR($E118="",$D118="",COUNTIFS(DailyDelivery!$A:$A,$E118,DailyDelivery!$B:$B,$D118,DailyDelivery!$C:$C,AH$1)=0),"",COUNTIFS(DailyDelivery!$A:$A,$E118,DailyDelivery!$B:$B,$D118,DailyDelivery!$C:$C,AH$1))</f>
        <v/>
      </c>
    </row>
    <row r="119">
      <c r="A119" s="272"/>
      <c r="B119" s="273"/>
      <c r="C119" s="240"/>
      <c r="D119" s="274"/>
      <c r="E119" s="274"/>
      <c r="F119" s="242" t="str">
        <f t="shared" si="6"/>
        <v/>
      </c>
      <c r="G119" s="243" t="str">
        <f t="shared" si="7"/>
        <v/>
      </c>
      <c r="H119" s="242" t="str">
        <f t="shared" si="8"/>
        <v/>
      </c>
      <c r="I119" s="243" t="str">
        <f t="shared" si="9"/>
        <v/>
      </c>
      <c r="J119" s="244" t="str">
        <f>if(OR($E119="",$D119=""),"",sumifs(All_Stats!F:F,All_Stats!D:D,D119,All_Stats!A:A,E119,All_Stats!B:B,"Overall"))</f>
        <v/>
      </c>
      <c r="K119" s="275"/>
      <c r="L119" s="246" t="str">
        <f>if(OR($E119="",$D119=""),"",sumifs(All_Stats!G:G,All_Stats!D:D,D119,All_Stats!A:A,E119,All_Stats!B:B,"Overall"))</f>
        <v/>
      </c>
      <c r="M119" s="246" t="str">
        <f>if(OR($E119="",$D119=""),"",sumifs(All_Stats!H:H,All_Stats!D:D,D119,All_Stats!A:A,E119,All_Stats!B:B,"Overall"))</f>
        <v/>
      </c>
      <c r="N119" s="246" t="str">
        <f t="shared" si="10"/>
        <v/>
      </c>
      <c r="O119" s="276"/>
      <c r="P119" s="277"/>
      <c r="Q119" s="278"/>
      <c r="R119" s="250"/>
      <c r="S119" s="246">
        <f>SUMIFS(All_Stats!K:K,All_Stats!D:D,D119,All_Stats!A:A,E119,All_Stats!B:B,"Overall")</f>
        <v>0</v>
      </c>
      <c r="T119" s="251">
        <f>SUMIFS(All_Stats!L:L,All_Stats!D:D,D119,All_Stats!A:A,E119,All_Stats!B:B,"Overall")</f>
        <v>0</v>
      </c>
      <c r="U119" s="246" t="str">
        <f>if(OR($E119="",$D119="",COUNTIFS(DailyDelivery!$A:$A,$E119,DailyDelivery!$B:$B,$D119,DailyDelivery!$C:$C,U$1)=0),"",COUNTIFS(DailyDelivery!$A:$A,$E119,DailyDelivery!$B:$B,$D119,DailyDelivery!$C:$C,U$1))</f>
        <v/>
      </c>
      <c r="V119" s="246" t="str">
        <f>if(OR($E119="",$D119="",COUNTIFS(DailyDelivery!$A:$A,$E119,DailyDelivery!$B:$B,$D119,DailyDelivery!$C:$C,V$1)=0),"",COUNTIFS(DailyDelivery!$A:$A,$E119,DailyDelivery!$B:$B,$D119,DailyDelivery!$C:$C,V$1))</f>
        <v/>
      </c>
      <c r="W119" s="246" t="str">
        <f>if(OR($E119="",$D119="",COUNTIFS(DailyDelivery!$A:$A,$E119,DailyDelivery!$B:$B,$D119,DailyDelivery!$C:$C,W$1)=0),"",COUNTIFS(DailyDelivery!$A:$A,$E119,DailyDelivery!$B:$B,$D119,DailyDelivery!$C:$C,W$1))</f>
        <v/>
      </c>
      <c r="X119" s="246" t="str">
        <f>if(OR($E119="",$D119="",COUNTIFS(DailyDelivery!$A:$A,$E119,DailyDelivery!$B:$B,$D119,DailyDelivery!$C:$C,X$1)=0),"",COUNTIFS(DailyDelivery!$A:$A,$E119,DailyDelivery!$B:$B,$D119,DailyDelivery!$C:$C,X$1))</f>
        <v/>
      </c>
      <c r="Y119" s="246" t="str">
        <f>if(OR($E119="",$D119="",COUNTIFS(DailyDelivery!$A:$A,$E119,DailyDelivery!$B:$B,$D119,DailyDelivery!$C:$C,Y$1)=0),"",COUNTIFS(DailyDelivery!$A:$A,$E119,DailyDelivery!$B:$B,$D119,DailyDelivery!$C:$C,Y$1))</f>
        <v/>
      </c>
      <c r="Z119" s="246" t="str">
        <f>if(OR($E119="",$D119="",COUNTIFS(DailyDelivery!$A:$A,$E119,DailyDelivery!$B:$B,$D119,DailyDelivery!$C:$C,Z$1)=0),"",COUNTIFS(DailyDelivery!$A:$A,$E119,DailyDelivery!$B:$B,$D119,DailyDelivery!$C:$C,Z$1))</f>
        <v/>
      </c>
      <c r="AA119" s="246" t="str">
        <f>if(OR($E119="",$D119="",COUNTIFS(DailyDelivery!$A:$A,$E119,DailyDelivery!$B:$B,$D119,DailyDelivery!$C:$C,AA$1)=0),"",COUNTIFS(DailyDelivery!$A:$A,$E119,DailyDelivery!$B:$B,$D119,DailyDelivery!$C:$C,AA$1))</f>
        <v/>
      </c>
      <c r="AB119" s="246" t="str">
        <f>if(OR($E119="",$D119="",COUNTIFS(DailyDelivery!$A:$A,$E119,DailyDelivery!$B:$B,$D119,DailyDelivery!$C:$C,AB$1)=0),"",COUNTIFS(DailyDelivery!$A:$A,$E119,DailyDelivery!$B:$B,$D119,DailyDelivery!$C:$C,AB$1))</f>
        <v/>
      </c>
      <c r="AC119" s="246" t="str">
        <f>if(OR($E119="",$D119="",COUNTIFS(DailyDelivery!$A:$A,$E119,DailyDelivery!$B:$B,$D119,DailyDelivery!$C:$C,AC$1)=0),"",COUNTIFS(DailyDelivery!$A:$A,$E119,DailyDelivery!$B:$B,$D119,DailyDelivery!$C:$C,AC$1))</f>
        <v/>
      </c>
      <c r="AD119" s="246" t="str">
        <f>if(OR($E119="",$D119="",COUNTIFS(DailyDelivery!$A:$A,$E119,DailyDelivery!$B:$B,$D119,DailyDelivery!$C:$C,AD$1)=0),"",COUNTIFS(DailyDelivery!$A:$A,$E119,DailyDelivery!$B:$B,$D119,DailyDelivery!$C:$C,AD$1))</f>
        <v/>
      </c>
      <c r="AE119" s="246" t="str">
        <f>if(OR($E119="",$D119="",COUNTIFS(DailyDelivery!$A:$A,$E119,DailyDelivery!$B:$B,$D119,DailyDelivery!$C:$C,AE$1)=0),"",COUNTIFS(DailyDelivery!$A:$A,$E119,DailyDelivery!$B:$B,$D119,DailyDelivery!$C:$C,AE$1))</f>
        <v/>
      </c>
      <c r="AF119" s="246" t="str">
        <f>if(OR($E119="",$D119="",COUNTIFS(DailyDelivery!$A:$A,$E119,DailyDelivery!$B:$B,$D119,DailyDelivery!$C:$C,AF$1)=0),"",COUNTIFS(DailyDelivery!$A:$A,$E119,DailyDelivery!$B:$B,$D119,DailyDelivery!$C:$C,AF$1))</f>
        <v/>
      </c>
      <c r="AG119" s="246" t="str">
        <f>if(OR($E119="",$D119="",COUNTIFS(DailyDelivery!$A:$A,$E119,DailyDelivery!$B:$B,$D119,DailyDelivery!$C:$C,AG$1)=0),"",COUNTIFS(DailyDelivery!$A:$A,$E119,DailyDelivery!$B:$B,$D119,DailyDelivery!$C:$C,AG$1))</f>
        <v/>
      </c>
      <c r="AH119" s="246" t="str">
        <f>if(OR($E119="",$D119="",COUNTIFS(DailyDelivery!$A:$A,$E119,DailyDelivery!$B:$B,$D119,DailyDelivery!$C:$C,AH$1)=0),"",COUNTIFS(DailyDelivery!$A:$A,$E119,DailyDelivery!$B:$B,$D119,DailyDelivery!$C:$C,AH$1))</f>
        <v/>
      </c>
    </row>
    <row r="120">
      <c r="A120" s="272"/>
      <c r="B120" s="273"/>
      <c r="C120" s="240"/>
      <c r="D120" s="274"/>
      <c r="E120" s="274"/>
      <c r="F120" s="242" t="str">
        <f t="shared" si="6"/>
        <v/>
      </c>
      <c r="G120" s="243" t="str">
        <f t="shared" si="7"/>
        <v/>
      </c>
      <c r="H120" s="242" t="str">
        <f t="shared" si="8"/>
        <v/>
      </c>
      <c r="I120" s="243" t="str">
        <f t="shared" si="9"/>
        <v/>
      </c>
      <c r="J120" s="244" t="str">
        <f>if(OR($E120="",$D120=""),"",sumifs(All_Stats!F:F,All_Stats!D:D,D120,All_Stats!A:A,E120,All_Stats!B:B,"Overall"))</f>
        <v/>
      </c>
      <c r="K120" s="275"/>
      <c r="L120" s="246" t="str">
        <f>if(OR($E120="",$D120=""),"",sumifs(All_Stats!G:G,All_Stats!D:D,D120,All_Stats!A:A,E120,All_Stats!B:B,"Overall"))</f>
        <v/>
      </c>
      <c r="M120" s="246" t="str">
        <f>if(OR($E120="",$D120=""),"",sumifs(All_Stats!H:H,All_Stats!D:D,D120,All_Stats!A:A,E120,All_Stats!B:B,"Overall"))</f>
        <v/>
      </c>
      <c r="N120" s="246" t="str">
        <f t="shared" si="10"/>
        <v/>
      </c>
      <c r="O120" s="276"/>
      <c r="P120" s="277"/>
      <c r="Q120" s="278"/>
      <c r="R120" s="250"/>
      <c r="S120" s="246">
        <f>SUMIFS(All_Stats!K:K,All_Stats!D:D,D120,All_Stats!A:A,E120,All_Stats!B:B,"Overall")</f>
        <v>0</v>
      </c>
      <c r="T120" s="251">
        <f>SUMIFS(All_Stats!L:L,All_Stats!D:D,D120,All_Stats!A:A,E120,All_Stats!B:B,"Overall")</f>
        <v>0</v>
      </c>
      <c r="U120" s="246" t="str">
        <f>if(OR($E120="",$D120="",COUNTIFS(DailyDelivery!$A:$A,$E120,DailyDelivery!$B:$B,$D120,DailyDelivery!$C:$C,U$1)=0),"",COUNTIFS(DailyDelivery!$A:$A,$E120,DailyDelivery!$B:$B,$D120,DailyDelivery!$C:$C,U$1))</f>
        <v/>
      </c>
      <c r="V120" s="246" t="str">
        <f>if(OR($E120="",$D120="",COUNTIFS(DailyDelivery!$A:$A,$E120,DailyDelivery!$B:$B,$D120,DailyDelivery!$C:$C,V$1)=0),"",COUNTIFS(DailyDelivery!$A:$A,$E120,DailyDelivery!$B:$B,$D120,DailyDelivery!$C:$C,V$1))</f>
        <v/>
      </c>
      <c r="W120" s="246" t="str">
        <f>if(OR($E120="",$D120="",COUNTIFS(DailyDelivery!$A:$A,$E120,DailyDelivery!$B:$B,$D120,DailyDelivery!$C:$C,W$1)=0),"",COUNTIFS(DailyDelivery!$A:$A,$E120,DailyDelivery!$B:$B,$D120,DailyDelivery!$C:$C,W$1))</f>
        <v/>
      </c>
      <c r="X120" s="246" t="str">
        <f>if(OR($E120="",$D120="",COUNTIFS(DailyDelivery!$A:$A,$E120,DailyDelivery!$B:$B,$D120,DailyDelivery!$C:$C,X$1)=0),"",COUNTIFS(DailyDelivery!$A:$A,$E120,DailyDelivery!$B:$B,$D120,DailyDelivery!$C:$C,X$1))</f>
        <v/>
      </c>
      <c r="Y120" s="246" t="str">
        <f>if(OR($E120="",$D120="",COUNTIFS(DailyDelivery!$A:$A,$E120,DailyDelivery!$B:$B,$D120,DailyDelivery!$C:$C,Y$1)=0),"",COUNTIFS(DailyDelivery!$A:$A,$E120,DailyDelivery!$B:$B,$D120,DailyDelivery!$C:$C,Y$1))</f>
        <v/>
      </c>
      <c r="Z120" s="246" t="str">
        <f>if(OR($E120="",$D120="",COUNTIFS(DailyDelivery!$A:$A,$E120,DailyDelivery!$B:$B,$D120,DailyDelivery!$C:$C,Z$1)=0),"",COUNTIFS(DailyDelivery!$A:$A,$E120,DailyDelivery!$B:$B,$D120,DailyDelivery!$C:$C,Z$1))</f>
        <v/>
      </c>
      <c r="AA120" s="246" t="str">
        <f>if(OR($E120="",$D120="",COUNTIFS(DailyDelivery!$A:$A,$E120,DailyDelivery!$B:$B,$D120,DailyDelivery!$C:$C,AA$1)=0),"",COUNTIFS(DailyDelivery!$A:$A,$E120,DailyDelivery!$B:$B,$D120,DailyDelivery!$C:$C,AA$1))</f>
        <v/>
      </c>
      <c r="AB120" s="246" t="str">
        <f>if(OR($E120="",$D120="",COUNTIFS(DailyDelivery!$A:$A,$E120,DailyDelivery!$B:$B,$D120,DailyDelivery!$C:$C,AB$1)=0),"",COUNTIFS(DailyDelivery!$A:$A,$E120,DailyDelivery!$B:$B,$D120,DailyDelivery!$C:$C,AB$1))</f>
        <v/>
      </c>
      <c r="AC120" s="246" t="str">
        <f>if(OR($E120="",$D120="",COUNTIFS(DailyDelivery!$A:$A,$E120,DailyDelivery!$B:$B,$D120,DailyDelivery!$C:$C,AC$1)=0),"",COUNTIFS(DailyDelivery!$A:$A,$E120,DailyDelivery!$B:$B,$D120,DailyDelivery!$C:$C,AC$1))</f>
        <v/>
      </c>
      <c r="AD120" s="246" t="str">
        <f>if(OR($E120="",$D120="",COUNTIFS(DailyDelivery!$A:$A,$E120,DailyDelivery!$B:$B,$D120,DailyDelivery!$C:$C,AD$1)=0),"",COUNTIFS(DailyDelivery!$A:$A,$E120,DailyDelivery!$B:$B,$D120,DailyDelivery!$C:$C,AD$1))</f>
        <v/>
      </c>
      <c r="AE120" s="246" t="str">
        <f>if(OR($E120="",$D120="",COUNTIFS(DailyDelivery!$A:$A,$E120,DailyDelivery!$B:$B,$D120,DailyDelivery!$C:$C,AE$1)=0),"",COUNTIFS(DailyDelivery!$A:$A,$E120,DailyDelivery!$B:$B,$D120,DailyDelivery!$C:$C,AE$1))</f>
        <v/>
      </c>
      <c r="AF120" s="246" t="str">
        <f>if(OR($E120="",$D120="",COUNTIFS(DailyDelivery!$A:$A,$E120,DailyDelivery!$B:$B,$D120,DailyDelivery!$C:$C,AF$1)=0),"",COUNTIFS(DailyDelivery!$A:$A,$E120,DailyDelivery!$B:$B,$D120,DailyDelivery!$C:$C,AF$1))</f>
        <v/>
      </c>
      <c r="AG120" s="246" t="str">
        <f>if(OR($E120="",$D120="",COUNTIFS(DailyDelivery!$A:$A,$E120,DailyDelivery!$B:$B,$D120,DailyDelivery!$C:$C,AG$1)=0),"",COUNTIFS(DailyDelivery!$A:$A,$E120,DailyDelivery!$B:$B,$D120,DailyDelivery!$C:$C,AG$1))</f>
        <v/>
      </c>
      <c r="AH120" s="246" t="str">
        <f>if(OR($E120="",$D120="",COUNTIFS(DailyDelivery!$A:$A,$E120,DailyDelivery!$B:$B,$D120,DailyDelivery!$C:$C,AH$1)=0),"",COUNTIFS(DailyDelivery!$A:$A,$E120,DailyDelivery!$B:$B,$D120,DailyDelivery!$C:$C,AH$1))</f>
        <v/>
      </c>
    </row>
    <row r="121">
      <c r="A121" s="272"/>
      <c r="B121" s="273"/>
      <c r="C121" s="240"/>
      <c r="D121" s="274"/>
      <c r="E121" s="274"/>
      <c r="F121" s="242" t="str">
        <f t="shared" si="6"/>
        <v/>
      </c>
      <c r="G121" s="243" t="str">
        <f t="shared" si="7"/>
        <v/>
      </c>
      <c r="H121" s="242" t="str">
        <f t="shared" si="8"/>
        <v/>
      </c>
      <c r="I121" s="243" t="str">
        <f t="shared" si="9"/>
        <v/>
      </c>
      <c r="J121" s="244" t="str">
        <f>if(OR($E121="",$D121=""),"",sumifs(All_Stats!F:F,All_Stats!D:D,D121,All_Stats!A:A,E121,All_Stats!B:B,"Overall"))</f>
        <v/>
      </c>
      <c r="K121" s="275"/>
      <c r="L121" s="246" t="str">
        <f>if(OR($E121="",$D121=""),"",sumifs(All_Stats!G:G,All_Stats!D:D,D121,All_Stats!A:A,E121,All_Stats!B:B,"Overall"))</f>
        <v/>
      </c>
      <c r="M121" s="246" t="str">
        <f>if(OR($E121="",$D121=""),"",sumifs(All_Stats!H:H,All_Stats!D:D,D121,All_Stats!A:A,E121,All_Stats!B:B,"Overall"))</f>
        <v/>
      </c>
      <c r="N121" s="246" t="str">
        <f t="shared" si="10"/>
        <v/>
      </c>
      <c r="O121" s="276"/>
      <c r="P121" s="277"/>
      <c r="Q121" s="278"/>
      <c r="R121" s="250"/>
      <c r="S121" s="246">
        <f>SUMIFS(All_Stats!K:K,All_Stats!D:D,D121,All_Stats!A:A,E121,All_Stats!B:B,"Overall")</f>
        <v>0</v>
      </c>
      <c r="T121" s="251">
        <f>SUMIFS(All_Stats!L:L,All_Stats!D:D,D121,All_Stats!A:A,E121,All_Stats!B:B,"Overall")</f>
        <v>0</v>
      </c>
      <c r="U121" s="246" t="str">
        <f>if(OR($E121="",$D121="",COUNTIFS(DailyDelivery!$A:$A,$E121,DailyDelivery!$B:$B,$D121,DailyDelivery!$C:$C,U$1)=0),"",COUNTIFS(DailyDelivery!$A:$A,$E121,DailyDelivery!$B:$B,$D121,DailyDelivery!$C:$C,U$1))</f>
        <v/>
      </c>
      <c r="V121" s="246" t="str">
        <f>if(OR($E121="",$D121="",COUNTIFS(DailyDelivery!$A:$A,$E121,DailyDelivery!$B:$B,$D121,DailyDelivery!$C:$C,V$1)=0),"",COUNTIFS(DailyDelivery!$A:$A,$E121,DailyDelivery!$B:$B,$D121,DailyDelivery!$C:$C,V$1))</f>
        <v/>
      </c>
      <c r="W121" s="246" t="str">
        <f>if(OR($E121="",$D121="",COUNTIFS(DailyDelivery!$A:$A,$E121,DailyDelivery!$B:$B,$D121,DailyDelivery!$C:$C,W$1)=0),"",COUNTIFS(DailyDelivery!$A:$A,$E121,DailyDelivery!$B:$B,$D121,DailyDelivery!$C:$C,W$1))</f>
        <v/>
      </c>
      <c r="X121" s="246" t="str">
        <f>if(OR($E121="",$D121="",COUNTIFS(DailyDelivery!$A:$A,$E121,DailyDelivery!$B:$B,$D121,DailyDelivery!$C:$C,X$1)=0),"",COUNTIFS(DailyDelivery!$A:$A,$E121,DailyDelivery!$B:$B,$D121,DailyDelivery!$C:$C,X$1))</f>
        <v/>
      </c>
      <c r="Y121" s="246" t="str">
        <f>if(OR($E121="",$D121="",COUNTIFS(DailyDelivery!$A:$A,$E121,DailyDelivery!$B:$B,$D121,DailyDelivery!$C:$C,Y$1)=0),"",COUNTIFS(DailyDelivery!$A:$A,$E121,DailyDelivery!$B:$B,$D121,DailyDelivery!$C:$C,Y$1))</f>
        <v/>
      </c>
      <c r="Z121" s="246" t="str">
        <f>if(OR($E121="",$D121="",COUNTIFS(DailyDelivery!$A:$A,$E121,DailyDelivery!$B:$B,$D121,DailyDelivery!$C:$C,Z$1)=0),"",COUNTIFS(DailyDelivery!$A:$A,$E121,DailyDelivery!$B:$B,$D121,DailyDelivery!$C:$C,Z$1))</f>
        <v/>
      </c>
      <c r="AA121" s="246" t="str">
        <f>if(OR($E121="",$D121="",COUNTIFS(DailyDelivery!$A:$A,$E121,DailyDelivery!$B:$B,$D121,DailyDelivery!$C:$C,AA$1)=0),"",COUNTIFS(DailyDelivery!$A:$A,$E121,DailyDelivery!$B:$B,$D121,DailyDelivery!$C:$C,AA$1))</f>
        <v/>
      </c>
      <c r="AB121" s="246" t="str">
        <f>if(OR($E121="",$D121="",COUNTIFS(DailyDelivery!$A:$A,$E121,DailyDelivery!$B:$B,$D121,DailyDelivery!$C:$C,AB$1)=0),"",COUNTIFS(DailyDelivery!$A:$A,$E121,DailyDelivery!$B:$B,$D121,DailyDelivery!$C:$C,AB$1))</f>
        <v/>
      </c>
      <c r="AC121" s="246" t="str">
        <f>if(OR($E121="",$D121="",COUNTIFS(DailyDelivery!$A:$A,$E121,DailyDelivery!$B:$B,$D121,DailyDelivery!$C:$C,AC$1)=0),"",COUNTIFS(DailyDelivery!$A:$A,$E121,DailyDelivery!$B:$B,$D121,DailyDelivery!$C:$C,AC$1))</f>
        <v/>
      </c>
      <c r="AD121" s="246" t="str">
        <f>if(OR($E121="",$D121="",COUNTIFS(DailyDelivery!$A:$A,$E121,DailyDelivery!$B:$B,$D121,DailyDelivery!$C:$C,AD$1)=0),"",COUNTIFS(DailyDelivery!$A:$A,$E121,DailyDelivery!$B:$B,$D121,DailyDelivery!$C:$C,AD$1))</f>
        <v/>
      </c>
      <c r="AE121" s="246" t="str">
        <f>if(OR($E121="",$D121="",COUNTIFS(DailyDelivery!$A:$A,$E121,DailyDelivery!$B:$B,$D121,DailyDelivery!$C:$C,AE$1)=0),"",COUNTIFS(DailyDelivery!$A:$A,$E121,DailyDelivery!$B:$B,$D121,DailyDelivery!$C:$C,AE$1))</f>
        <v/>
      </c>
      <c r="AF121" s="246" t="str">
        <f>if(OR($E121="",$D121="",COUNTIFS(DailyDelivery!$A:$A,$E121,DailyDelivery!$B:$B,$D121,DailyDelivery!$C:$C,AF$1)=0),"",COUNTIFS(DailyDelivery!$A:$A,$E121,DailyDelivery!$B:$B,$D121,DailyDelivery!$C:$C,AF$1))</f>
        <v/>
      </c>
      <c r="AG121" s="246" t="str">
        <f>if(OR($E121="",$D121="",COUNTIFS(DailyDelivery!$A:$A,$E121,DailyDelivery!$B:$B,$D121,DailyDelivery!$C:$C,AG$1)=0),"",COUNTIFS(DailyDelivery!$A:$A,$E121,DailyDelivery!$B:$B,$D121,DailyDelivery!$C:$C,AG$1))</f>
        <v/>
      </c>
      <c r="AH121" s="246" t="str">
        <f>if(OR($E121="",$D121="",COUNTIFS(DailyDelivery!$A:$A,$E121,DailyDelivery!$B:$B,$D121,DailyDelivery!$C:$C,AH$1)=0),"",COUNTIFS(DailyDelivery!$A:$A,$E121,DailyDelivery!$B:$B,$D121,DailyDelivery!$C:$C,AH$1))</f>
        <v/>
      </c>
    </row>
    <row r="122">
      <c r="A122" s="272"/>
      <c r="B122" s="273"/>
      <c r="C122" s="240"/>
      <c r="D122" s="274"/>
      <c r="E122" s="274"/>
      <c r="F122" s="242" t="str">
        <f t="shared" si="6"/>
        <v/>
      </c>
      <c r="G122" s="243" t="str">
        <f t="shared" si="7"/>
        <v/>
      </c>
      <c r="H122" s="242" t="str">
        <f t="shared" si="8"/>
        <v/>
      </c>
      <c r="I122" s="243" t="str">
        <f t="shared" si="9"/>
        <v/>
      </c>
      <c r="J122" s="244" t="str">
        <f>if(OR($E122="",$D122=""),"",sumifs(All_Stats!F:F,All_Stats!D:D,D122,All_Stats!A:A,E122,All_Stats!B:B,"Overall"))</f>
        <v/>
      </c>
      <c r="K122" s="275"/>
      <c r="L122" s="246" t="str">
        <f>if(OR($E122="",$D122=""),"",sumifs(All_Stats!G:G,All_Stats!D:D,D122,All_Stats!A:A,E122,All_Stats!B:B,"Overall"))</f>
        <v/>
      </c>
      <c r="M122" s="246" t="str">
        <f>if(OR($E122="",$D122=""),"",sumifs(All_Stats!H:H,All_Stats!D:D,D122,All_Stats!A:A,E122,All_Stats!B:B,"Overall"))</f>
        <v/>
      </c>
      <c r="N122" s="246" t="str">
        <f t="shared" si="10"/>
        <v/>
      </c>
      <c r="O122" s="276"/>
      <c r="P122" s="277"/>
      <c r="Q122" s="278"/>
      <c r="R122" s="250"/>
      <c r="S122" s="246">
        <f>SUMIFS(All_Stats!K:K,All_Stats!D:D,D122,All_Stats!A:A,E122,All_Stats!B:B,"Overall")</f>
        <v>0</v>
      </c>
      <c r="T122" s="251">
        <f>SUMIFS(All_Stats!L:L,All_Stats!D:D,D122,All_Stats!A:A,E122,All_Stats!B:B,"Overall")</f>
        <v>0</v>
      </c>
      <c r="U122" s="246" t="str">
        <f>if(OR($E122="",$D122="",COUNTIFS(DailyDelivery!$A:$A,$E122,DailyDelivery!$B:$B,$D122,DailyDelivery!$C:$C,U$1)=0),"",COUNTIFS(DailyDelivery!$A:$A,$E122,DailyDelivery!$B:$B,$D122,DailyDelivery!$C:$C,U$1))</f>
        <v/>
      </c>
      <c r="V122" s="246" t="str">
        <f>if(OR($E122="",$D122="",COUNTIFS(DailyDelivery!$A:$A,$E122,DailyDelivery!$B:$B,$D122,DailyDelivery!$C:$C,V$1)=0),"",COUNTIFS(DailyDelivery!$A:$A,$E122,DailyDelivery!$B:$B,$D122,DailyDelivery!$C:$C,V$1))</f>
        <v/>
      </c>
      <c r="W122" s="246" t="str">
        <f>if(OR($E122="",$D122="",COUNTIFS(DailyDelivery!$A:$A,$E122,DailyDelivery!$B:$B,$D122,DailyDelivery!$C:$C,W$1)=0),"",COUNTIFS(DailyDelivery!$A:$A,$E122,DailyDelivery!$B:$B,$D122,DailyDelivery!$C:$C,W$1))</f>
        <v/>
      </c>
      <c r="X122" s="246" t="str">
        <f>if(OR($E122="",$D122="",COUNTIFS(DailyDelivery!$A:$A,$E122,DailyDelivery!$B:$B,$D122,DailyDelivery!$C:$C,X$1)=0),"",COUNTIFS(DailyDelivery!$A:$A,$E122,DailyDelivery!$B:$B,$D122,DailyDelivery!$C:$C,X$1))</f>
        <v/>
      </c>
      <c r="Y122" s="246" t="str">
        <f>if(OR($E122="",$D122="",COUNTIFS(DailyDelivery!$A:$A,$E122,DailyDelivery!$B:$B,$D122,DailyDelivery!$C:$C,Y$1)=0),"",COUNTIFS(DailyDelivery!$A:$A,$E122,DailyDelivery!$B:$B,$D122,DailyDelivery!$C:$C,Y$1))</f>
        <v/>
      </c>
      <c r="Z122" s="246" t="str">
        <f>if(OR($E122="",$D122="",COUNTIFS(DailyDelivery!$A:$A,$E122,DailyDelivery!$B:$B,$D122,DailyDelivery!$C:$C,Z$1)=0),"",COUNTIFS(DailyDelivery!$A:$A,$E122,DailyDelivery!$B:$B,$D122,DailyDelivery!$C:$C,Z$1))</f>
        <v/>
      </c>
      <c r="AA122" s="246" t="str">
        <f>if(OR($E122="",$D122="",COUNTIFS(DailyDelivery!$A:$A,$E122,DailyDelivery!$B:$B,$D122,DailyDelivery!$C:$C,AA$1)=0),"",COUNTIFS(DailyDelivery!$A:$A,$E122,DailyDelivery!$B:$B,$D122,DailyDelivery!$C:$C,AA$1))</f>
        <v/>
      </c>
      <c r="AB122" s="246" t="str">
        <f>if(OR($E122="",$D122="",COUNTIFS(DailyDelivery!$A:$A,$E122,DailyDelivery!$B:$B,$D122,DailyDelivery!$C:$C,AB$1)=0),"",COUNTIFS(DailyDelivery!$A:$A,$E122,DailyDelivery!$B:$B,$D122,DailyDelivery!$C:$C,AB$1))</f>
        <v/>
      </c>
      <c r="AC122" s="246" t="str">
        <f>if(OR($E122="",$D122="",COUNTIFS(DailyDelivery!$A:$A,$E122,DailyDelivery!$B:$B,$D122,DailyDelivery!$C:$C,AC$1)=0),"",COUNTIFS(DailyDelivery!$A:$A,$E122,DailyDelivery!$B:$B,$D122,DailyDelivery!$C:$C,AC$1))</f>
        <v/>
      </c>
      <c r="AD122" s="246" t="str">
        <f>if(OR($E122="",$D122="",COUNTIFS(DailyDelivery!$A:$A,$E122,DailyDelivery!$B:$B,$D122,DailyDelivery!$C:$C,AD$1)=0),"",COUNTIFS(DailyDelivery!$A:$A,$E122,DailyDelivery!$B:$B,$D122,DailyDelivery!$C:$C,AD$1))</f>
        <v/>
      </c>
      <c r="AE122" s="246" t="str">
        <f>if(OR($E122="",$D122="",COUNTIFS(DailyDelivery!$A:$A,$E122,DailyDelivery!$B:$B,$D122,DailyDelivery!$C:$C,AE$1)=0),"",COUNTIFS(DailyDelivery!$A:$A,$E122,DailyDelivery!$B:$B,$D122,DailyDelivery!$C:$C,AE$1))</f>
        <v/>
      </c>
      <c r="AF122" s="246" t="str">
        <f>if(OR($E122="",$D122="",COUNTIFS(DailyDelivery!$A:$A,$E122,DailyDelivery!$B:$B,$D122,DailyDelivery!$C:$C,AF$1)=0),"",COUNTIFS(DailyDelivery!$A:$A,$E122,DailyDelivery!$B:$B,$D122,DailyDelivery!$C:$C,AF$1))</f>
        <v/>
      </c>
      <c r="AG122" s="246" t="str">
        <f>if(OR($E122="",$D122="",COUNTIFS(DailyDelivery!$A:$A,$E122,DailyDelivery!$B:$B,$D122,DailyDelivery!$C:$C,AG$1)=0),"",COUNTIFS(DailyDelivery!$A:$A,$E122,DailyDelivery!$B:$B,$D122,DailyDelivery!$C:$C,AG$1))</f>
        <v/>
      </c>
      <c r="AH122" s="246" t="str">
        <f>if(OR($E122="",$D122="",COUNTIFS(DailyDelivery!$A:$A,$E122,DailyDelivery!$B:$B,$D122,DailyDelivery!$C:$C,AH$1)=0),"",COUNTIFS(DailyDelivery!$A:$A,$E122,DailyDelivery!$B:$B,$D122,DailyDelivery!$C:$C,AH$1))</f>
        <v/>
      </c>
    </row>
    <row r="123">
      <c r="A123" s="272"/>
      <c r="B123" s="273"/>
      <c r="C123" s="240"/>
      <c r="D123" s="274"/>
      <c r="E123" s="274"/>
      <c r="F123" s="242" t="str">
        <f t="shared" si="6"/>
        <v/>
      </c>
      <c r="G123" s="243" t="str">
        <f t="shared" si="7"/>
        <v/>
      </c>
      <c r="H123" s="242" t="str">
        <f t="shared" si="8"/>
        <v/>
      </c>
      <c r="I123" s="243" t="str">
        <f t="shared" si="9"/>
        <v/>
      </c>
      <c r="J123" s="244" t="str">
        <f>if(OR($E123="",$D123=""),"",sumifs(All_Stats!F:F,All_Stats!D:D,D123,All_Stats!A:A,E123,All_Stats!B:B,"Overall"))</f>
        <v/>
      </c>
      <c r="K123" s="275"/>
      <c r="L123" s="246" t="str">
        <f>if(OR($E123="",$D123=""),"",sumifs(All_Stats!G:G,All_Stats!D:D,D123,All_Stats!A:A,E123,All_Stats!B:B,"Overall"))</f>
        <v/>
      </c>
      <c r="M123" s="246" t="str">
        <f>if(OR($E123="",$D123=""),"",sumifs(All_Stats!H:H,All_Stats!D:D,D123,All_Stats!A:A,E123,All_Stats!B:B,"Overall"))</f>
        <v/>
      </c>
      <c r="N123" s="246" t="str">
        <f t="shared" si="10"/>
        <v/>
      </c>
      <c r="O123" s="276"/>
      <c r="P123" s="277"/>
      <c r="Q123" s="278"/>
      <c r="R123" s="250"/>
      <c r="S123" s="246">
        <f>SUMIFS(All_Stats!K:K,All_Stats!D:D,D123,All_Stats!A:A,E123,All_Stats!B:B,"Overall")</f>
        <v>0</v>
      </c>
      <c r="T123" s="251">
        <f>SUMIFS(All_Stats!L:L,All_Stats!D:D,D123,All_Stats!A:A,E123,All_Stats!B:B,"Overall")</f>
        <v>0</v>
      </c>
      <c r="U123" s="246" t="str">
        <f>if(OR($E123="",$D123="",COUNTIFS(DailyDelivery!$A:$A,$E123,DailyDelivery!$B:$B,$D123,DailyDelivery!$C:$C,U$1)=0),"",COUNTIFS(DailyDelivery!$A:$A,$E123,DailyDelivery!$B:$B,$D123,DailyDelivery!$C:$C,U$1))</f>
        <v/>
      </c>
      <c r="V123" s="246" t="str">
        <f>if(OR($E123="",$D123="",COUNTIFS(DailyDelivery!$A:$A,$E123,DailyDelivery!$B:$B,$D123,DailyDelivery!$C:$C,V$1)=0),"",COUNTIFS(DailyDelivery!$A:$A,$E123,DailyDelivery!$B:$B,$D123,DailyDelivery!$C:$C,V$1))</f>
        <v/>
      </c>
      <c r="W123" s="246" t="str">
        <f>if(OR($E123="",$D123="",COUNTIFS(DailyDelivery!$A:$A,$E123,DailyDelivery!$B:$B,$D123,DailyDelivery!$C:$C,W$1)=0),"",COUNTIFS(DailyDelivery!$A:$A,$E123,DailyDelivery!$B:$B,$D123,DailyDelivery!$C:$C,W$1))</f>
        <v/>
      </c>
      <c r="X123" s="246" t="str">
        <f>if(OR($E123="",$D123="",COUNTIFS(DailyDelivery!$A:$A,$E123,DailyDelivery!$B:$B,$D123,DailyDelivery!$C:$C,X$1)=0),"",COUNTIFS(DailyDelivery!$A:$A,$E123,DailyDelivery!$B:$B,$D123,DailyDelivery!$C:$C,X$1))</f>
        <v/>
      </c>
      <c r="Y123" s="246" t="str">
        <f>if(OR($E123="",$D123="",COUNTIFS(DailyDelivery!$A:$A,$E123,DailyDelivery!$B:$B,$D123,DailyDelivery!$C:$C,Y$1)=0),"",COUNTIFS(DailyDelivery!$A:$A,$E123,DailyDelivery!$B:$B,$D123,DailyDelivery!$C:$C,Y$1))</f>
        <v/>
      </c>
      <c r="Z123" s="246" t="str">
        <f>if(OR($E123="",$D123="",COUNTIFS(DailyDelivery!$A:$A,$E123,DailyDelivery!$B:$B,$D123,DailyDelivery!$C:$C,Z$1)=0),"",COUNTIFS(DailyDelivery!$A:$A,$E123,DailyDelivery!$B:$B,$D123,DailyDelivery!$C:$C,Z$1))</f>
        <v/>
      </c>
      <c r="AA123" s="246" t="str">
        <f>if(OR($E123="",$D123="",COUNTIFS(DailyDelivery!$A:$A,$E123,DailyDelivery!$B:$B,$D123,DailyDelivery!$C:$C,AA$1)=0),"",COUNTIFS(DailyDelivery!$A:$A,$E123,DailyDelivery!$B:$B,$D123,DailyDelivery!$C:$C,AA$1))</f>
        <v/>
      </c>
      <c r="AB123" s="246" t="str">
        <f>if(OR($E123="",$D123="",COUNTIFS(DailyDelivery!$A:$A,$E123,DailyDelivery!$B:$B,$D123,DailyDelivery!$C:$C,AB$1)=0),"",COUNTIFS(DailyDelivery!$A:$A,$E123,DailyDelivery!$B:$B,$D123,DailyDelivery!$C:$C,AB$1))</f>
        <v/>
      </c>
      <c r="AC123" s="246" t="str">
        <f>if(OR($E123="",$D123="",COUNTIFS(DailyDelivery!$A:$A,$E123,DailyDelivery!$B:$B,$D123,DailyDelivery!$C:$C,AC$1)=0),"",COUNTIFS(DailyDelivery!$A:$A,$E123,DailyDelivery!$B:$B,$D123,DailyDelivery!$C:$C,AC$1))</f>
        <v/>
      </c>
      <c r="AD123" s="246" t="str">
        <f>if(OR($E123="",$D123="",COUNTIFS(DailyDelivery!$A:$A,$E123,DailyDelivery!$B:$B,$D123,DailyDelivery!$C:$C,AD$1)=0),"",COUNTIFS(DailyDelivery!$A:$A,$E123,DailyDelivery!$B:$B,$D123,DailyDelivery!$C:$C,AD$1))</f>
        <v/>
      </c>
      <c r="AE123" s="246" t="str">
        <f>if(OR($E123="",$D123="",COUNTIFS(DailyDelivery!$A:$A,$E123,DailyDelivery!$B:$B,$D123,DailyDelivery!$C:$C,AE$1)=0),"",COUNTIFS(DailyDelivery!$A:$A,$E123,DailyDelivery!$B:$B,$D123,DailyDelivery!$C:$C,AE$1))</f>
        <v/>
      </c>
      <c r="AF123" s="246" t="str">
        <f>if(OR($E123="",$D123="",COUNTIFS(DailyDelivery!$A:$A,$E123,DailyDelivery!$B:$B,$D123,DailyDelivery!$C:$C,AF$1)=0),"",COUNTIFS(DailyDelivery!$A:$A,$E123,DailyDelivery!$B:$B,$D123,DailyDelivery!$C:$C,AF$1))</f>
        <v/>
      </c>
      <c r="AG123" s="246" t="str">
        <f>if(OR($E123="",$D123="",COUNTIFS(DailyDelivery!$A:$A,$E123,DailyDelivery!$B:$B,$D123,DailyDelivery!$C:$C,AG$1)=0),"",COUNTIFS(DailyDelivery!$A:$A,$E123,DailyDelivery!$B:$B,$D123,DailyDelivery!$C:$C,AG$1))</f>
        <v/>
      </c>
      <c r="AH123" s="246" t="str">
        <f>if(OR($E123="",$D123="",COUNTIFS(DailyDelivery!$A:$A,$E123,DailyDelivery!$B:$B,$D123,DailyDelivery!$C:$C,AH$1)=0),"",COUNTIFS(DailyDelivery!$A:$A,$E123,DailyDelivery!$B:$B,$D123,DailyDelivery!$C:$C,AH$1))</f>
        <v/>
      </c>
    </row>
    <row r="124">
      <c r="A124" s="272"/>
      <c r="B124" s="273"/>
      <c r="C124" s="240"/>
      <c r="D124" s="274"/>
      <c r="E124" s="274"/>
      <c r="F124" s="242" t="str">
        <f t="shared" si="6"/>
        <v/>
      </c>
      <c r="G124" s="243" t="str">
        <f t="shared" si="7"/>
        <v/>
      </c>
      <c r="H124" s="242" t="str">
        <f t="shared" si="8"/>
        <v/>
      </c>
      <c r="I124" s="243" t="str">
        <f t="shared" si="9"/>
        <v/>
      </c>
      <c r="J124" s="244" t="str">
        <f>if(OR($E124="",$D124=""),"",sumifs(All_Stats!F:F,All_Stats!D:D,D124,All_Stats!A:A,E124,All_Stats!B:B,"Overall"))</f>
        <v/>
      </c>
      <c r="K124" s="275"/>
      <c r="L124" s="246" t="str">
        <f>if(OR($E124="",$D124=""),"",sumifs(All_Stats!G:G,All_Stats!D:D,D124,All_Stats!A:A,E124,All_Stats!B:B,"Overall"))</f>
        <v/>
      </c>
      <c r="M124" s="246" t="str">
        <f>if(OR($E124="",$D124=""),"",sumifs(All_Stats!H:H,All_Stats!D:D,D124,All_Stats!A:A,E124,All_Stats!B:B,"Overall"))</f>
        <v/>
      </c>
      <c r="N124" s="246" t="str">
        <f t="shared" si="10"/>
        <v/>
      </c>
      <c r="O124" s="276"/>
      <c r="P124" s="277"/>
      <c r="Q124" s="278"/>
      <c r="R124" s="250"/>
      <c r="S124" s="246">
        <f>SUMIFS(All_Stats!K:K,All_Stats!D:D,D124,All_Stats!A:A,E124,All_Stats!B:B,"Overall")</f>
        <v>0</v>
      </c>
      <c r="T124" s="251">
        <f>SUMIFS(All_Stats!L:L,All_Stats!D:D,D124,All_Stats!A:A,E124,All_Stats!B:B,"Overall")</f>
        <v>0</v>
      </c>
      <c r="U124" s="246" t="str">
        <f>if(OR($E124="",$D124="",COUNTIFS(DailyDelivery!$A:$A,$E124,DailyDelivery!$B:$B,$D124,DailyDelivery!$C:$C,U$1)=0),"",COUNTIFS(DailyDelivery!$A:$A,$E124,DailyDelivery!$B:$B,$D124,DailyDelivery!$C:$C,U$1))</f>
        <v/>
      </c>
      <c r="V124" s="246" t="str">
        <f>if(OR($E124="",$D124="",COUNTIFS(DailyDelivery!$A:$A,$E124,DailyDelivery!$B:$B,$D124,DailyDelivery!$C:$C,V$1)=0),"",COUNTIFS(DailyDelivery!$A:$A,$E124,DailyDelivery!$B:$B,$D124,DailyDelivery!$C:$C,V$1))</f>
        <v/>
      </c>
      <c r="W124" s="246" t="str">
        <f>if(OR($E124="",$D124="",COUNTIFS(DailyDelivery!$A:$A,$E124,DailyDelivery!$B:$B,$D124,DailyDelivery!$C:$C,W$1)=0),"",COUNTIFS(DailyDelivery!$A:$A,$E124,DailyDelivery!$B:$B,$D124,DailyDelivery!$C:$C,W$1))</f>
        <v/>
      </c>
      <c r="X124" s="246" t="str">
        <f>if(OR($E124="",$D124="",COUNTIFS(DailyDelivery!$A:$A,$E124,DailyDelivery!$B:$B,$D124,DailyDelivery!$C:$C,X$1)=0),"",COUNTIFS(DailyDelivery!$A:$A,$E124,DailyDelivery!$B:$B,$D124,DailyDelivery!$C:$C,X$1))</f>
        <v/>
      </c>
      <c r="Y124" s="246" t="str">
        <f>if(OR($E124="",$D124="",COUNTIFS(DailyDelivery!$A:$A,$E124,DailyDelivery!$B:$B,$D124,DailyDelivery!$C:$C,Y$1)=0),"",COUNTIFS(DailyDelivery!$A:$A,$E124,DailyDelivery!$B:$B,$D124,DailyDelivery!$C:$C,Y$1))</f>
        <v/>
      </c>
      <c r="Z124" s="246" t="str">
        <f>if(OR($E124="",$D124="",COUNTIFS(DailyDelivery!$A:$A,$E124,DailyDelivery!$B:$B,$D124,DailyDelivery!$C:$C,Z$1)=0),"",COUNTIFS(DailyDelivery!$A:$A,$E124,DailyDelivery!$B:$B,$D124,DailyDelivery!$C:$C,Z$1))</f>
        <v/>
      </c>
      <c r="AA124" s="246" t="str">
        <f>if(OR($E124="",$D124="",COUNTIFS(DailyDelivery!$A:$A,$E124,DailyDelivery!$B:$B,$D124,DailyDelivery!$C:$C,AA$1)=0),"",COUNTIFS(DailyDelivery!$A:$A,$E124,DailyDelivery!$B:$B,$D124,DailyDelivery!$C:$C,AA$1))</f>
        <v/>
      </c>
      <c r="AB124" s="246" t="str">
        <f>if(OR($E124="",$D124="",COUNTIFS(DailyDelivery!$A:$A,$E124,DailyDelivery!$B:$B,$D124,DailyDelivery!$C:$C,AB$1)=0),"",COUNTIFS(DailyDelivery!$A:$A,$E124,DailyDelivery!$B:$B,$D124,DailyDelivery!$C:$C,AB$1))</f>
        <v/>
      </c>
      <c r="AC124" s="246" t="str">
        <f>if(OR($E124="",$D124="",COUNTIFS(DailyDelivery!$A:$A,$E124,DailyDelivery!$B:$B,$D124,DailyDelivery!$C:$C,AC$1)=0),"",COUNTIFS(DailyDelivery!$A:$A,$E124,DailyDelivery!$B:$B,$D124,DailyDelivery!$C:$C,AC$1))</f>
        <v/>
      </c>
      <c r="AD124" s="246" t="str">
        <f>if(OR($E124="",$D124="",COUNTIFS(DailyDelivery!$A:$A,$E124,DailyDelivery!$B:$B,$D124,DailyDelivery!$C:$C,AD$1)=0),"",COUNTIFS(DailyDelivery!$A:$A,$E124,DailyDelivery!$B:$B,$D124,DailyDelivery!$C:$C,AD$1))</f>
        <v/>
      </c>
      <c r="AE124" s="246" t="str">
        <f>if(OR($E124="",$D124="",COUNTIFS(DailyDelivery!$A:$A,$E124,DailyDelivery!$B:$B,$D124,DailyDelivery!$C:$C,AE$1)=0),"",COUNTIFS(DailyDelivery!$A:$A,$E124,DailyDelivery!$B:$B,$D124,DailyDelivery!$C:$C,AE$1))</f>
        <v/>
      </c>
      <c r="AF124" s="246" t="str">
        <f>if(OR($E124="",$D124="",COUNTIFS(DailyDelivery!$A:$A,$E124,DailyDelivery!$B:$B,$D124,DailyDelivery!$C:$C,AF$1)=0),"",COUNTIFS(DailyDelivery!$A:$A,$E124,DailyDelivery!$B:$B,$D124,DailyDelivery!$C:$C,AF$1))</f>
        <v/>
      </c>
      <c r="AG124" s="246" t="str">
        <f>if(OR($E124="",$D124="",COUNTIFS(DailyDelivery!$A:$A,$E124,DailyDelivery!$B:$B,$D124,DailyDelivery!$C:$C,AG$1)=0),"",COUNTIFS(DailyDelivery!$A:$A,$E124,DailyDelivery!$B:$B,$D124,DailyDelivery!$C:$C,AG$1))</f>
        <v/>
      </c>
      <c r="AH124" s="246" t="str">
        <f>if(OR($E124="",$D124="",COUNTIFS(DailyDelivery!$A:$A,$E124,DailyDelivery!$B:$B,$D124,DailyDelivery!$C:$C,AH$1)=0),"",COUNTIFS(DailyDelivery!$A:$A,$E124,DailyDelivery!$B:$B,$D124,DailyDelivery!$C:$C,AH$1))</f>
        <v/>
      </c>
    </row>
    <row r="125">
      <c r="A125" s="272"/>
      <c r="B125" s="273"/>
      <c r="C125" s="240"/>
      <c r="D125" s="274"/>
      <c r="E125" s="274"/>
      <c r="F125" s="242" t="str">
        <f t="shared" si="6"/>
        <v/>
      </c>
      <c r="G125" s="243" t="str">
        <f t="shared" si="7"/>
        <v/>
      </c>
      <c r="H125" s="242" t="str">
        <f t="shared" si="8"/>
        <v/>
      </c>
      <c r="I125" s="243" t="str">
        <f t="shared" si="9"/>
        <v/>
      </c>
      <c r="J125" s="244" t="str">
        <f>if(OR($E125="",$D125=""),"",sumifs(All_Stats!F:F,All_Stats!D:D,D125,All_Stats!A:A,E125,All_Stats!B:B,"Overall"))</f>
        <v/>
      </c>
      <c r="K125" s="275"/>
      <c r="L125" s="246" t="str">
        <f>if(OR($E125="",$D125=""),"",sumifs(All_Stats!G:G,All_Stats!D:D,D125,All_Stats!A:A,E125,All_Stats!B:B,"Overall"))</f>
        <v/>
      </c>
      <c r="M125" s="246" t="str">
        <f>if(OR($E125="",$D125=""),"",sumifs(All_Stats!H:H,All_Stats!D:D,D125,All_Stats!A:A,E125,All_Stats!B:B,"Overall"))</f>
        <v/>
      </c>
      <c r="N125" s="246" t="str">
        <f t="shared" si="10"/>
        <v/>
      </c>
      <c r="O125" s="276"/>
      <c r="P125" s="277"/>
      <c r="Q125" s="278"/>
      <c r="R125" s="250"/>
      <c r="S125" s="246">
        <f>SUMIFS(All_Stats!K:K,All_Stats!D:D,D125,All_Stats!A:A,E125,All_Stats!B:B,"Overall")</f>
        <v>0</v>
      </c>
      <c r="T125" s="251">
        <f>SUMIFS(All_Stats!L:L,All_Stats!D:D,D125,All_Stats!A:A,E125,All_Stats!B:B,"Overall")</f>
        <v>0</v>
      </c>
      <c r="U125" s="246" t="str">
        <f>if(OR($E125="",$D125="",COUNTIFS(DailyDelivery!$A:$A,$E125,DailyDelivery!$B:$B,$D125,DailyDelivery!$C:$C,U$1)=0),"",COUNTIFS(DailyDelivery!$A:$A,$E125,DailyDelivery!$B:$B,$D125,DailyDelivery!$C:$C,U$1))</f>
        <v/>
      </c>
      <c r="V125" s="246" t="str">
        <f>if(OR($E125="",$D125="",COUNTIFS(DailyDelivery!$A:$A,$E125,DailyDelivery!$B:$B,$D125,DailyDelivery!$C:$C,V$1)=0),"",COUNTIFS(DailyDelivery!$A:$A,$E125,DailyDelivery!$B:$B,$D125,DailyDelivery!$C:$C,V$1))</f>
        <v/>
      </c>
      <c r="W125" s="246" t="str">
        <f>if(OR($E125="",$D125="",COUNTIFS(DailyDelivery!$A:$A,$E125,DailyDelivery!$B:$B,$D125,DailyDelivery!$C:$C,W$1)=0),"",COUNTIFS(DailyDelivery!$A:$A,$E125,DailyDelivery!$B:$B,$D125,DailyDelivery!$C:$C,W$1))</f>
        <v/>
      </c>
      <c r="X125" s="246" t="str">
        <f>if(OR($E125="",$D125="",COUNTIFS(DailyDelivery!$A:$A,$E125,DailyDelivery!$B:$B,$D125,DailyDelivery!$C:$C,X$1)=0),"",COUNTIFS(DailyDelivery!$A:$A,$E125,DailyDelivery!$B:$B,$D125,DailyDelivery!$C:$C,X$1))</f>
        <v/>
      </c>
      <c r="Y125" s="246" t="str">
        <f>if(OR($E125="",$D125="",COUNTIFS(DailyDelivery!$A:$A,$E125,DailyDelivery!$B:$B,$D125,DailyDelivery!$C:$C,Y$1)=0),"",COUNTIFS(DailyDelivery!$A:$A,$E125,DailyDelivery!$B:$B,$D125,DailyDelivery!$C:$C,Y$1))</f>
        <v/>
      </c>
      <c r="Z125" s="246" t="str">
        <f>if(OR($E125="",$D125="",COUNTIFS(DailyDelivery!$A:$A,$E125,DailyDelivery!$B:$B,$D125,DailyDelivery!$C:$C,Z$1)=0),"",COUNTIFS(DailyDelivery!$A:$A,$E125,DailyDelivery!$B:$B,$D125,DailyDelivery!$C:$C,Z$1))</f>
        <v/>
      </c>
      <c r="AA125" s="246" t="str">
        <f>if(OR($E125="",$D125="",COUNTIFS(DailyDelivery!$A:$A,$E125,DailyDelivery!$B:$B,$D125,DailyDelivery!$C:$C,AA$1)=0),"",COUNTIFS(DailyDelivery!$A:$A,$E125,DailyDelivery!$B:$B,$D125,DailyDelivery!$C:$C,AA$1))</f>
        <v/>
      </c>
      <c r="AB125" s="246" t="str">
        <f>if(OR($E125="",$D125="",COUNTIFS(DailyDelivery!$A:$A,$E125,DailyDelivery!$B:$B,$D125,DailyDelivery!$C:$C,AB$1)=0),"",COUNTIFS(DailyDelivery!$A:$A,$E125,DailyDelivery!$B:$B,$D125,DailyDelivery!$C:$C,AB$1))</f>
        <v/>
      </c>
      <c r="AC125" s="246" t="str">
        <f>if(OR($E125="",$D125="",COUNTIFS(DailyDelivery!$A:$A,$E125,DailyDelivery!$B:$B,$D125,DailyDelivery!$C:$C,AC$1)=0),"",COUNTIFS(DailyDelivery!$A:$A,$E125,DailyDelivery!$B:$B,$D125,DailyDelivery!$C:$C,AC$1))</f>
        <v/>
      </c>
      <c r="AD125" s="246" t="str">
        <f>if(OR($E125="",$D125="",COUNTIFS(DailyDelivery!$A:$A,$E125,DailyDelivery!$B:$B,$D125,DailyDelivery!$C:$C,AD$1)=0),"",COUNTIFS(DailyDelivery!$A:$A,$E125,DailyDelivery!$B:$B,$D125,DailyDelivery!$C:$C,AD$1))</f>
        <v/>
      </c>
      <c r="AE125" s="246" t="str">
        <f>if(OR($E125="",$D125="",COUNTIFS(DailyDelivery!$A:$A,$E125,DailyDelivery!$B:$B,$D125,DailyDelivery!$C:$C,AE$1)=0),"",COUNTIFS(DailyDelivery!$A:$A,$E125,DailyDelivery!$B:$B,$D125,DailyDelivery!$C:$C,AE$1))</f>
        <v/>
      </c>
      <c r="AF125" s="246" t="str">
        <f>if(OR($E125="",$D125="",COUNTIFS(DailyDelivery!$A:$A,$E125,DailyDelivery!$B:$B,$D125,DailyDelivery!$C:$C,AF$1)=0),"",COUNTIFS(DailyDelivery!$A:$A,$E125,DailyDelivery!$B:$B,$D125,DailyDelivery!$C:$C,AF$1))</f>
        <v/>
      </c>
      <c r="AG125" s="246" t="str">
        <f>if(OR($E125="",$D125="",COUNTIFS(DailyDelivery!$A:$A,$E125,DailyDelivery!$B:$B,$D125,DailyDelivery!$C:$C,AG$1)=0),"",COUNTIFS(DailyDelivery!$A:$A,$E125,DailyDelivery!$B:$B,$D125,DailyDelivery!$C:$C,AG$1))</f>
        <v/>
      </c>
      <c r="AH125" s="246" t="str">
        <f>if(OR($E125="",$D125="",COUNTIFS(DailyDelivery!$A:$A,$E125,DailyDelivery!$B:$B,$D125,DailyDelivery!$C:$C,AH$1)=0),"",COUNTIFS(DailyDelivery!$A:$A,$E125,DailyDelivery!$B:$B,$D125,DailyDelivery!$C:$C,AH$1))</f>
        <v/>
      </c>
    </row>
    <row r="126">
      <c r="A126" s="272"/>
      <c r="B126" s="273"/>
      <c r="C126" s="240"/>
      <c r="D126" s="274"/>
      <c r="E126" s="274"/>
      <c r="F126" s="242" t="str">
        <f t="shared" si="6"/>
        <v/>
      </c>
      <c r="G126" s="243" t="str">
        <f t="shared" si="7"/>
        <v/>
      </c>
      <c r="H126" s="242" t="str">
        <f t="shared" si="8"/>
        <v/>
      </c>
      <c r="I126" s="243" t="str">
        <f t="shared" si="9"/>
        <v/>
      </c>
      <c r="J126" s="244" t="str">
        <f>if(OR($E126="",$D126=""),"",sumifs(All_Stats!F:F,All_Stats!D:D,D126,All_Stats!A:A,E126,All_Stats!B:B,"Overall"))</f>
        <v/>
      </c>
      <c r="K126" s="275"/>
      <c r="L126" s="246" t="str">
        <f>if(OR($E126="",$D126=""),"",sumifs(All_Stats!G:G,All_Stats!D:D,D126,All_Stats!A:A,E126,All_Stats!B:B,"Overall"))</f>
        <v/>
      </c>
      <c r="M126" s="246" t="str">
        <f>if(OR($E126="",$D126=""),"",sumifs(All_Stats!H:H,All_Stats!D:D,D126,All_Stats!A:A,E126,All_Stats!B:B,"Overall"))</f>
        <v/>
      </c>
      <c r="N126" s="246" t="str">
        <f t="shared" si="10"/>
        <v/>
      </c>
      <c r="O126" s="276"/>
      <c r="P126" s="277"/>
      <c r="Q126" s="278"/>
      <c r="R126" s="250"/>
      <c r="S126" s="246">
        <f>SUMIFS(All_Stats!K:K,All_Stats!D:D,D126,All_Stats!A:A,E126,All_Stats!B:B,"Overall")</f>
        <v>0</v>
      </c>
      <c r="T126" s="251">
        <f>SUMIFS(All_Stats!L:L,All_Stats!D:D,D126,All_Stats!A:A,E126,All_Stats!B:B,"Overall")</f>
        <v>0</v>
      </c>
      <c r="U126" s="246" t="str">
        <f>if(OR($E126="",$D126="",COUNTIFS(DailyDelivery!$A:$A,$E126,DailyDelivery!$B:$B,$D126,DailyDelivery!$C:$C,U$1)=0),"",COUNTIFS(DailyDelivery!$A:$A,$E126,DailyDelivery!$B:$B,$D126,DailyDelivery!$C:$C,U$1))</f>
        <v/>
      </c>
      <c r="V126" s="246" t="str">
        <f>if(OR($E126="",$D126="",COUNTIFS(DailyDelivery!$A:$A,$E126,DailyDelivery!$B:$B,$D126,DailyDelivery!$C:$C,V$1)=0),"",COUNTIFS(DailyDelivery!$A:$A,$E126,DailyDelivery!$B:$B,$D126,DailyDelivery!$C:$C,V$1))</f>
        <v/>
      </c>
      <c r="W126" s="246" t="str">
        <f>if(OR($E126="",$D126="",COUNTIFS(DailyDelivery!$A:$A,$E126,DailyDelivery!$B:$B,$D126,DailyDelivery!$C:$C,W$1)=0),"",COUNTIFS(DailyDelivery!$A:$A,$E126,DailyDelivery!$B:$B,$D126,DailyDelivery!$C:$C,W$1))</f>
        <v/>
      </c>
      <c r="X126" s="246" t="str">
        <f>if(OR($E126="",$D126="",COUNTIFS(DailyDelivery!$A:$A,$E126,DailyDelivery!$B:$B,$D126,DailyDelivery!$C:$C,X$1)=0),"",COUNTIFS(DailyDelivery!$A:$A,$E126,DailyDelivery!$B:$B,$D126,DailyDelivery!$C:$C,X$1))</f>
        <v/>
      </c>
      <c r="Y126" s="246" t="str">
        <f>if(OR($E126="",$D126="",COUNTIFS(DailyDelivery!$A:$A,$E126,DailyDelivery!$B:$B,$D126,DailyDelivery!$C:$C,Y$1)=0),"",COUNTIFS(DailyDelivery!$A:$A,$E126,DailyDelivery!$B:$B,$D126,DailyDelivery!$C:$C,Y$1))</f>
        <v/>
      </c>
      <c r="Z126" s="246" t="str">
        <f>if(OR($E126="",$D126="",COUNTIFS(DailyDelivery!$A:$A,$E126,DailyDelivery!$B:$B,$D126,DailyDelivery!$C:$C,Z$1)=0),"",COUNTIFS(DailyDelivery!$A:$A,$E126,DailyDelivery!$B:$B,$D126,DailyDelivery!$C:$C,Z$1))</f>
        <v/>
      </c>
      <c r="AA126" s="246" t="str">
        <f>if(OR($E126="",$D126="",COUNTIFS(DailyDelivery!$A:$A,$E126,DailyDelivery!$B:$B,$D126,DailyDelivery!$C:$C,AA$1)=0),"",COUNTIFS(DailyDelivery!$A:$A,$E126,DailyDelivery!$B:$B,$D126,DailyDelivery!$C:$C,AA$1))</f>
        <v/>
      </c>
      <c r="AB126" s="246" t="str">
        <f>if(OR($E126="",$D126="",COUNTIFS(DailyDelivery!$A:$A,$E126,DailyDelivery!$B:$B,$D126,DailyDelivery!$C:$C,AB$1)=0),"",COUNTIFS(DailyDelivery!$A:$A,$E126,DailyDelivery!$B:$B,$D126,DailyDelivery!$C:$C,AB$1))</f>
        <v/>
      </c>
      <c r="AC126" s="246" t="str">
        <f>if(OR($E126="",$D126="",COUNTIFS(DailyDelivery!$A:$A,$E126,DailyDelivery!$B:$B,$D126,DailyDelivery!$C:$C,AC$1)=0),"",COUNTIFS(DailyDelivery!$A:$A,$E126,DailyDelivery!$B:$B,$D126,DailyDelivery!$C:$C,AC$1))</f>
        <v/>
      </c>
      <c r="AD126" s="246" t="str">
        <f>if(OR($E126="",$D126="",COUNTIFS(DailyDelivery!$A:$A,$E126,DailyDelivery!$B:$B,$D126,DailyDelivery!$C:$C,AD$1)=0),"",COUNTIFS(DailyDelivery!$A:$A,$E126,DailyDelivery!$B:$B,$D126,DailyDelivery!$C:$C,AD$1))</f>
        <v/>
      </c>
      <c r="AE126" s="246" t="str">
        <f>if(OR($E126="",$D126="",COUNTIFS(DailyDelivery!$A:$A,$E126,DailyDelivery!$B:$B,$D126,DailyDelivery!$C:$C,AE$1)=0),"",COUNTIFS(DailyDelivery!$A:$A,$E126,DailyDelivery!$B:$B,$D126,DailyDelivery!$C:$C,AE$1))</f>
        <v/>
      </c>
      <c r="AF126" s="246" t="str">
        <f>if(OR($E126="",$D126="",COUNTIFS(DailyDelivery!$A:$A,$E126,DailyDelivery!$B:$B,$D126,DailyDelivery!$C:$C,AF$1)=0),"",COUNTIFS(DailyDelivery!$A:$A,$E126,DailyDelivery!$B:$B,$D126,DailyDelivery!$C:$C,AF$1))</f>
        <v/>
      </c>
      <c r="AG126" s="246" t="str">
        <f>if(OR($E126="",$D126="",COUNTIFS(DailyDelivery!$A:$A,$E126,DailyDelivery!$B:$B,$D126,DailyDelivery!$C:$C,AG$1)=0),"",COUNTIFS(DailyDelivery!$A:$A,$E126,DailyDelivery!$B:$B,$D126,DailyDelivery!$C:$C,AG$1))</f>
        <v/>
      </c>
      <c r="AH126" s="246" t="str">
        <f>if(OR($E126="",$D126="",COUNTIFS(DailyDelivery!$A:$A,$E126,DailyDelivery!$B:$B,$D126,DailyDelivery!$C:$C,AH$1)=0),"",COUNTIFS(DailyDelivery!$A:$A,$E126,DailyDelivery!$B:$B,$D126,DailyDelivery!$C:$C,AH$1))</f>
        <v/>
      </c>
    </row>
    <row r="127">
      <c r="A127" s="272"/>
      <c r="B127" s="273"/>
      <c r="C127" s="240"/>
      <c r="D127" s="274"/>
      <c r="E127" s="274"/>
      <c r="F127" s="242" t="str">
        <f t="shared" si="6"/>
        <v/>
      </c>
      <c r="G127" s="243" t="str">
        <f t="shared" si="7"/>
        <v/>
      </c>
      <c r="H127" s="242" t="str">
        <f t="shared" si="8"/>
        <v/>
      </c>
      <c r="I127" s="243" t="str">
        <f t="shared" si="9"/>
        <v/>
      </c>
      <c r="J127" s="244" t="str">
        <f>if(OR($E127="",$D127=""),"",sumifs(All_Stats!F:F,All_Stats!D:D,D127,All_Stats!A:A,E127,All_Stats!B:B,"Overall"))</f>
        <v/>
      </c>
      <c r="K127" s="275"/>
      <c r="L127" s="246" t="str">
        <f>if(OR($E127="",$D127=""),"",sumifs(All_Stats!G:G,All_Stats!D:D,D127,All_Stats!A:A,E127,All_Stats!B:B,"Overall"))</f>
        <v/>
      </c>
      <c r="M127" s="246" t="str">
        <f>if(OR($E127="",$D127=""),"",sumifs(All_Stats!H:H,All_Stats!D:D,D127,All_Stats!A:A,E127,All_Stats!B:B,"Overall"))</f>
        <v/>
      </c>
      <c r="N127" s="246" t="str">
        <f t="shared" si="10"/>
        <v/>
      </c>
      <c r="O127" s="276"/>
      <c r="P127" s="277"/>
      <c r="Q127" s="278"/>
      <c r="R127" s="250"/>
      <c r="S127" s="246">
        <f>SUMIFS(All_Stats!K:K,All_Stats!D:D,D127,All_Stats!A:A,E127,All_Stats!B:B,"Overall")</f>
        <v>0</v>
      </c>
      <c r="T127" s="251">
        <f>SUMIFS(All_Stats!L:L,All_Stats!D:D,D127,All_Stats!A:A,E127,All_Stats!B:B,"Overall")</f>
        <v>0</v>
      </c>
      <c r="U127" s="246" t="str">
        <f>if(OR($E127="",$D127="",COUNTIFS(DailyDelivery!$A:$A,$E127,DailyDelivery!$B:$B,$D127,DailyDelivery!$C:$C,U$1)=0),"",COUNTIFS(DailyDelivery!$A:$A,$E127,DailyDelivery!$B:$B,$D127,DailyDelivery!$C:$C,U$1))</f>
        <v/>
      </c>
      <c r="V127" s="246" t="str">
        <f>if(OR($E127="",$D127="",COUNTIFS(DailyDelivery!$A:$A,$E127,DailyDelivery!$B:$B,$D127,DailyDelivery!$C:$C,V$1)=0),"",COUNTIFS(DailyDelivery!$A:$A,$E127,DailyDelivery!$B:$B,$D127,DailyDelivery!$C:$C,V$1))</f>
        <v/>
      </c>
      <c r="W127" s="246" t="str">
        <f>if(OR($E127="",$D127="",COUNTIFS(DailyDelivery!$A:$A,$E127,DailyDelivery!$B:$B,$D127,DailyDelivery!$C:$C,W$1)=0),"",COUNTIFS(DailyDelivery!$A:$A,$E127,DailyDelivery!$B:$B,$D127,DailyDelivery!$C:$C,W$1))</f>
        <v/>
      </c>
      <c r="X127" s="246" t="str">
        <f>if(OR($E127="",$D127="",COUNTIFS(DailyDelivery!$A:$A,$E127,DailyDelivery!$B:$B,$D127,DailyDelivery!$C:$C,X$1)=0),"",COUNTIFS(DailyDelivery!$A:$A,$E127,DailyDelivery!$B:$B,$D127,DailyDelivery!$C:$C,X$1))</f>
        <v/>
      </c>
      <c r="Y127" s="246" t="str">
        <f>if(OR($E127="",$D127="",COUNTIFS(DailyDelivery!$A:$A,$E127,DailyDelivery!$B:$B,$D127,DailyDelivery!$C:$C,Y$1)=0),"",COUNTIFS(DailyDelivery!$A:$A,$E127,DailyDelivery!$B:$B,$D127,DailyDelivery!$C:$C,Y$1))</f>
        <v/>
      </c>
      <c r="Z127" s="246" t="str">
        <f>if(OR($E127="",$D127="",COUNTIFS(DailyDelivery!$A:$A,$E127,DailyDelivery!$B:$B,$D127,DailyDelivery!$C:$C,Z$1)=0),"",COUNTIFS(DailyDelivery!$A:$A,$E127,DailyDelivery!$B:$B,$D127,DailyDelivery!$C:$C,Z$1))</f>
        <v/>
      </c>
      <c r="AA127" s="246" t="str">
        <f>if(OR($E127="",$D127="",COUNTIFS(DailyDelivery!$A:$A,$E127,DailyDelivery!$B:$B,$D127,DailyDelivery!$C:$C,AA$1)=0),"",COUNTIFS(DailyDelivery!$A:$A,$E127,DailyDelivery!$B:$B,$D127,DailyDelivery!$C:$C,AA$1))</f>
        <v/>
      </c>
      <c r="AB127" s="246" t="str">
        <f>if(OR($E127="",$D127="",COUNTIFS(DailyDelivery!$A:$A,$E127,DailyDelivery!$B:$B,$D127,DailyDelivery!$C:$C,AB$1)=0),"",COUNTIFS(DailyDelivery!$A:$A,$E127,DailyDelivery!$B:$B,$D127,DailyDelivery!$C:$C,AB$1))</f>
        <v/>
      </c>
      <c r="AC127" s="246" t="str">
        <f>if(OR($E127="",$D127="",COUNTIFS(DailyDelivery!$A:$A,$E127,DailyDelivery!$B:$B,$D127,DailyDelivery!$C:$C,AC$1)=0),"",COUNTIFS(DailyDelivery!$A:$A,$E127,DailyDelivery!$B:$B,$D127,DailyDelivery!$C:$C,AC$1))</f>
        <v/>
      </c>
      <c r="AD127" s="246" t="str">
        <f>if(OR($E127="",$D127="",COUNTIFS(DailyDelivery!$A:$A,$E127,DailyDelivery!$B:$B,$D127,DailyDelivery!$C:$C,AD$1)=0),"",COUNTIFS(DailyDelivery!$A:$A,$E127,DailyDelivery!$B:$B,$D127,DailyDelivery!$C:$C,AD$1))</f>
        <v/>
      </c>
      <c r="AE127" s="246" t="str">
        <f>if(OR($E127="",$D127="",COUNTIFS(DailyDelivery!$A:$A,$E127,DailyDelivery!$B:$B,$D127,DailyDelivery!$C:$C,AE$1)=0),"",COUNTIFS(DailyDelivery!$A:$A,$E127,DailyDelivery!$B:$B,$D127,DailyDelivery!$C:$C,AE$1))</f>
        <v/>
      </c>
      <c r="AF127" s="246" t="str">
        <f>if(OR($E127="",$D127="",COUNTIFS(DailyDelivery!$A:$A,$E127,DailyDelivery!$B:$B,$D127,DailyDelivery!$C:$C,AF$1)=0),"",COUNTIFS(DailyDelivery!$A:$A,$E127,DailyDelivery!$B:$B,$D127,DailyDelivery!$C:$C,AF$1))</f>
        <v/>
      </c>
      <c r="AG127" s="246" t="str">
        <f>if(OR($E127="",$D127="",COUNTIFS(DailyDelivery!$A:$A,$E127,DailyDelivery!$B:$B,$D127,DailyDelivery!$C:$C,AG$1)=0),"",COUNTIFS(DailyDelivery!$A:$A,$E127,DailyDelivery!$B:$B,$D127,DailyDelivery!$C:$C,AG$1))</f>
        <v/>
      </c>
      <c r="AH127" s="246" t="str">
        <f>if(OR($E127="",$D127="",COUNTIFS(DailyDelivery!$A:$A,$E127,DailyDelivery!$B:$B,$D127,DailyDelivery!$C:$C,AH$1)=0),"",COUNTIFS(DailyDelivery!$A:$A,$E127,DailyDelivery!$B:$B,$D127,DailyDelivery!$C:$C,AH$1))</f>
        <v/>
      </c>
    </row>
    <row r="128">
      <c r="A128" s="272"/>
      <c r="B128" s="273"/>
      <c r="C128" s="240"/>
      <c r="D128" s="274"/>
      <c r="E128" s="274"/>
      <c r="F128" s="242" t="str">
        <f t="shared" si="6"/>
        <v/>
      </c>
      <c r="G128" s="243" t="str">
        <f t="shared" si="7"/>
        <v/>
      </c>
      <c r="H128" s="242" t="str">
        <f t="shared" si="8"/>
        <v/>
      </c>
      <c r="I128" s="243" t="str">
        <f t="shared" si="9"/>
        <v/>
      </c>
      <c r="J128" s="244" t="str">
        <f>if(OR($E128="",$D128=""),"",sumifs(All_Stats!F:F,All_Stats!D:D,D128,All_Stats!A:A,E128,All_Stats!B:B,"Overall"))</f>
        <v/>
      </c>
      <c r="K128" s="275"/>
      <c r="L128" s="246" t="str">
        <f>if(OR($E128="",$D128=""),"",sumifs(All_Stats!G:G,All_Stats!D:D,D128,All_Stats!A:A,E128,All_Stats!B:B,"Overall"))</f>
        <v/>
      </c>
      <c r="M128" s="246" t="str">
        <f>if(OR($E128="",$D128=""),"",sumifs(All_Stats!H:H,All_Stats!D:D,D128,All_Stats!A:A,E128,All_Stats!B:B,"Overall"))</f>
        <v/>
      </c>
      <c r="N128" s="246" t="str">
        <f t="shared" si="10"/>
        <v/>
      </c>
      <c r="O128" s="276"/>
      <c r="P128" s="277"/>
      <c r="Q128" s="278"/>
      <c r="R128" s="250"/>
      <c r="S128" s="246">
        <f>SUMIFS(All_Stats!K:K,All_Stats!D:D,D128,All_Stats!A:A,E128,All_Stats!B:B,"Overall")</f>
        <v>0</v>
      </c>
      <c r="T128" s="251">
        <f>SUMIFS(All_Stats!L:L,All_Stats!D:D,D128,All_Stats!A:A,E128,All_Stats!B:B,"Overall")</f>
        <v>0</v>
      </c>
      <c r="U128" s="246" t="str">
        <f>if(OR($E128="",$D128="",COUNTIFS(DailyDelivery!$A:$A,$E128,DailyDelivery!$B:$B,$D128,DailyDelivery!$C:$C,U$1)=0),"",COUNTIFS(DailyDelivery!$A:$A,$E128,DailyDelivery!$B:$B,$D128,DailyDelivery!$C:$C,U$1))</f>
        <v/>
      </c>
      <c r="V128" s="246" t="str">
        <f>if(OR($E128="",$D128="",COUNTIFS(DailyDelivery!$A:$A,$E128,DailyDelivery!$B:$B,$D128,DailyDelivery!$C:$C,V$1)=0),"",COUNTIFS(DailyDelivery!$A:$A,$E128,DailyDelivery!$B:$B,$D128,DailyDelivery!$C:$C,V$1))</f>
        <v/>
      </c>
      <c r="W128" s="246" t="str">
        <f>if(OR($E128="",$D128="",COUNTIFS(DailyDelivery!$A:$A,$E128,DailyDelivery!$B:$B,$D128,DailyDelivery!$C:$C,W$1)=0),"",COUNTIFS(DailyDelivery!$A:$A,$E128,DailyDelivery!$B:$B,$D128,DailyDelivery!$C:$C,W$1))</f>
        <v/>
      </c>
      <c r="X128" s="246" t="str">
        <f>if(OR($E128="",$D128="",COUNTIFS(DailyDelivery!$A:$A,$E128,DailyDelivery!$B:$B,$D128,DailyDelivery!$C:$C,X$1)=0),"",COUNTIFS(DailyDelivery!$A:$A,$E128,DailyDelivery!$B:$B,$D128,DailyDelivery!$C:$C,X$1))</f>
        <v/>
      </c>
      <c r="Y128" s="246" t="str">
        <f>if(OR($E128="",$D128="",COUNTIFS(DailyDelivery!$A:$A,$E128,DailyDelivery!$B:$B,$D128,DailyDelivery!$C:$C,Y$1)=0),"",COUNTIFS(DailyDelivery!$A:$A,$E128,DailyDelivery!$B:$B,$D128,DailyDelivery!$C:$C,Y$1))</f>
        <v/>
      </c>
      <c r="Z128" s="246" t="str">
        <f>if(OR($E128="",$D128="",COUNTIFS(DailyDelivery!$A:$A,$E128,DailyDelivery!$B:$B,$D128,DailyDelivery!$C:$C,Z$1)=0),"",COUNTIFS(DailyDelivery!$A:$A,$E128,DailyDelivery!$B:$B,$D128,DailyDelivery!$C:$C,Z$1))</f>
        <v/>
      </c>
      <c r="AA128" s="246" t="str">
        <f>if(OR($E128="",$D128="",COUNTIFS(DailyDelivery!$A:$A,$E128,DailyDelivery!$B:$B,$D128,DailyDelivery!$C:$C,AA$1)=0),"",COUNTIFS(DailyDelivery!$A:$A,$E128,DailyDelivery!$B:$B,$D128,DailyDelivery!$C:$C,AA$1))</f>
        <v/>
      </c>
      <c r="AB128" s="246" t="str">
        <f>if(OR($E128="",$D128="",COUNTIFS(DailyDelivery!$A:$A,$E128,DailyDelivery!$B:$B,$D128,DailyDelivery!$C:$C,AB$1)=0),"",COUNTIFS(DailyDelivery!$A:$A,$E128,DailyDelivery!$B:$B,$D128,DailyDelivery!$C:$C,AB$1))</f>
        <v/>
      </c>
      <c r="AC128" s="246" t="str">
        <f>if(OR($E128="",$D128="",COUNTIFS(DailyDelivery!$A:$A,$E128,DailyDelivery!$B:$B,$D128,DailyDelivery!$C:$C,AC$1)=0),"",COUNTIFS(DailyDelivery!$A:$A,$E128,DailyDelivery!$B:$B,$D128,DailyDelivery!$C:$C,AC$1))</f>
        <v/>
      </c>
      <c r="AD128" s="246" t="str">
        <f>if(OR($E128="",$D128="",COUNTIFS(DailyDelivery!$A:$A,$E128,DailyDelivery!$B:$B,$D128,DailyDelivery!$C:$C,AD$1)=0),"",COUNTIFS(DailyDelivery!$A:$A,$E128,DailyDelivery!$B:$B,$D128,DailyDelivery!$C:$C,AD$1))</f>
        <v/>
      </c>
      <c r="AE128" s="246" t="str">
        <f>if(OR($E128="",$D128="",COUNTIFS(DailyDelivery!$A:$A,$E128,DailyDelivery!$B:$B,$D128,DailyDelivery!$C:$C,AE$1)=0),"",COUNTIFS(DailyDelivery!$A:$A,$E128,DailyDelivery!$B:$B,$D128,DailyDelivery!$C:$C,AE$1))</f>
        <v/>
      </c>
      <c r="AF128" s="246" t="str">
        <f>if(OR($E128="",$D128="",COUNTIFS(DailyDelivery!$A:$A,$E128,DailyDelivery!$B:$B,$D128,DailyDelivery!$C:$C,AF$1)=0),"",COUNTIFS(DailyDelivery!$A:$A,$E128,DailyDelivery!$B:$B,$D128,DailyDelivery!$C:$C,AF$1))</f>
        <v/>
      </c>
      <c r="AG128" s="246" t="str">
        <f>if(OR($E128="",$D128="",COUNTIFS(DailyDelivery!$A:$A,$E128,DailyDelivery!$B:$B,$D128,DailyDelivery!$C:$C,AG$1)=0),"",COUNTIFS(DailyDelivery!$A:$A,$E128,DailyDelivery!$B:$B,$D128,DailyDelivery!$C:$C,AG$1))</f>
        <v/>
      </c>
      <c r="AH128" s="246" t="str">
        <f>if(OR($E128="",$D128="",COUNTIFS(DailyDelivery!$A:$A,$E128,DailyDelivery!$B:$B,$D128,DailyDelivery!$C:$C,AH$1)=0),"",COUNTIFS(DailyDelivery!$A:$A,$E128,DailyDelivery!$B:$B,$D128,DailyDelivery!$C:$C,AH$1))</f>
        <v/>
      </c>
    </row>
    <row r="129">
      <c r="A129" s="272"/>
      <c r="B129" s="273"/>
      <c r="C129" s="240"/>
      <c r="D129" s="274"/>
      <c r="E129" s="274"/>
      <c r="F129" s="242" t="str">
        <f t="shared" si="6"/>
        <v/>
      </c>
      <c r="G129" s="243" t="str">
        <f t="shared" si="7"/>
        <v/>
      </c>
      <c r="H129" s="242" t="str">
        <f t="shared" si="8"/>
        <v/>
      </c>
      <c r="I129" s="243" t="str">
        <f t="shared" si="9"/>
        <v/>
      </c>
      <c r="J129" s="244" t="str">
        <f>if(OR($E129="",$D129=""),"",sumifs(All_Stats!F:F,All_Stats!D:D,D129,All_Stats!A:A,E129,All_Stats!B:B,"Overall"))</f>
        <v/>
      </c>
      <c r="K129" s="275"/>
      <c r="L129" s="246" t="str">
        <f>if(OR($E129="",$D129=""),"",sumifs(All_Stats!G:G,All_Stats!D:D,D129,All_Stats!A:A,E129,All_Stats!B:B,"Overall"))</f>
        <v/>
      </c>
      <c r="M129" s="246" t="str">
        <f>if(OR($E129="",$D129=""),"",sumifs(All_Stats!H:H,All_Stats!D:D,D129,All_Stats!A:A,E129,All_Stats!B:B,"Overall"))</f>
        <v/>
      </c>
      <c r="N129" s="246" t="str">
        <f t="shared" si="10"/>
        <v/>
      </c>
      <c r="O129" s="276"/>
      <c r="P129" s="277"/>
      <c r="Q129" s="278"/>
      <c r="R129" s="250"/>
      <c r="S129" s="246">
        <f>SUMIFS(All_Stats!K:K,All_Stats!D:D,D129,All_Stats!A:A,E129,All_Stats!B:B,"Overall")</f>
        <v>0</v>
      </c>
      <c r="T129" s="251">
        <f>SUMIFS(All_Stats!L:L,All_Stats!D:D,D129,All_Stats!A:A,E129,All_Stats!B:B,"Overall")</f>
        <v>0</v>
      </c>
      <c r="U129" s="246" t="str">
        <f>if(OR($E129="",$D129="",COUNTIFS(DailyDelivery!$A:$A,$E129,DailyDelivery!$B:$B,$D129,DailyDelivery!$C:$C,U$1)=0),"",COUNTIFS(DailyDelivery!$A:$A,$E129,DailyDelivery!$B:$B,$D129,DailyDelivery!$C:$C,U$1))</f>
        <v/>
      </c>
      <c r="V129" s="246" t="str">
        <f>if(OR($E129="",$D129="",COUNTIFS(DailyDelivery!$A:$A,$E129,DailyDelivery!$B:$B,$D129,DailyDelivery!$C:$C,V$1)=0),"",COUNTIFS(DailyDelivery!$A:$A,$E129,DailyDelivery!$B:$B,$D129,DailyDelivery!$C:$C,V$1))</f>
        <v/>
      </c>
      <c r="W129" s="246" t="str">
        <f>if(OR($E129="",$D129="",COUNTIFS(DailyDelivery!$A:$A,$E129,DailyDelivery!$B:$B,$D129,DailyDelivery!$C:$C,W$1)=0),"",COUNTIFS(DailyDelivery!$A:$A,$E129,DailyDelivery!$B:$B,$D129,DailyDelivery!$C:$C,W$1))</f>
        <v/>
      </c>
      <c r="X129" s="246" t="str">
        <f>if(OR($E129="",$D129="",COUNTIFS(DailyDelivery!$A:$A,$E129,DailyDelivery!$B:$B,$D129,DailyDelivery!$C:$C,X$1)=0),"",COUNTIFS(DailyDelivery!$A:$A,$E129,DailyDelivery!$B:$B,$D129,DailyDelivery!$C:$C,X$1))</f>
        <v/>
      </c>
      <c r="Y129" s="246" t="str">
        <f>if(OR($E129="",$D129="",COUNTIFS(DailyDelivery!$A:$A,$E129,DailyDelivery!$B:$B,$D129,DailyDelivery!$C:$C,Y$1)=0),"",COUNTIFS(DailyDelivery!$A:$A,$E129,DailyDelivery!$B:$B,$D129,DailyDelivery!$C:$C,Y$1))</f>
        <v/>
      </c>
      <c r="Z129" s="246" t="str">
        <f>if(OR($E129="",$D129="",COUNTIFS(DailyDelivery!$A:$A,$E129,DailyDelivery!$B:$B,$D129,DailyDelivery!$C:$C,Z$1)=0),"",COUNTIFS(DailyDelivery!$A:$A,$E129,DailyDelivery!$B:$B,$D129,DailyDelivery!$C:$C,Z$1))</f>
        <v/>
      </c>
      <c r="AA129" s="246" t="str">
        <f>if(OR($E129="",$D129="",COUNTIFS(DailyDelivery!$A:$A,$E129,DailyDelivery!$B:$B,$D129,DailyDelivery!$C:$C,AA$1)=0),"",COUNTIFS(DailyDelivery!$A:$A,$E129,DailyDelivery!$B:$B,$D129,DailyDelivery!$C:$C,AA$1))</f>
        <v/>
      </c>
      <c r="AB129" s="246" t="str">
        <f>if(OR($E129="",$D129="",COUNTIFS(DailyDelivery!$A:$A,$E129,DailyDelivery!$B:$B,$D129,DailyDelivery!$C:$C,AB$1)=0),"",COUNTIFS(DailyDelivery!$A:$A,$E129,DailyDelivery!$B:$B,$D129,DailyDelivery!$C:$C,AB$1))</f>
        <v/>
      </c>
      <c r="AC129" s="246" t="str">
        <f>if(OR($E129="",$D129="",COUNTIFS(DailyDelivery!$A:$A,$E129,DailyDelivery!$B:$B,$D129,DailyDelivery!$C:$C,AC$1)=0),"",COUNTIFS(DailyDelivery!$A:$A,$E129,DailyDelivery!$B:$B,$D129,DailyDelivery!$C:$C,AC$1))</f>
        <v/>
      </c>
      <c r="AD129" s="246" t="str">
        <f>if(OR($E129="",$D129="",COUNTIFS(DailyDelivery!$A:$A,$E129,DailyDelivery!$B:$B,$D129,DailyDelivery!$C:$C,AD$1)=0),"",COUNTIFS(DailyDelivery!$A:$A,$E129,DailyDelivery!$B:$B,$D129,DailyDelivery!$C:$C,AD$1))</f>
        <v/>
      </c>
      <c r="AE129" s="246" t="str">
        <f>if(OR($E129="",$D129="",COUNTIFS(DailyDelivery!$A:$A,$E129,DailyDelivery!$B:$B,$D129,DailyDelivery!$C:$C,AE$1)=0),"",COUNTIFS(DailyDelivery!$A:$A,$E129,DailyDelivery!$B:$B,$D129,DailyDelivery!$C:$C,AE$1))</f>
        <v/>
      </c>
      <c r="AF129" s="246" t="str">
        <f>if(OR($E129="",$D129="",COUNTIFS(DailyDelivery!$A:$A,$E129,DailyDelivery!$B:$B,$D129,DailyDelivery!$C:$C,AF$1)=0),"",COUNTIFS(DailyDelivery!$A:$A,$E129,DailyDelivery!$B:$B,$D129,DailyDelivery!$C:$C,AF$1))</f>
        <v/>
      </c>
      <c r="AG129" s="246" t="str">
        <f>if(OR($E129="",$D129="",COUNTIFS(DailyDelivery!$A:$A,$E129,DailyDelivery!$B:$B,$D129,DailyDelivery!$C:$C,AG$1)=0),"",COUNTIFS(DailyDelivery!$A:$A,$E129,DailyDelivery!$B:$B,$D129,DailyDelivery!$C:$C,AG$1))</f>
        <v/>
      </c>
      <c r="AH129" s="246" t="str">
        <f>if(OR($E129="",$D129="",COUNTIFS(DailyDelivery!$A:$A,$E129,DailyDelivery!$B:$B,$D129,DailyDelivery!$C:$C,AH$1)=0),"",COUNTIFS(DailyDelivery!$A:$A,$E129,DailyDelivery!$B:$B,$D129,DailyDelivery!$C:$C,AH$1))</f>
        <v/>
      </c>
    </row>
  </sheetData>
  <customSheetViews>
    <customSheetView guid="{2F959F2F-72EB-4DA6-AB1C-F617A64A2D8D}" filter="1" showAutoFilter="1">
      <autoFilter ref="$A$1:$AH$129">
        <filterColumn colId="15">
          <filters blank="1">
            <filter val="APPOINTMENT SETTING"/>
            <filter val="DPO PLATFORM"/>
          </filters>
        </filterColumn>
      </autoFilter>
    </customSheetView>
  </customSheetViews>
  <mergeCells count="4">
    <mergeCell ref="A2:E2"/>
    <mergeCell ref="A3:E3"/>
    <mergeCell ref="A4:Z4"/>
    <mergeCell ref="A12:Z12"/>
  </mergeCells>
  <conditionalFormatting sqref="K5">
    <cfRule type="expression" dxfId="1" priority="1">
      <formula>AND(NOT(ISDATE(K5)),K5&lt;&gt;"")</formula>
    </cfRule>
  </conditionalFormatting>
  <conditionalFormatting sqref="K5">
    <cfRule type="expression" dxfId="1" priority="2">
      <formula>AND(NOT(ISDATE(K5)),K5&lt;&gt;"")</formula>
    </cfRule>
  </conditionalFormatting>
  <conditionalFormatting sqref="Q5:Q11 Q13:Q129">
    <cfRule type="cellIs" dxfId="2" priority="3" operator="equal">
      <formula>"Live"</formula>
    </cfRule>
  </conditionalFormatting>
  <conditionalFormatting sqref="Q5:Q11 Q13:Q129">
    <cfRule type="cellIs" dxfId="3" priority="4" operator="equal">
      <formula>"Paused"</formula>
    </cfRule>
  </conditionalFormatting>
  <conditionalFormatting sqref="Q5:Q11 Q13:Q129">
    <cfRule type="cellIs" dxfId="4" priority="5" operator="equal">
      <formula>"Pre"</formula>
    </cfRule>
  </conditionalFormatting>
  <conditionalFormatting sqref="Q5:Q11 Q13:Q129">
    <cfRule type="cellIs" dxfId="5" priority="6" operator="equal">
      <formula>"Closed"</formula>
    </cfRule>
  </conditionalFormatting>
  <conditionalFormatting sqref="T2 T5:T11 T13:T129">
    <cfRule type="cellIs" dxfId="6" priority="7" operator="greaterThan">
      <formula>0</formula>
    </cfRule>
  </conditionalFormatting>
  <conditionalFormatting sqref="S2 S5:S11 S13:S129">
    <cfRule type="cellIs" dxfId="6" priority="8" operator="greaterThan">
      <formula>0</formula>
    </cfRule>
  </conditionalFormatting>
  <conditionalFormatting sqref="Q5:Q11 Q13:Q129">
    <cfRule type="cellIs" dxfId="7" priority="9" operator="equal">
      <formula>"Canceled"</formula>
    </cfRule>
  </conditionalFormatting>
  <conditionalFormatting sqref="N2:N3 N5:N11 N13:N129">
    <cfRule type="notContainsBlanks" dxfId="0" priority="10">
      <formula>LEN(TRIM(N2))&gt;0</formula>
    </cfRule>
  </conditionalFormatting>
  <conditionalFormatting sqref="Q5:Q11 Q13:Q129">
    <cfRule type="cellIs" dxfId="8" priority="11" operator="equal">
      <formula>"Expired"</formula>
    </cfRule>
  </conditionalFormatting>
  <dataValidations>
    <dataValidation type="list" allowBlank="1" sqref="Q5:Q11 Q13:Q129">
      <formula1>"Live,Paused,Closed,Pre,Canceled,Expired"</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75"/>
    <col customWidth="1" min="2" max="2" width="15.88"/>
    <col customWidth="1" min="3" max="3" width="8.25"/>
    <col customWidth="1" min="4" max="4" width="10.13"/>
    <col customWidth="1" min="5" max="5" width="9.25"/>
    <col customWidth="1" min="6" max="6" width="8.75"/>
    <col customWidth="1" min="7" max="7" width="7.75"/>
    <col customWidth="1" min="8" max="8" width="8.25"/>
    <col customWidth="1" min="9" max="9" width="8.13"/>
    <col customWidth="1" min="10" max="10" width="6.75"/>
    <col customWidth="1" min="11" max="11" width="12.38"/>
    <col customWidth="1" min="12" max="12" width="8.63"/>
    <col customWidth="1" min="13" max="13" width="8.0"/>
    <col customWidth="1" min="14" max="14" width="29.5"/>
    <col customWidth="1" hidden="1" min="15" max="16" width="8.88"/>
    <col customWidth="1" hidden="1" min="17" max="17" width="8.5"/>
    <col customWidth="1" hidden="1" min="18" max="18" width="8.75"/>
    <col customWidth="1" min="19" max="19" width="13.38"/>
    <col customWidth="1" min="20" max="20" width="15.38"/>
    <col customWidth="1" min="21" max="21" width="11.13"/>
    <col customWidth="1" min="22" max="22" width="9.75"/>
    <col customWidth="1" min="23" max="23" width="7.75"/>
    <col customWidth="1" min="24" max="24" width="10.63"/>
    <col customWidth="1" min="25" max="25" width="20.5"/>
    <col customWidth="1" min="26" max="26" width="16.13"/>
  </cols>
  <sheetData>
    <row r="1">
      <c r="A1" s="279" t="s">
        <v>592</v>
      </c>
      <c r="B1" s="279" t="s">
        <v>593</v>
      </c>
      <c r="C1" s="280" t="s">
        <v>594</v>
      </c>
      <c r="D1" s="279" t="s">
        <v>595</v>
      </c>
      <c r="E1" s="281" t="s">
        <v>6</v>
      </c>
      <c r="F1" s="281" t="s">
        <v>7</v>
      </c>
      <c r="G1" s="281" t="s">
        <v>8</v>
      </c>
      <c r="H1" s="282" t="s">
        <v>10</v>
      </c>
      <c r="I1" s="281" t="s">
        <v>9</v>
      </c>
      <c r="J1" s="283" t="s">
        <v>12</v>
      </c>
      <c r="K1" s="279" t="s">
        <v>2</v>
      </c>
      <c r="L1" s="279" t="s">
        <v>596</v>
      </c>
      <c r="M1" s="279" t="s">
        <v>559</v>
      </c>
      <c r="N1" s="284" t="s">
        <v>597</v>
      </c>
      <c r="O1" s="285" t="s">
        <v>598</v>
      </c>
      <c r="P1" s="285" t="s">
        <v>599</v>
      </c>
      <c r="Q1" s="286" t="s">
        <v>600</v>
      </c>
      <c r="R1" s="285" t="s">
        <v>601</v>
      </c>
      <c r="S1" s="287" t="s">
        <v>602</v>
      </c>
      <c r="T1" s="288" t="s">
        <v>15</v>
      </c>
      <c r="U1" s="289" t="s">
        <v>603</v>
      </c>
      <c r="V1" s="290" t="s">
        <v>604</v>
      </c>
      <c r="W1" s="291" t="s">
        <v>13</v>
      </c>
      <c r="X1" s="292" t="s">
        <v>605</v>
      </c>
      <c r="Y1" s="293" t="s">
        <v>606</v>
      </c>
      <c r="Z1" s="294" t="s">
        <v>607</v>
      </c>
    </row>
    <row r="2" hidden="1">
      <c r="A2" s="295"/>
      <c r="B2" s="296"/>
      <c r="C2" s="297"/>
      <c r="D2" s="298">
        <f>TODAY()</f>
        <v>46115</v>
      </c>
      <c r="E2" s="113"/>
      <c r="F2" s="113"/>
      <c r="G2" s="113"/>
      <c r="H2" s="171"/>
      <c r="I2" s="113"/>
      <c r="J2" s="113"/>
      <c r="K2" s="249"/>
      <c r="L2" s="299"/>
      <c r="M2" s="245"/>
      <c r="R2" s="2" t="s">
        <v>608</v>
      </c>
      <c r="S2" s="300">
        <v>0.2</v>
      </c>
      <c r="T2" s="2"/>
      <c r="U2" s="162"/>
      <c r="V2" s="113"/>
      <c r="X2" s="245"/>
      <c r="Y2" s="301"/>
      <c r="Z2" s="302"/>
    </row>
    <row r="3">
      <c r="A3" s="303" t="s">
        <v>565</v>
      </c>
      <c r="B3" s="32"/>
      <c r="C3" s="32"/>
      <c r="D3" s="32"/>
      <c r="E3" s="32"/>
      <c r="F3" s="32"/>
      <c r="G3" s="32"/>
      <c r="H3" s="32"/>
      <c r="I3" s="32"/>
      <c r="J3" s="32"/>
      <c r="K3" s="32"/>
      <c r="L3" s="32"/>
      <c r="M3" s="32"/>
      <c r="N3" s="32"/>
      <c r="O3" s="32"/>
      <c r="P3" s="32"/>
      <c r="Q3" s="32"/>
      <c r="R3" s="32"/>
      <c r="S3" s="32"/>
      <c r="T3" s="32"/>
      <c r="U3" s="32"/>
      <c r="V3" s="32"/>
      <c r="W3" s="32"/>
      <c r="X3" s="32"/>
      <c r="Y3" s="32"/>
      <c r="Z3" s="33"/>
    </row>
    <row r="4">
      <c r="A4" s="304" t="s">
        <v>609</v>
      </c>
      <c r="B4" s="305" t="s">
        <v>16</v>
      </c>
      <c r="C4" s="306" t="s">
        <v>610</v>
      </c>
      <c r="D4" s="162">
        <v>5000.0</v>
      </c>
      <c r="E4" s="307">
        <f>SUMIFS(All_Stats!G:G,All_Stats!$A:$A,$B4,All_Stats!$B:$B,"Overall",All_Stats!$D:$D,"Total")</f>
        <v>3112</v>
      </c>
      <c r="F4" s="307">
        <f>SUMIFS(All_Stats!H:H,All_Stats!$A:$A,$B4,All_Stats!$B:$B,"Overall",All_Stats!$D:$D,"Total")</f>
        <v>1651</v>
      </c>
      <c r="G4" s="307">
        <f>SUMIFS(All_Stats!I:I,All_Stats!$A:$A,$B4,All_Stats!$B:$B,"Overall",All_Stats!$D:$D,"Total")</f>
        <v>1330</v>
      </c>
      <c r="H4" s="307">
        <f>SUMIFS(All_Stats!K:K,All_Stats!$A:$A,$B4,All_Stats!$B:$B,"Overall",All_Stats!$D:$D,"Total")</f>
        <v>75</v>
      </c>
      <c r="I4" s="308">
        <f>SUMIFS(All_Stats!J:J,All_Stats!$A:$A,$B4,All_Stats!$B:$B,"Overall",All_Stats!$D:$D,"Total")</f>
        <v>56</v>
      </c>
      <c r="J4" s="308">
        <f t="shared" ref="J4:J5" si="2">D4-F4</f>
        <v>3349</v>
      </c>
      <c r="K4" s="309" t="s">
        <v>18</v>
      </c>
      <c r="L4" s="245">
        <v>45302.0</v>
      </c>
      <c r="M4" s="245">
        <v>45369.0</v>
      </c>
      <c r="N4" s="2" t="s">
        <v>19</v>
      </c>
      <c r="O4" s="310">
        <f>(_xlfn.NETWORKDAYS.INTL(L4,D$2)-1)/_xlfn.NETWORKDAYS.INTL(L4,M4)</f>
        <v>12.10416667</v>
      </c>
      <c r="P4" s="311">
        <f t="shared" ref="P4:Q4" si="1">F4/D4</f>
        <v>0.3302</v>
      </c>
      <c r="Q4" s="312">
        <f t="shared" si="1"/>
        <v>0.427377892</v>
      </c>
      <c r="R4" s="311">
        <f>E4/D4</f>
        <v>0.6224</v>
      </c>
      <c r="S4" s="300" t="str">
        <f>iferror(ifs(
K4="Closed","Closed",
K4="Paused","Paused",
UPPER(X4)="N/A","PRE",
X4="","N/A",
(_xlfn.NETWORKDAYS.INTL(X4,D$2)-1)/_xlfn.NETWORKDAYS.INTL(X4,M4)&lt;S$2,"PRE",
F4=0,"Underpacing",
O4-(F4+H4*(G4/(G4+F4)))/D4&gt;0.2,"Underpacing",
O4-(F4+H4*(G4/(G4+F4)))/D4&lt;=0.2,"On track")
,"N/A")</f>
        <v>Underpacing</v>
      </c>
      <c r="T4" s="2" t="s">
        <v>21</v>
      </c>
      <c r="U4" s="162" t="s">
        <v>611</v>
      </c>
      <c r="V4" s="308">
        <f>COUNTIFS('Delivery Tracking'!E:E,B4)</f>
        <v>1</v>
      </c>
      <c r="W4" s="308">
        <f>SUMIFS(All_Stats!N:N,All_Stats!$A:$A,$B4,All_Stats!$B:$B,"Overall",All_Stats!$D:$D,"Total")</f>
        <v>-645</v>
      </c>
      <c r="X4" s="245">
        <v>44944.0</v>
      </c>
      <c r="Y4" s="313" t="s">
        <v>612</v>
      </c>
      <c r="Z4" s="313" t="s">
        <v>612</v>
      </c>
    </row>
    <row r="5">
      <c r="A5" s="304" t="s">
        <v>613</v>
      </c>
      <c r="B5" s="304" t="s">
        <v>577</v>
      </c>
      <c r="C5" s="314"/>
      <c r="D5" s="162">
        <v>20.0</v>
      </c>
      <c r="E5" s="307">
        <f>SUMIFS(All_Stats!G:G,All_Stats!$A:$A,$B5,All_Stats!$B:$B,"Overall",All_Stats!$D:$D,"Total")</f>
        <v>0</v>
      </c>
      <c r="F5" s="307">
        <f>SUMIFS(All_Stats!H:H,All_Stats!$A:$A,$B5,All_Stats!$B:$B,"Overall",All_Stats!$D:$D,"Total")</f>
        <v>0</v>
      </c>
      <c r="G5" s="307">
        <f>SUMIFS(All_Stats!I:I,All_Stats!$A:$A,$B5,All_Stats!$B:$B,"Overall",All_Stats!$D:$D,"Total")</f>
        <v>0</v>
      </c>
      <c r="H5" s="307">
        <f>SUMIFS(All_Stats!K:K,All_Stats!$A:$A,$B5,All_Stats!$B:$B,"Overall",All_Stats!$D:$D,"Total")</f>
        <v>0</v>
      </c>
      <c r="I5" s="308">
        <f>SUMIFS(All_Stats!J:J,All_Stats!$A:$A,$B5,All_Stats!$B:$B,"Overall",All_Stats!$D:$D,"Total")</f>
        <v>0</v>
      </c>
      <c r="J5" s="308">
        <f t="shared" si="2"/>
        <v>20</v>
      </c>
      <c r="K5" s="249" t="s">
        <v>135</v>
      </c>
      <c r="L5" s="245"/>
      <c r="M5" s="245"/>
      <c r="N5" s="5" t="s">
        <v>614</v>
      </c>
      <c r="O5" s="310"/>
      <c r="P5" s="311"/>
      <c r="Q5" s="312"/>
      <c r="R5" s="311"/>
      <c r="S5" s="249" t="s">
        <v>135</v>
      </c>
      <c r="T5" s="2" t="s">
        <v>21</v>
      </c>
      <c r="U5" s="162" t="s">
        <v>611</v>
      </c>
      <c r="V5" s="308">
        <f>COUNTIFS('Delivery Tracking'!E:E,B5)</f>
        <v>1</v>
      </c>
      <c r="W5" s="308">
        <f>SUMIFS(All_Stats!N:N,All_Stats!$A:$A,$B5,All_Stats!$B:$B,"Overall",All_Stats!$D:$D,"Total")</f>
        <v>0</v>
      </c>
      <c r="X5" s="245">
        <v>45362.0</v>
      </c>
      <c r="Y5" s="313" t="s">
        <v>612</v>
      </c>
      <c r="Z5" s="313" t="s">
        <v>612</v>
      </c>
    </row>
    <row r="6">
      <c r="A6" s="269" t="s">
        <v>615</v>
      </c>
      <c r="B6" s="32"/>
      <c r="C6" s="32"/>
      <c r="D6" s="32"/>
      <c r="E6" s="32"/>
      <c r="F6" s="32"/>
      <c r="G6" s="32"/>
      <c r="H6" s="32"/>
      <c r="I6" s="32"/>
      <c r="J6" s="32"/>
      <c r="K6" s="32"/>
      <c r="L6" s="32"/>
      <c r="M6" s="32"/>
      <c r="N6" s="32"/>
      <c r="O6" s="32"/>
      <c r="P6" s="32"/>
      <c r="Q6" s="32"/>
      <c r="R6" s="32"/>
      <c r="S6" s="32"/>
      <c r="T6" s="32"/>
      <c r="U6" s="32"/>
      <c r="V6" s="32"/>
      <c r="W6" s="32"/>
      <c r="X6" s="32"/>
      <c r="Y6" s="32"/>
      <c r="Z6" s="33"/>
    </row>
    <row r="7">
      <c r="A7" s="315" t="s">
        <v>616</v>
      </c>
      <c r="B7" s="316" t="s">
        <v>582</v>
      </c>
      <c r="C7" s="314"/>
      <c r="D7" s="162">
        <v>125.0</v>
      </c>
      <c r="E7" s="171">
        <f>SUMIFS(All_Stats!G:G,All_Stats!$A:$A,$B7,All_Stats!$B:$B,"Overall",All_Stats!$D:$D,"Total")</f>
        <v>0</v>
      </c>
      <c r="F7" s="193">
        <v>12.0</v>
      </c>
      <c r="G7" s="171">
        <f>SUMIFS(All_Stats!I:I,All_Stats!$A:$A,$B7,All_Stats!$B:$B,"Overall",All_Stats!$D:$D,"Total")</f>
        <v>0</v>
      </c>
      <c r="H7" s="193">
        <v>43.0</v>
      </c>
      <c r="I7" s="113">
        <f>SUMIFS(All_Stats!J:J,All_Stats!$A:$A,$B7,All_Stats!$B:$B,"Overall",All_Stats!$D:$D,"Total")</f>
        <v>0</v>
      </c>
      <c r="J7" s="113">
        <f t="shared" ref="J7:J368" si="3">D7-F7</f>
        <v>113</v>
      </c>
      <c r="K7" s="249" t="s">
        <v>18</v>
      </c>
      <c r="L7" s="245">
        <v>45341.0</v>
      </c>
      <c r="M7" s="245">
        <v>45362.0</v>
      </c>
      <c r="N7" s="2" t="s">
        <v>617</v>
      </c>
      <c r="S7" s="300" t="str">
        <f t="shared" ref="S7:S23" si="4">iferror(ifs(
K7="Closed","Closed",
K7="Paused","Paused",
UPPER(X7)="N/A","PRE",
X7="","N/A",
(_xlfn.NETWORKDAYS.INTL(X7,D$2)-1)/_xlfn.NETWORKDAYS.INTL(X7,M7)&lt;S$2,"PRE",
F7=0,"Underpacing",
O7-(F7+H7*(G7/(G7+F7)))/D7&gt;0.2,"Underpacing",
O7-(F7+H7*(G7/(G7+F7)))/D7&lt;=0.2,"On track")
,"N/A")</f>
        <v>On track</v>
      </c>
      <c r="T7" s="2" t="s">
        <v>92</v>
      </c>
      <c r="U7" s="162" t="s">
        <v>611</v>
      </c>
      <c r="V7" s="113">
        <f>COUNTIFS('Delivery Tracking'!E:E,B7)</f>
        <v>1</v>
      </c>
      <c r="W7" s="308">
        <f>SUMIFS(All_Stats!N:N,All_Stats!$A:$A,$B7,All_Stats!$B:$B,"Overall",All_Stats!$D:$D,"Total")</f>
        <v>0</v>
      </c>
      <c r="X7" s="245">
        <v>45341.0</v>
      </c>
      <c r="Y7" s="313" t="s">
        <v>612</v>
      </c>
      <c r="Z7" s="313" t="s">
        <v>612</v>
      </c>
    </row>
    <row r="8">
      <c r="A8" s="315" t="s">
        <v>616</v>
      </c>
      <c r="B8" s="316" t="s">
        <v>583</v>
      </c>
      <c r="C8" s="314"/>
      <c r="D8" s="162">
        <v>106.0</v>
      </c>
      <c r="E8" s="171">
        <f>SUMIFS(All_Stats!G:G,All_Stats!$A:$A,$B8,All_Stats!$B:$B,"Overall",All_Stats!$D:$D,"Total")</f>
        <v>0</v>
      </c>
      <c r="F8" s="193">
        <v>12.0</v>
      </c>
      <c r="G8" s="171">
        <f>SUMIFS(All_Stats!I:I,All_Stats!$A:$A,$B8,All_Stats!$B:$B,"Overall",All_Stats!$D:$D,"Total")</f>
        <v>0</v>
      </c>
      <c r="H8" s="193">
        <v>17.0</v>
      </c>
      <c r="I8" s="113">
        <f>SUMIFS(All_Stats!J:J,All_Stats!$A:$A,$B8,All_Stats!$B:$B,"Overall",All_Stats!$D:$D,"Total")</f>
        <v>0</v>
      </c>
      <c r="J8" s="113">
        <f t="shared" si="3"/>
        <v>94</v>
      </c>
      <c r="K8" s="249" t="s">
        <v>18</v>
      </c>
      <c r="L8" s="245">
        <v>45345.0</v>
      </c>
      <c r="M8" s="245">
        <v>45362.0</v>
      </c>
      <c r="N8" s="5" t="s">
        <v>618</v>
      </c>
      <c r="S8" s="300" t="str">
        <f t="shared" si="4"/>
        <v>On track</v>
      </c>
      <c r="T8" s="2" t="s">
        <v>67</v>
      </c>
      <c r="U8" s="162" t="s">
        <v>611</v>
      </c>
      <c r="V8" s="308">
        <f>COUNTIFS('Delivery Tracking'!E:E,B8)</f>
        <v>1</v>
      </c>
      <c r="W8" s="308">
        <f>SUMIFS(All_Stats!N:N,All_Stats!$A:$A,$B8,All_Stats!$B:$B,"Overall",All_Stats!$D:$D,"Total")</f>
        <v>0</v>
      </c>
      <c r="X8" s="245">
        <v>45345.0</v>
      </c>
      <c r="Y8" s="313" t="s">
        <v>612</v>
      </c>
      <c r="Z8" s="313" t="s">
        <v>612</v>
      </c>
    </row>
    <row r="9">
      <c r="A9" s="317" t="s">
        <v>619</v>
      </c>
      <c r="B9" s="318" t="s">
        <v>586</v>
      </c>
      <c r="C9" s="314"/>
      <c r="D9" s="162">
        <v>20.0</v>
      </c>
      <c r="E9" s="171">
        <f>SUMIFS(All_Stats!G:G,All_Stats!$A:$A,$B9,All_Stats!$B:$B,"Overall",All_Stats!$D:$D,"Total")</f>
        <v>0</v>
      </c>
      <c r="F9" s="193">
        <v>15.0</v>
      </c>
      <c r="G9" s="171">
        <f>SUMIFS(All_Stats!I:I,All_Stats!$A:$A,$B9,All_Stats!$B:$B,"Overall",All_Stats!$D:$D,"Total")</f>
        <v>0</v>
      </c>
      <c r="H9" s="319">
        <f>SUMIFS(All_Stats!J:J,All_Stats!$A:$A,$B9,All_Stats!$B:$B,"Overall",All_Stats!$D:$D,"Total")</f>
        <v>0</v>
      </c>
      <c r="I9" s="113">
        <f>SUMIFS(All_Stats!J:J,All_Stats!$A:$A,$B9,All_Stats!$B:$B,"Overall",All_Stats!$D:$D,"Total")</f>
        <v>0</v>
      </c>
      <c r="J9" s="113">
        <f t="shared" si="3"/>
        <v>5</v>
      </c>
      <c r="K9" s="249" t="s">
        <v>18</v>
      </c>
      <c r="L9" s="245">
        <v>45321.0</v>
      </c>
      <c r="M9" s="245">
        <v>45363.0</v>
      </c>
      <c r="N9" s="2" t="s">
        <v>620</v>
      </c>
      <c r="S9" s="300" t="str">
        <f t="shared" si="4"/>
        <v>On track</v>
      </c>
      <c r="T9" s="2" t="s">
        <v>111</v>
      </c>
      <c r="U9" s="162" t="s">
        <v>611</v>
      </c>
      <c r="V9" s="113">
        <f>COUNTIFS('Delivery Tracking'!E:E,B9)</f>
        <v>1</v>
      </c>
      <c r="W9" s="308">
        <f>SUMIFS(All_Stats!N:N,All_Stats!$A:$A,$B9,All_Stats!$B:$B,"Overall",All_Stats!$D:$D,"Total")</f>
        <v>0</v>
      </c>
      <c r="X9" s="245">
        <v>45322.0</v>
      </c>
      <c r="Y9" s="313" t="s">
        <v>612</v>
      </c>
      <c r="Z9" s="313" t="s">
        <v>612</v>
      </c>
    </row>
    <row r="10">
      <c r="A10" s="320" t="s">
        <v>619</v>
      </c>
      <c r="B10" s="175" t="s">
        <v>621</v>
      </c>
      <c r="C10" s="314"/>
      <c r="D10" s="162">
        <v>183.0</v>
      </c>
      <c r="E10" s="171">
        <f>SUMIFS(All_Stats!G:G,All_Stats!$A:$A,$B10,All_Stats!$B:$B,"Overall",All_Stats!$D:$D,"Total")</f>
        <v>0</v>
      </c>
      <c r="F10" s="193">
        <v>57.0</v>
      </c>
      <c r="G10" s="171">
        <f>SUMIFS(All_Stats!I:I,All_Stats!$A:$A,$B10,All_Stats!$B:$B,"Overall",All_Stats!$D:$D,"Total")</f>
        <v>0</v>
      </c>
      <c r="H10" s="193">
        <v>107.0</v>
      </c>
      <c r="I10" s="113">
        <f>SUMIFS(All_Stats!J:J,All_Stats!$A:$A,$B10,All_Stats!$B:$B,"Overall",All_Stats!$D:$D,"Total")</f>
        <v>0</v>
      </c>
      <c r="J10" s="113">
        <f t="shared" si="3"/>
        <v>126</v>
      </c>
      <c r="K10" s="249" t="s">
        <v>18</v>
      </c>
      <c r="L10" s="245">
        <v>45327.0</v>
      </c>
      <c r="M10" s="245">
        <v>45363.0</v>
      </c>
      <c r="N10" s="5" t="s">
        <v>622</v>
      </c>
      <c r="S10" s="300" t="str">
        <f t="shared" si="4"/>
        <v>On track</v>
      </c>
      <c r="T10" s="2" t="s">
        <v>166</v>
      </c>
      <c r="U10" s="162" t="s">
        <v>611</v>
      </c>
      <c r="V10" s="113">
        <f>COUNTIFS('Delivery Tracking'!E:E,B10)</f>
        <v>0</v>
      </c>
      <c r="W10" s="308">
        <f>SUMIFS(All_Stats!N:N,All_Stats!$A:$A,$B10,All_Stats!$B:$B,"Overall",All_Stats!$D:$D,"Total")</f>
        <v>0</v>
      </c>
      <c r="X10" s="245">
        <v>45327.0</v>
      </c>
      <c r="Y10" s="313" t="s">
        <v>612</v>
      </c>
      <c r="Z10" s="313" t="s">
        <v>612</v>
      </c>
    </row>
    <row r="11" hidden="1">
      <c r="A11" s="321" t="s">
        <v>623</v>
      </c>
      <c r="B11" s="322" t="s">
        <v>520</v>
      </c>
      <c r="C11" s="306"/>
      <c r="D11" s="162">
        <v>5.0</v>
      </c>
      <c r="E11" s="171">
        <f>SUMIFS(All_Stats!G:G,All_Stats!$A:$A,$B11,All_Stats!$B:$B,"Overall",All_Stats!$D:$D,"Total")</f>
        <v>0</v>
      </c>
      <c r="F11" s="113">
        <f>SUMIFS(All_Stats!H:H,All_Stats!$A:$A,$B11,All_Stats!$B:$B,"Overall",All_Stats!$D:$D,"Total")</f>
        <v>0</v>
      </c>
      <c r="G11" s="171">
        <f>SUMIFS(All_Stats!I:I,All_Stats!$A:$A,$B11,All_Stats!$B:$B,"Overall",All_Stats!$D:$D,"Total")</f>
        <v>0</v>
      </c>
      <c r="H11" s="113">
        <f>SUMIFS(All_Stats!K:K,All_Stats!$A:$A,$B11,All_Stats!$B:$B,"Overall",All_Stats!$D:$D,"Total")</f>
        <v>0</v>
      </c>
      <c r="I11" s="113">
        <f>SUMIFS(All_Stats!J:J,All_Stats!$A:$A,$B11,All_Stats!$B:$B,"Overall",All_Stats!$D:$D,"Total")</f>
        <v>0</v>
      </c>
      <c r="J11" s="113">
        <f t="shared" si="3"/>
        <v>5</v>
      </c>
      <c r="K11" s="249" t="s">
        <v>57</v>
      </c>
      <c r="L11" s="323">
        <v>44473.0</v>
      </c>
      <c r="M11" s="245">
        <v>44533.0</v>
      </c>
      <c r="N11" s="324"/>
      <c r="O11" s="310">
        <f t="shared" ref="O11:O368" si="6">(_xlfn.NETWORKDAYS.INTL(L11,D$2)-1)/_xlfn.NETWORKDAYS.INTL(L11,M11)</f>
        <v>26.08888889</v>
      </c>
      <c r="P11" s="311">
        <f t="shared" ref="P11:Q11" si="5">F11/D11</f>
        <v>0</v>
      </c>
      <c r="Q11" s="325" t="str">
        <f t="shared" si="5"/>
        <v>#DIV/0!</v>
      </c>
      <c r="R11" s="311">
        <f t="shared" ref="R11:R368" si="8">E11/D11</f>
        <v>0</v>
      </c>
      <c r="S11" s="300" t="str">
        <f t="shared" si="4"/>
        <v>Closed</v>
      </c>
      <c r="T11" s="2" t="s">
        <v>21</v>
      </c>
      <c r="U11" s="162" t="s">
        <v>611</v>
      </c>
      <c r="V11" s="113">
        <f>COUNTIFS('Delivery Tracking'!E:E,B11)</f>
        <v>0</v>
      </c>
      <c r="W11" s="113">
        <f>SUMIFS(All_Stats!N:N,All_Stats!$A:$A,$B11,All_Stats!$B:$B,"Overall",All_Stats!$D:$D,"Total")</f>
        <v>0</v>
      </c>
      <c r="X11" s="245">
        <v>44473.0</v>
      </c>
      <c r="Y11" s="301"/>
      <c r="Z11" s="326"/>
    </row>
    <row r="12" hidden="1">
      <c r="A12" s="327" t="s">
        <v>624</v>
      </c>
      <c r="B12" s="328" t="s">
        <v>625</v>
      </c>
      <c r="C12" s="184"/>
      <c r="D12" s="162">
        <v>50.0</v>
      </c>
      <c r="E12" s="171">
        <f>SUMIFS(All_Stats!G:G,All_Stats!$A:$A,$B12,All_Stats!$B:$B,"Overall",All_Stats!$D:$D,"Total")</f>
        <v>0</v>
      </c>
      <c r="F12" s="113">
        <f>SUMIFS(All_Stats!H:H,All_Stats!$A:$A,$B12,All_Stats!$B:$B,"Overall",All_Stats!$D:$D,"Total")</f>
        <v>0</v>
      </c>
      <c r="G12" s="171">
        <f>SUMIFS(All_Stats!I:I,All_Stats!$A:$A,$B12,All_Stats!$B:$B,"Overall",All_Stats!$D:$D,"Total")</f>
        <v>0</v>
      </c>
      <c r="H12" s="113">
        <f>SUMIFS(All_Stats!K:K,All_Stats!$A:$A,$B12,All_Stats!$B:$B,"Overall",All_Stats!$D:$D,"Total")</f>
        <v>0</v>
      </c>
      <c r="I12" s="113">
        <f>SUMIFS(All_Stats!J:J,All_Stats!$A:$A,$B12,All_Stats!$B:$B,"Overall",All_Stats!$D:$D,"Total")</f>
        <v>0</v>
      </c>
      <c r="J12" s="113">
        <f t="shared" si="3"/>
        <v>50</v>
      </c>
      <c r="K12" s="249" t="s">
        <v>57</v>
      </c>
      <c r="L12" s="245">
        <v>44553.0</v>
      </c>
      <c r="M12" s="245">
        <v>44558.0</v>
      </c>
      <c r="N12" s="15"/>
      <c r="O12" s="310">
        <f t="shared" si="6"/>
        <v>279</v>
      </c>
      <c r="P12" s="311">
        <f t="shared" ref="P12:Q12" si="7">F12/D12</f>
        <v>0</v>
      </c>
      <c r="Q12" s="325" t="str">
        <f t="shared" si="7"/>
        <v>#DIV/0!</v>
      </c>
      <c r="R12" s="311">
        <f t="shared" si="8"/>
        <v>0</v>
      </c>
      <c r="S12" s="300" t="str">
        <f t="shared" si="4"/>
        <v>Closed</v>
      </c>
      <c r="T12" s="2" t="s">
        <v>166</v>
      </c>
      <c r="U12" s="162" t="s">
        <v>611</v>
      </c>
      <c r="V12" s="113">
        <f>COUNTIFS('Delivery Tracking'!E:E,B12)</f>
        <v>0</v>
      </c>
      <c r="W12" s="113">
        <f>SUMIFS(All_Stats!N:N,All_Stats!$A:$A,$B12,All_Stats!$B:$B,"Overall",All_Stats!$D:$D,"Total")</f>
        <v>0</v>
      </c>
      <c r="X12" s="323">
        <v>44553.0</v>
      </c>
      <c r="Y12" s="329"/>
      <c r="Z12" s="326"/>
    </row>
    <row r="13" hidden="1">
      <c r="A13" s="330" t="s">
        <v>626</v>
      </c>
      <c r="B13" s="175" t="s">
        <v>627</v>
      </c>
      <c r="C13" s="306"/>
      <c r="D13" s="162">
        <v>282.0</v>
      </c>
      <c r="E13" s="171">
        <f>SUMIFS(All_Stats!G:G,All_Stats!$A:$A,$B13,All_Stats!$B:$B,"Overall",All_Stats!$D:$D,"Total")</f>
        <v>0</v>
      </c>
      <c r="F13" s="113">
        <f>SUMIFS(All_Stats!H:H,All_Stats!$A:$A,$B13,All_Stats!$B:$B,"Overall",All_Stats!$D:$D,"Total")</f>
        <v>0</v>
      </c>
      <c r="G13" s="171">
        <f>SUMIFS(All_Stats!I:I,All_Stats!$A:$A,$B13,All_Stats!$B:$B,"Overall",All_Stats!$D:$D,"Total")</f>
        <v>0</v>
      </c>
      <c r="H13" s="113">
        <f>SUMIFS(All_Stats!K:K,All_Stats!$A:$A,$B13,All_Stats!$B:$B,"Overall",All_Stats!$D:$D,"Total")</f>
        <v>0</v>
      </c>
      <c r="I13" s="113">
        <f>SUMIFS(All_Stats!J:J,All_Stats!$A:$A,$B13,All_Stats!$B:$B,"Overall",All_Stats!$D:$D,"Total")</f>
        <v>0</v>
      </c>
      <c r="J13" s="113">
        <f t="shared" si="3"/>
        <v>282</v>
      </c>
      <c r="K13" s="249" t="s">
        <v>57</v>
      </c>
      <c r="L13" s="245">
        <v>44476.0</v>
      </c>
      <c r="M13" s="245">
        <v>44547.0</v>
      </c>
      <c r="N13" s="331"/>
      <c r="O13" s="310">
        <f t="shared" si="6"/>
        <v>22.51923077</v>
      </c>
      <c r="P13" s="311">
        <f t="shared" ref="P13:Q13" si="9">F13/D13</f>
        <v>0</v>
      </c>
      <c r="Q13" s="325" t="str">
        <f t="shared" si="9"/>
        <v>#DIV/0!</v>
      </c>
      <c r="R13" s="311">
        <f t="shared" si="8"/>
        <v>0</v>
      </c>
      <c r="S13" s="300" t="str">
        <f t="shared" si="4"/>
        <v>Closed</v>
      </c>
      <c r="T13" s="2" t="s">
        <v>111</v>
      </c>
      <c r="U13" s="162" t="s">
        <v>611</v>
      </c>
      <c r="V13" s="113">
        <f>COUNTIFS('Delivery Tracking'!E:E,B13)</f>
        <v>0</v>
      </c>
      <c r="W13" s="113">
        <f>SUMIFS(All_Stats!N:N,All_Stats!$A:$A,$B13,All_Stats!$B:$B,"Overall",All_Stats!$D:$D,"Total")</f>
        <v>0</v>
      </c>
      <c r="X13" s="245">
        <v>44477.0</v>
      </c>
      <c r="Y13" s="301"/>
      <c r="Z13" s="326"/>
    </row>
    <row r="14" hidden="1">
      <c r="A14" s="330" t="s">
        <v>628</v>
      </c>
      <c r="B14" s="175" t="s">
        <v>629</v>
      </c>
      <c r="C14" s="184"/>
      <c r="D14" s="162">
        <v>40.0</v>
      </c>
      <c r="E14" s="171">
        <f>SUMIFS(All_Stats!G:G,All_Stats!$A:$A,$B14,All_Stats!$B:$B,"Overall",All_Stats!$D:$D,"Total")</f>
        <v>0</v>
      </c>
      <c r="F14" s="113">
        <f>SUMIFS(All_Stats!H:H,All_Stats!$A:$A,$B14,All_Stats!$B:$B,"Overall",All_Stats!$D:$D,"Total")</f>
        <v>0</v>
      </c>
      <c r="G14" s="171">
        <f>SUMIFS(All_Stats!I:I,All_Stats!$A:$A,$B14,All_Stats!$B:$B,"Overall",All_Stats!$D:$D,"Total")</f>
        <v>0</v>
      </c>
      <c r="H14" s="113">
        <f>SUMIFS(All_Stats!K:K,All_Stats!$A:$A,$B14,All_Stats!$B:$B,"Overall",All_Stats!$D:$D,"Total")</f>
        <v>0</v>
      </c>
      <c r="I14" s="113">
        <f>SUMIFS(All_Stats!J:J,All_Stats!$A:$A,$B14,All_Stats!$B:$B,"Overall",All_Stats!$D:$D,"Total")</f>
        <v>0</v>
      </c>
      <c r="J14" s="113">
        <f t="shared" si="3"/>
        <v>40</v>
      </c>
      <c r="K14" s="249" t="s">
        <v>57</v>
      </c>
      <c r="L14" s="323">
        <v>44544.0</v>
      </c>
      <c r="M14" s="332">
        <v>44565.0</v>
      </c>
      <c r="N14" s="177"/>
      <c r="O14" s="310">
        <f t="shared" si="6"/>
        <v>70.1875</v>
      </c>
      <c r="P14" s="311">
        <f t="shared" ref="P14:Q14" si="10">F14/D14</f>
        <v>0</v>
      </c>
      <c r="Q14" s="325" t="str">
        <f t="shared" si="10"/>
        <v>#DIV/0!</v>
      </c>
      <c r="R14" s="311">
        <f t="shared" si="8"/>
        <v>0</v>
      </c>
      <c r="S14" s="300" t="str">
        <f t="shared" si="4"/>
        <v>Closed</v>
      </c>
      <c r="T14" s="2" t="s">
        <v>67</v>
      </c>
      <c r="U14" s="162" t="s">
        <v>611</v>
      </c>
      <c r="V14" s="113">
        <f>COUNTIFS('Delivery Tracking'!E:E,B14)</f>
        <v>0</v>
      </c>
      <c r="W14" s="113">
        <f>SUMIFS(All_Stats!N:N,All_Stats!$A:$A,$B14,All_Stats!$B:$B,"Overall",All_Stats!$D:$D,"Total")</f>
        <v>0</v>
      </c>
      <c r="X14" s="245">
        <v>44544.0</v>
      </c>
      <c r="Y14" s="301"/>
      <c r="Z14" s="326"/>
    </row>
    <row r="15" hidden="1">
      <c r="A15" s="330" t="s">
        <v>630</v>
      </c>
      <c r="B15" s="328" t="s">
        <v>631</v>
      </c>
      <c r="C15" s="184"/>
      <c r="D15" s="162">
        <v>200.0</v>
      </c>
      <c r="E15" s="171">
        <f>SUMIFS(All_Stats!G:G,All_Stats!$A:$A,$B15,All_Stats!$B:$B,"Overall",All_Stats!$D:$D,"Total")</f>
        <v>0</v>
      </c>
      <c r="F15" s="113">
        <f>SUMIFS(All_Stats!H:H,All_Stats!$A:$A,$B15,All_Stats!$B:$B,"Overall",All_Stats!$D:$D,"Total")</f>
        <v>0</v>
      </c>
      <c r="G15" s="171">
        <f>SUMIFS(All_Stats!I:I,All_Stats!$A:$A,$B15,All_Stats!$B:$B,"Overall",All_Stats!$D:$D,"Total")</f>
        <v>0</v>
      </c>
      <c r="H15" s="113">
        <f>SUMIFS(All_Stats!K:K,All_Stats!$A:$A,$B15,All_Stats!$B:$B,"Overall",All_Stats!$D:$D,"Total")</f>
        <v>0</v>
      </c>
      <c r="I15" s="113">
        <f>SUMIFS(All_Stats!J:J,All_Stats!$A:$A,$B15,All_Stats!$B:$B,"Overall",All_Stats!$D:$D,"Total")</f>
        <v>0</v>
      </c>
      <c r="J15" s="113">
        <f t="shared" si="3"/>
        <v>200</v>
      </c>
      <c r="K15" s="249" t="s">
        <v>57</v>
      </c>
      <c r="L15" s="323">
        <v>44544.0</v>
      </c>
      <c r="M15" s="332">
        <v>44550.0</v>
      </c>
      <c r="N15" s="333" t="s">
        <v>632</v>
      </c>
      <c r="O15" s="310">
        <f t="shared" si="6"/>
        <v>224.6</v>
      </c>
      <c r="P15" s="311">
        <f t="shared" ref="P15:Q15" si="11">F15/D15</f>
        <v>0</v>
      </c>
      <c r="Q15" s="325" t="str">
        <f t="shared" si="11"/>
        <v>#DIV/0!</v>
      </c>
      <c r="R15" s="311">
        <f t="shared" si="8"/>
        <v>0</v>
      </c>
      <c r="S15" s="300" t="str">
        <f t="shared" si="4"/>
        <v>Closed</v>
      </c>
      <c r="T15" s="2" t="s">
        <v>166</v>
      </c>
      <c r="U15" s="162" t="s">
        <v>611</v>
      </c>
      <c r="V15" s="113">
        <f>COUNTIFS('Delivery Tracking'!E:E,B15)</f>
        <v>0</v>
      </c>
      <c r="W15" s="113">
        <f>SUMIFS(All_Stats!N:N,All_Stats!$A:$A,$B15,All_Stats!$B:$B,"Overall",All_Stats!$D:$D,"Total")</f>
        <v>0</v>
      </c>
      <c r="X15" s="245">
        <v>44544.0</v>
      </c>
      <c r="Y15" s="301"/>
      <c r="Z15" s="326"/>
    </row>
    <row r="16" hidden="1">
      <c r="A16" s="334" t="s">
        <v>633</v>
      </c>
      <c r="B16" s="335" t="s">
        <v>634</v>
      </c>
      <c r="C16" s="306"/>
      <c r="D16" s="162">
        <v>100.0</v>
      </c>
      <c r="E16" s="171">
        <f>SUMIFS(All_Stats!G:G,All_Stats!$A:$A,$B16,All_Stats!$B:$B,"Overall",All_Stats!$D:$D,"Total")</f>
        <v>0</v>
      </c>
      <c r="F16" s="113">
        <f>SUMIFS(All_Stats!H:H,All_Stats!$A:$A,$B16,All_Stats!$B:$B,"Overall",All_Stats!$D:$D,"Total")</f>
        <v>0</v>
      </c>
      <c r="G16" s="171">
        <f>SUMIFS(All_Stats!I:I,All_Stats!$A:$A,$B16,All_Stats!$B:$B,"Overall",All_Stats!$D:$D,"Total")</f>
        <v>0</v>
      </c>
      <c r="H16" s="113">
        <f>SUMIFS(All_Stats!K:K,All_Stats!$A:$A,$B16,All_Stats!$B:$B,"Overall",All_Stats!$D:$D,"Total")</f>
        <v>0</v>
      </c>
      <c r="I16" s="113">
        <f>SUMIFS(All_Stats!J:J,All_Stats!$A:$A,$B16,All_Stats!$B:$B,"Overall",All_Stats!$D:$D,"Total")</f>
        <v>0</v>
      </c>
      <c r="J16" s="113">
        <f t="shared" si="3"/>
        <v>100</v>
      </c>
      <c r="K16" s="249" t="s">
        <v>57</v>
      </c>
      <c r="L16" s="323">
        <v>44508.0</v>
      </c>
      <c r="M16" s="245">
        <v>44547.0</v>
      </c>
      <c r="O16" s="310">
        <f t="shared" si="6"/>
        <v>38.3</v>
      </c>
      <c r="P16" s="311">
        <f t="shared" ref="P16:Q16" si="12">F16/D16</f>
        <v>0</v>
      </c>
      <c r="Q16" s="325" t="str">
        <f t="shared" si="12"/>
        <v>#DIV/0!</v>
      </c>
      <c r="R16" s="311">
        <f t="shared" si="8"/>
        <v>0</v>
      </c>
      <c r="S16" s="300" t="str">
        <f t="shared" si="4"/>
        <v>Closed</v>
      </c>
      <c r="T16" s="2" t="s">
        <v>80</v>
      </c>
      <c r="U16" s="162" t="s">
        <v>611</v>
      </c>
      <c r="V16" s="113">
        <f>COUNTIFS('Delivery Tracking'!E:E,B16)</f>
        <v>0</v>
      </c>
      <c r="W16" s="113">
        <f>SUMIFS(All_Stats!N:N,All_Stats!$A:$A,$B16,All_Stats!$B:$B,"Overall",All_Stats!$D:$D,"Total")</f>
        <v>0</v>
      </c>
      <c r="X16" s="336">
        <v>44511.0</v>
      </c>
      <c r="Y16" s="337"/>
      <c r="Z16" s="326"/>
    </row>
    <row r="17" hidden="1">
      <c r="A17" s="338" t="s">
        <v>635</v>
      </c>
      <c r="B17" s="339" t="s">
        <v>636</v>
      </c>
      <c r="C17" s="306"/>
      <c r="D17" s="162">
        <v>90.0</v>
      </c>
      <c r="E17" s="171">
        <f>SUMIFS(All_Stats!G:G,All_Stats!$A:$A,$B17,All_Stats!$B:$B,"Overall",All_Stats!$D:$D,"Total")</f>
        <v>0</v>
      </c>
      <c r="F17" s="113">
        <f>SUMIFS(All_Stats!H:H,All_Stats!$A:$A,$B17,All_Stats!$B:$B,"Overall",All_Stats!$D:$D,"Total")</f>
        <v>0</v>
      </c>
      <c r="G17" s="171">
        <f>SUMIFS(All_Stats!I:I,All_Stats!$A:$A,$B17,All_Stats!$B:$B,"Overall",All_Stats!$D:$D,"Total")</f>
        <v>0</v>
      </c>
      <c r="H17" s="113">
        <f>SUMIFS(All_Stats!K:K,All_Stats!$A:$A,$B17,All_Stats!$B:$B,"Overall",All_Stats!$D:$D,"Total")</f>
        <v>0</v>
      </c>
      <c r="I17" s="113">
        <f>SUMIFS(All_Stats!J:J,All_Stats!$A:$A,$B17,All_Stats!$B:$B,"Overall",All_Stats!$D:$D,"Total")</f>
        <v>0</v>
      </c>
      <c r="J17" s="113">
        <f t="shared" si="3"/>
        <v>90</v>
      </c>
      <c r="K17" s="249" t="s">
        <v>57</v>
      </c>
      <c r="L17" s="245">
        <v>44309.0</v>
      </c>
      <c r="M17" s="332">
        <v>44553.0</v>
      </c>
      <c r="O17" s="310">
        <f t="shared" si="6"/>
        <v>7.371428571</v>
      </c>
      <c r="P17" s="311">
        <f t="shared" ref="P17:Q17" si="13">F17/D17</f>
        <v>0</v>
      </c>
      <c r="Q17" s="325" t="str">
        <f t="shared" si="13"/>
        <v>#DIV/0!</v>
      </c>
      <c r="R17" s="311">
        <f t="shared" si="8"/>
        <v>0</v>
      </c>
      <c r="S17" s="300" t="str">
        <f t="shared" si="4"/>
        <v>Closed</v>
      </c>
      <c r="T17" s="2" t="s">
        <v>80</v>
      </c>
      <c r="U17" s="162" t="s">
        <v>611</v>
      </c>
      <c r="V17" s="113">
        <f>COUNTIFS('Delivery Tracking'!E:E,B17)</f>
        <v>0</v>
      </c>
      <c r="W17" s="113">
        <f>SUMIFS(All_Stats!N:N,All_Stats!$A:$A,$B17,All_Stats!$B:$B,"Overall",All_Stats!$D:$D,"Total")</f>
        <v>0</v>
      </c>
      <c r="X17" s="245">
        <v>44329.0</v>
      </c>
      <c r="Y17" s="301"/>
      <c r="Z17" s="326"/>
    </row>
    <row r="18" hidden="1">
      <c r="A18" s="340" t="s">
        <v>637</v>
      </c>
      <c r="B18" s="341" t="s">
        <v>638</v>
      </c>
      <c r="C18" s="306"/>
      <c r="D18" s="162">
        <v>30.0</v>
      </c>
      <c r="E18" s="171">
        <f>SUMIFS(All_Stats!G:G,All_Stats!$A:$A,$B18,All_Stats!$B:$B,"Overall",All_Stats!$D:$D,"Total")</f>
        <v>0</v>
      </c>
      <c r="F18" s="113">
        <f>SUMIFS(All_Stats!H:H,All_Stats!$A:$A,$B18,All_Stats!$B:$B,"Overall",All_Stats!$D:$D,"Total")</f>
        <v>0</v>
      </c>
      <c r="G18" s="171">
        <f>SUMIFS(All_Stats!I:I,All_Stats!$A:$A,$B18,All_Stats!$B:$B,"Overall",All_Stats!$D:$D,"Total")</f>
        <v>0</v>
      </c>
      <c r="H18" s="113">
        <f>SUMIFS(All_Stats!K:K,All_Stats!$A:$A,$B18,All_Stats!$B:$B,"Overall",All_Stats!$D:$D,"Total")</f>
        <v>0</v>
      </c>
      <c r="I18" s="113">
        <f>SUMIFS(All_Stats!J:J,All_Stats!$A:$A,$B18,All_Stats!$B:$B,"Overall",All_Stats!$D:$D,"Total")</f>
        <v>0</v>
      </c>
      <c r="J18" s="113">
        <f t="shared" si="3"/>
        <v>30</v>
      </c>
      <c r="K18" s="249" t="s">
        <v>57</v>
      </c>
      <c r="L18" s="245">
        <v>44536.0</v>
      </c>
      <c r="M18" s="245">
        <v>44557.0</v>
      </c>
      <c r="N18" s="2"/>
      <c r="O18" s="310">
        <f t="shared" si="6"/>
        <v>70.5625</v>
      </c>
      <c r="P18" s="311">
        <f t="shared" ref="P18:Q18" si="14">F18/D18</f>
        <v>0</v>
      </c>
      <c r="Q18" s="325" t="str">
        <f t="shared" si="14"/>
        <v>#DIV/0!</v>
      </c>
      <c r="R18" s="311">
        <f t="shared" si="8"/>
        <v>0</v>
      </c>
      <c r="S18" s="300" t="str">
        <f t="shared" si="4"/>
        <v>Closed</v>
      </c>
      <c r="T18" s="2" t="s">
        <v>153</v>
      </c>
      <c r="U18" s="162" t="s">
        <v>611</v>
      </c>
      <c r="V18" s="113">
        <f>COUNTIFS('Delivery Tracking'!E:E,B18)</f>
        <v>0</v>
      </c>
      <c r="W18" s="113">
        <f>SUMIFS(All_Stats!N:N,All_Stats!$A:$A,$B18,All_Stats!$B:$B,"Overall",All_Stats!$D:$D,"Total")</f>
        <v>0</v>
      </c>
      <c r="X18" s="245">
        <v>44536.0</v>
      </c>
      <c r="Y18" s="301"/>
      <c r="Z18" s="326"/>
    </row>
    <row r="19" hidden="1">
      <c r="A19" s="334" t="s">
        <v>639</v>
      </c>
      <c r="B19" s="342" t="s">
        <v>640</v>
      </c>
      <c r="C19" s="306"/>
      <c r="D19" s="162">
        <v>50.0</v>
      </c>
      <c r="E19" s="171">
        <f>SUMIFS(All_Stats!G:G,All_Stats!$A:$A,$B19,All_Stats!$B:$B,"Overall",All_Stats!$D:$D,"Total")</f>
        <v>0</v>
      </c>
      <c r="F19" s="113">
        <f>SUMIFS(All_Stats!H:H,All_Stats!$A:$A,$B19,All_Stats!$B:$B,"Overall",All_Stats!$D:$D,"Total")</f>
        <v>0</v>
      </c>
      <c r="G19" s="171">
        <f>SUMIFS(All_Stats!I:I,All_Stats!$A:$A,$B19,All_Stats!$B:$B,"Overall",All_Stats!$D:$D,"Total")</f>
        <v>0</v>
      </c>
      <c r="H19" s="113">
        <f>SUMIFS(All_Stats!K:K,All_Stats!$A:$A,$B19,All_Stats!$B:$B,"Overall",All_Stats!$D:$D,"Total")</f>
        <v>0</v>
      </c>
      <c r="I19" s="113">
        <f>SUMIFS(All_Stats!J:J,All_Stats!$A:$A,$B19,All_Stats!$B:$B,"Overall",All_Stats!$D:$D,"Total")</f>
        <v>0</v>
      </c>
      <c r="J19" s="113">
        <f t="shared" si="3"/>
        <v>50</v>
      </c>
      <c r="K19" s="249" t="s">
        <v>57</v>
      </c>
      <c r="L19" s="323">
        <v>44517.0</v>
      </c>
      <c r="M19" s="245">
        <v>44571.0</v>
      </c>
      <c r="N19" s="2"/>
      <c r="O19" s="310">
        <f t="shared" si="6"/>
        <v>29.28205128</v>
      </c>
      <c r="P19" s="311">
        <f t="shared" ref="P19:Q19" si="15">F19/D19</f>
        <v>0</v>
      </c>
      <c r="Q19" s="325" t="str">
        <f t="shared" si="15"/>
        <v>#DIV/0!</v>
      </c>
      <c r="R19" s="311">
        <f t="shared" si="8"/>
        <v>0</v>
      </c>
      <c r="S19" s="300" t="str">
        <f t="shared" si="4"/>
        <v>Closed</v>
      </c>
      <c r="T19" s="2" t="s">
        <v>153</v>
      </c>
      <c r="U19" s="162" t="s">
        <v>611</v>
      </c>
      <c r="V19" s="113">
        <f>COUNTIFS('Delivery Tracking'!E:E,B19)</f>
        <v>0</v>
      </c>
      <c r="W19" s="113">
        <f>SUMIFS(All_Stats!N:N,All_Stats!$A:$A,$B19,All_Stats!$B:$B,"Overall",All_Stats!$D:$D,"Total")</f>
        <v>0</v>
      </c>
      <c r="X19" s="245">
        <v>44517.0</v>
      </c>
      <c r="Y19" s="301"/>
      <c r="Z19" s="326"/>
    </row>
    <row r="20" hidden="1">
      <c r="A20" s="334" t="s">
        <v>626</v>
      </c>
      <c r="B20" s="328" t="s">
        <v>641</v>
      </c>
      <c r="C20" s="184"/>
      <c r="D20" s="162">
        <v>200.0</v>
      </c>
      <c r="E20" s="171">
        <f>SUMIFS(All_Stats!G:G,All_Stats!$A:$A,$B20,All_Stats!$B:$B,"Overall",All_Stats!$D:$D,"Total")</f>
        <v>0</v>
      </c>
      <c r="F20" s="113">
        <f>SUMIFS(All_Stats!H:H,All_Stats!$A:$A,$B20,All_Stats!$B:$B,"Overall",All_Stats!$D:$D,"Total")</f>
        <v>0</v>
      </c>
      <c r="G20" s="171">
        <f>SUMIFS(All_Stats!I:I,All_Stats!$A:$A,$B20,All_Stats!$B:$B,"Overall",All_Stats!$D:$D,"Total")</f>
        <v>0</v>
      </c>
      <c r="H20" s="113">
        <f>SUMIFS(All_Stats!K:K,All_Stats!$A:$A,$B20,All_Stats!$B:$B,"Overall",All_Stats!$D:$D,"Total")</f>
        <v>0</v>
      </c>
      <c r="I20" s="113">
        <f>SUMIFS(All_Stats!J:J,All_Stats!$A:$A,$B20,All_Stats!$B:$B,"Overall",All_Stats!$D:$D,"Total")</f>
        <v>0</v>
      </c>
      <c r="J20" s="113">
        <f t="shared" si="3"/>
        <v>200</v>
      </c>
      <c r="K20" s="249" t="s">
        <v>57</v>
      </c>
      <c r="L20" s="252">
        <v>44544.0</v>
      </c>
      <c r="M20" s="245">
        <v>44547.0</v>
      </c>
      <c r="O20" s="310">
        <f t="shared" si="6"/>
        <v>280.75</v>
      </c>
      <c r="P20" s="311">
        <f t="shared" ref="P20:Q20" si="16">F20/D20</f>
        <v>0</v>
      </c>
      <c r="Q20" s="325" t="str">
        <f t="shared" si="16"/>
        <v>#DIV/0!</v>
      </c>
      <c r="R20" s="311">
        <f t="shared" si="8"/>
        <v>0</v>
      </c>
      <c r="S20" s="300" t="str">
        <f t="shared" si="4"/>
        <v>Closed</v>
      </c>
      <c r="T20" s="2" t="s">
        <v>111</v>
      </c>
      <c r="U20" s="162" t="s">
        <v>611</v>
      </c>
      <c r="V20" s="113">
        <f>COUNTIFS('Delivery Tracking'!E:E,B20)</f>
        <v>0</v>
      </c>
      <c r="W20" s="113">
        <f>SUMIFS(All_Stats!N:N,All_Stats!$A:$A,$B20,All_Stats!$B:$B,"Overall",All_Stats!$D:$D,"Total")</f>
        <v>0</v>
      </c>
      <c r="X20" s="252">
        <v>44544.0</v>
      </c>
      <c r="Y20" s="343"/>
      <c r="Z20" s="326"/>
    </row>
    <row r="21" hidden="1">
      <c r="A21" s="344" t="s">
        <v>642</v>
      </c>
      <c r="B21" s="345" t="s">
        <v>643</v>
      </c>
      <c r="C21" s="306"/>
      <c r="D21" s="162">
        <v>25.0</v>
      </c>
      <c r="E21" s="171">
        <f>SUMIFS(All_Stats!G:G,All_Stats!$A:$A,$B21,All_Stats!$B:$B,"Overall",All_Stats!$D:$D,"Total")</f>
        <v>0</v>
      </c>
      <c r="F21" s="113">
        <f>SUMIFS(All_Stats!H:H,All_Stats!$A:$A,$B21,All_Stats!$B:$B,"Overall",All_Stats!$D:$D,"Total")</f>
        <v>0</v>
      </c>
      <c r="G21" s="171">
        <f>SUMIFS(All_Stats!I:I,All_Stats!$A:$A,$B21,All_Stats!$B:$B,"Overall",All_Stats!$D:$D,"Total")</f>
        <v>0</v>
      </c>
      <c r="H21" s="113">
        <f>SUMIFS(All_Stats!K:K,All_Stats!$A:$A,$B21,All_Stats!$B:$B,"Overall",All_Stats!$D:$D,"Total")</f>
        <v>0</v>
      </c>
      <c r="I21" s="113">
        <f>SUMIFS(All_Stats!J:J,All_Stats!$A:$A,$B21,All_Stats!$B:$B,"Overall",All_Stats!$D:$D,"Total")</f>
        <v>0</v>
      </c>
      <c r="J21" s="113">
        <f t="shared" si="3"/>
        <v>25</v>
      </c>
      <c r="K21" s="249" t="s">
        <v>57</v>
      </c>
      <c r="L21" s="245">
        <v>44467.0</v>
      </c>
      <c r="M21" s="332">
        <v>44551.0</v>
      </c>
      <c r="N21" s="177"/>
      <c r="O21" s="310">
        <f t="shared" si="6"/>
        <v>19.31147541</v>
      </c>
      <c r="P21" s="311">
        <f t="shared" ref="P21:Q21" si="17">F21/D21</f>
        <v>0</v>
      </c>
      <c r="Q21" s="325" t="str">
        <f t="shared" si="17"/>
        <v>#DIV/0!</v>
      </c>
      <c r="R21" s="311">
        <f t="shared" si="8"/>
        <v>0</v>
      </c>
      <c r="S21" s="300" t="str">
        <f t="shared" si="4"/>
        <v>Closed</v>
      </c>
      <c r="T21" s="2" t="s">
        <v>111</v>
      </c>
      <c r="U21" s="162" t="s">
        <v>611</v>
      </c>
      <c r="V21" s="113">
        <f>COUNTIFS('Delivery Tracking'!E:E,B21)</f>
        <v>0</v>
      </c>
      <c r="W21" s="113">
        <f>SUMIFS(All_Stats!N:N,All_Stats!$A:$A,$B21,All_Stats!$B:$B,"Overall",All_Stats!$D:$D,"Total")</f>
        <v>0</v>
      </c>
      <c r="X21" s="245">
        <v>44468.0</v>
      </c>
      <c r="Y21" s="301"/>
      <c r="Z21" s="326"/>
    </row>
    <row r="22" hidden="1">
      <c r="A22" s="338" t="s">
        <v>637</v>
      </c>
      <c r="B22" s="175" t="s">
        <v>644</v>
      </c>
      <c r="C22" s="306"/>
      <c r="D22" s="162">
        <v>10.0</v>
      </c>
      <c r="E22" s="171">
        <f>SUMIFS(All_Stats!G:G,All_Stats!$A:$A,$B22,All_Stats!$B:$B,"Overall",All_Stats!$D:$D,"Total")</f>
        <v>0</v>
      </c>
      <c r="F22" s="113">
        <f>SUMIFS(All_Stats!H:H,All_Stats!$A:$A,$B22,All_Stats!$B:$B,"Overall",All_Stats!$D:$D,"Total")</f>
        <v>0</v>
      </c>
      <c r="G22" s="171">
        <f>SUMIFS(All_Stats!I:I,All_Stats!$A:$A,$B22,All_Stats!$B:$B,"Overall",All_Stats!$D:$D,"Total")</f>
        <v>0</v>
      </c>
      <c r="H22" s="113">
        <f>SUMIFS(All_Stats!K:K,All_Stats!$A:$A,$B22,All_Stats!$B:$B,"Overall",All_Stats!$D:$D,"Total")</f>
        <v>0</v>
      </c>
      <c r="I22" s="113">
        <f>SUMIFS(All_Stats!J:J,All_Stats!$A:$A,$B22,All_Stats!$B:$B,"Overall",All_Stats!$D:$D,"Total")</f>
        <v>0</v>
      </c>
      <c r="J22" s="113">
        <f t="shared" si="3"/>
        <v>10</v>
      </c>
      <c r="K22" s="249" t="s">
        <v>57</v>
      </c>
      <c r="L22" s="323">
        <v>44536.0</v>
      </c>
      <c r="M22" s="245">
        <v>44547.0</v>
      </c>
      <c r="O22" s="310">
        <f t="shared" si="6"/>
        <v>112.9</v>
      </c>
      <c r="P22" s="311">
        <f t="shared" ref="P22:Q22" si="18">F22/D22</f>
        <v>0</v>
      </c>
      <c r="Q22" s="325" t="str">
        <f t="shared" si="18"/>
        <v>#DIV/0!</v>
      </c>
      <c r="R22" s="311">
        <f t="shared" si="8"/>
        <v>0</v>
      </c>
      <c r="S22" s="300" t="str">
        <f t="shared" si="4"/>
        <v>Closed</v>
      </c>
      <c r="T22" s="2" t="s">
        <v>153</v>
      </c>
      <c r="U22" s="162" t="s">
        <v>611</v>
      </c>
      <c r="V22" s="113">
        <f>COUNTIFS('Delivery Tracking'!E:E,B22)</f>
        <v>0</v>
      </c>
      <c r="W22" s="113">
        <f>SUMIFS(All_Stats!N:N,All_Stats!$A:$A,$B22,All_Stats!$B:$B,"Overall",All_Stats!$D:$D,"Total")</f>
        <v>0</v>
      </c>
      <c r="X22" s="245">
        <v>44536.0</v>
      </c>
      <c r="Y22" s="301"/>
      <c r="Z22" s="326"/>
    </row>
    <row r="23" hidden="1">
      <c r="A23" s="330" t="s">
        <v>637</v>
      </c>
      <c r="B23" s="175" t="s">
        <v>645</v>
      </c>
      <c r="C23" s="306"/>
      <c r="D23" s="193">
        <v>70.0</v>
      </c>
      <c r="E23" s="171">
        <f>SUMIFS(All_Stats!G:G,All_Stats!$A:$A,$B23,All_Stats!$B:$B,"Overall",All_Stats!$D:$D,"Total")</f>
        <v>0</v>
      </c>
      <c r="F23" s="113">
        <f>SUMIFS(All_Stats!H:H,All_Stats!$A:$A,$B23,All_Stats!$B:$B,"Overall",All_Stats!$D:$D,"Total")</f>
        <v>0</v>
      </c>
      <c r="G23" s="171">
        <f>SUMIFS(All_Stats!I:I,All_Stats!$A:$A,$B23,All_Stats!$B:$B,"Overall",All_Stats!$D:$D,"Total")</f>
        <v>0</v>
      </c>
      <c r="H23" s="113">
        <f>SUMIFS(All_Stats!K:K,All_Stats!$A:$A,$B23,All_Stats!$B:$B,"Overall",All_Stats!$D:$D,"Total")</f>
        <v>0</v>
      </c>
      <c r="I23" s="113">
        <f>SUMIFS(All_Stats!J:J,All_Stats!$A:$A,$B23,All_Stats!$B:$B,"Overall",All_Stats!$D:$D,"Total")</f>
        <v>0</v>
      </c>
      <c r="J23" s="113">
        <f t="shared" si="3"/>
        <v>70</v>
      </c>
      <c r="K23" s="249" t="s">
        <v>57</v>
      </c>
      <c r="L23" s="323">
        <v>44533.0</v>
      </c>
      <c r="M23" s="245">
        <v>44547.0</v>
      </c>
      <c r="N23" s="2" t="s">
        <v>646</v>
      </c>
      <c r="O23" s="310">
        <f t="shared" si="6"/>
        <v>102.7272727</v>
      </c>
      <c r="P23" s="311">
        <f t="shared" ref="P23:Q23" si="19">F23/D23</f>
        <v>0</v>
      </c>
      <c r="Q23" s="325" t="str">
        <f t="shared" si="19"/>
        <v>#DIV/0!</v>
      </c>
      <c r="R23" s="311">
        <f t="shared" si="8"/>
        <v>0</v>
      </c>
      <c r="S23" s="300" t="str">
        <f t="shared" si="4"/>
        <v>Closed</v>
      </c>
      <c r="T23" s="2" t="s">
        <v>153</v>
      </c>
      <c r="U23" s="162" t="s">
        <v>611</v>
      </c>
      <c r="V23" s="113">
        <f>COUNTIFS('Delivery Tracking'!E:E,B23)</f>
        <v>0</v>
      </c>
      <c r="W23" s="113">
        <f>SUMIFS(All_Stats!N:N,All_Stats!$A:$A,$B23,All_Stats!$B:$B,"Overall",All_Stats!$D:$D,"Total")</f>
        <v>0</v>
      </c>
      <c r="X23" s="245">
        <v>44536.0</v>
      </c>
      <c r="Y23" s="301"/>
      <c r="Z23" s="326"/>
    </row>
    <row r="24" hidden="1">
      <c r="A24" s="346" t="s">
        <v>647</v>
      </c>
      <c r="B24" s="347" t="s">
        <v>648</v>
      </c>
      <c r="C24" s="348"/>
      <c r="D24" s="162">
        <v>2.0</v>
      </c>
      <c r="E24" s="171">
        <f>SUMIFS(All_Stats!G:G,All_Stats!$A:$A,$B24,All_Stats!$B:$B,"Overall",All_Stats!$D:$D,"Total")</f>
        <v>0</v>
      </c>
      <c r="F24" s="113">
        <f>SUMIFS(All_Stats!H:H,All_Stats!$A:$A,$B24,All_Stats!$B:$B,"Overall",All_Stats!$D:$D,"Total")</f>
        <v>0</v>
      </c>
      <c r="G24" s="171">
        <f>SUMIFS(All_Stats!I:I,All_Stats!$A:$A,$B24,All_Stats!$B:$B,"Overall",All_Stats!$D:$D,"Total")</f>
        <v>0</v>
      </c>
      <c r="H24" s="113">
        <f>SUMIFS(All_Stats!K:K,All_Stats!$A:$A,$B24,All_Stats!$B:$B,"Overall",All_Stats!$D:$D,"Total")</f>
        <v>0</v>
      </c>
      <c r="I24" s="113">
        <f>SUMIFS(All_Stats!J:J,All_Stats!$A:$A,$B24,All_Stats!$B:$B,"Overall",All_Stats!$D:$D,"Total")</f>
        <v>0</v>
      </c>
      <c r="J24" s="113">
        <f t="shared" si="3"/>
        <v>2</v>
      </c>
      <c r="K24" s="249" t="s">
        <v>649</v>
      </c>
      <c r="L24" s="299">
        <v>44295.0</v>
      </c>
      <c r="M24" s="245">
        <v>44560.0</v>
      </c>
      <c r="O24" s="310">
        <f t="shared" si="6"/>
        <v>6.842105263</v>
      </c>
      <c r="P24" s="311">
        <f t="shared" ref="P24:Q24" si="20">F24/D24</f>
        <v>0</v>
      </c>
      <c r="Q24" s="325" t="str">
        <f t="shared" si="20"/>
        <v>#DIV/0!</v>
      </c>
      <c r="R24" s="311">
        <f t="shared" si="8"/>
        <v>0</v>
      </c>
      <c r="S24" s="249" t="s">
        <v>649</v>
      </c>
      <c r="T24" s="2" t="s">
        <v>21</v>
      </c>
      <c r="U24" s="162" t="s">
        <v>611</v>
      </c>
      <c r="V24" s="113">
        <f>COUNTIFS('Delivery Tracking'!E:E,B24)</f>
        <v>0</v>
      </c>
      <c r="W24" s="113">
        <f>SUMIFS(All_Stats!N:N,All_Stats!$A:$A,$B24,All_Stats!$B:$B,"Overall",All_Stats!$D:$D,"Total")</f>
        <v>0</v>
      </c>
      <c r="X24" s="349">
        <v>44355.0</v>
      </c>
      <c r="Y24" s="350"/>
      <c r="Z24" s="326"/>
    </row>
    <row r="25" hidden="1">
      <c r="A25" s="327" t="s">
        <v>650</v>
      </c>
      <c r="B25" s="328" t="s">
        <v>651</v>
      </c>
      <c r="C25" s="306"/>
      <c r="D25" s="162">
        <v>10.0</v>
      </c>
      <c r="E25" s="171">
        <f>SUMIFS(All_Stats!G:G,All_Stats!$A:$A,$B25,All_Stats!$B:$B,"Overall",All_Stats!$D:$D,"Total")</f>
        <v>0</v>
      </c>
      <c r="F25" s="113">
        <f>SUMIFS(All_Stats!H:H,All_Stats!$A:$A,$B25,All_Stats!$B:$B,"Overall",All_Stats!$D:$D,"Total")</f>
        <v>0</v>
      </c>
      <c r="G25" s="171">
        <f>SUMIFS(All_Stats!I:I,All_Stats!$A:$A,$B25,All_Stats!$B:$B,"Overall",All_Stats!$D:$D,"Total")</f>
        <v>0</v>
      </c>
      <c r="H25" s="113">
        <f>SUMIFS(All_Stats!K:K,All_Stats!$A:$A,$B25,All_Stats!$B:$B,"Overall",All_Stats!$D:$D,"Total")</f>
        <v>0</v>
      </c>
      <c r="I25" s="113">
        <f>SUMIFS(All_Stats!J:J,All_Stats!$A:$A,$B25,All_Stats!$B:$B,"Overall",All_Stats!$D:$D,"Total")</f>
        <v>0</v>
      </c>
      <c r="J25" s="113">
        <f t="shared" si="3"/>
        <v>10</v>
      </c>
      <c r="K25" s="249" t="s">
        <v>57</v>
      </c>
      <c r="L25" s="323">
        <v>44536.0</v>
      </c>
      <c r="M25" s="245">
        <v>44547.0</v>
      </c>
      <c r="N25" s="177"/>
      <c r="O25" s="310">
        <f t="shared" si="6"/>
        <v>112.9</v>
      </c>
      <c r="P25" s="311">
        <f t="shared" ref="P25:Q25" si="21">F25/D25</f>
        <v>0</v>
      </c>
      <c r="Q25" s="325" t="str">
        <f t="shared" si="21"/>
        <v>#DIV/0!</v>
      </c>
      <c r="R25" s="311">
        <f t="shared" si="8"/>
        <v>0</v>
      </c>
      <c r="S25" s="300" t="str">
        <f t="shared" ref="S25:S52" si="23">iferror(ifs(
K25="Closed","Closed",
K25="Paused","Paused",
UPPER(X25)="N/A","PRE",
X25="","N/A",
(_xlfn.NETWORKDAYS.INTL(X25,D$2)-1)/_xlfn.NETWORKDAYS.INTL(X25,M25)&lt;S$2,"PRE",
F25=0,"Underpacing",
O25-(F25+H25*(G25/(G25+F25)))/D25&gt;0.2,"Underpacing",
O25-(F25+H25*(G25/(G25+F25)))/D25&lt;=0.2,"On track")
,"N/A")</f>
        <v>Closed</v>
      </c>
      <c r="T25" s="2" t="s">
        <v>293</v>
      </c>
      <c r="U25" s="162" t="s">
        <v>611</v>
      </c>
      <c r="V25" s="113">
        <f>COUNTIFS('Delivery Tracking'!E:E,B25)</f>
        <v>0</v>
      </c>
      <c r="W25" s="113">
        <f>SUMIFS(All_Stats!N:N,All_Stats!$A:$A,$B25,All_Stats!$B:$B,"Overall",All_Stats!$D:$D,"Total")</f>
        <v>0</v>
      </c>
      <c r="X25" s="245">
        <v>44536.0</v>
      </c>
      <c r="Y25" s="301"/>
      <c r="Z25" s="326"/>
    </row>
    <row r="26" hidden="1">
      <c r="A26" s="330" t="s">
        <v>652</v>
      </c>
      <c r="B26" s="320" t="s">
        <v>653</v>
      </c>
      <c r="C26" s="184"/>
      <c r="D26" s="162">
        <v>10.0</v>
      </c>
      <c r="E26" s="171">
        <f>SUMIFS(All_Stats!G:G,All_Stats!$A:$A,$B26,All_Stats!$B:$B,"Overall",All_Stats!$D:$D,"Total")</f>
        <v>0</v>
      </c>
      <c r="F26" s="113">
        <f>SUMIFS(All_Stats!H:H,All_Stats!$A:$A,$B26,All_Stats!$B:$B,"Overall",All_Stats!$D:$D,"Total")</f>
        <v>0</v>
      </c>
      <c r="G26" s="171">
        <f>SUMIFS(All_Stats!I:I,All_Stats!$A:$A,$B26,All_Stats!$B:$B,"Overall",All_Stats!$D:$D,"Total")</f>
        <v>0</v>
      </c>
      <c r="H26" s="113">
        <f>SUMIFS(All_Stats!K:K,All_Stats!$A:$A,$B26,All_Stats!$B:$B,"Overall",All_Stats!$D:$D,"Total")</f>
        <v>0</v>
      </c>
      <c r="I26" s="113">
        <f>SUMIFS(All_Stats!J:J,All_Stats!$A:$A,$B26,All_Stats!$B:$B,"Overall",All_Stats!$D:$D,"Total")</f>
        <v>0</v>
      </c>
      <c r="J26" s="113">
        <f t="shared" si="3"/>
        <v>10</v>
      </c>
      <c r="K26" s="249" t="s">
        <v>57</v>
      </c>
      <c r="L26" s="323">
        <v>44544.0</v>
      </c>
      <c r="M26" s="245">
        <v>44581.0</v>
      </c>
      <c r="O26" s="310">
        <f t="shared" si="6"/>
        <v>40.10714286</v>
      </c>
      <c r="P26" s="311">
        <f t="shared" ref="P26:Q26" si="22">F26/D26</f>
        <v>0</v>
      </c>
      <c r="Q26" s="325" t="str">
        <f t="shared" si="22"/>
        <v>#DIV/0!</v>
      </c>
      <c r="R26" s="311">
        <f t="shared" si="8"/>
        <v>0</v>
      </c>
      <c r="S26" s="300" t="str">
        <f t="shared" si="23"/>
        <v>Closed</v>
      </c>
      <c r="T26" s="2" t="s">
        <v>67</v>
      </c>
      <c r="U26" s="162" t="s">
        <v>611</v>
      </c>
      <c r="V26" s="113">
        <f>COUNTIFS('Delivery Tracking'!E:E,B26)</f>
        <v>0</v>
      </c>
      <c r="W26" s="113">
        <f>SUMIFS(All_Stats!N:N,All_Stats!$A:$A,$B26,All_Stats!$B:$B,"Overall",All_Stats!$D:$D,"Total")</f>
        <v>0</v>
      </c>
      <c r="X26" s="245">
        <v>44544.0</v>
      </c>
      <c r="Y26" s="301"/>
      <c r="Z26" s="326"/>
    </row>
    <row r="27" hidden="1">
      <c r="A27" s="330" t="s">
        <v>637</v>
      </c>
      <c r="B27" s="175" t="s">
        <v>654</v>
      </c>
      <c r="C27" s="306"/>
      <c r="D27" s="162">
        <v>10.0</v>
      </c>
      <c r="E27" s="171">
        <f>SUMIFS(All_Stats!G:G,All_Stats!$A:$A,$B27,All_Stats!$B:$B,"Overall",All_Stats!$D:$D,"Total")</f>
        <v>0</v>
      </c>
      <c r="F27" s="113">
        <f>SUMIFS(All_Stats!H:H,All_Stats!$A:$A,$B27,All_Stats!$B:$B,"Overall",All_Stats!$D:$D,"Total")</f>
        <v>0</v>
      </c>
      <c r="G27" s="171">
        <f>SUMIFS(All_Stats!I:I,All_Stats!$A:$A,$B27,All_Stats!$B:$B,"Overall",All_Stats!$D:$D,"Total")</f>
        <v>0</v>
      </c>
      <c r="H27" s="113">
        <f>SUMIFS(All_Stats!K:K,All_Stats!$A:$A,$B27,All_Stats!$B:$B,"Overall",All_Stats!$D:$D,"Total")</f>
        <v>0</v>
      </c>
      <c r="I27" s="113">
        <f>SUMIFS(All_Stats!J:J,All_Stats!$A:$A,$B27,All_Stats!$B:$B,"Overall",All_Stats!$D:$D,"Total")</f>
        <v>0</v>
      </c>
      <c r="J27" s="113">
        <f t="shared" si="3"/>
        <v>10</v>
      </c>
      <c r="K27" s="249" t="s">
        <v>57</v>
      </c>
      <c r="L27" s="323">
        <v>44533.0</v>
      </c>
      <c r="M27" s="245">
        <v>44547.0</v>
      </c>
      <c r="O27" s="310">
        <f t="shared" si="6"/>
        <v>102.7272727</v>
      </c>
      <c r="P27" s="311">
        <f t="shared" ref="P27:Q27" si="24">F27/D27</f>
        <v>0</v>
      </c>
      <c r="Q27" s="325" t="str">
        <f t="shared" si="24"/>
        <v>#DIV/0!</v>
      </c>
      <c r="R27" s="311">
        <f t="shared" si="8"/>
        <v>0</v>
      </c>
      <c r="S27" s="300" t="str">
        <f t="shared" si="23"/>
        <v>Closed</v>
      </c>
      <c r="T27" s="2" t="s">
        <v>166</v>
      </c>
      <c r="U27" s="162" t="s">
        <v>611</v>
      </c>
      <c r="V27" s="113">
        <f>COUNTIFS('Delivery Tracking'!E:E,B27)</f>
        <v>0</v>
      </c>
      <c r="W27" s="113">
        <f>SUMIFS(All_Stats!N:N,All_Stats!$A:$A,$B27,All_Stats!$B:$B,"Overall",All_Stats!$D:$D,"Total")</f>
        <v>0</v>
      </c>
      <c r="X27" s="245">
        <v>44536.0</v>
      </c>
      <c r="Y27" s="301"/>
      <c r="Z27" s="326"/>
    </row>
    <row r="28" hidden="1">
      <c r="A28" s="330" t="s">
        <v>637</v>
      </c>
      <c r="B28" s="175" t="s">
        <v>655</v>
      </c>
      <c r="C28" s="306"/>
      <c r="D28" s="162">
        <v>15.0</v>
      </c>
      <c r="E28" s="171">
        <f>SUMIFS(All_Stats!G:G,All_Stats!$A:$A,$B28,All_Stats!$B:$B,"Overall",All_Stats!$D:$D,"Total")</f>
        <v>0</v>
      </c>
      <c r="F28" s="113">
        <f>SUMIFS(All_Stats!H:H,All_Stats!$A:$A,$B28,All_Stats!$B:$B,"Overall",All_Stats!$D:$D,"Total")</f>
        <v>0</v>
      </c>
      <c r="G28" s="171">
        <f>SUMIFS(All_Stats!I:I,All_Stats!$A:$A,$B28,All_Stats!$B:$B,"Overall",All_Stats!$D:$D,"Total")</f>
        <v>0</v>
      </c>
      <c r="H28" s="113">
        <f>SUMIFS(All_Stats!K:K,All_Stats!$A:$A,$B28,All_Stats!$B:$B,"Overall",All_Stats!$D:$D,"Total")</f>
        <v>0</v>
      </c>
      <c r="I28" s="113">
        <f>SUMIFS(All_Stats!J:J,All_Stats!$A:$A,$B28,All_Stats!$B:$B,"Overall",All_Stats!$D:$D,"Total")</f>
        <v>0</v>
      </c>
      <c r="J28" s="113">
        <f t="shared" si="3"/>
        <v>15</v>
      </c>
      <c r="K28" s="249" t="s">
        <v>57</v>
      </c>
      <c r="L28" s="323">
        <v>44533.0</v>
      </c>
      <c r="M28" s="245">
        <v>44547.0</v>
      </c>
      <c r="O28" s="310">
        <f t="shared" si="6"/>
        <v>102.7272727</v>
      </c>
      <c r="P28" s="311">
        <f t="shared" ref="P28:Q28" si="25">F28/D28</f>
        <v>0</v>
      </c>
      <c r="Q28" s="325" t="str">
        <f t="shared" si="25"/>
        <v>#DIV/0!</v>
      </c>
      <c r="R28" s="311">
        <f t="shared" si="8"/>
        <v>0</v>
      </c>
      <c r="S28" s="300" t="str">
        <f t="shared" si="23"/>
        <v>Closed</v>
      </c>
      <c r="T28" s="2" t="s">
        <v>166</v>
      </c>
      <c r="U28" s="162" t="s">
        <v>611</v>
      </c>
      <c r="V28" s="113">
        <f>COUNTIFS('Delivery Tracking'!E:E,B28)</f>
        <v>0</v>
      </c>
      <c r="W28" s="113">
        <f>SUMIFS(All_Stats!N:N,All_Stats!$A:$A,$B28,All_Stats!$B:$B,"Overall",All_Stats!$D:$D,"Total")</f>
        <v>0</v>
      </c>
      <c r="X28" s="245">
        <v>44536.0</v>
      </c>
      <c r="Y28" s="301"/>
      <c r="Z28" s="326"/>
    </row>
    <row r="29" hidden="1">
      <c r="A29" s="330" t="s">
        <v>637</v>
      </c>
      <c r="B29" s="175" t="s">
        <v>656</v>
      </c>
      <c r="C29" s="306"/>
      <c r="D29" s="193">
        <v>30.0</v>
      </c>
      <c r="E29" s="171">
        <f>SUMIFS(All_Stats!G:G,All_Stats!$A:$A,$B29,All_Stats!$B:$B,"Overall",All_Stats!$D:$D,"Total")</f>
        <v>0</v>
      </c>
      <c r="F29" s="113">
        <f>SUMIFS(All_Stats!H:H,All_Stats!$A:$A,$B29,All_Stats!$B:$B,"Overall",All_Stats!$D:$D,"Total")</f>
        <v>0</v>
      </c>
      <c r="G29" s="171">
        <f>SUMIFS(All_Stats!I:I,All_Stats!$A:$A,$B29,All_Stats!$B:$B,"Overall",All_Stats!$D:$D,"Total")</f>
        <v>0</v>
      </c>
      <c r="H29" s="113">
        <f>SUMIFS(All_Stats!K:K,All_Stats!$A:$A,$B29,All_Stats!$B:$B,"Overall",All_Stats!$D:$D,"Total")</f>
        <v>0</v>
      </c>
      <c r="I29" s="113">
        <f>SUMIFS(All_Stats!J:J,All_Stats!$A:$A,$B29,All_Stats!$B:$B,"Overall",All_Stats!$D:$D,"Total")</f>
        <v>0</v>
      </c>
      <c r="J29" s="113">
        <f t="shared" si="3"/>
        <v>30</v>
      </c>
      <c r="K29" s="249" t="s">
        <v>57</v>
      </c>
      <c r="L29" s="323">
        <v>44533.0</v>
      </c>
      <c r="M29" s="245">
        <v>44547.0</v>
      </c>
      <c r="O29" s="310">
        <f t="shared" si="6"/>
        <v>102.7272727</v>
      </c>
      <c r="P29" s="311">
        <f t="shared" ref="P29:Q29" si="26">F29/D29</f>
        <v>0</v>
      </c>
      <c r="Q29" s="325" t="str">
        <f t="shared" si="26"/>
        <v>#DIV/0!</v>
      </c>
      <c r="R29" s="311">
        <f t="shared" si="8"/>
        <v>0</v>
      </c>
      <c r="S29" s="300" t="str">
        <f t="shared" si="23"/>
        <v>Closed</v>
      </c>
      <c r="T29" s="2" t="s">
        <v>166</v>
      </c>
      <c r="U29" s="162" t="s">
        <v>611</v>
      </c>
      <c r="V29" s="113">
        <f>COUNTIFS('Delivery Tracking'!E:E,B29)</f>
        <v>0</v>
      </c>
      <c r="W29" s="113">
        <f>SUMIFS(All_Stats!N:N,All_Stats!$A:$A,$B29,All_Stats!$B:$B,"Overall",All_Stats!$D:$D,"Total")</f>
        <v>0</v>
      </c>
      <c r="X29" s="245">
        <v>44536.0</v>
      </c>
      <c r="Y29" s="301"/>
      <c r="Z29" s="326"/>
    </row>
    <row r="30" hidden="1">
      <c r="A30" s="330" t="s">
        <v>637</v>
      </c>
      <c r="B30" s="175" t="s">
        <v>657</v>
      </c>
      <c r="C30" s="306"/>
      <c r="D30" s="162">
        <v>10.0</v>
      </c>
      <c r="E30" s="171">
        <f>SUMIFS(All_Stats!G:G,All_Stats!$A:$A,$B30,All_Stats!$B:$B,"Overall",All_Stats!$D:$D,"Total")</f>
        <v>0</v>
      </c>
      <c r="F30" s="113">
        <f>SUMIFS(All_Stats!H:H,All_Stats!$A:$A,$B30,All_Stats!$B:$B,"Overall",All_Stats!$D:$D,"Total")</f>
        <v>0</v>
      </c>
      <c r="G30" s="171">
        <f>SUMIFS(All_Stats!I:I,All_Stats!$A:$A,$B30,All_Stats!$B:$B,"Overall",All_Stats!$D:$D,"Total")</f>
        <v>0</v>
      </c>
      <c r="H30" s="113">
        <f>SUMIFS(All_Stats!K:K,All_Stats!$A:$A,$B30,All_Stats!$B:$B,"Overall",All_Stats!$D:$D,"Total")</f>
        <v>0</v>
      </c>
      <c r="I30" s="113">
        <f>SUMIFS(All_Stats!J:J,All_Stats!$A:$A,$B30,All_Stats!$B:$B,"Overall",All_Stats!$D:$D,"Total")</f>
        <v>0</v>
      </c>
      <c r="J30" s="113">
        <f t="shared" si="3"/>
        <v>10</v>
      </c>
      <c r="K30" s="249" t="s">
        <v>57</v>
      </c>
      <c r="L30" s="323">
        <v>44533.0</v>
      </c>
      <c r="M30" s="245">
        <v>44547.0</v>
      </c>
      <c r="N30" s="8" t="s">
        <v>646</v>
      </c>
      <c r="O30" s="310">
        <f t="shared" si="6"/>
        <v>102.7272727</v>
      </c>
      <c r="P30" s="311">
        <f t="shared" ref="P30:Q30" si="27">F30/D30</f>
        <v>0</v>
      </c>
      <c r="Q30" s="325" t="str">
        <f t="shared" si="27"/>
        <v>#DIV/0!</v>
      </c>
      <c r="R30" s="311">
        <f t="shared" si="8"/>
        <v>0</v>
      </c>
      <c r="S30" s="300" t="str">
        <f t="shared" si="23"/>
        <v>Closed</v>
      </c>
      <c r="T30" s="2" t="s">
        <v>166</v>
      </c>
      <c r="U30" s="162" t="s">
        <v>611</v>
      </c>
      <c r="V30" s="113">
        <f>COUNTIFS('Delivery Tracking'!E:E,B30)</f>
        <v>0</v>
      </c>
      <c r="W30" s="113">
        <f>SUMIFS(All_Stats!N:N,All_Stats!$A:$A,$B30,All_Stats!$B:$B,"Overall",All_Stats!$D:$D,"Total")</f>
        <v>0</v>
      </c>
      <c r="X30" s="245">
        <v>44536.0</v>
      </c>
      <c r="Y30" s="301"/>
      <c r="Z30" s="326"/>
    </row>
    <row r="31" hidden="1">
      <c r="A31" s="338" t="s">
        <v>637</v>
      </c>
      <c r="B31" s="116" t="s">
        <v>658</v>
      </c>
      <c r="C31" s="306"/>
      <c r="D31" s="162">
        <v>10.0</v>
      </c>
      <c r="E31" s="171">
        <f>SUMIFS(All_Stats!G:G,All_Stats!$A:$A,$B31,All_Stats!$B:$B,"Overall",All_Stats!$D:$D,"Total")</f>
        <v>0</v>
      </c>
      <c r="F31" s="113">
        <f>SUMIFS(All_Stats!H:H,All_Stats!$A:$A,$B31,All_Stats!$B:$B,"Overall",All_Stats!$D:$D,"Total")</f>
        <v>0</v>
      </c>
      <c r="G31" s="171">
        <f>SUMIFS(All_Stats!I:I,All_Stats!$A:$A,$B31,All_Stats!$B:$B,"Overall",All_Stats!$D:$D,"Total")</f>
        <v>0</v>
      </c>
      <c r="H31" s="113">
        <f>SUMIFS(All_Stats!K:K,All_Stats!$A:$A,$B31,All_Stats!$B:$B,"Overall",All_Stats!$D:$D,"Total")</f>
        <v>0</v>
      </c>
      <c r="I31" s="113">
        <f>SUMIFS(All_Stats!J:J,All_Stats!$A:$A,$B31,All_Stats!$B:$B,"Overall",All_Stats!$D:$D,"Total")</f>
        <v>0</v>
      </c>
      <c r="J31" s="113">
        <f t="shared" si="3"/>
        <v>10</v>
      </c>
      <c r="K31" s="249" t="s">
        <v>57</v>
      </c>
      <c r="L31" s="323">
        <v>44536.0</v>
      </c>
      <c r="M31" s="245">
        <v>44547.0</v>
      </c>
      <c r="O31" s="310">
        <f t="shared" si="6"/>
        <v>112.9</v>
      </c>
      <c r="P31" s="311">
        <f t="shared" ref="P31:Q31" si="28">F31/D31</f>
        <v>0</v>
      </c>
      <c r="Q31" s="325" t="str">
        <f t="shared" si="28"/>
        <v>#DIV/0!</v>
      </c>
      <c r="R31" s="311">
        <f t="shared" si="8"/>
        <v>0</v>
      </c>
      <c r="S31" s="300" t="str">
        <f t="shared" si="23"/>
        <v>Closed</v>
      </c>
      <c r="T31" s="2" t="s">
        <v>166</v>
      </c>
      <c r="U31" s="162" t="s">
        <v>611</v>
      </c>
      <c r="V31" s="113">
        <f>COUNTIFS('Delivery Tracking'!E:E,B31)</f>
        <v>0</v>
      </c>
      <c r="W31" s="113">
        <f>SUMIFS(All_Stats!N:N,All_Stats!$A:$A,$B31,All_Stats!$B:$B,"Overall",All_Stats!$D:$D,"Total")</f>
        <v>0</v>
      </c>
      <c r="X31" s="245">
        <v>44536.0</v>
      </c>
      <c r="Y31" s="301"/>
      <c r="Z31" s="326"/>
    </row>
    <row r="32" hidden="1">
      <c r="A32" s="334" t="s">
        <v>659</v>
      </c>
      <c r="B32" s="335" t="s">
        <v>660</v>
      </c>
      <c r="C32" s="306"/>
      <c r="D32" s="162">
        <v>300.0</v>
      </c>
      <c r="E32" s="171">
        <f>SUMIFS(All_Stats!G:G,All_Stats!$A:$A,$B32,All_Stats!$B:$B,"Overall",All_Stats!$D:$D,"Total")</f>
        <v>0</v>
      </c>
      <c r="F32" s="113">
        <f>SUMIFS(All_Stats!H:H,All_Stats!$A:$A,$B32,All_Stats!$B:$B,"Overall",All_Stats!$D:$D,"Total")</f>
        <v>0</v>
      </c>
      <c r="G32" s="171">
        <f>SUMIFS(All_Stats!I:I,All_Stats!$A:$A,$B32,All_Stats!$B:$B,"Overall",All_Stats!$D:$D,"Total")</f>
        <v>0</v>
      </c>
      <c r="H32" s="113">
        <f>SUMIFS(All_Stats!K:K,All_Stats!$A:$A,$B32,All_Stats!$B:$B,"Overall",All_Stats!$D:$D,"Total")</f>
        <v>0</v>
      </c>
      <c r="I32" s="113">
        <f>SUMIFS(All_Stats!J:J,All_Stats!$A:$A,$B32,All_Stats!$B:$B,"Overall",All_Stats!$D:$D,"Total")</f>
        <v>0</v>
      </c>
      <c r="J32" s="113">
        <f t="shared" si="3"/>
        <v>300</v>
      </c>
      <c r="K32" s="249" t="s">
        <v>57</v>
      </c>
      <c r="L32" s="323">
        <v>44511.0</v>
      </c>
      <c r="M32" s="245">
        <v>44544.0</v>
      </c>
      <c r="N32" s="184"/>
      <c r="O32" s="310">
        <f t="shared" si="6"/>
        <v>47.75</v>
      </c>
      <c r="P32" s="311">
        <f t="shared" ref="P32:Q32" si="29">F32/D32</f>
        <v>0</v>
      </c>
      <c r="Q32" s="325" t="str">
        <f t="shared" si="29"/>
        <v>#DIV/0!</v>
      </c>
      <c r="R32" s="311">
        <f t="shared" si="8"/>
        <v>0</v>
      </c>
      <c r="S32" s="300" t="str">
        <f t="shared" si="23"/>
        <v>Closed</v>
      </c>
      <c r="T32" s="2" t="s">
        <v>111</v>
      </c>
      <c r="U32" s="162" t="s">
        <v>611</v>
      </c>
      <c r="V32" s="113">
        <f>COUNTIFS('Delivery Tracking'!E:E,B32)</f>
        <v>0</v>
      </c>
      <c r="W32" s="113">
        <f>SUMIFS(All_Stats!N:N,All_Stats!$A:$A,$B32,All_Stats!$B:$B,"Overall",All_Stats!$D:$D,"Total")</f>
        <v>0</v>
      </c>
      <c r="X32" s="323">
        <v>44512.0</v>
      </c>
      <c r="Y32" s="329"/>
      <c r="Z32" s="326"/>
    </row>
    <row r="33" hidden="1">
      <c r="A33" s="327" t="s">
        <v>628</v>
      </c>
      <c r="B33" s="328" t="s">
        <v>661</v>
      </c>
      <c r="C33" s="306"/>
      <c r="D33" s="193">
        <v>37.0</v>
      </c>
      <c r="E33" s="171">
        <f>SUMIFS(All_Stats!G:G,All_Stats!$A:$A,$B33,All_Stats!$B:$B,"Overall",All_Stats!$D:$D,"Total")</f>
        <v>0</v>
      </c>
      <c r="F33" s="113">
        <f>SUMIFS(All_Stats!H:H,All_Stats!$A:$A,$B33,All_Stats!$B:$B,"Overall",All_Stats!$D:$D,"Total")</f>
        <v>0</v>
      </c>
      <c r="G33" s="171">
        <f>SUMIFS(All_Stats!I:I,All_Stats!$A:$A,$B33,All_Stats!$B:$B,"Overall",All_Stats!$D:$D,"Total")</f>
        <v>0</v>
      </c>
      <c r="H33" s="113">
        <f>SUMIFS(All_Stats!K:K,All_Stats!$A:$A,$B33,All_Stats!$B:$B,"Overall",All_Stats!$D:$D,"Total")</f>
        <v>0</v>
      </c>
      <c r="I33" s="113">
        <f>SUMIFS(All_Stats!J:J,All_Stats!$A:$A,$B33,All_Stats!$B:$B,"Overall",All_Stats!$D:$D,"Total")</f>
        <v>0</v>
      </c>
      <c r="J33" s="113">
        <f t="shared" si="3"/>
        <v>37</v>
      </c>
      <c r="K33" s="249" t="s">
        <v>57</v>
      </c>
      <c r="L33" s="323">
        <v>44497.0</v>
      </c>
      <c r="M33" s="245">
        <v>44544.0</v>
      </c>
      <c r="O33" s="310">
        <f t="shared" si="6"/>
        <v>34</v>
      </c>
      <c r="P33" s="311">
        <f t="shared" ref="P33:Q33" si="30">F33/D33</f>
        <v>0</v>
      </c>
      <c r="Q33" s="325" t="str">
        <f t="shared" si="30"/>
        <v>#DIV/0!</v>
      </c>
      <c r="R33" s="311">
        <f t="shared" si="8"/>
        <v>0</v>
      </c>
      <c r="S33" s="300" t="str">
        <f t="shared" si="23"/>
        <v>Closed</v>
      </c>
      <c r="T33" s="2" t="s">
        <v>153</v>
      </c>
      <c r="U33" s="162" t="s">
        <v>611</v>
      </c>
      <c r="V33" s="113">
        <f>COUNTIFS('Delivery Tracking'!E:E,B33)</f>
        <v>0</v>
      </c>
      <c r="W33" s="113">
        <f>SUMIFS(All_Stats!N:N,All_Stats!$A:$A,$B33,All_Stats!$B:$B,"Overall",All_Stats!$D:$D,"Total")</f>
        <v>0</v>
      </c>
      <c r="X33" s="245">
        <v>44502.0</v>
      </c>
      <c r="Y33" s="301"/>
      <c r="Z33" s="326"/>
    </row>
    <row r="34" hidden="1">
      <c r="A34" s="327" t="s">
        <v>662</v>
      </c>
      <c r="B34" s="328" t="s">
        <v>663</v>
      </c>
      <c r="C34" s="306"/>
      <c r="D34" s="162">
        <v>80.0</v>
      </c>
      <c r="E34" s="171">
        <f>SUMIFS(All_Stats!G:G,All_Stats!$A:$A,$B34,All_Stats!$B:$B,"Overall",All_Stats!$D:$D,"Total")</f>
        <v>0</v>
      </c>
      <c r="F34" s="113">
        <f>SUMIFS(All_Stats!H:H,All_Stats!$A:$A,$B34,All_Stats!$B:$B,"Overall",All_Stats!$D:$D,"Total")</f>
        <v>0</v>
      </c>
      <c r="G34" s="171">
        <f>SUMIFS(All_Stats!I:I,All_Stats!$A:$A,$B34,All_Stats!$B:$B,"Overall",All_Stats!$D:$D,"Total")</f>
        <v>0</v>
      </c>
      <c r="H34" s="113">
        <f>SUMIFS(All_Stats!K:K,All_Stats!$A:$A,$B34,All_Stats!$B:$B,"Overall",All_Stats!$D:$D,"Total")</f>
        <v>0</v>
      </c>
      <c r="I34" s="113">
        <f>SUMIFS(All_Stats!J:J,All_Stats!$A:$A,$B34,All_Stats!$B:$B,"Overall",All_Stats!$D:$D,"Total")</f>
        <v>0</v>
      </c>
      <c r="J34" s="113">
        <f t="shared" si="3"/>
        <v>80</v>
      </c>
      <c r="K34" s="249" t="s">
        <v>57</v>
      </c>
      <c r="L34" s="323">
        <v>44537.0</v>
      </c>
      <c r="M34" s="332">
        <v>44543.0</v>
      </c>
      <c r="O34" s="310">
        <f t="shared" si="6"/>
        <v>225.6</v>
      </c>
      <c r="P34" s="311">
        <f t="shared" ref="P34:Q34" si="31">F34/D34</f>
        <v>0</v>
      </c>
      <c r="Q34" s="325" t="str">
        <f t="shared" si="31"/>
        <v>#DIV/0!</v>
      </c>
      <c r="R34" s="311">
        <f t="shared" si="8"/>
        <v>0</v>
      </c>
      <c r="S34" s="300" t="str">
        <f t="shared" si="23"/>
        <v>Closed</v>
      </c>
      <c r="T34" s="2" t="s">
        <v>166</v>
      </c>
      <c r="U34" s="162" t="s">
        <v>611</v>
      </c>
      <c r="V34" s="113">
        <f>COUNTIFS('Delivery Tracking'!E:E,B34)</f>
        <v>0</v>
      </c>
      <c r="W34" s="113">
        <f>SUMIFS(All_Stats!N:N,All_Stats!$A:$A,$B34,All_Stats!$B:$B,"Overall",All_Stats!$D:$D,"Total")</f>
        <v>0</v>
      </c>
      <c r="X34" s="245">
        <v>44537.0</v>
      </c>
      <c r="Y34" s="301"/>
      <c r="Z34" s="326"/>
    </row>
    <row r="35" hidden="1">
      <c r="A35" s="334" t="s">
        <v>664</v>
      </c>
      <c r="B35" s="328" t="s">
        <v>665</v>
      </c>
      <c r="C35" s="306"/>
      <c r="D35" s="162">
        <v>59.0</v>
      </c>
      <c r="E35" s="171">
        <f>SUMIFS(All_Stats!G:G,All_Stats!$A:$A,$B35,All_Stats!$B:$B,"Overall",All_Stats!$D:$D,"Total")</f>
        <v>0</v>
      </c>
      <c r="F35" s="113">
        <f>SUMIFS(All_Stats!H:H,All_Stats!$A:$A,$B35,All_Stats!$B:$B,"Overall",All_Stats!$D:$D,"Total")</f>
        <v>0</v>
      </c>
      <c r="G35" s="171">
        <f>SUMIFS(All_Stats!I:I,All_Stats!$A:$A,$B35,All_Stats!$B:$B,"Overall",All_Stats!$D:$D,"Total")</f>
        <v>0</v>
      </c>
      <c r="H35" s="113">
        <f>SUMIFS(All_Stats!K:K,All_Stats!$A:$A,$B35,All_Stats!$B:$B,"Overall",All_Stats!$D:$D,"Total")</f>
        <v>0</v>
      </c>
      <c r="I35" s="113">
        <f>SUMIFS(All_Stats!J:J,All_Stats!$A:$A,$B35,All_Stats!$B:$B,"Overall",All_Stats!$D:$D,"Total")</f>
        <v>0</v>
      </c>
      <c r="J35" s="113">
        <f t="shared" si="3"/>
        <v>59</v>
      </c>
      <c r="K35" s="249" t="s">
        <v>57</v>
      </c>
      <c r="L35" s="323">
        <v>44510.0</v>
      </c>
      <c r="M35" s="245">
        <v>44538.0</v>
      </c>
      <c r="N35" s="351" t="s">
        <v>666</v>
      </c>
      <c r="O35" s="310">
        <f t="shared" si="6"/>
        <v>54.61904762</v>
      </c>
      <c r="P35" s="311">
        <f t="shared" ref="P35:Q35" si="32">F35/D35</f>
        <v>0</v>
      </c>
      <c r="Q35" s="325" t="str">
        <f t="shared" si="32"/>
        <v>#DIV/0!</v>
      </c>
      <c r="R35" s="311">
        <f t="shared" si="8"/>
        <v>0</v>
      </c>
      <c r="S35" s="300" t="str">
        <f t="shared" si="23"/>
        <v>Closed</v>
      </c>
      <c r="T35" s="2" t="s">
        <v>153</v>
      </c>
      <c r="U35" s="162" t="s">
        <v>611</v>
      </c>
      <c r="V35" s="113">
        <f>COUNTIFS('Delivery Tracking'!E:E,B35)</f>
        <v>0</v>
      </c>
      <c r="W35" s="113">
        <f>SUMIFS(All_Stats!N:N,All_Stats!$A:$A,$B35,All_Stats!$B:$B,"Overall",All_Stats!$D:$D,"Total")</f>
        <v>0</v>
      </c>
      <c r="X35" s="245">
        <v>44510.0</v>
      </c>
      <c r="Y35" s="301"/>
      <c r="Z35" s="326"/>
    </row>
    <row r="36" hidden="1">
      <c r="A36" s="327" t="s">
        <v>667</v>
      </c>
      <c r="B36" s="328" t="s">
        <v>668</v>
      </c>
      <c r="C36" s="306"/>
      <c r="D36" s="162">
        <v>15.0</v>
      </c>
      <c r="E36" s="171">
        <f>SUMIFS(All_Stats!G:G,All_Stats!$A:$A,$B36,All_Stats!$B:$B,"Overall",All_Stats!$D:$D,"Total")</f>
        <v>0</v>
      </c>
      <c r="F36" s="113">
        <f>SUMIFS(All_Stats!H:H,All_Stats!$A:$A,$B36,All_Stats!$B:$B,"Overall",All_Stats!$D:$D,"Total")</f>
        <v>0</v>
      </c>
      <c r="G36" s="171">
        <f>SUMIFS(All_Stats!I:I,All_Stats!$A:$A,$B36,All_Stats!$B:$B,"Overall",All_Stats!$D:$D,"Total")</f>
        <v>0</v>
      </c>
      <c r="H36" s="113">
        <f>SUMIFS(All_Stats!K:K,All_Stats!$A:$A,$B36,All_Stats!$B:$B,"Overall",All_Stats!$D:$D,"Total")</f>
        <v>0</v>
      </c>
      <c r="I36" s="113">
        <f>SUMIFS(All_Stats!J:J,All_Stats!$A:$A,$B36,All_Stats!$B:$B,"Overall",All_Stats!$D:$D,"Total")</f>
        <v>0</v>
      </c>
      <c r="J36" s="113">
        <f t="shared" si="3"/>
        <v>15</v>
      </c>
      <c r="K36" s="249" t="s">
        <v>57</v>
      </c>
      <c r="L36" s="323">
        <v>44533.0</v>
      </c>
      <c r="M36" s="245">
        <v>44544.0</v>
      </c>
      <c r="N36" s="324" t="s">
        <v>669</v>
      </c>
      <c r="O36" s="310">
        <f t="shared" si="6"/>
        <v>141.25</v>
      </c>
      <c r="P36" s="311">
        <f t="shared" ref="P36:Q36" si="33">F36/D36</f>
        <v>0</v>
      </c>
      <c r="Q36" s="325" t="str">
        <f t="shared" si="33"/>
        <v>#DIV/0!</v>
      </c>
      <c r="R36" s="311">
        <f t="shared" si="8"/>
        <v>0</v>
      </c>
      <c r="S36" s="300" t="str">
        <f t="shared" si="23"/>
        <v>Closed</v>
      </c>
      <c r="T36" s="2" t="s">
        <v>111</v>
      </c>
      <c r="U36" s="162" t="s">
        <v>611</v>
      </c>
      <c r="V36" s="113">
        <f>COUNTIFS('Delivery Tracking'!E:E,B36)</f>
        <v>0</v>
      </c>
      <c r="W36" s="113">
        <f>SUMIFS(All_Stats!N:N,All_Stats!$A:$A,$B36,All_Stats!$B:$B,"Overall",All_Stats!$D:$D,"Total")</f>
        <v>0</v>
      </c>
      <c r="X36" s="245">
        <v>44536.0</v>
      </c>
      <c r="Y36" s="301"/>
      <c r="Z36" s="326"/>
    </row>
    <row r="37" hidden="1">
      <c r="A37" s="352" t="s">
        <v>664</v>
      </c>
      <c r="B37" s="342" t="s">
        <v>670</v>
      </c>
      <c r="C37" s="306"/>
      <c r="D37" s="162">
        <v>148.0</v>
      </c>
      <c r="E37" s="171">
        <f>SUMIFS(All_Stats!G:G,All_Stats!$A:$A,$B37,All_Stats!$B:$B,"Overall",All_Stats!$D:$D,"Total")</f>
        <v>0</v>
      </c>
      <c r="F37" s="113">
        <f>SUMIFS(All_Stats!H:H,All_Stats!$A:$A,$B37,All_Stats!$B:$B,"Overall",All_Stats!$D:$D,"Total")</f>
        <v>0</v>
      </c>
      <c r="G37" s="171">
        <f>SUMIFS(All_Stats!I:I,All_Stats!$A:$A,$B37,All_Stats!$B:$B,"Overall",All_Stats!$D:$D,"Total")</f>
        <v>0</v>
      </c>
      <c r="H37" s="113">
        <f>SUMIFS(All_Stats!K:K,All_Stats!$A:$A,$B37,All_Stats!$B:$B,"Overall",All_Stats!$D:$D,"Total")</f>
        <v>0</v>
      </c>
      <c r="I37" s="113">
        <f>SUMIFS(All_Stats!J:J,All_Stats!$A:$A,$B37,All_Stats!$B:$B,"Overall",All_Stats!$D:$D,"Total")</f>
        <v>0</v>
      </c>
      <c r="J37" s="113">
        <f t="shared" si="3"/>
        <v>148</v>
      </c>
      <c r="K37" s="249" t="s">
        <v>57</v>
      </c>
      <c r="L37" s="323">
        <v>44510.0</v>
      </c>
      <c r="M37" s="245">
        <v>44537.0</v>
      </c>
      <c r="N37" s="15" t="s">
        <v>671</v>
      </c>
      <c r="O37" s="310">
        <f t="shared" si="6"/>
        <v>57.35</v>
      </c>
      <c r="P37" s="311">
        <f t="shared" ref="P37:Q37" si="34">F37/D37</f>
        <v>0</v>
      </c>
      <c r="Q37" s="325" t="str">
        <f t="shared" si="34"/>
        <v>#DIV/0!</v>
      </c>
      <c r="R37" s="311">
        <f t="shared" si="8"/>
        <v>0</v>
      </c>
      <c r="S37" s="300" t="str">
        <f t="shared" si="23"/>
        <v>Closed</v>
      </c>
      <c r="T37" s="2" t="s">
        <v>153</v>
      </c>
      <c r="U37" s="162" t="s">
        <v>611</v>
      </c>
      <c r="V37" s="113">
        <f>COUNTIFS('Delivery Tracking'!E:E,B37)</f>
        <v>0</v>
      </c>
      <c r="W37" s="113">
        <f>SUMIFS(All_Stats!N:N,All_Stats!$A:$A,$B37,All_Stats!$B:$B,"Overall",All_Stats!$D:$D,"Total")</f>
        <v>0</v>
      </c>
      <c r="X37" s="323">
        <v>44511.0</v>
      </c>
      <c r="Y37" s="329"/>
      <c r="Z37" s="326"/>
    </row>
    <row r="38" hidden="1">
      <c r="A38" s="334" t="s">
        <v>672</v>
      </c>
      <c r="B38" s="335" t="s">
        <v>673</v>
      </c>
      <c r="C38" s="306"/>
      <c r="D38" s="162">
        <v>50.0</v>
      </c>
      <c r="E38" s="171">
        <f>SUMIFS(All_Stats!G:G,All_Stats!$A:$A,$B38,All_Stats!$B:$B,"Overall",All_Stats!$D:$D,"Total")</f>
        <v>0</v>
      </c>
      <c r="F38" s="113">
        <f>SUMIFS(All_Stats!H:H,All_Stats!$A:$A,$B38,All_Stats!$B:$B,"Overall",All_Stats!$D:$D,"Total")</f>
        <v>0</v>
      </c>
      <c r="G38" s="171">
        <f>SUMIFS(All_Stats!I:I,All_Stats!$A:$A,$B38,All_Stats!$B:$B,"Overall",All_Stats!$D:$D,"Total")</f>
        <v>0</v>
      </c>
      <c r="H38" s="113">
        <f>SUMIFS(All_Stats!K:K,All_Stats!$A:$A,$B38,All_Stats!$B:$B,"Overall",All_Stats!$D:$D,"Total")</f>
        <v>0</v>
      </c>
      <c r="I38" s="113">
        <f>SUMIFS(All_Stats!J:J,All_Stats!$A:$A,$B38,All_Stats!$B:$B,"Overall",All_Stats!$D:$D,"Total")</f>
        <v>0</v>
      </c>
      <c r="J38" s="113">
        <f t="shared" si="3"/>
        <v>50</v>
      </c>
      <c r="K38" s="249" t="s">
        <v>57</v>
      </c>
      <c r="L38" s="323">
        <v>44496.0</v>
      </c>
      <c r="M38" s="245">
        <v>44547.0</v>
      </c>
      <c r="N38" s="324" t="s">
        <v>674</v>
      </c>
      <c r="O38" s="310">
        <f t="shared" si="6"/>
        <v>30.44736842</v>
      </c>
      <c r="P38" s="311">
        <f t="shared" ref="P38:Q38" si="35">F38/D38</f>
        <v>0</v>
      </c>
      <c r="Q38" s="325" t="str">
        <f t="shared" si="35"/>
        <v>#DIV/0!</v>
      </c>
      <c r="R38" s="311">
        <f t="shared" si="8"/>
        <v>0</v>
      </c>
      <c r="S38" s="300" t="str">
        <f t="shared" si="23"/>
        <v>Closed</v>
      </c>
      <c r="T38" s="2" t="s">
        <v>80</v>
      </c>
      <c r="U38" s="162" t="s">
        <v>611</v>
      </c>
      <c r="V38" s="113">
        <f>COUNTIFS('Delivery Tracking'!E:E,B38)</f>
        <v>0</v>
      </c>
      <c r="W38" s="113">
        <f>SUMIFS(All_Stats!N:N,All_Stats!$A:$A,$B38,All_Stats!$B:$B,"Overall",All_Stats!$D:$D,"Total")</f>
        <v>0</v>
      </c>
      <c r="X38" s="323">
        <v>44501.0</v>
      </c>
      <c r="Y38" s="329"/>
      <c r="Z38" s="326"/>
    </row>
    <row r="39" hidden="1">
      <c r="A39" s="352" t="s">
        <v>675</v>
      </c>
      <c r="B39" s="342" t="s">
        <v>676</v>
      </c>
      <c r="C39" s="306"/>
      <c r="D39" s="162">
        <v>98.0</v>
      </c>
      <c r="E39" s="171">
        <f>SUMIFS(All_Stats!G:G,All_Stats!$A:$A,$B39,All_Stats!$B:$B,"Overall",All_Stats!$D:$D,"Total")</f>
        <v>0</v>
      </c>
      <c r="F39" s="113">
        <f>SUMIFS(All_Stats!H:H,All_Stats!$A:$A,$B39,All_Stats!$B:$B,"Overall",All_Stats!$D:$D,"Total")</f>
        <v>0</v>
      </c>
      <c r="G39" s="171">
        <f>SUMIFS(All_Stats!I:I,All_Stats!$A:$A,$B39,All_Stats!$B:$B,"Overall",All_Stats!$D:$D,"Total")</f>
        <v>0</v>
      </c>
      <c r="H39" s="113">
        <f>SUMIFS(All_Stats!K:K,All_Stats!$A:$A,$B39,All_Stats!$B:$B,"Overall",All_Stats!$D:$D,"Total")</f>
        <v>0</v>
      </c>
      <c r="I39" s="113">
        <f>SUMIFS(All_Stats!J:J,All_Stats!$A:$A,$B39,All_Stats!$B:$B,"Overall",All_Stats!$D:$D,"Total")</f>
        <v>0</v>
      </c>
      <c r="J39" s="113">
        <f t="shared" si="3"/>
        <v>98</v>
      </c>
      <c r="K39" s="249" t="s">
        <v>57</v>
      </c>
      <c r="L39" s="323">
        <v>44501.0</v>
      </c>
      <c r="M39" s="245">
        <v>44543.0</v>
      </c>
      <c r="N39" s="333" t="s">
        <v>677</v>
      </c>
      <c r="O39" s="310">
        <f t="shared" si="6"/>
        <v>37.22580645</v>
      </c>
      <c r="P39" s="311">
        <f t="shared" ref="P39:Q39" si="36">F39/D39</f>
        <v>0</v>
      </c>
      <c r="Q39" s="325" t="str">
        <f t="shared" si="36"/>
        <v>#DIV/0!</v>
      </c>
      <c r="R39" s="311">
        <f t="shared" si="8"/>
        <v>0</v>
      </c>
      <c r="S39" s="300" t="str">
        <f t="shared" si="23"/>
        <v>Closed</v>
      </c>
      <c r="T39" s="2" t="s">
        <v>67</v>
      </c>
      <c r="U39" s="162" t="s">
        <v>611</v>
      </c>
      <c r="V39" s="113">
        <f>COUNTIFS('Delivery Tracking'!E:E,B39)</f>
        <v>0</v>
      </c>
      <c r="W39" s="113">
        <f>SUMIFS(All_Stats!N:N,All_Stats!$A:$A,$B39,All_Stats!$B:$B,"Overall",All_Stats!$D:$D,"Total")</f>
        <v>0</v>
      </c>
      <c r="X39" s="245">
        <v>44502.0</v>
      </c>
      <c r="Y39" s="301"/>
      <c r="Z39" s="326"/>
    </row>
    <row r="40" hidden="1">
      <c r="A40" s="344" t="s">
        <v>678</v>
      </c>
      <c r="B40" s="341" t="s">
        <v>679</v>
      </c>
      <c r="C40" s="306"/>
      <c r="D40" s="162">
        <v>190.0</v>
      </c>
      <c r="E40" s="171">
        <f>SUMIFS(All_Stats!G:G,All_Stats!$A:$A,$B40,All_Stats!$B:$B,"Overall",All_Stats!$D:$D,"Total")</f>
        <v>0</v>
      </c>
      <c r="F40" s="113">
        <f>SUMIFS(All_Stats!H:H,All_Stats!$A:$A,$B40,All_Stats!$B:$B,"Overall",All_Stats!$D:$D,"Total")</f>
        <v>0</v>
      </c>
      <c r="G40" s="171">
        <f>SUMIFS(All_Stats!I:I,All_Stats!$A:$A,$B40,All_Stats!$B:$B,"Overall",All_Stats!$D:$D,"Total")</f>
        <v>0</v>
      </c>
      <c r="H40" s="113">
        <f>SUMIFS(All_Stats!K:K,All_Stats!$A:$A,$B40,All_Stats!$B:$B,"Overall",All_Stats!$D:$D,"Total")</f>
        <v>0</v>
      </c>
      <c r="I40" s="113">
        <f>SUMIFS(All_Stats!J:J,All_Stats!$A:$A,$B40,All_Stats!$B:$B,"Overall",All_Stats!$D:$D,"Total")</f>
        <v>0</v>
      </c>
      <c r="J40" s="113">
        <f t="shared" si="3"/>
        <v>190</v>
      </c>
      <c r="K40" s="249" t="s">
        <v>57</v>
      </c>
      <c r="L40" s="245">
        <v>44490.0</v>
      </c>
      <c r="M40" s="353">
        <v>44540.0</v>
      </c>
      <c r="N40" s="2" t="s">
        <v>680</v>
      </c>
      <c r="O40" s="310">
        <f t="shared" si="6"/>
        <v>31.37837838</v>
      </c>
      <c r="P40" s="311">
        <f t="shared" ref="P40:Q40" si="37">F40/D40</f>
        <v>0</v>
      </c>
      <c r="Q40" s="325" t="str">
        <f t="shared" si="37"/>
        <v>#DIV/0!</v>
      </c>
      <c r="R40" s="311">
        <f t="shared" si="8"/>
        <v>0</v>
      </c>
      <c r="S40" s="300" t="str">
        <f t="shared" si="23"/>
        <v>Closed</v>
      </c>
      <c r="T40" s="2" t="s">
        <v>166</v>
      </c>
      <c r="U40" s="162" t="s">
        <v>611</v>
      </c>
      <c r="V40" s="113">
        <f>COUNTIFS('Delivery Tracking'!E:E,B40)</f>
        <v>0</v>
      </c>
      <c r="W40" s="113">
        <f>SUMIFS(All_Stats!N:N,All_Stats!$A:$A,$B40,All_Stats!$B:$B,"Overall",All_Stats!$D:$D,"Total")</f>
        <v>0</v>
      </c>
      <c r="X40" s="245">
        <v>44491.0</v>
      </c>
      <c r="Y40" s="301"/>
      <c r="Z40" s="326"/>
    </row>
    <row r="41" hidden="1">
      <c r="A41" s="340" t="s">
        <v>681</v>
      </c>
      <c r="B41" s="354" t="s">
        <v>682</v>
      </c>
      <c r="C41" s="306"/>
      <c r="D41" s="162">
        <v>150.0</v>
      </c>
      <c r="E41" s="171">
        <f>SUMIFS(All_Stats!G:G,All_Stats!$A:$A,$B41,All_Stats!$B:$B,"Overall",All_Stats!$D:$D,"Total")</f>
        <v>0</v>
      </c>
      <c r="F41" s="113">
        <f>SUMIFS(All_Stats!H:H,All_Stats!$A:$A,$B41,All_Stats!$B:$B,"Overall",All_Stats!$D:$D,"Total")</f>
        <v>0</v>
      </c>
      <c r="G41" s="171">
        <f>SUMIFS(All_Stats!I:I,All_Stats!$A:$A,$B41,All_Stats!$B:$B,"Overall",All_Stats!$D:$D,"Total")</f>
        <v>0</v>
      </c>
      <c r="H41" s="113">
        <f>SUMIFS(All_Stats!K:K,All_Stats!$A:$A,$B41,All_Stats!$B:$B,"Overall",All_Stats!$D:$D,"Total")</f>
        <v>0</v>
      </c>
      <c r="I41" s="113">
        <f>SUMIFS(All_Stats!J:J,All_Stats!$A:$A,$B41,All_Stats!$B:$B,"Overall",All_Stats!$D:$D,"Total")</f>
        <v>0</v>
      </c>
      <c r="J41" s="113">
        <f t="shared" si="3"/>
        <v>150</v>
      </c>
      <c r="K41" s="249" t="s">
        <v>57</v>
      </c>
      <c r="L41" s="355">
        <v>44503.0</v>
      </c>
      <c r="M41" s="356">
        <v>44546.0</v>
      </c>
      <c r="O41" s="310">
        <f t="shared" si="6"/>
        <v>36</v>
      </c>
      <c r="P41" s="311">
        <f t="shared" ref="P41:Q41" si="38">F41/D41</f>
        <v>0</v>
      </c>
      <c r="Q41" s="325" t="str">
        <f t="shared" si="38"/>
        <v>#DIV/0!</v>
      </c>
      <c r="R41" s="311">
        <f t="shared" si="8"/>
        <v>0</v>
      </c>
      <c r="S41" s="300" t="str">
        <f t="shared" si="23"/>
        <v>Closed</v>
      </c>
      <c r="T41" s="2" t="s">
        <v>153</v>
      </c>
      <c r="U41" s="162" t="s">
        <v>611</v>
      </c>
      <c r="V41" s="113">
        <f>COUNTIFS('Delivery Tracking'!E:E,B41)</f>
        <v>0</v>
      </c>
      <c r="W41" s="113">
        <f>SUMIFS(All_Stats!N:N,All_Stats!$A:$A,$B41,All_Stats!$B:$B,"Overall",All_Stats!$D:$D,"Total")</f>
        <v>0</v>
      </c>
      <c r="X41" s="245">
        <v>44504.0</v>
      </c>
      <c r="Y41" s="301"/>
      <c r="Z41" s="326"/>
    </row>
    <row r="42" hidden="1">
      <c r="A42" s="334" t="s">
        <v>683</v>
      </c>
      <c r="B42" s="335" t="s">
        <v>684</v>
      </c>
      <c r="C42" s="306"/>
      <c r="D42" s="162">
        <v>40.0</v>
      </c>
      <c r="E42" s="171">
        <f>SUMIFS(All_Stats!G:G,All_Stats!$A:$A,$B42,All_Stats!$B:$B,"Overall",All_Stats!$D:$D,"Total")</f>
        <v>0</v>
      </c>
      <c r="F42" s="113">
        <f>SUMIFS(All_Stats!H:H,All_Stats!$A:$A,$B42,All_Stats!$B:$B,"Overall",All_Stats!$D:$D,"Total")</f>
        <v>0</v>
      </c>
      <c r="G42" s="171">
        <f>SUMIFS(All_Stats!I:I,All_Stats!$A:$A,$B42,All_Stats!$B:$B,"Overall",All_Stats!$D:$D,"Total")</f>
        <v>0</v>
      </c>
      <c r="H42" s="113">
        <f>SUMIFS(All_Stats!K:K,All_Stats!$A:$A,$B42,All_Stats!$B:$B,"Overall",All_Stats!$D:$D,"Total")</f>
        <v>0</v>
      </c>
      <c r="I42" s="113">
        <f>SUMIFS(All_Stats!J:J,All_Stats!$A:$A,$B42,All_Stats!$B:$B,"Overall",All_Stats!$D:$D,"Total")</f>
        <v>0</v>
      </c>
      <c r="J42" s="113">
        <f t="shared" si="3"/>
        <v>40</v>
      </c>
      <c r="K42" s="249" t="s">
        <v>57</v>
      </c>
      <c r="L42" s="323">
        <v>44501.0</v>
      </c>
      <c r="M42" s="245">
        <v>44537.0</v>
      </c>
      <c r="O42" s="310">
        <f t="shared" si="6"/>
        <v>42.74074074</v>
      </c>
      <c r="P42" s="311">
        <f t="shared" ref="P42:Q42" si="39">F42/D42</f>
        <v>0</v>
      </c>
      <c r="Q42" s="325" t="str">
        <f t="shared" si="39"/>
        <v>#DIV/0!</v>
      </c>
      <c r="R42" s="311">
        <f t="shared" si="8"/>
        <v>0</v>
      </c>
      <c r="S42" s="300" t="str">
        <f t="shared" si="23"/>
        <v>Closed</v>
      </c>
      <c r="T42" s="2" t="s">
        <v>153</v>
      </c>
      <c r="U42" s="162" t="s">
        <v>611</v>
      </c>
      <c r="V42" s="113">
        <f>COUNTIFS('Delivery Tracking'!E:E,B42)</f>
        <v>0</v>
      </c>
      <c r="W42" s="113">
        <f>SUMIFS(All_Stats!N:N,All_Stats!$A:$A,$B42,All_Stats!$B:$B,"Overall",All_Stats!$D:$D,"Total")</f>
        <v>0</v>
      </c>
      <c r="X42" s="245">
        <v>44503.0</v>
      </c>
      <c r="Y42" s="301"/>
      <c r="Z42" s="326"/>
    </row>
    <row r="43" hidden="1">
      <c r="A43" s="352" t="s">
        <v>664</v>
      </c>
      <c r="B43" s="342" t="s">
        <v>685</v>
      </c>
      <c r="C43" s="306"/>
      <c r="D43" s="162">
        <v>172.0</v>
      </c>
      <c r="E43" s="171">
        <f>SUMIFS(All_Stats!G:G,All_Stats!$A:$A,$B43,All_Stats!$B:$B,"Overall",All_Stats!$D:$D,"Total")</f>
        <v>0</v>
      </c>
      <c r="F43" s="113">
        <f>SUMIFS(All_Stats!H:H,All_Stats!$A:$A,$B43,All_Stats!$B:$B,"Overall",All_Stats!$D:$D,"Total")</f>
        <v>0</v>
      </c>
      <c r="G43" s="171">
        <f>SUMIFS(All_Stats!I:I,All_Stats!$A:$A,$B43,All_Stats!$B:$B,"Overall",All_Stats!$D:$D,"Total")</f>
        <v>0</v>
      </c>
      <c r="H43" s="113">
        <f>SUMIFS(All_Stats!K:K,All_Stats!$A:$A,$B43,All_Stats!$B:$B,"Overall",All_Stats!$D:$D,"Total")</f>
        <v>0</v>
      </c>
      <c r="I43" s="113">
        <f>SUMIFS(All_Stats!J:J,All_Stats!$A:$A,$B43,All_Stats!$B:$B,"Overall",All_Stats!$D:$D,"Total")</f>
        <v>0</v>
      </c>
      <c r="J43" s="113">
        <f t="shared" si="3"/>
        <v>172</v>
      </c>
      <c r="K43" s="249" t="s">
        <v>57</v>
      </c>
      <c r="L43" s="323">
        <v>44510.0</v>
      </c>
      <c r="M43" s="245">
        <v>44532.0</v>
      </c>
      <c r="N43" s="2" t="s">
        <v>686</v>
      </c>
      <c r="O43" s="310">
        <f t="shared" si="6"/>
        <v>67.47058824</v>
      </c>
      <c r="P43" s="311">
        <f t="shared" ref="P43:Q43" si="40">F43/D43</f>
        <v>0</v>
      </c>
      <c r="Q43" s="325" t="str">
        <f t="shared" si="40"/>
        <v>#DIV/0!</v>
      </c>
      <c r="R43" s="311">
        <f t="shared" si="8"/>
        <v>0</v>
      </c>
      <c r="S43" s="300" t="str">
        <f t="shared" si="23"/>
        <v>Closed</v>
      </c>
      <c r="T43" s="2" t="s">
        <v>67</v>
      </c>
      <c r="U43" s="162" t="s">
        <v>611</v>
      </c>
      <c r="V43" s="113">
        <f>COUNTIFS('Delivery Tracking'!E:E,B43)</f>
        <v>0</v>
      </c>
      <c r="W43" s="113">
        <f>SUMIFS(All_Stats!N:N,All_Stats!$A:$A,$B43,All_Stats!$B:$B,"Overall",All_Stats!$D:$D,"Total")</f>
        <v>0</v>
      </c>
      <c r="X43" s="323">
        <v>44511.0</v>
      </c>
      <c r="Y43" s="329"/>
      <c r="Z43" s="326"/>
    </row>
    <row r="44" hidden="1">
      <c r="A44" s="334" t="s">
        <v>687</v>
      </c>
      <c r="B44" s="335" t="s">
        <v>688</v>
      </c>
      <c r="C44" s="306"/>
      <c r="D44" s="162">
        <v>20.0</v>
      </c>
      <c r="E44" s="171">
        <f>SUMIFS(All_Stats!G:G,All_Stats!$A:$A,$B44,All_Stats!$B:$B,"Overall",All_Stats!$D:$D,"Total")</f>
        <v>0</v>
      </c>
      <c r="F44" s="113">
        <f>SUMIFS(All_Stats!H:H,All_Stats!$A:$A,$B44,All_Stats!$B:$B,"Overall",All_Stats!$D:$D,"Total")</f>
        <v>0</v>
      </c>
      <c r="G44" s="171">
        <f>SUMIFS(All_Stats!I:I,All_Stats!$A:$A,$B44,All_Stats!$B:$B,"Overall",All_Stats!$D:$D,"Total")</f>
        <v>0</v>
      </c>
      <c r="H44" s="113">
        <f>SUMIFS(All_Stats!K:K,All_Stats!$A:$A,$B44,All_Stats!$B:$B,"Overall",All_Stats!$D:$D,"Total")</f>
        <v>0</v>
      </c>
      <c r="I44" s="113">
        <f>SUMIFS(All_Stats!J:J,All_Stats!$A:$A,$B44,All_Stats!$B:$B,"Overall",All_Stats!$D:$D,"Total")</f>
        <v>0</v>
      </c>
      <c r="J44" s="113">
        <f t="shared" si="3"/>
        <v>20</v>
      </c>
      <c r="K44" s="249" t="s">
        <v>57</v>
      </c>
      <c r="L44" s="323">
        <v>44498.0</v>
      </c>
      <c r="M44" s="357">
        <v>44540.0</v>
      </c>
      <c r="N44" s="333" t="s">
        <v>689</v>
      </c>
      <c r="O44" s="310">
        <f t="shared" si="6"/>
        <v>37.25806452</v>
      </c>
      <c r="P44" s="311">
        <f t="shared" ref="P44:Q44" si="41">F44/D44</f>
        <v>0</v>
      </c>
      <c r="Q44" s="325" t="str">
        <f t="shared" si="41"/>
        <v>#DIV/0!</v>
      </c>
      <c r="R44" s="311">
        <f t="shared" si="8"/>
        <v>0</v>
      </c>
      <c r="S44" s="300" t="str">
        <f t="shared" si="23"/>
        <v>Closed</v>
      </c>
      <c r="T44" s="2" t="s">
        <v>67</v>
      </c>
      <c r="U44" s="162" t="s">
        <v>611</v>
      </c>
      <c r="V44" s="113">
        <f>COUNTIFS('Delivery Tracking'!E:E,B44)</f>
        <v>0</v>
      </c>
      <c r="W44" s="113">
        <f>SUMIFS(All_Stats!N:N,All_Stats!$A:$A,$B44,All_Stats!$B:$B,"Overall",All_Stats!$D:$D,"Total")</f>
        <v>0</v>
      </c>
      <c r="X44" s="245">
        <v>44498.0</v>
      </c>
      <c r="Y44" s="301"/>
      <c r="Z44" s="326"/>
    </row>
    <row r="45" hidden="1">
      <c r="A45" s="334" t="s">
        <v>690</v>
      </c>
      <c r="B45" s="335" t="s">
        <v>691</v>
      </c>
      <c r="C45" s="306"/>
      <c r="D45" s="162">
        <v>240.0</v>
      </c>
      <c r="E45" s="171">
        <f>SUMIFS(All_Stats!G:G,All_Stats!$A:$A,$B45,All_Stats!$B:$B,"Overall",All_Stats!$D:$D,"Total")</f>
        <v>0</v>
      </c>
      <c r="F45" s="113">
        <f>SUMIFS(All_Stats!H:H,All_Stats!$A:$A,$B45,All_Stats!$B:$B,"Overall",All_Stats!$D:$D,"Total")</f>
        <v>0</v>
      </c>
      <c r="G45" s="171">
        <f>SUMIFS(All_Stats!I:I,All_Stats!$A:$A,$B45,All_Stats!$B:$B,"Overall",All_Stats!$D:$D,"Total")</f>
        <v>0</v>
      </c>
      <c r="H45" s="113">
        <f>SUMIFS(All_Stats!K:K,All_Stats!$A:$A,$B45,All_Stats!$B:$B,"Overall",All_Stats!$D:$D,"Total")</f>
        <v>0</v>
      </c>
      <c r="I45" s="113">
        <f>SUMIFS(All_Stats!J:J,All_Stats!$A:$A,$B45,All_Stats!$B:$B,"Overall",All_Stats!$D:$D,"Total")</f>
        <v>0</v>
      </c>
      <c r="J45" s="113">
        <f t="shared" si="3"/>
        <v>240</v>
      </c>
      <c r="K45" s="249" t="s">
        <v>57</v>
      </c>
      <c r="L45" s="323">
        <v>44502.0</v>
      </c>
      <c r="M45" s="245">
        <v>44540.0</v>
      </c>
      <c r="N45" s="333" t="s">
        <v>692</v>
      </c>
      <c r="O45" s="310">
        <f t="shared" si="6"/>
        <v>39.75862069</v>
      </c>
      <c r="P45" s="311">
        <f t="shared" ref="P45:Q45" si="42">F45/D45</f>
        <v>0</v>
      </c>
      <c r="Q45" s="325" t="str">
        <f t="shared" si="42"/>
        <v>#DIV/0!</v>
      </c>
      <c r="R45" s="311">
        <f t="shared" si="8"/>
        <v>0</v>
      </c>
      <c r="S45" s="300" t="str">
        <f t="shared" si="23"/>
        <v>Closed</v>
      </c>
      <c r="T45" s="2" t="s">
        <v>67</v>
      </c>
      <c r="U45" s="162" t="s">
        <v>611</v>
      </c>
      <c r="V45" s="113">
        <f>COUNTIFS('Delivery Tracking'!E:E,B45)</f>
        <v>0</v>
      </c>
      <c r="W45" s="113">
        <f>SUMIFS(All_Stats!N:N,All_Stats!$A:$A,$B45,All_Stats!$B:$B,"Overall",All_Stats!$D:$D,"Total")</f>
        <v>0</v>
      </c>
      <c r="X45" s="323">
        <v>44503.0</v>
      </c>
      <c r="Y45" s="329"/>
      <c r="Z45" s="326"/>
    </row>
    <row r="46" hidden="1">
      <c r="A46" s="352" t="s">
        <v>693</v>
      </c>
      <c r="B46" s="342" t="s">
        <v>694</v>
      </c>
      <c r="C46" s="306"/>
      <c r="D46" s="162">
        <v>55.0</v>
      </c>
      <c r="E46" s="171">
        <f>SUMIFS(All_Stats!G:G,All_Stats!$A:$A,$B46,All_Stats!$B:$B,"Overall",All_Stats!$D:$D,"Total")</f>
        <v>0</v>
      </c>
      <c r="F46" s="113">
        <f>SUMIFS(All_Stats!H:H,All_Stats!$A:$A,$B46,All_Stats!$B:$B,"Overall",All_Stats!$D:$D,"Total")</f>
        <v>0</v>
      </c>
      <c r="G46" s="171">
        <f>SUMIFS(All_Stats!I:I,All_Stats!$A:$A,$B46,All_Stats!$B:$B,"Overall",All_Stats!$D:$D,"Total")</f>
        <v>0</v>
      </c>
      <c r="H46" s="113">
        <f>SUMIFS(All_Stats!K:K,All_Stats!$A:$A,$B46,All_Stats!$B:$B,"Overall",All_Stats!$D:$D,"Total")</f>
        <v>0</v>
      </c>
      <c r="I46" s="113">
        <f>SUMIFS(All_Stats!J:J,All_Stats!$A:$A,$B46,All_Stats!$B:$B,"Overall",All_Stats!$D:$D,"Total")</f>
        <v>0</v>
      </c>
      <c r="J46" s="113">
        <f t="shared" si="3"/>
        <v>55</v>
      </c>
      <c r="K46" s="249" t="s">
        <v>57</v>
      </c>
      <c r="L46" s="323">
        <v>44517.0</v>
      </c>
      <c r="M46" s="245">
        <v>44540.0</v>
      </c>
      <c r="O46" s="310">
        <f t="shared" si="6"/>
        <v>63.44444444</v>
      </c>
      <c r="P46" s="311">
        <f t="shared" ref="P46:Q46" si="43">F46/D46</f>
        <v>0</v>
      </c>
      <c r="Q46" s="325" t="str">
        <f t="shared" si="43"/>
        <v>#DIV/0!</v>
      </c>
      <c r="R46" s="311">
        <f t="shared" si="8"/>
        <v>0</v>
      </c>
      <c r="S46" s="300" t="str">
        <f t="shared" si="23"/>
        <v>Closed</v>
      </c>
      <c r="T46" s="2" t="s">
        <v>153</v>
      </c>
      <c r="U46" s="162" t="s">
        <v>611</v>
      </c>
      <c r="V46" s="113">
        <f>COUNTIFS('Delivery Tracking'!E:E,B46)</f>
        <v>0</v>
      </c>
      <c r="W46" s="113">
        <f>SUMIFS(All_Stats!N:N,All_Stats!$A:$A,$B46,All_Stats!$B:$B,"Overall",All_Stats!$D:$D,"Total")</f>
        <v>0</v>
      </c>
      <c r="X46" s="245">
        <v>44523.0</v>
      </c>
      <c r="Y46" s="301"/>
      <c r="Z46" s="326"/>
    </row>
    <row r="47" hidden="1">
      <c r="A47" s="352" t="s">
        <v>695</v>
      </c>
      <c r="B47" s="342" t="s">
        <v>696</v>
      </c>
      <c r="C47" s="306"/>
      <c r="D47" s="162">
        <v>43.0</v>
      </c>
      <c r="E47" s="171">
        <f>SUMIFS(All_Stats!G:G,All_Stats!$A:$A,$B47,All_Stats!$B:$B,"Overall",All_Stats!$D:$D,"Total")</f>
        <v>0</v>
      </c>
      <c r="F47" s="113">
        <f>SUMIFS(All_Stats!H:H,All_Stats!$A:$A,$B47,All_Stats!$B:$B,"Overall",All_Stats!$D:$D,"Total")</f>
        <v>0</v>
      </c>
      <c r="G47" s="171">
        <f>SUMIFS(All_Stats!I:I,All_Stats!$A:$A,$B47,All_Stats!$B:$B,"Overall",All_Stats!$D:$D,"Total")</f>
        <v>0</v>
      </c>
      <c r="H47" s="113">
        <f>SUMIFS(All_Stats!K:K,All_Stats!$A:$A,$B47,All_Stats!$B:$B,"Overall",All_Stats!$D:$D,"Total")</f>
        <v>0</v>
      </c>
      <c r="I47" s="113">
        <f>SUMIFS(All_Stats!J:J,All_Stats!$A:$A,$B47,All_Stats!$B:$B,"Overall",All_Stats!$D:$D,"Total")</f>
        <v>0</v>
      </c>
      <c r="J47" s="113">
        <f t="shared" si="3"/>
        <v>43</v>
      </c>
      <c r="K47" s="249" t="s">
        <v>57</v>
      </c>
      <c r="L47" s="245">
        <v>44483.0</v>
      </c>
      <c r="M47" s="245">
        <v>44540.0</v>
      </c>
      <c r="N47" s="2" t="s">
        <v>697</v>
      </c>
      <c r="O47" s="310">
        <f t="shared" si="6"/>
        <v>27.76190476</v>
      </c>
      <c r="P47" s="311">
        <f t="shared" ref="P47:Q47" si="44">F47/D47</f>
        <v>0</v>
      </c>
      <c r="Q47" s="325" t="str">
        <f t="shared" si="44"/>
        <v>#DIV/0!</v>
      </c>
      <c r="R47" s="311">
        <f t="shared" si="8"/>
        <v>0</v>
      </c>
      <c r="S47" s="300" t="str">
        <f t="shared" si="23"/>
        <v>Closed</v>
      </c>
      <c r="T47" s="2" t="s">
        <v>153</v>
      </c>
      <c r="U47" s="162" t="s">
        <v>611</v>
      </c>
      <c r="V47" s="113">
        <f>COUNTIFS('Delivery Tracking'!E:E,B47)</f>
        <v>0</v>
      </c>
      <c r="W47" s="113">
        <f>SUMIFS(All_Stats!N:N,All_Stats!$A:$A,$B47,All_Stats!$B:$B,"Overall",All_Stats!$D:$D,"Total")</f>
        <v>0</v>
      </c>
      <c r="X47" s="323">
        <v>44541.0</v>
      </c>
      <c r="Y47" s="329"/>
      <c r="Z47" s="326"/>
    </row>
    <row r="48" hidden="1">
      <c r="A48" s="334" t="s">
        <v>698</v>
      </c>
      <c r="B48" s="335" t="s">
        <v>699</v>
      </c>
      <c r="C48" s="306"/>
      <c r="D48" s="193">
        <v>64.0</v>
      </c>
      <c r="E48" s="171">
        <f>SUMIFS(All_Stats!G:G,All_Stats!$A:$A,$B48,All_Stats!$B:$B,"Overall",All_Stats!$D:$D,"Total")</f>
        <v>0</v>
      </c>
      <c r="F48" s="113">
        <f>SUMIFS(All_Stats!H:H,All_Stats!$A:$A,$B48,All_Stats!$B:$B,"Overall",All_Stats!$D:$D,"Total")</f>
        <v>0</v>
      </c>
      <c r="G48" s="171">
        <f>SUMIFS(All_Stats!I:I,All_Stats!$A:$A,$B48,All_Stats!$B:$B,"Overall",All_Stats!$D:$D,"Total")</f>
        <v>0</v>
      </c>
      <c r="H48" s="113">
        <f>SUMIFS(All_Stats!K:K,All_Stats!$A:$A,$B48,All_Stats!$B:$B,"Overall",All_Stats!$D:$D,"Total")</f>
        <v>0</v>
      </c>
      <c r="I48" s="113">
        <f>SUMIFS(All_Stats!J:J,All_Stats!$A:$A,$B48,All_Stats!$B:$B,"Overall",All_Stats!$D:$D,"Total")</f>
        <v>0</v>
      </c>
      <c r="J48" s="113">
        <f t="shared" si="3"/>
        <v>64</v>
      </c>
      <c r="K48" s="249" t="s">
        <v>57</v>
      </c>
      <c r="L48" s="356">
        <v>44413.0</v>
      </c>
      <c r="M48" s="245">
        <v>44538.0</v>
      </c>
      <c r="O48" s="310">
        <f t="shared" si="6"/>
        <v>13.51111111</v>
      </c>
      <c r="P48" s="311">
        <f t="shared" ref="P48:Q48" si="45">F48/D48</f>
        <v>0</v>
      </c>
      <c r="Q48" s="325" t="str">
        <f t="shared" si="45"/>
        <v>#DIV/0!</v>
      </c>
      <c r="R48" s="311">
        <f t="shared" si="8"/>
        <v>0</v>
      </c>
      <c r="S48" s="300" t="str">
        <f t="shared" si="23"/>
        <v>Closed</v>
      </c>
      <c r="T48" s="2" t="s">
        <v>153</v>
      </c>
      <c r="U48" s="162" t="s">
        <v>611</v>
      </c>
      <c r="V48" s="113">
        <f>COUNTIFS('Delivery Tracking'!E:E,B48)</f>
        <v>0</v>
      </c>
      <c r="W48" s="113">
        <f>SUMIFS(All_Stats!N:N,All_Stats!$A:$A,$B48,All_Stats!$B:$B,"Overall",All_Stats!$D:$D,"Total")</f>
        <v>0</v>
      </c>
      <c r="X48" s="245">
        <v>44414.0</v>
      </c>
      <c r="Y48" s="301"/>
      <c r="Z48" s="326"/>
    </row>
    <row r="49" hidden="1">
      <c r="A49" s="358" t="s">
        <v>700</v>
      </c>
      <c r="B49" s="341" t="s">
        <v>701</v>
      </c>
      <c r="C49" s="306"/>
      <c r="D49" s="162">
        <v>282.0</v>
      </c>
      <c r="E49" s="171">
        <f>SUMIFS(All_Stats!G:G,All_Stats!$A:$A,$B49,All_Stats!$B:$B,"Overall",All_Stats!$D:$D,"Total")</f>
        <v>0</v>
      </c>
      <c r="F49" s="113">
        <f>SUMIFS(All_Stats!H:H,All_Stats!$A:$A,$B49,All_Stats!$B:$B,"Overall",All_Stats!$D:$D,"Total")</f>
        <v>0</v>
      </c>
      <c r="G49" s="171">
        <f>SUMIFS(All_Stats!I:I,All_Stats!$A:$A,$B49,All_Stats!$B:$B,"Overall",All_Stats!$D:$D,"Total")</f>
        <v>0</v>
      </c>
      <c r="H49" s="113">
        <f>SUMIFS(All_Stats!K:K,All_Stats!$A:$A,$B49,All_Stats!$B:$B,"Overall",All_Stats!$D:$D,"Total")</f>
        <v>0</v>
      </c>
      <c r="I49" s="113">
        <f>SUMIFS(All_Stats!J:J,All_Stats!$A:$A,$B49,All_Stats!$B:$B,"Overall",All_Stats!$D:$D,"Total")</f>
        <v>0</v>
      </c>
      <c r="J49" s="113">
        <f t="shared" si="3"/>
        <v>282</v>
      </c>
      <c r="K49" s="249" t="s">
        <v>57</v>
      </c>
      <c r="L49" s="245">
        <v>44476.0</v>
      </c>
      <c r="M49" s="245">
        <v>44543.0</v>
      </c>
      <c r="N49" s="15" t="s">
        <v>702</v>
      </c>
      <c r="O49" s="310">
        <f t="shared" si="6"/>
        <v>24.39583333</v>
      </c>
      <c r="P49" s="311">
        <f t="shared" ref="P49:Q49" si="46">F49/D49</f>
        <v>0</v>
      </c>
      <c r="Q49" s="325" t="str">
        <f t="shared" si="46"/>
        <v>#DIV/0!</v>
      </c>
      <c r="R49" s="311">
        <f t="shared" si="8"/>
        <v>0</v>
      </c>
      <c r="S49" s="300" t="str">
        <f t="shared" si="23"/>
        <v>Closed</v>
      </c>
      <c r="T49" s="2" t="s">
        <v>111</v>
      </c>
      <c r="U49" s="162" t="s">
        <v>611</v>
      </c>
      <c r="V49" s="113">
        <f>COUNTIFS('Delivery Tracking'!E:E,B49)</f>
        <v>0</v>
      </c>
      <c r="W49" s="113">
        <f>SUMIFS(All_Stats!N:N,All_Stats!$A:$A,$B49,All_Stats!$B:$B,"Overall",All_Stats!$D:$D,"Total")</f>
        <v>0</v>
      </c>
      <c r="X49" s="245">
        <v>44477.0</v>
      </c>
      <c r="Y49" s="301"/>
      <c r="Z49" s="326"/>
    </row>
    <row r="50" hidden="1">
      <c r="A50" s="327" t="s">
        <v>703</v>
      </c>
      <c r="B50" s="328" t="s">
        <v>704</v>
      </c>
      <c r="C50" s="306"/>
      <c r="D50" s="162">
        <v>90.0</v>
      </c>
      <c r="E50" s="171">
        <f>SUMIFS(All_Stats!G:G,All_Stats!$A:$A,$B50,All_Stats!$B:$B,"Overall",All_Stats!$D:$D,"Total")</f>
        <v>0</v>
      </c>
      <c r="F50" s="113">
        <f>SUMIFS(All_Stats!H:H,All_Stats!$A:$A,$B50,All_Stats!$B:$B,"Overall",All_Stats!$D:$D,"Total")</f>
        <v>0</v>
      </c>
      <c r="G50" s="171">
        <f>SUMIFS(All_Stats!I:I,All_Stats!$A:$A,$B50,All_Stats!$B:$B,"Overall",All_Stats!$D:$D,"Total")</f>
        <v>0</v>
      </c>
      <c r="H50" s="113">
        <f>SUMIFS(All_Stats!K:K,All_Stats!$A:$A,$B50,All_Stats!$B:$B,"Overall",All_Stats!$D:$D,"Total")</f>
        <v>0</v>
      </c>
      <c r="I50" s="113">
        <f>SUMIFS(All_Stats!J:J,All_Stats!$A:$A,$B50,All_Stats!$B:$B,"Overall",All_Stats!$D:$D,"Total")</f>
        <v>0</v>
      </c>
      <c r="J50" s="113">
        <f t="shared" si="3"/>
        <v>90</v>
      </c>
      <c r="K50" s="249" t="s">
        <v>57</v>
      </c>
      <c r="L50" s="323">
        <v>44529.0</v>
      </c>
      <c r="M50" s="245">
        <v>44539.0</v>
      </c>
      <c r="O50" s="310">
        <f t="shared" si="6"/>
        <v>126</v>
      </c>
      <c r="P50" s="311">
        <f t="shared" ref="P50:Q50" si="47">F50/D50</f>
        <v>0</v>
      </c>
      <c r="Q50" s="325" t="str">
        <f t="shared" si="47"/>
        <v>#DIV/0!</v>
      </c>
      <c r="R50" s="311">
        <f t="shared" si="8"/>
        <v>0</v>
      </c>
      <c r="S50" s="300" t="str">
        <f t="shared" si="23"/>
        <v>Closed</v>
      </c>
      <c r="T50" s="2" t="s">
        <v>166</v>
      </c>
      <c r="U50" s="162" t="s">
        <v>611</v>
      </c>
      <c r="V50" s="113">
        <f>COUNTIFS('Delivery Tracking'!E:E,B50)</f>
        <v>0</v>
      </c>
      <c r="W50" s="113">
        <f>SUMIFS(All_Stats!N:N,All_Stats!$A:$A,$B50,All_Stats!$B:$B,"Overall",All_Stats!$D:$D,"Total")</f>
        <v>0</v>
      </c>
      <c r="X50" s="245">
        <v>44530.0</v>
      </c>
      <c r="Y50" s="301"/>
      <c r="Z50" s="326"/>
    </row>
    <row r="51" hidden="1">
      <c r="A51" s="340" t="s">
        <v>642</v>
      </c>
      <c r="B51" s="354" t="s">
        <v>705</v>
      </c>
      <c r="C51" s="306"/>
      <c r="D51" s="162">
        <v>25.0</v>
      </c>
      <c r="E51" s="171">
        <f>SUMIFS(All_Stats!G:G,All_Stats!$A:$A,$B51,All_Stats!$B:$B,"Overall",All_Stats!$D:$D,"Total")</f>
        <v>0</v>
      </c>
      <c r="F51" s="113">
        <f>SUMIFS(All_Stats!H:H,All_Stats!$A:$A,$B51,All_Stats!$B:$B,"Overall",All_Stats!$D:$D,"Total")</f>
        <v>0</v>
      </c>
      <c r="G51" s="171">
        <f>SUMIFS(All_Stats!I:I,All_Stats!$A:$A,$B51,All_Stats!$B:$B,"Overall",All_Stats!$D:$D,"Total")</f>
        <v>0</v>
      </c>
      <c r="H51" s="113">
        <f>SUMIFS(All_Stats!K:K,All_Stats!$A:$A,$B51,All_Stats!$B:$B,"Overall",All_Stats!$D:$D,"Total")</f>
        <v>0</v>
      </c>
      <c r="I51" s="113">
        <f>SUMIFS(All_Stats!J:J,All_Stats!$A:$A,$B51,All_Stats!$B:$B,"Overall",All_Stats!$D:$D,"Total")</f>
        <v>0</v>
      </c>
      <c r="J51" s="113">
        <f t="shared" si="3"/>
        <v>25</v>
      </c>
      <c r="K51" s="249" t="s">
        <v>57</v>
      </c>
      <c r="L51" s="245">
        <v>44468.0</v>
      </c>
      <c r="M51" s="245">
        <v>44540.0</v>
      </c>
      <c r="O51" s="310">
        <f t="shared" si="6"/>
        <v>22.20754717</v>
      </c>
      <c r="P51" s="311">
        <f t="shared" ref="P51:Q51" si="48">F51/D51</f>
        <v>0</v>
      </c>
      <c r="Q51" s="325" t="str">
        <f t="shared" si="48"/>
        <v>#DIV/0!</v>
      </c>
      <c r="R51" s="311">
        <f t="shared" si="8"/>
        <v>0</v>
      </c>
      <c r="S51" s="300" t="str">
        <f t="shared" si="23"/>
        <v>Closed</v>
      </c>
      <c r="T51" s="2" t="s">
        <v>80</v>
      </c>
      <c r="U51" s="162" t="s">
        <v>611</v>
      </c>
      <c r="V51" s="113">
        <f>COUNTIFS('Delivery Tracking'!E:E,B51)</f>
        <v>0</v>
      </c>
      <c r="W51" s="113">
        <f>SUMIFS(All_Stats!N:N,All_Stats!$A:$A,$B51,All_Stats!$B:$B,"Overall",All_Stats!$D:$D,"Total")</f>
        <v>0</v>
      </c>
      <c r="X51" s="245">
        <v>44469.0</v>
      </c>
      <c r="Y51" s="301"/>
      <c r="Z51" s="326"/>
    </row>
    <row r="52" hidden="1">
      <c r="A52" s="340" t="s">
        <v>642</v>
      </c>
      <c r="B52" s="341" t="s">
        <v>706</v>
      </c>
      <c r="C52" s="306"/>
      <c r="D52" s="162">
        <v>25.0</v>
      </c>
      <c r="E52" s="171">
        <f>SUMIFS(All_Stats!G:G,All_Stats!$A:$A,$B52,All_Stats!$B:$B,"Overall",All_Stats!$D:$D,"Total")</f>
        <v>0</v>
      </c>
      <c r="F52" s="113">
        <f>SUMIFS(All_Stats!H:H,All_Stats!$A:$A,$B52,All_Stats!$B:$B,"Overall",All_Stats!$D:$D,"Total")</f>
        <v>0</v>
      </c>
      <c r="G52" s="171">
        <f>SUMIFS(All_Stats!I:I,All_Stats!$A:$A,$B52,All_Stats!$B:$B,"Overall",All_Stats!$D:$D,"Total")</f>
        <v>0</v>
      </c>
      <c r="H52" s="113">
        <f>SUMIFS(All_Stats!K:K,All_Stats!$A:$A,$B52,All_Stats!$B:$B,"Overall",All_Stats!$D:$D,"Total")</f>
        <v>0</v>
      </c>
      <c r="I52" s="113">
        <f>SUMIFS(All_Stats!J:J,All_Stats!$A:$A,$B52,All_Stats!$B:$B,"Overall",All_Stats!$D:$D,"Total")</f>
        <v>0</v>
      </c>
      <c r="J52" s="113">
        <f t="shared" si="3"/>
        <v>25</v>
      </c>
      <c r="K52" s="249" t="s">
        <v>57</v>
      </c>
      <c r="L52" s="245">
        <v>44470.0</v>
      </c>
      <c r="M52" s="245">
        <v>44540.0</v>
      </c>
      <c r="O52" s="310">
        <f t="shared" si="6"/>
        <v>23.03921569</v>
      </c>
      <c r="P52" s="311">
        <f t="shared" ref="P52:Q52" si="49">F52/D52</f>
        <v>0</v>
      </c>
      <c r="Q52" s="325" t="str">
        <f t="shared" si="49"/>
        <v>#DIV/0!</v>
      </c>
      <c r="R52" s="311">
        <f t="shared" si="8"/>
        <v>0</v>
      </c>
      <c r="S52" s="300" t="str">
        <f t="shared" si="23"/>
        <v>Closed</v>
      </c>
      <c r="T52" s="2" t="s">
        <v>80</v>
      </c>
      <c r="U52" s="162" t="s">
        <v>611</v>
      </c>
      <c r="V52" s="113">
        <f>COUNTIFS('Delivery Tracking'!E:E,B52)</f>
        <v>0</v>
      </c>
      <c r="W52" s="113">
        <f>SUMIFS(All_Stats!N:N,All_Stats!$A:$A,$B52,All_Stats!$B:$B,"Overall",All_Stats!$D:$D,"Total")</f>
        <v>0</v>
      </c>
      <c r="X52" s="245">
        <v>44473.0</v>
      </c>
      <c r="Y52" s="301"/>
      <c r="Z52" s="326"/>
    </row>
    <row r="53" hidden="1">
      <c r="A53" s="346" t="s">
        <v>707</v>
      </c>
      <c r="B53" s="322" t="s">
        <v>708</v>
      </c>
      <c r="C53" s="306"/>
      <c r="D53" s="162">
        <v>15.0</v>
      </c>
      <c r="E53" s="171">
        <f>SUMIFS(All_Stats!G:G,All_Stats!$A:$A,$B53,All_Stats!$B:$B,"Overall",All_Stats!$D:$D,"Total")</f>
        <v>0</v>
      </c>
      <c r="F53" s="113">
        <f>SUMIFS(All_Stats!H:H,All_Stats!$A:$A,$B53,All_Stats!$B:$B,"Overall",All_Stats!$D:$D,"Total")</f>
        <v>0</v>
      </c>
      <c r="G53" s="171">
        <f>SUMIFS(All_Stats!I:I,All_Stats!$A:$A,$B53,All_Stats!$B:$B,"Overall",All_Stats!$D:$D,"Total")</f>
        <v>0</v>
      </c>
      <c r="H53" s="113">
        <f>SUMIFS(All_Stats!K:K,All_Stats!$A:$A,$B53,All_Stats!$B:$B,"Overall",All_Stats!$D:$D,"Total")</f>
        <v>0</v>
      </c>
      <c r="I53" s="113">
        <f>SUMIFS(All_Stats!J:J,All_Stats!$A:$A,$B53,All_Stats!$B:$B,"Overall",All_Stats!$D:$D,"Total")</f>
        <v>0</v>
      </c>
      <c r="J53" s="113">
        <f t="shared" si="3"/>
        <v>15</v>
      </c>
      <c r="K53" s="249" t="s">
        <v>649</v>
      </c>
      <c r="L53" s="245">
        <v>44447.0</v>
      </c>
      <c r="M53" s="245">
        <v>44510.0</v>
      </c>
      <c r="O53" s="310">
        <f t="shared" si="6"/>
        <v>25.91304348</v>
      </c>
      <c r="P53" s="311">
        <f t="shared" ref="P53:Q53" si="50">F53/D53</f>
        <v>0</v>
      </c>
      <c r="Q53" s="325" t="str">
        <f t="shared" si="50"/>
        <v>#DIV/0!</v>
      </c>
      <c r="R53" s="311">
        <f t="shared" si="8"/>
        <v>0</v>
      </c>
      <c r="S53" s="249" t="s">
        <v>649</v>
      </c>
      <c r="T53" s="2" t="s">
        <v>21</v>
      </c>
      <c r="U53" s="162" t="s">
        <v>611</v>
      </c>
      <c r="V53" s="113">
        <f>COUNTIFS('Delivery Tracking'!E:E,B53)</f>
        <v>0</v>
      </c>
      <c r="W53" s="113">
        <f>SUMIFS(All_Stats!N:N,All_Stats!$A:$A,$B53,All_Stats!$B:$B,"Overall",All_Stats!$D:$D,"Total")</f>
        <v>0</v>
      </c>
      <c r="X53" s="245">
        <v>44449.0</v>
      </c>
      <c r="Y53" s="301"/>
      <c r="Z53" s="326"/>
    </row>
    <row r="54" hidden="1">
      <c r="A54" s="340" t="s">
        <v>642</v>
      </c>
      <c r="B54" s="341" t="s">
        <v>709</v>
      </c>
      <c r="C54" s="306"/>
      <c r="D54" s="162">
        <v>25.0</v>
      </c>
      <c r="E54" s="171">
        <f>SUMIFS(All_Stats!G:G,All_Stats!$A:$A,$B54,All_Stats!$B:$B,"Overall",All_Stats!$D:$D,"Total")</f>
        <v>0</v>
      </c>
      <c r="F54" s="113">
        <f>SUMIFS(All_Stats!H:H,All_Stats!$A:$A,$B54,All_Stats!$B:$B,"Overall",All_Stats!$D:$D,"Total")</f>
        <v>0</v>
      </c>
      <c r="G54" s="171">
        <f>SUMIFS(All_Stats!I:I,All_Stats!$A:$A,$B54,All_Stats!$B:$B,"Overall",All_Stats!$D:$D,"Total")</f>
        <v>0</v>
      </c>
      <c r="H54" s="113">
        <f>SUMIFS(All_Stats!K:K,All_Stats!$A:$A,$B54,All_Stats!$B:$B,"Overall",All_Stats!$D:$D,"Total")</f>
        <v>0</v>
      </c>
      <c r="I54" s="113">
        <f>SUMIFS(All_Stats!J:J,All_Stats!$A:$A,$B54,All_Stats!$B:$B,"Overall",All_Stats!$D:$D,"Total")</f>
        <v>0</v>
      </c>
      <c r="J54" s="113">
        <f t="shared" si="3"/>
        <v>25</v>
      </c>
      <c r="K54" s="249" t="s">
        <v>57</v>
      </c>
      <c r="L54" s="245">
        <v>44460.0</v>
      </c>
      <c r="M54" s="332">
        <v>44533.0</v>
      </c>
      <c r="N54" s="2" t="s">
        <v>710</v>
      </c>
      <c r="O54" s="310">
        <f t="shared" si="6"/>
        <v>21.90740741</v>
      </c>
      <c r="P54" s="311">
        <f t="shared" ref="P54:Q54" si="51">F54/D54</f>
        <v>0</v>
      </c>
      <c r="Q54" s="325" t="str">
        <f t="shared" si="51"/>
        <v>#DIV/0!</v>
      </c>
      <c r="R54" s="311">
        <f t="shared" si="8"/>
        <v>0</v>
      </c>
      <c r="S54" s="300" t="str">
        <f t="shared" ref="S54:S74" si="53">iferror(ifs(
K54="Closed","Closed",
K54="Paused","Paused",
UPPER(X54)="N/A","PRE",
X54="","N/A",
(_xlfn.NETWORKDAYS.INTL(X54,D$2)-1)/_xlfn.NETWORKDAYS.INTL(X54,M54)&lt;S$2,"PRE",
F54=0,"Underpacing",
O54-(F54+H54*(G54/(G54+F54)))/D54&gt;0.2,"Underpacing",
O54-(F54+H54*(G54/(G54+F54)))/D54&lt;=0.2,"On track")
,"N/A")</f>
        <v>Closed</v>
      </c>
      <c r="T54" s="2" t="s">
        <v>80</v>
      </c>
      <c r="U54" s="162" t="s">
        <v>611</v>
      </c>
      <c r="V54" s="113">
        <f>COUNTIFS('Delivery Tracking'!E:E,B54)</f>
        <v>0</v>
      </c>
      <c r="W54" s="113">
        <f>SUMIFS(All_Stats!N:N,All_Stats!$A:$A,$B54,All_Stats!$B:$B,"Overall",All_Stats!$D:$D,"Total")</f>
        <v>0</v>
      </c>
      <c r="X54" s="323">
        <v>44512.0</v>
      </c>
      <c r="Y54" s="329"/>
      <c r="Z54" s="326"/>
    </row>
    <row r="55" hidden="1">
      <c r="A55" s="344" t="s">
        <v>642</v>
      </c>
      <c r="B55" s="359" t="s">
        <v>711</v>
      </c>
      <c r="C55" s="306"/>
      <c r="D55" s="162">
        <v>39.0</v>
      </c>
      <c r="E55" s="171">
        <f>SUMIFS(All_Stats!G:G,All_Stats!$A:$A,$B55,All_Stats!$B:$B,"Overall",All_Stats!$D:$D,"Total")</f>
        <v>0</v>
      </c>
      <c r="F55" s="113">
        <f>SUMIFS(All_Stats!H:H,All_Stats!$A:$A,$B55,All_Stats!$B:$B,"Overall",All_Stats!$D:$D,"Total")</f>
        <v>0</v>
      </c>
      <c r="G55" s="171">
        <f>SUMIFS(All_Stats!I:I,All_Stats!$A:$A,$B55,All_Stats!$B:$B,"Overall",All_Stats!$D:$D,"Total")</f>
        <v>0</v>
      </c>
      <c r="H55" s="113">
        <f>SUMIFS(All_Stats!K:K,All_Stats!$A:$A,$B55,All_Stats!$B:$B,"Overall",All_Stats!$D:$D,"Total")</f>
        <v>0</v>
      </c>
      <c r="I55" s="113">
        <f>SUMIFS(All_Stats!J:J,All_Stats!$A:$A,$B55,All_Stats!$B:$B,"Overall",All_Stats!$D:$D,"Total")</f>
        <v>0</v>
      </c>
      <c r="J55" s="113">
        <f t="shared" si="3"/>
        <v>39</v>
      </c>
      <c r="K55" s="249" t="s">
        <v>57</v>
      </c>
      <c r="L55" s="323">
        <v>44496.0</v>
      </c>
      <c r="M55" s="332">
        <v>44533.0</v>
      </c>
      <c r="N55" s="360" t="s">
        <v>712</v>
      </c>
      <c r="O55" s="310">
        <f t="shared" si="6"/>
        <v>41.32142857</v>
      </c>
      <c r="P55" s="311">
        <f t="shared" ref="P55:Q55" si="52">F55/D55</f>
        <v>0</v>
      </c>
      <c r="Q55" s="325" t="str">
        <f t="shared" si="52"/>
        <v>#DIV/0!</v>
      </c>
      <c r="R55" s="311">
        <f t="shared" si="8"/>
        <v>0</v>
      </c>
      <c r="S55" s="300" t="str">
        <f t="shared" si="53"/>
        <v>Closed</v>
      </c>
      <c r="T55" s="2" t="s">
        <v>80</v>
      </c>
      <c r="U55" s="162" t="s">
        <v>611</v>
      </c>
      <c r="V55" s="113">
        <f>COUNTIFS('Delivery Tracking'!E:E,B55)</f>
        <v>0</v>
      </c>
      <c r="W55" s="113">
        <f>SUMIFS(All_Stats!N:N,All_Stats!$A:$A,$B55,All_Stats!$B:$B,"Overall",All_Stats!$D:$D,"Total")</f>
        <v>0</v>
      </c>
      <c r="X55" s="323">
        <v>44513.0</v>
      </c>
      <c r="Y55" s="329"/>
      <c r="Z55" s="326"/>
    </row>
    <row r="56" hidden="1">
      <c r="A56" s="352" t="s">
        <v>713</v>
      </c>
      <c r="B56" s="342" t="s">
        <v>521</v>
      </c>
      <c r="C56" s="306"/>
      <c r="D56" s="162">
        <v>100.0</v>
      </c>
      <c r="E56" s="171">
        <f>SUMIFS(All_Stats!G:G,All_Stats!$A:$A,$B56,All_Stats!$B:$B,"Overall",All_Stats!$D:$D,"Total")</f>
        <v>0</v>
      </c>
      <c r="F56" s="113">
        <f>SUMIFS(All_Stats!H:H,All_Stats!$A:$A,$B56,All_Stats!$B:$B,"Overall",All_Stats!$D:$D,"Total")</f>
        <v>0</v>
      </c>
      <c r="G56" s="171">
        <f>SUMIFS(All_Stats!I:I,All_Stats!$A:$A,$B56,All_Stats!$B:$B,"Overall",All_Stats!$D:$D,"Total")</f>
        <v>0</v>
      </c>
      <c r="H56" s="113">
        <f>SUMIFS(All_Stats!K:K,All_Stats!$A:$A,$B56,All_Stats!$B:$B,"Overall",All_Stats!$D:$D,"Total")</f>
        <v>0</v>
      </c>
      <c r="I56" s="113">
        <f>SUMIFS(All_Stats!J:J,All_Stats!$A:$A,$B56,All_Stats!$B:$B,"Overall",All_Stats!$D:$D,"Total")</f>
        <v>0</v>
      </c>
      <c r="J56" s="113">
        <f t="shared" si="3"/>
        <v>100</v>
      </c>
      <c r="K56" s="249" t="s">
        <v>57</v>
      </c>
      <c r="L56" s="323">
        <v>44504.0</v>
      </c>
      <c r="M56" s="245">
        <v>44529.0</v>
      </c>
      <c r="N56" s="324"/>
      <c r="O56" s="310">
        <f t="shared" si="6"/>
        <v>63.94444444</v>
      </c>
      <c r="P56" s="311">
        <f t="shared" ref="P56:Q56" si="54">F56/D56</f>
        <v>0</v>
      </c>
      <c r="Q56" s="325" t="str">
        <f t="shared" si="54"/>
        <v>#DIV/0!</v>
      </c>
      <c r="R56" s="311">
        <f t="shared" si="8"/>
        <v>0</v>
      </c>
      <c r="S56" s="300" t="str">
        <f t="shared" si="53"/>
        <v>Closed</v>
      </c>
      <c r="T56" s="2" t="s">
        <v>166</v>
      </c>
      <c r="U56" s="162" t="s">
        <v>611</v>
      </c>
      <c r="V56" s="113">
        <f>COUNTIFS('Delivery Tracking'!E:E,B56)</f>
        <v>0</v>
      </c>
      <c r="W56" s="113">
        <f>SUMIFS(All_Stats!N:N,All_Stats!$A:$A,$B56,All_Stats!$B:$B,"Overall",All_Stats!$D:$D,"Total")</f>
        <v>0</v>
      </c>
      <c r="X56" s="323">
        <v>44514.0</v>
      </c>
      <c r="Y56" s="329"/>
      <c r="Z56" s="326"/>
    </row>
    <row r="57" hidden="1">
      <c r="A57" s="352" t="s">
        <v>714</v>
      </c>
      <c r="B57" s="342" t="s">
        <v>715</v>
      </c>
      <c r="C57" s="306"/>
      <c r="D57" s="162">
        <v>281.0</v>
      </c>
      <c r="E57" s="171">
        <f>SUMIFS(All_Stats!G:G,All_Stats!$A:$A,$B57,All_Stats!$B:$B,"Overall",All_Stats!$D:$D,"Total")</f>
        <v>0</v>
      </c>
      <c r="F57" s="113">
        <f>SUMIFS(All_Stats!H:H,All_Stats!$A:$A,$B57,All_Stats!$B:$B,"Overall",All_Stats!$D:$D,"Total")</f>
        <v>0</v>
      </c>
      <c r="G57" s="171">
        <f>SUMIFS(All_Stats!I:I,All_Stats!$A:$A,$B57,All_Stats!$B:$B,"Overall",All_Stats!$D:$D,"Total")</f>
        <v>0</v>
      </c>
      <c r="H57" s="113">
        <f>SUMIFS(All_Stats!K:K,All_Stats!$A:$A,$B57,All_Stats!$B:$B,"Overall",All_Stats!$D:$D,"Total")</f>
        <v>0</v>
      </c>
      <c r="I57" s="113">
        <f>SUMIFS(All_Stats!J:J,All_Stats!$A:$A,$B57,All_Stats!$B:$B,"Overall",All_Stats!$D:$D,"Total")</f>
        <v>0</v>
      </c>
      <c r="J57" s="113">
        <f t="shared" si="3"/>
        <v>281</v>
      </c>
      <c r="K57" s="249" t="s">
        <v>57</v>
      </c>
      <c r="L57" s="323">
        <v>44495.0</v>
      </c>
      <c r="M57" s="332">
        <v>44533.0</v>
      </c>
      <c r="N57" s="324"/>
      <c r="O57" s="310">
        <f t="shared" si="6"/>
        <v>39.93103448</v>
      </c>
      <c r="P57" s="311">
        <f t="shared" ref="P57:Q57" si="55">F57/D57</f>
        <v>0</v>
      </c>
      <c r="Q57" s="325" t="str">
        <f t="shared" si="55"/>
        <v>#DIV/0!</v>
      </c>
      <c r="R57" s="311">
        <f t="shared" si="8"/>
        <v>0</v>
      </c>
      <c r="S57" s="300" t="str">
        <f t="shared" si="53"/>
        <v>Closed</v>
      </c>
      <c r="T57" s="2" t="s">
        <v>111</v>
      </c>
      <c r="U57" s="162" t="s">
        <v>611</v>
      </c>
      <c r="V57" s="113">
        <f>COUNTIFS('Delivery Tracking'!E:E,B57)</f>
        <v>0</v>
      </c>
      <c r="W57" s="113">
        <f>SUMIFS(All_Stats!N:N,All_Stats!$A:$A,$B57,All_Stats!$B:$B,"Overall",All_Stats!$D:$D,"Total")</f>
        <v>0</v>
      </c>
      <c r="X57" s="245">
        <v>44497.0</v>
      </c>
      <c r="Y57" s="301"/>
      <c r="Z57" s="326"/>
    </row>
    <row r="58" hidden="1">
      <c r="A58" s="334" t="s">
        <v>716</v>
      </c>
      <c r="B58" s="342" t="s">
        <v>717</v>
      </c>
      <c r="C58" s="306"/>
      <c r="D58" s="162">
        <v>50.0</v>
      </c>
      <c r="E58" s="171">
        <f>SUMIFS(All_Stats!G:G,All_Stats!$A:$A,$B58,All_Stats!$B:$B,"Overall",All_Stats!$D:$D,"Total")</f>
        <v>0</v>
      </c>
      <c r="F58" s="113">
        <f>SUMIFS(All_Stats!H:H,All_Stats!$A:$A,$B58,All_Stats!$B:$B,"Overall",All_Stats!$D:$D,"Total")</f>
        <v>0</v>
      </c>
      <c r="G58" s="171">
        <f>SUMIFS(All_Stats!I:I,All_Stats!$A:$A,$B58,All_Stats!$B:$B,"Overall",All_Stats!$D:$D,"Total")</f>
        <v>0</v>
      </c>
      <c r="H58" s="113">
        <f>SUMIFS(All_Stats!K:K,All_Stats!$A:$A,$B58,All_Stats!$B:$B,"Overall",All_Stats!$D:$D,"Total")</f>
        <v>0</v>
      </c>
      <c r="I58" s="113">
        <f>SUMIFS(All_Stats!J:J,All_Stats!$A:$A,$B58,All_Stats!$B:$B,"Overall",All_Stats!$D:$D,"Total")</f>
        <v>0</v>
      </c>
      <c r="J58" s="113">
        <f t="shared" si="3"/>
        <v>50</v>
      </c>
      <c r="K58" s="249" t="s">
        <v>57</v>
      </c>
      <c r="L58" s="323">
        <v>44517.0</v>
      </c>
      <c r="M58" s="349">
        <v>44539.0</v>
      </c>
      <c r="O58" s="310">
        <f t="shared" si="6"/>
        <v>67.17647059</v>
      </c>
      <c r="P58" s="311">
        <f t="shared" ref="P58:Q58" si="56">F58/D58</f>
        <v>0</v>
      </c>
      <c r="Q58" s="325" t="str">
        <f t="shared" si="56"/>
        <v>#DIV/0!</v>
      </c>
      <c r="R58" s="311">
        <f t="shared" si="8"/>
        <v>0</v>
      </c>
      <c r="S58" s="300" t="str">
        <f t="shared" si="53"/>
        <v>Closed</v>
      </c>
      <c r="T58" s="2" t="s">
        <v>153</v>
      </c>
      <c r="U58" s="162" t="s">
        <v>611</v>
      </c>
      <c r="V58" s="113">
        <f>COUNTIFS('Delivery Tracking'!E:E,B58)</f>
        <v>0</v>
      </c>
      <c r="W58" s="113">
        <f>SUMIFS(All_Stats!N:N,All_Stats!$A:$A,$B58,All_Stats!$B:$B,"Overall",All_Stats!$D:$D,"Total")</f>
        <v>0</v>
      </c>
      <c r="X58" s="323">
        <v>44515.0</v>
      </c>
      <c r="Y58" s="329"/>
      <c r="Z58" s="326"/>
    </row>
    <row r="59" hidden="1">
      <c r="A59" s="330" t="s">
        <v>718</v>
      </c>
      <c r="B59" s="361" t="s">
        <v>719</v>
      </c>
      <c r="C59" s="306"/>
      <c r="D59" s="162">
        <v>128.0</v>
      </c>
      <c r="E59" s="171">
        <f>SUMIFS(All_Stats!G:G,All_Stats!$A:$A,$B59,All_Stats!$B:$B,"Overall",All_Stats!$D:$D,"Total")</f>
        <v>0</v>
      </c>
      <c r="F59" s="113">
        <f>SUMIFS(All_Stats!H:H,All_Stats!$A:$A,$B59,All_Stats!$B:$B,"Overall",All_Stats!$D:$D,"Total")</f>
        <v>0</v>
      </c>
      <c r="G59" s="171">
        <f>SUMIFS(All_Stats!I:I,All_Stats!$A:$A,$B59,All_Stats!$B:$B,"Overall",All_Stats!$D:$D,"Total")</f>
        <v>0</v>
      </c>
      <c r="H59" s="113">
        <f>SUMIFS(All_Stats!K:K,All_Stats!$A:$A,$B59,All_Stats!$B:$B,"Overall",All_Stats!$D:$D,"Total")</f>
        <v>0</v>
      </c>
      <c r="I59" s="113">
        <f>SUMIFS(All_Stats!J:J,All_Stats!$A:$A,$B59,All_Stats!$B:$B,"Overall",All_Stats!$D:$D,"Total")</f>
        <v>0</v>
      </c>
      <c r="J59" s="113">
        <f t="shared" si="3"/>
        <v>128</v>
      </c>
      <c r="K59" s="249" t="s">
        <v>57</v>
      </c>
      <c r="L59" s="245">
        <v>44446.0</v>
      </c>
      <c r="M59" s="349">
        <v>44532.0</v>
      </c>
      <c r="O59" s="310">
        <f t="shared" si="6"/>
        <v>18.93650794</v>
      </c>
      <c r="P59" s="311">
        <f t="shared" ref="P59:Q59" si="57">F59/D59</f>
        <v>0</v>
      </c>
      <c r="Q59" s="325" t="str">
        <f t="shared" si="57"/>
        <v>#DIV/0!</v>
      </c>
      <c r="R59" s="311">
        <f t="shared" si="8"/>
        <v>0</v>
      </c>
      <c r="S59" s="300" t="str">
        <f t="shared" si="53"/>
        <v>Closed</v>
      </c>
      <c r="T59" s="2" t="s">
        <v>80</v>
      </c>
      <c r="U59" s="162" t="s">
        <v>720</v>
      </c>
      <c r="V59" s="113">
        <f>COUNTIFS('Delivery Tracking'!E:E,B59)</f>
        <v>0</v>
      </c>
      <c r="W59" s="113">
        <f>SUMIFS(All_Stats!N:N,All_Stats!$A:$A,$B59,All_Stats!$B:$B,"Overall",All_Stats!$D:$D,"Total")</f>
        <v>0</v>
      </c>
      <c r="X59" s="323">
        <v>44516.0</v>
      </c>
      <c r="Y59" s="329"/>
      <c r="Z59" s="326"/>
    </row>
    <row r="60" hidden="1">
      <c r="A60" s="327" t="s">
        <v>721</v>
      </c>
      <c r="B60" s="341" t="s">
        <v>722</v>
      </c>
      <c r="C60" s="306"/>
      <c r="D60" s="162">
        <v>79.0</v>
      </c>
      <c r="E60" s="171">
        <f>SUMIFS(All_Stats!G:G,All_Stats!$A:$A,$B60,All_Stats!$B:$B,"Overall",All_Stats!$D:$D,"Total")</f>
        <v>0</v>
      </c>
      <c r="F60" s="113">
        <f>SUMIFS(All_Stats!H:H,All_Stats!$A:$A,$B60,All_Stats!$B:$B,"Overall",All_Stats!$D:$D,"Total")</f>
        <v>0</v>
      </c>
      <c r="G60" s="171">
        <f>SUMIFS(All_Stats!I:I,All_Stats!$A:$A,$B60,All_Stats!$B:$B,"Overall",All_Stats!$D:$D,"Total")</f>
        <v>0</v>
      </c>
      <c r="H60" s="113">
        <f>SUMIFS(All_Stats!K:K,All_Stats!$A:$A,$B60,All_Stats!$B:$B,"Overall",All_Stats!$D:$D,"Total")</f>
        <v>0</v>
      </c>
      <c r="I60" s="113">
        <f>SUMIFS(All_Stats!J:J,All_Stats!$A:$A,$B60,All_Stats!$B:$B,"Overall",All_Stats!$D:$D,"Total")</f>
        <v>0</v>
      </c>
      <c r="J60" s="113">
        <f t="shared" si="3"/>
        <v>79</v>
      </c>
      <c r="K60" s="249" t="s">
        <v>57</v>
      </c>
      <c r="L60" s="245">
        <v>44488.0</v>
      </c>
      <c r="M60" s="332">
        <v>44530.0</v>
      </c>
      <c r="O60" s="310">
        <f t="shared" si="6"/>
        <v>37.51612903</v>
      </c>
      <c r="P60" s="311">
        <f t="shared" ref="P60:Q60" si="58">F60/D60</f>
        <v>0</v>
      </c>
      <c r="Q60" s="325" t="str">
        <f t="shared" si="58"/>
        <v>#DIV/0!</v>
      </c>
      <c r="R60" s="311">
        <f t="shared" si="8"/>
        <v>0</v>
      </c>
      <c r="S60" s="300" t="str">
        <f t="shared" si="53"/>
        <v>Closed</v>
      </c>
      <c r="T60" s="2" t="s">
        <v>153</v>
      </c>
      <c r="U60" s="162" t="s">
        <v>611</v>
      </c>
      <c r="V60" s="113">
        <f>COUNTIFS('Delivery Tracking'!E:E,B60)</f>
        <v>0</v>
      </c>
      <c r="W60" s="113">
        <f>SUMIFS(All_Stats!N:N,All_Stats!$A:$A,$B60,All_Stats!$B:$B,"Overall",All_Stats!$D:$D,"Total")</f>
        <v>0</v>
      </c>
      <c r="X60" s="323">
        <v>44517.0</v>
      </c>
      <c r="Y60" s="329"/>
      <c r="Z60" s="326"/>
    </row>
    <row r="61" hidden="1">
      <c r="A61" s="334" t="s">
        <v>723</v>
      </c>
      <c r="B61" s="342" t="s">
        <v>724</v>
      </c>
      <c r="C61" s="306"/>
      <c r="D61" s="162">
        <v>35.0</v>
      </c>
      <c r="E61" s="171">
        <f>SUMIFS(All_Stats!G:G,All_Stats!$A:$A,$B61,All_Stats!$B:$B,"Overall",All_Stats!$D:$D,"Total")</f>
        <v>0</v>
      </c>
      <c r="F61" s="113">
        <f>SUMIFS(All_Stats!H:H,All_Stats!$A:$A,$B61,All_Stats!$B:$B,"Overall",All_Stats!$D:$D,"Total")</f>
        <v>0</v>
      </c>
      <c r="G61" s="171">
        <f>SUMIFS(All_Stats!I:I,All_Stats!$A:$A,$B61,All_Stats!$B:$B,"Overall",All_Stats!$D:$D,"Total")</f>
        <v>0</v>
      </c>
      <c r="H61" s="113">
        <f>SUMIFS(All_Stats!K:K,All_Stats!$A:$A,$B61,All_Stats!$B:$B,"Overall",All_Stats!$D:$D,"Total")</f>
        <v>0</v>
      </c>
      <c r="I61" s="113">
        <f>SUMIFS(All_Stats!J:J,All_Stats!$A:$A,$B61,All_Stats!$B:$B,"Overall",All_Stats!$D:$D,"Total")</f>
        <v>0</v>
      </c>
      <c r="J61" s="113">
        <f t="shared" si="3"/>
        <v>35</v>
      </c>
      <c r="K61" s="249" t="s">
        <v>57</v>
      </c>
      <c r="L61" s="323">
        <v>44515.0</v>
      </c>
      <c r="M61" s="245">
        <v>44537.0</v>
      </c>
      <c r="O61" s="310">
        <f t="shared" si="6"/>
        <v>67.29411765</v>
      </c>
      <c r="P61" s="311">
        <f t="shared" ref="P61:Q61" si="59">F61/D61</f>
        <v>0</v>
      </c>
      <c r="Q61" s="325" t="str">
        <f t="shared" si="59"/>
        <v>#DIV/0!</v>
      </c>
      <c r="R61" s="311">
        <f t="shared" si="8"/>
        <v>0</v>
      </c>
      <c r="S61" s="300" t="str">
        <f t="shared" si="53"/>
        <v>Closed</v>
      </c>
      <c r="T61" s="2" t="s">
        <v>166</v>
      </c>
      <c r="U61" s="162" t="s">
        <v>611</v>
      </c>
      <c r="V61" s="113">
        <f>COUNTIFS('Delivery Tracking'!E:E,B61)</f>
        <v>0</v>
      </c>
      <c r="W61" s="113">
        <f>SUMIFS(All_Stats!N:N,All_Stats!$A:$A,$B61,All_Stats!$B:$B,"Overall",All_Stats!$D:$D,"Total")</f>
        <v>0</v>
      </c>
      <c r="X61" s="323">
        <v>44518.0</v>
      </c>
      <c r="Y61" s="329"/>
      <c r="Z61" s="326"/>
    </row>
    <row r="62" hidden="1">
      <c r="A62" s="362" t="s">
        <v>725</v>
      </c>
      <c r="B62" s="363" t="s">
        <v>726</v>
      </c>
      <c r="C62" s="306"/>
      <c r="D62" s="162">
        <v>265.0</v>
      </c>
      <c r="E62" s="171">
        <f>SUMIFS(All_Stats!G:G,All_Stats!$A:$A,$B62,All_Stats!$B:$B,"Overall",All_Stats!$D:$D,"Total")</f>
        <v>0</v>
      </c>
      <c r="F62" s="113">
        <f>SUMIFS(All_Stats!H:H,All_Stats!$A:$A,$B62,All_Stats!$B:$B,"Overall",All_Stats!$D:$D,"Total")</f>
        <v>0</v>
      </c>
      <c r="G62" s="171">
        <f>SUMIFS(All_Stats!I:I,All_Stats!$A:$A,$B62,All_Stats!$B:$B,"Overall",All_Stats!$D:$D,"Total")</f>
        <v>0</v>
      </c>
      <c r="H62" s="113">
        <f>SUMIFS(All_Stats!K:K,All_Stats!$A:$A,$B62,All_Stats!$B:$B,"Overall",All_Stats!$D:$D,"Total")</f>
        <v>0</v>
      </c>
      <c r="I62" s="113">
        <f>SUMIFS(All_Stats!J:J,All_Stats!$A:$A,$B62,All_Stats!$B:$B,"Overall",All_Stats!$D:$D,"Total")</f>
        <v>0</v>
      </c>
      <c r="J62" s="113">
        <f t="shared" si="3"/>
        <v>265</v>
      </c>
      <c r="K62" s="249" t="s">
        <v>57</v>
      </c>
      <c r="L62" s="245">
        <v>44490.0</v>
      </c>
      <c r="M62" s="245">
        <v>44519.0</v>
      </c>
      <c r="N62" s="2" t="s">
        <v>727</v>
      </c>
      <c r="O62" s="310">
        <f t="shared" si="6"/>
        <v>52.77272727</v>
      </c>
      <c r="P62" s="311">
        <f t="shared" ref="P62:Q62" si="60">F62/D62</f>
        <v>0</v>
      </c>
      <c r="Q62" s="325" t="str">
        <f t="shared" si="60"/>
        <v>#DIV/0!</v>
      </c>
      <c r="R62" s="311">
        <f t="shared" si="8"/>
        <v>0</v>
      </c>
      <c r="S62" s="300" t="str">
        <f t="shared" si="53"/>
        <v>Closed</v>
      </c>
      <c r="T62" s="2" t="s">
        <v>293</v>
      </c>
      <c r="U62" s="162" t="s">
        <v>611</v>
      </c>
      <c r="V62" s="113">
        <f>COUNTIFS('Delivery Tracking'!E:E,B62)</f>
        <v>0</v>
      </c>
      <c r="W62" s="113">
        <f>SUMIFS(All_Stats!N:N,All_Stats!$A:$A,$B62,All_Stats!$B:$B,"Overall",All_Stats!$D:$D,"Total")</f>
        <v>0</v>
      </c>
      <c r="X62" s="323">
        <v>44519.0</v>
      </c>
      <c r="Y62" s="329"/>
      <c r="Z62" s="326"/>
    </row>
    <row r="63" hidden="1">
      <c r="A63" s="334" t="s">
        <v>728</v>
      </c>
      <c r="B63" s="335" t="s">
        <v>729</v>
      </c>
      <c r="C63" s="306"/>
      <c r="D63" s="162">
        <v>40.0</v>
      </c>
      <c r="E63" s="171">
        <f>SUMIFS(All_Stats!G:G,All_Stats!$A:$A,$B63,All_Stats!$B:$B,"Overall",All_Stats!$D:$D,"Total")</f>
        <v>0</v>
      </c>
      <c r="F63" s="113">
        <f>SUMIFS(All_Stats!H:H,All_Stats!$A:$A,$B63,All_Stats!$B:$B,"Overall",All_Stats!$D:$D,"Total")</f>
        <v>0</v>
      </c>
      <c r="G63" s="171">
        <f>SUMIFS(All_Stats!I:I,All_Stats!$A:$A,$B63,All_Stats!$B:$B,"Overall",All_Stats!$D:$D,"Total")</f>
        <v>0</v>
      </c>
      <c r="H63" s="113">
        <f>SUMIFS(All_Stats!K:K,All_Stats!$A:$A,$B63,All_Stats!$B:$B,"Overall",All_Stats!$D:$D,"Total")</f>
        <v>0</v>
      </c>
      <c r="I63" s="113">
        <f>SUMIFS(All_Stats!J:J,All_Stats!$A:$A,$B63,All_Stats!$B:$B,"Overall",All_Stats!$D:$D,"Total")</f>
        <v>0</v>
      </c>
      <c r="J63" s="113">
        <f t="shared" si="3"/>
        <v>40</v>
      </c>
      <c r="K63" s="249" t="s">
        <v>57</v>
      </c>
      <c r="L63" s="323">
        <v>44512.0</v>
      </c>
      <c r="M63" s="332">
        <v>44533.0</v>
      </c>
      <c r="O63" s="310">
        <f t="shared" si="6"/>
        <v>71.5625</v>
      </c>
      <c r="P63" s="311">
        <f t="shared" ref="P63:Q63" si="61">F63/D63</f>
        <v>0</v>
      </c>
      <c r="Q63" s="325" t="str">
        <f t="shared" si="61"/>
        <v>#DIV/0!</v>
      </c>
      <c r="R63" s="311">
        <f t="shared" si="8"/>
        <v>0</v>
      </c>
      <c r="S63" s="300" t="str">
        <f t="shared" si="53"/>
        <v>Closed</v>
      </c>
      <c r="T63" s="2" t="s">
        <v>166</v>
      </c>
      <c r="U63" s="162" t="s">
        <v>611</v>
      </c>
      <c r="V63" s="113">
        <f>COUNTIFS('Delivery Tracking'!E:E,B63)</f>
        <v>0</v>
      </c>
      <c r="W63" s="113">
        <f>SUMIFS(All_Stats!N:N,All_Stats!$A:$A,$B63,All_Stats!$B:$B,"Overall",All_Stats!$D:$D,"Total")</f>
        <v>0</v>
      </c>
      <c r="X63" s="323">
        <v>44520.0</v>
      </c>
      <c r="Y63" s="329"/>
      <c r="Z63" s="326"/>
    </row>
    <row r="64" hidden="1">
      <c r="A64" s="330" t="s">
        <v>626</v>
      </c>
      <c r="B64" s="364" t="s">
        <v>730</v>
      </c>
      <c r="C64" s="306"/>
      <c r="D64" s="162">
        <v>203.0</v>
      </c>
      <c r="E64" s="171">
        <f>SUMIFS(All_Stats!G:G,All_Stats!$A:$A,$B64,All_Stats!$B:$B,"Overall",All_Stats!$D:$D,"Total")</f>
        <v>0</v>
      </c>
      <c r="F64" s="113">
        <f>SUMIFS(All_Stats!H:H,All_Stats!$A:$A,$B64,All_Stats!$B:$B,"Overall",All_Stats!$D:$D,"Total")</f>
        <v>0</v>
      </c>
      <c r="G64" s="171">
        <f>SUMIFS(All_Stats!I:I,All_Stats!$A:$A,$B64,All_Stats!$B:$B,"Overall",All_Stats!$D:$D,"Total")</f>
        <v>0</v>
      </c>
      <c r="H64" s="113">
        <f>SUMIFS(All_Stats!K:K,All_Stats!$A:$A,$B64,All_Stats!$B:$B,"Overall",All_Stats!$D:$D,"Total")</f>
        <v>0</v>
      </c>
      <c r="I64" s="113">
        <f>SUMIFS(All_Stats!J:J,All_Stats!$A:$A,$B64,All_Stats!$B:$B,"Overall",All_Stats!$D:$D,"Total")</f>
        <v>0</v>
      </c>
      <c r="J64" s="113">
        <f t="shared" si="3"/>
        <v>203</v>
      </c>
      <c r="K64" s="249" t="s">
        <v>57</v>
      </c>
      <c r="L64" s="245">
        <v>44488.0</v>
      </c>
      <c r="M64" s="245">
        <v>44529.0</v>
      </c>
      <c r="N64" s="15" t="s">
        <v>731</v>
      </c>
      <c r="O64" s="310">
        <f t="shared" si="6"/>
        <v>38.76666667</v>
      </c>
      <c r="P64" s="311">
        <f t="shared" ref="P64:Q64" si="62">F64/D64</f>
        <v>0</v>
      </c>
      <c r="Q64" s="325" t="str">
        <f t="shared" si="62"/>
        <v>#DIV/0!</v>
      </c>
      <c r="R64" s="311">
        <f t="shared" si="8"/>
        <v>0</v>
      </c>
      <c r="S64" s="300" t="str">
        <f t="shared" si="53"/>
        <v>Closed</v>
      </c>
      <c r="T64" s="2" t="s">
        <v>111</v>
      </c>
      <c r="U64" s="162" t="s">
        <v>611</v>
      </c>
      <c r="V64" s="113">
        <f>COUNTIFS('Delivery Tracking'!E:E,B64)</f>
        <v>0</v>
      </c>
      <c r="W64" s="113">
        <f>SUMIFS(All_Stats!N:N,All_Stats!$A:$A,$B64,All_Stats!$B:$B,"Overall",All_Stats!$D:$D,"Total")</f>
        <v>0</v>
      </c>
      <c r="X64" s="323">
        <v>44521.0</v>
      </c>
      <c r="Y64" s="329"/>
      <c r="Z64" s="326"/>
    </row>
    <row r="65" hidden="1">
      <c r="A65" s="352" t="s">
        <v>732</v>
      </c>
      <c r="B65" s="342" t="s">
        <v>733</v>
      </c>
      <c r="C65" s="306"/>
      <c r="D65" s="162">
        <v>29.0</v>
      </c>
      <c r="E65" s="171">
        <f>SUMIFS(All_Stats!G:G,All_Stats!$A:$A,$B65,All_Stats!$B:$B,"Overall",All_Stats!$D:$D,"Total")</f>
        <v>0</v>
      </c>
      <c r="F65" s="113">
        <f>SUMIFS(All_Stats!H:H,All_Stats!$A:$A,$B65,All_Stats!$B:$B,"Overall",All_Stats!$D:$D,"Total")</f>
        <v>0</v>
      </c>
      <c r="G65" s="171">
        <f>SUMIFS(All_Stats!I:I,All_Stats!$A:$A,$B65,All_Stats!$B:$B,"Overall",All_Stats!$D:$D,"Total")</f>
        <v>0</v>
      </c>
      <c r="H65" s="113">
        <f>SUMIFS(All_Stats!K:K,All_Stats!$A:$A,$B65,All_Stats!$B:$B,"Overall",All_Stats!$D:$D,"Total")</f>
        <v>0</v>
      </c>
      <c r="I65" s="113">
        <f>SUMIFS(All_Stats!J:J,All_Stats!$A:$A,$B65,All_Stats!$B:$B,"Overall",All_Stats!$D:$D,"Total")</f>
        <v>0</v>
      </c>
      <c r="J65" s="113">
        <f t="shared" si="3"/>
        <v>29</v>
      </c>
      <c r="K65" s="249" t="s">
        <v>57</v>
      </c>
      <c r="L65" s="323">
        <v>44473.0</v>
      </c>
      <c r="M65" s="245">
        <v>44523.0</v>
      </c>
      <c r="N65" s="2" t="s">
        <v>734</v>
      </c>
      <c r="O65" s="310">
        <f t="shared" si="6"/>
        <v>31.72972973</v>
      </c>
      <c r="P65" s="311">
        <f t="shared" ref="P65:Q65" si="63">F65/D65</f>
        <v>0</v>
      </c>
      <c r="Q65" s="325" t="str">
        <f t="shared" si="63"/>
        <v>#DIV/0!</v>
      </c>
      <c r="R65" s="311">
        <f t="shared" si="8"/>
        <v>0</v>
      </c>
      <c r="S65" s="300" t="str">
        <f t="shared" si="53"/>
        <v>Closed</v>
      </c>
      <c r="T65" s="2" t="s">
        <v>293</v>
      </c>
      <c r="U65" s="162" t="s">
        <v>611</v>
      </c>
      <c r="V65" s="113">
        <f>COUNTIFS('Delivery Tracking'!E:E,B65)</f>
        <v>0</v>
      </c>
      <c r="W65" s="113">
        <f>SUMIFS(All_Stats!N:N,All_Stats!$A:$A,$B65,All_Stats!$B:$B,"Overall",All_Stats!$D:$D,"Total")</f>
        <v>0</v>
      </c>
      <c r="X65" s="323">
        <v>44522.0</v>
      </c>
      <c r="Y65" s="329"/>
      <c r="Z65" s="326"/>
    </row>
    <row r="66" hidden="1">
      <c r="A66" s="334" t="s">
        <v>735</v>
      </c>
      <c r="B66" s="335" t="s">
        <v>736</v>
      </c>
      <c r="C66" s="306"/>
      <c r="D66" s="162">
        <v>19.0</v>
      </c>
      <c r="E66" s="171">
        <f>SUMIFS(All_Stats!G:G,All_Stats!$A:$A,$B66,All_Stats!$B:$B,"Overall",All_Stats!$D:$D,"Total")</f>
        <v>0</v>
      </c>
      <c r="F66" s="113">
        <f>SUMIFS(All_Stats!H:H,All_Stats!$A:$A,$B66,All_Stats!$B:$B,"Overall",All_Stats!$D:$D,"Total")</f>
        <v>0</v>
      </c>
      <c r="G66" s="171">
        <f>SUMIFS(All_Stats!I:I,All_Stats!$A:$A,$B66,All_Stats!$B:$B,"Overall",All_Stats!$D:$D,"Total")</f>
        <v>0</v>
      </c>
      <c r="H66" s="113">
        <f>SUMIFS(All_Stats!K:K,All_Stats!$A:$A,$B66,All_Stats!$B:$B,"Overall",All_Stats!$D:$D,"Total")</f>
        <v>0</v>
      </c>
      <c r="I66" s="113">
        <f>SUMIFS(All_Stats!J:J,All_Stats!$A:$A,$B66,All_Stats!$B:$B,"Overall",All_Stats!$D:$D,"Total")</f>
        <v>0</v>
      </c>
      <c r="J66" s="113">
        <f t="shared" si="3"/>
        <v>19</v>
      </c>
      <c r="K66" s="249" t="s">
        <v>57</v>
      </c>
      <c r="L66" s="323">
        <v>44496.0</v>
      </c>
      <c r="M66" s="245">
        <v>44523.0</v>
      </c>
      <c r="O66" s="310">
        <f t="shared" si="6"/>
        <v>57.85</v>
      </c>
      <c r="P66" s="311">
        <f t="shared" ref="P66:Q66" si="64">F66/D66</f>
        <v>0</v>
      </c>
      <c r="Q66" s="325" t="str">
        <f t="shared" si="64"/>
        <v>#DIV/0!</v>
      </c>
      <c r="R66" s="311">
        <f t="shared" si="8"/>
        <v>0</v>
      </c>
      <c r="S66" s="300" t="str">
        <f t="shared" si="53"/>
        <v>Closed</v>
      </c>
      <c r="T66" s="2" t="s">
        <v>153</v>
      </c>
      <c r="U66" s="162" t="s">
        <v>611</v>
      </c>
      <c r="V66" s="113">
        <f>COUNTIFS('Delivery Tracking'!E:E,B66)</f>
        <v>0</v>
      </c>
      <c r="W66" s="113">
        <f>SUMIFS(All_Stats!N:N,All_Stats!$A:$A,$B66,All_Stats!$B:$B,"Overall",All_Stats!$D:$D,"Total")</f>
        <v>0</v>
      </c>
      <c r="X66" s="323">
        <v>44523.0</v>
      </c>
      <c r="Y66" s="329"/>
      <c r="Z66" s="326"/>
    </row>
    <row r="67" hidden="1">
      <c r="A67" s="365" t="s">
        <v>737</v>
      </c>
      <c r="B67" s="366" t="s">
        <v>738</v>
      </c>
      <c r="C67" s="306"/>
      <c r="D67" s="162">
        <v>74.0</v>
      </c>
      <c r="E67" s="171">
        <f>SUMIFS(All_Stats!G:G,All_Stats!$A:$A,$B67,All_Stats!$B:$B,"Overall",All_Stats!$D:$D,"Total")</f>
        <v>0</v>
      </c>
      <c r="F67" s="113">
        <f>SUMIFS(All_Stats!H:H,All_Stats!$A:$A,$B67,All_Stats!$B:$B,"Overall",All_Stats!$D:$D,"Total")</f>
        <v>0</v>
      </c>
      <c r="G67" s="171">
        <f>SUMIFS(All_Stats!I:I,All_Stats!$A:$A,$B67,All_Stats!$B:$B,"Overall",All_Stats!$D:$D,"Total")</f>
        <v>0</v>
      </c>
      <c r="H67" s="113">
        <f>SUMIFS(All_Stats!K:K,All_Stats!$A:$A,$B67,All_Stats!$B:$B,"Overall",All_Stats!$D:$D,"Total")</f>
        <v>0</v>
      </c>
      <c r="I67" s="113">
        <f>SUMIFS(All_Stats!J:J,All_Stats!$A:$A,$B67,All_Stats!$B:$B,"Overall",All_Stats!$D:$D,"Total")</f>
        <v>0</v>
      </c>
      <c r="J67" s="113">
        <f t="shared" si="3"/>
        <v>74</v>
      </c>
      <c r="K67" s="249" t="s">
        <v>57</v>
      </c>
      <c r="L67" s="245">
        <v>44495.0</v>
      </c>
      <c r="M67" s="353">
        <v>44533.0</v>
      </c>
      <c r="O67" s="310">
        <f t="shared" si="6"/>
        <v>39.93103448</v>
      </c>
      <c r="P67" s="311">
        <f t="shared" ref="P67:Q67" si="65">F67/D67</f>
        <v>0</v>
      </c>
      <c r="Q67" s="325" t="str">
        <f t="shared" si="65"/>
        <v>#DIV/0!</v>
      </c>
      <c r="R67" s="311">
        <f t="shared" si="8"/>
        <v>0</v>
      </c>
      <c r="S67" s="300" t="str">
        <f t="shared" si="53"/>
        <v>Closed</v>
      </c>
      <c r="T67" s="2" t="s">
        <v>166</v>
      </c>
      <c r="U67" s="162" t="s">
        <v>611</v>
      </c>
      <c r="V67" s="113">
        <f>COUNTIFS('Delivery Tracking'!E:E,B67)</f>
        <v>0</v>
      </c>
      <c r="W67" s="113">
        <f>SUMIFS(All_Stats!N:N,All_Stats!$A:$A,$B67,All_Stats!$B:$B,"Overall",All_Stats!$D:$D,"Total")</f>
        <v>0</v>
      </c>
      <c r="X67" s="323">
        <v>44524.0</v>
      </c>
      <c r="Y67" s="329"/>
      <c r="Z67" s="326"/>
    </row>
    <row r="68" hidden="1">
      <c r="A68" s="367" t="s">
        <v>739</v>
      </c>
      <c r="B68" s="368" t="s">
        <v>740</v>
      </c>
      <c r="C68" s="306"/>
      <c r="D68" s="162">
        <v>100.0</v>
      </c>
      <c r="E68" s="171">
        <f>SUMIFS(All_Stats!G:G,All_Stats!$A:$A,$B68,All_Stats!$B:$B,"Overall",All_Stats!$D:$D,"Total")</f>
        <v>0</v>
      </c>
      <c r="F68" s="113">
        <f>SUMIFS(All_Stats!H:H,All_Stats!$A:$A,$B68,All_Stats!$B:$B,"Overall",All_Stats!$D:$D,"Total")</f>
        <v>0</v>
      </c>
      <c r="G68" s="171">
        <f>SUMIFS(All_Stats!I:I,All_Stats!$A:$A,$B68,All_Stats!$B:$B,"Overall",All_Stats!$D:$D,"Total")</f>
        <v>0</v>
      </c>
      <c r="H68" s="113">
        <f>SUMIFS(All_Stats!K:K,All_Stats!$A:$A,$B68,All_Stats!$B:$B,"Overall",All_Stats!$D:$D,"Total")</f>
        <v>0</v>
      </c>
      <c r="I68" s="113">
        <f>SUMIFS(All_Stats!J:J,All_Stats!$A:$A,$B68,All_Stats!$B:$B,"Overall",All_Stats!$D:$D,"Total")</f>
        <v>0</v>
      </c>
      <c r="J68" s="113">
        <f t="shared" si="3"/>
        <v>100</v>
      </c>
      <c r="K68" s="249" t="s">
        <v>57</v>
      </c>
      <c r="L68" s="245">
        <v>44511.0</v>
      </c>
      <c r="M68" s="245">
        <v>44523.0</v>
      </c>
      <c r="N68" s="369" t="s">
        <v>741</v>
      </c>
      <c r="O68" s="310">
        <f t="shared" si="6"/>
        <v>127.3333333</v>
      </c>
      <c r="P68" s="311">
        <f t="shared" ref="P68:Q68" si="66">F68/D68</f>
        <v>0</v>
      </c>
      <c r="Q68" s="325" t="str">
        <f t="shared" si="66"/>
        <v>#DIV/0!</v>
      </c>
      <c r="R68" s="311">
        <f t="shared" si="8"/>
        <v>0</v>
      </c>
      <c r="S68" s="300" t="str">
        <f t="shared" si="53"/>
        <v>Closed</v>
      </c>
      <c r="T68" s="2" t="s">
        <v>166</v>
      </c>
      <c r="U68" s="162" t="s">
        <v>611</v>
      </c>
      <c r="V68" s="113">
        <f>COUNTIFS('Delivery Tracking'!E:E,B68)</f>
        <v>0</v>
      </c>
      <c r="W68" s="113">
        <f>SUMIFS(All_Stats!N:N,All_Stats!$A:$A,$B68,All_Stats!$B:$B,"Overall",All_Stats!$D:$D,"Total")</f>
        <v>0</v>
      </c>
      <c r="X68" s="323">
        <v>44525.0</v>
      </c>
      <c r="Y68" s="329"/>
      <c r="Z68" s="326"/>
    </row>
    <row r="69" hidden="1">
      <c r="A69" s="334" t="s">
        <v>742</v>
      </c>
      <c r="B69" s="370" t="s">
        <v>743</v>
      </c>
      <c r="C69" s="306"/>
      <c r="D69" s="162">
        <v>140.0</v>
      </c>
      <c r="E69" s="171">
        <f>SUMIFS(All_Stats!G:G,All_Stats!$A:$A,$B69,All_Stats!$B:$B,"Overall",All_Stats!$D:$D,"Total")</f>
        <v>0</v>
      </c>
      <c r="F69" s="113">
        <f>SUMIFS(All_Stats!H:H,All_Stats!$A:$A,$B69,All_Stats!$B:$B,"Overall",All_Stats!$D:$D,"Total")</f>
        <v>0</v>
      </c>
      <c r="G69" s="171">
        <f>SUMIFS(All_Stats!I:I,All_Stats!$A:$A,$B69,All_Stats!$B:$B,"Overall",All_Stats!$D:$D,"Total")</f>
        <v>0</v>
      </c>
      <c r="H69" s="113">
        <f>SUMIFS(All_Stats!K:K,All_Stats!$A:$A,$B69,All_Stats!$B:$B,"Overall",All_Stats!$D:$D,"Total")</f>
        <v>0</v>
      </c>
      <c r="I69" s="113">
        <f>SUMIFS(All_Stats!J:J,All_Stats!$A:$A,$B69,All_Stats!$B:$B,"Overall",All_Stats!$D:$D,"Total")</f>
        <v>0</v>
      </c>
      <c r="J69" s="113">
        <f t="shared" si="3"/>
        <v>140</v>
      </c>
      <c r="K69" s="249" t="s">
        <v>57</v>
      </c>
      <c r="L69" s="323">
        <v>44498.0</v>
      </c>
      <c r="M69" s="349">
        <v>44533.0</v>
      </c>
      <c r="O69" s="310">
        <f t="shared" si="6"/>
        <v>44.42307692</v>
      </c>
      <c r="P69" s="311">
        <f t="shared" ref="P69:Q69" si="67">F69/D69</f>
        <v>0</v>
      </c>
      <c r="Q69" s="325" t="str">
        <f t="shared" si="67"/>
        <v>#DIV/0!</v>
      </c>
      <c r="R69" s="311">
        <f t="shared" si="8"/>
        <v>0</v>
      </c>
      <c r="S69" s="300" t="str">
        <f t="shared" si="53"/>
        <v>Closed</v>
      </c>
      <c r="T69" s="2" t="s">
        <v>184</v>
      </c>
      <c r="U69" s="162" t="s">
        <v>611</v>
      </c>
      <c r="V69" s="113">
        <f>COUNTIFS('Delivery Tracking'!E:E,B69)</f>
        <v>0</v>
      </c>
      <c r="W69" s="113">
        <f>SUMIFS(All_Stats!N:N,All_Stats!$A:$A,$B69,All_Stats!$B:$B,"Overall",All_Stats!$D:$D,"Total")</f>
        <v>0</v>
      </c>
      <c r="X69" s="323">
        <v>44526.0</v>
      </c>
      <c r="Y69" s="329"/>
      <c r="Z69" s="326"/>
    </row>
    <row r="70" hidden="1">
      <c r="A70" s="334" t="s">
        <v>718</v>
      </c>
      <c r="B70" s="335" t="s">
        <v>744</v>
      </c>
      <c r="C70" s="306"/>
      <c r="D70" s="162">
        <v>167.0</v>
      </c>
      <c r="E70" s="171">
        <f>SUMIFS(All_Stats!G:G,All_Stats!$A:$A,$B70,All_Stats!$B:$B,"Overall",All_Stats!$D:$D,"Total")</f>
        <v>0</v>
      </c>
      <c r="F70" s="113">
        <f>SUMIFS(All_Stats!H:H,All_Stats!$A:$A,$B70,All_Stats!$B:$B,"Overall",All_Stats!$D:$D,"Total")</f>
        <v>0</v>
      </c>
      <c r="G70" s="171">
        <f>SUMIFS(All_Stats!I:I,All_Stats!$A:$A,$B70,All_Stats!$B:$B,"Overall",All_Stats!$D:$D,"Total")</f>
        <v>0</v>
      </c>
      <c r="H70" s="113">
        <f>SUMIFS(All_Stats!K:K,All_Stats!$A:$A,$B70,All_Stats!$B:$B,"Overall",All_Stats!$D:$D,"Total")</f>
        <v>0</v>
      </c>
      <c r="I70" s="113">
        <f>SUMIFS(All_Stats!J:J,All_Stats!$A:$A,$B70,All_Stats!$B:$B,"Overall",All_Stats!$D:$D,"Total")</f>
        <v>0</v>
      </c>
      <c r="J70" s="113">
        <f t="shared" si="3"/>
        <v>167</v>
      </c>
      <c r="K70" s="249" t="s">
        <v>57</v>
      </c>
      <c r="L70" s="323">
        <v>44498.0</v>
      </c>
      <c r="M70" s="245">
        <v>44523.0</v>
      </c>
      <c r="O70" s="310">
        <f t="shared" si="6"/>
        <v>64.16666667</v>
      </c>
      <c r="P70" s="311">
        <f t="shared" ref="P70:Q70" si="68">F70/D70</f>
        <v>0</v>
      </c>
      <c r="Q70" s="325" t="str">
        <f t="shared" si="68"/>
        <v>#DIV/0!</v>
      </c>
      <c r="R70" s="311">
        <f t="shared" si="8"/>
        <v>0</v>
      </c>
      <c r="S70" s="300" t="str">
        <f t="shared" si="53"/>
        <v>Closed</v>
      </c>
      <c r="T70" s="2" t="s">
        <v>166</v>
      </c>
      <c r="U70" s="162" t="s">
        <v>611</v>
      </c>
      <c r="V70" s="113">
        <f>COUNTIFS('Delivery Tracking'!E:E,B70)</f>
        <v>0</v>
      </c>
      <c r="W70" s="113">
        <f>SUMIFS(All_Stats!N:N,All_Stats!$A:$A,$B70,All_Stats!$B:$B,"Overall",All_Stats!$D:$D,"Total")</f>
        <v>0</v>
      </c>
      <c r="X70" s="323">
        <v>44527.0</v>
      </c>
      <c r="Y70" s="329"/>
      <c r="Z70" s="326"/>
    </row>
    <row r="71" hidden="1">
      <c r="A71" s="371" t="s">
        <v>745</v>
      </c>
      <c r="B71" s="341" t="s">
        <v>746</v>
      </c>
      <c r="C71" s="372"/>
      <c r="D71" s="162">
        <v>65.0</v>
      </c>
      <c r="E71" s="171">
        <f>SUMIFS(All_Stats!G:G,All_Stats!$A:$A,$B71,All_Stats!$B:$B,"Overall",All_Stats!$D:$D,"Total")</f>
        <v>0</v>
      </c>
      <c r="F71" s="113">
        <f>SUMIFS(All_Stats!H:H,All_Stats!$A:$A,$B71,All_Stats!$B:$B,"Overall",All_Stats!$D:$D,"Total")</f>
        <v>0</v>
      </c>
      <c r="G71" s="171">
        <f>SUMIFS(All_Stats!I:I,All_Stats!$A:$A,$B71,All_Stats!$B:$B,"Overall",All_Stats!$D:$D,"Total")</f>
        <v>0</v>
      </c>
      <c r="H71" s="113">
        <f>SUMIFS(All_Stats!K:K,All_Stats!$A:$A,$B71,All_Stats!$B:$B,"Overall",All_Stats!$D:$D,"Total")</f>
        <v>0</v>
      </c>
      <c r="I71" s="113">
        <f>SUMIFS(All_Stats!J:J,All_Stats!$A:$A,$B71,All_Stats!$B:$B,"Overall",All_Stats!$D:$D,"Total")</f>
        <v>0</v>
      </c>
      <c r="J71" s="113">
        <f t="shared" si="3"/>
        <v>65</v>
      </c>
      <c r="K71" s="249" t="s">
        <v>57</v>
      </c>
      <c r="L71" s="245">
        <v>44502.0</v>
      </c>
      <c r="M71" s="245">
        <v>44530.0</v>
      </c>
      <c r="N71" s="2" t="s">
        <v>747</v>
      </c>
      <c r="O71" s="310">
        <f t="shared" si="6"/>
        <v>54.9047619</v>
      </c>
      <c r="P71" s="311">
        <f t="shared" ref="P71:Q71" si="69">F71/D71</f>
        <v>0</v>
      </c>
      <c r="Q71" s="325" t="str">
        <f t="shared" si="69"/>
        <v>#DIV/0!</v>
      </c>
      <c r="R71" s="311">
        <f t="shared" si="8"/>
        <v>0</v>
      </c>
      <c r="S71" s="300" t="str">
        <f t="shared" si="53"/>
        <v>Closed</v>
      </c>
      <c r="T71" s="2" t="s">
        <v>166</v>
      </c>
      <c r="U71" s="162" t="s">
        <v>611</v>
      </c>
      <c r="V71" s="113">
        <f>COUNTIFS('Delivery Tracking'!E:E,B71)</f>
        <v>0</v>
      </c>
      <c r="W71" s="113">
        <f>SUMIFS(All_Stats!N:N,All_Stats!$A:$A,$B71,All_Stats!$B:$B,"Overall",All_Stats!$D:$D,"Total")</f>
        <v>0</v>
      </c>
      <c r="X71" s="323">
        <v>44528.0</v>
      </c>
      <c r="Y71" s="329"/>
      <c r="Z71" s="326"/>
    </row>
    <row r="72" hidden="1">
      <c r="A72" s="371" t="s">
        <v>745</v>
      </c>
      <c r="B72" s="341" t="s">
        <v>748</v>
      </c>
      <c r="C72" s="306"/>
      <c r="D72" s="162">
        <v>65.0</v>
      </c>
      <c r="E72" s="171">
        <f>SUMIFS(All_Stats!G:G,All_Stats!$A:$A,$B72,All_Stats!$B:$B,"Overall",All_Stats!$D:$D,"Total")</f>
        <v>0</v>
      </c>
      <c r="F72" s="113">
        <f>SUMIFS(All_Stats!H:H,All_Stats!$A:$A,$B72,All_Stats!$B:$B,"Overall",All_Stats!$D:$D,"Total")</f>
        <v>0</v>
      </c>
      <c r="G72" s="171">
        <f>SUMIFS(All_Stats!I:I,All_Stats!$A:$A,$B72,All_Stats!$B:$B,"Overall",All_Stats!$D:$D,"Total")</f>
        <v>0</v>
      </c>
      <c r="H72" s="113">
        <f>SUMIFS(All_Stats!K:K,All_Stats!$A:$A,$B72,All_Stats!$B:$B,"Overall",All_Stats!$D:$D,"Total")</f>
        <v>0</v>
      </c>
      <c r="I72" s="113">
        <f>SUMIFS(All_Stats!J:J,All_Stats!$A:$A,$B72,All_Stats!$B:$B,"Overall",All_Stats!$D:$D,"Total")</f>
        <v>0</v>
      </c>
      <c r="J72" s="113">
        <f t="shared" si="3"/>
        <v>65</v>
      </c>
      <c r="K72" s="249" t="s">
        <v>57</v>
      </c>
      <c r="L72" s="245">
        <v>44502.0</v>
      </c>
      <c r="M72" s="245">
        <v>44530.0</v>
      </c>
      <c r="N72" s="2" t="s">
        <v>747</v>
      </c>
      <c r="O72" s="310">
        <f t="shared" si="6"/>
        <v>54.9047619</v>
      </c>
      <c r="P72" s="311">
        <f t="shared" ref="P72:Q72" si="70">F72/D72</f>
        <v>0</v>
      </c>
      <c r="Q72" s="325" t="str">
        <f t="shared" si="70"/>
        <v>#DIV/0!</v>
      </c>
      <c r="R72" s="311">
        <f t="shared" si="8"/>
        <v>0</v>
      </c>
      <c r="S72" s="300" t="str">
        <f t="shared" si="53"/>
        <v>Closed</v>
      </c>
      <c r="T72" s="2" t="s">
        <v>166</v>
      </c>
      <c r="U72" s="162" t="s">
        <v>611</v>
      </c>
      <c r="V72" s="113">
        <f>COUNTIFS('Delivery Tracking'!E:E,B72)</f>
        <v>0</v>
      </c>
      <c r="W72" s="113">
        <f>SUMIFS(All_Stats!N:N,All_Stats!$A:$A,$B72,All_Stats!$B:$B,"Overall",All_Stats!$D:$D,"Total")</f>
        <v>0</v>
      </c>
      <c r="X72" s="323">
        <v>44529.0</v>
      </c>
      <c r="Y72" s="329"/>
      <c r="Z72" s="326"/>
    </row>
    <row r="73" hidden="1">
      <c r="A73" s="334" t="s">
        <v>678</v>
      </c>
      <c r="B73" s="335" t="s">
        <v>749</v>
      </c>
      <c r="C73" s="306"/>
      <c r="D73" s="162">
        <v>120.0</v>
      </c>
      <c r="E73" s="171">
        <f>SUMIFS(All_Stats!G:G,All_Stats!$A:$A,$B73,All_Stats!$B:$B,"Overall",All_Stats!$D:$D,"Total")</f>
        <v>0</v>
      </c>
      <c r="F73" s="113">
        <f>SUMIFS(All_Stats!H:H,All_Stats!$A:$A,$B73,All_Stats!$B:$B,"Overall",All_Stats!$D:$D,"Total")</f>
        <v>0</v>
      </c>
      <c r="G73" s="171">
        <f>SUMIFS(All_Stats!I:I,All_Stats!$A:$A,$B73,All_Stats!$B:$B,"Overall",All_Stats!$D:$D,"Total")</f>
        <v>0</v>
      </c>
      <c r="H73" s="113">
        <f>SUMIFS(All_Stats!K:K,All_Stats!$A:$A,$B73,All_Stats!$B:$B,"Overall",All_Stats!$D:$D,"Total")</f>
        <v>0</v>
      </c>
      <c r="I73" s="113">
        <f>SUMIFS(All_Stats!J:J,All_Stats!$A:$A,$B73,All_Stats!$B:$B,"Overall",All_Stats!$D:$D,"Total")</f>
        <v>0</v>
      </c>
      <c r="J73" s="113">
        <f t="shared" si="3"/>
        <v>120</v>
      </c>
      <c r="K73" s="249" t="s">
        <v>57</v>
      </c>
      <c r="L73" s="245">
        <v>44484.0</v>
      </c>
      <c r="M73" s="245">
        <v>44519.0</v>
      </c>
      <c r="N73" s="373"/>
      <c r="O73" s="310">
        <f t="shared" si="6"/>
        <v>44.80769231</v>
      </c>
      <c r="P73" s="311">
        <f t="shared" ref="P73:Q73" si="71">F73/D73</f>
        <v>0</v>
      </c>
      <c r="Q73" s="325" t="str">
        <f t="shared" si="71"/>
        <v>#DIV/0!</v>
      </c>
      <c r="R73" s="311">
        <f t="shared" si="8"/>
        <v>0</v>
      </c>
      <c r="S73" s="300" t="str">
        <f t="shared" si="53"/>
        <v>Closed</v>
      </c>
      <c r="T73" s="2" t="s">
        <v>166</v>
      </c>
      <c r="U73" s="162" t="s">
        <v>611</v>
      </c>
      <c r="V73" s="113">
        <f>COUNTIFS('Delivery Tracking'!E:E,B73)</f>
        <v>0</v>
      </c>
      <c r="W73" s="113">
        <f>SUMIFS(All_Stats!N:N,All_Stats!$A:$A,$B73,All_Stats!$B:$B,"Overall",All_Stats!$D:$D,"Total")</f>
        <v>0</v>
      </c>
      <c r="X73" s="323">
        <v>44530.0</v>
      </c>
      <c r="Y73" s="329"/>
      <c r="Z73" s="326"/>
    </row>
    <row r="74" hidden="1">
      <c r="A74" s="334" t="s">
        <v>750</v>
      </c>
      <c r="B74" s="335" t="s">
        <v>751</v>
      </c>
      <c r="C74" s="306"/>
      <c r="D74" s="162">
        <v>90.0</v>
      </c>
      <c r="E74" s="171">
        <f>SUMIFS(All_Stats!G:G,All_Stats!$A:$A,$B74,All_Stats!$B:$B,"Overall",All_Stats!$D:$D,"Total")</f>
        <v>0</v>
      </c>
      <c r="F74" s="113">
        <f>SUMIFS(All_Stats!H:H,All_Stats!$A:$A,$B74,All_Stats!$B:$B,"Overall",All_Stats!$D:$D,"Total")</f>
        <v>0</v>
      </c>
      <c r="G74" s="171">
        <f>SUMIFS(All_Stats!I:I,All_Stats!$A:$A,$B74,All_Stats!$B:$B,"Overall",All_Stats!$D:$D,"Total")</f>
        <v>0</v>
      </c>
      <c r="H74" s="113">
        <f>SUMIFS(All_Stats!K:K,All_Stats!$A:$A,$B74,All_Stats!$B:$B,"Overall",All_Stats!$D:$D,"Total")</f>
        <v>0</v>
      </c>
      <c r="I74" s="113">
        <f>SUMIFS(All_Stats!J:J,All_Stats!$A:$A,$B74,All_Stats!$B:$B,"Overall",All_Stats!$D:$D,"Total")</f>
        <v>0</v>
      </c>
      <c r="J74" s="113">
        <f t="shared" si="3"/>
        <v>90</v>
      </c>
      <c r="K74" s="249" t="s">
        <v>57</v>
      </c>
      <c r="L74" s="323">
        <v>44504.0</v>
      </c>
      <c r="M74" s="245">
        <v>44515.0</v>
      </c>
      <c r="O74" s="310">
        <f t="shared" si="6"/>
        <v>143.875</v>
      </c>
      <c r="P74" s="311">
        <f t="shared" ref="P74:Q74" si="72">F74/D74</f>
        <v>0</v>
      </c>
      <c r="Q74" s="325" t="str">
        <f t="shared" si="72"/>
        <v>#DIV/0!</v>
      </c>
      <c r="R74" s="311">
        <f t="shared" si="8"/>
        <v>0</v>
      </c>
      <c r="S74" s="300" t="str">
        <f t="shared" si="53"/>
        <v>Closed</v>
      </c>
      <c r="T74" s="2" t="s">
        <v>184</v>
      </c>
      <c r="U74" s="162" t="s">
        <v>611</v>
      </c>
      <c r="V74" s="113">
        <f>COUNTIFS('Delivery Tracking'!E:E,B74)</f>
        <v>0</v>
      </c>
      <c r="W74" s="113">
        <f>SUMIFS(All_Stats!N:N,All_Stats!$A:$A,$B74,All_Stats!$B:$B,"Overall",All_Stats!$D:$D,"Total")</f>
        <v>0</v>
      </c>
      <c r="X74" s="323">
        <v>44531.0</v>
      </c>
      <c r="Y74" s="329"/>
      <c r="Z74" s="326"/>
    </row>
    <row r="75" hidden="1">
      <c r="A75" s="346" t="s">
        <v>752</v>
      </c>
      <c r="B75" s="347" t="s">
        <v>753</v>
      </c>
      <c r="C75" s="348"/>
      <c r="D75" s="162">
        <v>23.0</v>
      </c>
      <c r="E75" s="171">
        <f>SUMIFS(All_Stats!G:G,All_Stats!$A:$A,$B75,All_Stats!$B:$B,"Overall",All_Stats!$D:$D,"Total")</f>
        <v>0</v>
      </c>
      <c r="F75" s="113">
        <f>SUMIFS(All_Stats!H:H,All_Stats!$A:$A,$B75,All_Stats!$B:$B,"Overall",All_Stats!$D:$D,"Total")</f>
        <v>0</v>
      </c>
      <c r="G75" s="171">
        <f>SUMIFS(All_Stats!I:I,All_Stats!$A:$A,$B75,All_Stats!$B:$B,"Overall",All_Stats!$D:$D,"Total")</f>
        <v>0</v>
      </c>
      <c r="H75" s="113">
        <f>SUMIFS(All_Stats!K:K,All_Stats!$A:$A,$B75,All_Stats!$B:$B,"Overall",All_Stats!$D:$D,"Total")</f>
        <v>0</v>
      </c>
      <c r="I75" s="113">
        <f>SUMIFS(All_Stats!J:J,All_Stats!$A:$A,$B75,All_Stats!$B:$B,"Overall",All_Stats!$D:$D,"Total")</f>
        <v>0</v>
      </c>
      <c r="J75" s="113">
        <f t="shared" si="3"/>
        <v>23</v>
      </c>
      <c r="K75" s="249" t="s">
        <v>649</v>
      </c>
      <c r="L75" s="374">
        <v>44281.0</v>
      </c>
      <c r="M75" s="374">
        <v>44404.0</v>
      </c>
      <c r="N75" s="324"/>
      <c r="O75" s="310">
        <f t="shared" si="6"/>
        <v>14.88636364</v>
      </c>
      <c r="P75" s="311">
        <f t="shared" ref="P75:Q75" si="73">F75/D75</f>
        <v>0</v>
      </c>
      <c r="Q75" s="325" t="str">
        <f t="shared" si="73"/>
        <v>#DIV/0!</v>
      </c>
      <c r="R75" s="311">
        <f t="shared" si="8"/>
        <v>0</v>
      </c>
      <c r="S75" s="249" t="s">
        <v>649</v>
      </c>
      <c r="T75" s="2" t="s">
        <v>21</v>
      </c>
      <c r="U75" s="162" t="s">
        <v>611</v>
      </c>
      <c r="V75" s="113">
        <f>COUNTIFS('Delivery Tracking'!E:E,B75)</f>
        <v>0</v>
      </c>
      <c r="W75" s="113">
        <f>SUMIFS(All_Stats!N:N,All_Stats!$A:$A,$B75,All_Stats!$B:$B,"Overall",All_Stats!$D:$D,"Total")</f>
        <v>0</v>
      </c>
      <c r="X75" s="323">
        <v>44532.0</v>
      </c>
      <c r="Y75" s="329"/>
      <c r="Z75" s="326"/>
    </row>
    <row r="76" hidden="1">
      <c r="A76" s="375" t="s">
        <v>754</v>
      </c>
      <c r="B76" s="376" t="s">
        <v>755</v>
      </c>
      <c r="C76" s="306"/>
      <c r="D76" s="162">
        <v>15.0</v>
      </c>
      <c r="E76" s="171">
        <f>SUMIFS(All_Stats!G:G,All_Stats!$A:$A,$B76,All_Stats!$B:$B,"Overall",All_Stats!$D:$D,"Total")</f>
        <v>0</v>
      </c>
      <c r="F76" s="113">
        <f>SUMIFS(All_Stats!H:H,All_Stats!$A:$A,$B76,All_Stats!$B:$B,"Overall",All_Stats!$D:$D,"Total")</f>
        <v>0</v>
      </c>
      <c r="G76" s="171">
        <f>SUMIFS(All_Stats!I:I,All_Stats!$A:$A,$B76,All_Stats!$B:$B,"Overall",All_Stats!$D:$D,"Total")</f>
        <v>0</v>
      </c>
      <c r="H76" s="113">
        <f>SUMIFS(All_Stats!K:K,All_Stats!$A:$A,$B76,All_Stats!$B:$B,"Overall",All_Stats!$D:$D,"Total")</f>
        <v>0</v>
      </c>
      <c r="I76" s="113">
        <f>SUMIFS(All_Stats!J:J,All_Stats!$A:$A,$B76,All_Stats!$B:$B,"Overall",All_Stats!$D:$D,"Total")</f>
        <v>0</v>
      </c>
      <c r="J76" s="113">
        <f t="shared" si="3"/>
        <v>15</v>
      </c>
      <c r="K76" s="249" t="s">
        <v>649</v>
      </c>
      <c r="L76" s="245">
        <v>44299.0</v>
      </c>
      <c r="M76" s="374">
        <v>44456.0</v>
      </c>
      <c r="N76" s="324"/>
      <c r="O76" s="310">
        <f t="shared" si="6"/>
        <v>11.38596491</v>
      </c>
      <c r="P76" s="311">
        <f t="shared" ref="P76:Q76" si="74">F76/D76</f>
        <v>0</v>
      </c>
      <c r="Q76" s="325" t="str">
        <f t="shared" si="74"/>
        <v>#DIV/0!</v>
      </c>
      <c r="R76" s="311">
        <f t="shared" si="8"/>
        <v>0</v>
      </c>
      <c r="S76" s="249" t="s">
        <v>649</v>
      </c>
      <c r="T76" s="2" t="s">
        <v>21</v>
      </c>
      <c r="U76" s="162" t="s">
        <v>611</v>
      </c>
      <c r="V76" s="113">
        <f>COUNTIFS('Delivery Tracking'!E:E,B76)</f>
        <v>0</v>
      </c>
      <c r="W76" s="113">
        <f>SUMIFS(All_Stats!N:N,All_Stats!$A:$A,$B76,All_Stats!$B:$B,"Overall",All_Stats!$D:$D,"Total")</f>
        <v>0</v>
      </c>
      <c r="X76" s="323">
        <v>44533.0</v>
      </c>
      <c r="Y76" s="329"/>
      <c r="Z76" s="326"/>
    </row>
    <row r="77" hidden="1">
      <c r="A77" s="346" t="s">
        <v>756</v>
      </c>
      <c r="B77" s="305" t="s">
        <v>757</v>
      </c>
      <c r="C77" s="306"/>
      <c r="D77" s="162">
        <v>15.0</v>
      </c>
      <c r="E77" s="171">
        <f>SUMIFS(All_Stats!G:G,All_Stats!$A:$A,$B77,All_Stats!$B:$B,"Overall",All_Stats!$D:$D,"Total")</f>
        <v>0</v>
      </c>
      <c r="F77" s="113">
        <f>SUMIFS(All_Stats!H:H,All_Stats!$A:$A,$B77,All_Stats!$B:$B,"Overall",All_Stats!$D:$D,"Total")</f>
        <v>0</v>
      </c>
      <c r="G77" s="171">
        <f>SUMIFS(All_Stats!I:I,All_Stats!$A:$A,$B77,All_Stats!$B:$B,"Overall",All_Stats!$D:$D,"Total")</f>
        <v>0</v>
      </c>
      <c r="H77" s="113">
        <f>SUMIFS(All_Stats!K:K,All_Stats!$A:$A,$B77,All_Stats!$B:$B,"Overall",All_Stats!$D:$D,"Total")</f>
        <v>0</v>
      </c>
      <c r="I77" s="113">
        <f>SUMIFS(All_Stats!J:J,All_Stats!$A:$A,$B77,All_Stats!$B:$B,"Overall",All_Stats!$D:$D,"Total")</f>
        <v>0</v>
      </c>
      <c r="J77" s="113">
        <f t="shared" si="3"/>
        <v>15</v>
      </c>
      <c r="K77" s="249" t="s">
        <v>57</v>
      </c>
      <c r="L77" s="245">
        <v>44320.0</v>
      </c>
      <c r="M77" s="377">
        <v>44498.0</v>
      </c>
      <c r="O77" s="310">
        <f t="shared" si="6"/>
        <v>9.945736434</v>
      </c>
      <c r="P77" s="311">
        <f t="shared" ref="P77:Q77" si="75">F77/D77</f>
        <v>0</v>
      </c>
      <c r="Q77" s="325" t="str">
        <f t="shared" si="75"/>
        <v>#DIV/0!</v>
      </c>
      <c r="R77" s="311">
        <f t="shared" si="8"/>
        <v>0</v>
      </c>
      <c r="S77" s="300" t="str">
        <f t="shared" ref="S77:S79" si="77">iferror(ifs(
K77="Closed","Closed",
K77="Paused","Paused",
UPPER(X77)="N/A","PRE",
X77="","N/A",
(_xlfn.NETWORKDAYS.INTL(X77,D$2)-1)/_xlfn.NETWORKDAYS.INTL(X77,M77)&lt;S$2,"PRE",
F77=0,"Underpacing",
O77-(F77+H77*(G77/(G77+F77)))/D77&gt;0.2,"Underpacing",
O77-(F77+H77*(G77/(G77+F77)))/D77&lt;=0.2,"On track")
,"N/A")</f>
        <v>Closed</v>
      </c>
      <c r="T77" s="2" t="s">
        <v>21</v>
      </c>
      <c r="U77" s="162" t="s">
        <v>611</v>
      </c>
      <c r="V77" s="113">
        <f>COUNTIFS('Delivery Tracking'!E:E,B77)</f>
        <v>0</v>
      </c>
      <c r="W77" s="113">
        <f>SUMIFS(All_Stats!N:N,All_Stats!$A:$A,$B77,All_Stats!$B:$B,"Overall",All_Stats!$D:$D,"Total")</f>
        <v>0</v>
      </c>
      <c r="X77" s="323">
        <v>44534.0</v>
      </c>
      <c r="Y77" s="329"/>
      <c r="Z77" s="326"/>
    </row>
    <row r="78" hidden="1">
      <c r="A78" s="371" t="s">
        <v>758</v>
      </c>
      <c r="B78" s="341" t="s">
        <v>759</v>
      </c>
      <c r="C78" s="306"/>
      <c r="D78" s="162">
        <v>52.0</v>
      </c>
      <c r="E78" s="171">
        <f>SUMIFS(All_Stats!G:G,All_Stats!$A:$A,$B78,All_Stats!$B:$B,"Overall",All_Stats!$D:$D,"Total")</f>
        <v>0</v>
      </c>
      <c r="F78" s="113">
        <f>SUMIFS(All_Stats!H:H,All_Stats!$A:$A,$B78,All_Stats!$B:$B,"Overall",All_Stats!$D:$D,"Total")</f>
        <v>0</v>
      </c>
      <c r="G78" s="171">
        <f>SUMIFS(All_Stats!I:I,All_Stats!$A:$A,$B78,All_Stats!$B:$B,"Overall",All_Stats!$D:$D,"Total")</f>
        <v>0</v>
      </c>
      <c r="H78" s="113">
        <f>SUMIFS(All_Stats!K:K,All_Stats!$A:$A,$B78,All_Stats!$B:$B,"Overall",All_Stats!$D:$D,"Total")</f>
        <v>0</v>
      </c>
      <c r="I78" s="113">
        <f>SUMIFS(All_Stats!J:J,All_Stats!$A:$A,$B78,All_Stats!$B:$B,"Overall",All_Stats!$D:$D,"Total")</f>
        <v>0</v>
      </c>
      <c r="J78" s="113">
        <f t="shared" si="3"/>
        <v>52</v>
      </c>
      <c r="K78" s="249" t="s">
        <v>57</v>
      </c>
      <c r="L78" s="245">
        <v>44476.0</v>
      </c>
      <c r="M78" s="245">
        <v>44516.0</v>
      </c>
      <c r="N78" s="2" t="s">
        <v>760</v>
      </c>
      <c r="O78" s="310">
        <f t="shared" si="6"/>
        <v>40.37931034</v>
      </c>
      <c r="P78" s="311">
        <f t="shared" ref="P78:Q78" si="76">F78/D78</f>
        <v>0</v>
      </c>
      <c r="Q78" s="325" t="str">
        <f t="shared" si="76"/>
        <v>#DIV/0!</v>
      </c>
      <c r="R78" s="311">
        <f t="shared" si="8"/>
        <v>0</v>
      </c>
      <c r="S78" s="300" t="str">
        <f t="shared" si="77"/>
        <v>Closed</v>
      </c>
      <c r="T78" s="2" t="s">
        <v>166</v>
      </c>
      <c r="U78" s="162" t="s">
        <v>611</v>
      </c>
      <c r="V78" s="113">
        <f>COUNTIFS('Delivery Tracking'!E:E,B78)</f>
        <v>0</v>
      </c>
      <c r="W78" s="113">
        <f>SUMIFS(All_Stats!N:N,All_Stats!$A:$A,$B78,All_Stats!$B:$B,"Overall",All_Stats!$D:$D,"Total")</f>
        <v>0</v>
      </c>
      <c r="X78" s="323">
        <v>44535.0</v>
      </c>
      <c r="Y78" s="329"/>
      <c r="Z78" s="326"/>
    </row>
    <row r="79" hidden="1">
      <c r="A79" s="334" t="s">
        <v>761</v>
      </c>
      <c r="B79" s="335" t="s">
        <v>762</v>
      </c>
      <c r="C79" s="306"/>
      <c r="D79" s="162">
        <v>25.0</v>
      </c>
      <c r="E79" s="171">
        <f>SUMIFS(All_Stats!G:G,All_Stats!$A:$A,$B79,All_Stats!$B:$B,"Overall",All_Stats!$D:$D,"Total")</f>
        <v>0</v>
      </c>
      <c r="F79" s="113">
        <f>SUMIFS(All_Stats!H:H,All_Stats!$A:$A,$B79,All_Stats!$B:$B,"Overall",All_Stats!$D:$D,"Total")</f>
        <v>0</v>
      </c>
      <c r="G79" s="171">
        <f>SUMIFS(All_Stats!I:I,All_Stats!$A:$A,$B79,All_Stats!$B:$B,"Overall",All_Stats!$D:$D,"Total")</f>
        <v>0</v>
      </c>
      <c r="H79" s="113">
        <f>SUMIFS(All_Stats!K:K,All_Stats!$A:$A,$B79,All_Stats!$B:$B,"Overall",All_Stats!$D:$D,"Total")</f>
        <v>0</v>
      </c>
      <c r="I79" s="113">
        <f>SUMIFS(All_Stats!J:J,All_Stats!$A:$A,$B79,All_Stats!$B:$B,"Overall",All_Stats!$D:$D,"Total")</f>
        <v>0</v>
      </c>
      <c r="J79" s="113">
        <f t="shared" si="3"/>
        <v>25</v>
      </c>
      <c r="K79" s="249" t="s">
        <v>57</v>
      </c>
      <c r="L79" s="323">
        <v>44484.0</v>
      </c>
      <c r="M79" s="245">
        <v>44511.0</v>
      </c>
      <c r="O79" s="310">
        <f t="shared" si="6"/>
        <v>58.25</v>
      </c>
      <c r="P79" s="311">
        <f t="shared" ref="P79:Q79" si="78">F79/D79</f>
        <v>0</v>
      </c>
      <c r="Q79" s="325" t="str">
        <f t="shared" si="78"/>
        <v>#DIV/0!</v>
      </c>
      <c r="R79" s="311">
        <f t="shared" si="8"/>
        <v>0</v>
      </c>
      <c r="S79" s="300" t="str">
        <f t="shared" si="77"/>
        <v>Closed</v>
      </c>
      <c r="T79" s="2" t="s">
        <v>153</v>
      </c>
      <c r="U79" s="162" t="s">
        <v>611</v>
      </c>
      <c r="V79" s="113">
        <f>COUNTIFS('Delivery Tracking'!E:E,B79)</f>
        <v>0</v>
      </c>
      <c r="W79" s="113">
        <f>SUMIFS(All_Stats!N:N,All_Stats!$A:$A,$B79,All_Stats!$B:$B,"Overall",All_Stats!$D:$D,"Total")</f>
        <v>0</v>
      </c>
      <c r="X79" s="323">
        <v>44536.0</v>
      </c>
      <c r="Y79" s="329"/>
      <c r="Z79" s="326"/>
    </row>
    <row r="80" hidden="1">
      <c r="A80" s="378" t="s">
        <v>763</v>
      </c>
      <c r="B80" s="379" t="s">
        <v>764</v>
      </c>
      <c r="C80" s="306"/>
      <c r="D80" s="162">
        <v>25.0</v>
      </c>
      <c r="E80" s="171">
        <f>SUMIFS(All_Stats!G:G,All_Stats!$A:$A,$B80,All_Stats!$B:$B,"Overall",All_Stats!$D:$D,"Total")</f>
        <v>0</v>
      </c>
      <c r="F80" s="113">
        <f>SUMIFS(All_Stats!H:H,All_Stats!$A:$A,$B80,All_Stats!$B:$B,"Overall",All_Stats!$D:$D,"Total")</f>
        <v>0</v>
      </c>
      <c r="G80" s="171">
        <f>SUMIFS(All_Stats!I:I,All_Stats!$A:$A,$B80,All_Stats!$B:$B,"Overall",All_Stats!$D:$D,"Total")</f>
        <v>0</v>
      </c>
      <c r="H80" s="113">
        <f>SUMIFS(All_Stats!K:K,All_Stats!$A:$A,$B80,All_Stats!$B:$B,"Overall",All_Stats!$D:$D,"Total")</f>
        <v>0</v>
      </c>
      <c r="I80" s="113">
        <f>SUMIFS(All_Stats!J:J,All_Stats!$A:$A,$B80,All_Stats!$B:$B,"Overall",All_Stats!$D:$D,"Total")</f>
        <v>0</v>
      </c>
      <c r="J80" s="113">
        <f t="shared" si="3"/>
        <v>25</v>
      </c>
      <c r="K80" s="249" t="s">
        <v>649</v>
      </c>
      <c r="L80" s="245">
        <v>44482.0</v>
      </c>
      <c r="M80" s="245">
        <v>44509.0</v>
      </c>
      <c r="N80" s="15" t="s">
        <v>765</v>
      </c>
      <c r="O80" s="310">
        <f t="shared" si="6"/>
        <v>58.35</v>
      </c>
      <c r="P80" s="311">
        <f t="shared" ref="P80:Q80" si="79">F80/D80</f>
        <v>0</v>
      </c>
      <c r="Q80" s="325" t="str">
        <f t="shared" si="79"/>
        <v>#DIV/0!</v>
      </c>
      <c r="R80" s="311">
        <f t="shared" si="8"/>
        <v>0</v>
      </c>
      <c r="S80" s="249" t="s">
        <v>649</v>
      </c>
      <c r="T80" s="2" t="s">
        <v>67</v>
      </c>
      <c r="U80" s="162" t="s">
        <v>611</v>
      </c>
      <c r="V80" s="113">
        <f>COUNTIFS('Delivery Tracking'!E:E,B80)</f>
        <v>0</v>
      </c>
      <c r="W80" s="113">
        <f>SUMIFS(All_Stats!N:N,All_Stats!$A:$A,$B80,All_Stats!$B:$B,"Overall",All_Stats!$D:$D,"Total")</f>
        <v>0</v>
      </c>
      <c r="X80" s="323">
        <v>44537.0</v>
      </c>
      <c r="Y80" s="329"/>
      <c r="Z80" s="326"/>
    </row>
    <row r="81" hidden="1">
      <c r="A81" s="352" t="s">
        <v>766</v>
      </c>
      <c r="B81" s="175" t="s">
        <v>767</v>
      </c>
      <c r="C81" s="306"/>
      <c r="D81" s="162">
        <v>150.0</v>
      </c>
      <c r="E81" s="171">
        <f>SUMIFS(All_Stats!G:G,All_Stats!$A:$A,$B81,All_Stats!$B:$B,"Overall",All_Stats!$D:$D,"Total")</f>
        <v>0</v>
      </c>
      <c r="F81" s="113">
        <f>SUMIFS(All_Stats!H:H,All_Stats!$A:$A,$B81,All_Stats!$B:$B,"Overall",All_Stats!$D:$D,"Total")</f>
        <v>0</v>
      </c>
      <c r="G81" s="171">
        <f>SUMIFS(All_Stats!I:I,All_Stats!$A:$A,$B81,All_Stats!$B:$B,"Overall",All_Stats!$D:$D,"Total")</f>
        <v>0</v>
      </c>
      <c r="H81" s="113">
        <f>SUMIFS(All_Stats!K:K,All_Stats!$A:$A,$B81,All_Stats!$B:$B,"Overall",All_Stats!$D:$D,"Total")</f>
        <v>0</v>
      </c>
      <c r="I81" s="113">
        <f>SUMIFS(All_Stats!J:J,All_Stats!$A:$A,$B81,All_Stats!$B:$B,"Overall",All_Stats!$D:$D,"Total")</f>
        <v>0</v>
      </c>
      <c r="J81" s="113">
        <f t="shared" si="3"/>
        <v>150</v>
      </c>
      <c r="K81" s="249" t="s">
        <v>57</v>
      </c>
      <c r="L81" s="245">
        <v>44418.0</v>
      </c>
      <c r="M81" s="245">
        <v>44545.0</v>
      </c>
      <c r="N81" s="2" t="s">
        <v>768</v>
      </c>
      <c r="O81" s="310">
        <f t="shared" si="6"/>
        <v>13.18478261</v>
      </c>
      <c r="P81" s="311">
        <f t="shared" ref="P81:Q81" si="80">F81/D81</f>
        <v>0</v>
      </c>
      <c r="Q81" s="325" t="str">
        <f t="shared" si="80"/>
        <v>#DIV/0!</v>
      </c>
      <c r="R81" s="311">
        <f t="shared" si="8"/>
        <v>0</v>
      </c>
      <c r="S81" s="300" t="str">
        <f t="shared" ref="S81:S86" si="82">iferror(ifs(
K81="Closed","Closed",
K81="Paused","Paused",
UPPER(X81)="N/A","PRE",
X81="","N/A",
(_xlfn.NETWORKDAYS.INTL(X81,D$2)-1)/_xlfn.NETWORKDAYS.INTL(X81,M81)&lt;S$2,"PRE",
F81=0,"Underpacing",
O81-(F81+H81*(G81/(G81+F81)))/D81&gt;0.2,"Underpacing",
O81-(F81+H81*(G81/(G81+F81)))/D81&lt;=0.2,"On track")
,"N/A")</f>
        <v>Closed</v>
      </c>
      <c r="T81" s="2" t="s">
        <v>146</v>
      </c>
      <c r="U81" s="162" t="s">
        <v>611</v>
      </c>
      <c r="V81" s="113">
        <f>COUNTIFS('Delivery Tracking'!E:E,B81)</f>
        <v>0</v>
      </c>
      <c r="W81" s="113">
        <f>SUMIFS(All_Stats!N:N,All_Stats!$A:$A,$B81,All_Stats!$B:$B,"Overall",All_Stats!$D:$D,"Total")</f>
        <v>0</v>
      </c>
      <c r="X81" s="323">
        <v>44538.0</v>
      </c>
      <c r="Y81" s="329"/>
      <c r="Z81" s="326"/>
    </row>
    <row r="82" hidden="1">
      <c r="A82" s="334" t="s">
        <v>769</v>
      </c>
      <c r="B82" s="335" t="s">
        <v>770</v>
      </c>
      <c r="C82" s="306"/>
      <c r="D82" s="162">
        <v>175.0</v>
      </c>
      <c r="E82" s="171">
        <f>SUMIFS(All_Stats!G:G,All_Stats!$A:$A,$B82,All_Stats!$B:$B,"Overall",All_Stats!$D:$D,"Total")</f>
        <v>0</v>
      </c>
      <c r="F82" s="113">
        <f>SUMIFS(All_Stats!H:H,All_Stats!$A:$A,$B82,All_Stats!$B:$B,"Overall",All_Stats!$D:$D,"Total")</f>
        <v>0</v>
      </c>
      <c r="G82" s="171">
        <f>SUMIFS(All_Stats!I:I,All_Stats!$A:$A,$B82,All_Stats!$B:$B,"Overall",All_Stats!$D:$D,"Total")</f>
        <v>0</v>
      </c>
      <c r="H82" s="113">
        <f>SUMIFS(All_Stats!K:K,All_Stats!$A:$A,$B82,All_Stats!$B:$B,"Overall",All_Stats!$D:$D,"Total")</f>
        <v>0</v>
      </c>
      <c r="I82" s="113">
        <f>SUMIFS(All_Stats!J:J,All_Stats!$A:$A,$B82,All_Stats!$B:$B,"Overall",All_Stats!$D:$D,"Total")</f>
        <v>0</v>
      </c>
      <c r="J82" s="113">
        <f t="shared" si="3"/>
        <v>175</v>
      </c>
      <c r="K82" s="249" t="s">
        <v>57</v>
      </c>
      <c r="L82" s="323">
        <v>44495.0</v>
      </c>
      <c r="M82" s="349">
        <v>44505.0</v>
      </c>
      <c r="O82" s="310">
        <f t="shared" si="6"/>
        <v>128.6666667</v>
      </c>
      <c r="P82" s="311">
        <f t="shared" ref="P82:Q82" si="81">F82/D82</f>
        <v>0</v>
      </c>
      <c r="Q82" s="325" t="str">
        <f t="shared" si="81"/>
        <v>#DIV/0!</v>
      </c>
      <c r="R82" s="311">
        <f t="shared" si="8"/>
        <v>0</v>
      </c>
      <c r="S82" s="300" t="str">
        <f t="shared" si="82"/>
        <v>Closed</v>
      </c>
      <c r="T82" s="2" t="s">
        <v>184</v>
      </c>
      <c r="U82" s="162" t="s">
        <v>611</v>
      </c>
      <c r="V82" s="113">
        <f>COUNTIFS('Delivery Tracking'!E:E,B82)</f>
        <v>0</v>
      </c>
      <c r="W82" s="113">
        <f>SUMIFS(All_Stats!N:N,All_Stats!$A:$A,$B82,All_Stats!$B:$B,"Overall",All_Stats!$D:$D,"Total")</f>
        <v>0</v>
      </c>
      <c r="X82" s="323">
        <v>44539.0</v>
      </c>
      <c r="Y82" s="329"/>
      <c r="Z82" s="326"/>
    </row>
    <row r="83" hidden="1">
      <c r="A83" s="352" t="s">
        <v>771</v>
      </c>
      <c r="B83" s="342" t="s">
        <v>772</v>
      </c>
      <c r="C83" s="306"/>
      <c r="D83" s="162">
        <v>156.0</v>
      </c>
      <c r="E83" s="171">
        <f>SUMIFS(All_Stats!G:G,All_Stats!$A:$A,$B83,All_Stats!$B:$B,"Overall",All_Stats!$D:$D,"Total")</f>
        <v>0</v>
      </c>
      <c r="F83" s="113">
        <f>SUMIFS(All_Stats!H:H,All_Stats!$A:$A,$B83,All_Stats!$B:$B,"Overall",All_Stats!$D:$D,"Total")</f>
        <v>0</v>
      </c>
      <c r="G83" s="171">
        <f>SUMIFS(All_Stats!I:I,All_Stats!$A:$A,$B83,All_Stats!$B:$B,"Overall",All_Stats!$D:$D,"Total")</f>
        <v>0</v>
      </c>
      <c r="H83" s="113">
        <f>SUMIFS(All_Stats!K:K,All_Stats!$A:$A,$B83,All_Stats!$B:$B,"Overall",All_Stats!$D:$D,"Total")</f>
        <v>0</v>
      </c>
      <c r="I83" s="113">
        <f>SUMIFS(All_Stats!J:J,All_Stats!$A:$A,$B83,All_Stats!$B:$B,"Overall",All_Stats!$D:$D,"Total")</f>
        <v>0</v>
      </c>
      <c r="J83" s="113">
        <f t="shared" si="3"/>
        <v>156</v>
      </c>
      <c r="K83" s="249" t="s">
        <v>57</v>
      </c>
      <c r="L83" s="323">
        <v>44480.0</v>
      </c>
      <c r="M83" s="245">
        <v>44508.0</v>
      </c>
      <c r="O83" s="310">
        <f t="shared" si="6"/>
        <v>55.66666667</v>
      </c>
      <c r="P83" s="311">
        <f t="shared" ref="P83:Q83" si="83">F83/D83</f>
        <v>0</v>
      </c>
      <c r="Q83" s="325" t="str">
        <f t="shared" si="83"/>
        <v>#DIV/0!</v>
      </c>
      <c r="R83" s="311">
        <f t="shared" si="8"/>
        <v>0</v>
      </c>
      <c r="S83" s="300" t="str">
        <f t="shared" si="82"/>
        <v>Closed</v>
      </c>
      <c r="T83" s="2" t="s">
        <v>166</v>
      </c>
      <c r="U83" s="162" t="s">
        <v>611</v>
      </c>
      <c r="V83" s="113">
        <f>COUNTIFS('Delivery Tracking'!E:E,B83)</f>
        <v>0</v>
      </c>
      <c r="W83" s="113">
        <f>SUMIFS(All_Stats!N:N,All_Stats!$A:$A,$B83,All_Stats!$B:$B,"Overall",All_Stats!$D:$D,"Total")</f>
        <v>0</v>
      </c>
      <c r="X83" s="323">
        <v>44540.0</v>
      </c>
      <c r="Y83" s="329"/>
      <c r="Z83" s="326"/>
    </row>
    <row r="84" hidden="1">
      <c r="A84" s="352" t="s">
        <v>773</v>
      </c>
      <c r="B84" s="342" t="s">
        <v>774</v>
      </c>
      <c r="C84" s="306"/>
      <c r="D84" s="380">
        <v>60.0</v>
      </c>
      <c r="E84" s="171">
        <f>SUMIFS(All_Stats!G:G,All_Stats!$A:$A,$B84,All_Stats!$B:$B,"Overall",All_Stats!$D:$D,"Total")</f>
        <v>0</v>
      </c>
      <c r="F84" s="113">
        <f>SUMIFS(All_Stats!H:H,All_Stats!$A:$A,$B84,All_Stats!$B:$B,"Overall",All_Stats!$D:$D,"Total")</f>
        <v>0</v>
      </c>
      <c r="G84" s="171">
        <f>SUMIFS(All_Stats!I:I,All_Stats!$A:$A,$B84,All_Stats!$B:$B,"Overall",All_Stats!$D:$D,"Total")</f>
        <v>0</v>
      </c>
      <c r="H84" s="113">
        <f>SUMIFS(All_Stats!K:K,All_Stats!$A:$A,$B84,All_Stats!$B:$B,"Overall",All_Stats!$D:$D,"Total")</f>
        <v>0</v>
      </c>
      <c r="I84" s="113">
        <f>SUMIFS(All_Stats!J:J,All_Stats!$A:$A,$B84,All_Stats!$B:$B,"Overall",All_Stats!$D:$D,"Total")</f>
        <v>0</v>
      </c>
      <c r="J84" s="113">
        <f t="shared" si="3"/>
        <v>60</v>
      </c>
      <c r="K84" s="249" t="s">
        <v>57</v>
      </c>
      <c r="L84" s="323">
        <v>44341.0</v>
      </c>
      <c r="M84" s="245">
        <v>44508.0</v>
      </c>
      <c r="O84" s="310">
        <f t="shared" si="6"/>
        <v>10.56666667</v>
      </c>
      <c r="P84" s="311">
        <f t="shared" ref="P84:Q84" si="84">F84/D84</f>
        <v>0</v>
      </c>
      <c r="Q84" s="325" t="str">
        <f t="shared" si="84"/>
        <v>#DIV/0!</v>
      </c>
      <c r="R84" s="311">
        <f t="shared" si="8"/>
        <v>0</v>
      </c>
      <c r="S84" s="300" t="str">
        <f t="shared" si="82"/>
        <v>Closed</v>
      </c>
      <c r="T84" s="2" t="s">
        <v>111</v>
      </c>
      <c r="U84" s="162" t="s">
        <v>611</v>
      </c>
      <c r="V84" s="113">
        <f>COUNTIFS('Delivery Tracking'!E:E,B84)</f>
        <v>0</v>
      </c>
      <c r="W84" s="113">
        <f>SUMIFS(All_Stats!N:N,All_Stats!$A:$A,$B84,All_Stats!$B:$B,"Overall",All_Stats!$D:$D,"Total")</f>
        <v>0</v>
      </c>
      <c r="X84" s="323">
        <v>44542.0</v>
      </c>
      <c r="Y84" s="329"/>
      <c r="Z84" s="326"/>
    </row>
    <row r="85" hidden="1">
      <c r="A85" s="371" t="s">
        <v>775</v>
      </c>
      <c r="B85" s="341" t="s">
        <v>776</v>
      </c>
      <c r="C85" s="306"/>
      <c r="D85" s="162">
        <v>50.0</v>
      </c>
      <c r="E85" s="171">
        <f>SUMIFS(All_Stats!G:G,All_Stats!$A:$A,$B85,All_Stats!$B:$B,"Overall",All_Stats!$D:$D,"Total")</f>
        <v>0</v>
      </c>
      <c r="F85" s="113">
        <f>SUMIFS(All_Stats!H:H,All_Stats!$A:$A,$B85,All_Stats!$B:$B,"Overall",All_Stats!$D:$D,"Total")</f>
        <v>0</v>
      </c>
      <c r="G85" s="171">
        <f>SUMIFS(All_Stats!I:I,All_Stats!$A:$A,$B85,All_Stats!$B:$B,"Overall",All_Stats!$D:$D,"Total")</f>
        <v>0</v>
      </c>
      <c r="H85" s="113">
        <f>SUMIFS(All_Stats!K:K,All_Stats!$A:$A,$B85,All_Stats!$B:$B,"Overall",All_Stats!$D:$D,"Total")</f>
        <v>0</v>
      </c>
      <c r="I85" s="113">
        <f>SUMIFS(All_Stats!J:J,All_Stats!$A:$A,$B85,All_Stats!$B:$B,"Overall",All_Stats!$D:$D,"Total")</f>
        <v>0</v>
      </c>
      <c r="J85" s="113">
        <f t="shared" si="3"/>
        <v>50</v>
      </c>
      <c r="K85" s="249" t="s">
        <v>57</v>
      </c>
      <c r="L85" s="355">
        <v>44502.0</v>
      </c>
      <c r="M85" s="356">
        <v>44516.0</v>
      </c>
      <c r="O85" s="310">
        <f t="shared" si="6"/>
        <v>104.8181818</v>
      </c>
      <c r="P85" s="311">
        <f t="shared" ref="P85:Q85" si="85">F85/D85</f>
        <v>0</v>
      </c>
      <c r="Q85" s="325" t="str">
        <f t="shared" si="85"/>
        <v>#DIV/0!</v>
      </c>
      <c r="R85" s="311">
        <f t="shared" si="8"/>
        <v>0</v>
      </c>
      <c r="S85" s="300" t="str">
        <f t="shared" si="82"/>
        <v>Closed</v>
      </c>
      <c r="T85" s="2" t="s">
        <v>166</v>
      </c>
      <c r="U85" s="162" t="s">
        <v>611</v>
      </c>
      <c r="V85" s="113">
        <f>COUNTIFS('Delivery Tracking'!E:E,B85)</f>
        <v>0</v>
      </c>
      <c r="W85" s="113">
        <f>SUMIFS(All_Stats!N:N,All_Stats!$A:$A,$B85,All_Stats!$B:$B,"Overall",All_Stats!$D:$D,"Total")</f>
        <v>0</v>
      </c>
      <c r="X85" s="323">
        <v>44543.0</v>
      </c>
      <c r="Y85" s="329"/>
      <c r="Z85" s="326"/>
    </row>
    <row r="86" hidden="1">
      <c r="A86" s="334" t="s">
        <v>777</v>
      </c>
      <c r="B86" s="335" t="s">
        <v>778</v>
      </c>
      <c r="C86" s="306"/>
      <c r="D86" s="162">
        <v>94.0</v>
      </c>
      <c r="E86" s="171">
        <f>SUMIFS(All_Stats!G:G,All_Stats!$A:$A,$B86,All_Stats!$B:$B,"Overall",All_Stats!$D:$D,"Total")</f>
        <v>0</v>
      </c>
      <c r="F86" s="113">
        <f>SUMIFS(All_Stats!H:H,All_Stats!$A:$A,$B86,All_Stats!$B:$B,"Overall",All_Stats!$D:$D,"Total")</f>
        <v>0</v>
      </c>
      <c r="G86" s="171">
        <f>SUMIFS(All_Stats!I:I,All_Stats!$A:$A,$B86,All_Stats!$B:$B,"Overall",All_Stats!$D:$D,"Total")</f>
        <v>0</v>
      </c>
      <c r="H86" s="113">
        <f>SUMIFS(All_Stats!K:K,All_Stats!$A:$A,$B86,All_Stats!$B:$B,"Overall",All_Stats!$D:$D,"Total")</f>
        <v>0</v>
      </c>
      <c r="I86" s="113">
        <f>SUMIFS(All_Stats!J:J,All_Stats!$A:$A,$B86,All_Stats!$B:$B,"Overall",All_Stats!$D:$D,"Total")</f>
        <v>0</v>
      </c>
      <c r="J86" s="113">
        <f t="shared" si="3"/>
        <v>94</v>
      </c>
      <c r="K86" s="249" t="s">
        <v>57</v>
      </c>
      <c r="L86" s="245">
        <v>44466.0</v>
      </c>
      <c r="M86" s="245">
        <v>44503.0</v>
      </c>
      <c r="O86" s="310">
        <f t="shared" si="6"/>
        <v>42.10714286</v>
      </c>
      <c r="P86" s="311">
        <f t="shared" ref="P86:Q86" si="86">F86/D86</f>
        <v>0</v>
      </c>
      <c r="Q86" s="325" t="str">
        <f t="shared" si="86"/>
        <v>#DIV/0!</v>
      </c>
      <c r="R86" s="311">
        <f t="shared" si="8"/>
        <v>0</v>
      </c>
      <c r="S86" s="300" t="str">
        <f t="shared" si="82"/>
        <v>Closed</v>
      </c>
      <c r="T86" s="2" t="s">
        <v>166</v>
      </c>
      <c r="U86" s="162" t="s">
        <v>611</v>
      </c>
      <c r="V86" s="113">
        <f>COUNTIFS('Delivery Tracking'!E:E,B86)</f>
        <v>0</v>
      </c>
      <c r="W86" s="113">
        <f>SUMIFS(All_Stats!N:N,All_Stats!$A:$A,$B86,All_Stats!$B:$B,"Overall",All_Stats!$D:$D,"Total")</f>
        <v>0</v>
      </c>
      <c r="X86" s="323">
        <v>44544.0</v>
      </c>
      <c r="Y86" s="329"/>
      <c r="Z86" s="326"/>
    </row>
    <row r="87" hidden="1">
      <c r="A87" s="334" t="s">
        <v>779</v>
      </c>
      <c r="B87" s="335" t="s">
        <v>780</v>
      </c>
      <c r="C87" s="381"/>
      <c r="D87" s="162">
        <v>30.0</v>
      </c>
      <c r="E87" s="171">
        <f>SUMIFS(All_Stats!G:G,All_Stats!$A:$A,$B87,All_Stats!$B:$B,"Overall",All_Stats!$D:$D,"Total")</f>
        <v>0</v>
      </c>
      <c r="F87" s="113">
        <f>SUMIFS(All_Stats!H:H,All_Stats!$A:$A,$B87,All_Stats!$B:$B,"Overall",All_Stats!$D:$D,"Total")</f>
        <v>0</v>
      </c>
      <c r="G87" s="171">
        <f>SUMIFS(All_Stats!I:I,All_Stats!$A:$A,$B87,All_Stats!$B:$B,"Overall",All_Stats!$D:$D,"Total")</f>
        <v>0</v>
      </c>
      <c r="H87" s="113">
        <f>SUMIFS(All_Stats!K:K,All_Stats!$A:$A,$B87,All_Stats!$B:$B,"Overall",All_Stats!$D:$D,"Total")</f>
        <v>0</v>
      </c>
      <c r="I87" s="113">
        <f>SUMIFS(All_Stats!J:J,All_Stats!$A:$A,$B87,All_Stats!$B:$B,"Overall",All_Stats!$D:$D,"Total")</f>
        <v>0</v>
      </c>
      <c r="J87" s="113">
        <f t="shared" si="3"/>
        <v>30</v>
      </c>
      <c r="K87" s="249" t="s">
        <v>649</v>
      </c>
      <c r="L87" s="323">
        <v>44504.0</v>
      </c>
      <c r="M87" s="245">
        <v>44515.0</v>
      </c>
      <c r="O87" s="310">
        <f t="shared" si="6"/>
        <v>143.875</v>
      </c>
      <c r="P87" s="311">
        <f t="shared" ref="P87:Q87" si="87">F87/D87</f>
        <v>0</v>
      </c>
      <c r="Q87" s="325" t="str">
        <f t="shared" si="87"/>
        <v>#DIV/0!</v>
      </c>
      <c r="R87" s="311">
        <f t="shared" si="8"/>
        <v>0</v>
      </c>
      <c r="S87" s="249" t="s">
        <v>649</v>
      </c>
      <c r="T87" s="2" t="s">
        <v>80</v>
      </c>
      <c r="U87" s="162" t="s">
        <v>781</v>
      </c>
      <c r="V87" s="113">
        <f>COUNTIFS('Delivery Tracking'!E:E,B87)</f>
        <v>0</v>
      </c>
      <c r="W87" s="113">
        <f>SUMIFS(All_Stats!N:N,All_Stats!$A:$A,$B87,All_Stats!$B:$B,"Overall",All_Stats!$D:$D,"Total")</f>
        <v>0</v>
      </c>
      <c r="X87" s="323">
        <v>44545.0</v>
      </c>
      <c r="Y87" s="329"/>
      <c r="Z87" s="326"/>
    </row>
    <row r="88" hidden="1">
      <c r="A88" s="371" t="s">
        <v>639</v>
      </c>
      <c r="B88" s="341" t="s">
        <v>782</v>
      </c>
      <c r="C88" s="306"/>
      <c r="D88" s="162">
        <v>84.0</v>
      </c>
      <c r="E88" s="171">
        <f>SUMIFS(All_Stats!G:G,All_Stats!$A:$A,$B88,All_Stats!$B:$B,"Overall",All_Stats!$D:$D,"Total")</f>
        <v>0</v>
      </c>
      <c r="F88" s="113">
        <f>SUMIFS(All_Stats!H:H,All_Stats!$A:$A,$B88,All_Stats!$B:$B,"Overall",All_Stats!$D:$D,"Total")</f>
        <v>0</v>
      </c>
      <c r="G88" s="171">
        <f>SUMIFS(All_Stats!I:I,All_Stats!$A:$A,$B88,All_Stats!$B:$B,"Overall",All_Stats!$D:$D,"Total")</f>
        <v>0</v>
      </c>
      <c r="H88" s="113">
        <f>SUMIFS(All_Stats!K:K,All_Stats!$A:$A,$B88,All_Stats!$B:$B,"Overall",All_Stats!$D:$D,"Total")</f>
        <v>0</v>
      </c>
      <c r="I88" s="113">
        <f>SUMIFS(All_Stats!J:J,All_Stats!$A:$A,$B88,All_Stats!$B:$B,"Overall",All_Stats!$D:$D,"Total")</f>
        <v>0</v>
      </c>
      <c r="J88" s="113">
        <f t="shared" si="3"/>
        <v>84</v>
      </c>
      <c r="K88" s="249" t="s">
        <v>57</v>
      </c>
      <c r="L88" s="245">
        <v>44490.0</v>
      </c>
      <c r="M88" s="245">
        <v>44505.0</v>
      </c>
      <c r="O88" s="310">
        <f t="shared" si="6"/>
        <v>96.75</v>
      </c>
      <c r="P88" s="311">
        <f t="shared" ref="P88:Q88" si="88">F88/D88</f>
        <v>0</v>
      </c>
      <c r="Q88" s="325" t="str">
        <f t="shared" si="88"/>
        <v>#DIV/0!</v>
      </c>
      <c r="R88" s="311">
        <f t="shared" si="8"/>
        <v>0</v>
      </c>
      <c r="S88" s="300" t="str">
        <f t="shared" ref="S88:S103" si="90">iferror(ifs(
K88="Closed","Closed",
K88="Paused","Paused",
UPPER(X88)="N/A","PRE",
X88="","N/A",
(_xlfn.NETWORKDAYS.INTL(X88,D$2)-1)/_xlfn.NETWORKDAYS.INTL(X88,M88)&lt;S$2,"PRE",
F88=0,"Underpacing",
O88-(F88+H88*(G88/(G88+F88)))/D88&gt;0.2,"Underpacing",
O88-(F88+H88*(G88/(G88+F88)))/D88&lt;=0.2,"On track")
,"N/A")</f>
        <v>Closed</v>
      </c>
      <c r="T88" s="2" t="s">
        <v>166</v>
      </c>
      <c r="U88" s="162" t="s">
        <v>611</v>
      </c>
      <c r="V88" s="113">
        <f>COUNTIFS('Delivery Tracking'!E:E,B88)</f>
        <v>0</v>
      </c>
      <c r="W88" s="113">
        <f>SUMIFS(All_Stats!N:N,All_Stats!$A:$A,$B88,All_Stats!$B:$B,"Overall",All_Stats!$D:$D,"Total")</f>
        <v>0</v>
      </c>
      <c r="X88" s="323">
        <v>44546.0</v>
      </c>
      <c r="Y88" s="329"/>
      <c r="Z88" s="326"/>
    </row>
    <row r="89" hidden="1">
      <c r="A89" s="334" t="s">
        <v>783</v>
      </c>
      <c r="B89" s="335" t="s">
        <v>784</v>
      </c>
      <c r="C89" s="306"/>
      <c r="D89" s="162">
        <v>125.0</v>
      </c>
      <c r="E89" s="171">
        <f>SUMIFS(All_Stats!G:G,All_Stats!$A:$A,$B89,All_Stats!$B:$B,"Overall",All_Stats!$D:$D,"Total")</f>
        <v>0</v>
      </c>
      <c r="F89" s="113">
        <f>SUMIFS(All_Stats!H:H,All_Stats!$A:$A,$B89,All_Stats!$B:$B,"Overall",All_Stats!$D:$D,"Total")</f>
        <v>0</v>
      </c>
      <c r="G89" s="171">
        <f>SUMIFS(All_Stats!I:I,All_Stats!$A:$A,$B89,All_Stats!$B:$B,"Overall",All_Stats!$D:$D,"Total")</f>
        <v>0</v>
      </c>
      <c r="H89" s="113">
        <f>SUMIFS(All_Stats!K:K,All_Stats!$A:$A,$B89,All_Stats!$B:$B,"Overall",All_Stats!$D:$D,"Total")</f>
        <v>0</v>
      </c>
      <c r="I89" s="113">
        <f>SUMIFS(All_Stats!J:J,All_Stats!$A:$A,$B89,All_Stats!$B:$B,"Overall",All_Stats!$D:$D,"Total")</f>
        <v>0</v>
      </c>
      <c r="J89" s="113">
        <f t="shared" si="3"/>
        <v>125</v>
      </c>
      <c r="K89" s="249" t="s">
        <v>57</v>
      </c>
      <c r="L89" s="323">
        <v>44482.0</v>
      </c>
      <c r="M89" s="245">
        <v>44529.0</v>
      </c>
      <c r="N89" s="15"/>
      <c r="O89" s="310">
        <f t="shared" si="6"/>
        <v>34.32352941</v>
      </c>
      <c r="P89" s="311">
        <f t="shared" ref="P89:Q89" si="89">F89/D89</f>
        <v>0</v>
      </c>
      <c r="Q89" s="325" t="str">
        <f t="shared" si="89"/>
        <v>#DIV/0!</v>
      </c>
      <c r="R89" s="311">
        <f t="shared" si="8"/>
        <v>0</v>
      </c>
      <c r="S89" s="300" t="str">
        <f t="shared" si="90"/>
        <v>Closed</v>
      </c>
      <c r="T89" s="2" t="s">
        <v>166</v>
      </c>
      <c r="U89" s="162" t="s">
        <v>611</v>
      </c>
      <c r="V89" s="113">
        <f>COUNTIFS('Delivery Tracking'!E:E,B89)</f>
        <v>0</v>
      </c>
      <c r="W89" s="113">
        <f>SUMIFS(All_Stats!N:N,All_Stats!$A:$A,$B89,All_Stats!$B:$B,"Overall",All_Stats!$D:$D,"Total")</f>
        <v>0</v>
      </c>
      <c r="X89" s="323">
        <v>44547.0</v>
      </c>
      <c r="Y89" s="329"/>
      <c r="Z89" s="326"/>
    </row>
    <row r="90" hidden="1">
      <c r="A90" s="334" t="s">
        <v>785</v>
      </c>
      <c r="B90" s="335" t="s">
        <v>786</v>
      </c>
      <c r="C90" s="306"/>
      <c r="D90" s="162">
        <v>55.0</v>
      </c>
      <c r="E90" s="171">
        <f>SUMIFS(All_Stats!G:G,All_Stats!$A:$A,$B90,All_Stats!$B:$B,"Overall",All_Stats!$D:$D,"Total")</f>
        <v>0</v>
      </c>
      <c r="F90" s="113">
        <f>SUMIFS(All_Stats!H:H,All_Stats!$A:$A,$B90,All_Stats!$B:$B,"Overall",All_Stats!$D:$D,"Total")</f>
        <v>0</v>
      </c>
      <c r="G90" s="171">
        <f>SUMIFS(All_Stats!I:I,All_Stats!$A:$A,$B90,All_Stats!$B:$B,"Overall",All_Stats!$D:$D,"Total")</f>
        <v>0</v>
      </c>
      <c r="H90" s="113">
        <f>SUMIFS(All_Stats!K:K,All_Stats!$A:$A,$B90,All_Stats!$B:$B,"Overall",All_Stats!$D:$D,"Total")</f>
        <v>0</v>
      </c>
      <c r="I90" s="113">
        <f>SUMIFS(All_Stats!J:J,All_Stats!$A:$A,$B90,All_Stats!$B:$B,"Overall",All_Stats!$D:$D,"Total")</f>
        <v>0</v>
      </c>
      <c r="J90" s="113">
        <f t="shared" si="3"/>
        <v>55</v>
      </c>
      <c r="K90" s="249" t="s">
        <v>57</v>
      </c>
      <c r="L90" s="323">
        <v>44482.0</v>
      </c>
      <c r="M90" s="349">
        <v>44503.0</v>
      </c>
      <c r="O90" s="310">
        <f t="shared" si="6"/>
        <v>72.9375</v>
      </c>
      <c r="P90" s="311">
        <f t="shared" ref="P90:Q90" si="91">F90/D90</f>
        <v>0</v>
      </c>
      <c r="Q90" s="325" t="str">
        <f t="shared" si="91"/>
        <v>#DIV/0!</v>
      </c>
      <c r="R90" s="311">
        <f t="shared" si="8"/>
        <v>0</v>
      </c>
      <c r="S90" s="300" t="str">
        <f t="shared" si="90"/>
        <v>Closed</v>
      </c>
      <c r="T90" s="2" t="s">
        <v>153</v>
      </c>
      <c r="U90" s="162" t="s">
        <v>611</v>
      </c>
      <c r="V90" s="113">
        <f>COUNTIFS('Delivery Tracking'!E:E,B90)</f>
        <v>0</v>
      </c>
      <c r="W90" s="113">
        <f>SUMIFS(All_Stats!N:N,All_Stats!$A:$A,$B90,All_Stats!$B:$B,"Overall",All_Stats!$D:$D,"Total")</f>
        <v>0</v>
      </c>
      <c r="X90" s="323">
        <v>44548.0</v>
      </c>
      <c r="Y90" s="329"/>
      <c r="Z90" s="326"/>
    </row>
    <row r="91" hidden="1">
      <c r="A91" s="362" t="s">
        <v>787</v>
      </c>
      <c r="B91" s="363" t="s">
        <v>788</v>
      </c>
      <c r="C91" s="306"/>
      <c r="D91" s="162">
        <v>153.0</v>
      </c>
      <c r="E91" s="171">
        <f>SUMIFS(All_Stats!G:G,All_Stats!$A:$A,$B91,All_Stats!$B:$B,"Overall",All_Stats!$D:$D,"Total")</f>
        <v>0</v>
      </c>
      <c r="F91" s="113">
        <f>SUMIFS(All_Stats!H:H,All_Stats!$A:$A,$B91,All_Stats!$B:$B,"Overall",All_Stats!$D:$D,"Total")</f>
        <v>0</v>
      </c>
      <c r="G91" s="171">
        <f>SUMIFS(All_Stats!I:I,All_Stats!$A:$A,$B91,All_Stats!$B:$B,"Overall",All_Stats!$D:$D,"Total")</f>
        <v>0</v>
      </c>
      <c r="H91" s="113">
        <f>SUMIFS(All_Stats!K:K,All_Stats!$A:$A,$B91,All_Stats!$B:$B,"Overall",All_Stats!$D:$D,"Total")</f>
        <v>0</v>
      </c>
      <c r="I91" s="113">
        <f>SUMIFS(All_Stats!J:J,All_Stats!$A:$A,$B91,All_Stats!$B:$B,"Overall",All_Stats!$D:$D,"Total")</f>
        <v>0</v>
      </c>
      <c r="J91" s="113">
        <f t="shared" si="3"/>
        <v>153</v>
      </c>
      <c r="K91" s="249" t="s">
        <v>57</v>
      </c>
      <c r="L91" s="355">
        <v>44477.0</v>
      </c>
      <c r="M91" s="382">
        <v>44498.0</v>
      </c>
      <c r="N91" s="2" t="s">
        <v>789</v>
      </c>
      <c r="O91" s="310">
        <f t="shared" si="6"/>
        <v>73.125</v>
      </c>
      <c r="P91" s="311">
        <f t="shared" ref="P91:Q91" si="92">F91/D91</f>
        <v>0</v>
      </c>
      <c r="Q91" s="325" t="str">
        <f t="shared" si="92"/>
        <v>#DIV/0!</v>
      </c>
      <c r="R91" s="311">
        <f t="shared" si="8"/>
        <v>0</v>
      </c>
      <c r="S91" s="300" t="str">
        <f t="shared" si="90"/>
        <v>Closed</v>
      </c>
      <c r="T91" s="2" t="s">
        <v>153</v>
      </c>
      <c r="U91" s="162" t="s">
        <v>611</v>
      </c>
      <c r="V91" s="113">
        <f>COUNTIFS('Delivery Tracking'!E:E,B91)</f>
        <v>0</v>
      </c>
      <c r="W91" s="113">
        <f>SUMIFS(All_Stats!N:N,All_Stats!$A:$A,$B91,All_Stats!$B:$B,"Overall",All_Stats!$D:$D,"Total")</f>
        <v>0</v>
      </c>
      <c r="X91" s="323">
        <v>44549.0</v>
      </c>
      <c r="Y91" s="329"/>
      <c r="Z91" s="326"/>
    </row>
    <row r="92" hidden="1">
      <c r="A92" s="371" t="s">
        <v>790</v>
      </c>
      <c r="B92" s="341" t="s">
        <v>791</v>
      </c>
      <c r="C92" s="306"/>
      <c r="D92" s="162">
        <v>150.0</v>
      </c>
      <c r="E92" s="171">
        <f>SUMIFS(All_Stats!G:G,All_Stats!$A:$A,$B92,All_Stats!$B:$B,"Overall",All_Stats!$D:$D,"Total")</f>
        <v>0</v>
      </c>
      <c r="F92" s="113">
        <f>SUMIFS(All_Stats!H:H,All_Stats!$A:$A,$B92,All_Stats!$B:$B,"Overall",All_Stats!$D:$D,"Total")</f>
        <v>0</v>
      </c>
      <c r="G92" s="171">
        <f>SUMIFS(All_Stats!I:I,All_Stats!$A:$A,$B92,All_Stats!$B:$B,"Overall",All_Stats!$D:$D,"Total")</f>
        <v>0</v>
      </c>
      <c r="H92" s="113">
        <f>SUMIFS(All_Stats!K:K,All_Stats!$A:$A,$B92,All_Stats!$B:$B,"Overall",All_Stats!$D:$D,"Total")</f>
        <v>0</v>
      </c>
      <c r="I92" s="113">
        <f>SUMIFS(All_Stats!J:J,All_Stats!$A:$A,$B92,All_Stats!$B:$B,"Overall",All_Stats!$D:$D,"Total")</f>
        <v>0</v>
      </c>
      <c r="J92" s="113">
        <f t="shared" si="3"/>
        <v>150</v>
      </c>
      <c r="K92" s="249" t="s">
        <v>57</v>
      </c>
      <c r="L92" s="245">
        <v>44470.0</v>
      </c>
      <c r="M92" s="245">
        <v>44491.0</v>
      </c>
      <c r="N92" s="2" t="s">
        <v>792</v>
      </c>
      <c r="O92" s="310">
        <f t="shared" si="6"/>
        <v>73.4375</v>
      </c>
      <c r="P92" s="311">
        <f t="shared" ref="P92:Q92" si="93">F92/D92</f>
        <v>0</v>
      </c>
      <c r="Q92" s="325" t="str">
        <f t="shared" si="93"/>
        <v>#DIV/0!</v>
      </c>
      <c r="R92" s="311">
        <f t="shared" si="8"/>
        <v>0</v>
      </c>
      <c r="S92" s="300" t="str">
        <f t="shared" si="90"/>
        <v>Closed</v>
      </c>
      <c r="T92" s="2" t="s">
        <v>153</v>
      </c>
      <c r="U92" s="162" t="s">
        <v>611</v>
      </c>
      <c r="V92" s="113">
        <f>COUNTIFS('Delivery Tracking'!E:E,B92)</f>
        <v>0</v>
      </c>
      <c r="W92" s="113">
        <f>SUMIFS(All_Stats!N:N,All_Stats!$A:$A,$B92,All_Stats!$B:$B,"Overall",All_Stats!$D:$D,"Total")</f>
        <v>0</v>
      </c>
      <c r="X92" s="323">
        <v>44550.0</v>
      </c>
      <c r="Y92" s="329"/>
      <c r="Z92" s="326"/>
    </row>
    <row r="93" hidden="1">
      <c r="A93" s="334" t="s">
        <v>793</v>
      </c>
      <c r="B93" s="335" t="s">
        <v>794</v>
      </c>
      <c r="C93" s="306"/>
      <c r="D93" s="162">
        <v>7.0</v>
      </c>
      <c r="E93" s="171">
        <f>SUMIFS(All_Stats!G:G,All_Stats!$A:$A,$B93,All_Stats!$B:$B,"Overall",All_Stats!$D:$D,"Total")</f>
        <v>0</v>
      </c>
      <c r="F93" s="113">
        <f>SUMIFS(All_Stats!H:H,All_Stats!$A:$A,$B93,All_Stats!$B:$B,"Overall",All_Stats!$D:$D,"Total")</f>
        <v>0</v>
      </c>
      <c r="G93" s="171">
        <f>SUMIFS(All_Stats!I:I,All_Stats!$A:$A,$B93,All_Stats!$B:$B,"Overall",All_Stats!$D:$D,"Total")</f>
        <v>0</v>
      </c>
      <c r="H93" s="113">
        <f>SUMIFS(All_Stats!K:K,All_Stats!$A:$A,$B93,All_Stats!$B:$B,"Overall",All_Stats!$D:$D,"Total")</f>
        <v>0</v>
      </c>
      <c r="I93" s="113">
        <f>SUMIFS(All_Stats!J:J,All_Stats!$A:$A,$B93,All_Stats!$B:$B,"Overall",All_Stats!$D:$D,"Total")</f>
        <v>0</v>
      </c>
      <c r="J93" s="113">
        <f t="shared" si="3"/>
        <v>7</v>
      </c>
      <c r="K93" s="249" t="s">
        <v>57</v>
      </c>
      <c r="L93" s="245">
        <v>44481.0</v>
      </c>
      <c r="M93" s="245">
        <v>44496.0</v>
      </c>
      <c r="N93" s="373">
        <v>44221.0</v>
      </c>
      <c r="O93" s="310">
        <f t="shared" si="6"/>
        <v>97.33333333</v>
      </c>
      <c r="P93" s="311">
        <f t="shared" ref="P93:Q93" si="94">F93/D93</f>
        <v>0</v>
      </c>
      <c r="Q93" s="325" t="str">
        <f t="shared" si="94"/>
        <v>#DIV/0!</v>
      </c>
      <c r="R93" s="311">
        <f t="shared" si="8"/>
        <v>0</v>
      </c>
      <c r="S93" s="300" t="str">
        <f t="shared" si="90"/>
        <v>Closed</v>
      </c>
      <c r="T93" s="2" t="s">
        <v>166</v>
      </c>
      <c r="U93" s="162" t="s">
        <v>611</v>
      </c>
      <c r="V93" s="113">
        <f>COUNTIFS('Delivery Tracking'!E:E,B93)</f>
        <v>0</v>
      </c>
      <c r="W93" s="113">
        <f>SUMIFS(All_Stats!N:N,All_Stats!$A:$A,$B93,All_Stats!$B:$B,"Overall",All_Stats!$D:$D,"Total")</f>
        <v>0</v>
      </c>
      <c r="X93" s="323">
        <v>44551.0</v>
      </c>
      <c r="Y93" s="329"/>
      <c r="Z93" s="326"/>
    </row>
    <row r="94" hidden="1">
      <c r="A94" s="330" t="s">
        <v>626</v>
      </c>
      <c r="B94" s="341" t="s">
        <v>795</v>
      </c>
      <c r="C94" s="306"/>
      <c r="D94" s="193">
        <v>55.0</v>
      </c>
      <c r="E94" s="171">
        <f>SUMIFS(All_Stats!G:G,All_Stats!$A:$A,$B94,All_Stats!$B:$B,"Overall",All_Stats!$D:$D,"Total")</f>
        <v>0</v>
      </c>
      <c r="F94" s="113">
        <f>SUMIFS(All_Stats!H:H,All_Stats!$A:$A,$B94,All_Stats!$B:$B,"Overall",All_Stats!$D:$D,"Total")</f>
        <v>0</v>
      </c>
      <c r="G94" s="171">
        <f>SUMIFS(All_Stats!I:I,All_Stats!$A:$A,$B94,All_Stats!$B:$B,"Overall",All_Stats!$D:$D,"Total")</f>
        <v>0</v>
      </c>
      <c r="H94" s="113">
        <f>SUMIFS(All_Stats!K:K,All_Stats!$A:$A,$B94,All_Stats!$B:$B,"Overall",All_Stats!$D:$D,"Total")</f>
        <v>0</v>
      </c>
      <c r="I94" s="113">
        <f>SUMIFS(All_Stats!J:J,All_Stats!$A:$A,$B94,All_Stats!$B:$B,"Overall",All_Stats!$D:$D,"Total")</f>
        <v>0</v>
      </c>
      <c r="J94" s="113">
        <f t="shared" si="3"/>
        <v>55</v>
      </c>
      <c r="K94" s="249" t="s">
        <v>57</v>
      </c>
      <c r="L94" s="245">
        <v>44475.0</v>
      </c>
      <c r="M94" s="245">
        <v>44491.0</v>
      </c>
      <c r="N94" s="333" t="s">
        <v>796</v>
      </c>
      <c r="O94" s="310">
        <f t="shared" si="6"/>
        <v>90.15384615</v>
      </c>
      <c r="P94" s="311">
        <f t="shared" ref="P94:Q94" si="95">F94/D94</f>
        <v>0</v>
      </c>
      <c r="Q94" s="325" t="str">
        <f t="shared" si="95"/>
        <v>#DIV/0!</v>
      </c>
      <c r="R94" s="311">
        <f t="shared" si="8"/>
        <v>0</v>
      </c>
      <c r="S94" s="300" t="str">
        <f t="shared" si="90"/>
        <v>Closed</v>
      </c>
      <c r="T94" s="2" t="s">
        <v>111</v>
      </c>
      <c r="U94" s="162" t="s">
        <v>611</v>
      </c>
      <c r="V94" s="113">
        <f>COUNTIFS('Delivery Tracking'!E:E,B94)</f>
        <v>0</v>
      </c>
      <c r="W94" s="113">
        <f>SUMIFS(All_Stats!N:N,All_Stats!$A:$A,$B94,All_Stats!$B:$B,"Overall",All_Stats!$D:$D,"Total")</f>
        <v>0</v>
      </c>
      <c r="X94" s="323">
        <v>44553.0</v>
      </c>
      <c r="Y94" s="329"/>
      <c r="Z94" s="326"/>
    </row>
    <row r="95" hidden="1">
      <c r="A95" s="371" t="s">
        <v>797</v>
      </c>
      <c r="B95" s="341" t="s">
        <v>798</v>
      </c>
      <c r="C95" s="306"/>
      <c r="D95" s="193">
        <v>180.0</v>
      </c>
      <c r="E95" s="171">
        <f>SUMIFS(All_Stats!G:G,All_Stats!$A:$A,$B95,All_Stats!$B:$B,"Overall",All_Stats!$D:$D,"Total")</f>
        <v>0</v>
      </c>
      <c r="F95" s="113">
        <f>SUMIFS(All_Stats!H:H,All_Stats!$A:$A,$B95,All_Stats!$B:$B,"Overall",All_Stats!$D:$D,"Total")</f>
        <v>0</v>
      </c>
      <c r="G95" s="171">
        <f>SUMIFS(All_Stats!I:I,All_Stats!$A:$A,$B95,All_Stats!$B:$B,"Overall",All_Stats!$D:$D,"Total")</f>
        <v>0</v>
      </c>
      <c r="H95" s="113">
        <f>SUMIFS(All_Stats!K:K,All_Stats!$A:$A,$B95,All_Stats!$B:$B,"Overall",All_Stats!$D:$D,"Total")</f>
        <v>0</v>
      </c>
      <c r="I95" s="113">
        <f>SUMIFS(All_Stats!J:J,All_Stats!$A:$A,$B95,All_Stats!$B:$B,"Overall",All_Stats!$D:$D,"Total")</f>
        <v>0</v>
      </c>
      <c r="J95" s="113">
        <f t="shared" si="3"/>
        <v>180</v>
      </c>
      <c r="K95" s="249" t="s">
        <v>57</v>
      </c>
      <c r="L95" s="245">
        <v>44474.0</v>
      </c>
      <c r="M95" s="245">
        <v>44546.0</v>
      </c>
      <c r="O95" s="310">
        <f t="shared" si="6"/>
        <v>22.13207547</v>
      </c>
      <c r="P95" s="311">
        <f t="shared" ref="P95:Q95" si="96">F95/D95</f>
        <v>0</v>
      </c>
      <c r="Q95" s="325" t="str">
        <f t="shared" si="96"/>
        <v>#DIV/0!</v>
      </c>
      <c r="R95" s="311">
        <f t="shared" si="8"/>
        <v>0</v>
      </c>
      <c r="S95" s="300" t="str">
        <f t="shared" si="90"/>
        <v>Closed</v>
      </c>
      <c r="T95" s="2" t="s">
        <v>153</v>
      </c>
      <c r="U95" s="162" t="s">
        <v>611</v>
      </c>
      <c r="V95" s="113">
        <f>COUNTIFS('Delivery Tracking'!E:E,B95)</f>
        <v>0</v>
      </c>
      <c r="W95" s="113">
        <f>SUMIFS(All_Stats!N:N,All_Stats!$A:$A,$B95,All_Stats!$B:$B,"Overall",All_Stats!$D:$D,"Total")</f>
        <v>0</v>
      </c>
      <c r="X95" s="323">
        <v>44554.0</v>
      </c>
      <c r="Y95" s="329"/>
      <c r="Z95" s="326"/>
    </row>
    <row r="96" hidden="1">
      <c r="A96" s="371" t="s">
        <v>799</v>
      </c>
      <c r="B96" s="383" t="s">
        <v>800</v>
      </c>
      <c r="C96" s="384"/>
      <c r="D96" s="193">
        <v>50.0</v>
      </c>
      <c r="E96" s="171">
        <f>SUMIFS(All_Stats!G:G,All_Stats!$A:$A,$B96,All_Stats!$B:$B,"Overall",All_Stats!$D:$D,"Total")</f>
        <v>0</v>
      </c>
      <c r="F96" s="113">
        <f>SUMIFS(All_Stats!H:H,All_Stats!$A:$A,$B96,All_Stats!$B:$B,"Overall",All_Stats!$D:$D,"Total")</f>
        <v>0</v>
      </c>
      <c r="G96" s="171">
        <f>SUMIFS(All_Stats!I:I,All_Stats!$A:$A,$B96,All_Stats!$B:$B,"Overall",All_Stats!$D:$D,"Total")</f>
        <v>0</v>
      </c>
      <c r="H96" s="113">
        <f>SUMIFS(All_Stats!K:K,All_Stats!$A:$A,$B96,All_Stats!$B:$B,"Overall",All_Stats!$D:$D,"Total")</f>
        <v>0</v>
      </c>
      <c r="I96" s="113">
        <f>SUMIFS(All_Stats!J:J,All_Stats!$A:$A,$B96,All_Stats!$B:$B,"Overall",All_Stats!$D:$D,"Total")</f>
        <v>0</v>
      </c>
      <c r="J96" s="113">
        <f t="shared" si="3"/>
        <v>50</v>
      </c>
      <c r="K96" s="249" t="s">
        <v>57</v>
      </c>
      <c r="L96" s="245">
        <v>44438.0</v>
      </c>
      <c r="M96" s="245">
        <v>44497.0</v>
      </c>
      <c r="O96" s="310">
        <f t="shared" si="6"/>
        <v>27.25</v>
      </c>
      <c r="P96" s="311">
        <f t="shared" ref="P96:Q96" si="97">F96/D96</f>
        <v>0</v>
      </c>
      <c r="Q96" s="325" t="str">
        <f t="shared" si="97"/>
        <v>#DIV/0!</v>
      </c>
      <c r="R96" s="311">
        <f t="shared" si="8"/>
        <v>0</v>
      </c>
      <c r="S96" s="300" t="str">
        <f t="shared" si="90"/>
        <v>Closed</v>
      </c>
      <c r="T96" s="2" t="s">
        <v>111</v>
      </c>
      <c r="U96" s="162" t="s">
        <v>611</v>
      </c>
      <c r="V96" s="113">
        <f>COUNTIFS('Delivery Tracking'!E:E,B96)</f>
        <v>0</v>
      </c>
      <c r="W96" s="113">
        <f>SUMIFS(All_Stats!N:N,All_Stats!$A:$A,$B96,All_Stats!$B:$B,"Overall",All_Stats!$D:$D,"Total")</f>
        <v>0</v>
      </c>
      <c r="X96" s="323">
        <v>44556.0</v>
      </c>
      <c r="Y96" s="329"/>
      <c r="Z96" s="326"/>
    </row>
    <row r="97" hidden="1">
      <c r="A97" s="352" t="s">
        <v>801</v>
      </c>
      <c r="B97" s="342" t="s">
        <v>802</v>
      </c>
      <c r="C97" s="306"/>
      <c r="D97" s="193">
        <v>42.0</v>
      </c>
      <c r="E97" s="171">
        <f>SUMIFS(All_Stats!G:G,All_Stats!$A:$A,$B97,All_Stats!$B:$B,"Overall",All_Stats!$D:$D,"Total")</f>
        <v>0</v>
      </c>
      <c r="F97" s="113">
        <f>SUMIFS(All_Stats!H:H,All_Stats!$A:$A,$B97,All_Stats!$B:$B,"Overall",All_Stats!$D:$D,"Total")</f>
        <v>0</v>
      </c>
      <c r="G97" s="171">
        <f>SUMIFS(All_Stats!I:I,All_Stats!$A:$A,$B97,All_Stats!$B:$B,"Overall",All_Stats!$D:$D,"Total")</f>
        <v>0</v>
      </c>
      <c r="H97" s="113">
        <f>SUMIFS(All_Stats!K:K,All_Stats!$A:$A,$B97,All_Stats!$B:$B,"Overall",All_Stats!$D:$D,"Total")</f>
        <v>0</v>
      </c>
      <c r="I97" s="113">
        <f>SUMIFS(All_Stats!J:J,All_Stats!$A:$A,$B97,All_Stats!$B:$B,"Overall",All_Stats!$D:$D,"Total")</f>
        <v>0</v>
      </c>
      <c r="J97" s="113">
        <f t="shared" si="3"/>
        <v>42</v>
      </c>
      <c r="K97" s="249" t="s">
        <v>57</v>
      </c>
      <c r="L97" s="323">
        <v>44424.0</v>
      </c>
      <c r="M97" s="245">
        <v>44491.0</v>
      </c>
      <c r="O97" s="310">
        <f t="shared" si="6"/>
        <v>24.18</v>
      </c>
      <c r="P97" s="311">
        <f t="shared" ref="P97:Q97" si="98">F97/D97</f>
        <v>0</v>
      </c>
      <c r="Q97" s="325" t="str">
        <f t="shared" si="98"/>
        <v>#DIV/0!</v>
      </c>
      <c r="R97" s="311">
        <f t="shared" si="8"/>
        <v>0</v>
      </c>
      <c r="S97" s="300" t="str">
        <f t="shared" si="90"/>
        <v>Closed</v>
      </c>
      <c r="T97" s="2" t="s">
        <v>166</v>
      </c>
      <c r="U97" s="385" t="s">
        <v>611</v>
      </c>
      <c r="V97" s="113">
        <f>COUNTIFS('Delivery Tracking'!E:E,B97)</f>
        <v>0</v>
      </c>
      <c r="W97" s="113">
        <f>SUMIFS(All_Stats!N:N,All_Stats!$A:$A,$B97,All_Stats!$B:$B,"Overall",All_Stats!$D:$D,"Total")</f>
        <v>0</v>
      </c>
      <c r="X97" s="323">
        <v>44557.0</v>
      </c>
      <c r="Y97" s="329"/>
      <c r="Z97" s="326"/>
    </row>
    <row r="98" hidden="1">
      <c r="A98" s="352" t="s">
        <v>803</v>
      </c>
      <c r="B98" s="342" t="s">
        <v>804</v>
      </c>
      <c r="C98" s="184"/>
      <c r="D98" s="193">
        <v>25.0</v>
      </c>
      <c r="E98" s="171">
        <f>SUMIFS(All_Stats!G:G,All_Stats!$A:$A,$B98,All_Stats!$B:$B,"Overall",All_Stats!$D:$D,"Total")</f>
        <v>0</v>
      </c>
      <c r="F98" s="113">
        <f>SUMIFS(All_Stats!H:H,All_Stats!$A:$A,$B98,All_Stats!$B:$B,"Overall",All_Stats!$D:$D,"Total")</f>
        <v>0</v>
      </c>
      <c r="G98" s="171">
        <f>SUMIFS(All_Stats!I:I,All_Stats!$A:$A,$B98,All_Stats!$B:$B,"Overall",All_Stats!$D:$D,"Total")</f>
        <v>0</v>
      </c>
      <c r="H98" s="113">
        <f>SUMIFS(All_Stats!K:K,All_Stats!$A:$A,$B98,All_Stats!$B:$B,"Overall",All_Stats!$D:$D,"Total")</f>
        <v>0</v>
      </c>
      <c r="I98" s="113">
        <f>SUMIFS(All_Stats!J:J,All_Stats!$A:$A,$B98,All_Stats!$B:$B,"Overall",All_Stats!$D:$D,"Total")</f>
        <v>0</v>
      </c>
      <c r="J98" s="113">
        <f t="shared" si="3"/>
        <v>25</v>
      </c>
      <c r="K98" s="249" t="s">
        <v>57</v>
      </c>
      <c r="L98" s="323">
        <v>44475.0</v>
      </c>
      <c r="M98" s="245">
        <v>44489.0</v>
      </c>
      <c r="N98" s="2" t="s">
        <v>805</v>
      </c>
      <c r="O98" s="310">
        <f t="shared" si="6"/>
        <v>106.5454545</v>
      </c>
      <c r="P98" s="311">
        <f t="shared" ref="P98:Q98" si="99">F98/D98</f>
        <v>0</v>
      </c>
      <c r="Q98" s="325" t="str">
        <f t="shared" si="99"/>
        <v>#DIV/0!</v>
      </c>
      <c r="R98" s="311">
        <f t="shared" si="8"/>
        <v>0</v>
      </c>
      <c r="S98" s="300" t="str">
        <f t="shared" si="90"/>
        <v>Closed</v>
      </c>
      <c r="T98" s="2" t="s">
        <v>67</v>
      </c>
      <c r="U98" s="162" t="s">
        <v>611</v>
      </c>
      <c r="V98" s="113">
        <f>COUNTIFS('Delivery Tracking'!E:E,B98)</f>
        <v>0</v>
      </c>
      <c r="W98" s="113">
        <f>SUMIFS(All_Stats!N:N,All_Stats!$A:$A,$B98,All_Stats!$B:$B,"Overall",All_Stats!$D:$D,"Total")</f>
        <v>0</v>
      </c>
      <c r="X98" s="323">
        <v>44558.0</v>
      </c>
      <c r="Y98" s="329"/>
      <c r="Z98" s="326"/>
    </row>
    <row r="99" ht="15.0" hidden="1" customHeight="1">
      <c r="A99" s="344" t="s">
        <v>806</v>
      </c>
      <c r="B99" s="341" t="s">
        <v>807</v>
      </c>
      <c r="C99" s="184"/>
      <c r="D99" s="193">
        <v>70.0</v>
      </c>
      <c r="E99" s="171">
        <f>SUMIFS(All_Stats!G:G,All_Stats!$A:$A,$B99,All_Stats!$B:$B,"Overall",All_Stats!$D:$D,"Total")</f>
        <v>0</v>
      </c>
      <c r="F99" s="113">
        <f>SUMIFS(All_Stats!H:H,All_Stats!$A:$A,$B99,All_Stats!$B:$B,"Overall",All_Stats!$D:$D,"Total")</f>
        <v>0</v>
      </c>
      <c r="G99" s="171">
        <f>SUMIFS(All_Stats!I:I,All_Stats!$A:$A,$B99,All_Stats!$B:$B,"Overall",All_Stats!$D:$D,"Total")</f>
        <v>0</v>
      </c>
      <c r="H99" s="113">
        <f>SUMIFS(All_Stats!K:K,All_Stats!$A:$A,$B99,All_Stats!$B:$B,"Overall",All_Stats!$D:$D,"Total")</f>
        <v>0</v>
      </c>
      <c r="I99" s="113">
        <f>SUMIFS(All_Stats!J:J,All_Stats!$A:$A,$B99,All_Stats!$B:$B,"Overall",All_Stats!$D:$D,"Total")</f>
        <v>0</v>
      </c>
      <c r="J99" s="113">
        <f t="shared" si="3"/>
        <v>70</v>
      </c>
      <c r="K99" s="249" t="s">
        <v>57</v>
      </c>
      <c r="L99" s="245">
        <v>44469.0</v>
      </c>
      <c r="M99" s="245">
        <v>44476.0</v>
      </c>
      <c r="O99" s="310">
        <f t="shared" si="6"/>
        <v>196</v>
      </c>
      <c r="P99" s="311">
        <f t="shared" ref="P99:Q99" si="100">F99/D99</f>
        <v>0</v>
      </c>
      <c r="Q99" s="325" t="str">
        <f t="shared" si="100"/>
        <v>#DIV/0!</v>
      </c>
      <c r="R99" s="311">
        <f t="shared" si="8"/>
        <v>0</v>
      </c>
      <c r="S99" s="300" t="str">
        <f t="shared" si="90"/>
        <v>Closed</v>
      </c>
      <c r="T99" s="2" t="s">
        <v>67</v>
      </c>
      <c r="U99" s="162" t="s">
        <v>611</v>
      </c>
      <c r="V99" s="113">
        <f>COUNTIFS('Delivery Tracking'!E:E,B99)</f>
        <v>0</v>
      </c>
      <c r="W99" s="113">
        <f>SUMIFS(All_Stats!N:N,All_Stats!$A:$A,$B99,All_Stats!$B:$B,"Overall",All_Stats!$D:$D,"Total")</f>
        <v>0</v>
      </c>
      <c r="X99" s="323">
        <v>44559.0</v>
      </c>
      <c r="Y99" s="329"/>
      <c r="Z99" s="326"/>
    </row>
    <row r="100" hidden="1">
      <c r="A100" s="330" t="s">
        <v>763</v>
      </c>
      <c r="B100" s="175" t="s">
        <v>808</v>
      </c>
      <c r="C100" s="184"/>
      <c r="D100" s="193">
        <v>247.0</v>
      </c>
      <c r="E100" s="171">
        <f>SUMIFS(All_Stats!G:G,All_Stats!$A:$A,$B100,All_Stats!$B:$B,"Overall",All_Stats!$D:$D,"Total")</f>
        <v>0</v>
      </c>
      <c r="F100" s="113">
        <f>SUMIFS(All_Stats!H:H,All_Stats!$A:$A,$B100,All_Stats!$B:$B,"Overall",All_Stats!$D:$D,"Total")</f>
        <v>0</v>
      </c>
      <c r="G100" s="171">
        <f>SUMIFS(All_Stats!I:I,All_Stats!$A:$A,$B100,All_Stats!$B:$B,"Overall",All_Stats!$D:$D,"Total")</f>
        <v>0</v>
      </c>
      <c r="H100" s="113">
        <f>SUMIFS(All_Stats!K:K,All_Stats!$A:$A,$B100,All_Stats!$B:$B,"Overall",All_Stats!$D:$D,"Total")</f>
        <v>0</v>
      </c>
      <c r="I100" s="113">
        <f>SUMIFS(All_Stats!J:J,All_Stats!$A:$A,$B100,All_Stats!$B:$B,"Overall",All_Stats!$D:$D,"Total")</f>
        <v>0</v>
      </c>
      <c r="J100" s="113">
        <f t="shared" si="3"/>
        <v>247</v>
      </c>
      <c r="K100" s="249" t="s">
        <v>57</v>
      </c>
      <c r="L100" s="336">
        <v>44414.0</v>
      </c>
      <c r="M100" s="386">
        <v>44461.0</v>
      </c>
      <c r="N100" s="2" t="s">
        <v>809</v>
      </c>
      <c r="O100" s="310">
        <f t="shared" si="6"/>
        <v>35.73529412</v>
      </c>
      <c r="P100" s="311">
        <f t="shared" ref="P100:Q100" si="101">F100/D100</f>
        <v>0</v>
      </c>
      <c r="Q100" s="325" t="str">
        <f t="shared" si="101"/>
        <v>#DIV/0!</v>
      </c>
      <c r="R100" s="311">
        <f t="shared" si="8"/>
        <v>0</v>
      </c>
      <c r="S100" s="300" t="str">
        <f t="shared" si="90"/>
        <v>Closed</v>
      </c>
      <c r="T100" s="2" t="s">
        <v>111</v>
      </c>
      <c r="U100" s="162" t="s">
        <v>611</v>
      </c>
      <c r="V100" s="113">
        <f>COUNTIFS('Delivery Tracking'!E:E,B100)</f>
        <v>0</v>
      </c>
      <c r="W100" s="113">
        <f>SUMIFS(All_Stats!N:N,All_Stats!$A:$A,$B100,All_Stats!$B:$B,"Overall",All_Stats!$D:$D,"Total")</f>
        <v>0</v>
      </c>
      <c r="X100" s="323">
        <v>44560.0</v>
      </c>
      <c r="Y100" s="329"/>
      <c r="Z100" s="326"/>
    </row>
    <row r="101" hidden="1">
      <c r="A101" s="371" t="s">
        <v>810</v>
      </c>
      <c r="B101" s="341" t="s">
        <v>811</v>
      </c>
      <c r="C101" s="184"/>
      <c r="D101" s="193">
        <v>231.0</v>
      </c>
      <c r="E101" s="171">
        <f>SUMIFS(All_Stats!G:G,All_Stats!$A:$A,$B101,All_Stats!$B:$B,"Overall",All_Stats!$D:$D,"Total")</f>
        <v>0</v>
      </c>
      <c r="F101" s="113">
        <f>SUMIFS(All_Stats!H:H,All_Stats!$A:$A,$B101,All_Stats!$B:$B,"Overall",All_Stats!$D:$D,"Total")</f>
        <v>0</v>
      </c>
      <c r="G101" s="171">
        <f>SUMIFS(All_Stats!I:I,All_Stats!$A:$A,$B101,All_Stats!$B:$B,"Overall",All_Stats!$D:$D,"Total")</f>
        <v>0</v>
      </c>
      <c r="H101" s="113">
        <f>SUMIFS(All_Stats!K:K,All_Stats!$A:$A,$B101,All_Stats!$B:$B,"Overall",All_Stats!$D:$D,"Total")</f>
        <v>0</v>
      </c>
      <c r="I101" s="113">
        <f>SUMIFS(All_Stats!J:J,All_Stats!$A:$A,$B101,All_Stats!$B:$B,"Overall",All_Stats!$D:$D,"Total")</f>
        <v>0</v>
      </c>
      <c r="J101" s="113">
        <f t="shared" si="3"/>
        <v>231</v>
      </c>
      <c r="K101" s="249" t="s">
        <v>57</v>
      </c>
      <c r="L101" s="245">
        <v>44410.0</v>
      </c>
      <c r="M101" s="245">
        <v>44484.0</v>
      </c>
      <c r="N101" s="324" t="s">
        <v>812</v>
      </c>
      <c r="O101" s="310">
        <f t="shared" si="6"/>
        <v>22.16363636</v>
      </c>
      <c r="P101" s="311">
        <f t="shared" ref="P101:Q101" si="102">F101/D101</f>
        <v>0</v>
      </c>
      <c r="Q101" s="325" t="str">
        <f t="shared" si="102"/>
        <v>#DIV/0!</v>
      </c>
      <c r="R101" s="311">
        <f t="shared" si="8"/>
        <v>0</v>
      </c>
      <c r="S101" s="300" t="str">
        <f t="shared" si="90"/>
        <v>Closed</v>
      </c>
      <c r="T101" s="2" t="s">
        <v>293</v>
      </c>
      <c r="U101" s="162" t="s">
        <v>611</v>
      </c>
      <c r="V101" s="113">
        <f>COUNTIFS('Delivery Tracking'!E:E,B101)</f>
        <v>0</v>
      </c>
      <c r="W101" s="113">
        <f>SUMIFS(All_Stats!N:N,All_Stats!$A:$A,$B101,All_Stats!$B:$B,"Overall",All_Stats!$D:$D,"Total")</f>
        <v>0</v>
      </c>
      <c r="X101" s="323">
        <v>44561.0</v>
      </c>
      <c r="Y101" s="329"/>
      <c r="Z101" s="326"/>
    </row>
    <row r="102" hidden="1">
      <c r="A102" s="371" t="s">
        <v>626</v>
      </c>
      <c r="B102" s="341" t="s">
        <v>813</v>
      </c>
      <c r="C102" s="306"/>
      <c r="D102" s="193">
        <v>315.0</v>
      </c>
      <c r="E102" s="171">
        <f>SUMIFS(All_Stats!G:G,All_Stats!$A:$A,$B102,All_Stats!$B:$B,"Overall",All_Stats!$D:$D,"Total")</f>
        <v>0</v>
      </c>
      <c r="F102" s="113">
        <f>SUMIFS(All_Stats!H:H,All_Stats!$A:$A,$B102,All_Stats!$B:$B,"Overall",All_Stats!$D:$D,"Total")</f>
        <v>0</v>
      </c>
      <c r="G102" s="171">
        <f>SUMIFS(All_Stats!I:I,All_Stats!$A:$A,$B102,All_Stats!$B:$B,"Overall",All_Stats!$D:$D,"Total")</f>
        <v>0</v>
      </c>
      <c r="H102" s="113">
        <f>SUMIFS(All_Stats!K:K,All_Stats!$A:$A,$B102,All_Stats!$B:$B,"Overall",All_Stats!$D:$D,"Total")</f>
        <v>0</v>
      </c>
      <c r="I102" s="113">
        <f>SUMIFS(All_Stats!J:J,All_Stats!$A:$A,$B102,All_Stats!$B:$B,"Overall",All_Stats!$D:$D,"Total")</f>
        <v>0</v>
      </c>
      <c r="J102" s="113">
        <f t="shared" si="3"/>
        <v>315</v>
      </c>
      <c r="K102" s="249" t="s">
        <v>57</v>
      </c>
      <c r="L102" s="245">
        <v>44406.0</v>
      </c>
      <c r="M102" s="332">
        <v>44480.0</v>
      </c>
      <c r="N102" s="387" t="s">
        <v>814</v>
      </c>
      <c r="O102" s="310">
        <f t="shared" si="6"/>
        <v>23.03773585</v>
      </c>
      <c r="P102" s="311">
        <f t="shared" ref="P102:Q102" si="103">F102/D102</f>
        <v>0</v>
      </c>
      <c r="Q102" s="325" t="str">
        <f t="shared" si="103"/>
        <v>#DIV/0!</v>
      </c>
      <c r="R102" s="311">
        <f t="shared" si="8"/>
        <v>0</v>
      </c>
      <c r="S102" s="300" t="str">
        <f t="shared" si="90"/>
        <v>Closed</v>
      </c>
      <c r="T102" s="2" t="s">
        <v>111</v>
      </c>
      <c r="U102" s="385" t="s">
        <v>611</v>
      </c>
      <c r="V102" s="113">
        <f>COUNTIFS('Delivery Tracking'!E:E,B102)</f>
        <v>0</v>
      </c>
      <c r="W102" s="113">
        <f>SUMIFS(All_Stats!N:N,All_Stats!$A:$A,$B102,All_Stats!$B:$B,"Overall",All_Stats!$D:$D,"Total")</f>
        <v>0</v>
      </c>
      <c r="X102" s="323">
        <v>44562.0</v>
      </c>
      <c r="Y102" s="329"/>
      <c r="Z102" s="326"/>
    </row>
    <row r="103" hidden="1">
      <c r="A103" s="334" t="s">
        <v>815</v>
      </c>
      <c r="B103" s="335" t="s">
        <v>816</v>
      </c>
      <c r="C103" s="184"/>
      <c r="D103" s="193">
        <v>377.0</v>
      </c>
      <c r="E103" s="171">
        <f>SUMIFS(All_Stats!G:G,All_Stats!$A:$A,$B103,All_Stats!$B:$B,"Overall",All_Stats!$D:$D,"Total")</f>
        <v>0</v>
      </c>
      <c r="F103" s="113">
        <f>SUMIFS(All_Stats!H:H,All_Stats!$A:$A,$B103,All_Stats!$B:$B,"Overall",All_Stats!$D:$D,"Total")</f>
        <v>0</v>
      </c>
      <c r="G103" s="171">
        <f>SUMIFS(All_Stats!I:I,All_Stats!$A:$A,$B103,All_Stats!$B:$B,"Overall",All_Stats!$D:$D,"Total")</f>
        <v>0</v>
      </c>
      <c r="H103" s="113">
        <f>SUMIFS(All_Stats!K:K,All_Stats!$A:$A,$B103,All_Stats!$B:$B,"Overall",All_Stats!$D:$D,"Total")</f>
        <v>0</v>
      </c>
      <c r="I103" s="113">
        <f>SUMIFS(All_Stats!J:J,All_Stats!$A:$A,$B103,All_Stats!$B:$B,"Overall",All_Stats!$D:$D,"Total")</f>
        <v>0</v>
      </c>
      <c r="J103" s="113">
        <f t="shared" si="3"/>
        <v>377</v>
      </c>
      <c r="K103" s="249" t="s">
        <v>57</v>
      </c>
      <c r="L103" s="323">
        <v>44439.0</v>
      </c>
      <c r="M103" s="245">
        <v>44589.0</v>
      </c>
      <c r="N103" s="15" t="s">
        <v>817</v>
      </c>
      <c r="O103" s="310">
        <f t="shared" si="6"/>
        <v>10.99082569</v>
      </c>
      <c r="P103" s="311">
        <f t="shared" ref="P103:Q103" si="104">F103/D103</f>
        <v>0</v>
      </c>
      <c r="Q103" s="325" t="str">
        <f t="shared" si="104"/>
        <v>#DIV/0!</v>
      </c>
      <c r="R103" s="311">
        <f t="shared" si="8"/>
        <v>0</v>
      </c>
      <c r="S103" s="300" t="str">
        <f t="shared" si="90"/>
        <v>Closed</v>
      </c>
      <c r="T103" s="2" t="s">
        <v>67</v>
      </c>
      <c r="U103" s="162" t="s">
        <v>611</v>
      </c>
      <c r="V103" s="113">
        <f>COUNTIFS('Delivery Tracking'!E:E,B103)</f>
        <v>0</v>
      </c>
      <c r="W103" s="113">
        <f>SUMIFS(All_Stats!N:N,All_Stats!$A:$A,$B103,All_Stats!$B:$B,"Overall",All_Stats!$D:$D,"Total")</f>
        <v>0</v>
      </c>
      <c r="X103" s="323">
        <v>44563.0</v>
      </c>
      <c r="Y103" s="329"/>
      <c r="Z103" s="326"/>
    </row>
    <row r="104" hidden="1">
      <c r="A104" s="352" t="s">
        <v>818</v>
      </c>
      <c r="B104" s="342" t="s">
        <v>819</v>
      </c>
      <c r="C104" s="184"/>
      <c r="D104" s="193">
        <v>50.0</v>
      </c>
      <c r="E104" s="171">
        <f>SUMIFS(All_Stats!G:G,All_Stats!$A:$A,$B104,All_Stats!$B:$B,"Overall",All_Stats!$D:$D,"Total")</f>
        <v>0</v>
      </c>
      <c r="F104" s="113">
        <f>SUMIFS(All_Stats!H:H,All_Stats!$A:$A,$B104,All_Stats!$B:$B,"Overall",All_Stats!$D:$D,"Total")</f>
        <v>0</v>
      </c>
      <c r="G104" s="171">
        <f>SUMIFS(All_Stats!I:I,All_Stats!$A:$A,$B104,All_Stats!$B:$B,"Overall",All_Stats!$D:$D,"Total")</f>
        <v>0</v>
      </c>
      <c r="H104" s="113">
        <f>SUMIFS(All_Stats!K:K,All_Stats!$A:$A,$B104,All_Stats!$B:$B,"Overall",All_Stats!$D:$D,"Total")</f>
        <v>0</v>
      </c>
      <c r="I104" s="113">
        <f>SUMIFS(All_Stats!J:J,All_Stats!$A:$A,$B104,All_Stats!$B:$B,"Overall",All_Stats!$D:$D,"Total")</f>
        <v>0</v>
      </c>
      <c r="J104" s="113">
        <f t="shared" si="3"/>
        <v>50</v>
      </c>
      <c r="K104" s="249" t="s">
        <v>649</v>
      </c>
      <c r="L104" s="245">
        <v>44418.0</v>
      </c>
      <c r="M104" s="245">
        <v>44484.0</v>
      </c>
      <c r="N104" s="388" t="s">
        <v>820</v>
      </c>
      <c r="O104" s="310">
        <f t="shared" si="6"/>
        <v>24.75510204</v>
      </c>
      <c r="P104" s="311">
        <f t="shared" ref="P104:Q104" si="105">F104/D104</f>
        <v>0</v>
      </c>
      <c r="Q104" s="325" t="str">
        <f t="shared" si="105"/>
        <v>#DIV/0!</v>
      </c>
      <c r="R104" s="311">
        <f t="shared" si="8"/>
        <v>0</v>
      </c>
      <c r="S104" s="249" t="s">
        <v>649</v>
      </c>
      <c r="T104" s="2" t="s">
        <v>67</v>
      </c>
      <c r="U104" s="162" t="s">
        <v>611</v>
      </c>
      <c r="V104" s="113">
        <f>COUNTIFS('Delivery Tracking'!E:E,B104)</f>
        <v>0</v>
      </c>
      <c r="W104" s="113">
        <f>SUMIFS(All_Stats!N:N,All_Stats!$A:$A,$B104,All_Stats!$B:$B,"Overall",All_Stats!$D:$D,"Total")</f>
        <v>0</v>
      </c>
      <c r="X104" s="323">
        <v>44564.0</v>
      </c>
      <c r="Y104" s="329"/>
      <c r="Z104" s="326"/>
    </row>
    <row r="105" hidden="1">
      <c r="A105" s="338" t="s">
        <v>810</v>
      </c>
      <c r="B105" s="339" t="s">
        <v>821</v>
      </c>
      <c r="C105" s="184"/>
      <c r="D105" s="193">
        <v>448.0</v>
      </c>
      <c r="E105" s="171">
        <f>SUMIFS(All_Stats!G:G,All_Stats!$A:$A,$B105,All_Stats!$B:$B,"Overall",All_Stats!$D:$D,"Total")</f>
        <v>0</v>
      </c>
      <c r="F105" s="113">
        <f>SUMIFS(All_Stats!H:H,All_Stats!$A:$A,$B105,All_Stats!$B:$B,"Overall",All_Stats!$D:$D,"Total")</f>
        <v>0</v>
      </c>
      <c r="G105" s="171">
        <f>SUMIFS(All_Stats!I:I,All_Stats!$A:$A,$B105,All_Stats!$B:$B,"Overall",All_Stats!$D:$D,"Total")</f>
        <v>0</v>
      </c>
      <c r="H105" s="113">
        <f>SUMIFS(All_Stats!K:K,All_Stats!$A:$A,$B105,All_Stats!$B:$B,"Overall",All_Stats!$D:$D,"Total")</f>
        <v>0</v>
      </c>
      <c r="I105" s="113">
        <f>SUMIFS(All_Stats!J:J,All_Stats!$A:$A,$B105,All_Stats!$B:$B,"Overall",All_Stats!$D:$D,"Total")</f>
        <v>0</v>
      </c>
      <c r="J105" s="113">
        <f t="shared" si="3"/>
        <v>448</v>
      </c>
      <c r="K105" s="249" t="s">
        <v>57</v>
      </c>
      <c r="L105" s="245">
        <v>44299.0</v>
      </c>
      <c r="M105" s="245">
        <v>44482.0</v>
      </c>
      <c r="N105" s="389" t="s">
        <v>822</v>
      </c>
      <c r="O105" s="310">
        <f t="shared" si="6"/>
        <v>9.833333333</v>
      </c>
      <c r="P105" s="311">
        <f t="shared" ref="P105:Q105" si="106">F105/D105</f>
        <v>0</v>
      </c>
      <c r="Q105" s="325" t="str">
        <f t="shared" si="106"/>
        <v>#DIV/0!</v>
      </c>
      <c r="R105" s="311">
        <f t="shared" si="8"/>
        <v>0</v>
      </c>
      <c r="S105" s="300" t="str">
        <f t="shared" ref="S105:S106" si="108">iferror(ifs(
K105="Closed","Closed",
K105="Paused","Paused",
UPPER(X105)="N/A","PRE",
X105="","N/A",
(_xlfn.NETWORKDAYS.INTL(X105,D$2)-1)/_xlfn.NETWORKDAYS.INTL(X105,M105)&lt;S$2,"PRE",
F105=0,"Underpacing",
O105-(F105+H105*(G105/(G105+F105)))/D105&gt;0.2,"Underpacing",
O105-(F105+H105*(G105/(G105+F105)))/D105&lt;=0.2,"On track")
,"N/A")</f>
        <v>Closed</v>
      </c>
      <c r="T105" s="2" t="s">
        <v>67</v>
      </c>
      <c r="U105" s="162" t="s">
        <v>611</v>
      </c>
      <c r="V105" s="113">
        <f>COUNTIFS('Delivery Tracking'!E:E,B105)</f>
        <v>0</v>
      </c>
      <c r="W105" s="113">
        <f>SUMIFS(All_Stats!N:N,All_Stats!$A:$A,$B105,All_Stats!$B:$B,"Overall",All_Stats!$D:$D,"Total")</f>
        <v>0</v>
      </c>
      <c r="X105" s="323">
        <v>44565.0</v>
      </c>
      <c r="Y105" s="329"/>
      <c r="Z105" s="326"/>
    </row>
    <row r="106" hidden="1">
      <c r="A106" s="327" t="s">
        <v>823</v>
      </c>
      <c r="B106" s="390" t="s">
        <v>824</v>
      </c>
      <c r="C106" s="184"/>
      <c r="D106" s="193">
        <v>50.0</v>
      </c>
      <c r="E106" s="171">
        <f>SUMIFS(All_Stats!G:G,All_Stats!$A:$A,$B106,All_Stats!$B:$B,"Overall",All_Stats!$D:$D,"Total")</f>
        <v>0</v>
      </c>
      <c r="F106" s="113">
        <f>SUMIFS(All_Stats!H:H,All_Stats!$A:$A,$B106,All_Stats!$B:$B,"Overall",All_Stats!$D:$D,"Total")</f>
        <v>0</v>
      </c>
      <c r="G106" s="171">
        <f>SUMIFS(All_Stats!I:I,All_Stats!$A:$A,$B106,All_Stats!$B:$B,"Overall",All_Stats!$D:$D,"Total")</f>
        <v>0</v>
      </c>
      <c r="H106" s="113">
        <f>SUMIFS(All_Stats!K:K,All_Stats!$A:$A,$B106,All_Stats!$B:$B,"Overall",All_Stats!$D:$D,"Total")</f>
        <v>0</v>
      </c>
      <c r="I106" s="113">
        <f>SUMIFS(All_Stats!J:J,All_Stats!$A:$A,$B106,All_Stats!$B:$B,"Overall",All_Stats!$D:$D,"Total")</f>
        <v>0</v>
      </c>
      <c r="J106" s="113">
        <f t="shared" si="3"/>
        <v>50</v>
      </c>
      <c r="K106" s="249" t="s">
        <v>57</v>
      </c>
      <c r="L106" s="245">
        <v>44468.0</v>
      </c>
      <c r="M106" s="245">
        <v>44489.0</v>
      </c>
      <c r="O106" s="310">
        <f t="shared" si="6"/>
        <v>73.5625</v>
      </c>
      <c r="P106" s="311">
        <f t="shared" ref="P106:Q106" si="107">F106/D106</f>
        <v>0</v>
      </c>
      <c r="Q106" s="325" t="str">
        <f t="shared" si="107"/>
        <v>#DIV/0!</v>
      </c>
      <c r="R106" s="311">
        <f t="shared" si="8"/>
        <v>0</v>
      </c>
      <c r="S106" s="300" t="str">
        <f t="shared" si="108"/>
        <v>Closed</v>
      </c>
      <c r="T106" s="2" t="s">
        <v>184</v>
      </c>
      <c r="U106" s="162" t="s">
        <v>611</v>
      </c>
      <c r="V106" s="113">
        <f>COUNTIFS('Delivery Tracking'!E:E,B106)</f>
        <v>0</v>
      </c>
      <c r="W106" s="113">
        <f>SUMIFS(All_Stats!N:N,All_Stats!$A:$A,$B106,All_Stats!$B:$B,"Overall",All_Stats!$D:$D,"Total")</f>
        <v>0</v>
      </c>
      <c r="X106" s="323">
        <v>44566.0</v>
      </c>
      <c r="Y106" s="329"/>
      <c r="Z106" s="326"/>
    </row>
    <row r="107" hidden="1">
      <c r="A107" s="375" t="s">
        <v>707</v>
      </c>
      <c r="B107" s="391" t="s">
        <v>825</v>
      </c>
      <c r="C107" s="306"/>
      <c r="D107" s="193">
        <v>25.0</v>
      </c>
      <c r="E107" s="171">
        <f>SUMIFS(All_Stats!G:G,All_Stats!$A:$A,$B107,All_Stats!$B:$B,"Overall",All_Stats!$D:$D,"Total")</f>
        <v>0</v>
      </c>
      <c r="F107" s="113">
        <f>SUMIFS(All_Stats!H:H,All_Stats!$A:$A,$B107,All_Stats!$B:$B,"Overall",All_Stats!$D:$D,"Total")</f>
        <v>0</v>
      </c>
      <c r="G107" s="171">
        <f>SUMIFS(All_Stats!I:I,All_Stats!$A:$A,$B107,All_Stats!$B:$B,"Overall",All_Stats!$D:$D,"Total")</f>
        <v>0</v>
      </c>
      <c r="H107" s="113">
        <f>SUMIFS(All_Stats!K:K,All_Stats!$A:$A,$B107,All_Stats!$B:$B,"Overall",All_Stats!$D:$D,"Total")</f>
        <v>0</v>
      </c>
      <c r="I107" s="113">
        <f>SUMIFS(All_Stats!J:J,All_Stats!$A:$A,$B107,All_Stats!$B:$B,"Overall",All_Stats!$D:$D,"Total")</f>
        <v>0</v>
      </c>
      <c r="J107" s="113">
        <f t="shared" si="3"/>
        <v>25</v>
      </c>
      <c r="K107" s="249" t="s">
        <v>649</v>
      </c>
      <c r="L107" s="356">
        <v>44361.0</v>
      </c>
      <c r="M107" s="386">
        <v>44442.0</v>
      </c>
      <c r="N107" s="15" t="s">
        <v>826</v>
      </c>
      <c r="O107" s="310">
        <f t="shared" si="6"/>
        <v>20.9</v>
      </c>
      <c r="P107" s="311">
        <f t="shared" ref="P107:Q107" si="109">F107/D107</f>
        <v>0</v>
      </c>
      <c r="Q107" s="325" t="str">
        <f t="shared" si="109"/>
        <v>#DIV/0!</v>
      </c>
      <c r="R107" s="311">
        <f t="shared" si="8"/>
        <v>0</v>
      </c>
      <c r="S107" s="249" t="s">
        <v>649</v>
      </c>
      <c r="T107" s="2" t="s">
        <v>21</v>
      </c>
      <c r="U107" s="162" t="s">
        <v>611</v>
      </c>
      <c r="V107" s="113">
        <f>COUNTIFS('Delivery Tracking'!E:E,B107)</f>
        <v>0</v>
      </c>
      <c r="W107" s="113">
        <f>SUMIFS(All_Stats!N:N,All_Stats!$A:$A,$B107,All_Stats!$B:$B,"Overall",All_Stats!$D:$D,"Total")</f>
        <v>0</v>
      </c>
      <c r="X107" s="323">
        <v>44567.0</v>
      </c>
      <c r="Y107" s="329"/>
      <c r="Z107" s="326"/>
    </row>
    <row r="108" hidden="1">
      <c r="A108" s="330" t="s">
        <v>827</v>
      </c>
      <c r="B108" s="175" t="s">
        <v>828</v>
      </c>
      <c r="C108" s="184"/>
      <c r="D108" s="193">
        <v>81.0</v>
      </c>
      <c r="E108" s="171">
        <f>SUMIFS(All_Stats!G:G,All_Stats!$A:$A,$B108,All_Stats!$B:$B,"Overall",All_Stats!$D:$D,"Total")</f>
        <v>0</v>
      </c>
      <c r="F108" s="113">
        <f>SUMIFS(All_Stats!H:H,All_Stats!$A:$A,$B108,All_Stats!$B:$B,"Overall",All_Stats!$D:$D,"Total")</f>
        <v>0</v>
      </c>
      <c r="G108" s="171">
        <f>SUMIFS(All_Stats!I:I,All_Stats!$A:$A,$B108,All_Stats!$B:$B,"Overall",All_Stats!$D:$D,"Total")</f>
        <v>0</v>
      </c>
      <c r="H108" s="113">
        <f>SUMIFS(All_Stats!K:K,All_Stats!$A:$A,$B108,All_Stats!$B:$B,"Overall",All_Stats!$D:$D,"Total")</f>
        <v>0</v>
      </c>
      <c r="I108" s="113">
        <f>SUMIFS(All_Stats!J:J,All_Stats!$A:$A,$B108,All_Stats!$B:$B,"Overall",All_Stats!$D:$D,"Total")</f>
        <v>0</v>
      </c>
      <c r="J108" s="113">
        <f t="shared" si="3"/>
        <v>81</v>
      </c>
      <c r="K108" s="249" t="s">
        <v>57</v>
      </c>
      <c r="L108" s="323">
        <v>44462.0</v>
      </c>
      <c r="M108" s="245">
        <v>44480.0</v>
      </c>
      <c r="O108" s="310">
        <f t="shared" si="6"/>
        <v>90.84615385</v>
      </c>
      <c r="P108" s="311">
        <f t="shared" ref="P108:Q108" si="110">F108/D108</f>
        <v>0</v>
      </c>
      <c r="Q108" s="325" t="str">
        <f t="shared" si="110"/>
        <v>#DIV/0!</v>
      </c>
      <c r="R108" s="311">
        <f t="shared" si="8"/>
        <v>0</v>
      </c>
      <c r="S108" s="300" t="str">
        <f t="shared" ref="S108:S117" si="112">iferror(ifs(
K108="Closed","Closed",
K108="Paused","Paused",
UPPER(X108)="N/A","PRE",
X108="","N/A",
(_xlfn.NETWORKDAYS.INTL(X108,D$2)-1)/_xlfn.NETWORKDAYS.INTL(X108,M108)&lt;S$2,"PRE",
F108=0,"Underpacing",
O108-(F108+H108*(G108/(G108+F108)))/D108&gt;0.2,"Underpacing",
O108-(F108+H108*(G108/(G108+F108)))/D108&lt;=0.2,"On track")
,"N/A")</f>
        <v>Closed</v>
      </c>
      <c r="T108" s="2" t="s">
        <v>153</v>
      </c>
      <c r="U108" s="162" t="s">
        <v>611</v>
      </c>
      <c r="V108" s="113">
        <f>COUNTIFS('Delivery Tracking'!E:E,B108)</f>
        <v>0</v>
      </c>
      <c r="W108" s="113">
        <f>SUMIFS(All_Stats!N:N,All_Stats!$A:$A,$B108,All_Stats!$B:$B,"Overall",All_Stats!$D:$D,"Total")</f>
        <v>0</v>
      </c>
      <c r="X108" s="323">
        <v>44568.0</v>
      </c>
      <c r="Y108" s="329"/>
      <c r="Z108" s="326"/>
    </row>
    <row r="109" hidden="1">
      <c r="A109" s="340" t="s">
        <v>763</v>
      </c>
      <c r="B109" s="392" t="s">
        <v>829</v>
      </c>
      <c r="C109" s="393"/>
      <c r="D109" s="193">
        <v>122.0</v>
      </c>
      <c r="E109" s="171">
        <f>SUMIFS(All_Stats!G:G,All_Stats!$A:$A,$B109,All_Stats!$B:$B,"Overall",All_Stats!$D:$D,"Total")</f>
        <v>0</v>
      </c>
      <c r="F109" s="113">
        <f>SUMIFS(All_Stats!H:H,All_Stats!$A:$A,$B109,All_Stats!$B:$B,"Overall",All_Stats!$D:$D,"Total")</f>
        <v>0</v>
      </c>
      <c r="G109" s="171">
        <f>SUMIFS(All_Stats!I:I,All_Stats!$A:$A,$B109,All_Stats!$B:$B,"Overall",All_Stats!$D:$D,"Total")</f>
        <v>0</v>
      </c>
      <c r="H109" s="113">
        <f>SUMIFS(All_Stats!K:K,All_Stats!$A:$A,$B109,All_Stats!$B:$B,"Overall",All_Stats!$D:$D,"Total")</f>
        <v>0</v>
      </c>
      <c r="I109" s="113">
        <f>SUMIFS(All_Stats!J:J,All_Stats!$A:$A,$B109,All_Stats!$B:$B,"Overall",All_Stats!$D:$D,"Total")</f>
        <v>0</v>
      </c>
      <c r="J109" s="113">
        <f t="shared" si="3"/>
        <v>122</v>
      </c>
      <c r="K109" s="249" t="s">
        <v>57</v>
      </c>
      <c r="L109" s="323">
        <v>44424.0</v>
      </c>
      <c r="M109" s="245">
        <v>44477.0</v>
      </c>
      <c r="O109" s="310">
        <f t="shared" si="6"/>
        <v>30.225</v>
      </c>
      <c r="P109" s="311">
        <f t="shared" ref="P109:Q109" si="111">F109/D109</f>
        <v>0</v>
      </c>
      <c r="Q109" s="325" t="str">
        <f t="shared" si="111"/>
        <v>#DIV/0!</v>
      </c>
      <c r="R109" s="311">
        <f t="shared" si="8"/>
        <v>0</v>
      </c>
      <c r="S109" s="300" t="str">
        <f t="shared" si="112"/>
        <v>Closed</v>
      </c>
      <c r="T109" s="2" t="s">
        <v>67</v>
      </c>
      <c r="U109" s="162" t="s">
        <v>611</v>
      </c>
      <c r="V109" s="113">
        <f>COUNTIFS('Delivery Tracking'!E:E,B109)</f>
        <v>0</v>
      </c>
      <c r="W109" s="113">
        <f>SUMIFS(All_Stats!N:N,All_Stats!$A:$A,$B109,All_Stats!$B:$B,"Overall",All_Stats!$D:$D,"Total")</f>
        <v>0</v>
      </c>
      <c r="X109" s="323">
        <v>44569.0</v>
      </c>
      <c r="Y109" s="329"/>
      <c r="Z109" s="326"/>
    </row>
    <row r="110" hidden="1">
      <c r="A110" s="352" t="s">
        <v>830</v>
      </c>
      <c r="B110" s="342" t="s">
        <v>831</v>
      </c>
      <c r="C110" s="184"/>
      <c r="D110" s="193">
        <v>35.0</v>
      </c>
      <c r="E110" s="171">
        <f>SUMIFS(All_Stats!G:G,All_Stats!$A:$A,$B110,All_Stats!$B:$B,"Overall",All_Stats!$D:$D,"Total")</f>
        <v>0</v>
      </c>
      <c r="F110" s="113">
        <f>SUMIFS(All_Stats!H:H,All_Stats!$A:$A,$B110,All_Stats!$B:$B,"Overall",All_Stats!$D:$D,"Total")</f>
        <v>0</v>
      </c>
      <c r="G110" s="171">
        <f>SUMIFS(All_Stats!I:I,All_Stats!$A:$A,$B110,All_Stats!$B:$B,"Overall",All_Stats!$D:$D,"Total")</f>
        <v>0</v>
      </c>
      <c r="H110" s="113">
        <f>SUMIFS(All_Stats!K:K,All_Stats!$A:$A,$B110,All_Stats!$B:$B,"Overall",All_Stats!$D:$D,"Total")</f>
        <v>0</v>
      </c>
      <c r="I110" s="113">
        <f>SUMIFS(All_Stats!J:J,All_Stats!$A:$A,$B110,All_Stats!$B:$B,"Overall",All_Stats!$D:$D,"Total")</f>
        <v>0</v>
      </c>
      <c r="J110" s="113">
        <f t="shared" si="3"/>
        <v>35</v>
      </c>
      <c r="K110" s="249" t="s">
        <v>57</v>
      </c>
      <c r="L110" s="323">
        <v>44475.0</v>
      </c>
      <c r="M110" s="245">
        <v>44477.0</v>
      </c>
      <c r="N110" s="2" t="s">
        <v>832</v>
      </c>
      <c r="O110" s="310">
        <f t="shared" si="6"/>
        <v>390.6666667</v>
      </c>
      <c r="P110" s="311">
        <f t="shared" ref="P110:Q110" si="113">F110/D110</f>
        <v>0</v>
      </c>
      <c r="Q110" s="325" t="str">
        <f t="shared" si="113"/>
        <v>#DIV/0!</v>
      </c>
      <c r="R110" s="311">
        <f t="shared" si="8"/>
        <v>0</v>
      </c>
      <c r="S110" s="300" t="str">
        <f t="shared" si="112"/>
        <v>Closed</v>
      </c>
      <c r="T110" s="2" t="s">
        <v>166</v>
      </c>
      <c r="U110" s="162" t="s">
        <v>611</v>
      </c>
      <c r="V110" s="113">
        <f>COUNTIFS('Delivery Tracking'!E:E,B110)</f>
        <v>0</v>
      </c>
      <c r="W110" s="113">
        <f>SUMIFS(All_Stats!N:N,All_Stats!$A:$A,$B110,All_Stats!$B:$B,"Overall",All_Stats!$D:$D,"Total")</f>
        <v>0</v>
      </c>
      <c r="X110" s="323">
        <v>44570.0</v>
      </c>
      <c r="Y110" s="329"/>
      <c r="Z110" s="326"/>
    </row>
    <row r="111" hidden="1">
      <c r="A111" s="330" t="s">
        <v>626</v>
      </c>
      <c r="B111" s="341" t="s">
        <v>833</v>
      </c>
      <c r="C111" s="184"/>
      <c r="D111" s="193">
        <v>630.0</v>
      </c>
      <c r="E111" s="171">
        <f>SUMIFS(All_Stats!G:G,All_Stats!$A:$A,$B111,All_Stats!$B:$B,"Overall",All_Stats!$D:$D,"Total")</f>
        <v>0</v>
      </c>
      <c r="F111" s="113">
        <f>SUMIFS(All_Stats!H:H,All_Stats!$A:$A,$B111,All_Stats!$B:$B,"Overall",All_Stats!$D:$D,"Total")</f>
        <v>0</v>
      </c>
      <c r="G111" s="171">
        <f>SUMIFS(All_Stats!I:I,All_Stats!$A:$A,$B111,All_Stats!$B:$B,"Overall",All_Stats!$D:$D,"Total")</f>
        <v>0</v>
      </c>
      <c r="H111" s="113">
        <f>SUMIFS(All_Stats!K:K,All_Stats!$A:$A,$B111,All_Stats!$B:$B,"Overall",All_Stats!$D:$D,"Total")</f>
        <v>0</v>
      </c>
      <c r="I111" s="113">
        <f>SUMIFS(All_Stats!J:J,All_Stats!$A:$A,$B111,All_Stats!$B:$B,"Overall",All_Stats!$D:$D,"Total")</f>
        <v>0</v>
      </c>
      <c r="J111" s="113">
        <f t="shared" si="3"/>
        <v>630</v>
      </c>
      <c r="K111" s="249" t="s">
        <v>57</v>
      </c>
      <c r="L111" s="245">
        <v>44440.0</v>
      </c>
      <c r="M111" s="245">
        <v>44488.0</v>
      </c>
      <c r="O111" s="310">
        <f t="shared" si="6"/>
        <v>34.2</v>
      </c>
      <c r="P111" s="311">
        <f t="shared" ref="P111:Q111" si="114">F111/D111</f>
        <v>0</v>
      </c>
      <c r="Q111" s="325" t="str">
        <f t="shared" si="114"/>
        <v>#DIV/0!</v>
      </c>
      <c r="R111" s="311">
        <f t="shared" si="8"/>
        <v>0</v>
      </c>
      <c r="S111" s="300" t="str">
        <f t="shared" si="112"/>
        <v>Closed</v>
      </c>
      <c r="T111" s="2" t="s">
        <v>111</v>
      </c>
      <c r="U111" s="162" t="s">
        <v>611</v>
      </c>
      <c r="V111" s="113">
        <f>COUNTIFS('Delivery Tracking'!E:E,B111)</f>
        <v>0</v>
      </c>
      <c r="W111" s="113">
        <f>SUMIFS(All_Stats!N:N,All_Stats!$A:$A,$B111,All_Stats!$B:$B,"Overall",All_Stats!$D:$D,"Total")</f>
        <v>0</v>
      </c>
      <c r="X111" s="323">
        <v>44571.0</v>
      </c>
      <c r="Y111" s="329"/>
      <c r="Z111" s="326"/>
    </row>
    <row r="112" hidden="1">
      <c r="A112" s="371" t="s">
        <v>834</v>
      </c>
      <c r="B112" s="341" t="s">
        <v>835</v>
      </c>
      <c r="C112" s="184"/>
      <c r="D112" s="193">
        <v>60.0</v>
      </c>
      <c r="E112" s="171">
        <f>SUMIFS(All_Stats!G:G,All_Stats!$A:$A,$B112,All_Stats!$B:$B,"Overall",All_Stats!$D:$D,"Total")</f>
        <v>0</v>
      </c>
      <c r="F112" s="113">
        <f>SUMIFS(All_Stats!H:H,All_Stats!$A:$A,$B112,All_Stats!$B:$B,"Overall",All_Stats!$D:$D,"Total")</f>
        <v>0</v>
      </c>
      <c r="G112" s="171">
        <f>SUMIFS(All_Stats!I:I,All_Stats!$A:$A,$B112,All_Stats!$B:$B,"Overall",All_Stats!$D:$D,"Total")</f>
        <v>0</v>
      </c>
      <c r="H112" s="113">
        <f>SUMIFS(All_Stats!K:K,All_Stats!$A:$A,$B112,All_Stats!$B:$B,"Overall",All_Stats!$D:$D,"Total")</f>
        <v>0</v>
      </c>
      <c r="I112" s="113">
        <f>SUMIFS(All_Stats!J:J,All_Stats!$A:$A,$B112,All_Stats!$B:$B,"Overall",All_Stats!$D:$D,"Total")</f>
        <v>0</v>
      </c>
      <c r="J112" s="113">
        <f t="shared" si="3"/>
        <v>60</v>
      </c>
      <c r="K112" s="249" t="s">
        <v>57</v>
      </c>
      <c r="L112" s="245">
        <v>44412.0</v>
      </c>
      <c r="M112" s="245">
        <v>44477.0</v>
      </c>
      <c r="O112" s="310">
        <f t="shared" si="6"/>
        <v>25.35416667</v>
      </c>
      <c r="P112" s="311">
        <f t="shared" ref="P112:Q112" si="115">F112/D112</f>
        <v>0</v>
      </c>
      <c r="Q112" s="325" t="str">
        <f t="shared" si="115"/>
        <v>#DIV/0!</v>
      </c>
      <c r="R112" s="311">
        <f t="shared" si="8"/>
        <v>0</v>
      </c>
      <c r="S112" s="300" t="str">
        <f t="shared" si="112"/>
        <v>Closed</v>
      </c>
      <c r="T112" s="2" t="s">
        <v>153</v>
      </c>
      <c r="U112" s="162" t="s">
        <v>611</v>
      </c>
      <c r="V112" s="113">
        <f>COUNTIFS('Delivery Tracking'!E:E,B112)</f>
        <v>0</v>
      </c>
      <c r="W112" s="113">
        <f>SUMIFS(All_Stats!N:N,All_Stats!$A:$A,$B112,All_Stats!$B:$B,"Overall",All_Stats!$D:$D,"Total")</f>
        <v>0</v>
      </c>
      <c r="X112" s="323">
        <v>44572.0</v>
      </c>
      <c r="Y112" s="329"/>
      <c r="Z112" s="326"/>
    </row>
    <row r="113" hidden="1">
      <c r="A113" s="334" t="s">
        <v>750</v>
      </c>
      <c r="B113" s="335" t="s">
        <v>836</v>
      </c>
      <c r="C113" s="184"/>
      <c r="D113" s="193">
        <v>40.0</v>
      </c>
      <c r="E113" s="171">
        <f>SUMIFS(All_Stats!G:G,All_Stats!$A:$A,$B113,All_Stats!$B:$B,"Overall",All_Stats!$D:$D,"Total")</f>
        <v>0</v>
      </c>
      <c r="F113" s="113">
        <f>SUMIFS(All_Stats!H:H,All_Stats!$A:$A,$B113,All_Stats!$B:$B,"Overall",All_Stats!$D:$D,"Total")</f>
        <v>0</v>
      </c>
      <c r="G113" s="171">
        <f>SUMIFS(All_Stats!I:I,All_Stats!$A:$A,$B113,All_Stats!$B:$B,"Overall",All_Stats!$D:$D,"Total")</f>
        <v>0</v>
      </c>
      <c r="H113" s="113">
        <f>SUMIFS(All_Stats!K:K,All_Stats!$A:$A,$B113,All_Stats!$B:$B,"Overall",All_Stats!$D:$D,"Total")</f>
        <v>0</v>
      </c>
      <c r="I113" s="113">
        <f>SUMIFS(All_Stats!J:J,All_Stats!$A:$A,$B113,All_Stats!$B:$B,"Overall",All_Stats!$D:$D,"Total")</f>
        <v>0</v>
      </c>
      <c r="J113" s="113">
        <f t="shared" si="3"/>
        <v>40</v>
      </c>
      <c r="K113" s="249" t="s">
        <v>57</v>
      </c>
      <c r="L113" s="245">
        <v>44452.0</v>
      </c>
      <c r="M113" s="245">
        <v>44489.0</v>
      </c>
      <c r="O113" s="310">
        <f t="shared" si="6"/>
        <v>42.46428571</v>
      </c>
      <c r="P113" s="311">
        <f t="shared" ref="P113:Q113" si="116">F113/D113</f>
        <v>0</v>
      </c>
      <c r="Q113" s="325" t="str">
        <f t="shared" si="116"/>
        <v>#DIV/0!</v>
      </c>
      <c r="R113" s="311">
        <f t="shared" si="8"/>
        <v>0</v>
      </c>
      <c r="S113" s="300" t="str">
        <f t="shared" si="112"/>
        <v>Closed</v>
      </c>
      <c r="T113" s="2" t="s">
        <v>166</v>
      </c>
      <c r="U113" s="162" t="s">
        <v>611</v>
      </c>
      <c r="V113" s="113">
        <f>COUNTIFS('Delivery Tracking'!E:E,B113)</f>
        <v>0</v>
      </c>
      <c r="W113" s="113">
        <f>SUMIFS(All_Stats!N:N,All_Stats!$A:$A,$B113,All_Stats!$B:$B,"Overall",All_Stats!$D:$D,"Total")</f>
        <v>0</v>
      </c>
      <c r="X113" s="323">
        <v>44573.0</v>
      </c>
      <c r="Y113" s="329"/>
      <c r="Z113" s="326"/>
    </row>
    <row r="114" hidden="1">
      <c r="A114" s="367" t="s">
        <v>810</v>
      </c>
      <c r="B114" s="368" t="s">
        <v>837</v>
      </c>
      <c r="C114" s="184"/>
      <c r="D114" s="193">
        <v>99.0</v>
      </c>
      <c r="E114" s="171">
        <f>SUMIFS(All_Stats!G:G,All_Stats!$A:$A,$B114,All_Stats!$B:$B,"Overall",All_Stats!$D:$D,"Total")</f>
        <v>0</v>
      </c>
      <c r="F114" s="113">
        <f>SUMIFS(All_Stats!H:H,All_Stats!$A:$A,$B114,All_Stats!$B:$B,"Overall",All_Stats!$D:$D,"Total")</f>
        <v>0</v>
      </c>
      <c r="G114" s="171">
        <f>SUMIFS(All_Stats!I:I,All_Stats!$A:$A,$B114,All_Stats!$B:$B,"Overall",All_Stats!$D:$D,"Total")</f>
        <v>0</v>
      </c>
      <c r="H114" s="113">
        <f>SUMIFS(All_Stats!K:K,All_Stats!$A:$A,$B114,All_Stats!$B:$B,"Overall",All_Stats!$D:$D,"Total")</f>
        <v>0</v>
      </c>
      <c r="I114" s="113">
        <f>SUMIFS(All_Stats!J:J,All_Stats!$A:$A,$B114,All_Stats!$B:$B,"Overall",All_Stats!$D:$D,"Total")</f>
        <v>0</v>
      </c>
      <c r="J114" s="113">
        <f t="shared" si="3"/>
        <v>99</v>
      </c>
      <c r="K114" s="249" t="s">
        <v>57</v>
      </c>
      <c r="L114" s="245">
        <v>44456.0</v>
      </c>
      <c r="M114" s="245">
        <v>44475.0</v>
      </c>
      <c r="N114" s="324" t="s">
        <v>838</v>
      </c>
      <c r="O114" s="310">
        <f t="shared" si="6"/>
        <v>84.64285714</v>
      </c>
      <c r="P114" s="311">
        <f t="shared" ref="P114:Q114" si="117">F114/D114</f>
        <v>0</v>
      </c>
      <c r="Q114" s="325" t="str">
        <f t="shared" si="117"/>
        <v>#DIV/0!</v>
      </c>
      <c r="R114" s="311">
        <f t="shared" si="8"/>
        <v>0</v>
      </c>
      <c r="S114" s="300" t="str">
        <f t="shared" si="112"/>
        <v>Closed</v>
      </c>
      <c r="T114" s="2" t="s">
        <v>67</v>
      </c>
      <c r="U114" s="162" t="s">
        <v>611</v>
      </c>
      <c r="V114" s="113">
        <f>COUNTIFS('Delivery Tracking'!E:E,B114)</f>
        <v>0</v>
      </c>
      <c r="W114" s="113">
        <f>SUMIFS(All_Stats!N:N,All_Stats!$A:$A,$B114,All_Stats!$B:$B,"Overall",All_Stats!$D:$D,"Total")</f>
        <v>0</v>
      </c>
      <c r="X114" s="323">
        <v>44574.0</v>
      </c>
      <c r="Y114" s="329"/>
      <c r="Z114" s="326"/>
    </row>
    <row r="115" hidden="1">
      <c r="A115" s="352" t="s">
        <v>839</v>
      </c>
      <c r="B115" s="175" t="s">
        <v>840</v>
      </c>
      <c r="C115" s="184"/>
      <c r="D115" s="193">
        <v>56.0</v>
      </c>
      <c r="E115" s="171">
        <f>SUMIFS(All_Stats!G:G,All_Stats!$A:$A,$B115,All_Stats!$B:$B,"Overall",All_Stats!$D:$D,"Total")</f>
        <v>0</v>
      </c>
      <c r="F115" s="113">
        <f>SUMIFS(All_Stats!H:H,All_Stats!$A:$A,$B115,All_Stats!$B:$B,"Overall",All_Stats!$D:$D,"Total")</f>
        <v>0</v>
      </c>
      <c r="G115" s="171">
        <f>SUMIFS(All_Stats!I:I,All_Stats!$A:$A,$B115,All_Stats!$B:$B,"Overall",All_Stats!$D:$D,"Total")</f>
        <v>0</v>
      </c>
      <c r="H115" s="113">
        <f>SUMIFS(All_Stats!K:K,All_Stats!$A:$A,$B115,All_Stats!$B:$B,"Overall",All_Stats!$D:$D,"Total")</f>
        <v>0</v>
      </c>
      <c r="I115" s="113">
        <f>SUMIFS(All_Stats!J:J,All_Stats!$A:$A,$B115,All_Stats!$B:$B,"Overall",All_Stats!$D:$D,"Total")</f>
        <v>0</v>
      </c>
      <c r="J115" s="113">
        <f t="shared" si="3"/>
        <v>56</v>
      </c>
      <c r="K115" s="249" t="s">
        <v>57</v>
      </c>
      <c r="L115" s="323">
        <v>44410.0</v>
      </c>
      <c r="M115" s="245">
        <v>44470.0</v>
      </c>
      <c r="N115" s="324"/>
      <c r="O115" s="310">
        <f t="shared" si="6"/>
        <v>27.08888889</v>
      </c>
      <c r="P115" s="311">
        <f t="shared" ref="P115:Q115" si="118">F115/D115</f>
        <v>0</v>
      </c>
      <c r="Q115" s="325" t="str">
        <f t="shared" si="118"/>
        <v>#DIV/0!</v>
      </c>
      <c r="R115" s="311">
        <f t="shared" si="8"/>
        <v>0</v>
      </c>
      <c r="S115" s="300" t="str">
        <f t="shared" si="112"/>
        <v>Closed</v>
      </c>
      <c r="T115" s="2" t="s">
        <v>153</v>
      </c>
      <c r="U115" s="385" t="s">
        <v>611</v>
      </c>
      <c r="V115" s="113">
        <f>COUNTIFS('Delivery Tracking'!E:E,B115)</f>
        <v>0</v>
      </c>
      <c r="W115" s="113">
        <f>SUMIFS(All_Stats!N:N,All_Stats!$A:$A,$B115,All_Stats!$B:$B,"Overall",All_Stats!$D:$D,"Total")</f>
        <v>0</v>
      </c>
      <c r="X115" s="323">
        <v>44575.0</v>
      </c>
      <c r="Y115" s="329"/>
      <c r="Z115" s="326"/>
    </row>
    <row r="116" hidden="1">
      <c r="A116" s="367" t="s">
        <v>637</v>
      </c>
      <c r="B116" s="368" t="s">
        <v>841</v>
      </c>
      <c r="C116" s="394"/>
      <c r="D116" s="193">
        <v>20.0</v>
      </c>
      <c r="E116" s="171">
        <f>SUMIFS(All_Stats!G:G,All_Stats!$A:$A,$B116,All_Stats!$B:$B,"Overall",All_Stats!$D:$D,"Total")</f>
        <v>0</v>
      </c>
      <c r="F116" s="113">
        <f>SUMIFS(All_Stats!H:H,All_Stats!$A:$A,$B116,All_Stats!$B:$B,"Overall",All_Stats!$D:$D,"Total")</f>
        <v>0</v>
      </c>
      <c r="G116" s="171">
        <f>SUMIFS(All_Stats!I:I,All_Stats!$A:$A,$B116,All_Stats!$B:$B,"Overall",All_Stats!$D:$D,"Total")</f>
        <v>0</v>
      </c>
      <c r="H116" s="113">
        <f>SUMIFS(All_Stats!K:K,All_Stats!$A:$A,$B116,All_Stats!$B:$B,"Overall",All_Stats!$D:$D,"Total")</f>
        <v>0</v>
      </c>
      <c r="I116" s="113">
        <f>SUMIFS(All_Stats!J:J,All_Stats!$A:$A,$B116,All_Stats!$B:$B,"Overall",All_Stats!$D:$D,"Total")</f>
        <v>0</v>
      </c>
      <c r="J116" s="113">
        <f t="shared" si="3"/>
        <v>20</v>
      </c>
      <c r="K116" s="249" t="s">
        <v>57</v>
      </c>
      <c r="L116" s="245">
        <v>44398.0</v>
      </c>
      <c r="M116" s="332">
        <v>44407.0</v>
      </c>
      <c r="O116" s="310">
        <f t="shared" si="6"/>
        <v>153.375</v>
      </c>
      <c r="P116" s="311">
        <f t="shared" ref="P116:Q116" si="119">F116/D116</f>
        <v>0</v>
      </c>
      <c r="Q116" s="325" t="str">
        <f t="shared" si="119"/>
        <v>#DIV/0!</v>
      </c>
      <c r="R116" s="311">
        <f t="shared" si="8"/>
        <v>0</v>
      </c>
      <c r="S116" s="300" t="str">
        <f t="shared" si="112"/>
        <v>Closed</v>
      </c>
      <c r="T116" s="2" t="s">
        <v>166</v>
      </c>
      <c r="U116" s="162" t="s">
        <v>611</v>
      </c>
      <c r="V116" s="113">
        <f>COUNTIFS('Delivery Tracking'!E:E,B116)</f>
        <v>0</v>
      </c>
      <c r="W116" s="113">
        <f>SUMIFS(All_Stats!N:N,All_Stats!$A:$A,$B116,All_Stats!$B:$B,"Overall",All_Stats!$D:$D,"Total")</f>
        <v>0</v>
      </c>
      <c r="X116" s="323">
        <v>44576.0</v>
      </c>
      <c r="Y116" s="329"/>
      <c r="Z116" s="326"/>
    </row>
    <row r="117" hidden="1">
      <c r="A117" s="352" t="s">
        <v>842</v>
      </c>
      <c r="B117" s="342" t="s">
        <v>843</v>
      </c>
      <c r="C117" s="306"/>
      <c r="D117" s="193">
        <v>57.0</v>
      </c>
      <c r="E117" s="171">
        <f>SUMIFS(All_Stats!G:G,All_Stats!$A:$A,$B117,All_Stats!$B:$B,"Overall",All_Stats!$D:$D,"Total")</f>
        <v>0</v>
      </c>
      <c r="F117" s="113">
        <f>SUMIFS(All_Stats!H:H,All_Stats!$A:$A,$B117,All_Stats!$B:$B,"Overall",All_Stats!$D:$D,"Total")</f>
        <v>0</v>
      </c>
      <c r="G117" s="171">
        <f>SUMIFS(All_Stats!I:I,All_Stats!$A:$A,$B117,All_Stats!$B:$B,"Overall",All_Stats!$D:$D,"Total")</f>
        <v>0</v>
      </c>
      <c r="H117" s="113">
        <f>SUMIFS(All_Stats!K:K,All_Stats!$A:$A,$B117,All_Stats!$B:$B,"Overall",All_Stats!$D:$D,"Total")</f>
        <v>0</v>
      </c>
      <c r="I117" s="113">
        <f>SUMIFS(All_Stats!J:J,All_Stats!$A:$A,$B117,All_Stats!$B:$B,"Overall",All_Stats!$D:$D,"Total")</f>
        <v>0</v>
      </c>
      <c r="J117" s="113">
        <f t="shared" si="3"/>
        <v>57</v>
      </c>
      <c r="K117" s="249" t="s">
        <v>57</v>
      </c>
      <c r="L117" s="245">
        <v>44421.0</v>
      </c>
      <c r="M117" s="245">
        <v>44475.0</v>
      </c>
      <c r="N117" s="2" t="s">
        <v>844</v>
      </c>
      <c r="O117" s="310">
        <f t="shared" si="6"/>
        <v>31.02564103</v>
      </c>
      <c r="P117" s="311">
        <f t="shared" ref="P117:Q117" si="120">F117/D117</f>
        <v>0</v>
      </c>
      <c r="Q117" s="325" t="str">
        <f t="shared" si="120"/>
        <v>#DIV/0!</v>
      </c>
      <c r="R117" s="311">
        <f t="shared" si="8"/>
        <v>0</v>
      </c>
      <c r="S117" s="300" t="str">
        <f t="shared" si="112"/>
        <v>Closed</v>
      </c>
      <c r="T117" s="2" t="s">
        <v>153</v>
      </c>
      <c r="U117" s="385" t="s">
        <v>611</v>
      </c>
      <c r="V117" s="113">
        <f>COUNTIFS('Delivery Tracking'!E:E,B117)</f>
        <v>0</v>
      </c>
      <c r="W117" s="113">
        <f>SUMIFS(All_Stats!N:N,All_Stats!$A:$A,$B117,All_Stats!$B:$B,"Overall",All_Stats!$D:$D,"Total")</f>
        <v>0</v>
      </c>
      <c r="X117" s="323">
        <v>44577.0</v>
      </c>
      <c r="Y117" s="329"/>
      <c r="Z117" s="326"/>
    </row>
    <row r="118" hidden="1">
      <c r="A118" s="334" t="s">
        <v>845</v>
      </c>
      <c r="B118" s="335" t="s">
        <v>846</v>
      </c>
      <c r="C118" s="395"/>
      <c r="D118" s="193">
        <v>50.0</v>
      </c>
      <c r="E118" s="171">
        <f>SUMIFS(All_Stats!G:G,All_Stats!$A:$A,$B118,All_Stats!$B:$B,"Overall",All_Stats!$D:$D,"Total")</f>
        <v>0</v>
      </c>
      <c r="F118" s="113">
        <f>SUMIFS(All_Stats!H:H,All_Stats!$A:$A,$B118,All_Stats!$B:$B,"Overall",All_Stats!$D:$D,"Total")</f>
        <v>0</v>
      </c>
      <c r="G118" s="171">
        <f>SUMIFS(All_Stats!I:I,All_Stats!$A:$A,$B118,All_Stats!$B:$B,"Overall",All_Stats!$D:$D,"Total")</f>
        <v>0</v>
      </c>
      <c r="H118" s="113">
        <f>SUMIFS(All_Stats!K:K,All_Stats!$A:$A,$B118,All_Stats!$B:$B,"Overall",All_Stats!$D:$D,"Total")</f>
        <v>0</v>
      </c>
      <c r="I118" s="113">
        <f>SUMIFS(All_Stats!J:J,All_Stats!$A:$A,$B118,All_Stats!$B:$B,"Overall",All_Stats!$D:$D,"Total")</f>
        <v>0</v>
      </c>
      <c r="J118" s="113">
        <f t="shared" si="3"/>
        <v>50</v>
      </c>
      <c r="K118" s="249" t="s">
        <v>649</v>
      </c>
      <c r="L118" s="323">
        <v>44454.0</v>
      </c>
      <c r="M118" s="245">
        <v>44466.0</v>
      </c>
      <c r="O118" s="310">
        <f t="shared" si="6"/>
        <v>131.8888889</v>
      </c>
      <c r="P118" s="311">
        <f t="shared" ref="P118:Q118" si="121">F118/D118</f>
        <v>0</v>
      </c>
      <c r="Q118" s="325" t="str">
        <f t="shared" si="121"/>
        <v>#DIV/0!</v>
      </c>
      <c r="R118" s="311">
        <f t="shared" si="8"/>
        <v>0</v>
      </c>
      <c r="S118" s="249" t="s">
        <v>649</v>
      </c>
      <c r="T118" s="2" t="s">
        <v>67</v>
      </c>
      <c r="U118" s="162" t="s">
        <v>611</v>
      </c>
      <c r="V118" s="113">
        <f>COUNTIFS('Delivery Tracking'!E:E,B118)</f>
        <v>0</v>
      </c>
      <c r="W118" s="113">
        <f>SUMIFS(All_Stats!N:N,All_Stats!$A:$A,$B118,All_Stats!$B:$B,"Overall",All_Stats!$D:$D,"Total")</f>
        <v>0</v>
      </c>
      <c r="X118" s="323">
        <v>44578.0</v>
      </c>
      <c r="Y118" s="329"/>
      <c r="Z118" s="326"/>
    </row>
    <row r="119" hidden="1">
      <c r="A119" s="365" t="s">
        <v>847</v>
      </c>
      <c r="B119" s="396" t="s">
        <v>848</v>
      </c>
      <c r="C119" s="184"/>
      <c r="D119" s="193">
        <v>87.0</v>
      </c>
      <c r="E119" s="171">
        <f>SUMIFS(All_Stats!G:G,All_Stats!$A:$A,$B119,All_Stats!$B:$B,"Overall",All_Stats!$D:$D,"Total")</f>
        <v>0</v>
      </c>
      <c r="F119" s="113">
        <f>SUMIFS(All_Stats!H:H,All_Stats!$A:$A,$B119,All_Stats!$B:$B,"Overall",All_Stats!$D:$D,"Total")</f>
        <v>0</v>
      </c>
      <c r="G119" s="171">
        <f>SUMIFS(All_Stats!I:I,All_Stats!$A:$A,$B119,All_Stats!$B:$B,"Overall",All_Stats!$D:$D,"Total")</f>
        <v>0</v>
      </c>
      <c r="H119" s="113">
        <f>SUMIFS(All_Stats!K:K,All_Stats!$A:$A,$B119,All_Stats!$B:$B,"Overall",All_Stats!$D:$D,"Total")</f>
        <v>0</v>
      </c>
      <c r="I119" s="113">
        <f>SUMIFS(All_Stats!J:J,All_Stats!$A:$A,$B119,All_Stats!$B:$B,"Overall",All_Stats!$D:$D,"Total")</f>
        <v>0</v>
      </c>
      <c r="J119" s="113">
        <f t="shared" si="3"/>
        <v>87</v>
      </c>
      <c r="K119" s="249" t="s">
        <v>57</v>
      </c>
      <c r="L119" s="356">
        <v>44355.0</v>
      </c>
      <c r="M119" s="245">
        <v>44526.0</v>
      </c>
      <c r="O119" s="310">
        <f t="shared" si="6"/>
        <v>10.14516129</v>
      </c>
      <c r="P119" s="311">
        <f t="shared" ref="P119:Q119" si="122">F119/D119</f>
        <v>0</v>
      </c>
      <c r="Q119" s="325" t="str">
        <f t="shared" si="122"/>
        <v>#DIV/0!</v>
      </c>
      <c r="R119" s="311">
        <f t="shared" si="8"/>
        <v>0</v>
      </c>
      <c r="S119" s="300" t="str">
        <f t="shared" ref="S119:S189" si="124">iferror(ifs(
K119="Closed","Closed",
K119="Paused","Paused",
UPPER(X119)="N/A","PRE",
X119="","N/A",
(_xlfn.NETWORKDAYS.INTL(X119,D$2)-1)/_xlfn.NETWORKDAYS.INTL(X119,M119)&lt;S$2,"PRE",
F119=0,"Underpacing",
O119-(F119+H119*(G119/(G119+F119)))/D119&gt;0.2,"Underpacing",
O119-(F119+H119*(G119/(G119+F119)))/D119&lt;=0.2,"On track")
,"N/A")</f>
        <v>Closed</v>
      </c>
      <c r="T119" s="2" t="s">
        <v>153</v>
      </c>
      <c r="U119" s="162" t="s">
        <v>611</v>
      </c>
      <c r="V119" s="113">
        <f>COUNTIFS('Delivery Tracking'!E:E,B119)</f>
        <v>0</v>
      </c>
      <c r="W119" s="113">
        <f>SUMIFS(All_Stats!N:N,All_Stats!$A:$A,$B119,All_Stats!$B:$B,"Overall",All_Stats!$D:$D,"Total")</f>
        <v>0</v>
      </c>
      <c r="X119" s="323">
        <v>44579.0</v>
      </c>
      <c r="Y119" s="329"/>
      <c r="Z119" s="326"/>
    </row>
    <row r="120" hidden="1">
      <c r="A120" s="338" t="s">
        <v>849</v>
      </c>
      <c r="B120" s="396" t="s">
        <v>850</v>
      </c>
      <c r="C120" s="306"/>
      <c r="D120" s="193">
        <v>321.0</v>
      </c>
      <c r="E120" s="171">
        <f>SUMIFS(All_Stats!G:G,All_Stats!$A:$A,$B120,All_Stats!$B:$B,"Overall",All_Stats!$D:$D,"Total")</f>
        <v>0</v>
      </c>
      <c r="F120" s="113">
        <f>SUMIFS(All_Stats!H:H,All_Stats!$A:$A,$B120,All_Stats!$B:$B,"Overall",All_Stats!$D:$D,"Total")</f>
        <v>0</v>
      </c>
      <c r="G120" s="171">
        <f>SUMIFS(All_Stats!I:I,All_Stats!$A:$A,$B120,All_Stats!$B:$B,"Overall",All_Stats!$D:$D,"Total")</f>
        <v>0</v>
      </c>
      <c r="H120" s="113">
        <f>SUMIFS(All_Stats!K:K,All_Stats!$A:$A,$B120,All_Stats!$B:$B,"Overall",All_Stats!$D:$D,"Total")</f>
        <v>0</v>
      </c>
      <c r="I120" s="113">
        <f>SUMIFS(All_Stats!J:J,All_Stats!$A:$A,$B120,All_Stats!$B:$B,"Overall",All_Stats!$D:$D,"Total")</f>
        <v>0</v>
      </c>
      <c r="J120" s="113">
        <f t="shared" si="3"/>
        <v>321</v>
      </c>
      <c r="K120" s="249" t="s">
        <v>57</v>
      </c>
      <c r="L120" s="356">
        <v>44355.0</v>
      </c>
      <c r="M120" s="245">
        <v>44439.0</v>
      </c>
      <c r="O120" s="310">
        <f t="shared" si="6"/>
        <v>20.62295082</v>
      </c>
      <c r="P120" s="311">
        <f t="shared" ref="P120:Q120" si="123">F120/D120</f>
        <v>0</v>
      </c>
      <c r="Q120" s="325" t="str">
        <f t="shared" si="123"/>
        <v>#DIV/0!</v>
      </c>
      <c r="R120" s="311">
        <f t="shared" si="8"/>
        <v>0</v>
      </c>
      <c r="S120" s="300" t="str">
        <f t="shared" si="124"/>
        <v>Closed</v>
      </c>
      <c r="T120" s="2" t="s">
        <v>153</v>
      </c>
      <c r="U120" s="162" t="s">
        <v>611</v>
      </c>
      <c r="V120" s="113">
        <f>COUNTIFS('Delivery Tracking'!E:E,B120)</f>
        <v>0</v>
      </c>
      <c r="W120" s="113">
        <f>SUMIFS(All_Stats!N:N,All_Stats!$A:$A,$B120,All_Stats!$B:$B,"Overall",All_Stats!$D:$D,"Total")</f>
        <v>0</v>
      </c>
      <c r="X120" s="323">
        <v>44580.0</v>
      </c>
      <c r="Y120" s="329"/>
      <c r="Z120" s="326"/>
    </row>
    <row r="121" hidden="1">
      <c r="A121" s="330" t="s">
        <v>763</v>
      </c>
      <c r="B121" s="341" t="s">
        <v>851</v>
      </c>
      <c r="C121" s="384"/>
      <c r="D121" s="193">
        <v>178.0</v>
      </c>
      <c r="E121" s="171">
        <f>SUMIFS(All_Stats!G:G,All_Stats!$A:$A,$B121,All_Stats!$B:$B,"Overall",All_Stats!$D:$D,"Total")</f>
        <v>0</v>
      </c>
      <c r="F121" s="113">
        <f>SUMIFS(All_Stats!H:H,All_Stats!$A:$A,$B121,All_Stats!$B:$B,"Overall",All_Stats!$D:$D,"Total")</f>
        <v>0</v>
      </c>
      <c r="G121" s="171">
        <f>SUMIFS(All_Stats!I:I,All_Stats!$A:$A,$B121,All_Stats!$B:$B,"Overall",All_Stats!$D:$D,"Total")</f>
        <v>0</v>
      </c>
      <c r="H121" s="113">
        <f>SUMIFS(All_Stats!K:K,All_Stats!$A:$A,$B121,All_Stats!$B:$B,"Overall",All_Stats!$D:$D,"Total")</f>
        <v>0</v>
      </c>
      <c r="I121" s="113">
        <f>SUMIFS(All_Stats!J:J,All_Stats!$A:$A,$B121,All_Stats!$B:$B,"Overall",All_Stats!$D:$D,"Total")</f>
        <v>0</v>
      </c>
      <c r="J121" s="113">
        <f t="shared" si="3"/>
        <v>178</v>
      </c>
      <c r="K121" s="249" t="s">
        <v>57</v>
      </c>
      <c r="L121" s="245">
        <v>44421.0</v>
      </c>
      <c r="M121" s="245">
        <v>44475.0</v>
      </c>
      <c r="N121" s="324" t="s">
        <v>852</v>
      </c>
      <c r="O121" s="310">
        <f t="shared" si="6"/>
        <v>31.02564103</v>
      </c>
      <c r="P121" s="311">
        <f t="shared" ref="P121:Q121" si="125">F121/D121</f>
        <v>0</v>
      </c>
      <c r="Q121" s="325" t="str">
        <f t="shared" si="125"/>
        <v>#DIV/0!</v>
      </c>
      <c r="R121" s="311">
        <f t="shared" si="8"/>
        <v>0</v>
      </c>
      <c r="S121" s="300" t="str">
        <f t="shared" si="124"/>
        <v>Closed</v>
      </c>
      <c r="T121" s="2" t="s">
        <v>153</v>
      </c>
      <c r="U121" s="162" t="s">
        <v>611</v>
      </c>
      <c r="V121" s="113">
        <f>COUNTIFS('Delivery Tracking'!E:E,B121)</f>
        <v>0</v>
      </c>
      <c r="W121" s="113">
        <f>SUMIFS(All_Stats!N:N,All_Stats!$A:$A,$B121,All_Stats!$B:$B,"Overall",All_Stats!$D:$D,"Total")</f>
        <v>0</v>
      </c>
      <c r="X121" s="323">
        <v>44581.0</v>
      </c>
      <c r="Y121" s="329"/>
      <c r="Z121" s="326"/>
    </row>
    <row r="122" hidden="1">
      <c r="A122" s="327" t="s">
        <v>718</v>
      </c>
      <c r="B122" s="361" t="s">
        <v>853</v>
      </c>
      <c r="C122" s="184"/>
      <c r="D122" s="193">
        <v>81.0</v>
      </c>
      <c r="E122" s="171">
        <f>SUMIFS(All_Stats!G:G,All_Stats!$A:$A,$B122,All_Stats!$B:$B,"Overall",All_Stats!$D:$D,"Total")</f>
        <v>0</v>
      </c>
      <c r="F122" s="113">
        <f>SUMIFS(All_Stats!H:H,All_Stats!$A:$A,$B122,All_Stats!$B:$B,"Overall",All_Stats!$D:$D,"Total")</f>
        <v>0</v>
      </c>
      <c r="G122" s="171">
        <f>SUMIFS(All_Stats!I:I,All_Stats!$A:$A,$B122,All_Stats!$B:$B,"Overall",All_Stats!$D:$D,"Total")</f>
        <v>0</v>
      </c>
      <c r="H122" s="113">
        <f>SUMIFS(All_Stats!K:K,All_Stats!$A:$A,$B122,All_Stats!$B:$B,"Overall",All_Stats!$D:$D,"Total")</f>
        <v>0</v>
      </c>
      <c r="I122" s="113">
        <f>SUMIFS(All_Stats!J:J,All_Stats!$A:$A,$B122,All_Stats!$B:$B,"Overall",All_Stats!$D:$D,"Total")</f>
        <v>0</v>
      </c>
      <c r="J122" s="113">
        <f t="shared" si="3"/>
        <v>81</v>
      </c>
      <c r="K122" s="249" t="s">
        <v>57</v>
      </c>
      <c r="L122" s="245">
        <v>44446.0</v>
      </c>
      <c r="M122" s="245">
        <v>44497.0</v>
      </c>
      <c r="N122" s="2"/>
      <c r="O122" s="310">
        <f t="shared" si="6"/>
        <v>31.39473684</v>
      </c>
      <c r="P122" s="311">
        <f t="shared" ref="P122:Q122" si="126">F122/D122</f>
        <v>0</v>
      </c>
      <c r="Q122" s="325" t="str">
        <f t="shared" si="126"/>
        <v>#DIV/0!</v>
      </c>
      <c r="R122" s="311">
        <f t="shared" si="8"/>
        <v>0</v>
      </c>
      <c r="S122" s="300" t="str">
        <f t="shared" si="124"/>
        <v>Closed</v>
      </c>
      <c r="T122" s="2" t="s">
        <v>166</v>
      </c>
      <c r="U122" s="162" t="s">
        <v>611</v>
      </c>
      <c r="V122" s="113">
        <f>COUNTIFS('Delivery Tracking'!E:E,B122)</f>
        <v>0</v>
      </c>
      <c r="W122" s="113">
        <f>SUMIFS(All_Stats!N:N,All_Stats!$A:$A,$B122,All_Stats!$B:$B,"Overall",All_Stats!$D:$D,"Total")</f>
        <v>0</v>
      </c>
      <c r="X122" s="323">
        <v>44582.0</v>
      </c>
      <c r="Y122" s="329"/>
      <c r="Z122" s="326"/>
    </row>
    <row r="123" hidden="1">
      <c r="A123" s="344" t="s">
        <v>690</v>
      </c>
      <c r="B123" s="341" t="s">
        <v>854</v>
      </c>
      <c r="C123" s="394"/>
      <c r="D123" s="193">
        <v>200.0</v>
      </c>
      <c r="E123" s="171">
        <f>SUMIFS(All_Stats!G:G,All_Stats!$A:$A,$B123,All_Stats!$B:$B,"Overall",All_Stats!$D:$D,"Total")</f>
        <v>0</v>
      </c>
      <c r="F123" s="113">
        <f>SUMIFS(All_Stats!H:H,All_Stats!$A:$A,$B123,All_Stats!$B:$B,"Overall",All_Stats!$D:$D,"Total")</f>
        <v>0</v>
      </c>
      <c r="G123" s="171">
        <f>SUMIFS(All_Stats!I:I,All_Stats!$A:$A,$B123,All_Stats!$B:$B,"Overall",All_Stats!$D:$D,"Total")</f>
        <v>0</v>
      </c>
      <c r="H123" s="113">
        <f>SUMIFS(All_Stats!K:K,All_Stats!$A:$A,$B123,All_Stats!$B:$B,"Overall",All_Stats!$D:$D,"Total")</f>
        <v>0</v>
      </c>
      <c r="I123" s="113">
        <f>SUMIFS(All_Stats!J:J,All_Stats!$A:$A,$B123,All_Stats!$B:$B,"Overall",All_Stats!$D:$D,"Total")</f>
        <v>0</v>
      </c>
      <c r="J123" s="113">
        <f t="shared" si="3"/>
        <v>200</v>
      </c>
      <c r="K123" s="249" t="s">
        <v>57</v>
      </c>
      <c r="L123" s="397">
        <v>44399.0</v>
      </c>
      <c r="M123" s="245">
        <v>44473.0</v>
      </c>
      <c r="N123" s="398"/>
      <c r="O123" s="310">
        <f t="shared" si="6"/>
        <v>23.13207547</v>
      </c>
      <c r="P123" s="311">
        <f t="shared" ref="P123:Q123" si="127">F123/D123</f>
        <v>0</v>
      </c>
      <c r="Q123" s="325" t="str">
        <f t="shared" si="127"/>
        <v>#DIV/0!</v>
      </c>
      <c r="R123" s="311">
        <f t="shared" si="8"/>
        <v>0</v>
      </c>
      <c r="S123" s="300" t="str">
        <f t="shared" si="124"/>
        <v>Closed</v>
      </c>
      <c r="T123" s="2" t="s">
        <v>293</v>
      </c>
      <c r="U123" s="162" t="s">
        <v>611</v>
      </c>
      <c r="V123" s="113">
        <f>COUNTIFS('Delivery Tracking'!E:E,B123)</f>
        <v>0</v>
      </c>
      <c r="W123" s="113">
        <f>SUMIFS(All_Stats!N:N,All_Stats!$A:$A,$B123,All_Stats!$B:$B,"Overall",All_Stats!$D:$D,"Total")</f>
        <v>0</v>
      </c>
      <c r="X123" s="323">
        <v>44583.0</v>
      </c>
      <c r="Y123" s="329"/>
      <c r="Z123" s="326"/>
    </row>
    <row r="124" hidden="1">
      <c r="A124" s="334" t="s">
        <v>855</v>
      </c>
      <c r="B124" s="335" t="s">
        <v>856</v>
      </c>
      <c r="C124" s="184"/>
      <c r="D124" s="193">
        <v>26.0</v>
      </c>
      <c r="E124" s="171">
        <f>SUMIFS(All_Stats!G:G,All_Stats!$A:$A,$B124,All_Stats!$B:$B,"Overall",All_Stats!$D:$D,"Total")</f>
        <v>0</v>
      </c>
      <c r="F124" s="113">
        <f>SUMIFS(All_Stats!H:H,All_Stats!$A:$A,$B124,All_Stats!$B:$B,"Overall",All_Stats!$D:$D,"Total")</f>
        <v>0</v>
      </c>
      <c r="G124" s="171">
        <f>SUMIFS(All_Stats!I:I,All_Stats!$A:$A,$B124,All_Stats!$B:$B,"Overall",All_Stats!$D:$D,"Total")</f>
        <v>0</v>
      </c>
      <c r="H124" s="113">
        <f>SUMIFS(All_Stats!K:K,All_Stats!$A:$A,$B124,All_Stats!$B:$B,"Overall",All_Stats!$D:$D,"Total")</f>
        <v>0</v>
      </c>
      <c r="I124" s="113">
        <f>SUMIFS(All_Stats!J:J,All_Stats!$A:$A,$B124,All_Stats!$B:$B,"Overall",All_Stats!$D:$D,"Total")</f>
        <v>0</v>
      </c>
      <c r="J124" s="113">
        <f t="shared" si="3"/>
        <v>26</v>
      </c>
      <c r="K124" s="249" t="s">
        <v>57</v>
      </c>
      <c r="L124" s="245">
        <v>44463.0</v>
      </c>
      <c r="M124" s="245">
        <v>44473.0</v>
      </c>
      <c r="O124" s="310">
        <f t="shared" si="6"/>
        <v>168.5714286</v>
      </c>
      <c r="P124" s="311">
        <f t="shared" ref="P124:Q124" si="128">F124/D124</f>
        <v>0</v>
      </c>
      <c r="Q124" s="325" t="str">
        <f t="shared" si="128"/>
        <v>#DIV/0!</v>
      </c>
      <c r="R124" s="311">
        <f t="shared" si="8"/>
        <v>0</v>
      </c>
      <c r="S124" s="300" t="str">
        <f t="shared" si="124"/>
        <v>Closed</v>
      </c>
      <c r="T124" s="2" t="s">
        <v>67</v>
      </c>
      <c r="U124" s="162" t="s">
        <v>611</v>
      </c>
      <c r="V124" s="113">
        <f>COUNTIFS('Delivery Tracking'!E:E,B124)</f>
        <v>0</v>
      </c>
      <c r="W124" s="113">
        <f>SUMIFS(All_Stats!N:N,All_Stats!$A:$A,$B124,All_Stats!$B:$B,"Overall",All_Stats!$D:$D,"Total")</f>
        <v>0</v>
      </c>
      <c r="X124" s="323">
        <v>44584.0</v>
      </c>
      <c r="Y124" s="329"/>
      <c r="Z124" s="326"/>
    </row>
    <row r="125" hidden="1">
      <c r="A125" s="330" t="s">
        <v>857</v>
      </c>
      <c r="B125" s="339" t="s">
        <v>858</v>
      </c>
      <c r="C125" s="184"/>
      <c r="D125" s="193">
        <v>86.0</v>
      </c>
      <c r="E125" s="171">
        <f>SUMIFS(All_Stats!G:G,All_Stats!$A:$A,$B125,All_Stats!$B:$B,"Overall",All_Stats!$D:$D,"Total")</f>
        <v>0</v>
      </c>
      <c r="F125" s="113">
        <f>SUMIFS(All_Stats!H:H,All_Stats!$A:$A,$B125,All_Stats!$B:$B,"Overall",All_Stats!$D:$D,"Total")</f>
        <v>0</v>
      </c>
      <c r="G125" s="171">
        <f>SUMIFS(All_Stats!I:I,All_Stats!$A:$A,$B125,All_Stats!$B:$B,"Overall",All_Stats!$D:$D,"Total")</f>
        <v>0</v>
      </c>
      <c r="H125" s="113">
        <f>SUMIFS(All_Stats!K:K,All_Stats!$A:$A,$B125,All_Stats!$B:$B,"Overall",All_Stats!$D:$D,"Total")</f>
        <v>0</v>
      </c>
      <c r="I125" s="113">
        <f>SUMIFS(All_Stats!J:J,All_Stats!$A:$A,$B125,All_Stats!$B:$B,"Overall",All_Stats!$D:$D,"Total")</f>
        <v>0</v>
      </c>
      <c r="J125" s="113">
        <f t="shared" si="3"/>
        <v>86</v>
      </c>
      <c r="K125" s="249" t="s">
        <v>57</v>
      </c>
      <c r="L125" s="245">
        <v>44280.0</v>
      </c>
      <c r="M125" s="245">
        <v>44469.0</v>
      </c>
      <c r="N125" s="333" t="s">
        <v>859</v>
      </c>
      <c r="O125" s="310">
        <f t="shared" si="6"/>
        <v>9.639705882</v>
      </c>
      <c r="P125" s="311">
        <f t="shared" ref="P125:Q125" si="129">F125/D125</f>
        <v>0</v>
      </c>
      <c r="Q125" s="325" t="str">
        <f t="shared" si="129"/>
        <v>#DIV/0!</v>
      </c>
      <c r="R125" s="311">
        <f t="shared" si="8"/>
        <v>0</v>
      </c>
      <c r="S125" s="300" t="str">
        <f t="shared" si="124"/>
        <v>Closed</v>
      </c>
      <c r="T125" s="2" t="s">
        <v>146</v>
      </c>
      <c r="U125" s="162" t="s">
        <v>611</v>
      </c>
      <c r="V125" s="113">
        <f>COUNTIFS('Delivery Tracking'!E:E,B125)</f>
        <v>0</v>
      </c>
      <c r="W125" s="113">
        <f>SUMIFS(All_Stats!N:N,All_Stats!$A:$A,$B125,All_Stats!$B:$B,"Overall",All_Stats!$D:$D,"Total")</f>
        <v>0</v>
      </c>
      <c r="X125" s="323">
        <v>44585.0</v>
      </c>
      <c r="Y125" s="329"/>
      <c r="Z125" s="326"/>
    </row>
    <row r="126" hidden="1">
      <c r="A126" s="327" t="s">
        <v>752</v>
      </c>
      <c r="B126" s="341" t="s">
        <v>860</v>
      </c>
      <c r="C126" s="184"/>
      <c r="D126" s="193">
        <v>10.0</v>
      </c>
      <c r="E126" s="171">
        <f>SUMIFS(All_Stats!G:G,All_Stats!$A:$A,$B126,All_Stats!$B:$B,"Overall",All_Stats!$D:$D,"Total")</f>
        <v>0</v>
      </c>
      <c r="F126" s="113">
        <f>SUMIFS(All_Stats!H:H,All_Stats!$A:$A,$B126,All_Stats!$B:$B,"Overall",All_Stats!$D:$D,"Total")</f>
        <v>0</v>
      </c>
      <c r="G126" s="171">
        <f>SUMIFS(All_Stats!I:I,All_Stats!$A:$A,$B126,All_Stats!$B:$B,"Overall",All_Stats!$D:$D,"Total")</f>
        <v>0</v>
      </c>
      <c r="H126" s="113">
        <f>SUMIFS(All_Stats!K:K,All_Stats!$A:$A,$B126,All_Stats!$B:$B,"Overall",All_Stats!$D:$D,"Total")</f>
        <v>0</v>
      </c>
      <c r="I126" s="113">
        <f>SUMIFS(All_Stats!J:J,All_Stats!$A:$A,$B126,All_Stats!$B:$B,"Overall",All_Stats!$D:$D,"Total")</f>
        <v>0</v>
      </c>
      <c r="J126" s="113">
        <f t="shared" si="3"/>
        <v>10</v>
      </c>
      <c r="K126" s="249" t="s">
        <v>57</v>
      </c>
      <c r="L126" s="245">
        <v>44449.0</v>
      </c>
      <c r="M126" s="245">
        <v>44469.0</v>
      </c>
      <c r="O126" s="310">
        <f t="shared" si="6"/>
        <v>79.33333333</v>
      </c>
      <c r="P126" s="311">
        <f t="shared" ref="P126:Q126" si="130">F126/D126</f>
        <v>0</v>
      </c>
      <c r="Q126" s="325" t="str">
        <f t="shared" si="130"/>
        <v>#DIV/0!</v>
      </c>
      <c r="R126" s="311">
        <f t="shared" si="8"/>
        <v>0</v>
      </c>
      <c r="S126" s="300" t="str">
        <f t="shared" si="124"/>
        <v>Closed</v>
      </c>
      <c r="T126" s="2" t="s">
        <v>184</v>
      </c>
      <c r="U126" s="162" t="s">
        <v>611</v>
      </c>
      <c r="V126" s="113">
        <f>COUNTIFS('Delivery Tracking'!E:E,B126)</f>
        <v>0</v>
      </c>
      <c r="W126" s="113">
        <f>SUMIFS(All_Stats!N:N,All_Stats!$A:$A,$B126,All_Stats!$B:$B,"Overall",All_Stats!$D:$D,"Total")</f>
        <v>0</v>
      </c>
      <c r="X126" s="323">
        <v>44586.0</v>
      </c>
      <c r="Y126" s="329"/>
      <c r="Z126" s="326"/>
    </row>
    <row r="127" hidden="1">
      <c r="A127" s="330" t="s">
        <v>787</v>
      </c>
      <c r="B127" s="383" t="s">
        <v>861</v>
      </c>
      <c r="C127" s="184"/>
      <c r="D127" s="193">
        <v>186.0</v>
      </c>
      <c r="E127" s="171">
        <f>SUMIFS(All_Stats!G:G,All_Stats!$A:$A,$B127,All_Stats!$B:$B,"Overall",All_Stats!$D:$D,"Total")</f>
        <v>0</v>
      </c>
      <c r="F127" s="113">
        <f>SUMIFS(All_Stats!H:H,All_Stats!$A:$A,$B127,All_Stats!$B:$B,"Overall",All_Stats!$D:$D,"Total")</f>
        <v>0</v>
      </c>
      <c r="G127" s="171">
        <f>SUMIFS(All_Stats!I:I,All_Stats!$A:$A,$B127,All_Stats!$B:$B,"Overall",All_Stats!$D:$D,"Total")</f>
        <v>0</v>
      </c>
      <c r="H127" s="113">
        <f>SUMIFS(All_Stats!K:K,All_Stats!$A:$A,$B127,All_Stats!$B:$B,"Overall",All_Stats!$D:$D,"Total")</f>
        <v>0</v>
      </c>
      <c r="I127" s="113">
        <f>SUMIFS(All_Stats!J:J,All_Stats!$A:$A,$B127,All_Stats!$B:$B,"Overall",All_Stats!$D:$D,"Total")</f>
        <v>0</v>
      </c>
      <c r="J127" s="113">
        <f t="shared" si="3"/>
        <v>186</v>
      </c>
      <c r="K127" s="249" t="s">
        <v>57</v>
      </c>
      <c r="L127" s="356">
        <v>44413.0</v>
      </c>
      <c r="M127" s="245">
        <v>44469.0</v>
      </c>
      <c r="O127" s="310">
        <f t="shared" si="6"/>
        <v>29.65853659</v>
      </c>
      <c r="P127" s="311">
        <f t="shared" ref="P127:Q127" si="131">F127/D127</f>
        <v>0</v>
      </c>
      <c r="Q127" s="325" t="str">
        <f t="shared" si="131"/>
        <v>#DIV/0!</v>
      </c>
      <c r="R127" s="311">
        <f t="shared" si="8"/>
        <v>0</v>
      </c>
      <c r="S127" s="300" t="str">
        <f t="shared" si="124"/>
        <v>Closed</v>
      </c>
      <c r="T127" s="2" t="s">
        <v>153</v>
      </c>
      <c r="U127" s="162" t="s">
        <v>611</v>
      </c>
      <c r="V127" s="113">
        <f>COUNTIFS('Delivery Tracking'!E:E,B127)</f>
        <v>0</v>
      </c>
      <c r="W127" s="113">
        <f>SUMIFS(All_Stats!N:N,All_Stats!$A:$A,$B127,All_Stats!$B:$B,"Overall",All_Stats!$D:$D,"Total")</f>
        <v>0</v>
      </c>
      <c r="X127" s="323">
        <v>44587.0</v>
      </c>
      <c r="Y127" s="329"/>
      <c r="Z127" s="326"/>
    </row>
    <row r="128" hidden="1">
      <c r="A128" s="334" t="s">
        <v>862</v>
      </c>
      <c r="B128" s="335" t="s">
        <v>863</v>
      </c>
      <c r="C128" s="384"/>
      <c r="D128" s="193">
        <v>76.0</v>
      </c>
      <c r="E128" s="171">
        <f>SUMIFS(All_Stats!G:G,All_Stats!$A:$A,$B128,All_Stats!$B:$B,"Overall",All_Stats!$D:$D,"Total")</f>
        <v>0</v>
      </c>
      <c r="F128" s="113">
        <f>SUMIFS(All_Stats!H:H,All_Stats!$A:$A,$B128,All_Stats!$B:$B,"Overall",All_Stats!$D:$D,"Total")</f>
        <v>0</v>
      </c>
      <c r="G128" s="171">
        <f>SUMIFS(All_Stats!I:I,All_Stats!$A:$A,$B128,All_Stats!$B:$B,"Overall",All_Stats!$D:$D,"Total")</f>
        <v>0</v>
      </c>
      <c r="H128" s="113">
        <f>SUMIFS(All_Stats!K:K,All_Stats!$A:$A,$B128,All_Stats!$B:$B,"Overall",All_Stats!$D:$D,"Total")</f>
        <v>0</v>
      </c>
      <c r="I128" s="113">
        <f>SUMIFS(All_Stats!J:J,All_Stats!$A:$A,$B128,All_Stats!$B:$B,"Overall",All_Stats!$D:$D,"Total")</f>
        <v>0</v>
      </c>
      <c r="J128" s="113">
        <f t="shared" si="3"/>
        <v>76</v>
      </c>
      <c r="K128" s="249" t="s">
        <v>57</v>
      </c>
      <c r="L128" s="323">
        <v>44392.0</v>
      </c>
      <c r="M128" s="245">
        <v>44477.0</v>
      </c>
      <c r="O128" s="310">
        <f t="shared" si="6"/>
        <v>19.85483871</v>
      </c>
      <c r="P128" s="311">
        <f t="shared" ref="P128:Q128" si="132">F128/D128</f>
        <v>0</v>
      </c>
      <c r="Q128" s="325" t="str">
        <f t="shared" si="132"/>
        <v>#DIV/0!</v>
      </c>
      <c r="R128" s="311">
        <f t="shared" si="8"/>
        <v>0</v>
      </c>
      <c r="S128" s="300" t="str">
        <f t="shared" si="124"/>
        <v>Closed</v>
      </c>
      <c r="T128" s="2" t="s">
        <v>166</v>
      </c>
      <c r="U128" s="162" t="s">
        <v>611</v>
      </c>
      <c r="V128" s="113">
        <f>COUNTIFS('Delivery Tracking'!E:E,B128)</f>
        <v>0</v>
      </c>
      <c r="W128" s="113">
        <f>SUMIFS(All_Stats!N:N,All_Stats!$A:$A,$B128,All_Stats!$B:$B,"Overall",All_Stats!$D:$D,"Total")</f>
        <v>0</v>
      </c>
      <c r="X128" s="323">
        <v>44588.0</v>
      </c>
      <c r="Y128" s="329"/>
      <c r="Z128" s="326"/>
    </row>
    <row r="129" hidden="1">
      <c r="A129" s="399" t="s">
        <v>752</v>
      </c>
      <c r="B129" s="400" t="s">
        <v>864</v>
      </c>
      <c r="C129" s="184"/>
      <c r="D129" s="193">
        <v>15.0</v>
      </c>
      <c r="E129" s="171">
        <f>SUMIFS(All_Stats!G:G,All_Stats!$A:$A,$B129,All_Stats!$B:$B,"Overall",All_Stats!$D:$D,"Total")</f>
        <v>0</v>
      </c>
      <c r="F129" s="113">
        <f>SUMIFS(All_Stats!H:H,All_Stats!$A:$A,$B129,All_Stats!$B:$B,"Overall",All_Stats!$D:$D,"Total")</f>
        <v>0</v>
      </c>
      <c r="G129" s="171">
        <f>SUMIFS(All_Stats!I:I,All_Stats!$A:$A,$B129,All_Stats!$B:$B,"Overall",All_Stats!$D:$D,"Total")</f>
        <v>0</v>
      </c>
      <c r="H129" s="113">
        <f>SUMIFS(All_Stats!K:K,All_Stats!$A:$A,$B129,All_Stats!$B:$B,"Overall",All_Stats!$D:$D,"Total")</f>
        <v>0</v>
      </c>
      <c r="I129" s="113">
        <f>SUMIFS(All_Stats!J:J,All_Stats!$A:$A,$B129,All_Stats!$B:$B,"Overall",All_Stats!$D:$D,"Total")</f>
        <v>0</v>
      </c>
      <c r="J129" s="113">
        <f t="shared" si="3"/>
        <v>15</v>
      </c>
      <c r="K129" s="249" t="s">
        <v>57</v>
      </c>
      <c r="L129" s="245">
        <v>44460.0</v>
      </c>
      <c r="M129" s="332">
        <v>44466.0</v>
      </c>
      <c r="O129" s="310">
        <f t="shared" si="6"/>
        <v>236.6</v>
      </c>
      <c r="P129" s="311">
        <f t="shared" ref="P129:Q129" si="133">F129/D129</f>
        <v>0</v>
      </c>
      <c r="Q129" s="325" t="str">
        <f t="shared" si="133"/>
        <v>#DIV/0!</v>
      </c>
      <c r="R129" s="311">
        <f t="shared" si="8"/>
        <v>0</v>
      </c>
      <c r="S129" s="300" t="str">
        <f t="shared" si="124"/>
        <v>Closed</v>
      </c>
      <c r="T129" s="2" t="s">
        <v>184</v>
      </c>
      <c r="U129" s="162" t="s">
        <v>611</v>
      </c>
      <c r="V129" s="113">
        <f>COUNTIFS('Delivery Tracking'!E:E,B129)</f>
        <v>0</v>
      </c>
      <c r="W129" s="113">
        <f>SUMIFS(All_Stats!N:N,All_Stats!$A:$A,$B129,All_Stats!$B:$B,"Overall",All_Stats!$D:$D,"Total")</f>
        <v>0</v>
      </c>
      <c r="X129" s="323">
        <v>44589.0</v>
      </c>
      <c r="Y129" s="329"/>
      <c r="Z129" s="326"/>
    </row>
    <row r="130" hidden="1">
      <c r="A130" s="334" t="s">
        <v>865</v>
      </c>
      <c r="B130" s="335" t="s">
        <v>866</v>
      </c>
      <c r="C130" s="184"/>
      <c r="D130" s="193">
        <v>20.0</v>
      </c>
      <c r="E130" s="171">
        <f>SUMIFS(All_Stats!G:G,All_Stats!$A:$A,$B130,All_Stats!$B:$B,"Overall",All_Stats!$D:$D,"Total")</f>
        <v>0</v>
      </c>
      <c r="F130" s="113">
        <f>SUMIFS(All_Stats!H:H,All_Stats!$A:$A,$B130,All_Stats!$B:$B,"Overall",All_Stats!$D:$D,"Total")</f>
        <v>0</v>
      </c>
      <c r="G130" s="171">
        <f>SUMIFS(All_Stats!I:I,All_Stats!$A:$A,$B130,All_Stats!$B:$B,"Overall",All_Stats!$D:$D,"Total")</f>
        <v>0</v>
      </c>
      <c r="H130" s="113">
        <f>SUMIFS(All_Stats!K:K,All_Stats!$A:$A,$B130,All_Stats!$B:$B,"Overall",All_Stats!$D:$D,"Total")</f>
        <v>0</v>
      </c>
      <c r="I130" s="113">
        <f>SUMIFS(All_Stats!J:J,All_Stats!$A:$A,$B130,All_Stats!$B:$B,"Overall",All_Stats!$D:$D,"Total")</f>
        <v>0</v>
      </c>
      <c r="J130" s="113">
        <f t="shared" si="3"/>
        <v>20</v>
      </c>
      <c r="K130" s="249" t="s">
        <v>57</v>
      </c>
      <c r="L130" s="323">
        <v>44456.0</v>
      </c>
      <c r="M130" s="332">
        <v>44467.0</v>
      </c>
      <c r="O130" s="310">
        <f t="shared" si="6"/>
        <v>148.125</v>
      </c>
      <c r="P130" s="311">
        <f t="shared" ref="P130:Q130" si="134">F130/D130</f>
        <v>0</v>
      </c>
      <c r="Q130" s="325" t="str">
        <f t="shared" si="134"/>
        <v>#DIV/0!</v>
      </c>
      <c r="R130" s="311">
        <f t="shared" si="8"/>
        <v>0</v>
      </c>
      <c r="S130" s="300" t="str">
        <f t="shared" si="124"/>
        <v>Closed</v>
      </c>
      <c r="T130" s="2" t="s">
        <v>166</v>
      </c>
      <c r="U130" s="162" t="s">
        <v>611</v>
      </c>
      <c r="V130" s="113">
        <f>COUNTIFS('Delivery Tracking'!E:E,B130)</f>
        <v>0</v>
      </c>
      <c r="W130" s="113">
        <f>SUMIFS(All_Stats!N:N,All_Stats!$A:$A,$B130,All_Stats!$B:$B,"Overall",All_Stats!$D:$D,"Total")</f>
        <v>0</v>
      </c>
      <c r="X130" s="323">
        <v>44590.0</v>
      </c>
      <c r="Y130" s="329"/>
      <c r="Z130" s="326"/>
    </row>
    <row r="131" hidden="1">
      <c r="A131" s="340" t="s">
        <v>867</v>
      </c>
      <c r="B131" s="361" t="s">
        <v>868</v>
      </c>
      <c r="C131" s="384"/>
      <c r="D131" s="193">
        <v>60.0</v>
      </c>
      <c r="E131" s="171">
        <f>SUMIFS(All_Stats!G:G,All_Stats!$A:$A,$B131,All_Stats!$B:$B,"Overall",All_Stats!$D:$D,"Total")</f>
        <v>0</v>
      </c>
      <c r="F131" s="113">
        <f>SUMIFS(All_Stats!H:H,All_Stats!$A:$A,$B131,All_Stats!$B:$B,"Overall",All_Stats!$D:$D,"Total")</f>
        <v>0</v>
      </c>
      <c r="G131" s="171">
        <f>SUMIFS(All_Stats!I:I,All_Stats!$A:$A,$B131,All_Stats!$B:$B,"Overall",All_Stats!$D:$D,"Total")</f>
        <v>0</v>
      </c>
      <c r="H131" s="113">
        <f>SUMIFS(All_Stats!K:K,All_Stats!$A:$A,$B131,All_Stats!$B:$B,"Overall",All_Stats!$D:$D,"Total")</f>
        <v>0</v>
      </c>
      <c r="I131" s="113">
        <f>SUMIFS(All_Stats!J:J,All_Stats!$A:$A,$B131,All_Stats!$B:$B,"Overall",All_Stats!$D:$D,"Total")</f>
        <v>0</v>
      </c>
      <c r="J131" s="113">
        <f t="shared" si="3"/>
        <v>60</v>
      </c>
      <c r="K131" s="249" t="s">
        <v>57</v>
      </c>
      <c r="L131" s="356">
        <v>44383.0</v>
      </c>
      <c r="M131" s="245">
        <v>44453.0</v>
      </c>
      <c r="N131" s="401" t="s">
        <v>869</v>
      </c>
      <c r="O131" s="310">
        <f t="shared" si="6"/>
        <v>24.2745098</v>
      </c>
      <c r="P131" s="311">
        <f t="shared" ref="P131:Q131" si="135">F131/D131</f>
        <v>0</v>
      </c>
      <c r="Q131" s="325" t="str">
        <f t="shared" si="135"/>
        <v>#DIV/0!</v>
      </c>
      <c r="R131" s="311">
        <f t="shared" si="8"/>
        <v>0</v>
      </c>
      <c r="S131" s="300" t="str">
        <f t="shared" si="124"/>
        <v>Closed</v>
      </c>
      <c r="T131" s="2" t="s">
        <v>80</v>
      </c>
      <c r="U131" s="162" t="s">
        <v>611</v>
      </c>
      <c r="V131" s="113">
        <f>COUNTIFS('Delivery Tracking'!E:E,B131)</f>
        <v>0</v>
      </c>
      <c r="W131" s="113">
        <f>SUMIFS(All_Stats!N:N,All_Stats!$A:$A,$B131,All_Stats!$B:$B,"Overall",All_Stats!$D:$D,"Total")</f>
        <v>0</v>
      </c>
      <c r="X131" s="323">
        <v>44591.0</v>
      </c>
      <c r="Y131" s="329"/>
      <c r="Z131" s="326"/>
    </row>
    <row r="132" hidden="1">
      <c r="A132" s="334" t="s">
        <v>763</v>
      </c>
      <c r="B132" s="328" t="s">
        <v>870</v>
      </c>
      <c r="C132" s="184"/>
      <c r="D132" s="193">
        <v>20.0</v>
      </c>
      <c r="E132" s="171">
        <f>SUMIFS(All_Stats!G:G,All_Stats!$A:$A,$B132,All_Stats!$B:$B,"Overall",All_Stats!$D:$D,"Total")</f>
        <v>0</v>
      </c>
      <c r="F132" s="113">
        <f>SUMIFS(All_Stats!H:H,All_Stats!$A:$A,$B132,All_Stats!$B:$B,"Overall",All_Stats!$D:$D,"Total")</f>
        <v>0</v>
      </c>
      <c r="G132" s="171">
        <f>SUMIFS(All_Stats!I:I,All_Stats!$A:$A,$B132,All_Stats!$B:$B,"Overall",All_Stats!$D:$D,"Total")</f>
        <v>0</v>
      </c>
      <c r="H132" s="113">
        <f>SUMIFS(All_Stats!K:K,All_Stats!$A:$A,$B132,All_Stats!$B:$B,"Overall",All_Stats!$D:$D,"Total")</f>
        <v>0</v>
      </c>
      <c r="I132" s="113">
        <f>SUMIFS(All_Stats!J:J,All_Stats!$A:$A,$B132,All_Stats!$B:$B,"Overall",All_Stats!$D:$D,"Total")</f>
        <v>0</v>
      </c>
      <c r="J132" s="113">
        <f t="shared" si="3"/>
        <v>20</v>
      </c>
      <c r="K132" s="249" t="s">
        <v>57</v>
      </c>
      <c r="L132" s="323">
        <v>44446.0</v>
      </c>
      <c r="M132" s="245">
        <v>44463.0</v>
      </c>
      <c r="O132" s="310">
        <f t="shared" si="6"/>
        <v>85.21428571</v>
      </c>
      <c r="P132" s="311">
        <f t="shared" ref="P132:Q132" si="136">F132/D132</f>
        <v>0</v>
      </c>
      <c r="Q132" s="325" t="str">
        <f t="shared" si="136"/>
        <v>#DIV/0!</v>
      </c>
      <c r="R132" s="311">
        <f t="shared" si="8"/>
        <v>0</v>
      </c>
      <c r="S132" s="300" t="str">
        <f t="shared" si="124"/>
        <v>Closed</v>
      </c>
      <c r="T132" s="2" t="s">
        <v>153</v>
      </c>
      <c r="U132" s="162" t="s">
        <v>611</v>
      </c>
      <c r="V132" s="113">
        <f>COUNTIFS('Delivery Tracking'!E:E,B132)</f>
        <v>0</v>
      </c>
      <c r="W132" s="113">
        <f>SUMIFS(All_Stats!N:N,All_Stats!$A:$A,$B132,All_Stats!$B:$B,"Overall",All_Stats!$D:$D,"Total")</f>
        <v>0</v>
      </c>
      <c r="X132" s="323">
        <v>44592.0</v>
      </c>
      <c r="Y132" s="329"/>
      <c r="Z132" s="326"/>
    </row>
    <row r="133" hidden="1">
      <c r="A133" s="330" t="s">
        <v>871</v>
      </c>
      <c r="B133" s="341" t="s">
        <v>872</v>
      </c>
      <c r="C133" s="306"/>
      <c r="D133" s="193">
        <v>180.0</v>
      </c>
      <c r="E133" s="171">
        <f>SUMIFS(All_Stats!G:G,All_Stats!$A:$A,$B133,All_Stats!$B:$B,"Overall",All_Stats!$D:$D,"Total")</f>
        <v>0</v>
      </c>
      <c r="F133" s="113">
        <f>SUMIFS(All_Stats!H:H,All_Stats!$A:$A,$B133,All_Stats!$B:$B,"Overall",All_Stats!$D:$D,"Total")</f>
        <v>0</v>
      </c>
      <c r="G133" s="171">
        <f>SUMIFS(All_Stats!I:I,All_Stats!$A:$A,$B133,All_Stats!$B:$B,"Overall",All_Stats!$D:$D,"Total")</f>
        <v>0</v>
      </c>
      <c r="H133" s="113">
        <f>SUMIFS(All_Stats!K:K,All_Stats!$A:$A,$B133,All_Stats!$B:$B,"Overall",All_Stats!$D:$D,"Total")</f>
        <v>0</v>
      </c>
      <c r="I133" s="113">
        <f>SUMIFS(All_Stats!J:J,All_Stats!$A:$A,$B133,All_Stats!$B:$B,"Overall",All_Stats!$D:$D,"Total")</f>
        <v>0</v>
      </c>
      <c r="J133" s="113">
        <f t="shared" si="3"/>
        <v>180</v>
      </c>
      <c r="K133" s="249" t="s">
        <v>57</v>
      </c>
      <c r="L133" s="245">
        <v>44425.0</v>
      </c>
      <c r="M133" s="245">
        <v>44459.0</v>
      </c>
      <c r="N133" s="324" t="s">
        <v>873</v>
      </c>
      <c r="O133" s="310">
        <f t="shared" si="6"/>
        <v>48.32</v>
      </c>
      <c r="P133" s="311">
        <f t="shared" ref="P133:Q133" si="137">F133/D133</f>
        <v>0</v>
      </c>
      <c r="Q133" s="325" t="str">
        <f t="shared" si="137"/>
        <v>#DIV/0!</v>
      </c>
      <c r="R133" s="311">
        <f t="shared" si="8"/>
        <v>0</v>
      </c>
      <c r="S133" s="300" t="str">
        <f t="shared" si="124"/>
        <v>Closed</v>
      </c>
      <c r="T133" s="2" t="s">
        <v>153</v>
      </c>
      <c r="U133" s="162" t="s">
        <v>611</v>
      </c>
      <c r="V133" s="113">
        <f>COUNTIFS('Delivery Tracking'!E:E,B133)</f>
        <v>0</v>
      </c>
      <c r="W133" s="113">
        <f>SUMIFS(All_Stats!N:N,All_Stats!$A:$A,$B133,All_Stats!$B:$B,"Overall",All_Stats!$D:$D,"Total")</f>
        <v>0</v>
      </c>
      <c r="X133" s="323">
        <v>44593.0</v>
      </c>
      <c r="Y133" s="329"/>
      <c r="Z133" s="326"/>
    </row>
    <row r="134" hidden="1">
      <c r="A134" s="334" t="s">
        <v>874</v>
      </c>
      <c r="B134" s="335" t="s">
        <v>875</v>
      </c>
      <c r="C134" s="184"/>
      <c r="D134" s="193">
        <v>25.0</v>
      </c>
      <c r="E134" s="171">
        <f>SUMIFS(All_Stats!G:G,All_Stats!$A:$A,$B134,All_Stats!$B:$B,"Overall",All_Stats!$D:$D,"Total")</f>
        <v>0</v>
      </c>
      <c r="F134" s="113">
        <f>SUMIFS(All_Stats!H:H,All_Stats!$A:$A,$B134,All_Stats!$B:$B,"Overall",All_Stats!$D:$D,"Total")</f>
        <v>0</v>
      </c>
      <c r="G134" s="171">
        <f>SUMIFS(All_Stats!I:I,All_Stats!$A:$A,$B134,All_Stats!$B:$B,"Overall",All_Stats!$D:$D,"Total")</f>
        <v>0</v>
      </c>
      <c r="H134" s="113">
        <f>SUMIFS(All_Stats!K:K,All_Stats!$A:$A,$B134,All_Stats!$B:$B,"Overall",All_Stats!$D:$D,"Total")</f>
        <v>0</v>
      </c>
      <c r="I134" s="113">
        <f>SUMIFS(All_Stats!J:J,All_Stats!$A:$A,$B134,All_Stats!$B:$B,"Overall",All_Stats!$D:$D,"Total")</f>
        <v>0</v>
      </c>
      <c r="J134" s="113">
        <f t="shared" si="3"/>
        <v>25</v>
      </c>
      <c r="K134" s="249" t="s">
        <v>57</v>
      </c>
      <c r="L134" s="323">
        <v>44452.0</v>
      </c>
      <c r="M134" s="245">
        <v>44461.0</v>
      </c>
      <c r="O134" s="310">
        <f t="shared" si="6"/>
        <v>148.625</v>
      </c>
      <c r="P134" s="311">
        <f t="shared" ref="P134:Q134" si="138">F134/D134</f>
        <v>0</v>
      </c>
      <c r="Q134" s="325" t="str">
        <f t="shared" si="138"/>
        <v>#DIV/0!</v>
      </c>
      <c r="R134" s="311">
        <f t="shared" si="8"/>
        <v>0</v>
      </c>
      <c r="S134" s="300" t="str">
        <f t="shared" si="124"/>
        <v>Closed</v>
      </c>
      <c r="T134" s="2" t="s">
        <v>166</v>
      </c>
      <c r="U134" s="162" t="s">
        <v>611</v>
      </c>
      <c r="V134" s="113">
        <f>COUNTIFS('Delivery Tracking'!E:E,B134)</f>
        <v>0</v>
      </c>
      <c r="W134" s="113">
        <f>SUMIFS(All_Stats!N:N,All_Stats!$A:$A,$B134,All_Stats!$B:$B,"Overall",All_Stats!$D:$D,"Total")</f>
        <v>0</v>
      </c>
      <c r="X134" s="323">
        <v>44594.0</v>
      </c>
      <c r="Y134" s="329"/>
      <c r="Z134" s="326"/>
    </row>
    <row r="135" hidden="1">
      <c r="A135" s="352" t="s">
        <v>876</v>
      </c>
      <c r="B135" s="342" t="s">
        <v>877</v>
      </c>
      <c r="C135" s="184"/>
      <c r="D135" s="193">
        <v>38.0</v>
      </c>
      <c r="E135" s="171">
        <f>SUMIFS(All_Stats!G:G,All_Stats!$A:$A,$B135,All_Stats!$B:$B,"Overall",All_Stats!$D:$D,"Total")</f>
        <v>0</v>
      </c>
      <c r="F135" s="113">
        <f>SUMIFS(All_Stats!H:H,All_Stats!$A:$A,$B135,All_Stats!$B:$B,"Overall",All_Stats!$D:$D,"Total")</f>
        <v>0</v>
      </c>
      <c r="G135" s="171">
        <f>SUMIFS(All_Stats!I:I,All_Stats!$A:$A,$B135,All_Stats!$B:$B,"Overall",All_Stats!$D:$D,"Total")</f>
        <v>0</v>
      </c>
      <c r="H135" s="113">
        <f>SUMIFS(All_Stats!K:K,All_Stats!$A:$A,$B135,All_Stats!$B:$B,"Overall",All_Stats!$D:$D,"Total")</f>
        <v>0</v>
      </c>
      <c r="I135" s="113">
        <f>SUMIFS(All_Stats!J:J,All_Stats!$A:$A,$B135,All_Stats!$B:$B,"Overall",All_Stats!$D:$D,"Total")</f>
        <v>0</v>
      </c>
      <c r="J135" s="113">
        <f t="shared" si="3"/>
        <v>38</v>
      </c>
      <c r="K135" s="249" t="s">
        <v>57</v>
      </c>
      <c r="L135" s="323">
        <v>44452.0</v>
      </c>
      <c r="M135" s="245">
        <v>44463.0</v>
      </c>
      <c r="O135" s="310">
        <f t="shared" si="6"/>
        <v>118.9</v>
      </c>
      <c r="P135" s="311">
        <f t="shared" ref="P135:Q135" si="139">F135/D135</f>
        <v>0</v>
      </c>
      <c r="Q135" s="325" t="str">
        <f t="shared" si="139"/>
        <v>#DIV/0!</v>
      </c>
      <c r="R135" s="311">
        <f t="shared" si="8"/>
        <v>0</v>
      </c>
      <c r="S135" s="300" t="str">
        <f t="shared" si="124"/>
        <v>Closed</v>
      </c>
      <c r="T135" s="2" t="s">
        <v>153</v>
      </c>
      <c r="U135" s="162" t="s">
        <v>611</v>
      </c>
      <c r="V135" s="113">
        <f>COUNTIFS('Delivery Tracking'!E:E,B135)</f>
        <v>0</v>
      </c>
      <c r="W135" s="113">
        <f>SUMIFS(All_Stats!N:N,All_Stats!$A:$A,$B135,All_Stats!$B:$B,"Overall",All_Stats!$D:$D,"Total")</f>
        <v>0</v>
      </c>
      <c r="X135" s="323">
        <v>44595.0</v>
      </c>
      <c r="Y135" s="329"/>
      <c r="Z135" s="326"/>
    </row>
    <row r="136" hidden="1">
      <c r="A136" s="334" t="s">
        <v>878</v>
      </c>
      <c r="B136" s="335" t="s">
        <v>879</v>
      </c>
      <c r="C136" s="184"/>
      <c r="D136" s="193">
        <v>9.0</v>
      </c>
      <c r="E136" s="171">
        <f>SUMIFS(All_Stats!G:G,All_Stats!$A:$A,$B136,All_Stats!$B:$B,"Overall",All_Stats!$D:$D,"Total")</f>
        <v>0</v>
      </c>
      <c r="F136" s="113">
        <f>SUMIFS(All_Stats!H:H,All_Stats!$A:$A,$B136,All_Stats!$B:$B,"Overall",All_Stats!$D:$D,"Total")</f>
        <v>0</v>
      </c>
      <c r="G136" s="171">
        <f>SUMIFS(All_Stats!I:I,All_Stats!$A:$A,$B136,All_Stats!$B:$B,"Overall",All_Stats!$D:$D,"Total")</f>
        <v>0</v>
      </c>
      <c r="H136" s="113">
        <f>SUMIFS(All_Stats!K:K,All_Stats!$A:$A,$B136,All_Stats!$B:$B,"Overall",All_Stats!$D:$D,"Total")</f>
        <v>0</v>
      </c>
      <c r="I136" s="113">
        <f>SUMIFS(All_Stats!J:J,All_Stats!$A:$A,$B136,All_Stats!$B:$B,"Overall",All_Stats!$D:$D,"Total")</f>
        <v>0</v>
      </c>
      <c r="J136" s="113">
        <f t="shared" si="3"/>
        <v>9</v>
      </c>
      <c r="K136" s="249" t="s">
        <v>57</v>
      </c>
      <c r="L136" s="323">
        <v>44452.0</v>
      </c>
      <c r="M136" s="245">
        <v>44466.0</v>
      </c>
      <c r="N136" s="2" t="s">
        <v>832</v>
      </c>
      <c r="O136" s="310">
        <f t="shared" si="6"/>
        <v>108.0909091</v>
      </c>
      <c r="P136" s="311">
        <f t="shared" ref="P136:Q136" si="140">F136/D136</f>
        <v>0</v>
      </c>
      <c r="Q136" s="325" t="str">
        <f t="shared" si="140"/>
        <v>#DIV/0!</v>
      </c>
      <c r="R136" s="311">
        <f t="shared" si="8"/>
        <v>0</v>
      </c>
      <c r="S136" s="300" t="str">
        <f t="shared" si="124"/>
        <v>Closed</v>
      </c>
      <c r="T136" s="2" t="s">
        <v>166</v>
      </c>
      <c r="U136" s="162" t="s">
        <v>611</v>
      </c>
      <c r="V136" s="113">
        <f>COUNTIFS('Delivery Tracking'!E:E,B136)</f>
        <v>0</v>
      </c>
      <c r="W136" s="113">
        <f>SUMIFS(All_Stats!N:N,All_Stats!$A:$A,$B136,All_Stats!$B:$B,"Overall",All_Stats!$D:$D,"Total")</f>
        <v>0</v>
      </c>
      <c r="X136" s="323">
        <v>44596.0</v>
      </c>
      <c r="Y136" s="329"/>
      <c r="Z136" s="326"/>
    </row>
    <row r="137" hidden="1">
      <c r="A137" s="402" t="s">
        <v>771</v>
      </c>
      <c r="B137" s="403" t="s">
        <v>880</v>
      </c>
      <c r="C137" s="306"/>
      <c r="D137" s="193">
        <v>304.0</v>
      </c>
      <c r="E137" s="171">
        <f>SUMIFS(All_Stats!G:G,All_Stats!$A:$A,$B137,All_Stats!$B:$B,"Overall",All_Stats!$D:$D,"Total")</f>
        <v>0</v>
      </c>
      <c r="F137" s="113">
        <f>SUMIFS(All_Stats!H:H,All_Stats!$A:$A,$B137,All_Stats!$B:$B,"Overall",All_Stats!$D:$D,"Total")</f>
        <v>0</v>
      </c>
      <c r="G137" s="171">
        <f>SUMIFS(All_Stats!I:I,All_Stats!$A:$A,$B137,All_Stats!$B:$B,"Overall",All_Stats!$D:$D,"Total")</f>
        <v>0</v>
      </c>
      <c r="H137" s="113">
        <f>SUMIFS(All_Stats!K:K,All_Stats!$A:$A,$B137,All_Stats!$B:$B,"Overall",All_Stats!$D:$D,"Total")</f>
        <v>0</v>
      </c>
      <c r="I137" s="113">
        <f>SUMIFS(All_Stats!J:J,All_Stats!$A:$A,$B137,All_Stats!$B:$B,"Overall",All_Stats!$D:$D,"Total")</f>
        <v>0</v>
      </c>
      <c r="J137" s="113">
        <f t="shared" si="3"/>
        <v>304</v>
      </c>
      <c r="K137" s="249" t="s">
        <v>57</v>
      </c>
      <c r="L137" s="245">
        <v>44376.0</v>
      </c>
      <c r="M137" s="245">
        <v>44456.0</v>
      </c>
      <c r="O137" s="310">
        <f t="shared" si="6"/>
        <v>21.06779661</v>
      </c>
      <c r="P137" s="311">
        <f t="shared" ref="P137:Q137" si="141">F137/D137</f>
        <v>0</v>
      </c>
      <c r="Q137" s="325" t="str">
        <f t="shared" si="141"/>
        <v>#DIV/0!</v>
      </c>
      <c r="R137" s="311">
        <f t="shared" si="8"/>
        <v>0</v>
      </c>
      <c r="S137" s="300" t="str">
        <f t="shared" si="124"/>
        <v>Closed</v>
      </c>
      <c r="T137" s="2" t="s">
        <v>166</v>
      </c>
      <c r="U137" s="162" t="s">
        <v>611</v>
      </c>
      <c r="V137" s="113">
        <f>COUNTIFS('Delivery Tracking'!E:E,B137)</f>
        <v>0</v>
      </c>
      <c r="W137" s="113">
        <f>SUMIFS(All_Stats!N:N,All_Stats!$A:$A,$B137,All_Stats!$B:$B,"Overall",All_Stats!$D:$D,"Total")</f>
        <v>0</v>
      </c>
      <c r="X137" s="323">
        <v>44597.0</v>
      </c>
      <c r="Y137" s="329"/>
      <c r="Z137" s="326"/>
    </row>
    <row r="138" hidden="1">
      <c r="A138" s="352" t="s">
        <v>771</v>
      </c>
      <c r="B138" s="342" t="s">
        <v>881</v>
      </c>
      <c r="C138" s="372"/>
      <c r="D138" s="193">
        <v>300.0</v>
      </c>
      <c r="E138" s="171">
        <f>SUMIFS(All_Stats!G:G,All_Stats!$A:$A,$B138,All_Stats!$B:$B,"Overall",All_Stats!$D:$D,"Total")</f>
        <v>0</v>
      </c>
      <c r="F138" s="113">
        <f>SUMIFS(All_Stats!H:H,All_Stats!$A:$A,$B138,All_Stats!$B:$B,"Overall",All_Stats!$D:$D,"Total")</f>
        <v>0</v>
      </c>
      <c r="G138" s="171">
        <f>SUMIFS(All_Stats!I:I,All_Stats!$A:$A,$B138,All_Stats!$B:$B,"Overall",All_Stats!$D:$D,"Total")</f>
        <v>0</v>
      </c>
      <c r="H138" s="113">
        <f>SUMIFS(All_Stats!K:K,All_Stats!$A:$A,$B138,All_Stats!$B:$B,"Overall",All_Stats!$D:$D,"Total")</f>
        <v>0</v>
      </c>
      <c r="I138" s="113">
        <f>SUMIFS(All_Stats!J:J,All_Stats!$A:$A,$B138,All_Stats!$B:$B,"Overall",All_Stats!$D:$D,"Total")</f>
        <v>0</v>
      </c>
      <c r="J138" s="113">
        <f t="shared" si="3"/>
        <v>300</v>
      </c>
      <c r="K138" s="249" t="s">
        <v>57</v>
      </c>
      <c r="L138" s="245">
        <v>44379.0</v>
      </c>
      <c r="M138" s="245">
        <v>44456.0</v>
      </c>
      <c r="N138" s="2"/>
      <c r="O138" s="310">
        <f t="shared" si="6"/>
        <v>22.14285714</v>
      </c>
      <c r="P138" s="311">
        <f t="shared" ref="P138:Q138" si="142">F138/D138</f>
        <v>0</v>
      </c>
      <c r="Q138" s="325" t="str">
        <f t="shared" si="142"/>
        <v>#DIV/0!</v>
      </c>
      <c r="R138" s="311">
        <f t="shared" si="8"/>
        <v>0</v>
      </c>
      <c r="S138" s="300" t="str">
        <f t="shared" si="124"/>
        <v>Closed</v>
      </c>
      <c r="T138" s="2" t="s">
        <v>166</v>
      </c>
      <c r="U138" s="162" t="s">
        <v>611</v>
      </c>
      <c r="V138" s="113">
        <f>COUNTIFS('Delivery Tracking'!E:E,B138)</f>
        <v>0</v>
      </c>
      <c r="W138" s="113">
        <f>SUMIFS(All_Stats!N:N,All_Stats!$A:$A,$B138,All_Stats!$B:$B,"Overall",All_Stats!$D:$D,"Total")</f>
        <v>0</v>
      </c>
      <c r="X138" s="323">
        <v>44598.0</v>
      </c>
      <c r="Y138" s="329"/>
      <c r="Z138" s="326"/>
    </row>
    <row r="139" hidden="1">
      <c r="A139" s="402" t="s">
        <v>771</v>
      </c>
      <c r="B139" s="403" t="s">
        <v>882</v>
      </c>
      <c r="C139" s="184"/>
      <c r="D139" s="193">
        <v>241.0</v>
      </c>
      <c r="E139" s="171">
        <f>SUMIFS(All_Stats!G:G,All_Stats!$A:$A,$B139,All_Stats!$B:$B,"Overall",All_Stats!$D:$D,"Total")</f>
        <v>0</v>
      </c>
      <c r="F139" s="113">
        <f>SUMIFS(All_Stats!H:H,All_Stats!$A:$A,$B139,All_Stats!$B:$B,"Overall",All_Stats!$D:$D,"Total")</f>
        <v>0</v>
      </c>
      <c r="G139" s="171">
        <f>SUMIFS(All_Stats!I:I,All_Stats!$A:$A,$B139,All_Stats!$B:$B,"Overall",All_Stats!$D:$D,"Total")</f>
        <v>0</v>
      </c>
      <c r="H139" s="113">
        <f>SUMIFS(All_Stats!K:K,All_Stats!$A:$A,$B139,All_Stats!$B:$B,"Overall",All_Stats!$D:$D,"Total")</f>
        <v>0</v>
      </c>
      <c r="I139" s="113">
        <f>SUMIFS(All_Stats!J:J,All_Stats!$A:$A,$B139,All_Stats!$B:$B,"Overall",All_Stats!$D:$D,"Total")</f>
        <v>0</v>
      </c>
      <c r="J139" s="113">
        <f t="shared" si="3"/>
        <v>241</v>
      </c>
      <c r="K139" s="249" t="s">
        <v>57</v>
      </c>
      <c r="L139" s="323">
        <v>44410.0</v>
      </c>
      <c r="M139" s="245">
        <v>44456.0</v>
      </c>
      <c r="N139" s="2" t="s">
        <v>883</v>
      </c>
      <c r="O139" s="310">
        <f t="shared" si="6"/>
        <v>34.82857143</v>
      </c>
      <c r="P139" s="311">
        <f t="shared" ref="P139:Q139" si="143">F139/D139</f>
        <v>0</v>
      </c>
      <c r="Q139" s="325" t="str">
        <f t="shared" si="143"/>
        <v>#DIV/0!</v>
      </c>
      <c r="R139" s="311">
        <f t="shared" si="8"/>
        <v>0</v>
      </c>
      <c r="S139" s="300" t="str">
        <f t="shared" si="124"/>
        <v>Closed</v>
      </c>
      <c r="T139" s="2" t="s">
        <v>166</v>
      </c>
      <c r="U139" s="162" t="s">
        <v>611</v>
      </c>
      <c r="V139" s="113">
        <f>COUNTIFS('Delivery Tracking'!E:E,B139)</f>
        <v>0</v>
      </c>
      <c r="W139" s="113">
        <f>SUMIFS(All_Stats!N:N,All_Stats!$A:$A,$B139,All_Stats!$B:$B,"Overall",All_Stats!$D:$D,"Total")</f>
        <v>0</v>
      </c>
      <c r="X139" s="323">
        <v>44599.0</v>
      </c>
      <c r="Y139" s="329"/>
      <c r="Z139" s="326"/>
    </row>
    <row r="140" hidden="1">
      <c r="A140" s="402" t="s">
        <v>771</v>
      </c>
      <c r="B140" s="403" t="s">
        <v>884</v>
      </c>
      <c r="C140" s="306"/>
      <c r="D140" s="193">
        <v>249.0</v>
      </c>
      <c r="E140" s="171">
        <f>SUMIFS(All_Stats!G:G,All_Stats!$A:$A,$B140,All_Stats!$B:$B,"Overall",All_Stats!$D:$D,"Total")</f>
        <v>0</v>
      </c>
      <c r="F140" s="113">
        <f>SUMIFS(All_Stats!H:H,All_Stats!$A:$A,$B140,All_Stats!$B:$B,"Overall",All_Stats!$D:$D,"Total")</f>
        <v>0</v>
      </c>
      <c r="G140" s="171">
        <f>SUMIFS(All_Stats!I:I,All_Stats!$A:$A,$B140,All_Stats!$B:$B,"Overall",All_Stats!$D:$D,"Total")</f>
        <v>0</v>
      </c>
      <c r="H140" s="113">
        <f>SUMIFS(All_Stats!K:K,All_Stats!$A:$A,$B140,All_Stats!$B:$B,"Overall",All_Stats!$D:$D,"Total")</f>
        <v>0</v>
      </c>
      <c r="I140" s="113">
        <f>SUMIFS(All_Stats!J:J,All_Stats!$A:$A,$B140,All_Stats!$B:$B,"Overall",All_Stats!$D:$D,"Total")</f>
        <v>0</v>
      </c>
      <c r="J140" s="113">
        <f t="shared" si="3"/>
        <v>249</v>
      </c>
      <c r="K140" s="249" t="s">
        <v>57</v>
      </c>
      <c r="L140" s="245">
        <v>44378.0</v>
      </c>
      <c r="M140" s="245">
        <v>44456.0</v>
      </c>
      <c r="O140" s="310">
        <f t="shared" si="6"/>
        <v>21.77192982</v>
      </c>
      <c r="P140" s="311">
        <f t="shared" ref="P140:Q140" si="144">F140/D140</f>
        <v>0</v>
      </c>
      <c r="Q140" s="325" t="str">
        <f t="shared" si="144"/>
        <v>#DIV/0!</v>
      </c>
      <c r="R140" s="311">
        <f t="shared" si="8"/>
        <v>0</v>
      </c>
      <c r="S140" s="300" t="str">
        <f t="shared" si="124"/>
        <v>Closed</v>
      </c>
      <c r="T140" s="2" t="s">
        <v>166</v>
      </c>
      <c r="U140" s="162" t="s">
        <v>611</v>
      </c>
      <c r="V140" s="113">
        <f>COUNTIFS('Delivery Tracking'!E:E,B140)</f>
        <v>0</v>
      </c>
      <c r="W140" s="113">
        <f>SUMIFS(All_Stats!N:N,All_Stats!$A:$A,$B140,All_Stats!$B:$B,"Overall",All_Stats!$D:$D,"Total")</f>
        <v>0</v>
      </c>
      <c r="X140" s="323">
        <v>44600.0</v>
      </c>
      <c r="Y140" s="329"/>
      <c r="Z140" s="326"/>
    </row>
    <row r="141" hidden="1">
      <c r="A141" s="334" t="s">
        <v>771</v>
      </c>
      <c r="B141" s="335" t="s">
        <v>885</v>
      </c>
      <c r="C141" s="384"/>
      <c r="D141" s="193">
        <v>243.0</v>
      </c>
      <c r="E141" s="171">
        <f>SUMIFS(All_Stats!G:G,All_Stats!$A:$A,$B141,All_Stats!$B:$B,"Overall",All_Stats!$D:$D,"Total")</f>
        <v>0</v>
      </c>
      <c r="F141" s="113">
        <f>SUMIFS(All_Stats!H:H,All_Stats!$A:$A,$B141,All_Stats!$B:$B,"Overall",All_Stats!$D:$D,"Total")</f>
        <v>0</v>
      </c>
      <c r="G141" s="171">
        <f>SUMIFS(All_Stats!I:I,All_Stats!$A:$A,$B141,All_Stats!$B:$B,"Overall",All_Stats!$D:$D,"Total")</f>
        <v>0</v>
      </c>
      <c r="H141" s="113">
        <f>SUMIFS(All_Stats!K:K,All_Stats!$A:$A,$B141,All_Stats!$B:$B,"Overall",All_Stats!$D:$D,"Total")</f>
        <v>0</v>
      </c>
      <c r="I141" s="113">
        <f>SUMIFS(All_Stats!J:J,All_Stats!$A:$A,$B141,All_Stats!$B:$B,"Overall",All_Stats!$D:$D,"Total")</f>
        <v>0</v>
      </c>
      <c r="J141" s="113">
        <f t="shared" si="3"/>
        <v>243</v>
      </c>
      <c r="K141" s="249" t="s">
        <v>57</v>
      </c>
      <c r="L141" s="245">
        <v>44379.0</v>
      </c>
      <c r="M141" s="245">
        <v>44456.0</v>
      </c>
      <c r="O141" s="310">
        <f t="shared" si="6"/>
        <v>22.14285714</v>
      </c>
      <c r="P141" s="311">
        <f t="shared" ref="P141:Q141" si="145">F141/D141</f>
        <v>0</v>
      </c>
      <c r="Q141" s="325" t="str">
        <f t="shared" si="145"/>
        <v>#DIV/0!</v>
      </c>
      <c r="R141" s="311">
        <f t="shared" si="8"/>
        <v>0</v>
      </c>
      <c r="S141" s="300" t="str">
        <f t="shared" si="124"/>
        <v>Closed</v>
      </c>
      <c r="T141" s="2" t="s">
        <v>166</v>
      </c>
      <c r="U141" s="162" t="s">
        <v>611</v>
      </c>
      <c r="V141" s="113">
        <f>COUNTIFS('Delivery Tracking'!E:E,B141)</f>
        <v>0</v>
      </c>
      <c r="W141" s="113">
        <f>SUMIFS(All_Stats!N:N,All_Stats!$A:$A,$B141,All_Stats!$B:$B,"Overall",All_Stats!$D:$D,"Total")</f>
        <v>0</v>
      </c>
      <c r="X141" s="323">
        <v>44601.0</v>
      </c>
      <c r="Y141" s="329"/>
      <c r="Z141" s="326"/>
    </row>
    <row r="142" hidden="1">
      <c r="A142" s="346" t="s">
        <v>886</v>
      </c>
      <c r="B142" s="376" t="s">
        <v>887</v>
      </c>
      <c r="C142" s="184"/>
      <c r="D142" s="193">
        <v>12.0</v>
      </c>
      <c r="E142" s="171">
        <f>SUMIFS(All_Stats!G:G,All_Stats!$A:$A,$B142,All_Stats!$B:$B,"Overall",All_Stats!$D:$D,"Total")</f>
        <v>0</v>
      </c>
      <c r="F142" s="113">
        <f>SUMIFS(All_Stats!H:H,All_Stats!$A:$A,$B142,All_Stats!$B:$B,"Overall",All_Stats!$D:$D,"Total")</f>
        <v>0</v>
      </c>
      <c r="G142" s="171">
        <f>SUMIFS(All_Stats!I:I,All_Stats!$A:$A,$B142,All_Stats!$B:$B,"Overall",All_Stats!$D:$D,"Total")</f>
        <v>0</v>
      </c>
      <c r="H142" s="113">
        <f>SUMIFS(All_Stats!K:K,All_Stats!$A:$A,$B142,All_Stats!$B:$B,"Overall",All_Stats!$D:$D,"Total")</f>
        <v>0</v>
      </c>
      <c r="I142" s="113">
        <f>SUMIFS(All_Stats!J:J,All_Stats!$A:$A,$B142,All_Stats!$B:$B,"Overall",All_Stats!$D:$D,"Total")</f>
        <v>0</v>
      </c>
      <c r="J142" s="113">
        <f t="shared" si="3"/>
        <v>12</v>
      </c>
      <c r="K142" s="249" t="s">
        <v>57</v>
      </c>
      <c r="L142" s="245">
        <v>44040.0</v>
      </c>
      <c r="M142" s="386">
        <v>44454.0</v>
      </c>
      <c r="N142" s="15"/>
      <c r="O142" s="310">
        <f t="shared" si="6"/>
        <v>4.993265993</v>
      </c>
      <c r="P142" s="311">
        <f t="shared" ref="P142:Q142" si="146">F142/D142</f>
        <v>0</v>
      </c>
      <c r="Q142" s="325" t="str">
        <f t="shared" si="146"/>
        <v>#DIV/0!</v>
      </c>
      <c r="R142" s="311">
        <f t="shared" si="8"/>
        <v>0</v>
      </c>
      <c r="S142" s="300" t="str">
        <f t="shared" si="124"/>
        <v>Closed</v>
      </c>
      <c r="T142" s="2" t="s">
        <v>21</v>
      </c>
      <c r="U142" s="162" t="s">
        <v>611</v>
      </c>
      <c r="V142" s="113">
        <f>COUNTIFS('Delivery Tracking'!E:E,B142)</f>
        <v>0</v>
      </c>
      <c r="W142" s="113">
        <f>SUMIFS(All_Stats!N:N,All_Stats!$A:$A,$B142,All_Stats!$B:$B,"Overall",All_Stats!$D:$D,"Total")</f>
        <v>0</v>
      </c>
      <c r="X142" s="323">
        <v>44602.0</v>
      </c>
      <c r="Y142" s="329"/>
      <c r="Z142" s="326"/>
    </row>
    <row r="143" hidden="1">
      <c r="A143" s="327" t="s">
        <v>888</v>
      </c>
      <c r="B143" s="341" t="s">
        <v>889</v>
      </c>
      <c r="C143" s="184"/>
      <c r="D143" s="193">
        <v>20.0</v>
      </c>
      <c r="E143" s="171">
        <f>SUMIFS(All_Stats!G:G,All_Stats!$A:$A,$B143,All_Stats!$B:$B,"Overall",All_Stats!$D:$D,"Total")</f>
        <v>0</v>
      </c>
      <c r="F143" s="113">
        <f>SUMIFS(All_Stats!H:H,All_Stats!$A:$A,$B143,All_Stats!$B:$B,"Overall",All_Stats!$D:$D,"Total")</f>
        <v>0</v>
      </c>
      <c r="G143" s="171">
        <f>SUMIFS(All_Stats!I:I,All_Stats!$A:$A,$B143,All_Stats!$B:$B,"Overall",All_Stats!$D:$D,"Total")</f>
        <v>0</v>
      </c>
      <c r="H143" s="113">
        <f>SUMIFS(All_Stats!K:K,All_Stats!$A:$A,$B143,All_Stats!$B:$B,"Overall",All_Stats!$D:$D,"Total")</f>
        <v>0</v>
      </c>
      <c r="I143" s="113">
        <f>SUMIFS(All_Stats!J:J,All_Stats!$A:$A,$B143,All_Stats!$B:$B,"Overall",All_Stats!$D:$D,"Total")</f>
        <v>0</v>
      </c>
      <c r="J143" s="113">
        <f t="shared" si="3"/>
        <v>20</v>
      </c>
      <c r="K143" s="249" t="s">
        <v>57</v>
      </c>
      <c r="L143" s="245">
        <v>44434.0</v>
      </c>
      <c r="M143" s="245">
        <v>44453.0</v>
      </c>
      <c r="O143" s="310">
        <f t="shared" si="6"/>
        <v>85.78571429</v>
      </c>
      <c r="P143" s="311">
        <f t="shared" ref="P143:Q143" si="147">F143/D143</f>
        <v>0</v>
      </c>
      <c r="Q143" s="325" t="str">
        <f t="shared" si="147"/>
        <v>#DIV/0!</v>
      </c>
      <c r="R143" s="311">
        <f t="shared" si="8"/>
        <v>0</v>
      </c>
      <c r="S143" s="300" t="str">
        <f t="shared" si="124"/>
        <v>Closed</v>
      </c>
      <c r="T143" s="2" t="s">
        <v>153</v>
      </c>
      <c r="U143" s="162" t="s">
        <v>611</v>
      </c>
      <c r="V143" s="113">
        <f>COUNTIFS('Delivery Tracking'!E:E,B143)</f>
        <v>0</v>
      </c>
      <c r="W143" s="113">
        <f>SUMIFS(All_Stats!N:N,All_Stats!$A:$A,$B143,All_Stats!$B:$B,"Overall",All_Stats!$D:$D,"Total")</f>
        <v>0</v>
      </c>
      <c r="X143" s="323">
        <v>44603.0</v>
      </c>
      <c r="Y143" s="329"/>
      <c r="Z143" s="326"/>
    </row>
    <row r="144" hidden="1">
      <c r="A144" s="371" t="s">
        <v>714</v>
      </c>
      <c r="B144" s="341" t="s">
        <v>890</v>
      </c>
      <c r="C144" s="306"/>
      <c r="D144" s="193">
        <v>195.0</v>
      </c>
      <c r="E144" s="171">
        <f>SUMIFS(All_Stats!G:G,All_Stats!$A:$A,$B144,All_Stats!$B:$B,"Overall",All_Stats!$D:$D,"Total")</f>
        <v>0</v>
      </c>
      <c r="F144" s="113">
        <f>SUMIFS(All_Stats!H:H,All_Stats!$A:$A,$B144,All_Stats!$B:$B,"Overall",All_Stats!$D:$D,"Total")</f>
        <v>0</v>
      </c>
      <c r="G144" s="171">
        <f>SUMIFS(All_Stats!I:I,All_Stats!$A:$A,$B144,All_Stats!$B:$B,"Overall",All_Stats!$D:$D,"Total")</f>
        <v>0</v>
      </c>
      <c r="H144" s="113">
        <f>SUMIFS(All_Stats!K:K,All_Stats!$A:$A,$B144,All_Stats!$B:$B,"Overall",All_Stats!$D:$D,"Total")</f>
        <v>0</v>
      </c>
      <c r="I144" s="113">
        <f>SUMIFS(All_Stats!J:J,All_Stats!$A:$A,$B144,All_Stats!$B:$B,"Overall",All_Stats!$D:$D,"Total")</f>
        <v>0</v>
      </c>
      <c r="J144" s="113">
        <f t="shared" si="3"/>
        <v>195</v>
      </c>
      <c r="K144" s="249" t="s">
        <v>57</v>
      </c>
      <c r="L144" s="245">
        <v>44411.0</v>
      </c>
      <c r="M144" s="245">
        <v>44449.0</v>
      </c>
      <c r="O144" s="310">
        <f t="shared" si="6"/>
        <v>42</v>
      </c>
      <c r="P144" s="311">
        <f t="shared" ref="P144:Q144" si="148">F144/D144</f>
        <v>0</v>
      </c>
      <c r="Q144" s="325" t="str">
        <f t="shared" si="148"/>
        <v>#DIV/0!</v>
      </c>
      <c r="R144" s="311">
        <f t="shared" si="8"/>
        <v>0</v>
      </c>
      <c r="S144" s="300" t="str">
        <f t="shared" si="124"/>
        <v>Closed</v>
      </c>
      <c r="T144" s="2" t="s">
        <v>111</v>
      </c>
      <c r="U144" s="162" t="s">
        <v>611</v>
      </c>
      <c r="V144" s="113">
        <f>COUNTIFS('Delivery Tracking'!E:E,B144)</f>
        <v>0</v>
      </c>
      <c r="W144" s="113">
        <f>SUMIFS(All_Stats!N:N,All_Stats!$A:$A,$B144,All_Stats!$B:$B,"Overall",All_Stats!$D:$D,"Total")</f>
        <v>0</v>
      </c>
      <c r="X144" s="323">
        <v>44604.0</v>
      </c>
      <c r="Y144" s="329"/>
      <c r="Z144" s="326"/>
    </row>
    <row r="145" hidden="1">
      <c r="A145" s="344" t="s">
        <v>690</v>
      </c>
      <c r="B145" s="341" t="s">
        <v>891</v>
      </c>
      <c r="C145" s="394"/>
      <c r="D145" s="193">
        <v>122.0</v>
      </c>
      <c r="E145" s="171">
        <f>SUMIFS(All_Stats!G:G,All_Stats!$A:$A,$B145,All_Stats!$B:$B,"Overall",All_Stats!$D:$D,"Total")</f>
        <v>0</v>
      </c>
      <c r="F145" s="113">
        <f>SUMIFS(All_Stats!H:H,All_Stats!$A:$A,$B145,All_Stats!$B:$B,"Overall",All_Stats!$D:$D,"Total")</f>
        <v>0</v>
      </c>
      <c r="G145" s="171">
        <f>SUMIFS(All_Stats!I:I,All_Stats!$A:$A,$B145,All_Stats!$B:$B,"Overall",All_Stats!$D:$D,"Total")</f>
        <v>0</v>
      </c>
      <c r="H145" s="113">
        <f>SUMIFS(All_Stats!K:K,All_Stats!$A:$A,$B145,All_Stats!$B:$B,"Overall",All_Stats!$D:$D,"Total")</f>
        <v>0</v>
      </c>
      <c r="I145" s="113">
        <f>SUMIFS(All_Stats!J:J,All_Stats!$A:$A,$B145,All_Stats!$B:$B,"Overall",All_Stats!$D:$D,"Total")</f>
        <v>0</v>
      </c>
      <c r="J145" s="113">
        <f t="shared" si="3"/>
        <v>122</v>
      </c>
      <c r="K145" s="249" t="s">
        <v>57</v>
      </c>
      <c r="L145" s="404">
        <v>44406.0</v>
      </c>
      <c r="M145" s="245">
        <v>44448.0</v>
      </c>
      <c r="O145" s="310">
        <f t="shared" si="6"/>
        <v>39.38709677</v>
      </c>
      <c r="P145" s="311">
        <f t="shared" ref="P145:Q145" si="149">F145/D145</f>
        <v>0</v>
      </c>
      <c r="Q145" s="325" t="str">
        <f t="shared" si="149"/>
        <v>#DIV/0!</v>
      </c>
      <c r="R145" s="311">
        <f t="shared" si="8"/>
        <v>0</v>
      </c>
      <c r="S145" s="300" t="str">
        <f t="shared" si="124"/>
        <v>Closed</v>
      </c>
      <c r="T145" s="2" t="s">
        <v>80</v>
      </c>
      <c r="U145" s="162" t="s">
        <v>611</v>
      </c>
      <c r="V145" s="113">
        <f>COUNTIFS('Delivery Tracking'!E:E,B145)</f>
        <v>0</v>
      </c>
      <c r="W145" s="113">
        <f>SUMIFS(All_Stats!N:N,All_Stats!$A:$A,$B145,All_Stats!$B:$B,"Overall",All_Stats!$D:$D,"Total")</f>
        <v>0</v>
      </c>
      <c r="X145" s="323">
        <v>44605.0</v>
      </c>
      <c r="Y145" s="329"/>
      <c r="Z145" s="326"/>
    </row>
    <row r="146" hidden="1">
      <c r="A146" s="352" t="s">
        <v>892</v>
      </c>
      <c r="B146" s="342" t="s">
        <v>893</v>
      </c>
      <c r="C146" s="184"/>
      <c r="D146" s="193">
        <v>11.0</v>
      </c>
      <c r="E146" s="171">
        <f>SUMIFS(All_Stats!G:G,All_Stats!$A:$A,$B146,All_Stats!$B:$B,"Overall",All_Stats!$D:$D,"Total")</f>
        <v>0</v>
      </c>
      <c r="F146" s="113">
        <f>SUMIFS(All_Stats!H:H,All_Stats!$A:$A,$B146,All_Stats!$B:$B,"Overall",All_Stats!$D:$D,"Total")</f>
        <v>0</v>
      </c>
      <c r="G146" s="171">
        <f>SUMIFS(All_Stats!I:I,All_Stats!$A:$A,$B146,All_Stats!$B:$B,"Overall",All_Stats!$D:$D,"Total")</f>
        <v>0</v>
      </c>
      <c r="H146" s="113">
        <f>SUMIFS(All_Stats!K:K,All_Stats!$A:$A,$B146,All_Stats!$B:$B,"Overall",All_Stats!$D:$D,"Total")</f>
        <v>0</v>
      </c>
      <c r="I146" s="113">
        <f>SUMIFS(All_Stats!J:J,All_Stats!$A:$A,$B146,All_Stats!$B:$B,"Overall",All_Stats!$D:$D,"Total")</f>
        <v>0</v>
      </c>
      <c r="J146" s="113">
        <f t="shared" si="3"/>
        <v>11</v>
      </c>
      <c r="K146" s="249" t="s">
        <v>57</v>
      </c>
      <c r="L146" s="323">
        <v>44435.0</v>
      </c>
      <c r="M146" s="245">
        <v>44445.0</v>
      </c>
      <c r="N146" s="2" t="s">
        <v>832</v>
      </c>
      <c r="O146" s="310">
        <f t="shared" si="6"/>
        <v>171.4285714</v>
      </c>
      <c r="P146" s="311">
        <f t="shared" ref="P146:Q146" si="150">F146/D146</f>
        <v>0</v>
      </c>
      <c r="Q146" s="325" t="str">
        <f t="shared" si="150"/>
        <v>#DIV/0!</v>
      </c>
      <c r="R146" s="311">
        <f t="shared" si="8"/>
        <v>0</v>
      </c>
      <c r="S146" s="300" t="str">
        <f t="shared" si="124"/>
        <v>Closed</v>
      </c>
      <c r="T146" s="2" t="s">
        <v>166</v>
      </c>
      <c r="U146" s="162" t="s">
        <v>611</v>
      </c>
      <c r="V146" s="113">
        <f>COUNTIFS('Delivery Tracking'!E:E,B146)</f>
        <v>0</v>
      </c>
      <c r="W146" s="113">
        <f>SUMIFS(All_Stats!N:N,All_Stats!$A:$A,$B146,All_Stats!$B:$B,"Overall",All_Stats!$D:$D,"Total")</f>
        <v>0</v>
      </c>
      <c r="X146" s="323">
        <v>44606.0</v>
      </c>
      <c r="Y146" s="329"/>
      <c r="Z146" s="326"/>
    </row>
    <row r="147" hidden="1">
      <c r="A147" s="327" t="s">
        <v>718</v>
      </c>
      <c r="B147" s="392" t="s">
        <v>894</v>
      </c>
      <c r="C147" s="184"/>
      <c r="D147" s="193">
        <v>273.0</v>
      </c>
      <c r="E147" s="171">
        <f>SUMIFS(All_Stats!G:G,All_Stats!$A:$A,$B147,All_Stats!$B:$B,"Overall",All_Stats!$D:$D,"Total")</f>
        <v>0</v>
      </c>
      <c r="F147" s="113">
        <f>SUMIFS(All_Stats!H:H,All_Stats!$A:$A,$B147,All_Stats!$B:$B,"Overall",All_Stats!$D:$D,"Total")</f>
        <v>0</v>
      </c>
      <c r="G147" s="171">
        <f>SUMIFS(All_Stats!I:I,All_Stats!$A:$A,$B147,All_Stats!$B:$B,"Overall",All_Stats!$D:$D,"Total")</f>
        <v>0</v>
      </c>
      <c r="H147" s="113">
        <f>SUMIFS(All_Stats!K:K,All_Stats!$A:$A,$B147,All_Stats!$B:$B,"Overall",All_Stats!$D:$D,"Total")</f>
        <v>0</v>
      </c>
      <c r="I147" s="113">
        <f>SUMIFS(All_Stats!J:J,All_Stats!$A:$A,$B147,All_Stats!$B:$B,"Overall",All_Stats!$D:$D,"Total")</f>
        <v>0</v>
      </c>
      <c r="J147" s="113">
        <f t="shared" si="3"/>
        <v>273</v>
      </c>
      <c r="K147" s="249" t="s">
        <v>57</v>
      </c>
      <c r="L147" s="323">
        <v>44410.0</v>
      </c>
      <c r="M147" s="245">
        <v>44467.0</v>
      </c>
      <c r="N147" s="11" t="s">
        <v>895</v>
      </c>
      <c r="O147" s="310">
        <f t="shared" si="6"/>
        <v>29.02380952</v>
      </c>
      <c r="P147" s="311">
        <f t="shared" ref="P147:Q147" si="151">F147/D147</f>
        <v>0</v>
      </c>
      <c r="Q147" s="325" t="str">
        <f t="shared" si="151"/>
        <v>#DIV/0!</v>
      </c>
      <c r="R147" s="311">
        <f t="shared" si="8"/>
        <v>0</v>
      </c>
      <c r="S147" s="300" t="str">
        <f t="shared" si="124"/>
        <v>Closed</v>
      </c>
      <c r="T147" s="2" t="s">
        <v>166</v>
      </c>
      <c r="U147" s="162" t="s">
        <v>611</v>
      </c>
      <c r="V147" s="113">
        <f>COUNTIFS('Delivery Tracking'!E:E,B147)</f>
        <v>0</v>
      </c>
      <c r="W147" s="113">
        <f>SUMIFS(All_Stats!N:N,All_Stats!$A:$A,$B147,All_Stats!$B:$B,"Overall",All_Stats!$D:$D,"Total")</f>
        <v>0</v>
      </c>
      <c r="X147" s="323">
        <v>44607.0</v>
      </c>
      <c r="Y147" s="329"/>
      <c r="Z147" s="326"/>
    </row>
    <row r="148" hidden="1">
      <c r="A148" s="334" t="s">
        <v>896</v>
      </c>
      <c r="B148" s="342" t="s">
        <v>897</v>
      </c>
      <c r="C148" s="384"/>
      <c r="D148" s="193">
        <v>60.0</v>
      </c>
      <c r="E148" s="171">
        <f>SUMIFS(All_Stats!G:G,All_Stats!$A:$A,$B148,All_Stats!$B:$B,"Overall",All_Stats!$D:$D,"Total")</f>
        <v>0</v>
      </c>
      <c r="F148" s="113">
        <f>SUMIFS(All_Stats!H:H,All_Stats!$A:$A,$B148,All_Stats!$B:$B,"Overall",All_Stats!$D:$D,"Total")</f>
        <v>0</v>
      </c>
      <c r="G148" s="171">
        <f>SUMIFS(All_Stats!I:I,All_Stats!$A:$A,$B148,All_Stats!$B:$B,"Overall",All_Stats!$D:$D,"Total")</f>
        <v>0</v>
      </c>
      <c r="H148" s="113">
        <f>SUMIFS(All_Stats!K:K,All_Stats!$A:$A,$B148,All_Stats!$B:$B,"Overall",All_Stats!$D:$D,"Total")</f>
        <v>0</v>
      </c>
      <c r="I148" s="113">
        <f>SUMIFS(All_Stats!J:J,All_Stats!$A:$A,$B148,All_Stats!$B:$B,"Overall",All_Stats!$D:$D,"Total")</f>
        <v>0</v>
      </c>
      <c r="J148" s="113">
        <f t="shared" si="3"/>
        <v>60</v>
      </c>
      <c r="K148" s="249" t="s">
        <v>57</v>
      </c>
      <c r="L148" s="323">
        <v>44397.0</v>
      </c>
      <c r="M148" s="245">
        <v>44439.0</v>
      </c>
      <c r="N148" s="333" t="s">
        <v>898</v>
      </c>
      <c r="O148" s="310">
        <f t="shared" si="6"/>
        <v>39.61290323</v>
      </c>
      <c r="P148" s="311">
        <f t="shared" ref="P148:Q148" si="152">F148/D148</f>
        <v>0</v>
      </c>
      <c r="Q148" s="325" t="str">
        <f t="shared" si="152"/>
        <v>#DIV/0!</v>
      </c>
      <c r="R148" s="311">
        <f t="shared" si="8"/>
        <v>0</v>
      </c>
      <c r="S148" s="300" t="str">
        <f t="shared" si="124"/>
        <v>Closed</v>
      </c>
      <c r="T148" s="2" t="s">
        <v>153</v>
      </c>
      <c r="U148" s="162" t="s">
        <v>611</v>
      </c>
      <c r="V148" s="113">
        <f>COUNTIFS('Delivery Tracking'!E:E,B148)</f>
        <v>0</v>
      </c>
      <c r="W148" s="113">
        <f>SUMIFS(All_Stats!N:N,All_Stats!$A:$A,$B148,All_Stats!$B:$B,"Overall",All_Stats!$D:$D,"Total")</f>
        <v>0</v>
      </c>
      <c r="X148" s="323">
        <v>44608.0</v>
      </c>
      <c r="Y148" s="329"/>
      <c r="Z148" s="326"/>
    </row>
    <row r="149" hidden="1">
      <c r="A149" s="334" t="s">
        <v>878</v>
      </c>
      <c r="B149" s="342" t="s">
        <v>899</v>
      </c>
      <c r="C149" s="184"/>
      <c r="D149" s="193">
        <v>4.0</v>
      </c>
      <c r="E149" s="171">
        <f>SUMIFS(All_Stats!G:G,All_Stats!$A:$A,$B149,All_Stats!$B:$B,"Overall",All_Stats!$D:$D,"Total")</f>
        <v>0</v>
      </c>
      <c r="F149" s="113">
        <f>SUMIFS(All_Stats!H:H,All_Stats!$A:$A,$B149,All_Stats!$B:$B,"Overall",All_Stats!$D:$D,"Total")</f>
        <v>0</v>
      </c>
      <c r="G149" s="171">
        <f>SUMIFS(All_Stats!I:I,All_Stats!$A:$A,$B149,All_Stats!$B:$B,"Overall",All_Stats!$D:$D,"Total")</f>
        <v>0</v>
      </c>
      <c r="H149" s="113">
        <f>SUMIFS(All_Stats!K:K,All_Stats!$A:$A,$B149,All_Stats!$B:$B,"Overall",All_Stats!$D:$D,"Total")</f>
        <v>0</v>
      </c>
      <c r="I149" s="113">
        <f>SUMIFS(All_Stats!J:J,All_Stats!$A:$A,$B149,All_Stats!$B:$B,"Overall",All_Stats!$D:$D,"Total")</f>
        <v>0</v>
      </c>
      <c r="J149" s="113">
        <f t="shared" si="3"/>
        <v>4</v>
      </c>
      <c r="K149" s="249" t="s">
        <v>57</v>
      </c>
      <c r="L149" s="323">
        <v>44439.0</v>
      </c>
      <c r="M149" s="245">
        <v>44441.0</v>
      </c>
      <c r="O149" s="310">
        <f t="shared" si="6"/>
        <v>399.3333333</v>
      </c>
      <c r="P149" s="311">
        <f t="shared" ref="P149:Q149" si="153">F149/D149</f>
        <v>0</v>
      </c>
      <c r="Q149" s="325" t="str">
        <f t="shared" si="153"/>
        <v>#DIV/0!</v>
      </c>
      <c r="R149" s="311">
        <f t="shared" si="8"/>
        <v>0</v>
      </c>
      <c r="S149" s="300" t="str">
        <f t="shared" si="124"/>
        <v>Closed</v>
      </c>
      <c r="T149" s="2" t="s">
        <v>166</v>
      </c>
      <c r="U149" s="162" t="s">
        <v>611</v>
      </c>
      <c r="V149" s="113">
        <f>COUNTIFS('Delivery Tracking'!E:E,B149)</f>
        <v>0</v>
      </c>
      <c r="W149" s="113">
        <f>SUMIFS(All_Stats!N:N,All_Stats!$A:$A,$B149,All_Stats!$B:$B,"Overall",All_Stats!$D:$D,"Total")</f>
        <v>0</v>
      </c>
      <c r="X149" s="323">
        <v>44609.0</v>
      </c>
      <c r="Y149" s="329"/>
      <c r="Z149" s="326"/>
    </row>
    <row r="150" hidden="1">
      <c r="A150" s="330" t="s">
        <v>769</v>
      </c>
      <c r="B150" s="341" t="s">
        <v>900</v>
      </c>
      <c r="C150" s="184"/>
      <c r="D150" s="193">
        <v>110.0</v>
      </c>
      <c r="E150" s="171">
        <f>SUMIFS(All_Stats!G:G,All_Stats!$A:$A,$B150,All_Stats!$B:$B,"Overall",All_Stats!$D:$D,"Total")</f>
        <v>0</v>
      </c>
      <c r="F150" s="113">
        <f>SUMIFS(All_Stats!H:H,All_Stats!$A:$A,$B150,All_Stats!$B:$B,"Overall",All_Stats!$D:$D,"Total")</f>
        <v>0</v>
      </c>
      <c r="G150" s="171">
        <f>SUMIFS(All_Stats!I:I,All_Stats!$A:$A,$B150,All_Stats!$B:$B,"Overall",All_Stats!$D:$D,"Total")</f>
        <v>0</v>
      </c>
      <c r="H150" s="113">
        <f>SUMIFS(All_Stats!K:K,All_Stats!$A:$A,$B150,All_Stats!$B:$B,"Overall",All_Stats!$D:$D,"Total")</f>
        <v>0</v>
      </c>
      <c r="I150" s="113">
        <f>SUMIFS(All_Stats!J:J,All_Stats!$A:$A,$B150,All_Stats!$B:$B,"Overall",All_Stats!$D:$D,"Total")</f>
        <v>0</v>
      </c>
      <c r="J150" s="113">
        <f t="shared" si="3"/>
        <v>110</v>
      </c>
      <c r="K150" s="249" t="s">
        <v>57</v>
      </c>
      <c r="L150" s="245">
        <v>44435.0</v>
      </c>
      <c r="M150" s="245">
        <v>44449.0</v>
      </c>
      <c r="O150" s="310">
        <f t="shared" si="6"/>
        <v>109.0909091</v>
      </c>
      <c r="P150" s="311">
        <f t="shared" ref="P150:Q150" si="154">F150/D150</f>
        <v>0</v>
      </c>
      <c r="Q150" s="325" t="str">
        <f t="shared" si="154"/>
        <v>#DIV/0!</v>
      </c>
      <c r="R150" s="311">
        <f t="shared" si="8"/>
        <v>0</v>
      </c>
      <c r="S150" s="300" t="str">
        <f t="shared" si="124"/>
        <v>Closed</v>
      </c>
      <c r="T150" s="2" t="s">
        <v>184</v>
      </c>
      <c r="U150" s="162" t="s">
        <v>611</v>
      </c>
      <c r="V150" s="113">
        <f>COUNTIFS('Delivery Tracking'!E:E,B150)</f>
        <v>0</v>
      </c>
      <c r="W150" s="113">
        <f>SUMIFS(All_Stats!N:N,All_Stats!$A:$A,$B150,All_Stats!$B:$B,"Overall",All_Stats!$D:$D,"Total")</f>
        <v>0</v>
      </c>
      <c r="X150" s="323">
        <v>44610.0</v>
      </c>
      <c r="Y150" s="329"/>
      <c r="Z150" s="326"/>
    </row>
    <row r="151" hidden="1">
      <c r="A151" s="330" t="s">
        <v>769</v>
      </c>
      <c r="B151" s="341" t="s">
        <v>901</v>
      </c>
      <c r="C151" s="384"/>
      <c r="D151" s="193">
        <v>190.0</v>
      </c>
      <c r="E151" s="171">
        <f>SUMIFS(All_Stats!G:G,All_Stats!$A:$A,$B151,All_Stats!$B:$B,"Overall",All_Stats!$D:$D,"Total")</f>
        <v>0</v>
      </c>
      <c r="F151" s="113">
        <f>SUMIFS(All_Stats!H:H,All_Stats!$A:$A,$B151,All_Stats!$B:$B,"Overall",All_Stats!$D:$D,"Total")</f>
        <v>0</v>
      </c>
      <c r="G151" s="171">
        <f>SUMIFS(All_Stats!I:I,All_Stats!$A:$A,$B151,All_Stats!$B:$B,"Overall",All_Stats!$D:$D,"Total")</f>
        <v>0</v>
      </c>
      <c r="H151" s="113">
        <f>SUMIFS(All_Stats!K:K,All_Stats!$A:$A,$B151,All_Stats!$B:$B,"Overall",All_Stats!$D:$D,"Total")</f>
        <v>0</v>
      </c>
      <c r="I151" s="113">
        <f>SUMIFS(All_Stats!J:J,All_Stats!$A:$A,$B151,All_Stats!$B:$B,"Overall",All_Stats!$D:$D,"Total")</f>
        <v>0</v>
      </c>
      <c r="J151" s="113">
        <f t="shared" si="3"/>
        <v>190</v>
      </c>
      <c r="K151" s="249" t="s">
        <v>57</v>
      </c>
      <c r="L151" s="245">
        <v>44434.0</v>
      </c>
      <c r="M151" s="245">
        <v>44449.0</v>
      </c>
      <c r="O151" s="310">
        <f t="shared" si="6"/>
        <v>100.0833333</v>
      </c>
      <c r="P151" s="311">
        <f t="shared" ref="P151:Q151" si="155">F151/D151</f>
        <v>0</v>
      </c>
      <c r="Q151" s="325" t="str">
        <f t="shared" si="155"/>
        <v>#DIV/0!</v>
      </c>
      <c r="R151" s="311">
        <f t="shared" si="8"/>
        <v>0</v>
      </c>
      <c r="S151" s="300" t="str">
        <f t="shared" si="124"/>
        <v>Closed</v>
      </c>
      <c r="T151" s="2" t="s">
        <v>184</v>
      </c>
      <c r="U151" s="162" t="s">
        <v>611</v>
      </c>
      <c r="V151" s="113">
        <f>COUNTIFS('Delivery Tracking'!E:E,B151)</f>
        <v>0</v>
      </c>
      <c r="W151" s="113">
        <f>SUMIFS(All_Stats!N:N,All_Stats!$A:$A,$B151,All_Stats!$B:$B,"Overall",All_Stats!$D:$D,"Total")</f>
        <v>0</v>
      </c>
      <c r="X151" s="323">
        <v>44611.0</v>
      </c>
      <c r="Y151" s="329"/>
      <c r="Z151" s="326"/>
    </row>
    <row r="152" hidden="1">
      <c r="A152" s="405" t="s">
        <v>769</v>
      </c>
      <c r="B152" s="341" t="s">
        <v>902</v>
      </c>
      <c r="C152" s="306"/>
      <c r="D152" s="193">
        <v>105.0</v>
      </c>
      <c r="E152" s="171">
        <f>SUMIFS(All_Stats!G:G,All_Stats!$A:$A,$B152,All_Stats!$B:$B,"Overall",All_Stats!$D:$D,"Total")</f>
        <v>0</v>
      </c>
      <c r="F152" s="113">
        <f>SUMIFS(All_Stats!H:H,All_Stats!$A:$A,$B152,All_Stats!$B:$B,"Overall",All_Stats!$D:$D,"Total")</f>
        <v>0</v>
      </c>
      <c r="G152" s="171">
        <f>SUMIFS(All_Stats!I:I,All_Stats!$A:$A,$B152,All_Stats!$B:$B,"Overall",All_Stats!$D:$D,"Total")</f>
        <v>0</v>
      </c>
      <c r="H152" s="113">
        <f>SUMIFS(All_Stats!K:K,All_Stats!$A:$A,$B152,All_Stats!$B:$B,"Overall",All_Stats!$D:$D,"Total")</f>
        <v>0</v>
      </c>
      <c r="I152" s="113">
        <f>SUMIFS(All_Stats!J:J,All_Stats!$A:$A,$B152,All_Stats!$B:$B,"Overall",All_Stats!$D:$D,"Total")</f>
        <v>0</v>
      </c>
      <c r="J152" s="113">
        <f t="shared" si="3"/>
        <v>105</v>
      </c>
      <c r="K152" s="249" t="s">
        <v>57</v>
      </c>
      <c r="L152" s="245">
        <v>44434.0</v>
      </c>
      <c r="M152" s="245">
        <v>44449.0</v>
      </c>
      <c r="O152" s="310">
        <f t="shared" si="6"/>
        <v>100.0833333</v>
      </c>
      <c r="P152" s="311">
        <f t="shared" ref="P152:Q152" si="156">F152/D152</f>
        <v>0</v>
      </c>
      <c r="Q152" s="325" t="str">
        <f t="shared" si="156"/>
        <v>#DIV/0!</v>
      </c>
      <c r="R152" s="311">
        <f t="shared" si="8"/>
        <v>0</v>
      </c>
      <c r="S152" s="300" t="str">
        <f t="shared" si="124"/>
        <v>Closed</v>
      </c>
      <c r="T152" s="2" t="s">
        <v>184</v>
      </c>
      <c r="U152" s="162" t="s">
        <v>611</v>
      </c>
      <c r="V152" s="113">
        <f>COUNTIFS('Delivery Tracking'!E:E,B152)</f>
        <v>0</v>
      </c>
      <c r="W152" s="113">
        <f>SUMIFS(All_Stats!N:N,All_Stats!$A:$A,$B152,All_Stats!$B:$B,"Overall",All_Stats!$D:$D,"Total")</f>
        <v>0</v>
      </c>
      <c r="X152" s="323">
        <v>44612.0</v>
      </c>
      <c r="Y152" s="329"/>
      <c r="Z152" s="326"/>
    </row>
    <row r="153" hidden="1">
      <c r="A153" s="334" t="s">
        <v>769</v>
      </c>
      <c r="B153" s="342" t="s">
        <v>903</v>
      </c>
      <c r="C153" s="184"/>
      <c r="D153" s="193">
        <v>107.0</v>
      </c>
      <c r="E153" s="171">
        <f>SUMIFS(All_Stats!G:G,All_Stats!$A:$A,$B153,All_Stats!$B:$B,"Overall",All_Stats!$D:$D,"Total")</f>
        <v>0</v>
      </c>
      <c r="F153" s="113">
        <f>SUMIFS(All_Stats!H:H,All_Stats!$A:$A,$B153,All_Stats!$B:$B,"Overall",All_Stats!$D:$D,"Total")</f>
        <v>0</v>
      </c>
      <c r="G153" s="171">
        <f>SUMIFS(All_Stats!I:I,All_Stats!$A:$A,$B153,All_Stats!$B:$B,"Overall",All_Stats!$D:$D,"Total")</f>
        <v>0</v>
      </c>
      <c r="H153" s="113">
        <f>SUMIFS(All_Stats!K:K,All_Stats!$A:$A,$B153,All_Stats!$B:$B,"Overall",All_Stats!$D:$D,"Total")</f>
        <v>0</v>
      </c>
      <c r="I153" s="113">
        <f>SUMIFS(All_Stats!J:J,All_Stats!$A:$A,$B153,All_Stats!$B:$B,"Overall",All_Stats!$D:$D,"Total")</f>
        <v>0</v>
      </c>
      <c r="J153" s="113">
        <f t="shared" si="3"/>
        <v>107</v>
      </c>
      <c r="K153" s="249" t="s">
        <v>57</v>
      </c>
      <c r="L153" s="323">
        <v>44432.0</v>
      </c>
      <c r="M153" s="245">
        <v>44450.0</v>
      </c>
      <c r="O153" s="310">
        <f t="shared" si="6"/>
        <v>85.92857143</v>
      </c>
      <c r="P153" s="311">
        <f t="shared" ref="P153:Q153" si="157">F153/D153</f>
        <v>0</v>
      </c>
      <c r="Q153" s="325" t="str">
        <f t="shared" si="157"/>
        <v>#DIV/0!</v>
      </c>
      <c r="R153" s="311">
        <f t="shared" si="8"/>
        <v>0</v>
      </c>
      <c r="S153" s="300" t="str">
        <f t="shared" si="124"/>
        <v>Closed</v>
      </c>
      <c r="T153" s="2" t="s">
        <v>184</v>
      </c>
      <c r="U153" s="162" t="s">
        <v>611</v>
      </c>
      <c r="V153" s="113">
        <f>COUNTIFS('Delivery Tracking'!E:E,B153)</f>
        <v>0</v>
      </c>
      <c r="W153" s="113">
        <f>SUMIFS(All_Stats!N:N,All_Stats!$A:$A,$B153,All_Stats!$B:$B,"Overall",All_Stats!$D:$D,"Total")</f>
        <v>0</v>
      </c>
      <c r="X153" s="323">
        <v>44613.0</v>
      </c>
      <c r="Y153" s="329"/>
      <c r="Z153" s="326"/>
    </row>
    <row r="154" hidden="1">
      <c r="A154" s="334" t="s">
        <v>763</v>
      </c>
      <c r="B154" s="342" t="s">
        <v>904</v>
      </c>
      <c r="C154" s="184"/>
      <c r="D154" s="193">
        <v>25.0</v>
      </c>
      <c r="E154" s="171">
        <f>SUMIFS(All_Stats!G:G,All_Stats!$A:$A,$B154,All_Stats!$B:$B,"Overall",All_Stats!$D:$D,"Total")</f>
        <v>0</v>
      </c>
      <c r="F154" s="113">
        <f>SUMIFS(All_Stats!H:H,All_Stats!$A:$A,$B154,All_Stats!$B:$B,"Overall",All_Stats!$D:$D,"Total")</f>
        <v>0</v>
      </c>
      <c r="G154" s="171">
        <f>SUMIFS(All_Stats!I:I,All_Stats!$A:$A,$B154,All_Stats!$B:$B,"Overall",All_Stats!$D:$D,"Total")</f>
        <v>0</v>
      </c>
      <c r="H154" s="113">
        <f>SUMIFS(All_Stats!K:K,All_Stats!$A:$A,$B154,All_Stats!$B:$B,"Overall",All_Stats!$D:$D,"Total")</f>
        <v>0</v>
      </c>
      <c r="I154" s="113">
        <f>SUMIFS(All_Stats!J:J,All_Stats!$A:$A,$B154,All_Stats!$B:$B,"Overall",All_Stats!$D:$D,"Total")</f>
        <v>0</v>
      </c>
      <c r="J154" s="113">
        <f t="shared" si="3"/>
        <v>25</v>
      </c>
      <c r="K154" s="249" t="s">
        <v>57</v>
      </c>
      <c r="L154" s="323">
        <v>44412.0</v>
      </c>
      <c r="M154" s="245">
        <v>44439.0</v>
      </c>
      <c r="N154" s="2" t="s">
        <v>905</v>
      </c>
      <c r="O154" s="310">
        <f t="shared" si="6"/>
        <v>60.85</v>
      </c>
      <c r="P154" s="311">
        <f t="shared" ref="P154:Q154" si="158">F154/D154</f>
        <v>0</v>
      </c>
      <c r="Q154" s="325" t="str">
        <f t="shared" si="158"/>
        <v>#DIV/0!</v>
      </c>
      <c r="R154" s="311">
        <f t="shared" si="8"/>
        <v>0</v>
      </c>
      <c r="S154" s="300" t="str">
        <f t="shared" si="124"/>
        <v>Closed</v>
      </c>
      <c r="T154" s="2" t="s">
        <v>67</v>
      </c>
      <c r="U154" s="162" t="s">
        <v>611</v>
      </c>
      <c r="V154" s="113">
        <f>COUNTIFS('Delivery Tracking'!E:E,B154)</f>
        <v>0</v>
      </c>
      <c r="W154" s="113">
        <f>SUMIFS(All_Stats!N:N,All_Stats!$A:$A,$B154,All_Stats!$B:$B,"Overall",All_Stats!$D:$D,"Total")</f>
        <v>0</v>
      </c>
      <c r="X154" s="323">
        <v>44614.0</v>
      </c>
      <c r="Y154" s="329"/>
      <c r="Z154" s="326"/>
    </row>
    <row r="155" hidden="1">
      <c r="A155" s="344" t="s">
        <v>862</v>
      </c>
      <c r="B155" s="361" t="s">
        <v>906</v>
      </c>
      <c r="C155" s="306"/>
      <c r="D155" s="193">
        <v>65.0</v>
      </c>
      <c r="E155" s="171">
        <f>SUMIFS(All_Stats!G:G,All_Stats!$A:$A,$B155,All_Stats!$B:$B,"Overall",All_Stats!$D:$D,"Total")</f>
        <v>0</v>
      </c>
      <c r="F155" s="113">
        <f>SUMIFS(All_Stats!H:H,All_Stats!$A:$A,$B155,All_Stats!$B:$B,"Overall",All_Stats!$D:$D,"Total")</f>
        <v>0</v>
      </c>
      <c r="G155" s="171">
        <f>SUMIFS(All_Stats!I:I,All_Stats!$A:$A,$B155,All_Stats!$B:$B,"Overall",All_Stats!$D:$D,"Total")</f>
        <v>0</v>
      </c>
      <c r="H155" s="113">
        <f>SUMIFS(All_Stats!K:K,All_Stats!$A:$A,$B155,All_Stats!$B:$B,"Overall",All_Stats!$D:$D,"Total")</f>
        <v>0</v>
      </c>
      <c r="I155" s="113">
        <f>SUMIFS(All_Stats!J:J,All_Stats!$A:$A,$B155,All_Stats!$B:$B,"Overall",All_Stats!$D:$D,"Total")</f>
        <v>0</v>
      </c>
      <c r="J155" s="113">
        <f t="shared" si="3"/>
        <v>65</v>
      </c>
      <c r="K155" s="249" t="s">
        <v>57</v>
      </c>
      <c r="L155" s="323">
        <v>44397.0</v>
      </c>
      <c r="M155" s="245">
        <v>44439.0</v>
      </c>
      <c r="O155" s="310">
        <f t="shared" si="6"/>
        <v>39.61290323</v>
      </c>
      <c r="P155" s="311">
        <f t="shared" ref="P155:Q155" si="159">F155/D155</f>
        <v>0</v>
      </c>
      <c r="Q155" s="325" t="str">
        <f t="shared" si="159"/>
        <v>#DIV/0!</v>
      </c>
      <c r="R155" s="311">
        <f t="shared" si="8"/>
        <v>0</v>
      </c>
      <c r="S155" s="300" t="str">
        <f t="shared" si="124"/>
        <v>Closed</v>
      </c>
      <c r="T155" s="2" t="s">
        <v>166</v>
      </c>
      <c r="U155" s="162" t="s">
        <v>611</v>
      </c>
      <c r="V155" s="113">
        <f>COUNTIFS('Delivery Tracking'!E:E,B155)</f>
        <v>0</v>
      </c>
      <c r="W155" s="113">
        <f>SUMIFS(All_Stats!N:N,All_Stats!$A:$A,$B155,All_Stats!$B:$B,"Overall",All_Stats!$D:$D,"Total")</f>
        <v>0</v>
      </c>
      <c r="X155" s="323">
        <v>44615.0</v>
      </c>
      <c r="Y155" s="329"/>
      <c r="Z155" s="326"/>
    </row>
    <row r="156" hidden="1">
      <c r="A156" s="330" t="s">
        <v>907</v>
      </c>
      <c r="B156" s="341" t="s">
        <v>908</v>
      </c>
      <c r="C156" s="306"/>
      <c r="D156" s="193">
        <v>30.0</v>
      </c>
      <c r="E156" s="171">
        <f>SUMIFS(All_Stats!G:G,All_Stats!$A:$A,$B156,All_Stats!$B:$B,"Overall",All_Stats!$D:$D,"Total")</f>
        <v>0</v>
      </c>
      <c r="F156" s="113">
        <f>SUMIFS(All_Stats!H:H,All_Stats!$A:$A,$B156,All_Stats!$B:$B,"Overall",All_Stats!$D:$D,"Total")</f>
        <v>0</v>
      </c>
      <c r="G156" s="171">
        <f>SUMIFS(All_Stats!I:I,All_Stats!$A:$A,$B156,All_Stats!$B:$B,"Overall",All_Stats!$D:$D,"Total")</f>
        <v>0</v>
      </c>
      <c r="H156" s="113">
        <f>SUMIFS(All_Stats!K:K,All_Stats!$A:$A,$B156,All_Stats!$B:$B,"Overall",All_Stats!$D:$D,"Total")</f>
        <v>0</v>
      </c>
      <c r="I156" s="113">
        <f>SUMIFS(All_Stats!J:J,All_Stats!$A:$A,$B156,All_Stats!$B:$B,"Overall",All_Stats!$D:$D,"Total")</f>
        <v>0</v>
      </c>
      <c r="J156" s="113">
        <f t="shared" si="3"/>
        <v>30</v>
      </c>
      <c r="K156" s="249" t="s">
        <v>57</v>
      </c>
      <c r="L156" s="245">
        <v>44399.0</v>
      </c>
      <c r="M156" s="245">
        <v>44440.0</v>
      </c>
      <c r="N156" s="406" t="s">
        <v>909</v>
      </c>
      <c r="O156" s="310">
        <f t="shared" si="6"/>
        <v>40.86666667</v>
      </c>
      <c r="P156" s="311">
        <f t="shared" ref="P156:Q156" si="160">F156/D156</f>
        <v>0</v>
      </c>
      <c r="Q156" s="325" t="str">
        <f t="shared" si="160"/>
        <v>#DIV/0!</v>
      </c>
      <c r="R156" s="311">
        <f t="shared" si="8"/>
        <v>0</v>
      </c>
      <c r="S156" s="300" t="str">
        <f t="shared" si="124"/>
        <v>Closed</v>
      </c>
      <c r="T156" s="2" t="s">
        <v>146</v>
      </c>
      <c r="U156" s="162" t="s">
        <v>611</v>
      </c>
      <c r="V156" s="113">
        <f>COUNTIFS('Delivery Tracking'!E:E,B156)</f>
        <v>0</v>
      </c>
      <c r="W156" s="113">
        <f>SUMIFS(All_Stats!N:N,All_Stats!$A:$A,$B156,All_Stats!$B:$B,"Overall",All_Stats!$D:$D,"Total")</f>
        <v>0</v>
      </c>
      <c r="X156" s="323">
        <v>44616.0</v>
      </c>
      <c r="Y156" s="329"/>
      <c r="Z156" s="326"/>
    </row>
    <row r="157" hidden="1">
      <c r="A157" s="334" t="s">
        <v>769</v>
      </c>
      <c r="B157" s="175" t="s">
        <v>910</v>
      </c>
      <c r="C157" s="184"/>
      <c r="D157" s="193">
        <v>115.0</v>
      </c>
      <c r="E157" s="171">
        <f>SUMIFS(All_Stats!G:G,All_Stats!$A:$A,$B157,All_Stats!$B:$B,"Overall",All_Stats!$D:$D,"Total")</f>
        <v>0</v>
      </c>
      <c r="F157" s="113">
        <f>SUMIFS(All_Stats!H:H,All_Stats!$A:$A,$B157,All_Stats!$B:$B,"Overall",All_Stats!$D:$D,"Total")</f>
        <v>0</v>
      </c>
      <c r="G157" s="171">
        <f>SUMIFS(All_Stats!I:I,All_Stats!$A:$A,$B157,All_Stats!$B:$B,"Overall",All_Stats!$D:$D,"Total")</f>
        <v>0</v>
      </c>
      <c r="H157" s="113">
        <f>SUMIFS(All_Stats!K:K,All_Stats!$A:$A,$B157,All_Stats!$B:$B,"Overall",All_Stats!$D:$D,"Total")</f>
        <v>0</v>
      </c>
      <c r="I157" s="113">
        <f>SUMIFS(All_Stats!J:J,All_Stats!$A:$A,$B157,All_Stats!$B:$B,"Overall",All_Stats!$D:$D,"Total")</f>
        <v>0</v>
      </c>
      <c r="J157" s="113">
        <f t="shared" si="3"/>
        <v>115</v>
      </c>
      <c r="K157" s="249" t="s">
        <v>57</v>
      </c>
      <c r="L157" s="323">
        <v>44427.0</v>
      </c>
      <c r="M157" s="245">
        <v>44438.0</v>
      </c>
      <c r="O157" s="310">
        <f t="shared" si="6"/>
        <v>150.75</v>
      </c>
      <c r="P157" s="311">
        <f t="shared" ref="P157:Q157" si="161">F157/D157</f>
        <v>0</v>
      </c>
      <c r="Q157" s="325" t="str">
        <f t="shared" si="161"/>
        <v>#DIV/0!</v>
      </c>
      <c r="R157" s="311">
        <f t="shared" si="8"/>
        <v>0</v>
      </c>
      <c r="S157" s="300" t="str">
        <f t="shared" si="124"/>
        <v>Closed</v>
      </c>
      <c r="T157" s="2" t="s">
        <v>184</v>
      </c>
      <c r="U157" s="162" t="s">
        <v>611</v>
      </c>
      <c r="V157" s="113">
        <f>COUNTIFS('Delivery Tracking'!E:E,B157)</f>
        <v>0</v>
      </c>
      <c r="W157" s="113">
        <f>SUMIFS(All_Stats!N:N,All_Stats!$A:$A,$B157,All_Stats!$B:$B,"Overall",All_Stats!$D:$D,"Total")</f>
        <v>0</v>
      </c>
      <c r="X157" s="323">
        <v>44617.0</v>
      </c>
      <c r="Y157" s="329"/>
      <c r="Z157" s="326"/>
    </row>
    <row r="158" hidden="1">
      <c r="A158" s="340" t="s">
        <v>911</v>
      </c>
      <c r="B158" s="341" t="s">
        <v>912</v>
      </c>
      <c r="C158" s="184"/>
      <c r="D158" s="193">
        <v>25.0</v>
      </c>
      <c r="E158" s="171">
        <f>SUMIFS(All_Stats!G:G,All_Stats!$A:$A,$B158,All_Stats!$B:$B,"Overall",All_Stats!$D:$D,"Total")</f>
        <v>0</v>
      </c>
      <c r="F158" s="113">
        <f>SUMIFS(All_Stats!H:H,All_Stats!$A:$A,$B158,All_Stats!$B:$B,"Overall",All_Stats!$D:$D,"Total")</f>
        <v>0</v>
      </c>
      <c r="G158" s="171">
        <f>SUMIFS(All_Stats!I:I,All_Stats!$A:$A,$B158,All_Stats!$B:$B,"Overall",All_Stats!$D:$D,"Total")</f>
        <v>0</v>
      </c>
      <c r="H158" s="113">
        <f>SUMIFS(All_Stats!K:K,All_Stats!$A:$A,$B158,All_Stats!$B:$B,"Overall",All_Stats!$D:$D,"Total")</f>
        <v>0</v>
      </c>
      <c r="I158" s="113">
        <f>SUMIFS(All_Stats!J:J,All_Stats!$A:$A,$B158,All_Stats!$B:$B,"Overall",All_Stats!$D:$D,"Total")</f>
        <v>0</v>
      </c>
      <c r="J158" s="113">
        <f t="shared" si="3"/>
        <v>25</v>
      </c>
      <c r="K158" s="249" t="s">
        <v>57</v>
      </c>
      <c r="L158" s="245">
        <v>44425.0</v>
      </c>
      <c r="M158" s="245">
        <v>44435.0</v>
      </c>
      <c r="O158" s="310">
        <f t="shared" si="6"/>
        <v>134.2222222</v>
      </c>
      <c r="P158" s="311">
        <f t="shared" ref="P158:Q158" si="162">F158/D158</f>
        <v>0</v>
      </c>
      <c r="Q158" s="325" t="str">
        <f t="shared" si="162"/>
        <v>#DIV/0!</v>
      </c>
      <c r="R158" s="311">
        <f t="shared" si="8"/>
        <v>0</v>
      </c>
      <c r="S158" s="300" t="str">
        <f t="shared" si="124"/>
        <v>Closed</v>
      </c>
      <c r="T158" s="2" t="s">
        <v>153</v>
      </c>
      <c r="U158" s="162" t="s">
        <v>611</v>
      </c>
      <c r="V158" s="113">
        <f>COUNTIFS('Delivery Tracking'!E:E,B158)</f>
        <v>0</v>
      </c>
      <c r="W158" s="113">
        <f>SUMIFS(All_Stats!N:N,All_Stats!$A:$A,$B158,All_Stats!$B:$B,"Overall",All_Stats!$D:$D,"Total")</f>
        <v>0</v>
      </c>
      <c r="X158" s="323">
        <v>44618.0</v>
      </c>
      <c r="Y158" s="329"/>
      <c r="Z158" s="326"/>
    </row>
    <row r="159" hidden="1">
      <c r="A159" s="334" t="s">
        <v>763</v>
      </c>
      <c r="B159" s="342" t="s">
        <v>913</v>
      </c>
      <c r="C159" s="184"/>
      <c r="D159" s="193">
        <v>25.0</v>
      </c>
      <c r="E159" s="171">
        <f>SUMIFS(All_Stats!G:G,All_Stats!$A:$A,$B159,All_Stats!$B:$B,"Overall",All_Stats!$D:$D,"Total")</f>
        <v>0</v>
      </c>
      <c r="F159" s="113">
        <f>SUMIFS(All_Stats!H:H,All_Stats!$A:$A,$B159,All_Stats!$B:$B,"Overall",All_Stats!$D:$D,"Total")</f>
        <v>0</v>
      </c>
      <c r="G159" s="171">
        <f>SUMIFS(All_Stats!I:I,All_Stats!$A:$A,$B159,All_Stats!$B:$B,"Overall",All_Stats!$D:$D,"Total")</f>
        <v>0</v>
      </c>
      <c r="H159" s="113">
        <f>SUMIFS(All_Stats!K:K,All_Stats!$A:$A,$B159,All_Stats!$B:$B,"Overall",All_Stats!$D:$D,"Total")</f>
        <v>0</v>
      </c>
      <c r="I159" s="113">
        <f>SUMIFS(All_Stats!J:J,All_Stats!$A:$A,$B159,All_Stats!$B:$B,"Overall",All_Stats!$D:$D,"Total")</f>
        <v>0</v>
      </c>
      <c r="J159" s="113">
        <f t="shared" si="3"/>
        <v>25</v>
      </c>
      <c r="K159" s="249" t="s">
        <v>57</v>
      </c>
      <c r="L159" s="323">
        <v>44403.0</v>
      </c>
      <c r="M159" s="245">
        <v>44435.0</v>
      </c>
      <c r="N159" s="2" t="s">
        <v>914</v>
      </c>
      <c r="O159" s="310">
        <f t="shared" si="6"/>
        <v>48.96</v>
      </c>
      <c r="P159" s="311">
        <f t="shared" ref="P159:Q159" si="163">F159/D159</f>
        <v>0</v>
      </c>
      <c r="Q159" s="325" t="str">
        <f t="shared" si="163"/>
        <v>#DIV/0!</v>
      </c>
      <c r="R159" s="311">
        <f t="shared" si="8"/>
        <v>0</v>
      </c>
      <c r="S159" s="300" t="str">
        <f t="shared" si="124"/>
        <v>Closed</v>
      </c>
      <c r="T159" s="2" t="s">
        <v>293</v>
      </c>
      <c r="U159" s="162" t="s">
        <v>611</v>
      </c>
      <c r="V159" s="113">
        <f>COUNTIFS('Delivery Tracking'!E:E,B159)</f>
        <v>0</v>
      </c>
      <c r="W159" s="113">
        <f>SUMIFS(All_Stats!N:N,All_Stats!$A:$A,$B159,All_Stats!$B:$B,"Overall",All_Stats!$D:$D,"Total")</f>
        <v>0</v>
      </c>
      <c r="X159" s="323">
        <v>44619.0</v>
      </c>
      <c r="Y159" s="329"/>
      <c r="Z159" s="326"/>
    </row>
    <row r="160" hidden="1">
      <c r="A160" s="371" t="s">
        <v>862</v>
      </c>
      <c r="B160" s="341" t="s">
        <v>915</v>
      </c>
      <c r="C160" s="306"/>
      <c r="D160" s="193">
        <v>100.0</v>
      </c>
      <c r="E160" s="171">
        <f>SUMIFS(All_Stats!G:G,All_Stats!$A:$A,$B160,All_Stats!$B:$B,"Overall",All_Stats!$D:$D,"Total")</f>
        <v>0</v>
      </c>
      <c r="F160" s="113">
        <f>SUMIFS(All_Stats!H:H,All_Stats!$A:$A,$B160,All_Stats!$B:$B,"Overall",All_Stats!$D:$D,"Total")</f>
        <v>0</v>
      </c>
      <c r="G160" s="171">
        <f>SUMIFS(All_Stats!I:I,All_Stats!$A:$A,$B160,All_Stats!$B:$B,"Overall",All_Stats!$D:$D,"Total")</f>
        <v>0</v>
      </c>
      <c r="H160" s="113">
        <f>SUMIFS(All_Stats!K:K,All_Stats!$A:$A,$B160,All_Stats!$B:$B,"Overall",All_Stats!$D:$D,"Total")</f>
        <v>0</v>
      </c>
      <c r="I160" s="113">
        <f>SUMIFS(All_Stats!J:J,All_Stats!$A:$A,$B160,All_Stats!$B:$B,"Overall",All_Stats!$D:$D,"Total")</f>
        <v>0</v>
      </c>
      <c r="J160" s="113">
        <f t="shared" si="3"/>
        <v>100</v>
      </c>
      <c r="K160" s="249" t="s">
        <v>57</v>
      </c>
      <c r="L160" s="374">
        <v>44403.0</v>
      </c>
      <c r="M160" s="374">
        <v>44459.0</v>
      </c>
      <c r="N160" s="407"/>
      <c r="O160" s="310">
        <f t="shared" si="6"/>
        <v>29.85365854</v>
      </c>
      <c r="P160" s="311">
        <f t="shared" ref="P160:Q160" si="164">F160/D160</f>
        <v>0</v>
      </c>
      <c r="Q160" s="325" t="str">
        <f t="shared" si="164"/>
        <v>#DIV/0!</v>
      </c>
      <c r="R160" s="311">
        <f t="shared" si="8"/>
        <v>0</v>
      </c>
      <c r="S160" s="300" t="str">
        <f t="shared" si="124"/>
        <v>Closed</v>
      </c>
      <c r="T160" s="2" t="s">
        <v>166</v>
      </c>
      <c r="U160" s="162" t="s">
        <v>611</v>
      </c>
      <c r="V160" s="113">
        <f>COUNTIFS('Delivery Tracking'!E:E,B160)</f>
        <v>0</v>
      </c>
      <c r="W160" s="113">
        <f>SUMIFS(All_Stats!N:N,All_Stats!$A:$A,$B160,All_Stats!$B:$B,"Overall",All_Stats!$D:$D,"Total")</f>
        <v>0</v>
      </c>
      <c r="X160" s="323">
        <v>44620.0</v>
      </c>
      <c r="Y160" s="329"/>
      <c r="Z160" s="326"/>
    </row>
    <row r="161" hidden="1">
      <c r="A161" s="330" t="s">
        <v>916</v>
      </c>
      <c r="B161" s="383" t="s">
        <v>917</v>
      </c>
      <c r="C161" s="184"/>
      <c r="D161" s="193">
        <v>140.0</v>
      </c>
      <c r="E161" s="171">
        <f>SUMIFS(All_Stats!G:G,All_Stats!$A:$A,$B161,All_Stats!$B:$B,"Overall",All_Stats!$D:$D,"Total")</f>
        <v>0</v>
      </c>
      <c r="F161" s="113">
        <f>SUMIFS(All_Stats!H:H,All_Stats!$A:$A,$B161,All_Stats!$B:$B,"Overall",All_Stats!$D:$D,"Total")</f>
        <v>0</v>
      </c>
      <c r="G161" s="171">
        <f>SUMIFS(All_Stats!I:I,All_Stats!$A:$A,$B161,All_Stats!$B:$B,"Overall",All_Stats!$D:$D,"Total")</f>
        <v>0</v>
      </c>
      <c r="H161" s="113">
        <f>SUMIFS(All_Stats!K:K,All_Stats!$A:$A,$B161,All_Stats!$B:$B,"Overall",All_Stats!$D:$D,"Total")</f>
        <v>0</v>
      </c>
      <c r="I161" s="113">
        <f>SUMIFS(All_Stats!J:J,All_Stats!$A:$A,$B161,All_Stats!$B:$B,"Overall",All_Stats!$D:$D,"Total")</f>
        <v>0</v>
      </c>
      <c r="J161" s="113">
        <f t="shared" si="3"/>
        <v>140</v>
      </c>
      <c r="K161" s="249" t="s">
        <v>57</v>
      </c>
      <c r="L161" s="245">
        <v>44410.0</v>
      </c>
      <c r="M161" s="245">
        <v>44438.0</v>
      </c>
      <c r="N161" s="2" t="s">
        <v>918</v>
      </c>
      <c r="O161" s="310">
        <f t="shared" si="6"/>
        <v>58.04761905</v>
      </c>
      <c r="P161" s="311">
        <f t="shared" ref="P161:Q161" si="165">F161/D161</f>
        <v>0</v>
      </c>
      <c r="Q161" s="325" t="str">
        <f t="shared" si="165"/>
        <v>#DIV/0!</v>
      </c>
      <c r="R161" s="311">
        <f t="shared" si="8"/>
        <v>0</v>
      </c>
      <c r="S161" s="300" t="str">
        <f t="shared" si="124"/>
        <v>Closed</v>
      </c>
      <c r="T161" s="2" t="s">
        <v>153</v>
      </c>
      <c r="U161" s="162" t="s">
        <v>611</v>
      </c>
      <c r="V161" s="113">
        <f>COUNTIFS('Delivery Tracking'!E:E,B161)</f>
        <v>0</v>
      </c>
      <c r="W161" s="113">
        <f>SUMIFS(All_Stats!N:N,All_Stats!$A:$A,$B161,All_Stats!$B:$B,"Overall",All_Stats!$D:$D,"Total")</f>
        <v>0</v>
      </c>
      <c r="X161" s="323">
        <v>44621.0</v>
      </c>
      <c r="Y161" s="329"/>
      <c r="Z161" s="326"/>
    </row>
    <row r="162" hidden="1">
      <c r="A162" s="327" t="s">
        <v>916</v>
      </c>
      <c r="B162" s="408" t="s">
        <v>919</v>
      </c>
      <c r="C162" s="184"/>
      <c r="D162" s="193">
        <v>121.0</v>
      </c>
      <c r="E162" s="171">
        <f>SUMIFS(All_Stats!G:G,All_Stats!$A:$A,$B162,All_Stats!$B:$B,"Overall",All_Stats!$D:$D,"Total")</f>
        <v>0</v>
      </c>
      <c r="F162" s="113">
        <f>SUMIFS(All_Stats!H:H,All_Stats!$A:$A,$B162,All_Stats!$B:$B,"Overall",All_Stats!$D:$D,"Total")</f>
        <v>0</v>
      </c>
      <c r="G162" s="171">
        <f>SUMIFS(All_Stats!I:I,All_Stats!$A:$A,$B162,All_Stats!$B:$B,"Overall",All_Stats!$D:$D,"Total")</f>
        <v>0</v>
      </c>
      <c r="H162" s="113">
        <f>SUMIFS(All_Stats!K:K,All_Stats!$A:$A,$B162,All_Stats!$B:$B,"Overall",All_Stats!$D:$D,"Total")</f>
        <v>0</v>
      </c>
      <c r="I162" s="113">
        <f>SUMIFS(All_Stats!J:J,All_Stats!$A:$A,$B162,All_Stats!$B:$B,"Overall",All_Stats!$D:$D,"Total")</f>
        <v>0</v>
      </c>
      <c r="J162" s="113">
        <f t="shared" si="3"/>
        <v>121</v>
      </c>
      <c r="K162" s="249" t="s">
        <v>57</v>
      </c>
      <c r="L162" s="323">
        <v>44391.0</v>
      </c>
      <c r="M162" s="382">
        <v>44435.0</v>
      </c>
      <c r="O162" s="310">
        <f t="shared" si="6"/>
        <v>37.33333333</v>
      </c>
      <c r="P162" s="311">
        <f t="shared" ref="P162:Q162" si="166">F162/D162</f>
        <v>0</v>
      </c>
      <c r="Q162" s="325" t="str">
        <f t="shared" si="166"/>
        <v>#DIV/0!</v>
      </c>
      <c r="R162" s="311">
        <f t="shared" si="8"/>
        <v>0</v>
      </c>
      <c r="S162" s="300" t="str">
        <f t="shared" si="124"/>
        <v>Closed</v>
      </c>
      <c r="T162" s="2" t="s">
        <v>153</v>
      </c>
      <c r="U162" s="162" t="s">
        <v>611</v>
      </c>
      <c r="V162" s="113">
        <f>COUNTIFS('Delivery Tracking'!E:E,B162)</f>
        <v>0</v>
      </c>
      <c r="W162" s="113">
        <f>SUMIFS(All_Stats!N:N,All_Stats!$A:$A,$B162,All_Stats!$B:$B,"Overall",All_Stats!$D:$D,"Total")</f>
        <v>0</v>
      </c>
      <c r="X162" s="323">
        <v>44622.0</v>
      </c>
      <c r="Y162" s="329"/>
      <c r="Z162" s="326"/>
    </row>
    <row r="163" hidden="1">
      <c r="A163" s="352" t="s">
        <v>769</v>
      </c>
      <c r="B163" s="342" t="s">
        <v>920</v>
      </c>
      <c r="C163" s="306"/>
      <c r="D163" s="193">
        <v>68.0</v>
      </c>
      <c r="E163" s="171">
        <f>SUMIFS(All_Stats!G:G,All_Stats!$A:$A,$B163,All_Stats!$B:$B,"Overall",All_Stats!$D:$D,"Total")</f>
        <v>0</v>
      </c>
      <c r="F163" s="113">
        <f>SUMIFS(All_Stats!H:H,All_Stats!$A:$A,$B163,All_Stats!$B:$B,"Overall",All_Stats!$D:$D,"Total")</f>
        <v>0</v>
      </c>
      <c r="G163" s="171">
        <f>SUMIFS(All_Stats!I:I,All_Stats!$A:$A,$B163,All_Stats!$B:$B,"Overall",All_Stats!$D:$D,"Total")</f>
        <v>0</v>
      </c>
      <c r="H163" s="113">
        <f>SUMIFS(All_Stats!K:K,All_Stats!$A:$A,$B163,All_Stats!$B:$B,"Overall",All_Stats!$D:$D,"Total")</f>
        <v>0</v>
      </c>
      <c r="I163" s="113">
        <f>SUMIFS(All_Stats!J:J,All_Stats!$A:$A,$B163,All_Stats!$B:$B,"Overall",All_Stats!$D:$D,"Total")</f>
        <v>0</v>
      </c>
      <c r="J163" s="113">
        <f t="shared" si="3"/>
        <v>68</v>
      </c>
      <c r="K163" s="249" t="s">
        <v>57</v>
      </c>
      <c r="L163" s="323">
        <v>44418.0</v>
      </c>
      <c r="M163" s="245">
        <v>44433.0</v>
      </c>
      <c r="O163" s="310">
        <f t="shared" si="6"/>
        <v>101.0833333</v>
      </c>
      <c r="P163" s="311">
        <f t="shared" ref="P163:Q163" si="167">F163/D163</f>
        <v>0</v>
      </c>
      <c r="Q163" s="325" t="str">
        <f t="shared" si="167"/>
        <v>#DIV/0!</v>
      </c>
      <c r="R163" s="311">
        <f t="shared" si="8"/>
        <v>0</v>
      </c>
      <c r="S163" s="300" t="str">
        <f t="shared" si="124"/>
        <v>Closed</v>
      </c>
      <c r="T163" s="2" t="s">
        <v>184</v>
      </c>
      <c r="U163" s="162" t="s">
        <v>611</v>
      </c>
      <c r="V163" s="113">
        <f>COUNTIFS('Delivery Tracking'!E:E,B163)</f>
        <v>0</v>
      </c>
      <c r="W163" s="113">
        <f>SUMIFS(All_Stats!N:N,All_Stats!$A:$A,$B163,All_Stats!$B:$B,"Overall",All_Stats!$D:$D,"Total")</f>
        <v>0</v>
      </c>
      <c r="X163" s="323">
        <v>44623.0</v>
      </c>
      <c r="Y163" s="329"/>
      <c r="Z163" s="326"/>
    </row>
    <row r="164" hidden="1">
      <c r="A164" s="344" t="s">
        <v>921</v>
      </c>
      <c r="B164" s="341" t="s">
        <v>922</v>
      </c>
      <c r="C164" s="184"/>
      <c r="D164" s="193">
        <v>40.0</v>
      </c>
      <c r="E164" s="171">
        <f>SUMIFS(All_Stats!G:G,All_Stats!$A:$A,$B164,All_Stats!$B:$B,"Overall",All_Stats!$D:$D,"Total")</f>
        <v>0</v>
      </c>
      <c r="F164" s="113">
        <f>SUMIFS(All_Stats!H:H,All_Stats!$A:$A,$B164,All_Stats!$B:$B,"Overall",All_Stats!$D:$D,"Total")</f>
        <v>0</v>
      </c>
      <c r="G164" s="171">
        <f>SUMIFS(All_Stats!I:I,All_Stats!$A:$A,$B164,All_Stats!$B:$B,"Overall",All_Stats!$D:$D,"Total")</f>
        <v>0</v>
      </c>
      <c r="H164" s="113">
        <f>SUMIFS(All_Stats!K:K,All_Stats!$A:$A,$B164,All_Stats!$B:$B,"Overall",All_Stats!$D:$D,"Total")</f>
        <v>0</v>
      </c>
      <c r="I164" s="113">
        <f>SUMIFS(All_Stats!J:J,All_Stats!$A:$A,$B164,All_Stats!$B:$B,"Overall",All_Stats!$D:$D,"Total")</f>
        <v>0</v>
      </c>
      <c r="J164" s="113">
        <f t="shared" si="3"/>
        <v>40</v>
      </c>
      <c r="K164" s="249" t="s">
        <v>57</v>
      </c>
      <c r="L164" s="245">
        <v>44412.0</v>
      </c>
      <c r="M164" s="245">
        <v>44421.0</v>
      </c>
      <c r="O164" s="310">
        <f t="shared" si="6"/>
        <v>152.125</v>
      </c>
      <c r="P164" s="311">
        <f t="shared" ref="P164:Q164" si="168">F164/D164</f>
        <v>0</v>
      </c>
      <c r="Q164" s="325" t="str">
        <f t="shared" si="168"/>
        <v>#DIV/0!</v>
      </c>
      <c r="R164" s="311">
        <f t="shared" si="8"/>
        <v>0</v>
      </c>
      <c r="S164" s="300" t="str">
        <f t="shared" si="124"/>
        <v>Closed</v>
      </c>
      <c r="T164" s="2" t="s">
        <v>67</v>
      </c>
      <c r="U164" s="162" t="s">
        <v>611</v>
      </c>
      <c r="V164" s="113">
        <f>COUNTIFS('Delivery Tracking'!E:E,B164)</f>
        <v>0</v>
      </c>
      <c r="W164" s="113">
        <f>SUMIFS(All_Stats!N:N,All_Stats!$A:$A,$B164,All_Stats!$B:$B,"Overall",All_Stats!$D:$D,"Total")</f>
        <v>0</v>
      </c>
      <c r="X164" s="323">
        <v>44624.0</v>
      </c>
      <c r="Y164" s="329"/>
      <c r="Z164" s="326"/>
    </row>
    <row r="165" hidden="1">
      <c r="A165" s="334" t="s">
        <v>916</v>
      </c>
      <c r="B165" s="342" t="s">
        <v>923</v>
      </c>
      <c r="C165" s="184"/>
      <c r="D165" s="193">
        <v>100.0</v>
      </c>
      <c r="E165" s="171">
        <f>SUMIFS(All_Stats!G:G,All_Stats!$A:$A,$B165,All_Stats!$B:$B,"Overall",All_Stats!$D:$D,"Total")</f>
        <v>0</v>
      </c>
      <c r="F165" s="113">
        <f>SUMIFS(All_Stats!H:H,All_Stats!$A:$A,$B165,All_Stats!$B:$B,"Overall",All_Stats!$D:$D,"Total")</f>
        <v>0</v>
      </c>
      <c r="G165" s="171">
        <f>SUMIFS(All_Stats!I:I,All_Stats!$A:$A,$B165,All_Stats!$B:$B,"Overall",All_Stats!$D:$D,"Total")</f>
        <v>0</v>
      </c>
      <c r="H165" s="113">
        <f>SUMIFS(All_Stats!K:K,All_Stats!$A:$A,$B165,All_Stats!$B:$B,"Overall",All_Stats!$D:$D,"Total")</f>
        <v>0</v>
      </c>
      <c r="I165" s="113">
        <f>SUMIFS(All_Stats!J:J,All_Stats!$A:$A,$B165,All_Stats!$B:$B,"Overall",All_Stats!$D:$D,"Total")</f>
        <v>0</v>
      </c>
      <c r="J165" s="113">
        <f t="shared" si="3"/>
        <v>100</v>
      </c>
      <c r="K165" s="249" t="s">
        <v>57</v>
      </c>
      <c r="L165" s="323">
        <v>44400.0</v>
      </c>
      <c r="M165" s="332">
        <v>44432.0</v>
      </c>
      <c r="O165" s="310">
        <f t="shared" si="6"/>
        <v>53.26086957</v>
      </c>
      <c r="P165" s="311">
        <f t="shared" ref="P165:Q165" si="169">F165/D165</f>
        <v>0</v>
      </c>
      <c r="Q165" s="325" t="str">
        <f t="shared" si="169"/>
        <v>#DIV/0!</v>
      </c>
      <c r="R165" s="311">
        <f t="shared" si="8"/>
        <v>0</v>
      </c>
      <c r="S165" s="300" t="str">
        <f t="shared" si="124"/>
        <v>Closed</v>
      </c>
      <c r="T165" s="2" t="s">
        <v>153</v>
      </c>
      <c r="U165" s="162" t="s">
        <v>611</v>
      </c>
      <c r="V165" s="113">
        <f>COUNTIFS('Delivery Tracking'!E:E,B165)</f>
        <v>0</v>
      </c>
      <c r="W165" s="113">
        <f>SUMIFS(All_Stats!N:N,All_Stats!$A:$A,$B165,All_Stats!$B:$B,"Overall",All_Stats!$D:$D,"Total")</f>
        <v>0</v>
      </c>
      <c r="X165" s="323">
        <v>44625.0</v>
      </c>
      <c r="Y165" s="329"/>
      <c r="Z165" s="326"/>
    </row>
    <row r="166" hidden="1">
      <c r="A166" s="352" t="s">
        <v>924</v>
      </c>
      <c r="B166" s="342" t="s">
        <v>925</v>
      </c>
      <c r="C166" s="184"/>
      <c r="D166" s="193">
        <v>25.0</v>
      </c>
      <c r="E166" s="171">
        <f>SUMIFS(All_Stats!G:G,All_Stats!$A:$A,$B166,All_Stats!$B:$B,"Overall",All_Stats!$D:$D,"Total")</f>
        <v>0</v>
      </c>
      <c r="F166" s="113">
        <f>SUMIFS(All_Stats!H:H,All_Stats!$A:$A,$B166,All_Stats!$B:$B,"Overall",All_Stats!$D:$D,"Total")</f>
        <v>0</v>
      </c>
      <c r="G166" s="171">
        <f>SUMIFS(All_Stats!I:I,All_Stats!$A:$A,$B166,All_Stats!$B:$B,"Overall",All_Stats!$D:$D,"Total")</f>
        <v>0</v>
      </c>
      <c r="H166" s="113">
        <f>SUMIFS(All_Stats!K:K,All_Stats!$A:$A,$B166,All_Stats!$B:$B,"Overall",All_Stats!$D:$D,"Total")</f>
        <v>0</v>
      </c>
      <c r="I166" s="113">
        <f>SUMIFS(All_Stats!J:J,All_Stats!$A:$A,$B166,All_Stats!$B:$B,"Overall",All_Stats!$D:$D,"Total")</f>
        <v>0</v>
      </c>
      <c r="J166" s="113">
        <f t="shared" si="3"/>
        <v>25</v>
      </c>
      <c r="K166" s="249" t="s">
        <v>57</v>
      </c>
      <c r="L166" s="323">
        <v>44419.0</v>
      </c>
      <c r="M166" s="332">
        <v>44432.0</v>
      </c>
      <c r="N166" s="8" t="s">
        <v>926</v>
      </c>
      <c r="O166" s="310">
        <f t="shared" si="6"/>
        <v>121.2</v>
      </c>
      <c r="P166" s="311">
        <f t="shared" ref="P166:Q166" si="170">F166/D166</f>
        <v>0</v>
      </c>
      <c r="Q166" s="325" t="str">
        <f t="shared" si="170"/>
        <v>#DIV/0!</v>
      </c>
      <c r="R166" s="311">
        <f t="shared" si="8"/>
        <v>0</v>
      </c>
      <c r="S166" s="300" t="str">
        <f t="shared" si="124"/>
        <v>Closed</v>
      </c>
      <c r="T166" s="2" t="s">
        <v>293</v>
      </c>
      <c r="U166" s="162" t="s">
        <v>611</v>
      </c>
      <c r="V166" s="113">
        <f>COUNTIFS('Delivery Tracking'!E:E,B166)</f>
        <v>0</v>
      </c>
      <c r="W166" s="113">
        <f>SUMIFS(All_Stats!N:N,All_Stats!$A:$A,$B166,All_Stats!$B:$B,"Overall",All_Stats!$D:$D,"Total")</f>
        <v>0</v>
      </c>
      <c r="X166" s="323">
        <v>44626.0</v>
      </c>
      <c r="Y166" s="329"/>
      <c r="Z166" s="326"/>
    </row>
    <row r="167" hidden="1">
      <c r="A167" s="334" t="s">
        <v>769</v>
      </c>
      <c r="B167" s="335" t="s">
        <v>927</v>
      </c>
      <c r="C167" s="306"/>
      <c r="D167" s="193">
        <v>110.0</v>
      </c>
      <c r="E167" s="171">
        <f>SUMIFS(All_Stats!G:G,All_Stats!$A:$A,$B167,All_Stats!$B:$B,"Overall",All_Stats!$D:$D,"Total")</f>
        <v>0</v>
      </c>
      <c r="F167" s="113">
        <f>SUMIFS(All_Stats!H:H,All_Stats!$A:$A,$B167,All_Stats!$B:$B,"Overall",All_Stats!$D:$D,"Total")</f>
        <v>0</v>
      </c>
      <c r="G167" s="171">
        <f>SUMIFS(All_Stats!I:I,All_Stats!$A:$A,$B167,All_Stats!$B:$B,"Overall",All_Stats!$D:$D,"Total")</f>
        <v>0</v>
      </c>
      <c r="H167" s="113">
        <f>SUMIFS(All_Stats!K:K,All_Stats!$A:$A,$B167,All_Stats!$B:$B,"Overall",All_Stats!$D:$D,"Total")</f>
        <v>0</v>
      </c>
      <c r="I167" s="113">
        <f>SUMIFS(All_Stats!J:J,All_Stats!$A:$A,$B167,All_Stats!$B:$B,"Overall",All_Stats!$D:$D,"Total")</f>
        <v>0</v>
      </c>
      <c r="J167" s="113">
        <f t="shared" si="3"/>
        <v>110</v>
      </c>
      <c r="K167" s="249" t="s">
        <v>57</v>
      </c>
      <c r="L167" s="323">
        <v>44418.0</v>
      </c>
      <c r="M167" s="332">
        <v>44432.0</v>
      </c>
      <c r="O167" s="310">
        <f t="shared" si="6"/>
        <v>110.2727273</v>
      </c>
      <c r="P167" s="311">
        <f t="shared" ref="P167:Q167" si="171">F167/D167</f>
        <v>0</v>
      </c>
      <c r="Q167" s="325" t="str">
        <f t="shared" si="171"/>
        <v>#DIV/0!</v>
      </c>
      <c r="R167" s="311">
        <f t="shared" si="8"/>
        <v>0</v>
      </c>
      <c r="S167" s="300" t="str">
        <f t="shared" si="124"/>
        <v>Closed</v>
      </c>
      <c r="T167" s="2" t="s">
        <v>184</v>
      </c>
      <c r="U167" s="162" t="s">
        <v>611</v>
      </c>
      <c r="V167" s="113">
        <f>COUNTIFS('Delivery Tracking'!E:E,B167)</f>
        <v>0</v>
      </c>
      <c r="W167" s="113">
        <f>SUMIFS(All_Stats!N:N,All_Stats!$A:$A,$B167,All_Stats!$B:$B,"Overall",All_Stats!$D:$D,"Total")</f>
        <v>0</v>
      </c>
      <c r="X167" s="323">
        <v>44627.0</v>
      </c>
      <c r="Y167" s="329"/>
      <c r="Z167" s="326"/>
    </row>
    <row r="168" hidden="1">
      <c r="A168" s="334" t="s">
        <v>769</v>
      </c>
      <c r="B168" s="335" t="s">
        <v>928</v>
      </c>
      <c r="C168" s="306"/>
      <c r="D168" s="193">
        <v>118.0</v>
      </c>
      <c r="E168" s="171">
        <f>SUMIFS(All_Stats!G:G,All_Stats!$A:$A,$B168,All_Stats!$B:$B,"Overall",All_Stats!$D:$D,"Total")</f>
        <v>0</v>
      </c>
      <c r="F168" s="113">
        <f>SUMIFS(All_Stats!H:H,All_Stats!$A:$A,$B168,All_Stats!$B:$B,"Overall",All_Stats!$D:$D,"Total")</f>
        <v>0</v>
      </c>
      <c r="G168" s="171">
        <f>SUMIFS(All_Stats!I:I,All_Stats!$A:$A,$B168,All_Stats!$B:$B,"Overall",All_Stats!$D:$D,"Total")</f>
        <v>0</v>
      </c>
      <c r="H168" s="113">
        <f>SUMIFS(All_Stats!K:K,All_Stats!$A:$A,$B168,All_Stats!$B:$B,"Overall",All_Stats!$D:$D,"Total")</f>
        <v>0</v>
      </c>
      <c r="I168" s="113">
        <f>SUMIFS(All_Stats!J:J,All_Stats!$A:$A,$B168,All_Stats!$B:$B,"Overall",All_Stats!$D:$D,"Total")</f>
        <v>0</v>
      </c>
      <c r="J168" s="113">
        <f t="shared" si="3"/>
        <v>118</v>
      </c>
      <c r="K168" s="249" t="s">
        <v>57</v>
      </c>
      <c r="L168" s="323">
        <v>44418.0</v>
      </c>
      <c r="M168" s="332">
        <v>44432.0</v>
      </c>
      <c r="O168" s="310">
        <f t="shared" si="6"/>
        <v>110.2727273</v>
      </c>
      <c r="P168" s="311">
        <f t="shared" ref="P168:Q168" si="172">F168/D168</f>
        <v>0</v>
      </c>
      <c r="Q168" s="325" t="str">
        <f t="shared" si="172"/>
        <v>#DIV/0!</v>
      </c>
      <c r="R168" s="311">
        <f t="shared" si="8"/>
        <v>0</v>
      </c>
      <c r="S168" s="300" t="str">
        <f t="shared" si="124"/>
        <v>Closed</v>
      </c>
      <c r="T168" s="2" t="s">
        <v>184</v>
      </c>
      <c r="U168" s="162" t="s">
        <v>611</v>
      </c>
      <c r="V168" s="113">
        <f>COUNTIFS('Delivery Tracking'!E:E,B168)</f>
        <v>0</v>
      </c>
      <c r="W168" s="113">
        <f>SUMIFS(All_Stats!N:N,All_Stats!$A:$A,$B168,All_Stats!$B:$B,"Overall",All_Stats!$D:$D,"Total")</f>
        <v>0</v>
      </c>
      <c r="X168" s="323">
        <v>44628.0</v>
      </c>
      <c r="Y168" s="329"/>
      <c r="Z168" s="326"/>
    </row>
    <row r="169" hidden="1">
      <c r="A169" s="334" t="s">
        <v>862</v>
      </c>
      <c r="B169" s="335" t="s">
        <v>929</v>
      </c>
      <c r="C169" s="306"/>
      <c r="D169" s="193">
        <v>198.0</v>
      </c>
      <c r="E169" s="171">
        <f>SUMIFS(All_Stats!G:G,All_Stats!$A:$A,$B169,All_Stats!$B:$B,"Overall",All_Stats!$D:$D,"Total")</f>
        <v>0</v>
      </c>
      <c r="F169" s="113">
        <f>SUMIFS(All_Stats!H:H,All_Stats!$A:$A,$B169,All_Stats!$B:$B,"Overall",All_Stats!$D:$D,"Total")</f>
        <v>0</v>
      </c>
      <c r="G169" s="171">
        <f>SUMIFS(All_Stats!I:I,All_Stats!$A:$A,$B169,All_Stats!$B:$B,"Overall",All_Stats!$D:$D,"Total")</f>
        <v>0</v>
      </c>
      <c r="H169" s="113">
        <f>SUMIFS(All_Stats!K:K,All_Stats!$A:$A,$B169,All_Stats!$B:$B,"Overall",All_Stats!$D:$D,"Total")</f>
        <v>0</v>
      </c>
      <c r="I169" s="113">
        <f>SUMIFS(All_Stats!J:J,All_Stats!$A:$A,$B169,All_Stats!$B:$B,"Overall",All_Stats!$D:$D,"Total")</f>
        <v>0</v>
      </c>
      <c r="J169" s="113">
        <f t="shared" si="3"/>
        <v>198</v>
      </c>
      <c r="K169" s="249" t="s">
        <v>57</v>
      </c>
      <c r="L169" s="323">
        <v>44391.0</v>
      </c>
      <c r="M169" s="245">
        <v>44428.0</v>
      </c>
      <c r="O169" s="310">
        <f t="shared" si="6"/>
        <v>44</v>
      </c>
      <c r="P169" s="311">
        <f t="shared" ref="P169:Q169" si="173">F169/D169</f>
        <v>0</v>
      </c>
      <c r="Q169" s="325" t="str">
        <f t="shared" si="173"/>
        <v>#DIV/0!</v>
      </c>
      <c r="R169" s="311">
        <f t="shared" si="8"/>
        <v>0</v>
      </c>
      <c r="S169" s="300" t="str">
        <f t="shared" si="124"/>
        <v>Closed</v>
      </c>
      <c r="T169" s="2" t="s">
        <v>166</v>
      </c>
      <c r="U169" s="162" t="s">
        <v>611</v>
      </c>
      <c r="V169" s="113">
        <f>COUNTIFS('Delivery Tracking'!E:E,B169)</f>
        <v>0</v>
      </c>
      <c r="W169" s="113">
        <f>SUMIFS(All_Stats!N:N,All_Stats!$A:$A,$B169,All_Stats!$B:$B,"Overall",All_Stats!$D:$D,"Total")</f>
        <v>0</v>
      </c>
      <c r="X169" s="323">
        <v>44629.0</v>
      </c>
      <c r="Y169" s="329"/>
      <c r="Z169" s="326"/>
    </row>
    <row r="170" hidden="1">
      <c r="A170" s="352" t="s">
        <v>930</v>
      </c>
      <c r="B170" s="342" t="s">
        <v>931</v>
      </c>
      <c r="C170" s="306"/>
      <c r="D170" s="193">
        <v>47.0</v>
      </c>
      <c r="E170" s="171">
        <f>SUMIFS(All_Stats!G:G,All_Stats!$A:$A,$B170,All_Stats!$B:$B,"Overall",All_Stats!$D:$D,"Total")</f>
        <v>0</v>
      </c>
      <c r="F170" s="113">
        <f>SUMIFS(All_Stats!H:H,All_Stats!$A:$A,$B170,All_Stats!$B:$B,"Overall",All_Stats!$D:$D,"Total")</f>
        <v>0</v>
      </c>
      <c r="G170" s="171">
        <f>SUMIFS(All_Stats!I:I,All_Stats!$A:$A,$B170,All_Stats!$B:$B,"Overall",All_Stats!$D:$D,"Total")</f>
        <v>0</v>
      </c>
      <c r="H170" s="113">
        <f>SUMIFS(All_Stats!K:K,All_Stats!$A:$A,$B170,All_Stats!$B:$B,"Overall",All_Stats!$D:$D,"Total")</f>
        <v>0</v>
      </c>
      <c r="I170" s="113">
        <f>SUMIFS(All_Stats!J:J,All_Stats!$A:$A,$B170,All_Stats!$B:$B,"Overall",All_Stats!$D:$D,"Total")</f>
        <v>0</v>
      </c>
      <c r="J170" s="113">
        <f t="shared" si="3"/>
        <v>47</v>
      </c>
      <c r="K170" s="249" t="s">
        <v>57</v>
      </c>
      <c r="L170" s="323">
        <v>44405.0</v>
      </c>
      <c r="M170" s="245">
        <v>44428.0</v>
      </c>
      <c r="O170" s="310">
        <f t="shared" si="6"/>
        <v>67.88888889</v>
      </c>
      <c r="P170" s="311">
        <f t="shared" ref="P170:Q170" si="174">F170/D170</f>
        <v>0</v>
      </c>
      <c r="Q170" s="325" t="str">
        <f t="shared" si="174"/>
        <v>#DIV/0!</v>
      </c>
      <c r="R170" s="311">
        <f t="shared" si="8"/>
        <v>0</v>
      </c>
      <c r="S170" s="300" t="str">
        <f t="shared" si="124"/>
        <v>Closed</v>
      </c>
      <c r="T170" s="2" t="s">
        <v>293</v>
      </c>
      <c r="U170" s="162" t="s">
        <v>611</v>
      </c>
      <c r="V170" s="113">
        <f>COUNTIFS('Delivery Tracking'!E:E,B170)</f>
        <v>0</v>
      </c>
      <c r="W170" s="113">
        <f>SUMIFS(All_Stats!N:N,All_Stats!$A:$A,$B170,All_Stats!$B:$B,"Overall",All_Stats!$D:$D,"Total")</f>
        <v>0</v>
      </c>
      <c r="X170" s="323">
        <v>44630.0</v>
      </c>
      <c r="Y170" s="329"/>
      <c r="Z170" s="326"/>
    </row>
    <row r="171" hidden="1">
      <c r="A171" s="330" t="s">
        <v>932</v>
      </c>
      <c r="B171" s="175" t="s">
        <v>933</v>
      </c>
      <c r="C171" s="348"/>
      <c r="D171" s="193">
        <v>240.0</v>
      </c>
      <c r="E171" s="171">
        <f>SUMIFS(All_Stats!G:G,All_Stats!$A:$A,$B171,All_Stats!$B:$B,"Overall",All_Stats!$D:$D,"Total")</f>
        <v>0</v>
      </c>
      <c r="F171" s="113">
        <f>SUMIFS(All_Stats!H:H,All_Stats!$A:$A,$B171,All_Stats!$B:$B,"Overall",All_Stats!$D:$D,"Total")</f>
        <v>0</v>
      </c>
      <c r="G171" s="171">
        <f>SUMIFS(All_Stats!I:I,All_Stats!$A:$A,$B171,All_Stats!$B:$B,"Overall",All_Stats!$D:$D,"Total")</f>
        <v>0</v>
      </c>
      <c r="H171" s="113">
        <f>SUMIFS(All_Stats!K:K,All_Stats!$A:$A,$B171,All_Stats!$B:$B,"Overall",All_Stats!$D:$D,"Total")</f>
        <v>0</v>
      </c>
      <c r="I171" s="113">
        <f>SUMIFS(All_Stats!J:J,All_Stats!$A:$A,$B171,All_Stats!$B:$B,"Overall",All_Stats!$D:$D,"Total")</f>
        <v>0</v>
      </c>
      <c r="J171" s="113">
        <f t="shared" si="3"/>
        <v>240</v>
      </c>
      <c r="K171" s="249" t="s">
        <v>57</v>
      </c>
      <c r="L171" s="245">
        <v>44330.0</v>
      </c>
      <c r="M171" s="245">
        <v>44428.0</v>
      </c>
      <c r="N171" s="15" t="s">
        <v>934</v>
      </c>
      <c r="O171" s="310">
        <f t="shared" si="6"/>
        <v>17.95774648</v>
      </c>
      <c r="P171" s="311">
        <f t="shared" ref="P171:Q171" si="175">F171/D171</f>
        <v>0</v>
      </c>
      <c r="Q171" s="325" t="str">
        <f t="shared" si="175"/>
        <v>#DIV/0!</v>
      </c>
      <c r="R171" s="311">
        <f t="shared" si="8"/>
        <v>0</v>
      </c>
      <c r="S171" s="300" t="str">
        <f t="shared" si="124"/>
        <v>Closed</v>
      </c>
      <c r="T171" s="2" t="s">
        <v>80</v>
      </c>
      <c r="U171" s="162" t="s">
        <v>611</v>
      </c>
      <c r="V171" s="113">
        <f>COUNTIFS('Delivery Tracking'!E:E,B171)</f>
        <v>0</v>
      </c>
      <c r="W171" s="113">
        <f>SUMIFS(All_Stats!N:N,All_Stats!$A:$A,$B171,All_Stats!$B:$B,"Overall",All_Stats!$D:$D,"Total")</f>
        <v>0</v>
      </c>
      <c r="X171" s="323">
        <v>44631.0</v>
      </c>
      <c r="Y171" s="329"/>
      <c r="Z171" s="326"/>
    </row>
    <row r="172" hidden="1">
      <c r="A172" s="334" t="s">
        <v>935</v>
      </c>
      <c r="B172" s="335" t="s">
        <v>936</v>
      </c>
      <c r="C172" s="384"/>
      <c r="D172" s="193">
        <v>25.0</v>
      </c>
      <c r="E172" s="171">
        <f>SUMIFS(All_Stats!G:G,All_Stats!$A:$A,$B172,All_Stats!$B:$B,"Overall",All_Stats!$D:$D,"Total")</f>
        <v>0</v>
      </c>
      <c r="F172" s="113">
        <f>SUMIFS(All_Stats!H:H,All_Stats!$A:$A,$B172,All_Stats!$B:$B,"Overall",All_Stats!$D:$D,"Total")</f>
        <v>0</v>
      </c>
      <c r="G172" s="171">
        <f>SUMIFS(All_Stats!I:I,All_Stats!$A:$A,$B172,All_Stats!$B:$B,"Overall",All_Stats!$D:$D,"Total")</f>
        <v>0</v>
      </c>
      <c r="H172" s="113">
        <f>SUMIFS(All_Stats!K:K,All_Stats!$A:$A,$B172,All_Stats!$B:$B,"Overall",All_Stats!$D:$D,"Total")</f>
        <v>0</v>
      </c>
      <c r="I172" s="113">
        <f>SUMIFS(All_Stats!J:J,All_Stats!$A:$A,$B172,All_Stats!$B:$B,"Overall",All_Stats!$D:$D,"Total")</f>
        <v>0</v>
      </c>
      <c r="J172" s="113">
        <f t="shared" si="3"/>
        <v>25</v>
      </c>
      <c r="K172" s="249" t="s">
        <v>57</v>
      </c>
      <c r="L172" s="323">
        <v>44417.0</v>
      </c>
      <c r="M172" s="245">
        <v>44427.0</v>
      </c>
      <c r="N172" s="2"/>
      <c r="O172" s="310">
        <f t="shared" si="6"/>
        <v>134.8888889</v>
      </c>
      <c r="P172" s="311">
        <f t="shared" ref="P172:Q172" si="176">F172/D172</f>
        <v>0</v>
      </c>
      <c r="Q172" s="325" t="str">
        <f t="shared" si="176"/>
        <v>#DIV/0!</v>
      </c>
      <c r="R172" s="311">
        <f t="shared" si="8"/>
        <v>0</v>
      </c>
      <c r="S172" s="300" t="str">
        <f t="shared" si="124"/>
        <v>Closed</v>
      </c>
      <c r="T172" s="2" t="s">
        <v>153</v>
      </c>
      <c r="U172" s="162" t="s">
        <v>611</v>
      </c>
      <c r="V172" s="113">
        <f>COUNTIFS('Delivery Tracking'!E:E,B172)</f>
        <v>0</v>
      </c>
      <c r="W172" s="113">
        <f>SUMIFS(All_Stats!N:N,All_Stats!$A:$A,$B172,All_Stats!$B:$B,"Overall",All_Stats!$D:$D,"Total")</f>
        <v>0</v>
      </c>
      <c r="X172" s="323">
        <v>44632.0</v>
      </c>
      <c r="Y172" s="329"/>
      <c r="Z172" s="326"/>
    </row>
    <row r="173" hidden="1">
      <c r="A173" s="334" t="s">
        <v>874</v>
      </c>
      <c r="B173" s="335" t="s">
        <v>937</v>
      </c>
      <c r="C173" s="184"/>
      <c r="D173" s="193">
        <v>30.0</v>
      </c>
      <c r="E173" s="171">
        <f>SUMIFS(All_Stats!G:G,All_Stats!$A:$A,$B173,All_Stats!$B:$B,"Overall",All_Stats!$D:$D,"Total")</f>
        <v>0</v>
      </c>
      <c r="F173" s="113">
        <f>SUMIFS(All_Stats!H:H,All_Stats!$A:$A,$B173,All_Stats!$B:$B,"Overall",All_Stats!$D:$D,"Total")</f>
        <v>0</v>
      </c>
      <c r="G173" s="171">
        <f>SUMIFS(All_Stats!I:I,All_Stats!$A:$A,$B173,All_Stats!$B:$B,"Overall",All_Stats!$D:$D,"Total")</f>
        <v>0</v>
      </c>
      <c r="H173" s="113">
        <f>SUMIFS(All_Stats!K:K,All_Stats!$A:$A,$B173,All_Stats!$B:$B,"Overall",All_Stats!$D:$D,"Total")</f>
        <v>0</v>
      </c>
      <c r="I173" s="113">
        <f>SUMIFS(All_Stats!J:J,All_Stats!$A:$A,$B173,All_Stats!$B:$B,"Overall",All_Stats!$D:$D,"Total")</f>
        <v>0</v>
      </c>
      <c r="J173" s="113">
        <f t="shared" si="3"/>
        <v>30</v>
      </c>
      <c r="K173" s="249" t="s">
        <v>57</v>
      </c>
      <c r="L173" s="245">
        <v>44414.0</v>
      </c>
      <c r="M173" s="245">
        <v>44428.0</v>
      </c>
      <c r="N173" s="2" t="s">
        <v>938</v>
      </c>
      <c r="O173" s="310">
        <f t="shared" si="6"/>
        <v>110.4545455</v>
      </c>
      <c r="P173" s="311">
        <f t="shared" ref="P173:Q173" si="177">F173/D173</f>
        <v>0</v>
      </c>
      <c r="Q173" s="325" t="str">
        <f t="shared" si="177"/>
        <v>#DIV/0!</v>
      </c>
      <c r="R173" s="311">
        <f t="shared" si="8"/>
        <v>0</v>
      </c>
      <c r="S173" s="300" t="str">
        <f t="shared" si="124"/>
        <v>Closed</v>
      </c>
      <c r="T173" s="2" t="s">
        <v>166</v>
      </c>
      <c r="U173" s="162" t="s">
        <v>611</v>
      </c>
      <c r="V173" s="113">
        <f>COUNTIFS('Delivery Tracking'!E:E,B173)</f>
        <v>0</v>
      </c>
      <c r="W173" s="113">
        <f>SUMIFS(All_Stats!N:N,All_Stats!$A:$A,$B173,All_Stats!$B:$B,"Overall",All_Stats!$D:$D,"Total")</f>
        <v>0</v>
      </c>
      <c r="X173" s="323">
        <v>44633.0</v>
      </c>
      <c r="Y173" s="329"/>
      <c r="Z173" s="326"/>
    </row>
    <row r="174" hidden="1">
      <c r="A174" s="352" t="s">
        <v>769</v>
      </c>
      <c r="B174" s="342" t="s">
        <v>939</v>
      </c>
      <c r="C174" s="184"/>
      <c r="D174" s="193">
        <v>55.0</v>
      </c>
      <c r="E174" s="171">
        <f>SUMIFS(All_Stats!G:G,All_Stats!$A:$A,$B174,All_Stats!$B:$B,"Overall",All_Stats!$D:$D,"Total")</f>
        <v>0</v>
      </c>
      <c r="F174" s="113">
        <f>SUMIFS(All_Stats!H:H,All_Stats!$A:$A,$B174,All_Stats!$B:$B,"Overall",All_Stats!$D:$D,"Total")</f>
        <v>0</v>
      </c>
      <c r="G174" s="171">
        <f>SUMIFS(All_Stats!I:I,All_Stats!$A:$A,$B174,All_Stats!$B:$B,"Overall",All_Stats!$D:$D,"Total")</f>
        <v>0</v>
      </c>
      <c r="H174" s="113">
        <f>SUMIFS(All_Stats!K:K,All_Stats!$A:$A,$B174,All_Stats!$B:$B,"Overall",All_Stats!$D:$D,"Total")</f>
        <v>0</v>
      </c>
      <c r="I174" s="113">
        <f>SUMIFS(All_Stats!J:J,All_Stats!$A:$A,$B174,All_Stats!$B:$B,"Overall",All_Stats!$D:$D,"Total")</f>
        <v>0</v>
      </c>
      <c r="J174" s="113">
        <f t="shared" si="3"/>
        <v>55</v>
      </c>
      <c r="K174" s="249" t="s">
        <v>57</v>
      </c>
      <c r="L174" s="323">
        <v>44418.0</v>
      </c>
      <c r="M174" s="245">
        <v>44426.0</v>
      </c>
      <c r="O174" s="310">
        <f t="shared" si="6"/>
        <v>173.2857143</v>
      </c>
      <c r="P174" s="311">
        <f t="shared" ref="P174:Q174" si="178">F174/D174</f>
        <v>0</v>
      </c>
      <c r="Q174" s="325" t="str">
        <f t="shared" si="178"/>
        <v>#DIV/0!</v>
      </c>
      <c r="R174" s="311">
        <f t="shared" si="8"/>
        <v>0</v>
      </c>
      <c r="S174" s="300" t="str">
        <f t="shared" si="124"/>
        <v>Closed</v>
      </c>
      <c r="T174" s="2" t="s">
        <v>184</v>
      </c>
      <c r="U174" s="162" t="s">
        <v>611</v>
      </c>
      <c r="V174" s="113">
        <f>COUNTIFS('Delivery Tracking'!E:E,B174)</f>
        <v>0</v>
      </c>
      <c r="W174" s="113">
        <f>SUMIFS(All_Stats!N:N,All_Stats!$A:$A,$B174,All_Stats!$B:$B,"Overall",All_Stats!$D:$D,"Total")</f>
        <v>0</v>
      </c>
      <c r="X174" s="323">
        <v>44634.0</v>
      </c>
      <c r="Y174" s="329"/>
      <c r="Z174" s="326"/>
    </row>
    <row r="175" hidden="1">
      <c r="A175" s="352" t="s">
        <v>940</v>
      </c>
      <c r="B175" s="342" t="s">
        <v>941</v>
      </c>
      <c r="C175" s="306"/>
      <c r="D175" s="193">
        <v>5.0</v>
      </c>
      <c r="E175" s="171">
        <f>SUMIFS(All_Stats!G:G,All_Stats!$A:$A,$B175,All_Stats!$B:$B,"Overall",All_Stats!$D:$D,"Total")</f>
        <v>0</v>
      </c>
      <c r="F175" s="113">
        <f>SUMIFS(All_Stats!H:H,All_Stats!$A:$A,$B175,All_Stats!$B:$B,"Overall",All_Stats!$D:$D,"Total")</f>
        <v>0</v>
      </c>
      <c r="G175" s="171">
        <f>SUMIFS(All_Stats!I:I,All_Stats!$A:$A,$B175,All_Stats!$B:$B,"Overall",All_Stats!$D:$D,"Total")</f>
        <v>0</v>
      </c>
      <c r="H175" s="113">
        <f>SUMIFS(All_Stats!K:K,All_Stats!$A:$A,$B175,All_Stats!$B:$B,"Overall",All_Stats!$D:$D,"Total")</f>
        <v>0</v>
      </c>
      <c r="I175" s="113">
        <f>SUMIFS(All_Stats!J:J,All_Stats!$A:$A,$B175,All_Stats!$B:$B,"Overall",All_Stats!$D:$D,"Total")</f>
        <v>0</v>
      </c>
      <c r="J175" s="113">
        <f t="shared" si="3"/>
        <v>5</v>
      </c>
      <c r="K175" s="249" t="s">
        <v>57</v>
      </c>
      <c r="L175" s="245">
        <v>44407.0</v>
      </c>
      <c r="M175" s="332">
        <v>44428.0</v>
      </c>
      <c r="N175" s="2" t="s">
        <v>942</v>
      </c>
      <c r="O175" s="310">
        <f t="shared" si="6"/>
        <v>76.25</v>
      </c>
      <c r="P175" s="311">
        <f t="shared" ref="P175:Q175" si="179">F175/D175</f>
        <v>0</v>
      </c>
      <c r="Q175" s="325" t="str">
        <f t="shared" si="179"/>
        <v>#DIV/0!</v>
      </c>
      <c r="R175" s="311">
        <f t="shared" si="8"/>
        <v>0</v>
      </c>
      <c r="S175" s="300" t="str">
        <f t="shared" si="124"/>
        <v>Closed</v>
      </c>
      <c r="T175" s="2" t="s">
        <v>153</v>
      </c>
      <c r="U175" s="162" t="s">
        <v>611</v>
      </c>
      <c r="V175" s="113">
        <f>COUNTIFS('Delivery Tracking'!E:E,B175)</f>
        <v>0</v>
      </c>
      <c r="W175" s="113">
        <f>SUMIFS(All_Stats!N:N,All_Stats!$A:$A,$B175,All_Stats!$B:$B,"Overall",All_Stats!$D:$D,"Total")</f>
        <v>0</v>
      </c>
      <c r="X175" s="323">
        <v>44635.0</v>
      </c>
      <c r="Y175" s="329"/>
      <c r="Z175" s="326"/>
    </row>
    <row r="176" hidden="1">
      <c r="A176" s="365" t="s">
        <v>943</v>
      </c>
      <c r="B176" s="409" t="s">
        <v>944</v>
      </c>
      <c r="C176" s="184"/>
      <c r="D176" s="193">
        <v>30.0</v>
      </c>
      <c r="E176" s="171">
        <f>SUMIFS(All_Stats!G:G,All_Stats!$A:$A,$B176,All_Stats!$B:$B,"Overall",All_Stats!$D:$D,"Total")</f>
        <v>0</v>
      </c>
      <c r="F176" s="113">
        <f>SUMIFS(All_Stats!H:H,All_Stats!$A:$A,$B176,All_Stats!$B:$B,"Overall",All_Stats!$D:$D,"Total")</f>
        <v>0</v>
      </c>
      <c r="G176" s="171">
        <f>SUMIFS(All_Stats!I:I,All_Stats!$A:$A,$B176,All_Stats!$B:$B,"Overall",All_Stats!$D:$D,"Total")</f>
        <v>0</v>
      </c>
      <c r="H176" s="113">
        <f>SUMIFS(All_Stats!K:K,All_Stats!$A:$A,$B176,All_Stats!$B:$B,"Overall",All_Stats!$D:$D,"Total")</f>
        <v>0</v>
      </c>
      <c r="I176" s="113">
        <f>SUMIFS(All_Stats!J:J,All_Stats!$A:$A,$B176,All_Stats!$B:$B,"Overall",All_Stats!$D:$D,"Total")</f>
        <v>0</v>
      </c>
      <c r="J176" s="113">
        <f t="shared" si="3"/>
        <v>30</v>
      </c>
      <c r="K176" s="249" t="s">
        <v>57</v>
      </c>
      <c r="L176" s="245">
        <v>44344.0</v>
      </c>
      <c r="M176" s="245">
        <v>44424.0</v>
      </c>
      <c r="O176" s="310">
        <f t="shared" si="6"/>
        <v>22.19298246</v>
      </c>
      <c r="P176" s="311">
        <f t="shared" ref="P176:Q176" si="180">F176/D176</f>
        <v>0</v>
      </c>
      <c r="Q176" s="325" t="str">
        <f t="shared" si="180"/>
        <v>#DIV/0!</v>
      </c>
      <c r="R176" s="311">
        <f t="shared" si="8"/>
        <v>0</v>
      </c>
      <c r="S176" s="300" t="str">
        <f t="shared" si="124"/>
        <v>Closed</v>
      </c>
      <c r="T176" s="2" t="s">
        <v>293</v>
      </c>
      <c r="U176" s="162" t="s">
        <v>611</v>
      </c>
      <c r="V176" s="113">
        <f>COUNTIFS('Delivery Tracking'!E:E,B176)</f>
        <v>0</v>
      </c>
      <c r="W176" s="113">
        <f>SUMIFS(All_Stats!N:N,All_Stats!$A:$A,$B176,All_Stats!$B:$B,"Overall",All_Stats!$D:$D,"Total")</f>
        <v>0</v>
      </c>
      <c r="X176" s="323">
        <v>44636.0</v>
      </c>
      <c r="Y176" s="329"/>
      <c r="Z176" s="326"/>
    </row>
    <row r="177" hidden="1">
      <c r="A177" s="334" t="s">
        <v>769</v>
      </c>
      <c r="B177" s="335" t="s">
        <v>945</v>
      </c>
      <c r="C177" s="184"/>
      <c r="D177" s="193">
        <v>55.0</v>
      </c>
      <c r="E177" s="171">
        <f>SUMIFS(All_Stats!G:G,All_Stats!$A:$A,$B177,All_Stats!$B:$B,"Overall",All_Stats!$D:$D,"Total")</f>
        <v>0</v>
      </c>
      <c r="F177" s="113">
        <f>SUMIFS(All_Stats!H:H,All_Stats!$A:$A,$B177,All_Stats!$B:$B,"Overall",All_Stats!$D:$D,"Total")</f>
        <v>0</v>
      </c>
      <c r="G177" s="171">
        <f>SUMIFS(All_Stats!I:I,All_Stats!$A:$A,$B177,All_Stats!$B:$B,"Overall",All_Stats!$D:$D,"Total")</f>
        <v>0</v>
      </c>
      <c r="H177" s="113">
        <f>SUMIFS(All_Stats!K:K,All_Stats!$A:$A,$B177,All_Stats!$B:$B,"Overall",All_Stats!$D:$D,"Total")</f>
        <v>0</v>
      </c>
      <c r="I177" s="113">
        <f>SUMIFS(All_Stats!J:J,All_Stats!$A:$A,$B177,All_Stats!$B:$B,"Overall",All_Stats!$D:$D,"Total")</f>
        <v>0</v>
      </c>
      <c r="J177" s="113">
        <f t="shared" si="3"/>
        <v>55</v>
      </c>
      <c r="K177" s="249" t="s">
        <v>57</v>
      </c>
      <c r="L177" s="323">
        <v>44418.0</v>
      </c>
      <c r="M177" s="245">
        <v>44425.0</v>
      </c>
      <c r="O177" s="310">
        <f t="shared" si="6"/>
        <v>202.1666667</v>
      </c>
      <c r="P177" s="311">
        <f t="shared" ref="P177:Q177" si="181">F177/D177</f>
        <v>0</v>
      </c>
      <c r="Q177" s="325" t="str">
        <f t="shared" si="181"/>
        <v>#DIV/0!</v>
      </c>
      <c r="R177" s="311">
        <f t="shared" si="8"/>
        <v>0</v>
      </c>
      <c r="S177" s="300" t="str">
        <f t="shared" si="124"/>
        <v>Closed</v>
      </c>
      <c r="T177" s="2" t="s">
        <v>184</v>
      </c>
      <c r="U177" s="162" t="s">
        <v>611</v>
      </c>
      <c r="V177" s="113">
        <f>COUNTIFS('Delivery Tracking'!E:E,B177)</f>
        <v>0</v>
      </c>
      <c r="W177" s="113">
        <f>SUMIFS(All_Stats!N:N,All_Stats!$A:$A,$B177,All_Stats!$B:$B,"Overall",All_Stats!$D:$D,"Total")</f>
        <v>0</v>
      </c>
      <c r="X177" s="323">
        <v>44637.0</v>
      </c>
      <c r="Y177" s="329"/>
      <c r="Z177" s="326"/>
    </row>
    <row r="178" hidden="1">
      <c r="A178" s="334" t="s">
        <v>946</v>
      </c>
      <c r="B178" s="335" t="s">
        <v>947</v>
      </c>
      <c r="C178" s="184"/>
      <c r="D178" s="193">
        <v>50.0</v>
      </c>
      <c r="E178" s="171">
        <f>SUMIFS(All_Stats!G:G,All_Stats!$A:$A,$B178,All_Stats!$B:$B,"Overall",All_Stats!$D:$D,"Total")</f>
        <v>0</v>
      </c>
      <c r="F178" s="113">
        <f>SUMIFS(All_Stats!H:H,All_Stats!$A:$A,$B178,All_Stats!$B:$B,"Overall",All_Stats!$D:$D,"Total")</f>
        <v>0</v>
      </c>
      <c r="G178" s="171">
        <f>SUMIFS(All_Stats!I:I,All_Stats!$A:$A,$B178,All_Stats!$B:$B,"Overall",All_Stats!$D:$D,"Total")</f>
        <v>0</v>
      </c>
      <c r="H178" s="113">
        <f>SUMIFS(All_Stats!K:K,All_Stats!$A:$A,$B178,All_Stats!$B:$B,"Overall",All_Stats!$D:$D,"Total")</f>
        <v>0</v>
      </c>
      <c r="I178" s="113">
        <f>SUMIFS(All_Stats!J:J,All_Stats!$A:$A,$B178,All_Stats!$B:$B,"Overall",All_Stats!$D:$D,"Total")</f>
        <v>0</v>
      </c>
      <c r="J178" s="113">
        <f t="shared" si="3"/>
        <v>50</v>
      </c>
      <c r="K178" s="249" t="s">
        <v>57</v>
      </c>
      <c r="L178" s="323">
        <v>44412.0</v>
      </c>
      <c r="M178" s="245">
        <v>44431.0</v>
      </c>
      <c r="O178" s="310">
        <f t="shared" si="6"/>
        <v>86.92857143</v>
      </c>
      <c r="P178" s="311">
        <f t="shared" ref="P178:Q178" si="182">F178/D178</f>
        <v>0</v>
      </c>
      <c r="Q178" s="325" t="str">
        <f t="shared" si="182"/>
        <v>#DIV/0!</v>
      </c>
      <c r="R178" s="311">
        <f t="shared" si="8"/>
        <v>0</v>
      </c>
      <c r="S178" s="300" t="str">
        <f t="shared" si="124"/>
        <v>Closed</v>
      </c>
      <c r="T178" s="2" t="s">
        <v>67</v>
      </c>
      <c r="U178" s="162" t="s">
        <v>611</v>
      </c>
      <c r="V178" s="113">
        <f>COUNTIFS('Delivery Tracking'!E:E,B178)</f>
        <v>0</v>
      </c>
      <c r="W178" s="113">
        <f>SUMIFS(All_Stats!N:N,All_Stats!$A:$A,$B178,All_Stats!$B:$B,"Overall",All_Stats!$D:$D,"Total")</f>
        <v>0</v>
      </c>
      <c r="X178" s="323">
        <v>44638.0</v>
      </c>
      <c r="Y178" s="329"/>
      <c r="Z178" s="326"/>
    </row>
    <row r="179" hidden="1">
      <c r="A179" s="367" t="s">
        <v>862</v>
      </c>
      <c r="B179" s="368" t="s">
        <v>948</v>
      </c>
      <c r="C179" s="384"/>
      <c r="D179" s="193">
        <v>50.0</v>
      </c>
      <c r="E179" s="171">
        <f>SUMIFS(All_Stats!G:G,All_Stats!$A:$A,$B179,All_Stats!$B:$B,"Overall",All_Stats!$D:$D,"Total")</f>
        <v>0</v>
      </c>
      <c r="F179" s="113">
        <f>SUMIFS(All_Stats!H:H,All_Stats!$A:$A,$B179,All_Stats!$B:$B,"Overall",All_Stats!$D:$D,"Total")</f>
        <v>0</v>
      </c>
      <c r="G179" s="171">
        <f>SUMIFS(All_Stats!I:I,All_Stats!$A:$A,$B179,All_Stats!$B:$B,"Overall",All_Stats!$D:$D,"Total")</f>
        <v>0</v>
      </c>
      <c r="H179" s="113">
        <f>SUMIFS(All_Stats!K:K,All_Stats!$A:$A,$B179,All_Stats!$B:$B,"Overall",All_Stats!$D:$D,"Total")</f>
        <v>0</v>
      </c>
      <c r="I179" s="113">
        <f>SUMIFS(All_Stats!J:J,All_Stats!$A:$A,$B179,All_Stats!$B:$B,"Overall",All_Stats!$D:$D,"Total")</f>
        <v>0</v>
      </c>
      <c r="J179" s="113">
        <f t="shared" si="3"/>
        <v>50</v>
      </c>
      <c r="K179" s="249" t="s">
        <v>57</v>
      </c>
      <c r="L179" s="374">
        <v>44403.0</v>
      </c>
      <c r="M179" s="374">
        <v>44424.0</v>
      </c>
      <c r="O179" s="310">
        <f t="shared" si="6"/>
        <v>76.5</v>
      </c>
      <c r="P179" s="311">
        <f t="shared" ref="P179:Q179" si="183">F179/D179</f>
        <v>0</v>
      </c>
      <c r="Q179" s="325" t="str">
        <f t="shared" si="183"/>
        <v>#DIV/0!</v>
      </c>
      <c r="R179" s="311">
        <f t="shared" si="8"/>
        <v>0</v>
      </c>
      <c r="S179" s="300" t="str">
        <f t="shared" si="124"/>
        <v>Closed</v>
      </c>
      <c r="T179" s="2" t="s">
        <v>166</v>
      </c>
      <c r="U179" s="162" t="s">
        <v>611</v>
      </c>
      <c r="V179" s="113">
        <f>COUNTIFS('Delivery Tracking'!E:E,B179)</f>
        <v>0</v>
      </c>
      <c r="W179" s="113">
        <f>SUMIFS(All_Stats!N:N,All_Stats!$A:$A,$B179,All_Stats!$B:$B,"Overall",All_Stats!$D:$D,"Total")</f>
        <v>0</v>
      </c>
      <c r="X179" s="323">
        <v>44639.0</v>
      </c>
      <c r="Y179" s="329"/>
      <c r="Z179" s="326"/>
    </row>
    <row r="180" ht="15.0" hidden="1" customHeight="1">
      <c r="A180" s="371" t="s">
        <v>949</v>
      </c>
      <c r="B180" s="341" t="s">
        <v>950</v>
      </c>
      <c r="C180" s="306"/>
      <c r="D180" s="193">
        <v>80.0</v>
      </c>
      <c r="E180" s="171">
        <f>SUMIFS(All_Stats!G:G,All_Stats!$A:$A,$B180,All_Stats!$B:$B,"Overall",All_Stats!$D:$D,"Total")</f>
        <v>0</v>
      </c>
      <c r="F180" s="113">
        <f>SUMIFS(All_Stats!H:H,All_Stats!$A:$A,$B180,All_Stats!$B:$B,"Overall",All_Stats!$D:$D,"Total")</f>
        <v>0</v>
      </c>
      <c r="G180" s="171">
        <f>SUMIFS(All_Stats!I:I,All_Stats!$A:$A,$B180,All_Stats!$B:$B,"Overall",All_Stats!$D:$D,"Total")</f>
        <v>0</v>
      </c>
      <c r="H180" s="113">
        <f>SUMIFS(All_Stats!K:K,All_Stats!$A:$A,$B180,All_Stats!$B:$B,"Overall",All_Stats!$D:$D,"Total")</f>
        <v>0</v>
      </c>
      <c r="I180" s="113">
        <f>SUMIFS(All_Stats!J:J,All_Stats!$A:$A,$B180,All_Stats!$B:$B,"Overall",All_Stats!$D:$D,"Total")</f>
        <v>0</v>
      </c>
      <c r="J180" s="113">
        <f t="shared" si="3"/>
        <v>80</v>
      </c>
      <c r="K180" s="249" t="s">
        <v>57</v>
      </c>
      <c r="L180" s="374">
        <v>44400.0</v>
      </c>
      <c r="M180" s="374">
        <v>44421.0</v>
      </c>
      <c r="N180" s="407"/>
      <c r="O180" s="310">
        <f t="shared" si="6"/>
        <v>76.5625</v>
      </c>
      <c r="P180" s="311">
        <f t="shared" ref="P180:Q180" si="184">F180/D180</f>
        <v>0</v>
      </c>
      <c r="Q180" s="325" t="str">
        <f t="shared" si="184"/>
        <v>#DIV/0!</v>
      </c>
      <c r="R180" s="311">
        <f t="shared" si="8"/>
        <v>0</v>
      </c>
      <c r="S180" s="300" t="str">
        <f t="shared" si="124"/>
        <v>Closed</v>
      </c>
      <c r="T180" s="2" t="s">
        <v>166</v>
      </c>
      <c r="U180" s="162" t="s">
        <v>611</v>
      </c>
      <c r="V180" s="113">
        <f>COUNTIFS('Delivery Tracking'!E:E,B180)</f>
        <v>0</v>
      </c>
      <c r="W180" s="113">
        <f>SUMIFS(All_Stats!N:N,All_Stats!$A:$A,$B180,All_Stats!$B:$B,"Overall",All_Stats!$D:$D,"Total")</f>
        <v>0</v>
      </c>
      <c r="X180" s="323">
        <v>44640.0</v>
      </c>
      <c r="Y180" s="329"/>
      <c r="Z180" s="326"/>
    </row>
    <row r="181" hidden="1">
      <c r="A181" s="334" t="s">
        <v>769</v>
      </c>
      <c r="B181" s="335" t="s">
        <v>951</v>
      </c>
      <c r="C181" s="184"/>
      <c r="D181" s="193">
        <v>65.0</v>
      </c>
      <c r="E181" s="171">
        <f>SUMIFS(All_Stats!G:G,All_Stats!$A:$A,$B181,All_Stats!$B:$B,"Overall",All_Stats!$D:$D,"Total")</f>
        <v>0</v>
      </c>
      <c r="F181" s="113">
        <f>SUMIFS(All_Stats!H:H,All_Stats!$A:$A,$B181,All_Stats!$B:$B,"Overall",All_Stats!$D:$D,"Total")</f>
        <v>0</v>
      </c>
      <c r="G181" s="171">
        <f>SUMIFS(All_Stats!I:I,All_Stats!$A:$A,$B181,All_Stats!$B:$B,"Overall",All_Stats!$D:$D,"Total")</f>
        <v>0</v>
      </c>
      <c r="H181" s="113">
        <f>SUMIFS(All_Stats!K:K,All_Stats!$A:$A,$B181,All_Stats!$B:$B,"Overall",All_Stats!$D:$D,"Total")</f>
        <v>0</v>
      </c>
      <c r="I181" s="113">
        <f>SUMIFS(All_Stats!J:J,All_Stats!$A:$A,$B181,All_Stats!$B:$B,"Overall",All_Stats!$D:$D,"Total")</f>
        <v>0</v>
      </c>
      <c r="J181" s="113">
        <f t="shared" si="3"/>
        <v>65</v>
      </c>
      <c r="K181" s="249" t="s">
        <v>57</v>
      </c>
      <c r="L181" s="245">
        <v>44417.0</v>
      </c>
      <c r="M181" s="245">
        <v>44424.0</v>
      </c>
      <c r="O181" s="310">
        <f t="shared" si="6"/>
        <v>202.3333333</v>
      </c>
      <c r="P181" s="311">
        <f t="shared" ref="P181:Q181" si="185">F181/D181</f>
        <v>0</v>
      </c>
      <c r="Q181" s="325" t="str">
        <f t="shared" si="185"/>
        <v>#DIV/0!</v>
      </c>
      <c r="R181" s="311">
        <f t="shared" si="8"/>
        <v>0</v>
      </c>
      <c r="S181" s="300" t="str">
        <f t="shared" si="124"/>
        <v>Closed</v>
      </c>
      <c r="T181" s="2" t="s">
        <v>184</v>
      </c>
      <c r="U181" s="162" t="s">
        <v>611</v>
      </c>
      <c r="V181" s="113">
        <f>COUNTIFS('Delivery Tracking'!E:E,B181)</f>
        <v>0</v>
      </c>
      <c r="W181" s="113">
        <f>SUMIFS(All_Stats!N:N,All_Stats!$A:$A,$B181,All_Stats!$B:$B,"Overall",All_Stats!$D:$D,"Total")</f>
        <v>0</v>
      </c>
      <c r="X181" s="323">
        <v>44641.0</v>
      </c>
      <c r="Y181" s="329"/>
      <c r="Z181" s="326"/>
    </row>
    <row r="182" hidden="1">
      <c r="A182" s="327" t="s">
        <v>769</v>
      </c>
      <c r="B182" s="342" t="s">
        <v>952</v>
      </c>
      <c r="C182" s="306"/>
      <c r="D182" s="193">
        <v>110.0</v>
      </c>
      <c r="E182" s="171">
        <f>SUMIFS(All_Stats!G:G,All_Stats!$A:$A,$B182,All_Stats!$B:$B,"Overall",All_Stats!$D:$D,"Total")</f>
        <v>0</v>
      </c>
      <c r="F182" s="113">
        <f>SUMIFS(All_Stats!H:H,All_Stats!$A:$A,$B182,All_Stats!$B:$B,"Overall",All_Stats!$D:$D,"Total")</f>
        <v>0</v>
      </c>
      <c r="G182" s="171">
        <f>SUMIFS(All_Stats!I:I,All_Stats!$A:$A,$B182,All_Stats!$B:$B,"Overall",All_Stats!$D:$D,"Total")</f>
        <v>0</v>
      </c>
      <c r="H182" s="113">
        <f>SUMIFS(All_Stats!K:K,All_Stats!$A:$A,$B182,All_Stats!$B:$B,"Overall",All_Stats!$D:$D,"Total")</f>
        <v>0</v>
      </c>
      <c r="I182" s="113">
        <f>SUMIFS(All_Stats!J:J,All_Stats!$A:$A,$B182,All_Stats!$B:$B,"Overall",All_Stats!$D:$D,"Total")</f>
        <v>0</v>
      </c>
      <c r="J182" s="113">
        <f t="shared" si="3"/>
        <v>110</v>
      </c>
      <c r="K182" s="249" t="s">
        <v>57</v>
      </c>
      <c r="L182" s="323">
        <v>44405.0</v>
      </c>
      <c r="M182" s="245">
        <v>44424.0</v>
      </c>
      <c r="O182" s="310">
        <f t="shared" si="6"/>
        <v>87.28571429</v>
      </c>
      <c r="P182" s="311">
        <f t="shared" ref="P182:Q182" si="186">F182/D182</f>
        <v>0</v>
      </c>
      <c r="Q182" s="325" t="str">
        <f t="shared" si="186"/>
        <v>#DIV/0!</v>
      </c>
      <c r="R182" s="311">
        <f t="shared" si="8"/>
        <v>0</v>
      </c>
      <c r="S182" s="300" t="str">
        <f t="shared" si="124"/>
        <v>Closed</v>
      </c>
      <c r="T182" s="2" t="s">
        <v>184</v>
      </c>
      <c r="U182" s="162" t="s">
        <v>611</v>
      </c>
      <c r="V182" s="113">
        <f>COUNTIFS('Delivery Tracking'!E:E,B182)</f>
        <v>0</v>
      </c>
      <c r="W182" s="113">
        <f>SUMIFS(All_Stats!N:N,All_Stats!$A:$A,$B182,All_Stats!$B:$B,"Overall",All_Stats!$D:$D,"Total")</f>
        <v>0</v>
      </c>
      <c r="X182" s="323">
        <v>44642.0</v>
      </c>
      <c r="Y182" s="329"/>
      <c r="Z182" s="326"/>
    </row>
    <row r="183" hidden="1">
      <c r="A183" s="330" t="s">
        <v>916</v>
      </c>
      <c r="B183" s="383" t="s">
        <v>953</v>
      </c>
      <c r="C183" s="184"/>
      <c r="D183" s="162">
        <v>593.0</v>
      </c>
      <c r="E183" s="171">
        <f>SUMIFS(All_Stats!G:G,All_Stats!$A:$A,$B183,All_Stats!$B:$B,"Overall",All_Stats!$D:$D,"Total")</f>
        <v>0</v>
      </c>
      <c r="F183" s="113">
        <f>SUMIFS(All_Stats!H:H,All_Stats!$A:$A,$B183,All_Stats!$B:$B,"Overall",All_Stats!$D:$D,"Total")</f>
        <v>0</v>
      </c>
      <c r="G183" s="171">
        <f>SUMIFS(All_Stats!I:I,All_Stats!$A:$A,$B183,All_Stats!$B:$B,"Overall",All_Stats!$D:$D,"Total")</f>
        <v>0</v>
      </c>
      <c r="H183" s="113">
        <f>SUMIFS(All_Stats!K:K,All_Stats!$A:$A,$B183,All_Stats!$B:$B,"Overall",All_Stats!$D:$D,"Total")</f>
        <v>0</v>
      </c>
      <c r="I183" s="113">
        <f>SUMIFS(All_Stats!J:J,All_Stats!$A:$A,$B183,All_Stats!$B:$B,"Overall",All_Stats!$D:$D,"Total")</f>
        <v>0</v>
      </c>
      <c r="J183" s="113">
        <f t="shared" si="3"/>
        <v>593</v>
      </c>
      <c r="K183" s="249" t="s">
        <v>57</v>
      </c>
      <c r="L183" s="245">
        <v>44253.0</v>
      </c>
      <c r="M183" s="245">
        <v>44271.0</v>
      </c>
      <c r="N183" s="410"/>
      <c r="O183" s="310">
        <f t="shared" si="6"/>
        <v>102.3076923</v>
      </c>
      <c r="P183" s="311">
        <f t="shared" ref="P183:Q183" si="187">F183/D183</f>
        <v>0</v>
      </c>
      <c r="Q183" s="325" t="str">
        <f t="shared" si="187"/>
        <v>#DIV/0!</v>
      </c>
      <c r="R183" s="311">
        <f t="shared" si="8"/>
        <v>0</v>
      </c>
      <c r="S183" s="300" t="str">
        <f t="shared" si="124"/>
        <v>Closed</v>
      </c>
      <c r="T183" s="2" t="s">
        <v>153</v>
      </c>
      <c r="U183" s="162" t="s">
        <v>611</v>
      </c>
      <c r="V183" s="113">
        <f>COUNTIFS('Delivery Tracking'!E:E,B183)</f>
        <v>0</v>
      </c>
      <c r="W183" s="113">
        <f>SUMIFS(All_Stats!N:N,All_Stats!$A:$A,$B183,All_Stats!$B:$B,"Overall",All_Stats!$D:$D,"Total")</f>
        <v>0</v>
      </c>
      <c r="X183" s="323">
        <v>44643.0</v>
      </c>
      <c r="Y183" s="329"/>
      <c r="Z183" s="326"/>
    </row>
    <row r="184" hidden="1">
      <c r="A184" s="330" t="s">
        <v>916</v>
      </c>
      <c r="B184" s="383" t="s">
        <v>954</v>
      </c>
      <c r="C184" s="184"/>
      <c r="D184" s="162">
        <v>1098.0</v>
      </c>
      <c r="E184" s="171">
        <f>SUMIFS(All_Stats!G:G,All_Stats!$A:$A,$B184,All_Stats!$B:$B,"Overall",All_Stats!$D:$D,"Total")</f>
        <v>0</v>
      </c>
      <c r="F184" s="113">
        <f>SUMIFS(All_Stats!H:H,All_Stats!$A:$A,$B184,All_Stats!$B:$B,"Overall",All_Stats!$D:$D,"Total")</f>
        <v>0</v>
      </c>
      <c r="G184" s="171">
        <f>SUMIFS(All_Stats!I:I,All_Stats!$A:$A,$B184,All_Stats!$B:$B,"Overall",All_Stats!$D:$D,"Total")</f>
        <v>0</v>
      </c>
      <c r="H184" s="113">
        <f>SUMIFS(All_Stats!K:K,All_Stats!$A:$A,$B184,All_Stats!$B:$B,"Overall",All_Stats!$D:$D,"Total")</f>
        <v>0</v>
      </c>
      <c r="I184" s="113">
        <f>SUMIFS(All_Stats!J:J,All_Stats!$A:$A,$B184,All_Stats!$B:$B,"Overall",All_Stats!$D:$D,"Total")</f>
        <v>0</v>
      </c>
      <c r="J184" s="113">
        <f t="shared" si="3"/>
        <v>1098</v>
      </c>
      <c r="K184" s="249" t="s">
        <v>57</v>
      </c>
      <c r="L184" s="245">
        <v>44253.0</v>
      </c>
      <c r="M184" s="245">
        <v>44438.0</v>
      </c>
      <c r="N184" s="410"/>
      <c r="O184" s="310">
        <f t="shared" si="6"/>
        <v>10.07575758</v>
      </c>
      <c r="P184" s="311">
        <f t="shared" ref="P184:Q184" si="188">F184/D184</f>
        <v>0</v>
      </c>
      <c r="Q184" s="325" t="str">
        <f t="shared" si="188"/>
        <v>#DIV/0!</v>
      </c>
      <c r="R184" s="311">
        <f t="shared" si="8"/>
        <v>0</v>
      </c>
      <c r="S184" s="300" t="str">
        <f t="shared" si="124"/>
        <v>Closed</v>
      </c>
      <c r="T184" s="2" t="s">
        <v>153</v>
      </c>
      <c r="U184" s="162" t="s">
        <v>611</v>
      </c>
      <c r="V184" s="113">
        <f>COUNTIFS('Delivery Tracking'!E:E,B184)</f>
        <v>0</v>
      </c>
      <c r="W184" s="113">
        <f>SUMIFS(All_Stats!N:N,All_Stats!$A:$A,$B184,All_Stats!$B:$B,"Overall",All_Stats!$D:$D,"Total")</f>
        <v>0</v>
      </c>
      <c r="X184" s="323">
        <v>44644.0</v>
      </c>
      <c r="Y184" s="329"/>
      <c r="Z184" s="326"/>
    </row>
    <row r="185" hidden="1">
      <c r="A185" s="327" t="s">
        <v>769</v>
      </c>
      <c r="B185" s="342" t="s">
        <v>955</v>
      </c>
      <c r="C185" s="306"/>
      <c r="D185" s="193">
        <v>250.0</v>
      </c>
      <c r="E185" s="171">
        <f>SUMIFS(All_Stats!G:G,All_Stats!$A:$A,$B185,All_Stats!$B:$B,"Overall",All_Stats!$D:$D,"Total")</f>
        <v>0</v>
      </c>
      <c r="F185" s="113">
        <f>SUMIFS(All_Stats!H:H,All_Stats!$A:$A,$B185,All_Stats!$B:$B,"Overall",All_Stats!$D:$D,"Total")</f>
        <v>0</v>
      </c>
      <c r="G185" s="171">
        <f>SUMIFS(All_Stats!I:I,All_Stats!$A:$A,$B185,All_Stats!$B:$B,"Overall",All_Stats!$D:$D,"Total")</f>
        <v>0</v>
      </c>
      <c r="H185" s="113">
        <f>SUMIFS(All_Stats!K:K,All_Stats!$A:$A,$B185,All_Stats!$B:$B,"Overall",All_Stats!$D:$D,"Total")</f>
        <v>0</v>
      </c>
      <c r="I185" s="113">
        <f>SUMIFS(All_Stats!J:J,All_Stats!$A:$A,$B185,All_Stats!$B:$B,"Overall",All_Stats!$D:$D,"Total")</f>
        <v>0</v>
      </c>
      <c r="J185" s="113">
        <f t="shared" si="3"/>
        <v>250</v>
      </c>
      <c r="K185" s="249" t="s">
        <v>57</v>
      </c>
      <c r="L185" s="323">
        <v>44405.0</v>
      </c>
      <c r="M185" s="245">
        <v>44424.0</v>
      </c>
      <c r="N185" s="2" t="s">
        <v>956</v>
      </c>
      <c r="O185" s="310">
        <f t="shared" si="6"/>
        <v>87.28571429</v>
      </c>
      <c r="P185" s="311">
        <f t="shared" ref="P185:Q185" si="189">F185/D185</f>
        <v>0</v>
      </c>
      <c r="Q185" s="325" t="str">
        <f t="shared" si="189"/>
        <v>#DIV/0!</v>
      </c>
      <c r="R185" s="311">
        <f t="shared" si="8"/>
        <v>0</v>
      </c>
      <c r="S185" s="300" t="str">
        <f t="shared" si="124"/>
        <v>Closed</v>
      </c>
      <c r="T185" s="2" t="s">
        <v>184</v>
      </c>
      <c r="U185" s="162" t="s">
        <v>611</v>
      </c>
      <c r="V185" s="113">
        <f>COUNTIFS('Delivery Tracking'!E:E,B185)</f>
        <v>0</v>
      </c>
      <c r="W185" s="113">
        <f>SUMIFS(All_Stats!N:N,All_Stats!$A:$A,$B185,All_Stats!$B:$B,"Overall",All_Stats!$D:$D,"Total")</f>
        <v>0</v>
      </c>
      <c r="X185" s="323">
        <v>44645.0</v>
      </c>
      <c r="Y185" s="329"/>
      <c r="Z185" s="326"/>
    </row>
    <row r="186" hidden="1">
      <c r="A186" s="338" t="s">
        <v>763</v>
      </c>
      <c r="B186" s="396" t="s">
        <v>957</v>
      </c>
      <c r="C186" s="184"/>
      <c r="D186" s="193">
        <v>15.0</v>
      </c>
      <c r="E186" s="171">
        <f>SUMIFS(All_Stats!G:G,All_Stats!$A:$A,$B186,All_Stats!$B:$B,"Overall",All_Stats!$D:$D,"Total")</f>
        <v>0</v>
      </c>
      <c r="F186" s="113">
        <f>SUMIFS(All_Stats!H:H,All_Stats!$A:$A,$B186,All_Stats!$B:$B,"Overall",All_Stats!$D:$D,"Total")</f>
        <v>0</v>
      </c>
      <c r="G186" s="171">
        <f>SUMIFS(All_Stats!I:I,All_Stats!$A:$A,$B186,All_Stats!$B:$B,"Overall",All_Stats!$D:$D,"Total")</f>
        <v>0</v>
      </c>
      <c r="H186" s="113">
        <f>SUMIFS(All_Stats!K:K,All_Stats!$A:$A,$B186,All_Stats!$B:$B,"Overall",All_Stats!$D:$D,"Total")</f>
        <v>0</v>
      </c>
      <c r="I186" s="113">
        <f>SUMIFS(All_Stats!J:J,All_Stats!$A:$A,$B186,All_Stats!$B:$B,"Overall",All_Stats!$D:$D,"Total")</f>
        <v>0</v>
      </c>
      <c r="J186" s="113">
        <f t="shared" si="3"/>
        <v>15</v>
      </c>
      <c r="K186" s="249" t="s">
        <v>57</v>
      </c>
      <c r="L186" s="356">
        <v>44355.0</v>
      </c>
      <c r="M186" s="377">
        <v>44398.0</v>
      </c>
      <c r="N186" s="324" t="s">
        <v>958</v>
      </c>
      <c r="O186" s="310">
        <f t="shared" si="6"/>
        <v>39.3125</v>
      </c>
      <c r="P186" s="311">
        <f t="shared" ref="P186:Q186" si="190">F186/D186</f>
        <v>0</v>
      </c>
      <c r="Q186" s="325" t="str">
        <f t="shared" si="190"/>
        <v>#DIV/0!</v>
      </c>
      <c r="R186" s="311">
        <f t="shared" si="8"/>
        <v>0</v>
      </c>
      <c r="S186" s="300" t="str">
        <f t="shared" si="124"/>
        <v>Closed</v>
      </c>
      <c r="T186" s="2" t="s">
        <v>293</v>
      </c>
      <c r="U186" s="162" t="s">
        <v>611</v>
      </c>
      <c r="V186" s="113">
        <f>COUNTIFS('Delivery Tracking'!E:E,B186)</f>
        <v>0</v>
      </c>
      <c r="W186" s="113">
        <f>SUMIFS(All_Stats!N:N,All_Stats!$A:$A,$B186,All_Stats!$B:$B,"Overall",All_Stats!$D:$D,"Total")</f>
        <v>0</v>
      </c>
      <c r="X186" s="323">
        <v>44646.0</v>
      </c>
      <c r="Y186" s="329"/>
      <c r="Z186" s="326"/>
    </row>
    <row r="187" hidden="1">
      <c r="A187" s="334" t="s">
        <v>959</v>
      </c>
      <c r="B187" s="342" t="s">
        <v>960</v>
      </c>
      <c r="C187" s="184"/>
      <c r="D187" s="193">
        <v>25.0</v>
      </c>
      <c r="E187" s="171">
        <f>SUMIFS(All_Stats!G:G,All_Stats!$A:$A,$B187,All_Stats!$B:$B,"Overall",All_Stats!$D:$D,"Total")</f>
        <v>0</v>
      </c>
      <c r="F187" s="113">
        <f>SUMIFS(All_Stats!H:H,All_Stats!$A:$A,$B187,All_Stats!$B:$B,"Overall",All_Stats!$D:$D,"Total")</f>
        <v>0</v>
      </c>
      <c r="G187" s="171">
        <f>SUMIFS(All_Stats!I:I,All_Stats!$A:$A,$B187,All_Stats!$B:$B,"Overall",All_Stats!$D:$D,"Total")</f>
        <v>0</v>
      </c>
      <c r="H187" s="113">
        <f>SUMIFS(All_Stats!K:K,All_Stats!$A:$A,$B187,All_Stats!$B:$B,"Overall",All_Stats!$D:$D,"Total")</f>
        <v>0</v>
      </c>
      <c r="I187" s="113">
        <f>SUMIFS(All_Stats!J:J,All_Stats!$A:$A,$B187,All_Stats!$B:$B,"Overall",All_Stats!$D:$D,"Total")</f>
        <v>0</v>
      </c>
      <c r="J187" s="113">
        <f t="shared" si="3"/>
        <v>25</v>
      </c>
      <c r="K187" s="249" t="s">
        <v>57</v>
      </c>
      <c r="L187" s="323">
        <v>44363.0</v>
      </c>
      <c r="M187" s="377">
        <v>44417.0</v>
      </c>
      <c r="N187" s="411" t="s">
        <v>961</v>
      </c>
      <c r="O187" s="310">
        <f t="shared" si="6"/>
        <v>32.1025641</v>
      </c>
      <c r="P187" s="311">
        <f t="shared" ref="P187:Q187" si="191">F187/D187</f>
        <v>0</v>
      </c>
      <c r="Q187" s="325" t="str">
        <f t="shared" si="191"/>
        <v>#DIV/0!</v>
      </c>
      <c r="R187" s="311">
        <f t="shared" si="8"/>
        <v>0</v>
      </c>
      <c r="S187" s="300" t="str">
        <f t="shared" si="124"/>
        <v>Closed</v>
      </c>
      <c r="T187" s="2" t="s">
        <v>293</v>
      </c>
      <c r="U187" s="162" t="s">
        <v>611</v>
      </c>
      <c r="V187" s="113">
        <f>COUNTIFS('Delivery Tracking'!E:E,B187)</f>
        <v>0</v>
      </c>
      <c r="W187" s="113">
        <f>SUMIFS(All_Stats!N:N,All_Stats!$A:$A,$B187,All_Stats!$B:$B,"Overall",All_Stats!$D:$D,"Total")</f>
        <v>0</v>
      </c>
      <c r="X187" s="323">
        <v>44647.0</v>
      </c>
      <c r="Y187" s="329"/>
      <c r="Z187" s="326"/>
    </row>
    <row r="188" hidden="1">
      <c r="A188" s="352" t="s">
        <v>962</v>
      </c>
      <c r="B188" s="342" t="s">
        <v>963</v>
      </c>
      <c r="C188" s="184"/>
      <c r="D188" s="193">
        <v>53.0</v>
      </c>
      <c r="E188" s="171">
        <f>SUMIFS(All_Stats!G:G,All_Stats!$A:$A,$B188,All_Stats!$B:$B,"Overall",All_Stats!$D:$D,"Total")</f>
        <v>0</v>
      </c>
      <c r="F188" s="113">
        <f>SUMIFS(All_Stats!H:H,All_Stats!$A:$A,$B188,All_Stats!$B:$B,"Overall",All_Stats!$D:$D,"Total")</f>
        <v>0</v>
      </c>
      <c r="G188" s="171">
        <f>SUMIFS(All_Stats!I:I,All_Stats!$A:$A,$B188,All_Stats!$B:$B,"Overall",All_Stats!$D:$D,"Total")</f>
        <v>0</v>
      </c>
      <c r="H188" s="113">
        <f>SUMIFS(All_Stats!K:K,All_Stats!$A:$A,$B188,All_Stats!$B:$B,"Overall",All_Stats!$D:$D,"Total")</f>
        <v>0</v>
      </c>
      <c r="I188" s="113">
        <f>SUMIFS(All_Stats!J:J,All_Stats!$A:$A,$B188,All_Stats!$B:$B,"Overall",All_Stats!$D:$D,"Total")</f>
        <v>0</v>
      </c>
      <c r="J188" s="113">
        <f t="shared" si="3"/>
        <v>53</v>
      </c>
      <c r="K188" s="249" t="s">
        <v>57</v>
      </c>
      <c r="L188" s="323">
        <v>44392.0</v>
      </c>
      <c r="M188" s="332">
        <v>44414.0</v>
      </c>
      <c r="O188" s="310">
        <f t="shared" si="6"/>
        <v>72.41176471</v>
      </c>
      <c r="P188" s="311">
        <f t="shared" ref="P188:Q188" si="192">F188/D188</f>
        <v>0</v>
      </c>
      <c r="Q188" s="325" t="str">
        <f t="shared" si="192"/>
        <v>#DIV/0!</v>
      </c>
      <c r="R188" s="311">
        <f t="shared" si="8"/>
        <v>0</v>
      </c>
      <c r="S188" s="300" t="str">
        <f t="shared" si="124"/>
        <v>Closed</v>
      </c>
      <c r="T188" s="2" t="s">
        <v>111</v>
      </c>
      <c r="U188" s="162" t="s">
        <v>611</v>
      </c>
      <c r="V188" s="113">
        <f>COUNTIFS('Delivery Tracking'!E:E,B188)</f>
        <v>0</v>
      </c>
      <c r="W188" s="113">
        <f>SUMIFS(All_Stats!N:N,All_Stats!$A:$A,$B188,All_Stats!$B:$B,"Overall",All_Stats!$D:$D,"Total")</f>
        <v>0</v>
      </c>
      <c r="X188" s="323">
        <v>44648.0</v>
      </c>
      <c r="Y188" s="329"/>
      <c r="Z188" s="326"/>
    </row>
    <row r="189" hidden="1">
      <c r="A189" s="330" t="s">
        <v>806</v>
      </c>
      <c r="B189" s="342" t="s">
        <v>964</v>
      </c>
      <c r="C189" s="184"/>
      <c r="D189" s="193">
        <v>170.0</v>
      </c>
      <c r="E189" s="171">
        <f>SUMIFS(All_Stats!G:G,All_Stats!$A:$A,$B189,All_Stats!$B:$B,"Overall",All_Stats!$D:$D,"Total")</f>
        <v>0</v>
      </c>
      <c r="F189" s="113">
        <f>SUMIFS(All_Stats!H:H,All_Stats!$A:$A,$B189,All_Stats!$B:$B,"Overall",All_Stats!$D:$D,"Total")</f>
        <v>0</v>
      </c>
      <c r="G189" s="171">
        <f>SUMIFS(All_Stats!I:I,All_Stats!$A:$A,$B189,All_Stats!$B:$B,"Overall",All_Stats!$D:$D,"Total")</f>
        <v>0</v>
      </c>
      <c r="H189" s="113">
        <f>SUMIFS(All_Stats!K:K,All_Stats!$A:$A,$B189,All_Stats!$B:$B,"Overall",All_Stats!$D:$D,"Total")</f>
        <v>0</v>
      </c>
      <c r="I189" s="113">
        <f>SUMIFS(All_Stats!J:J,All_Stats!$A:$A,$B189,All_Stats!$B:$B,"Overall",All_Stats!$D:$D,"Total")</f>
        <v>0</v>
      </c>
      <c r="J189" s="113">
        <f t="shared" si="3"/>
        <v>170</v>
      </c>
      <c r="K189" s="249" t="s">
        <v>57</v>
      </c>
      <c r="L189" s="323">
        <v>44363.0</v>
      </c>
      <c r="M189" s="332">
        <v>44413.0</v>
      </c>
      <c r="N189" s="2" t="s">
        <v>965</v>
      </c>
      <c r="O189" s="310">
        <f t="shared" si="6"/>
        <v>33.83783784</v>
      </c>
      <c r="P189" s="311">
        <f t="shared" ref="P189:Q189" si="193">F189/D189</f>
        <v>0</v>
      </c>
      <c r="Q189" s="325" t="str">
        <f t="shared" si="193"/>
        <v>#DIV/0!</v>
      </c>
      <c r="R189" s="311">
        <f t="shared" si="8"/>
        <v>0</v>
      </c>
      <c r="S189" s="300" t="str">
        <f t="shared" si="124"/>
        <v>Closed</v>
      </c>
      <c r="T189" s="2" t="s">
        <v>67</v>
      </c>
      <c r="U189" s="162" t="s">
        <v>611</v>
      </c>
      <c r="V189" s="113">
        <f>COUNTIFS('Delivery Tracking'!E:E,B189)</f>
        <v>0</v>
      </c>
      <c r="W189" s="113">
        <f>SUMIFS(All_Stats!N:N,All_Stats!$A:$A,$B189,All_Stats!$B:$B,"Overall",All_Stats!$D:$D,"Total")</f>
        <v>0</v>
      </c>
      <c r="X189" s="323">
        <v>44649.0</v>
      </c>
      <c r="Y189" s="329"/>
      <c r="Z189" s="326"/>
    </row>
    <row r="190" hidden="1">
      <c r="A190" s="330" t="s">
        <v>966</v>
      </c>
      <c r="B190" s="412" t="s">
        <v>967</v>
      </c>
      <c r="C190" s="184"/>
      <c r="D190" s="193">
        <v>30.0</v>
      </c>
      <c r="E190" s="171">
        <f>SUMIFS(All_Stats!G:G,All_Stats!$A:$A,$B190,All_Stats!$B:$B,"Overall",All_Stats!$D:$D,"Total")</f>
        <v>0</v>
      </c>
      <c r="F190" s="113">
        <f>SUMIFS(All_Stats!H:H,All_Stats!$A:$A,$B190,All_Stats!$B:$B,"Overall",All_Stats!$D:$D,"Total")</f>
        <v>0</v>
      </c>
      <c r="G190" s="171">
        <f>SUMIFS(All_Stats!I:I,All_Stats!$A:$A,$B190,All_Stats!$B:$B,"Overall",All_Stats!$D:$D,"Total")</f>
        <v>0</v>
      </c>
      <c r="H190" s="113">
        <f>SUMIFS(All_Stats!K:K,All_Stats!$A:$A,$B190,All_Stats!$B:$B,"Overall",All_Stats!$D:$D,"Total")</f>
        <v>0</v>
      </c>
      <c r="I190" s="113">
        <f>SUMIFS(All_Stats!J:J,All_Stats!$A:$A,$B190,All_Stats!$B:$B,"Overall",All_Stats!$D:$D,"Total")</f>
        <v>0</v>
      </c>
      <c r="J190" s="113">
        <f t="shared" si="3"/>
        <v>30</v>
      </c>
      <c r="K190" s="249" t="s">
        <v>649</v>
      </c>
      <c r="L190" s="245">
        <v>44368.0</v>
      </c>
      <c r="M190" s="332">
        <v>44414.0</v>
      </c>
      <c r="O190" s="310">
        <f t="shared" si="6"/>
        <v>35.68571429</v>
      </c>
      <c r="P190" s="311">
        <f t="shared" ref="P190:Q190" si="194">F190/D190</f>
        <v>0</v>
      </c>
      <c r="Q190" s="325" t="str">
        <f t="shared" si="194"/>
        <v>#DIV/0!</v>
      </c>
      <c r="R190" s="311">
        <f t="shared" si="8"/>
        <v>0</v>
      </c>
      <c r="S190" s="249" t="s">
        <v>649</v>
      </c>
      <c r="T190" s="2" t="s">
        <v>80</v>
      </c>
      <c r="U190" s="162" t="s">
        <v>611</v>
      </c>
      <c r="V190" s="113">
        <f>COUNTIFS('Delivery Tracking'!E:E,B190)</f>
        <v>0</v>
      </c>
      <c r="W190" s="113">
        <f>SUMIFS(All_Stats!N:N,All_Stats!$A:$A,$B190,All_Stats!$B:$B,"Overall",All_Stats!$D:$D,"Total")</f>
        <v>0</v>
      </c>
      <c r="X190" s="323">
        <v>44650.0</v>
      </c>
      <c r="Y190" s="329"/>
      <c r="Z190" s="326"/>
    </row>
    <row r="191" hidden="1">
      <c r="A191" s="334" t="s">
        <v>968</v>
      </c>
      <c r="B191" s="335" t="s">
        <v>969</v>
      </c>
      <c r="C191" s="184"/>
      <c r="D191" s="193">
        <v>60.0</v>
      </c>
      <c r="E191" s="171">
        <f>SUMIFS(All_Stats!G:G,All_Stats!$A:$A,$B191,All_Stats!$B:$B,"Overall",All_Stats!$D:$D,"Total")</f>
        <v>0</v>
      </c>
      <c r="F191" s="113">
        <f>SUMIFS(All_Stats!H:H,All_Stats!$A:$A,$B191,All_Stats!$B:$B,"Overall",All_Stats!$D:$D,"Total")</f>
        <v>0</v>
      </c>
      <c r="G191" s="171">
        <f>SUMIFS(All_Stats!I:I,All_Stats!$A:$A,$B191,All_Stats!$B:$B,"Overall",All_Stats!$D:$D,"Total")</f>
        <v>0</v>
      </c>
      <c r="H191" s="113">
        <f>SUMIFS(All_Stats!K:K,All_Stats!$A:$A,$B191,All_Stats!$B:$B,"Overall",All_Stats!$D:$D,"Total")</f>
        <v>0</v>
      </c>
      <c r="I191" s="113">
        <f>SUMIFS(All_Stats!J:J,All_Stats!$A:$A,$B191,All_Stats!$B:$B,"Overall",All_Stats!$D:$D,"Total")</f>
        <v>0</v>
      </c>
      <c r="J191" s="113">
        <f t="shared" si="3"/>
        <v>60</v>
      </c>
      <c r="K191" s="249" t="s">
        <v>57</v>
      </c>
      <c r="L191" s="323">
        <v>44392.0</v>
      </c>
      <c r="M191" s="332">
        <v>44414.0</v>
      </c>
      <c r="N191" s="5"/>
      <c r="O191" s="310">
        <f t="shared" si="6"/>
        <v>72.41176471</v>
      </c>
      <c r="P191" s="311">
        <f t="shared" ref="P191:Q191" si="195">F191/D191</f>
        <v>0</v>
      </c>
      <c r="Q191" s="325" t="str">
        <f t="shared" si="195"/>
        <v>#DIV/0!</v>
      </c>
      <c r="R191" s="311">
        <f t="shared" si="8"/>
        <v>0</v>
      </c>
      <c r="S191" s="300" t="str">
        <f t="shared" ref="S191:S211" si="197">iferror(ifs(
K191="Closed","Closed",
K191="Paused","Paused",
UPPER(X191)="N/A","PRE",
X191="","N/A",
(_xlfn.NETWORKDAYS.INTL(X191,D$2)-1)/_xlfn.NETWORKDAYS.INTL(X191,M191)&lt;S$2,"PRE",
F191=0,"Underpacing",
O191-(F191+H191*(G191/(G191+F191)))/D191&gt;0.2,"Underpacing",
O191-(F191+H191*(G191/(G191+F191)))/D191&lt;=0.2,"On track")
,"N/A")</f>
        <v>Closed</v>
      </c>
      <c r="T191" s="2" t="s">
        <v>153</v>
      </c>
      <c r="U191" s="162" t="s">
        <v>611</v>
      </c>
      <c r="V191" s="113">
        <f>COUNTIFS('Delivery Tracking'!E:E,B191)</f>
        <v>0</v>
      </c>
      <c r="W191" s="113">
        <f>SUMIFS(All_Stats!N:N,All_Stats!$A:$A,$B191,All_Stats!$B:$B,"Overall",All_Stats!$D:$D,"Total")</f>
        <v>0</v>
      </c>
      <c r="X191" s="323">
        <v>44651.0</v>
      </c>
      <c r="Y191" s="329"/>
      <c r="Z191" s="326"/>
    </row>
    <row r="192" hidden="1">
      <c r="A192" s="352" t="s">
        <v>970</v>
      </c>
      <c r="B192" s="342" t="s">
        <v>971</v>
      </c>
      <c r="C192" s="384"/>
      <c r="D192" s="193">
        <v>20.0</v>
      </c>
      <c r="E192" s="171">
        <f>SUMIFS(All_Stats!G:G,All_Stats!$A:$A,$B192,All_Stats!$B:$B,"Overall",All_Stats!$D:$D,"Total")</f>
        <v>0</v>
      </c>
      <c r="F192" s="113">
        <f>SUMIFS(All_Stats!H:H,All_Stats!$A:$A,$B192,All_Stats!$B:$B,"Overall",All_Stats!$D:$D,"Total")</f>
        <v>0</v>
      </c>
      <c r="G192" s="171">
        <f>SUMIFS(All_Stats!I:I,All_Stats!$A:$A,$B192,All_Stats!$B:$B,"Overall",All_Stats!$D:$D,"Total")</f>
        <v>0</v>
      </c>
      <c r="H192" s="113">
        <f>SUMIFS(All_Stats!K:K,All_Stats!$A:$A,$B192,All_Stats!$B:$B,"Overall",All_Stats!$D:$D,"Total")</f>
        <v>0</v>
      </c>
      <c r="I192" s="113">
        <f>SUMIFS(All_Stats!J:J,All_Stats!$A:$A,$B192,All_Stats!$B:$B,"Overall",All_Stats!$D:$D,"Total")</f>
        <v>0</v>
      </c>
      <c r="J192" s="113">
        <f t="shared" si="3"/>
        <v>20</v>
      </c>
      <c r="K192" s="249" t="s">
        <v>57</v>
      </c>
      <c r="L192" s="323">
        <v>44391.0</v>
      </c>
      <c r="M192" s="332">
        <v>44414.0</v>
      </c>
      <c r="N192" s="5" t="s">
        <v>972</v>
      </c>
      <c r="O192" s="310">
        <f t="shared" si="6"/>
        <v>68.44444444</v>
      </c>
      <c r="P192" s="311">
        <f t="shared" ref="P192:Q192" si="196">F192/D192</f>
        <v>0</v>
      </c>
      <c r="Q192" s="325" t="str">
        <f t="shared" si="196"/>
        <v>#DIV/0!</v>
      </c>
      <c r="R192" s="311">
        <f t="shared" si="8"/>
        <v>0</v>
      </c>
      <c r="S192" s="300" t="str">
        <f t="shared" si="197"/>
        <v>Closed</v>
      </c>
      <c r="T192" s="2" t="s">
        <v>153</v>
      </c>
      <c r="U192" s="162" t="s">
        <v>611</v>
      </c>
      <c r="V192" s="113">
        <f>COUNTIFS('Delivery Tracking'!E:E,B192)</f>
        <v>0</v>
      </c>
      <c r="W192" s="113">
        <f>SUMIFS(All_Stats!N:N,All_Stats!$A:$A,$B192,All_Stats!$B:$B,"Overall",All_Stats!$D:$D,"Total")</f>
        <v>0</v>
      </c>
      <c r="X192" s="323">
        <v>44652.0</v>
      </c>
      <c r="Y192" s="329"/>
      <c r="Z192" s="326"/>
    </row>
    <row r="193" hidden="1">
      <c r="A193" s="365" t="s">
        <v>973</v>
      </c>
      <c r="B193" s="409" t="s">
        <v>974</v>
      </c>
      <c r="C193" s="184"/>
      <c r="D193" s="193">
        <v>375.0</v>
      </c>
      <c r="E193" s="171">
        <f>SUMIFS(All_Stats!G:G,All_Stats!$A:$A,$B193,All_Stats!$B:$B,"Overall",All_Stats!$D:$D,"Total")</f>
        <v>0</v>
      </c>
      <c r="F193" s="113">
        <f>SUMIFS(All_Stats!H:H,All_Stats!$A:$A,$B193,All_Stats!$B:$B,"Overall",All_Stats!$D:$D,"Total")</f>
        <v>0</v>
      </c>
      <c r="G193" s="171">
        <f>SUMIFS(All_Stats!I:I,All_Stats!$A:$A,$B193,All_Stats!$B:$B,"Overall",All_Stats!$D:$D,"Total")</f>
        <v>0</v>
      </c>
      <c r="H193" s="113">
        <f>SUMIFS(All_Stats!K:K,All_Stats!$A:$A,$B193,All_Stats!$B:$B,"Overall",All_Stats!$D:$D,"Total")</f>
        <v>0</v>
      </c>
      <c r="I193" s="113">
        <f>SUMIFS(All_Stats!J:J,All_Stats!$A:$A,$B193,All_Stats!$B:$B,"Overall",All_Stats!$D:$D,"Total")</f>
        <v>0</v>
      </c>
      <c r="J193" s="113">
        <f t="shared" si="3"/>
        <v>375</v>
      </c>
      <c r="K193" s="249" t="s">
        <v>57</v>
      </c>
      <c r="L193" s="356">
        <v>44383.0</v>
      </c>
      <c r="M193" s="377">
        <v>44407.0</v>
      </c>
      <c r="O193" s="310">
        <f t="shared" si="6"/>
        <v>65.15789474</v>
      </c>
      <c r="P193" s="311">
        <f t="shared" ref="P193:Q193" si="198">F193/D193</f>
        <v>0</v>
      </c>
      <c r="Q193" s="325" t="str">
        <f t="shared" si="198"/>
        <v>#DIV/0!</v>
      </c>
      <c r="R193" s="311">
        <f t="shared" si="8"/>
        <v>0</v>
      </c>
      <c r="S193" s="300" t="str">
        <f t="shared" si="197"/>
        <v>Closed</v>
      </c>
      <c r="T193" s="2" t="s">
        <v>166</v>
      </c>
      <c r="U193" s="162" t="s">
        <v>611</v>
      </c>
      <c r="V193" s="113">
        <f>COUNTIFS('Delivery Tracking'!E:E,B193)</f>
        <v>0</v>
      </c>
      <c r="W193" s="113">
        <f>SUMIFS(All_Stats!N:N,All_Stats!$A:$A,$B193,All_Stats!$B:$B,"Overall",All_Stats!$D:$D,"Total")</f>
        <v>0</v>
      </c>
      <c r="X193" s="323">
        <v>44653.0</v>
      </c>
      <c r="Y193" s="329"/>
      <c r="Z193" s="326"/>
    </row>
    <row r="194" hidden="1">
      <c r="A194" s="371" t="s">
        <v>975</v>
      </c>
      <c r="B194" s="341" t="s">
        <v>976</v>
      </c>
      <c r="C194" s="306"/>
      <c r="D194" s="193">
        <v>70.0</v>
      </c>
      <c r="E194" s="171">
        <f>SUMIFS(All_Stats!G:G,All_Stats!$A:$A,$B194,All_Stats!$B:$B,"Overall",All_Stats!$D:$D,"Total")</f>
        <v>0</v>
      </c>
      <c r="F194" s="113">
        <f>SUMIFS(All_Stats!H:H,All_Stats!$A:$A,$B194,All_Stats!$B:$B,"Overall",All_Stats!$D:$D,"Total")</f>
        <v>0</v>
      </c>
      <c r="G194" s="171">
        <f>SUMIFS(All_Stats!I:I,All_Stats!$A:$A,$B194,All_Stats!$B:$B,"Overall",All_Stats!$D:$D,"Total")</f>
        <v>0</v>
      </c>
      <c r="H194" s="113">
        <f>SUMIFS(All_Stats!K:K,All_Stats!$A:$A,$B194,All_Stats!$B:$B,"Overall",All_Stats!$D:$D,"Total")</f>
        <v>0</v>
      </c>
      <c r="I194" s="113">
        <f>SUMIFS(All_Stats!J:J,All_Stats!$A:$A,$B194,All_Stats!$B:$B,"Overall",All_Stats!$D:$D,"Total")</f>
        <v>0</v>
      </c>
      <c r="J194" s="113">
        <f t="shared" si="3"/>
        <v>70</v>
      </c>
      <c r="K194" s="249" t="s">
        <v>57</v>
      </c>
      <c r="L194" s="245">
        <v>44392.0</v>
      </c>
      <c r="M194" s="332">
        <v>44421.0</v>
      </c>
      <c r="O194" s="310">
        <f t="shared" si="6"/>
        <v>55.95454545</v>
      </c>
      <c r="P194" s="311">
        <f t="shared" ref="P194:Q194" si="199">F194/D194</f>
        <v>0</v>
      </c>
      <c r="Q194" s="325" t="str">
        <f t="shared" si="199"/>
        <v>#DIV/0!</v>
      </c>
      <c r="R194" s="311">
        <f t="shared" si="8"/>
        <v>0</v>
      </c>
      <c r="S194" s="300" t="str">
        <f t="shared" si="197"/>
        <v>Closed</v>
      </c>
      <c r="T194" s="2" t="s">
        <v>153</v>
      </c>
      <c r="U194" s="162" t="s">
        <v>611</v>
      </c>
      <c r="V194" s="113">
        <f>COUNTIFS('Delivery Tracking'!E:E,B194)</f>
        <v>0</v>
      </c>
      <c r="W194" s="113">
        <f>SUMIFS(All_Stats!N:N,All_Stats!$A:$A,$B194,All_Stats!$B:$B,"Overall",All_Stats!$D:$D,"Total")</f>
        <v>0</v>
      </c>
      <c r="X194" s="323">
        <v>44654.0</v>
      </c>
      <c r="Y194" s="329"/>
      <c r="Z194" s="326"/>
    </row>
    <row r="195" hidden="1">
      <c r="A195" s="334" t="s">
        <v>977</v>
      </c>
      <c r="B195" s="335" t="s">
        <v>978</v>
      </c>
      <c r="C195" s="306"/>
      <c r="D195" s="193">
        <v>15.0</v>
      </c>
      <c r="E195" s="171">
        <f>SUMIFS(All_Stats!G:G,All_Stats!$A:$A,$B195,All_Stats!$B:$B,"Overall",All_Stats!$D:$D,"Total")</f>
        <v>0</v>
      </c>
      <c r="F195" s="113">
        <f>SUMIFS(All_Stats!H:H,All_Stats!$A:$A,$B195,All_Stats!$B:$B,"Overall",All_Stats!$D:$D,"Total")</f>
        <v>0</v>
      </c>
      <c r="G195" s="171">
        <f>SUMIFS(All_Stats!I:I,All_Stats!$A:$A,$B195,All_Stats!$B:$B,"Overall",All_Stats!$D:$D,"Total")</f>
        <v>0</v>
      </c>
      <c r="H195" s="113">
        <f>SUMIFS(All_Stats!K:K,All_Stats!$A:$A,$B195,All_Stats!$B:$B,"Overall",All_Stats!$D:$D,"Total")</f>
        <v>0</v>
      </c>
      <c r="I195" s="113">
        <f>SUMIFS(All_Stats!J:J,All_Stats!$A:$A,$B195,All_Stats!$B:$B,"Overall",All_Stats!$D:$D,"Total")</f>
        <v>0</v>
      </c>
      <c r="J195" s="113">
        <f t="shared" si="3"/>
        <v>15</v>
      </c>
      <c r="K195" s="249" t="s">
        <v>57</v>
      </c>
      <c r="L195" s="323">
        <v>44404.0</v>
      </c>
      <c r="M195" s="332">
        <v>44413.0</v>
      </c>
      <c r="O195" s="310">
        <f t="shared" si="6"/>
        <v>152.875</v>
      </c>
      <c r="P195" s="311">
        <f t="shared" ref="P195:Q195" si="200">F195/D195</f>
        <v>0</v>
      </c>
      <c r="Q195" s="325" t="str">
        <f t="shared" si="200"/>
        <v>#DIV/0!</v>
      </c>
      <c r="R195" s="311">
        <f t="shared" si="8"/>
        <v>0</v>
      </c>
      <c r="S195" s="300" t="str">
        <f t="shared" si="197"/>
        <v>Closed</v>
      </c>
      <c r="T195" s="2" t="s">
        <v>166</v>
      </c>
      <c r="U195" s="162" t="s">
        <v>611</v>
      </c>
      <c r="V195" s="113">
        <f>COUNTIFS('Delivery Tracking'!E:E,B195)</f>
        <v>0</v>
      </c>
      <c r="W195" s="113">
        <f>SUMIFS(All_Stats!N:N,All_Stats!$A:$A,$B195,All_Stats!$B:$B,"Overall",All_Stats!$D:$D,"Total")</f>
        <v>0</v>
      </c>
      <c r="X195" s="323">
        <v>44655.0</v>
      </c>
      <c r="Y195" s="329"/>
      <c r="Z195" s="326"/>
    </row>
    <row r="196" hidden="1">
      <c r="A196" s="334" t="s">
        <v>787</v>
      </c>
      <c r="B196" s="335" t="s">
        <v>979</v>
      </c>
      <c r="C196" s="184"/>
      <c r="D196" s="193">
        <v>20.0</v>
      </c>
      <c r="E196" s="171">
        <f>SUMIFS(All_Stats!G:G,All_Stats!$A:$A,$B196,All_Stats!$B:$B,"Overall",All_Stats!$D:$D,"Total")</f>
        <v>0</v>
      </c>
      <c r="F196" s="113">
        <f>SUMIFS(All_Stats!H:H,All_Stats!$A:$A,$B196,All_Stats!$B:$B,"Overall",All_Stats!$D:$D,"Total")</f>
        <v>0</v>
      </c>
      <c r="G196" s="171">
        <f>SUMIFS(All_Stats!I:I,All_Stats!$A:$A,$B196,All_Stats!$B:$B,"Overall",All_Stats!$D:$D,"Total")</f>
        <v>0</v>
      </c>
      <c r="H196" s="113">
        <f>SUMIFS(All_Stats!K:K,All_Stats!$A:$A,$B196,All_Stats!$B:$B,"Overall",All_Stats!$D:$D,"Total")</f>
        <v>0</v>
      </c>
      <c r="I196" s="113">
        <f>SUMIFS(All_Stats!J:J,All_Stats!$A:$A,$B196,All_Stats!$B:$B,"Overall",All_Stats!$D:$D,"Total")</f>
        <v>0</v>
      </c>
      <c r="J196" s="113">
        <f t="shared" si="3"/>
        <v>20</v>
      </c>
      <c r="K196" s="249" t="s">
        <v>57</v>
      </c>
      <c r="L196" s="323">
        <v>44393.0</v>
      </c>
      <c r="M196" s="332">
        <v>44405.0</v>
      </c>
      <c r="O196" s="310">
        <f t="shared" si="6"/>
        <v>136.6666667</v>
      </c>
      <c r="P196" s="311">
        <f t="shared" ref="P196:Q196" si="201">F196/D196</f>
        <v>0</v>
      </c>
      <c r="Q196" s="325" t="str">
        <f t="shared" si="201"/>
        <v>#DIV/0!</v>
      </c>
      <c r="R196" s="311">
        <f t="shared" si="8"/>
        <v>0</v>
      </c>
      <c r="S196" s="300" t="str">
        <f t="shared" si="197"/>
        <v>Closed</v>
      </c>
      <c r="T196" s="2" t="s">
        <v>153</v>
      </c>
      <c r="U196" s="162" t="s">
        <v>611</v>
      </c>
      <c r="V196" s="113">
        <f>COUNTIFS('Delivery Tracking'!E:E,B196)</f>
        <v>0</v>
      </c>
      <c r="W196" s="113">
        <f>SUMIFS(All_Stats!N:N,All_Stats!$A:$A,$B196,All_Stats!$B:$B,"Overall",All_Stats!$D:$D,"Total")</f>
        <v>0</v>
      </c>
      <c r="X196" s="323">
        <v>44656.0</v>
      </c>
      <c r="Y196" s="329"/>
      <c r="Z196" s="326"/>
    </row>
    <row r="197" hidden="1">
      <c r="A197" s="334" t="s">
        <v>980</v>
      </c>
      <c r="B197" s="413" t="s">
        <v>981</v>
      </c>
      <c r="C197" s="184"/>
      <c r="D197" s="193">
        <v>34.0</v>
      </c>
      <c r="E197" s="171">
        <f>SUMIFS(All_Stats!G:G,All_Stats!$A:$A,$B197,All_Stats!$B:$B,"Overall",All_Stats!$D:$D,"Total")</f>
        <v>0</v>
      </c>
      <c r="F197" s="113">
        <f>SUMIFS(All_Stats!H:H,All_Stats!$A:$A,$B197,All_Stats!$B:$B,"Overall",All_Stats!$D:$D,"Total")</f>
        <v>0</v>
      </c>
      <c r="G197" s="171">
        <f>SUMIFS(All_Stats!I:I,All_Stats!$A:$A,$B197,All_Stats!$B:$B,"Overall",All_Stats!$D:$D,"Total")</f>
        <v>0</v>
      </c>
      <c r="H197" s="113">
        <f>SUMIFS(All_Stats!K:K,All_Stats!$A:$A,$B197,All_Stats!$B:$B,"Overall",All_Stats!$D:$D,"Total")</f>
        <v>0</v>
      </c>
      <c r="I197" s="113">
        <f>SUMIFS(All_Stats!J:J,All_Stats!$A:$A,$B197,All_Stats!$B:$B,"Overall",All_Stats!$D:$D,"Total")</f>
        <v>0</v>
      </c>
      <c r="J197" s="113">
        <f t="shared" si="3"/>
        <v>34</v>
      </c>
      <c r="K197" s="249" t="s">
        <v>57</v>
      </c>
      <c r="L197" s="245">
        <v>44385.0</v>
      </c>
      <c r="M197" s="332">
        <v>44407.0</v>
      </c>
      <c r="O197" s="310">
        <f t="shared" si="6"/>
        <v>72.70588235</v>
      </c>
      <c r="P197" s="311">
        <f t="shared" ref="P197:Q197" si="202">F197/D197</f>
        <v>0</v>
      </c>
      <c r="Q197" s="325" t="str">
        <f t="shared" si="202"/>
        <v>#DIV/0!</v>
      </c>
      <c r="R197" s="311">
        <f t="shared" si="8"/>
        <v>0</v>
      </c>
      <c r="S197" s="300" t="str">
        <f t="shared" si="197"/>
        <v>Closed</v>
      </c>
      <c r="T197" s="2" t="s">
        <v>153</v>
      </c>
      <c r="U197" s="162" t="s">
        <v>611</v>
      </c>
      <c r="V197" s="113">
        <f>COUNTIFS('Delivery Tracking'!E:E,B197)</f>
        <v>0</v>
      </c>
      <c r="W197" s="113">
        <f>SUMIFS(All_Stats!N:N,All_Stats!$A:$A,$B197,All_Stats!$B:$B,"Overall",All_Stats!$D:$D,"Total")</f>
        <v>0</v>
      </c>
      <c r="X197" s="323">
        <v>44657.0</v>
      </c>
      <c r="Y197" s="329"/>
      <c r="Z197" s="326"/>
    </row>
    <row r="198" hidden="1">
      <c r="A198" s="352" t="s">
        <v>982</v>
      </c>
      <c r="B198" s="408" t="s">
        <v>983</v>
      </c>
      <c r="C198" s="184"/>
      <c r="D198" s="193">
        <v>30.0</v>
      </c>
      <c r="E198" s="171">
        <f>SUMIFS(All_Stats!G:G,All_Stats!$A:$A,$B198,All_Stats!$B:$B,"Overall",All_Stats!$D:$D,"Total")</f>
        <v>0</v>
      </c>
      <c r="F198" s="113">
        <f>SUMIFS(All_Stats!H:H,All_Stats!$A:$A,$B198,All_Stats!$B:$B,"Overall",All_Stats!$D:$D,"Total")</f>
        <v>0</v>
      </c>
      <c r="G198" s="171">
        <f>SUMIFS(All_Stats!I:I,All_Stats!$A:$A,$B198,All_Stats!$B:$B,"Overall",All_Stats!$D:$D,"Total")</f>
        <v>0</v>
      </c>
      <c r="H198" s="113">
        <f>SUMIFS(All_Stats!K:K,All_Stats!$A:$A,$B198,All_Stats!$B:$B,"Overall",All_Stats!$D:$D,"Total")</f>
        <v>0</v>
      </c>
      <c r="I198" s="113">
        <f>SUMIFS(All_Stats!J:J,All_Stats!$A:$A,$B198,All_Stats!$B:$B,"Overall",All_Stats!$D:$D,"Total")</f>
        <v>0</v>
      </c>
      <c r="J198" s="113">
        <f t="shared" si="3"/>
        <v>30</v>
      </c>
      <c r="K198" s="249" t="s">
        <v>57</v>
      </c>
      <c r="L198" s="245">
        <v>44385.0</v>
      </c>
      <c r="M198" s="332">
        <v>44407.0</v>
      </c>
      <c r="O198" s="310">
        <f t="shared" si="6"/>
        <v>72.70588235</v>
      </c>
      <c r="P198" s="311">
        <f t="shared" ref="P198:Q198" si="203">F198/D198</f>
        <v>0</v>
      </c>
      <c r="Q198" s="325" t="str">
        <f t="shared" si="203"/>
        <v>#DIV/0!</v>
      </c>
      <c r="R198" s="311">
        <f t="shared" si="8"/>
        <v>0</v>
      </c>
      <c r="S198" s="300" t="str">
        <f t="shared" si="197"/>
        <v>Closed</v>
      </c>
      <c r="T198" s="2" t="s">
        <v>67</v>
      </c>
      <c r="U198" s="162" t="s">
        <v>611</v>
      </c>
      <c r="V198" s="113">
        <f>COUNTIFS('Delivery Tracking'!E:E,B198)</f>
        <v>0</v>
      </c>
      <c r="W198" s="113">
        <f>SUMIFS(All_Stats!N:N,All_Stats!$A:$A,$B198,All_Stats!$B:$B,"Overall",All_Stats!$D:$D,"Total")</f>
        <v>0</v>
      </c>
      <c r="X198" s="323">
        <v>44658.0</v>
      </c>
      <c r="Y198" s="329"/>
      <c r="Z198" s="326"/>
    </row>
    <row r="199" hidden="1">
      <c r="A199" s="334" t="s">
        <v>984</v>
      </c>
      <c r="B199" s="335" t="s">
        <v>985</v>
      </c>
      <c r="C199" s="184"/>
      <c r="D199" s="193">
        <v>25.0</v>
      </c>
      <c r="E199" s="171">
        <f>SUMIFS(All_Stats!G:G,All_Stats!$A:$A,$B199,All_Stats!$B:$B,"Overall",All_Stats!$D:$D,"Total")</f>
        <v>0</v>
      </c>
      <c r="F199" s="113">
        <f>SUMIFS(All_Stats!H:H,All_Stats!$A:$A,$B199,All_Stats!$B:$B,"Overall",All_Stats!$D:$D,"Total")</f>
        <v>0</v>
      </c>
      <c r="G199" s="171">
        <f>SUMIFS(All_Stats!I:I,All_Stats!$A:$A,$B199,All_Stats!$B:$B,"Overall",All_Stats!$D:$D,"Total")</f>
        <v>0</v>
      </c>
      <c r="H199" s="113">
        <f>SUMIFS(All_Stats!K:K,All_Stats!$A:$A,$B199,All_Stats!$B:$B,"Overall",All_Stats!$D:$D,"Total")</f>
        <v>0</v>
      </c>
      <c r="I199" s="113">
        <f>SUMIFS(All_Stats!J:J,All_Stats!$A:$A,$B199,All_Stats!$B:$B,"Overall",All_Stats!$D:$D,"Total")</f>
        <v>0</v>
      </c>
      <c r="J199" s="113">
        <f t="shared" si="3"/>
        <v>25</v>
      </c>
      <c r="K199" s="249" t="s">
        <v>57</v>
      </c>
      <c r="L199" s="323">
        <v>44392.0</v>
      </c>
      <c r="M199" s="332">
        <v>44406.0</v>
      </c>
      <c r="N199" s="5" t="s">
        <v>986</v>
      </c>
      <c r="O199" s="310">
        <f t="shared" si="6"/>
        <v>111.9090909</v>
      </c>
      <c r="P199" s="311">
        <f t="shared" ref="P199:Q199" si="204">F199/D199</f>
        <v>0</v>
      </c>
      <c r="Q199" s="325" t="str">
        <f t="shared" si="204"/>
        <v>#DIV/0!</v>
      </c>
      <c r="R199" s="311">
        <f t="shared" si="8"/>
        <v>0</v>
      </c>
      <c r="S199" s="300" t="str">
        <f t="shared" si="197"/>
        <v>Closed</v>
      </c>
      <c r="T199" s="2" t="s">
        <v>153</v>
      </c>
      <c r="U199" s="162" t="s">
        <v>611</v>
      </c>
      <c r="V199" s="113">
        <f>COUNTIFS('Delivery Tracking'!E:E,B199)</f>
        <v>0</v>
      </c>
      <c r="W199" s="113">
        <f>SUMIFS(All_Stats!N:N,All_Stats!$A:$A,$B199,All_Stats!$B:$B,"Overall",All_Stats!$D:$D,"Total")</f>
        <v>0</v>
      </c>
      <c r="X199" s="323">
        <v>44659.0</v>
      </c>
      <c r="Y199" s="329"/>
      <c r="Z199" s="326"/>
    </row>
    <row r="200" hidden="1">
      <c r="A200" s="330" t="s">
        <v>769</v>
      </c>
      <c r="B200" s="175" t="s">
        <v>987</v>
      </c>
      <c r="C200" s="184"/>
      <c r="D200" s="193">
        <v>118.0</v>
      </c>
      <c r="E200" s="171">
        <f>SUMIFS(All_Stats!G:G,All_Stats!$A:$A,$B200,All_Stats!$B:$B,"Overall",All_Stats!$D:$D,"Total")</f>
        <v>0</v>
      </c>
      <c r="F200" s="113">
        <f>SUMIFS(All_Stats!H:H,All_Stats!$A:$A,$B200,All_Stats!$B:$B,"Overall",All_Stats!$D:$D,"Total")</f>
        <v>0</v>
      </c>
      <c r="G200" s="171">
        <f>SUMIFS(All_Stats!I:I,All_Stats!$A:$A,$B200,All_Stats!$B:$B,"Overall",All_Stats!$D:$D,"Total")</f>
        <v>0</v>
      </c>
      <c r="H200" s="113">
        <f>SUMIFS(All_Stats!K:K,All_Stats!$A:$A,$B200,All_Stats!$B:$B,"Overall",All_Stats!$D:$D,"Total")</f>
        <v>0</v>
      </c>
      <c r="I200" s="113">
        <f>SUMIFS(All_Stats!J:J,All_Stats!$A:$A,$B200,All_Stats!$B:$B,"Overall",All_Stats!$D:$D,"Total")</f>
        <v>0</v>
      </c>
      <c r="J200" s="113">
        <f t="shared" si="3"/>
        <v>118</v>
      </c>
      <c r="K200" s="249" t="s">
        <v>57</v>
      </c>
      <c r="L200" s="245">
        <v>44386.0</v>
      </c>
      <c r="M200" s="332">
        <v>44404.0</v>
      </c>
      <c r="N200" s="2" t="s">
        <v>988</v>
      </c>
      <c r="O200" s="310">
        <f t="shared" si="6"/>
        <v>95</v>
      </c>
      <c r="P200" s="311">
        <f t="shared" ref="P200:Q200" si="205">F200/D200</f>
        <v>0</v>
      </c>
      <c r="Q200" s="325" t="str">
        <f t="shared" si="205"/>
        <v>#DIV/0!</v>
      </c>
      <c r="R200" s="311">
        <f t="shared" si="8"/>
        <v>0</v>
      </c>
      <c r="S200" s="300" t="str">
        <f t="shared" si="197"/>
        <v>Closed</v>
      </c>
      <c r="T200" s="2" t="s">
        <v>184</v>
      </c>
      <c r="U200" s="162" t="s">
        <v>611</v>
      </c>
      <c r="V200" s="113">
        <f>COUNTIFS('Delivery Tracking'!E:E,B200)</f>
        <v>0</v>
      </c>
      <c r="W200" s="113">
        <f>SUMIFS(All_Stats!N:N,All_Stats!$A:$A,$B200,All_Stats!$B:$B,"Overall",All_Stats!$D:$D,"Total")</f>
        <v>0</v>
      </c>
      <c r="X200" s="323">
        <v>44660.0</v>
      </c>
      <c r="Y200" s="329"/>
      <c r="Z200" s="326"/>
    </row>
    <row r="201" hidden="1">
      <c r="A201" s="330" t="s">
        <v>769</v>
      </c>
      <c r="B201" s="175" t="s">
        <v>989</v>
      </c>
      <c r="C201" s="184"/>
      <c r="D201" s="193">
        <v>110.0</v>
      </c>
      <c r="E201" s="171">
        <f>SUMIFS(All_Stats!G:G,All_Stats!$A:$A,$B201,All_Stats!$B:$B,"Overall",All_Stats!$D:$D,"Total")</f>
        <v>0</v>
      </c>
      <c r="F201" s="113">
        <f>SUMIFS(All_Stats!H:H,All_Stats!$A:$A,$B201,All_Stats!$B:$B,"Overall",All_Stats!$D:$D,"Total")</f>
        <v>0</v>
      </c>
      <c r="G201" s="171">
        <f>SUMIFS(All_Stats!I:I,All_Stats!$A:$A,$B201,All_Stats!$B:$B,"Overall",All_Stats!$D:$D,"Total")</f>
        <v>0</v>
      </c>
      <c r="H201" s="113">
        <f>SUMIFS(All_Stats!K:K,All_Stats!$A:$A,$B201,All_Stats!$B:$B,"Overall",All_Stats!$D:$D,"Total")</f>
        <v>0</v>
      </c>
      <c r="I201" s="113">
        <f>SUMIFS(All_Stats!J:J,All_Stats!$A:$A,$B201,All_Stats!$B:$B,"Overall",All_Stats!$D:$D,"Total")</f>
        <v>0</v>
      </c>
      <c r="J201" s="113">
        <f t="shared" si="3"/>
        <v>110</v>
      </c>
      <c r="K201" s="249" t="s">
        <v>57</v>
      </c>
      <c r="L201" s="245">
        <v>44386.0</v>
      </c>
      <c r="M201" s="332">
        <v>44404.0</v>
      </c>
      <c r="N201" s="2" t="s">
        <v>990</v>
      </c>
      <c r="O201" s="310">
        <f t="shared" si="6"/>
        <v>95</v>
      </c>
      <c r="P201" s="311">
        <f t="shared" ref="P201:Q201" si="206">F201/D201</f>
        <v>0</v>
      </c>
      <c r="Q201" s="325" t="str">
        <f t="shared" si="206"/>
        <v>#DIV/0!</v>
      </c>
      <c r="R201" s="311">
        <f t="shared" si="8"/>
        <v>0</v>
      </c>
      <c r="S201" s="300" t="str">
        <f t="shared" si="197"/>
        <v>Closed</v>
      </c>
      <c r="T201" s="2" t="s">
        <v>184</v>
      </c>
      <c r="U201" s="162" t="s">
        <v>611</v>
      </c>
      <c r="V201" s="113">
        <f>COUNTIFS('Delivery Tracking'!E:E,B201)</f>
        <v>0</v>
      </c>
      <c r="W201" s="113">
        <f>SUMIFS(All_Stats!N:N,All_Stats!$A:$A,$B201,All_Stats!$B:$B,"Overall",All_Stats!$D:$D,"Total")</f>
        <v>0</v>
      </c>
      <c r="X201" s="323">
        <v>44661.0</v>
      </c>
      <c r="Y201" s="329"/>
      <c r="Z201" s="326"/>
    </row>
    <row r="202" ht="15.0" hidden="1" customHeight="1">
      <c r="A202" s="327" t="s">
        <v>769</v>
      </c>
      <c r="B202" s="383" t="s">
        <v>991</v>
      </c>
      <c r="C202" s="184"/>
      <c r="D202" s="193">
        <v>55.0</v>
      </c>
      <c r="E202" s="171">
        <f>SUMIFS(All_Stats!G:G,All_Stats!$A:$A,$B202,All_Stats!$B:$B,"Overall",All_Stats!$D:$D,"Total")</f>
        <v>0</v>
      </c>
      <c r="F202" s="113">
        <f>SUMIFS(All_Stats!H:H,All_Stats!$A:$A,$B202,All_Stats!$B:$B,"Overall",All_Stats!$D:$D,"Total")</f>
        <v>0</v>
      </c>
      <c r="G202" s="171">
        <f>SUMIFS(All_Stats!I:I,All_Stats!$A:$A,$B202,All_Stats!$B:$B,"Overall",All_Stats!$D:$D,"Total")</f>
        <v>0</v>
      </c>
      <c r="H202" s="113">
        <f>SUMIFS(All_Stats!K:K,All_Stats!$A:$A,$B202,All_Stats!$B:$B,"Overall",All_Stats!$D:$D,"Total")</f>
        <v>0</v>
      </c>
      <c r="I202" s="113">
        <f>SUMIFS(All_Stats!J:J,All_Stats!$A:$A,$B202,All_Stats!$B:$B,"Overall",All_Stats!$D:$D,"Total")</f>
        <v>0</v>
      </c>
      <c r="J202" s="113">
        <f t="shared" si="3"/>
        <v>55</v>
      </c>
      <c r="K202" s="249" t="s">
        <v>57</v>
      </c>
      <c r="L202" s="245">
        <v>44389.0</v>
      </c>
      <c r="M202" s="332">
        <v>44405.0</v>
      </c>
      <c r="O202" s="310">
        <f t="shared" si="6"/>
        <v>94.92307692</v>
      </c>
      <c r="P202" s="311">
        <f t="shared" ref="P202:Q202" si="207">F202/D202</f>
        <v>0</v>
      </c>
      <c r="Q202" s="325" t="str">
        <f t="shared" si="207"/>
        <v>#DIV/0!</v>
      </c>
      <c r="R202" s="311">
        <f t="shared" si="8"/>
        <v>0</v>
      </c>
      <c r="S202" s="300" t="str">
        <f t="shared" si="197"/>
        <v>Closed</v>
      </c>
      <c r="T202" s="2" t="s">
        <v>184</v>
      </c>
      <c r="U202" s="162" t="s">
        <v>611</v>
      </c>
      <c r="V202" s="113">
        <f>COUNTIFS('Delivery Tracking'!E:E,B202)</f>
        <v>0</v>
      </c>
      <c r="W202" s="113">
        <f>SUMIFS(All_Stats!N:N,All_Stats!$A:$A,$B202,All_Stats!$B:$B,"Overall",All_Stats!$D:$D,"Total")</f>
        <v>0</v>
      </c>
      <c r="X202" s="323">
        <v>44662.0</v>
      </c>
      <c r="Y202" s="329"/>
      <c r="Z202" s="326"/>
    </row>
    <row r="203" hidden="1">
      <c r="A203" s="330" t="s">
        <v>626</v>
      </c>
      <c r="B203" s="175" t="s">
        <v>992</v>
      </c>
      <c r="C203" s="184"/>
      <c r="D203" s="193">
        <v>315.0</v>
      </c>
      <c r="E203" s="171">
        <f>SUMIFS(All_Stats!G:G,All_Stats!$A:$A,$B203,All_Stats!$B:$B,"Overall",All_Stats!$D:$D,"Total")</f>
        <v>0</v>
      </c>
      <c r="F203" s="113">
        <f>SUMIFS(All_Stats!H:H,All_Stats!$A:$A,$B203,All_Stats!$B:$B,"Overall",All_Stats!$D:$D,"Total")</f>
        <v>0</v>
      </c>
      <c r="G203" s="171">
        <f>SUMIFS(All_Stats!I:I,All_Stats!$A:$A,$B203,All_Stats!$B:$B,"Overall",All_Stats!$D:$D,"Total")</f>
        <v>0</v>
      </c>
      <c r="H203" s="113">
        <f>SUMIFS(All_Stats!K:K,All_Stats!$A:$A,$B203,All_Stats!$B:$B,"Overall",All_Stats!$D:$D,"Total")</f>
        <v>0</v>
      </c>
      <c r="I203" s="113">
        <f>SUMIFS(All_Stats!J:J,All_Stats!$A:$A,$B203,All_Stats!$B:$B,"Overall",All_Stats!$D:$D,"Total")</f>
        <v>0</v>
      </c>
      <c r="J203" s="113">
        <f t="shared" si="3"/>
        <v>315</v>
      </c>
      <c r="K203" s="249" t="s">
        <v>57</v>
      </c>
      <c r="L203" s="245">
        <v>44357.0</v>
      </c>
      <c r="M203" s="332">
        <v>44408.0</v>
      </c>
      <c r="O203" s="310">
        <f t="shared" si="6"/>
        <v>33.94594595</v>
      </c>
      <c r="P203" s="311">
        <f t="shared" ref="P203:Q203" si="208">F203/D203</f>
        <v>0</v>
      </c>
      <c r="Q203" s="325" t="str">
        <f t="shared" si="208"/>
        <v>#DIV/0!</v>
      </c>
      <c r="R203" s="311">
        <f t="shared" si="8"/>
        <v>0</v>
      </c>
      <c r="S203" s="300" t="str">
        <f t="shared" si="197"/>
        <v>Closed</v>
      </c>
      <c r="T203" s="2" t="s">
        <v>111</v>
      </c>
      <c r="U203" s="162" t="s">
        <v>611</v>
      </c>
      <c r="V203" s="113">
        <f>COUNTIFS('Delivery Tracking'!E:E,B203)</f>
        <v>0</v>
      </c>
      <c r="W203" s="113">
        <f>SUMIFS(All_Stats!N:N,All_Stats!$A:$A,$B203,All_Stats!$B:$B,"Overall",All_Stats!$D:$D,"Total")</f>
        <v>0</v>
      </c>
      <c r="X203" s="323">
        <v>44663.0</v>
      </c>
      <c r="Y203" s="329"/>
      <c r="Z203" s="326"/>
    </row>
    <row r="204" hidden="1">
      <c r="A204" s="327" t="s">
        <v>769</v>
      </c>
      <c r="B204" s="335" t="s">
        <v>993</v>
      </c>
      <c r="C204" s="184"/>
      <c r="D204" s="193">
        <v>68.0</v>
      </c>
      <c r="E204" s="171">
        <f>SUMIFS(All_Stats!G:G,All_Stats!$A:$A,$B204,All_Stats!$B:$B,"Overall",All_Stats!$D:$D,"Total")</f>
        <v>0</v>
      </c>
      <c r="F204" s="113">
        <f>SUMIFS(All_Stats!H:H,All_Stats!$A:$A,$B204,All_Stats!$B:$B,"Overall",All_Stats!$D:$D,"Total")</f>
        <v>0</v>
      </c>
      <c r="G204" s="171">
        <f>SUMIFS(All_Stats!I:I,All_Stats!$A:$A,$B204,All_Stats!$B:$B,"Overall",All_Stats!$D:$D,"Total")</f>
        <v>0</v>
      </c>
      <c r="H204" s="113">
        <f>SUMIFS(All_Stats!K:K,All_Stats!$A:$A,$B204,All_Stats!$B:$B,"Overall",All_Stats!$D:$D,"Total")</f>
        <v>0</v>
      </c>
      <c r="I204" s="113">
        <f>SUMIFS(All_Stats!J:J,All_Stats!$A:$A,$B204,All_Stats!$B:$B,"Overall",All_Stats!$D:$D,"Total")</f>
        <v>0</v>
      </c>
      <c r="J204" s="113">
        <f t="shared" si="3"/>
        <v>68</v>
      </c>
      <c r="K204" s="249" t="s">
        <v>57</v>
      </c>
      <c r="L204" s="323">
        <v>44390.0</v>
      </c>
      <c r="M204" s="332">
        <v>44405.0</v>
      </c>
      <c r="O204" s="310">
        <f t="shared" si="6"/>
        <v>102.75</v>
      </c>
      <c r="P204" s="311">
        <f t="shared" ref="P204:Q204" si="209">F204/D204</f>
        <v>0</v>
      </c>
      <c r="Q204" s="325" t="str">
        <f t="shared" si="209"/>
        <v>#DIV/0!</v>
      </c>
      <c r="R204" s="311">
        <f t="shared" si="8"/>
        <v>0</v>
      </c>
      <c r="S204" s="300" t="str">
        <f t="shared" si="197"/>
        <v>Closed</v>
      </c>
      <c r="T204" s="2" t="s">
        <v>184</v>
      </c>
      <c r="U204" s="162" t="s">
        <v>611</v>
      </c>
      <c r="V204" s="113">
        <f>COUNTIFS('Delivery Tracking'!E:E,B204)</f>
        <v>0</v>
      </c>
      <c r="W204" s="113">
        <f>SUMIFS(All_Stats!N:N,All_Stats!$A:$A,$B204,All_Stats!$B:$B,"Overall",All_Stats!$D:$D,"Total")</f>
        <v>0</v>
      </c>
      <c r="X204" s="323">
        <v>44664.0</v>
      </c>
      <c r="Y204" s="329"/>
      <c r="Z204" s="326"/>
    </row>
    <row r="205" hidden="1">
      <c r="A205" s="334" t="s">
        <v>994</v>
      </c>
      <c r="B205" s="335" t="s">
        <v>995</v>
      </c>
      <c r="C205" s="184"/>
      <c r="D205" s="193">
        <v>185.0</v>
      </c>
      <c r="E205" s="171">
        <f>SUMIFS(All_Stats!G:G,All_Stats!$A:$A,$B205,All_Stats!$B:$B,"Overall",All_Stats!$D:$D,"Total")</f>
        <v>0</v>
      </c>
      <c r="F205" s="113">
        <f>SUMIFS(All_Stats!H:H,All_Stats!$A:$A,$B205,All_Stats!$B:$B,"Overall",All_Stats!$D:$D,"Total")</f>
        <v>0</v>
      </c>
      <c r="G205" s="171">
        <f>SUMIFS(All_Stats!I:I,All_Stats!$A:$A,$B205,All_Stats!$B:$B,"Overall",All_Stats!$D:$D,"Total")</f>
        <v>0</v>
      </c>
      <c r="H205" s="113">
        <f>SUMIFS(All_Stats!K:K,All_Stats!$A:$A,$B205,All_Stats!$B:$B,"Overall",All_Stats!$D:$D,"Total")</f>
        <v>0</v>
      </c>
      <c r="I205" s="113">
        <f>SUMIFS(All_Stats!J:J,All_Stats!$A:$A,$B205,All_Stats!$B:$B,"Overall",All_Stats!$D:$D,"Total")</f>
        <v>0</v>
      </c>
      <c r="J205" s="113">
        <f t="shared" si="3"/>
        <v>185</v>
      </c>
      <c r="K205" s="249" t="s">
        <v>57</v>
      </c>
      <c r="L205" s="245">
        <v>44379.0</v>
      </c>
      <c r="M205" s="332">
        <v>44405.0</v>
      </c>
      <c r="N205" s="2" t="s">
        <v>996</v>
      </c>
      <c r="O205" s="310">
        <f t="shared" si="6"/>
        <v>65.26315789</v>
      </c>
      <c r="P205" s="311">
        <f t="shared" ref="P205:Q205" si="210">F205/D205</f>
        <v>0</v>
      </c>
      <c r="Q205" s="325" t="str">
        <f t="shared" si="210"/>
        <v>#DIV/0!</v>
      </c>
      <c r="R205" s="311">
        <f t="shared" si="8"/>
        <v>0</v>
      </c>
      <c r="S205" s="300" t="str">
        <f t="shared" si="197"/>
        <v>Closed</v>
      </c>
      <c r="T205" s="2" t="s">
        <v>67</v>
      </c>
      <c r="U205" s="162" t="s">
        <v>611</v>
      </c>
      <c r="V205" s="113">
        <f>COUNTIFS('Delivery Tracking'!E:E,B205)</f>
        <v>0</v>
      </c>
      <c r="W205" s="113">
        <f>SUMIFS(All_Stats!N:N,All_Stats!$A:$A,$B205,All_Stats!$B:$B,"Overall",All_Stats!$D:$D,"Total")</f>
        <v>0</v>
      </c>
      <c r="X205" s="323">
        <v>44665.0</v>
      </c>
      <c r="Y205" s="329"/>
      <c r="Z205" s="326"/>
    </row>
    <row r="206" hidden="1">
      <c r="A206" s="414" t="s">
        <v>997</v>
      </c>
      <c r="B206" s="415" t="s">
        <v>998</v>
      </c>
      <c r="C206" s="416"/>
      <c r="D206" s="193">
        <v>65.0</v>
      </c>
      <c r="E206" s="171">
        <f>SUMIFS(All_Stats!G:G,All_Stats!$A:$A,$B206,All_Stats!$B:$B,"Overall",All_Stats!$D:$D,"Total")</f>
        <v>0</v>
      </c>
      <c r="F206" s="113">
        <f>SUMIFS(All_Stats!H:H,All_Stats!$A:$A,$B206,All_Stats!$B:$B,"Overall",All_Stats!$D:$D,"Total")</f>
        <v>0</v>
      </c>
      <c r="G206" s="171">
        <f>SUMIFS(All_Stats!I:I,All_Stats!$A:$A,$B206,All_Stats!$B:$B,"Overall",All_Stats!$D:$D,"Total")</f>
        <v>0</v>
      </c>
      <c r="H206" s="113">
        <f>SUMIFS(All_Stats!K:K,All_Stats!$A:$A,$B206,All_Stats!$B:$B,"Overall",All_Stats!$D:$D,"Total")</f>
        <v>0</v>
      </c>
      <c r="I206" s="113">
        <f>SUMIFS(All_Stats!J:J,All_Stats!$A:$A,$B206,All_Stats!$B:$B,"Overall",All_Stats!$D:$D,"Total")</f>
        <v>0</v>
      </c>
      <c r="J206" s="113">
        <f t="shared" si="3"/>
        <v>65</v>
      </c>
      <c r="K206" s="249" t="s">
        <v>57</v>
      </c>
      <c r="L206" s="397">
        <v>44398.0</v>
      </c>
      <c r="M206" s="332">
        <v>44406.0</v>
      </c>
      <c r="N206" s="407"/>
      <c r="O206" s="310">
        <f t="shared" si="6"/>
        <v>175.2857143</v>
      </c>
      <c r="P206" s="311">
        <f t="shared" ref="P206:Q206" si="211">F206/D206</f>
        <v>0</v>
      </c>
      <c r="Q206" s="325" t="str">
        <f t="shared" si="211"/>
        <v>#DIV/0!</v>
      </c>
      <c r="R206" s="311">
        <f t="shared" si="8"/>
        <v>0</v>
      </c>
      <c r="S206" s="300" t="str">
        <f t="shared" si="197"/>
        <v>Closed</v>
      </c>
      <c r="T206" s="2" t="s">
        <v>67</v>
      </c>
      <c r="U206" s="162" t="s">
        <v>611</v>
      </c>
      <c r="V206" s="113">
        <f>COUNTIFS('Delivery Tracking'!E:E,B206)</f>
        <v>0</v>
      </c>
      <c r="W206" s="113">
        <f>SUMIFS(All_Stats!N:N,All_Stats!$A:$A,$B206,All_Stats!$B:$B,"Overall",All_Stats!$D:$D,"Total")</f>
        <v>0</v>
      </c>
      <c r="X206" s="323">
        <v>44666.0</v>
      </c>
      <c r="Y206" s="329"/>
      <c r="Z206" s="326"/>
    </row>
    <row r="207" hidden="1">
      <c r="A207" s="330" t="s">
        <v>999</v>
      </c>
      <c r="B207" s="175" t="s">
        <v>1000</v>
      </c>
      <c r="C207" s="184"/>
      <c r="D207" s="193">
        <v>8.0</v>
      </c>
      <c r="E207" s="171">
        <f>SUMIFS(All_Stats!G:G,All_Stats!$A:$A,$B207,All_Stats!$B:$B,"Overall",All_Stats!$D:$D,"Total")</f>
        <v>0</v>
      </c>
      <c r="F207" s="113">
        <f>SUMIFS(All_Stats!H:H,All_Stats!$A:$A,$B207,All_Stats!$B:$B,"Overall",All_Stats!$D:$D,"Total")</f>
        <v>0</v>
      </c>
      <c r="G207" s="171">
        <f>SUMIFS(All_Stats!I:I,All_Stats!$A:$A,$B207,All_Stats!$B:$B,"Overall",All_Stats!$D:$D,"Total")</f>
        <v>0</v>
      </c>
      <c r="H207" s="113">
        <f>SUMIFS(All_Stats!K:K,All_Stats!$A:$A,$B207,All_Stats!$B:$B,"Overall",All_Stats!$D:$D,"Total")</f>
        <v>0</v>
      </c>
      <c r="I207" s="113">
        <f>SUMIFS(All_Stats!J:J,All_Stats!$A:$A,$B207,All_Stats!$B:$B,"Overall",All_Stats!$D:$D,"Total")</f>
        <v>0</v>
      </c>
      <c r="J207" s="113">
        <f t="shared" si="3"/>
        <v>8</v>
      </c>
      <c r="K207" s="249" t="s">
        <v>57</v>
      </c>
      <c r="L207" s="245">
        <v>44364.0</v>
      </c>
      <c r="M207" s="332">
        <v>44372.0</v>
      </c>
      <c r="N207" s="417" t="s">
        <v>1001</v>
      </c>
      <c r="O207" s="310">
        <f t="shared" si="6"/>
        <v>178.7142857</v>
      </c>
      <c r="P207" s="311">
        <f t="shared" ref="P207:Q207" si="212">F207/D207</f>
        <v>0</v>
      </c>
      <c r="Q207" s="325" t="str">
        <f t="shared" si="212"/>
        <v>#DIV/0!</v>
      </c>
      <c r="R207" s="311">
        <f t="shared" si="8"/>
        <v>0</v>
      </c>
      <c r="S207" s="300" t="str">
        <f t="shared" si="197"/>
        <v>Closed</v>
      </c>
      <c r="T207" s="2" t="s">
        <v>153</v>
      </c>
      <c r="U207" s="162" t="s">
        <v>611</v>
      </c>
      <c r="V207" s="113">
        <f>COUNTIFS('Delivery Tracking'!E:E,B207)</f>
        <v>0</v>
      </c>
      <c r="W207" s="113">
        <f>SUMIFS(All_Stats!N:N,All_Stats!$A:$A,$B207,All_Stats!$B:$B,"Overall",All_Stats!$D:$D,"Total")</f>
        <v>0</v>
      </c>
      <c r="X207" s="323">
        <v>44667.0</v>
      </c>
      <c r="Y207" s="329"/>
      <c r="Z207" s="326"/>
    </row>
    <row r="208" hidden="1">
      <c r="A208" s="327" t="s">
        <v>1002</v>
      </c>
      <c r="B208" s="328" t="s">
        <v>1003</v>
      </c>
      <c r="C208" s="184"/>
      <c r="D208" s="193">
        <v>26.0</v>
      </c>
      <c r="E208" s="171">
        <f>SUMIFS(All_Stats!G:G,All_Stats!$A:$A,$B208,All_Stats!$B:$B,"Overall",All_Stats!$D:$D,"Total")</f>
        <v>0</v>
      </c>
      <c r="F208" s="113">
        <f>SUMIFS(All_Stats!H:H,All_Stats!$A:$A,$B208,All_Stats!$B:$B,"Overall",All_Stats!$D:$D,"Total")</f>
        <v>0</v>
      </c>
      <c r="G208" s="171">
        <f>SUMIFS(All_Stats!I:I,All_Stats!$A:$A,$B208,All_Stats!$B:$B,"Overall",All_Stats!$D:$D,"Total")</f>
        <v>0</v>
      </c>
      <c r="H208" s="113">
        <f>SUMIFS(All_Stats!K:K,All_Stats!$A:$A,$B208,All_Stats!$B:$B,"Overall",All_Stats!$D:$D,"Total")</f>
        <v>0</v>
      </c>
      <c r="I208" s="113">
        <f>SUMIFS(All_Stats!J:J,All_Stats!$A:$A,$B208,All_Stats!$B:$B,"Overall",All_Stats!$D:$D,"Total")</f>
        <v>0</v>
      </c>
      <c r="J208" s="113">
        <f t="shared" si="3"/>
        <v>26</v>
      </c>
      <c r="K208" s="249" t="s">
        <v>57</v>
      </c>
      <c r="L208" s="245">
        <v>44370.0</v>
      </c>
      <c r="M208" s="332">
        <v>44400.0</v>
      </c>
      <c r="O208" s="310">
        <f t="shared" si="6"/>
        <v>54.2173913</v>
      </c>
      <c r="P208" s="311">
        <f t="shared" ref="P208:Q208" si="213">F208/D208</f>
        <v>0</v>
      </c>
      <c r="Q208" s="325" t="str">
        <f t="shared" si="213"/>
        <v>#DIV/0!</v>
      </c>
      <c r="R208" s="311">
        <f t="shared" si="8"/>
        <v>0</v>
      </c>
      <c r="S208" s="300" t="str">
        <f t="shared" si="197"/>
        <v>Closed</v>
      </c>
      <c r="T208" s="2" t="s">
        <v>146</v>
      </c>
      <c r="U208" s="162" t="s">
        <v>611</v>
      </c>
      <c r="V208" s="113">
        <f>COUNTIFS('Delivery Tracking'!E:E,B208)</f>
        <v>0</v>
      </c>
      <c r="W208" s="113">
        <f>SUMIFS(All_Stats!N:N,All_Stats!$A:$A,$B208,All_Stats!$B:$B,"Overall",All_Stats!$D:$D,"Total")</f>
        <v>0</v>
      </c>
      <c r="X208" s="323">
        <v>44668.0</v>
      </c>
      <c r="Y208" s="329"/>
      <c r="Z208" s="326"/>
    </row>
    <row r="209" hidden="1">
      <c r="A209" s="418" t="s">
        <v>1004</v>
      </c>
      <c r="B209" s="419" t="s">
        <v>1005</v>
      </c>
      <c r="C209" s="384"/>
      <c r="D209" s="193">
        <v>34.0</v>
      </c>
      <c r="E209" s="171">
        <f>SUMIFS(All_Stats!G:G,All_Stats!$A:$A,$B209,All_Stats!$B:$B,"Overall",All_Stats!$D:$D,"Total")</f>
        <v>0</v>
      </c>
      <c r="F209" s="113">
        <f>SUMIFS(All_Stats!H:H,All_Stats!$A:$A,$B209,All_Stats!$B:$B,"Overall",All_Stats!$D:$D,"Total")</f>
        <v>0</v>
      </c>
      <c r="G209" s="171">
        <f>SUMIFS(All_Stats!I:I,All_Stats!$A:$A,$B209,All_Stats!$B:$B,"Overall",All_Stats!$D:$D,"Total")</f>
        <v>0</v>
      </c>
      <c r="H209" s="113">
        <f>SUMIFS(All_Stats!K:K,All_Stats!$A:$A,$B209,All_Stats!$B:$B,"Overall",All_Stats!$D:$D,"Total")</f>
        <v>0</v>
      </c>
      <c r="I209" s="113">
        <f>SUMIFS(All_Stats!J:J,All_Stats!$A:$A,$B209,All_Stats!$B:$B,"Overall",All_Stats!$D:$D,"Total")</f>
        <v>0</v>
      </c>
      <c r="J209" s="113">
        <f t="shared" si="3"/>
        <v>34</v>
      </c>
      <c r="K209" s="249" t="s">
        <v>57</v>
      </c>
      <c r="L209" s="245">
        <v>44389.0</v>
      </c>
      <c r="M209" s="332">
        <v>44397.0</v>
      </c>
      <c r="N209" s="333" t="s">
        <v>1006</v>
      </c>
      <c r="O209" s="310">
        <f t="shared" si="6"/>
        <v>176.2857143</v>
      </c>
      <c r="P209" s="311">
        <f t="shared" ref="P209:Q209" si="214">F209/D209</f>
        <v>0</v>
      </c>
      <c r="Q209" s="325" t="str">
        <f t="shared" si="214"/>
        <v>#DIV/0!</v>
      </c>
      <c r="R209" s="311">
        <f t="shared" si="8"/>
        <v>0</v>
      </c>
      <c r="S209" s="300" t="str">
        <f t="shared" si="197"/>
        <v>Closed</v>
      </c>
      <c r="T209" s="2" t="s">
        <v>166</v>
      </c>
      <c r="U209" s="162" t="s">
        <v>611</v>
      </c>
      <c r="V209" s="113">
        <f>COUNTIFS('Delivery Tracking'!E:E,B209)</f>
        <v>0</v>
      </c>
      <c r="W209" s="113">
        <f>SUMIFS(All_Stats!N:N,All_Stats!$A:$A,$B209,All_Stats!$B:$B,"Overall",All_Stats!$D:$D,"Total")</f>
        <v>0</v>
      </c>
      <c r="X209" s="323">
        <v>44669.0</v>
      </c>
      <c r="Y209" s="329"/>
      <c r="Z209" s="326"/>
    </row>
    <row r="210" hidden="1">
      <c r="A210" s="338" t="s">
        <v>849</v>
      </c>
      <c r="B210" s="420" t="s">
        <v>1007</v>
      </c>
      <c r="C210" s="306"/>
      <c r="D210" s="193">
        <v>513.0</v>
      </c>
      <c r="E210" s="171">
        <f>SUMIFS(All_Stats!G:G,All_Stats!$A:$A,$B210,All_Stats!$B:$B,"Overall",All_Stats!$D:$D,"Total")</f>
        <v>0</v>
      </c>
      <c r="F210" s="113">
        <f>SUMIFS(All_Stats!H:H,All_Stats!$A:$A,$B210,All_Stats!$B:$B,"Overall",All_Stats!$D:$D,"Total")</f>
        <v>0</v>
      </c>
      <c r="G210" s="171">
        <f>SUMIFS(All_Stats!I:I,All_Stats!$A:$A,$B210,All_Stats!$B:$B,"Overall",All_Stats!$D:$D,"Total")</f>
        <v>0</v>
      </c>
      <c r="H210" s="113">
        <f>SUMIFS(All_Stats!K:K,All_Stats!$A:$A,$B210,All_Stats!$B:$B,"Overall",All_Stats!$D:$D,"Total")</f>
        <v>0</v>
      </c>
      <c r="I210" s="113">
        <f>SUMIFS(All_Stats!J:J,All_Stats!$A:$A,$B210,All_Stats!$B:$B,"Overall",All_Stats!$D:$D,"Total")</f>
        <v>0</v>
      </c>
      <c r="J210" s="113">
        <f t="shared" si="3"/>
        <v>513</v>
      </c>
      <c r="K210" s="249" t="s">
        <v>57</v>
      </c>
      <c r="L210" s="356">
        <v>44355.0</v>
      </c>
      <c r="M210" s="332">
        <v>44439.0</v>
      </c>
      <c r="O210" s="310">
        <f t="shared" si="6"/>
        <v>20.62295082</v>
      </c>
      <c r="P210" s="311">
        <f t="shared" ref="P210:Q210" si="215">F210/D210</f>
        <v>0</v>
      </c>
      <c r="Q210" s="325" t="str">
        <f t="shared" si="215"/>
        <v>#DIV/0!</v>
      </c>
      <c r="R210" s="311">
        <f t="shared" si="8"/>
        <v>0</v>
      </c>
      <c r="S210" s="300" t="str">
        <f t="shared" si="197"/>
        <v>Closed</v>
      </c>
      <c r="T210" s="2" t="s">
        <v>67</v>
      </c>
      <c r="U210" s="162" t="s">
        <v>611</v>
      </c>
      <c r="V210" s="113">
        <f>COUNTIFS('Delivery Tracking'!E:E,B210)</f>
        <v>0</v>
      </c>
      <c r="W210" s="113">
        <f>SUMIFS(All_Stats!N:N,All_Stats!$A:$A,$B210,All_Stats!$B:$B,"Overall",All_Stats!$D:$D,"Total")</f>
        <v>0</v>
      </c>
      <c r="X210" s="323">
        <v>44670.0</v>
      </c>
      <c r="Y210" s="329"/>
      <c r="Z210" s="326"/>
    </row>
    <row r="211" hidden="1">
      <c r="A211" s="327" t="s">
        <v>1008</v>
      </c>
      <c r="B211" s="335" t="s">
        <v>1009</v>
      </c>
      <c r="C211" s="421"/>
      <c r="D211" s="193">
        <v>40.0</v>
      </c>
      <c r="E211" s="171">
        <f>SUMIFS(All_Stats!G:G,All_Stats!$A:$A,$B211,All_Stats!$B:$B,"Overall",All_Stats!$D:$D,"Total")</f>
        <v>0</v>
      </c>
      <c r="F211" s="113">
        <f>SUMIFS(All_Stats!H:H,All_Stats!$A:$A,$B211,All_Stats!$B:$B,"Overall",All_Stats!$D:$D,"Total")</f>
        <v>0</v>
      </c>
      <c r="G211" s="171">
        <f>SUMIFS(All_Stats!I:I,All_Stats!$A:$A,$B211,All_Stats!$B:$B,"Overall",All_Stats!$D:$D,"Total")</f>
        <v>0</v>
      </c>
      <c r="H211" s="113">
        <f>SUMIFS(All_Stats!K:K,All_Stats!$A:$A,$B211,All_Stats!$B:$B,"Overall",All_Stats!$D:$D,"Total")</f>
        <v>0</v>
      </c>
      <c r="I211" s="113">
        <f>SUMIFS(All_Stats!J:J,All_Stats!$A:$A,$B211,All_Stats!$B:$B,"Overall",All_Stats!$D:$D,"Total")</f>
        <v>0</v>
      </c>
      <c r="J211" s="113">
        <f t="shared" si="3"/>
        <v>40</v>
      </c>
      <c r="K211" s="249" t="s">
        <v>57</v>
      </c>
      <c r="L211" s="245">
        <v>44226.0</v>
      </c>
      <c r="M211" s="332">
        <v>44407.0</v>
      </c>
      <c r="O211" s="310">
        <f t="shared" si="6"/>
        <v>10.37692308</v>
      </c>
      <c r="P211" s="311">
        <f t="shared" ref="P211:Q211" si="216">F211/D211</f>
        <v>0</v>
      </c>
      <c r="Q211" s="325" t="str">
        <f t="shared" si="216"/>
        <v>#DIV/0!</v>
      </c>
      <c r="R211" s="311">
        <f t="shared" si="8"/>
        <v>0</v>
      </c>
      <c r="S211" s="300" t="str">
        <f t="shared" si="197"/>
        <v>Closed</v>
      </c>
      <c r="T211" s="2" t="s">
        <v>67</v>
      </c>
      <c r="U211" s="162" t="s">
        <v>611</v>
      </c>
      <c r="V211" s="113">
        <f>COUNTIFS('Delivery Tracking'!E:E,B211)</f>
        <v>0</v>
      </c>
      <c r="W211" s="113">
        <f>SUMIFS(All_Stats!N:N,All_Stats!$A:$A,$B211,All_Stats!$B:$B,"Overall",All_Stats!$D:$D,"Total")</f>
        <v>0</v>
      </c>
      <c r="X211" s="323">
        <v>44671.0</v>
      </c>
      <c r="Y211" s="329"/>
      <c r="Z211" s="326"/>
    </row>
    <row r="212" hidden="1">
      <c r="A212" s="327" t="s">
        <v>714</v>
      </c>
      <c r="B212" s="328" t="s">
        <v>1010</v>
      </c>
      <c r="C212" s="184"/>
      <c r="D212" s="193">
        <v>45.0</v>
      </c>
      <c r="E212" s="171">
        <f>SUMIFS(All_Stats!G:G,All_Stats!$A:$A,$B212,All_Stats!$B:$B,"Overall",All_Stats!$D:$D,"Total")</f>
        <v>0</v>
      </c>
      <c r="F212" s="113">
        <f>SUMIFS(All_Stats!H:H,All_Stats!$A:$A,$B212,All_Stats!$B:$B,"Overall",All_Stats!$D:$D,"Total")</f>
        <v>0</v>
      </c>
      <c r="G212" s="171">
        <f>SUMIFS(All_Stats!I:I,All_Stats!$A:$A,$B212,All_Stats!$B:$B,"Overall",All_Stats!$D:$D,"Total")</f>
        <v>0</v>
      </c>
      <c r="H212" s="113">
        <f>SUMIFS(All_Stats!K:K,All_Stats!$A:$A,$B212,All_Stats!$B:$B,"Overall",All_Stats!$D:$D,"Total")</f>
        <v>0</v>
      </c>
      <c r="I212" s="113">
        <f>SUMIFS(All_Stats!J:J,All_Stats!$A:$A,$B212,All_Stats!$B:$B,"Overall",All_Stats!$D:$D,"Total")</f>
        <v>0</v>
      </c>
      <c r="J212" s="113">
        <f t="shared" si="3"/>
        <v>45</v>
      </c>
      <c r="K212" s="249" t="s">
        <v>649</v>
      </c>
      <c r="L212" s="245">
        <v>44357.0</v>
      </c>
      <c r="M212" s="386">
        <v>44372.0</v>
      </c>
      <c r="N212" s="422" t="s">
        <v>1011</v>
      </c>
      <c r="O212" s="310">
        <f t="shared" si="6"/>
        <v>104.6666667</v>
      </c>
      <c r="P212" s="311">
        <f t="shared" ref="P212:Q212" si="217">F212/D212</f>
        <v>0</v>
      </c>
      <c r="Q212" s="325" t="str">
        <f t="shared" si="217"/>
        <v>#DIV/0!</v>
      </c>
      <c r="R212" s="311">
        <f t="shared" si="8"/>
        <v>0</v>
      </c>
      <c r="S212" s="249" t="s">
        <v>649</v>
      </c>
      <c r="T212" s="2" t="s">
        <v>80</v>
      </c>
      <c r="U212" s="162" t="s">
        <v>611</v>
      </c>
      <c r="V212" s="113">
        <f>COUNTIFS('Delivery Tracking'!E:E,B212)</f>
        <v>0</v>
      </c>
      <c r="W212" s="113">
        <f>SUMIFS(All_Stats!N:N,All_Stats!$A:$A,$B212,All_Stats!$B:$B,"Overall",All_Stats!$D:$D,"Total")</f>
        <v>0</v>
      </c>
      <c r="X212" s="323">
        <v>44672.0</v>
      </c>
      <c r="Y212" s="329"/>
      <c r="Z212" s="326"/>
    </row>
    <row r="213" ht="15.0" hidden="1" customHeight="1">
      <c r="A213" s="330" t="s">
        <v>763</v>
      </c>
      <c r="B213" s="423" t="s">
        <v>1012</v>
      </c>
      <c r="C213" s="306"/>
      <c r="D213" s="193">
        <v>148.0</v>
      </c>
      <c r="E213" s="171">
        <f>SUMIFS(All_Stats!G:G,All_Stats!$A:$A,$B213,All_Stats!$B:$B,"Overall",All_Stats!$D:$D,"Total")</f>
        <v>0</v>
      </c>
      <c r="F213" s="113">
        <f>SUMIFS(All_Stats!H:H,All_Stats!$A:$A,$B213,All_Stats!$B:$B,"Overall",All_Stats!$D:$D,"Total")</f>
        <v>0</v>
      </c>
      <c r="G213" s="171">
        <f>SUMIFS(All_Stats!I:I,All_Stats!$A:$A,$B213,All_Stats!$B:$B,"Overall",All_Stats!$D:$D,"Total")</f>
        <v>0</v>
      </c>
      <c r="H213" s="113">
        <f>SUMIFS(All_Stats!K:K,All_Stats!$A:$A,$B213,All_Stats!$B:$B,"Overall",All_Stats!$D:$D,"Total")</f>
        <v>0</v>
      </c>
      <c r="I213" s="113">
        <f>SUMIFS(All_Stats!J:J,All_Stats!$A:$A,$B213,All_Stats!$B:$B,"Overall",All_Stats!$D:$D,"Total")</f>
        <v>0</v>
      </c>
      <c r="J213" s="113">
        <f t="shared" si="3"/>
        <v>148</v>
      </c>
      <c r="K213" s="249" t="s">
        <v>57</v>
      </c>
      <c r="L213" s="245">
        <v>44336.0</v>
      </c>
      <c r="M213" s="377">
        <v>44396.0</v>
      </c>
      <c r="O213" s="310">
        <f t="shared" si="6"/>
        <v>29.55813953</v>
      </c>
      <c r="P213" s="311">
        <f t="shared" ref="P213:Q213" si="218">F213/D213</f>
        <v>0</v>
      </c>
      <c r="Q213" s="325" t="str">
        <f t="shared" si="218"/>
        <v>#DIV/0!</v>
      </c>
      <c r="R213" s="311">
        <f t="shared" si="8"/>
        <v>0</v>
      </c>
      <c r="S213" s="300" t="str">
        <f t="shared" ref="S213:S269" si="220">iferror(ifs(
K213="Closed","Closed",
K213="Paused","Paused",
UPPER(X213)="N/A","PRE",
X213="","N/A",
(_xlfn.NETWORKDAYS.INTL(X213,D$2)-1)/_xlfn.NETWORKDAYS.INTL(X213,M213)&lt;S$2,"PRE",
F213=0,"Underpacing",
O213-(F213+H213*(G213/(G213+F213)))/D213&gt;0.2,"Underpacing",
O213-(F213+H213*(G213/(G213+F213)))/D213&lt;=0.2,"On track")
,"N/A")</f>
        <v>Closed</v>
      </c>
      <c r="T213" s="2" t="s">
        <v>67</v>
      </c>
      <c r="U213" s="162" t="s">
        <v>611</v>
      </c>
      <c r="V213" s="113">
        <f>COUNTIFS('Delivery Tracking'!E:E,B213)</f>
        <v>0</v>
      </c>
      <c r="W213" s="113">
        <f>SUMIFS(All_Stats!N:N,All_Stats!$A:$A,$B213,All_Stats!$B:$B,"Overall",All_Stats!$D:$D,"Total")</f>
        <v>0</v>
      </c>
      <c r="X213" s="323">
        <v>44673.0</v>
      </c>
      <c r="Y213" s="329"/>
      <c r="Z213" s="326"/>
    </row>
    <row r="214" hidden="1">
      <c r="A214" s="352" t="s">
        <v>1004</v>
      </c>
      <c r="B214" s="342" t="s">
        <v>1013</v>
      </c>
      <c r="C214" s="184"/>
      <c r="D214" s="193">
        <v>28.0</v>
      </c>
      <c r="E214" s="171">
        <f>SUMIFS(All_Stats!G:G,All_Stats!$A:$A,$B214,All_Stats!$B:$B,"Overall",All_Stats!$D:$D,"Total")</f>
        <v>0</v>
      </c>
      <c r="F214" s="113">
        <f>SUMIFS(All_Stats!H:H,All_Stats!$A:$A,$B214,All_Stats!$B:$B,"Overall",All_Stats!$D:$D,"Total")</f>
        <v>0</v>
      </c>
      <c r="G214" s="171">
        <f>SUMIFS(All_Stats!I:I,All_Stats!$A:$A,$B214,All_Stats!$B:$B,"Overall",All_Stats!$D:$D,"Total")</f>
        <v>0</v>
      </c>
      <c r="H214" s="113">
        <f>SUMIFS(All_Stats!K:K,All_Stats!$A:$A,$B214,All_Stats!$B:$B,"Overall",All_Stats!$D:$D,"Total")</f>
        <v>0</v>
      </c>
      <c r="I214" s="113">
        <f>SUMIFS(All_Stats!J:J,All_Stats!$A:$A,$B214,All_Stats!$B:$B,"Overall",All_Stats!$D:$D,"Total")</f>
        <v>0</v>
      </c>
      <c r="J214" s="113">
        <f t="shared" si="3"/>
        <v>28</v>
      </c>
      <c r="K214" s="249" t="s">
        <v>57</v>
      </c>
      <c r="L214" s="323">
        <v>44384.0</v>
      </c>
      <c r="M214" s="332">
        <v>44397.0</v>
      </c>
      <c r="N214" s="5"/>
      <c r="O214" s="310">
        <f t="shared" si="6"/>
        <v>123.7</v>
      </c>
      <c r="P214" s="311">
        <f t="shared" ref="P214:Q214" si="219">F214/D214</f>
        <v>0</v>
      </c>
      <c r="Q214" s="325" t="str">
        <f t="shared" si="219"/>
        <v>#DIV/0!</v>
      </c>
      <c r="R214" s="311">
        <f t="shared" si="8"/>
        <v>0</v>
      </c>
      <c r="S214" s="300" t="str">
        <f t="shared" si="220"/>
        <v>Closed</v>
      </c>
      <c r="T214" s="2" t="s">
        <v>166</v>
      </c>
      <c r="U214" s="162" t="s">
        <v>611</v>
      </c>
      <c r="V214" s="113">
        <f>COUNTIFS('Delivery Tracking'!E:E,B214)</f>
        <v>0</v>
      </c>
      <c r="W214" s="113">
        <f>SUMIFS(All_Stats!N:N,All_Stats!$A:$A,$B214,All_Stats!$B:$B,"Overall",All_Stats!$D:$D,"Total")</f>
        <v>0</v>
      </c>
      <c r="X214" s="323">
        <v>44674.0</v>
      </c>
      <c r="Y214" s="329"/>
      <c r="Z214" s="326"/>
    </row>
    <row r="215" hidden="1">
      <c r="A215" s="327" t="s">
        <v>1014</v>
      </c>
      <c r="B215" s="328" t="s">
        <v>1015</v>
      </c>
      <c r="C215" s="184"/>
      <c r="D215" s="193">
        <v>50.0</v>
      </c>
      <c r="E215" s="171">
        <f>SUMIFS(All_Stats!G:G,All_Stats!$A:$A,$B215,All_Stats!$B:$B,"Overall",All_Stats!$D:$D,"Total")</f>
        <v>0</v>
      </c>
      <c r="F215" s="113">
        <f>SUMIFS(All_Stats!H:H,All_Stats!$A:$A,$B215,All_Stats!$B:$B,"Overall",All_Stats!$D:$D,"Total")</f>
        <v>0</v>
      </c>
      <c r="G215" s="171">
        <f>SUMIFS(All_Stats!I:I,All_Stats!$A:$A,$B215,All_Stats!$B:$B,"Overall",All_Stats!$D:$D,"Total")</f>
        <v>0</v>
      </c>
      <c r="H215" s="113">
        <f>SUMIFS(All_Stats!K:K,All_Stats!$A:$A,$B215,All_Stats!$B:$B,"Overall",All_Stats!$D:$D,"Total")</f>
        <v>0</v>
      </c>
      <c r="I215" s="113">
        <f>SUMIFS(All_Stats!J:J,All_Stats!$A:$A,$B215,All_Stats!$B:$B,"Overall",All_Stats!$D:$D,"Total")</f>
        <v>0</v>
      </c>
      <c r="J215" s="113">
        <f t="shared" si="3"/>
        <v>50</v>
      </c>
      <c r="K215" s="249" t="s">
        <v>57</v>
      </c>
      <c r="L215" s="245">
        <v>44375.0</v>
      </c>
      <c r="M215" s="332">
        <v>44400.0</v>
      </c>
      <c r="O215" s="310">
        <f t="shared" si="6"/>
        <v>62.2</v>
      </c>
      <c r="P215" s="311">
        <f t="shared" ref="P215:Q215" si="221">F215/D215</f>
        <v>0</v>
      </c>
      <c r="Q215" s="325" t="str">
        <f t="shared" si="221"/>
        <v>#DIV/0!</v>
      </c>
      <c r="R215" s="311">
        <f t="shared" si="8"/>
        <v>0</v>
      </c>
      <c r="S215" s="300" t="str">
        <f t="shared" si="220"/>
        <v>Closed</v>
      </c>
      <c r="T215" s="2" t="s">
        <v>166</v>
      </c>
      <c r="U215" s="162" t="s">
        <v>611</v>
      </c>
      <c r="V215" s="113">
        <f>COUNTIFS('Delivery Tracking'!E:E,B215)</f>
        <v>0</v>
      </c>
      <c r="W215" s="113">
        <f>SUMIFS(All_Stats!N:N,All_Stats!$A:$A,$B215,All_Stats!$B:$B,"Overall",All_Stats!$D:$D,"Total")</f>
        <v>0</v>
      </c>
      <c r="X215" s="323">
        <v>44675.0</v>
      </c>
      <c r="Y215" s="329"/>
      <c r="Z215" s="326"/>
    </row>
    <row r="216" hidden="1">
      <c r="A216" s="338" t="s">
        <v>874</v>
      </c>
      <c r="B216" s="396" t="s">
        <v>1016</v>
      </c>
      <c r="C216" s="184"/>
      <c r="D216" s="193">
        <v>25.0</v>
      </c>
      <c r="E216" s="171">
        <f>SUMIFS(All_Stats!G:G,All_Stats!$A:$A,$B216,All_Stats!$B:$B,"Overall",All_Stats!$D:$D,"Total")</f>
        <v>0</v>
      </c>
      <c r="F216" s="113">
        <f>SUMIFS(All_Stats!H:H,All_Stats!$A:$A,$B216,All_Stats!$B:$B,"Overall",All_Stats!$D:$D,"Total")</f>
        <v>0</v>
      </c>
      <c r="G216" s="171">
        <f>SUMIFS(All_Stats!I:I,All_Stats!$A:$A,$B216,All_Stats!$B:$B,"Overall",All_Stats!$D:$D,"Total")</f>
        <v>0</v>
      </c>
      <c r="H216" s="113">
        <f>SUMIFS(All_Stats!K:K,All_Stats!$A:$A,$B216,All_Stats!$B:$B,"Overall",All_Stats!$D:$D,"Total")</f>
        <v>0</v>
      </c>
      <c r="I216" s="113">
        <f>SUMIFS(All_Stats!J:J,All_Stats!$A:$A,$B216,All_Stats!$B:$B,"Overall",All_Stats!$D:$D,"Total")</f>
        <v>0</v>
      </c>
      <c r="J216" s="113">
        <f t="shared" si="3"/>
        <v>25</v>
      </c>
      <c r="K216" s="249" t="s">
        <v>57</v>
      </c>
      <c r="L216" s="356">
        <v>44351.0</v>
      </c>
      <c r="M216" s="377">
        <v>44404.0</v>
      </c>
      <c r="N216" s="2" t="s">
        <v>1017</v>
      </c>
      <c r="O216" s="310">
        <f t="shared" si="6"/>
        <v>33.15789474</v>
      </c>
      <c r="P216" s="311">
        <f t="shared" ref="P216:Q216" si="222">F216/D216</f>
        <v>0</v>
      </c>
      <c r="Q216" s="325" t="str">
        <f t="shared" si="222"/>
        <v>#DIV/0!</v>
      </c>
      <c r="R216" s="311">
        <f t="shared" si="8"/>
        <v>0</v>
      </c>
      <c r="S216" s="300" t="str">
        <f t="shared" si="220"/>
        <v>Closed</v>
      </c>
      <c r="T216" s="2" t="s">
        <v>166</v>
      </c>
      <c r="U216" s="162" t="s">
        <v>611</v>
      </c>
      <c r="V216" s="113">
        <f>COUNTIFS('Delivery Tracking'!E:E,B216)</f>
        <v>0</v>
      </c>
      <c r="W216" s="113">
        <f>SUMIFS(All_Stats!N:N,All_Stats!$A:$A,$B216,All_Stats!$B:$B,"Overall",All_Stats!$D:$D,"Total")</f>
        <v>0</v>
      </c>
      <c r="X216" s="323">
        <v>44676.0</v>
      </c>
      <c r="Y216" s="329"/>
      <c r="Z216" s="326"/>
    </row>
    <row r="217" hidden="1">
      <c r="A217" s="327" t="s">
        <v>1018</v>
      </c>
      <c r="B217" s="328" t="s">
        <v>1019</v>
      </c>
      <c r="C217" s="184"/>
      <c r="D217" s="193">
        <v>25.0</v>
      </c>
      <c r="E217" s="171">
        <f>SUMIFS(All_Stats!G:G,All_Stats!$A:$A,$B217,All_Stats!$B:$B,"Overall",All_Stats!$D:$D,"Total")</f>
        <v>0</v>
      </c>
      <c r="F217" s="113">
        <f>SUMIFS(All_Stats!H:H,All_Stats!$A:$A,$B217,All_Stats!$B:$B,"Overall",All_Stats!$D:$D,"Total")</f>
        <v>0</v>
      </c>
      <c r="G217" s="171">
        <f>SUMIFS(All_Stats!I:I,All_Stats!$A:$A,$B217,All_Stats!$B:$B,"Overall",All_Stats!$D:$D,"Total")</f>
        <v>0</v>
      </c>
      <c r="H217" s="113">
        <f>SUMIFS(All_Stats!K:K,All_Stats!$A:$A,$B217,All_Stats!$B:$B,"Overall",All_Stats!$D:$D,"Total")</f>
        <v>0</v>
      </c>
      <c r="I217" s="113">
        <f>SUMIFS(All_Stats!J:J,All_Stats!$A:$A,$B217,All_Stats!$B:$B,"Overall",All_Stats!$D:$D,"Total")</f>
        <v>0</v>
      </c>
      <c r="J217" s="113">
        <f t="shared" si="3"/>
        <v>25</v>
      </c>
      <c r="K217" s="249" t="s">
        <v>57</v>
      </c>
      <c r="L217" s="245">
        <v>44370.0</v>
      </c>
      <c r="M217" s="332">
        <v>44399.0</v>
      </c>
      <c r="O217" s="310">
        <f t="shared" si="6"/>
        <v>56.68181818</v>
      </c>
      <c r="P217" s="311">
        <f t="shared" ref="P217:Q217" si="223">F217/D217</f>
        <v>0</v>
      </c>
      <c r="Q217" s="325" t="str">
        <f t="shared" si="223"/>
        <v>#DIV/0!</v>
      </c>
      <c r="R217" s="311">
        <f t="shared" si="8"/>
        <v>0</v>
      </c>
      <c r="S217" s="300" t="str">
        <f t="shared" si="220"/>
        <v>Closed</v>
      </c>
      <c r="T217" s="2" t="s">
        <v>293</v>
      </c>
      <c r="U217" s="162" t="s">
        <v>611</v>
      </c>
      <c r="V217" s="113">
        <f>COUNTIFS('Delivery Tracking'!E:E,B217)</f>
        <v>0</v>
      </c>
      <c r="W217" s="113">
        <f>SUMIFS(All_Stats!N:N,All_Stats!$A:$A,$B217,All_Stats!$B:$B,"Overall",All_Stats!$D:$D,"Total")</f>
        <v>0</v>
      </c>
      <c r="X217" s="323">
        <v>44677.0</v>
      </c>
      <c r="Y217" s="329"/>
      <c r="Z217" s="326"/>
    </row>
    <row r="218" hidden="1">
      <c r="A218" s="327" t="s">
        <v>769</v>
      </c>
      <c r="B218" s="328" t="s">
        <v>1020</v>
      </c>
      <c r="C218" s="184"/>
      <c r="D218" s="193">
        <v>20.0</v>
      </c>
      <c r="E218" s="171">
        <f>SUMIFS(All_Stats!G:G,All_Stats!$A:$A,$B218,All_Stats!$B:$B,"Overall",All_Stats!$D:$D,"Total")</f>
        <v>0</v>
      </c>
      <c r="F218" s="113">
        <f>SUMIFS(All_Stats!H:H,All_Stats!$A:$A,$B218,All_Stats!$B:$B,"Overall",All_Stats!$D:$D,"Total")</f>
        <v>0</v>
      </c>
      <c r="G218" s="171">
        <f>SUMIFS(All_Stats!I:I,All_Stats!$A:$A,$B218,All_Stats!$B:$B,"Overall",All_Stats!$D:$D,"Total")</f>
        <v>0</v>
      </c>
      <c r="H218" s="113">
        <f>SUMIFS(All_Stats!K:K,All_Stats!$A:$A,$B218,All_Stats!$B:$B,"Overall",All_Stats!$D:$D,"Total")</f>
        <v>0</v>
      </c>
      <c r="I218" s="113">
        <f>SUMIFS(All_Stats!J:J,All_Stats!$A:$A,$B218,All_Stats!$B:$B,"Overall",All_Stats!$D:$D,"Total")</f>
        <v>0</v>
      </c>
      <c r="J218" s="113">
        <f t="shared" si="3"/>
        <v>20</v>
      </c>
      <c r="K218" s="249" t="s">
        <v>57</v>
      </c>
      <c r="L218" s="245">
        <v>44386.0</v>
      </c>
      <c r="M218" s="332">
        <v>44400.0</v>
      </c>
      <c r="O218" s="310">
        <f t="shared" si="6"/>
        <v>112.2727273</v>
      </c>
      <c r="P218" s="311">
        <f t="shared" ref="P218:Q218" si="224">F218/D218</f>
        <v>0</v>
      </c>
      <c r="Q218" s="325" t="str">
        <f t="shared" si="224"/>
        <v>#DIV/0!</v>
      </c>
      <c r="R218" s="311">
        <f t="shared" si="8"/>
        <v>0</v>
      </c>
      <c r="S218" s="300" t="str">
        <f t="shared" si="220"/>
        <v>Closed</v>
      </c>
      <c r="T218" s="2" t="s">
        <v>184</v>
      </c>
      <c r="U218" s="162" t="s">
        <v>611</v>
      </c>
      <c r="V218" s="113">
        <f>COUNTIFS('Delivery Tracking'!E:E,B218)</f>
        <v>0</v>
      </c>
      <c r="W218" s="113">
        <f>SUMIFS(All_Stats!N:N,All_Stats!$A:$A,$B218,All_Stats!$B:$B,"Overall",All_Stats!$D:$D,"Total")</f>
        <v>0</v>
      </c>
      <c r="X218" s="323">
        <v>44678.0</v>
      </c>
      <c r="Y218" s="329"/>
      <c r="Z218" s="326"/>
    </row>
    <row r="219" hidden="1">
      <c r="A219" s="334" t="s">
        <v>994</v>
      </c>
      <c r="B219" s="335" t="s">
        <v>1021</v>
      </c>
      <c r="C219" s="184"/>
      <c r="D219" s="193">
        <v>79.0</v>
      </c>
      <c r="E219" s="171">
        <f>SUMIFS(All_Stats!G:G,All_Stats!$A:$A,$B219,All_Stats!$B:$B,"Overall",All_Stats!$D:$D,"Total")</f>
        <v>0</v>
      </c>
      <c r="F219" s="113">
        <f>SUMIFS(All_Stats!H:H,All_Stats!$A:$A,$B219,All_Stats!$B:$B,"Overall",All_Stats!$D:$D,"Total")</f>
        <v>0</v>
      </c>
      <c r="G219" s="171">
        <f>SUMIFS(All_Stats!I:I,All_Stats!$A:$A,$B219,All_Stats!$B:$B,"Overall",All_Stats!$D:$D,"Total")</f>
        <v>0</v>
      </c>
      <c r="H219" s="113">
        <f>SUMIFS(All_Stats!K:K,All_Stats!$A:$A,$B219,All_Stats!$B:$B,"Overall",All_Stats!$D:$D,"Total")</f>
        <v>0</v>
      </c>
      <c r="I219" s="113">
        <f>SUMIFS(All_Stats!J:J,All_Stats!$A:$A,$B219,All_Stats!$B:$B,"Overall",All_Stats!$D:$D,"Total")</f>
        <v>0</v>
      </c>
      <c r="J219" s="113">
        <f t="shared" si="3"/>
        <v>79</v>
      </c>
      <c r="K219" s="249" t="s">
        <v>57</v>
      </c>
      <c r="L219" s="245">
        <v>44379.0</v>
      </c>
      <c r="M219" s="332">
        <v>44403.0</v>
      </c>
      <c r="O219" s="310">
        <f t="shared" si="6"/>
        <v>72.94117647</v>
      </c>
      <c r="P219" s="311">
        <f t="shared" ref="P219:Q219" si="225">F219/D219</f>
        <v>0</v>
      </c>
      <c r="Q219" s="325" t="str">
        <f t="shared" si="225"/>
        <v>#DIV/0!</v>
      </c>
      <c r="R219" s="311">
        <f t="shared" si="8"/>
        <v>0</v>
      </c>
      <c r="S219" s="300" t="str">
        <f t="shared" si="220"/>
        <v>Closed</v>
      </c>
      <c r="T219" s="2" t="s">
        <v>67</v>
      </c>
      <c r="U219" s="162" t="s">
        <v>611</v>
      </c>
      <c r="V219" s="113">
        <f>COUNTIFS('Delivery Tracking'!E:E,B219)</f>
        <v>0</v>
      </c>
      <c r="W219" s="113">
        <f>SUMIFS(All_Stats!N:N,All_Stats!$A:$A,$B219,All_Stats!$B:$B,"Overall",All_Stats!$D:$D,"Total")</f>
        <v>0</v>
      </c>
      <c r="X219" s="323">
        <v>44679.0</v>
      </c>
      <c r="Y219" s="329"/>
      <c r="Z219" s="326"/>
    </row>
    <row r="220" hidden="1">
      <c r="A220" s="334" t="s">
        <v>1022</v>
      </c>
      <c r="B220" s="335" t="s">
        <v>1023</v>
      </c>
      <c r="C220" s="184"/>
      <c r="D220" s="193">
        <v>10.0</v>
      </c>
      <c r="E220" s="171">
        <f>SUMIFS(All_Stats!G:G,All_Stats!$A:$A,$B220,All_Stats!$B:$B,"Overall",All_Stats!$D:$D,"Total")</f>
        <v>0</v>
      </c>
      <c r="F220" s="113">
        <f>SUMIFS(All_Stats!H:H,All_Stats!$A:$A,$B220,All_Stats!$B:$B,"Overall",All_Stats!$D:$D,"Total")</f>
        <v>0</v>
      </c>
      <c r="G220" s="171">
        <f>SUMIFS(All_Stats!I:I,All_Stats!$A:$A,$B220,All_Stats!$B:$B,"Overall",All_Stats!$D:$D,"Total")</f>
        <v>0</v>
      </c>
      <c r="H220" s="113">
        <f>SUMIFS(All_Stats!K:K,All_Stats!$A:$A,$B220,All_Stats!$B:$B,"Overall",All_Stats!$D:$D,"Total")</f>
        <v>0</v>
      </c>
      <c r="I220" s="113">
        <f>SUMIFS(All_Stats!J:J,All_Stats!$A:$A,$B220,All_Stats!$B:$B,"Overall",All_Stats!$D:$D,"Total")</f>
        <v>0</v>
      </c>
      <c r="J220" s="113">
        <f t="shared" si="3"/>
        <v>10</v>
      </c>
      <c r="K220" s="249" t="s">
        <v>57</v>
      </c>
      <c r="L220" s="323">
        <v>44391.0</v>
      </c>
      <c r="M220" s="332">
        <v>44399.0</v>
      </c>
      <c r="O220" s="310">
        <f t="shared" si="6"/>
        <v>176</v>
      </c>
      <c r="P220" s="311">
        <f t="shared" ref="P220:Q220" si="226">F220/D220</f>
        <v>0</v>
      </c>
      <c r="Q220" s="325" t="str">
        <f t="shared" si="226"/>
        <v>#DIV/0!</v>
      </c>
      <c r="R220" s="311">
        <f t="shared" si="8"/>
        <v>0</v>
      </c>
      <c r="S220" s="300" t="str">
        <f t="shared" si="220"/>
        <v>Closed</v>
      </c>
      <c r="T220" s="2" t="s">
        <v>67</v>
      </c>
      <c r="U220" s="162" t="s">
        <v>611</v>
      </c>
      <c r="V220" s="113">
        <f>COUNTIFS('Delivery Tracking'!E:E,B220)</f>
        <v>0</v>
      </c>
      <c r="W220" s="113">
        <f>SUMIFS(All_Stats!N:N,All_Stats!$A:$A,$B220,All_Stats!$B:$B,"Overall",All_Stats!$D:$D,"Total")</f>
        <v>0</v>
      </c>
      <c r="X220" s="323">
        <v>44680.0</v>
      </c>
      <c r="Y220" s="329"/>
      <c r="Z220" s="326"/>
    </row>
    <row r="221" hidden="1">
      <c r="A221" s="365" t="s">
        <v>718</v>
      </c>
      <c r="B221" s="409" t="s">
        <v>1024</v>
      </c>
      <c r="C221" s="184"/>
      <c r="D221" s="193">
        <v>133.0</v>
      </c>
      <c r="E221" s="171">
        <f>SUMIFS(All_Stats!G:G,All_Stats!$A:$A,$B221,All_Stats!$B:$B,"Overall",All_Stats!$D:$D,"Total")</f>
        <v>0</v>
      </c>
      <c r="F221" s="113">
        <f>SUMIFS(All_Stats!H:H,All_Stats!$A:$A,$B221,All_Stats!$B:$B,"Overall",All_Stats!$D:$D,"Total")</f>
        <v>0</v>
      </c>
      <c r="G221" s="171">
        <f>SUMIFS(All_Stats!I:I,All_Stats!$A:$A,$B221,All_Stats!$B:$B,"Overall",All_Stats!$D:$D,"Total")</f>
        <v>0</v>
      </c>
      <c r="H221" s="113">
        <f>SUMIFS(All_Stats!K:K,All_Stats!$A:$A,$B221,All_Stats!$B:$B,"Overall",All_Stats!$D:$D,"Total")</f>
        <v>0</v>
      </c>
      <c r="I221" s="113">
        <f>SUMIFS(All_Stats!J:J,All_Stats!$A:$A,$B221,All_Stats!$B:$B,"Overall",All_Stats!$D:$D,"Total")</f>
        <v>0</v>
      </c>
      <c r="J221" s="113">
        <f t="shared" si="3"/>
        <v>133</v>
      </c>
      <c r="K221" s="249" t="s">
        <v>57</v>
      </c>
      <c r="L221" s="356">
        <v>44354.0</v>
      </c>
      <c r="M221" s="377">
        <v>44398.0</v>
      </c>
      <c r="O221" s="310">
        <f t="shared" si="6"/>
        <v>38.15151515</v>
      </c>
      <c r="P221" s="311">
        <f t="shared" ref="P221:Q221" si="227">F221/D221</f>
        <v>0</v>
      </c>
      <c r="Q221" s="325" t="str">
        <f t="shared" si="227"/>
        <v>#DIV/0!</v>
      </c>
      <c r="R221" s="311">
        <f t="shared" si="8"/>
        <v>0</v>
      </c>
      <c r="S221" s="300" t="str">
        <f t="shared" si="220"/>
        <v>Closed</v>
      </c>
      <c r="T221" s="2" t="s">
        <v>166</v>
      </c>
      <c r="U221" s="162" t="s">
        <v>611</v>
      </c>
      <c r="V221" s="113">
        <f>COUNTIFS('Delivery Tracking'!E:E,B221)</f>
        <v>0</v>
      </c>
      <c r="W221" s="113">
        <f>SUMIFS(All_Stats!N:N,All_Stats!$A:$A,$B221,All_Stats!$B:$B,"Overall",All_Stats!$D:$D,"Total")</f>
        <v>0</v>
      </c>
      <c r="X221" s="323">
        <v>44681.0</v>
      </c>
      <c r="Y221" s="329"/>
      <c r="Z221" s="326"/>
    </row>
    <row r="222" hidden="1">
      <c r="A222" s="330" t="s">
        <v>1025</v>
      </c>
      <c r="B222" s="383" t="s">
        <v>1026</v>
      </c>
      <c r="C222" s="184"/>
      <c r="D222" s="193">
        <v>130.0</v>
      </c>
      <c r="E222" s="171">
        <f>SUMIFS(All_Stats!G:G,All_Stats!$A:$A,$B222,All_Stats!$B:$B,"Overall",All_Stats!$D:$D,"Total")</f>
        <v>0</v>
      </c>
      <c r="F222" s="113">
        <f>SUMIFS(All_Stats!H:H,All_Stats!$A:$A,$B222,All_Stats!$B:$B,"Overall",All_Stats!$D:$D,"Total")</f>
        <v>0</v>
      </c>
      <c r="G222" s="171">
        <f>SUMIFS(All_Stats!I:I,All_Stats!$A:$A,$B222,All_Stats!$B:$B,"Overall",All_Stats!$D:$D,"Total")</f>
        <v>0</v>
      </c>
      <c r="H222" s="113">
        <f>SUMIFS(All_Stats!K:K,All_Stats!$A:$A,$B222,All_Stats!$B:$B,"Overall",All_Stats!$D:$D,"Total")</f>
        <v>0</v>
      </c>
      <c r="I222" s="113">
        <f>SUMIFS(All_Stats!J:J,All_Stats!$A:$A,$B222,All_Stats!$B:$B,"Overall",All_Stats!$D:$D,"Total")</f>
        <v>0</v>
      </c>
      <c r="J222" s="113">
        <f t="shared" si="3"/>
        <v>130</v>
      </c>
      <c r="K222" s="249" t="s">
        <v>57</v>
      </c>
      <c r="L222" s="245">
        <v>44335.0</v>
      </c>
      <c r="M222" s="332">
        <v>44400.0</v>
      </c>
      <c r="O222" s="310">
        <f t="shared" si="6"/>
        <v>26.5</v>
      </c>
      <c r="P222" s="311">
        <f t="shared" ref="P222:Q222" si="228">F222/D222</f>
        <v>0</v>
      </c>
      <c r="Q222" s="325" t="str">
        <f t="shared" si="228"/>
        <v>#DIV/0!</v>
      </c>
      <c r="R222" s="311">
        <f t="shared" si="8"/>
        <v>0</v>
      </c>
      <c r="S222" s="300" t="str">
        <f t="shared" si="220"/>
        <v>Closed</v>
      </c>
      <c r="T222" s="2" t="s">
        <v>293</v>
      </c>
      <c r="U222" s="162" t="s">
        <v>611</v>
      </c>
      <c r="V222" s="113">
        <f>COUNTIFS('Delivery Tracking'!E:E,B222)</f>
        <v>0</v>
      </c>
      <c r="W222" s="113">
        <f>SUMIFS(All_Stats!N:N,All_Stats!$A:$A,$B222,All_Stats!$B:$B,"Overall",All_Stats!$D:$D,"Total")</f>
        <v>0</v>
      </c>
      <c r="X222" s="323">
        <v>44682.0</v>
      </c>
      <c r="Y222" s="329"/>
      <c r="Z222" s="326"/>
    </row>
    <row r="223" hidden="1">
      <c r="A223" s="327" t="s">
        <v>787</v>
      </c>
      <c r="B223" s="335" t="s">
        <v>1027</v>
      </c>
      <c r="C223" s="184"/>
      <c r="D223" s="193">
        <v>12.0</v>
      </c>
      <c r="E223" s="171">
        <f>SUMIFS(All_Stats!G:G,All_Stats!$A:$A,$B223,All_Stats!$B:$B,"Overall",All_Stats!$D:$D,"Total")</f>
        <v>0</v>
      </c>
      <c r="F223" s="113">
        <f>SUMIFS(All_Stats!H:H,All_Stats!$A:$A,$B223,All_Stats!$B:$B,"Overall",All_Stats!$D:$D,"Total")</f>
        <v>0</v>
      </c>
      <c r="G223" s="171">
        <f>SUMIFS(All_Stats!I:I,All_Stats!$A:$A,$B223,All_Stats!$B:$B,"Overall",All_Stats!$D:$D,"Total")</f>
        <v>0</v>
      </c>
      <c r="H223" s="113">
        <f>SUMIFS(All_Stats!K:K,All_Stats!$A:$A,$B223,All_Stats!$B:$B,"Overall",All_Stats!$D:$D,"Total")</f>
        <v>0</v>
      </c>
      <c r="I223" s="113">
        <f>SUMIFS(All_Stats!J:J,All_Stats!$A:$A,$B223,All_Stats!$B:$B,"Overall",All_Stats!$D:$D,"Total")</f>
        <v>0</v>
      </c>
      <c r="J223" s="113">
        <f t="shared" si="3"/>
        <v>12</v>
      </c>
      <c r="K223" s="249" t="s">
        <v>57</v>
      </c>
      <c r="L223" s="245">
        <v>44376.0</v>
      </c>
      <c r="M223" s="332">
        <v>44406.0</v>
      </c>
      <c r="O223" s="310">
        <f t="shared" si="6"/>
        <v>54.04347826</v>
      </c>
      <c r="P223" s="311">
        <f t="shared" ref="P223:Q223" si="229">F223/D223</f>
        <v>0</v>
      </c>
      <c r="Q223" s="325" t="str">
        <f t="shared" si="229"/>
        <v>#DIV/0!</v>
      </c>
      <c r="R223" s="311">
        <f t="shared" si="8"/>
        <v>0</v>
      </c>
      <c r="S223" s="300" t="str">
        <f t="shared" si="220"/>
        <v>Closed</v>
      </c>
      <c r="T223" s="2" t="s">
        <v>146</v>
      </c>
      <c r="U223" s="162" t="s">
        <v>611</v>
      </c>
      <c r="V223" s="113">
        <f>COUNTIFS('Delivery Tracking'!E:E,B223)</f>
        <v>0</v>
      </c>
      <c r="W223" s="113">
        <f>SUMIFS(All_Stats!N:N,All_Stats!$A:$A,$B223,All_Stats!$B:$B,"Overall",All_Stats!$D:$D,"Total")</f>
        <v>0</v>
      </c>
      <c r="X223" s="323">
        <v>44683.0</v>
      </c>
      <c r="Y223" s="329"/>
      <c r="Z223" s="326"/>
    </row>
    <row r="224" hidden="1">
      <c r="A224" s="330" t="s">
        <v>1025</v>
      </c>
      <c r="B224" s="383" t="s">
        <v>1028</v>
      </c>
      <c r="C224" s="184"/>
      <c r="D224" s="193">
        <v>23.0</v>
      </c>
      <c r="E224" s="171">
        <f>SUMIFS(All_Stats!G:G,All_Stats!$A:$A,$B224,All_Stats!$B:$B,"Overall",All_Stats!$D:$D,"Total")</f>
        <v>0</v>
      </c>
      <c r="F224" s="113">
        <f>SUMIFS(All_Stats!H:H,All_Stats!$A:$A,$B224,All_Stats!$B:$B,"Overall",All_Stats!$D:$D,"Total")</f>
        <v>0</v>
      </c>
      <c r="G224" s="171">
        <f>SUMIFS(All_Stats!I:I,All_Stats!$A:$A,$B224,All_Stats!$B:$B,"Overall",All_Stats!$D:$D,"Total")</f>
        <v>0</v>
      </c>
      <c r="H224" s="113">
        <f>SUMIFS(All_Stats!K:K,All_Stats!$A:$A,$B224,All_Stats!$B:$B,"Overall",All_Stats!$D:$D,"Total")</f>
        <v>0</v>
      </c>
      <c r="I224" s="113">
        <f>SUMIFS(All_Stats!J:J,All_Stats!$A:$A,$B224,All_Stats!$B:$B,"Overall",All_Stats!$D:$D,"Total")</f>
        <v>0</v>
      </c>
      <c r="J224" s="113">
        <f t="shared" si="3"/>
        <v>23</v>
      </c>
      <c r="K224" s="249" t="s">
        <v>57</v>
      </c>
      <c r="L224" s="245">
        <v>44334.0</v>
      </c>
      <c r="M224" s="332">
        <v>44400.0</v>
      </c>
      <c r="O224" s="310">
        <f t="shared" si="6"/>
        <v>25.97959184</v>
      </c>
      <c r="P224" s="311">
        <f t="shared" ref="P224:Q224" si="230">F224/D224</f>
        <v>0</v>
      </c>
      <c r="Q224" s="325" t="str">
        <f t="shared" si="230"/>
        <v>#DIV/0!</v>
      </c>
      <c r="R224" s="311">
        <f t="shared" si="8"/>
        <v>0</v>
      </c>
      <c r="S224" s="300" t="str">
        <f t="shared" si="220"/>
        <v>Closed</v>
      </c>
      <c r="T224" s="2" t="s">
        <v>146</v>
      </c>
      <c r="U224" s="162" t="s">
        <v>611</v>
      </c>
      <c r="V224" s="113">
        <f>COUNTIFS('Delivery Tracking'!E:E,B224)</f>
        <v>0</v>
      </c>
      <c r="W224" s="113">
        <f>SUMIFS(All_Stats!N:N,All_Stats!$A:$A,$B224,All_Stats!$B:$B,"Overall",All_Stats!$D:$D,"Total")</f>
        <v>0</v>
      </c>
      <c r="X224" s="323">
        <v>44684.0</v>
      </c>
      <c r="Y224" s="329"/>
      <c r="Z224" s="326"/>
    </row>
    <row r="225" hidden="1">
      <c r="A225" s="330" t="s">
        <v>769</v>
      </c>
      <c r="B225" s="341" t="s">
        <v>1029</v>
      </c>
      <c r="C225" s="184"/>
      <c r="D225" s="193">
        <v>44.0</v>
      </c>
      <c r="E225" s="171">
        <f>SUMIFS(All_Stats!G:G,All_Stats!$A:$A,$B225,All_Stats!$B:$B,"Overall",All_Stats!$D:$D,"Total")</f>
        <v>0</v>
      </c>
      <c r="F225" s="113">
        <f>SUMIFS(All_Stats!H:H,All_Stats!$A:$A,$B225,All_Stats!$B:$B,"Overall",All_Stats!$D:$D,"Total")</f>
        <v>0</v>
      </c>
      <c r="G225" s="171">
        <f>SUMIFS(All_Stats!I:I,All_Stats!$A:$A,$B225,All_Stats!$B:$B,"Overall",All_Stats!$D:$D,"Total")</f>
        <v>0</v>
      </c>
      <c r="H225" s="113">
        <f>SUMIFS(All_Stats!K:K,All_Stats!$A:$A,$B225,All_Stats!$B:$B,"Overall",All_Stats!$D:$D,"Total")</f>
        <v>0</v>
      </c>
      <c r="I225" s="113">
        <f>SUMIFS(All_Stats!J:J,All_Stats!$A:$A,$B225,All_Stats!$B:$B,"Overall",All_Stats!$D:$D,"Total")</f>
        <v>0</v>
      </c>
      <c r="J225" s="113">
        <f t="shared" si="3"/>
        <v>44</v>
      </c>
      <c r="K225" s="249" t="s">
        <v>57</v>
      </c>
      <c r="L225" s="245">
        <v>44386.0</v>
      </c>
      <c r="M225" s="332">
        <v>44398.0</v>
      </c>
      <c r="O225" s="310">
        <f t="shared" si="6"/>
        <v>137.2222222</v>
      </c>
      <c r="P225" s="311">
        <f t="shared" ref="P225:Q225" si="231">F225/D225</f>
        <v>0</v>
      </c>
      <c r="Q225" s="325" t="str">
        <f t="shared" si="231"/>
        <v>#DIV/0!</v>
      </c>
      <c r="R225" s="311">
        <f t="shared" si="8"/>
        <v>0</v>
      </c>
      <c r="S225" s="300" t="str">
        <f t="shared" si="220"/>
        <v>Closed</v>
      </c>
      <c r="T225" s="2" t="s">
        <v>184</v>
      </c>
      <c r="U225" s="162" t="s">
        <v>611</v>
      </c>
      <c r="V225" s="113">
        <f>COUNTIFS('Delivery Tracking'!E:E,B225)</f>
        <v>0</v>
      </c>
      <c r="W225" s="113">
        <f>SUMIFS(All_Stats!N:N,All_Stats!$A:$A,$B225,All_Stats!$B:$B,"Overall",All_Stats!$D:$D,"Total")</f>
        <v>0</v>
      </c>
      <c r="X225" s="323">
        <v>44685.0</v>
      </c>
      <c r="Y225" s="329"/>
      <c r="Z225" s="326"/>
    </row>
    <row r="226" hidden="1">
      <c r="A226" s="330" t="s">
        <v>769</v>
      </c>
      <c r="B226" s="175" t="s">
        <v>1030</v>
      </c>
      <c r="C226" s="184"/>
      <c r="D226" s="193">
        <v>55.0</v>
      </c>
      <c r="E226" s="171">
        <f>SUMIFS(All_Stats!G:G,All_Stats!$A:$A,$B226,All_Stats!$B:$B,"Overall",All_Stats!$D:$D,"Total")</f>
        <v>0</v>
      </c>
      <c r="F226" s="113">
        <f>SUMIFS(All_Stats!H:H,All_Stats!$A:$A,$B226,All_Stats!$B:$B,"Overall",All_Stats!$D:$D,"Total")</f>
        <v>0</v>
      </c>
      <c r="G226" s="171">
        <f>SUMIFS(All_Stats!I:I,All_Stats!$A:$A,$B226,All_Stats!$B:$B,"Overall",All_Stats!$D:$D,"Total")</f>
        <v>0</v>
      </c>
      <c r="H226" s="113">
        <f>SUMIFS(All_Stats!K:K,All_Stats!$A:$A,$B226,All_Stats!$B:$B,"Overall",All_Stats!$D:$D,"Total")</f>
        <v>0</v>
      </c>
      <c r="I226" s="113">
        <f>SUMIFS(All_Stats!J:J,All_Stats!$A:$A,$B226,All_Stats!$B:$B,"Overall",All_Stats!$D:$D,"Total")</f>
        <v>0</v>
      </c>
      <c r="J226" s="113">
        <f t="shared" si="3"/>
        <v>55</v>
      </c>
      <c r="K226" s="249" t="s">
        <v>57</v>
      </c>
      <c r="L226" s="245">
        <v>44386.0</v>
      </c>
      <c r="M226" s="332">
        <v>44397.0</v>
      </c>
      <c r="O226" s="310">
        <f t="shared" si="6"/>
        <v>154.375</v>
      </c>
      <c r="P226" s="311">
        <f t="shared" ref="P226:Q226" si="232">F226/D226</f>
        <v>0</v>
      </c>
      <c r="Q226" s="325" t="str">
        <f t="shared" si="232"/>
        <v>#DIV/0!</v>
      </c>
      <c r="R226" s="311">
        <f t="shared" si="8"/>
        <v>0</v>
      </c>
      <c r="S226" s="300" t="str">
        <f t="shared" si="220"/>
        <v>Closed</v>
      </c>
      <c r="T226" s="2" t="s">
        <v>184</v>
      </c>
      <c r="U226" s="162" t="s">
        <v>611</v>
      </c>
      <c r="V226" s="113">
        <f>COUNTIFS('Delivery Tracking'!E:E,B226)</f>
        <v>0</v>
      </c>
      <c r="W226" s="113">
        <f>SUMIFS(All_Stats!N:N,All_Stats!$A:$A,$B226,All_Stats!$B:$B,"Overall",All_Stats!$D:$D,"Total")</f>
        <v>0</v>
      </c>
      <c r="X226" s="323">
        <v>44686.0</v>
      </c>
      <c r="Y226" s="329"/>
      <c r="Z226" s="326"/>
    </row>
    <row r="227" hidden="1">
      <c r="A227" s="338" t="s">
        <v>763</v>
      </c>
      <c r="B227" s="396" t="s">
        <v>1031</v>
      </c>
      <c r="C227" s="184"/>
      <c r="D227" s="193">
        <v>244.0</v>
      </c>
      <c r="E227" s="171">
        <f>SUMIFS(All_Stats!G:G,All_Stats!$A:$A,$B227,All_Stats!$B:$B,"Overall",All_Stats!$D:$D,"Total")</f>
        <v>0</v>
      </c>
      <c r="F227" s="113">
        <f>SUMIFS(All_Stats!H:H,All_Stats!$A:$A,$B227,All_Stats!$B:$B,"Overall",All_Stats!$D:$D,"Total")</f>
        <v>0</v>
      </c>
      <c r="G227" s="171">
        <f>SUMIFS(All_Stats!I:I,All_Stats!$A:$A,$B227,All_Stats!$B:$B,"Overall",All_Stats!$D:$D,"Total")</f>
        <v>0</v>
      </c>
      <c r="H227" s="113">
        <f>SUMIFS(All_Stats!K:K,All_Stats!$A:$A,$B227,All_Stats!$B:$B,"Overall",All_Stats!$D:$D,"Total")</f>
        <v>0</v>
      </c>
      <c r="I227" s="113">
        <f>SUMIFS(All_Stats!J:J,All_Stats!$A:$A,$B227,All_Stats!$B:$B,"Overall",All_Stats!$D:$D,"Total")</f>
        <v>0</v>
      </c>
      <c r="J227" s="113">
        <f t="shared" si="3"/>
        <v>244</v>
      </c>
      <c r="K227" s="249" t="s">
        <v>57</v>
      </c>
      <c r="L227" s="356">
        <v>44349.0</v>
      </c>
      <c r="M227" s="377">
        <v>44397.0</v>
      </c>
      <c r="O227" s="310">
        <f t="shared" si="6"/>
        <v>36.05714286</v>
      </c>
      <c r="P227" s="311">
        <f t="shared" ref="P227:Q227" si="233">F227/D227</f>
        <v>0</v>
      </c>
      <c r="Q227" s="325" t="str">
        <f t="shared" si="233"/>
        <v>#DIV/0!</v>
      </c>
      <c r="R227" s="311">
        <f t="shared" si="8"/>
        <v>0</v>
      </c>
      <c r="S227" s="300" t="str">
        <f t="shared" si="220"/>
        <v>Closed</v>
      </c>
      <c r="T227" s="2" t="s">
        <v>146</v>
      </c>
      <c r="U227" s="162" t="s">
        <v>611</v>
      </c>
      <c r="V227" s="113">
        <f>COUNTIFS('Delivery Tracking'!E:E,B227)</f>
        <v>0</v>
      </c>
      <c r="W227" s="113">
        <f>SUMIFS(All_Stats!N:N,All_Stats!$A:$A,$B227,All_Stats!$B:$B,"Overall",All_Stats!$D:$D,"Total")</f>
        <v>0</v>
      </c>
      <c r="X227" s="323">
        <v>44687.0</v>
      </c>
      <c r="Y227" s="329"/>
      <c r="Z227" s="326"/>
    </row>
    <row r="228" hidden="1">
      <c r="A228" s="338" t="s">
        <v>1032</v>
      </c>
      <c r="B228" s="339" t="s">
        <v>1033</v>
      </c>
      <c r="C228" s="184"/>
      <c r="D228" s="193">
        <v>111.0</v>
      </c>
      <c r="E228" s="171">
        <f>SUMIFS(All_Stats!G:G,All_Stats!$A:$A,$B228,All_Stats!$B:$B,"Overall",All_Stats!$D:$D,"Total")</f>
        <v>0</v>
      </c>
      <c r="F228" s="113">
        <f>SUMIFS(All_Stats!H:H,All_Stats!$A:$A,$B228,All_Stats!$B:$B,"Overall",All_Stats!$D:$D,"Total")</f>
        <v>0</v>
      </c>
      <c r="G228" s="171">
        <f>SUMIFS(All_Stats!I:I,All_Stats!$A:$A,$B228,All_Stats!$B:$B,"Overall",All_Stats!$D:$D,"Total")</f>
        <v>0</v>
      </c>
      <c r="H228" s="113">
        <f>SUMIFS(All_Stats!K:K,All_Stats!$A:$A,$B228,All_Stats!$B:$B,"Overall",All_Stats!$D:$D,"Total")</f>
        <v>0</v>
      </c>
      <c r="I228" s="113">
        <f>SUMIFS(All_Stats!J:J,All_Stats!$A:$A,$B228,All_Stats!$B:$B,"Overall",All_Stats!$D:$D,"Total")</f>
        <v>0</v>
      </c>
      <c r="J228" s="113">
        <f t="shared" si="3"/>
        <v>111</v>
      </c>
      <c r="K228" s="249" t="s">
        <v>57</v>
      </c>
      <c r="L228" s="245">
        <v>44313.0</v>
      </c>
      <c r="M228" s="332">
        <v>44397.0</v>
      </c>
      <c r="O228" s="310">
        <f t="shared" si="6"/>
        <v>21.1147541</v>
      </c>
      <c r="P228" s="311">
        <f t="shared" ref="P228:Q228" si="234">F228/D228</f>
        <v>0</v>
      </c>
      <c r="Q228" s="325" t="str">
        <f t="shared" si="234"/>
        <v>#DIV/0!</v>
      </c>
      <c r="R228" s="311">
        <f t="shared" si="8"/>
        <v>0</v>
      </c>
      <c r="S228" s="300" t="str">
        <f t="shared" si="220"/>
        <v>Closed</v>
      </c>
      <c r="T228" s="2" t="s">
        <v>111</v>
      </c>
      <c r="U228" s="162" t="s">
        <v>611</v>
      </c>
      <c r="V228" s="113">
        <f>COUNTIFS('Delivery Tracking'!E:E,B228)</f>
        <v>0</v>
      </c>
      <c r="W228" s="113">
        <f>SUMIFS(All_Stats!N:N,All_Stats!$A:$A,$B228,All_Stats!$B:$B,"Overall",All_Stats!$D:$D,"Total")</f>
        <v>0</v>
      </c>
      <c r="X228" s="323">
        <v>44688.0</v>
      </c>
      <c r="Y228" s="329"/>
      <c r="Z228" s="326"/>
    </row>
    <row r="229" hidden="1">
      <c r="A229" s="330" t="s">
        <v>1034</v>
      </c>
      <c r="B229" s="424" t="s">
        <v>1035</v>
      </c>
      <c r="C229" s="184"/>
      <c r="D229" s="193">
        <v>18.0</v>
      </c>
      <c r="E229" s="171">
        <f>SUMIFS(All_Stats!G:G,All_Stats!$A:$A,$B229,All_Stats!$B:$B,"Overall",All_Stats!$D:$D,"Total")</f>
        <v>0</v>
      </c>
      <c r="F229" s="113">
        <f>SUMIFS(All_Stats!H:H,All_Stats!$A:$A,$B229,All_Stats!$B:$B,"Overall",All_Stats!$D:$D,"Total")</f>
        <v>0</v>
      </c>
      <c r="G229" s="171">
        <f>SUMIFS(All_Stats!I:I,All_Stats!$A:$A,$B229,All_Stats!$B:$B,"Overall",All_Stats!$D:$D,"Total")</f>
        <v>0</v>
      </c>
      <c r="H229" s="113">
        <f>SUMIFS(All_Stats!K:K,All_Stats!$A:$A,$B229,All_Stats!$B:$B,"Overall",All_Stats!$D:$D,"Total")</f>
        <v>0</v>
      </c>
      <c r="I229" s="113">
        <f>SUMIFS(All_Stats!J:J,All_Stats!$A:$A,$B229,All_Stats!$B:$B,"Overall",All_Stats!$D:$D,"Total")</f>
        <v>0</v>
      </c>
      <c r="J229" s="113">
        <f t="shared" si="3"/>
        <v>18</v>
      </c>
      <c r="K229" s="249" t="s">
        <v>57</v>
      </c>
      <c r="L229" s="245">
        <v>44214.0</v>
      </c>
      <c r="M229" s="332">
        <v>44274.0</v>
      </c>
      <c r="O229" s="310">
        <f t="shared" si="6"/>
        <v>30.2</v>
      </c>
      <c r="P229" s="311">
        <f t="shared" ref="P229:Q229" si="235">F229/D229</f>
        <v>0</v>
      </c>
      <c r="Q229" s="325" t="str">
        <f t="shared" si="235"/>
        <v>#DIV/0!</v>
      </c>
      <c r="R229" s="311">
        <f t="shared" si="8"/>
        <v>0</v>
      </c>
      <c r="S229" s="300" t="str">
        <f t="shared" si="220"/>
        <v>Closed</v>
      </c>
      <c r="T229" s="2" t="s">
        <v>111</v>
      </c>
      <c r="U229" s="162" t="s">
        <v>611</v>
      </c>
      <c r="V229" s="113">
        <f>COUNTIFS('Delivery Tracking'!E:E,B229)</f>
        <v>0</v>
      </c>
      <c r="W229" s="113">
        <f>SUMIFS(All_Stats!N:N,All_Stats!$A:$A,$B229,All_Stats!$B:$B,"Overall",All_Stats!$D:$D,"Total")</f>
        <v>0</v>
      </c>
      <c r="X229" s="323">
        <v>44689.0</v>
      </c>
      <c r="Y229" s="329"/>
      <c r="Z229" s="326"/>
    </row>
    <row r="230" hidden="1">
      <c r="A230" s="338" t="s">
        <v>1036</v>
      </c>
      <c r="B230" s="339" t="s">
        <v>1037</v>
      </c>
      <c r="C230" s="184"/>
      <c r="D230" s="193">
        <v>87.0</v>
      </c>
      <c r="E230" s="171">
        <f>SUMIFS(All_Stats!G:G,All_Stats!$A:$A,$B230,All_Stats!$B:$B,"Overall",All_Stats!$D:$D,"Total")</f>
        <v>0</v>
      </c>
      <c r="F230" s="113">
        <f>SUMIFS(All_Stats!H:H,All_Stats!$A:$A,$B230,All_Stats!$B:$B,"Overall",All_Stats!$D:$D,"Total")</f>
        <v>0</v>
      </c>
      <c r="G230" s="171">
        <f>SUMIFS(All_Stats!I:I,All_Stats!$A:$A,$B230,All_Stats!$B:$B,"Overall",All_Stats!$D:$D,"Total")</f>
        <v>0</v>
      </c>
      <c r="H230" s="113">
        <f>SUMIFS(All_Stats!K:K,All_Stats!$A:$A,$B230,All_Stats!$B:$B,"Overall",All_Stats!$D:$D,"Total")</f>
        <v>0</v>
      </c>
      <c r="I230" s="113">
        <f>SUMIFS(All_Stats!J:J,All_Stats!$A:$A,$B230,All_Stats!$B:$B,"Overall",All_Stats!$D:$D,"Total")</f>
        <v>0</v>
      </c>
      <c r="J230" s="113">
        <f t="shared" si="3"/>
        <v>87</v>
      </c>
      <c r="K230" s="249" t="s">
        <v>57</v>
      </c>
      <c r="L230" s="245">
        <v>44302.0</v>
      </c>
      <c r="M230" s="332">
        <v>44348.0</v>
      </c>
      <c r="O230" s="310">
        <f t="shared" si="6"/>
        <v>39.24242424</v>
      </c>
      <c r="P230" s="311">
        <f t="shared" ref="P230:Q230" si="236">F230/D230</f>
        <v>0</v>
      </c>
      <c r="Q230" s="325" t="str">
        <f t="shared" si="236"/>
        <v>#DIV/0!</v>
      </c>
      <c r="R230" s="311">
        <f t="shared" si="8"/>
        <v>0</v>
      </c>
      <c r="S230" s="300" t="str">
        <f t="shared" si="220"/>
        <v>Closed</v>
      </c>
      <c r="T230" s="2" t="s">
        <v>146</v>
      </c>
      <c r="U230" s="162" t="s">
        <v>611</v>
      </c>
      <c r="V230" s="113">
        <f>COUNTIFS('Delivery Tracking'!E:E,B230)</f>
        <v>0</v>
      </c>
      <c r="W230" s="113">
        <f>SUMIFS(All_Stats!N:N,All_Stats!$A:$A,$B230,All_Stats!$B:$B,"Overall",All_Stats!$D:$D,"Total")</f>
        <v>0</v>
      </c>
      <c r="X230" s="323">
        <v>44690.0</v>
      </c>
      <c r="Y230" s="329"/>
      <c r="Z230" s="326"/>
    </row>
    <row r="231" hidden="1">
      <c r="A231" s="330" t="s">
        <v>1038</v>
      </c>
      <c r="B231" s="175" t="s">
        <v>1039</v>
      </c>
      <c r="C231" s="184"/>
      <c r="D231" s="193">
        <v>50.0</v>
      </c>
      <c r="E231" s="171">
        <f>SUMIFS(All_Stats!G:G,All_Stats!$A:$A,$B231,All_Stats!$B:$B,"Overall",All_Stats!$D:$D,"Total")</f>
        <v>0</v>
      </c>
      <c r="F231" s="113">
        <f>SUMIFS(All_Stats!H:H,All_Stats!$A:$A,$B231,All_Stats!$B:$B,"Overall",All_Stats!$D:$D,"Total")</f>
        <v>0</v>
      </c>
      <c r="G231" s="171">
        <f>SUMIFS(All_Stats!I:I,All_Stats!$A:$A,$B231,All_Stats!$B:$B,"Overall",All_Stats!$D:$D,"Total")</f>
        <v>0</v>
      </c>
      <c r="H231" s="113">
        <f>SUMIFS(All_Stats!K:K,All_Stats!$A:$A,$B231,All_Stats!$B:$B,"Overall",All_Stats!$D:$D,"Total")</f>
        <v>0</v>
      </c>
      <c r="I231" s="113">
        <f>SUMIFS(All_Stats!J:J,All_Stats!$A:$A,$B231,All_Stats!$B:$B,"Overall",All_Stats!$D:$D,"Total")</f>
        <v>0</v>
      </c>
      <c r="J231" s="113">
        <f t="shared" si="3"/>
        <v>50</v>
      </c>
      <c r="K231" s="249" t="s">
        <v>57</v>
      </c>
      <c r="L231" s="245">
        <v>44322.0</v>
      </c>
      <c r="M231" s="245">
        <v>44391.0</v>
      </c>
      <c r="N231" s="2" t="s">
        <v>1040</v>
      </c>
      <c r="O231" s="310">
        <f t="shared" si="6"/>
        <v>25.62</v>
      </c>
      <c r="P231" s="311">
        <f t="shared" ref="P231:Q231" si="237">F231/D231</f>
        <v>0</v>
      </c>
      <c r="Q231" s="325" t="str">
        <f t="shared" si="237"/>
        <v>#DIV/0!</v>
      </c>
      <c r="R231" s="311">
        <f t="shared" si="8"/>
        <v>0</v>
      </c>
      <c r="S231" s="300" t="str">
        <f t="shared" si="220"/>
        <v>Closed</v>
      </c>
      <c r="T231" s="2" t="s">
        <v>166</v>
      </c>
      <c r="U231" s="162" t="s">
        <v>611</v>
      </c>
      <c r="V231" s="113">
        <f>COUNTIFS('Delivery Tracking'!E:E,B231)</f>
        <v>0</v>
      </c>
      <c r="W231" s="113">
        <f>SUMIFS(All_Stats!N:N,All_Stats!$A:$A,$B231,All_Stats!$B:$B,"Overall",All_Stats!$D:$D,"Total")</f>
        <v>0</v>
      </c>
      <c r="X231" s="323">
        <v>44691.0</v>
      </c>
      <c r="Y231" s="329"/>
      <c r="Z231" s="326"/>
    </row>
    <row r="232" hidden="1">
      <c r="A232" s="334" t="s">
        <v>769</v>
      </c>
      <c r="B232" s="335" t="s">
        <v>1041</v>
      </c>
      <c r="C232" s="184"/>
      <c r="D232" s="193">
        <v>55.0</v>
      </c>
      <c r="E232" s="171">
        <f>SUMIFS(All_Stats!G:G,All_Stats!$A:$A,$B232,All_Stats!$B:$B,"Overall",All_Stats!$D:$D,"Total")</f>
        <v>0</v>
      </c>
      <c r="F232" s="113">
        <f>SUMIFS(All_Stats!H:H,All_Stats!$A:$A,$B232,All_Stats!$B:$B,"Overall",All_Stats!$D:$D,"Total")</f>
        <v>0</v>
      </c>
      <c r="G232" s="171">
        <f>SUMIFS(All_Stats!I:I,All_Stats!$A:$A,$B232,All_Stats!$B:$B,"Overall",All_Stats!$D:$D,"Total")</f>
        <v>0</v>
      </c>
      <c r="H232" s="113">
        <f>SUMIFS(All_Stats!K:K,All_Stats!$A:$A,$B232,All_Stats!$B:$B,"Overall",All_Stats!$D:$D,"Total")</f>
        <v>0</v>
      </c>
      <c r="I232" s="113">
        <f>SUMIFS(All_Stats!J:J,All_Stats!$A:$A,$B232,All_Stats!$B:$B,"Overall",All_Stats!$D:$D,"Total")</f>
        <v>0</v>
      </c>
      <c r="J232" s="113">
        <f t="shared" si="3"/>
        <v>55</v>
      </c>
      <c r="K232" s="249" t="s">
        <v>57</v>
      </c>
      <c r="L232" s="323">
        <v>44386.0</v>
      </c>
      <c r="M232" s="245">
        <v>44390.0</v>
      </c>
      <c r="O232" s="310">
        <f t="shared" si="6"/>
        <v>411.6666667</v>
      </c>
      <c r="P232" s="311">
        <f t="shared" ref="P232:Q232" si="238">F232/D232</f>
        <v>0</v>
      </c>
      <c r="Q232" s="325" t="str">
        <f t="shared" si="238"/>
        <v>#DIV/0!</v>
      </c>
      <c r="R232" s="311">
        <f t="shared" si="8"/>
        <v>0</v>
      </c>
      <c r="S232" s="300" t="str">
        <f t="shared" si="220"/>
        <v>Closed</v>
      </c>
      <c r="T232" s="2" t="s">
        <v>184</v>
      </c>
      <c r="U232" s="162" t="s">
        <v>611</v>
      </c>
      <c r="V232" s="113">
        <f>COUNTIFS('Delivery Tracking'!E:E,B232)</f>
        <v>0</v>
      </c>
      <c r="W232" s="113">
        <f>SUMIFS(All_Stats!N:N,All_Stats!$A:$A,$B232,All_Stats!$B:$B,"Overall",All_Stats!$D:$D,"Total")</f>
        <v>0</v>
      </c>
      <c r="X232" s="323">
        <v>44692.0</v>
      </c>
      <c r="Y232" s="329"/>
      <c r="Z232" s="326"/>
    </row>
    <row r="233" hidden="1">
      <c r="A233" s="327" t="s">
        <v>769</v>
      </c>
      <c r="B233" s="328" t="s">
        <v>1042</v>
      </c>
      <c r="C233" s="184"/>
      <c r="D233" s="193">
        <v>32.0</v>
      </c>
      <c r="E233" s="171">
        <f>SUMIFS(All_Stats!G:G,All_Stats!$A:$A,$B233,All_Stats!$B:$B,"Overall",All_Stats!$D:$D,"Total")</f>
        <v>0</v>
      </c>
      <c r="F233" s="113">
        <f>SUMIFS(All_Stats!H:H,All_Stats!$A:$A,$B233,All_Stats!$B:$B,"Overall",All_Stats!$D:$D,"Total")</f>
        <v>0</v>
      </c>
      <c r="G233" s="171">
        <f>SUMIFS(All_Stats!I:I,All_Stats!$A:$A,$B233,All_Stats!$B:$B,"Overall",All_Stats!$D:$D,"Total")</f>
        <v>0</v>
      </c>
      <c r="H233" s="113">
        <f>SUMIFS(All_Stats!K:K,All_Stats!$A:$A,$B233,All_Stats!$B:$B,"Overall",All_Stats!$D:$D,"Total")</f>
        <v>0</v>
      </c>
      <c r="I233" s="113">
        <f>SUMIFS(All_Stats!J:J,All_Stats!$A:$A,$B233,All_Stats!$B:$B,"Overall",All_Stats!$D:$D,"Total")</f>
        <v>0</v>
      </c>
      <c r="J233" s="113">
        <f t="shared" si="3"/>
        <v>32</v>
      </c>
      <c r="K233" s="249" t="s">
        <v>57</v>
      </c>
      <c r="L233" s="245">
        <v>44386.0</v>
      </c>
      <c r="M233" s="245">
        <v>44390.0</v>
      </c>
      <c r="O233" s="310">
        <f t="shared" si="6"/>
        <v>411.6666667</v>
      </c>
      <c r="P233" s="311">
        <f t="shared" ref="P233:Q233" si="239">F233/D233</f>
        <v>0</v>
      </c>
      <c r="Q233" s="325" t="str">
        <f t="shared" si="239"/>
        <v>#DIV/0!</v>
      </c>
      <c r="R233" s="311">
        <f t="shared" si="8"/>
        <v>0</v>
      </c>
      <c r="S233" s="300" t="str">
        <f t="shared" si="220"/>
        <v>Closed</v>
      </c>
      <c r="T233" s="2" t="s">
        <v>184</v>
      </c>
      <c r="U233" s="162" t="s">
        <v>611</v>
      </c>
      <c r="V233" s="113">
        <f>COUNTIFS('Delivery Tracking'!E:E,B233)</f>
        <v>0</v>
      </c>
      <c r="W233" s="113">
        <f>SUMIFS(All_Stats!N:N,All_Stats!$A:$A,$B233,All_Stats!$B:$B,"Overall",All_Stats!$D:$D,"Total")</f>
        <v>0</v>
      </c>
      <c r="X233" s="323">
        <v>44693.0</v>
      </c>
      <c r="Y233" s="329"/>
      <c r="Z233" s="326"/>
    </row>
    <row r="234" hidden="1">
      <c r="A234" s="327" t="s">
        <v>769</v>
      </c>
      <c r="B234" s="341" t="s">
        <v>1043</v>
      </c>
      <c r="C234" s="184"/>
      <c r="D234" s="193">
        <v>60.0</v>
      </c>
      <c r="E234" s="171">
        <f>SUMIFS(All_Stats!G:G,All_Stats!$A:$A,$B234,All_Stats!$B:$B,"Overall",All_Stats!$D:$D,"Total")</f>
        <v>0</v>
      </c>
      <c r="F234" s="113">
        <f>SUMIFS(All_Stats!H:H,All_Stats!$A:$A,$B234,All_Stats!$B:$B,"Overall",All_Stats!$D:$D,"Total")</f>
        <v>0</v>
      </c>
      <c r="G234" s="171">
        <f>SUMIFS(All_Stats!I:I,All_Stats!$A:$A,$B234,All_Stats!$B:$B,"Overall",All_Stats!$D:$D,"Total")</f>
        <v>0</v>
      </c>
      <c r="H234" s="113">
        <f>SUMIFS(All_Stats!K:K,All_Stats!$A:$A,$B234,All_Stats!$B:$B,"Overall",All_Stats!$D:$D,"Total")</f>
        <v>0</v>
      </c>
      <c r="I234" s="113">
        <f>SUMIFS(All_Stats!J:J,All_Stats!$A:$A,$B234,All_Stats!$B:$B,"Overall",All_Stats!$D:$D,"Total")</f>
        <v>0</v>
      </c>
      <c r="J234" s="113">
        <f t="shared" si="3"/>
        <v>60</v>
      </c>
      <c r="K234" s="249" t="s">
        <v>57</v>
      </c>
      <c r="L234" s="425">
        <v>44378.0</v>
      </c>
      <c r="M234" s="245">
        <v>44390.0</v>
      </c>
      <c r="O234" s="310">
        <f t="shared" si="6"/>
        <v>137.8888889</v>
      </c>
      <c r="P234" s="311">
        <f t="shared" ref="P234:Q234" si="240">F234/D234</f>
        <v>0</v>
      </c>
      <c r="Q234" s="325" t="str">
        <f t="shared" si="240"/>
        <v>#DIV/0!</v>
      </c>
      <c r="R234" s="311">
        <f t="shared" si="8"/>
        <v>0</v>
      </c>
      <c r="S234" s="300" t="str">
        <f t="shared" si="220"/>
        <v>Closed</v>
      </c>
      <c r="T234" s="2" t="s">
        <v>184</v>
      </c>
      <c r="U234" s="162" t="s">
        <v>611</v>
      </c>
      <c r="V234" s="113">
        <f>COUNTIFS('Delivery Tracking'!E:E,B234)</f>
        <v>0</v>
      </c>
      <c r="W234" s="113">
        <f>SUMIFS(All_Stats!N:N,All_Stats!$A:$A,$B234,All_Stats!$B:$B,"Overall",All_Stats!$D:$D,"Total")</f>
        <v>0</v>
      </c>
      <c r="X234" s="323">
        <v>44694.0</v>
      </c>
      <c r="Y234" s="329"/>
      <c r="Z234" s="326"/>
    </row>
    <row r="235" hidden="1">
      <c r="A235" s="330" t="s">
        <v>1044</v>
      </c>
      <c r="B235" s="426" t="s">
        <v>1045</v>
      </c>
      <c r="C235" s="297"/>
      <c r="D235" s="193">
        <v>60.0</v>
      </c>
      <c r="E235" s="171">
        <f>SUMIFS(All_Stats!G:G,All_Stats!$A:$A,$B235,All_Stats!$B:$B,"Overall",All_Stats!$D:$D,"Total")</f>
        <v>0</v>
      </c>
      <c r="F235" s="113">
        <f>SUMIFS(All_Stats!H:H,All_Stats!$A:$A,$B235,All_Stats!$B:$B,"Overall",All_Stats!$D:$D,"Total")</f>
        <v>0</v>
      </c>
      <c r="G235" s="171">
        <f>SUMIFS(All_Stats!I:I,All_Stats!$A:$A,$B235,All_Stats!$B:$B,"Overall",All_Stats!$D:$D,"Total")</f>
        <v>0</v>
      </c>
      <c r="H235" s="113">
        <f>SUMIFS(All_Stats!K:K,All_Stats!$A:$A,$B235,All_Stats!$B:$B,"Overall",All_Stats!$D:$D,"Total")</f>
        <v>0</v>
      </c>
      <c r="I235" s="113">
        <f>SUMIFS(All_Stats!J:J,All_Stats!$A:$A,$B235,All_Stats!$B:$B,"Overall",All_Stats!$D:$D,"Total")</f>
        <v>0</v>
      </c>
      <c r="J235" s="113">
        <f t="shared" si="3"/>
        <v>60</v>
      </c>
      <c r="K235" s="249" t="s">
        <v>57</v>
      </c>
      <c r="L235" s="245">
        <v>44288.0</v>
      </c>
      <c r="M235" s="245">
        <v>44358.0</v>
      </c>
      <c r="O235" s="310">
        <f t="shared" si="6"/>
        <v>25.58823529</v>
      </c>
      <c r="P235" s="311">
        <f t="shared" ref="P235:Q235" si="241">F235/D235</f>
        <v>0</v>
      </c>
      <c r="Q235" s="325" t="str">
        <f t="shared" si="241"/>
        <v>#DIV/0!</v>
      </c>
      <c r="R235" s="311">
        <f t="shared" si="8"/>
        <v>0</v>
      </c>
      <c r="S235" s="300" t="str">
        <f t="shared" si="220"/>
        <v>Closed</v>
      </c>
      <c r="T235" s="2" t="s">
        <v>111</v>
      </c>
      <c r="U235" s="162" t="s">
        <v>611</v>
      </c>
      <c r="V235" s="113">
        <f>COUNTIFS('Delivery Tracking'!E:E,B235)</f>
        <v>0</v>
      </c>
      <c r="W235" s="113">
        <f>SUMIFS(All_Stats!N:N,All_Stats!$A:$A,$B235,All_Stats!$B:$B,"Overall",All_Stats!$D:$D,"Total")</f>
        <v>0</v>
      </c>
      <c r="X235" s="323">
        <v>44695.0</v>
      </c>
      <c r="Y235" s="329"/>
      <c r="Z235" s="326"/>
    </row>
    <row r="236" hidden="1">
      <c r="A236" s="330" t="s">
        <v>1046</v>
      </c>
      <c r="B236" s="426" t="s">
        <v>1047</v>
      </c>
      <c r="C236" s="297"/>
      <c r="D236" s="193">
        <v>80.0</v>
      </c>
      <c r="E236" s="171">
        <f>SUMIFS(All_Stats!G:G,All_Stats!$A:$A,$B236,All_Stats!$B:$B,"Overall",All_Stats!$D:$D,"Total")</f>
        <v>0</v>
      </c>
      <c r="F236" s="113">
        <f>SUMIFS(All_Stats!H:H,All_Stats!$A:$A,$B236,All_Stats!$B:$B,"Overall",All_Stats!$D:$D,"Total")</f>
        <v>0</v>
      </c>
      <c r="G236" s="171">
        <f>SUMIFS(All_Stats!I:I,All_Stats!$A:$A,$B236,All_Stats!$B:$B,"Overall",All_Stats!$D:$D,"Total")</f>
        <v>0</v>
      </c>
      <c r="H236" s="113">
        <f>SUMIFS(All_Stats!K:K,All_Stats!$A:$A,$B236,All_Stats!$B:$B,"Overall",All_Stats!$D:$D,"Total")</f>
        <v>0</v>
      </c>
      <c r="I236" s="113">
        <f>SUMIFS(All_Stats!J:J,All_Stats!$A:$A,$B236,All_Stats!$B:$B,"Overall",All_Stats!$D:$D,"Total")</f>
        <v>0</v>
      </c>
      <c r="J236" s="113">
        <f t="shared" si="3"/>
        <v>80</v>
      </c>
      <c r="K236" s="249" t="s">
        <v>57</v>
      </c>
      <c r="L236" s="245">
        <v>44281.0</v>
      </c>
      <c r="M236" s="245">
        <v>44392.0</v>
      </c>
      <c r="O236" s="310">
        <f t="shared" si="6"/>
        <v>16.375</v>
      </c>
      <c r="P236" s="311">
        <f t="shared" ref="P236:Q236" si="242">F236/D236</f>
        <v>0</v>
      </c>
      <c r="Q236" s="325" t="str">
        <f t="shared" si="242"/>
        <v>#DIV/0!</v>
      </c>
      <c r="R236" s="311">
        <f t="shared" si="8"/>
        <v>0</v>
      </c>
      <c r="S236" s="300" t="str">
        <f t="shared" si="220"/>
        <v>Closed</v>
      </c>
      <c r="T236" s="2" t="s">
        <v>166</v>
      </c>
      <c r="U236" s="162" t="s">
        <v>611</v>
      </c>
      <c r="V236" s="113">
        <f>COUNTIFS('Delivery Tracking'!E:E,B236)</f>
        <v>0</v>
      </c>
      <c r="W236" s="113">
        <f>SUMIFS(All_Stats!N:N,All_Stats!$A:$A,$B236,All_Stats!$B:$B,"Overall",All_Stats!$D:$D,"Total")</f>
        <v>0</v>
      </c>
      <c r="X236" s="323">
        <v>44696.0</v>
      </c>
      <c r="Y236" s="329"/>
      <c r="Z236" s="326"/>
    </row>
    <row r="237" hidden="1">
      <c r="A237" s="338" t="s">
        <v>1048</v>
      </c>
      <c r="B237" s="427" t="s">
        <v>1049</v>
      </c>
      <c r="C237" s="184"/>
      <c r="D237" s="193">
        <v>150.0</v>
      </c>
      <c r="E237" s="171">
        <f>SUMIFS(All_Stats!G:G,All_Stats!$A:$A,$B237,All_Stats!$B:$B,"Overall",All_Stats!$D:$D,"Total")</f>
        <v>0</v>
      </c>
      <c r="F237" s="113">
        <f>SUMIFS(All_Stats!H:H,All_Stats!$A:$A,$B237,All_Stats!$B:$B,"Overall",All_Stats!$D:$D,"Total")</f>
        <v>0</v>
      </c>
      <c r="G237" s="171">
        <f>SUMIFS(All_Stats!I:I,All_Stats!$A:$A,$B237,All_Stats!$B:$B,"Overall",All_Stats!$D:$D,"Total")</f>
        <v>0</v>
      </c>
      <c r="H237" s="113">
        <f>SUMIFS(All_Stats!K:K,All_Stats!$A:$A,$B237,All_Stats!$B:$B,"Overall",All_Stats!$D:$D,"Total")</f>
        <v>0</v>
      </c>
      <c r="I237" s="113">
        <f>SUMIFS(All_Stats!J:J,All_Stats!$A:$A,$B237,All_Stats!$B:$B,"Overall",All_Stats!$D:$D,"Total")</f>
        <v>0</v>
      </c>
      <c r="J237" s="113">
        <f t="shared" si="3"/>
        <v>150</v>
      </c>
      <c r="K237" s="249" t="s">
        <v>57</v>
      </c>
      <c r="L237" s="356">
        <v>44361.0</v>
      </c>
      <c r="M237" s="382">
        <v>44392.0</v>
      </c>
      <c r="O237" s="310">
        <f t="shared" si="6"/>
        <v>52.25</v>
      </c>
      <c r="P237" s="311">
        <f t="shared" ref="P237:Q237" si="243">F237/D237</f>
        <v>0</v>
      </c>
      <c r="Q237" s="325" t="str">
        <f t="shared" si="243"/>
        <v>#DIV/0!</v>
      </c>
      <c r="R237" s="311">
        <f t="shared" si="8"/>
        <v>0</v>
      </c>
      <c r="S237" s="300" t="str">
        <f t="shared" si="220"/>
        <v>Closed</v>
      </c>
      <c r="T237" s="2" t="s">
        <v>153</v>
      </c>
      <c r="U237" s="162" t="s">
        <v>611</v>
      </c>
      <c r="V237" s="113">
        <f>COUNTIFS('Delivery Tracking'!E:E,B237)</f>
        <v>0</v>
      </c>
      <c r="W237" s="113">
        <f>SUMIFS(All_Stats!N:N,All_Stats!$A:$A,$B237,All_Stats!$B:$B,"Overall",All_Stats!$D:$D,"Total")</f>
        <v>0</v>
      </c>
      <c r="X237" s="323">
        <v>44697.0</v>
      </c>
      <c r="Y237" s="329"/>
      <c r="Z237" s="326"/>
    </row>
    <row r="238" hidden="1">
      <c r="A238" s="346" t="s">
        <v>1050</v>
      </c>
      <c r="B238" s="347" t="s">
        <v>1051</v>
      </c>
      <c r="C238" s="428"/>
      <c r="D238" s="193">
        <v>20.0</v>
      </c>
      <c r="E238" s="171">
        <f>SUMIFS(All_Stats!G:G,All_Stats!$A:$A,$B238,All_Stats!$B:$B,"Overall",All_Stats!$D:$D,"Total")</f>
        <v>0</v>
      </c>
      <c r="F238" s="113">
        <f>SUMIFS(All_Stats!H:H,All_Stats!$A:$A,$B238,All_Stats!$B:$B,"Overall",All_Stats!$D:$D,"Total")</f>
        <v>0</v>
      </c>
      <c r="G238" s="171">
        <f>SUMIFS(All_Stats!I:I,All_Stats!$A:$A,$B238,All_Stats!$B:$B,"Overall",All_Stats!$D:$D,"Total")</f>
        <v>0</v>
      </c>
      <c r="H238" s="113">
        <f>SUMIFS(All_Stats!K:K,All_Stats!$A:$A,$B238,All_Stats!$B:$B,"Overall",All_Stats!$D:$D,"Total")</f>
        <v>0</v>
      </c>
      <c r="I238" s="113">
        <f>SUMIFS(All_Stats!J:J,All_Stats!$A:$A,$B238,All_Stats!$B:$B,"Overall",All_Stats!$D:$D,"Total")</f>
        <v>0</v>
      </c>
      <c r="J238" s="113">
        <f t="shared" si="3"/>
        <v>20</v>
      </c>
      <c r="K238" s="249" t="s">
        <v>57</v>
      </c>
      <c r="L238" s="245">
        <v>44158.0</v>
      </c>
      <c r="M238" s="332">
        <v>44368.0</v>
      </c>
      <c r="N238" s="429"/>
      <c r="O238" s="310">
        <f t="shared" si="6"/>
        <v>9.264900662</v>
      </c>
      <c r="P238" s="311">
        <f t="shared" ref="P238:Q238" si="244">F238/D238</f>
        <v>0</v>
      </c>
      <c r="Q238" s="325" t="str">
        <f t="shared" si="244"/>
        <v>#DIV/0!</v>
      </c>
      <c r="R238" s="311">
        <f t="shared" si="8"/>
        <v>0</v>
      </c>
      <c r="S238" s="300" t="str">
        <f t="shared" si="220"/>
        <v>Closed</v>
      </c>
      <c r="T238" s="2" t="s">
        <v>21</v>
      </c>
      <c r="U238" s="162" t="s">
        <v>611</v>
      </c>
      <c r="V238" s="113">
        <f>COUNTIFS('Delivery Tracking'!E:E,B238)</f>
        <v>0</v>
      </c>
      <c r="W238" s="113">
        <f>SUMIFS(All_Stats!N:N,All_Stats!$A:$A,$B238,All_Stats!$B:$B,"Overall",All_Stats!$D:$D,"Total")</f>
        <v>0</v>
      </c>
      <c r="X238" s="323">
        <v>44698.0</v>
      </c>
      <c r="Y238" s="329"/>
      <c r="Z238" s="326"/>
    </row>
    <row r="239" hidden="1">
      <c r="A239" s="338" t="s">
        <v>763</v>
      </c>
      <c r="B239" s="396" t="s">
        <v>1052</v>
      </c>
      <c r="C239" s="184"/>
      <c r="D239" s="193">
        <v>43.0</v>
      </c>
      <c r="E239" s="171">
        <f>SUMIFS(All_Stats!G:G,All_Stats!$A:$A,$B239,All_Stats!$B:$B,"Overall",All_Stats!$D:$D,"Total")</f>
        <v>0</v>
      </c>
      <c r="F239" s="113">
        <f>SUMIFS(All_Stats!H:H,All_Stats!$A:$A,$B239,All_Stats!$B:$B,"Overall",All_Stats!$D:$D,"Total")</f>
        <v>0</v>
      </c>
      <c r="G239" s="171">
        <f>SUMIFS(All_Stats!I:I,All_Stats!$A:$A,$B239,All_Stats!$B:$B,"Overall",All_Stats!$D:$D,"Total")</f>
        <v>0</v>
      </c>
      <c r="H239" s="113">
        <f>SUMIFS(All_Stats!K:K,All_Stats!$A:$A,$B239,All_Stats!$B:$B,"Overall",All_Stats!$D:$D,"Total")</f>
        <v>0</v>
      </c>
      <c r="I239" s="113">
        <f>SUMIFS(All_Stats!J:J,All_Stats!$A:$A,$B239,All_Stats!$B:$B,"Overall",All_Stats!$D:$D,"Total")</f>
        <v>0</v>
      </c>
      <c r="J239" s="113">
        <f t="shared" si="3"/>
        <v>43</v>
      </c>
      <c r="K239" s="249" t="s">
        <v>57</v>
      </c>
      <c r="L239" s="356">
        <v>44349.0</v>
      </c>
      <c r="M239" s="377">
        <v>44386.0</v>
      </c>
      <c r="O239" s="310">
        <f t="shared" si="6"/>
        <v>45.07142857</v>
      </c>
      <c r="P239" s="311">
        <f t="shared" ref="P239:Q239" si="245">F239/D239</f>
        <v>0</v>
      </c>
      <c r="Q239" s="325" t="str">
        <f t="shared" si="245"/>
        <v>#DIV/0!</v>
      </c>
      <c r="R239" s="311">
        <f t="shared" si="8"/>
        <v>0</v>
      </c>
      <c r="S239" s="300" t="str">
        <f t="shared" si="220"/>
        <v>Closed</v>
      </c>
      <c r="T239" s="2" t="s">
        <v>293</v>
      </c>
      <c r="U239" s="162" t="s">
        <v>611</v>
      </c>
      <c r="V239" s="113">
        <f>COUNTIFS('Delivery Tracking'!E:E,B239)</f>
        <v>0</v>
      </c>
      <c r="W239" s="113">
        <f>SUMIFS(All_Stats!N:N,All_Stats!$A:$A,$B239,All_Stats!$B:$B,"Overall",All_Stats!$D:$D,"Total")</f>
        <v>0</v>
      </c>
      <c r="X239" s="323">
        <v>44699.0</v>
      </c>
      <c r="Y239" s="329"/>
      <c r="Z239" s="326"/>
    </row>
    <row r="240" hidden="1">
      <c r="A240" s="430" t="s">
        <v>1053</v>
      </c>
      <c r="B240" s="426" t="s">
        <v>1054</v>
      </c>
      <c r="C240" s="297"/>
      <c r="D240" s="193">
        <v>282.0</v>
      </c>
      <c r="E240" s="171">
        <f>SUMIFS(All_Stats!G:G,All_Stats!$A:$A,$B240,All_Stats!$B:$B,"Overall",All_Stats!$D:$D,"Total")</f>
        <v>0</v>
      </c>
      <c r="F240" s="113">
        <f>SUMIFS(All_Stats!H:H,All_Stats!$A:$A,$B240,All_Stats!$B:$B,"Overall",All_Stats!$D:$D,"Total")</f>
        <v>0</v>
      </c>
      <c r="G240" s="171">
        <f>SUMIFS(All_Stats!I:I,All_Stats!$A:$A,$B240,All_Stats!$B:$B,"Overall",All_Stats!$D:$D,"Total")</f>
        <v>0</v>
      </c>
      <c r="H240" s="113">
        <f>SUMIFS(All_Stats!K:K,All_Stats!$A:$A,$B240,All_Stats!$B:$B,"Overall",All_Stats!$D:$D,"Total")</f>
        <v>0</v>
      </c>
      <c r="I240" s="113">
        <f>SUMIFS(All_Stats!J:J,All_Stats!$A:$A,$B240,All_Stats!$B:$B,"Overall",All_Stats!$D:$D,"Total")</f>
        <v>0</v>
      </c>
      <c r="J240" s="113">
        <f t="shared" si="3"/>
        <v>282</v>
      </c>
      <c r="K240" s="249" t="s">
        <v>57</v>
      </c>
      <c r="L240" s="245">
        <v>44284.0</v>
      </c>
      <c r="M240" s="332">
        <v>44344.0</v>
      </c>
      <c r="O240" s="310">
        <f t="shared" si="6"/>
        <v>29.08888889</v>
      </c>
      <c r="P240" s="311">
        <f t="shared" ref="P240:Q240" si="246">F240/D240</f>
        <v>0</v>
      </c>
      <c r="Q240" s="325" t="str">
        <f t="shared" si="246"/>
        <v>#DIV/0!</v>
      </c>
      <c r="R240" s="311">
        <f t="shared" si="8"/>
        <v>0</v>
      </c>
      <c r="S240" s="300" t="str">
        <f t="shared" si="220"/>
        <v>Closed</v>
      </c>
      <c r="T240" s="2" t="s">
        <v>111</v>
      </c>
      <c r="U240" s="162" t="s">
        <v>611</v>
      </c>
      <c r="V240" s="113">
        <f>COUNTIFS('Delivery Tracking'!E:E,B240)</f>
        <v>0</v>
      </c>
      <c r="W240" s="113">
        <f>SUMIFS(All_Stats!N:N,All_Stats!$A:$A,$B240,All_Stats!$B:$B,"Overall",All_Stats!$D:$D,"Total")</f>
        <v>0</v>
      </c>
      <c r="X240" s="323">
        <v>44700.0</v>
      </c>
      <c r="Y240" s="329"/>
      <c r="Z240" s="326"/>
    </row>
    <row r="241" hidden="1">
      <c r="A241" s="340" t="s">
        <v>1055</v>
      </c>
      <c r="B241" s="341" t="s">
        <v>1056</v>
      </c>
      <c r="C241" s="184"/>
      <c r="D241" s="193">
        <v>20.0</v>
      </c>
      <c r="E241" s="171">
        <f>SUMIFS(All_Stats!G:G,All_Stats!$A:$A,$B241,All_Stats!$B:$B,"Overall",All_Stats!$D:$D,"Total")</f>
        <v>0</v>
      </c>
      <c r="F241" s="113">
        <f>SUMIFS(All_Stats!H:H,All_Stats!$A:$A,$B241,All_Stats!$B:$B,"Overall",All_Stats!$D:$D,"Total")</f>
        <v>0</v>
      </c>
      <c r="G241" s="171">
        <f>SUMIFS(All_Stats!I:I,All_Stats!$A:$A,$B241,All_Stats!$B:$B,"Overall",All_Stats!$D:$D,"Total")</f>
        <v>0</v>
      </c>
      <c r="H241" s="113">
        <f>SUMIFS(All_Stats!K:K,All_Stats!$A:$A,$B241,All_Stats!$B:$B,"Overall",All_Stats!$D:$D,"Total")</f>
        <v>0</v>
      </c>
      <c r="I241" s="113">
        <f>SUMIFS(All_Stats!J:J,All_Stats!$A:$A,$B241,All_Stats!$B:$B,"Overall",All_Stats!$D:$D,"Total")</f>
        <v>0</v>
      </c>
      <c r="J241" s="113">
        <f t="shared" si="3"/>
        <v>20</v>
      </c>
      <c r="K241" s="249" t="s">
        <v>57</v>
      </c>
      <c r="L241" s="425">
        <v>44378.0</v>
      </c>
      <c r="M241" s="377">
        <v>44383.0</v>
      </c>
      <c r="O241" s="310">
        <f t="shared" si="6"/>
        <v>310.25</v>
      </c>
      <c r="P241" s="311">
        <f t="shared" ref="P241:Q241" si="247">F241/D241</f>
        <v>0</v>
      </c>
      <c r="Q241" s="325" t="str">
        <f t="shared" si="247"/>
        <v>#DIV/0!</v>
      </c>
      <c r="R241" s="311">
        <f t="shared" si="8"/>
        <v>0</v>
      </c>
      <c r="S241" s="300" t="str">
        <f t="shared" si="220"/>
        <v>Closed</v>
      </c>
      <c r="T241" s="2" t="s">
        <v>184</v>
      </c>
      <c r="U241" s="162" t="s">
        <v>611</v>
      </c>
      <c r="V241" s="113">
        <f>COUNTIFS('Delivery Tracking'!E:E,B241)</f>
        <v>0</v>
      </c>
      <c r="W241" s="113">
        <f>SUMIFS(All_Stats!N:N,All_Stats!$A:$A,$B241,All_Stats!$B:$B,"Overall",All_Stats!$D:$D,"Total")</f>
        <v>0</v>
      </c>
      <c r="X241" s="323">
        <v>44701.0</v>
      </c>
      <c r="Y241" s="329"/>
      <c r="Z241" s="326"/>
    </row>
    <row r="242" hidden="1">
      <c r="A242" s="338" t="s">
        <v>959</v>
      </c>
      <c r="B242" s="396" t="s">
        <v>1057</v>
      </c>
      <c r="C242" s="184"/>
      <c r="D242" s="193">
        <v>10.0</v>
      </c>
      <c r="E242" s="171">
        <f>SUMIFS(All_Stats!G:G,All_Stats!$A:$A,$B242,All_Stats!$B:$B,"Overall",All_Stats!$D:$D,"Total")</f>
        <v>0</v>
      </c>
      <c r="F242" s="113">
        <f>SUMIFS(All_Stats!H:H,All_Stats!$A:$A,$B242,All_Stats!$B:$B,"Overall",All_Stats!$D:$D,"Total")</f>
        <v>0</v>
      </c>
      <c r="G242" s="171">
        <f>SUMIFS(All_Stats!I:I,All_Stats!$A:$A,$B242,All_Stats!$B:$B,"Overall",All_Stats!$D:$D,"Total")</f>
        <v>0</v>
      </c>
      <c r="H242" s="113">
        <f>SUMIFS(All_Stats!K:K,All_Stats!$A:$A,$B242,All_Stats!$B:$B,"Overall",All_Stats!$D:$D,"Total")</f>
        <v>0</v>
      </c>
      <c r="I242" s="113">
        <f>SUMIFS(All_Stats!J:J,All_Stats!$A:$A,$B242,All_Stats!$B:$B,"Overall",All_Stats!$D:$D,"Total")</f>
        <v>0</v>
      </c>
      <c r="J242" s="113">
        <f t="shared" si="3"/>
        <v>10</v>
      </c>
      <c r="K242" s="249" t="s">
        <v>57</v>
      </c>
      <c r="L242" s="356">
        <v>44349.0</v>
      </c>
      <c r="M242" s="382">
        <v>44384.0</v>
      </c>
      <c r="O242" s="310">
        <f t="shared" si="6"/>
        <v>48.53846154</v>
      </c>
      <c r="P242" s="311">
        <f t="shared" ref="P242:Q242" si="248">F242/D242</f>
        <v>0</v>
      </c>
      <c r="Q242" s="325" t="str">
        <f t="shared" si="248"/>
        <v>#DIV/0!</v>
      </c>
      <c r="R242" s="311">
        <f t="shared" si="8"/>
        <v>0</v>
      </c>
      <c r="S242" s="300" t="str">
        <f t="shared" si="220"/>
        <v>Closed</v>
      </c>
      <c r="T242" s="2" t="s">
        <v>293</v>
      </c>
      <c r="U242" s="162" t="s">
        <v>611</v>
      </c>
      <c r="V242" s="113">
        <f>COUNTIFS('Delivery Tracking'!E:E,B242)</f>
        <v>0</v>
      </c>
      <c r="W242" s="113">
        <f>SUMIFS(All_Stats!N:N,All_Stats!$A:$A,$B242,All_Stats!$B:$B,"Overall",All_Stats!$D:$D,"Total")</f>
        <v>0</v>
      </c>
      <c r="X242" s="323">
        <v>44702.0</v>
      </c>
      <c r="Y242" s="329"/>
      <c r="Z242" s="326"/>
    </row>
    <row r="243" hidden="1">
      <c r="A243" s="330" t="s">
        <v>810</v>
      </c>
      <c r="B243" s="175" t="s">
        <v>1058</v>
      </c>
      <c r="C243" s="184"/>
      <c r="D243" s="193">
        <v>417.0</v>
      </c>
      <c r="E243" s="171">
        <f>SUMIFS(All_Stats!G:G,All_Stats!$A:$A,$B243,All_Stats!$B:$B,"Overall",All_Stats!$D:$D,"Total")</f>
        <v>0</v>
      </c>
      <c r="F243" s="113">
        <f>SUMIFS(All_Stats!H:H,All_Stats!$A:$A,$B243,All_Stats!$B:$B,"Overall",All_Stats!$D:$D,"Total")</f>
        <v>0</v>
      </c>
      <c r="G243" s="171">
        <f>SUMIFS(All_Stats!I:I,All_Stats!$A:$A,$B243,All_Stats!$B:$B,"Overall",All_Stats!$D:$D,"Total")</f>
        <v>0</v>
      </c>
      <c r="H243" s="113">
        <f>SUMIFS(All_Stats!K:K,All_Stats!$A:$A,$B243,All_Stats!$B:$B,"Overall",All_Stats!$D:$D,"Total")</f>
        <v>0</v>
      </c>
      <c r="I243" s="113">
        <f>SUMIFS(All_Stats!J:J,All_Stats!$A:$A,$B243,All_Stats!$B:$B,"Overall",All_Stats!$D:$D,"Total")</f>
        <v>0</v>
      </c>
      <c r="J243" s="113">
        <f t="shared" si="3"/>
        <v>417</v>
      </c>
      <c r="K243" s="249" t="s">
        <v>57</v>
      </c>
      <c r="L243" s="245">
        <v>44326.0</v>
      </c>
      <c r="M243" s="245">
        <v>44362.0</v>
      </c>
      <c r="O243" s="310">
        <f t="shared" si="6"/>
        <v>47.37037037</v>
      </c>
      <c r="P243" s="311">
        <f t="shared" ref="P243:Q243" si="249">F243/D243</f>
        <v>0</v>
      </c>
      <c r="Q243" s="325" t="str">
        <f t="shared" si="249"/>
        <v>#DIV/0!</v>
      </c>
      <c r="R243" s="311">
        <f t="shared" si="8"/>
        <v>0</v>
      </c>
      <c r="S243" s="300" t="str">
        <f t="shared" si="220"/>
        <v>Closed</v>
      </c>
      <c r="T243" s="2" t="s">
        <v>67</v>
      </c>
      <c r="U243" s="162" t="s">
        <v>611</v>
      </c>
      <c r="V243" s="113">
        <f>COUNTIFS('Delivery Tracking'!E:E,B243)</f>
        <v>0</v>
      </c>
      <c r="W243" s="113">
        <f>SUMIFS(All_Stats!N:N,All_Stats!$A:$A,$B243,All_Stats!$B:$B,"Overall",All_Stats!$D:$D,"Total")</f>
        <v>0</v>
      </c>
      <c r="X243" s="323">
        <v>44703.0</v>
      </c>
      <c r="Y243" s="329"/>
      <c r="Z243" s="326"/>
    </row>
    <row r="244" hidden="1">
      <c r="A244" s="330" t="s">
        <v>1025</v>
      </c>
      <c r="B244" s="175" t="s">
        <v>1059</v>
      </c>
      <c r="C244" s="184"/>
      <c r="D244" s="193">
        <v>50.0</v>
      </c>
      <c r="E244" s="171">
        <f>SUMIFS(All_Stats!G:G,All_Stats!$A:$A,$B244,All_Stats!$B:$B,"Overall",All_Stats!$D:$D,"Total")</f>
        <v>0</v>
      </c>
      <c r="F244" s="113">
        <f>SUMIFS(All_Stats!H:H,All_Stats!$A:$A,$B244,All_Stats!$B:$B,"Overall",All_Stats!$D:$D,"Total")</f>
        <v>0</v>
      </c>
      <c r="G244" s="171">
        <f>SUMIFS(All_Stats!I:I,All_Stats!$A:$A,$B244,All_Stats!$B:$B,"Overall",All_Stats!$D:$D,"Total")</f>
        <v>0</v>
      </c>
      <c r="H244" s="113">
        <f>SUMIFS(All_Stats!K:K,All_Stats!$A:$A,$B244,All_Stats!$B:$B,"Overall",All_Stats!$D:$D,"Total")</f>
        <v>0</v>
      </c>
      <c r="I244" s="113">
        <f>SUMIFS(All_Stats!J:J,All_Stats!$A:$A,$B244,All_Stats!$B:$B,"Overall",All_Stats!$D:$D,"Total")</f>
        <v>0</v>
      </c>
      <c r="J244" s="113">
        <f t="shared" si="3"/>
        <v>50</v>
      </c>
      <c r="K244" s="249" t="s">
        <v>57</v>
      </c>
      <c r="L244" s="245">
        <v>44334.0</v>
      </c>
      <c r="M244" s="245">
        <v>44386.0</v>
      </c>
      <c r="N244" s="2" t="s">
        <v>1060</v>
      </c>
      <c r="O244" s="310">
        <f t="shared" si="6"/>
        <v>32.64102564</v>
      </c>
      <c r="P244" s="311">
        <f t="shared" ref="P244:Q244" si="250">F244/D244</f>
        <v>0</v>
      </c>
      <c r="Q244" s="325" t="str">
        <f t="shared" si="250"/>
        <v>#DIV/0!</v>
      </c>
      <c r="R244" s="311">
        <f t="shared" si="8"/>
        <v>0</v>
      </c>
      <c r="S244" s="300" t="str">
        <f t="shared" si="220"/>
        <v>Closed</v>
      </c>
      <c r="T244" s="2" t="s">
        <v>111</v>
      </c>
      <c r="U244" s="162" t="s">
        <v>611</v>
      </c>
      <c r="V244" s="113">
        <f>COUNTIFS('Delivery Tracking'!E:E,B244)</f>
        <v>0</v>
      </c>
      <c r="W244" s="113">
        <f>SUMIFS(All_Stats!N:N,All_Stats!$A:$A,$B244,All_Stats!$B:$B,"Overall",All_Stats!$D:$D,"Total")</f>
        <v>0</v>
      </c>
      <c r="X244" s="323">
        <v>44704.0</v>
      </c>
      <c r="Y244" s="329"/>
      <c r="Z244" s="326"/>
    </row>
    <row r="245" hidden="1">
      <c r="A245" s="330" t="s">
        <v>1061</v>
      </c>
      <c r="B245" s="175" t="s">
        <v>1062</v>
      </c>
      <c r="C245" s="348"/>
      <c r="D245" s="193">
        <v>50.0</v>
      </c>
      <c r="E245" s="171">
        <f>SUMIFS(All_Stats!G:G,All_Stats!$A:$A,$B245,All_Stats!$B:$B,"Overall",All_Stats!$D:$D,"Total")</f>
        <v>0</v>
      </c>
      <c r="F245" s="113">
        <f>SUMIFS(All_Stats!H:H,All_Stats!$A:$A,$B245,All_Stats!$B:$B,"Overall",All_Stats!$D:$D,"Total")</f>
        <v>0</v>
      </c>
      <c r="G245" s="171">
        <f>SUMIFS(All_Stats!I:I,All_Stats!$A:$A,$B245,All_Stats!$B:$B,"Overall",All_Stats!$D:$D,"Total")</f>
        <v>0</v>
      </c>
      <c r="H245" s="113">
        <f>SUMIFS(All_Stats!K:K,All_Stats!$A:$A,$B245,All_Stats!$B:$B,"Overall",All_Stats!$D:$D,"Total")</f>
        <v>0</v>
      </c>
      <c r="I245" s="113">
        <f>SUMIFS(All_Stats!J:J,All_Stats!$A:$A,$B245,All_Stats!$B:$B,"Overall",All_Stats!$D:$D,"Total")</f>
        <v>0</v>
      </c>
      <c r="J245" s="113">
        <f t="shared" si="3"/>
        <v>50</v>
      </c>
      <c r="K245" s="249" t="s">
        <v>57</v>
      </c>
      <c r="L245" s="299">
        <v>44333.0</v>
      </c>
      <c r="M245" s="245">
        <v>44378.0</v>
      </c>
      <c r="O245" s="310">
        <f t="shared" si="6"/>
        <v>37.47058824</v>
      </c>
      <c r="P245" s="311">
        <f t="shared" ref="P245:Q245" si="251">F245/D245</f>
        <v>0</v>
      </c>
      <c r="Q245" s="325" t="str">
        <f t="shared" si="251"/>
        <v>#DIV/0!</v>
      </c>
      <c r="R245" s="311">
        <f t="shared" si="8"/>
        <v>0</v>
      </c>
      <c r="S245" s="300" t="str">
        <f t="shared" si="220"/>
        <v>Closed</v>
      </c>
      <c r="T245" s="2" t="s">
        <v>146</v>
      </c>
      <c r="U245" s="162" t="s">
        <v>611</v>
      </c>
      <c r="V245" s="113">
        <f>COUNTIFS('Delivery Tracking'!E:E,B245)</f>
        <v>0</v>
      </c>
      <c r="W245" s="113">
        <f>SUMIFS(All_Stats!N:N,All_Stats!$A:$A,$B245,All_Stats!$B:$B,"Overall",All_Stats!$D:$D,"Total")</f>
        <v>0</v>
      </c>
      <c r="X245" s="323">
        <v>44705.0</v>
      </c>
      <c r="Y245" s="329"/>
      <c r="Z245" s="326"/>
    </row>
    <row r="246" hidden="1">
      <c r="A246" s="338" t="s">
        <v>714</v>
      </c>
      <c r="B246" s="396" t="s">
        <v>1063</v>
      </c>
      <c r="C246" s="184"/>
      <c r="D246" s="193">
        <v>45.0</v>
      </c>
      <c r="E246" s="171">
        <f>SUMIFS(All_Stats!G:G,All_Stats!$A:$A,$B246,All_Stats!$B:$B,"Overall",All_Stats!$D:$D,"Total")</f>
        <v>0</v>
      </c>
      <c r="F246" s="113">
        <f>SUMIFS(All_Stats!H:H,All_Stats!$A:$A,$B246,All_Stats!$B:$B,"Overall",All_Stats!$D:$D,"Total")</f>
        <v>0</v>
      </c>
      <c r="G246" s="171">
        <f>SUMIFS(All_Stats!I:I,All_Stats!$A:$A,$B246,All_Stats!$B:$B,"Overall",All_Stats!$D:$D,"Total")</f>
        <v>0</v>
      </c>
      <c r="H246" s="113">
        <f>SUMIFS(All_Stats!K:K,All_Stats!$A:$A,$B246,All_Stats!$B:$B,"Overall",All_Stats!$D:$D,"Total")</f>
        <v>0</v>
      </c>
      <c r="I246" s="113">
        <f>SUMIFS(All_Stats!J:J,All_Stats!$A:$A,$B246,All_Stats!$B:$B,"Overall",All_Stats!$D:$D,"Total")</f>
        <v>0</v>
      </c>
      <c r="J246" s="113">
        <f t="shared" si="3"/>
        <v>45</v>
      </c>
      <c r="K246" s="249" t="s">
        <v>57</v>
      </c>
      <c r="L246" s="356">
        <v>44349.0</v>
      </c>
      <c r="M246" s="382">
        <v>44389.0</v>
      </c>
      <c r="N246" s="11" t="s">
        <v>1064</v>
      </c>
      <c r="O246" s="310">
        <f t="shared" si="6"/>
        <v>43.51724138</v>
      </c>
      <c r="P246" s="311">
        <f t="shared" ref="P246:Q246" si="252">F246/D246</f>
        <v>0</v>
      </c>
      <c r="Q246" s="325" t="str">
        <f t="shared" si="252"/>
        <v>#DIV/0!</v>
      </c>
      <c r="R246" s="311">
        <f t="shared" si="8"/>
        <v>0</v>
      </c>
      <c r="S246" s="300" t="str">
        <f t="shared" si="220"/>
        <v>Closed</v>
      </c>
      <c r="T246" s="2" t="s">
        <v>80</v>
      </c>
      <c r="U246" s="162" t="s">
        <v>611</v>
      </c>
      <c r="V246" s="113">
        <f>COUNTIFS('Delivery Tracking'!E:E,B246)</f>
        <v>0</v>
      </c>
      <c r="W246" s="113">
        <f>SUMIFS(All_Stats!N:N,All_Stats!$A:$A,$B246,All_Stats!$B:$B,"Overall",All_Stats!$D:$D,"Total")</f>
        <v>0</v>
      </c>
      <c r="X246" s="323">
        <v>44706.0</v>
      </c>
      <c r="Y246" s="329"/>
      <c r="Z246" s="326"/>
    </row>
    <row r="247" hidden="1">
      <c r="A247" s="334" t="s">
        <v>1065</v>
      </c>
      <c r="B247" s="335" t="s">
        <v>1066</v>
      </c>
      <c r="C247" s="184"/>
      <c r="D247" s="193">
        <v>55.0</v>
      </c>
      <c r="E247" s="171">
        <f>SUMIFS(All_Stats!G:G,All_Stats!$A:$A,$B247,All_Stats!$B:$B,"Overall",All_Stats!$D:$D,"Total")</f>
        <v>0</v>
      </c>
      <c r="F247" s="113">
        <f>SUMIFS(All_Stats!H:H,All_Stats!$A:$A,$B247,All_Stats!$B:$B,"Overall",All_Stats!$D:$D,"Total")</f>
        <v>0</v>
      </c>
      <c r="G247" s="171">
        <f>SUMIFS(All_Stats!I:I,All_Stats!$A:$A,$B247,All_Stats!$B:$B,"Overall",All_Stats!$D:$D,"Total")</f>
        <v>0</v>
      </c>
      <c r="H247" s="113">
        <f>SUMIFS(All_Stats!K:K,All_Stats!$A:$A,$B247,All_Stats!$B:$B,"Overall",All_Stats!$D:$D,"Total")</f>
        <v>0</v>
      </c>
      <c r="I247" s="113">
        <f>SUMIFS(All_Stats!J:J,All_Stats!$A:$A,$B247,All_Stats!$B:$B,"Overall",All_Stats!$D:$D,"Total")</f>
        <v>0</v>
      </c>
      <c r="J247" s="113">
        <f t="shared" si="3"/>
        <v>55</v>
      </c>
      <c r="K247" s="249" t="s">
        <v>57</v>
      </c>
      <c r="L247" s="323">
        <v>44365.0</v>
      </c>
      <c r="M247" s="245">
        <v>44379.0</v>
      </c>
      <c r="O247" s="310">
        <f t="shared" si="6"/>
        <v>113.6363636</v>
      </c>
      <c r="P247" s="311">
        <f t="shared" ref="P247:Q247" si="253">F247/D247</f>
        <v>0</v>
      </c>
      <c r="Q247" s="325" t="str">
        <f t="shared" si="253"/>
        <v>#DIV/0!</v>
      </c>
      <c r="R247" s="311">
        <f t="shared" si="8"/>
        <v>0</v>
      </c>
      <c r="S247" s="300" t="str">
        <f t="shared" si="220"/>
        <v>Closed</v>
      </c>
      <c r="T247" s="2" t="s">
        <v>80</v>
      </c>
      <c r="U247" s="162" t="s">
        <v>611</v>
      </c>
      <c r="V247" s="113">
        <f>COUNTIFS('Delivery Tracking'!E:E,B247)</f>
        <v>0</v>
      </c>
      <c r="W247" s="113">
        <f>SUMIFS(All_Stats!N:N,All_Stats!$A:$A,$B247,All_Stats!$B:$B,"Overall",All_Stats!$D:$D,"Total")</f>
        <v>0</v>
      </c>
      <c r="X247" s="323">
        <v>44707.0</v>
      </c>
      <c r="Y247" s="329"/>
      <c r="Z247" s="326"/>
    </row>
    <row r="248" hidden="1">
      <c r="A248" s="338" t="s">
        <v>1067</v>
      </c>
      <c r="B248" s="396" t="s">
        <v>1068</v>
      </c>
      <c r="C248" s="184"/>
      <c r="D248" s="193">
        <v>115.0</v>
      </c>
      <c r="E248" s="171">
        <f>SUMIFS(All_Stats!G:G,All_Stats!$A:$A,$B248,All_Stats!$B:$B,"Overall",All_Stats!$D:$D,"Total")</f>
        <v>0</v>
      </c>
      <c r="F248" s="113">
        <f>SUMIFS(All_Stats!H:H,All_Stats!$A:$A,$B248,All_Stats!$B:$B,"Overall",All_Stats!$D:$D,"Total")</f>
        <v>0</v>
      </c>
      <c r="G248" s="171">
        <f>SUMIFS(All_Stats!I:I,All_Stats!$A:$A,$B248,All_Stats!$B:$B,"Overall",All_Stats!$D:$D,"Total")</f>
        <v>0</v>
      </c>
      <c r="H248" s="113">
        <f>SUMIFS(All_Stats!K:K,All_Stats!$A:$A,$B248,All_Stats!$B:$B,"Overall",All_Stats!$D:$D,"Total")</f>
        <v>0</v>
      </c>
      <c r="I248" s="113">
        <f>SUMIFS(All_Stats!J:J,All_Stats!$A:$A,$B248,All_Stats!$B:$B,"Overall",All_Stats!$D:$D,"Total")</f>
        <v>0</v>
      </c>
      <c r="J248" s="113">
        <f t="shared" si="3"/>
        <v>115</v>
      </c>
      <c r="K248" s="249" t="s">
        <v>57</v>
      </c>
      <c r="L248" s="245">
        <v>44356.0</v>
      </c>
      <c r="M248" s="245">
        <v>44377.0</v>
      </c>
      <c r="O248" s="310">
        <f t="shared" si="6"/>
        <v>78.5625</v>
      </c>
      <c r="P248" s="311">
        <f t="shared" ref="P248:Q248" si="254">F248/D248</f>
        <v>0</v>
      </c>
      <c r="Q248" s="325" t="str">
        <f t="shared" si="254"/>
        <v>#DIV/0!</v>
      </c>
      <c r="R248" s="311">
        <f t="shared" si="8"/>
        <v>0</v>
      </c>
      <c r="S248" s="300" t="str">
        <f t="shared" si="220"/>
        <v>Closed</v>
      </c>
      <c r="T248" s="2" t="s">
        <v>111</v>
      </c>
      <c r="U248" s="162" t="s">
        <v>611</v>
      </c>
      <c r="V248" s="113">
        <f>COUNTIFS('Delivery Tracking'!E:E,B248)</f>
        <v>0</v>
      </c>
      <c r="W248" s="113">
        <f>SUMIFS(All_Stats!N:N,All_Stats!$A:$A,$B248,All_Stats!$B:$B,"Overall",All_Stats!$D:$D,"Total")</f>
        <v>0</v>
      </c>
      <c r="X248" s="323">
        <v>44708.0</v>
      </c>
      <c r="Y248" s="329"/>
      <c r="Z248" s="326"/>
    </row>
    <row r="249" hidden="1">
      <c r="A249" s="338" t="s">
        <v>1067</v>
      </c>
      <c r="B249" s="396" t="s">
        <v>1069</v>
      </c>
      <c r="C249" s="184"/>
      <c r="D249" s="193">
        <v>115.0</v>
      </c>
      <c r="E249" s="171">
        <f>SUMIFS(All_Stats!G:G,All_Stats!$A:$A,$B249,All_Stats!$B:$B,"Overall",All_Stats!$D:$D,"Total")</f>
        <v>0</v>
      </c>
      <c r="F249" s="113">
        <f>SUMIFS(All_Stats!H:H,All_Stats!$A:$A,$B249,All_Stats!$B:$B,"Overall",All_Stats!$D:$D,"Total")</f>
        <v>0</v>
      </c>
      <c r="G249" s="171">
        <f>SUMIFS(All_Stats!I:I,All_Stats!$A:$A,$B249,All_Stats!$B:$B,"Overall",All_Stats!$D:$D,"Total")</f>
        <v>0</v>
      </c>
      <c r="H249" s="113">
        <f>SUMIFS(All_Stats!K:K,All_Stats!$A:$A,$B249,All_Stats!$B:$B,"Overall",All_Stats!$D:$D,"Total")</f>
        <v>0</v>
      </c>
      <c r="I249" s="113">
        <f>SUMIFS(All_Stats!J:J,All_Stats!$A:$A,$B249,All_Stats!$B:$B,"Overall",All_Stats!$D:$D,"Total")</f>
        <v>0</v>
      </c>
      <c r="J249" s="113">
        <f t="shared" si="3"/>
        <v>115</v>
      </c>
      <c r="K249" s="249" t="s">
        <v>57</v>
      </c>
      <c r="L249" s="245">
        <v>44356.0</v>
      </c>
      <c r="M249" s="245">
        <v>44377.0</v>
      </c>
      <c r="N249" s="2" t="s">
        <v>1070</v>
      </c>
      <c r="O249" s="310">
        <f t="shared" si="6"/>
        <v>78.5625</v>
      </c>
      <c r="P249" s="311">
        <f t="shared" ref="P249:Q249" si="255">F249/D249</f>
        <v>0</v>
      </c>
      <c r="Q249" s="325" t="str">
        <f t="shared" si="255"/>
        <v>#DIV/0!</v>
      </c>
      <c r="R249" s="311">
        <f t="shared" si="8"/>
        <v>0</v>
      </c>
      <c r="S249" s="300" t="str">
        <f t="shared" si="220"/>
        <v>Closed</v>
      </c>
      <c r="T249" s="2" t="s">
        <v>111</v>
      </c>
      <c r="U249" s="162" t="s">
        <v>611</v>
      </c>
      <c r="V249" s="113">
        <f>COUNTIFS('Delivery Tracking'!E:E,B249)</f>
        <v>0</v>
      </c>
      <c r="W249" s="113">
        <f>SUMIFS(All_Stats!N:N,All_Stats!$A:$A,$B249,All_Stats!$B:$B,"Overall",All_Stats!$D:$D,"Total")</f>
        <v>0</v>
      </c>
      <c r="X249" s="323">
        <v>44709.0</v>
      </c>
      <c r="Y249" s="329"/>
      <c r="Z249" s="326"/>
    </row>
    <row r="250" hidden="1">
      <c r="A250" s="431" t="s">
        <v>1071</v>
      </c>
      <c r="B250" s="420" t="s">
        <v>1072</v>
      </c>
      <c r="C250" s="184"/>
      <c r="D250" s="193">
        <v>13.0</v>
      </c>
      <c r="E250" s="171">
        <f>SUMIFS(All_Stats!G:G,All_Stats!$A:$A,$B250,All_Stats!$B:$B,"Overall",All_Stats!$D:$D,"Total")</f>
        <v>0</v>
      </c>
      <c r="F250" s="113">
        <f>SUMIFS(All_Stats!H:H,All_Stats!$A:$A,$B250,All_Stats!$B:$B,"Overall",All_Stats!$D:$D,"Total")</f>
        <v>0</v>
      </c>
      <c r="G250" s="171">
        <f>SUMIFS(All_Stats!I:I,All_Stats!$A:$A,$B250,All_Stats!$B:$B,"Overall",All_Stats!$D:$D,"Total")</f>
        <v>0</v>
      </c>
      <c r="H250" s="113">
        <f>SUMIFS(All_Stats!K:K,All_Stats!$A:$A,$B250,All_Stats!$B:$B,"Overall",All_Stats!$D:$D,"Total")</f>
        <v>0</v>
      </c>
      <c r="I250" s="113">
        <f>SUMIFS(All_Stats!J:J,All_Stats!$A:$A,$B250,All_Stats!$B:$B,"Overall",All_Stats!$D:$D,"Total")</f>
        <v>0</v>
      </c>
      <c r="J250" s="113">
        <f t="shared" si="3"/>
        <v>13</v>
      </c>
      <c r="K250" s="249" t="s">
        <v>57</v>
      </c>
      <c r="L250" s="382">
        <v>44371.0</v>
      </c>
      <c r="M250" s="245">
        <v>44376.0</v>
      </c>
      <c r="O250" s="310">
        <f t="shared" si="6"/>
        <v>311.5</v>
      </c>
      <c r="P250" s="311">
        <f t="shared" ref="P250:Q250" si="256">F250/D250</f>
        <v>0</v>
      </c>
      <c r="Q250" s="325" t="str">
        <f t="shared" si="256"/>
        <v>#DIV/0!</v>
      </c>
      <c r="R250" s="311">
        <f t="shared" si="8"/>
        <v>0</v>
      </c>
      <c r="S250" s="300" t="str">
        <f t="shared" si="220"/>
        <v>Closed</v>
      </c>
      <c r="T250" s="2" t="s">
        <v>166</v>
      </c>
      <c r="U250" s="162" t="s">
        <v>611</v>
      </c>
      <c r="V250" s="113">
        <f>COUNTIFS('Delivery Tracking'!E:E,B250)</f>
        <v>0</v>
      </c>
      <c r="W250" s="113">
        <f>SUMIFS(All_Stats!N:N,All_Stats!$A:$A,$B250,All_Stats!$B:$B,"Overall",All_Stats!$D:$D,"Total")</f>
        <v>0</v>
      </c>
      <c r="X250" s="323">
        <v>44710.0</v>
      </c>
      <c r="Y250" s="329"/>
      <c r="Z250" s="326"/>
    </row>
    <row r="251" hidden="1">
      <c r="A251" s="327" t="s">
        <v>810</v>
      </c>
      <c r="B251" s="328" t="s">
        <v>1073</v>
      </c>
      <c r="C251" s="184"/>
      <c r="D251" s="193">
        <v>400.0</v>
      </c>
      <c r="E251" s="171">
        <f>SUMIFS(All_Stats!G:G,All_Stats!$A:$A,$B251,All_Stats!$B:$B,"Overall",All_Stats!$D:$D,"Total")</f>
        <v>0</v>
      </c>
      <c r="F251" s="113">
        <f>SUMIFS(All_Stats!H:H,All_Stats!$A:$A,$B251,All_Stats!$B:$B,"Overall",All_Stats!$D:$D,"Total")</f>
        <v>0</v>
      </c>
      <c r="G251" s="171">
        <f>SUMIFS(All_Stats!I:I,All_Stats!$A:$A,$B251,All_Stats!$B:$B,"Overall",All_Stats!$D:$D,"Total")</f>
        <v>0</v>
      </c>
      <c r="H251" s="113">
        <f>SUMIFS(All_Stats!K:K,All_Stats!$A:$A,$B251,All_Stats!$B:$B,"Overall",All_Stats!$D:$D,"Total")</f>
        <v>0</v>
      </c>
      <c r="I251" s="113">
        <f>SUMIFS(All_Stats!J:J,All_Stats!$A:$A,$B251,All_Stats!$B:$B,"Overall",All_Stats!$D:$D,"Total")</f>
        <v>0</v>
      </c>
      <c r="J251" s="113">
        <f t="shared" si="3"/>
        <v>400</v>
      </c>
      <c r="K251" s="249" t="s">
        <v>57</v>
      </c>
      <c r="L251" s="245">
        <v>44334.0</v>
      </c>
      <c r="M251" s="245">
        <v>44372.0</v>
      </c>
      <c r="O251" s="310">
        <f t="shared" si="6"/>
        <v>43.89655172</v>
      </c>
      <c r="P251" s="311">
        <f t="shared" ref="P251:Q251" si="257">F251/D251</f>
        <v>0</v>
      </c>
      <c r="Q251" s="325" t="str">
        <f t="shared" si="257"/>
        <v>#DIV/0!</v>
      </c>
      <c r="R251" s="311">
        <f t="shared" si="8"/>
        <v>0</v>
      </c>
      <c r="S251" s="300" t="str">
        <f t="shared" si="220"/>
        <v>Closed</v>
      </c>
      <c r="T251" s="2" t="s">
        <v>67</v>
      </c>
      <c r="U251" s="162" t="s">
        <v>611</v>
      </c>
      <c r="V251" s="113">
        <f>COUNTIFS('Delivery Tracking'!E:E,B251)</f>
        <v>0</v>
      </c>
      <c r="W251" s="113">
        <f>SUMIFS(All_Stats!N:N,All_Stats!$A:$A,$B251,All_Stats!$B:$B,"Overall",All_Stats!$D:$D,"Total")</f>
        <v>0</v>
      </c>
      <c r="X251" s="323">
        <v>44711.0</v>
      </c>
      <c r="Y251" s="329"/>
      <c r="Z251" s="326"/>
    </row>
    <row r="252" hidden="1">
      <c r="A252" s="334" t="s">
        <v>1074</v>
      </c>
      <c r="B252" s="335" t="s">
        <v>1075</v>
      </c>
      <c r="C252" s="184"/>
      <c r="D252" s="193">
        <v>12.0</v>
      </c>
      <c r="E252" s="171">
        <f>SUMIFS(All_Stats!G:G,All_Stats!$A:$A,$B252,All_Stats!$B:$B,"Overall",All_Stats!$D:$D,"Total")</f>
        <v>0</v>
      </c>
      <c r="F252" s="113">
        <f>SUMIFS(All_Stats!H:H,All_Stats!$A:$A,$B252,All_Stats!$B:$B,"Overall",All_Stats!$D:$D,"Total")</f>
        <v>0</v>
      </c>
      <c r="G252" s="171">
        <f>SUMIFS(All_Stats!I:I,All_Stats!$A:$A,$B252,All_Stats!$B:$B,"Overall",All_Stats!$D:$D,"Total")</f>
        <v>0</v>
      </c>
      <c r="H252" s="113">
        <f>SUMIFS(All_Stats!K:K,All_Stats!$A:$A,$B252,All_Stats!$B:$B,"Overall",All_Stats!$D:$D,"Total")</f>
        <v>0</v>
      </c>
      <c r="I252" s="113">
        <f>SUMIFS(All_Stats!J:J,All_Stats!$A:$A,$B252,All_Stats!$B:$B,"Overall",All_Stats!$D:$D,"Total")</f>
        <v>0</v>
      </c>
      <c r="J252" s="113">
        <f t="shared" si="3"/>
        <v>12</v>
      </c>
      <c r="K252" s="249" t="s">
        <v>57</v>
      </c>
      <c r="L252" s="245">
        <v>44327.0</v>
      </c>
      <c r="M252" s="332">
        <v>44375.0</v>
      </c>
      <c r="O252" s="310">
        <f t="shared" si="6"/>
        <v>36.51428571</v>
      </c>
      <c r="P252" s="311">
        <f t="shared" ref="P252:Q252" si="258">F252/D252</f>
        <v>0</v>
      </c>
      <c r="Q252" s="325" t="str">
        <f t="shared" si="258"/>
        <v>#DIV/0!</v>
      </c>
      <c r="R252" s="311">
        <f t="shared" si="8"/>
        <v>0</v>
      </c>
      <c r="S252" s="300" t="str">
        <f t="shared" si="220"/>
        <v>Closed</v>
      </c>
      <c r="T252" s="2" t="s">
        <v>153</v>
      </c>
      <c r="U252" s="162" t="s">
        <v>611</v>
      </c>
      <c r="V252" s="113">
        <f>COUNTIFS('Delivery Tracking'!E:E,B252)</f>
        <v>0</v>
      </c>
      <c r="W252" s="113">
        <f>SUMIFS(All_Stats!N:N,All_Stats!$A:$A,$B252,All_Stats!$B:$B,"Overall",All_Stats!$D:$D,"Total")</f>
        <v>0</v>
      </c>
      <c r="X252" s="323">
        <v>44712.0</v>
      </c>
      <c r="Y252" s="329"/>
      <c r="Z252" s="326"/>
    </row>
    <row r="253" hidden="1">
      <c r="A253" s="338" t="s">
        <v>970</v>
      </c>
      <c r="B253" s="415" t="s">
        <v>1076</v>
      </c>
      <c r="C253" s="184"/>
      <c r="D253" s="193">
        <v>25.0</v>
      </c>
      <c r="E253" s="171">
        <f>SUMIFS(All_Stats!G:G,All_Stats!$A:$A,$B253,All_Stats!$B:$B,"Overall",All_Stats!$D:$D,"Total")</f>
        <v>0</v>
      </c>
      <c r="F253" s="113">
        <f>SUMIFS(All_Stats!H:H,All_Stats!$A:$A,$B253,All_Stats!$B:$B,"Overall",All_Stats!$D:$D,"Total")</f>
        <v>0</v>
      </c>
      <c r="G253" s="171">
        <f>SUMIFS(All_Stats!I:I,All_Stats!$A:$A,$B253,All_Stats!$B:$B,"Overall",All_Stats!$D:$D,"Total")</f>
        <v>0</v>
      </c>
      <c r="H253" s="113">
        <f>SUMIFS(All_Stats!K:K,All_Stats!$A:$A,$B253,All_Stats!$B:$B,"Overall",All_Stats!$D:$D,"Total")</f>
        <v>0</v>
      </c>
      <c r="I253" s="113">
        <f>SUMIFS(All_Stats!J:J,All_Stats!$A:$A,$B253,All_Stats!$B:$B,"Overall",All_Stats!$D:$D,"Total")</f>
        <v>0</v>
      </c>
      <c r="J253" s="113">
        <f t="shared" si="3"/>
        <v>25</v>
      </c>
      <c r="K253" s="249" t="s">
        <v>57</v>
      </c>
      <c r="L253" s="356">
        <v>44362.0</v>
      </c>
      <c r="M253" s="382">
        <v>44372.0</v>
      </c>
      <c r="O253" s="310">
        <f t="shared" si="6"/>
        <v>139.2222222</v>
      </c>
      <c r="P253" s="311">
        <f t="shared" ref="P253:Q253" si="259">F253/D253</f>
        <v>0</v>
      </c>
      <c r="Q253" s="325" t="str">
        <f t="shared" si="259"/>
        <v>#DIV/0!</v>
      </c>
      <c r="R253" s="311">
        <f t="shared" si="8"/>
        <v>0</v>
      </c>
      <c r="S253" s="300" t="str">
        <f t="shared" si="220"/>
        <v>Closed</v>
      </c>
      <c r="T253" s="2" t="s">
        <v>184</v>
      </c>
      <c r="U253" s="162" t="s">
        <v>611</v>
      </c>
      <c r="V253" s="113">
        <f>COUNTIFS('Delivery Tracking'!E:E,B253)</f>
        <v>0</v>
      </c>
      <c r="W253" s="113">
        <f>SUMIFS(All_Stats!N:N,All_Stats!$A:$A,$B253,All_Stats!$B:$B,"Overall",All_Stats!$D:$D,"Total")</f>
        <v>0</v>
      </c>
      <c r="X253" s="323">
        <v>44713.0</v>
      </c>
      <c r="Y253" s="329"/>
      <c r="Z253" s="326"/>
    </row>
    <row r="254" hidden="1">
      <c r="A254" s="330" t="s">
        <v>1077</v>
      </c>
      <c r="B254" s="342" t="s">
        <v>1078</v>
      </c>
      <c r="C254" s="184"/>
      <c r="D254" s="193">
        <v>35.0</v>
      </c>
      <c r="E254" s="171">
        <f>SUMIFS(All_Stats!G:G,All_Stats!$A:$A,$B254,All_Stats!$B:$B,"Overall",All_Stats!$D:$D,"Total")</f>
        <v>0</v>
      </c>
      <c r="F254" s="113">
        <f>SUMIFS(All_Stats!H:H,All_Stats!$A:$A,$B254,All_Stats!$B:$B,"Overall",All_Stats!$D:$D,"Total")</f>
        <v>0</v>
      </c>
      <c r="G254" s="171">
        <f>SUMIFS(All_Stats!I:I,All_Stats!$A:$A,$B254,All_Stats!$B:$B,"Overall",All_Stats!$D:$D,"Total")</f>
        <v>0</v>
      </c>
      <c r="H254" s="113">
        <f>SUMIFS(All_Stats!K:K,All_Stats!$A:$A,$B254,All_Stats!$B:$B,"Overall",All_Stats!$D:$D,"Total")</f>
        <v>0</v>
      </c>
      <c r="I254" s="113">
        <f>SUMIFS(All_Stats!J:J,All_Stats!$A:$A,$B254,All_Stats!$B:$B,"Overall",All_Stats!$D:$D,"Total")</f>
        <v>0</v>
      </c>
      <c r="J254" s="113">
        <f t="shared" si="3"/>
        <v>35</v>
      </c>
      <c r="K254" s="249" t="s">
        <v>57</v>
      </c>
      <c r="L254" s="323">
        <v>44363.0</v>
      </c>
      <c r="M254" s="245">
        <v>44372.0</v>
      </c>
      <c r="O254" s="310">
        <f t="shared" si="6"/>
        <v>156.5</v>
      </c>
      <c r="P254" s="311">
        <f t="shared" ref="P254:Q254" si="260">F254/D254</f>
        <v>0</v>
      </c>
      <c r="Q254" s="325" t="str">
        <f t="shared" si="260"/>
        <v>#DIV/0!</v>
      </c>
      <c r="R254" s="311">
        <f t="shared" si="8"/>
        <v>0</v>
      </c>
      <c r="S254" s="300" t="str">
        <f t="shared" si="220"/>
        <v>Closed</v>
      </c>
      <c r="T254" s="2" t="s">
        <v>80</v>
      </c>
      <c r="U254" s="162" t="s">
        <v>611</v>
      </c>
      <c r="V254" s="113">
        <f>COUNTIFS('Delivery Tracking'!E:E,B254)</f>
        <v>0</v>
      </c>
      <c r="W254" s="113">
        <f>SUMIFS(All_Stats!N:N,All_Stats!$A:$A,$B254,All_Stats!$B:$B,"Overall",All_Stats!$D:$D,"Total")</f>
        <v>0</v>
      </c>
      <c r="X254" s="323">
        <v>44714.0</v>
      </c>
      <c r="Y254" s="329"/>
      <c r="Z254" s="326"/>
    </row>
    <row r="255" hidden="1">
      <c r="A255" s="330" t="s">
        <v>1079</v>
      </c>
      <c r="B255" s="342" t="s">
        <v>1080</v>
      </c>
      <c r="C255" s="184"/>
      <c r="D255" s="193">
        <v>5.0</v>
      </c>
      <c r="E255" s="171">
        <f>SUMIFS(All_Stats!G:G,All_Stats!$A:$A,$B255,All_Stats!$B:$B,"Overall",All_Stats!$D:$D,"Total")</f>
        <v>0</v>
      </c>
      <c r="F255" s="113">
        <f>SUMIFS(All_Stats!H:H,All_Stats!$A:$A,$B255,All_Stats!$B:$B,"Overall",All_Stats!$D:$D,"Total")</f>
        <v>0</v>
      </c>
      <c r="G255" s="171">
        <f>SUMIFS(All_Stats!I:I,All_Stats!$A:$A,$B255,All_Stats!$B:$B,"Overall",All_Stats!$D:$D,"Total")</f>
        <v>0</v>
      </c>
      <c r="H255" s="113">
        <f>SUMIFS(All_Stats!K:K,All_Stats!$A:$A,$B255,All_Stats!$B:$B,"Overall",All_Stats!$D:$D,"Total")</f>
        <v>0</v>
      </c>
      <c r="I255" s="113">
        <f>SUMIFS(All_Stats!J:J,All_Stats!$A:$A,$B255,All_Stats!$B:$B,"Overall",All_Stats!$D:$D,"Total")</f>
        <v>0</v>
      </c>
      <c r="J255" s="113">
        <f t="shared" si="3"/>
        <v>5</v>
      </c>
      <c r="K255" s="249" t="s">
        <v>57</v>
      </c>
      <c r="L255" s="323">
        <v>44369.0</v>
      </c>
      <c r="M255" s="245">
        <v>44377.0</v>
      </c>
      <c r="O255" s="310">
        <f t="shared" si="6"/>
        <v>178.2857143</v>
      </c>
      <c r="P255" s="311">
        <f t="shared" ref="P255:Q255" si="261">F255/D255</f>
        <v>0</v>
      </c>
      <c r="Q255" s="325" t="str">
        <f t="shared" si="261"/>
        <v>#DIV/0!</v>
      </c>
      <c r="R255" s="311">
        <f t="shared" si="8"/>
        <v>0</v>
      </c>
      <c r="S255" s="300" t="str">
        <f t="shared" si="220"/>
        <v>Closed</v>
      </c>
      <c r="T255" s="2" t="s">
        <v>166</v>
      </c>
      <c r="U255" s="162" t="s">
        <v>611</v>
      </c>
      <c r="V255" s="113">
        <f>COUNTIFS('Delivery Tracking'!E:E,B255)</f>
        <v>0</v>
      </c>
      <c r="W255" s="113">
        <f>SUMIFS(All_Stats!N:N,All_Stats!$A:$A,$B255,All_Stats!$B:$B,"Overall",All_Stats!$D:$D,"Total")</f>
        <v>0</v>
      </c>
      <c r="X255" s="323">
        <v>44715.0</v>
      </c>
      <c r="Y255" s="329"/>
      <c r="Z255" s="326"/>
    </row>
    <row r="256" ht="15.75" hidden="1" customHeight="1">
      <c r="A256" s="330" t="s">
        <v>714</v>
      </c>
      <c r="B256" s="383" t="s">
        <v>1081</v>
      </c>
      <c r="C256" s="184"/>
      <c r="D256" s="193">
        <v>25.0</v>
      </c>
      <c r="E256" s="171">
        <f>SUMIFS(All_Stats!G:G,All_Stats!$A:$A,$B256,All_Stats!$B:$B,"Overall",All_Stats!$D:$D,"Total")</f>
        <v>0</v>
      </c>
      <c r="F256" s="113">
        <f>SUMIFS(All_Stats!H:H,All_Stats!$A:$A,$B256,All_Stats!$B:$B,"Overall",All_Stats!$D:$D,"Total")</f>
        <v>0</v>
      </c>
      <c r="G256" s="171">
        <f>SUMIFS(All_Stats!I:I,All_Stats!$A:$A,$B256,All_Stats!$B:$B,"Overall",All_Stats!$D:$D,"Total")</f>
        <v>0</v>
      </c>
      <c r="H256" s="113">
        <f>SUMIFS(All_Stats!K:K,All_Stats!$A:$A,$B256,All_Stats!$B:$B,"Overall",All_Stats!$D:$D,"Total")</f>
        <v>0</v>
      </c>
      <c r="I256" s="113">
        <f>SUMIFS(All_Stats!J:J,All_Stats!$A:$A,$B256,All_Stats!$B:$B,"Overall",All_Stats!$D:$D,"Total")</f>
        <v>0</v>
      </c>
      <c r="J256" s="113">
        <f t="shared" si="3"/>
        <v>25</v>
      </c>
      <c r="K256" s="249" t="s">
        <v>57</v>
      </c>
      <c r="L256" s="245">
        <v>44335.0</v>
      </c>
      <c r="M256" s="245">
        <v>44372.0</v>
      </c>
      <c r="N256" s="2"/>
      <c r="O256" s="310">
        <f t="shared" si="6"/>
        <v>45.42857143</v>
      </c>
      <c r="P256" s="311">
        <f t="shared" ref="P256:Q256" si="262">F256/D256</f>
        <v>0</v>
      </c>
      <c r="Q256" s="325" t="str">
        <f t="shared" si="262"/>
        <v>#DIV/0!</v>
      </c>
      <c r="R256" s="311">
        <f t="shared" si="8"/>
        <v>0</v>
      </c>
      <c r="S256" s="300" t="str">
        <f t="shared" si="220"/>
        <v>Closed</v>
      </c>
      <c r="T256" s="2" t="s">
        <v>293</v>
      </c>
      <c r="U256" s="162" t="s">
        <v>611</v>
      </c>
      <c r="V256" s="113">
        <f>COUNTIFS('Delivery Tracking'!E:E,B256)</f>
        <v>0</v>
      </c>
      <c r="W256" s="113">
        <f>SUMIFS(All_Stats!N:N,All_Stats!$A:$A,$B256,All_Stats!$B:$B,"Overall",All_Stats!$D:$D,"Total")</f>
        <v>0</v>
      </c>
      <c r="X256" s="323">
        <v>44716.0</v>
      </c>
      <c r="Y256" s="329"/>
      <c r="Z256" s="326"/>
    </row>
    <row r="257" hidden="1">
      <c r="A257" s="338" t="s">
        <v>1082</v>
      </c>
      <c r="B257" s="339" t="s">
        <v>1083</v>
      </c>
      <c r="C257" s="184"/>
      <c r="D257" s="193">
        <v>62.0</v>
      </c>
      <c r="E257" s="171">
        <f>SUMIFS(All_Stats!G:G,All_Stats!$A:$A,$B257,All_Stats!$B:$B,"Overall",All_Stats!$D:$D,"Total")</f>
        <v>0</v>
      </c>
      <c r="F257" s="113">
        <f>SUMIFS(All_Stats!H:H,All_Stats!$A:$A,$B257,All_Stats!$B:$B,"Overall",All_Stats!$D:$D,"Total")</f>
        <v>0</v>
      </c>
      <c r="G257" s="171">
        <f>SUMIFS(All_Stats!I:I,All_Stats!$A:$A,$B257,All_Stats!$B:$B,"Overall",All_Stats!$D:$D,"Total")</f>
        <v>0</v>
      </c>
      <c r="H257" s="113">
        <f>SUMIFS(All_Stats!K:K,All_Stats!$A:$A,$B257,All_Stats!$B:$B,"Overall",All_Stats!$D:$D,"Total")</f>
        <v>0</v>
      </c>
      <c r="I257" s="113">
        <f>SUMIFS(All_Stats!J:J,All_Stats!$A:$A,$B257,All_Stats!$B:$B,"Overall",All_Stats!$D:$D,"Total")</f>
        <v>0</v>
      </c>
      <c r="J257" s="113">
        <f t="shared" si="3"/>
        <v>62</v>
      </c>
      <c r="K257" s="249" t="s">
        <v>57</v>
      </c>
      <c r="L257" s="245">
        <v>44308.0</v>
      </c>
      <c r="M257" s="245">
        <v>44371.0</v>
      </c>
      <c r="O257" s="310">
        <f t="shared" si="6"/>
        <v>28.06521739</v>
      </c>
      <c r="P257" s="311">
        <f t="shared" ref="P257:Q257" si="263">F257/D257</f>
        <v>0</v>
      </c>
      <c r="Q257" s="325" t="str">
        <f t="shared" si="263"/>
        <v>#DIV/0!</v>
      </c>
      <c r="R257" s="311">
        <f t="shared" si="8"/>
        <v>0</v>
      </c>
      <c r="S257" s="300" t="str">
        <f t="shared" si="220"/>
        <v>Closed</v>
      </c>
      <c r="T257" s="2" t="s">
        <v>146</v>
      </c>
      <c r="U257" s="162" t="s">
        <v>611</v>
      </c>
      <c r="V257" s="113">
        <f>COUNTIFS('Delivery Tracking'!E:E,B257)</f>
        <v>0</v>
      </c>
      <c r="W257" s="113">
        <f>SUMIFS(All_Stats!N:N,All_Stats!$A:$A,$B257,All_Stats!$B:$B,"Overall",All_Stats!$D:$D,"Total")</f>
        <v>0</v>
      </c>
      <c r="X257" s="323">
        <v>44717.0</v>
      </c>
      <c r="Y257" s="329"/>
      <c r="Z257" s="326"/>
    </row>
    <row r="258" hidden="1">
      <c r="A258" s="365" t="s">
        <v>1084</v>
      </c>
      <c r="B258" s="409" t="s">
        <v>1085</v>
      </c>
      <c r="C258" s="184"/>
      <c r="D258" s="193">
        <v>30.0</v>
      </c>
      <c r="E258" s="171">
        <f>SUMIFS(All_Stats!G:G,All_Stats!$A:$A,$B258,All_Stats!$B:$B,"Overall",All_Stats!$D:$D,"Total")</f>
        <v>0</v>
      </c>
      <c r="F258" s="113">
        <f>SUMIFS(All_Stats!H:H,All_Stats!$A:$A,$B258,All_Stats!$B:$B,"Overall",All_Stats!$D:$D,"Total")</f>
        <v>0</v>
      </c>
      <c r="G258" s="171">
        <f>SUMIFS(All_Stats!I:I,All_Stats!$A:$A,$B258,All_Stats!$B:$B,"Overall",All_Stats!$D:$D,"Total")</f>
        <v>0</v>
      </c>
      <c r="H258" s="113">
        <f>SUMIFS(All_Stats!K:K,All_Stats!$A:$A,$B258,All_Stats!$B:$B,"Overall",All_Stats!$D:$D,"Total")</f>
        <v>0</v>
      </c>
      <c r="I258" s="113">
        <f>SUMIFS(All_Stats!J:J,All_Stats!$A:$A,$B258,All_Stats!$B:$B,"Overall",All_Stats!$D:$D,"Total")</f>
        <v>0</v>
      </c>
      <c r="J258" s="113">
        <f t="shared" si="3"/>
        <v>30</v>
      </c>
      <c r="K258" s="249" t="s">
        <v>57</v>
      </c>
      <c r="L258" s="245">
        <v>44344.0</v>
      </c>
      <c r="M258" s="245">
        <v>44377.0</v>
      </c>
      <c r="O258" s="310">
        <f t="shared" si="6"/>
        <v>52.70833333</v>
      </c>
      <c r="P258" s="311">
        <f t="shared" ref="P258:Q258" si="264">F258/D258</f>
        <v>0</v>
      </c>
      <c r="Q258" s="325" t="str">
        <f t="shared" si="264"/>
        <v>#DIV/0!</v>
      </c>
      <c r="R258" s="311">
        <f t="shared" si="8"/>
        <v>0</v>
      </c>
      <c r="S258" s="300" t="str">
        <f t="shared" si="220"/>
        <v>Closed</v>
      </c>
      <c r="T258" s="2" t="s">
        <v>67</v>
      </c>
      <c r="U258" s="162" t="s">
        <v>611</v>
      </c>
      <c r="V258" s="113">
        <f>COUNTIFS('Delivery Tracking'!E:E,B258)</f>
        <v>0</v>
      </c>
      <c r="W258" s="113">
        <f>SUMIFS(All_Stats!N:N,All_Stats!$A:$A,$B258,All_Stats!$B:$B,"Overall",All_Stats!$D:$D,"Total")</f>
        <v>0</v>
      </c>
      <c r="X258" s="323">
        <v>44718.0</v>
      </c>
      <c r="Y258" s="329"/>
      <c r="Z258" s="326"/>
    </row>
    <row r="259" hidden="1">
      <c r="A259" s="327" t="s">
        <v>769</v>
      </c>
      <c r="B259" s="328" t="s">
        <v>1086</v>
      </c>
      <c r="C259" s="184"/>
      <c r="D259" s="193">
        <v>10.0</v>
      </c>
      <c r="E259" s="171">
        <f>SUMIFS(All_Stats!G:G,All_Stats!$A:$A,$B259,All_Stats!$B:$B,"Overall",All_Stats!$D:$D,"Total")</f>
        <v>0</v>
      </c>
      <c r="F259" s="113">
        <f>SUMIFS(All_Stats!H:H,All_Stats!$A:$A,$B259,All_Stats!$B:$B,"Overall",All_Stats!$D:$D,"Total")</f>
        <v>0</v>
      </c>
      <c r="G259" s="171">
        <f>SUMIFS(All_Stats!I:I,All_Stats!$A:$A,$B259,All_Stats!$B:$B,"Overall",All_Stats!$D:$D,"Total")</f>
        <v>0</v>
      </c>
      <c r="H259" s="113">
        <f>SUMIFS(All_Stats!K:K,All_Stats!$A:$A,$B259,All_Stats!$B:$B,"Overall",All_Stats!$D:$D,"Total")</f>
        <v>0</v>
      </c>
      <c r="I259" s="113">
        <f>SUMIFS(All_Stats!J:J,All_Stats!$A:$A,$B259,All_Stats!$B:$B,"Overall",All_Stats!$D:$D,"Total")</f>
        <v>0</v>
      </c>
      <c r="J259" s="113">
        <f t="shared" si="3"/>
        <v>10</v>
      </c>
      <c r="K259" s="249" t="s">
        <v>57</v>
      </c>
      <c r="L259" s="245">
        <v>44368.0</v>
      </c>
      <c r="M259" s="245">
        <v>44370.0</v>
      </c>
      <c r="O259" s="310">
        <f t="shared" si="6"/>
        <v>416.3333333</v>
      </c>
      <c r="P259" s="311">
        <f t="shared" ref="P259:Q259" si="265">F259/D259</f>
        <v>0</v>
      </c>
      <c r="Q259" s="325" t="str">
        <f t="shared" si="265"/>
        <v>#DIV/0!</v>
      </c>
      <c r="R259" s="311">
        <f t="shared" si="8"/>
        <v>0</v>
      </c>
      <c r="S259" s="300" t="str">
        <f t="shared" si="220"/>
        <v>Closed</v>
      </c>
      <c r="T259" s="2" t="s">
        <v>184</v>
      </c>
      <c r="U259" s="162" t="s">
        <v>611</v>
      </c>
      <c r="V259" s="113">
        <f>COUNTIFS('Delivery Tracking'!E:E,B259)</f>
        <v>0</v>
      </c>
      <c r="W259" s="113">
        <f>SUMIFS(All_Stats!N:N,All_Stats!$A:$A,$B259,All_Stats!$B:$B,"Overall",All_Stats!$D:$D,"Total")</f>
        <v>0</v>
      </c>
      <c r="X259" s="323">
        <v>44719.0</v>
      </c>
      <c r="Y259" s="329"/>
      <c r="Z259" s="326"/>
    </row>
    <row r="260" hidden="1">
      <c r="A260" s="327" t="s">
        <v>769</v>
      </c>
      <c r="B260" s="341" t="s">
        <v>1087</v>
      </c>
      <c r="C260" s="184"/>
      <c r="D260" s="193">
        <v>10.0</v>
      </c>
      <c r="E260" s="171">
        <f>SUMIFS(All_Stats!G:G,All_Stats!$A:$A,$B260,All_Stats!$B:$B,"Overall",All_Stats!$D:$D,"Total")</f>
        <v>0</v>
      </c>
      <c r="F260" s="113">
        <f>SUMIFS(All_Stats!H:H,All_Stats!$A:$A,$B260,All_Stats!$B:$B,"Overall",All_Stats!$D:$D,"Total")</f>
        <v>0</v>
      </c>
      <c r="G260" s="171">
        <f>SUMIFS(All_Stats!I:I,All_Stats!$A:$A,$B260,All_Stats!$B:$B,"Overall",All_Stats!$D:$D,"Total")</f>
        <v>0</v>
      </c>
      <c r="H260" s="113">
        <f>SUMIFS(All_Stats!K:K,All_Stats!$A:$A,$B260,All_Stats!$B:$B,"Overall",All_Stats!$D:$D,"Total")</f>
        <v>0</v>
      </c>
      <c r="I260" s="113">
        <f>SUMIFS(All_Stats!J:J,All_Stats!$A:$A,$B260,All_Stats!$B:$B,"Overall",All_Stats!$D:$D,"Total")</f>
        <v>0</v>
      </c>
      <c r="J260" s="113">
        <f t="shared" si="3"/>
        <v>10</v>
      </c>
      <c r="K260" s="249" t="s">
        <v>57</v>
      </c>
      <c r="L260" s="245">
        <v>44368.0</v>
      </c>
      <c r="M260" s="245">
        <v>44370.0</v>
      </c>
      <c r="O260" s="310">
        <f t="shared" si="6"/>
        <v>416.3333333</v>
      </c>
      <c r="P260" s="311">
        <f t="shared" ref="P260:Q260" si="266">F260/D260</f>
        <v>0</v>
      </c>
      <c r="Q260" s="325" t="str">
        <f t="shared" si="266"/>
        <v>#DIV/0!</v>
      </c>
      <c r="R260" s="311">
        <f t="shared" si="8"/>
        <v>0</v>
      </c>
      <c r="S260" s="300" t="str">
        <f t="shared" si="220"/>
        <v>Closed</v>
      </c>
      <c r="T260" s="2" t="s">
        <v>184</v>
      </c>
      <c r="U260" s="162" t="s">
        <v>611</v>
      </c>
      <c r="V260" s="113">
        <f>COUNTIFS('Delivery Tracking'!E:E,B260)</f>
        <v>0</v>
      </c>
      <c r="W260" s="113">
        <f>SUMIFS(All_Stats!N:N,All_Stats!$A:$A,$B260,All_Stats!$B:$B,"Overall",All_Stats!$D:$D,"Total")</f>
        <v>0</v>
      </c>
      <c r="X260" s="323">
        <v>44720.0</v>
      </c>
      <c r="Y260" s="329"/>
      <c r="Z260" s="326"/>
    </row>
    <row r="261" hidden="1">
      <c r="A261" s="352" t="s">
        <v>874</v>
      </c>
      <c r="B261" s="342" t="s">
        <v>1088</v>
      </c>
      <c r="C261" s="184"/>
      <c r="D261" s="193">
        <v>25.0</v>
      </c>
      <c r="E261" s="171">
        <f>SUMIFS(All_Stats!G:G,All_Stats!$A:$A,$B261,All_Stats!$B:$B,"Overall",All_Stats!$D:$D,"Total")</f>
        <v>0</v>
      </c>
      <c r="F261" s="113">
        <f>SUMIFS(All_Stats!H:H,All_Stats!$A:$A,$B261,All_Stats!$B:$B,"Overall",All_Stats!$D:$D,"Total")</f>
        <v>0</v>
      </c>
      <c r="G261" s="171">
        <f>SUMIFS(All_Stats!I:I,All_Stats!$A:$A,$B261,All_Stats!$B:$B,"Overall",All_Stats!$D:$D,"Total")</f>
        <v>0</v>
      </c>
      <c r="H261" s="113">
        <f>SUMIFS(All_Stats!K:K,All_Stats!$A:$A,$B261,All_Stats!$B:$B,"Overall",All_Stats!$D:$D,"Total")</f>
        <v>0</v>
      </c>
      <c r="I261" s="113">
        <f>SUMIFS(All_Stats!J:J,All_Stats!$A:$A,$B261,All_Stats!$B:$B,"Overall",All_Stats!$D:$D,"Total")</f>
        <v>0</v>
      </c>
      <c r="J261" s="113">
        <f t="shared" si="3"/>
        <v>25</v>
      </c>
      <c r="K261" s="249" t="s">
        <v>57</v>
      </c>
      <c r="L261" s="323">
        <v>44368.0</v>
      </c>
      <c r="M261" s="245">
        <v>44372.0</v>
      </c>
      <c r="N261" s="2" t="s">
        <v>1017</v>
      </c>
      <c r="O261" s="310">
        <f t="shared" si="6"/>
        <v>249.8</v>
      </c>
      <c r="P261" s="311">
        <f t="shared" ref="P261:Q261" si="267">F261/D261</f>
        <v>0</v>
      </c>
      <c r="Q261" s="325" t="str">
        <f t="shared" si="267"/>
        <v>#DIV/0!</v>
      </c>
      <c r="R261" s="311">
        <f t="shared" si="8"/>
        <v>0</v>
      </c>
      <c r="S261" s="300" t="str">
        <f t="shared" si="220"/>
        <v>Closed</v>
      </c>
      <c r="T261" s="2" t="s">
        <v>166</v>
      </c>
      <c r="U261" s="162" t="s">
        <v>611</v>
      </c>
      <c r="V261" s="113">
        <f>COUNTIFS('Delivery Tracking'!E:E,B261)</f>
        <v>0</v>
      </c>
      <c r="W261" s="113">
        <f>SUMIFS(All_Stats!N:N,All_Stats!$A:$A,$B261,All_Stats!$B:$B,"Overall",All_Stats!$D:$D,"Total")</f>
        <v>0</v>
      </c>
      <c r="X261" s="323">
        <v>44721.0</v>
      </c>
      <c r="Y261" s="329"/>
      <c r="Z261" s="326"/>
    </row>
    <row r="262" hidden="1">
      <c r="A262" s="330" t="s">
        <v>810</v>
      </c>
      <c r="B262" s="175" t="s">
        <v>1089</v>
      </c>
      <c r="C262" s="184"/>
      <c r="D262" s="193">
        <v>250.0</v>
      </c>
      <c r="E262" s="171">
        <f>SUMIFS(All_Stats!G:G,All_Stats!$A:$A,$B262,All_Stats!$B:$B,"Overall",All_Stats!$D:$D,"Total")</f>
        <v>0</v>
      </c>
      <c r="F262" s="113">
        <f>SUMIFS(All_Stats!H:H,All_Stats!$A:$A,$B262,All_Stats!$B:$B,"Overall",All_Stats!$D:$D,"Total")</f>
        <v>0</v>
      </c>
      <c r="G262" s="171">
        <f>SUMIFS(All_Stats!I:I,All_Stats!$A:$A,$B262,All_Stats!$B:$B,"Overall",All_Stats!$D:$D,"Total")</f>
        <v>0</v>
      </c>
      <c r="H262" s="113">
        <f>SUMIFS(All_Stats!K:K,All_Stats!$A:$A,$B262,All_Stats!$B:$B,"Overall",All_Stats!$D:$D,"Total")</f>
        <v>0</v>
      </c>
      <c r="I262" s="113">
        <f>SUMIFS(All_Stats!J:J,All_Stats!$A:$A,$B262,All_Stats!$B:$B,"Overall",All_Stats!$D:$D,"Total")</f>
        <v>0</v>
      </c>
      <c r="J262" s="113">
        <f t="shared" si="3"/>
        <v>250</v>
      </c>
      <c r="K262" s="249" t="s">
        <v>57</v>
      </c>
      <c r="L262" s="245">
        <v>44321.0</v>
      </c>
      <c r="M262" s="245">
        <v>44370.0</v>
      </c>
      <c r="N262" s="2" t="s">
        <v>1090</v>
      </c>
      <c r="O262" s="310">
        <f t="shared" si="6"/>
        <v>35.61111111</v>
      </c>
      <c r="P262" s="311">
        <f t="shared" ref="P262:Q262" si="268">F262/D262</f>
        <v>0</v>
      </c>
      <c r="Q262" s="325" t="str">
        <f t="shared" si="268"/>
        <v>#DIV/0!</v>
      </c>
      <c r="R262" s="311">
        <f t="shared" si="8"/>
        <v>0</v>
      </c>
      <c r="S262" s="300" t="str">
        <f t="shared" si="220"/>
        <v>Closed</v>
      </c>
      <c r="T262" s="2" t="s">
        <v>67</v>
      </c>
      <c r="U262" s="162" t="s">
        <v>611</v>
      </c>
      <c r="V262" s="113">
        <f>COUNTIFS('Delivery Tracking'!E:E,B262)</f>
        <v>0</v>
      </c>
      <c r="W262" s="113">
        <f>SUMIFS(All_Stats!N:N,All_Stats!$A:$A,$B262,All_Stats!$B:$B,"Overall",All_Stats!$D:$D,"Total")</f>
        <v>0</v>
      </c>
      <c r="X262" s="323">
        <v>44722.0</v>
      </c>
      <c r="Y262" s="329"/>
      <c r="Z262" s="326"/>
    </row>
    <row r="263" hidden="1">
      <c r="A263" s="327" t="s">
        <v>1091</v>
      </c>
      <c r="B263" s="328" t="s">
        <v>1092</v>
      </c>
      <c r="C263" s="184"/>
      <c r="D263" s="193">
        <v>12.0</v>
      </c>
      <c r="E263" s="171">
        <f>SUMIFS(All_Stats!G:G,All_Stats!$A:$A,$B263,All_Stats!$B:$B,"Overall",All_Stats!$D:$D,"Total")</f>
        <v>0</v>
      </c>
      <c r="F263" s="113">
        <f>SUMIFS(All_Stats!H:H,All_Stats!$A:$A,$B263,All_Stats!$B:$B,"Overall",All_Stats!$D:$D,"Total")</f>
        <v>0</v>
      </c>
      <c r="G263" s="171">
        <f>SUMIFS(All_Stats!I:I,All_Stats!$A:$A,$B263,All_Stats!$B:$B,"Overall",All_Stats!$D:$D,"Total")</f>
        <v>0</v>
      </c>
      <c r="H263" s="113">
        <f>SUMIFS(All_Stats!K:K,All_Stats!$A:$A,$B263,All_Stats!$B:$B,"Overall",All_Stats!$D:$D,"Total")</f>
        <v>0</v>
      </c>
      <c r="I263" s="113">
        <f>SUMIFS(All_Stats!J:J,All_Stats!$A:$A,$B263,All_Stats!$B:$B,"Overall",All_Stats!$D:$D,"Total")</f>
        <v>0</v>
      </c>
      <c r="J263" s="113">
        <f t="shared" si="3"/>
        <v>12</v>
      </c>
      <c r="K263" s="249" t="s">
        <v>57</v>
      </c>
      <c r="L263" s="245">
        <v>41043.0</v>
      </c>
      <c r="M263" s="245">
        <v>44361.0</v>
      </c>
      <c r="O263" s="310">
        <f t="shared" si="6"/>
        <v>1.528469</v>
      </c>
      <c r="P263" s="311">
        <f t="shared" ref="P263:Q263" si="269">F263/D263</f>
        <v>0</v>
      </c>
      <c r="Q263" s="325" t="str">
        <f t="shared" si="269"/>
        <v>#DIV/0!</v>
      </c>
      <c r="R263" s="311">
        <f t="shared" si="8"/>
        <v>0</v>
      </c>
      <c r="S263" s="300" t="str">
        <f t="shared" si="220"/>
        <v>Closed</v>
      </c>
      <c r="T263" s="2" t="s">
        <v>166</v>
      </c>
      <c r="U263" s="162" t="s">
        <v>611</v>
      </c>
      <c r="V263" s="113">
        <f>COUNTIFS('Delivery Tracking'!E:E,B263)</f>
        <v>0</v>
      </c>
      <c r="W263" s="113">
        <f>SUMIFS(All_Stats!N:N,All_Stats!$A:$A,$B263,All_Stats!$B:$B,"Overall",All_Stats!$D:$D,"Total")</f>
        <v>0</v>
      </c>
      <c r="X263" s="323">
        <v>44723.0</v>
      </c>
      <c r="Y263" s="329"/>
      <c r="Z263" s="326"/>
    </row>
    <row r="264" hidden="1">
      <c r="A264" s="327" t="s">
        <v>1093</v>
      </c>
      <c r="B264" s="328" t="s">
        <v>1094</v>
      </c>
      <c r="C264" s="184"/>
      <c r="D264" s="193">
        <v>25.0</v>
      </c>
      <c r="E264" s="171">
        <f>SUMIFS(All_Stats!G:G,All_Stats!$A:$A,$B264,All_Stats!$B:$B,"Overall",All_Stats!$D:$D,"Total")</f>
        <v>0</v>
      </c>
      <c r="F264" s="113">
        <f>SUMIFS(All_Stats!H:H,All_Stats!$A:$A,$B264,All_Stats!$B:$B,"Overall",All_Stats!$D:$D,"Total")</f>
        <v>0</v>
      </c>
      <c r="G264" s="171">
        <f>SUMIFS(All_Stats!I:I,All_Stats!$A:$A,$B264,All_Stats!$B:$B,"Overall",All_Stats!$D:$D,"Total")</f>
        <v>0</v>
      </c>
      <c r="H264" s="113">
        <f>SUMIFS(All_Stats!K:K,All_Stats!$A:$A,$B264,All_Stats!$B:$B,"Overall",All_Stats!$D:$D,"Total")</f>
        <v>0</v>
      </c>
      <c r="I264" s="113">
        <f>SUMIFS(All_Stats!J:J,All_Stats!$A:$A,$B264,All_Stats!$B:$B,"Overall",All_Stats!$D:$D,"Total")</f>
        <v>0</v>
      </c>
      <c r="J264" s="113">
        <f t="shared" si="3"/>
        <v>25</v>
      </c>
      <c r="K264" s="249" t="s">
        <v>57</v>
      </c>
      <c r="L264" s="245">
        <v>44336.0</v>
      </c>
      <c r="M264" s="245">
        <v>44363.0</v>
      </c>
      <c r="N264" s="2" t="s">
        <v>1095</v>
      </c>
      <c r="O264" s="310">
        <f t="shared" si="6"/>
        <v>63.55</v>
      </c>
      <c r="P264" s="311">
        <f t="shared" ref="P264:Q264" si="270">F264/D264</f>
        <v>0</v>
      </c>
      <c r="Q264" s="325" t="str">
        <f t="shared" si="270"/>
        <v>#DIV/0!</v>
      </c>
      <c r="R264" s="311">
        <f t="shared" si="8"/>
        <v>0</v>
      </c>
      <c r="S264" s="300" t="str">
        <f t="shared" si="220"/>
        <v>Closed</v>
      </c>
      <c r="T264" s="2" t="s">
        <v>67</v>
      </c>
      <c r="U264" s="162" t="s">
        <v>611</v>
      </c>
      <c r="V264" s="113">
        <f>COUNTIFS('Delivery Tracking'!E:E,B264)</f>
        <v>0</v>
      </c>
      <c r="W264" s="113">
        <f>SUMIFS(All_Stats!N:N,All_Stats!$A:$A,$B264,All_Stats!$B:$B,"Overall",All_Stats!$D:$D,"Total")</f>
        <v>0</v>
      </c>
      <c r="X264" s="323">
        <v>44724.0</v>
      </c>
      <c r="Y264" s="329"/>
      <c r="Z264" s="326"/>
    </row>
    <row r="265" hidden="1">
      <c r="A265" s="330" t="s">
        <v>1096</v>
      </c>
      <c r="B265" s="175" t="s">
        <v>1097</v>
      </c>
      <c r="C265" s="184"/>
      <c r="D265" s="193">
        <v>112.0</v>
      </c>
      <c r="E265" s="171">
        <f>SUMIFS(All_Stats!G:G,All_Stats!$A:$A,$B265,All_Stats!$B:$B,"Overall",All_Stats!$D:$D,"Total")</f>
        <v>0</v>
      </c>
      <c r="F265" s="113">
        <f>SUMIFS(All_Stats!H:H,All_Stats!$A:$A,$B265,All_Stats!$B:$B,"Overall",All_Stats!$D:$D,"Total")</f>
        <v>0</v>
      </c>
      <c r="G265" s="171">
        <f>SUMIFS(All_Stats!I:I,All_Stats!$A:$A,$B265,All_Stats!$B:$B,"Overall",All_Stats!$D:$D,"Total")</f>
        <v>0</v>
      </c>
      <c r="H265" s="113">
        <f>SUMIFS(All_Stats!K:K,All_Stats!$A:$A,$B265,All_Stats!$B:$B,"Overall",All_Stats!$D:$D,"Total")</f>
        <v>0</v>
      </c>
      <c r="I265" s="113">
        <f>SUMIFS(All_Stats!J:J,All_Stats!$A:$A,$B265,All_Stats!$B:$B,"Overall",All_Stats!$D:$D,"Total")</f>
        <v>0</v>
      </c>
      <c r="J265" s="113">
        <f t="shared" si="3"/>
        <v>112</v>
      </c>
      <c r="K265" s="249" t="s">
        <v>57</v>
      </c>
      <c r="L265" s="245">
        <v>44316.0</v>
      </c>
      <c r="M265" s="245">
        <v>44368.0</v>
      </c>
      <c r="N265" s="2" t="s">
        <v>1098</v>
      </c>
      <c r="O265" s="310">
        <f t="shared" si="6"/>
        <v>34.72972973</v>
      </c>
      <c r="P265" s="311">
        <f t="shared" ref="P265:Q265" si="271">F265/D265</f>
        <v>0</v>
      </c>
      <c r="Q265" s="325" t="str">
        <f t="shared" si="271"/>
        <v>#DIV/0!</v>
      </c>
      <c r="R265" s="311">
        <f t="shared" si="8"/>
        <v>0</v>
      </c>
      <c r="S265" s="300" t="str">
        <f t="shared" si="220"/>
        <v>Closed</v>
      </c>
      <c r="T265" s="2" t="s">
        <v>80</v>
      </c>
      <c r="U265" s="162" t="s">
        <v>611</v>
      </c>
      <c r="V265" s="113">
        <f>COUNTIFS('Delivery Tracking'!E:E,B265)</f>
        <v>0</v>
      </c>
      <c r="W265" s="113">
        <f>SUMIFS(All_Stats!N:N,All_Stats!$A:$A,$B265,All_Stats!$B:$B,"Overall",All_Stats!$D:$D,"Total")</f>
        <v>0</v>
      </c>
      <c r="X265" s="323">
        <v>44725.0</v>
      </c>
      <c r="Y265" s="329"/>
      <c r="Z265" s="326"/>
    </row>
    <row r="266" hidden="1">
      <c r="A266" s="330" t="s">
        <v>1099</v>
      </c>
      <c r="B266" s="426" t="s">
        <v>1100</v>
      </c>
      <c r="C266" s="297"/>
      <c r="D266" s="193">
        <v>50.0</v>
      </c>
      <c r="E266" s="171">
        <f>SUMIFS(All_Stats!G:G,All_Stats!$A:$A,$B266,All_Stats!$B:$B,"Overall",All_Stats!$D:$D,"Total")</f>
        <v>0</v>
      </c>
      <c r="F266" s="113">
        <f>SUMIFS(All_Stats!H:H,All_Stats!$A:$A,$B266,All_Stats!$B:$B,"Overall",All_Stats!$D:$D,"Total")</f>
        <v>0</v>
      </c>
      <c r="G266" s="171">
        <f>SUMIFS(All_Stats!I:I,All_Stats!$A:$A,$B266,All_Stats!$B:$B,"Overall",All_Stats!$D:$D,"Total")</f>
        <v>0</v>
      </c>
      <c r="H266" s="113">
        <f>SUMIFS(All_Stats!K:K,All_Stats!$A:$A,$B266,All_Stats!$B:$B,"Overall",All_Stats!$D:$D,"Total")</f>
        <v>0</v>
      </c>
      <c r="I266" s="113">
        <f>SUMIFS(All_Stats!J:J,All_Stats!$A:$A,$B266,All_Stats!$B:$B,"Overall",All_Stats!$D:$D,"Total")</f>
        <v>0</v>
      </c>
      <c r="J266" s="113">
        <f t="shared" si="3"/>
        <v>50</v>
      </c>
      <c r="K266" s="249" t="s">
        <v>57</v>
      </c>
      <c r="L266" s="245">
        <v>44218.0</v>
      </c>
      <c r="M266" s="332">
        <v>44274.0</v>
      </c>
      <c r="O266" s="310">
        <f t="shared" si="6"/>
        <v>33.04878049</v>
      </c>
      <c r="P266" s="311">
        <f t="shared" ref="P266:Q266" si="272">F266/D266</f>
        <v>0</v>
      </c>
      <c r="Q266" s="325" t="str">
        <f t="shared" si="272"/>
        <v>#DIV/0!</v>
      </c>
      <c r="R266" s="311">
        <f t="shared" si="8"/>
        <v>0</v>
      </c>
      <c r="S266" s="300" t="str">
        <f t="shared" si="220"/>
        <v>Closed</v>
      </c>
      <c r="T266" s="2" t="s">
        <v>146</v>
      </c>
      <c r="U266" s="162" t="s">
        <v>611</v>
      </c>
      <c r="V266" s="113">
        <f>COUNTIFS('Delivery Tracking'!E:E,B266)</f>
        <v>0</v>
      </c>
      <c r="W266" s="113">
        <f>SUMIFS(All_Stats!N:N,All_Stats!$A:$A,$B266,All_Stats!$B:$B,"Overall",All_Stats!$D:$D,"Total")</f>
        <v>0</v>
      </c>
      <c r="X266" s="323">
        <v>44726.0</v>
      </c>
      <c r="Y266" s="329"/>
      <c r="Z266" s="326"/>
    </row>
    <row r="267" hidden="1">
      <c r="A267" s="330" t="s">
        <v>1101</v>
      </c>
      <c r="B267" s="419" t="s">
        <v>1102</v>
      </c>
      <c r="C267" s="184"/>
      <c r="D267" s="193">
        <v>45.0</v>
      </c>
      <c r="E267" s="171">
        <f>SUMIFS(All_Stats!G:G,All_Stats!$A:$A,$B267,All_Stats!$B:$B,"Overall",All_Stats!$D:$D,"Total")</f>
        <v>0</v>
      </c>
      <c r="F267" s="113">
        <f>SUMIFS(All_Stats!H:H,All_Stats!$A:$A,$B267,All_Stats!$B:$B,"Overall",All_Stats!$D:$D,"Total")</f>
        <v>0</v>
      </c>
      <c r="G267" s="171">
        <f>SUMIFS(All_Stats!I:I,All_Stats!$A:$A,$B267,All_Stats!$B:$B,"Overall",All_Stats!$D:$D,"Total")</f>
        <v>0</v>
      </c>
      <c r="H267" s="113">
        <f>SUMIFS(All_Stats!K:K,All_Stats!$A:$A,$B267,All_Stats!$B:$B,"Overall",All_Stats!$D:$D,"Total")</f>
        <v>0</v>
      </c>
      <c r="I267" s="113">
        <f>SUMIFS(All_Stats!J:J,All_Stats!$A:$A,$B267,All_Stats!$B:$B,"Overall",All_Stats!$D:$D,"Total")</f>
        <v>0</v>
      </c>
      <c r="J267" s="113">
        <f t="shared" si="3"/>
        <v>45</v>
      </c>
      <c r="K267" s="249" t="s">
        <v>57</v>
      </c>
      <c r="L267" s="245">
        <v>44308.0</v>
      </c>
      <c r="M267" s="332">
        <v>44361.0</v>
      </c>
      <c r="O267" s="310">
        <f t="shared" si="6"/>
        <v>33.97368421</v>
      </c>
      <c r="P267" s="311">
        <f t="shared" ref="P267:Q267" si="273">F267/D267</f>
        <v>0</v>
      </c>
      <c r="Q267" s="325" t="str">
        <f t="shared" si="273"/>
        <v>#DIV/0!</v>
      </c>
      <c r="R267" s="311">
        <f t="shared" si="8"/>
        <v>0</v>
      </c>
      <c r="S267" s="300" t="str">
        <f t="shared" si="220"/>
        <v>Closed</v>
      </c>
      <c r="T267" s="2" t="s">
        <v>146</v>
      </c>
      <c r="U267" s="162" t="s">
        <v>611</v>
      </c>
      <c r="V267" s="113">
        <f>COUNTIFS('Delivery Tracking'!E:E,B267)</f>
        <v>0</v>
      </c>
      <c r="W267" s="113">
        <f>SUMIFS(All_Stats!N:N,All_Stats!$A:$A,$B267,All_Stats!$B:$B,"Overall",All_Stats!$D:$D,"Total")</f>
        <v>0</v>
      </c>
      <c r="X267" s="323">
        <v>44727.0</v>
      </c>
      <c r="Y267" s="329"/>
      <c r="Z267" s="326"/>
    </row>
    <row r="268" hidden="1">
      <c r="A268" s="338" t="s">
        <v>1103</v>
      </c>
      <c r="B268" s="339" t="s">
        <v>1104</v>
      </c>
      <c r="C268" s="184"/>
      <c r="D268" s="193">
        <v>87.0</v>
      </c>
      <c r="E268" s="171">
        <f>SUMIFS(All_Stats!G:G,All_Stats!$A:$A,$B268,All_Stats!$B:$B,"Overall",All_Stats!$D:$D,"Total")</f>
        <v>0</v>
      </c>
      <c r="F268" s="113">
        <f>SUMIFS(All_Stats!H:H,All_Stats!$A:$A,$B268,All_Stats!$B:$B,"Overall",All_Stats!$D:$D,"Total")</f>
        <v>0</v>
      </c>
      <c r="G268" s="171">
        <f>SUMIFS(All_Stats!I:I,All_Stats!$A:$A,$B268,All_Stats!$B:$B,"Overall",All_Stats!$D:$D,"Total")</f>
        <v>0</v>
      </c>
      <c r="H268" s="113">
        <f>SUMIFS(All_Stats!K:K,All_Stats!$A:$A,$B268,All_Stats!$B:$B,"Overall",All_Stats!$D:$D,"Total")</f>
        <v>0</v>
      </c>
      <c r="I268" s="113">
        <f>SUMIFS(All_Stats!J:J,All_Stats!$A:$A,$B268,All_Stats!$B:$B,"Overall",All_Stats!$D:$D,"Total")</f>
        <v>0</v>
      </c>
      <c r="J268" s="113">
        <f t="shared" si="3"/>
        <v>87</v>
      </c>
      <c r="K268" s="249" t="s">
        <v>57</v>
      </c>
      <c r="L268" s="245">
        <v>44299.0</v>
      </c>
      <c r="M268" s="332">
        <v>44361.0</v>
      </c>
      <c r="O268" s="310">
        <f t="shared" si="6"/>
        <v>28.84444444</v>
      </c>
      <c r="P268" s="311">
        <f t="shared" ref="P268:Q268" si="274">F268/D268</f>
        <v>0</v>
      </c>
      <c r="Q268" s="325" t="str">
        <f t="shared" si="274"/>
        <v>#DIV/0!</v>
      </c>
      <c r="R268" s="311">
        <f t="shared" si="8"/>
        <v>0</v>
      </c>
      <c r="S268" s="300" t="str">
        <f t="shared" si="220"/>
        <v>Closed</v>
      </c>
      <c r="T268" s="2" t="s">
        <v>166</v>
      </c>
      <c r="U268" s="162" t="s">
        <v>611</v>
      </c>
      <c r="V268" s="113">
        <f>COUNTIFS('Delivery Tracking'!E:E,B268)</f>
        <v>0</v>
      </c>
      <c r="W268" s="113">
        <f>SUMIFS(All_Stats!N:N,All_Stats!$A:$A,$B268,All_Stats!$B:$B,"Overall",All_Stats!$D:$D,"Total")</f>
        <v>0</v>
      </c>
      <c r="X268" s="323">
        <v>44728.0</v>
      </c>
      <c r="Y268" s="329"/>
      <c r="Z268" s="326"/>
    </row>
    <row r="269" hidden="1">
      <c r="A269" s="330" t="s">
        <v>1105</v>
      </c>
      <c r="B269" s="432" t="s">
        <v>1106</v>
      </c>
      <c r="C269" s="184"/>
      <c r="D269" s="193">
        <v>75.0</v>
      </c>
      <c r="E269" s="171">
        <f>SUMIFS(All_Stats!G:G,All_Stats!$A:$A,$B269,All_Stats!$B:$B,"Overall",All_Stats!$D:$D,"Total")</f>
        <v>0</v>
      </c>
      <c r="F269" s="113">
        <f>SUMIFS(All_Stats!H:H,All_Stats!$A:$A,$B269,All_Stats!$B:$B,"Overall",All_Stats!$D:$D,"Total")</f>
        <v>0</v>
      </c>
      <c r="G269" s="171">
        <f>SUMIFS(All_Stats!I:I,All_Stats!$A:$A,$B269,All_Stats!$B:$B,"Overall",All_Stats!$D:$D,"Total")</f>
        <v>0</v>
      </c>
      <c r="H269" s="113">
        <f>SUMIFS(All_Stats!K:K,All_Stats!$A:$A,$B269,All_Stats!$B:$B,"Overall",All_Stats!$D:$D,"Total")</f>
        <v>0</v>
      </c>
      <c r="I269" s="113">
        <f>SUMIFS(All_Stats!J:J,All_Stats!$A:$A,$B269,All_Stats!$B:$B,"Overall",All_Stats!$D:$D,"Total")</f>
        <v>0</v>
      </c>
      <c r="J269" s="113">
        <f t="shared" si="3"/>
        <v>75</v>
      </c>
      <c r="K269" s="249" t="s">
        <v>57</v>
      </c>
      <c r="L269" s="245">
        <v>44288.0</v>
      </c>
      <c r="M269" s="332">
        <v>44351.0</v>
      </c>
      <c r="O269" s="310">
        <f t="shared" si="6"/>
        <v>28.36956522</v>
      </c>
      <c r="P269" s="311">
        <f t="shared" ref="P269:Q269" si="275">F269/D269</f>
        <v>0</v>
      </c>
      <c r="Q269" s="325" t="str">
        <f t="shared" si="275"/>
        <v>#DIV/0!</v>
      </c>
      <c r="R269" s="311">
        <f t="shared" si="8"/>
        <v>0</v>
      </c>
      <c r="S269" s="300" t="str">
        <f t="shared" si="220"/>
        <v>Closed</v>
      </c>
      <c r="T269" s="2" t="s">
        <v>146</v>
      </c>
      <c r="U269" s="162" t="s">
        <v>611</v>
      </c>
      <c r="V269" s="113">
        <f>COUNTIFS('Delivery Tracking'!E:E,B269)</f>
        <v>0</v>
      </c>
      <c r="W269" s="113">
        <f>SUMIFS(All_Stats!N:N,All_Stats!$A:$A,$B269,All_Stats!$B:$B,"Overall",All_Stats!$D:$D,"Total")</f>
        <v>0</v>
      </c>
      <c r="X269" s="323">
        <v>44729.0</v>
      </c>
      <c r="Y269" s="329"/>
      <c r="Z269" s="326"/>
    </row>
    <row r="270" hidden="1">
      <c r="A270" s="405" t="s">
        <v>1105</v>
      </c>
      <c r="B270" s="432" t="s">
        <v>1107</v>
      </c>
      <c r="C270" s="184"/>
      <c r="D270" s="193">
        <v>2.0</v>
      </c>
      <c r="E270" s="171">
        <f>SUMIFS(All_Stats!G:G,All_Stats!$A:$A,$B270,All_Stats!$B:$B,"Overall",All_Stats!$D:$D,"Total")</f>
        <v>0</v>
      </c>
      <c r="F270" s="113">
        <f>SUMIFS(All_Stats!H:H,All_Stats!$A:$A,$B270,All_Stats!$B:$B,"Overall",All_Stats!$D:$D,"Total")</f>
        <v>0</v>
      </c>
      <c r="G270" s="171">
        <f>SUMIFS(All_Stats!I:I,All_Stats!$A:$A,$B270,All_Stats!$B:$B,"Overall",All_Stats!$D:$D,"Total")</f>
        <v>0</v>
      </c>
      <c r="H270" s="113">
        <f>SUMIFS(All_Stats!K:K,All_Stats!$A:$A,$B270,All_Stats!$B:$B,"Overall",All_Stats!$D:$D,"Total")</f>
        <v>0</v>
      </c>
      <c r="I270" s="113">
        <f>SUMIFS(All_Stats!J:J,All_Stats!$A:$A,$B270,All_Stats!$B:$B,"Overall",All_Stats!$D:$D,"Total")</f>
        <v>0</v>
      </c>
      <c r="J270" s="113">
        <f t="shared" si="3"/>
        <v>2</v>
      </c>
      <c r="K270" s="249" t="s">
        <v>649</v>
      </c>
      <c r="L270" s="245">
        <v>44288.0</v>
      </c>
      <c r="M270" s="332">
        <v>44379.0</v>
      </c>
      <c r="O270" s="310">
        <f t="shared" si="6"/>
        <v>19.77272727</v>
      </c>
      <c r="P270" s="311">
        <f t="shared" ref="P270:Q270" si="276">F270/D270</f>
        <v>0</v>
      </c>
      <c r="Q270" s="325" t="str">
        <f t="shared" si="276"/>
        <v>#DIV/0!</v>
      </c>
      <c r="R270" s="311">
        <f t="shared" si="8"/>
        <v>0</v>
      </c>
      <c r="S270" s="249" t="s">
        <v>649</v>
      </c>
      <c r="T270" s="2" t="s">
        <v>21</v>
      </c>
      <c r="U270" s="162" t="s">
        <v>611</v>
      </c>
      <c r="V270" s="113">
        <f>COUNTIFS('Delivery Tracking'!E:E,B270)</f>
        <v>0</v>
      </c>
      <c r="W270" s="113">
        <f>SUMIFS(All_Stats!N:N,All_Stats!$A:$A,$B270,All_Stats!$B:$B,"Overall",All_Stats!$D:$D,"Total")</f>
        <v>0</v>
      </c>
      <c r="X270" s="323">
        <v>44730.0</v>
      </c>
      <c r="Y270" s="329"/>
      <c r="Z270" s="326"/>
    </row>
    <row r="271" hidden="1">
      <c r="A271" s="330" t="s">
        <v>1108</v>
      </c>
      <c r="B271" s="175" t="s">
        <v>1109</v>
      </c>
      <c r="C271" s="433"/>
      <c r="D271" s="193">
        <v>46.0</v>
      </c>
      <c r="E271" s="171">
        <f>SUMIFS(All_Stats!G:G,All_Stats!$A:$A,$B271,All_Stats!$B:$B,"Overall",All_Stats!$D:$D,"Total")</f>
        <v>0</v>
      </c>
      <c r="F271" s="113">
        <f>SUMIFS(All_Stats!H:H,All_Stats!$A:$A,$B271,All_Stats!$B:$B,"Overall",All_Stats!$D:$D,"Total")</f>
        <v>0</v>
      </c>
      <c r="G271" s="171">
        <f>SUMIFS(All_Stats!I:I,All_Stats!$A:$A,$B271,All_Stats!$B:$B,"Overall",All_Stats!$D:$D,"Total")</f>
        <v>0</v>
      </c>
      <c r="H271" s="113">
        <f>SUMIFS(All_Stats!K:K,All_Stats!$A:$A,$B271,All_Stats!$B:$B,"Overall",All_Stats!$D:$D,"Total")</f>
        <v>0</v>
      </c>
      <c r="I271" s="113">
        <f>SUMIFS(All_Stats!J:J,All_Stats!$A:$A,$B271,All_Stats!$B:$B,"Overall",All_Stats!$D:$D,"Total")</f>
        <v>0</v>
      </c>
      <c r="J271" s="113">
        <f t="shared" si="3"/>
        <v>46</v>
      </c>
      <c r="K271" s="249" t="s">
        <v>57</v>
      </c>
      <c r="L271" s="245">
        <v>44306.0</v>
      </c>
      <c r="M271" s="332">
        <v>44350.0</v>
      </c>
      <c r="O271" s="310">
        <f t="shared" si="6"/>
        <v>39.18181818</v>
      </c>
      <c r="P271" s="311">
        <f t="shared" ref="P271:Q271" si="277">F271/D271</f>
        <v>0</v>
      </c>
      <c r="Q271" s="325" t="str">
        <f t="shared" si="277"/>
        <v>#DIV/0!</v>
      </c>
      <c r="R271" s="311">
        <f t="shared" si="8"/>
        <v>0</v>
      </c>
      <c r="S271" s="300" t="str">
        <f t="shared" ref="S271:S292" si="279">iferror(ifs(
K271="Closed","Closed",
K271="Paused","Paused",
UPPER(X271)="N/A","PRE",
X271="","N/A",
(_xlfn.NETWORKDAYS.INTL(X271,D$2)-1)/_xlfn.NETWORKDAYS.INTL(X271,M271)&lt;S$2,"PRE",
F271=0,"Underpacing",
O271-(F271+H271*(G271/(G271+F271)))/D271&gt;0.2,"Underpacing",
O271-(F271+H271*(G271/(G271+F271)))/D271&lt;=0.2,"On track")
,"N/A")</f>
        <v>Closed</v>
      </c>
      <c r="T271" s="2" t="s">
        <v>146</v>
      </c>
      <c r="U271" s="162" t="s">
        <v>611</v>
      </c>
      <c r="V271" s="113">
        <f>COUNTIFS('Delivery Tracking'!E:E,B271)</f>
        <v>0</v>
      </c>
      <c r="W271" s="113">
        <f>SUMIFS(All_Stats!N:N,All_Stats!$A:$A,$B271,All_Stats!$B:$B,"Overall",All_Stats!$D:$D,"Total")</f>
        <v>0</v>
      </c>
      <c r="X271" s="323">
        <v>44731.0</v>
      </c>
      <c r="Y271" s="329"/>
      <c r="Z271" s="326"/>
    </row>
    <row r="272" hidden="1">
      <c r="A272" s="330" t="s">
        <v>1110</v>
      </c>
      <c r="B272" s="426" t="s">
        <v>1111</v>
      </c>
      <c r="C272" s="297"/>
      <c r="D272" s="193">
        <v>50.0</v>
      </c>
      <c r="E272" s="171">
        <f>SUMIFS(All_Stats!G:G,All_Stats!$A:$A,$B272,All_Stats!$B:$B,"Overall",All_Stats!$D:$D,"Total")</f>
        <v>0</v>
      </c>
      <c r="F272" s="113">
        <f>SUMIFS(All_Stats!H:H,All_Stats!$A:$A,$B272,All_Stats!$B:$B,"Overall",All_Stats!$D:$D,"Total")</f>
        <v>0</v>
      </c>
      <c r="G272" s="171">
        <f>SUMIFS(All_Stats!I:I,All_Stats!$A:$A,$B272,All_Stats!$B:$B,"Overall",All_Stats!$D:$D,"Total")</f>
        <v>0</v>
      </c>
      <c r="H272" s="113">
        <f>SUMIFS(All_Stats!K:K,All_Stats!$A:$A,$B272,All_Stats!$B:$B,"Overall",All_Stats!$D:$D,"Total")</f>
        <v>0</v>
      </c>
      <c r="I272" s="113">
        <f>SUMIFS(All_Stats!J:J,All_Stats!$A:$A,$B272,All_Stats!$B:$B,"Overall",All_Stats!$D:$D,"Total")</f>
        <v>0</v>
      </c>
      <c r="J272" s="113">
        <f t="shared" si="3"/>
        <v>50</v>
      </c>
      <c r="K272" s="249" t="s">
        <v>57</v>
      </c>
      <c r="L272" s="245">
        <v>44256.0</v>
      </c>
      <c r="M272" s="332">
        <v>44276.0</v>
      </c>
      <c r="O272" s="310">
        <f t="shared" si="6"/>
        <v>88.6</v>
      </c>
      <c r="P272" s="311">
        <f t="shared" ref="P272:Q272" si="278">F272/D272</f>
        <v>0</v>
      </c>
      <c r="Q272" s="325" t="str">
        <f t="shared" si="278"/>
        <v>#DIV/0!</v>
      </c>
      <c r="R272" s="311">
        <f t="shared" si="8"/>
        <v>0</v>
      </c>
      <c r="S272" s="300" t="str">
        <f t="shared" si="279"/>
        <v>Closed</v>
      </c>
      <c r="T272" s="2" t="s">
        <v>146</v>
      </c>
      <c r="U272" s="162" t="s">
        <v>611</v>
      </c>
      <c r="V272" s="113">
        <f>COUNTIFS('Delivery Tracking'!E:E,B272)</f>
        <v>0</v>
      </c>
      <c r="W272" s="113">
        <f>SUMIFS(All_Stats!N:N,All_Stats!$A:$A,$B272,All_Stats!$B:$B,"Overall",All_Stats!$D:$D,"Total")</f>
        <v>0</v>
      </c>
      <c r="X272" s="323">
        <v>44732.0</v>
      </c>
      <c r="Y272" s="329"/>
      <c r="Z272" s="326"/>
    </row>
    <row r="273" hidden="1">
      <c r="A273" s="330" t="s">
        <v>1112</v>
      </c>
      <c r="B273" s="426" t="s">
        <v>1113</v>
      </c>
      <c r="C273" s="297"/>
      <c r="D273" s="193">
        <v>50.0</v>
      </c>
      <c r="E273" s="171">
        <f>SUMIFS(All_Stats!G:G,All_Stats!$A:$A,$B273,All_Stats!$B:$B,"Overall",All_Stats!$D:$D,"Total")</f>
        <v>0</v>
      </c>
      <c r="F273" s="113">
        <f>SUMIFS(All_Stats!H:H,All_Stats!$A:$A,$B273,All_Stats!$B:$B,"Overall",All_Stats!$D:$D,"Total")</f>
        <v>0</v>
      </c>
      <c r="G273" s="171">
        <f>SUMIFS(All_Stats!I:I,All_Stats!$A:$A,$B273,All_Stats!$B:$B,"Overall",All_Stats!$D:$D,"Total")</f>
        <v>0</v>
      </c>
      <c r="H273" s="113">
        <f>SUMIFS(All_Stats!K:K,All_Stats!$A:$A,$B273,All_Stats!$B:$B,"Overall",All_Stats!$D:$D,"Total")</f>
        <v>0</v>
      </c>
      <c r="I273" s="113">
        <f>SUMIFS(All_Stats!J:J,All_Stats!$A:$A,$B273,All_Stats!$B:$B,"Overall",All_Stats!$D:$D,"Total")</f>
        <v>0</v>
      </c>
      <c r="J273" s="113">
        <f t="shared" si="3"/>
        <v>50</v>
      </c>
      <c r="K273" s="249" t="s">
        <v>57</v>
      </c>
      <c r="L273" s="245">
        <v>44216.0</v>
      </c>
      <c r="M273" s="332">
        <v>44265.0</v>
      </c>
      <c r="O273" s="310">
        <f t="shared" si="6"/>
        <v>37.69444444</v>
      </c>
      <c r="P273" s="311">
        <f t="shared" ref="P273:Q273" si="280">F273/D273</f>
        <v>0</v>
      </c>
      <c r="Q273" s="325" t="str">
        <f t="shared" si="280"/>
        <v>#DIV/0!</v>
      </c>
      <c r="R273" s="311">
        <f t="shared" si="8"/>
        <v>0</v>
      </c>
      <c r="S273" s="300" t="str">
        <f t="shared" si="279"/>
        <v>Closed</v>
      </c>
      <c r="T273" s="2" t="s">
        <v>146</v>
      </c>
      <c r="U273" s="162" t="s">
        <v>611</v>
      </c>
      <c r="V273" s="113">
        <f>COUNTIFS('Delivery Tracking'!E:E,B273)</f>
        <v>0</v>
      </c>
      <c r="W273" s="113">
        <f>SUMIFS(All_Stats!N:N,All_Stats!$A:$A,$B273,All_Stats!$B:$B,"Overall",All_Stats!$D:$D,"Total")</f>
        <v>0</v>
      </c>
      <c r="X273" s="323">
        <v>44733.0</v>
      </c>
      <c r="Y273" s="329"/>
      <c r="Z273" s="326"/>
    </row>
    <row r="274" hidden="1">
      <c r="A274" s="434" t="s">
        <v>1114</v>
      </c>
      <c r="B274" s="339" t="s">
        <v>1115</v>
      </c>
      <c r="C274" s="184"/>
      <c r="D274" s="193">
        <v>70.0</v>
      </c>
      <c r="E274" s="171">
        <f>SUMIFS(All_Stats!G:G,All_Stats!$A:$A,$B274,All_Stats!$B:$B,"Overall",All_Stats!$D:$D,"Total")</f>
        <v>0</v>
      </c>
      <c r="F274" s="113">
        <f>SUMIFS(All_Stats!H:H,All_Stats!$A:$A,$B274,All_Stats!$B:$B,"Overall",All_Stats!$D:$D,"Total")</f>
        <v>0</v>
      </c>
      <c r="G274" s="171">
        <f>SUMIFS(All_Stats!I:I,All_Stats!$A:$A,$B274,All_Stats!$B:$B,"Overall",All_Stats!$D:$D,"Total")</f>
        <v>0</v>
      </c>
      <c r="H274" s="113">
        <f>SUMIFS(All_Stats!K:K,All_Stats!$A:$A,$B274,All_Stats!$B:$B,"Overall",All_Stats!$D:$D,"Total")</f>
        <v>0</v>
      </c>
      <c r="I274" s="113">
        <f>SUMIFS(All_Stats!J:J,All_Stats!$A:$A,$B274,All_Stats!$B:$B,"Overall",All_Stats!$D:$D,"Total")</f>
        <v>0</v>
      </c>
      <c r="J274" s="113">
        <f t="shared" si="3"/>
        <v>70</v>
      </c>
      <c r="K274" s="249" t="s">
        <v>57</v>
      </c>
      <c r="L274" s="245">
        <v>44306.0</v>
      </c>
      <c r="M274" s="332">
        <v>44340.0</v>
      </c>
      <c r="O274" s="310">
        <f t="shared" si="6"/>
        <v>51.72</v>
      </c>
      <c r="P274" s="311">
        <f t="shared" ref="P274:Q274" si="281">F274/D274</f>
        <v>0</v>
      </c>
      <c r="Q274" s="325" t="str">
        <f t="shared" si="281"/>
        <v>#DIV/0!</v>
      </c>
      <c r="R274" s="311">
        <f t="shared" si="8"/>
        <v>0</v>
      </c>
      <c r="S274" s="300" t="str">
        <f t="shared" si="279"/>
        <v>Closed</v>
      </c>
      <c r="T274" s="2" t="s">
        <v>146</v>
      </c>
      <c r="U274" s="162" t="s">
        <v>611</v>
      </c>
      <c r="V274" s="113">
        <f>COUNTIFS('Delivery Tracking'!E:E,B274)</f>
        <v>0</v>
      </c>
      <c r="W274" s="113">
        <f>SUMIFS(All_Stats!N:N,All_Stats!$A:$A,$B274,All_Stats!$B:$B,"Overall",All_Stats!$D:$D,"Total")</f>
        <v>0</v>
      </c>
      <c r="X274" s="323">
        <v>44734.0</v>
      </c>
      <c r="Y274" s="329"/>
      <c r="Z274" s="326"/>
    </row>
    <row r="275" hidden="1">
      <c r="A275" s="330" t="s">
        <v>1116</v>
      </c>
      <c r="B275" s="426" t="s">
        <v>1117</v>
      </c>
      <c r="C275" s="421"/>
      <c r="D275" s="193">
        <v>50.0</v>
      </c>
      <c r="E275" s="171">
        <f>SUMIFS(All_Stats!G:G,All_Stats!$A:$A,$B275,All_Stats!$B:$B,"Overall",All_Stats!$D:$D,"Total")</f>
        <v>0</v>
      </c>
      <c r="F275" s="113">
        <f>SUMIFS(All_Stats!H:H,All_Stats!$A:$A,$B275,All_Stats!$B:$B,"Overall",All_Stats!$D:$D,"Total")</f>
        <v>0</v>
      </c>
      <c r="G275" s="171">
        <f>SUMIFS(All_Stats!I:I,All_Stats!$A:$A,$B275,All_Stats!$B:$B,"Overall",All_Stats!$D:$D,"Total")</f>
        <v>0</v>
      </c>
      <c r="H275" s="113">
        <f>SUMIFS(All_Stats!K:K,All_Stats!$A:$A,$B275,All_Stats!$B:$B,"Overall",All_Stats!$D:$D,"Total")</f>
        <v>0</v>
      </c>
      <c r="I275" s="113">
        <f>SUMIFS(All_Stats!J:J,All_Stats!$A:$A,$B275,All_Stats!$B:$B,"Overall",All_Stats!$D:$D,"Total")</f>
        <v>0</v>
      </c>
      <c r="J275" s="113">
        <f t="shared" si="3"/>
        <v>50</v>
      </c>
      <c r="K275" s="249" t="s">
        <v>57</v>
      </c>
      <c r="L275" s="245">
        <v>44292.0</v>
      </c>
      <c r="M275" s="353">
        <v>44348.0</v>
      </c>
      <c r="O275" s="310">
        <f t="shared" si="6"/>
        <v>31.7804878</v>
      </c>
      <c r="P275" s="311">
        <f t="shared" ref="P275:Q275" si="282">F275/D275</f>
        <v>0</v>
      </c>
      <c r="Q275" s="325" t="str">
        <f t="shared" si="282"/>
        <v>#DIV/0!</v>
      </c>
      <c r="R275" s="311">
        <f t="shared" si="8"/>
        <v>0</v>
      </c>
      <c r="S275" s="300" t="str">
        <f t="shared" si="279"/>
        <v>Closed</v>
      </c>
      <c r="T275" s="2" t="s">
        <v>146</v>
      </c>
      <c r="U275" s="162" t="s">
        <v>611</v>
      </c>
      <c r="V275" s="113">
        <f>COUNTIFS('Delivery Tracking'!E:E,B275)</f>
        <v>0</v>
      </c>
      <c r="W275" s="113">
        <f>SUMIFS(All_Stats!N:N,All_Stats!$A:$A,$B275,All_Stats!$B:$B,"Overall",All_Stats!$D:$D,"Total")</f>
        <v>0</v>
      </c>
      <c r="X275" s="323">
        <v>44735.0</v>
      </c>
      <c r="Y275" s="329"/>
      <c r="Z275" s="326"/>
    </row>
    <row r="276" hidden="1">
      <c r="A276" s="327" t="s">
        <v>1118</v>
      </c>
      <c r="B276" s="328" t="s">
        <v>1119</v>
      </c>
      <c r="C276" s="184"/>
      <c r="D276" s="193">
        <v>50.0</v>
      </c>
      <c r="E276" s="171">
        <f>SUMIFS(All_Stats!G:G,All_Stats!$A:$A,$B276,All_Stats!$B:$B,"Overall",All_Stats!$D:$D,"Total")</f>
        <v>0</v>
      </c>
      <c r="F276" s="113">
        <f>SUMIFS(All_Stats!H:H,All_Stats!$A:$A,$B276,All_Stats!$B:$B,"Overall",All_Stats!$D:$D,"Total")</f>
        <v>0</v>
      </c>
      <c r="G276" s="171">
        <f>SUMIFS(All_Stats!I:I,All_Stats!$A:$A,$B276,All_Stats!$B:$B,"Overall",All_Stats!$D:$D,"Total")</f>
        <v>0</v>
      </c>
      <c r="H276" s="113">
        <f>SUMIFS(All_Stats!K:K,All_Stats!$A:$A,$B276,All_Stats!$B:$B,"Overall",All_Stats!$D:$D,"Total")</f>
        <v>0</v>
      </c>
      <c r="I276" s="113">
        <f>SUMIFS(All_Stats!J:J,All_Stats!$A:$A,$B276,All_Stats!$B:$B,"Overall",All_Stats!$D:$D,"Total")</f>
        <v>0</v>
      </c>
      <c r="J276" s="113">
        <f t="shared" si="3"/>
        <v>50</v>
      </c>
      <c r="K276" s="249" t="s">
        <v>57</v>
      </c>
      <c r="L276" s="245">
        <v>44321.0</v>
      </c>
      <c r="M276" s="245">
        <v>44369.0</v>
      </c>
      <c r="N276" s="2" t="s">
        <v>1120</v>
      </c>
      <c r="O276" s="310">
        <f t="shared" si="6"/>
        <v>36.62857143</v>
      </c>
      <c r="P276" s="311">
        <f t="shared" ref="P276:Q276" si="283">F276/D276</f>
        <v>0</v>
      </c>
      <c r="Q276" s="325" t="str">
        <f t="shared" si="283"/>
        <v>#DIV/0!</v>
      </c>
      <c r="R276" s="311">
        <f t="shared" si="8"/>
        <v>0</v>
      </c>
      <c r="S276" s="300" t="str">
        <f t="shared" si="279"/>
        <v>Closed</v>
      </c>
      <c r="T276" s="2" t="s">
        <v>153</v>
      </c>
      <c r="U276" s="162" t="s">
        <v>611</v>
      </c>
      <c r="V276" s="113">
        <f>COUNTIFS('Delivery Tracking'!E:E,B276)</f>
        <v>0</v>
      </c>
      <c r="W276" s="113">
        <f>SUMIFS(All_Stats!N:N,All_Stats!$A:$A,$B276,All_Stats!$B:$B,"Overall",All_Stats!$D:$D,"Total")</f>
        <v>0</v>
      </c>
      <c r="X276" s="323">
        <v>44736.0</v>
      </c>
      <c r="Y276" s="329"/>
      <c r="Z276" s="326"/>
    </row>
    <row r="277" hidden="1">
      <c r="A277" s="338" t="s">
        <v>1121</v>
      </c>
      <c r="B277" s="339" t="s">
        <v>1122</v>
      </c>
      <c r="C277" s="184"/>
      <c r="D277" s="193">
        <v>100.0</v>
      </c>
      <c r="E277" s="171">
        <f>SUMIFS(All_Stats!G:G,All_Stats!$A:$A,$B277,All_Stats!$B:$B,"Overall",All_Stats!$D:$D,"Total")</f>
        <v>0</v>
      </c>
      <c r="F277" s="113">
        <f>SUMIFS(All_Stats!H:H,All_Stats!$A:$A,$B277,All_Stats!$B:$B,"Overall",All_Stats!$D:$D,"Total")</f>
        <v>0</v>
      </c>
      <c r="G277" s="171">
        <f>SUMIFS(All_Stats!I:I,All_Stats!$A:$A,$B277,All_Stats!$B:$B,"Overall",All_Stats!$D:$D,"Total")</f>
        <v>0</v>
      </c>
      <c r="H277" s="113">
        <f>SUMIFS(All_Stats!K:K,All_Stats!$A:$A,$B277,All_Stats!$B:$B,"Overall",All_Stats!$D:$D,"Total")</f>
        <v>0</v>
      </c>
      <c r="I277" s="113">
        <f>SUMIFS(All_Stats!J:J,All_Stats!$A:$A,$B277,All_Stats!$B:$B,"Overall",All_Stats!$D:$D,"Total")</f>
        <v>0</v>
      </c>
      <c r="J277" s="113">
        <f t="shared" si="3"/>
        <v>100</v>
      </c>
      <c r="K277" s="249" t="s">
        <v>57</v>
      </c>
      <c r="L277" s="245">
        <v>44299.0</v>
      </c>
      <c r="M277" s="245">
        <v>44372.0</v>
      </c>
      <c r="N277" s="435" t="s">
        <v>1123</v>
      </c>
      <c r="O277" s="310">
        <f t="shared" si="6"/>
        <v>24.03703704</v>
      </c>
      <c r="P277" s="311">
        <f t="shared" ref="P277:Q277" si="284">F277/D277</f>
        <v>0</v>
      </c>
      <c r="Q277" s="325" t="str">
        <f t="shared" si="284"/>
        <v>#DIV/0!</v>
      </c>
      <c r="R277" s="311">
        <f t="shared" si="8"/>
        <v>0</v>
      </c>
      <c r="S277" s="300" t="str">
        <f t="shared" si="279"/>
        <v>Closed</v>
      </c>
      <c r="T277" s="2" t="s">
        <v>153</v>
      </c>
      <c r="U277" s="162" t="s">
        <v>611</v>
      </c>
      <c r="V277" s="113">
        <f>COUNTIFS('Delivery Tracking'!E:E,B277)</f>
        <v>0</v>
      </c>
      <c r="W277" s="113">
        <f>SUMIFS(All_Stats!N:N,All_Stats!$A:$A,$B277,All_Stats!$B:$B,"Overall",All_Stats!$D:$D,"Total")</f>
        <v>0</v>
      </c>
      <c r="X277" s="323">
        <v>44737.0</v>
      </c>
      <c r="Y277" s="329"/>
      <c r="Z277" s="326"/>
    </row>
    <row r="278" hidden="1">
      <c r="A278" s="327" t="s">
        <v>1124</v>
      </c>
      <c r="B278" s="328" t="s">
        <v>1125</v>
      </c>
      <c r="C278" s="184"/>
      <c r="D278" s="193">
        <v>16.0</v>
      </c>
      <c r="E278" s="171">
        <f>SUMIFS(All_Stats!G:G,All_Stats!$A:$A,$B278,All_Stats!$B:$B,"Overall",All_Stats!$D:$D,"Total")</f>
        <v>0</v>
      </c>
      <c r="F278" s="113">
        <f>SUMIFS(All_Stats!H:H,All_Stats!$A:$A,$B278,All_Stats!$B:$B,"Overall",All_Stats!$D:$D,"Total")</f>
        <v>0</v>
      </c>
      <c r="G278" s="171">
        <f>SUMIFS(All_Stats!I:I,All_Stats!$A:$A,$B278,All_Stats!$B:$B,"Overall",All_Stats!$D:$D,"Total")</f>
        <v>0</v>
      </c>
      <c r="H278" s="113">
        <f>SUMIFS(All_Stats!K:K,All_Stats!$A:$A,$B278,All_Stats!$B:$B,"Overall",All_Stats!$D:$D,"Total")</f>
        <v>0</v>
      </c>
      <c r="I278" s="113">
        <f>SUMIFS(All_Stats!J:J,All_Stats!$A:$A,$B278,All_Stats!$B:$B,"Overall",All_Stats!$D:$D,"Total")</f>
        <v>0</v>
      </c>
      <c r="J278" s="113">
        <f t="shared" si="3"/>
        <v>16</v>
      </c>
      <c r="K278" s="249" t="s">
        <v>57</v>
      </c>
      <c r="L278" s="245">
        <v>44356.0</v>
      </c>
      <c r="M278" s="245">
        <v>44364.0</v>
      </c>
      <c r="O278" s="310">
        <f t="shared" si="6"/>
        <v>179.5714286</v>
      </c>
      <c r="P278" s="311">
        <f t="shared" ref="P278:Q278" si="285">F278/D278</f>
        <v>0</v>
      </c>
      <c r="Q278" s="325" t="str">
        <f t="shared" si="285"/>
        <v>#DIV/0!</v>
      </c>
      <c r="R278" s="311">
        <f t="shared" si="8"/>
        <v>0</v>
      </c>
      <c r="S278" s="300" t="str">
        <f t="shared" si="279"/>
        <v>Closed</v>
      </c>
      <c r="T278" s="2" t="s">
        <v>166</v>
      </c>
      <c r="U278" s="162" t="s">
        <v>611</v>
      </c>
      <c r="V278" s="113">
        <f>COUNTIFS('Delivery Tracking'!E:E,B278)</f>
        <v>0</v>
      </c>
      <c r="W278" s="113">
        <f>SUMIFS(All_Stats!N:N,All_Stats!$A:$A,$B278,All_Stats!$B:$B,"Overall",All_Stats!$D:$D,"Total")</f>
        <v>0</v>
      </c>
      <c r="X278" s="323">
        <v>44738.0</v>
      </c>
      <c r="Y278" s="329"/>
      <c r="Z278" s="326"/>
    </row>
    <row r="279" hidden="1">
      <c r="A279" s="327" t="s">
        <v>1124</v>
      </c>
      <c r="B279" s="328" t="s">
        <v>1126</v>
      </c>
      <c r="C279" s="184"/>
      <c r="D279" s="193">
        <v>17.0</v>
      </c>
      <c r="E279" s="171">
        <f>SUMIFS(All_Stats!G:G,All_Stats!$A:$A,$B279,All_Stats!$B:$B,"Overall",All_Stats!$D:$D,"Total")</f>
        <v>0</v>
      </c>
      <c r="F279" s="113">
        <f>SUMIFS(All_Stats!H:H,All_Stats!$A:$A,$B279,All_Stats!$B:$B,"Overall",All_Stats!$D:$D,"Total")</f>
        <v>0</v>
      </c>
      <c r="G279" s="171">
        <f>SUMIFS(All_Stats!I:I,All_Stats!$A:$A,$B279,All_Stats!$B:$B,"Overall",All_Stats!$D:$D,"Total")</f>
        <v>0</v>
      </c>
      <c r="H279" s="113">
        <f>SUMIFS(All_Stats!K:K,All_Stats!$A:$A,$B279,All_Stats!$B:$B,"Overall",All_Stats!$D:$D,"Total")</f>
        <v>0</v>
      </c>
      <c r="I279" s="113">
        <f>SUMIFS(All_Stats!J:J,All_Stats!$A:$A,$B279,All_Stats!$B:$B,"Overall",All_Stats!$D:$D,"Total")</f>
        <v>0</v>
      </c>
      <c r="J279" s="113">
        <f t="shared" si="3"/>
        <v>17</v>
      </c>
      <c r="K279" s="249" t="s">
        <v>57</v>
      </c>
      <c r="L279" s="245">
        <v>44356.0</v>
      </c>
      <c r="M279" s="245">
        <v>44364.0</v>
      </c>
      <c r="O279" s="310">
        <f t="shared" si="6"/>
        <v>179.5714286</v>
      </c>
      <c r="P279" s="311">
        <f t="shared" ref="P279:Q279" si="286">F279/D279</f>
        <v>0</v>
      </c>
      <c r="Q279" s="325" t="str">
        <f t="shared" si="286"/>
        <v>#DIV/0!</v>
      </c>
      <c r="R279" s="311">
        <f t="shared" si="8"/>
        <v>0</v>
      </c>
      <c r="S279" s="300" t="str">
        <f t="shared" si="279"/>
        <v>Closed</v>
      </c>
      <c r="T279" s="2" t="s">
        <v>166</v>
      </c>
      <c r="U279" s="162" t="s">
        <v>611</v>
      </c>
      <c r="V279" s="113">
        <f>COUNTIFS('Delivery Tracking'!E:E,B279)</f>
        <v>0</v>
      </c>
      <c r="W279" s="113">
        <f>SUMIFS(All_Stats!N:N,All_Stats!$A:$A,$B279,All_Stats!$B:$B,"Overall",All_Stats!$D:$D,"Total")</f>
        <v>0</v>
      </c>
      <c r="X279" s="323">
        <v>44739.0</v>
      </c>
      <c r="Y279" s="329"/>
      <c r="Z279" s="326"/>
    </row>
    <row r="280" hidden="1">
      <c r="A280" s="330" t="s">
        <v>769</v>
      </c>
      <c r="B280" s="175" t="s">
        <v>1127</v>
      </c>
      <c r="C280" s="184"/>
      <c r="D280" s="193">
        <v>25.0</v>
      </c>
      <c r="E280" s="171">
        <f>SUMIFS(All_Stats!G:G,All_Stats!$A:$A,$B280,All_Stats!$B:$B,"Overall",All_Stats!$D:$D,"Total")</f>
        <v>0</v>
      </c>
      <c r="F280" s="113">
        <f>SUMIFS(All_Stats!H:H,All_Stats!$A:$A,$B280,All_Stats!$B:$B,"Overall",All_Stats!$D:$D,"Total")</f>
        <v>0</v>
      </c>
      <c r="G280" s="171">
        <f>SUMIFS(All_Stats!I:I,All_Stats!$A:$A,$B280,All_Stats!$B:$B,"Overall",All_Stats!$D:$D,"Total")</f>
        <v>0</v>
      </c>
      <c r="H280" s="113">
        <f>SUMIFS(All_Stats!K:K,All_Stats!$A:$A,$B280,All_Stats!$B:$B,"Overall",All_Stats!$D:$D,"Total")</f>
        <v>0</v>
      </c>
      <c r="I280" s="113">
        <f>SUMIFS(All_Stats!J:J,All_Stats!$A:$A,$B280,All_Stats!$B:$B,"Overall",All_Stats!$D:$D,"Total")</f>
        <v>0</v>
      </c>
      <c r="J280" s="113">
        <f t="shared" si="3"/>
        <v>25</v>
      </c>
      <c r="K280" s="249" t="s">
        <v>57</v>
      </c>
      <c r="L280" s="245">
        <v>44357.0</v>
      </c>
      <c r="M280" s="245">
        <v>44362.0</v>
      </c>
      <c r="N280" s="2" t="s">
        <v>1128</v>
      </c>
      <c r="O280" s="310">
        <f t="shared" si="6"/>
        <v>314</v>
      </c>
      <c r="P280" s="311">
        <f t="shared" ref="P280:Q280" si="287">F280/D280</f>
        <v>0</v>
      </c>
      <c r="Q280" s="325" t="str">
        <f t="shared" si="287"/>
        <v>#DIV/0!</v>
      </c>
      <c r="R280" s="311">
        <f t="shared" si="8"/>
        <v>0</v>
      </c>
      <c r="S280" s="300" t="str">
        <f t="shared" si="279"/>
        <v>Closed</v>
      </c>
      <c r="T280" s="2" t="s">
        <v>184</v>
      </c>
      <c r="U280" s="162" t="s">
        <v>611</v>
      </c>
      <c r="V280" s="113">
        <f>COUNTIFS('Delivery Tracking'!E:E,B280)</f>
        <v>0</v>
      </c>
      <c r="W280" s="113">
        <f>SUMIFS(All_Stats!N:N,All_Stats!$A:$A,$B280,All_Stats!$B:$B,"Overall",All_Stats!$D:$D,"Total")</f>
        <v>0</v>
      </c>
      <c r="X280" s="323">
        <v>44740.0</v>
      </c>
      <c r="Y280" s="329"/>
      <c r="Z280" s="326"/>
    </row>
    <row r="281" hidden="1">
      <c r="A281" s="436" t="s">
        <v>773</v>
      </c>
      <c r="B281" s="339" t="s">
        <v>1129</v>
      </c>
      <c r="C281" s="306"/>
      <c r="D281" s="193">
        <v>55.0</v>
      </c>
      <c r="E281" s="171">
        <f>SUMIFS(All_Stats!G:G,All_Stats!$A:$A,$B281,All_Stats!$B:$B,"Overall",All_Stats!$D:$D,"Total")</f>
        <v>0</v>
      </c>
      <c r="F281" s="113">
        <f>SUMIFS(All_Stats!H:H,All_Stats!$A:$A,$B281,All_Stats!$B:$B,"Overall",All_Stats!$D:$D,"Total")</f>
        <v>0</v>
      </c>
      <c r="G281" s="171">
        <f>SUMIFS(All_Stats!I:I,All_Stats!$A:$A,$B281,All_Stats!$B:$B,"Overall",All_Stats!$D:$D,"Total")</f>
        <v>0</v>
      </c>
      <c r="H281" s="113">
        <f>SUMIFS(All_Stats!K:K,All_Stats!$A:$A,$B281,All_Stats!$B:$B,"Overall",All_Stats!$D:$D,"Total")</f>
        <v>0</v>
      </c>
      <c r="I281" s="113">
        <f>SUMIFS(All_Stats!J:J,All_Stats!$A:$A,$B281,All_Stats!$B:$B,"Overall",All_Stats!$D:$D,"Total")</f>
        <v>0</v>
      </c>
      <c r="J281" s="113">
        <f t="shared" si="3"/>
        <v>55</v>
      </c>
      <c r="K281" s="249" t="s">
        <v>57</v>
      </c>
      <c r="L281" s="245">
        <v>44308.0</v>
      </c>
      <c r="M281" s="245">
        <v>44365.0</v>
      </c>
      <c r="O281" s="310">
        <f t="shared" si="6"/>
        <v>30.73809524</v>
      </c>
      <c r="P281" s="311">
        <f t="shared" ref="P281:Q281" si="288">F281/D281</f>
        <v>0</v>
      </c>
      <c r="Q281" s="325" t="str">
        <f t="shared" si="288"/>
        <v>#DIV/0!</v>
      </c>
      <c r="R281" s="311">
        <f t="shared" si="8"/>
        <v>0</v>
      </c>
      <c r="S281" s="300" t="str">
        <f t="shared" si="279"/>
        <v>Closed</v>
      </c>
      <c r="T281" s="2" t="s">
        <v>153</v>
      </c>
      <c r="U281" s="162" t="s">
        <v>611</v>
      </c>
      <c r="V281" s="113">
        <f>COUNTIFS('Delivery Tracking'!E:E,B281)</f>
        <v>0</v>
      </c>
      <c r="W281" s="113">
        <f>SUMIFS(All_Stats!N:N,All_Stats!$A:$A,$B281,All_Stats!$B:$B,"Overall",All_Stats!$D:$D,"Total")</f>
        <v>0</v>
      </c>
      <c r="X281" s="323">
        <v>44741.0</v>
      </c>
      <c r="Y281" s="329"/>
      <c r="Z281" s="326"/>
    </row>
    <row r="282" hidden="1">
      <c r="A282" s="330" t="s">
        <v>1130</v>
      </c>
      <c r="B282" s="426" t="s">
        <v>1131</v>
      </c>
      <c r="C282" s="348"/>
      <c r="D282" s="193">
        <v>30.0</v>
      </c>
      <c r="E282" s="171">
        <f>SUMIFS(All_Stats!G:G,All_Stats!$A:$A,$B282,All_Stats!$B:$B,"Overall",All_Stats!$D:$D,"Total")</f>
        <v>0</v>
      </c>
      <c r="F282" s="113">
        <f>SUMIFS(All_Stats!H:H,All_Stats!$A:$A,$B282,All_Stats!$B:$B,"Overall",All_Stats!$D:$D,"Total")</f>
        <v>0</v>
      </c>
      <c r="G282" s="171">
        <f>SUMIFS(All_Stats!I:I,All_Stats!$A:$A,$B282,All_Stats!$B:$B,"Overall",All_Stats!$D:$D,"Total")</f>
        <v>0</v>
      </c>
      <c r="H282" s="113">
        <f>SUMIFS(All_Stats!K:K,All_Stats!$A:$A,$B282,All_Stats!$B:$B,"Overall",All_Stats!$D:$D,"Total")</f>
        <v>0</v>
      </c>
      <c r="I282" s="113">
        <f>SUMIFS(All_Stats!J:J,All_Stats!$A:$A,$B282,All_Stats!$B:$B,"Overall",All_Stats!$D:$D,"Total")</f>
        <v>0</v>
      </c>
      <c r="J282" s="113">
        <f t="shared" si="3"/>
        <v>30</v>
      </c>
      <c r="K282" s="249" t="s">
        <v>57</v>
      </c>
      <c r="L282" s="245">
        <v>44244.0</v>
      </c>
      <c r="M282" s="245">
        <v>44365.0</v>
      </c>
      <c r="O282" s="310">
        <f t="shared" si="6"/>
        <v>15.19318182</v>
      </c>
      <c r="P282" s="311">
        <f t="shared" ref="P282:Q282" si="289">F282/D282</f>
        <v>0</v>
      </c>
      <c r="Q282" s="325" t="str">
        <f t="shared" si="289"/>
        <v>#DIV/0!</v>
      </c>
      <c r="R282" s="311">
        <f t="shared" si="8"/>
        <v>0</v>
      </c>
      <c r="S282" s="300" t="str">
        <f t="shared" si="279"/>
        <v>Closed</v>
      </c>
      <c r="T282" s="2" t="s">
        <v>153</v>
      </c>
      <c r="U282" s="162" t="s">
        <v>611</v>
      </c>
      <c r="V282" s="113">
        <f>COUNTIFS('Delivery Tracking'!E:E,B282)</f>
        <v>0</v>
      </c>
      <c r="W282" s="113">
        <f>SUMIFS(All_Stats!N:N,All_Stats!$A:$A,$B282,All_Stats!$B:$B,"Overall",All_Stats!$D:$D,"Total")</f>
        <v>0</v>
      </c>
      <c r="X282" s="323">
        <v>44742.0</v>
      </c>
      <c r="Y282" s="329"/>
      <c r="Z282" s="326"/>
    </row>
    <row r="283" hidden="1">
      <c r="A283" s="330" t="s">
        <v>737</v>
      </c>
      <c r="B283" s="341" t="s">
        <v>1132</v>
      </c>
      <c r="C283" s="306"/>
      <c r="D283" s="193">
        <v>50.0</v>
      </c>
      <c r="E283" s="171">
        <f>SUMIFS(All_Stats!G:G,All_Stats!$A:$A,$B283,All_Stats!$B:$B,"Overall",All_Stats!$D:$D,"Total")</f>
        <v>0</v>
      </c>
      <c r="F283" s="113">
        <f>SUMIFS(All_Stats!H:H,All_Stats!$A:$A,$B283,All_Stats!$B:$B,"Overall",All_Stats!$D:$D,"Total")</f>
        <v>0</v>
      </c>
      <c r="G283" s="171">
        <f>SUMIFS(All_Stats!I:I,All_Stats!$A:$A,$B283,All_Stats!$B:$B,"Overall",All_Stats!$D:$D,"Total")</f>
        <v>0</v>
      </c>
      <c r="H283" s="113">
        <f>SUMIFS(All_Stats!K:K,All_Stats!$A:$A,$B283,All_Stats!$B:$B,"Overall",All_Stats!$D:$D,"Total")</f>
        <v>0</v>
      </c>
      <c r="I283" s="113">
        <f>SUMIFS(All_Stats!J:J,All_Stats!$A:$A,$B283,All_Stats!$B:$B,"Overall",All_Stats!$D:$D,"Total")</f>
        <v>0</v>
      </c>
      <c r="J283" s="113">
        <f t="shared" si="3"/>
        <v>50</v>
      </c>
      <c r="K283" s="249" t="s">
        <v>57</v>
      </c>
      <c r="L283" s="245">
        <v>44328.0</v>
      </c>
      <c r="M283" s="245">
        <v>44363.0</v>
      </c>
      <c r="N283" s="2" t="s">
        <v>1133</v>
      </c>
      <c r="O283" s="310">
        <f t="shared" si="6"/>
        <v>49.11538462</v>
      </c>
      <c r="P283" s="311">
        <f t="shared" ref="P283:Q283" si="290">F283/D283</f>
        <v>0</v>
      </c>
      <c r="Q283" s="325" t="str">
        <f t="shared" si="290"/>
        <v>#DIV/0!</v>
      </c>
      <c r="R283" s="311">
        <f t="shared" si="8"/>
        <v>0</v>
      </c>
      <c r="S283" s="300" t="str">
        <f t="shared" si="279"/>
        <v>Closed</v>
      </c>
      <c r="T283" s="2" t="s">
        <v>166</v>
      </c>
      <c r="U283" s="162" t="s">
        <v>611</v>
      </c>
      <c r="V283" s="113">
        <f>COUNTIFS('Delivery Tracking'!E:E,B283)</f>
        <v>0</v>
      </c>
      <c r="W283" s="113">
        <f>SUMIFS(All_Stats!N:N,All_Stats!$A:$A,$B283,All_Stats!$B:$B,"Overall",All_Stats!$D:$D,"Total")</f>
        <v>0</v>
      </c>
      <c r="X283" s="323">
        <v>44743.0</v>
      </c>
      <c r="Y283" s="329"/>
      <c r="Z283" s="326"/>
    </row>
    <row r="284" hidden="1">
      <c r="A284" s="434" t="s">
        <v>763</v>
      </c>
      <c r="B284" s="396" t="s">
        <v>1134</v>
      </c>
      <c r="C284" s="306"/>
      <c r="D284" s="193">
        <v>10.0</v>
      </c>
      <c r="E284" s="171">
        <f>SUMIFS(All_Stats!G:G,All_Stats!$A:$A,$B284,All_Stats!$B:$B,"Overall",All_Stats!$D:$D,"Total")</f>
        <v>0</v>
      </c>
      <c r="F284" s="113">
        <f>SUMIFS(All_Stats!H:H,All_Stats!$A:$A,$B284,All_Stats!$B:$B,"Overall",All_Stats!$D:$D,"Total")</f>
        <v>0</v>
      </c>
      <c r="G284" s="171">
        <f>SUMIFS(All_Stats!I:I,All_Stats!$A:$A,$B284,All_Stats!$B:$B,"Overall",All_Stats!$D:$D,"Total")</f>
        <v>0</v>
      </c>
      <c r="H284" s="113">
        <f>SUMIFS(All_Stats!K:K,All_Stats!$A:$A,$B284,All_Stats!$B:$B,"Overall",All_Stats!$D:$D,"Total")</f>
        <v>0</v>
      </c>
      <c r="I284" s="113">
        <f>SUMIFS(All_Stats!J:J,All_Stats!$A:$A,$B284,All_Stats!$B:$B,"Overall",All_Stats!$D:$D,"Total")</f>
        <v>0</v>
      </c>
      <c r="J284" s="113">
        <f t="shared" si="3"/>
        <v>10</v>
      </c>
      <c r="K284" s="249" t="s">
        <v>57</v>
      </c>
      <c r="L284" s="245">
        <v>44344.0</v>
      </c>
      <c r="M284" s="245">
        <v>44361.0</v>
      </c>
      <c r="O284" s="310">
        <f t="shared" si="6"/>
        <v>105.4166667</v>
      </c>
      <c r="P284" s="311">
        <f t="shared" ref="P284:Q284" si="291">F284/D284</f>
        <v>0</v>
      </c>
      <c r="Q284" s="325" t="str">
        <f t="shared" si="291"/>
        <v>#DIV/0!</v>
      </c>
      <c r="R284" s="311">
        <f t="shared" si="8"/>
        <v>0</v>
      </c>
      <c r="S284" s="300" t="str">
        <f t="shared" si="279"/>
        <v>Closed</v>
      </c>
      <c r="T284" s="2" t="s">
        <v>153</v>
      </c>
      <c r="U284" s="162" t="s">
        <v>611</v>
      </c>
      <c r="V284" s="113">
        <f>COUNTIFS('Delivery Tracking'!E:E,B284)</f>
        <v>0</v>
      </c>
      <c r="W284" s="113">
        <f>SUMIFS(All_Stats!N:N,All_Stats!$A:$A,$B284,All_Stats!$B:$B,"Overall",All_Stats!$D:$D,"Total")</f>
        <v>0</v>
      </c>
      <c r="X284" s="323">
        <v>44744.0</v>
      </c>
      <c r="Y284" s="329"/>
      <c r="Z284" s="326"/>
    </row>
    <row r="285" hidden="1">
      <c r="A285" s="330" t="s">
        <v>1135</v>
      </c>
      <c r="B285" s="175" t="s">
        <v>1136</v>
      </c>
      <c r="C285" s="306"/>
      <c r="D285" s="193">
        <v>45.0</v>
      </c>
      <c r="E285" s="171">
        <f>SUMIFS(All_Stats!G:G,All_Stats!$A:$A,$B285,All_Stats!$B:$B,"Overall",All_Stats!$D:$D,"Total")</f>
        <v>0</v>
      </c>
      <c r="F285" s="113">
        <f>SUMIFS(All_Stats!H:H,All_Stats!$A:$A,$B285,All_Stats!$B:$B,"Overall",All_Stats!$D:$D,"Total")</f>
        <v>0</v>
      </c>
      <c r="G285" s="171">
        <f>SUMIFS(All_Stats!I:I,All_Stats!$A:$A,$B285,All_Stats!$B:$B,"Overall",All_Stats!$D:$D,"Total")</f>
        <v>0</v>
      </c>
      <c r="H285" s="113">
        <f>SUMIFS(All_Stats!K:K,All_Stats!$A:$A,$B285,All_Stats!$B:$B,"Overall",All_Stats!$D:$D,"Total")</f>
        <v>0</v>
      </c>
      <c r="I285" s="113">
        <f>SUMIFS(All_Stats!J:J,All_Stats!$A:$A,$B285,All_Stats!$B:$B,"Overall",All_Stats!$D:$D,"Total")</f>
        <v>0</v>
      </c>
      <c r="J285" s="113">
        <f t="shared" si="3"/>
        <v>45</v>
      </c>
      <c r="K285" s="249" t="s">
        <v>57</v>
      </c>
      <c r="L285" s="245">
        <v>44333.0</v>
      </c>
      <c r="M285" s="245">
        <v>44369.0</v>
      </c>
      <c r="N285" s="2" t="s">
        <v>1137</v>
      </c>
      <c r="O285" s="310">
        <f t="shared" si="6"/>
        <v>47.18518519</v>
      </c>
      <c r="P285" s="311">
        <f t="shared" ref="P285:Q285" si="292">F285/D285</f>
        <v>0</v>
      </c>
      <c r="Q285" s="325" t="str">
        <f t="shared" si="292"/>
        <v>#DIV/0!</v>
      </c>
      <c r="R285" s="311">
        <f t="shared" si="8"/>
        <v>0</v>
      </c>
      <c r="S285" s="300" t="str">
        <f t="shared" si="279"/>
        <v>Closed</v>
      </c>
      <c r="T285" s="2" t="s">
        <v>293</v>
      </c>
      <c r="U285" s="162" t="s">
        <v>611</v>
      </c>
      <c r="V285" s="113">
        <f>COUNTIFS('Delivery Tracking'!E:E,B285)</f>
        <v>0</v>
      </c>
      <c r="W285" s="113">
        <f>SUMIFS(All_Stats!N:N,All_Stats!$A:$A,$B285,All_Stats!$B:$B,"Overall",All_Stats!$D:$D,"Total")</f>
        <v>0</v>
      </c>
      <c r="X285" s="323">
        <v>44745.0</v>
      </c>
      <c r="Y285" s="329"/>
      <c r="Z285" s="326"/>
    </row>
    <row r="286" hidden="1">
      <c r="A286" s="365" t="s">
        <v>1138</v>
      </c>
      <c r="B286" s="396" t="s">
        <v>1139</v>
      </c>
      <c r="C286" s="306"/>
      <c r="D286" s="193">
        <v>15.0</v>
      </c>
      <c r="E286" s="171">
        <f>SUMIFS(All_Stats!G:G,All_Stats!$A:$A,$B286,All_Stats!$B:$B,"Overall",All_Stats!$D:$D,"Total")</f>
        <v>0</v>
      </c>
      <c r="F286" s="113">
        <f>SUMIFS(All_Stats!H:H,All_Stats!$A:$A,$B286,All_Stats!$B:$B,"Overall",All_Stats!$D:$D,"Total")</f>
        <v>0</v>
      </c>
      <c r="G286" s="171">
        <f>SUMIFS(All_Stats!I:I,All_Stats!$A:$A,$B286,All_Stats!$B:$B,"Overall",All_Stats!$D:$D,"Total")</f>
        <v>0</v>
      </c>
      <c r="H286" s="113">
        <f>SUMIFS(All_Stats!K:K,All_Stats!$A:$A,$B286,All_Stats!$B:$B,"Overall",All_Stats!$D:$D,"Total")</f>
        <v>0</v>
      </c>
      <c r="I286" s="113">
        <f>SUMIFS(All_Stats!J:J,All_Stats!$A:$A,$B286,All_Stats!$B:$B,"Overall",All_Stats!$D:$D,"Total")</f>
        <v>0</v>
      </c>
      <c r="J286" s="113">
        <f t="shared" si="3"/>
        <v>15</v>
      </c>
      <c r="K286" s="249" t="s">
        <v>57</v>
      </c>
      <c r="L286" s="356">
        <v>44348.0</v>
      </c>
      <c r="M286" s="356">
        <v>44368.0</v>
      </c>
      <c r="O286" s="310">
        <f t="shared" si="6"/>
        <v>84.2</v>
      </c>
      <c r="P286" s="311">
        <f t="shared" ref="P286:Q286" si="293">F286/D286</f>
        <v>0</v>
      </c>
      <c r="Q286" s="325" t="str">
        <f t="shared" si="293"/>
        <v>#DIV/0!</v>
      </c>
      <c r="R286" s="311">
        <f t="shared" si="8"/>
        <v>0</v>
      </c>
      <c r="S286" s="300" t="str">
        <f t="shared" si="279"/>
        <v>Closed</v>
      </c>
      <c r="T286" s="2" t="s">
        <v>166</v>
      </c>
      <c r="U286" s="162" t="s">
        <v>611</v>
      </c>
      <c r="V286" s="113">
        <f>COUNTIFS('Delivery Tracking'!E:E,B286)</f>
        <v>0</v>
      </c>
      <c r="W286" s="113">
        <f>SUMIFS(All_Stats!N:N,All_Stats!$A:$A,$B286,All_Stats!$B:$B,"Overall",All_Stats!$D:$D,"Total")</f>
        <v>0</v>
      </c>
      <c r="X286" s="323">
        <v>44746.0</v>
      </c>
      <c r="Y286" s="329"/>
      <c r="Z286" s="326"/>
    </row>
    <row r="287" hidden="1">
      <c r="A287" s="327" t="s">
        <v>1140</v>
      </c>
      <c r="B287" s="175" t="s">
        <v>1141</v>
      </c>
      <c r="C287" s="306"/>
      <c r="D287" s="193">
        <v>100.0</v>
      </c>
      <c r="E287" s="171">
        <f>SUMIFS(All_Stats!G:G,All_Stats!$A:$A,$B287,All_Stats!$B:$B,"Overall",All_Stats!$D:$D,"Total")</f>
        <v>0</v>
      </c>
      <c r="F287" s="113">
        <f>SUMIFS(All_Stats!H:H,All_Stats!$A:$A,$B287,All_Stats!$B:$B,"Overall",All_Stats!$D:$D,"Total")</f>
        <v>0</v>
      </c>
      <c r="G287" s="171">
        <f>SUMIFS(All_Stats!I:I,All_Stats!$A:$A,$B287,All_Stats!$B:$B,"Overall",All_Stats!$D:$D,"Total")</f>
        <v>0</v>
      </c>
      <c r="H287" s="113">
        <f>SUMIFS(All_Stats!K:K,All_Stats!$A:$A,$B287,All_Stats!$B:$B,"Overall",All_Stats!$D:$D,"Total")</f>
        <v>0</v>
      </c>
      <c r="I287" s="113">
        <f>SUMIFS(All_Stats!J:J,All_Stats!$A:$A,$B287,All_Stats!$B:$B,"Overall",All_Stats!$D:$D,"Total")</f>
        <v>0</v>
      </c>
      <c r="J287" s="113">
        <f t="shared" si="3"/>
        <v>100</v>
      </c>
      <c r="K287" s="249" t="s">
        <v>57</v>
      </c>
      <c r="L287" s="245">
        <v>44300.0</v>
      </c>
      <c r="M287" s="245">
        <v>44356.0</v>
      </c>
      <c r="O287" s="310">
        <f t="shared" si="6"/>
        <v>31.63414634</v>
      </c>
      <c r="P287" s="311">
        <f t="shared" ref="P287:Q287" si="294">F287/D287</f>
        <v>0</v>
      </c>
      <c r="Q287" s="325" t="str">
        <f t="shared" si="294"/>
        <v>#DIV/0!</v>
      </c>
      <c r="R287" s="311">
        <f t="shared" si="8"/>
        <v>0</v>
      </c>
      <c r="S287" s="300" t="str">
        <f t="shared" si="279"/>
        <v>Closed</v>
      </c>
      <c r="T287" s="2" t="s">
        <v>146</v>
      </c>
      <c r="U287" s="162" t="s">
        <v>611</v>
      </c>
      <c r="V287" s="113">
        <f>COUNTIFS('Delivery Tracking'!E:E,B287)</f>
        <v>0</v>
      </c>
      <c r="W287" s="113">
        <f>SUMIFS(All_Stats!N:N,All_Stats!$A:$A,$B287,All_Stats!$B:$B,"Overall",All_Stats!$D:$D,"Total")</f>
        <v>0</v>
      </c>
      <c r="X287" s="323">
        <v>44747.0</v>
      </c>
      <c r="Y287" s="329"/>
      <c r="Z287" s="326"/>
    </row>
    <row r="288" hidden="1">
      <c r="A288" s="330" t="s">
        <v>1142</v>
      </c>
      <c r="B288" s="426" t="s">
        <v>1143</v>
      </c>
      <c r="C288" s="428"/>
      <c r="D288" s="193">
        <v>75.0</v>
      </c>
      <c r="E288" s="171">
        <f>SUMIFS(All_Stats!G:G,All_Stats!$A:$A,$B288,All_Stats!$B:$B,"Overall",All_Stats!$D:$D,"Total")</f>
        <v>0</v>
      </c>
      <c r="F288" s="113">
        <f>SUMIFS(All_Stats!H:H,All_Stats!$A:$A,$B288,All_Stats!$B:$B,"Overall",All_Stats!$D:$D,"Total")</f>
        <v>0</v>
      </c>
      <c r="G288" s="171">
        <f>SUMIFS(All_Stats!I:I,All_Stats!$A:$A,$B288,All_Stats!$B:$B,"Overall",All_Stats!$D:$D,"Total")</f>
        <v>0</v>
      </c>
      <c r="H288" s="113">
        <f>SUMIFS(All_Stats!K:K,All_Stats!$A:$A,$B288,All_Stats!$B:$B,"Overall",All_Stats!$D:$D,"Total")</f>
        <v>0</v>
      </c>
      <c r="I288" s="113">
        <f>SUMIFS(All_Stats!J:J,All_Stats!$A:$A,$B288,All_Stats!$B:$B,"Overall",All_Stats!$D:$D,"Total")</f>
        <v>0</v>
      </c>
      <c r="J288" s="113">
        <f t="shared" si="3"/>
        <v>75</v>
      </c>
      <c r="K288" s="249" t="s">
        <v>57</v>
      </c>
      <c r="L288" s="245">
        <v>44224.0</v>
      </c>
      <c r="M288" s="245">
        <v>44278.0</v>
      </c>
      <c r="O288" s="310">
        <f t="shared" si="6"/>
        <v>34.64102564</v>
      </c>
      <c r="P288" s="311">
        <f t="shared" ref="P288:Q288" si="295">F288/D288</f>
        <v>0</v>
      </c>
      <c r="Q288" s="325" t="str">
        <f t="shared" si="295"/>
        <v>#DIV/0!</v>
      </c>
      <c r="R288" s="311">
        <f t="shared" si="8"/>
        <v>0</v>
      </c>
      <c r="S288" s="300" t="str">
        <f t="shared" si="279"/>
        <v>Closed</v>
      </c>
      <c r="T288" s="2" t="s">
        <v>146</v>
      </c>
      <c r="U288" s="162" t="s">
        <v>611</v>
      </c>
      <c r="V288" s="113">
        <f>COUNTIFS('Delivery Tracking'!E:E,B288)</f>
        <v>0</v>
      </c>
      <c r="W288" s="113">
        <f>SUMIFS(All_Stats!N:N,All_Stats!$A:$A,$B288,All_Stats!$B:$B,"Overall",All_Stats!$D:$D,"Total")</f>
        <v>0</v>
      </c>
      <c r="X288" s="323">
        <v>44748.0</v>
      </c>
      <c r="Y288" s="329"/>
      <c r="Z288" s="326"/>
    </row>
    <row r="289" hidden="1">
      <c r="A289" s="338" t="s">
        <v>1144</v>
      </c>
      <c r="B289" s="339" t="s">
        <v>1145</v>
      </c>
      <c r="C289" s="306"/>
      <c r="D289" s="193">
        <v>25.0</v>
      </c>
      <c r="E289" s="171">
        <f>SUMIFS(All_Stats!G:G,All_Stats!$A:$A,$B289,All_Stats!$B:$B,"Overall",All_Stats!$D:$D,"Total")</f>
        <v>0</v>
      </c>
      <c r="F289" s="113">
        <f>SUMIFS(All_Stats!H:H,All_Stats!$A:$A,$B289,All_Stats!$B:$B,"Overall",All_Stats!$D:$D,"Total")</f>
        <v>0</v>
      </c>
      <c r="G289" s="171">
        <f>SUMIFS(All_Stats!I:I,All_Stats!$A:$A,$B289,All_Stats!$B:$B,"Overall",All_Stats!$D:$D,"Total")</f>
        <v>0</v>
      </c>
      <c r="H289" s="113">
        <f>SUMIFS(All_Stats!K:K,All_Stats!$A:$A,$B289,All_Stats!$B:$B,"Overall",All_Stats!$D:$D,"Total")</f>
        <v>0</v>
      </c>
      <c r="I289" s="113">
        <f>SUMIFS(All_Stats!J:J,All_Stats!$A:$A,$B289,All_Stats!$B:$B,"Overall",All_Stats!$D:$D,"Total")</f>
        <v>0</v>
      </c>
      <c r="J289" s="113">
        <f t="shared" si="3"/>
        <v>25</v>
      </c>
      <c r="K289" s="249" t="s">
        <v>57</v>
      </c>
      <c r="L289" s="245">
        <v>44306.0</v>
      </c>
      <c r="M289" s="245">
        <v>44355.0</v>
      </c>
      <c r="O289" s="310">
        <f t="shared" si="6"/>
        <v>35.91666667</v>
      </c>
      <c r="P289" s="311">
        <f t="shared" ref="P289:Q289" si="296">F289/D289</f>
        <v>0</v>
      </c>
      <c r="Q289" s="325" t="str">
        <f t="shared" si="296"/>
        <v>#DIV/0!</v>
      </c>
      <c r="R289" s="311">
        <f t="shared" si="8"/>
        <v>0</v>
      </c>
      <c r="S289" s="300" t="str">
        <f t="shared" si="279"/>
        <v>Closed</v>
      </c>
      <c r="T289" s="2" t="s">
        <v>293</v>
      </c>
      <c r="U289" s="162" t="s">
        <v>611</v>
      </c>
      <c r="V289" s="113">
        <f>COUNTIFS('Delivery Tracking'!E:E,B289)</f>
        <v>0</v>
      </c>
      <c r="W289" s="113">
        <f>SUMIFS(All_Stats!N:N,All_Stats!$A:$A,$B289,All_Stats!$B:$B,"Overall",All_Stats!$D:$D,"Total")</f>
        <v>0</v>
      </c>
      <c r="X289" s="323">
        <v>44749.0</v>
      </c>
      <c r="Y289" s="329"/>
      <c r="Z289" s="326"/>
    </row>
    <row r="290" hidden="1">
      <c r="A290" s="327" t="s">
        <v>862</v>
      </c>
      <c r="B290" s="175" t="s">
        <v>1146</v>
      </c>
      <c r="C290" s="306"/>
      <c r="D290" s="193">
        <v>344.0</v>
      </c>
      <c r="E290" s="171">
        <f>SUMIFS(All_Stats!G:G,All_Stats!$A:$A,$B290,All_Stats!$B:$B,"Overall",All_Stats!$D:$D,"Total")</f>
        <v>0</v>
      </c>
      <c r="F290" s="113">
        <f>SUMIFS(All_Stats!H:H,All_Stats!$A:$A,$B290,All_Stats!$B:$B,"Overall",All_Stats!$D:$D,"Total")</f>
        <v>0</v>
      </c>
      <c r="G290" s="171">
        <f>SUMIFS(All_Stats!I:I,All_Stats!$A:$A,$B290,All_Stats!$B:$B,"Overall",All_Stats!$D:$D,"Total")</f>
        <v>0</v>
      </c>
      <c r="H290" s="113">
        <f>SUMIFS(All_Stats!K:K,All_Stats!$A:$A,$B290,All_Stats!$B:$B,"Overall",All_Stats!$D:$D,"Total")</f>
        <v>0</v>
      </c>
      <c r="I290" s="113">
        <f>SUMIFS(All_Stats!J:J,All_Stats!$A:$A,$B290,All_Stats!$B:$B,"Overall",All_Stats!$D:$D,"Total")</f>
        <v>0</v>
      </c>
      <c r="J290" s="113">
        <f t="shared" si="3"/>
        <v>344</v>
      </c>
      <c r="K290" s="249" t="s">
        <v>57</v>
      </c>
      <c r="L290" s="245">
        <v>44321.0</v>
      </c>
      <c r="M290" s="245">
        <v>44357.0</v>
      </c>
      <c r="O290" s="310">
        <f t="shared" si="6"/>
        <v>47.48148148</v>
      </c>
      <c r="P290" s="311">
        <f t="shared" ref="P290:Q290" si="297">F290/D290</f>
        <v>0</v>
      </c>
      <c r="Q290" s="325" t="str">
        <f t="shared" si="297"/>
        <v>#DIV/0!</v>
      </c>
      <c r="R290" s="311">
        <f t="shared" si="8"/>
        <v>0</v>
      </c>
      <c r="S290" s="300" t="str">
        <f t="shared" si="279"/>
        <v>Closed</v>
      </c>
      <c r="T290" s="2" t="s">
        <v>146</v>
      </c>
      <c r="U290" s="162" t="s">
        <v>611</v>
      </c>
      <c r="V290" s="113">
        <f>COUNTIFS('Delivery Tracking'!E:E,B290)</f>
        <v>0</v>
      </c>
      <c r="W290" s="113">
        <f>SUMIFS(All_Stats!N:N,All_Stats!$A:$A,$B290,All_Stats!$B:$B,"Overall",All_Stats!$D:$D,"Total")</f>
        <v>0</v>
      </c>
      <c r="X290" s="323">
        <v>44750.0</v>
      </c>
      <c r="Y290" s="329"/>
      <c r="Z290" s="326"/>
    </row>
    <row r="291" hidden="1">
      <c r="A291" s="330" t="s">
        <v>907</v>
      </c>
      <c r="B291" s="175" t="s">
        <v>1147</v>
      </c>
      <c r="C291" s="381"/>
      <c r="D291" s="193">
        <v>50.0</v>
      </c>
      <c r="E291" s="171">
        <f>SUMIFS(All_Stats!G:G,All_Stats!$A:$A,$B291,All_Stats!$B:$B,"Overall",All_Stats!$D:$D,"Total")</f>
        <v>0</v>
      </c>
      <c r="F291" s="113">
        <f>SUMIFS(All_Stats!H:H,All_Stats!$A:$A,$B291,All_Stats!$B:$B,"Overall",All_Stats!$D:$D,"Total")</f>
        <v>0</v>
      </c>
      <c r="G291" s="171">
        <f>SUMIFS(All_Stats!I:I,All_Stats!$A:$A,$B291,All_Stats!$B:$B,"Overall",All_Stats!$D:$D,"Total")</f>
        <v>0</v>
      </c>
      <c r="H291" s="113">
        <f>SUMIFS(All_Stats!K:K,All_Stats!$A:$A,$B291,All_Stats!$B:$B,"Overall",All_Stats!$D:$D,"Total")</f>
        <v>0</v>
      </c>
      <c r="I291" s="113">
        <f>SUMIFS(All_Stats!J:J,All_Stats!$A:$A,$B291,All_Stats!$B:$B,"Overall",All_Stats!$D:$D,"Total")</f>
        <v>0</v>
      </c>
      <c r="J291" s="113">
        <f t="shared" si="3"/>
        <v>50</v>
      </c>
      <c r="K291" s="249" t="s">
        <v>57</v>
      </c>
      <c r="L291" s="245">
        <v>44335.0</v>
      </c>
      <c r="M291" s="245">
        <v>44385.0</v>
      </c>
      <c r="O291" s="310">
        <f t="shared" si="6"/>
        <v>34.37837838</v>
      </c>
      <c r="P291" s="311">
        <f t="shared" ref="P291:Q291" si="298">F291/D291</f>
        <v>0</v>
      </c>
      <c r="Q291" s="325" t="str">
        <f t="shared" si="298"/>
        <v>#DIV/0!</v>
      </c>
      <c r="R291" s="311">
        <f t="shared" si="8"/>
        <v>0</v>
      </c>
      <c r="S291" s="300" t="str">
        <f t="shared" si="279"/>
        <v>Closed</v>
      </c>
      <c r="T291" s="2" t="s">
        <v>146</v>
      </c>
      <c r="U291" s="162" t="s">
        <v>611</v>
      </c>
      <c r="V291" s="113">
        <f>COUNTIFS('Delivery Tracking'!E:E,B291)</f>
        <v>0</v>
      </c>
      <c r="W291" s="113">
        <f>SUMIFS(All_Stats!N:N,All_Stats!$A:$A,$B291,All_Stats!$B:$B,"Overall",All_Stats!$D:$D,"Total")</f>
        <v>0</v>
      </c>
      <c r="X291" s="323">
        <v>44751.0</v>
      </c>
      <c r="Y291" s="329"/>
      <c r="Z291" s="326"/>
    </row>
    <row r="292" ht="18.75" hidden="1" customHeight="1">
      <c r="A292" s="330" t="s">
        <v>1148</v>
      </c>
      <c r="B292" s="426" t="s">
        <v>1149</v>
      </c>
      <c r="C292" s="428"/>
      <c r="D292" s="193">
        <v>50.0</v>
      </c>
      <c r="E292" s="171">
        <f>SUMIFS(All_Stats!G:G,All_Stats!$A:$A,$B292,All_Stats!$B:$B,"Overall",All_Stats!$D:$D,"Total")</f>
        <v>0</v>
      </c>
      <c r="F292" s="113">
        <f>SUMIFS(All_Stats!H:H,All_Stats!$A:$A,$B292,All_Stats!$B:$B,"Overall",All_Stats!$D:$D,"Total")</f>
        <v>0</v>
      </c>
      <c r="G292" s="171">
        <f>SUMIFS(All_Stats!I:I,All_Stats!$A:$A,$B292,All_Stats!$B:$B,"Overall",All_Stats!$D:$D,"Total")</f>
        <v>0</v>
      </c>
      <c r="H292" s="113">
        <f>SUMIFS(All_Stats!K:K,All_Stats!$A:$A,$B292,All_Stats!$B:$B,"Overall",All_Stats!$D:$D,"Total")</f>
        <v>0</v>
      </c>
      <c r="I292" s="113">
        <f>SUMIFS(All_Stats!J:J,All_Stats!$A:$A,$B292,All_Stats!$B:$B,"Overall",All_Stats!$D:$D,"Total")</f>
        <v>0</v>
      </c>
      <c r="J292" s="113">
        <f t="shared" si="3"/>
        <v>50</v>
      </c>
      <c r="K292" s="249" t="s">
        <v>57</v>
      </c>
      <c r="L292" s="245">
        <v>44218.0</v>
      </c>
      <c r="M292" s="245">
        <v>44273.0</v>
      </c>
      <c r="O292" s="310">
        <f t="shared" si="6"/>
        <v>33.875</v>
      </c>
      <c r="P292" s="311">
        <f t="shared" ref="P292:Q292" si="299">F292/D292</f>
        <v>0</v>
      </c>
      <c r="Q292" s="325" t="str">
        <f t="shared" si="299"/>
        <v>#DIV/0!</v>
      </c>
      <c r="R292" s="311">
        <f t="shared" si="8"/>
        <v>0</v>
      </c>
      <c r="S292" s="300" t="str">
        <f t="shared" si="279"/>
        <v>Closed</v>
      </c>
      <c r="T292" s="2" t="s">
        <v>146</v>
      </c>
      <c r="U292" s="162" t="s">
        <v>611</v>
      </c>
      <c r="V292" s="113">
        <f>COUNTIFS('Delivery Tracking'!E:E,B292)</f>
        <v>0</v>
      </c>
      <c r="W292" s="113">
        <f>SUMIFS(All_Stats!N:N,All_Stats!$A:$A,$B292,All_Stats!$B:$B,"Overall",All_Stats!$D:$D,"Total")</f>
        <v>0</v>
      </c>
      <c r="X292" s="323">
        <v>44752.0</v>
      </c>
      <c r="Y292" s="329"/>
      <c r="Z292" s="326"/>
    </row>
    <row r="293" hidden="1">
      <c r="A293" s="437" t="s">
        <v>1150</v>
      </c>
      <c r="B293" s="305" t="s">
        <v>1151</v>
      </c>
      <c r="C293" s="381"/>
      <c r="D293" s="193">
        <v>2.0</v>
      </c>
      <c r="E293" s="171">
        <f>SUMIFS(All_Stats!G:G,All_Stats!$A:$A,$B293,All_Stats!$B:$B,"Overall",All_Stats!$D:$D,"Total")</f>
        <v>0</v>
      </c>
      <c r="F293" s="113">
        <f>SUMIFS(All_Stats!H:H,All_Stats!$A:$A,$B293,All_Stats!$B:$B,"Overall",All_Stats!$D:$D,"Total")</f>
        <v>0</v>
      </c>
      <c r="G293" s="171">
        <f>SUMIFS(All_Stats!I:I,All_Stats!$A:$A,$B293,All_Stats!$B:$B,"Overall",All_Stats!$D:$D,"Total")</f>
        <v>0</v>
      </c>
      <c r="H293" s="113">
        <f>SUMIFS(All_Stats!K:K,All_Stats!$A:$A,$B293,All_Stats!$B:$B,"Overall",All_Stats!$D:$D,"Total")</f>
        <v>0</v>
      </c>
      <c r="I293" s="113">
        <f>SUMIFS(All_Stats!J:J,All_Stats!$A:$A,$B293,All_Stats!$B:$B,"Overall",All_Stats!$D:$D,"Total")</f>
        <v>0</v>
      </c>
      <c r="J293" s="113">
        <f t="shared" si="3"/>
        <v>2</v>
      </c>
      <c r="K293" s="249" t="s">
        <v>649</v>
      </c>
      <c r="L293" s="245">
        <v>44278.0</v>
      </c>
      <c r="M293" s="245">
        <v>44363.0</v>
      </c>
      <c r="N293" s="429"/>
      <c r="O293" s="310">
        <f t="shared" si="6"/>
        <v>21.17741935</v>
      </c>
      <c r="P293" s="311">
        <f t="shared" ref="P293:Q293" si="300">F293/D293</f>
        <v>0</v>
      </c>
      <c r="Q293" s="325" t="str">
        <f t="shared" si="300"/>
        <v>#DIV/0!</v>
      </c>
      <c r="R293" s="311">
        <f t="shared" si="8"/>
        <v>0</v>
      </c>
      <c r="S293" s="249" t="s">
        <v>649</v>
      </c>
      <c r="T293" s="2" t="s">
        <v>21</v>
      </c>
      <c r="U293" s="162" t="s">
        <v>611</v>
      </c>
      <c r="V293" s="113">
        <f>COUNTIFS('Delivery Tracking'!E:E,B293)</f>
        <v>0</v>
      </c>
      <c r="W293" s="113">
        <f>SUMIFS(All_Stats!N:N,All_Stats!$A:$A,$B293,All_Stats!$B:$B,"Overall",All_Stats!$D:$D,"Total")</f>
        <v>0</v>
      </c>
      <c r="X293" s="323">
        <v>44753.0</v>
      </c>
      <c r="Y293" s="329"/>
      <c r="Z293" s="326"/>
    </row>
    <row r="294" hidden="1">
      <c r="A294" s="346" t="s">
        <v>1148</v>
      </c>
      <c r="B294" s="305" t="s">
        <v>1152</v>
      </c>
      <c r="C294" s="348"/>
      <c r="D294" s="193">
        <v>2.0</v>
      </c>
      <c r="E294" s="171">
        <f>SUMIFS(All_Stats!G:G,All_Stats!$A:$A,$B294,All_Stats!$B:$B,"Overall",All_Stats!$D:$D,"Total")</f>
        <v>0</v>
      </c>
      <c r="F294" s="113">
        <f>SUMIFS(All_Stats!H:H,All_Stats!$A:$A,$B294,All_Stats!$B:$B,"Overall",All_Stats!$D:$D,"Total")</f>
        <v>0</v>
      </c>
      <c r="G294" s="171">
        <f>SUMIFS(All_Stats!I:I,All_Stats!$A:$A,$B294,All_Stats!$B:$B,"Overall",All_Stats!$D:$D,"Total")</f>
        <v>0</v>
      </c>
      <c r="H294" s="113">
        <f>SUMIFS(All_Stats!K:K,All_Stats!$A:$A,$B294,All_Stats!$B:$B,"Overall",All_Stats!$D:$D,"Total")</f>
        <v>0</v>
      </c>
      <c r="I294" s="113">
        <f>SUMIFS(All_Stats!J:J,All_Stats!$A:$A,$B294,All_Stats!$B:$B,"Overall",All_Stats!$D:$D,"Total")</f>
        <v>0</v>
      </c>
      <c r="J294" s="113">
        <f t="shared" si="3"/>
        <v>2</v>
      </c>
      <c r="K294" s="249" t="s">
        <v>649</v>
      </c>
      <c r="L294" s="245">
        <v>44302.0</v>
      </c>
      <c r="M294" s="245">
        <v>44393.0</v>
      </c>
      <c r="O294" s="310">
        <f t="shared" si="6"/>
        <v>19.62121212</v>
      </c>
      <c r="P294" s="311">
        <f t="shared" ref="P294:Q294" si="301">F294/D294</f>
        <v>0</v>
      </c>
      <c r="Q294" s="325" t="str">
        <f t="shared" si="301"/>
        <v>#DIV/0!</v>
      </c>
      <c r="R294" s="311">
        <f t="shared" si="8"/>
        <v>0</v>
      </c>
      <c r="S294" s="249" t="s">
        <v>649</v>
      </c>
      <c r="T294" s="2" t="s">
        <v>21</v>
      </c>
      <c r="U294" s="162" t="s">
        <v>611</v>
      </c>
      <c r="V294" s="113">
        <f>COUNTIFS('Delivery Tracking'!E:E,B294)</f>
        <v>0</v>
      </c>
      <c r="W294" s="113">
        <f>SUMIFS(All_Stats!N:N,All_Stats!$A:$A,$B294,All_Stats!$B:$B,"Overall",All_Stats!$D:$D,"Total")</f>
        <v>0</v>
      </c>
      <c r="X294" s="323">
        <v>44754.0</v>
      </c>
      <c r="Y294" s="329"/>
      <c r="Z294" s="326"/>
    </row>
    <row r="295" hidden="1">
      <c r="A295" s="375" t="s">
        <v>1082</v>
      </c>
      <c r="B295" s="438" t="s">
        <v>1153</v>
      </c>
      <c r="C295" s="381"/>
      <c r="D295" s="193">
        <v>2.0</v>
      </c>
      <c r="E295" s="171">
        <f>SUMIFS(All_Stats!G:G,All_Stats!$A:$A,$B295,All_Stats!$B:$B,"Overall",All_Stats!$D:$D,"Total")</f>
        <v>0</v>
      </c>
      <c r="F295" s="113">
        <f>SUMIFS(All_Stats!H:H,All_Stats!$A:$A,$B295,All_Stats!$B:$B,"Overall",All_Stats!$D:$D,"Total")</f>
        <v>0</v>
      </c>
      <c r="G295" s="171">
        <f>SUMIFS(All_Stats!I:I,All_Stats!$A:$A,$B295,All_Stats!$B:$B,"Overall",All_Stats!$D:$D,"Total")</f>
        <v>0</v>
      </c>
      <c r="H295" s="113">
        <f>SUMIFS(All_Stats!K:K,All_Stats!$A:$A,$B295,All_Stats!$B:$B,"Overall",All_Stats!$D:$D,"Total")</f>
        <v>0</v>
      </c>
      <c r="I295" s="113">
        <f>SUMIFS(All_Stats!J:J,All_Stats!$A:$A,$B295,All_Stats!$B:$B,"Overall",All_Stats!$D:$D,"Total")</f>
        <v>0</v>
      </c>
      <c r="J295" s="113">
        <f t="shared" si="3"/>
        <v>2</v>
      </c>
      <c r="K295" s="249" t="s">
        <v>649</v>
      </c>
      <c r="L295" s="245">
        <v>44335.0</v>
      </c>
      <c r="M295" s="245">
        <v>44427.0</v>
      </c>
      <c r="O295" s="310">
        <f t="shared" si="6"/>
        <v>18.98507463</v>
      </c>
      <c r="P295" s="311">
        <f t="shared" ref="P295:Q295" si="302">F295/D295</f>
        <v>0</v>
      </c>
      <c r="Q295" s="325" t="str">
        <f t="shared" si="302"/>
        <v>#DIV/0!</v>
      </c>
      <c r="R295" s="311">
        <f t="shared" si="8"/>
        <v>0</v>
      </c>
      <c r="S295" s="249" t="s">
        <v>649</v>
      </c>
      <c r="T295" s="2" t="s">
        <v>21</v>
      </c>
      <c r="U295" s="162" t="s">
        <v>611</v>
      </c>
      <c r="V295" s="113">
        <f>COUNTIFS('Delivery Tracking'!E:E,B295)</f>
        <v>0</v>
      </c>
      <c r="W295" s="113">
        <f>SUMIFS(All_Stats!N:N,All_Stats!$A:$A,$B295,All_Stats!$B:$B,"Overall",All_Stats!$D:$D,"Total")</f>
        <v>0</v>
      </c>
      <c r="X295" s="323">
        <v>44755.0</v>
      </c>
      <c r="Y295" s="329"/>
      <c r="Z295" s="326"/>
    </row>
    <row r="296" hidden="1">
      <c r="A296" s="330" t="s">
        <v>1154</v>
      </c>
      <c r="B296" s="175" t="s">
        <v>1155</v>
      </c>
      <c r="C296" s="306"/>
      <c r="D296" s="193">
        <v>22.0</v>
      </c>
      <c r="E296" s="171">
        <f>SUMIFS(All_Stats!G:G,All_Stats!$A:$A,$B296,All_Stats!$B:$B,"Overall",All_Stats!$D:$D,"Total")</f>
        <v>0</v>
      </c>
      <c r="F296" s="113">
        <f>SUMIFS(All_Stats!H:H,All_Stats!$A:$A,$B296,All_Stats!$B:$B,"Overall",All_Stats!$D:$D,"Total")</f>
        <v>0</v>
      </c>
      <c r="G296" s="171">
        <f>SUMIFS(All_Stats!I:I,All_Stats!$A:$A,$B296,All_Stats!$B:$B,"Overall",All_Stats!$D:$D,"Total")</f>
        <v>0</v>
      </c>
      <c r="H296" s="113">
        <f>SUMIFS(All_Stats!K:K,All_Stats!$A:$A,$B296,All_Stats!$B:$B,"Overall",All_Stats!$D:$D,"Total")</f>
        <v>0</v>
      </c>
      <c r="I296" s="113">
        <f>SUMIFS(All_Stats!J:J,All_Stats!$A:$A,$B296,All_Stats!$B:$B,"Overall",All_Stats!$D:$D,"Total")</f>
        <v>0</v>
      </c>
      <c r="J296" s="113">
        <f t="shared" si="3"/>
        <v>22</v>
      </c>
      <c r="K296" s="249" t="s">
        <v>57</v>
      </c>
      <c r="L296" s="245">
        <v>44323.0</v>
      </c>
      <c r="M296" s="245">
        <v>44364.0</v>
      </c>
      <c r="O296" s="310">
        <f t="shared" si="6"/>
        <v>42.66666667</v>
      </c>
      <c r="P296" s="311">
        <f t="shared" ref="P296:Q296" si="303">F296/D296</f>
        <v>0</v>
      </c>
      <c r="Q296" s="325" t="str">
        <f t="shared" si="303"/>
        <v>#DIV/0!</v>
      </c>
      <c r="R296" s="311">
        <f t="shared" si="8"/>
        <v>0</v>
      </c>
      <c r="S296" s="300" t="str">
        <f t="shared" ref="S296:S368" si="305">iferror(ifs(
K296="Closed","Closed",
K296="Paused","Paused",
UPPER(X296)="N/A","PRE",
X296="","N/A",
(_xlfn.NETWORKDAYS.INTL(X296,D$2)-1)/_xlfn.NETWORKDAYS.INTL(X296,M296)&lt;S$2,"PRE",
F296=0,"Underpacing",
O296-(F296+H296*(G296/(G296+F296)))/D296&gt;0.2,"Underpacing",
O296-(F296+H296*(G296/(G296+F296)))/D296&lt;=0.2,"On track")
,"N/A")</f>
        <v>Closed</v>
      </c>
      <c r="T296" s="2" t="s">
        <v>166</v>
      </c>
      <c r="U296" s="162" t="s">
        <v>611</v>
      </c>
      <c r="V296" s="113">
        <f>COUNTIFS('Delivery Tracking'!E:E,B296)</f>
        <v>0</v>
      </c>
      <c r="W296" s="113">
        <f>SUMIFS(All_Stats!N:N,All_Stats!$A:$A,$B296,All_Stats!$B:$B,"Overall",All_Stats!$D:$D,"Total")</f>
        <v>0</v>
      </c>
      <c r="X296" s="323">
        <v>44756.0</v>
      </c>
      <c r="Y296" s="329"/>
      <c r="Z296" s="326"/>
    </row>
    <row r="297" hidden="1">
      <c r="A297" s="330" t="s">
        <v>1135</v>
      </c>
      <c r="B297" s="426" t="s">
        <v>1156</v>
      </c>
      <c r="C297" s="348"/>
      <c r="D297" s="193">
        <v>30.0</v>
      </c>
      <c r="E297" s="171">
        <f>SUMIFS(All_Stats!G:G,All_Stats!$A:$A,$B297,All_Stats!$B:$B,"Overall",All_Stats!$D:$D,"Total")</f>
        <v>0</v>
      </c>
      <c r="F297" s="113">
        <f>SUMIFS(All_Stats!H:H,All_Stats!$A:$A,$B297,All_Stats!$B:$B,"Overall",All_Stats!$D:$D,"Total")</f>
        <v>0</v>
      </c>
      <c r="G297" s="171">
        <f>SUMIFS(All_Stats!I:I,All_Stats!$A:$A,$B297,All_Stats!$B:$B,"Overall",All_Stats!$D:$D,"Total")</f>
        <v>0</v>
      </c>
      <c r="H297" s="113">
        <f>SUMIFS(All_Stats!K:K,All_Stats!$A:$A,$B297,All_Stats!$B:$B,"Overall",All_Stats!$D:$D,"Total")</f>
        <v>0</v>
      </c>
      <c r="I297" s="113">
        <f>SUMIFS(All_Stats!J:J,All_Stats!$A:$A,$B297,All_Stats!$B:$B,"Overall",All_Stats!$D:$D,"Total")</f>
        <v>0</v>
      </c>
      <c r="J297" s="113">
        <f t="shared" si="3"/>
        <v>30</v>
      </c>
      <c r="K297" s="249" t="s">
        <v>57</v>
      </c>
      <c r="L297" s="245">
        <v>44295.0</v>
      </c>
      <c r="M297" s="245">
        <v>44306.0</v>
      </c>
      <c r="O297" s="310">
        <f t="shared" si="6"/>
        <v>162.5</v>
      </c>
      <c r="P297" s="311">
        <f t="shared" ref="P297:Q297" si="304">F297/D297</f>
        <v>0</v>
      </c>
      <c r="Q297" s="325" t="str">
        <f t="shared" si="304"/>
        <v>#DIV/0!</v>
      </c>
      <c r="R297" s="311">
        <f t="shared" si="8"/>
        <v>0</v>
      </c>
      <c r="S297" s="300" t="str">
        <f t="shared" si="305"/>
        <v>Closed</v>
      </c>
      <c r="T297" s="2" t="s">
        <v>293</v>
      </c>
      <c r="U297" s="162" t="s">
        <v>611</v>
      </c>
      <c r="V297" s="113">
        <f>COUNTIFS('Delivery Tracking'!E:E,B297)</f>
        <v>0</v>
      </c>
      <c r="W297" s="113">
        <f>SUMIFS(All_Stats!N:N,All_Stats!$A:$A,$B297,All_Stats!$B:$B,"Overall",All_Stats!$D:$D,"Total")</f>
        <v>0</v>
      </c>
      <c r="X297" s="323">
        <v>44757.0</v>
      </c>
      <c r="Y297" s="329"/>
      <c r="Z297" s="326"/>
    </row>
    <row r="298" hidden="1">
      <c r="A298" s="327" t="s">
        <v>1091</v>
      </c>
      <c r="B298" s="175" t="s">
        <v>1157</v>
      </c>
      <c r="C298" s="306"/>
      <c r="D298" s="193">
        <v>13.0</v>
      </c>
      <c r="E298" s="171">
        <f>SUMIFS(All_Stats!G:G,All_Stats!$A:$A,$B298,All_Stats!$B:$B,"Overall",All_Stats!$D:$D,"Total")</f>
        <v>0</v>
      </c>
      <c r="F298" s="113">
        <f>SUMIFS(All_Stats!H:H,All_Stats!$A:$A,$B298,All_Stats!$B:$B,"Overall",All_Stats!$D:$D,"Total")</f>
        <v>0</v>
      </c>
      <c r="G298" s="171">
        <f>SUMIFS(All_Stats!I:I,All_Stats!$A:$A,$B298,All_Stats!$B:$B,"Overall",All_Stats!$D:$D,"Total")</f>
        <v>0</v>
      </c>
      <c r="H298" s="113">
        <f>SUMIFS(All_Stats!K:K,All_Stats!$A:$A,$B298,All_Stats!$B:$B,"Overall",All_Stats!$D:$D,"Total")</f>
        <v>0</v>
      </c>
      <c r="I298" s="113">
        <f>SUMIFS(All_Stats!J:J,All_Stats!$A:$A,$B298,All_Stats!$B:$B,"Overall",All_Stats!$D:$D,"Total")</f>
        <v>0</v>
      </c>
      <c r="J298" s="113">
        <f t="shared" si="3"/>
        <v>13</v>
      </c>
      <c r="K298" s="249" t="s">
        <v>57</v>
      </c>
      <c r="L298" s="245">
        <v>41043.0</v>
      </c>
      <c r="M298" s="245">
        <v>44361.0</v>
      </c>
      <c r="O298" s="310">
        <f t="shared" si="6"/>
        <v>1.528469</v>
      </c>
      <c r="P298" s="311">
        <f t="shared" ref="P298:Q298" si="306">F298/D298</f>
        <v>0</v>
      </c>
      <c r="Q298" s="325" t="str">
        <f t="shared" si="306"/>
        <v>#DIV/0!</v>
      </c>
      <c r="R298" s="311">
        <f t="shared" si="8"/>
        <v>0</v>
      </c>
      <c r="S298" s="300" t="str">
        <f t="shared" si="305"/>
        <v>Closed</v>
      </c>
      <c r="T298" s="2" t="s">
        <v>166</v>
      </c>
      <c r="U298" s="162" t="s">
        <v>611</v>
      </c>
      <c r="V298" s="113">
        <f>COUNTIFS('Delivery Tracking'!E:E,B298)</f>
        <v>0</v>
      </c>
      <c r="W298" s="113">
        <f>SUMIFS(All_Stats!N:N,All_Stats!$A:$A,$B298,All_Stats!$B:$B,"Overall",All_Stats!$D:$D,"Total")</f>
        <v>0</v>
      </c>
      <c r="X298" s="323">
        <v>44758.0</v>
      </c>
      <c r="Y298" s="329"/>
      <c r="Z298" s="326"/>
    </row>
    <row r="299" hidden="1">
      <c r="A299" s="327" t="s">
        <v>1158</v>
      </c>
      <c r="B299" s="175" t="s">
        <v>1159</v>
      </c>
      <c r="C299" s="306"/>
      <c r="D299" s="193">
        <v>25.0</v>
      </c>
      <c r="E299" s="171">
        <f>SUMIFS(All_Stats!G:G,All_Stats!$A:$A,$B299,All_Stats!$B:$B,"Overall",All_Stats!$D:$D,"Total")</f>
        <v>0</v>
      </c>
      <c r="F299" s="113">
        <f>SUMIFS(All_Stats!H:H,All_Stats!$A:$A,$B299,All_Stats!$B:$B,"Overall",All_Stats!$D:$D,"Total")</f>
        <v>0</v>
      </c>
      <c r="G299" s="171">
        <f>SUMIFS(All_Stats!I:I,All_Stats!$A:$A,$B299,All_Stats!$B:$B,"Overall",All_Stats!$D:$D,"Total")</f>
        <v>0</v>
      </c>
      <c r="H299" s="113">
        <f>SUMIFS(All_Stats!K:K,All_Stats!$A:$A,$B299,All_Stats!$B:$B,"Overall",All_Stats!$D:$D,"Total")</f>
        <v>0</v>
      </c>
      <c r="I299" s="113">
        <f>SUMIFS(All_Stats!J:J,All_Stats!$A:$A,$B299,All_Stats!$B:$B,"Overall",All_Stats!$D:$D,"Total")</f>
        <v>0</v>
      </c>
      <c r="J299" s="113">
        <f t="shared" si="3"/>
        <v>25</v>
      </c>
      <c r="K299" s="249" t="s">
        <v>57</v>
      </c>
      <c r="L299" s="245">
        <v>44340.0</v>
      </c>
      <c r="M299" s="245">
        <v>44358.0</v>
      </c>
      <c r="N299" s="2" t="s">
        <v>1160</v>
      </c>
      <c r="O299" s="310">
        <f t="shared" si="6"/>
        <v>84.6</v>
      </c>
      <c r="P299" s="311">
        <f t="shared" ref="P299:Q299" si="307">F299/D299</f>
        <v>0</v>
      </c>
      <c r="Q299" s="325" t="str">
        <f t="shared" si="307"/>
        <v>#DIV/0!</v>
      </c>
      <c r="R299" s="311">
        <f t="shared" si="8"/>
        <v>0</v>
      </c>
      <c r="S299" s="300" t="str">
        <f t="shared" si="305"/>
        <v>Closed</v>
      </c>
      <c r="T299" s="2" t="s">
        <v>293</v>
      </c>
      <c r="U299" s="162" t="s">
        <v>611</v>
      </c>
      <c r="V299" s="113">
        <f>COUNTIFS('Delivery Tracking'!E:E,B299)</f>
        <v>0</v>
      </c>
      <c r="W299" s="113">
        <f>SUMIFS(All_Stats!N:N,All_Stats!$A:$A,$B299,All_Stats!$B:$B,"Overall",All_Stats!$D:$D,"Total")</f>
        <v>0</v>
      </c>
      <c r="X299" s="323">
        <v>44759.0</v>
      </c>
      <c r="Y299" s="329"/>
      <c r="Z299" s="326"/>
    </row>
    <row r="300" hidden="1">
      <c r="A300" s="439" t="s">
        <v>1161</v>
      </c>
      <c r="B300" s="440" t="s">
        <v>1162</v>
      </c>
      <c r="C300" s="441"/>
      <c r="D300" s="193">
        <v>100.0</v>
      </c>
      <c r="E300" s="171">
        <f>SUMIFS(All_Stats!G:G,All_Stats!$A:$A,$B300,All_Stats!$B:$B,"Overall",All_Stats!$D:$D,"Total")</f>
        <v>0</v>
      </c>
      <c r="F300" s="113">
        <f>SUMIFS(All_Stats!H:H,All_Stats!$A:$A,$B300,All_Stats!$B:$B,"Overall",All_Stats!$D:$D,"Total")</f>
        <v>0</v>
      </c>
      <c r="G300" s="171">
        <f>SUMIFS(All_Stats!I:I,All_Stats!$A:$A,$B300,All_Stats!$B:$B,"Overall",All_Stats!$D:$D,"Total")</f>
        <v>0</v>
      </c>
      <c r="H300" s="113">
        <f>SUMIFS(All_Stats!K:K,All_Stats!$A:$A,$B300,All_Stats!$B:$B,"Overall",All_Stats!$D:$D,"Total")</f>
        <v>0</v>
      </c>
      <c r="I300" s="113">
        <f>SUMIFS(All_Stats!J:J,All_Stats!$A:$A,$B300,All_Stats!$B:$B,"Overall",All_Stats!$D:$D,"Total")</f>
        <v>0</v>
      </c>
      <c r="J300" s="113">
        <f t="shared" si="3"/>
        <v>100</v>
      </c>
      <c r="K300" s="249" t="s">
        <v>57</v>
      </c>
      <c r="L300" s="245">
        <v>44301.0</v>
      </c>
      <c r="M300" s="245">
        <v>44349.0</v>
      </c>
      <c r="O300" s="310">
        <f t="shared" si="6"/>
        <v>37.02857143</v>
      </c>
      <c r="P300" s="311">
        <f t="shared" ref="P300:Q300" si="308">F300/D300</f>
        <v>0</v>
      </c>
      <c r="Q300" s="325" t="str">
        <f t="shared" si="308"/>
        <v>#DIV/0!</v>
      </c>
      <c r="R300" s="311">
        <f t="shared" si="8"/>
        <v>0</v>
      </c>
      <c r="S300" s="300" t="str">
        <f t="shared" si="305"/>
        <v>Closed</v>
      </c>
      <c r="T300" s="2" t="s">
        <v>166</v>
      </c>
      <c r="U300" s="162" t="s">
        <v>611</v>
      </c>
      <c r="V300" s="113">
        <f>COUNTIFS('Delivery Tracking'!E:E,B300)</f>
        <v>0</v>
      </c>
      <c r="W300" s="113">
        <f>SUMIFS(All_Stats!N:N,All_Stats!$A:$A,$B300,All_Stats!$B:$B,"Overall",All_Stats!$D:$D,"Total")</f>
        <v>0</v>
      </c>
      <c r="X300" s="323">
        <v>44760.0</v>
      </c>
      <c r="Y300" s="329"/>
      <c r="Z300" s="326"/>
    </row>
    <row r="301" hidden="1">
      <c r="A301" s="330" t="s">
        <v>1163</v>
      </c>
      <c r="B301" s="426" t="s">
        <v>1164</v>
      </c>
      <c r="C301" s="428"/>
      <c r="D301" s="193">
        <v>100.0</v>
      </c>
      <c r="E301" s="171">
        <f>SUMIFS(All_Stats!G:G,All_Stats!$A:$A,$B301,All_Stats!$B:$B,"Overall",All_Stats!$D:$D,"Total")</f>
        <v>0</v>
      </c>
      <c r="F301" s="113">
        <f>SUMIFS(All_Stats!H:H,All_Stats!$A:$A,$B301,All_Stats!$B:$B,"Overall",All_Stats!$D:$D,"Total")</f>
        <v>0</v>
      </c>
      <c r="G301" s="171">
        <f>SUMIFS(All_Stats!I:I,All_Stats!$A:$A,$B301,All_Stats!$B:$B,"Overall",All_Stats!$D:$D,"Total")</f>
        <v>0</v>
      </c>
      <c r="H301" s="113">
        <f>SUMIFS(All_Stats!K:K,All_Stats!$A:$A,$B301,All_Stats!$B:$B,"Overall",All_Stats!$D:$D,"Total")</f>
        <v>0</v>
      </c>
      <c r="I301" s="113">
        <f>SUMIFS(All_Stats!J:J,All_Stats!$A:$A,$B301,All_Stats!$B:$B,"Overall",All_Stats!$D:$D,"Total")</f>
        <v>0</v>
      </c>
      <c r="J301" s="113">
        <f t="shared" si="3"/>
        <v>100</v>
      </c>
      <c r="K301" s="249" t="s">
        <v>57</v>
      </c>
      <c r="L301" s="299">
        <v>44211.0</v>
      </c>
      <c r="M301" s="245">
        <v>44354.0</v>
      </c>
      <c r="O301" s="310">
        <f t="shared" si="6"/>
        <v>13.33333333</v>
      </c>
      <c r="P301" s="311">
        <f t="shared" ref="P301:Q301" si="309">F301/D301</f>
        <v>0</v>
      </c>
      <c r="Q301" s="325" t="str">
        <f t="shared" si="309"/>
        <v>#DIV/0!</v>
      </c>
      <c r="R301" s="311">
        <f t="shared" si="8"/>
        <v>0</v>
      </c>
      <c r="S301" s="300" t="str">
        <f t="shared" si="305"/>
        <v>Closed</v>
      </c>
      <c r="T301" s="2" t="s">
        <v>67</v>
      </c>
      <c r="U301" s="162" t="s">
        <v>611</v>
      </c>
      <c r="V301" s="113">
        <f>COUNTIFS('Delivery Tracking'!E:E,B301)</f>
        <v>0</v>
      </c>
      <c r="W301" s="113">
        <f>SUMIFS(All_Stats!N:N,All_Stats!$A:$A,$B301,All_Stats!$B:$B,"Overall",All_Stats!$D:$D,"Total")</f>
        <v>0</v>
      </c>
      <c r="X301" s="323">
        <v>44761.0</v>
      </c>
      <c r="Y301" s="329"/>
      <c r="Z301" s="326"/>
    </row>
    <row r="302" hidden="1">
      <c r="A302" s="430" t="s">
        <v>1053</v>
      </c>
      <c r="B302" s="426" t="s">
        <v>1165</v>
      </c>
      <c r="C302" s="428"/>
      <c r="D302" s="193">
        <v>282.0</v>
      </c>
      <c r="E302" s="171">
        <f>SUMIFS(All_Stats!G:G,All_Stats!$A:$A,$B302,All_Stats!$B:$B,"Overall",All_Stats!$D:$D,"Total")</f>
        <v>0</v>
      </c>
      <c r="F302" s="113">
        <f>SUMIFS(All_Stats!H:H,All_Stats!$A:$A,$B302,All_Stats!$B:$B,"Overall",All_Stats!$D:$D,"Total")</f>
        <v>0</v>
      </c>
      <c r="G302" s="171">
        <f>SUMIFS(All_Stats!I:I,All_Stats!$A:$A,$B302,All_Stats!$B:$B,"Overall",All_Stats!$D:$D,"Total")</f>
        <v>0</v>
      </c>
      <c r="H302" s="113">
        <f>SUMIFS(All_Stats!K:K,All_Stats!$A:$A,$B302,All_Stats!$B:$B,"Overall",All_Stats!$D:$D,"Total")</f>
        <v>0</v>
      </c>
      <c r="I302" s="113">
        <f>SUMIFS(All_Stats!J:J,All_Stats!$A:$A,$B302,All_Stats!$B:$B,"Overall",All_Stats!$D:$D,"Total")</f>
        <v>0</v>
      </c>
      <c r="J302" s="113">
        <f t="shared" si="3"/>
        <v>282</v>
      </c>
      <c r="K302" s="249" t="s">
        <v>57</v>
      </c>
      <c r="L302" s="245">
        <v>44280.0</v>
      </c>
      <c r="M302" s="245">
        <v>44344.0</v>
      </c>
      <c r="N302" s="2" t="s">
        <v>1166</v>
      </c>
      <c r="O302" s="310">
        <f t="shared" si="6"/>
        <v>27.89361702</v>
      </c>
      <c r="P302" s="311">
        <f t="shared" ref="P302:Q302" si="310">F302/D302</f>
        <v>0</v>
      </c>
      <c r="Q302" s="325" t="str">
        <f t="shared" si="310"/>
        <v>#DIV/0!</v>
      </c>
      <c r="R302" s="311">
        <f t="shared" si="8"/>
        <v>0</v>
      </c>
      <c r="S302" s="300" t="str">
        <f t="shared" si="305"/>
        <v>Closed</v>
      </c>
      <c r="T302" s="2" t="s">
        <v>111</v>
      </c>
      <c r="U302" s="162" t="s">
        <v>611</v>
      </c>
      <c r="V302" s="113">
        <f>COUNTIFS('Delivery Tracking'!E:E,B302)</f>
        <v>0</v>
      </c>
      <c r="W302" s="113">
        <f>SUMIFS(All_Stats!N:N,All_Stats!$A:$A,$B302,All_Stats!$B:$B,"Overall",All_Stats!$D:$D,"Total")</f>
        <v>0</v>
      </c>
      <c r="X302" s="323">
        <v>44762.0</v>
      </c>
      <c r="Y302" s="329"/>
      <c r="Z302" s="326"/>
    </row>
    <row r="303" hidden="1">
      <c r="A303" s="327" t="s">
        <v>790</v>
      </c>
      <c r="B303" s="426" t="s">
        <v>1167</v>
      </c>
      <c r="C303" s="348"/>
      <c r="D303" s="193">
        <v>100.0</v>
      </c>
      <c r="E303" s="171">
        <f>SUMIFS(All_Stats!G:G,All_Stats!$A:$A,$B303,All_Stats!$B:$B,"Overall",All_Stats!$D:$D,"Total")</f>
        <v>0</v>
      </c>
      <c r="F303" s="113">
        <f>SUMIFS(All_Stats!H:H,All_Stats!$A:$A,$B303,All_Stats!$B:$B,"Overall",All_Stats!$D:$D,"Total")</f>
        <v>0</v>
      </c>
      <c r="G303" s="171">
        <f>SUMIFS(All_Stats!I:I,All_Stats!$A:$A,$B303,All_Stats!$B:$B,"Overall",All_Stats!$D:$D,"Total")</f>
        <v>0</v>
      </c>
      <c r="H303" s="113">
        <f>SUMIFS(All_Stats!K:K,All_Stats!$A:$A,$B303,All_Stats!$B:$B,"Overall",All_Stats!$D:$D,"Total")</f>
        <v>0</v>
      </c>
      <c r="I303" s="113">
        <f>SUMIFS(All_Stats!J:J,All_Stats!$A:$A,$B303,All_Stats!$B:$B,"Overall",All_Stats!$D:$D,"Total")</f>
        <v>0</v>
      </c>
      <c r="J303" s="113">
        <f t="shared" si="3"/>
        <v>100</v>
      </c>
      <c r="K303" s="249" t="s">
        <v>57</v>
      </c>
      <c r="L303" s="245">
        <v>44229.0</v>
      </c>
      <c r="M303" s="332">
        <v>44350.0</v>
      </c>
      <c r="O303" s="310">
        <f t="shared" si="6"/>
        <v>15.31818182</v>
      </c>
      <c r="P303" s="311">
        <f t="shared" ref="P303:Q303" si="311">F303/D303</f>
        <v>0</v>
      </c>
      <c r="Q303" s="325" t="str">
        <f t="shared" si="311"/>
        <v>#DIV/0!</v>
      </c>
      <c r="R303" s="311">
        <f t="shared" si="8"/>
        <v>0</v>
      </c>
      <c r="S303" s="300" t="str">
        <f t="shared" si="305"/>
        <v>Closed</v>
      </c>
      <c r="T303" s="2" t="s">
        <v>293</v>
      </c>
      <c r="U303" s="162" t="s">
        <v>611</v>
      </c>
      <c r="V303" s="113">
        <f>COUNTIFS('Delivery Tracking'!E:E,B303)</f>
        <v>0</v>
      </c>
      <c r="W303" s="113">
        <f>SUMIFS(All_Stats!N:N,All_Stats!$A:$A,$B303,All_Stats!$B:$B,"Overall",All_Stats!$D:$D,"Total")</f>
        <v>0</v>
      </c>
      <c r="X303" s="323">
        <v>44763.0</v>
      </c>
      <c r="Y303" s="329"/>
      <c r="Z303" s="326"/>
    </row>
    <row r="304" hidden="1">
      <c r="A304" s="442" t="s">
        <v>718</v>
      </c>
      <c r="B304" s="426" t="s">
        <v>1168</v>
      </c>
      <c r="C304" s="348"/>
      <c r="D304" s="193">
        <v>132.0</v>
      </c>
      <c r="E304" s="171">
        <f>SUMIFS(All_Stats!G:G,All_Stats!$A:$A,$B304,All_Stats!$B:$B,"Overall",All_Stats!$D:$D,"Total")</f>
        <v>0</v>
      </c>
      <c r="F304" s="113">
        <f>SUMIFS(All_Stats!H:H,All_Stats!$A:$A,$B304,All_Stats!$B:$B,"Overall",All_Stats!$D:$D,"Total")</f>
        <v>0</v>
      </c>
      <c r="G304" s="171">
        <f>SUMIFS(All_Stats!I:I,All_Stats!$A:$A,$B304,All_Stats!$B:$B,"Overall",All_Stats!$D:$D,"Total")</f>
        <v>0</v>
      </c>
      <c r="H304" s="113">
        <f>SUMIFS(All_Stats!K:K,All_Stats!$A:$A,$B304,All_Stats!$B:$B,"Overall",All_Stats!$D:$D,"Total")</f>
        <v>0</v>
      </c>
      <c r="I304" s="113">
        <f>SUMIFS(All_Stats!J:J,All_Stats!$A:$A,$B304,All_Stats!$B:$B,"Overall",All_Stats!$D:$D,"Total")</f>
        <v>0</v>
      </c>
      <c r="J304" s="113">
        <f t="shared" si="3"/>
        <v>132</v>
      </c>
      <c r="K304" s="249" t="s">
        <v>57</v>
      </c>
      <c r="L304" s="443">
        <v>44295.0</v>
      </c>
      <c r="M304" s="245">
        <v>44348.0</v>
      </c>
      <c r="O304" s="310">
        <f t="shared" si="6"/>
        <v>34.21052632</v>
      </c>
      <c r="P304" s="311">
        <f t="shared" ref="P304:Q304" si="312">F304/D304</f>
        <v>0</v>
      </c>
      <c r="Q304" s="325" t="str">
        <f t="shared" si="312"/>
        <v>#DIV/0!</v>
      </c>
      <c r="R304" s="311">
        <f t="shared" si="8"/>
        <v>0</v>
      </c>
      <c r="S304" s="300" t="str">
        <f t="shared" si="305"/>
        <v>Closed</v>
      </c>
      <c r="T304" s="2" t="s">
        <v>166</v>
      </c>
      <c r="U304" s="162" t="s">
        <v>611</v>
      </c>
      <c r="V304" s="113">
        <f>COUNTIFS('Delivery Tracking'!E:E,B304)</f>
        <v>0</v>
      </c>
      <c r="W304" s="113">
        <f>SUMIFS(All_Stats!N:N,All_Stats!$A:$A,$B304,All_Stats!$B:$B,"Overall",All_Stats!$D:$D,"Total")</f>
        <v>0</v>
      </c>
      <c r="X304" s="323">
        <v>44764.0</v>
      </c>
      <c r="Y304" s="329"/>
      <c r="Z304" s="326"/>
    </row>
    <row r="305" hidden="1">
      <c r="A305" s="330" t="s">
        <v>1169</v>
      </c>
      <c r="B305" s="426" t="s">
        <v>1170</v>
      </c>
      <c r="C305" s="428"/>
      <c r="D305" s="193">
        <v>100.0</v>
      </c>
      <c r="E305" s="171">
        <f>SUMIFS(All_Stats!G:G,All_Stats!$A:$A,$B305,All_Stats!$B:$B,"Overall",All_Stats!$D:$D,"Total")</f>
        <v>0</v>
      </c>
      <c r="F305" s="113">
        <f>SUMIFS(All_Stats!H:H,All_Stats!$A:$A,$B305,All_Stats!$B:$B,"Overall",All_Stats!$D:$D,"Total")</f>
        <v>0</v>
      </c>
      <c r="G305" s="171">
        <f>SUMIFS(All_Stats!I:I,All_Stats!$A:$A,$B305,All_Stats!$B:$B,"Overall",All_Stats!$D:$D,"Total")</f>
        <v>0</v>
      </c>
      <c r="H305" s="113">
        <f>SUMIFS(All_Stats!K:K,All_Stats!$A:$A,$B305,All_Stats!$B:$B,"Overall",All_Stats!$D:$D,"Total")</f>
        <v>0</v>
      </c>
      <c r="I305" s="113">
        <f>SUMIFS(All_Stats!J:J,All_Stats!$A:$A,$B305,All_Stats!$B:$B,"Overall",All_Stats!$D:$D,"Total")</f>
        <v>0</v>
      </c>
      <c r="J305" s="113">
        <f t="shared" si="3"/>
        <v>100</v>
      </c>
      <c r="K305" s="249" t="s">
        <v>57</v>
      </c>
      <c r="L305" s="245">
        <v>44274.0</v>
      </c>
      <c r="M305" s="245">
        <v>44349.0</v>
      </c>
      <c r="N305" s="435" t="s">
        <v>1123</v>
      </c>
      <c r="O305" s="310">
        <f t="shared" si="6"/>
        <v>24.35185185</v>
      </c>
      <c r="P305" s="311">
        <f t="shared" ref="P305:Q305" si="313">F305/D305</f>
        <v>0</v>
      </c>
      <c r="Q305" s="325" t="str">
        <f t="shared" si="313"/>
        <v>#DIV/0!</v>
      </c>
      <c r="R305" s="311">
        <f t="shared" si="8"/>
        <v>0</v>
      </c>
      <c r="S305" s="300" t="str">
        <f t="shared" si="305"/>
        <v>Closed</v>
      </c>
      <c r="T305" s="2" t="s">
        <v>166</v>
      </c>
      <c r="U305" s="162" t="s">
        <v>611</v>
      </c>
      <c r="V305" s="113">
        <f>COUNTIFS('Delivery Tracking'!E:E,B305)</f>
        <v>0</v>
      </c>
      <c r="W305" s="113">
        <f>SUMIFS(All_Stats!N:N,All_Stats!$A:$A,$B305,All_Stats!$B:$B,"Overall",All_Stats!$D:$D,"Total")</f>
        <v>0</v>
      </c>
      <c r="X305" s="323">
        <v>44765.0</v>
      </c>
      <c r="Y305" s="329"/>
      <c r="Z305" s="326"/>
    </row>
    <row r="306" hidden="1">
      <c r="A306" s="327" t="s">
        <v>1171</v>
      </c>
      <c r="B306" s="175" t="s">
        <v>1172</v>
      </c>
      <c r="C306" s="306"/>
      <c r="D306" s="193">
        <v>20.0</v>
      </c>
      <c r="E306" s="171">
        <f>SUMIFS(All_Stats!G:G,All_Stats!$A:$A,$B306,All_Stats!$B:$B,"Overall",All_Stats!$D:$D,"Total")</f>
        <v>0</v>
      </c>
      <c r="F306" s="113">
        <f>SUMIFS(All_Stats!H:H,All_Stats!$A:$A,$B306,All_Stats!$B:$B,"Overall",All_Stats!$D:$D,"Total")</f>
        <v>0</v>
      </c>
      <c r="G306" s="171">
        <f>SUMIFS(All_Stats!I:I,All_Stats!$A:$A,$B306,All_Stats!$B:$B,"Overall",All_Stats!$D:$D,"Total")</f>
        <v>0</v>
      </c>
      <c r="H306" s="113">
        <f>SUMIFS(All_Stats!K:K,All_Stats!$A:$A,$B306,All_Stats!$B:$B,"Overall",All_Stats!$D:$D,"Total")</f>
        <v>0</v>
      </c>
      <c r="I306" s="113">
        <f>SUMIFS(All_Stats!J:J,All_Stats!$A:$A,$B306,All_Stats!$B:$B,"Overall",All_Stats!$D:$D,"Total")</f>
        <v>0</v>
      </c>
      <c r="J306" s="113">
        <f t="shared" si="3"/>
        <v>20</v>
      </c>
      <c r="K306" s="249" t="s">
        <v>57</v>
      </c>
      <c r="L306" s="245">
        <v>44314.0</v>
      </c>
      <c r="M306" s="245">
        <v>44343.0</v>
      </c>
      <c r="O306" s="310">
        <f t="shared" si="6"/>
        <v>58.5</v>
      </c>
      <c r="P306" s="311">
        <f t="shared" ref="P306:Q306" si="314">F306/D306</f>
        <v>0</v>
      </c>
      <c r="Q306" s="325" t="str">
        <f t="shared" si="314"/>
        <v>#DIV/0!</v>
      </c>
      <c r="R306" s="311">
        <f t="shared" si="8"/>
        <v>0</v>
      </c>
      <c r="S306" s="300" t="str">
        <f t="shared" si="305"/>
        <v>Closed</v>
      </c>
      <c r="T306" s="2" t="s">
        <v>153</v>
      </c>
      <c r="U306" s="162" t="s">
        <v>611</v>
      </c>
      <c r="V306" s="113">
        <f>COUNTIFS('Delivery Tracking'!E:E,B306)</f>
        <v>0</v>
      </c>
      <c r="W306" s="113">
        <f>SUMIFS(All_Stats!N:N,All_Stats!$A:$A,$B306,All_Stats!$B:$B,"Overall",All_Stats!$D:$D,"Total")</f>
        <v>0</v>
      </c>
      <c r="X306" s="323">
        <v>44766.0</v>
      </c>
      <c r="Y306" s="329"/>
      <c r="Z306" s="326"/>
    </row>
    <row r="307" hidden="1">
      <c r="A307" s="330" t="s">
        <v>1002</v>
      </c>
      <c r="B307" s="426" t="s">
        <v>1173</v>
      </c>
      <c r="C307" s="428"/>
      <c r="D307" s="193">
        <v>100.0</v>
      </c>
      <c r="E307" s="171">
        <f>SUMIFS(All_Stats!G:G,All_Stats!$A:$A,$B307,All_Stats!$B:$B,"Overall",All_Stats!$D:$D,"Total")</f>
        <v>0</v>
      </c>
      <c r="F307" s="113">
        <f>SUMIFS(All_Stats!H:H,All_Stats!$A:$A,$B307,All_Stats!$B:$B,"Overall",All_Stats!$D:$D,"Total")</f>
        <v>0</v>
      </c>
      <c r="G307" s="171">
        <f>SUMIFS(All_Stats!I:I,All_Stats!$A:$A,$B307,All_Stats!$B:$B,"Overall",All_Stats!$D:$D,"Total")</f>
        <v>0</v>
      </c>
      <c r="H307" s="113">
        <f>SUMIFS(All_Stats!K:K,All_Stats!$A:$A,$B307,All_Stats!$B:$B,"Overall",All_Stats!$D:$D,"Total")</f>
        <v>0</v>
      </c>
      <c r="I307" s="113">
        <f>SUMIFS(All_Stats!J:J,All_Stats!$A:$A,$B307,All_Stats!$B:$B,"Overall",All_Stats!$D:$D,"Total")</f>
        <v>0</v>
      </c>
      <c r="J307" s="113">
        <f t="shared" si="3"/>
        <v>100</v>
      </c>
      <c r="K307" s="249" t="s">
        <v>57</v>
      </c>
      <c r="L307" s="245">
        <v>44264.0</v>
      </c>
      <c r="M307" s="332">
        <v>44340.0</v>
      </c>
      <c r="O307" s="310">
        <f t="shared" si="6"/>
        <v>24.05454545</v>
      </c>
      <c r="P307" s="311">
        <f t="shared" ref="P307:Q307" si="315">F307/D307</f>
        <v>0</v>
      </c>
      <c r="Q307" s="325" t="str">
        <f t="shared" si="315"/>
        <v>#DIV/0!</v>
      </c>
      <c r="R307" s="311">
        <f t="shared" si="8"/>
        <v>0</v>
      </c>
      <c r="S307" s="300" t="str">
        <f t="shared" si="305"/>
        <v>Closed</v>
      </c>
      <c r="T307" s="2" t="s">
        <v>153</v>
      </c>
      <c r="U307" s="162" t="s">
        <v>611</v>
      </c>
      <c r="V307" s="113">
        <f>COUNTIFS('Delivery Tracking'!E:E,B307)</f>
        <v>0</v>
      </c>
      <c r="W307" s="113">
        <f>SUMIFS(All_Stats!N:N,All_Stats!$A:$A,$B307,All_Stats!$B:$B,"Overall",All_Stats!$D:$D,"Total")</f>
        <v>0</v>
      </c>
      <c r="X307" s="323">
        <v>44767.0</v>
      </c>
      <c r="Y307" s="329"/>
      <c r="Z307" s="326"/>
    </row>
    <row r="308" hidden="1">
      <c r="A308" s="330" t="s">
        <v>1174</v>
      </c>
      <c r="B308" s="175" t="s">
        <v>1175</v>
      </c>
      <c r="C308" s="306"/>
      <c r="D308" s="193">
        <v>50.0</v>
      </c>
      <c r="E308" s="171">
        <f>SUMIFS(All_Stats!G:G,All_Stats!$A:$A,$B308,All_Stats!$B:$B,"Overall",All_Stats!$D:$D,"Total")</f>
        <v>0</v>
      </c>
      <c r="F308" s="113">
        <f>SUMIFS(All_Stats!H:H,All_Stats!$A:$A,$B308,All_Stats!$B:$B,"Overall",All_Stats!$D:$D,"Total")</f>
        <v>0</v>
      </c>
      <c r="G308" s="171">
        <f>SUMIFS(All_Stats!I:I,All_Stats!$A:$A,$B308,All_Stats!$B:$B,"Overall",All_Stats!$D:$D,"Total")</f>
        <v>0</v>
      </c>
      <c r="H308" s="113">
        <f>SUMIFS(All_Stats!K:K,All_Stats!$A:$A,$B308,All_Stats!$B:$B,"Overall",All_Stats!$D:$D,"Total")</f>
        <v>0</v>
      </c>
      <c r="I308" s="113">
        <f>SUMIFS(All_Stats!J:J,All_Stats!$A:$A,$B308,All_Stats!$B:$B,"Overall",All_Stats!$D:$D,"Total")</f>
        <v>0</v>
      </c>
      <c r="J308" s="113">
        <f t="shared" si="3"/>
        <v>50</v>
      </c>
      <c r="K308" s="249" t="s">
        <v>57</v>
      </c>
      <c r="L308" s="245">
        <v>44306.0</v>
      </c>
      <c r="M308" s="332">
        <v>44355.0</v>
      </c>
      <c r="O308" s="310">
        <f t="shared" si="6"/>
        <v>35.91666667</v>
      </c>
      <c r="P308" s="311">
        <f t="shared" ref="P308:Q308" si="316">F308/D308</f>
        <v>0</v>
      </c>
      <c r="Q308" s="325" t="str">
        <f t="shared" si="316"/>
        <v>#DIV/0!</v>
      </c>
      <c r="R308" s="311">
        <f t="shared" si="8"/>
        <v>0</v>
      </c>
      <c r="S308" s="300" t="str">
        <f t="shared" si="305"/>
        <v>Closed</v>
      </c>
      <c r="T308" s="2" t="s">
        <v>146</v>
      </c>
      <c r="U308" s="162" t="s">
        <v>611</v>
      </c>
      <c r="V308" s="113">
        <f>COUNTIFS('Delivery Tracking'!E:E,B308)</f>
        <v>0</v>
      </c>
      <c r="W308" s="113">
        <f>SUMIFS(All_Stats!N:N,All_Stats!$A:$A,$B308,All_Stats!$B:$B,"Overall",All_Stats!$D:$D,"Total")</f>
        <v>0</v>
      </c>
      <c r="X308" s="323">
        <v>44768.0</v>
      </c>
      <c r="Y308" s="329"/>
      <c r="Z308" s="326"/>
    </row>
    <row r="309" hidden="1">
      <c r="A309" s="430" t="s">
        <v>1002</v>
      </c>
      <c r="B309" s="426" t="s">
        <v>1176</v>
      </c>
      <c r="C309" s="428"/>
      <c r="D309" s="193">
        <v>100.0</v>
      </c>
      <c r="E309" s="171">
        <f>SUMIFS(All_Stats!G:G,All_Stats!$A:$A,$B309,All_Stats!$B:$B,"Overall",All_Stats!$D:$D,"Total")</f>
        <v>0</v>
      </c>
      <c r="F309" s="113">
        <f>SUMIFS(All_Stats!H:H,All_Stats!$A:$A,$B309,All_Stats!$B:$B,"Overall",All_Stats!$D:$D,"Total")</f>
        <v>0</v>
      </c>
      <c r="G309" s="171">
        <f>SUMIFS(All_Stats!I:I,All_Stats!$A:$A,$B309,All_Stats!$B:$B,"Overall",All_Stats!$D:$D,"Total")</f>
        <v>0</v>
      </c>
      <c r="H309" s="113">
        <f>SUMIFS(All_Stats!K:K,All_Stats!$A:$A,$B309,All_Stats!$B:$B,"Overall",All_Stats!$D:$D,"Total")</f>
        <v>0</v>
      </c>
      <c r="I309" s="113">
        <f>SUMIFS(All_Stats!J:J,All_Stats!$A:$A,$B309,All_Stats!$B:$B,"Overall",All_Stats!$D:$D,"Total")</f>
        <v>0</v>
      </c>
      <c r="J309" s="113">
        <f t="shared" si="3"/>
        <v>100</v>
      </c>
      <c r="K309" s="249" t="s">
        <v>57</v>
      </c>
      <c r="L309" s="245">
        <v>44264.0</v>
      </c>
      <c r="M309" s="245">
        <v>44326.0</v>
      </c>
      <c r="O309" s="310">
        <f t="shared" si="6"/>
        <v>29.4</v>
      </c>
      <c r="P309" s="311">
        <f t="shared" ref="P309:Q309" si="317">F309/D309</f>
        <v>0</v>
      </c>
      <c r="Q309" s="325" t="str">
        <f t="shared" si="317"/>
        <v>#DIV/0!</v>
      </c>
      <c r="R309" s="311">
        <f t="shared" si="8"/>
        <v>0</v>
      </c>
      <c r="S309" s="300" t="str">
        <f t="shared" si="305"/>
        <v>Closed</v>
      </c>
      <c r="T309" s="2" t="s">
        <v>153</v>
      </c>
      <c r="U309" s="162" t="s">
        <v>611</v>
      </c>
      <c r="V309" s="113">
        <f>COUNTIFS('Delivery Tracking'!E:E,B309)</f>
        <v>0</v>
      </c>
      <c r="W309" s="113">
        <f>SUMIFS(All_Stats!N:N,All_Stats!$A:$A,$B309,All_Stats!$B:$B,"Overall",All_Stats!$D:$D,"Total")</f>
        <v>0</v>
      </c>
      <c r="X309" s="323">
        <v>44769.0</v>
      </c>
      <c r="Y309" s="329"/>
      <c r="Z309" s="326"/>
    </row>
    <row r="310" hidden="1">
      <c r="A310" s="327" t="s">
        <v>752</v>
      </c>
      <c r="B310" s="175" t="s">
        <v>1177</v>
      </c>
      <c r="C310" s="306"/>
      <c r="D310" s="193">
        <v>40.0</v>
      </c>
      <c r="E310" s="171">
        <f>SUMIFS(All_Stats!G:G,All_Stats!$A:$A,$B310,All_Stats!$B:$B,"Overall",All_Stats!$D:$D,"Total")</f>
        <v>0</v>
      </c>
      <c r="F310" s="113">
        <f>SUMIFS(All_Stats!H:H,All_Stats!$A:$A,$B310,All_Stats!$B:$B,"Overall",All_Stats!$D:$D,"Total")</f>
        <v>0</v>
      </c>
      <c r="G310" s="171">
        <f>SUMIFS(All_Stats!I:I,All_Stats!$A:$A,$B310,All_Stats!$B:$B,"Overall",All_Stats!$D:$D,"Total")</f>
        <v>0</v>
      </c>
      <c r="H310" s="113">
        <f>SUMIFS(All_Stats!K:K,All_Stats!$A:$A,$B310,All_Stats!$B:$B,"Overall",All_Stats!$D:$D,"Total")</f>
        <v>0</v>
      </c>
      <c r="I310" s="113">
        <f>SUMIFS(All_Stats!J:J,All_Stats!$A:$A,$B310,All_Stats!$B:$B,"Overall",All_Stats!$D:$D,"Total")</f>
        <v>0</v>
      </c>
      <c r="J310" s="113">
        <f t="shared" si="3"/>
        <v>40</v>
      </c>
      <c r="K310" s="249" t="s">
        <v>57</v>
      </c>
      <c r="L310" s="245">
        <v>44300.0</v>
      </c>
      <c r="M310" s="245">
        <v>44322.0</v>
      </c>
      <c r="O310" s="310">
        <f t="shared" si="6"/>
        <v>76.29411765</v>
      </c>
      <c r="P310" s="311">
        <f t="shared" ref="P310:Q310" si="318">F310/D310</f>
        <v>0</v>
      </c>
      <c r="Q310" s="325" t="str">
        <f t="shared" si="318"/>
        <v>#DIV/0!</v>
      </c>
      <c r="R310" s="311">
        <f t="shared" si="8"/>
        <v>0</v>
      </c>
      <c r="S310" s="300" t="str">
        <f t="shared" si="305"/>
        <v>Closed</v>
      </c>
      <c r="T310" s="2" t="s">
        <v>80</v>
      </c>
      <c r="U310" s="162" t="s">
        <v>611</v>
      </c>
      <c r="V310" s="113">
        <f>COUNTIFS('Delivery Tracking'!E:E,B310)</f>
        <v>0</v>
      </c>
      <c r="W310" s="113">
        <f>SUMIFS(All_Stats!N:N,All_Stats!$A:$A,$B310,All_Stats!$B:$B,"Overall",All_Stats!$D:$D,"Total")</f>
        <v>0</v>
      </c>
      <c r="X310" s="323">
        <v>44770.0</v>
      </c>
      <c r="Y310" s="329"/>
      <c r="Z310" s="326"/>
    </row>
    <row r="311" hidden="1">
      <c r="A311" s="330" t="s">
        <v>1178</v>
      </c>
      <c r="B311" s="426" t="s">
        <v>1179</v>
      </c>
      <c r="C311" s="348"/>
      <c r="D311" s="193">
        <v>51.0</v>
      </c>
      <c r="E311" s="171">
        <f>SUMIFS(All_Stats!G:G,All_Stats!$A:$A,$B311,All_Stats!$B:$B,"Overall",All_Stats!$D:$D,"Total")</f>
        <v>0</v>
      </c>
      <c r="F311" s="113">
        <f>SUMIFS(All_Stats!H:H,All_Stats!$A:$A,$B311,All_Stats!$B:$B,"Overall",All_Stats!$D:$D,"Total")</f>
        <v>0</v>
      </c>
      <c r="G311" s="171">
        <f>SUMIFS(All_Stats!I:I,All_Stats!$A:$A,$B311,All_Stats!$B:$B,"Overall",All_Stats!$D:$D,"Total")</f>
        <v>0</v>
      </c>
      <c r="H311" s="113">
        <f>SUMIFS(All_Stats!K:K,All_Stats!$A:$A,$B311,All_Stats!$B:$B,"Overall",All_Stats!$D:$D,"Total")</f>
        <v>0</v>
      </c>
      <c r="I311" s="113">
        <f>SUMIFS(All_Stats!J:J,All_Stats!$A:$A,$B311,All_Stats!$B:$B,"Overall",All_Stats!$D:$D,"Total")</f>
        <v>0</v>
      </c>
      <c r="J311" s="113">
        <f t="shared" si="3"/>
        <v>51</v>
      </c>
      <c r="K311" s="249" t="s">
        <v>57</v>
      </c>
      <c r="L311" s="245">
        <v>44243.0</v>
      </c>
      <c r="M311" s="245">
        <v>44333.0</v>
      </c>
      <c r="O311" s="310">
        <f t="shared" si="6"/>
        <v>20.58461538</v>
      </c>
      <c r="P311" s="311">
        <f t="shared" ref="P311:Q311" si="319">F311/D311</f>
        <v>0</v>
      </c>
      <c r="Q311" s="325" t="str">
        <f t="shared" si="319"/>
        <v>#DIV/0!</v>
      </c>
      <c r="R311" s="311">
        <f t="shared" si="8"/>
        <v>0</v>
      </c>
      <c r="S311" s="300" t="str">
        <f t="shared" si="305"/>
        <v>Closed</v>
      </c>
      <c r="T311" s="2" t="s">
        <v>146</v>
      </c>
      <c r="U311" s="162" t="s">
        <v>611</v>
      </c>
      <c r="V311" s="113">
        <f>COUNTIFS('Delivery Tracking'!E:E,B311)</f>
        <v>0</v>
      </c>
      <c r="W311" s="113">
        <f>SUMIFS(All_Stats!N:N,All_Stats!$A:$A,$B311,All_Stats!$B:$B,"Overall",All_Stats!$D:$D,"Total")</f>
        <v>0</v>
      </c>
      <c r="X311" s="323">
        <v>44771.0</v>
      </c>
      <c r="Y311" s="329"/>
      <c r="Z311" s="326"/>
    </row>
    <row r="312" hidden="1">
      <c r="A312" s="327" t="s">
        <v>1180</v>
      </c>
      <c r="B312" s="426" t="s">
        <v>1181</v>
      </c>
      <c r="C312" s="428"/>
      <c r="D312" s="193">
        <v>45.0</v>
      </c>
      <c r="E312" s="171">
        <f>SUMIFS(All_Stats!G:G,All_Stats!$A:$A,$B312,All_Stats!$B:$B,"Overall",All_Stats!$D:$D,"Total")</f>
        <v>0</v>
      </c>
      <c r="F312" s="113">
        <f>SUMIFS(All_Stats!H:H,All_Stats!$A:$A,$B312,All_Stats!$B:$B,"Overall",All_Stats!$D:$D,"Total")</f>
        <v>0</v>
      </c>
      <c r="G312" s="171">
        <f>SUMIFS(All_Stats!I:I,All_Stats!$A:$A,$B312,All_Stats!$B:$B,"Overall",All_Stats!$D:$D,"Total")</f>
        <v>0</v>
      </c>
      <c r="H312" s="113">
        <f>SUMIFS(All_Stats!K:K,All_Stats!$A:$A,$B312,All_Stats!$B:$B,"Overall",All_Stats!$D:$D,"Total")</f>
        <v>0</v>
      </c>
      <c r="I312" s="113">
        <f>SUMIFS(All_Stats!J:J,All_Stats!$A:$A,$B312,All_Stats!$B:$B,"Overall",All_Stats!$D:$D,"Total")</f>
        <v>0</v>
      </c>
      <c r="J312" s="113">
        <f t="shared" si="3"/>
        <v>45</v>
      </c>
      <c r="K312" s="249" t="s">
        <v>57</v>
      </c>
      <c r="L312" s="245">
        <v>44266.0</v>
      </c>
      <c r="M312" s="245">
        <v>44336.0</v>
      </c>
      <c r="O312" s="310">
        <f t="shared" si="6"/>
        <v>25.90196078</v>
      </c>
      <c r="P312" s="311">
        <f t="shared" ref="P312:Q312" si="320">F312/D312</f>
        <v>0</v>
      </c>
      <c r="Q312" s="325" t="str">
        <f t="shared" si="320"/>
        <v>#DIV/0!</v>
      </c>
      <c r="R312" s="311">
        <f t="shared" si="8"/>
        <v>0</v>
      </c>
      <c r="S312" s="300" t="str">
        <f t="shared" si="305"/>
        <v>Closed</v>
      </c>
      <c r="T312" s="2" t="s">
        <v>153</v>
      </c>
      <c r="U312" s="162" t="s">
        <v>611</v>
      </c>
      <c r="V312" s="113">
        <f>COUNTIFS('Delivery Tracking'!E:E,B312)</f>
        <v>0</v>
      </c>
      <c r="W312" s="113">
        <f>SUMIFS(All_Stats!N:N,All_Stats!$A:$A,$B312,All_Stats!$B:$B,"Overall",All_Stats!$D:$D,"Total")</f>
        <v>0</v>
      </c>
      <c r="X312" s="323">
        <v>44772.0</v>
      </c>
      <c r="Y312" s="329"/>
      <c r="Z312" s="326"/>
    </row>
    <row r="313" hidden="1">
      <c r="A313" s="330" t="s">
        <v>752</v>
      </c>
      <c r="B313" s="424" t="s">
        <v>1182</v>
      </c>
      <c r="C313" s="306"/>
      <c r="D313" s="193">
        <v>35.0</v>
      </c>
      <c r="E313" s="171">
        <f>SUMIFS(All_Stats!G:G,All_Stats!$A:$A,$B313,All_Stats!$B:$B,"Overall",All_Stats!$D:$D,"Total")</f>
        <v>0</v>
      </c>
      <c r="F313" s="113">
        <f>SUMIFS(All_Stats!H:H,All_Stats!$A:$A,$B313,All_Stats!$B:$B,"Overall",All_Stats!$D:$D,"Total")</f>
        <v>0</v>
      </c>
      <c r="G313" s="171">
        <f>SUMIFS(All_Stats!I:I,All_Stats!$A:$A,$B313,All_Stats!$B:$B,"Overall",All_Stats!$D:$D,"Total")</f>
        <v>0</v>
      </c>
      <c r="H313" s="113">
        <f>SUMIFS(All_Stats!K:K,All_Stats!$A:$A,$B313,All_Stats!$B:$B,"Overall",All_Stats!$D:$D,"Total")</f>
        <v>0</v>
      </c>
      <c r="I313" s="113">
        <f>SUMIFS(All_Stats!J:J,All_Stats!$A:$A,$B313,All_Stats!$B:$B,"Overall",All_Stats!$D:$D,"Total")</f>
        <v>0</v>
      </c>
      <c r="J313" s="113">
        <f t="shared" si="3"/>
        <v>35</v>
      </c>
      <c r="K313" s="249" t="s">
        <v>57</v>
      </c>
      <c r="L313" s="245">
        <v>44294.0</v>
      </c>
      <c r="M313" s="245">
        <v>44320.0</v>
      </c>
      <c r="O313" s="310">
        <f t="shared" si="6"/>
        <v>68.47368421</v>
      </c>
      <c r="P313" s="311">
        <f t="shared" ref="P313:Q313" si="321">F313/D313</f>
        <v>0</v>
      </c>
      <c r="Q313" s="325" t="str">
        <f t="shared" si="321"/>
        <v>#DIV/0!</v>
      </c>
      <c r="R313" s="311">
        <f t="shared" si="8"/>
        <v>0</v>
      </c>
      <c r="S313" s="300" t="str">
        <f t="shared" si="305"/>
        <v>Closed</v>
      </c>
      <c r="T313" s="2" t="s">
        <v>80</v>
      </c>
      <c r="U313" s="162" t="s">
        <v>611</v>
      </c>
      <c r="V313" s="113">
        <f>COUNTIFS('Delivery Tracking'!E:E,B313)</f>
        <v>0</v>
      </c>
      <c r="W313" s="113">
        <f>SUMIFS(All_Stats!N:N,All_Stats!$A:$A,$B313,All_Stats!$B:$B,"Overall",All_Stats!$D:$D,"Total")</f>
        <v>0</v>
      </c>
      <c r="X313" s="323">
        <v>44773.0</v>
      </c>
      <c r="Y313" s="329"/>
      <c r="Z313" s="326"/>
    </row>
    <row r="314" hidden="1">
      <c r="A314" s="327" t="s">
        <v>1180</v>
      </c>
      <c r="B314" s="426" t="s">
        <v>1183</v>
      </c>
      <c r="C314" s="348"/>
      <c r="D314" s="193">
        <v>45.0</v>
      </c>
      <c r="E314" s="171">
        <f>SUMIFS(All_Stats!G:G,All_Stats!$A:$A,$B314,All_Stats!$B:$B,"Overall",All_Stats!$D:$D,"Total")</f>
        <v>0</v>
      </c>
      <c r="F314" s="113">
        <f>SUMIFS(All_Stats!H:H,All_Stats!$A:$A,$B314,All_Stats!$B:$B,"Overall",All_Stats!$D:$D,"Total")</f>
        <v>0</v>
      </c>
      <c r="G314" s="171">
        <f>SUMIFS(All_Stats!I:I,All_Stats!$A:$A,$B314,All_Stats!$B:$B,"Overall",All_Stats!$D:$D,"Total")</f>
        <v>0</v>
      </c>
      <c r="H314" s="113">
        <f>SUMIFS(All_Stats!K:K,All_Stats!$A:$A,$B314,All_Stats!$B:$B,"Overall",All_Stats!$D:$D,"Total")</f>
        <v>0</v>
      </c>
      <c r="I314" s="113">
        <f>SUMIFS(All_Stats!J:J,All_Stats!$A:$A,$B314,All_Stats!$B:$B,"Overall",All_Stats!$D:$D,"Total")</f>
        <v>0</v>
      </c>
      <c r="J314" s="113">
        <f t="shared" si="3"/>
        <v>45</v>
      </c>
      <c r="K314" s="249" t="s">
        <v>57</v>
      </c>
      <c r="L314" s="245">
        <v>44266.0</v>
      </c>
      <c r="M314" s="245">
        <v>44337.0</v>
      </c>
      <c r="O314" s="310">
        <f t="shared" si="6"/>
        <v>25.40384615</v>
      </c>
      <c r="P314" s="311">
        <f t="shared" ref="P314:Q314" si="322">F314/D314</f>
        <v>0</v>
      </c>
      <c r="Q314" s="325" t="str">
        <f t="shared" si="322"/>
        <v>#DIV/0!</v>
      </c>
      <c r="R314" s="311">
        <f t="shared" si="8"/>
        <v>0</v>
      </c>
      <c r="S314" s="300" t="str">
        <f t="shared" si="305"/>
        <v>Closed</v>
      </c>
      <c r="T314" s="2" t="s">
        <v>153</v>
      </c>
      <c r="U314" s="162" t="s">
        <v>611</v>
      </c>
      <c r="V314" s="113">
        <f>COUNTIFS('Delivery Tracking'!E:E,B314)</f>
        <v>0</v>
      </c>
      <c r="W314" s="113">
        <f>SUMIFS(All_Stats!N:N,All_Stats!$A:$A,$B314,All_Stats!$B:$B,"Overall",All_Stats!$D:$D,"Total")</f>
        <v>0</v>
      </c>
      <c r="X314" s="323">
        <v>44774.0</v>
      </c>
      <c r="Y314" s="329"/>
      <c r="Z314" s="326"/>
    </row>
    <row r="315" hidden="1">
      <c r="A315" s="330" t="s">
        <v>1184</v>
      </c>
      <c r="B315" s="426" t="s">
        <v>1185</v>
      </c>
      <c r="C315" s="428"/>
      <c r="D315" s="193">
        <v>50.0</v>
      </c>
      <c r="E315" s="171">
        <f>SUMIFS(All_Stats!G:G,All_Stats!$A:$A,$B315,All_Stats!$B:$B,"Overall",All_Stats!$D:$D,"Total")</f>
        <v>0</v>
      </c>
      <c r="F315" s="113">
        <f>SUMIFS(All_Stats!H:H,All_Stats!$A:$A,$B315,All_Stats!$B:$B,"Overall",All_Stats!$D:$D,"Total")</f>
        <v>0</v>
      </c>
      <c r="G315" s="171">
        <f>SUMIFS(All_Stats!I:I,All_Stats!$A:$A,$B315,All_Stats!$B:$B,"Overall",All_Stats!$D:$D,"Total")</f>
        <v>0</v>
      </c>
      <c r="H315" s="113">
        <f>SUMIFS(All_Stats!K:K,All_Stats!$A:$A,$B315,All_Stats!$B:$B,"Overall",All_Stats!$D:$D,"Total")</f>
        <v>0</v>
      </c>
      <c r="I315" s="113">
        <f>SUMIFS(All_Stats!J:J,All_Stats!$A:$A,$B315,All_Stats!$B:$B,"Overall",All_Stats!$D:$D,"Total")</f>
        <v>0</v>
      </c>
      <c r="J315" s="113">
        <f t="shared" si="3"/>
        <v>50</v>
      </c>
      <c r="K315" s="249" t="s">
        <v>57</v>
      </c>
      <c r="L315" s="245">
        <v>44222.0</v>
      </c>
      <c r="M315" s="245">
        <v>44268.0</v>
      </c>
      <c r="O315" s="310">
        <f t="shared" si="6"/>
        <v>39.79411765</v>
      </c>
      <c r="P315" s="311">
        <f t="shared" ref="P315:Q315" si="323">F315/D315</f>
        <v>0</v>
      </c>
      <c r="Q315" s="325" t="str">
        <f t="shared" si="323"/>
        <v>#DIV/0!</v>
      </c>
      <c r="R315" s="311">
        <f t="shared" si="8"/>
        <v>0</v>
      </c>
      <c r="S315" s="300" t="str">
        <f t="shared" si="305"/>
        <v>Closed</v>
      </c>
      <c r="T315" s="2" t="s">
        <v>146</v>
      </c>
      <c r="U315" s="162" t="s">
        <v>611</v>
      </c>
      <c r="V315" s="113">
        <f>COUNTIFS('Delivery Tracking'!E:E,B315)</f>
        <v>0</v>
      </c>
      <c r="W315" s="113">
        <f>SUMIFS(All_Stats!N:N,All_Stats!$A:$A,$B315,All_Stats!$B:$B,"Overall",All_Stats!$D:$D,"Total")</f>
        <v>0</v>
      </c>
      <c r="X315" s="323">
        <v>44775.0</v>
      </c>
      <c r="Y315" s="329"/>
      <c r="Z315" s="326"/>
    </row>
    <row r="316" hidden="1">
      <c r="A316" s="330" t="s">
        <v>1186</v>
      </c>
      <c r="B316" s="426" t="s">
        <v>1187</v>
      </c>
      <c r="C316" s="348"/>
      <c r="D316" s="193">
        <v>50.0</v>
      </c>
      <c r="E316" s="171">
        <f>SUMIFS(All_Stats!G:G,All_Stats!$A:$A,$B316,All_Stats!$B:$B,"Overall",All_Stats!$D:$D,"Total")</f>
        <v>0</v>
      </c>
      <c r="F316" s="113">
        <f>SUMIFS(All_Stats!H:H,All_Stats!$A:$A,$B316,All_Stats!$B:$B,"Overall",All_Stats!$D:$D,"Total")</f>
        <v>0</v>
      </c>
      <c r="G316" s="171">
        <f>SUMIFS(All_Stats!I:I,All_Stats!$A:$A,$B316,All_Stats!$B:$B,"Overall",All_Stats!$D:$D,"Total")</f>
        <v>0</v>
      </c>
      <c r="H316" s="113">
        <f>SUMIFS(All_Stats!K:K,All_Stats!$A:$A,$B316,All_Stats!$B:$B,"Overall",All_Stats!$D:$D,"Total")</f>
        <v>0</v>
      </c>
      <c r="I316" s="113">
        <f>SUMIFS(All_Stats!J:J,All_Stats!$A:$A,$B316,All_Stats!$B:$B,"Overall",All_Stats!$D:$D,"Total")</f>
        <v>0</v>
      </c>
      <c r="J316" s="113">
        <f t="shared" si="3"/>
        <v>50</v>
      </c>
      <c r="K316" s="249" t="s">
        <v>57</v>
      </c>
      <c r="L316" s="245">
        <v>44223.0</v>
      </c>
      <c r="M316" s="245">
        <v>44279.0</v>
      </c>
      <c r="O316" s="310">
        <f t="shared" si="6"/>
        <v>32.97560976</v>
      </c>
      <c r="P316" s="311">
        <f t="shared" ref="P316:Q316" si="324">F316/D316</f>
        <v>0</v>
      </c>
      <c r="Q316" s="325" t="str">
        <f t="shared" si="324"/>
        <v>#DIV/0!</v>
      </c>
      <c r="R316" s="311">
        <f t="shared" si="8"/>
        <v>0</v>
      </c>
      <c r="S316" s="300" t="str">
        <f t="shared" si="305"/>
        <v>Closed</v>
      </c>
      <c r="T316" s="2" t="s">
        <v>146</v>
      </c>
      <c r="U316" s="162" t="s">
        <v>611</v>
      </c>
      <c r="V316" s="113">
        <f>COUNTIFS('Delivery Tracking'!E:E,B316)</f>
        <v>0</v>
      </c>
      <c r="W316" s="113">
        <f>SUMIFS(All_Stats!N:N,All_Stats!$A:$A,$B316,All_Stats!$B:$B,"Overall",All_Stats!$D:$D,"Total")</f>
        <v>0</v>
      </c>
      <c r="X316" s="323">
        <v>44776.0</v>
      </c>
      <c r="Y316" s="329"/>
      <c r="Z316" s="326"/>
    </row>
    <row r="317" hidden="1">
      <c r="A317" s="330" t="s">
        <v>1188</v>
      </c>
      <c r="B317" s="426" t="s">
        <v>1189</v>
      </c>
      <c r="C317" s="428"/>
      <c r="D317" s="193">
        <v>40.0</v>
      </c>
      <c r="E317" s="171">
        <f>SUMIFS(All_Stats!G:G,All_Stats!$A:$A,$B317,All_Stats!$B:$B,"Overall",All_Stats!$D:$D,"Total")</f>
        <v>0</v>
      </c>
      <c r="F317" s="113">
        <f>SUMIFS(All_Stats!H:H,All_Stats!$A:$A,$B317,All_Stats!$B:$B,"Overall",All_Stats!$D:$D,"Total")</f>
        <v>0</v>
      </c>
      <c r="G317" s="171">
        <f>SUMIFS(All_Stats!I:I,All_Stats!$A:$A,$B317,All_Stats!$B:$B,"Overall",All_Stats!$D:$D,"Total")</f>
        <v>0</v>
      </c>
      <c r="H317" s="113">
        <f>SUMIFS(All_Stats!K:K,All_Stats!$A:$A,$B317,All_Stats!$B:$B,"Overall",All_Stats!$D:$D,"Total")</f>
        <v>0</v>
      </c>
      <c r="I317" s="113">
        <f>SUMIFS(All_Stats!J:J,All_Stats!$A:$A,$B317,All_Stats!$B:$B,"Overall",All_Stats!$D:$D,"Total")</f>
        <v>0</v>
      </c>
      <c r="J317" s="113">
        <f t="shared" si="3"/>
        <v>40</v>
      </c>
      <c r="K317" s="249" t="s">
        <v>57</v>
      </c>
      <c r="L317" s="245">
        <v>44224.0</v>
      </c>
      <c r="M317" s="245">
        <v>44284.0</v>
      </c>
      <c r="O317" s="310">
        <f t="shared" si="6"/>
        <v>31.41860465</v>
      </c>
      <c r="P317" s="311">
        <f t="shared" ref="P317:Q317" si="325">F317/D317</f>
        <v>0</v>
      </c>
      <c r="Q317" s="325" t="str">
        <f t="shared" si="325"/>
        <v>#DIV/0!</v>
      </c>
      <c r="R317" s="311">
        <f t="shared" si="8"/>
        <v>0</v>
      </c>
      <c r="S317" s="300" t="str">
        <f t="shared" si="305"/>
        <v>Closed</v>
      </c>
      <c r="T317" s="2" t="s">
        <v>146</v>
      </c>
      <c r="U317" s="162" t="s">
        <v>611</v>
      </c>
      <c r="V317" s="113">
        <f>COUNTIFS('Delivery Tracking'!E:E,B317)</f>
        <v>0</v>
      </c>
      <c r="W317" s="113">
        <f>SUMIFS(All_Stats!N:N,All_Stats!$A:$A,$B317,All_Stats!$B:$B,"Overall",All_Stats!$D:$D,"Total")</f>
        <v>0</v>
      </c>
      <c r="X317" s="323">
        <v>44777.0</v>
      </c>
      <c r="Y317" s="329"/>
      <c r="Z317" s="326"/>
    </row>
    <row r="318" hidden="1">
      <c r="A318" s="327" t="s">
        <v>1150</v>
      </c>
      <c r="B318" s="426" t="s">
        <v>1190</v>
      </c>
      <c r="C318" s="428"/>
      <c r="D318" s="193">
        <v>112.0</v>
      </c>
      <c r="E318" s="171">
        <f>SUMIFS(All_Stats!G:G,All_Stats!$A:$A,$B318,All_Stats!$B:$B,"Overall",All_Stats!$D:$D,"Total")</f>
        <v>0</v>
      </c>
      <c r="F318" s="113">
        <f>SUMIFS(All_Stats!H:H,All_Stats!$A:$A,$B318,All_Stats!$B:$B,"Overall",All_Stats!$D:$D,"Total")</f>
        <v>0</v>
      </c>
      <c r="G318" s="171">
        <f>SUMIFS(All_Stats!I:I,All_Stats!$A:$A,$B318,All_Stats!$B:$B,"Overall",All_Stats!$D:$D,"Total")</f>
        <v>0</v>
      </c>
      <c r="H318" s="113">
        <f>SUMIFS(All_Stats!K:K,All_Stats!$A:$A,$B318,All_Stats!$B:$B,"Overall",All_Stats!$D:$D,"Total")</f>
        <v>0</v>
      </c>
      <c r="I318" s="113">
        <f>SUMIFS(All_Stats!J:J,All_Stats!$A:$A,$B318,All_Stats!$B:$B,"Overall",All_Stats!$D:$D,"Total")</f>
        <v>0</v>
      </c>
      <c r="J318" s="113">
        <f t="shared" si="3"/>
        <v>112</v>
      </c>
      <c r="K318" s="249" t="s">
        <v>57</v>
      </c>
      <c r="L318" s="245">
        <v>44278.0</v>
      </c>
      <c r="M318" s="245">
        <v>44343.0</v>
      </c>
      <c r="O318" s="310">
        <f t="shared" si="6"/>
        <v>27.35416667</v>
      </c>
      <c r="P318" s="311">
        <f t="shared" ref="P318:Q318" si="326">F318/D318</f>
        <v>0</v>
      </c>
      <c r="Q318" s="325" t="str">
        <f t="shared" si="326"/>
        <v>#DIV/0!</v>
      </c>
      <c r="R318" s="311">
        <f t="shared" si="8"/>
        <v>0</v>
      </c>
      <c r="S318" s="300" t="str">
        <f t="shared" si="305"/>
        <v>Closed</v>
      </c>
      <c r="T318" s="2" t="s">
        <v>146</v>
      </c>
      <c r="U318" s="162" t="s">
        <v>611</v>
      </c>
      <c r="V318" s="113">
        <f>COUNTIFS('Delivery Tracking'!E:E,B318)</f>
        <v>0</v>
      </c>
      <c r="W318" s="113">
        <f>SUMIFS(All_Stats!N:N,All_Stats!$A:$A,$B318,All_Stats!$B:$B,"Overall",All_Stats!$D:$D,"Total")</f>
        <v>0</v>
      </c>
      <c r="X318" s="323">
        <v>44778.0</v>
      </c>
      <c r="Y318" s="329"/>
      <c r="Z318" s="326"/>
    </row>
    <row r="319" hidden="1">
      <c r="A319" s="327" t="s">
        <v>1191</v>
      </c>
      <c r="B319" s="426" t="s">
        <v>1192</v>
      </c>
      <c r="C319" s="428"/>
      <c r="D319" s="193">
        <v>45.0</v>
      </c>
      <c r="E319" s="171">
        <f>SUMIFS(All_Stats!G:G,All_Stats!$A:$A,$B319,All_Stats!$B:$B,"Overall",All_Stats!$D:$D,"Total")</f>
        <v>0</v>
      </c>
      <c r="F319" s="113">
        <f>SUMIFS(All_Stats!H:H,All_Stats!$A:$A,$B319,All_Stats!$B:$B,"Overall",All_Stats!$D:$D,"Total")</f>
        <v>0</v>
      </c>
      <c r="G319" s="171">
        <f>SUMIFS(All_Stats!I:I,All_Stats!$A:$A,$B319,All_Stats!$B:$B,"Overall",All_Stats!$D:$D,"Total")</f>
        <v>0</v>
      </c>
      <c r="H319" s="113">
        <f>SUMIFS(All_Stats!K:K,All_Stats!$A:$A,$B319,All_Stats!$B:$B,"Overall",All_Stats!$D:$D,"Total")</f>
        <v>0</v>
      </c>
      <c r="I319" s="113">
        <f>SUMIFS(All_Stats!J:J,All_Stats!$A:$A,$B319,All_Stats!$B:$B,"Overall",All_Stats!$D:$D,"Total")</f>
        <v>0</v>
      </c>
      <c r="J319" s="113">
        <f t="shared" si="3"/>
        <v>45</v>
      </c>
      <c r="K319" s="249" t="s">
        <v>57</v>
      </c>
      <c r="L319" s="245">
        <v>44279.0</v>
      </c>
      <c r="M319" s="245">
        <v>44343.0</v>
      </c>
      <c r="O319" s="310">
        <f t="shared" si="6"/>
        <v>27.91489362</v>
      </c>
      <c r="P319" s="311">
        <f t="shared" ref="P319:Q319" si="327">F319/D319</f>
        <v>0</v>
      </c>
      <c r="Q319" s="325" t="str">
        <f t="shared" si="327"/>
        <v>#DIV/0!</v>
      </c>
      <c r="R319" s="311">
        <f t="shared" si="8"/>
        <v>0</v>
      </c>
      <c r="S319" s="300" t="str">
        <f t="shared" si="305"/>
        <v>Closed</v>
      </c>
      <c r="T319" s="2" t="s">
        <v>146</v>
      </c>
      <c r="U319" s="162" t="s">
        <v>611</v>
      </c>
      <c r="V319" s="113">
        <f>COUNTIFS('Delivery Tracking'!E:E,B319)</f>
        <v>0</v>
      </c>
      <c r="W319" s="113">
        <f>SUMIFS(All_Stats!N:N,All_Stats!$A:$A,$B319,All_Stats!$B:$B,"Overall",All_Stats!$D:$D,"Total")</f>
        <v>0</v>
      </c>
      <c r="X319" s="323">
        <v>44779.0</v>
      </c>
      <c r="Y319" s="329"/>
      <c r="Z319" s="326"/>
    </row>
    <row r="320" hidden="1">
      <c r="A320" s="330" t="s">
        <v>1193</v>
      </c>
      <c r="B320" s="426" t="s">
        <v>1194</v>
      </c>
      <c r="C320" s="428"/>
      <c r="D320" s="193">
        <v>55.0</v>
      </c>
      <c r="E320" s="171">
        <f>SUMIFS(All_Stats!G:G,All_Stats!$A:$A,$B320,All_Stats!$B:$B,"Overall",All_Stats!$D:$D,"Total")</f>
        <v>0</v>
      </c>
      <c r="F320" s="113">
        <f>SUMIFS(All_Stats!H:H,All_Stats!$A:$A,$B320,All_Stats!$B:$B,"Overall",All_Stats!$D:$D,"Total")</f>
        <v>0</v>
      </c>
      <c r="G320" s="171">
        <f>SUMIFS(All_Stats!I:I,All_Stats!$A:$A,$B320,All_Stats!$B:$B,"Overall",All_Stats!$D:$D,"Total")</f>
        <v>0</v>
      </c>
      <c r="H320" s="113">
        <f>SUMIFS(All_Stats!K:K,All_Stats!$A:$A,$B320,All_Stats!$B:$B,"Overall",All_Stats!$D:$D,"Total")</f>
        <v>0</v>
      </c>
      <c r="I320" s="113">
        <f>SUMIFS(All_Stats!J:J,All_Stats!$A:$A,$B320,All_Stats!$B:$B,"Overall",All_Stats!$D:$D,"Total")</f>
        <v>0</v>
      </c>
      <c r="J320" s="113">
        <f t="shared" si="3"/>
        <v>55</v>
      </c>
      <c r="K320" s="249" t="s">
        <v>57</v>
      </c>
      <c r="L320" s="245">
        <v>44281.0</v>
      </c>
      <c r="M320" s="245">
        <v>44354.0</v>
      </c>
      <c r="O320" s="310">
        <f t="shared" si="6"/>
        <v>25.19230769</v>
      </c>
      <c r="P320" s="311">
        <f t="shared" ref="P320:Q320" si="328">F320/D320</f>
        <v>0</v>
      </c>
      <c r="Q320" s="325" t="str">
        <f t="shared" si="328"/>
        <v>#DIV/0!</v>
      </c>
      <c r="R320" s="311">
        <f t="shared" si="8"/>
        <v>0</v>
      </c>
      <c r="S320" s="300" t="str">
        <f t="shared" si="305"/>
        <v>Closed</v>
      </c>
      <c r="T320" s="2" t="s">
        <v>146</v>
      </c>
      <c r="U320" s="162" t="s">
        <v>611</v>
      </c>
      <c r="V320" s="113">
        <f>COUNTIFS('Delivery Tracking'!E:E,B320)</f>
        <v>0</v>
      </c>
      <c r="W320" s="113">
        <f>SUMIFS(All_Stats!N:N,All_Stats!$A:$A,$B320,All_Stats!$B:$B,"Overall",All_Stats!$D:$D,"Total")</f>
        <v>0</v>
      </c>
      <c r="X320" s="323">
        <v>44780.0</v>
      </c>
      <c r="Y320" s="329"/>
      <c r="Z320" s="326"/>
    </row>
    <row r="321" hidden="1">
      <c r="A321" s="330" t="s">
        <v>1150</v>
      </c>
      <c r="B321" s="426" t="s">
        <v>1195</v>
      </c>
      <c r="C321" s="348"/>
      <c r="D321" s="193">
        <v>50.0</v>
      </c>
      <c r="E321" s="171">
        <f>SUMIFS(All_Stats!G:G,All_Stats!$A:$A,$B321,All_Stats!$B:$B,"Overall",All_Stats!$D:$D,"Total")</f>
        <v>0</v>
      </c>
      <c r="F321" s="113">
        <f>SUMIFS(All_Stats!H:H,All_Stats!$A:$A,$B321,All_Stats!$B:$B,"Overall",All_Stats!$D:$D,"Total")</f>
        <v>0</v>
      </c>
      <c r="G321" s="171">
        <f>SUMIFS(All_Stats!I:I,All_Stats!$A:$A,$B321,All_Stats!$B:$B,"Overall",All_Stats!$D:$D,"Total")</f>
        <v>0</v>
      </c>
      <c r="H321" s="113">
        <f>SUMIFS(All_Stats!K:K,All_Stats!$A:$A,$B321,All_Stats!$B:$B,"Overall",All_Stats!$D:$D,"Total")</f>
        <v>0</v>
      </c>
      <c r="I321" s="113">
        <f>SUMIFS(All_Stats!J:J,All_Stats!$A:$A,$B321,All_Stats!$B:$B,"Overall",All_Stats!$D:$D,"Total")</f>
        <v>0</v>
      </c>
      <c r="J321" s="113">
        <f t="shared" si="3"/>
        <v>50</v>
      </c>
      <c r="K321" s="249" t="s">
        <v>57</v>
      </c>
      <c r="L321" s="245">
        <v>44291.0</v>
      </c>
      <c r="M321" s="245">
        <v>44341.0</v>
      </c>
      <c r="O321" s="310">
        <f t="shared" si="6"/>
        <v>35.24324324</v>
      </c>
      <c r="P321" s="311">
        <f t="shared" ref="P321:Q321" si="329">F321/D321</f>
        <v>0</v>
      </c>
      <c r="Q321" s="325" t="str">
        <f t="shared" si="329"/>
        <v>#DIV/0!</v>
      </c>
      <c r="R321" s="311">
        <f t="shared" si="8"/>
        <v>0</v>
      </c>
      <c r="S321" s="300" t="str">
        <f t="shared" si="305"/>
        <v>Closed</v>
      </c>
      <c r="T321" s="2" t="s">
        <v>146</v>
      </c>
      <c r="U321" s="162" t="s">
        <v>611</v>
      </c>
      <c r="V321" s="113">
        <f>COUNTIFS('Delivery Tracking'!E:E,B321)</f>
        <v>0</v>
      </c>
      <c r="W321" s="113">
        <f>SUMIFS(All_Stats!N:N,All_Stats!$A:$A,$B321,All_Stats!$B:$B,"Overall",All_Stats!$D:$D,"Total")</f>
        <v>0</v>
      </c>
      <c r="X321" s="323">
        <v>44781.0</v>
      </c>
      <c r="Y321" s="329"/>
      <c r="Z321" s="326"/>
    </row>
    <row r="322" hidden="1">
      <c r="A322" s="327" t="s">
        <v>1196</v>
      </c>
      <c r="B322" s="426" t="s">
        <v>1197</v>
      </c>
      <c r="C322" s="428"/>
      <c r="D322" s="193">
        <v>70.0</v>
      </c>
      <c r="E322" s="171">
        <f>SUMIFS(All_Stats!G:G,All_Stats!$A:$A,$B322,All_Stats!$B:$B,"Overall",All_Stats!$D:$D,"Total")</f>
        <v>0</v>
      </c>
      <c r="F322" s="113">
        <f>SUMIFS(All_Stats!H:H,All_Stats!$A:$A,$B322,All_Stats!$B:$B,"Overall",All_Stats!$D:$D,"Total")</f>
        <v>0</v>
      </c>
      <c r="G322" s="171">
        <f>SUMIFS(All_Stats!I:I,All_Stats!$A:$A,$B322,All_Stats!$B:$B,"Overall",All_Stats!$D:$D,"Total")</f>
        <v>0</v>
      </c>
      <c r="H322" s="113">
        <f>SUMIFS(All_Stats!K:K,All_Stats!$A:$A,$B322,All_Stats!$B:$B,"Overall",All_Stats!$D:$D,"Total")</f>
        <v>0</v>
      </c>
      <c r="I322" s="113">
        <f>SUMIFS(All_Stats!J:J,All_Stats!$A:$A,$B322,All_Stats!$B:$B,"Overall",All_Stats!$D:$D,"Total")</f>
        <v>0</v>
      </c>
      <c r="J322" s="113">
        <f t="shared" si="3"/>
        <v>70</v>
      </c>
      <c r="K322" s="249" t="s">
        <v>57</v>
      </c>
      <c r="L322" s="245">
        <v>44286.0</v>
      </c>
      <c r="M322" s="332">
        <v>44343.0</v>
      </c>
      <c r="O322" s="310">
        <f t="shared" si="6"/>
        <v>31.11904762</v>
      </c>
      <c r="P322" s="311">
        <f t="shared" ref="P322:Q322" si="330">F322/D322</f>
        <v>0</v>
      </c>
      <c r="Q322" s="325" t="str">
        <f t="shared" si="330"/>
        <v>#DIV/0!</v>
      </c>
      <c r="R322" s="311">
        <f t="shared" si="8"/>
        <v>0</v>
      </c>
      <c r="S322" s="300" t="str">
        <f t="shared" si="305"/>
        <v>Closed</v>
      </c>
      <c r="T322" s="2" t="s">
        <v>146</v>
      </c>
      <c r="U322" s="162" t="s">
        <v>611</v>
      </c>
      <c r="V322" s="113">
        <f>COUNTIFS('Delivery Tracking'!E:E,B322)</f>
        <v>0</v>
      </c>
      <c r="W322" s="113">
        <f>SUMIFS(All_Stats!N:N,All_Stats!$A:$A,$B322,All_Stats!$B:$B,"Overall",All_Stats!$D:$D,"Total")</f>
        <v>0</v>
      </c>
      <c r="X322" s="323">
        <v>44782.0</v>
      </c>
      <c r="Y322" s="329"/>
      <c r="Z322" s="326"/>
    </row>
    <row r="323" hidden="1">
      <c r="A323" s="327" t="s">
        <v>1198</v>
      </c>
      <c r="B323" s="426" t="s">
        <v>1199</v>
      </c>
      <c r="C323" s="428"/>
      <c r="D323" s="193">
        <v>75.0</v>
      </c>
      <c r="E323" s="171">
        <f>SUMIFS(All_Stats!G:G,All_Stats!$A:$A,$B323,All_Stats!$B:$B,"Overall",All_Stats!$D:$D,"Total")</f>
        <v>0</v>
      </c>
      <c r="F323" s="113">
        <f>SUMIFS(All_Stats!H:H,All_Stats!$A:$A,$B323,All_Stats!$B:$B,"Overall",All_Stats!$D:$D,"Total")</f>
        <v>0</v>
      </c>
      <c r="G323" s="171">
        <f>SUMIFS(All_Stats!I:I,All_Stats!$A:$A,$B323,All_Stats!$B:$B,"Overall",All_Stats!$D:$D,"Total")</f>
        <v>0</v>
      </c>
      <c r="H323" s="113">
        <f>SUMIFS(All_Stats!K:K,All_Stats!$A:$A,$B323,All_Stats!$B:$B,"Overall",All_Stats!$D:$D,"Total")</f>
        <v>0</v>
      </c>
      <c r="I323" s="113">
        <f>SUMIFS(All_Stats!J:J,All_Stats!$A:$A,$B323,All_Stats!$B:$B,"Overall",All_Stats!$D:$D,"Total")</f>
        <v>0</v>
      </c>
      <c r="J323" s="113">
        <f t="shared" si="3"/>
        <v>75</v>
      </c>
      <c r="K323" s="249" t="s">
        <v>57</v>
      </c>
      <c r="L323" s="245">
        <v>44225.0</v>
      </c>
      <c r="M323" s="332">
        <v>44343.0</v>
      </c>
      <c r="O323" s="310">
        <f t="shared" si="6"/>
        <v>15.88235294</v>
      </c>
      <c r="P323" s="311">
        <f t="shared" ref="P323:Q323" si="331">F323/D323</f>
        <v>0</v>
      </c>
      <c r="Q323" s="325" t="str">
        <f t="shared" si="331"/>
        <v>#DIV/0!</v>
      </c>
      <c r="R323" s="311">
        <f t="shared" si="8"/>
        <v>0</v>
      </c>
      <c r="S323" s="300" t="str">
        <f t="shared" si="305"/>
        <v>Closed</v>
      </c>
      <c r="T323" s="2" t="s">
        <v>146</v>
      </c>
      <c r="U323" s="162" t="s">
        <v>611</v>
      </c>
      <c r="V323" s="113">
        <f>COUNTIFS('Delivery Tracking'!E:E,B323)</f>
        <v>0</v>
      </c>
      <c r="W323" s="113">
        <f>SUMIFS(All_Stats!N:N,All_Stats!$A:$A,$B323,All_Stats!$B:$B,"Overall",All_Stats!$D:$D,"Total")</f>
        <v>0</v>
      </c>
      <c r="X323" s="323">
        <v>44783.0</v>
      </c>
      <c r="Y323" s="329"/>
      <c r="Z323" s="326"/>
    </row>
    <row r="324" hidden="1">
      <c r="A324" s="327" t="s">
        <v>1200</v>
      </c>
      <c r="B324" s="426" t="s">
        <v>1201</v>
      </c>
      <c r="C324" s="428"/>
      <c r="D324" s="193">
        <v>38.0</v>
      </c>
      <c r="E324" s="171">
        <f>SUMIFS(All_Stats!G:G,All_Stats!$A:$A,$B324,All_Stats!$B:$B,"Overall",All_Stats!$D:$D,"Total")</f>
        <v>0</v>
      </c>
      <c r="F324" s="113">
        <f>SUMIFS(All_Stats!H:H,All_Stats!$A:$A,$B324,All_Stats!$B:$B,"Overall",All_Stats!$D:$D,"Total")</f>
        <v>0</v>
      </c>
      <c r="G324" s="171">
        <f>SUMIFS(All_Stats!I:I,All_Stats!$A:$A,$B324,All_Stats!$B:$B,"Overall",All_Stats!$D:$D,"Total")</f>
        <v>0</v>
      </c>
      <c r="H324" s="113">
        <f>SUMIFS(All_Stats!K:K,All_Stats!$A:$A,$B324,All_Stats!$B:$B,"Overall",All_Stats!$D:$D,"Total")</f>
        <v>0</v>
      </c>
      <c r="I324" s="113">
        <f>SUMIFS(All_Stats!J:J,All_Stats!$A:$A,$B324,All_Stats!$B:$B,"Overall",All_Stats!$D:$D,"Total")</f>
        <v>0</v>
      </c>
      <c r="J324" s="113">
        <f t="shared" si="3"/>
        <v>38</v>
      </c>
      <c r="K324" s="249" t="s">
        <v>57</v>
      </c>
      <c r="L324" s="245">
        <v>44253.0</v>
      </c>
      <c r="M324" s="245">
        <v>44315.0</v>
      </c>
      <c r="O324" s="310">
        <f t="shared" si="6"/>
        <v>29.55555556</v>
      </c>
      <c r="P324" s="311">
        <f t="shared" ref="P324:Q324" si="332">F324/D324</f>
        <v>0</v>
      </c>
      <c r="Q324" s="325" t="str">
        <f t="shared" si="332"/>
        <v>#DIV/0!</v>
      </c>
      <c r="R324" s="311">
        <f t="shared" si="8"/>
        <v>0</v>
      </c>
      <c r="S324" s="300" t="str">
        <f t="shared" si="305"/>
        <v>Closed</v>
      </c>
      <c r="T324" s="2" t="s">
        <v>146</v>
      </c>
      <c r="U324" s="162" t="s">
        <v>611</v>
      </c>
      <c r="V324" s="113">
        <f>COUNTIFS('Delivery Tracking'!E:E,B324)</f>
        <v>0</v>
      </c>
      <c r="W324" s="113">
        <f>SUMIFS(All_Stats!N:N,All_Stats!$A:$A,$B324,All_Stats!$B:$B,"Overall",All_Stats!$D:$D,"Total")</f>
        <v>0</v>
      </c>
      <c r="X324" s="323">
        <v>44784.0</v>
      </c>
      <c r="Y324" s="329"/>
      <c r="Z324" s="326"/>
    </row>
    <row r="325" hidden="1">
      <c r="A325" s="327" t="s">
        <v>1202</v>
      </c>
      <c r="B325" s="175" t="s">
        <v>1203</v>
      </c>
      <c r="C325" s="306"/>
      <c r="D325" s="193">
        <v>50.0</v>
      </c>
      <c r="E325" s="171">
        <f>SUMIFS(All_Stats!G:G,All_Stats!$A:$A,$B325,All_Stats!$B:$B,"Overall",All_Stats!$D:$D,"Total")</f>
        <v>0</v>
      </c>
      <c r="F325" s="113">
        <f>SUMIFS(All_Stats!H:H,All_Stats!$A:$A,$B325,All_Stats!$B:$B,"Overall",All_Stats!$D:$D,"Total")</f>
        <v>0</v>
      </c>
      <c r="G325" s="171">
        <f>SUMIFS(All_Stats!I:I,All_Stats!$A:$A,$B325,All_Stats!$B:$B,"Overall",All_Stats!$D:$D,"Total")</f>
        <v>0</v>
      </c>
      <c r="H325" s="113">
        <f>SUMIFS(All_Stats!K:K,All_Stats!$A:$A,$B325,All_Stats!$B:$B,"Overall",All_Stats!$D:$D,"Total")</f>
        <v>0</v>
      </c>
      <c r="I325" s="113">
        <f>SUMIFS(All_Stats!J:J,All_Stats!$A:$A,$B325,All_Stats!$B:$B,"Overall",All_Stats!$D:$D,"Total")</f>
        <v>0</v>
      </c>
      <c r="J325" s="113">
        <f t="shared" si="3"/>
        <v>50</v>
      </c>
      <c r="K325" s="249" t="s">
        <v>57</v>
      </c>
      <c r="L325" s="245">
        <v>44225.0</v>
      </c>
      <c r="M325" s="245">
        <v>44308.0</v>
      </c>
      <c r="O325" s="310">
        <f t="shared" si="6"/>
        <v>22.5</v>
      </c>
      <c r="P325" s="311">
        <f t="shared" ref="P325:Q325" si="333">F325/D325</f>
        <v>0</v>
      </c>
      <c r="Q325" s="325" t="str">
        <f t="shared" si="333"/>
        <v>#DIV/0!</v>
      </c>
      <c r="R325" s="311">
        <f t="shared" si="8"/>
        <v>0</v>
      </c>
      <c r="S325" s="300" t="str">
        <f t="shared" si="305"/>
        <v>Closed</v>
      </c>
      <c r="T325" s="2" t="s">
        <v>146</v>
      </c>
      <c r="U325" s="162" t="s">
        <v>611</v>
      </c>
      <c r="V325" s="113">
        <f>COUNTIFS('Delivery Tracking'!E:E,B325)</f>
        <v>0</v>
      </c>
      <c r="W325" s="113">
        <f>SUMIFS(All_Stats!N:N,All_Stats!$A:$A,$B325,All_Stats!$B:$B,"Overall",All_Stats!$D:$D,"Total")</f>
        <v>0</v>
      </c>
      <c r="X325" s="323">
        <v>44785.0</v>
      </c>
      <c r="Y325" s="329"/>
      <c r="Z325" s="326"/>
    </row>
    <row r="326" hidden="1">
      <c r="A326" s="327" t="s">
        <v>1204</v>
      </c>
      <c r="B326" s="426" t="s">
        <v>1205</v>
      </c>
      <c r="C326" s="348"/>
      <c r="D326" s="193">
        <v>70.0</v>
      </c>
      <c r="E326" s="171">
        <f>SUMIFS(All_Stats!G:G,All_Stats!$A:$A,$B326,All_Stats!$B:$B,"Overall",All_Stats!$D:$D,"Total")</f>
        <v>0</v>
      </c>
      <c r="F326" s="113">
        <f>SUMIFS(All_Stats!H:H,All_Stats!$A:$A,$B326,All_Stats!$B:$B,"Overall",All_Stats!$D:$D,"Total")</f>
        <v>0</v>
      </c>
      <c r="G326" s="171">
        <f>SUMIFS(All_Stats!I:I,All_Stats!$A:$A,$B326,All_Stats!$B:$B,"Overall",All_Stats!$D:$D,"Total")</f>
        <v>0</v>
      </c>
      <c r="H326" s="113">
        <f>SUMIFS(All_Stats!K:K,All_Stats!$A:$A,$B326,All_Stats!$B:$B,"Overall",All_Stats!$D:$D,"Total")</f>
        <v>0</v>
      </c>
      <c r="I326" s="113">
        <f>SUMIFS(All_Stats!J:J,All_Stats!$A:$A,$B326,All_Stats!$B:$B,"Overall",All_Stats!$D:$D,"Total")</f>
        <v>0</v>
      </c>
      <c r="J326" s="113">
        <f t="shared" si="3"/>
        <v>70</v>
      </c>
      <c r="K326" s="249" t="s">
        <v>57</v>
      </c>
      <c r="L326" s="245">
        <v>44215.0</v>
      </c>
      <c r="M326" s="245">
        <v>44271.0</v>
      </c>
      <c r="O326" s="310">
        <f t="shared" si="6"/>
        <v>33.12195122</v>
      </c>
      <c r="P326" s="311">
        <f t="shared" ref="P326:Q326" si="334">F326/D326</f>
        <v>0</v>
      </c>
      <c r="Q326" s="325" t="str">
        <f t="shared" si="334"/>
        <v>#DIV/0!</v>
      </c>
      <c r="R326" s="311">
        <f t="shared" si="8"/>
        <v>0</v>
      </c>
      <c r="S326" s="300" t="str">
        <f t="shared" si="305"/>
        <v>Closed</v>
      </c>
      <c r="T326" s="2" t="s">
        <v>146</v>
      </c>
      <c r="U326" s="162" t="s">
        <v>611</v>
      </c>
      <c r="V326" s="113">
        <f>COUNTIFS('Delivery Tracking'!E:E,B326)</f>
        <v>0</v>
      </c>
      <c r="W326" s="113">
        <f>SUMIFS(All_Stats!N:N,All_Stats!$A:$A,$B326,All_Stats!$B:$B,"Overall",All_Stats!$D:$D,"Total")</f>
        <v>0</v>
      </c>
      <c r="X326" s="323">
        <v>44786.0</v>
      </c>
      <c r="Y326" s="329"/>
      <c r="Z326" s="326"/>
    </row>
    <row r="327" hidden="1">
      <c r="A327" s="330" t="s">
        <v>1206</v>
      </c>
      <c r="B327" s="426" t="s">
        <v>1207</v>
      </c>
      <c r="C327" s="348"/>
      <c r="D327" s="193">
        <v>78.0</v>
      </c>
      <c r="E327" s="171">
        <f>SUMIFS(All_Stats!G:G,All_Stats!$A:$A,$B327,All_Stats!$B:$B,"Overall",All_Stats!$D:$D,"Total")</f>
        <v>0</v>
      </c>
      <c r="F327" s="113">
        <f>SUMIFS(All_Stats!H:H,All_Stats!$A:$A,$B327,All_Stats!$B:$B,"Overall",All_Stats!$D:$D,"Total")</f>
        <v>0</v>
      </c>
      <c r="G327" s="171">
        <f>SUMIFS(All_Stats!I:I,All_Stats!$A:$A,$B327,All_Stats!$B:$B,"Overall",All_Stats!$D:$D,"Total")</f>
        <v>0</v>
      </c>
      <c r="H327" s="113">
        <f>SUMIFS(All_Stats!K:K,All_Stats!$A:$A,$B327,All_Stats!$B:$B,"Overall",All_Stats!$D:$D,"Total")</f>
        <v>0</v>
      </c>
      <c r="I327" s="113">
        <f>SUMIFS(All_Stats!J:J,All_Stats!$A:$A,$B327,All_Stats!$B:$B,"Overall",All_Stats!$D:$D,"Total")</f>
        <v>0</v>
      </c>
      <c r="J327" s="113">
        <f t="shared" si="3"/>
        <v>78</v>
      </c>
      <c r="K327" s="249" t="s">
        <v>57</v>
      </c>
      <c r="L327" s="245">
        <v>44270.0</v>
      </c>
      <c r="M327" s="245">
        <v>44309.0</v>
      </c>
      <c r="O327" s="310">
        <f t="shared" si="6"/>
        <v>43.96666667</v>
      </c>
      <c r="P327" s="311">
        <f t="shared" ref="P327:Q327" si="335">F327/D327</f>
        <v>0</v>
      </c>
      <c r="Q327" s="325" t="str">
        <f t="shared" si="335"/>
        <v>#DIV/0!</v>
      </c>
      <c r="R327" s="311">
        <f t="shared" si="8"/>
        <v>0</v>
      </c>
      <c r="S327" s="300" t="str">
        <f t="shared" si="305"/>
        <v>Closed</v>
      </c>
      <c r="T327" s="2" t="s">
        <v>146</v>
      </c>
      <c r="U327" s="162" t="s">
        <v>611</v>
      </c>
      <c r="V327" s="113">
        <f>COUNTIFS('Delivery Tracking'!E:E,B327)</f>
        <v>0</v>
      </c>
      <c r="W327" s="113">
        <f>SUMIFS(All_Stats!N:N,All_Stats!$A:$A,$B327,All_Stats!$B:$B,"Overall",All_Stats!$D:$D,"Total")</f>
        <v>0</v>
      </c>
      <c r="X327" s="323">
        <v>44787.0</v>
      </c>
      <c r="Y327" s="329"/>
      <c r="Z327" s="326"/>
    </row>
    <row r="328" hidden="1">
      <c r="A328" s="327" t="s">
        <v>1208</v>
      </c>
      <c r="B328" s="426" t="s">
        <v>1209</v>
      </c>
      <c r="C328" s="428"/>
      <c r="D328" s="193">
        <v>50.0</v>
      </c>
      <c r="E328" s="171">
        <f>SUMIFS(All_Stats!G:G,All_Stats!$A:$A,$B328,All_Stats!$B:$B,"Overall",All_Stats!$D:$D,"Total")</f>
        <v>0</v>
      </c>
      <c r="F328" s="113">
        <f>SUMIFS(All_Stats!H:H,All_Stats!$A:$A,$B328,All_Stats!$B:$B,"Overall",All_Stats!$D:$D,"Total")</f>
        <v>0</v>
      </c>
      <c r="G328" s="171">
        <f>SUMIFS(All_Stats!I:I,All_Stats!$A:$A,$B328,All_Stats!$B:$B,"Overall",All_Stats!$D:$D,"Total")</f>
        <v>0</v>
      </c>
      <c r="H328" s="113">
        <f>SUMIFS(All_Stats!K:K,All_Stats!$A:$A,$B328,All_Stats!$B:$B,"Overall",All_Stats!$D:$D,"Total")</f>
        <v>0</v>
      </c>
      <c r="I328" s="113">
        <f>SUMIFS(All_Stats!J:J,All_Stats!$A:$A,$B328,All_Stats!$B:$B,"Overall",All_Stats!$D:$D,"Total")</f>
        <v>0</v>
      </c>
      <c r="J328" s="113">
        <f t="shared" si="3"/>
        <v>50</v>
      </c>
      <c r="K328" s="249" t="s">
        <v>57</v>
      </c>
      <c r="L328" s="245">
        <v>44280.0</v>
      </c>
      <c r="M328" s="245">
        <v>44322.0</v>
      </c>
      <c r="O328" s="310">
        <f t="shared" si="6"/>
        <v>42.29032258</v>
      </c>
      <c r="P328" s="311">
        <f t="shared" ref="P328:Q328" si="336">F328/D328</f>
        <v>0</v>
      </c>
      <c r="Q328" s="325" t="str">
        <f t="shared" si="336"/>
        <v>#DIV/0!</v>
      </c>
      <c r="R328" s="311">
        <f t="shared" si="8"/>
        <v>0</v>
      </c>
      <c r="S328" s="300" t="str">
        <f t="shared" si="305"/>
        <v>Closed</v>
      </c>
      <c r="T328" s="2" t="s">
        <v>146</v>
      </c>
      <c r="U328" s="162" t="s">
        <v>611</v>
      </c>
      <c r="V328" s="113">
        <f>COUNTIFS('Delivery Tracking'!E:E,B328)</f>
        <v>0</v>
      </c>
      <c r="W328" s="113">
        <f>SUMIFS(All_Stats!N:N,All_Stats!$A:$A,$B328,All_Stats!$B:$B,"Overall",All_Stats!$D:$D,"Total")</f>
        <v>0</v>
      </c>
      <c r="X328" s="323">
        <v>44788.0</v>
      </c>
      <c r="Y328" s="329"/>
      <c r="Z328" s="326"/>
    </row>
    <row r="329" hidden="1">
      <c r="A329" s="327" t="s">
        <v>1210</v>
      </c>
      <c r="B329" s="175" t="s">
        <v>1211</v>
      </c>
      <c r="C329" s="306"/>
      <c r="D329" s="193">
        <v>50.0</v>
      </c>
      <c r="E329" s="171">
        <f>SUMIFS(All_Stats!G:G,All_Stats!$A:$A,$B329,All_Stats!$B:$B,"Overall",All_Stats!$D:$D,"Total")</f>
        <v>0</v>
      </c>
      <c r="F329" s="113">
        <f>SUMIFS(All_Stats!H:H,All_Stats!$A:$A,$B329,All_Stats!$B:$B,"Overall",All_Stats!$D:$D,"Total")</f>
        <v>0</v>
      </c>
      <c r="G329" s="171">
        <f>SUMIFS(All_Stats!I:I,All_Stats!$A:$A,$B329,All_Stats!$B:$B,"Overall",All_Stats!$D:$D,"Total")</f>
        <v>0</v>
      </c>
      <c r="H329" s="113">
        <f>SUMIFS(All_Stats!K:K,All_Stats!$A:$A,$B329,All_Stats!$B:$B,"Overall",All_Stats!$D:$D,"Total")</f>
        <v>0</v>
      </c>
      <c r="I329" s="113">
        <f>SUMIFS(All_Stats!J:J,All_Stats!$A:$A,$B329,All_Stats!$B:$B,"Overall",All_Stats!$D:$D,"Total")</f>
        <v>0</v>
      </c>
      <c r="J329" s="113">
        <f t="shared" si="3"/>
        <v>50</v>
      </c>
      <c r="K329" s="249" t="s">
        <v>57</v>
      </c>
      <c r="L329" s="245">
        <v>44302.0</v>
      </c>
      <c r="M329" s="444">
        <v>44286.0</v>
      </c>
      <c r="O329" s="310">
        <f t="shared" si="6"/>
        <v>-99.61538462</v>
      </c>
      <c r="P329" s="311">
        <f t="shared" ref="P329:Q329" si="337">F329/D329</f>
        <v>0</v>
      </c>
      <c r="Q329" s="325" t="str">
        <f t="shared" si="337"/>
        <v>#DIV/0!</v>
      </c>
      <c r="R329" s="311">
        <f t="shared" si="8"/>
        <v>0</v>
      </c>
      <c r="S329" s="300" t="str">
        <f t="shared" si="305"/>
        <v>Closed</v>
      </c>
      <c r="T329" s="2" t="s">
        <v>146</v>
      </c>
      <c r="U329" s="162" t="s">
        <v>611</v>
      </c>
      <c r="V329" s="113">
        <f>COUNTIFS('Delivery Tracking'!E:E,B329)</f>
        <v>0</v>
      </c>
      <c r="W329" s="113">
        <f>SUMIFS(All_Stats!N:N,All_Stats!$A:$A,$B329,All_Stats!$B:$B,"Overall",All_Stats!$D:$D,"Total")</f>
        <v>0</v>
      </c>
      <c r="X329" s="323">
        <v>44789.0</v>
      </c>
      <c r="Y329" s="329"/>
      <c r="Z329" s="326"/>
    </row>
    <row r="330" hidden="1">
      <c r="A330" s="430" t="s">
        <v>1025</v>
      </c>
      <c r="B330" s="426" t="s">
        <v>1212</v>
      </c>
      <c r="C330" s="348"/>
      <c r="D330" s="193">
        <v>200.0</v>
      </c>
      <c r="E330" s="171">
        <f>SUMIFS(All_Stats!G:G,All_Stats!$A:$A,$B330,All_Stats!$B:$B,"Overall",All_Stats!$D:$D,"Total")</f>
        <v>0</v>
      </c>
      <c r="F330" s="113">
        <f>SUMIFS(All_Stats!H:H,All_Stats!$A:$A,$B330,All_Stats!$B:$B,"Overall",All_Stats!$D:$D,"Total")</f>
        <v>0</v>
      </c>
      <c r="G330" s="171">
        <f>SUMIFS(All_Stats!I:I,All_Stats!$A:$A,$B330,All_Stats!$B:$B,"Overall",All_Stats!$D:$D,"Total")</f>
        <v>0</v>
      </c>
      <c r="H330" s="113">
        <f>SUMIFS(All_Stats!K:K,All_Stats!$A:$A,$B330,All_Stats!$B:$B,"Overall",All_Stats!$D:$D,"Total")</f>
        <v>0</v>
      </c>
      <c r="I330" s="113">
        <f>SUMIFS(All_Stats!J:J,All_Stats!$A:$A,$B330,All_Stats!$B:$B,"Overall",All_Stats!$D:$D,"Total")</f>
        <v>0</v>
      </c>
      <c r="J330" s="113">
        <f t="shared" si="3"/>
        <v>200</v>
      </c>
      <c r="K330" s="249" t="s">
        <v>57</v>
      </c>
      <c r="L330" s="245">
        <v>44253.0</v>
      </c>
      <c r="M330" s="245">
        <v>44307.0</v>
      </c>
      <c r="O330" s="310">
        <f t="shared" si="6"/>
        <v>34.1025641</v>
      </c>
      <c r="P330" s="311">
        <f t="shared" ref="P330:Q330" si="338">F330/D330</f>
        <v>0</v>
      </c>
      <c r="Q330" s="325" t="str">
        <f t="shared" si="338"/>
        <v>#DIV/0!</v>
      </c>
      <c r="R330" s="311">
        <f t="shared" si="8"/>
        <v>0</v>
      </c>
      <c r="S330" s="300" t="str">
        <f t="shared" si="305"/>
        <v>Closed</v>
      </c>
      <c r="T330" s="2" t="s">
        <v>111</v>
      </c>
      <c r="U330" s="162" t="s">
        <v>611</v>
      </c>
      <c r="V330" s="113">
        <f>COUNTIFS('Delivery Tracking'!E:E,B330)</f>
        <v>0</v>
      </c>
      <c r="W330" s="113">
        <f>SUMIFS(All_Stats!N:N,All_Stats!$A:$A,$B330,All_Stats!$B:$B,"Overall",All_Stats!$D:$D,"Total")</f>
        <v>0</v>
      </c>
      <c r="X330" s="323">
        <v>44790.0</v>
      </c>
      <c r="Y330" s="329"/>
      <c r="Z330" s="326"/>
    </row>
    <row r="331" hidden="1">
      <c r="A331" s="330" t="s">
        <v>1025</v>
      </c>
      <c r="B331" s="426" t="s">
        <v>1213</v>
      </c>
      <c r="C331" s="348"/>
      <c r="D331" s="193">
        <v>300.0</v>
      </c>
      <c r="E331" s="171">
        <f>SUMIFS(All_Stats!G:G,All_Stats!$A:$A,$B331,All_Stats!$B:$B,"Overall",All_Stats!$D:$D,"Total")</f>
        <v>0</v>
      </c>
      <c r="F331" s="113">
        <f>SUMIFS(All_Stats!H:H,All_Stats!$A:$A,$B331,All_Stats!$B:$B,"Overall",All_Stats!$D:$D,"Total")</f>
        <v>0</v>
      </c>
      <c r="G331" s="171">
        <f>SUMIFS(All_Stats!I:I,All_Stats!$A:$A,$B331,All_Stats!$B:$B,"Overall",All_Stats!$D:$D,"Total")</f>
        <v>0</v>
      </c>
      <c r="H331" s="113">
        <f>SUMIFS(All_Stats!K:K,All_Stats!$A:$A,$B331,All_Stats!$B:$B,"Overall",All_Stats!$D:$D,"Total")</f>
        <v>0</v>
      </c>
      <c r="I331" s="113">
        <f>SUMIFS(All_Stats!J:J,All_Stats!$A:$A,$B331,All_Stats!$B:$B,"Overall",All_Stats!$D:$D,"Total")</f>
        <v>0</v>
      </c>
      <c r="J331" s="113">
        <f t="shared" si="3"/>
        <v>300</v>
      </c>
      <c r="K331" s="249" t="s">
        <v>57</v>
      </c>
      <c r="L331" s="245">
        <v>44279.0</v>
      </c>
      <c r="M331" s="245">
        <v>44342.0</v>
      </c>
      <c r="N331" s="15" t="s">
        <v>1214</v>
      </c>
      <c r="O331" s="310">
        <f t="shared" si="6"/>
        <v>28.52173913</v>
      </c>
      <c r="P331" s="311">
        <f t="shared" ref="P331:Q331" si="339">F331/D331</f>
        <v>0</v>
      </c>
      <c r="Q331" s="325" t="str">
        <f t="shared" si="339"/>
        <v>#DIV/0!</v>
      </c>
      <c r="R331" s="311">
        <f t="shared" si="8"/>
        <v>0</v>
      </c>
      <c r="S331" s="300" t="str">
        <f t="shared" si="305"/>
        <v>Closed</v>
      </c>
      <c r="T331" s="2" t="s">
        <v>293</v>
      </c>
      <c r="U331" s="162" t="s">
        <v>611</v>
      </c>
      <c r="V331" s="113">
        <f>COUNTIFS('Delivery Tracking'!E:E,B331)</f>
        <v>0</v>
      </c>
      <c r="W331" s="113">
        <f>SUMIFS(All_Stats!N:N,All_Stats!$A:$A,$B331,All_Stats!$B:$B,"Overall",All_Stats!$D:$D,"Total")</f>
        <v>0</v>
      </c>
      <c r="X331" s="323">
        <v>44791.0</v>
      </c>
      <c r="Y331" s="329"/>
      <c r="Z331" s="326"/>
    </row>
    <row r="332" hidden="1">
      <c r="A332" s="330" t="s">
        <v>1215</v>
      </c>
      <c r="B332" s="328" t="s">
        <v>1216</v>
      </c>
      <c r="C332" s="184"/>
      <c r="D332" s="193">
        <v>20.0</v>
      </c>
      <c r="E332" s="171">
        <f>SUMIFS(All_Stats!G:G,All_Stats!$A:$A,$B332,All_Stats!$B:$B,"Overall",All_Stats!$D:$D,"Total")</f>
        <v>0</v>
      </c>
      <c r="F332" s="113">
        <f>SUMIFS(All_Stats!H:H,All_Stats!$A:$A,$B332,All_Stats!$B:$B,"Overall",All_Stats!$D:$D,"Total")</f>
        <v>0</v>
      </c>
      <c r="G332" s="171">
        <f>SUMIFS(All_Stats!I:I,All_Stats!$A:$A,$B332,All_Stats!$B:$B,"Overall",All_Stats!$D:$D,"Total")</f>
        <v>0</v>
      </c>
      <c r="H332" s="113">
        <f>SUMIFS(All_Stats!K:K,All_Stats!$A:$A,$B332,All_Stats!$B:$B,"Overall",All_Stats!$D:$D,"Total")</f>
        <v>0</v>
      </c>
      <c r="I332" s="113">
        <f>SUMIFS(All_Stats!J:J,All_Stats!$A:$A,$B332,All_Stats!$B:$B,"Overall",All_Stats!$D:$D,"Total")</f>
        <v>0</v>
      </c>
      <c r="J332" s="113">
        <f t="shared" si="3"/>
        <v>20</v>
      </c>
      <c r="K332" s="249" t="s">
        <v>57</v>
      </c>
      <c r="L332" s="245">
        <v>44335.0</v>
      </c>
      <c r="M332" s="332">
        <v>44340.0</v>
      </c>
      <c r="O332" s="310">
        <f t="shared" si="6"/>
        <v>318</v>
      </c>
      <c r="P332" s="311">
        <f t="shared" ref="P332:Q332" si="340">F332/D332</f>
        <v>0</v>
      </c>
      <c r="Q332" s="325" t="str">
        <f t="shared" si="340"/>
        <v>#DIV/0!</v>
      </c>
      <c r="R332" s="311">
        <f t="shared" si="8"/>
        <v>0</v>
      </c>
      <c r="S332" s="300" t="str">
        <f t="shared" si="305"/>
        <v>Closed</v>
      </c>
      <c r="T332" s="2" t="s">
        <v>166</v>
      </c>
      <c r="U332" s="162" t="s">
        <v>611</v>
      </c>
      <c r="V332" s="113">
        <f>COUNTIFS('Delivery Tracking'!E:E,B332)</f>
        <v>0</v>
      </c>
      <c r="W332" s="113">
        <f>SUMIFS(All_Stats!N:N,All_Stats!$A:$A,$B332,All_Stats!$B:$B,"Overall",All_Stats!$D:$D,"Total")</f>
        <v>0</v>
      </c>
      <c r="X332" s="323">
        <v>44792.0</v>
      </c>
      <c r="Y332" s="329"/>
      <c r="Z332" s="326"/>
    </row>
    <row r="333" hidden="1">
      <c r="A333" s="442" t="s">
        <v>718</v>
      </c>
      <c r="B333" s="296" t="s">
        <v>1217</v>
      </c>
      <c r="C333" s="421"/>
      <c r="D333" s="193">
        <v>332.0</v>
      </c>
      <c r="E333" s="171">
        <f>SUMIFS(All_Stats!G:G,All_Stats!$A:$A,$B333,All_Stats!$B:$B,"Overall",All_Stats!$D:$D,"Total")</f>
        <v>0</v>
      </c>
      <c r="F333" s="113">
        <f>SUMIFS(All_Stats!H:H,All_Stats!$A:$A,$B333,All_Stats!$B:$B,"Overall",All_Stats!$D:$D,"Total")</f>
        <v>0</v>
      </c>
      <c r="G333" s="171">
        <f>SUMIFS(All_Stats!I:I,All_Stats!$A:$A,$B333,All_Stats!$B:$B,"Overall",All_Stats!$D:$D,"Total")</f>
        <v>0</v>
      </c>
      <c r="H333" s="113">
        <f>SUMIFS(All_Stats!K:K,All_Stats!$A:$A,$B333,All_Stats!$B:$B,"Overall",All_Stats!$D:$D,"Total")</f>
        <v>0</v>
      </c>
      <c r="I333" s="113">
        <f>SUMIFS(All_Stats!J:J,All_Stats!$A:$A,$B333,All_Stats!$B:$B,"Overall",All_Stats!$D:$D,"Total")</f>
        <v>0</v>
      </c>
      <c r="J333" s="113">
        <f t="shared" si="3"/>
        <v>332</v>
      </c>
      <c r="K333" s="249" t="s">
        <v>57</v>
      </c>
      <c r="L333" s="443">
        <v>44292.0</v>
      </c>
      <c r="M333" s="332">
        <v>44348.0</v>
      </c>
      <c r="O333" s="310">
        <f t="shared" si="6"/>
        <v>31.7804878</v>
      </c>
      <c r="P333" s="311">
        <f t="shared" ref="P333:Q333" si="341">F333/D333</f>
        <v>0</v>
      </c>
      <c r="Q333" s="325" t="str">
        <f t="shared" si="341"/>
        <v>#DIV/0!</v>
      </c>
      <c r="R333" s="311">
        <f t="shared" si="8"/>
        <v>0</v>
      </c>
      <c r="S333" s="300" t="str">
        <f t="shared" si="305"/>
        <v>Closed</v>
      </c>
      <c r="T333" s="2" t="s">
        <v>166</v>
      </c>
      <c r="U333" s="162" t="s">
        <v>611</v>
      </c>
      <c r="V333" s="113">
        <f>COUNTIFS('Delivery Tracking'!E:E,B333)</f>
        <v>0</v>
      </c>
      <c r="W333" s="113">
        <f>SUMIFS(All_Stats!N:N,All_Stats!$A:$A,$B333,All_Stats!$B:$B,"Overall",All_Stats!$D:$D,"Total")</f>
        <v>0</v>
      </c>
      <c r="X333" s="323">
        <v>44793.0</v>
      </c>
      <c r="Y333" s="329"/>
      <c r="Z333" s="326"/>
    </row>
    <row r="334" hidden="1">
      <c r="A334" s="327" t="s">
        <v>878</v>
      </c>
      <c r="B334" s="328" t="s">
        <v>1218</v>
      </c>
      <c r="C334" s="184"/>
      <c r="D334" s="193">
        <v>21.0</v>
      </c>
      <c r="E334" s="171">
        <f>SUMIFS(All_Stats!G:G,All_Stats!$A:$A,$B334,All_Stats!$B:$B,"Overall",All_Stats!$D:$D,"Total")</f>
        <v>0</v>
      </c>
      <c r="F334" s="113">
        <f>SUMIFS(All_Stats!H:H,All_Stats!$A:$A,$B334,All_Stats!$B:$B,"Overall",All_Stats!$D:$D,"Total")</f>
        <v>0</v>
      </c>
      <c r="G334" s="171">
        <f>SUMIFS(All_Stats!I:I,All_Stats!$A:$A,$B334,All_Stats!$B:$B,"Overall",All_Stats!$D:$D,"Total")</f>
        <v>0</v>
      </c>
      <c r="H334" s="113">
        <f>SUMIFS(All_Stats!K:K,All_Stats!$A:$A,$B334,All_Stats!$B:$B,"Overall",All_Stats!$D:$D,"Total")</f>
        <v>0</v>
      </c>
      <c r="I334" s="113">
        <f>SUMIFS(All_Stats!J:J,All_Stats!$A:$A,$B334,All_Stats!$B:$B,"Overall",All_Stats!$D:$D,"Total")</f>
        <v>0</v>
      </c>
      <c r="J334" s="113">
        <f t="shared" si="3"/>
        <v>21</v>
      </c>
      <c r="K334" s="249" t="s">
        <v>57</v>
      </c>
      <c r="L334" s="245">
        <v>44320.0</v>
      </c>
      <c r="M334" s="245">
        <v>44338.0</v>
      </c>
      <c r="O334" s="310">
        <f t="shared" si="6"/>
        <v>91.64285714</v>
      </c>
      <c r="P334" s="311">
        <f t="shared" ref="P334:Q334" si="342">F334/D334</f>
        <v>0</v>
      </c>
      <c r="Q334" s="325" t="str">
        <f t="shared" si="342"/>
        <v>#DIV/0!</v>
      </c>
      <c r="R334" s="311">
        <f t="shared" si="8"/>
        <v>0</v>
      </c>
      <c r="S334" s="300" t="str">
        <f t="shared" si="305"/>
        <v>Closed</v>
      </c>
      <c r="T334" s="2" t="s">
        <v>166</v>
      </c>
      <c r="U334" s="162" t="s">
        <v>611</v>
      </c>
      <c r="V334" s="113">
        <f>COUNTIFS('Delivery Tracking'!E:E,B334)</f>
        <v>0</v>
      </c>
      <c r="W334" s="113">
        <f>SUMIFS(All_Stats!N:N,All_Stats!$A:$A,$B334,All_Stats!$B:$B,"Overall",All_Stats!$D:$D,"Total")</f>
        <v>0</v>
      </c>
      <c r="X334" s="323">
        <v>44794.0</v>
      </c>
      <c r="Y334" s="329"/>
      <c r="Z334" s="326"/>
    </row>
    <row r="335" hidden="1">
      <c r="A335" s="330" t="s">
        <v>1215</v>
      </c>
      <c r="B335" s="175" t="s">
        <v>1219</v>
      </c>
      <c r="C335" s="184"/>
      <c r="D335" s="193">
        <v>18.0</v>
      </c>
      <c r="E335" s="171">
        <f>SUMIFS(All_Stats!G:G,All_Stats!$A:$A,$B335,All_Stats!$B:$B,"Overall",All_Stats!$D:$D,"Total")</f>
        <v>0</v>
      </c>
      <c r="F335" s="113">
        <f>SUMIFS(All_Stats!H:H,All_Stats!$A:$A,$B335,All_Stats!$B:$B,"Overall",All_Stats!$D:$D,"Total")</f>
        <v>0</v>
      </c>
      <c r="G335" s="171">
        <f>SUMIFS(All_Stats!I:I,All_Stats!$A:$A,$B335,All_Stats!$B:$B,"Overall",All_Stats!$D:$D,"Total")</f>
        <v>0</v>
      </c>
      <c r="H335" s="113">
        <f>SUMIFS(All_Stats!K:K,All_Stats!$A:$A,$B335,All_Stats!$B:$B,"Overall",All_Stats!$D:$D,"Total")</f>
        <v>0</v>
      </c>
      <c r="I335" s="113">
        <f>SUMIFS(All_Stats!J:J,All_Stats!$A:$A,$B335,All_Stats!$B:$B,"Overall",All_Stats!$D:$D,"Total")</f>
        <v>0</v>
      </c>
      <c r="J335" s="113">
        <f t="shared" si="3"/>
        <v>18</v>
      </c>
      <c r="K335" s="249" t="s">
        <v>57</v>
      </c>
      <c r="L335" s="245">
        <v>44323.0</v>
      </c>
      <c r="M335" s="245">
        <v>44330.0</v>
      </c>
      <c r="O335" s="310">
        <f t="shared" si="6"/>
        <v>213.3333333</v>
      </c>
      <c r="P335" s="311">
        <f t="shared" ref="P335:Q335" si="343">F335/D335</f>
        <v>0</v>
      </c>
      <c r="Q335" s="325" t="str">
        <f t="shared" si="343"/>
        <v>#DIV/0!</v>
      </c>
      <c r="R335" s="311">
        <f t="shared" si="8"/>
        <v>0</v>
      </c>
      <c r="S335" s="300" t="str">
        <f t="shared" si="305"/>
        <v>Closed</v>
      </c>
      <c r="T335" s="2" t="s">
        <v>166</v>
      </c>
      <c r="U335" s="162" t="s">
        <v>611</v>
      </c>
      <c r="V335" s="113">
        <f>COUNTIFS('Delivery Tracking'!E:E,B335)</f>
        <v>0</v>
      </c>
      <c r="W335" s="113">
        <f>SUMIFS(All_Stats!N:N,All_Stats!$A:$A,$B335,All_Stats!$B:$B,"Overall",All_Stats!$D:$D,"Total")</f>
        <v>0</v>
      </c>
      <c r="X335" s="323">
        <v>44795.0</v>
      </c>
      <c r="Y335" s="329"/>
      <c r="Z335" s="326"/>
    </row>
    <row r="336" ht="18.75" hidden="1" customHeight="1">
      <c r="A336" s="330" t="s">
        <v>678</v>
      </c>
      <c r="B336" s="175" t="s">
        <v>1220</v>
      </c>
      <c r="C336" s="184"/>
      <c r="D336" s="193">
        <v>80.0</v>
      </c>
      <c r="E336" s="171">
        <f>SUMIFS(All_Stats!G:G,All_Stats!$A:$A,$B336,All_Stats!$B:$B,"Overall",All_Stats!$D:$D,"Total")</f>
        <v>0</v>
      </c>
      <c r="F336" s="113">
        <f>SUMIFS(All_Stats!H:H,All_Stats!$A:$A,$B336,All_Stats!$B:$B,"Overall",All_Stats!$D:$D,"Total")</f>
        <v>0</v>
      </c>
      <c r="G336" s="171">
        <f>SUMIFS(All_Stats!I:I,All_Stats!$A:$A,$B336,All_Stats!$B:$B,"Overall",All_Stats!$D:$D,"Total")</f>
        <v>0</v>
      </c>
      <c r="H336" s="113">
        <f>SUMIFS(All_Stats!K:K,All_Stats!$A:$A,$B336,All_Stats!$B:$B,"Overall",All_Stats!$D:$D,"Total")</f>
        <v>0</v>
      </c>
      <c r="I336" s="113">
        <f>SUMIFS(All_Stats!J:J,All_Stats!$A:$A,$B336,All_Stats!$B:$B,"Overall",All_Stats!$D:$D,"Total")</f>
        <v>0</v>
      </c>
      <c r="J336" s="113">
        <f t="shared" si="3"/>
        <v>80</v>
      </c>
      <c r="K336" s="249" t="s">
        <v>57</v>
      </c>
      <c r="L336" s="245">
        <v>44309.0</v>
      </c>
      <c r="M336" s="245">
        <v>44315.0</v>
      </c>
      <c r="O336" s="310">
        <f t="shared" si="6"/>
        <v>258</v>
      </c>
      <c r="P336" s="311">
        <f t="shared" ref="P336:Q336" si="344">F336/D336</f>
        <v>0</v>
      </c>
      <c r="Q336" s="325" t="str">
        <f t="shared" si="344"/>
        <v>#DIV/0!</v>
      </c>
      <c r="R336" s="311">
        <f t="shared" si="8"/>
        <v>0</v>
      </c>
      <c r="S336" s="300" t="str">
        <f t="shared" si="305"/>
        <v>Closed</v>
      </c>
      <c r="T336" s="2" t="s">
        <v>166</v>
      </c>
      <c r="U336" s="162" t="s">
        <v>611</v>
      </c>
      <c r="V336" s="113">
        <f>COUNTIFS('Delivery Tracking'!E:E,B336)</f>
        <v>0</v>
      </c>
      <c r="W336" s="113">
        <f>SUMIFS(All_Stats!N:N,All_Stats!$A:$A,$B336,All_Stats!$B:$B,"Overall",All_Stats!$D:$D,"Total")</f>
        <v>0</v>
      </c>
      <c r="X336" s="323">
        <v>44796.0</v>
      </c>
      <c r="Y336" s="329"/>
      <c r="Z336" s="326"/>
    </row>
    <row r="337" ht="20.25" hidden="1" customHeight="1">
      <c r="A337" s="445" t="s">
        <v>1221</v>
      </c>
      <c r="B337" s="426" t="s">
        <v>1222</v>
      </c>
      <c r="C337" s="421"/>
      <c r="D337" s="193">
        <v>10.0</v>
      </c>
      <c r="E337" s="171">
        <f>SUMIFS(All_Stats!G:G,All_Stats!$A:$A,$B337,All_Stats!$B:$B,"Overall",All_Stats!$D:$D,"Total")</f>
        <v>0</v>
      </c>
      <c r="F337" s="113">
        <f>SUMIFS(All_Stats!H:H,All_Stats!$A:$A,$B337,All_Stats!$B:$B,"Overall",All_Stats!$D:$D,"Total")</f>
        <v>0</v>
      </c>
      <c r="G337" s="171">
        <f>SUMIFS(All_Stats!I:I,All_Stats!$A:$A,$B337,All_Stats!$B:$B,"Overall",All_Stats!$D:$D,"Total")</f>
        <v>0</v>
      </c>
      <c r="H337" s="113">
        <f>SUMIFS(All_Stats!K:K,All_Stats!$A:$A,$B337,All_Stats!$B:$B,"Overall",All_Stats!$D:$D,"Total")</f>
        <v>0</v>
      </c>
      <c r="I337" s="113">
        <f>SUMIFS(All_Stats!J:J,All_Stats!$A:$A,$B337,All_Stats!$B:$B,"Overall",All_Stats!$D:$D,"Total")</f>
        <v>0</v>
      </c>
      <c r="J337" s="113">
        <f t="shared" si="3"/>
        <v>10</v>
      </c>
      <c r="K337" s="249" t="s">
        <v>57</v>
      </c>
      <c r="L337" s="245">
        <v>44278.0</v>
      </c>
      <c r="M337" s="245">
        <v>44309.0</v>
      </c>
      <c r="O337" s="310">
        <f t="shared" si="6"/>
        <v>54.70833333</v>
      </c>
      <c r="P337" s="311">
        <f t="shared" ref="P337:Q337" si="345">F337/D337</f>
        <v>0</v>
      </c>
      <c r="Q337" s="325" t="str">
        <f t="shared" si="345"/>
        <v>#DIV/0!</v>
      </c>
      <c r="R337" s="311">
        <f t="shared" si="8"/>
        <v>0</v>
      </c>
      <c r="S337" s="300" t="str">
        <f t="shared" si="305"/>
        <v>Closed</v>
      </c>
      <c r="T337" s="2" t="s">
        <v>153</v>
      </c>
      <c r="U337" s="162" t="s">
        <v>611</v>
      </c>
      <c r="V337" s="113">
        <f>COUNTIFS('Delivery Tracking'!E:E,B337)</f>
        <v>0</v>
      </c>
      <c r="W337" s="113">
        <f>SUMIFS(All_Stats!N:N,All_Stats!$A:$A,$B337,All_Stats!$B:$B,"Overall",All_Stats!$D:$D,"Total")</f>
        <v>0</v>
      </c>
      <c r="X337" s="323">
        <v>44797.0</v>
      </c>
      <c r="Y337" s="329"/>
      <c r="Z337" s="326"/>
    </row>
    <row r="338" hidden="1">
      <c r="A338" s="327" t="s">
        <v>1223</v>
      </c>
      <c r="B338" s="426" t="s">
        <v>1224</v>
      </c>
      <c r="C338" s="421"/>
      <c r="D338" s="193">
        <v>200.0</v>
      </c>
      <c r="E338" s="171">
        <f>SUMIFS(All_Stats!G:G,All_Stats!$A:$A,$B338,All_Stats!$B:$B,"Overall",All_Stats!$D:$D,"Total")</f>
        <v>0</v>
      </c>
      <c r="F338" s="113">
        <f>SUMIFS(All_Stats!H:H,All_Stats!$A:$A,$B338,All_Stats!$B:$B,"Overall",All_Stats!$D:$D,"Total")</f>
        <v>0</v>
      </c>
      <c r="G338" s="171">
        <f>SUMIFS(All_Stats!I:I,All_Stats!$A:$A,$B338,All_Stats!$B:$B,"Overall",All_Stats!$D:$D,"Total")</f>
        <v>0</v>
      </c>
      <c r="H338" s="113">
        <f>SUMIFS(All_Stats!K:K,All_Stats!$A:$A,$B338,All_Stats!$B:$B,"Overall",All_Stats!$D:$D,"Total")</f>
        <v>0</v>
      </c>
      <c r="I338" s="113">
        <f>SUMIFS(All_Stats!J:J,All_Stats!$A:$A,$B338,All_Stats!$B:$B,"Overall",All_Stats!$D:$D,"Total")</f>
        <v>0</v>
      </c>
      <c r="J338" s="113">
        <f t="shared" si="3"/>
        <v>200</v>
      </c>
      <c r="K338" s="249" t="s">
        <v>57</v>
      </c>
      <c r="L338" s="374">
        <v>44245.0</v>
      </c>
      <c r="M338" s="374">
        <v>44305.0</v>
      </c>
      <c r="O338" s="310">
        <f t="shared" si="6"/>
        <v>31.06976744</v>
      </c>
      <c r="P338" s="311">
        <f t="shared" ref="P338:Q338" si="346">F338/D338</f>
        <v>0</v>
      </c>
      <c r="Q338" s="325" t="str">
        <f t="shared" si="346"/>
        <v>#DIV/0!</v>
      </c>
      <c r="R338" s="311">
        <f t="shared" si="8"/>
        <v>0</v>
      </c>
      <c r="S338" s="300" t="str">
        <f t="shared" si="305"/>
        <v>Closed</v>
      </c>
      <c r="T338" s="2" t="s">
        <v>153</v>
      </c>
      <c r="U338" s="162" t="s">
        <v>611</v>
      </c>
      <c r="V338" s="113">
        <f>COUNTIFS('Delivery Tracking'!E:E,B338)</f>
        <v>0</v>
      </c>
      <c r="W338" s="113">
        <f>SUMIFS(All_Stats!N:N,All_Stats!$A:$A,$B338,All_Stats!$B:$B,"Overall",All_Stats!$D:$D,"Total")</f>
        <v>0</v>
      </c>
      <c r="X338" s="323">
        <v>44798.0</v>
      </c>
      <c r="Y338" s="329"/>
      <c r="Z338" s="326"/>
    </row>
    <row r="339" hidden="1">
      <c r="A339" s="327" t="s">
        <v>659</v>
      </c>
      <c r="B339" s="426" t="s">
        <v>1225</v>
      </c>
      <c r="C339" s="421"/>
      <c r="D339" s="193">
        <v>23.0</v>
      </c>
      <c r="E339" s="171">
        <f>SUMIFS(All_Stats!G:G,All_Stats!$A:$A,$B339,All_Stats!$B:$B,"Overall",All_Stats!$D:$D,"Total")</f>
        <v>0</v>
      </c>
      <c r="F339" s="113">
        <f>SUMIFS(All_Stats!H:H,All_Stats!$A:$A,$B339,All_Stats!$B:$B,"Overall",All_Stats!$D:$D,"Total")</f>
        <v>0</v>
      </c>
      <c r="G339" s="171">
        <f>SUMIFS(All_Stats!I:I,All_Stats!$A:$A,$B339,All_Stats!$B:$B,"Overall",All_Stats!$D:$D,"Total")</f>
        <v>0</v>
      </c>
      <c r="H339" s="113">
        <f>SUMIFS(All_Stats!K:K,All_Stats!$A:$A,$B339,All_Stats!$B:$B,"Overall",All_Stats!$D:$D,"Total")</f>
        <v>0</v>
      </c>
      <c r="I339" s="113">
        <f>SUMIFS(All_Stats!J:J,All_Stats!$A:$A,$B339,All_Stats!$B:$B,"Overall",All_Stats!$D:$D,"Total")</f>
        <v>0</v>
      </c>
      <c r="J339" s="113">
        <f t="shared" si="3"/>
        <v>23</v>
      </c>
      <c r="K339" s="249" t="s">
        <v>57</v>
      </c>
      <c r="L339" s="299">
        <v>44295.0</v>
      </c>
      <c r="M339" s="245">
        <v>44307.0</v>
      </c>
      <c r="O339" s="310">
        <f t="shared" si="6"/>
        <v>144.4444444</v>
      </c>
      <c r="P339" s="311">
        <f t="shared" ref="P339:Q339" si="347">F339/D339</f>
        <v>0</v>
      </c>
      <c r="Q339" s="325" t="str">
        <f t="shared" si="347"/>
        <v>#DIV/0!</v>
      </c>
      <c r="R339" s="311">
        <f t="shared" si="8"/>
        <v>0</v>
      </c>
      <c r="S339" s="300" t="str">
        <f t="shared" si="305"/>
        <v>Closed</v>
      </c>
      <c r="T339" s="2" t="s">
        <v>166</v>
      </c>
      <c r="U339" s="162" t="s">
        <v>611</v>
      </c>
      <c r="V339" s="113">
        <f>COUNTIFS('Delivery Tracking'!E:E,B339)</f>
        <v>0</v>
      </c>
      <c r="W339" s="113">
        <f>SUMIFS(All_Stats!N:N,All_Stats!$A:$A,$B339,All_Stats!$B:$B,"Overall",All_Stats!$D:$D,"Total")</f>
        <v>0</v>
      </c>
      <c r="X339" s="323">
        <v>44799.0</v>
      </c>
      <c r="Y339" s="329"/>
      <c r="Z339" s="326"/>
    </row>
    <row r="340" hidden="1">
      <c r="A340" s="330" t="s">
        <v>1226</v>
      </c>
      <c r="B340" s="175" t="s">
        <v>1227</v>
      </c>
      <c r="C340" s="184"/>
      <c r="D340" s="193">
        <v>8.0</v>
      </c>
      <c r="E340" s="171">
        <f>SUMIFS(All_Stats!G:G,All_Stats!$A:$A,$B340,All_Stats!$B:$B,"Overall",All_Stats!$D:$D,"Total")</f>
        <v>0</v>
      </c>
      <c r="F340" s="113">
        <f>SUMIFS(All_Stats!H:H,All_Stats!$A:$A,$B340,All_Stats!$B:$B,"Overall",All_Stats!$D:$D,"Total")</f>
        <v>0</v>
      </c>
      <c r="G340" s="171">
        <f>SUMIFS(All_Stats!I:I,All_Stats!$A:$A,$B340,All_Stats!$B:$B,"Overall",All_Stats!$D:$D,"Total")</f>
        <v>0</v>
      </c>
      <c r="H340" s="113">
        <f>SUMIFS(All_Stats!K:K,All_Stats!$A:$A,$B340,All_Stats!$B:$B,"Overall",All_Stats!$D:$D,"Total")</f>
        <v>0</v>
      </c>
      <c r="I340" s="113">
        <f>SUMIFS(All_Stats!J:J,All_Stats!$A:$A,$B340,All_Stats!$B:$B,"Overall",All_Stats!$D:$D,"Total")</f>
        <v>0</v>
      </c>
      <c r="J340" s="113">
        <f t="shared" si="3"/>
        <v>8</v>
      </c>
      <c r="K340" s="249" t="s">
        <v>57</v>
      </c>
      <c r="L340" s="245">
        <v>44308.0</v>
      </c>
      <c r="M340" s="245">
        <v>44316.0</v>
      </c>
      <c r="O340" s="310">
        <f t="shared" si="6"/>
        <v>184.4285714</v>
      </c>
      <c r="P340" s="311">
        <f t="shared" ref="P340:Q340" si="348">F340/D340</f>
        <v>0</v>
      </c>
      <c r="Q340" s="325" t="str">
        <f t="shared" si="348"/>
        <v>#DIV/0!</v>
      </c>
      <c r="R340" s="311">
        <f t="shared" si="8"/>
        <v>0</v>
      </c>
      <c r="S340" s="300" t="str">
        <f t="shared" si="305"/>
        <v>Closed</v>
      </c>
      <c r="T340" s="2" t="s">
        <v>166</v>
      </c>
      <c r="U340" s="162" t="s">
        <v>611</v>
      </c>
      <c r="V340" s="113">
        <f>COUNTIFS('Delivery Tracking'!E:E,B340)</f>
        <v>0</v>
      </c>
      <c r="W340" s="113">
        <f>SUMIFS(All_Stats!N:N,All_Stats!$A:$A,$B340,All_Stats!$B:$B,"Overall",All_Stats!$D:$D,"Total")</f>
        <v>0</v>
      </c>
      <c r="X340" s="323">
        <v>44800.0</v>
      </c>
      <c r="Y340" s="329"/>
      <c r="Z340" s="326"/>
    </row>
    <row r="341" hidden="1">
      <c r="A341" s="330" t="s">
        <v>1228</v>
      </c>
      <c r="B341" s="426" t="s">
        <v>1229</v>
      </c>
      <c r="C341" s="297"/>
      <c r="D341" s="193">
        <v>60.0</v>
      </c>
      <c r="E341" s="171">
        <f>SUMIFS(All_Stats!G:G,All_Stats!$A:$A,$B341,All_Stats!$B:$B,"Overall",All_Stats!$D:$D,"Total")</f>
        <v>0</v>
      </c>
      <c r="F341" s="113">
        <f>SUMIFS(All_Stats!H:H,All_Stats!$A:$A,$B341,All_Stats!$B:$B,"Overall",All_Stats!$D:$D,"Total")</f>
        <v>0</v>
      </c>
      <c r="G341" s="171">
        <f>SUMIFS(All_Stats!I:I,All_Stats!$A:$A,$B341,All_Stats!$B:$B,"Overall",All_Stats!$D:$D,"Total")</f>
        <v>0</v>
      </c>
      <c r="H341" s="113">
        <f>SUMIFS(All_Stats!K:K,All_Stats!$A:$A,$B341,All_Stats!$B:$B,"Overall",All_Stats!$D:$D,"Total")</f>
        <v>0</v>
      </c>
      <c r="I341" s="113">
        <f>SUMIFS(All_Stats!J:J,All_Stats!$A:$A,$B341,All_Stats!$B:$B,"Overall",All_Stats!$D:$D,"Total")</f>
        <v>0</v>
      </c>
      <c r="J341" s="113">
        <f t="shared" si="3"/>
        <v>60</v>
      </c>
      <c r="K341" s="249" t="s">
        <v>57</v>
      </c>
      <c r="L341" s="245">
        <v>44278.0</v>
      </c>
      <c r="M341" s="245">
        <v>44316.0</v>
      </c>
      <c r="O341" s="310">
        <f t="shared" si="6"/>
        <v>45.27586207</v>
      </c>
      <c r="P341" s="311">
        <f t="shared" ref="P341:Q341" si="349">F341/D341</f>
        <v>0</v>
      </c>
      <c r="Q341" s="325" t="str">
        <f t="shared" si="349"/>
        <v>#DIV/0!</v>
      </c>
      <c r="R341" s="311">
        <f t="shared" si="8"/>
        <v>0</v>
      </c>
      <c r="S341" s="300" t="str">
        <f t="shared" si="305"/>
        <v>Closed</v>
      </c>
      <c r="T341" s="2" t="s">
        <v>166</v>
      </c>
      <c r="U341" s="162" t="s">
        <v>611</v>
      </c>
      <c r="V341" s="113">
        <f>COUNTIFS('Delivery Tracking'!E:E,B341)</f>
        <v>0</v>
      </c>
      <c r="W341" s="113">
        <f>SUMIFS(All_Stats!N:N,All_Stats!$A:$A,$B341,All_Stats!$B:$B,"Overall",All_Stats!$D:$D,"Total")</f>
        <v>0</v>
      </c>
      <c r="X341" s="323">
        <v>44801.0</v>
      </c>
      <c r="Y341" s="329"/>
      <c r="Z341" s="326"/>
    </row>
    <row r="342" hidden="1">
      <c r="A342" s="327" t="s">
        <v>1230</v>
      </c>
      <c r="B342" s="175" t="s">
        <v>1231</v>
      </c>
      <c r="C342" s="184"/>
      <c r="D342" s="193">
        <v>8.0</v>
      </c>
      <c r="E342" s="171">
        <f>SUMIFS(All_Stats!G:G,All_Stats!$A:$A,$B342,All_Stats!$B:$B,"Overall",All_Stats!$D:$D,"Total")</f>
        <v>0</v>
      </c>
      <c r="F342" s="113">
        <f>SUMIFS(All_Stats!H:H,All_Stats!$A:$A,$B342,All_Stats!$B:$B,"Overall",All_Stats!$D:$D,"Total")</f>
        <v>0</v>
      </c>
      <c r="G342" s="171">
        <f>SUMIFS(All_Stats!I:I,All_Stats!$A:$A,$B342,All_Stats!$B:$B,"Overall",All_Stats!$D:$D,"Total")</f>
        <v>0</v>
      </c>
      <c r="H342" s="113">
        <f>SUMIFS(All_Stats!K:K,All_Stats!$A:$A,$B342,All_Stats!$B:$B,"Overall",All_Stats!$D:$D,"Total")</f>
        <v>0</v>
      </c>
      <c r="I342" s="113">
        <f>SUMIFS(All_Stats!J:J,All_Stats!$A:$A,$B342,All_Stats!$B:$B,"Overall",All_Stats!$D:$D,"Total")</f>
        <v>0</v>
      </c>
      <c r="J342" s="113">
        <f t="shared" si="3"/>
        <v>8</v>
      </c>
      <c r="K342" s="249" t="s">
        <v>57</v>
      </c>
      <c r="L342" s="245">
        <v>44281.0</v>
      </c>
      <c r="M342" s="245">
        <v>44294.0</v>
      </c>
      <c r="O342" s="310">
        <f t="shared" si="6"/>
        <v>131</v>
      </c>
      <c r="P342" s="311">
        <f t="shared" ref="P342:Q342" si="350">F342/D342</f>
        <v>0</v>
      </c>
      <c r="Q342" s="325" t="str">
        <f t="shared" si="350"/>
        <v>#DIV/0!</v>
      </c>
      <c r="R342" s="311">
        <f t="shared" si="8"/>
        <v>0</v>
      </c>
      <c r="S342" s="300" t="str">
        <f t="shared" si="305"/>
        <v>Closed</v>
      </c>
      <c r="T342" s="2" t="s">
        <v>184</v>
      </c>
      <c r="U342" s="162" t="s">
        <v>611</v>
      </c>
      <c r="V342" s="113">
        <f>COUNTIFS('Delivery Tracking'!E:E,B342)</f>
        <v>0</v>
      </c>
      <c r="W342" s="113">
        <f>SUMIFS(All_Stats!N:N,All_Stats!$A:$A,$B342,All_Stats!$B:$B,"Overall",All_Stats!$D:$D,"Total")</f>
        <v>0</v>
      </c>
      <c r="X342" s="323">
        <v>44802.0</v>
      </c>
      <c r="Y342" s="329"/>
      <c r="Z342" s="326"/>
    </row>
    <row r="343" hidden="1">
      <c r="A343" s="330" t="s">
        <v>1232</v>
      </c>
      <c r="B343" s="175" t="s">
        <v>1233</v>
      </c>
      <c r="C343" s="184"/>
      <c r="D343" s="193">
        <v>50.0</v>
      </c>
      <c r="E343" s="171">
        <f>SUMIFS(All_Stats!G:G,All_Stats!$A:$A,$B343,All_Stats!$B:$B,"Overall",All_Stats!$D:$D,"Total")</f>
        <v>0</v>
      </c>
      <c r="F343" s="113">
        <f>SUMIFS(All_Stats!H:H,All_Stats!$A:$A,$B343,All_Stats!$B:$B,"Overall",All_Stats!$D:$D,"Total")</f>
        <v>0</v>
      </c>
      <c r="G343" s="171">
        <f>SUMIFS(All_Stats!I:I,All_Stats!$A:$A,$B343,All_Stats!$B:$B,"Overall",All_Stats!$D:$D,"Total")</f>
        <v>0</v>
      </c>
      <c r="H343" s="113">
        <f>SUMIFS(All_Stats!K:K,All_Stats!$A:$A,$B343,All_Stats!$B:$B,"Overall",All_Stats!$D:$D,"Total")</f>
        <v>0</v>
      </c>
      <c r="I343" s="113">
        <f>SUMIFS(All_Stats!J:J,All_Stats!$A:$A,$B343,All_Stats!$B:$B,"Overall",All_Stats!$D:$D,"Total")</f>
        <v>0</v>
      </c>
      <c r="J343" s="113">
        <f t="shared" si="3"/>
        <v>50</v>
      </c>
      <c r="K343" s="249" t="s">
        <v>57</v>
      </c>
      <c r="L343" s="245">
        <v>44301.0</v>
      </c>
      <c r="M343" s="332">
        <v>44336.0</v>
      </c>
      <c r="O343" s="310">
        <f t="shared" si="6"/>
        <v>49.84615385</v>
      </c>
      <c r="P343" s="311">
        <f t="shared" ref="P343:Q343" si="351">F343/D343</f>
        <v>0</v>
      </c>
      <c r="Q343" s="325" t="str">
        <f t="shared" si="351"/>
        <v>#DIV/0!</v>
      </c>
      <c r="R343" s="311">
        <f t="shared" si="8"/>
        <v>0</v>
      </c>
      <c r="S343" s="300" t="str">
        <f t="shared" si="305"/>
        <v>Closed</v>
      </c>
      <c r="T343" s="2" t="s">
        <v>67</v>
      </c>
      <c r="U343" s="162" t="s">
        <v>611</v>
      </c>
      <c r="V343" s="113">
        <f>COUNTIFS('Delivery Tracking'!E:E,B343)</f>
        <v>0</v>
      </c>
      <c r="W343" s="113">
        <f>SUMIFS(All_Stats!N:N,All_Stats!$A:$A,$B343,All_Stats!$B:$B,"Overall",All_Stats!$D:$D,"Total")</f>
        <v>0</v>
      </c>
      <c r="X343" s="323">
        <v>44803.0</v>
      </c>
      <c r="Y343" s="329"/>
      <c r="Z343" s="326"/>
    </row>
    <row r="344" hidden="1">
      <c r="A344" s="330" t="s">
        <v>1232</v>
      </c>
      <c r="B344" s="175" t="s">
        <v>1234</v>
      </c>
      <c r="C344" s="184"/>
      <c r="D344" s="193">
        <v>25.0</v>
      </c>
      <c r="E344" s="171">
        <f>SUMIFS(All_Stats!G:G,All_Stats!$A:$A,$B344,All_Stats!$B:$B,"Overall",All_Stats!$D:$D,"Total")</f>
        <v>0</v>
      </c>
      <c r="F344" s="113">
        <f>SUMIFS(All_Stats!H:H,All_Stats!$A:$A,$B344,All_Stats!$B:$B,"Overall",All_Stats!$D:$D,"Total")</f>
        <v>0</v>
      </c>
      <c r="G344" s="171">
        <f>SUMIFS(All_Stats!I:I,All_Stats!$A:$A,$B344,All_Stats!$B:$B,"Overall",All_Stats!$D:$D,"Total")</f>
        <v>0</v>
      </c>
      <c r="H344" s="113">
        <f>SUMIFS(All_Stats!K:K,All_Stats!$A:$A,$B344,All_Stats!$B:$B,"Overall",All_Stats!$D:$D,"Total")</f>
        <v>0</v>
      </c>
      <c r="I344" s="113">
        <f>SUMIFS(All_Stats!J:J,All_Stats!$A:$A,$B344,All_Stats!$B:$B,"Overall",All_Stats!$D:$D,"Total")</f>
        <v>0</v>
      </c>
      <c r="J344" s="113">
        <f t="shared" si="3"/>
        <v>25</v>
      </c>
      <c r="K344" s="249" t="s">
        <v>57</v>
      </c>
      <c r="L344" s="245">
        <v>44301.0</v>
      </c>
      <c r="M344" s="245">
        <v>44336.0</v>
      </c>
      <c r="O344" s="310">
        <f t="shared" si="6"/>
        <v>49.84615385</v>
      </c>
      <c r="P344" s="311">
        <f t="shared" ref="P344:Q344" si="352">F344/D344</f>
        <v>0</v>
      </c>
      <c r="Q344" s="325" t="str">
        <f t="shared" si="352"/>
        <v>#DIV/0!</v>
      </c>
      <c r="R344" s="311">
        <f t="shared" si="8"/>
        <v>0</v>
      </c>
      <c r="S344" s="300" t="str">
        <f t="shared" si="305"/>
        <v>Closed</v>
      </c>
      <c r="T344" s="2" t="s">
        <v>67</v>
      </c>
      <c r="U344" s="162" t="s">
        <v>611</v>
      </c>
      <c r="V344" s="113">
        <f>COUNTIFS('Delivery Tracking'!E:E,B344)</f>
        <v>0</v>
      </c>
      <c r="W344" s="113">
        <f>SUMIFS(All_Stats!N:N,All_Stats!$A:$A,$B344,All_Stats!$B:$B,"Overall",All_Stats!$D:$D,"Total")</f>
        <v>0</v>
      </c>
      <c r="X344" s="323">
        <v>44804.0</v>
      </c>
      <c r="Y344" s="329"/>
      <c r="Z344" s="326"/>
    </row>
    <row r="345" hidden="1">
      <c r="A345" s="327" t="s">
        <v>1118</v>
      </c>
      <c r="B345" s="426" t="s">
        <v>1235</v>
      </c>
      <c r="C345" s="297"/>
      <c r="D345" s="193">
        <v>10.0</v>
      </c>
      <c r="E345" s="171">
        <f>SUMIFS(All_Stats!G:G,All_Stats!$A:$A,$B345,All_Stats!$B:$B,"Overall",All_Stats!$D:$D,"Total")</f>
        <v>0</v>
      </c>
      <c r="F345" s="113">
        <f>SUMIFS(All_Stats!H:H,All_Stats!$A:$A,$B345,All_Stats!$B:$B,"Overall",All_Stats!$D:$D,"Total")</f>
        <v>0</v>
      </c>
      <c r="G345" s="171">
        <f>SUMIFS(All_Stats!I:I,All_Stats!$A:$A,$B345,All_Stats!$B:$B,"Overall",All_Stats!$D:$D,"Total")</f>
        <v>0</v>
      </c>
      <c r="H345" s="113">
        <f>SUMIFS(All_Stats!K:K,All_Stats!$A:$A,$B345,All_Stats!$B:$B,"Overall",All_Stats!$D:$D,"Total")</f>
        <v>0</v>
      </c>
      <c r="I345" s="113">
        <f>SUMIFS(All_Stats!J:J,All_Stats!$A:$A,$B345,All_Stats!$B:$B,"Overall",All_Stats!$D:$D,"Total")</f>
        <v>0</v>
      </c>
      <c r="J345" s="113">
        <f t="shared" si="3"/>
        <v>10</v>
      </c>
      <c r="K345" s="249" t="s">
        <v>57</v>
      </c>
      <c r="L345" s="245">
        <v>44280.0</v>
      </c>
      <c r="M345" s="245">
        <v>44307.0</v>
      </c>
      <c r="O345" s="310">
        <f t="shared" si="6"/>
        <v>65.55</v>
      </c>
      <c r="P345" s="311">
        <f t="shared" ref="P345:Q345" si="353">F345/D345</f>
        <v>0</v>
      </c>
      <c r="Q345" s="325" t="str">
        <f t="shared" si="353"/>
        <v>#DIV/0!</v>
      </c>
      <c r="R345" s="311">
        <f t="shared" si="8"/>
        <v>0</v>
      </c>
      <c r="S345" s="300" t="str">
        <f t="shared" si="305"/>
        <v>Closed</v>
      </c>
      <c r="T345" s="2" t="s">
        <v>67</v>
      </c>
      <c r="U345" s="162" t="s">
        <v>611</v>
      </c>
      <c r="V345" s="113">
        <f>COUNTIFS('Delivery Tracking'!E:E,B345)</f>
        <v>0</v>
      </c>
      <c r="W345" s="113">
        <f>SUMIFS(All_Stats!N:N,All_Stats!$A:$A,$B345,All_Stats!$B:$B,"Overall",All_Stats!$D:$D,"Total")</f>
        <v>0</v>
      </c>
      <c r="X345" s="323">
        <v>44805.0</v>
      </c>
      <c r="Y345" s="329"/>
      <c r="Z345" s="326"/>
    </row>
    <row r="346" hidden="1">
      <c r="A346" s="327" t="s">
        <v>1236</v>
      </c>
      <c r="B346" s="175" t="s">
        <v>1237</v>
      </c>
      <c r="C346" s="184"/>
      <c r="D346" s="193">
        <v>80.0</v>
      </c>
      <c r="E346" s="171">
        <f>SUMIFS(All_Stats!G:G,All_Stats!$A:$A,$B346,All_Stats!$B:$B,"Overall",All_Stats!$D:$D,"Total")</f>
        <v>0</v>
      </c>
      <c r="F346" s="113">
        <f>SUMIFS(All_Stats!H:H,All_Stats!$A:$A,$B346,All_Stats!$B:$B,"Overall",All_Stats!$D:$D,"Total")</f>
        <v>0</v>
      </c>
      <c r="G346" s="171">
        <f>SUMIFS(All_Stats!I:I,All_Stats!$A:$A,$B346,All_Stats!$B:$B,"Overall",All_Stats!$D:$D,"Total")</f>
        <v>0</v>
      </c>
      <c r="H346" s="113">
        <f>SUMIFS(All_Stats!K:K,All_Stats!$A:$A,$B346,All_Stats!$B:$B,"Overall",All_Stats!$D:$D,"Total")</f>
        <v>0</v>
      </c>
      <c r="I346" s="113">
        <f>SUMIFS(All_Stats!J:J,All_Stats!$A:$A,$B346,All_Stats!$B:$B,"Overall",All_Stats!$D:$D,"Total")</f>
        <v>0</v>
      </c>
      <c r="J346" s="113">
        <f t="shared" si="3"/>
        <v>80</v>
      </c>
      <c r="K346" s="249" t="s">
        <v>57</v>
      </c>
      <c r="L346" s="245">
        <v>44272.0</v>
      </c>
      <c r="M346" s="245">
        <v>44291.0</v>
      </c>
      <c r="O346" s="310">
        <f t="shared" si="6"/>
        <v>94.07142857</v>
      </c>
      <c r="P346" s="311">
        <f t="shared" ref="P346:Q346" si="354">F346/D346</f>
        <v>0</v>
      </c>
      <c r="Q346" s="325" t="str">
        <f t="shared" si="354"/>
        <v>#DIV/0!</v>
      </c>
      <c r="R346" s="311">
        <f t="shared" si="8"/>
        <v>0</v>
      </c>
      <c r="S346" s="300" t="str">
        <f t="shared" si="305"/>
        <v>Closed</v>
      </c>
      <c r="T346" s="2" t="s">
        <v>67</v>
      </c>
      <c r="U346" s="162" t="s">
        <v>611</v>
      </c>
      <c r="V346" s="113">
        <f>COUNTIFS('Delivery Tracking'!E:E,B346)</f>
        <v>0</v>
      </c>
      <c r="W346" s="113">
        <f>SUMIFS(All_Stats!N:N,All_Stats!$A:$A,$B346,All_Stats!$B:$B,"Overall",All_Stats!$D:$D,"Total")</f>
        <v>0</v>
      </c>
      <c r="X346" s="323">
        <v>44806.0</v>
      </c>
      <c r="Y346" s="329"/>
      <c r="Z346" s="326"/>
    </row>
    <row r="347" hidden="1">
      <c r="A347" s="330" t="s">
        <v>1238</v>
      </c>
      <c r="B347" s="419" t="s">
        <v>1239</v>
      </c>
      <c r="C347" s="184"/>
      <c r="D347" s="193">
        <v>25.0</v>
      </c>
      <c r="E347" s="171">
        <f>SUMIFS(All_Stats!G:G,All_Stats!$A:$A,$B347,All_Stats!$B:$B,"Overall",All_Stats!$D:$D,"Total")</f>
        <v>0</v>
      </c>
      <c r="F347" s="113">
        <f>SUMIFS(All_Stats!H:H,All_Stats!$A:$A,$B347,All_Stats!$B:$B,"Overall",All_Stats!$D:$D,"Total")</f>
        <v>0</v>
      </c>
      <c r="G347" s="171">
        <f>SUMIFS(All_Stats!I:I,All_Stats!$A:$A,$B347,All_Stats!$B:$B,"Overall",All_Stats!$D:$D,"Total")</f>
        <v>0</v>
      </c>
      <c r="H347" s="113">
        <f>SUMIFS(All_Stats!K:K,All_Stats!$A:$A,$B347,All_Stats!$B:$B,"Overall",All_Stats!$D:$D,"Total")</f>
        <v>0</v>
      </c>
      <c r="I347" s="113">
        <f>SUMIFS(All_Stats!J:J,All_Stats!$A:$A,$B347,All_Stats!$B:$B,"Overall",All_Stats!$D:$D,"Total")</f>
        <v>0</v>
      </c>
      <c r="J347" s="113">
        <f t="shared" si="3"/>
        <v>25</v>
      </c>
      <c r="K347" s="249" t="s">
        <v>57</v>
      </c>
      <c r="L347" s="245">
        <v>44309.0</v>
      </c>
      <c r="M347" s="332">
        <v>44340.0</v>
      </c>
      <c r="O347" s="310">
        <f t="shared" si="6"/>
        <v>58.63636364</v>
      </c>
      <c r="P347" s="311">
        <f t="shared" ref="P347:Q347" si="355">F347/D347</f>
        <v>0</v>
      </c>
      <c r="Q347" s="325" t="str">
        <f t="shared" si="355"/>
        <v>#DIV/0!</v>
      </c>
      <c r="R347" s="311">
        <f t="shared" si="8"/>
        <v>0</v>
      </c>
      <c r="S347" s="300" t="str">
        <f t="shared" si="305"/>
        <v>Closed</v>
      </c>
      <c r="T347" s="2" t="s">
        <v>111</v>
      </c>
      <c r="U347" s="162" t="s">
        <v>611</v>
      </c>
      <c r="V347" s="113">
        <f>COUNTIFS('Delivery Tracking'!E:E,B347)</f>
        <v>0</v>
      </c>
      <c r="W347" s="113">
        <f>SUMIFS(All_Stats!N:N,All_Stats!$A:$A,$B347,All_Stats!$B:$B,"Overall",All_Stats!$D:$D,"Total")</f>
        <v>0</v>
      </c>
      <c r="X347" s="323">
        <v>44807.0</v>
      </c>
      <c r="Y347" s="329"/>
      <c r="Z347" s="326"/>
    </row>
    <row r="348" hidden="1">
      <c r="A348" s="330" t="s">
        <v>787</v>
      </c>
      <c r="B348" s="426" t="s">
        <v>1240</v>
      </c>
      <c r="C348" s="297"/>
      <c r="D348" s="193">
        <v>50.0</v>
      </c>
      <c r="E348" s="171">
        <f>SUMIFS(All_Stats!G:G,All_Stats!$A:$A,$B348,All_Stats!$B:$B,"Overall",All_Stats!$D:$D,"Total")</f>
        <v>0</v>
      </c>
      <c r="F348" s="113">
        <f>SUMIFS(All_Stats!H:H,All_Stats!$A:$A,$B348,All_Stats!$B:$B,"Overall",All_Stats!$D:$D,"Total")</f>
        <v>0</v>
      </c>
      <c r="G348" s="171">
        <f>SUMIFS(All_Stats!I:I,All_Stats!$A:$A,$B348,All_Stats!$B:$B,"Overall",All_Stats!$D:$D,"Total")</f>
        <v>0</v>
      </c>
      <c r="H348" s="113">
        <f>SUMIFS(All_Stats!K:K,All_Stats!$A:$A,$B348,All_Stats!$B:$B,"Overall",All_Stats!$D:$D,"Total")</f>
        <v>0</v>
      </c>
      <c r="I348" s="113">
        <f>SUMIFS(All_Stats!J:J,All_Stats!$A:$A,$B348,All_Stats!$B:$B,"Overall",All_Stats!$D:$D,"Total")</f>
        <v>0</v>
      </c>
      <c r="J348" s="113">
        <f t="shared" si="3"/>
        <v>50</v>
      </c>
      <c r="K348" s="249" t="s">
        <v>57</v>
      </c>
      <c r="L348" s="245">
        <v>44273.0</v>
      </c>
      <c r="M348" s="446">
        <v>44316.0</v>
      </c>
      <c r="O348" s="310">
        <f t="shared" si="6"/>
        <v>41.125</v>
      </c>
      <c r="P348" s="311">
        <f t="shared" ref="P348:Q348" si="356">F348/D348</f>
        <v>0</v>
      </c>
      <c r="Q348" s="325" t="str">
        <f t="shared" si="356"/>
        <v>#DIV/0!</v>
      </c>
      <c r="R348" s="311">
        <f t="shared" si="8"/>
        <v>0</v>
      </c>
      <c r="S348" s="300" t="str">
        <f t="shared" si="305"/>
        <v>Closed</v>
      </c>
      <c r="T348" s="2" t="s">
        <v>153</v>
      </c>
      <c r="U348" s="162" t="s">
        <v>611</v>
      </c>
      <c r="V348" s="113">
        <f>COUNTIFS('Delivery Tracking'!E:E,B348)</f>
        <v>0</v>
      </c>
      <c r="W348" s="113">
        <f>SUMIFS(All_Stats!N:N,All_Stats!$A:$A,$B348,All_Stats!$B:$B,"Overall",All_Stats!$D:$D,"Total")</f>
        <v>0</v>
      </c>
      <c r="X348" s="323">
        <v>44808.0</v>
      </c>
      <c r="Y348" s="329"/>
      <c r="Z348" s="326"/>
    </row>
    <row r="349" hidden="1">
      <c r="A349" s="327" t="s">
        <v>1241</v>
      </c>
      <c r="B349" s="426" t="s">
        <v>1242</v>
      </c>
      <c r="C349" s="297"/>
      <c r="D349" s="193">
        <v>178.0</v>
      </c>
      <c r="E349" s="171">
        <f>SUMIFS(All_Stats!G:G,All_Stats!$A:$A,$B349,All_Stats!$B:$B,"Overall",All_Stats!$D:$D,"Total")</f>
        <v>0</v>
      </c>
      <c r="F349" s="113">
        <f>SUMIFS(All_Stats!H:H,All_Stats!$A:$A,$B349,All_Stats!$B:$B,"Overall",All_Stats!$D:$D,"Total")</f>
        <v>0</v>
      </c>
      <c r="G349" s="171">
        <f>SUMIFS(All_Stats!I:I,All_Stats!$A:$A,$B349,All_Stats!$B:$B,"Overall",All_Stats!$D:$D,"Total")</f>
        <v>0</v>
      </c>
      <c r="H349" s="113">
        <f>SUMIFS(All_Stats!K:K,All_Stats!$A:$A,$B349,All_Stats!$B:$B,"Overall",All_Stats!$D:$D,"Total")</f>
        <v>0</v>
      </c>
      <c r="I349" s="113">
        <f>SUMIFS(All_Stats!J:J,All_Stats!$A:$A,$B349,All_Stats!$B:$B,"Overall",All_Stats!$D:$D,"Total")</f>
        <v>0</v>
      </c>
      <c r="J349" s="113">
        <f t="shared" si="3"/>
        <v>178</v>
      </c>
      <c r="K349" s="249" t="s">
        <v>57</v>
      </c>
      <c r="L349" s="245">
        <v>44274.0</v>
      </c>
      <c r="M349" s="245">
        <v>44298.0</v>
      </c>
      <c r="O349" s="310">
        <f t="shared" si="6"/>
        <v>77.35294118</v>
      </c>
      <c r="P349" s="311">
        <f t="shared" ref="P349:Q349" si="357">F349/D349</f>
        <v>0</v>
      </c>
      <c r="Q349" s="325" t="str">
        <f t="shared" si="357"/>
        <v>#DIV/0!</v>
      </c>
      <c r="R349" s="311">
        <f t="shared" si="8"/>
        <v>0</v>
      </c>
      <c r="S349" s="300" t="str">
        <f t="shared" si="305"/>
        <v>Closed</v>
      </c>
      <c r="T349" s="2" t="s">
        <v>166</v>
      </c>
      <c r="U349" s="162" t="s">
        <v>611</v>
      </c>
      <c r="V349" s="113">
        <f>COUNTIFS('Delivery Tracking'!E:E,B349)</f>
        <v>0</v>
      </c>
      <c r="W349" s="113">
        <f>SUMIFS(All_Stats!N:N,All_Stats!$A:$A,$B349,All_Stats!$B:$B,"Overall",All_Stats!$D:$D,"Total")</f>
        <v>0</v>
      </c>
      <c r="X349" s="323">
        <v>44809.0</v>
      </c>
      <c r="Y349" s="329"/>
      <c r="Z349" s="326"/>
    </row>
    <row r="350" hidden="1">
      <c r="A350" s="330" t="s">
        <v>1243</v>
      </c>
      <c r="B350" s="426" t="s">
        <v>1244</v>
      </c>
      <c r="C350" s="348"/>
      <c r="D350" s="193">
        <v>150.0</v>
      </c>
      <c r="E350" s="171">
        <f>SUMIFS(All_Stats!G:G,All_Stats!$A:$A,$B350,All_Stats!$B:$B,"Overall",All_Stats!$D:$D,"Total")</f>
        <v>0</v>
      </c>
      <c r="F350" s="113">
        <f>SUMIFS(All_Stats!H:H,All_Stats!$A:$A,$B350,All_Stats!$B:$B,"Overall",All_Stats!$D:$D,"Total")</f>
        <v>0</v>
      </c>
      <c r="G350" s="171">
        <f>SUMIFS(All_Stats!I:I,All_Stats!$A:$A,$B350,All_Stats!$B:$B,"Overall",All_Stats!$D:$D,"Total")</f>
        <v>0</v>
      </c>
      <c r="H350" s="113">
        <f>SUMIFS(All_Stats!K:K,All_Stats!$A:$A,$B350,All_Stats!$B:$B,"Overall",All_Stats!$D:$D,"Total")</f>
        <v>0</v>
      </c>
      <c r="I350" s="113">
        <f>SUMIFS(All_Stats!J:J,All_Stats!$A:$A,$B350,All_Stats!$B:$B,"Overall",All_Stats!$D:$D,"Total")</f>
        <v>0</v>
      </c>
      <c r="J350" s="113">
        <f t="shared" si="3"/>
        <v>150</v>
      </c>
      <c r="K350" s="249" t="s">
        <v>57</v>
      </c>
      <c r="L350" s="245">
        <v>44238.0</v>
      </c>
      <c r="M350" s="245">
        <v>44302.0</v>
      </c>
      <c r="O350" s="310">
        <f t="shared" si="6"/>
        <v>28.53191489</v>
      </c>
      <c r="P350" s="311">
        <f t="shared" ref="P350:Q350" si="358">F350/D350</f>
        <v>0</v>
      </c>
      <c r="Q350" s="325" t="str">
        <f t="shared" si="358"/>
        <v>#DIV/0!</v>
      </c>
      <c r="R350" s="311">
        <f t="shared" si="8"/>
        <v>0</v>
      </c>
      <c r="S350" s="300" t="str">
        <f t="shared" si="305"/>
        <v>Closed</v>
      </c>
      <c r="T350" s="2" t="s">
        <v>166</v>
      </c>
      <c r="U350" s="162" t="s">
        <v>611</v>
      </c>
      <c r="V350" s="113">
        <f>COUNTIFS('Delivery Tracking'!E:E,B350)</f>
        <v>0</v>
      </c>
      <c r="W350" s="113">
        <f>SUMIFS(All_Stats!N:N,All_Stats!$A:$A,$B350,All_Stats!$B:$B,"Overall",All_Stats!$D:$D,"Total")</f>
        <v>0</v>
      </c>
      <c r="X350" s="323">
        <v>44810.0</v>
      </c>
      <c r="Y350" s="329"/>
      <c r="Z350" s="326"/>
    </row>
    <row r="351" hidden="1">
      <c r="A351" s="327" t="s">
        <v>769</v>
      </c>
      <c r="B351" s="426" t="s">
        <v>1245</v>
      </c>
      <c r="C351" s="297"/>
      <c r="D351" s="193">
        <v>40.0</v>
      </c>
      <c r="E351" s="171">
        <f>SUMIFS(All_Stats!G:G,All_Stats!$A:$A,$B351,All_Stats!$B:$B,"Overall",All_Stats!$D:$D,"Total")</f>
        <v>0</v>
      </c>
      <c r="F351" s="113">
        <f>SUMIFS(All_Stats!H:H,All_Stats!$A:$A,$B351,All_Stats!$B:$B,"Overall",All_Stats!$D:$D,"Total")</f>
        <v>0</v>
      </c>
      <c r="G351" s="171">
        <f>SUMIFS(All_Stats!I:I,All_Stats!$A:$A,$B351,All_Stats!$B:$B,"Overall",All_Stats!$D:$D,"Total")</f>
        <v>0</v>
      </c>
      <c r="H351" s="113">
        <f>SUMIFS(All_Stats!K:K,All_Stats!$A:$A,$B351,All_Stats!$B:$B,"Overall",All_Stats!$D:$D,"Total")</f>
        <v>0</v>
      </c>
      <c r="I351" s="113">
        <f>SUMIFS(All_Stats!J:J,All_Stats!$A:$A,$B351,All_Stats!$B:$B,"Overall",All_Stats!$D:$D,"Total")</f>
        <v>0</v>
      </c>
      <c r="J351" s="113">
        <f t="shared" si="3"/>
        <v>40</v>
      </c>
      <c r="K351" s="249" t="s">
        <v>57</v>
      </c>
      <c r="L351" s="245">
        <v>44288.0</v>
      </c>
      <c r="M351" s="245">
        <v>44305.0</v>
      </c>
      <c r="O351" s="310">
        <f t="shared" si="6"/>
        <v>108.75</v>
      </c>
      <c r="P351" s="311">
        <f t="shared" ref="P351:Q351" si="359">F351/D351</f>
        <v>0</v>
      </c>
      <c r="Q351" s="325" t="str">
        <f t="shared" si="359"/>
        <v>#DIV/0!</v>
      </c>
      <c r="R351" s="311">
        <f t="shared" si="8"/>
        <v>0</v>
      </c>
      <c r="S351" s="300" t="str">
        <f t="shared" si="305"/>
        <v>Closed</v>
      </c>
      <c r="T351" s="2" t="s">
        <v>184</v>
      </c>
      <c r="U351" s="162" t="s">
        <v>611</v>
      </c>
      <c r="V351" s="113">
        <f>COUNTIFS('Delivery Tracking'!E:E,B351)</f>
        <v>0</v>
      </c>
      <c r="W351" s="113">
        <f>SUMIFS(All_Stats!N:N,All_Stats!$A:$A,$B351,All_Stats!$B:$B,"Overall",All_Stats!$D:$D,"Total")</f>
        <v>0</v>
      </c>
      <c r="X351" s="323">
        <v>44811.0</v>
      </c>
      <c r="Y351" s="329"/>
      <c r="Z351" s="326"/>
    </row>
    <row r="352" hidden="1">
      <c r="A352" s="327" t="s">
        <v>1093</v>
      </c>
      <c r="B352" s="426" t="s">
        <v>1246</v>
      </c>
      <c r="C352" s="297"/>
      <c r="D352" s="193">
        <v>94.0</v>
      </c>
      <c r="E352" s="171">
        <f>SUMIFS(All_Stats!G:G,All_Stats!$A:$A,$B352,All_Stats!$B:$B,"Overall",All_Stats!$D:$D,"Total")</f>
        <v>0</v>
      </c>
      <c r="F352" s="113">
        <f>SUMIFS(All_Stats!H:H,All_Stats!$A:$A,$B352,All_Stats!$B:$B,"Overall",All_Stats!$D:$D,"Total")</f>
        <v>0</v>
      </c>
      <c r="G352" s="171">
        <f>SUMIFS(All_Stats!I:I,All_Stats!$A:$A,$B352,All_Stats!$B:$B,"Overall",All_Stats!$D:$D,"Total")</f>
        <v>0</v>
      </c>
      <c r="H352" s="113">
        <f>SUMIFS(All_Stats!K:K,All_Stats!$A:$A,$B352,All_Stats!$B:$B,"Overall",All_Stats!$D:$D,"Total")</f>
        <v>0</v>
      </c>
      <c r="I352" s="113">
        <f>SUMIFS(All_Stats!J:J,All_Stats!$A:$A,$B352,All_Stats!$B:$B,"Overall",All_Stats!$D:$D,"Total")</f>
        <v>0</v>
      </c>
      <c r="J352" s="113">
        <f t="shared" si="3"/>
        <v>94</v>
      </c>
      <c r="K352" s="249" t="s">
        <v>57</v>
      </c>
      <c r="L352" s="245">
        <v>44274.0</v>
      </c>
      <c r="M352" s="245">
        <v>44295.0</v>
      </c>
      <c r="O352" s="310">
        <f t="shared" si="6"/>
        <v>82.1875</v>
      </c>
      <c r="P352" s="311">
        <f t="shared" ref="P352:Q352" si="360">F352/D352</f>
        <v>0</v>
      </c>
      <c r="Q352" s="325" t="str">
        <f t="shared" si="360"/>
        <v>#DIV/0!</v>
      </c>
      <c r="R352" s="311">
        <f t="shared" si="8"/>
        <v>0</v>
      </c>
      <c r="S352" s="300" t="str">
        <f t="shared" si="305"/>
        <v>Closed</v>
      </c>
      <c r="T352" s="2" t="s">
        <v>146</v>
      </c>
      <c r="U352" s="162" t="s">
        <v>611</v>
      </c>
      <c r="V352" s="113">
        <f>COUNTIFS('Delivery Tracking'!E:E,B352)</f>
        <v>0</v>
      </c>
      <c r="W352" s="113">
        <f>SUMIFS(All_Stats!N:N,All_Stats!$A:$A,$B352,All_Stats!$B:$B,"Overall",All_Stats!$D:$D,"Total")</f>
        <v>0</v>
      </c>
      <c r="X352" s="323">
        <v>44812.0</v>
      </c>
      <c r="Y352" s="329"/>
      <c r="Z352" s="326"/>
    </row>
    <row r="353" hidden="1">
      <c r="A353" s="442" t="s">
        <v>1247</v>
      </c>
      <c r="B353" s="426" t="s">
        <v>1248</v>
      </c>
      <c r="C353" s="297"/>
      <c r="D353" s="193">
        <v>10.0</v>
      </c>
      <c r="E353" s="171">
        <f>SUMIFS(All_Stats!G:G,All_Stats!$A:$A,$B353,All_Stats!$B:$B,"Overall",All_Stats!$D:$D,"Total")</f>
        <v>0</v>
      </c>
      <c r="F353" s="113">
        <f>SUMIFS(All_Stats!H:H,All_Stats!$A:$A,$B353,All_Stats!$B:$B,"Overall",All_Stats!$D:$D,"Total")</f>
        <v>0</v>
      </c>
      <c r="G353" s="171">
        <f>SUMIFS(All_Stats!I:I,All_Stats!$A:$A,$B353,All_Stats!$B:$B,"Overall",All_Stats!$D:$D,"Total")</f>
        <v>0</v>
      </c>
      <c r="H353" s="113">
        <f>SUMIFS(All_Stats!K:K,All_Stats!$A:$A,$B353,All_Stats!$B:$B,"Overall",All_Stats!$D:$D,"Total")</f>
        <v>0</v>
      </c>
      <c r="I353" s="113">
        <f>SUMIFS(All_Stats!J:J,All_Stats!$A:$A,$B353,All_Stats!$B:$B,"Overall",All_Stats!$D:$D,"Total")</f>
        <v>0</v>
      </c>
      <c r="J353" s="113">
        <f t="shared" si="3"/>
        <v>10</v>
      </c>
      <c r="K353" s="249" t="s">
        <v>57</v>
      </c>
      <c r="L353" s="299">
        <v>44291.0</v>
      </c>
      <c r="M353" s="245">
        <v>44299.0</v>
      </c>
      <c r="O353" s="310">
        <f t="shared" si="6"/>
        <v>186.2857143</v>
      </c>
      <c r="P353" s="311">
        <f t="shared" ref="P353:Q353" si="361">F353/D353</f>
        <v>0</v>
      </c>
      <c r="Q353" s="325" t="str">
        <f t="shared" si="361"/>
        <v>#DIV/0!</v>
      </c>
      <c r="R353" s="311">
        <f t="shared" si="8"/>
        <v>0</v>
      </c>
      <c r="S353" s="300" t="str">
        <f t="shared" si="305"/>
        <v>Closed</v>
      </c>
      <c r="T353" s="2" t="s">
        <v>184</v>
      </c>
      <c r="U353" s="162" t="s">
        <v>611</v>
      </c>
      <c r="V353" s="113">
        <f>COUNTIFS('Delivery Tracking'!E:E,B353)</f>
        <v>0</v>
      </c>
      <c r="W353" s="113">
        <f>SUMIFS(All_Stats!N:N,All_Stats!$A:$A,$B353,All_Stats!$B:$B,"Overall",All_Stats!$D:$D,"Total")</f>
        <v>0</v>
      </c>
      <c r="X353" s="323">
        <v>44813.0</v>
      </c>
      <c r="Y353" s="329"/>
      <c r="Z353" s="326"/>
    </row>
    <row r="354" hidden="1">
      <c r="A354" s="327" t="s">
        <v>1249</v>
      </c>
      <c r="B354" s="426" t="s">
        <v>1250</v>
      </c>
      <c r="C354" s="297"/>
      <c r="D354" s="193">
        <v>180.0</v>
      </c>
      <c r="E354" s="171">
        <f>SUMIFS(All_Stats!G:G,All_Stats!$A:$A,$B354,All_Stats!$B:$B,"Overall",All_Stats!$D:$D,"Total")</f>
        <v>0</v>
      </c>
      <c r="F354" s="113">
        <f>SUMIFS(All_Stats!H:H,All_Stats!$A:$A,$B354,All_Stats!$B:$B,"Overall",All_Stats!$D:$D,"Total")</f>
        <v>0</v>
      </c>
      <c r="G354" s="171">
        <f>SUMIFS(All_Stats!I:I,All_Stats!$A:$A,$B354,All_Stats!$B:$B,"Overall",All_Stats!$D:$D,"Total")</f>
        <v>0</v>
      </c>
      <c r="H354" s="113">
        <f>SUMIFS(All_Stats!K:K,All_Stats!$A:$A,$B354,All_Stats!$B:$B,"Overall",All_Stats!$D:$D,"Total")</f>
        <v>0</v>
      </c>
      <c r="I354" s="113">
        <f>SUMIFS(All_Stats!J:J,All_Stats!$A:$A,$B354,All_Stats!$B:$B,"Overall",All_Stats!$D:$D,"Total")</f>
        <v>0</v>
      </c>
      <c r="J354" s="113">
        <f t="shared" si="3"/>
        <v>180</v>
      </c>
      <c r="K354" s="249" t="s">
        <v>57</v>
      </c>
      <c r="L354" s="245">
        <v>44274.0</v>
      </c>
      <c r="M354" s="245">
        <v>44309.0</v>
      </c>
      <c r="O354" s="310">
        <f t="shared" si="6"/>
        <v>50.57692308</v>
      </c>
      <c r="P354" s="311">
        <f t="shared" ref="P354:Q354" si="362">F354/D354</f>
        <v>0</v>
      </c>
      <c r="Q354" s="325" t="str">
        <f t="shared" si="362"/>
        <v>#DIV/0!</v>
      </c>
      <c r="R354" s="311">
        <f t="shared" si="8"/>
        <v>0</v>
      </c>
      <c r="S354" s="300" t="str">
        <f t="shared" si="305"/>
        <v>Closed</v>
      </c>
      <c r="T354" s="2" t="s">
        <v>153</v>
      </c>
      <c r="U354" s="162" t="s">
        <v>611</v>
      </c>
      <c r="V354" s="113">
        <f>COUNTIFS('Delivery Tracking'!E:E,B354)</f>
        <v>0</v>
      </c>
      <c r="W354" s="113">
        <f>SUMIFS(All_Stats!N:N,All_Stats!$A:$A,$B354,All_Stats!$B:$B,"Overall",All_Stats!$D:$D,"Total")</f>
        <v>0</v>
      </c>
      <c r="X354" s="323">
        <v>44814.0</v>
      </c>
      <c r="Y354" s="329"/>
      <c r="Z354" s="326"/>
    </row>
    <row r="355" hidden="1">
      <c r="A355" s="445" t="s">
        <v>1251</v>
      </c>
      <c r="B355" s="426" t="s">
        <v>1252</v>
      </c>
      <c r="C355" s="421"/>
      <c r="D355" s="193">
        <v>267.0</v>
      </c>
      <c r="E355" s="171">
        <f>SUMIFS(All_Stats!G:G,All_Stats!$A:$A,$B355,All_Stats!$B:$B,"Overall",All_Stats!$D:$D,"Total")</f>
        <v>0</v>
      </c>
      <c r="F355" s="113">
        <f>SUMIFS(All_Stats!H:H,All_Stats!$A:$A,$B355,All_Stats!$B:$B,"Overall",All_Stats!$D:$D,"Total")</f>
        <v>0</v>
      </c>
      <c r="G355" s="171">
        <f>SUMIFS(All_Stats!I:I,All_Stats!$A:$A,$B355,All_Stats!$B:$B,"Overall",All_Stats!$D:$D,"Total")</f>
        <v>0</v>
      </c>
      <c r="H355" s="113">
        <f>SUMIFS(All_Stats!K:K,All_Stats!$A:$A,$B355,All_Stats!$B:$B,"Overall",All_Stats!$D:$D,"Total")</f>
        <v>0</v>
      </c>
      <c r="I355" s="113">
        <f>SUMIFS(All_Stats!J:J,All_Stats!$A:$A,$B355,All_Stats!$B:$B,"Overall",All_Stats!$D:$D,"Total")</f>
        <v>0</v>
      </c>
      <c r="J355" s="113">
        <f t="shared" si="3"/>
        <v>267</v>
      </c>
      <c r="K355" s="249" t="s">
        <v>57</v>
      </c>
      <c r="L355" s="245">
        <v>44245.0</v>
      </c>
      <c r="M355" s="245">
        <v>44302.0</v>
      </c>
      <c r="O355" s="310">
        <f t="shared" si="6"/>
        <v>31.80952381</v>
      </c>
      <c r="P355" s="311">
        <f t="shared" ref="P355:Q355" si="363">F355/D355</f>
        <v>0</v>
      </c>
      <c r="Q355" s="325" t="str">
        <f t="shared" si="363"/>
        <v>#DIV/0!</v>
      </c>
      <c r="R355" s="311">
        <f t="shared" si="8"/>
        <v>0</v>
      </c>
      <c r="S355" s="300" t="str">
        <f t="shared" si="305"/>
        <v>Closed</v>
      </c>
      <c r="T355" s="2" t="s">
        <v>153</v>
      </c>
      <c r="U355" s="162" t="s">
        <v>611</v>
      </c>
      <c r="V355" s="113">
        <f>COUNTIFS('Delivery Tracking'!E:E,B355)</f>
        <v>0</v>
      </c>
      <c r="W355" s="113">
        <f>SUMIFS(All_Stats!N:N,All_Stats!$A:$A,$B355,All_Stats!$B:$B,"Overall",All_Stats!$D:$D,"Total")</f>
        <v>0</v>
      </c>
      <c r="X355" s="323">
        <v>44815.0</v>
      </c>
      <c r="Y355" s="329"/>
      <c r="Z355" s="326"/>
    </row>
    <row r="356" hidden="1">
      <c r="A356" s="327" t="s">
        <v>1253</v>
      </c>
      <c r="B356" s="426" t="s">
        <v>1254</v>
      </c>
      <c r="C356" s="297"/>
      <c r="D356" s="193">
        <v>50.0</v>
      </c>
      <c r="E356" s="171">
        <f>SUMIFS(All_Stats!G:G,All_Stats!$A:$A,$B356,All_Stats!$B:$B,"Overall",All_Stats!$D:$D,"Total")</f>
        <v>0</v>
      </c>
      <c r="F356" s="113">
        <f>SUMIFS(All_Stats!H:H,All_Stats!$A:$A,$B356,All_Stats!$B:$B,"Overall",All_Stats!$D:$D,"Total")</f>
        <v>0</v>
      </c>
      <c r="G356" s="171">
        <f>SUMIFS(All_Stats!I:I,All_Stats!$A:$A,$B356,All_Stats!$B:$B,"Overall",All_Stats!$D:$D,"Total")</f>
        <v>0</v>
      </c>
      <c r="H356" s="113">
        <f>SUMIFS(All_Stats!K:K,All_Stats!$A:$A,$B356,All_Stats!$B:$B,"Overall",All_Stats!$D:$D,"Total")</f>
        <v>0</v>
      </c>
      <c r="I356" s="113">
        <f>SUMIFS(All_Stats!J:J,All_Stats!$A:$A,$B356,All_Stats!$B:$B,"Overall",All_Stats!$D:$D,"Total")</f>
        <v>0</v>
      </c>
      <c r="J356" s="113">
        <f t="shared" si="3"/>
        <v>50</v>
      </c>
      <c r="K356" s="249" t="s">
        <v>57</v>
      </c>
      <c r="L356" s="245">
        <v>44256.0</v>
      </c>
      <c r="M356" s="245">
        <v>44302.0</v>
      </c>
      <c r="O356" s="310">
        <f t="shared" si="6"/>
        <v>37.97142857</v>
      </c>
      <c r="P356" s="311">
        <f t="shared" ref="P356:Q356" si="364">F356/D356</f>
        <v>0</v>
      </c>
      <c r="Q356" s="325" t="str">
        <f t="shared" si="364"/>
        <v>#DIV/0!</v>
      </c>
      <c r="R356" s="311">
        <f t="shared" si="8"/>
        <v>0</v>
      </c>
      <c r="S356" s="300" t="str">
        <f t="shared" si="305"/>
        <v>Closed</v>
      </c>
      <c r="T356" s="2" t="s">
        <v>146</v>
      </c>
      <c r="U356" s="162" t="s">
        <v>611</v>
      </c>
      <c r="V356" s="113">
        <f>COUNTIFS('Delivery Tracking'!E:E,B356)</f>
        <v>0</v>
      </c>
      <c r="W356" s="113">
        <f>SUMIFS(All_Stats!N:N,All_Stats!$A:$A,$B356,All_Stats!$B:$B,"Overall",All_Stats!$D:$D,"Total")</f>
        <v>0</v>
      </c>
      <c r="X356" s="323">
        <v>44816.0</v>
      </c>
      <c r="Y356" s="329"/>
      <c r="Z356" s="326"/>
    </row>
    <row r="357" hidden="1">
      <c r="A357" s="327" t="s">
        <v>1255</v>
      </c>
      <c r="B357" s="426" t="s">
        <v>1256</v>
      </c>
      <c r="C357" s="421"/>
      <c r="D357" s="193">
        <v>50.0</v>
      </c>
      <c r="E357" s="171">
        <f>SUMIFS(All_Stats!G:G,All_Stats!$A:$A,$B357,All_Stats!$B:$B,"Overall",All_Stats!$D:$D,"Total")</f>
        <v>0</v>
      </c>
      <c r="F357" s="113">
        <f>SUMIFS(All_Stats!H:H,All_Stats!$A:$A,$B357,All_Stats!$B:$B,"Overall",All_Stats!$D:$D,"Total")</f>
        <v>0</v>
      </c>
      <c r="G357" s="171">
        <f>SUMIFS(All_Stats!I:I,All_Stats!$A:$A,$B357,All_Stats!$B:$B,"Overall",All_Stats!$D:$D,"Total")</f>
        <v>0</v>
      </c>
      <c r="H357" s="113">
        <f>SUMIFS(All_Stats!K:K,All_Stats!$A:$A,$B357,All_Stats!$B:$B,"Overall",All_Stats!$D:$D,"Total")</f>
        <v>0</v>
      </c>
      <c r="I357" s="113">
        <f>SUMIFS(All_Stats!J:J,All_Stats!$A:$A,$B357,All_Stats!$B:$B,"Overall",All_Stats!$D:$D,"Total")</f>
        <v>0</v>
      </c>
      <c r="J357" s="113">
        <f t="shared" si="3"/>
        <v>50</v>
      </c>
      <c r="K357" s="249" t="s">
        <v>57</v>
      </c>
      <c r="L357" s="245">
        <v>44239.0</v>
      </c>
      <c r="M357" s="245">
        <v>44302.0</v>
      </c>
      <c r="O357" s="310">
        <f t="shared" si="6"/>
        <v>29.13043478</v>
      </c>
      <c r="P357" s="311">
        <f t="shared" ref="P357:Q357" si="365">F357/D357</f>
        <v>0</v>
      </c>
      <c r="Q357" s="325" t="str">
        <f t="shared" si="365"/>
        <v>#DIV/0!</v>
      </c>
      <c r="R357" s="311">
        <f t="shared" si="8"/>
        <v>0</v>
      </c>
      <c r="S357" s="300" t="str">
        <f t="shared" si="305"/>
        <v>Closed</v>
      </c>
      <c r="T357" s="2" t="s">
        <v>146</v>
      </c>
      <c r="U357" s="162" t="s">
        <v>611</v>
      </c>
      <c r="V357" s="113">
        <f>COUNTIFS('Delivery Tracking'!E:E,B357)</f>
        <v>0</v>
      </c>
      <c r="W357" s="113">
        <f>SUMIFS(All_Stats!N:N,All_Stats!$A:$A,$B357,All_Stats!$B:$B,"Overall",All_Stats!$D:$D,"Total")</f>
        <v>0</v>
      </c>
      <c r="X357" s="323">
        <v>44817.0</v>
      </c>
      <c r="Y357" s="329"/>
      <c r="Z357" s="326"/>
    </row>
    <row r="358" hidden="1">
      <c r="A358" s="445" t="s">
        <v>1251</v>
      </c>
      <c r="B358" s="426" t="s">
        <v>1257</v>
      </c>
      <c r="C358" s="421"/>
      <c r="D358" s="193">
        <v>267.0</v>
      </c>
      <c r="E358" s="171">
        <f>SUMIFS(All_Stats!G:G,All_Stats!$A:$A,$B358,All_Stats!$B:$B,"Overall",All_Stats!$D:$D,"Total")</f>
        <v>0</v>
      </c>
      <c r="F358" s="113">
        <f>SUMIFS(All_Stats!H:H,All_Stats!$A:$A,$B358,All_Stats!$B:$B,"Overall",All_Stats!$D:$D,"Total")</f>
        <v>0</v>
      </c>
      <c r="G358" s="171">
        <f>SUMIFS(All_Stats!I:I,All_Stats!$A:$A,$B358,All_Stats!$B:$B,"Overall",All_Stats!$D:$D,"Total")</f>
        <v>0</v>
      </c>
      <c r="H358" s="113">
        <f>SUMIFS(All_Stats!K:K,All_Stats!$A:$A,$B358,All_Stats!$B:$B,"Overall",All_Stats!$D:$D,"Total")</f>
        <v>0</v>
      </c>
      <c r="I358" s="113">
        <f>SUMIFS(All_Stats!J:J,All_Stats!$A:$A,$B358,All_Stats!$B:$B,"Overall",All_Stats!$D:$D,"Total")</f>
        <v>0</v>
      </c>
      <c r="J358" s="113">
        <f t="shared" si="3"/>
        <v>267</v>
      </c>
      <c r="K358" s="249" t="s">
        <v>57</v>
      </c>
      <c r="L358" s="245">
        <v>44245.0</v>
      </c>
      <c r="M358" s="245">
        <v>44302.0</v>
      </c>
      <c r="O358" s="310">
        <f t="shared" si="6"/>
        <v>31.80952381</v>
      </c>
      <c r="P358" s="311">
        <f t="shared" ref="P358:Q358" si="366">F358/D358</f>
        <v>0</v>
      </c>
      <c r="Q358" s="325" t="str">
        <f t="shared" si="366"/>
        <v>#DIV/0!</v>
      </c>
      <c r="R358" s="311">
        <f t="shared" si="8"/>
        <v>0</v>
      </c>
      <c r="S358" s="300" t="str">
        <f t="shared" si="305"/>
        <v>Closed</v>
      </c>
      <c r="T358" s="2" t="s">
        <v>153</v>
      </c>
      <c r="U358" s="162" t="s">
        <v>611</v>
      </c>
      <c r="V358" s="113">
        <f>COUNTIFS('Delivery Tracking'!E:E,B358)</f>
        <v>0</v>
      </c>
      <c r="W358" s="113">
        <f>SUMIFS(All_Stats!N:N,All_Stats!$A:$A,$B358,All_Stats!$B:$B,"Overall",All_Stats!$D:$D,"Total")</f>
        <v>0</v>
      </c>
      <c r="X358" s="323">
        <v>44818.0</v>
      </c>
      <c r="Y358" s="329"/>
      <c r="Z358" s="326"/>
    </row>
    <row r="359" hidden="1">
      <c r="A359" s="330" t="s">
        <v>1258</v>
      </c>
      <c r="B359" s="175" t="s">
        <v>1259</v>
      </c>
      <c r="C359" s="184"/>
      <c r="D359" s="193">
        <v>30.0</v>
      </c>
      <c r="E359" s="171">
        <f>SUMIFS(All_Stats!G:G,All_Stats!$A:$A,$B359,All_Stats!$B:$B,"Overall",All_Stats!$D:$D,"Total")</f>
        <v>0</v>
      </c>
      <c r="F359" s="113">
        <f>SUMIFS(All_Stats!H:H,All_Stats!$A:$A,$B359,All_Stats!$B:$B,"Overall",All_Stats!$D:$D,"Total")</f>
        <v>0</v>
      </c>
      <c r="G359" s="171">
        <f>SUMIFS(All_Stats!I:I,All_Stats!$A:$A,$B359,All_Stats!$B:$B,"Overall",All_Stats!$D:$D,"Total")</f>
        <v>0</v>
      </c>
      <c r="H359" s="113">
        <f>SUMIFS(All_Stats!K:K,All_Stats!$A:$A,$B359,All_Stats!$B:$B,"Overall",All_Stats!$D:$D,"Total")</f>
        <v>0</v>
      </c>
      <c r="I359" s="113">
        <f>SUMIFS(All_Stats!J:J,All_Stats!$A:$A,$B359,All_Stats!$B:$B,"Overall",All_Stats!$D:$D,"Total")</f>
        <v>0</v>
      </c>
      <c r="J359" s="113">
        <f t="shared" si="3"/>
        <v>30</v>
      </c>
      <c r="K359" s="249" t="s">
        <v>57</v>
      </c>
      <c r="L359" s="245">
        <v>44301.0</v>
      </c>
      <c r="M359" s="332">
        <v>44337.0</v>
      </c>
      <c r="O359" s="310">
        <f t="shared" si="6"/>
        <v>48</v>
      </c>
      <c r="P359" s="311">
        <f t="shared" ref="P359:Q359" si="367">F359/D359</f>
        <v>0</v>
      </c>
      <c r="Q359" s="325" t="str">
        <f t="shared" si="367"/>
        <v>#DIV/0!</v>
      </c>
      <c r="R359" s="311">
        <f t="shared" si="8"/>
        <v>0</v>
      </c>
      <c r="S359" s="300" t="str">
        <f t="shared" si="305"/>
        <v>Closed</v>
      </c>
      <c r="T359" s="2" t="s">
        <v>293</v>
      </c>
      <c r="U359" s="162" t="s">
        <v>611</v>
      </c>
      <c r="V359" s="113">
        <f>COUNTIFS('Delivery Tracking'!E:E,B359)</f>
        <v>0</v>
      </c>
      <c r="W359" s="113">
        <f>SUMIFS(All_Stats!N:N,All_Stats!$A:$A,$B359,All_Stats!$B:$B,"Overall",All_Stats!$D:$D,"Total")</f>
        <v>0</v>
      </c>
      <c r="X359" s="323">
        <v>44819.0</v>
      </c>
      <c r="Y359" s="329"/>
      <c r="Z359" s="326"/>
    </row>
    <row r="360" hidden="1">
      <c r="A360" s="330" t="s">
        <v>1260</v>
      </c>
      <c r="B360" s="426" t="s">
        <v>1261</v>
      </c>
      <c r="C360" s="297"/>
      <c r="D360" s="193">
        <v>180.0</v>
      </c>
      <c r="E360" s="171">
        <f>SUMIFS(All_Stats!G:G,All_Stats!$A:$A,$B360,All_Stats!$B:$B,"Overall",All_Stats!$D:$D,"Total")</f>
        <v>0</v>
      </c>
      <c r="F360" s="113">
        <f>SUMIFS(All_Stats!H:H,All_Stats!$A:$A,$B360,All_Stats!$B:$B,"Overall",All_Stats!$D:$D,"Total")</f>
        <v>0</v>
      </c>
      <c r="G360" s="171">
        <f>SUMIFS(All_Stats!I:I,All_Stats!$A:$A,$B360,All_Stats!$B:$B,"Overall",All_Stats!$D:$D,"Total")</f>
        <v>0</v>
      </c>
      <c r="H360" s="113">
        <f>SUMIFS(All_Stats!K:K,All_Stats!$A:$A,$B360,All_Stats!$B:$B,"Overall",All_Stats!$D:$D,"Total")</f>
        <v>0</v>
      </c>
      <c r="I360" s="113">
        <f>SUMIFS(All_Stats!J:J,All_Stats!$A:$A,$B360,All_Stats!$B:$B,"Overall",All_Stats!$D:$D,"Total")</f>
        <v>0</v>
      </c>
      <c r="J360" s="113">
        <f t="shared" si="3"/>
        <v>180</v>
      </c>
      <c r="K360" s="249" t="s">
        <v>57</v>
      </c>
      <c r="L360" s="245">
        <v>44264.0</v>
      </c>
      <c r="M360" s="446">
        <v>44316.0</v>
      </c>
      <c r="O360" s="310">
        <f t="shared" si="6"/>
        <v>33.92307692</v>
      </c>
      <c r="P360" s="311">
        <f t="shared" ref="P360:Q360" si="368">F360/D360</f>
        <v>0</v>
      </c>
      <c r="Q360" s="325" t="str">
        <f t="shared" si="368"/>
        <v>#DIV/0!</v>
      </c>
      <c r="R360" s="311">
        <f t="shared" si="8"/>
        <v>0</v>
      </c>
      <c r="S360" s="300" t="str">
        <f t="shared" si="305"/>
        <v>Closed</v>
      </c>
      <c r="T360" s="2" t="s">
        <v>293</v>
      </c>
      <c r="U360" s="162" t="s">
        <v>611</v>
      </c>
      <c r="V360" s="113">
        <f>COUNTIFS('Delivery Tracking'!E:E,B360)</f>
        <v>0</v>
      </c>
      <c r="W360" s="113">
        <f>SUMIFS(All_Stats!N:N,All_Stats!$A:$A,$B360,All_Stats!$B:$B,"Overall",All_Stats!$D:$D,"Total")</f>
        <v>0</v>
      </c>
      <c r="X360" s="323">
        <v>44820.0</v>
      </c>
      <c r="Y360" s="329"/>
      <c r="Z360" s="326"/>
    </row>
    <row r="361" hidden="1">
      <c r="A361" s="330" t="s">
        <v>769</v>
      </c>
      <c r="B361" s="175" t="s">
        <v>1262</v>
      </c>
      <c r="C361" s="184"/>
      <c r="D361" s="193">
        <v>80.0</v>
      </c>
      <c r="E361" s="171">
        <f>SUMIFS(All_Stats!G:G,All_Stats!$A:$A,$B361,All_Stats!$B:$B,"Overall",All_Stats!$D:$D,"Total")</f>
        <v>0</v>
      </c>
      <c r="F361" s="113">
        <f>SUMIFS(All_Stats!H:H,All_Stats!$A:$A,$B361,All_Stats!$B:$B,"Overall",All_Stats!$D:$D,"Total")</f>
        <v>0</v>
      </c>
      <c r="G361" s="171">
        <f>SUMIFS(All_Stats!I:I,All_Stats!$A:$A,$B361,All_Stats!$B:$B,"Overall",All_Stats!$D:$D,"Total")</f>
        <v>0</v>
      </c>
      <c r="H361" s="113">
        <f>SUMIFS(All_Stats!K:K,All_Stats!$A:$A,$B361,All_Stats!$B:$B,"Overall",All_Stats!$D:$D,"Total")</f>
        <v>0</v>
      </c>
      <c r="I361" s="113">
        <f>SUMIFS(All_Stats!J:J,All_Stats!$A:$A,$B361,All_Stats!$B:$B,"Overall",All_Stats!$D:$D,"Total")</f>
        <v>0</v>
      </c>
      <c r="J361" s="113">
        <f t="shared" si="3"/>
        <v>80</v>
      </c>
      <c r="K361" s="249" t="s">
        <v>57</v>
      </c>
      <c r="L361" s="245">
        <v>44326.0</v>
      </c>
      <c r="M361" s="332">
        <v>44340.0</v>
      </c>
      <c r="O361" s="310">
        <f t="shared" si="6"/>
        <v>116.2727273</v>
      </c>
      <c r="P361" s="311">
        <f t="shared" ref="P361:Q361" si="369">F361/D361</f>
        <v>0</v>
      </c>
      <c r="Q361" s="325" t="str">
        <f t="shared" si="369"/>
        <v>#DIV/0!</v>
      </c>
      <c r="R361" s="311">
        <f t="shared" si="8"/>
        <v>0</v>
      </c>
      <c r="S361" s="300" t="str">
        <f t="shared" si="305"/>
        <v>Closed</v>
      </c>
      <c r="T361" s="2" t="s">
        <v>184</v>
      </c>
      <c r="U361" s="162" t="s">
        <v>611</v>
      </c>
      <c r="V361" s="113">
        <f>COUNTIFS('Delivery Tracking'!E:E,B361)</f>
        <v>0</v>
      </c>
      <c r="W361" s="113">
        <f>SUMIFS(All_Stats!N:N,All_Stats!$A:$A,$B361,All_Stats!$B:$B,"Overall",All_Stats!$D:$D,"Total")</f>
        <v>0</v>
      </c>
      <c r="X361" s="323">
        <v>44821.0</v>
      </c>
      <c r="Y361" s="329"/>
      <c r="Z361" s="326"/>
    </row>
    <row r="362" hidden="1">
      <c r="A362" s="327" t="s">
        <v>1263</v>
      </c>
      <c r="B362" s="175" t="s">
        <v>1264</v>
      </c>
      <c r="C362" s="184"/>
      <c r="D362" s="193">
        <v>40.0</v>
      </c>
      <c r="E362" s="171">
        <f>SUMIFS(All_Stats!G:G,All_Stats!$A:$A,$B362,All_Stats!$B:$B,"Overall",All_Stats!$D:$D,"Total")</f>
        <v>0</v>
      </c>
      <c r="F362" s="113">
        <f>SUMIFS(All_Stats!H:H,All_Stats!$A:$A,$B362,All_Stats!$B:$B,"Overall",All_Stats!$D:$D,"Total")</f>
        <v>0</v>
      </c>
      <c r="G362" s="171">
        <f>SUMIFS(All_Stats!I:I,All_Stats!$A:$A,$B362,All_Stats!$B:$B,"Overall",All_Stats!$D:$D,"Total")</f>
        <v>0</v>
      </c>
      <c r="H362" s="113">
        <f>SUMIFS(All_Stats!K:K,All_Stats!$A:$A,$B362,All_Stats!$B:$B,"Overall",All_Stats!$D:$D,"Total")</f>
        <v>0</v>
      </c>
      <c r="I362" s="113">
        <f>SUMIFS(All_Stats!J:J,All_Stats!$A:$A,$B362,All_Stats!$B:$B,"Overall",All_Stats!$D:$D,"Total")</f>
        <v>0</v>
      </c>
      <c r="J362" s="113">
        <f t="shared" si="3"/>
        <v>40</v>
      </c>
      <c r="K362" s="249" t="s">
        <v>57</v>
      </c>
      <c r="L362" s="245">
        <v>44326.0</v>
      </c>
      <c r="M362" s="245">
        <v>44334.0</v>
      </c>
      <c r="O362" s="310">
        <f t="shared" si="6"/>
        <v>182.7142857</v>
      </c>
      <c r="P362" s="311">
        <f t="shared" ref="P362:Q362" si="370">F362/D362</f>
        <v>0</v>
      </c>
      <c r="Q362" s="325" t="str">
        <f t="shared" si="370"/>
        <v>#DIV/0!</v>
      </c>
      <c r="R362" s="311">
        <f t="shared" si="8"/>
        <v>0</v>
      </c>
      <c r="S362" s="300" t="str">
        <f t="shared" si="305"/>
        <v>Closed</v>
      </c>
      <c r="T362" s="2" t="s">
        <v>184</v>
      </c>
      <c r="U362" s="162" t="s">
        <v>611</v>
      </c>
      <c r="V362" s="113">
        <f>COUNTIFS('Delivery Tracking'!E:E,B362)</f>
        <v>0</v>
      </c>
      <c r="W362" s="113">
        <f>SUMIFS(All_Stats!N:N,All_Stats!$A:$A,$B362,All_Stats!$B:$B,"Overall",All_Stats!$D:$D,"Total")</f>
        <v>0</v>
      </c>
      <c r="X362" s="323">
        <v>44822.0</v>
      </c>
      <c r="Y362" s="329"/>
      <c r="Z362" s="326"/>
    </row>
    <row r="363" hidden="1">
      <c r="A363" s="327" t="s">
        <v>1263</v>
      </c>
      <c r="B363" s="175" t="s">
        <v>1265</v>
      </c>
      <c r="C363" s="184"/>
      <c r="D363" s="193">
        <v>40.0</v>
      </c>
      <c r="E363" s="171">
        <f>SUMIFS(All_Stats!G:G,All_Stats!$A:$A,$B363,All_Stats!$B:$B,"Overall",All_Stats!$D:$D,"Total")</f>
        <v>0</v>
      </c>
      <c r="F363" s="113">
        <f>SUMIFS(All_Stats!H:H,All_Stats!$A:$A,$B363,All_Stats!$B:$B,"Overall",All_Stats!$D:$D,"Total")</f>
        <v>0</v>
      </c>
      <c r="G363" s="171">
        <f>SUMIFS(All_Stats!I:I,All_Stats!$A:$A,$B363,All_Stats!$B:$B,"Overall",All_Stats!$D:$D,"Total")</f>
        <v>0</v>
      </c>
      <c r="H363" s="113">
        <f>SUMIFS(All_Stats!K:K,All_Stats!$A:$A,$B363,All_Stats!$B:$B,"Overall",All_Stats!$D:$D,"Total")</f>
        <v>0</v>
      </c>
      <c r="I363" s="113">
        <f>SUMIFS(All_Stats!J:J,All_Stats!$A:$A,$B363,All_Stats!$B:$B,"Overall",All_Stats!$D:$D,"Total")</f>
        <v>0</v>
      </c>
      <c r="J363" s="113">
        <f t="shared" si="3"/>
        <v>40</v>
      </c>
      <c r="K363" s="249" t="s">
        <v>57</v>
      </c>
      <c r="L363" s="245">
        <v>44322.0</v>
      </c>
      <c r="M363" s="245">
        <v>44333.0</v>
      </c>
      <c r="O363" s="310">
        <f t="shared" si="6"/>
        <v>160.125</v>
      </c>
      <c r="P363" s="311">
        <f t="shared" ref="P363:Q363" si="371">F363/D363</f>
        <v>0</v>
      </c>
      <c r="Q363" s="325" t="str">
        <f t="shared" si="371"/>
        <v>#DIV/0!</v>
      </c>
      <c r="R363" s="311">
        <f t="shared" si="8"/>
        <v>0</v>
      </c>
      <c r="S363" s="300" t="str">
        <f t="shared" si="305"/>
        <v>Closed</v>
      </c>
      <c r="T363" s="2" t="s">
        <v>184</v>
      </c>
      <c r="U363" s="162" t="s">
        <v>611</v>
      </c>
      <c r="V363" s="113">
        <f>COUNTIFS('Delivery Tracking'!E:E,B363)</f>
        <v>0</v>
      </c>
      <c r="W363" s="113">
        <f>SUMIFS(All_Stats!N:N,All_Stats!$A:$A,$B363,All_Stats!$B:$B,"Overall",All_Stats!$D:$D,"Total")</f>
        <v>0</v>
      </c>
      <c r="X363" s="323">
        <v>44823.0</v>
      </c>
      <c r="Y363" s="329"/>
      <c r="Z363" s="326"/>
    </row>
    <row r="364" hidden="1">
      <c r="A364" s="327" t="s">
        <v>769</v>
      </c>
      <c r="B364" s="426" t="s">
        <v>1266</v>
      </c>
      <c r="C364" s="421"/>
      <c r="D364" s="193">
        <v>80.0</v>
      </c>
      <c r="E364" s="171">
        <f>SUMIFS(All_Stats!G:G,All_Stats!$A:$A,$B364,All_Stats!$B:$B,"Overall",All_Stats!$D:$D,"Total")</f>
        <v>0</v>
      </c>
      <c r="F364" s="113">
        <f>SUMIFS(All_Stats!H:H,All_Stats!$A:$A,$B364,All_Stats!$B:$B,"Overall",All_Stats!$D:$D,"Total")</f>
        <v>0</v>
      </c>
      <c r="G364" s="171">
        <f>SUMIFS(All_Stats!I:I,All_Stats!$A:$A,$B364,All_Stats!$B:$B,"Overall",All_Stats!$D:$D,"Total")</f>
        <v>0</v>
      </c>
      <c r="H364" s="113">
        <f>SUMIFS(All_Stats!K:K,All_Stats!$A:$A,$B364,All_Stats!$B:$B,"Overall",All_Stats!$D:$D,"Total")</f>
        <v>0</v>
      </c>
      <c r="I364" s="113">
        <f>SUMIFS(All_Stats!J:J,All_Stats!$A:$A,$B364,All_Stats!$B:$B,"Overall",All_Stats!$D:$D,"Total")</f>
        <v>0</v>
      </c>
      <c r="J364" s="113">
        <f t="shared" si="3"/>
        <v>80</v>
      </c>
      <c r="K364" s="249" t="s">
        <v>57</v>
      </c>
      <c r="L364" s="245">
        <v>44293.0</v>
      </c>
      <c r="M364" s="245">
        <v>44307.0</v>
      </c>
      <c r="O364" s="310">
        <f t="shared" si="6"/>
        <v>118.3636364</v>
      </c>
      <c r="P364" s="311">
        <f t="shared" ref="P364:Q364" si="372">F364/D364</f>
        <v>0</v>
      </c>
      <c r="Q364" s="325" t="str">
        <f t="shared" si="372"/>
        <v>#DIV/0!</v>
      </c>
      <c r="R364" s="311">
        <f t="shared" si="8"/>
        <v>0</v>
      </c>
      <c r="S364" s="300" t="str">
        <f t="shared" si="305"/>
        <v>Closed</v>
      </c>
      <c r="T364" s="2" t="s">
        <v>184</v>
      </c>
      <c r="U364" s="162" t="s">
        <v>611</v>
      </c>
      <c r="V364" s="113">
        <f>COUNTIFS('Delivery Tracking'!E:E,B364)</f>
        <v>0</v>
      </c>
      <c r="W364" s="113">
        <f>SUMIFS(All_Stats!N:N,All_Stats!$A:$A,$B364,All_Stats!$B:$B,"Overall",All_Stats!$D:$D,"Total")</f>
        <v>0</v>
      </c>
      <c r="X364" s="323">
        <v>44824.0</v>
      </c>
      <c r="Y364" s="329"/>
      <c r="Z364" s="326"/>
    </row>
    <row r="365" hidden="1">
      <c r="A365" s="327" t="s">
        <v>769</v>
      </c>
      <c r="B365" s="175" t="s">
        <v>1267</v>
      </c>
      <c r="C365" s="184"/>
      <c r="D365" s="193">
        <v>40.0</v>
      </c>
      <c r="E365" s="171">
        <f>SUMIFS(All_Stats!G:G,All_Stats!$A:$A,$B365,All_Stats!$B:$B,"Overall",All_Stats!$D:$D,"Total")</f>
        <v>0</v>
      </c>
      <c r="F365" s="113">
        <f>SUMIFS(All_Stats!H:H,All_Stats!$A:$A,$B365,All_Stats!$B:$B,"Overall",All_Stats!$D:$D,"Total")</f>
        <v>0</v>
      </c>
      <c r="G365" s="171">
        <f>SUMIFS(All_Stats!I:I,All_Stats!$A:$A,$B365,All_Stats!$B:$B,"Overall",All_Stats!$D:$D,"Total")</f>
        <v>0</v>
      </c>
      <c r="H365" s="113">
        <f>SUMIFS(All_Stats!K:K,All_Stats!$A:$A,$B365,All_Stats!$B:$B,"Overall",All_Stats!$D:$D,"Total")</f>
        <v>0</v>
      </c>
      <c r="I365" s="113">
        <f>SUMIFS(All_Stats!J:J,All_Stats!$A:$A,$B365,All_Stats!$B:$B,"Overall",All_Stats!$D:$D,"Total")</f>
        <v>0</v>
      </c>
      <c r="J365" s="113">
        <f t="shared" si="3"/>
        <v>40</v>
      </c>
      <c r="K365" s="249" t="s">
        <v>57</v>
      </c>
      <c r="L365" s="245">
        <v>44291.0</v>
      </c>
      <c r="M365" s="245">
        <v>44298.0</v>
      </c>
      <c r="O365" s="310">
        <f t="shared" si="6"/>
        <v>217.3333333</v>
      </c>
      <c r="P365" s="311">
        <f t="shared" ref="P365:Q365" si="373">F365/D365</f>
        <v>0</v>
      </c>
      <c r="Q365" s="325" t="str">
        <f t="shared" si="373"/>
        <v>#DIV/0!</v>
      </c>
      <c r="R365" s="311">
        <f t="shared" si="8"/>
        <v>0</v>
      </c>
      <c r="S365" s="300" t="str">
        <f t="shared" si="305"/>
        <v>Closed</v>
      </c>
      <c r="T365" s="2" t="s">
        <v>184</v>
      </c>
      <c r="U365" s="162" t="s">
        <v>611</v>
      </c>
      <c r="V365" s="113">
        <f>COUNTIFS('Delivery Tracking'!E:E,B365)</f>
        <v>0</v>
      </c>
      <c r="W365" s="113">
        <f>SUMIFS(All_Stats!N:N,All_Stats!$A:$A,$B365,All_Stats!$B:$B,"Overall",All_Stats!$D:$D,"Total")</f>
        <v>0</v>
      </c>
      <c r="X365" s="323">
        <v>44825.0</v>
      </c>
      <c r="Y365" s="329"/>
      <c r="Z365" s="326"/>
    </row>
    <row r="366" hidden="1">
      <c r="A366" s="330" t="s">
        <v>857</v>
      </c>
      <c r="B366" s="447" t="s">
        <v>1268</v>
      </c>
      <c r="C366" s="185"/>
      <c r="D366" s="193">
        <v>3.0</v>
      </c>
      <c r="E366" s="171">
        <f>SUMIFS(All_Stats!G:G,All_Stats!$A:$A,$B366,All_Stats!$B:$B,"Overall",All_Stats!$D:$D,"Total")</f>
        <v>0</v>
      </c>
      <c r="F366" s="113">
        <f>SUMIFS(All_Stats!H:H,All_Stats!$A:$A,$B366,All_Stats!$B:$B,"Overall",All_Stats!$D:$D,"Total")</f>
        <v>0</v>
      </c>
      <c r="G366" s="171">
        <f>SUMIFS(All_Stats!I:I,All_Stats!$A:$A,$B366,All_Stats!$B:$B,"Overall",All_Stats!$D:$D,"Total")</f>
        <v>0</v>
      </c>
      <c r="H366" s="113">
        <f>SUMIFS(All_Stats!K:K,All_Stats!$A:$A,$B366,All_Stats!$B:$B,"Overall",All_Stats!$D:$D,"Total")</f>
        <v>0</v>
      </c>
      <c r="I366" s="113">
        <f>SUMIFS(All_Stats!J:J,All_Stats!$A:$A,$B366,All_Stats!$B:$B,"Overall",All_Stats!$D:$D,"Total")</f>
        <v>0</v>
      </c>
      <c r="J366" s="113">
        <f t="shared" si="3"/>
        <v>3</v>
      </c>
      <c r="K366" s="249" t="s">
        <v>57</v>
      </c>
      <c r="L366" s="245">
        <v>44334.0</v>
      </c>
      <c r="M366" s="245">
        <v>44426.0</v>
      </c>
      <c r="N366" s="422" t="s">
        <v>1269</v>
      </c>
      <c r="O366" s="310">
        <f t="shared" si="6"/>
        <v>19</v>
      </c>
      <c r="P366" s="311">
        <f t="shared" ref="P366:Q366" si="374">F366/D366</f>
        <v>0</v>
      </c>
      <c r="Q366" s="325" t="str">
        <f t="shared" si="374"/>
        <v>#DIV/0!</v>
      </c>
      <c r="R366" s="311">
        <f t="shared" si="8"/>
        <v>0</v>
      </c>
      <c r="S366" s="300" t="str">
        <f t="shared" si="305"/>
        <v>Closed</v>
      </c>
      <c r="T366" s="2" t="s">
        <v>146</v>
      </c>
      <c r="U366" s="162" t="s">
        <v>611</v>
      </c>
      <c r="V366" s="113">
        <f>COUNTIFS('Delivery Tracking'!E:E,B366)</f>
        <v>0</v>
      </c>
      <c r="W366" s="113">
        <f>SUMIFS(All_Stats!N:N,All_Stats!$A:$A,$B366,All_Stats!$B:$B,"Overall",All_Stats!$D:$D,"Total")</f>
        <v>0</v>
      </c>
      <c r="X366" s="323">
        <v>44826.0</v>
      </c>
      <c r="Y366" s="329"/>
      <c r="Z366" s="326"/>
    </row>
    <row r="367" hidden="1">
      <c r="A367" s="352" t="s">
        <v>1270</v>
      </c>
      <c r="B367" s="342" t="s">
        <v>1271</v>
      </c>
      <c r="C367" s="184"/>
      <c r="D367" s="193">
        <v>55.0</v>
      </c>
      <c r="E367" s="171">
        <f>SUMIFS(All_Stats!G:G,All_Stats!$A:$A,$B367,All_Stats!$B:$B,"Overall",All_Stats!$D:$D,"Total")</f>
        <v>0</v>
      </c>
      <c r="F367" s="113">
        <f>SUMIFS(All_Stats!H:H,All_Stats!$A:$A,$B367,All_Stats!$B:$B,"Overall",All_Stats!$D:$D,"Total")</f>
        <v>0</v>
      </c>
      <c r="G367" s="171">
        <f>SUMIFS(All_Stats!I:I,All_Stats!$A:$A,$B367,All_Stats!$B:$B,"Overall",All_Stats!$D:$D,"Total")</f>
        <v>0</v>
      </c>
      <c r="H367" s="113">
        <f>SUMIFS(All_Stats!K:K,All_Stats!$A:$A,$B367,All_Stats!$B:$B,"Overall",All_Stats!$D:$D,"Total")</f>
        <v>0</v>
      </c>
      <c r="I367" s="113">
        <f>SUMIFS(All_Stats!J:J,All_Stats!$A:$A,$B367,All_Stats!$B:$B,"Overall",All_Stats!$D:$D,"Total")</f>
        <v>0</v>
      </c>
      <c r="J367" s="113">
        <f t="shared" si="3"/>
        <v>55</v>
      </c>
      <c r="K367" s="249" t="s">
        <v>57</v>
      </c>
      <c r="L367" s="245">
        <v>44379.0</v>
      </c>
      <c r="M367" s="382">
        <v>44392.0</v>
      </c>
      <c r="N367" s="5" t="s">
        <v>1272</v>
      </c>
      <c r="O367" s="310">
        <f t="shared" si="6"/>
        <v>124</v>
      </c>
      <c r="P367" s="311">
        <f t="shared" ref="P367:Q367" si="375">F367/D367</f>
        <v>0</v>
      </c>
      <c r="Q367" s="325" t="str">
        <f t="shared" si="375"/>
        <v>#DIV/0!</v>
      </c>
      <c r="R367" s="311">
        <f t="shared" si="8"/>
        <v>0</v>
      </c>
      <c r="S367" s="300" t="str">
        <f t="shared" si="305"/>
        <v>Closed</v>
      </c>
      <c r="T367" s="2" t="s">
        <v>153</v>
      </c>
      <c r="U367" s="162" t="s">
        <v>611</v>
      </c>
      <c r="V367" s="113">
        <f>COUNTIFS('Delivery Tracking'!E:E,B367)</f>
        <v>0</v>
      </c>
      <c r="W367" s="113">
        <f>SUMIFS(All_Stats!N:N,All_Stats!$A:$A,$B367,All_Stats!$B:$B,"Overall",All_Stats!$D:$D,"Total")</f>
        <v>0</v>
      </c>
      <c r="X367" s="323">
        <v>44827.0</v>
      </c>
      <c r="Y367" s="329"/>
      <c r="Z367" s="326"/>
    </row>
    <row r="368" hidden="1">
      <c r="A368" s="330" t="s">
        <v>1273</v>
      </c>
      <c r="B368" s="426" t="s">
        <v>1274</v>
      </c>
      <c r="C368" s="421"/>
      <c r="D368" s="193">
        <v>21.0</v>
      </c>
      <c r="E368" s="171">
        <f>SUMIFS(All_Stats!G:G,All_Stats!$A:$A,$B368,All_Stats!$B:$B,"Overall",All_Stats!$D:$D,"Total")</f>
        <v>0</v>
      </c>
      <c r="F368" s="113">
        <f>SUMIFS(All_Stats!H:H,All_Stats!$A:$A,$B368,All_Stats!$B:$B,"Overall",All_Stats!$D:$D,"Total")</f>
        <v>0</v>
      </c>
      <c r="G368" s="171">
        <f>SUMIFS(All_Stats!I:I,All_Stats!$A:$A,$B368,All_Stats!$B:$B,"Overall",All_Stats!$D:$D,"Total")</f>
        <v>0</v>
      </c>
      <c r="H368" s="113">
        <f>SUMIFS(All_Stats!K:K,All_Stats!$A:$A,$B368,All_Stats!$B:$B,"Overall",All_Stats!$D:$D,"Total")</f>
        <v>0</v>
      </c>
      <c r="I368" s="113">
        <f>SUMIFS(All_Stats!J:J,All_Stats!$A:$A,$B368,All_Stats!$B:$B,"Overall",All_Stats!$D:$D,"Total")</f>
        <v>0</v>
      </c>
      <c r="J368" s="113">
        <f t="shared" si="3"/>
        <v>21</v>
      </c>
      <c r="K368" s="249" t="s">
        <v>57</v>
      </c>
      <c r="L368" s="245">
        <v>44302.0</v>
      </c>
      <c r="M368" s="245">
        <v>44323.0</v>
      </c>
      <c r="O368" s="310">
        <f t="shared" si="6"/>
        <v>80.9375</v>
      </c>
      <c r="P368" s="311">
        <f t="shared" ref="P368:Q368" si="376">F368/D368</f>
        <v>0</v>
      </c>
      <c r="Q368" s="325" t="str">
        <f t="shared" si="376"/>
        <v>#DIV/0!</v>
      </c>
      <c r="R368" s="311">
        <f t="shared" si="8"/>
        <v>0</v>
      </c>
      <c r="S368" s="300" t="str">
        <f t="shared" si="305"/>
        <v>Closed</v>
      </c>
      <c r="T368" s="2" t="s">
        <v>146</v>
      </c>
      <c r="U368" s="162" t="s">
        <v>611</v>
      </c>
      <c r="V368" s="113">
        <f>COUNTIFS('Delivery Tracking'!E:E,B368)</f>
        <v>0</v>
      </c>
      <c r="W368" s="113">
        <f>SUMIFS(All_Stats!N:N,All_Stats!$A:$A,$B368,All_Stats!$B:$B,"Overall",All_Stats!$D:$D,"Total")</f>
        <v>0</v>
      </c>
      <c r="X368" s="323">
        <v>44828.0</v>
      </c>
      <c r="Y368" s="329"/>
      <c r="Z368" s="326"/>
    </row>
  </sheetData>
  <autoFilter ref="$A$1:$Z$10"/>
  <customSheetViews>
    <customSheetView guid="{7199247D-2222-4C60-9DCF-E6AE00B2772D}" filter="1" showAutoFilter="1">
      <autoFilter ref="$A$1:$Z$368"/>
    </customSheetView>
    <customSheetView guid="{29036699-C3DC-471A-A438-8D141F8E1DC0}" filter="1" showAutoFilter="1">
      <autoFilter ref="$A$1:$Z$368">
        <filterColumn colId="2">
          <filters>
            <filter val="APPOINTMENT SETTING"/>
            <filter val="DPO PLATFORM - statuses upd 3/4"/>
            <filter val="1KaslyGrfE4S1Y6aynBUg0w-_BO-XAkxNmxXbd_BBqT8"/>
          </filters>
        </filterColumn>
        <filterColumn colId="0">
          <filters blank="1">
            <filter val="NIIT"/>
            <filter val="AppsFlyer"/>
            <filter val="DPO PLATFORM - statuses upd 3/4"/>
            <filter val="Adobe"/>
            <filter val="Dell — Accelerations"/>
            <filter val="Nuance"/>
            <filter val="Boxxe"/>
            <filter val="ForgeRock"/>
            <filter val="Adobe Marketo"/>
            <filter val="SaasPlaza"/>
            <filter val="Synivate"/>
            <filter val="Proact"/>
            <filter val="Sferanet — Dell Powerflex"/>
            <filter val="Capgemini"/>
            <filter val="Nacelle"/>
            <filter val="Smart Communications"/>
            <filter val="High Availability"/>
            <filter val="Cybervista"/>
            <filter val="DXC"/>
            <filter val="Tekorder"/>
            <filter val="Mitsumi Distribution"/>
            <filter val="CTN Solutions"/>
            <filter val="NE Systems"/>
            <filter val="SouthTech"/>
            <filter val="YouGov"/>
            <filter val="Moveworks"/>
            <filter val="ON24"/>
            <filter val="Port P"/>
            <filter val="Henson Group"/>
            <filter val="Graphcore"/>
            <filter val="Aruba"/>
            <filter val="IT Central Station"/>
            <filter val="Rimini Street"/>
            <filter val="Productsup"/>
            <filter val="CompuCom"/>
            <filter val="Cetera Financial Group"/>
            <filter val="Microserve"/>
            <filter val="Cognizant"/>
            <filter val="VentureBeat"/>
            <filter val="Dell - Atea"/>
            <filter val="Quest"/>
            <filter val="True IT"/>
            <filter val="Insight : Dell - HCL- Fairtrade - Cascade"/>
            <filter val="Airwallex"/>
            <filter val="TDI Services"/>
            <filter val="VMware"/>
            <filter val="Lacework"/>
            <filter val="Juniper"/>
            <filter val="Veritas"/>
            <filter val="ADP"/>
            <filter val="Cybervista in HQL FinService"/>
            <filter val="Central Data Storage"/>
            <filter val="SecurityRisk - BANT"/>
            <filter val="Dell Flex Up"/>
            <filter val="Vinille"/>
            <filter val="Insight"/>
            <filter val="ForAllSecure"/>
            <filter val="Adlib"/>
            <filter val="Auth0"/>
            <filter val="Xerox"/>
            <filter val="Peters &amp; Associates"/>
            <filter val="Industrial Software Solutions"/>
            <filter val="HCL"/>
            <filter val="Anritsu"/>
            <filter val="Applause"/>
            <filter val="Blackline"/>
            <filter val="Singatel"/>
            <filter val="PTC"/>
            <filter val="Client 4"/>
            <filter val="Client 3"/>
            <filter val="Client 2"/>
            <filter val="Flintfox"/>
            <filter val="Client 1"/>
            <filter val="NVIDIA"/>
            <filter val="Visolit"/>
            <filter val="Netcetera"/>
            <filter val="Qumu"/>
            <filter val="SambaNova"/>
            <filter val="Toucan Toco"/>
            <filter val="Gigamon"/>
            <filter val="Church Mutual"/>
            <filter val="Turbonomic"/>
            <filter val="Dialpad"/>
            <filter val="CyberArk"/>
            <filter val="Copperleaf"/>
            <filter val="Adrytech"/>
            <filter val="Infinity — Dell"/>
            <filter val="AVEVA"/>
            <filter val="MariaDB"/>
            <filter val="Hitachi"/>
            <filter val="Circular — Dell"/>
            <filter val="PatSnap"/>
            <filter val="VMWare"/>
            <filter val="Predikly"/>
            <filter val="Big Green IT"/>
            <filter val="Whisbi"/>
            <filter val="HP"/>
            <filter val="Verint"/>
            <filter val="Artemys"/>
            <filter val="Intersoft — Dell"/>
            <filter val="Hivery"/>
            <filter val="MPO"/>
            <filter val="Ivanti"/>
            <filter val="Keysight Technologies"/>
            <filter val="Unitrends"/>
            <filter val="Microsoft"/>
            <filter val="SS&amp;C"/>
            <filter val="Hootsuite"/>
            <filter val="Oracle Netsuite"/>
            <filter val="Uniphore"/>
            <filter val="Pagero"/>
            <filter val="CompuCom Dell - Fair Trade"/>
            <filter val="Chrome River"/>
            <filter val="Xpertech"/>
            <filter val="Hudson Technology"/>
            <filter val="Manet — Atos Unify"/>
            <filter val="Certify"/>
            <filter val="AppDynamics"/>
            <filter val="IT Partner"/>
            <filter val="T-Systems"/>
            <filter val="Global Shop Solutions"/>
            <filter val="Computacenter"/>
            <filter val="Ultimo"/>
            <filter val="VMWare — Xentegra"/>
            <filter val="Benchling"/>
            <filter val="New Media Services"/>
            <filter val="Dell - Syncon"/>
            <filter val="HybrIT Services"/>
            <filter val="MSFT Secure Work from Anywhere"/>
            <filter val="Techvera"/>
            <filter val="Dell_MediaCom"/>
            <filter val="CyberArk 2 touch"/>
            <filter val="Syand"/>
            <filter val="Ping Identity"/>
            <filter val="Behavox"/>
            <filter val="Speridian Technologies"/>
            <filter val="COMMVAULT"/>
            <filter val="New CMI"/>
            <filter val="Wallix"/>
            <filter val="Dell — MediaCom"/>
            <filter val="Malwarebytes"/>
            <filter val="Dell — Arrowhead"/>
            <filter val="GreenPages"/>
            <filter val="Exclaimer"/>
            <filter val="Ricoh"/>
            <filter val="Entrust"/>
            <filter val="ByteSource"/>
            <filter val="Visual Edge IT"/>
            <filter val="Revenera"/>
            <filter val="Zebra Prescriptive Analytics"/>
            <filter val="NICEinContact"/>
            <filter val="Frost &amp; Sullivan"/>
            <filter val="Ascend"/>
            <filter val="Inteum — Equinix - Spain"/>
            <filter val="RingPlan"/>
            <filter val="Thales"/>
            <filter val="Virtual Office Solutions"/>
            <filter val="3SI Security Systems"/>
            <filter val="Metodo — Atos - Unify"/>
            <filter val="Sitecore"/>
            <filter val="KPMG"/>
            <filter val="Dataminr"/>
            <filter val="Colibra"/>
            <filter val="Onfindo"/>
            <filter val="Hitachi Vantara"/>
            <filter val="Sophos"/>
            <filter val="Dashlane"/>
            <filter val="Security Risk"/>
            <filter val="LogMeIn"/>
            <filter val="TCC"/>
            <filter val="Commvault"/>
            <filter val="SkillSurvey"/>
            <filter val="Panorays"/>
            <filter val="Lighthouse Technologies"/>
            <filter val="LTI"/>
            <filter val="RedHat"/>
            <filter val="Red8"/>
            <filter val="APPOINTMENT SETTING"/>
            <filter val="SpliceNet"/>
            <filter val="Ingram"/>
            <filter val="Total Cloud IT"/>
            <filter val="MaestroQA"/>
            <filter val="Yotascale"/>
            <filter val="Cloudfare"/>
            <filter val="Global Shop Solutons"/>
            <filter val="Innovyze"/>
            <filter val="Stasmayer"/>
            <filter val="Citrix"/>
            <filter val="Denodo"/>
            <filter val="Noesis - Outsystems"/>
            <filter val="Baune"/>
            <filter val="Out Systems"/>
            <filter val="Gravy"/>
            <filter val="Seczetta"/>
            <filter val="Cisilion"/>
            <filter val="ToucanToco"/>
            <filter val="Unit4"/>
            <filter val="Cetera"/>
            <filter val="Digital Shadows"/>
            <filter val="Submer"/>
            <filter val="Omnicharge"/>
            <filter val="Scoutbee"/>
          </filters>
        </filterColumn>
      </autoFilter>
    </customSheetView>
    <customSheetView guid="{92CB849E-9E26-4127-B869-65FAD240A74D}" filter="1" showAutoFilter="1">
      <autoFilter ref="$A$1:$Z$10">
        <filterColumn colId="25">
          <filters>
            <filter val="APPOINTMENT SETTING"/>
            <filter val="DPO PLATFORM - statuses upd 3/4"/>
            <filter val="Name Surname"/>
          </filters>
        </filterColumn>
      </autoFilter>
    </customSheetView>
    <customSheetView guid="{88134AB7-0272-4201-97F1-16E4AED3A742}" filter="1" showAutoFilter="1">
      <autoFilter ref="$A$1:$Z$368"/>
    </customSheetView>
    <customSheetView guid="{0A952D5C-FA46-4F3A-A637-01576F3869D6}" filter="1" showAutoFilter="1">
      <autoFilter ref="$A$1:$Z$368"/>
    </customSheetView>
    <customSheetView guid="{A210BB35-E563-4F65-81D7-37C2E1B06BC1}" filter="1" showAutoFilter="1">
      <autoFilter ref="$A$1:$Z$368">
        <filterColumn colId="25">
          <filters>
            <filter val="APPOINTMENT SETTING"/>
            <filter val="DPO PLATFORM - statuses upd 3/4"/>
            <filter val="Name Surname"/>
          </filters>
        </filterColumn>
      </autoFilter>
    </customSheetView>
    <customSheetView guid="{39CBC46B-8E9A-4120-8855-5F3E56B1B501}" filter="1" showAutoFilter="1">
      <autoFilter ref="$A$1:$Z$10">
        <filterColumn colId="25">
          <filters blank="1">
            <filter val="APPOINTMENT SETTING"/>
            <filter val="DPO PLATFORM - statuses upd 3/4"/>
            <filter val="Name Surname"/>
          </filters>
        </filterColumn>
      </autoFilter>
    </customSheetView>
    <customSheetView guid="{2F959F2F-72EB-4DA6-AB1C-F617A64A2D8D}" filter="1" showAutoFilter="1">
      <autoFilter ref="$A$1:$Z$368">
        <filterColumn colId="25">
          <filters blank="1">
            <filter val="APPOINTMENT SETTING"/>
            <filter val="DPO PLATFORM - statuses upd 3/4"/>
            <filter val="Name Surname"/>
          </filters>
        </filterColumn>
      </autoFilter>
    </customSheetView>
    <customSheetView guid="{7A4E6CEF-8919-4493-8B2E-E407505070FA}" filter="1" showAutoFilter="1">
      <autoFilter ref="$A$1:$Z$10">
        <filterColumn colId="25">
          <filters blank="1">
            <filter val="APPOINTMENT SETTING"/>
            <filter val="DPO PLATFORM - statuses upd 3/4"/>
            <filter val="Name Surname"/>
          </filters>
        </filterColumn>
      </autoFilter>
    </customSheetView>
    <customSheetView guid="{95368292-D41D-478D-9DE7-3EFC31DF7B84}" filter="1" showAutoFilter="1">
      <autoFilter ref="$A$1:$Z$368">
        <sortState ref="A1:Z368">
          <sortCondition ref="Z1:Z368"/>
        </sortState>
      </autoFilter>
    </customSheetView>
    <customSheetView guid="{78195E3A-2A5C-41E1-AF5C-12CB7F371569}" filter="1" showAutoFilter="1">
      <autoFilter ref="$A$1:$Z$10">
        <filterColumn colId="25">
          <filters blank="1">
            <filter val="APPOINTMENT SETTING"/>
            <filter val="DPO PLATFORM - statuses upd 3/4"/>
            <filter val="Name Surname"/>
          </filters>
        </filterColumn>
      </autoFilter>
    </customSheetView>
    <customSheetView guid="{011CCBF5-D684-4375-B0FA-10A09D14FC1C}" filter="1" showAutoFilter="1">
      <autoFilter ref="$A$1:$Z$368">
        <filterColumn colId="25">
          <filters>
            <filter val="APPOINTMENT SETTING"/>
            <filter val="DPO PLATFORM - statuses upd 3/4"/>
            <filter val="Name Surname"/>
          </filters>
        </filterColumn>
      </autoFilter>
    </customSheetView>
  </customSheetViews>
  <mergeCells count="2">
    <mergeCell ref="A3:Z3"/>
    <mergeCell ref="A6:Z6"/>
  </mergeCells>
  <conditionalFormatting sqref="K2 K4:K5 S4:S5 K7:K368 S7:S368">
    <cfRule type="cellIs" dxfId="2" priority="1" operator="equal">
      <formula>"Live"</formula>
    </cfRule>
  </conditionalFormatting>
  <conditionalFormatting sqref="K2 K4:K5 S4:S5 K7:K368 S7:S368">
    <cfRule type="cellIs" dxfId="3" priority="2" operator="equal">
      <formula>"Paused"</formula>
    </cfRule>
  </conditionalFormatting>
  <conditionalFormatting sqref="S1:S2 S4:S5 S7:S368">
    <cfRule type="cellIs" dxfId="4" priority="3" operator="equal">
      <formula>"Pre"</formula>
    </cfRule>
  </conditionalFormatting>
  <conditionalFormatting sqref="K2 K4:K5 S4:S5 K7:K368 S7:S368">
    <cfRule type="cellIs" dxfId="5" priority="4" operator="equal">
      <formula>"Closed"</formula>
    </cfRule>
  </conditionalFormatting>
  <conditionalFormatting sqref="K2 K4:K5 S4:S5 K7:K368 S7:S368">
    <cfRule type="cellIs" dxfId="7" priority="5" operator="equal">
      <formula>"Canceled"</formula>
    </cfRule>
  </conditionalFormatting>
  <conditionalFormatting sqref="U1:U2 U4:U5 U7:U368">
    <cfRule type="containsText" dxfId="7" priority="6" operator="containsText" text="NO">
      <formula>NOT(ISERROR(SEARCH(("NO"),(U1))))</formula>
    </cfRule>
  </conditionalFormatting>
  <conditionalFormatting sqref="U1:U2 U4:U5 U7:U368">
    <cfRule type="containsText" dxfId="9" priority="7" operator="containsText" text="YES">
      <formula>NOT(ISERROR(SEARCH(("YES"),(U1))))</formula>
    </cfRule>
  </conditionalFormatting>
  <conditionalFormatting sqref="S1:S2 S4:S5 S7:S368">
    <cfRule type="containsText" dxfId="10" priority="8" operator="containsText" text="Underpacing">
      <formula>NOT(ISERROR(SEARCH(("Underpacing"),(S1))))</formula>
    </cfRule>
  </conditionalFormatting>
  <conditionalFormatting sqref="S1:S2 S4:S5 S7:S368">
    <cfRule type="containsText" dxfId="9" priority="9" operator="containsText" text="On track">
      <formula>NOT(ISERROR(SEARCH(("On track"),(S1))))</formula>
    </cfRule>
  </conditionalFormatting>
  <conditionalFormatting sqref="U1:U2 U4:U5 U7:U368">
    <cfRule type="containsText" dxfId="3" priority="10" operator="containsText" text="PARTIAL">
      <formula>NOT(ISERROR(SEARCH(("PARTIAL"),(U1))))</formula>
    </cfRule>
  </conditionalFormatting>
  <conditionalFormatting sqref="W1:W2 W4:W5 W7:W368">
    <cfRule type="cellIs" dxfId="11" priority="11" operator="greaterThan">
      <formula>0</formula>
    </cfRule>
  </conditionalFormatting>
  <conditionalFormatting sqref="H1:H2 H4:H5 H7:H368 I13 I20:I21 I48:I49 I74 I78:I79 I101 I112:I113 I123 I126 I143:I145 I149 I151:I153 I156 I161 I164 I166 I173 I176 I187 I207:I208 I217 I219:I368">
    <cfRule type="cellIs" dxfId="6" priority="12" operator="greaterThan">
      <formula>0</formula>
    </cfRule>
  </conditionalFormatting>
  <conditionalFormatting sqref="K4:K5 S4:S5 K7:K368 S7:S368">
    <cfRule type="cellIs" dxfId="12" priority="13" operator="equal">
      <formula>"Pre"</formula>
    </cfRule>
  </conditionalFormatting>
  <conditionalFormatting sqref="M2 L4:M5 L7:L10 M7:M368">
    <cfRule type="expression" dxfId="1" priority="14">
      <formula>AND(NOT(ISDATE(M2)),M2&lt;&gt;"")</formula>
    </cfRule>
  </conditionalFormatting>
  <conditionalFormatting sqref="L2 L4:L5 L7:L368">
    <cfRule type="expression" dxfId="1" priority="15">
      <formula>AND(NOT(ISDATE(L2)),L2&lt;&gt;"")</formula>
    </cfRule>
  </conditionalFormatting>
  <dataValidations>
    <dataValidation type="list" allowBlank="1" sqref="T4:T5 T7:T368">
      <formula1>"Email Marketing,Appointment Setting,BANT,CALL Back,Soft BANT,MQL,Custom Questions,Webinar,Survey,WP,LIVE EVENT,Phone Number Search,Directs request"</formula1>
    </dataValidation>
    <dataValidation type="list" allowBlank="1" sqref="K2 K4:K5 S5 S24 S53 S75:S76 S80 S87 S104 S107 S118 S190 S212 S270 S293:S295 K7:K368">
      <formula1>"Live,Paused,Closed,Pre,Canceled"</formula1>
    </dataValidation>
    <dataValidation type="list" allowBlank="1" sqref="U2 U4:U5 U7:U368">
      <formula1>"YES,PARTIAL,NO"</formula1>
    </dataValidation>
    <dataValidation type="list" allowBlank="1" sqref="T2">
      <formula1>"Email Marketing,Appointment Setting,BANT,CALL Back,Soft BANT,MQL,SQL,Webinar"</formula1>
    </dataValidation>
    <dataValidation type="list" allowBlank="1" sqref="S4 S7:S23 S25:S52 S54:S74 S77:S79 S81:S86 S88:S103 S105:S106 S108:S117 S119:S189 S191:S211 S213:S269 S271:S292 S296:S368">
      <formula1>"On track,Underpacing,N/A,PRE,Paused,Closed"</formula1>
    </dataValidation>
  </dataValidation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5"/>
    <col customWidth="1" min="2" max="2" width="25.63"/>
    <col customWidth="1" min="3" max="3" width="24.5"/>
    <col customWidth="1" min="4" max="4" width="33.5"/>
    <col customWidth="1" min="5" max="5" width="22.63"/>
    <col customWidth="1" min="6" max="6" width="27.25"/>
    <col customWidth="1" min="7" max="7" width="26.13"/>
    <col customWidth="1" min="8" max="8" width="20.75"/>
    <col customWidth="1" min="9" max="9" width="42.13"/>
  </cols>
  <sheetData>
    <row r="1">
      <c r="A1" s="448" t="s">
        <v>3</v>
      </c>
      <c r="B1" s="449" t="s">
        <v>1275</v>
      </c>
      <c r="C1" s="450" t="s">
        <v>486</v>
      </c>
      <c r="D1" s="451" t="s">
        <v>1276</v>
      </c>
      <c r="E1" s="451" t="s">
        <v>1277</v>
      </c>
      <c r="F1" s="451" t="s">
        <v>1278</v>
      </c>
      <c r="G1" s="448" t="s">
        <v>1279</v>
      </c>
      <c r="H1" s="451" t="s">
        <v>1280</v>
      </c>
      <c r="I1" s="451" t="s">
        <v>562</v>
      </c>
    </row>
    <row r="2">
      <c r="A2" s="452" t="s">
        <v>1281</v>
      </c>
      <c r="I2" s="453"/>
    </row>
    <row r="3">
      <c r="A3" s="454" t="s">
        <v>19</v>
      </c>
      <c r="B3" s="455" t="s">
        <v>1282</v>
      </c>
      <c r="C3" s="456" t="s">
        <v>1283</v>
      </c>
      <c r="D3" s="457"/>
      <c r="E3" s="458"/>
      <c r="F3" s="458"/>
      <c r="G3" s="458"/>
      <c r="H3" s="458"/>
      <c r="I3" s="459"/>
    </row>
    <row r="4">
      <c r="A4" s="460" t="s">
        <v>30</v>
      </c>
      <c r="B4" s="461" t="s">
        <v>1282</v>
      </c>
      <c r="C4" s="462" t="s">
        <v>1284</v>
      </c>
      <c r="D4" s="463"/>
      <c r="E4" s="464" t="s">
        <v>1285</v>
      </c>
      <c r="F4" s="464" t="s">
        <v>162</v>
      </c>
      <c r="G4" s="464" t="s">
        <v>162</v>
      </c>
      <c r="H4" s="464" t="s">
        <v>125</v>
      </c>
      <c r="I4" s="465" t="s">
        <v>1286</v>
      </c>
    </row>
    <row r="5">
      <c r="A5" s="466"/>
      <c r="B5" s="466"/>
      <c r="C5" s="466"/>
      <c r="D5" s="466"/>
      <c r="E5" s="466"/>
      <c r="F5" s="466"/>
      <c r="G5" s="466"/>
      <c r="H5" s="466"/>
      <c r="I5" s="466"/>
    </row>
    <row r="6">
      <c r="A6" s="454" t="s">
        <v>495</v>
      </c>
      <c r="B6" s="467" t="s">
        <v>1287</v>
      </c>
      <c r="C6" s="456" t="s">
        <v>1288</v>
      </c>
      <c r="D6" s="457"/>
      <c r="E6" s="458" t="s">
        <v>1285</v>
      </c>
      <c r="F6" s="458" t="s">
        <v>162</v>
      </c>
      <c r="G6" s="458" t="s">
        <v>162</v>
      </c>
      <c r="H6" s="458" t="s">
        <v>125</v>
      </c>
      <c r="I6" s="458" t="s">
        <v>1289</v>
      </c>
    </row>
    <row r="7">
      <c r="A7" s="460" t="s">
        <v>496</v>
      </c>
      <c r="B7" s="468" t="s">
        <v>1287</v>
      </c>
      <c r="C7" s="462" t="s">
        <v>1290</v>
      </c>
      <c r="D7" s="463"/>
      <c r="E7" s="464" t="s">
        <v>1291</v>
      </c>
      <c r="F7" s="464" t="s">
        <v>162</v>
      </c>
      <c r="G7" s="464" t="s">
        <v>162</v>
      </c>
      <c r="H7" s="464" t="s">
        <v>125</v>
      </c>
      <c r="I7" s="464" t="s">
        <v>1289</v>
      </c>
    </row>
    <row r="8">
      <c r="A8" s="466"/>
      <c r="B8" s="466"/>
      <c r="C8" s="466"/>
      <c r="D8" s="466"/>
      <c r="E8" s="466"/>
      <c r="F8" s="466"/>
      <c r="G8" s="466"/>
      <c r="H8" s="466"/>
      <c r="I8" s="466"/>
    </row>
  </sheetData>
  <mergeCells count="19">
    <mergeCell ref="G4:G5"/>
    <mergeCell ref="H4:H5"/>
    <mergeCell ref="A2:I2"/>
    <mergeCell ref="B4:B5"/>
    <mergeCell ref="C4:C5"/>
    <mergeCell ref="D4:D5"/>
    <mergeCell ref="E4:E5"/>
    <mergeCell ref="F4:F5"/>
    <mergeCell ref="I4:I5"/>
    <mergeCell ref="G7:G8"/>
    <mergeCell ref="H7:H8"/>
    <mergeCell ref="I7:I8"/>
    <mergeCell ref="A4:A5"/>
    <mergeCell ref="A7:A8"/>
    <mergeCell ref="B7:B8"/>
    <mergeCell ref="C7:C8"/>
    <mergeCell ref="D7:D8"/>
    <mergeCell ref="E7:E8"/>
    <mergeCell ref="F7:F8"/>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6.75"/>
    <col customWidth="1" min="2" max="2" width="24.38"/>
    <col customWidth="1" min="3" max="3" width="36.5"/>
    <col customWidth="1" min="4" max="4" width="24.13"/>
    <col customWidth="1" min="5" max="5" width="31.75"/>
    <col customWidth="1" min="6" max="6" width="25.25"/>
    <col customWidth="1" min="7" max="7" width="13.5"/>
    <col customWidth="1" min="8" max="8" width="28.5"/>
    <col customWidth="1" min="9" max="9" width="23.0"/>
    <col customWidth="1" min="10" max="10" width="23.25"/>
    <col customWidth="1" min="11" max="11" width="25.63"/>
  </cols>
  <sheetData>
    <row r="1">
      <c r="A1" s="469" t="s">
        <v>3</v>
      </c>
      <c r="B1" s="469" t="s">
        <v>1292</v>
      </c>
      <c r="C1" s="470" t="s">
        <v>1293</v>
      </c>
      <c r="D1" s="32"/>
      <c r="E1" s="32"/>
      <c r="F1" s="32"/>
      <c r="G1" s="32"/>
      <c r="H1" s="33"/>
      <c r="I1" s="471" t="s">
        <v>1294</v>
      </c>
      <c r="J1" s="32"/>
      <c r="K1" s="33"/>
    </row>
    <row r="2">
      <c r="A2" s="466"/>
      <c r="B2" s="466"/>
      <c r="C2" s="472" t="s">
        <v>1295</v>
      </c>
      <c r="D2" s="473" t="s">
        <v>1296</v>
      </c>
      <c r="E2" s="473" t="s">
        <v>1297</v>
      </c>
      <c r="F2" s="473" t="s">
        <v>1298</v>
      </c>
      <c r="G2" s="472" t="s">
        <v>1299</v>
      </c>
      <c r="H2" s="473" t="s">
        <v>1300</v>
      </c>
      <c r="I2" s="474" t="s">
        <v>1301</v>
      </c>
      <c r="J2" s="474" t="s">
        <v>1302</v>
      </c>
      <c r="K2" s="474" t="s">
        <v>1303</v>
      </c>
    </row>
    <row r="3">
      <c r="A3" s="475" t="s">
        <v>127</v>
      </c>
      <c r="B3" s="476" t="s">
        <v>1304</v>
      </c>
      <c r="C3" s="477" t="s">
        <v>1305</v>
      </c>
      <c r="D3" s="477" t="s">
        <v>1306</v>
      </c>
      <c r="E3" s="477" t="s">
        <v>1307</v>
      </c>
      <c r="F3" s="477" t="s">
        <v>1308</v>
      </c>
      <c r="G3" s="478">
        <v>0.38</v>
      </c>
      <c r="H3" s="479" t="s">
        <v>1309</v>
      </c>
      <c r="I3" s="480" t="s">
        <v>1310</v>
      </c>
      <c r="J3" s="481" t="s">
        <v>1311</v>
      </c>
      <c r="K3" s="481" t="s">
        <v>1312</v>
      </c>
    </row>
    <row r="4">
      <c r="A4" s="475" t="s">
        <v>157</v>
      </c>
      <c r="B4" s="482" t="s">
        <v>1313</v>
      </c>
      <c r="C4" s="483" t="s">
        <v>1314</v>
      </c>
      <c r="D4" s="477" t="s">
        <v>1315</v>
      </c>
      <c r="E4" s="477" t="s">
        <v>1316</v>
      </c>
      <c r="F4" s="477" t="s">
        <v>1317</v>
      </c>
      <c r="G4" s="478">
        <v>0.45</v>
      </c>
      <c r="H4" s="479" t="s">
        <v>1318</v>
      </c>
      <c r="I4" s="480" t="s">
        <v>1319</v>
      </c>
      <c r="J4" s="480" t="s">
        <v>1320</v>
      </c>
      <c r="K4" s="481" t="s">
        <v>1321</v>
      </c>
    </row>
  </sheetData>
  <mergeCells count="4">
    <mergeCell ref="A1:A2"/>
    <mergeCell ref="B1:B2"/>
    <mergeCell ref="C1:H1"/>
    <mergeCell ref="I1:K1"/>
  </mergeCell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88"/>
    <col customWidth="1" min="2" max="2" width="26.75"/>
    <col customWidth="1" min="3" max="3" width="76.75"/>
  </cols>
  <sheetData>
    <row r="1">
      <c r="A1" s="162" t="s">
        <v>1322</v>
      </c>
      <c r="B1" s="162" t="s">
        <v>2</v>
      </c>
      <c r="C1" s="484" t="s">
        <v>597</v>
      </c>
    </row>
    <row r="2">
      <c r="A2" s="485">
        <v>44987.90063561343</v>
      </c>
      <c r="B2" s="162" t="s">
        <v>1323</v>
      </c>
      <c r="C2" s="484"/>
    </row>
    <row r="3">
      <c r="A3" s="485">
        <v>44987.90580789352</v>
      </c>
      <c r="B3" s="162" t="s">
        <v>1324</v>
      </c>
      <c r="C3" s="484"/>
    </row>
    <row r="4">
      <c r="A4" s="485">
        <v>44987.92836290509</v>
      </c>
      <c r="B4" s="162" t="s">
        <v>1324</v>
      </c>
      <c r="C4" s="484"/>
    </row>
    <row r="5">
      <c r="A5" s="485">
        <v>44987.96089188657</v>
      </c>
      <c r="B5" s="162" t="s">
        <v>1323</v>
      </c>
      <c r="C5" s="484"/>
    </row>
    <row r="6">
      <c r="A6" s="485">
        <v>44987.96268884259</v>
      </c>
      <c r="B6" s="162" t="s">
        <v>1323</v>
      </c>
      <c r="C6" s="484"/>
    </row>
    <row r="7">
      <c r="A7" s="485">
        <v>44987.96554805555</v>
      </c>
      <c r="B7" s="162" t="s">
        <v>1324</v>
      </c>
      <c r="C7" s="484"/>
    </row>
    <row r="8">
      <c r="A8" s="485">
        <v>44987.99441266204</v>
      </c>
      <c r="B8" s="162" t="s">
        <v>1324</v>
      </c>
      <c r="C8" s="484"/>
    </row>
    <row r="9">
      <c r="A9" s="485">
        <v>44987.99827509259</v>
      </c>
      <c r="B9" s="162" t="s">
        <v>1324</v>
      </c>
      <c r="C9" s="484"/>
    </row>
    <row r="10">
      <c r="A10" s="485">
        <v>44988.665375069446</v>
      </c>
      <c r="B10" s="162" t="s">
        <v>1323</v>
      </c>
      <c r="C10" s="484"/>
    </row>
    <row r="11">
      <c r="A11" s="485">
        <v>44988.670916585645</v>
      </c>
      <c r="B11" s="162" t="s">
        <v>1324</v>
      </c>
      <c r="C11" s="484"/>
    </row>
    <row r="12">
      <c r="A12" s="485">
        <v>44988.82556275463</v>
      </c>
      <c r="B12" s="162" t="s">
        <v>1323</v>
      </c>
      <c r="C12" s="484"/>
    </row>
    <row r="13">
      <c r="A13" s="485">
        <v>44988.829525231486</v>
      </c>
      <c r="B13" s="162" t="s">
        <v>1324</v>
      </c>
      <c r="C13" s="484"/>
    </row>
    <row r="14">
      <c r="A14" s="485">
        <v>44988.84963320602</v>
      </c>
      <c r="B14" s="162" t="s">
        <v>1324</v>
      </c>
      <c r="C14" s="484"/>
    </row>
    <row r="15">
      <c r="A15" s="485">
        <v>44988.86830555556</v>
      </c>
      <c r="B15" s="162" t="s">
        <v>1324</v>
      </c>
      <c r="C15" s="484"/>
    </row>
    <row r="16">
      <c r="A16" s="485">
        <v>44988.87604862268</v>
      </c>
      <c r="B16" s="162" t="s">
        <v>1323</v>
      </c>
      <c r="C16" s="484"/>
    </row>
    <row r="17">
      <c r="A17" s="485">
        <v>44988.879731574074</v>
      </c>
      <c r="B17" s="162" t="s">
        <v>1324</v>
      </c>
      <c r="C17" s="484"/>
    </row>
    <row r="18">
      <c r="A18" s="485">
        <v>44988.95389695602</v>
      </c>
      <c r="B18" s="162" t="s">
        <v>1323</v>
      </c>
      <c r="C18" s="484"/>
    </row>
    <row r="19">
      <c r="A19" s="485">
        <v>44988.95442589121</v>
      </c>
      <c r="B19" s="162" t="s">
        <v>1324</v>
      </c>
      <c r="C19" s="484"/>
    </row>
    <row r="20">
      <c r="A20" s="485">
        <v>44988.95609546296</v>
      </c>
      <c r="B20" s="162" t="s">
        <v>1324</v>
      </c>
      <c r="C20" s="484"/>
    </row>
    <row r="21">
      <c r="A21" s="485">
        <v>44988.96325390047</v>
      </c>
      <c r="B21" s="162" t="s">
        <v>1324</v>
      </c>
      <c r="C21" s="484"/>
    </row>
    <row r="22">
      <c r="A22" s="485">
        <v>44988.985461006945</v>
      </c>
      <c r="B22" s="162" t="s">
        <v>1324</v>
      </c>
      <c r="C22" s="484"/>
    </row>
    <row r="23">
      <c r="A23" s="485">
        <v>44989.00018685185</v>
      </c>
      <c r="B23" s="162" t="s">
        <v>1324</v>
      </c>
      <c r="C23" s="484"/>
    </row>
    <row r="24">
      <c r="A24" s="485">
        <v>44990.817173668984</v>
      </c>
      <c r="B24" s="162" t="s">
        <v>1324</v>
      </c>
      <c r="C24" s="484"/>
    </row>
    <row r="25">
      <c r="A25" s="485">
        <v>44991.73488476852</v>
      </c>
      <c r="B25" s="162" t="s">
        <v>1324</v>
      </c>
      <c r="C25" s="484"/>
    </row>
    <row r="26">
      <c r="A26" s="485">
        <v>44991.75704871528</v>
      </c>
      <c r="B26" s="162" t="s">
        <v>1323</v>
      </c>
      <c r="C26" s="484"/>
    </row>
    <row r="27">
      <c r="A27" s="485">
        <v>44991.75913168982</v>
      </c>
      <c r="B27" s="162" t="s">
        <v>1324</v>
      </c>
      <c r="C27" s="484"/>
    </row>
    <row r="28">
      <c r="A28" s="485">
        <v>44991.77525074074</v>
      </c>
      <c r="B28" s="162" t="s">
        <v>1324</v>
      </c>
      <c r="C28" s="484"/>
    </row>
    <row r="29">
      <c r="A29" s="485">
        <v>44991.90457863426</v>
      </c>
      <c r="B29" s="162" t="s">
        <v>1324</v>
      </c>
      <c r="C29" s="484"/>
    </row>
    <row r="30">
      <c r="A30" s="485">
        <v>44991.91628549769</v>
      </c>
      <c r="B30" s="162" t="s">
        <v>1324</v>
      </c>
      <c r="C30" s="484"/>
    </row>
    <row r="31">
      <c r="A31" s="485">
        <v>44991.98813423611</v>
      </c>
      <c r="B31" s="162" t="s">
        <v>1323</v>
      </c>
      <c r="C31" s="484"/>
    </row>
    <row r="32">
      <c r="A32" s="485">
        <v>44991.98959013889</v>
      </c>
      <c r="B32" s="162" t="s">
        <v>1324</v>
      </c>
      <c r="C32" s="484"/>
    </row>
    <row r="33">
      <c r="A33" s="485">
        <v>44991.993089027776</v>
      </c>
      <c r="B33" s="162" t="s">
        <v>1324</v>
      </c>
      <c r="C33" s="484"/>
    </row>
    <row r="34">
      <c r="A34" s="485">
        <v>44992.733200138886</v>
      </c>
      <c r="B34" s="162" t="s">
        <v>1323</v>
      </c>
      <c r="C34" s="484"/>
    </row>
    <row r="35">
      <c r="A35" s="485">
        <v>44992.734850451394</v>
      </c>
      <c r="B35" s="162" t="s">
        <v>1324</v>
      </c>
      <c r="C35" s="484"/>
    </row>
    <row r="36">
      <c r="A36" s="485">
        <v>44992.874997569445</v>
      </c>
      <c r="B36" s="162" t="s">
        <v>1323</v>
      </c>
      <c r="C36" s="484"/>
    </row>
    <row r="37">
      <c r="A37" s="485">
        <v>44992.87654827547</v>
      </c>
      <c r="B37" s="162" t="s">
        <v>1324</v>
      </c>
      <c r="C37" s="484"/>
    </row>
    <row r="38">
      <c r="A38" s="485">
        <v>44992.935750069446</v>
      </c>
      <c r="B38" s="162" t="s">
        <v>1323</v>
      </c>
      <c r="C38" s="484"/>
    </row>
    <row r="39">
      <c r="A39" s="485">
        <v>44992.93740726852</v>
      </c>
      <c r="B39" s="162" t="s">
        <v>1324</v>
      </c>
      <c r="C39" s="484"/>
    </row>
    <row r="40">
      <c r="A40" s="485">
        <v>44992.96793435185</v>
      </c>
      <c r="B40" s="162" t="s">
        <v>1324</v>
      </c>
      <c r="C40" s="484"/>
    </row>
    <row r="41">
      <c r="A41" s="485">
        <v>44992.99974586806</v>
      </c>
      <c r="B41" s="162" t="s">
        <v>1324</v>
      </c>
      <c r="C41" s="484"/>
    </row>
    <row r="42">
      <c r="A42" s="485">
        <v>44993.854452824075</v>
      </c>
      <c r="B42" s="162" t="s">
        <v>1323</v>
      </c>
      <c r="C42" s="484"/>
    </row>
    <row r="43">
      <c r="A43" s="485">
        <v>44993.85655744213</v>
      </c>
      <c r="B43" s="162" t="s">
        <v>1324</v>
      </c>
      <c r="C43" s="484"/>
    </row>
    <row r="44">
      <c r="A44" s="485">
        <v>44993.926973657406</v>
      </c>
      <c r="B44" s="162" t="s">
        <v>1324</v>
      </c>
      <c r="C44" s="484"/>
    </row>
    <row r="45">
      <c r="A45" s="485">
        <v>44993.95895693287</v>
      </c>
      <c r="B45" s="162" t="s">
        <v>1323</v>
      </c>
      <c r="C45" s="484"/>
    </row>
    <row r="46">
      <c r="A46" s="485">
        <v>44993.96043337963</v>
      </c>
      <c r="B46" s="162" t="s">
        <v>1324</v>
      </c>
      <c r="C46" s="484"/>
    </row>
    <row r="47">
      <c r="A47" s="485">
        <v>44993.96453626157</v>
      </c>
      <c r="B47" s="162" t="s">
        <v>1324</v>
      </c>
      <c r="C47" s="484"/>
    </row>
    <row r="48">
      <c r="A48" s="485">
        <v>44994.00539600695</v>
      </c>
      <c r="B48" s="162" t="s">
        <v>1324</v>
      </c>
      <c r="C48" s="484"/>
    </row>
    <row r="49">
      <c r="A49" s="485">
        <v>44994.66671962963</v>
      </c>
      <c r="B49" s="162" t="s">
        <v>1324</v>
      </c>
      <c r="C49" s="484"/>
    </row>
    <row r="50">
      <c r="A50" s="485">
        <v>44994.68607722222</v>
      </c>
      <c r="B50" s="162" t="s">
        <v>1324</v>
      </c>
      <c r="C50" s="484"/>
    </row>
    <row r="51">
      <c r="A51" s="485">
        <v>44994.83708327546</v>
      </c>
      <c r="B51" s="162" t="s">
        <v>1324</v>
      </c>
      <c r="C51" s="484"/>
    </row>
    <row r="52">
      <c r="A52" s="485">
        <v>44994.871140358795</v>
      </c>
      <c r="B52" s="162" t="s">
        <v>1323</v>
      </c>
      <c r="C52" s="484"/>
    </row>
    <row r="53">
      <c r="A53" s="485">
        <v>44994.87317935185</v>
      </c>
      <c r="B53" s="162" t="s">
        <v>1324</v>
      </c>
      <c r="C53" s="484"/>
    </row>
    <row r="54">
      <c r="A54" s="485">
        <v>44994.90977033565</v>
      </c>
      <c r="B54" s="162" t="s">
        <v>1324</v>
      </c>
      <c r="C54" s="484"/>
    </row>
    <row r="55">
      <c r="A55" s="485">
        <v>44994.92979405093</v>
      </c>
      <c r="B55" s="162" t="s">
        <v>1323</v>
      </c>
      <c r="C55" s="484"/>
    </row>
    <row r="56">
      <c r="A56" s="485">
        <v>44994.93274506944</v>
      </c>
      <c r="B56" s="162" t="s">
        <v>1324</v>
      </c>
      <c r="C56" s="484"/>
    </row>
    <row r="57">
      <c r="A57" s="485">
        <v>44994.937317372685</v>
      </c>
      <c r="B57" s="162" t="s">
        <v>1323</v>
      </c>
      <c r="C57" s="484"/>
    </row>
    <row r="58">
      <c r="A58" s="485">
        <v>44994.93818149305</v>
      </c>
      <c r="B58" s="162" t="s">
        <v>1324</v>
      </c>
      <c r="C58" s="484"/>
    </row>
    <row r="59">
      <c r="A59" s="485">
        <v>44994.98782340278</v>
      </c>
      <c r="B59" s="162" t="s">
        <v>1324</v>
      </c>
      <c r="C59" s="484"/>
    </row>
    <row r="60">
      <c r="A60" s="485">
        <v>44995.76879732639</v>
      </c>
      <c r="B60" s="162" t="s">
        <v>1323</v>
      </c>
      <c r="C60" s="484"/>
    </row>
    <row r="61">
      <c r="A61" s="485">
        <v>44995.771020127315</v>
      </c>
      <c r="B61" s="162" t="s">
        <v>1324</v>
      </c>
      <c r="C61" s="484"/>
    </row>
    <row r="62">
      <c r="A62" s="485">
        <v>44995.818911932874</v>
      </c>
      <c r="B62" s="162" t="s">
        <v>1324</v>
      </c>
      <c r="C62" s="484"/>
    </row>
    <row r="63">
      <c r="A63" s="485">
        <v>44995.871338125</v>
      </c>
      <c r="B63" s="162" t="s">
        <v>1323</v>
      </c>
      <c r="C63" s="484"/>
    </row>
    <row r="64">
      <c r="A64" s="485">
        <v>44995.872892280095</v>
      </c>
      <c r="B64" s="162" t="s">
        <v>1324</v>
      </c>
      <c r="C64" s="484"/>
    </row>
    <row r="65">
      <c r="A65" s="485">
        <v>44995.90945689815</v>
      </c>
      <c r="B65" s="162" t="s">
        <v>1323</v>
      </c>
      <c r="C65" s="484"/>
    </row>
    <row r="66">
      <c r="A66" s="485">
        <v>44995.91137606482</v>
      </c>
      <c r="B66" s="162" t="s">
        <v>1324</v>
      </c>
      <c r="C66" s="484"/>
    </row>
    <row r="67">
      <c r="A67" s="485">
        <v>44995.930729444444</v>
      </c>
      <c r="B67" s="162" t="s">
        <v>1323</v>
      </c>
      <c r="C67" s="484"/>
    </row>
    <row r="68">
      <c r="A68" s="485">
        <v>44995.93268521991</v>
      </c>
      <c r="B68" s="162" t="s">
        <v>1324</v>
      </c>
      <c r="C68" s="484"/>
    </row>
    <row r="69">
      <c r="A69" s="485">
        <v>44995.943790335645</v>
      </c>
      <c r="B69" s="162" t="s">
        <v>1324</v>
      </c>
      <c r="C69" s="484"/>
    </row>
    <row r="70">
      <c r="A70" s="485">
        <v>44995.959561979165</v>
      </c>
      <c r="B70" s="162" t="s">
        <v>1323</v>
      </c>
      <c r="C70" s="484"/>
    </row>
    <row r="71">
      <c r="A71" s="485">
        <v>44995.96147383102</v>
      </c>
      <c r="B71" s="162" t="s">
        <v>1324</v>
      </c>
      <c r="C71" s="484"/>
    </row>
    <row r="72">
      <c r="A72" s="485">
        <v>44995.97391074074</v>
      </c>
      <c r="B72" s="162" t="s">
        <v>1324</v>
      </c>
      <c r="C72" s="484"/>
    </row>
    <row r="73">
      <c r="A73" s="485">
        <v>44998.66686366899</v>
      </c>
      <c r="B73" s="162" t="s">
        <v>1324</v>
      </c>
      <c r="C73" s="484"/>
    </row>
    <row r="74">
      <c r="A74" s="485">
        <v>44998.76437362269</v>
      </c>
      <c r="B74" s="162" t="s">
        <v>1324</v>
      </c>
      <c r="C74" s="484"/>
    </row>
    <row r="75">
      <c r="A75" s="485">
        <v>44999.71941082176</v>
      </c>
      <c r="B75" s="162" t="s">
        <v>1323</v>
      </c>
      <c r="C75" s="484"/>
    </row>
    <row r="76">
      <c r="A76" s="485">
        <v>44999.72119981481</v>
      </c>
      <c r="B76" s="162" t="s">
        <v>1324</v>
      </c>
      <c r="C76" s="484"/>
    </row>
    <row r="77">
      <c r="A77" s="485">
        <v>44999.76407237268</v>
      </c>
      <c r="B77" s="162" t="s">
        <v>1323</v>
      </c>
      <c r="C77" s="484"/>
    </row>
    <row r="78">
      <c r="A78" s="485">
        <v>44999.859451979166</v>
      </c>
      <c r="B78" s="162" t="s">
        <v>1323</v>
      </c>
      <c r="C78" s="484"/>
    </row>
    <row r="79">
      <c r="A79" s="485">
        <v>44999.861738101856</v>
      </c>
      <c r="B79" s="162" t="s">
        <v>1324</v>
      </c>
      <c r="C79" s="484"/>
    </row>
    <row r="80">
      <c r="A80" s="485">
        <v>44999.88395744213</v>
      </c>
      <c r="B80" s="162" t="s">
        <v>1323</v>
      </c>
      <c r="C80" s="484"/>
    </row>
    <row r="81">
      <c r="A81" s="485">
        <v>44999.88652064815</v>
      </c>
      <c r="B81" s="162" t="s">
        <v>1324</v>
      </c>
      <c r="C81" s="484"/>
    </row>
    <row r="82">
      <c r="A82" s="485">
        <v>44999.91198340278</v>
      </c>
      <c r="B82" s="162" t="s">
        <v>1324</v>
      </c>
      <c r="C82" s="484"/>
    </row>
    <row r="83">
      <c r="A83" s="485">
        <v>44999.93925834491</v>
      </c>
      <c r="B83" s="162" t="s">
        <v>1324</v>
      </c>
      <c r="C83" s="484"/>
    </row>
    <row r="84">
      <c r="A84" s="485">
        <v>44999.956883113424</v>
      </c>
      <c r="B84" s="162" t="s">
        <v>1324</v>
      </c>
      <c r="C84" s="484"/>
    </row>
    <row r="85">
      <c r="A85" s="485">
        <v>45000.00252537037</v>
      </c>
      <c r="B85" s="162" t="s">
        <v>1323</v>
      </c>
      <c r="C85" s="484" t="s">
        <v>1325</v>
      </c>
    </row>
    <row r="86">
      <c r="A86" s="485">
        <v>45000.00569196759</v>
      </c>
      <c r="B86" s="162" t="s">
        <v>1324</v>
      </c>
      <c r="C86" s="484"/>
    </row>
    <row r="87">
      <c r="A87" s="485">
        <v>45000.67644596065</v>
      </c>
      <c r="B87" s="162" t="s">
        <v>1324</v>
      </c>
      <c r="C87" s="484"/>
    </row>
    <row r="88">
      <c r="A88" s="485">
        <v>45000.70716034722</v>
      </c>
      <c r="B88" s="162" t="s">
        <v>1324</v>
      </c>
      <c r="C88" s="484"/>
    </row>
    <row r="89">
      <c r="A89" s="485">
        <v>45000.810754687496</v>
      </c>
      <c r="B89" s="162" t="s">
        <v>1323</v>
      </c>
      <c r="C89" s="484" t="s">
        <v>1325</v>
      </c>
    </row>
    <row r="90">
      <c r="A90" s="485">
        <v>45000.81288774306</v>
      </c>
      <c r="B90" s="162" t="s">
        <v>1324</v>
      </c>
      <c r="C90" s="484"/>
    </row>
    <row r="91">
      <c r="A91" s="485">
        <v>45000.95073474537</v>
      </c>
      <c r="B91" s="162" t="s">
        <v>1323</v>
      </c>
      <c r="C91" s="484"/>
    </row>
    <row r="92">
      <c r="A92" s="485">
        <v>45000.952627384264</v>
      </c>
      <c r="B92" s="162" t="s">
        <v>1324</v>
      </c>
      <c r="C92" s="484"/>
    </row>
    <row r="93">
      <c r="A93" s="485">
        <v>45000.97122392361</v>
      </c>
      <c r="B93" s="162" t="s">
        <v>1324</v>
      </c>
      <c r="C93" s="484"/>
    </row>
    <row r="94">
      <c r="A94" s="485">
        <v>45000.9910071412</v>
      </c>
      <c r="B94" s="162" t="s">
        <v>1323</v>
      </c>
      <c r="C94" s="484"/>
    </row>
    <row r="95">
      <c r="A95" s="485">
        <v>45000.99294761574</v>
      </c>
      <c r="B95" s="162" t="s">
        <v>1324</v>
      </c>
      <c r="C95" s="484"/>
    </row>
    <row r="96">
      <c r="A96" s="485">
        <v>45001.003211250005</v>
      </c>
      <c r="B96" s="162" t="s">
        <v>1324</v>
      </c>
      <c r="C96" s="484"/>
    </row>
    <row r="97">
      <c r="A97" s="485">
        <v>45001.7033075463</v>
      </c>
      <c r="B97" s="162" t="s">
        <v>1324</v>
      </c>
      <c r="C97" s="484"/>
    </row>
    <row r="98">
      <c r="A98" s="485">
        <v>45001.706140775466</v>
      </c>
      <c r="B98" s="162" t="s">
        <v>1324</v>
      </c>
      <c r="C98" s="484"/>
    </row>
    <row r="99">
      <c r="A99" s="485">
        <v>45001.721336030096</v>
      </c>
      <c r="B99" s="162" t="s">
        <v>1323</v>
      </c>
      <c r="C99" s="484"/>
    </row>
    <row r="100">
      <c r="A100" s="485">
        <v>45001.72344236111</v>
      </c>
      <c r="B100" s="162" t="s">
        <v>1324</v>
      </c>
      <c r="C100" s="484"/>
    </row>
    <row r="101">
      <c r="A101" s="485">
        <v>45001.82828023148</v>
      </c>
      <c r="B101" s="162" t="s">
        <v>1323</v>
      </c>
      <c r="C101" s="484"/>
    </row>
    <row r="102">
      <c r="A102" s="485">
        <v>45001.83042333333</v>
      </c>
      <c r="B102" s="162" t="s">
        <v>1324</v>
      </c>
      <c r="C102" s="484"/>
    </row>
    <row r="103">
      <c r="A103" s="485">
        <v>45001.889253113426</v>
      </c>
      <c r="B103" s="162" t="s">
        <v>1324</v>
      </c>
      <c r="C103" s="484"/>
    </row>
    <row r="104">
      <c r="A104" s="485">
        <v>45001.8949829051</v>
      </c>
      <c r="B104" s="162" t="s">
        <v>1323</v>
      </c>
      <c r="C104" s="484"/>
    </row>
    <row r="105">
      <c r="A105" s="485">
        <v>45001.897540509264</v>
      </c>
      <c r="B105" s="162" t="s">
        <v>1324</v>
      </c>
      <c r="C105" s="484"/>
    </row>
    <row r="106">
      <c r="A106" s="485">
        <v>45001.91358690972</v>
      </c>
      <c r="B106" s="162" t="s">
        <v>1323</v>
      </c>
      <c r="C106" s="484"/>
    </row>
    <row r="107">
      <c r="A107" s="485">
        <v>45001.916883321755</v>
      </c>
      <c r="B107" s="162" t="s">
        <v>1324</v>
      </c>
      <c r="C107" s="484"/>
    </row>
    <row r="108">
      <c r="A108" s="485">
        <v>45001.920283750005</v>
      </c>
      <c r="B108" s="162" t="s">
        <v>1324</v>
      </c>
      <c r="C108" s="484"/>
    </row>
    <row r="109">
      <c r="A109" s="485">
        <v>45001.97084589121</v>
      </c>
      <c r="B109" s="162" t="s">
        <v>1323</v>
      </c>
      <c r="C109" s="484"/>
    </row>
    <row r="110">
      <c r="A110" s="485">
        <v>45001.973547835645</v>
      </c>
      <c r="B110" s="162" t="s">
        <v>1324</v>
      </c>
      <c r="C110" s="484"/>
    </row>
    <row r="111">
      <c r="A111" s="485">
        <v>45001.98525747685</v>
      </c>
      <c r="B111" s="162" t="s">
        <v>1324</v>
      </c>
      <c r="C111" s="484"/>
    </row>
    <row r="112">
      <c r="A112" s="485">
        <v>45002.73456398148</v>
      </c>
      <c r="B112" s="162" t="s">
        <v>1323</v>
      </c>
      <c r="C112" s="484"/>
    </row>
    <row r="113">
      <c r="A113" s="485">
        <v>45002.73718087963</v>
      </c>
      <c r="B113" s="162" t="s">
        <v>1324</v>
      </c>
      <c r="C113" s="484"/>
    </row>
    <row r="114">
      <c r="A114" s="485">
        <v>45002.87158045139</v>
      </c>
      <c r="B114" s="162" t="s">
        <v>1323</v>
      </c>
      <c r="C114" s="484"/>
    </row>
    <row r="115">
      <c r="A115" s="485">
        <v>45002.873462662035</v>
      </c>
      <c r="B115" s="162" t="s">
        <v>1324</v>
      </c>
      <c r="C115" s="484"/>
    </row>
    <row r="116">
      <c r="A116" s="485">
        <v>45002.97037844907</v>
      </c>
      <c r="B116" s="162" t="s">
        <v>1324</v>
      </c>
      <c r="C116" s="484"/>
    </row>
    <row r="117">
      <c r="A117" s="485">
        <v>45002.9726696875</v>
      </c>
      <c r="B117" s="162" t="s">
        <v>1323</v>
      </c>
      <c r="C117" s="484"/>
    </row>
    <row r="118">
      <c r="A118" s="485">
        <v>45002.9756908912</v>
      </c>
      <c r="B118" s="162" t="s">
        <v>1324</v>
      </c>
      <c r="C118" s="484"/>
    </row>
    <row r="119">
      <c r="A119" s="485">
        <v>45002.991594444444</v>
      </c>
      <c r="B119" s="162" t="s">
        <v>1324</v>
      </c>
      <c r="C119" s="484"/>
    </row>
    <row r="120">
      <c r="A120" s="485">
        <v>45005.70190570602</v>
      </c>
      <c r="B120" s="162" t="s">
        <v>1323</v>
      </c>
      <c r="C120" s="484"/>
    </row>
    <row r="121">
      <c r="A121" s="485">
        <v>45005.703874189814</v>
      </c>
      <c r="B121" s="162" t="s">
        <v>1324</v>
      </c>
      <c r="C121" s="484"/>
    </row>
    <row r="122">
      <c r="A122" s="485">
        <v>45005.8697471875</v>
      </c>
      <c r="B122" s="162" t="s">
        <v>1323</v>
      </c>
      <c r="C122" s="484"/>
    </row>
    <row r="123">
      <c r="A123" s="485">
        <v>45005.87180341435</v>
      </c>
      <c r="B123" s="162" t="s">
        <v>1324</v>
      </c>
      <c r="C123" s="484"/>
    </row>
    <row r="124">
      <c r="A124" s="485">
        <v>45005.880952141204</v>
      </c>
      <c r="B124" s="162" t="s">
        <v>1323</v>
      </c>
      <c r="C124" s="484"/>
    </row>
    <row r="125">
      <c r="A125" s="485">
        <v>45005.88287690972</v>
      </c>
      <c r="B125" s="162" t="s">
        <v>1324</v>
      </c>
      <c r="C125" s="484"/>
    </row>
    <row r="126">
      <c r="A126" s="485">
        <v>45005.88524556713</v>
      </c>
      <c r="B126" s="162" t="s">
        <v>1324</v>
      </c>
      <c r="C126" s="484"/>
    </row>
    <row r="127">
      <c r="A127" s="485">
        <v>45005.95696471065</v>
      </c>
      <c r="B127" s="162" t="s">
        <v>1323</v>
      </c>
      <c r="C127" s="484"/>
    </row>
    <row r="128">
      <c r="A128" s="485">
        <v>45005.95896527778</v>
      </c>
      <c r="B128" s="162" t="s">
        <v>1324</v>
      </c>
      <c r="C128" s="484"/>
    </row>
    <row r="129">
      <c r="A129" s="485">
        <v>45005.96107078704</v>
      </c>
      <c r="B129" s="162" t="s">
        <v>1324</v>
      </c>
      <c r="C129" s="484"/>
    </row>
    <row r="130">
      <c r="A130" s="485">
        <v>45005.96450486111</v>
      </c>
      <c r="B130" s="162" t="s">
        <v>1323</v>
      </c>
      <c r="C130" s="484"/>
    </row>
    <row r="131">
      <c r="A131" s="485">
        <v>45005.96649655093</v>
      </c>
      <c r="B131" s="162" t="s">
        <v>1324</v>
      </c>
      <c r="C131" s="484"/>
    </row>
    <row r="132">
      <c r="A132" s="485">
        <v>45006.76458309028</v>
      </c>
      <c r="B132" s="162" t="s">
        <v>1324</v>
      </c>
      <c r="C132" s="484"/>
    </row>
    <row r="133">
      <c r="A133" s="485">
        <v>45006.801462523144</v>
      </c>
      <c r="B133" s="162" t="s">
        <v>1323</v>
      </c>
      <c r="C133" s="484"/>
    </row>
    <row r="134">
      <c r="A134" s="485">
        <v>45006.80373804398</v>
      </c>
      <c r="B134" s="162" t="s">
        <v>1324</v>
      </c>
      <c r="C134" s="484"/>
    </row>
    <row r="135">
      <c r="A135" s="485">
        <v>45006.82718228009</v>
      </c>
      <c r="B135" s="162" t="s">
        <v>1324</v>
      </c>
      <c r="C135" s="484"/>
    </row>
    <row r="136">
      <c r="A136" s="485">
        <v>45006.84325417824</v>
      </c>
      <c r="B136" s="162" t="s">
        <v>1323</v>
      </c>
      <c r="C136" s="484"/>
    </row>
    <row r="137">
      <c r="A137" s="485">
        <v>45006.845214155095</v>
      </c>
      <c r="B137" s="162" t="s">
        <v>1324</v>
      </c>
      <c r="C137" s="484"/>
    </row>
    <row r="138">
      <c r="A138" s="485">
        <v>45006.86999767361</v>
      </c>
      <c r="B138" s="162" t="s">
        <v>1324</v>
      </c>
      <c r="C138" s="484"/>
    </row>
    <row r="139">
      <c r="A139" s="485">
        <v>45006.90110079861</v>
      </c>
      <c r="B139" s="162" t="s">
        <v>1323</v>
      </c>
      <c r="C139" s="484"/>
    </row>
    <row r="140">
      <c r="A140" s="485">
        <v>45006.90409591435</v>
      </c>
      <c r="B140" s="162" t="s">
        <v>1324</v>
      </c>
      <c r="C140" s="484"/>
    </row>
    <row r="141">
      <c r="A141" s="485">
        <v>45006.944814664355</v>
      </c>
      <c r="B141" s="162" t="s">
        <v>1323</v>
      </c>
      <c r="C141" s="484"/>
    </row>
    <row r="142">
      <c r="A142" s="485">
        <v>45006.94726530093</v>
      </c>
      <c r="B142" s="162" t="s">
        <v>1324</v>
      </c>
      <c r="C142" s="484"/>
    </row>
    <row r="143">
      <c r="A143" s="485">
        <v>45006.979737974536</v>
      </c>
      <c r="B143" s="162" t="s">
        <v>1323</v>
      </c>
      <c r="C143" s="484"/>
    </row>
    <row r="144">
      <c r="A144" s="485">
        <v>45006.98281134259</v>
      </c>
      <c r="B144" s="162" t="s">
        <v>1324</v>
      </c>
      <c r="C144" s="484"/>
    </row>
    <row r="145">
      <c r="A145" s="485">
        <v>45006.98466170139</v>
      </c>
      <c r="B145" s="162" t="s">
        <v>1324</v>
      </c>
      <c r="C145" s="484"/>
    </row>
    <row r="146">
      <c r="A146" s="485">
        <v>45007.00332751157</v>
      </c>
      <c r="B146" s="162" t="s">
        <v>1323</v>
      </c>
      <c r="C146" s="484"/>
    </row>
    <row r="147">
      <c r="A147" s="485">
        <v>45007.00548385417</v>
      </c>
      <c r="B147" s="162" t="s">
        <v>1324</v>
      </c>
      <c r="C147" s="484"/>
    </row>
    <row r="148">
      <c r="A148" s="485">
        <v>45007.7024780787</v>
      </c>
      <c r="B148" s="162" t="s">
        <v>1323</v>
      </c>
      <c r="C148" s="484"/>
    </row>
    <row r="149">
      <c r="A149" s="485">
        <v>45007.70477349537</v>
      </c>
      <c r="B149" s="162" t="s">
        <v>1324</v>
      </c>
      <c r="C149" s="484"/>
    </row>
    <row r="150">
      <c r="A150" s="485">
        <v>45007.74493310185</v>
      </c>
      <c r="B150" s="162" t="s">
        <v>1323</v>
      </c>
      <c r="C150" s="484"/>
    </row>
    <row r="151">
      <c r="A151" s="485">
        <v>45007.74715409722</v>
      </c>
      <c r="B151" s="162" t="s">
        <v>1324</v>
      </c>
      <c r="C151" s="484"/>
    </row>
    <row r="152">
      <c r="A152" s="485">
        <v>45007.750596122685</v>
      </c>
      <c r="B152" s="162" t="s">
        <v>1324</v>
      </c>
      <c r="C152" s="484"/>
    </row>
    <row r="153">
      <c r="A153" s="485">
        <v>45007.84923769676</v>
      </c>
      <c r="B153" s="162" t="s">
        <v>1324</v>
      </c>
      <c r="C153" s="484"/>
    </row>
    <row r="154">
      <c r="A154" s="485">
        <v>45007.86489052083</v>
      </c>
      <c r="B154" s="162" t="s">
        <v>1324</v>
      </c>
      <c r="C154" s="484"/>
    </row>
    <row r="155">
      <c r="A155" s="485">
        <v>45007.88072069445</v>
      </c>
      <c r="B155" s="162" t="s">
        <v>1323</v>
      </c>
      <c r="C155" s="484"/>
    </row>
    <row r="156">
      <c r="A156" s="485">
        <v>45007.88305841435</v>
      </c>
      <c r="B156" s="162" t="s">
        <v>1324</v>
      </c>
      <c r="C156" s="484"/>
    </row>
    <row r="157">
      <c r="A157" s="485">
        <v>45007.890810833334</v>
      </c>
      <c r="B157" s="162" t="s">
        <v>1324</v>
      </c>
      <c r="C157" s="484"/>
    </row>
    <row r="158">
      <c r="A158" s="485">
        <v>45007.90086715278</v>
      </c>
      <c r="B158" s="162" t="s">
        <v>1324</v>
      </c>
      <c r="C158" s="484"/>
    </row>
    <row r="159">
      <c r="A159" s="485">
        <v>45007.913349062495</v>
      </c>
      <c r="B159" s="162" t="s">
        <v>1323</v>
      </c>
      <c r="C159" s="484"/>
    </row>
    <row r="160">
      <c r="A160" s="485">
        <v>45007.91533487268</v>
      </c>
      <c r="B160" s="162" t="s">
        <v>1324</v>
      </c>
      <c r="C160" s="484"/>
    </row>
    <row r="161">
      <c r="A161" s="485">
        <v>45009.00517527778</v>
      </c>
      <c r="B161" s="162" t="s">
        <v>1324</v>
      </c>
      <c r="C161" s="484"/>
    </row>
    <row r="162">
      <c r="A162" s="485">
        <v>45009.68947611111</v>
      </c>
      <c r="B162" s="162" t="s">
        <v>1323</v>
      </c>
      <c r="C162" s="484"/>
    </row>
    <row r="163">
      <c r="A163" s="485">
        <v>45009.69161314815</v>
      </c>
      <c r="B163" s="162" t="s">
        <v>1324</v>
      </c>
      <c r="C163" s="484"/>
    </row>
    <row r="164">
      <c r="A164" s="485">
        <v>45009.699637847225</v>
      </c>
      <c r="B164" s="162" t="s">
        <v>1324</v>
      </c>
      <c r="C164" s="484"/>
    </row>
    <row r="165">
      <c r="A165" s="485">
        <v>45009.74202158565</v>
      </c>
      <c r="B165" s="162" t="s">
        <v>1323</v>
      </c>
      <c r="C165" s="484"/>
    </row>
    <row r="166">
      <c r="A166" s="485">
        <v>45009.74422743055</v>
      </c>
      <c r="B166" s="162" t="s">
        <v>1324</v>
      </c>
      <c r="C166" s="484"/>
    </row>
    <row r="167">
      <c r="A167" s="485">
        <v>45009.77221008102</v>
      </c>
      <c r="B167" s="162" t="s">
        <v>1324</v>
      </c>
      <c r="C167" s="484"/>
    </row>
    <row r="168">
      <c r="A168" s="485">
        <v>45009.80363247685</v>
      </c>
      <c r="B168" s="162" t="s">
        <v>1323</v>
      </c>
      <c r="C168" s="484"/>
    </row>
    <row r="169">
      <c r="A169" s="485">
        <v>45009.80595736111</v>
      </c>
      <c r="B169" s="162" t="s">
        <v>1324</v>
      </c>
      <c r="C169" s="484"/>
    </row>
    <row r="170">
      <c r="A170" s="485">
        <v>45009.839493402775</v>
      </c>
      <c r="B170" s="162" t="s">
        <v>1324</v>
      </c>
      <c r="C170" s="484"/>
    </row>
    <row r="171">
      <c r="A171" s="485">
        <v>45009.86916372685</v>
      </c>
      <c r="B171" s="162" t="s">
        <v>1324</v>
      </c>
      <c r="C171" s="484"/>
    </row>
    <row r="172">
      <c r="A172" s="485">
        <v>45009.90099126157</v>
      </c>
      <c r="B172" s="162" t="s">
        <v>1323</v>
      </c>
      <c r="C172" s="484"/>
    </row>
    <row r="173">
      <c r="A173" s="485">
        <v>45009.9040825</v>
      </c>
      <c r="B173" s="162" t="s">
        <v>1324</v>
      </c>
      <c r="C173" s="484"/>
    </row>
    <row r="174">
      <c r="A174" s="485">
        <v>45009.92279016203</v>
      </c>
      <c r="B174" s="162" t="s">
        <v>1324</v>
      </c>
      <c r="C174" s="484"/>
    </row>
    <row r="175">
      <c r="A175" s="485">
        <v>45009.9300609375</v>
      </c>
      <c r="B175" s="162" t="s">
        <v>1323</v>
      </c>
      <c r="C175" s="484"/>
    </row>
    <row r="176">
      <c r="A176" s="485">
        <v>45009.93222065972</v>
      </c>
      <c r="B176" s="162" t="s">
        <v>1324</v>
      </c>
      <c r="C176" s="484"/>
    </row>
    <row r="177">
      <c r="A177" s="485">
        <v>45012.68515447917</v>
      </c>
      <c r="B177" s="162" t="s">
        <v>1323</v>
      </c>
      <c r="C177" s="484"/>
    </row>
    <row r="178">
      <c r="A178" s="485">
        <v>45012.68854472222</v>
      </c>
      <c r="B178" s="162" t="s">
        <v>1324</v>
      </c>
      <c r="C178" s="484"/>
    </row>
    <row r="179">
      <c r="A179" s="485">
        <v>45012.74769226852</v>
      </c>
      <c r="B179" s="162" t="s">
        <v>1324</v>
      </c>
      <c r="C179" s="484"/>
    </row>
    <row r="180">
      <c r="A180" s="485">
        <v>45012.76739907407</v>
      </c>
      <c r="B180" s="162" t="s">
        <v>1323</v>
      </c>
      <c r="C180" s="484"/>
    </row>
    <row r="181">
      <c r="A181" s="485">
        <v>45012.77064481482</v>
      </c>
      <c r="B181" s="162" t="s">
        <v>1324</v>
      </c>
      <c r="C181" s="484"/>
    </row>
    <row r="182">
      <c r="A182" s="485">
        <v>45012.81367307871</v>
      </c>
      <c r="B182" s="162" t="s">
        <v>1324</v>
      </c>
      <c r="C182" s="484"/>
    </row>
    <row r="183">
      <c r="A183" s="485">
        <v>45012.86112469908</v>
      </c>
      <c r="B183" s="162" t="s">
        <v>1323</v>
      </c>
      <c r="C183" s="484"/>
    </row>
    <row r="184">
      <c r="A184" s="485">
        <v>45012.86456210648</v>
      </c>
      <c r="B184" s="162" t="s">
        <v>1324</v>
      </c>
      <c r="C184" s="484"/>
    </row>
    <row r="185">
      <c r="A185" s="485">
        <v>45012.88556555555</v>
      </c>
      <c r="B185" s="162" t="s">
        <v>1324</v>
      </c>
      <c r="C185" s="484"/>
    </row>
    <row r="186">
      <c r="A186" s="485">
        <v>45012.921063472226</v>
      </c>
      <c r="B186" s="162" t="s">
        <v>1323</v>
      </c>
      <c r="C186" s="484"/>
    </row>
    <row r="187">
      <c r="A187" s="485">
        <v>45012.92305604166</v>
      </c>
      <c r="B187" s="162" t="s">
        <v>1324</v>
      </c>
      <c r="C187" s="484"/>
    </row>
    <row r="188">
      <c r="A188" s="485">
        <v>45012.93154888889</v>
      </c>
      <c r="B188" s="162" t="s">
        <v>1324</v>
      </c>
      <c r="C188" s="484"/>
    </row>
    <row r="189">
      <c r="A189" s="485">
        <v>45012.95715943287</v>
      </c>
      <c r="B189" s="162" t="s">
        <v>1323</v>
      </c>
      <c r="C189" s="484"/>
    </row>
    <row r="190">
      <c r="A190" s="485">
        <v>45012.95922358797</v>
      </c>
      <c r="B190" s="162" t="s">
        <v>1324</v>
      </c>
      <c r="C190" s="484"/>
    </row>
    <row r="191">
      <c r="A191" s="485">
        <v>45012.963004212965</v>
      </c>
      <c r="B191" s="162" t="s">
        <v>1324</v>
      </c>
      <c r="C191" s="484"/>
    </row>
    <row r="192">
      <c r="A192" s="485">
        <v>45013.00716262731</v>
      </c>
      <c r="B192" s="162" t="s">
        <v>1323</v>
      </c>
      <c r="C192" s="484"/>
    </row>
    <row r="193">
      <c r="A193" s="485">
        <v>45013.01015574074</v>
      </c>
      <c r="B193" s="162" t="s">
        <v>1324</v>
      </c>
      <c r="C193" s="484"/>
    </row>
    <row r="194">
      <c r="A194" s="485">
        <v>45013.72178247685</v>
      </c>
      <c r="B194" s="162" t="s">
        <v>1323</v>
      </c>
      <c r="C194" s="484" t="s">
        <v>1326</v>
      </c>
    </row>
    <row r="195">
      <c r="A195" s="485">
        <v>45013.72421221065</v>
      </c>
      <c r="B195" s="162" t="s">
        <v>1324</v>
      </c>
      <c r="C195" s="484" t="s">
        <v>1326</v>
      </c>
    </row>
    <row r="196">
      <c r="A196" s="485">
        <v>45013.86313128472</v>
      </c>
      <c r="B196" s="162" t="s">
        <v>1323</v>
      </c>
      <c r="C196" s="484"/>
    </row>
    <row r="197">
      <c r="A197" s="485">
        <v>45013.86580630787</v>
      </c>
      <c r="B197" s="162" t="s">
        <v>1324</v>
      </c>
      <c r="C197" s="484"/>
    </row>
    <row r="198">
      <c r="A198" s="485">
        <v>45013.87369912037</v>
      </c>
      <c r="B198" s="162" t="s">
        <v>1324</v>
      </c>
      <c r="C198" s="484"/>
    </row>
    <row r="199">
      <c r="A199" s="485">
        <v>45013.92573725694</v>
      </c>
      <c r="B199" s="162" t="s">
        <v>1323</v>
      </c>
      <c r="C199" s="484"/>
    </row>
    <row r="200">
      <c r="A200" s="485">
        <v>45013.92814857639</v>
      </c>
      <c r="B200" s="162" t="s">
        <v>1324</v>
      </c>
      <c r="C200" s="484"/>
    </row>
    <row r="201">
      <c r="A201" s="485">
        <v>45013.93523920139</v>
      </c>
      <c r="B201" s="162" t="s">
        <v>1324</v>
      </c>
      <c r="C201" s="484"/>
    </row>
    <row r="202">
      <c r="A202" s="485">
        <v>45013.95741350694</v>
      </c>
      <c r="B202" s="162" t="s">
        <v>1324</v>
      </c>
      <c r="C202" s="484"/>
    </row>
    <row r="203">
      <c r="A203" s="485">
        <v>45014.00571711805</v>
      </c>
      <c r="B203" s="162" t="s">
        <v>1323</v>
      </c>
      <c r="C203" s="484"/>
    </row>
    <row r="204">
      <c r="A204" s="485">
        <v>45014.00865797454</v>
      </c>
      <c r="B204" s="162" t="s">
        <v>1324</v>
      </c>
      <c r="C204" s="484"/>
    </row>
    <row r="205">
      <c r="A205" s="485">
        <v>45014.69165407408</v>
      </c>
      <c r="B205" s="162" t="s">
        <v>1324</v>
      </c>
      <c r="C205" s="484"/>
    </row>
    <row r="206">
      <c r="A206" s="485">
        <v>45014.7265694213</v>
      </c>
      <c r="B206" s="162" t="s">
        <v>1323</v>
      </c>
      <c r="C206" s="484"/>
    </row>
    <row r="207">
      <c r="A207" s="485">
        <v>45014.72906243056</v>
      </c>
      <c r="B207" s="162" t="s">
        <v>1324</v>
      </c>
      <c r="C207" s="484"/>
    </row>
    <row r="208">
      <c r="A208" s="485">
        <v>45014.74532288194</v>
      </c>
      <c r="B208" s="162" t="s">
        <v>1323</v>
      </c>
      <c r="C208" s="484"/>
    </row>
    <row r="209">
      <c r="A209" s="485">
        <v>45014.74765172454</v>
      </c>
      <c r="B209" s="162" t="s">
        <v>1324</v>
      </c>
      <c r="C209" s="484"/>
    </row>
    <row r="210">
      <c r="A210" s="485">
        <v>45014.7682599074</v>
      </c>
      <c r="B210" s="162" t="s">
        <v>1323</v>
      </c>
      <c r="C210" s="484"/>
    </row>
    <row r="211">
      <c r="A211" s="485">
        <v>45014.77049239584</v>
      </c>
      <c r="B211" s="162" t="s">
        <v>1324</v>
      </c>
      <c r="C211" s="484"/>
    </row>
    <row r="212">
      <c r="A212" s="485">
        <v>45014.78075142361</v>
      </c>
      <c r="B212" s="162" t="s">
        <v>1324</v>
      </c>
      <c r="C212" s="484"/>
    </row>
    <row r="213">
      <c r="A213" s="485">
        <v>45014.78213265046</v>
      </c>
      <c r="B213" s="162" t="s">
        <v>1323</v>
      </c>
      <c r="C213" s="484"/>
    </row>
    <row r="214">
      <c r="A214" s="485">
        <v>45014.78330109954</v>
      </c>
      <c r="B214" s="162" t="s">
        <v>1324</v>
      </c>
      <c r="C214" s="484"/>
    </row>
    <row r="215">
      <c r="A215" s="485">
        <v>45014.85977447916</v>
      </c>
      <c r="B215" s="162" t="s">
        <v>1323</v>
      </c>
      <c r="C215" s="484"/>
    </row>
    <row r="216">
      <c r="A216" s="485">
        <v>45014.8618590625</v>
      </c>
      <c r="B216" s="162" t="s">
        <v>1324</v>
      </c>
      <c r="C216" s="484"/>
    </row>
    <row r="217">
      <c r="A217" s="485">
        <v>45014.876921504634</v>
      </c>
      <c r="B217" s="162" t="s">
        <v>1324</v>
      </c>
      <c r="C217" s="484"/>
    </row>
    <row r="218">
      <c r="A218" s="485">
        <v>45014.88391171297</v>
      </c>
      <c r="B218" s="162" t="s">
        <v>1323</v>
      </c>
      <c r="C218" s="484"/>
    </row>
    <row r="219">
      <c r="A219" s="485">
        <v>45014.886097256946</v>
      </c>
      <c r="B219" s="162" t="s">
        <v>1324</v>
      </c>
      <c r="C219" s="484"/>
    </row>
    <row r="220">
      <c r="A220" s="485">
        <v>45014.894388981484</v>
      </c>
      <c r="B220" s="162" t="s">
        <v>1324</v>
      </c>
      <c r="C220" s="484"/>
    </row>
    <row r="221">
      <c r="A221" s="485">
        <v>45014.91724782407</v>
      </c>
      <c r="B221" s="162" t="s">
        <v>1324</v>
      </c>
      <c r="C221" s="484"/>
    </row>
    <row r="222">
      <c r="A222" s="485">
        <v>45014.93406890046</v>
      </c>
      <c r="B222" s="162" t="s">
        <v>1323</v>
      </c>
      <c r="C222" s="484"/>
    </row>
    <row r="223">
      <c r="A223" s="485">
        <v>45014.93632361111</v>
      </c>
      <c r="B223" s="162" t="s">
        <v>1324</v>
      </c>
      <c r="C223" s="484"/>
    </row>
    <row r="224">
      <c r="A224" s="485">
        <v>45014.956795300925</v>
      </c>
      <c r="B224" s="162" t="s">
        <v>1324</v>
      </c>
      <c r="C224" s="484"/>
    </row>
    <row r="225">
      <c r="A225" s="485">
        <v>45014.975015069445</v>
      </c>
      <c r="B225" s="162" t="s">
        <v>1323</v>
      </c>
      <c r="C225" s="484"/>
    </row>
    <row r="226">
      <c r="A226" s="485">
        <v>45014.978057824075</v>
      </c>
      <c r="B226" s="162" t="s">
        <v>1324</v>
      </c>
      <c r="C226" s="484"/>
    </row>
    <row r="227">
      <c r="A227" s="485">
        <v>45014.98581478009</v>
      </c>
      <c r="B227" s="162" t="s">
        <v>1324</v>
      </c>
      <c r="C227" s="484"/>
    </row>
    <row r="228">
      <c r="A228" s="485">
        <v>45014.98877390046</v>
      </c>
      <c r="B228" s="162" t="s">
        <v>1323</v>
      </c>
      <c r="C228" s="484"/>
    </row>
    <row r="229">
      <c r="A229" s="485">
        <v>45014.98985247685</v>
      </c>
      <c r="B229" s="162" t="s">
        <v>1324</v>
      </c>
      <c r="C229" s="484"/>
    </row>
    <row r="230">
      <c r="A230" s="485">
        <v>45014.994940046294</v>
      </c>
      <c r="B230" s="162" t="s">
        <v>1324</v>
      </c>
      <c r="C230" s="484"/>
    </row>
    <row r="231">
      <c r="A231" s="485">
        <v>45015.700992094906</v>
      </c>
      <c r="B231" s="162" t="s">
        <v>1324</v>
      </c>
      <c r="C231" s="484"/>
    </row>
    <row r="232">
      <c r="A232" s="485">
        <v>45015.8909658912</v>
      </c>
      <c r="B232" s="162" t="s">
        <v>1323</v>
      </c>
      <c r="C232" s="484"/>
    </row>
    <row r="233">
      <c r="A233" s="485">
        <v>45015.89435798611</v>
      </c>
      <c r="B233" s="162" t="s">
        <v>1324</v>
      </c>
      <c r="C233" s="484"/>
    </row>
    <row r="234">
      <c r="A234" s="485">
        <v>45015.91801238426</v>
      </c>
      <c r="B234" s="162" t="s">
        <v>1323</v>
      </c>
      <c r="C234" s="484"/>
    </row>
    <row r="235">
      <c r="A235" s="485">
        <v>45015.92028626158</v>
      </c>
      <c r="B235" s="162" t="s">
        <v>1324</v>
      </c>
      <c r="C235" s="484"/>
    </row>
    <row r="236">
      <c r="A236" s="485">
        <v>45015.932676076394</v>
      </c>
      <c r="B236" s="162" t="s">
        <v>1323</v>
      </c>
      <c r="C236" s="484"/>
    </row>
    <row r="237">
      <c r="A237" s="485">
        <v>45015.934697881945</v>
      </c>
      <c r="B237" s="162" t="s">
        <v>1324</v>
      </c>
      <c r="C237" s="484"/>
    </row>
    <row r="238">
      <c r="A238" s="485">
        <v>45015.95057483796</v>
      </c>
      <c r="B238" s="162" t="s">
        <v>1324</v>
      </c>
      <c r="C238" s="484"/>
    </row>
    <row r="239">
      <c r="A239" s="485">
        <v>45015.98436820602</v>
      </c>
      <c r="B239" s="162" t="s">
        <v>1323</v>
      </c>
      <c r="C239" s="484"/>
    </row>
    <row r="240">
      <c r="A240" s="485">
        <v>45015.987075625</v>
      </c>
      <c r="B240" s="162" t="s">
        <v>1324</v>
      </c>
      <c r="C240" s="484"/>
    </row>
    <row r="241">
      <c r="A241" s="485">
        <v>45016.00041533565</v>
      </c>
      <c r="B241" s="162" t="s">
        <v>1324</v>
      </c>
      <c r="C241" s="484"/>
    </row>
    <row r="242">
      <c r="A242" s="485">
        <v>45016.00539513888</v>
      </c>
      <c r="B242" s="162" t="s">
        <v>1324</v>
      </c>
      <c r="C242" s="484"/>
    </row>
    <row r="243">
      <c r="A243" s="485">
        <v>45016.684298506945</v>
      </c>
      <c r="B243" s="162" t="s">
        <v>1324</v>
      </c>
      <c r="C243" s="484"/>
    </row>
    <row r="244">
      <c r="A244" s="485">
        <v>45016.71775996528</v>
      </c>
      <c r="B244" s="162" t="s">
        <v>1324</v>
      </c>
      <c r="C244" s="484"/>
    </row>
    <row r="245">
      <c r="A245" s="485">
        <v>45016.724603599534</v>
      </c>
      <c r="B245" s="162" t="s">
        <v>1324</v>
      </c>
      <c r="C245" s="484"/>
    </row>
    <row r="246">
      <c r="A246" s="485">
        <v>45016.74181253472</v>
      </c>
      <c r="B246" s="162" t="s">
        <v>1324</v>
      </c>
      <c r="C246" s="484"/>
    </row>
    <row r="247">
      <c r="A247" s="485">
        <v>45016.76551353009</v>
      </c>
      <c r="B247" s="162" t="s">
        <v>1324</v>
      </c>
      <c r="C247" s="484"/>
    </row>
    <row r="248">
      <c r="A248" s="485">
        <v>45016.77402662037</v>
      </c>
      <c r="B248" s="162" t="s">
        <v>1323</v>
      </c>
      <c r="C248" s="484" t="s">
        <v>1327</v>
      </c>
    </row>
    <row r="249">
      <c r="A249" s="485">
        <v>45016.7783499537</v>
      </c>
      <c r="B249" s="162" t="s">
        <v>1324</v>
      </c>
      <c r="C249" s="484"/>
    </row>
    <row r="250">
      <c r="A250" s="485">
        <v>45016.79029936343</v>
      </c>
      <c r="B250" s="162" t="s">
        <v>1324</v>
      </c>
      <c r="C250" s="484"/>
    </row>
    <row r="251">
      <c r="A251" s="485">
        <v>45016.843753900466</v>
      </c>
      <c r="B251" s="162" t="s">
        <v>1323</v>
      </c>
      <c r="C251" s="484" t="s">
        <v>1327</v>
      </c>
    </row>
    <row r="252">
      <c r="A252" s="485">
        <v>45016.846113796295</v>
      </c>
      <c r="B252" s="162" t="s">
        <v>1324</v>
      </c>
      <c r="C252" s="484"/>
    </row>
    <row r="253">
      <c r="A253" s="485">
        <v>45016.85939114583</v>
      </c>
      <c r="B253" s="162" t="s">
        <v>1324</v>
      </c>
      <c r="C253" s="484"/>
    </row>
    <row r="254">
      <c r="A254" s="485">
        <v>45016.87163751158</v>
      </c>
      <c r="B254" s="162" t="s">
        <v>1324</v>
      </c>
      <c r="C254" s="484"/>
    </row>
    <row r="255">
      <c r="A255" s="485">
        <v>45016.91084081019</v>
      </c>
      <c r="B255" s="162" t="s">
        <v>1323</v>
      </c>
      <c r="C255" s="484" t="s">
        <v>1327</v>
      </c>
    </row>
    <row r="256">
      <c r="A256" s="485">
        <v>45016.91334515046</v>
      </c>
      <c r="B256" s="162" t="s">
        <v>1324</v>
      </c>
      <c r="C256" s="484"/>
    </row>
    <row r="257">
      <c r="A257" s="485">
        <v>45016.925641354166</v>
      </c>
      <c r="B257" s="162" t="s">
        <v>1323</v>
      </c>
      <c r="C257" s="484" t="s">
        <v>1327</v>
      </c>
    </row>
    <row r="258">
      <c r="A258" s="485">
        <v>45016.92891982639</v>
      </c>
      <c r="B258" s="162" t="s">
        <v>1324</v>
      </c>
      <c r="C258" s="484"/>
    </row>
    <row r="259">
      <c r="A259" s="485">
        <v>45016.9413312963</v>
      </c>
      <c r="B259" s="162" t="s">
        <v>1324</v>
      </c>
      <c r="C259" s="484"/>
    </row>
    <row r="260">
      <c r="A260" s="485">
        <v>45016.95162710648</v>
      </c>
      <c r="B260" s="162" t="s">
        <v>1324</v>
      </c>
      <c r="C260" s="484"/>
    </row>
    <row r="261">
      <c r="A261" s="485">
        <v>45016.96368569444</v>
      </c>
      <c r="B261" s="162" t="s">
        <v>1323</v>
      </c>
      <c r="C261" s="484"/>
    </row>
    <row r="262">
      <c r="A262" s="485">
        <v>45016.967145625</v>
      </c>
      <c r="B262" s="162" t="s">
        <v>1324</v>
      </c>
      <c r="C262" s="484"/>
    </row>
    <row r="263">
      <c r="A263" s="485">
        <v>45016.96986668982</v>
      </c>
      <c r="B263" s="162" t="s">
        <v>1323</v>
      </c>
      <c r="C263" s="484"/>
    </row>
    <row r="264">
      <c r="A264" s="485">
        <v>45016.9721631713</v>
      </c>
      <c r="B264" s="162" t="s">
        <v>1324</v>
      </c>
      <c r="C264" s="484"/>
    </row>
    <row r="265">
      <c r="A265" s="485">
        <v>45017.00008621528</v>
      </c>
      <c r="B265" s="162" t="s">
        <v>1324</v>
      </c>
      <c r="C265" s="484"/>
    </row>
    <row r="266">
      <c r="A266" s="485">
        <v>45019.745953136575</v>
      </c>
      <c r="B266" s="162" t="s">
        <v>1323</v>
      </c>
      <c r="C266" s="484"/>
    </row>
    <row r="267">
      <c r="A267" s="485">
        <v>45019.74886851852</v>
      </c>
      <c r="B267" s="162" t="s">
        <v>1324</v>
      </c>
      <c r="C267" s="484"/>
    </row>
    <row r="268">
      <c r="A268" s="485">
        <v>45019.782908333334</v>
      </c>
      <c r="B268" s="162" t="s">
        <v>1324</v>
      </c>
      <c r="C268" s="484"/>
    </row>
    <row r="269">
      <c r="A269" s="485">
        <v>45019.79999644676</v>
      </c>
      <c r="B269" s="162" t="s">
        <v>1324</v>
      </c>
      <c r="C269" s="484"/>
    </row>
    <row r="270">
      <c r="A270" s="485">
        <v>45019.837370127316</v>
      </c>
      <c r="B270" s="162" t="s">
        <v>1323</v>
      </c>
      <c r="C270" s="484"/>
    </row>
    <row r="271">
      <c r="A271" s="485">
        <v>45019.84025583333</v>
      </c>
      <c r="B271" s="162" t="s">
        <v>1324</v>
      </c>
      <c r="C271" s="484"/>
    </row>
    <row r="272">
      <c r="A272" s="485">
        <v>45019.92094631944</v>
      </c>
      <c r="B272" s="162" t="s">
        <v>1323</v>
      </c>
      <c r="C272" s="484"/>
    </row>
    <row r="273">
      <c r="A273" s="485">
        <v>45019.923388877316</v>
      </c>
      <c r="B273" s="162" t="s">
        <v>1324</v>
      </c>
      <c r="C273" s="484"/>
    </row>
    <row r="274">
      <c r="A274" s="485">
        <v>45019.94714959491</v>
      </c>
      <c r="B274" s="162" t="s">
        <v>1324</v>
      </c>
      <c r="C274" s="484"/>
    </row>
    <row r="275">
      <c r="A275" s="485">
        <v>45019.95070354167</v>
      </c>
      <c r="B275" s="162" t="s">
        <v>1323</v>
      </c>
      <c r="C275" s="484"/>
    </row>
    <row r="276">
      <c r="A276" s="485">
        <v>45019.95227195602</v>
      </c>
      <c r="B276" s="162" t="s">
        <v>1324</v>
      </c>
      <c r="C276" s="484"/>
    </row>
    <row r="277">
      <c r="A277" s="485">
        <v>45019.964882326385</v>
      </c>
      <c r="B277" s="162" t="s">
        <v>1324</v>
      </c>
      <c r="C277" s="484"/>
    </row>
    <row r="278">
      <c r="A278" s="485">
        <v>45020.73460684028</v>
      </c>
      <c r="B278" s="162" t="s">
        <v>1323</v>
      </c>
      <c r="C278" s="484"/>
    </row>
    <row r="279">
      <c r="A279" s="485">
        <v>45020.73627197917</v>
      </c>
      <c r="B279" s="162" t="s">
        <v>1323</v>
      </c>
      <c r="C279" s="484"/>
    </row>
    <row r="280">
      <c r="A280" s="485">
        <v>45020.7387228588</v>
      </c>
      <c r="B280" s="162" t="s">
        <v>1324</v>
      </c>
      <c r="C280" s="484"/>
    </row>
    <row r="281">
      <c r="A281" s="485">
        <v>45020.790710671296</v>
      </c>
      <c r="B281" s="162" t="s">
        <v>1324</v>
      </c>
      <c r="C281" s="484"/>
    </row>
    <row r="282">
      <c r="A282" s="485">
        <v>45020.89049053241</v>
      </c>
      <c r="B282" s="162" t="s">
        <v>1323</v>
      </c>
      <c r="C282" s="484"/>
    </row>
    <row r="283">
      <c r="A283" s="485">
        <v>45020.8926796875</v>
      </c>
      <c r="B283" s="162" t="s">
        <v>1324</v>
      </c>
      <c r="C283" s="484"/>
    </row>
    <row r="284">
      <c r="A284" s="485">
        <v>45020.917300706016</v>
      </c>
      <c r="B284" s="162" t="s">
        <v>1323</v>
      </c>
      <c r="C284" s="484"/>
    </row>
    <row r="285">
      <c r="A285" s="485">
        <v>45020.919986180554</v>
      </c>
      <c r="B285" s="162" t="s">
        <v>1324</v>
      </c>
      <c r="C285" s="484"/>
    </row>
    <row r="286">
      <c r="A286" s="485">
        <v>45020.968400439815</v>
      </c>
      <c r="B286" s="162" t="s">
        <v>1324</v>
      </c>
      <c r="C286" s="484"/>
    </row>
    <row r="287">
      <c r="A287" s="485">
        <v>45021.84322618056</v>
      </c>
      <c r="B287" s="162" t="s">
        <v>1323</v>
      </c>
      <c r="C287" s="484"/>
    </row>
    <row r="288">
      <c r="A288" s="485">
        <v>45021.84649325232</v>
      </c>
      <c r="B288" s="162" t="s">
        <v>1324</v>
      </c>
      <c r="C288" s="484"/>
    </row>
    <row r="289">
      <c r="A289" s="485">
        <v>45021.93008737269</v>
      </c>
      <c r="B289" s="162" t="s">
        <v>1323</v>
      </c>
      <c r="C289" s="484"/>
    </row>
    <row r="290">
      <c r="A290" s="485">
        <v>45021.933390555554</v>
      </c>
      <c r="B290" s="162" t="s">
        <v>1324</v>
      </c>
      <c r="C290" s="484"/>
    </row>
    <row r="291">
      <c r="A291" s="485">
        <v>45022.79235768519</v>
      </c>
      <c r="B291" s="162" t="s">
        <v>1324</v>
      </c>
      <c r="C291" s="484"/>
    </row>
    <row r="292">
      <c r="A292" s="485">
        <v>45022.84724880787</v>
      </c>
      <c r="B292" s="162" t="s">
        <v>1323</v>
      </c>
      <c r="C292" s="484"/>
    </row>
    <row r="293">
      <c r="A293" s="485">
        <v>45022.84967166667</v>
      </c>
      <c r="B293" s="162" t="s">
        <v>1324</v>
      </c>
      <c r="C293" s="484"/>
    </row>
    <row r="294">
      <c r="A294" s="485">
        <v>45022.863681145835</v>
      </c>
      <c r="B294" s="162" t="s">
        <v>1324</v>
      </c>
      <c r="C294" s="484"/>
    </row>
    <row r="295">
      <c r="A295" s="485">
        <v>45022.87418568287</v>
      </c>
      <c r="B295" s="162" t="s">
        <v>1323</v>
      </c>
      <c r="C295" s="484"/>
    </row>
    <row r="296">
      <c r="A296" s="485">
        <v>45022.876705092596</v>
      </c>
      <c r="B296" s="162" t="s">
        <v>1324</v>
      </c>
      <c r="C296" s="484"/>
    </row>
    <row r="297">
      <c r="A297" s="485">
        <v>45022.88575905093</v>
      </c>
      <c r="B297" s="162" t="s">
        <v>1324</v>
      </c>
      <c r="C297" s="484"/>
    </row>
    <row r="298">
      <c r="A298" s="485">
        <v>45022.91902302083</v>
      </c>
      <c r="B298" s="162" t="s">
        <v>1323</v>
      </c>
      <c r="C298" s="484"/>
    </row>
    <row r="299">
      <c r="A299" s="485">
        <v>45022.92241155093</v>
      </c>
      <c r="B299" s="162" t="s">
        <v>1324</v>
      </c>
      <c r="C299" s="484" t="s">
        <v>1328</v>
      </c>
    </row>
    <row r="300">
      <c r="A300" s="485">
        <v>45022.92649788194</v>
      </c>
      <c r="B300" s="162" t="s">
        <v>1324</v>
      </c>
      <c r="C300" s="484" t="s">
        <v>1328</v>
      </c>
    </row>
    <row r="301">
      <c r="A301" s="485">
        <v>45022.932893379635</v>
      </c>
      <c r="B301" s="162" t="s">
        <v>1323</v>
      </c>
      <c r="C301" s="484"/>
    </row>
    <row r="302">
      <c r="A302" s="485">
        <v>45022.934630578704</v>
      </c>
      <c r="B302" s="162" t="s">
        <v>1324</v>
      </c>
      <c r="C302" s="484"/>
    </row>
    <row r="303">
      <c r="A303" s="485">
        <v>45022.95846601852</v>
      </c>
      <c r="B303" s="162" t="s">
        <v>1324</v>
      </c>
      <c r="C303" s="484"/>
    </row>
    <row r="304">
      <c r="A304" s="485">
        <v>45022.993797800926</v>
      </c>
      <c r="B304" s="162" t="s">
        <v>1323</v>
      </c>
      <c r="C304" s="484"/>
    </row>
    <row r="305">
      <c r="A305" s="485">
        <v>45022.996080069446</v>
      </c>
      <c r="B305" s="162" t="s">
        <v>1324</v>
      </c>
      <c r="C305" s="484"/>
    </row>
    <row r="306">
      <c r="A306" s="485">
        <v>45023.00118041667</v>
      </c>
      <c r="B306" s="162" t="s">
        <v>1324</v>
      </c>
      <c r="C306" s="484"/>
    </row>
    <row r="307">
      <c r="A307" s="485">
        <v>45023.65931362269</v>
      </c>
      <c r="B307" s="162" t="s">
        <v>1323</v>
      </c>
      <c r="C307" s="484"/>
    </row>
    <row r="308">
      <c r="A308" s="485">
        <v>45023.66148800926</v>
      </c>
      <c r="B308" s="162" t="s">
        <v>1324</v>
      </c>
      <c r="C308" s="484"/>
    </row>
    <row r="309">
      <c r="A309" s="485">
        <v>45023.74294136574</v>
      </c>
      <c r="B309" s="162" t="s">
        <v>1324</v>
      </c>
      <c r="C309" s="484"/>
    </row>
    <row r="310">
      <c r="A310" s="485">
        <v>45023.758713958334</v>
      </c>
      <c r="B310" s="162" t="s">
        <v>1324</v>
      </c>
      <c r="C310" s="484"/>
    </row>
    <row r="311">
      <c r="A311" s="485">
        <v>45023.7950257176</v>
      </c>
      <c r="B311" s="162" t="s">
        <v>1324</v>
      </c>
      <c r="C311" s="484"/>
    </row>
    <row r="312">
      <c r="A312" s="485">
        <v>45023.86614921296</v>
      </c>
      <c r="B312" s="162" t="s">
        <v>1323</v>
      </c>
      <c r="C312" s="484"/>
    </row>
    <row r="313">
      <c r="A313" s="485">
        <v>45023.86831583333</v>
      </c>
      <c r="B313" s="162" t="s">
        <v>1324</v>
      </c>
      <c r="C313" s="484"/>
    </row>
    <row r="314">
      <c r="A314" s="485">
        <v>45023.89347243056</v>
      </c>
      <c r="B314" s="162" t="s">
        <v>1324</v>
      </c>
      <c r="C314" s="484"/>
    </row>
    <row r="315">
      <c r="A315" s="485">
        <v>45023.896947789355</v>
      </c>
      <c r="B315" s="162" t="s">
        <v>1323</v>
      </c>
      <c r="C315" s="484"/>
    </row>
    <row r="316">
      <c r="A316" s="485">
        <v>45023.89866472222</v>
      </c>
      <c r="B316" s="162" t="s">
        <v>1324</v>
      </c>
      <c r="C316" s="484"/>
    </row>
    <row r="317">
      <c r="A317" s="485">
        <v>45023.92239415509</v>
      </c>
      <c r="B317" s="162" t="s">
        <v>1323</v>
      </c>
      <c r="C317" s="484"/>
    </row>
    <row r="318">
      <c r="A318" s="485">
        <v>45023.92501160879</v>
      </c>
      <c r="B318" s="162" t="s">
        <v>1324</v>
      </c>
      <c r="C318" s="484"/>
    </row>
    <row r="319">
      <c r="A319" s="485">
        <v>45023.9458065625</v>
      </c>
      <c r="B319" s="162" t="s">
        <v>1324</v>
      </c>
      <c r="C319" s="484"/>
    </row>
    <row r="320">
      <c r="A320" s="485">
        <v>45023.95265219908</v>
      </c>
      <c r="B320" s="162" t="s">
        <v>1323</v>
      </c>
      <c r="C320" s="484"/>
    </row>
    <row r="321">
      <c r="A321" s="485">
        <v>45023.95500599537</v>
      </c>
      <c r="B321" s="162" t="s">
        <v>1324</v>
      </c>
      <c r="C321" s="484"/>
    </row>
    <row r="322">
      <c r="A322" s="485">
        <v>45023.96423420139</v>
      </c>
      <c r="B322" s="162" t="s">
        <v>1324</v>
      </c>
      <c r="C322" s="484"/>
    </row>
    <row r="323">
      <c r="A323" s="485">
        <v>45023.970200324075</v>
      </c>
      <c r="B323" s="162" t="s">
        <v>1324</v>
      </c>
      <c r="C323" s="484"/>
    </row>
    <row r="324">
      <c r="A324" s="485">
        <v>45024.00281484953</v>
      </c>
      <c r="B324" s="162" t="s">
        <v>1324</v>
      </c>
      <c r="C324" s="484"/>
    </row>
    <row r="325">
      <c r="A325" s="485">
        <v>45026.732636574074</v>
      </c>
      <c r="B325" s="162" t="s">
        <v>1323</v>
      </c>
      <c r="C325" s="484"/>
    </row>
    <row r="326">
      <c r="A326" s="485">
        <v>45026.73530539352</v>
      </c>
      <c r="B326" s="162" t="s">
        <v>1324</v>
      </c>
      <c r="C326" s="484"/>
    </row>
    <row r="327">
      <c r="A327" s="485">
        <v>45026.76346427083</v>
      </c>
      <c r="B327" s="162" t="s">
        <v>1324</v>
      </c>
      <c r="C327" s="484"/>
    </row>
    <row r="328">
      <c r="A328" s="485">
        <v>45026.91072851852</v>
      </c>
      <c r="B328" s="162" t="s">
        <v>1323</v>
      </c>
      <c r="C328" s="484"/>
    </row>
    <row r="329">
      <c r="A329" s="485">
        <v>45026.91315649306</v>
      </c>
      <c r="B329" s="162" t="s">
        <v>1324</v>
      </c>
      <c r="C329" s="484"/>
    </row>
    <row r="330">
      <c r="A330" s="485">
        <v>45026.98318855324</v>
      </c>
      <c r="B330" s="162" t="s">
        <v>1323</v>
      </c>
      <c r="C330" s="484"/>
    </row>
    <row r="331">
      <c r="A331" s="485">
        <v>45026.98708578704</v>
      </c>
      <c r="B331" s="162" t="s">
        <v>1324</v>
      </c>
      <c r="C331" s="484"/>
    </row>
    <row r="332">
      <c r="A332" s="485">
        <v>45026.993304247684</v>
      </c>
      <c r="B332" s="162" t="s">
        <v>1324</v>
      </c>
      <c r="C332" s="484"/>
    </row>
    <row r="333">
      <c r="A333" s="485">
        <v>45027.87026030093</v>
      </c>
      <c r="B333" s="162" t="s">
        <v>1323</v>
      </c>
      <c r="C333" s="484"/>
    </row>
    <row r="334">
      <c r="A334" s="485">
        <v>45027.87272510417</v>
      </c>
      <c r="B334" s="162" t="s">
        <v>1324</v>
      </c>
      <c r="C334" s="484"/>
    </row>
    <row r="335">
      <c r="A335" s="485">
        <v>45027.90682938657</v>
      </c>
      <c r="B335" s="162" t="s">
        <v>1323</v>
      </c>
      <c r="C335" s="484"/>
    </row>
    <row r="336">
      <c r="A336" s="485">
        <v>45027.910138125</v>
      </c>
      <c r="B336" s="162" t="s">
        <v>1324</v>
      </c>
      <c r="C336" s="484"/>
    </row>
    <row r="337">
      <c r="A337" s="485">
        <v>45027.95358369213</v>
      </c>
      <c r="B337" s="162" t="s">
        <v>1324</v>
      </c>
      <c r="C337" s="484"/>
    </row>
    <row r="338">
      <c r="A338" s="485">
        <v>45027.96602196759</v>
      </c>
      <c r="B338" s="162" t="s">
        <v>1324</v>
      </c>
      <c r="C338" s="484"/>
    </row>
    <row r="339">
      <c r="A339" s="485">
        <v>45028.79893858796</v>
      </c>
      <c r="B339" s="162" t="s">
        <v>1324</v>
      </c>
      <c r="C339" s="484"/>
    </row>
    <row r="340">
      <c r="A340" s="485">
        <v>45028.86204431713</v>
      </c>
      <c r="B340" s="162" t="s">
        <v>1323</v>
      </c>
      <c r="C340" s="484"/>
    </row>
    <row r="341">
      <c r="A341" s="485">
        <v>45028.86558753472</v>
      </c>
      <c r="B341" s="162" t="s">
        <v>1324</v>
      </c>
      <c r="C341" s="484"/>
    </row>
    <row r="342">
      <c r="A342" s="485">
        <v>45028.94067778935</v>
      </c>
      <c r="B342" s="162" t="s">
        <v>1324</v>
      </c>
      <c r="C342" s="484"/>
    </row>
    <row r="343">
      <c r="A343" s="485">
        <v>45028.94486827546</v>
      </c>
      <c r="B343" s="162" t="s">
        <v>1323</v>
      </c>
      <c r="C343" s="484"/>
    </row>
    <row r="344">
      <c r="A344" s="485">
        <v>45028.95000611111</v>
      </c>
      <c r="B344" s="162" t="s">
        <v>1324</v>
      </c>
      <c r="C344" s="484"/>
    </row>
    <row r="345">
      <c r="A345" s="485">
        <v>45028.96548905093</v>
      </c>
      <c r="B345" s="162" t="s">
        <v>1324</v>
      </c>
      <c r="C345" s="484"/>
    </row>
    <row r="346">
      <c r="A346" s="485">
        <v>45029.67184440972</v>
      </c>
      <c r="B346" s="162" t="s">
        <v>1323</v>
      </c>
      <c r="C346" s="484"/>
    </row>
    <row r="347">
      <c r="A347" s="485">
        <v>45029.674601273146</v>
      </c>
      <c r="B347" s="162" t="s">
        <v>1324</v>
      </c>
      <c r="C347" s="484"/>
    </row>
    <row r="348">
      <c r="A348" s="485">
        <v>45029.77376809028</v>
      </c>
      <c r="B348" s="162" t="s">
        <v>1324</v>
      </c>
      <c r="C348" s="484"/>
    </row>
    <row r="349">
      <c r="A349" s="485">
        <v>45029.7890662037</v>
      </c>
      <c r="B349" s="162" t="s">
        <v>1324</v>
      </c>
      <c r="C349" s="484"/>
    </row>
    <row r="350">
      <c r="A350" s="485">
        <v>45029.9043340162</v>
      </c>
      <c r="B350" s="162" t="s">
        <v>1324</v>
      </c>
      <c r="C350" s="484"/>
    </row>
    <row r="351">
      <c r="A351" s="485">
        <v>45029.932372627314</v>
      </c>
      <c r="B351" s="162" t="s">
        <v>1324</v>
      </c>
      <c r="C351" s="484"/>
    </row>
    <row r="352">
      <c r="A352" s="485">
        <v>45029.94443069445</v>
      </c>
      <c r="B352" s="162" t="s">
        <v>1324</v>
      </c>
      <c r="C352" s="484"/>
    </row>
    <row r="353">
      <c r="A353" s="485">
        <v>45029.95609219908</v>
      </c>
      <c r="B353" s="162" t="s">
        <v>1324</v>
      </c>
      <c r="C353" s="484"/>
    </row>
    <row r="354">
      <c r="A354" s="485">
        <v>45030.6575606713</v>
      </c>
      <c r="B354" s="162" t="s">
        <v>1323</v>
      </c>
      <c r="C354" s="484"/>
    </row>
    <row r="355">
      <c r="A355" s="485">
        <v>45030.66095311343</v>
      </c>
      <c r="B355" s="162" t="s">
        <v>1324</v>
      </c>
      <c r="C355" s="484"/>
    </row>
    <row r="356">
      <c r="A356" s="485">
        <v>45030.76619925926</v>
      </c>
      <c r="B356" s="162" t="s">
        <v>1324</v>
      </c>
      <c r="C356" s="484"/>
    </row>
    <row r="357">
      <c r="A357" s="485">
        <v>45030.88035603009</v>
      </c>
      <c r="B357" s="162" t="s">
        <v>1324</v>
      </c>
      <c r="C357" s="484"/>
    </row>
    <row r="358">
      <c r="A358" s="485">
        <v>45030.92634128472</v>
      </c>
      <c r="B358" s="162" t="s">
        <v>1324</v>
      </c>
      <c r="C358" s="484"/>
    </row>
    <row r="359">
      <c r="A359" s="485">
        <v>45030.94935415509</v>
      </c>
      <c r="B359" s="162" t="s">
        <v>1323</v>
      </c>
      <c r="C359" s="484"/>
    </row>
    <row r="360">
      <c r="A360" s="485">
        <v>45030.952032615736</v>
      </c>
      <c r="B360" s="162" t="s">
        <v>1324</v>
      </c>
      <c r="C360" s="484"/>
    </row>
    <row r="361">
      <c r="A361" s="485">
        <v>45031.00142002315</v>
      </c>
      <c r="B361" s="162" t="s">
        <v>1323</v>
      </c>
      <c r="C361" s="484"/>
    </row>
    <row r="362">
      <c r="A362" s="485">
        <v>45031.00442167824</v>
      </c>
      <c r="B362" s="162" t="s">
        <v>1324</v>
      </c>
      <c r="C362" s="484"/>
    </row>
    <row r="363">
      <c r="A363" s="485">
        <v>45034.47579041666</v>
      </c>
      <c r="B363" s="162" t="s">
        <v>1324</v>
      </c>
      <c r="C363" s="484"/>
    </row>
    <row r="364">
      <c r="A364" s="485">
        <v>45034.83580519676</v>
      </c>
      <c r="B364" s="162" t="s">
        <v>1324</v>
      </c>
      <c r="C364" s="484"/>
    </row>
    <row r="365">
      <c r="A365" s="485">
        <v>45034.89382386574</v>
      </c>
      <c r="B365" s="162" t="s">
        <v>1324</v>
      </c>
      <c r="C365" s="484"/>
    </row>
    <row r="366">
      <c r="A366" s="485">
        <v>45034.995465520835</v>
      </c>
      <c r="B366" s="162" t="s">
        <v>1324</v>
      </c>
      <c r="C366" s="484"/>
    </row>
    <row r="367">
      <c r="A367" s="485">
        <v>45035.05297434027</v>
      </c>
      <c r="B367" s="162" t="s">
        <v>1324</v>
      </c>
      <c r="C367" s="484"/>
    </row>
    <row r="368">
      <c r="A368" s="485">
        <v>45035.71581460648</v>
      </c>
      <c r="B368" s="162" t="s">
        <v>1324</v>
      </c>
      <c r="C368" s="484"/>
    </row>
    <row r="369">
      <c r="A369" s="485">
        <v>45035.85146928241</v>
      </c>
      <c r="B369" s="162" t="s">
        <v>1324</v>
      </c>
      <c r="C369" s="484"/>
    </row>
    <row r="370">
      <c r="A370" s="485">
        <v>45035.967414479164</v>
      </c>
      <c r="B370" s="162" t="s">
        <v>1324</v>
      </c>
      <c r="C370" s="484"/>
    </row>
    <row r="371">
      <c r="A371" s="485">
        <v>45036.000170659725</v>
      </c>
      <c r="B371" s="162" t="s">
        <v>1324</v>
      </c>
      <c r="C371" s="484"/>
    </row>
    <row r="372">
      <c r="A372" s="485">
        <v>45036.01174357639</v>
      </c>
      <c r="B372" s="162" t="s">
        <v>1324</v>
      </c>
      <c r="C372" s="484"/>
    </row>
    <row r="373">
      <c r="A373" s="485">
        <v>45036.02055777778</v>
      </c>
      <c r="B373" s="162" t="s">
        <v>1324</v>
      </c>
      <c r="C373" s="484"/>
    </row>
    <row r="374">
      <c r="A374" s="485">
        <v>45036.028244664354</v>
      </c>
      <c r="B374" s="162" t="s">
        <v>1324</v>
      </c>
      <c r="C374" s="484"/>
    </row>
    <row r="375">
      <c r="A375" s="485">
        <v>45036.0405071412</v>
      </c>
      <c r="B375" s="162" t="s">
        <v>1324</v>
      </c>
      <c r="C375" s="484"/>
    </row>
    <row r="376">
      <c r="A376" s="485">
        <v>45036.124108749995</v>
      </c>
      <c r="B376" s="162" t="s">
        <v>1324</v>
      </c>
      <c r="C376" s="484"/>
    </row>
    <row r="377">
      <c r="A377" s="485">
        <v>45036.70852300926</v>
      </c>
      <c r="B377" s="162" t="s">
        <v>1324</v>
      </c>
      <c r="C377" s="484"/>
    </row>
    <row r="378">
      <c r="A378" s="485">
        <v>45036.86247678241</v>
      </c>
      <c r="B378" s="162" t="s">
        <v>1324</v>
      </c>
      <c r="C378" s="484"/>
    </row>
    <row r="379">
      <c r="A379" s="485">
        <v>45037.70380791667</v>
      </c>
      <c r="B379" s="162" t="s">
        <v>1324</v>
      </c>
      <c r="C379" s="484"/>
    </row>
    <row r="380">
      <c r="A380" s="485">
        <v>45037.71256068287</v>
      </c>
      <c r="B380" s="162" t="s">
        <v>1324</v>
      </c>
      <c r="C380" s="484"/>
    </row>
    <row r="381">
      <c r="A381" s="485">
        <v>45037.90299503472</v>
      </c>
      <c r="B381" s="162" t="s">
        <v>1324</v>
      </c>
      <c r="C381" s="484"/>
    </row>
    <row r="382">
      <c r="A382" s="485">
        <v>45037.93261045139</v>
      </c>
      <c r="B382" s="162" t="s">
        <v>1324</v>
      </c>
      <c r="C382" s="484"/>
    </row>
    <row r="383">
      <c r="A383" s="485">
        <v>45040.84735916667</v>
      </c>
      <c r="B383" s="162" t="s">
        <v>1324</v>
      </c>
      <c r="C383" s="484"/>
    </row>
    <row r="384">
      <c r="A384" s="485">
        <v>45040.88368550926</v>
      </c>
      <c r="B384" s="162" t="s">
        <v>1324</v>
      </c>
      <c r="C384" s="484"/>
    </row>
    <row r="385">
      <c r="A385" s="485">
        <v>45040.93191688658</v>
      </c>
      <c r="B385" s="162" t="s">
        <v>1323</v>
      </c>
      <c r="C385" s="484" t="s">
        <v>1329</v>
      </c>
    </row>
    <row r="386">
      <c r="A386" s="485">
        <v>45040.9348957176</v>
      </c>
      <c r="B386" s="162" t="s">
        <v>1324</v>
      </c>
      <c r="C386" s="484"/>
    </row>
    <row r="387">
      <c r="A387" s="485">
        <v>45040.96066855324</v>
      </c>
      <c r="B387" s="162" t="s">
        <v>1324</v>
      </c>
      <c r="C387" s="484"/>
    </row>
    <row r="388">
      <c r="A388" s="485">
        <v>45040.98124483797</v>
      </c>
      <c r="B388" s="162" t="s">
        <v>1324</v>
      </c>
      <c r="C388" s="484"/>
    </row>
    <row r="389">
      <c r="A389" s="485">
        <v>45040.99767855324</v>
      </c>
      <c r="B389" s="162" t="s">
        <v>1324</v>
      </c>
      <c r="C389" s="484"/>
    </row>
    <row r="390">
      <c r="A390" s="485">
        <v>45041.00573902778</v>
      </c>
      <c r="B390" s="162" t="s">
        <v>1323</v>
      </c>
      <c r="C390" s="484" t="s">
        <v>1329</v>
      </c>
    </row>
    <row r="391">
      <c r="A391" s="485">
        <v>45041.009138865746</v>
      </c>
      <c r="B391" s="162" t="s">
        <v>1324</v>
      </c>
      <c r="C391" s="484"/>
    </row>
    <row r="392">
      <c r="A392" s="485">
        <v>45041.70211106482</v>
      </c>
      <c r="B392" s="162" t="s">
        <v>1323</v>
      </c>
      <c r="C392" s="484" t="s">
        <v>1329</v>
      </c>
    </row>
    <row r="393">
      <c r="A393" s="485">
        <v>45041.70560601851</v>
      </c>
      <c r="B393" s="162" t="s">
        <v>1324</v>
      </c>
      <c r="C393" s="484"/>
    </row>
    <row r="394">
      <c r="A394" s="485">
        <v>45041.71402175926</v>
      </c>
      <c r="B394" s="162" t="s">
        <v>1324</v>
      </c>
      <c r="C394" s="484"/>
    </row>
    <row r="395">
      <c r="A395" s="485">
        <v>45041.8084790625</v>
      </c>
      <c r="B395" s="162" t="s">
        <v>1324</v>
      </c>
      <c r="C395" s="484"/>
    </row>
    <row r="396">
      <c r="A396" s="485">
        <v>45041.82885363426</v>
      </c>
      <c r="B396" s="162" t="s">
        <v>1324</v>
      </c>
      <c r="C396" s="484"/>
    </row>
    <row r="397">
      <c r="A397" s="485">
        <v>45041.854077592594</v>
      </c>
      <c r="B397" s="162" t="s">
        <v>1323</v>
      </c>
      <c r="C397" s="484" t="s">
        <v>1329</v>
      </c>
    </row>
    <row r="398">
      <c r="A398" s="485">
        <v>45041.8568413426</v>
      </c>
      <c r="B398" s="162" t="s">
        <v>1324</v>
      </c>
      <c r="C398" s="484"/>
    </row>
    <row r="399">
      <c r="A399" s="485">
        <v>45041.87550376158</v>
      </c>
      <c r="B399" s="162" t="s">
        <v>1323</v>
      </c>
      <c r="C399" s="484" t="s">
        <v>1329</v>
      </c>
    </row>
    <row r="400">
      <c r="A400" s="485">
        <v>45041.878549189816</v>
      </c>
      <c r="B400" s="162" t="s">
        <v>1324</v>
      </c>
      <c r="C400" s="484"/>
    </row>
    <row r="401">
      <c r="A401" s="485">
        <v>45041.893815601856</v>
      </c>
      <c r="B401" s="162" t="s">
        <v>1324</v>
      </c>
      <c r="C401" s="484"/>
    </row>
    <row r="402">
      <c r="A402" s="485">
        <v>45041.94622027778</v>
      </c>
      <c r="B402" s="162" t="s">
        <v>1324</v>
      </c>
      <c r="C402" s="484"/>
    </row>
    <row r="403">
      <c r="A403" s="485">
        <v>45042.477901817125</v>
      </c>
      <c r="B403" s="162" t="s">
        <v>1324</v>
      </c>
      <c r="C403" s="484"/>
    </row>
    <row r="404">
      <c r="A404" s="485">
        <v>45042.62093957176</v>
      </c>
      <c r="B404" s="162" t="s">
        <v>1324</v>
      </c>
      <c r="C404" s="484"/>
    </row>
    <row r="405">
      <c r="A405" s="485">
        <v>45042.69977707176</v>
      </c>
      <c r="B405" s="162" t="s">
        <v>1323</v>
      </c>
      <c r="C405" s="484" t="s">
        <v>1329</v>
      </c>
    </row>
    <row r="406">
      <c r="A406" s="485">
        <v>45042.70279790509</v>
      </c>
      <c r="B406" s="162" t="s">
        <v>1324</v>
      </c>
      <c r="C406" s="484"/>
    </row>
    <row r="407">
      <c r="A407" s="485">
        <v>45042.816049050925</v>
      </c>
      <c r="B407" s="162" t="s">
        <v>1324</v>
      </c>
      <c r="C407" s="484"/>
    </row>
    <row r="408">
      <c r="A408" s="485">
        <v>45042.845095578705</v>
      </c>
      <c r="B408" s="162" t="s">
        <v>1324</v>
      </c>
      <c r="C408" s="484"/>
    </row>
    <row r="409">
      <c r="A409" s="485">
        <v>45042.854301562504</v>
      </c>
      <c r="B409" s="162" t="s">
        <v>1323</v>
      </c>
      <c r="C409" s="484" t="s">
        <v>1329</v>
      </c>
    </row>
    <row r="410">
      <c r="A410" s="485">
        <v>45042.85756186343</v>
      </c>
      <c r="B410" s="162" t="s">
        <v>1324</v>
      </c>
      <c r="C410" s="484"/>
    </row>
    <row r="411">
      <c r="A411" s="485">
        <v>45042.91916887731</v>
      </c>
      <c r="B411" s="162" t="s">
        <v>1324</v>
      </c>
      <c r="C411" s="484"/>
    </row>
    <row r="412">
      <c r="A412" s="485">
        <v>45042.96127525463</v>
      </c>
      <c r="B412" s="162" t="s">
        <v>1324</v>
      </c>
      <c r="C412" s="484"/>
    </row>
    <row r="413">
      <c r="A413" s="485">
        <v>45042.96894503472</v>
      </c>
      <c r="B413" s="162" t="s">
        <v>1324</v>
      </c>
      <c r="C413" s="484"/>
    </row>
    <row r="414">
      <c r="A414" s="485">
        <v>45043.00129226852</v>
      </c>
      <c r="B414" s="162" t="s">
        <v>1323</v>
      </c>
      <c r="C414" s="484"/>
    </row>
    <row r="415">
      <c r="A415" s="485">
        <v>45043.00570471065</v>
      </c>
      <c r="B415" s="162" t="s">
        <v>1324</v>
      </c>
      <c r="C415" s="484"/>
    </row>
    <row r="416">
      <c r="A416" s="485">
        <v>45043.33647243056</v>
      </c>
      <c r="B416" s="162" t="s">
        <v>1324</v>
      </c>
      <c r="C416" s="484" t="s">
        <v>1330</v>
      </c>
    </row>
    <row r="417">
      <c r="A417" s="485">
        <v>45043.85758545139</v>
      </c>
      <c r="B417" s="162" t="s">
        <v>1324</v>
      </c>
      <c r="C417" s="484" t="s">
        <v>1330</v>
      </c>
    </row>
    <row r="418">
      <c r="A418" s="485">
        <v>45043.87198241898</v>
      </c>
      <c r="B418" s="162" t="s">
        <v>1324</v>
      </c>
      <c r="C418" s="484" t="s">
        <v>1330</v>
      </c>
    </row>
    <row r="419">
      <c r="A419" s="485">
        <v>45043.9026500926</v>
      </c>
      <c r="B419" s="162" t="s">
        <v>1323</v>
      </c>
      <c r="C419" s="484" t="s">
        <v>1331</v>
      </c>
    </row>
    <row r="420">
      <c r="A420" s="485">
        <v>45043.90593807871</v>
      </c>
      <c r="B420" s="162" t="s">
        <v>1324</v>
      </c>
      <c r="C420" s="484" t="s">
        <v>1330</v>
      </c>
    </row>
    <row r="421">
      <c r="A421" s="485">
        <v>45044.01177111111</v>
      </c>
      <c r="B421" s="162" t="s">
        <v>1323</v>
      </c>
      <c r="C421" s="484" t="s">
        <v>1331</v>
      </c>
    </row>
    <row r="422">
      <c r="A422" s="485">
        <v>45044.0147319213</v>
      </c>
      <c r="B422" s="162" t="s">
        <v>1324</v>
      </c>
      <c r="C422" s="484" t="s">
        <v>1330</v>
      </c>
    </row>
    <row r="423">
      <c r="A423" s="485">
        <v>45044.7174997338</v>
      </c>
      <c r="B423" s="162" t="s">
        <v>1324</v>
      </c>
      <c r="C423" s="484" t="s">
        <v>1330</v>
      </c>
    </row>
    <row r="424">
      <c r="A424" s="485">
        <v>45044.815290914354</v>
      </c>
      <c r="B424" s="162" t="s">
        <v>1324</v>
      </c>
      <c r="C424" s="484" t="s">
        <v>1330</v>
      </c>
    </row>
    <row r="425">
      <c r="A425" s="485">
        <v>45044.91388925926</v>
      </c>
      <c r="B425" s="162" t="s">
        <v>1323</v>
      </c>
      <c r="C425" s="484" t="s">
        <v>1330</v>
      </c>
    </row>
    <row r="426">
      <c r="A426" s="485">
        <v>45044.917250046296</v>
      </c>
      <c r="B426" s="162" t="s">
        <v>1324</v>
      </c>
      <c r="C426" s="484" t="s">
        <v>1330</v>
      </c>
    </row>
    <row r="427">
      <c r="A427" s="485">
        <v>45044.927818958335</v>
      </c>
      <c r="B427" s="162" t="s">
        <v>1323</v>
      </c>
      <c r="C427" s="484" t="s">
        <v>1330</v>
      </c>
    </row>
    <row r="428">
      <c r="A428" s="485">
        <v>45044.94164662037</v>
      </c>
      <c r="B428" s="162" t="s">
        <v>1324</v>
      </c>
      <c r="C428" s="484" t="s">
        <v>1330</v>
      </c>
    </row>
    <row r="429">
      <c r="A429" s="485">
        <v>45044.966025381946</v>
      </c>
      <c r="B429" s="162" t="s">
        <v>1323</v>
      </c>
      <c r="C429" s="484" t="s">
        <v>1330</v>
      </c>
    </row>
    <row r="430">
      <c r="A430" s="485">
        <v>45044.96912060185</v>
      </c>
      <c r="B430" s="162" t="s">
        <v>1324</v>
      </c>
      <c r="C430" s="484" t="s">
        <v>1330</v>
      </c>
    </row>
    <row r="431">
      <c r="A431" s="485">
        <v>45045.05624712963</v>
      </c>
      <c r="B431" s="162" t="s">
        <v>1324</v>
      </c>
      <c r="C431" s="484" t="s">
        <v>1330</v>
      </c>
    </row>
    <row r="432">
      <c r="A432" s="485">
        <v>45047.65463189815</v>
      </c>
      <c r="B432" s="162" t="s">
        <v>1324</v>
      </c>
      <c r="C432" s="484" t="s">
        <v>1330</v>
      </c>
    </row>
    <row r="433">
      <c r="A433" s="485">
        <v>45047.68564457176</v>
      </c>
      <c r="B433" s="162" t="s">
        <v>1324</v>
      </c>
      <c r="C433" s="484" t="s">
        <v>1330</v>
      </c>
    </row>
    <row r="434">
      <c r="A434" s="485">
        <v>45047.72871815972</v>
      </c>
      <c r="B434" s="162" t="s">
        <v>1324</v>
      </c>
      <c r="C434" s="484" t="s">
        <v>1330</v>
      </c>
    </row>
    <row r="435">
      <c r="A435" s="485">
        <v>45047.73901055555</v>
      </c>
      <c r="B435" s="162" t="s">
        <v>1323</v>
      </c>
      <c r="C435" s="484" t="s">
        <v>1332</v>
      </c>
    </row>
    <row r="436">
      <c r="A436" s="485">
        <v>45047.743324236115</v>
      </c>
      <c r="B436" s="162" t="s">
        <v>1324</v>
      </c>
      <c r="C436" s="484" t="s">
        <v>1330</v>
      </c>
    </row>
    <row r="437">
      <c r="A437" s="485">
        <v>45047.776603148144</v>
      </c>
      <c r="B437" s="162" t="s">
        <v>1324</v>
      </c>
      <c r="C437" s="484" t="s">
        <v>1330</v>
      </c>
    </row>
    <row r="438">
      <c r="A438" s="485">
        <v>45047.83636516204</v>
      </c>
      <c r="B438" s="162" t="s">
        <v>1323</v>
      </c>
      <c r="C438" s="484" t="s">
        <v>1330</v>
      </c>
    </row>
    <row r="439">
      <c r="A439" s="485">
        <v>45047.840753125</v>
      </c>
      <c r="B439" s="162" t="s">
        <v>1324</v>
      </c>
      <c r="C439" s="484" t="s">
        <v>1330</v>
      </c>
    </row>
    <row r="440">
      <c r="A440" s="485">
        <v>45047.86692342593</v>
      </c>
      <c r="B440" s="162" t="s">
        <v>1324</v>
      </c>
      <c r="C440" s="484" t="s">
        <v>1330</v>
      </c>
    </row>
    <row r="441">
      <c r="A441" s="485">
        <v>45047.91565054398</v>
      </c>
      <c r="B441" s="162" t="s">
        <v>1323</v>
      </c>
      <c r="C441" s="484" t="s">
        <v>1330</v>
      </c>
    </row>
    <row r="442">
      <c r="A442" s="485">
        <v>45047.91863880787</v>
      </c>
      <c r="B442" s="162" t="s">
        <v>1324</v>
      </c>
      <c r="C442" s="484" t="s">
        <v>1330</v>
      </c>
    </row>
    <row r="443">
      <c r="A443" s="485">
        <v>45047.945458726856</v>
      </c>
      <c r="B443" s="162" t="s">
        <v>1324</v>
      </c>
      <c r="C443" s="484" t="s">
        <v>1330</v>
      </c>
    </row>
    <row r="444">
      <c r="A444" s="485">
        <v>45048.003463587964</v>
      </c>
      <c r="B444" s="162" t="s">
        <v>1323</v>
      </c>
      <c r="C444" s="484" t="s">
        <v>1330</v>
      </c>
    </row>
    <row r="445">
      <c r="A445" s="485">
        <v>45048.00628648148</v>
      </c>
      <c r="B445" s="162" t="s">
        <v>1324</v>
      </c>
      <c r="C445" s="484" t="s">
        <v>1330</v>
      </c>
    </row>
    <row r="446">
      <c r="A446" s="485">
        <v>45048.69538197917</v>
      </c>
      <c r="B446" s="162" t="s">
        <v>1324</v>
      </c>
      <c r="C446" s="484" t="s">
        <v>1330</v>
      </c>
    </row>
    <row r="447">
      <c r="A447" s="485">
        <v>45048.763410451385</v>
      </c>
      <c r="B447" s="162" t="s">
        <v>1323</v>
      </c>
      <c r="C447" s="484" t="s">
        <v>1330</v>
      </c>
    </row>
    <row r="448">
      <c r="A448" s="485">
        <v>45048.76732087963</v>
      </c>
      <c r="B448" s="162" t="s">
        <v>1324</v>
      </c>
      <c r="C448" s="484" t="s">
        <v>1330</v>
      </c>
    </row>
    <row r="449">
      <c r="A449" s="485">
        <v>45048.79196728009</v>
      </c>
      <c r="B449" s="162" t="s">
        <v>1324</v>
      </c>
      <c r="C449" s="484" t="s">
        <v>1330</v>
      </c>
    </row>
    <row r="450">
      <c r="A450" s="485">
        <v>45048.81029680556</v>
      </c>
      <c r="B450" s="162" t="s">
        <v>1323</v>
      </c>
      <c r="C450" s="484" t="s">
        <v>1330</v>
      </c>
    </row>
    <row r="451">
      <c r="A451" s="485">
        <v>45048.81390627315</v>
      </c>
      <c r="B451" s="162" t="s">
        <v>1324</v>
      </c>
      <c r="C451" s="484" t="s">
        <v>1330</v>
      </c>
    </row>
    <row r="452">
      <c r="A452" s="485">
        <v>45048.829028252316</v>
      </c>
      <c r="B452" s="162" t="s">
        <v>1324</v>
      </c>
      <c r="C452" s="484" t="s">
        <v>1330</v>
      </c>
    </row>
    <row r="453">
      <c r="A453" s="485">
        <v>45048.83295369213</v>
      </c>
      <c r="B453" s="162" t="s">
        <v>1323</v>
      </c>
      <c r="C453" s="484" t="s">
        <v>1330</v>
      </c>
    </row>
    <row r="454">
      <c r="A454" s="485">
        <v>45048.83717724537</v>
      </c>
      <c r="B454" s="162" t="s">
        <v>1324</v>
      </c>
      <c r="C454" s="484" t="s">
        <v>1330</v>
      </c>
    </row>
    <row r="455">
      <c r="A455" s="485">
        <v>45048.935593773145</v>
      </c>
      <c r="B455" s="162" t="s">
        <v>1323</v>
      </c>
      <c r="C455" s="484" t="s">
        <v>1330</v>
      </c>
    </row>
    <row r="456">
      <c r="A456" s="485">
        <v>45048.939168576384</v>
      </c>
      <c r="B456" s="162" t="s">
        <v>1324</v>
      </c>
      <c r="C456" s="484" t="s">
        <v>1330</v>
      </c>
    </row>
    <row r="457">
      <c r="A457" s="485">
        <v>45048.98936446759</v>
      </c>
      <c r="B457" s="162" t="s">
        <v>1324</v>
      </c>
      <c r="C457" s="484" t="s">
        <v>1330</v>
      </c>
    </row>
    <row r="458">
      <c r="A458" s="485">
        <v>45049.63012149306</v>
      </c>
      <c r="B458" s="162" t="s">
        <v>1324</v>
      </c>
      <c r="C458" s="484" t="s">
        <v>1330</v>
      </c>
    </row>
    <row r="459">
      <c r="A459" s="485">
        <v>45049.64982715278</v>
      </c>
      <c r="B459" s="162" t="s">
        <v>1323</v>
      </c>
      <c r="C459" s="484" t="s">
        <v>1330</v>
      </c>
    </row>
    <row r="460">
      <c r="A460" s="485">
        <v>45049.660929074074</v>
      </c>
      <c r="B460" s="162" t="s">
        <v>1323</v>
      </c>
      <c r="C460" s="484" t="s">
        <v>1330</v>
      </c>
    </row>
    <row r="461">
      <c r="A461" s="485">
        <v>45049.66590738426</v>
      </c>
      <c r="B461" s="162" t="s">
        <v>1324</v>
      </c>
      <c r="C461" s="484" t="s">
        <v>1330</v>
      </c>
    </row>
    <row r="462">
      <c r="A462" s="485">
        <v>45049.68048469907</v>
      </c>
      <c r="B462" s="162" t="s">
        <v>1324</v>
      </c>
      <c r="C462" s="484" t="s">
        <v>1330</v>
      </c>
    </row>
    <row r="463">
      <c r="A463" s="485">
        <v>45049.694225046296</v>
      </c>
      <c r="B463" s="162" t="s">
        <v>1324</v>
      </c>
      <c r="C463" s="484" t="s">
        <v>1330</v>
      </c>
    </row>
    <row r="464">
      <c r="A464" s="485">
        <v>45049.71689275463</v>
      </c>
      <c r="B464" s="162" t="s">
        <v>1324</v>
      </c>
      <c r="C464" s="484" t="s">
        <v>1330</v>
      </c>
    </row>
    <row r="465">
      <c r="A465" s="485">
        <v>45049.771720034725</v>
      </c>
      <c r="B465" s="162" t="s">
        <v>1323</v>
      </c>
      <c r="C465" s="484" t="s">
        <v>1330</v>
      </c>
    </row>
    <row r="466">
      <c r="A466" s="485">
        <v>45049.77510565972</v>
      </c>
      <c r="B466" s="162" t="s">
        <v>1324</v>
      </c>
      <c r="C466" s="484" t="s">
        <v>1330</v>
      </c>
    </row>
    <row r="467">
      <c r="A467" s="485">
        <v>45049.86956395833</v>
      </c>
      <c r="B467" s="162" t="s">
        <v>1323</v>
      </c>
      <c r="C467" s="484" t="s">
        <v>1330</v>
      </c>
    </row>
    <row r="468">
      <c r="A468" s="485">
        <v>45049.873668622684</v>
      </c>
      <c r="B468" s="162" t="s">
        <v>1324</v>
      </c>
      <c r="C468" s="484" t="s">
        <v>1330</v>
      </c>
    </row>
    <row r="469">
      <c r="A469" s="485">
        <v>45049.93802591435</v>
      </c>
      <c r="B469" s="162" t="s">
        <v>1324</v>
      </c>
      <c r="C469" s="484" t="s">
        <v>1330</v>
      </c>
    </row>
    <row r="470">
      <c r="A470" s="485">
        <v>45049.962247557865</v>
      </c>
      <c r="B470" s="162" t="s">
        <v>1324</v>
      </c>
      <c r="C470" s="484" t="s">
        <v>1330</v>
      </c>
    </row>
    <row r="471">
      <c r="A471" s="485">
        <v>45050.608853576385</v>
      </c>
      <c r="B471" s="162" t="s">
        <v>1324</v>
      </c>
      <c r="C471" s="484" t="s">
        <v>1330</v>
      </c>
    </row>
    <row r="472">
      <c r="A472" s="485">
        <v>45050.71230861111</v>
      </c>
      <c r="B472" s="162" t="s">
        <v>1324</v>
      </c>
      <c r="C472" s="484" t="s">
        <v>1330</v>
      </c>
    </row>
    <row r="473">
      <c r="A473" s="485">
        <v>45050.713915995366</v>
      </c>
      <c r="B473" s="162" t="s">
        <v>1324</v>
      </c>
      <c r="C473" s="484" t="s">
        <v>1330</v>
      </c>
    </row>
    <row r="474">
      <c r="A474" s="485">
        <v>45050.77125767361</v>
      </c>
      <c r="B474" s="162" t="s">
        <v>1324</v>
      </c>
      <c r="C474" s="484"/>
    </row>
    <row r="475">
      <c r="A475" s="485">
        <v>45050.798103622685</v>
      </c>
      <c r="B475" s="162" t="s">
        <v>1323</v>
      </c>
      <c r="C475" s="484"/>
    </row>
    <row r="476">
      <c r="A476" s="485">
        <v>45050.80290577546</v>
      </c>
      <c r="B476" s="162" t="s">
        <v>1324</v>
      </c>
      <c r="C476" s="484"/>
    </row>
    <row r="477">
      <c r="A477" s="485">
        <v>45050.93206734954</v>
      </c>
      <c r="B477" s="162" t="s">
        <v>1323</v>
      </c>
      <c r="C477" s="484"/>
    </row>
    <row r="478">
      <c r="A478" s="485">
        <v>45050.93599320602</v>
      </c>
      <c r="B478" s="162" t="s">
        <v>1324</v>
      </c>
      <c r="C478" s="484"/>
    </row>
    <row r="479">
      <c r="A479" s="485">
        <v>45050.97409820602</v>
      </c>
      <c r="B479" s="162" t="s">
        <v>1324</v>
      </c>
      <c r="C479" s="484"/>
    </row>
    <row r="480">
      <c r="A480" s="485">
        <v>45051.00195712963</v>
      </c>
      <c r="B480" s="162" t="s">
        <v>1324</v>
      </c>
      <c r="C480" s="484"/>
    </row>
    <row r="481">
      <c r="A481" s="485">
        <v>45051.663150312495</v>
      </c>
      <c r="B481" s="162" t="s">
        <v>1323</v>
      </c>
      <c r="C481" s="484"/>
    </row>
    <row r="482">
      <c r="A482" s="485">
        <v>45051.66654167824</v>
      </c>
      <c r="B482" s="162" t="s">
        <v>1324</v>
      </c>
      <c r="C482" s="484"/>
    </row>
    <row r="483">
      <c r="A483" s="485">
        <v>45051.71986182871</v>
      </c>
      <c r="B483" s="162" t="s">
        <v>1324</v>
      </c>
      <c r="C483" s="484"/>
    </row>
    <row r="484">
      <c r="A484" s="485">
        <v>45051.726822881945</v>
      </c>
      <c r="B484" s="162" t="s">
        <v>1324</v>
      </c>
      <c r="C484" s="484"/>
    </row>
    <row r="485">
      <c r="A485" s="485">
        <v>45051.73929827547</v>
      </c>
      <c r="B485" s="162" t="s">
        <v>1324</v>
      </c>
      <c r="C485" s="484"/>
    </row>
    <row r="486">
      <c r="A486" s="485">
        <v>45051.77137488426</v>
      </c>
      <c r="B486" s="162" t="s">
        <v>1323</v>
      </c>
      <c r="C486" s="484"/>
    </row>
    <row r="487">
      <c r="A487" s="485">
        <v>45051.77470998843</v>
      </c>
      <c r="B487" s="162" t="s">
        <v>1324</v>
      </c>
      <c r="C487" s="484"/>
    </row>
    <row r="488">
      <c r="A488" s="485">
        <v>45051.82303655092</v>
      </c>
      <c r="B488" s="162" t="s">
        <v>1324</v>
      </c>
      <c r="C488" s="484"/>
    </row>
    <row r="489">
      <c r="A489" s="485">
        <v>45051.86131842593</v>
      </c>
      <c r="B489" s="162" t="s">
        <v>1323</v>
      </c>
      <c r="C489" s="484"/>
    </row>
    <row r="490">
      <c r="A490" s="485">
        <v>45051.864521192125</v>
      </c>
      <c r="B490" s="162" t="s">
        <v>1324</v>
      </c>
      <c r="C490" s="484"/>
    </row>
    <row r="491">
      <c r="A491" s="485">
        <v>45051.893487187495</v>
      </c>
      <c r="B491" s="162" t="s">
        <v>1323</v>
      </c>
      <c r="C491" s="484"/>
    </row>
    <row r="492">
      <c r="A492" s="485">
        <v>45051.896730821754</v>
      </c>
      <c r="B492" s="162" t="s">
        <v>1324</v>
      </c>
      <c r="C492" s="484"/>
    </row>
    <row r="493">
      <c r="A493" s="485">
        <v>45051.90804234953</v>
      </c>
      <c r="B493" s="162" t="s">
        <v>1324</v>
      </c>
      <c r="C493" s="484"/>
    </row>
    <row r="494">
      <c r="A494" s="485">
        <v>45051.96124626158</v>
      </c>
      <c r="B494" s="162" t="s">
        <v>1324</v>
      </c>
      <c r="C494" s="484"/>
    </row>
    <row r="495">
      <c r="A495" s="485">
        <v>45051.98634344907</v>
      </c>
      <c r="B495" s="162" t="s">
        <v>1323</v>
      </c>
      <c r="C495" s="484"/>
    </row>
    <row r="496">
      <c r="A496" s="485">
        <v>45051.992344178245</v>
      </c>
      <c r="B496" s="162" t="s">
        <v>1324</v>
      </c>
      <c r="C496" s="484"/>
    </row>
    <row r="497">
      <c r="A497" s="485">
        <v>45054.62071880787</v>
      </c>
      <c r="B497" s="162" t="s">
        <v>1324</v>
      </c>
      <c r="C497" s="484"/>
    </row>
    <row r="498">
      <c r="A498" s="485">
        <v>45054.71751553241</v>
      </c>
      <c r="B498" s="162" t="s">
        <v>1324</v>
      </c>
      <c r="C498" s="484"/>
    </row>
    <row r="499">
      <c r="A499" s="485">
        <v>45054.966932511576</v>
      </c>
      <c r="B499" s="162" t="s">
        <v>1323</v>
      </c>
      <c r="C499" s="484"/>
    </row>
    <row r="500">
      <c r="A500" s="485">
        <v>45054.970628055555</v>
      </c>
      <c r="B500" s="162" t="s">
        <v>1324</v>
      </c>
      <c r="C500" s="484"/>
    </row>
    <row r="501">
      <c r="A501" s="485">
        <v>45055.72909715278</v>
      </c>
      <c r="B501" s="162" t="s">
        <v>1324</v>
      </c>
      <c r="C501" s="484"/>
    </row>
    <row r="502">
      <c r="A502" s="485">
        <v>45055.76180436343</v>
      </c>
      <c r="B502" s="162" t="s">
        <v>1323</v>
      </c>
      <c r="C502" s="484"/>
    </row>
    <row r="503">
      <c r="A503" s="485">
        <v>45055.765432581014</v>
      </c>
      <c r="B503" s="162" t="s">
        <v>1324</v>
      </c>
      <c r="C503" s="484"/>
    </row>
    <row r="504">
      <c r="A504" s="485">
        <v>45055.84203763889</v>
      </c>
      <c r="B504" s="162" t="s">
        <v>1324</v>
      </c>
      <c r="C504" s="484"/>
    </row>
    <row r="505">
      <c r="A505" s="485">
        <v>45055.85210052083</v>
      </c>
      <c r="B505" s="162" t="s">
        <v>1323</v>
      </c>
      <c r="C505" s="484"/>
    </row>
    <row r="506">
      <c r="A506" s="485">
        <v>45055.8573578125</v>
      </c>
      <c r="B506" s="162" t="s">
        <v>1324</v>
      </c>
      <c r="C506" s="484"/>
    </row>
    <row r="507">
      <c r="A507" s="485">
        <v>45055.89294837963</v>
      </c>
      <c r="B507" s="162" t="s">
        <v>1324</v>
      </c>
      <c r="C507" s="484"/>
    </row>
    <row r="508">
      <c r="A508" s="485">
        <v>45055.9952554051</v>
      </c>
      <c r="B508" s="162" t="s">
        <v>1323</v>
      </c>
      <c r="C508" s="484"/>
    </row>
    <row r="509">
      <c r="A509" s="485">
        <v>45055.998641875005</v>
      </c>
      <c r="B509" s="162" t="s">
        <v>1324</v>
      </c>
      <c r="C509" s="484"/>
    </row>
    <row r="510">
      <c r="A510" s="485">
        <v>45056.62266944445</v>
      </c>
      <c r="B510" s="162" t="s">
        <v>1324</v>
      </c>
      <c r="C510" s="484"/>
    </row>
    <row r="511">
      <c r="A511" s="485">
        <v>45056.66604144676</v>
      </c>
      <c r="B511" s="162" t="s">
        <v>1323</v>
      </c>
      <c r="C511" s="484"/>
    </row>
    <row r="512">
      <c r="A512" s="485">
        <v>45056.69089815972</v>
      </c>
      <c r="B512" s="162" t="s">
        <v>1324</v>
      </c>
      <c r="C512" s="484"/>
    </row>
    <row r="513">
      <c r="A513" s="485">
        <v>45056.82497518518</v>
      </c>
      <c r="B513" s="162" t="s">
        <v>1323</v>
      </c>
      <c r="C513" s="484"/>
    </row>
    <row r="514">
      <c r="A514" s="485">
        <v>45056.82871030092</v>
      </c>
      <c r="B514" s="162" t="s">
        <v>1324</v>
      </c>
      <c r="C514" s="484"/>
    </row>
    <row r="515">
      <c r="A515" s="485">
        <v>45056.89206893518</v>
      </c>
      <c r="B515" s="162" t="s">
        <v>1324</v>
      </c>
      <c r="C515" s="484"/>
    </row>
    <row r="516">
      <c r="A516" s="485">
        <v>45056.912085578704</v>
      </c>
      <c r="B516" s="162" t="s">
        <v>1324</v>
      </c>
      <c r="C516" s="484"/>
    </row>
    <row r="517">
      <c r="A517" s="485">
        <v>45057.02782157407</v>
      </c>
      <c r="B517" s="162" t="s">
        <v>1324</v>
      </c>
      <c r="C517" s="484"/>
    </row>
    <row r="518">
      <c r="A518" s="485">
        <v>45057.038254687504</v>
      </c>
      <c r="B518" s="162" t="s">
        <v>1324</v>
      </c>
      <c r="C518" s="484"/>
    </row>
    <row r="519">
      <c r="A519" s="485">
        <v>45057.698140196764</v>
      </c>
      <c r="B519" s="162" t="s">
        <v>1324</v>
      </c>
      <c r="C519" s="484"/>
    </row>
    <row r="520">
      <c r="A520" s="485">
        <v>45057.83356972222</v>
      </c>
      <c r="B520" s="162" t="s">
        <v>1323</v>
      </c>
      <c r="C520" s="484"/>
    </row>
    <row r="521">
      <c r="A521" s="485">
        <v>45057.83733472222</v>
      </c>
      <c r="B521" s="162" t="s">
        <v>1324</v>
      </c>
      <c r="C521" s="484"/>
    </row>
    <row r="522">
      <c r="A522" s="485">
        <v>45057.88349741898</v>
      </c>
      <c r="B522" s="162" t="s">
        <v>1324</v>
      </c>
      <c r="C522" s="484"/>
    </row>
    <row r="523">
      <c r="A523" s="485">
        <v>45057.90560611111</v>
      </c>
      <c r="B523" s="162" t="s">
        <v>1323</v>
      </c>
      <c r="C523" s="484"/>
    </row>
    <row r="524">
      <c r="A524" s="485">
        <v>45057.90904989583</v>
      </c>
      <c r="B524" s="162" t="s">
        <v>1324</v>
      </c>
      <c r="C524" s="484"/>
    </row>
    <row r="525">
      <c r="A525" s="485">
        <v>45057.99884290509</v>
      </c>
      <c r="B525" s="162" t="s">
        <v>1323</v>
      </c>
      <c r="C525" s="484"/>
    </row>
    <row r="526">
      <c r="A526" s="485">
        <v>45058.00332930556</v>
      </c>
      <c r="B526" s="162" t="s">
        <v>1324</v>
      </c>
      <c r="C526" s="484"/>
    </row>
    <row r="527">
      <c r="A527" s="485">
        <v>45058.65027450232</v>
      </c>
      <c r="B527" s="162" t="s">
        <v>1323</v>
      </c>
      <c r="C527" s="484"/>
    </row>
    <row r="528">
      <c r="A528" s="485">
        <v>45058.65389501158</v>
      </c>
      <c r="B528" s="162" t="s">
        <v>1324</v>
      </c>
      <c r="C528" s="484"/>
    </row>
    <row r="529">
      <c r="A529" s="485">
        <v>45058.729033055555</v>
      </c>
      <c r="B529" s="162" t="s">
        <v>1324</v>
      </c>
      <c r="C529" s="484"/>
    </row>
    <row r="530">
      <c r="A530" s="485">
        <v>45058.733008379626</v>
      </c>
      <c r="B530" s="162" t="s">
        <v>1324</v>
      </c>
      <c r="C530" s="484"/>
    </row>
    <row r="531">
      <c r="A531" s="485">
        <v>45058.80535350695</v>
      </c>
      <c r="B531" s="162" t="s">
        <v>1324</v>
      </c>
      <c r="C531" s="484"/>
    </row>
    <row r="532">
      <c r="A532" s="485">
        <v>45058.88089201388</v>
      </c>
      <c r="B532" s="162" t="s">
        <v>1323</v>
      </c>
      <c r="C532" s="484"/>
    </row>
    <row r="533">
      <c r="A533" s="485">
        <v>45058.88532835648</v>
      </c>
      <c r="B533" s="162" t="s">
        <v>1324</v>
      </c>
      <c r="C533" s="484"/>
    </row>
    <row r="534">
      <c r="A534" s="485">
        <v>45058.939988564816</v>
      </c>
      <c r="B534" s="162" t="s">
        <v>1324</v>
      </c>
      <c r="C534" s="484"/>
    </row>
    <row r="535">
      <c r="A535" s="485">
        <v>45061.68257321759</v>
      </c>
      <c r="B535" s="162" t="s">
        <v>1323</v>
      </c>
      <c r="C535" s="484"/>
    </row>
    <row r="536">
      <c r="A536" s="485">
        <v>45061.68960966435</v>
      </c>
      <c r="B536" s="162" t="s">
        <v>1324</v>
      </c>
      <c r="C536" s="484"/>
    </row>
    <row r="537">
      <c r="A537" s="485">
        <v>45061.6898042824</v>
      </c>
      <c r="B537" s="162" t="s">
        <v>1324</v>
      </c>
      <c r="C537" s="484"/>
    </row>
    <row r="538">
      <c r="A538" s="485">
        <v>45061.69394611111</v>
      </c>
      <c r="B538" s="162" t="s">
        <v>1323</v>
      </c>
      <c r="C538" s="484"/>
    </row>
    <row r="539">
      <c r="A539" s="485">
        <v>45061.700170358796</v>
      </c>
      <c r="B539" s="162" t="s">
        <v>1324</v>
      </c>
      <c r="C539" s="484" t="s">
        <v>1333</v>
      </c>
    </row>
    <row r="540">
      <c r="A540" s="485">
        <v>45061.73558584491</v>
      </c>
      <c r="B540" s="162" t="s">
        <v>1324</v>
      </c>
      <c r="C540" s="484"/>
    </row>
    <row r="541">
      <c r="A541" s="485">
        <v>45061.81260048611</v>
      </c>
      <c r="B541" s="162" t="s">
        <v>1324</v>
      </c>
      <c r="C541" s="484"/>
    </row>
    <row r="542">
      <c r="A542" s="485">
        <v>45061.817786875</v>
      </c>
      <c r="B542" s="162" t="s">
        <v>1324</v>
      </c>
      <c r="C542" s="484"/>
    </row>
    <row r="543">
      <c r="A543" s="485">
        <v>45061.87596679398</v>
      </c>
      <c r="B543" s="162" t="s">
        <v>1323</v>
      </c>
      <c r="C543" s="484"/>
    </row>
    <row r="544">
      <c r="A544" s="485">
        <v>45061.8804447338</v>
      </c>
      <c r="B544" s="162" t="s">
        <v>1324</v>
      </c>
      <c r="C544" s="484"/>
    </row>
    <row r="545">
      <c r="A545" s="485">
        <v>45061.925095081024</v>
      </c>
      <c r="B545" s="162" t="s">
        <v>1324</v>
      </c>
      <c r="C545" s="484"/>
    </row>
    <row r="546">
      <c r="A546" s="485">
        <v>45061.94199760417</v>
      </c>
      <c r="B546" s="162" t="s">
        <v>1323</v>
      </c>
      <c r="C546" s="484"/>
    </row>
    <row r="547">
      <c r="A547" s="485">
        <v>45061.946067129626</v>
      </c>
      <c r="B547" s="162" t="s">
        <v>1324</v>
      </c>
      <c r="C547" s="484"/>
    </row>
    <row r="548">
      <c r="A548" s="485">
        <v>45061.95732008102</v>
      </c>
      <c r="B548" s="162" t="s">
        <v>1324</v>
      </c>
      <c r="C548" s="484"/>
    </row>
    <row r="549">
      <c r="A549" s="485">
        <v>45061.957279062495</v>
      </c>
      <c r="B549" s="162" t="s">
        <v>1324</v>
      </c>
      <c r="C549" s="484"/>
    </row>
    <row r="550">
      <c r="A550" s="485">
        <v>45061.989318101856</v>
      </c>
      <c r="B550" s="162" t="s">
        <v>1324</v>
      </c>
      <c r="C550" s="484"/>
    </row>
    <row r="551">
      <c r="A551" s="485">
        <v>45061.995664675924</v>
      </c>
      <c r="B551" s="162" t="s">
        <v>1324</v>
      </c>
      <c r="C551" s="484"/>
    </row>
    <row r="552">
      <c r="A552" s="485">
        <v>45062.68663818287</v>
      </c>
      <c r="B552" s="162" t="s">
        <v>1323</v>
      </c>
      <c r="C552" s="484"/>
    </row>
    <row r="553">
      <c r="A553" s="485">
        <v>45062.691675462964</v>
      </c>
      <c r="B553" s="162" t="s">
        <v>1324</v>
      </c>
      <c r="C553" s="484"/>
    </row>
    <row r="554">
      <c r="A554" s="485">
        <v>45062.79332285879</v>
      </c>
      <c r="B554" s="162" t="s">
        <v>1323</v>
      </c>
      <c r="C554" s="484"/>
    </row>
    <row r="555">
      <c r="A555" s="485">
        <v>45062.79840403935</v>
      </c>
      <c r="B555" s="162" t="s">
        <v>1324</v>
      </c>
      <c r="C555" s="484"/>
    </row>
    <row r="556">
      <c r="A556" s="485">
        <v>45062.990797210645</v>
      </c>
      <c r="B556" s="162" t="s">
        <v>1323</v>
      </c>
      <c r="C556" s="484"/>
    </row>
    <row r="557">
      <c r="A557" s="485">
        <v>45062.99411629629</v>
      </c>
      <c r="B557" s="162" t="s">
        <v>1324</v>
      </c>
      <c r="C557" s="484"/>
    </row>
    <row r="558">
      <c r="A558" s="485">
        <v>45063.022362407406</v>
      </c>
      <c r="B558" s="162" t="s">
        <v>1324</v>
      </c>
      <c r="C558" s="484"/>
    </row>
    <row r="559">
      <c r="A559" s="485">
        <v>45063.66033010416</v>
      </c>
      <c r="B559" s="162" t="s">
        <v>1323</v>
      </c>
      <c r="C559" s="484"/>
    </row>
    <row r="560">
      <c r="A560" s="485">
        <v>45063.669180219906</v>
      </c>
      <c r="B560" s="162" t="s">
        <v>1324</v>
      </c>
      <c r="C560" s="484"/>
    </row>
    <row r="561">
      <c r="A561" s="485">
        <v>45063.678065115746</v>
      </c>
      <c r="B561" s="162" t="s">
        <v>1324</v>
      </c>
      <c r="C561" s="484"/>
    </row>
    <row r="562">
      <c r="A562" s="485">
        <v>45063.71190896991</v>
      </c>
      <c r="B562" s="162" t="s">
        <v>1324</v>
      </c>
      <c r="C562" s="484"/>
    </row>
    <row r="563">
      <c r="A563" s="485">
        <v>45063.80358263889</v>
      </c>
      <c r="B563" s="162" t="s">
        <v>1324</v>
      </c>
      <c r="C563" s="484"/>
    </row>
    <row r="564">
      <c r="A564" s="485">
        <v>45063.81892628472</v>
      </c>
      <c r="B564" s="162" t="s">
        <v>1324</v>
      </c>
      <c r="C564" s="484"/>
    </row>
    <row r="565">
      <c r="A565" s="485">
        <v>45063.89622248843</v>
      </c>
      <c r="B565" s="162" t="s">
        <v>1323</v>
      </c>
      <c r="C565" s="484"/>
    </row>
    <row r="566">
      <c r="A566" s="485">
        <v>45063.90031787037</v>
      </c>
      <c r="B566" s="162" t="s">
        <v>1324</v>
      </c>
      <c r="C566" s="484"/>
    </row>
    <row r="567">
      <c r="A567" s="485">
        <v>45063.92889336805</v>
      </c>
      <c r="B567" s="162" t="s">
        <v>1323</v>
      </c>
      <c r="C567" s="484"/>
    </row>
    <row r="568">
      <c r="A568" s="485">
        <v>45063.93332927083</v>
      </c>
      <c r="B568" s="162" t="s">
        <v>1324</v>
      </c>
      <c r="C568" s="484"/>
    </row>
    <row r="569">
      <c r="A569" s="485">
        <v>45063.97017606482</v>
      </c>
      <c r="B569" s="162" t="s">
        <v>1324</v>
      </c>
      <c r="C569" s="484"/>
    </row>
    <row r="570">
      <c r="A570" s="485">
        <v>45063.988488229166</v>
      </c>
      <c r="B570" s="162" t="s">
        <v>1323</v>
      </c>
      <c r="C570" s="484"/>
    </row>
    <row r="571">
      <c r="A571" s="485">
        <v>45063.99248104167</v>
      </c>
      <c r="B571" s="162" t="s">
        <v>1324</v>
      </c>
      <c r="C571" s="484"/>
    </row>
    <row r="572">
      <c r="A572" s="485">
        <v>45064.66850103009</v>
      </c>
      <c r="B572" s="162" t="s">
        <v>1323</v>
      </c>
      <c r="C572" s="484"/>
    </row>
    <row r="573">
      <c r="A573" s="485">
        <v>45064.67331103009</v>
      </c>
      <c r="B573" s="162" t="s">
        <v>1324</v>
      </c>
      <c r="C573" s="484"/>
    </row>
    <row r="574">
      <c r="A574" s="485">
        <v>45064.711822349534</v>
      </c>
      <c r="B574" s="162" t="s">
        <v>1323</v>
      </c>
      <c r="C574" s="484"/>
    </row>
    <row r="575">
      <c r="A575" s="485">
        <v>45064.71629927083</v>
      </c>
      <c r="B575" s="162" t="s">
        <v>1324</v>
      </c>
      <c r="C575" s="484"/>
    </row>
    <row r="576">
      <c r="A576" s="485">
        <v>45064.72383175926</v>
      </c>
      <c r="B576" s="162" t="s">
        <v>1324</v>
      </c>
      <c r="C576" s="484"/>
    </row>
    <row r="577">
      <c r="A577" s="485">
        <v>45064.73196527778</v>
      </c>
      <c r="B577" s="162" t="s">
        <v>1323</v>
      </c>
      <c r="C577" s="484"/>
    </row>
    <row r="578">
      <c r="A578" s="485">
        <v>45064.73591221064</v>
      </c>
      <c r="B578" s="162" t="s">
        <v>1324</v>
      </c>
      <c r="C578" s="484"/>
    </row>
    <row r="579">
      <c r="A579" s="485">
        <v>45064.81541519676</v>
      </c>
      <c r="B579" s="162" t="s">
        <v>1323</v>
      </c>
      <c r="C579" s="484"/>
    </row>
    <row r="580">
      <c r="A580" s="485">
        <v>45064.82342303241</v>
      </c>
      <c r="B580" s="162" t="s">
        <v>1324</v>
      </c>
      <c r="C580" s="484"/>
    </row>
    <row r="581">
      <c r="A581" s="485">
        <v>45064.84049854167</v>
      </c>
      <c r="B581" s="162" t="s">
        <v>1324</v>
      </c>
      <c r="C581" s="484"/>
    </row>
    <row r="582">
      <c r="A582" s="485">
        <v>45064.90020287037</v>
      </c>
      <c r="B582" s="162" t="s">
        <v>1323</v>
      </c>
      <c r="C582" s="484"/>
    </row>
    <row r="583">
      <c r="A583" s="485">
        <v>45064.9043271875</v>
      </c>
      <c r="B583" s="162" t="s">
        <v>1324</v>
      </c>
      <c r="C583" s="484"/>
    </row>
    <row r="584">
      <c r="A584" s="485">
        <v>45064.91512711806</v>
      </c>
      <c r="B584" s="162" t="s">
        <v>1323</v>
      </c>
      <c r="C584" s="484"/>
    </row>
    <row r="585">
      <c r="A585" s="485">
        <v>45064.918945613426</v>
      </c>
      <c r="B585" s="162" t="s">
        <v>1324</v>
      </c>
      <c r="C585" s="484"/>
    </row>
    <row r="586">
      <c r="A586" s="485">
        <v>45064.94349635417</v>
      </c>
      <c r="B586" s="162" t="s">
        <v>1324</v>
      </c>
      <c r="C586" s="484"/>
    </row>
    <row r="587">
      <c r="A587" s="485">
        <v>45064.9618133912</v>
      </c>
      <c r="B587" s="162" t="s">
        <v>1323</v>
      </c>
      <c r="C587" s="484"/>
    </row>
    <row r="588">
      <c r="A588" s="485">
        <v>45064.966463275465</v>
      </c>
      <c r="B588" s="162" t="s">
        <v>1324</v>
      </c>
      <c r="C588" s="484"/>
    </row>
    <row r="589">
      <c r="A589" s="485">
        <v>45065.051304872686</v>
      </c>
      <c r="B589" s="162" t="s">
        <v>1324</v>
      </c>
      <c r="C589" s="484"/>
    </row>
    <row r="590">
      <c r="A590" s="485">
        <v>45065.681692060185</v>
      </c>
      <c r="B590" s="162" t="s">
        <v>1324</v>
      </c>
      <c r="C590" s="484"/>
    </row>
    <row r="591">
      <c r="A591" s="485">
        <v>45065.68800778935</v>
      </c>
      <c r="B591" s="162" t="s">
        <v>1323</v>
      </c>
      <c r="C591" s="484"/>
    </row>
    <row r="592">
      <c r="A592" s="485">
        <v>45065.69158244213</v>
      </c>
      <c r="B592" s="162" t="s">
        <v>1324</v>
      </c>
      <c r="C592" s="484"/>
    </row>
    <row r="593">
      <c r="A593" s="485">
        <v>45065.75091958333</v>
      </c>
      <c r="B593" s="162" t="s">
        <v>1324</v>
      </c>
      <c r="C593" s="484"/>
    </row>
    <row r="594">
      <c r="A594" s="485">
        <v>45065.80841597222</v>
      </c>
      <c r="B594" s="162" t="s">
        <v>1323</v>
      </c>
      <c r="C594" s="484"/>
    </row>
    <row r="595">
      <c r="A595" s="485">
        <v>45065.81282840278</v>
      </c>
      <c r="B595" s="162" t="s">
        <v>1324</v>
      </c>
      <c r="C595" s="484"/>
    </row>
    <row r="596">
      <c r="A596" s="485">
        <v>45065.874546527775</v>
      </c>
      <c r="B596" s="162" t="s">
        <v>1323</v>
      </c>
      <c r="C596" s="484"/>
    </row>
    <row r="597">
      <c r="A597" s="485">
        <v>45065.878715706014</v>
      </c>
      <c r="B597" s="162" t="s">
        <v>1324</v>
      </c>
      <c r="C597" s="484"/>
    </row>
    <row r="598">
      <c r="A598" s="485">
        <v>45065.88278354167</v>
      </c>
      <c r="B598" s="162" t="s">
        <v>1323</v>
      </c>
      <c r="C598" s="484"/>
    </row>
    <row r="599">
      <c r="A599" s="485">
        <v>45065.88729663195</v>
      </c>
      <c r="B599" s="162" t="s">
        <v>1324</v>
      </c>
      <c r="C599" s="484"/>
    </row>
    <row r="600">
      <c r="A600" s="485">
        <v>45065.897126875</v>
      </c>
      <c r="B600" s="162" t="s">
        <v>1324</v>
      </c>
      <c r="C600" s="484"/>
    </row>
    <row r="601">
      <c r="A601" s="485">
        <v>45065.91347791666</v>
      </c>
      <c r="B601" s="162" t="s">
        <v>1323</v>
      </c>
      <c r="C601" s="484"/>
    </row>
    <row r="602">
      <c r="A602" s="485">
        <v>45065.96404633102</v>
      </c>
      <c r="B602" s="162" t="s">
        <v>1324</v>
      </c>
      <c r="C602" s="484"/>
    </row>
    <row r="603">
      <c r="A603" s="485">
        <v>45065.96611583333</v>
      </c>
      <c r="B603" s="162" t="s">
        <v>1323</v>
      </c>
      <c r="C603" s="484"/>
    </row>
    <row r="604">
      <c r="A604" s="485">
        <v>45065.96767050926</v>
      </c>
      <c r="B604" s="162" t="s">
        <v>1324</v>
      </c>
      <c r="C604" s="484"/>
    </row>
    <row r="605">
      <c r="A605" s="485">
        <v>45068.682832280094</v>
      </c>
      <c r="B605" s="162" t="s">
        <v>1323</v>
      </c>
      <c r="C605" s="484"/>
    </row>
    <row r="606">
      <c r="A606" s="485">
        <v>45068.68748190972</v>
      </c>
      <c r="B606" s="162" t="s">
        <v>1324</v>
      </c>
      <c r="C606" s="484"/>
    </row>
    <row r="607">
      <c r="A607" s="485">
        <v>45068.73651582176</v>
      </c>
      <c r="B607" s="162" t="s">
        <v>1324</v>
      </c>
      <c r="C607" s="484"/>
    </row>
    <row r="608">
      <c r="A608" s="485">
        <v>45068.74057415509</v>
      </c>
      <c r="B608" s="162" t="s">
        <v>1323</v>
      </c>
      <c r="C608" s="484"/>
    </row>
    <row r="609">
      <c r="A609" s="485">
        <v>45068.745801446756</v>
      </c>
      <c r="B609" s="162" t="s">
        <v>1324</v>
      </c>
      <c r="C609" s="484" t="s">
        <v>1334</v>
      </c>
    </row>
    <row r="610">
      <c r="A610" s="485">
        <v>45068.80677244213</v>
      </c>
      <c r="B610" s="162" t="s">
        <v>1324</v>
      </c>
      <c r="C610" s="484"/>
    </row>
    <row r="611">
      <c r="A611" s="485">
        <v>45068.81897528935</v>
      </c>
      <c r="B611" s="162" t="s">
        <v>1323</v>
      </c>
      <c r="C611" s="484"/>
    </row>
    <row r="612">
      <c r="A612" s="485">
        <v>45068.823042199074</v>
      </c>
      <c r="B612" s="162" t="s">
        <v>1324</v>
      </c>
      <c r="C612" s="484"/>
    </row>
    <row r="613">
      <c r="A613" s="485">
        <v>45068.86969820602</v>
      </c>
      <c r="B613" s="162" t="s">
        <v>1324</v>
      </c>
      <c r="C613" s="484"/>
    </row>
    <row r="614">
      <c r="A614" s="485">
        <v>45068.87479221065</v>
      </c>
      <c r="B614" s="162" t="s">
        <v>1323</v>
      </c>
      <c r="C614" s="484"/>
    </row>
    <row r="615">
      <c r="A615" s="485">
        <v>45068.878635393514</v>
      </c>
      <c r="B615" s="162" t="s">
        <v>1324</v>
      </c>
      <c r="C615" s="484"/>
    </row>
    <row r="616">
      <c r="A616" s="485">
        <v>45068.8865749074</v>
      </c>
      <c r="B616" s="162" t="s">
        <v>1323</v>
      </c>
      <c r="C616" s="484"/>
    </row>
    <row r="617">
      <c r="A617" s="485">
        <v>45068.89066929398</v>
      </c>
      <c r="B617" s="162" t="s">
        <v>1324</v>
      </c>
      <c r="C617" s="484"/>
    </row>
    <row r="618">
      <c r="A618" s="485">
        <v>45068.902774421294</v>
      </c>
      <c r="B618" s="162" t="s">
        <v>1324</v>
      </c>
      <c r="C618" s="484"/>
    </row>
    <row r="619">
      <c r="A619" s="485">
        <v>45068.906020995375</v>
      </c>
      <c r="B619" s="162" t="s">
        <v>1324</v>
      </c>
      <c r="C619" s="484"/>
    </row>
    <row r="620">
      <c r="A620" s="485">
        <v>45068.91202846065</v>
      </c>
      <c r="B620" s="162" t="s">
        <v>1323</v>
      </c>
      <c r="C620" s="484"/>
    </row>
    <row r="621">
      <c r="A621" s="485">
        <v>45068.91577532407</v>
      </c>
      <c r="B621" s="162" t="s">
        <v>1324</v>
      </c>
      <c r="C621" s="484"/>
    </row>
    <row r="622">
      <c r="A622" s="485">
        <v>45068.91931084491</v>
      </c>
      <c r="B622" s="162" t="s">
        <v>1324</v>
      </c>
      <c r="C622" s="484"/>
    </row>
    <row r="623">
      <c r="A623" s="485">
        <v>45068.9229759838</v>
      </c>
      <c r="B623" s="162" t="s">
        <v>1324</v>
      </c>
      <c r="C623" s="484"/>
    </row>
    <row r="624">
      <c r="A624" s="485">
        <v>45068.93616496528</v>
      </c>
      <c r="B624" s="162" t="s">
        <v>1323</v>
      </c>
      <c r="C624" s="484"/>
    </row>
    <row r="625">
      <c r="A625" s="485">
        <v>45068.94065523148</v>
      </c>
      <c r="B625" s="162" t="s">
        <v>1324</v>
      </c>
      <c r="C625" s="484"/>
    </row>
    <row r="626">
      <c r="A626" s="485">
        <v>45068.946796296295</v>
      </c>
      <c r="B626" s="162" t="s">
        <v>1324</v>
      </c>
      <c r="C626" s="484"/>
    </row>
    <row r="627">
      <c r="A627" s="485">
        <v>45068.95043353009</v>
      </c>
      <c r="B627" s="162" t="s">
        <v>1323</v>
      </c>
      <c r="C627" s="484"/>
    </row>
    <row r="628">
      <c r="A628" s="485">
        <v>45068.95476759259</v>
      </c>
      <c r="B628" s="162" t="s">
        <v>1324</v>
      </c>
      <c r="C628" s="484"/>
    </row>
    <row r="629">
      <c r="A629" s="485">
        <v>45069.65676027778</v>
      </c>
      <c r="B629" s="162" t="s">
        <v>1324</v>
      </c>
      <c r="C629" s="484"/>
    </row>
    <row r="630">
      <c r="A630" s="485">
        <v>45069.70120760417</v>
      </c>
      <c r="B630" s="162" t="s">
        <v>1324</v>
      </c>
      <c r="C630" s="484"/>
    </row>
    <row r="631">
      <c r="A631" s="485">
        <v>45069.734786388886</v>
      </c>
      <c r="B631" s="162" t="s">
        <v>1323</v>
      </c>
      <c r="C631" s="484"/>
    </row>
    <row r="632">
      <c r="A632" s="485">
        <v>45069.7389415162</v>
      </c>
      <c r="B632" s="162" t="s">
        <v>1324</v>
      </c>
      <c r="C632" s="484"/>
    </row>
    <row r="633">
      <c r="A633" s="485">
        <v>45069.74980457176</v>
      </c>
      <c r="B633" s="162" t="s">
        <v>1324</v>
      </c>
      <c r="C633" s="484"/>
    </row>
    <row r="634">
      <c r="A634" s="485">
        <v>45069.80191381944</v>
      </c>
      <c r="B634" s="162" t="s">
        <v>1323</v>
      </c>
      <c r="C634" s="484"/>
    </row>
    <row r="635">
      <c r="A635" s="485">
        <v>45069.80620432871</v>
      </c>
      <c r="B635" s="162" t="s">
        <v>1324</v>
      </c>
      <c r="C635" s="484"/>
    </row>
    <row r="636">
      <c r="A636" s="485">
        <v>45069.85165482639</v>
      </c>
      <c r="B636" s="162" t="s">
        <v>1324</v>
      </c>
      <c r="C636" s="484"/>
    </row>
    <row r="637">
      <c r="A637" s="485">
        <v>45069.908366793985</v>
      </c>
      <c r="B637" s="162" t="s">
        <v>1323</v>
      </c>
      <c r="C637" s="484"/>
    </row>
    <row r="638">
      <c r="A638" s="485">
        <v>45069.91280219908</v>
      </c>
      <c r="B638" s="162" t="s">
        <v>1324</v>
      </c>
      <c r="C638" s="484"/>
    </row>
    <row r="639">
      <c r="A639" s="485">
        <v>45069.94783916666</v>
      </c>
      <c r="B639" s="162" t="s">
        <v>1323</v>
      </c>
      <c r="C639" s="484"/>
    </row>
    <row r="640">
      <c r="A640" s="485">
        <v>45069.95252506944</v>
      </c>
      <c r="B640" s="162" t="s">
        <v>1324</v>
      </c>
      <c r="C640" s="484"/>
    </row>
    <row r="641">
      <c r="A641" s="485">
        <v>45069.97285827546</v>
      </c>
      <c r="B641" s="162" t="s">
        <v>1324</v>
      </c>
      <c r="C641" s="484"/>
    </row>
    <row r="642">
      <c r="A642" s="485">
        <v>45070.66493503472</v>
      </c>
      <c r="B642" s="162" t="s">
        <v>1323</v>
      </c>
      <c r="C642" s="484"/>
    </row>
    <row r="643">
      <c r="A643" s="485">
        <v>45070.67040055555</v>
      </c>
      <c r="B643" s="162" t="s">
        <v>1324</v>
      </c>
      <c r="C643" s="484"/>
    </row>
    <row r="644">
      <c r="A644" s="485">
        <v>45070.77386572916</v>
      </c>
      <c r="B644" s="162" t="s">
        <v>1323</v>
      </c>
      <c r="C644" s="484"/>
    </row>
    <row r="645">
      <c r="A645" s="485">
        <v>45070.77837555556</v>
      </c>
      <c r="B645" s="162" t="s">
        <v>1324</v>
      </c>
      <c r="C645" s="484"/>
    </row>
    <row r="646">
      <c r="A646" s="485">
        <v>45070.823492881944</v>
      </c>
      <c r="B646" s="162" t="s">
        <v>1323</v>
      </c>
      <c r="C646" s="484"/>
    </row>
    <row r="647">
      <c r="A647" s="485">
        <v>45070.82759545139</v>
      </c>
      <c r="B647" s="162" t="s">
        <v>1324</v>
      </c>
      <c r="C647" s="484"/>
    </row>
    <row r="648">
      <c r="A648" s="485">
        <v>45070.84960100694</v>
      </c>
      <c r="B648" s="162" t="s">
        <v>1324</v>
      </c>
      <c r="C648" s="484"/>
    </row>
    <row r="649">
      <c r="A649" s="485">
        <v>45070.90515349537</v>
      </c>
      <c r="B649" s="162" t="s">
        <v>1323</v>
      </c>
      <c r="C649" s="484"/>
    </row>
    <row r="650">
      <c r="A650" s="485">
        <v>45070.90982033565</v>
      </c>
      <c r="B650" s="162" t="s">
        <v>1324</v>
      </c>
      <c r="C650" s="484"/>
    </row>
    <row r="651">
      <c r="A651" s="485">
        <v>45070.932048738425</v>
      </c>
      <c r="B651" s="162" t="s">
        <v>1323</v>
      </c>
      <c r="C651" s="484"/>
    </row>
    <row r="652">
      <c r="A652" s="485">
        <v>45070.93789390047</v>
      </c>
      <c r="B652" s="162" t="s">
        <v>1324</v>
      </c>
      <c r="C652" s="484"/>
    </row>
    <row r="653">
      <c r="A653" s="485">
        <v>45070.9572419676</v>
      </c>
      <c r="B653" s="162" t="s">
        <v>1323</v>
      </c>
      <c r="C653" s="484"/>
    </row>
    <row r="654">
      <c r="A654" s="485">
        <v>45070.96313379629</v>
      </c>
      <c r="B654" s="162" t="s">
        <v>1324</v>
      </c>
      <c r="C654" s="484"/>
    </row>
    <row r="655">
      <c r="A655" s="485">
        <v>45070.97303309028</v>
      </c>
      <c r="B655" s="162" t="s">
        <v>1324</v>
      </c>
      <c r="C655" s="484"/>
    </row>
    <row r="656">
      <c r="A656" s="485">
        <v>45070.97529509259</v>
      </c>
      <c r="B656" s="162" t="s">
        <v>1324</v>
      </c>
      <c r="C656" s="484"/>
    </row>
    <row r="657">
      <c r="A657" s="485">
        <v>45070.99593525463</v>
      </c>
      <c r="B657" s="162" t="s">
        <v>1323</v>
      </c>
      <c r="C657" s="484"/>
    </row>
    <row r="658">
      <c r="A658" s="485">
        <v>45071.00012373843</v>
      </c>
      <c r="B658" s="162" t="s">
        <v>1324</v>
      </c>
      <c r="C658" s="484"/>
    </row>
    <row r="659">
      <c r="A659" s="485">
        <v>45071.648368738424</v>
      </c>
      <c r="B659" s="162" t="s">
        <v>1323</v>
      </c>
      <c r="C659" s="484"/>
    </row>
    <row r="660">
      <c r="A660" s="485">
        <v>45071.65453690972</v>
      </c>
      <c r="B660" s="162" t="s">
        <v>1324</v>
      </c>
      <c r="C660" s="484"/>
    </row>
    <row r="661">
      <c r="A661" s="485">
        <v>45071.66623780092</v>
      </c>
      <c r="B661" s="162" t="s">
        <v>1324</v>
      </c>
      <c r="C661" s="484"/>
    </row>
    <row r="662">
      <c r="A662" s="485">
        <v>45071.819210393514</v>
      </c>
      <c r="B662" s="162" t="s">
        <v>1323</v>
      </c>
      <c r="C662" s="484"/>
    </row>
    <row r="663">
      <c r="A663" s="485">
        <v>45071.82328484954</v>
      </c>
      <c r="B663" s="162" t="s">
        <v>1324</v>
      </c>
      <c r="C663" s="484"/>
    </row>
    <row r="664">
      <c r="A664" s="485">
        <v>45071.84692005787</v>
      </c>
      <c r="B664" s="162" t="s">
        <v>1324</v>
      </c>
      <c r="C664" s="484"/>
    </row>
    <row r="665">
      <c r="A665" s="485">
        <v>45071.872288125</v>
      </c>
      <c r="B665" s="162" t="s">
        <v>1323</v>
      </c>
      <c r="C665" s="484"/>
    </row>
    <row r="666">
      <c r="A666" s="485">
        <v>45071.87704202546</v>
      </c>
      <c r="B666" s="162" t="s">
        <v>1324</v>
      </c>
      <c r="C666" s="484"/>
    </row>
    <row r="667">
      <c r="A667" s="485">
        <v>45071.8853977199</v>
      </c>
      <c r="B667" s="162" t="s">
        <v>1324</v>
      </c>
      <c r="C667" s="484"/>
    </row>
    <row r="668">
      <c r="A668" s="485">
        <v>45071.89018973379</v>
      </c>
      <c r="B668" s="162" t="s">
        <v>1324</v>
      </c>
      <c r="C668" s="484"/>
    </row>
    <row r="669">
      <c r="A669" s="485">
        <v>45071.961340891205</v>
      </c>
      <c r="B669" s="162" t="s">
        <v>1324</v>
      </c>
      <c r="C669" s="484"/>
    </row>
    <row r="670">
      <c r="A670" s="485">
        <v>45071.97923179399</v>
      </c>
      <c r="B670" s="162" t="s">
        <v>1324</v>
      </c>
      <c r="C670" s="484"/>
    </row>
    <row r="671">
      <c r="A671" s="485">
        <v>45071.98420368056</v>
      </c>
      <c r="B671" s="162" t="s">
        <v>1324</v>
      </c>
      <c r="C671" s="484"/>
    </row>
    <row r="672">
      <c r="A672" s="485">
        <v>45072.66885739584</v>
      </c>
      <c r="B672" s="162" t="s">
        <v>1323</v>
      </c>
      <c r="C672" s="484"/>
    </row>
    <row r="673">
      <c r="A673" s="485">
        <v>45072.67953121528</v>
      </c>
      <c r="B673" s="162" t="s">
        <v>1324</v>
      </c>
      <c r="C673" s="484" t="s">
        <v>1335</v>
      </c>
    </row>
    <row r="674">
      <c r="A674" s="485">
        <v>45072.700809849535</v>
      </c>
      <c r="B674" s="162" t="s">
        <v>1323</v>
      </c>
      <c r="C674" s="484"/>
    </row>
    <row r="675">
      <c r="A675" s="485">
        <v>45072.705043043985</v>
      </c>
      <c r="B675" s="162" t="s">
        <v>1324</v>
      </c>
      <c r="C675" s="484"/>
    </row>
    <row r="676">
      <c r="A676" s="485">
        <v>45072.76542121528</v>
      </c>
      <c r="B676" s="162" t="s">
        <v>1324</v>
      </c>
      <c r="C676" s="484"/>
    </row>
    <row r="677">
      <c r="A677" s="485">
        <v>45072.78045362269</v>
      </c>
      <c r="B677" s="162" t="s">
        <v>1323</v>
      </c>
      <c r="C677" s="484"/>
    </row>
    <row r="678">
      <c r="A678" s="485">
        <v>45072.784773101856</v>
      </c>
      <c r="B678" s="162" t="s">
        <v>1324</v>
      </c>
      <c r="C678" s="484"/>
    </row>
    <row r="679">
      <c r="A679" s="485">
        <v>45072.80227289352</v>
      </c>
      <c r="B679" s="162" t="s">
        <v>1323</v>
      </c>
      <c r="C679" s="484"/>
    </row>
    <row r="680">
      <c r="A680" s="485">
        <v>45072.80707947917</v>
      </c>
      <c r="B680" s="162" t="s">
        <v>1324</v>
      </c>
      <c r="C680" s="484"/>
    </row>
    <row r="681">
      <c r="A681" s="485">
        <v>45072.85026232639</v>
      </c>
      <c r="B681" s="162" t="s">
        <v>1323</v>
      </c>
      <c r="C681" s="484"/>
    </row>
    <row r="682">
      <c r="A682" s="485">
        <v>45072.85531142361</v>
      </c>
      <c r="B682" s="162" t="s">
        <v>1324</v>
      </c>
      <c r="C682" s="484"/>
    </row>
    <row r="683">
      <c r="A683" s="485">
        <v>45072.90351072917</v>
      </c>
      <c r="B683" s="162" t="s">
        <v>1323</v>
      </c>
      <c r="C683" s="484"/>
    </row>
    <row r="684">
      <c r="A684" s="485">
        <v>45072.908241956015</v>
      </c>
      <c r="B684" s="162" t="s">
        <v>1324</v>
      </c>
      <c r="C684" s="484"/>
    </row>
    <row r="685">
      <c r="A685" s="485">
        <v>45072.92005144676</v>
      </c>
      <c r="B685" s="162" t="s">
        <v>1324</v>
      </c>
      <c r="C685" s="484"/>
    </row>
    <row r="686">
      <c r="A686" s="485">
        <v>45076.69954667824</v>
      </c>
      <c r="B686" s="162" t="s">
        <v>1323</v>
      </c>
      <c r="C686" s="484"/>
    </row>
    <row r="687">
      <c r="A687" s="485">
        <v>45076.704754189814</v>
      </c>
      <c r="B687" s="162" t="s">
        <v>1324</v>
      </c>
      <c r="C687" s="484"/>
    </row>
    <row r="688">
      <c r="A688" s="485">
        <v>45076.80863966435</v>
      </c>
      <c r="B688" s="162" t="s">
        <v>1323</v>
      </c>
      <c r="C688" s="484"/>
    </row>
    <row r="689">
      <c r="A689" s="485">
        <v>45076.814658993055</v>
      </c>
      <c r="B689" s="162" t="s">
        <v>1324</v>
      </c>
      <c r="C689" s="484"/>
    </row>
    <row r="690">
      <c r="A690" s="485">
        <v>45076.874605590274</v>
      </c>
      <c r="B690" s="162" t="s">
        <v>1324</v>
      </c>
      <c r="C690" s="484"/>
    </row>
    <row r="691">
      <c r="A691" s="485">
        <v>45076.91404019676</v>
      </c>
      <c r="B691" s="162" t="s">
        <v>1323</v>
      </c>
      <c r="C691" s="484"/>
    </row>
    <row r="692">
      <c r="A692" s="485">
        <v>45076.91886564815</v>
      </c>
      <c r="B692" s="162" t="s">
        <v>1324</v>
      </c>
      <c r="C692" s="484"/>
    </row>
    <row r="693">
      <c r="A693" s="485">
        <v>45076.97320153935</v>
      </c>
      <c r="B693" s="162" t="s">
        <v>1324</v>
      </c>
      <c r="C693" s="484"/>
    </row>
    <row r="694">
      <c r="A694" s="485">
        <v>45077.65445378472</v>
      </c>
      <c r="B694" s="162" t="s">
        <v>1323</v>
      </c>
      <c r="C694" s="484"/>
    </row>
    <row r="695">
      <c r="A695" s="485">
        <v>45077.65924861111</v>
      </c>
      <c r="B695" s="162" t="s">
        <v>1324</v>
      </c>
      <c r="C695" s="484"/>
    </row>
    <row r="696">
      <c r="A696" s="485">
        <v>45077.770080532406</v>
      </c>
      <c r="B696" s="162" t="s">
        <v>1323</v>
      </c>
      <c r="C696" s="484"/>
    </row>
    <row r="697">
      <c r="A697" s="485">
        <v>45077.77456387732</v>
      </c>
      <c r="B697" s="162" t="s">
        <v>1324</v>
      </c>
      <c r="C697" s="484"/>
    </row>
    <row r="698">
      <c r="A698" s="485">
        <v>45077.788566724535</v>
      </c>
      <c r="B698" s="162" t="s">
        <v>1324</v>
      </c>
      <c r="C698" s="484"/>
    </row>
    <row r="699">
      <c r="A699" s="485">
        <v>45077.79800084491</v>
      </c>
      <c r="B699" s="162" t="s">
        <v>1323</v>
      </c>
      <c r="C699" s="484"/>
    </row>
    <row r="700">
      <c r="A700" s="485">
        <v>45077.802803796294</v>
      </c>
      <c r="B700" s="162" t="s">
        <v>1324</v>
      </c>
      <c r="C700" s="484"/>
    </row>
    <row r="701">
      <c r="A701" s="485">
        <v>45077.80336983796</v>
      </c>
      <c r="B701" s="162" t="s">
        <v>1324</v>
      </c>
      <c r="C701" s="484"/>
    </row>
    <row r="702">
      <c r="A702" s="485">
        <v>45077.83624495371</v>
      </c>
      <c r="B702" s="162" t="s">
        <v>1324</v>
      </c>
      <c r="C702" s="484"/>
    </row>
    <row r="703">
      <c r="A703" s="485">
        <v>45077.864167141204</v>
      </c>
      <c r="B703" s="162" t="s">
        <v>1323</v>
      </c>
      <c r="C703" s="484"/>
    </row>
    <row r="704">
      <c r="A704" s="485">
        <v>45077.86948043981</v>
      </c>
      <c r="B704" s="162" t="s">
        <v>1324</v>
      </c>
      <c r="C704" s="484"/>
    </row>
    <row r="705">
      <c r="A705" s="485">
        <v>45077.93066287037</v>
      </c>
      <c r="B705" s="162" t="s">
        <v>1323</v>
      </c>
      <c r="C705" s="484"/>
    </row>
    <row r="706">
      <c r="A706" s="485">
        <v>45077.93450858796</v>
      </c>
      <c r="B706" s="162" t="s">
        <v>1324</v>
      </c>
      <c r="C706" s="484"/>
    </row>
    <row r="707">
      <c r="A707" s="485">
        <v>45077.948138472224</v>
      </c>
      <c r="B707" s="162" t="s">
        <v>1323</v>
      </c>
      <c r="C707" s="484"/>
    </row>
    <row r="708">
      <c r="A708" s="485">
        <v>45077.9541980787</v>
      </c>
      <c r="B708" s="162" t="s">
        <v>1324</v>
      </c>
      <c r="C708" s="484"/>
    </row>
    <row r="709">
      <c r="A709" s="485">
        <v>45077.96857013889</v>
      </c>
      <c r="B709" s="162" t="s">
        <v>1324</v>
      </c>
      <c r="C709" s="484"/>
    </row>
    <row r="710">
      <c r="A710" s="485">
        <v>45078.00018778935</v>
      </c>
      <c r="B710" s="162" t="s">
        <v>1323</v>
      </c>
      <c r="C710" s="484"/>
    </row>
    <row r="711">
      <c r="A711" s="485">
        <v>45078.004268206016</v>
      </c>
      <c r="B711" s="162" t="s">
        <v>1324</v>
      </c>
      <c r="C711" s="484"/>
    </row>
    <row r="712">
      <c r="A712" s="485">
        <v>45078.68113118055</v>
      </c>
      <c r="B712" s="162" t="s">
        <v>1324</v>
      </c>
      <c r="C712" s="484"/>
    </row>
    <row r="713">
      <c r="A713" s="485">
        <v>45078.7552975</v>
      </c>
      <c r="B713" s="162" t="s">
        <v>1323</v>
      </c>
      <c r="C713" s="484"/>
    </row>
    <row r="714">
      <c r="A714" s="485">
        <v>45078.7602290625</v>
      </c>
      <c r="B714" s="162" t="s">
        <v>1324</v>
      </c>
      <c r="C714" s="484"/>
    </row>
    <row r="715">
      <c r="A715" s="485">
        <v>45078.78495572916</v>
      </c>
      <c r="B715" s="162" t="s">
        <v>1323</v>
      </c>
      <c r="C715" s="484"/>
    </row>
    <row r="716">
      <c r="A716" s="485">
        <v>45078.7895059838</v>
      </c>
      <c r="B716" s="162" t="s">
        <v>1324</v>
      </c>
      <c r="C716" s="484"/>
    </row>
    <row r="717">
      <c r="A717" s="485">
        <v>45078.824916666665</v>
      </c>
      <c r="B717" s="162" t="s">
        <v>1323</v>
      </c>
      <c r="C717" s="484"/>
    </row>
    <row r="718">
      <c r="A718" s="485">
        <v>45078.82927844908</v>
      </c>
      <c r="B718" s="162" t="s">
        <v>1324</v>
      </c>
      <c r="C718" s="484"/>
    </row>
    <row r="719">
      <c r="A719" s="485">
        <v>45078.844667384255</v>
      </c>
      <c r="B719" s="162" t="s">
        <v>1324</v>
      </c>
      <c r="C719" s="484"/>
    </row>
    <row r="720">
      <c r="A720" s="485">
        <v>45078.87411737269</v>
      </c>
      <c r="B720" s="162" t="s">
        <v>1323</v>
      </c>
      <c r="C720" s="484"/>
    </row>
    <row r="721">
      <c r="A721" s="485">
        <v>45078.87910652778</v>
      </c>
      <c r="B721" s="162" t="s">
        <v>1324</v>
      </c>
      <c r="C721" s="484"/>
    </row>
    <row r="722">
      <c r="A722" s="485">
        <v>45078.89307885416</v>
      </c>
      <c r="B722" s="162" t="s">
        <v>1323</v>
      </c>
      <c r="C722" s="484"/>
    </row>
    <row r="723">
      <c r="A723" s="485">
        <v>45078.899361261574</v>
      </c>
      <c r="B723" s="162" t="s">
        <v>1324</v>
      </c>
      <c r="C723" s="484"/>
    </row>
    <row r="724">
      <c r="A724" s="485">
        <v>45078.954129571764</v>
      </c>
      <c r="B724" s="162" t="s">
        <v>1324</v>
      </c>
      <c r="C724" s="484"/>
    </row>
    <row r="725">
      <c r="A725" s="485">
        <v>45078.96915064815</v>
      </c>
      <c r="B725" s="162" t="s">
        <v>1323</v>
      </c>
      <c r="C725" s="484"/>
    </row>
    <row r="726">
      <c r="A726" s="485">
        <v>45078.97323315972</v>
      </c>
      <c r="B726" s="162" t="s">
        <v>1324</v>
      </c>
      <c r="C726" s="484"/>
    </row>
    <row r="727">
      <c r="A727" s="485">
        <v>45079.005040324075</v>
      </c>
      <c r="B727" s="162" t="s">
        <v>1324</v>
      </c>
      <c r="C727" s="484"/>
    </row>
    <row r="728">
      <c r="A728" s="485">
        <v>45079.65203408565</v>
      </c>
      <c r="B728" s="162" t="s">
        <v>1323</v>
      </c>
      <c r="C728" s="484"/>
    </row>
    <row r="729">
      <c r="A729" s="485">
        <v>45079.657008877315</v>
      </c>
      <c r="B729" s="162" t="s">
        <v>1324</v>
      </c>
      <c r="C729" s="484"/>
    </row>
    <row r="730">
      <c r="A730" s="485">
        <v>45079.66180765047</v>
      </c>
      <c r="B730" s="162" t="s">
        <v>1323</v>
      </c>
      <c r="C730" s="484"/>
    </row>
    <row r="731">
      <c r="A731" s="485">
        <v>45079.6675096875</v>
      </c>
      <c r="B731" s="162" t="s">
        <v>1324</v>
      </c>
      <c r="C731" s="484"/>
    </row>
    <row r="732">
      <c r="A732" s="485">
        <v>45079.696380497684</v>
      </c>
      <c r="B732" s="162" t="s">
        <v>1323</v>
      </c>
      <c r="C732" s="484"/>
    </row>
    <row r="733">
      <c r="A733" s="485">
        <v>45079.699868738426</v>
      </c>
      <c r="B733" s="162" t="s">
        <v>1324</v>
      </c>
      <c r="C733" s="484"/>
    </row>
    <row r="734">
      <c r="A734" s="485">
        <v>45079.70726913195</v>
      </c>
      <c r="B734" s="162" t="s">
        <v>1323</v>
      </c>
      <c r="C734" s="484"/>
    </row>
    <row r="735">
      <c r="A735" s="485">
        <v>45079.71313798611</v>
      </c>
      <c r="B735" s="162" t="s">
        <v>1324</v>
      </c>
      <c r="C735" s="484"/>
    </row>
    <row r="736">
      <c r="A736" s="485">
        <v>45079.75144015046</v>
      </c>
      <c r="B736" s="162" t="s">
        <v>1323</v>
      </c>
      <c r="C736" s="484"/>
    </row>
    <row r="737">
      <c r="A737" s="485">
        <v>45079.75742581018</v>
      </c>
      <c r="B737" s="162" t="s">
        <v>1324</v>
      </c>
      <c r="C737" s="484"/>
    </row>
    <row r="738">
      <c r="A738" s="485">
        <v>45079.7790687963</v>
      </c>
      <c r="B738" s="162" t="s">
        <v>1324</v>
      </c>
      <c r="C738" s="484"/>
    </row>
    <row r="739">
      <c r="A739" s="485">
        <v>45079.82312364584</v>
      </c>
      <c r="B739" s="162" t="s">
        <v>1323</v>
      </c>
      <c r="C739" s="484"/>
    </row>
    <row r="740">
      <c r="A740" s="485">
        <v>45079.827173391204</v>
      </c>
      <c r="B740" s="162" t="s">
        <v>1324</v>
      </c>
      <c r="C740" s="484"/>
    </row>
    <row r="741">
      <c r="A741" s="485">
        <v>45079.84528525463</v>
      </c>
      <c r="B741" s="162" t="s">
        <v>1324</v>
      </c>
      <c r="C741" s="484"/>
    </row>
    <row r="742">
      <c r="A742" s="485">
        <v>45079.858875543985</v>
      </c>
      <c r="B742" s="162" t="s">
        <v>1324</v>
      </c>
      <c r="C742" s="484"/>
    </row>
    <row r="743">
      <c r="A743" s="485">
        <v>45079.86544728009</v>
      </c>
      <c r="B743" s="162" t="s">
        <v>1323</v>
      </c>
      <c r="C743" s="484"/>
    </row>
    <row r="744">
      <c r="A744" s="485">
        <v>45079.86957144676</v>
      </c>
      <c r="B744" s="162" t="s">
        <v>1324</v>
      </c>
      <c r="C744" s="484"/>
    </row>
    <row r="745">
      <c r="A745" s="485">
        <v>45079.89589966435</v>
      </c>
      <c r="B745" s="162" t="s">
        <v>1324</v>
      </c>
      <c r="C745" s="484"/>
    </row>
    <row r="746">
      <c r="A746" s="485">
        <v>45079.90103957176</v>
      </c>
      <c r="B746" s="162" t="s">
        <v>1323</v>
      </c>
      <c r="C746" s="484"/>
    </row>
    <row r="747">
      <c r="A747" s="485">
        <v>45079.90670413194</v>
      </c>
      <c r="B747" s="162" t="s">
        <v>1324</v>
      </c>
      <c r="C747" s="484"/>
    </row>
    <row r="748">
      <c r="A748" s="485">
        <v>45082.67025592593</v>
      </c>
      <c r="B748" s="162" t="s">
        <v>1323</v>
      </c>
      <c r="C748" s="484"/>
    </row>
    <row r="749">
      <c r="A749" s="485">
        <v>45082.67411628472</v>
      </c>
      <c r="B749" s="162" t="s">
        <v>1324</v>
      </c>
      <c r="C749" s="484"/>
    </row>
    <row r="750">
      <c r="A750" s="485">
        <v>45082.69262449074</v>
      </c>
      <c r="B750" s="162" t="s">
        <v>1324</v>
      </c>
      <c r="C750" s="484"/>
    </row>
    <row r="751">
      <c r="A751" s="485">
        <v>45082.69881145834</v>
      </c>
      <c r="B751" s="162" t="s">
        <v>1323</v>
      </c>
      <c r="C751" s="484"/>
    </row>
    <row r="752">
      <c r="A752" s="485">
        <v>45082.70443907408</v>
      </c>
      <c r="B752" s="162" t="s">
        <v>1324</v>
      </c>
      <c r="C752" s="484"/>
    </row>
    <row r="753">
      <c r="A753" s="485">
        <v>45082.75398612268</v>
      </c>
      <c r="B753" s="162" t="s">
        <v>1324</v>
      </c>
      <c r="C753" s="484"/>
    </row>
    <row r="754">
      <c r="A754" s="485">
        <v>45082.770125613424</v>
      </c>
      <c r="B754" s="162" t="s">
        <v>1323</v>
      </c>
      <c r="C754" s="484"/>
    </row>
    <row r="755">
      <c r="A755" s="485">
        <v>45082.77452449074</v>
      </c>
      <c r="B755" s="162" t="s">
        <v>1324</v>
      </c>
      <c r="C755" s="484"/>
    </row>
    <row r="756">
      <c r="A756" s="485">
        <v>45082.79526196759</v>
      </c>
      <c r="B756" s="162" t="s">
        <v>1323</v>
      </c>
      <c r="C756" s="484"/>
    </row>
    <row r="757">
      <c r="A757" s="485">
        <v>45082.80015553241</v>
      </c>
      <c r="B757" s="162" t="s">
        <v>1324</v>
      </c>
      <c r="C757" s="484"/>
    </row>
    <row r="758">
      <c r="A758" s="485">
        <v>45082.81785216436</v>
      </c>
      <c r="B758" s="162" t="s">
        <v>1323</v>
      </c>
      <c r="C758" s="484"/>
    </row>
    <row r="759">
      <c r="A759" s="485">
        <v>45082.82289925926</v>
      </c>
      <c r="B759" s="162" t="s">
        <v>1324</v>
      </c>
      <c r="C759" s="484"/>
    </row>
    <row r="760">
      <c r="A760" s="485">
        <v>45082.83797821759</v>
      </c>
      <c r="B760" s="162" t="s">
        <v>1324</v>
      </c>
      <c r="C760" s="484"/>
    </row>
    <row r="761">
      <c r="A761" s="485">
        <v>45082.84960905093</v>
      </c>
      <c r="B761" s="162" t="s">
        <v>1323</v>
      </c>
      <c r="C761" s="484"/>
    </row>
    <row r="762">
      <c r="A762" s="485">
        <v>45082.85458668981</v>
      </c>
      <c r="B762" s="162" t="s">
        <v>1324</v>
      </c>
      <c r="C762" s="484"/>
    </row>
    <row r="763">
      <c r="A763" s="485">
        <v>45082.87608903935</v>
      </c>
      <c r="B763" s="162" t="s">
        <v>1324</v>
      </c>
      <c r="C763" s="484"/>
    </row>
    <row r="764">
      <c r="A764" s="485">
        <v>45082.884636041665</v>
      </c>
      <c r="B764" s="162" t="s">
        <v>1323</v>
      </c>
      <c r="C764" s="484"/>
    </row>
    <row r="765">
      <c r="A765" s="485">
        <v>45082.889260324075</v>
      </c>
      <c r="B765" s="162" t="s">
        <v>1324</v>
      </c>
      <c r="C765" s="484"/>
    </row>
    <row r="766">
      <c r="A766" s="485">
        <v>45082.90248615741</v>
      </c>
      <c r="B766" s="162" t="s">
        <v>1324</v>
      </c>
      <c r="C766" s="484"/>
    </row>
    <row r="767">
      <c r="A767" s="485">
        <v>45082.91285228009</v>
      </c>
      <c r="B767" s="162" t="s">
        <v>1323</v>
      </c>
      <c r="C767" s="484"/>
    </row>
    <row r="768">
      <c r="A768" s="485">
        <v>45082.91631716435</v>
      </c>
      <c r="B768" s="162" t="s">
        <v>1323</v>
      </c>
      <c r="C768" s="484"/>
    </row>
    <row r="769">
      <c r="A769" s="485">
        <v>45082.916782534725</v>
      </c>
      <c r="B769" s="162" t="s">
        <v>1324</v>
      </c>
      <c r="C769" s="484"/>
    </row>
    <row r="770">
      <c r="A770" s="485">
        <v>45082.9182872338</v>
      </c>
      <c r="B770" s="162" t="s">
        <v>1324</v>
      </c>
      <c r="C770" s="484"/>
    </row>
    <row r="771">
      <c r="A771" s="485">
        <v>45082.94957865741</v>
      </c>
      <c r="B771" s="162" t="s">
        <v>1324</v>
      </c>
      <c r="C771" s="484"/>
    </row>
    <row r="772">
      <c r="A772" s="485">
        <v>45082.96606464121</v>
      </c>
      <c r="B772" s="162" t="s">
        <v>1324</v>
      </c>
      <c r="C772" s="484"/>
    </row>
    <row r="773">
      <c r="A773" s="485">
        <v>45082.996644976854</v>
      </c>
      <c r="B773" s="162" t="s">
        <v>1323</v>
      </c>
      <c r="C773" s="484"/>
    </row>
    <row r="774">
      <c r="A774" s="485">
        <v>45083.00160696759</v>
      </c>
      <c r="B774" s="162" t="s">
        <v>1324</v>
      </c>
      <c r="C774" s="484"/>
    </row>
    <row r="775">
      <c r="A775" s="485">
        <v>45083.69307358796</v>
      </c>
      <c r="B775" s="162" t="s">
        <v>1324</v>
      </c>
      <c r="C775" s="484"/>
    </row>
    <row r="776">
      <c r="A776" s="485">
        <v>45083.71908708333</v>
      </c>
      <c r="B776" s="162" t="s">
        <v>1323</v>
      </c>
      <c r="C776" s="484"/>
    </row>
    <row r="777">
      <c r="A777" s="485">
        <v>45083.72528866898</v>
      </c>
      <c r="B777" s="162" t="s">
        <v>1324</v>
      </c>
      <c r="C777" s="484"/>
    </row>
    <row r="778">
      <c r="A778" s="485">
        <v>45083.790159490745</v>
      </c>
      <c r="B778" s="162" t="s">
        <v>1324</v>
      </c>
      <c r="C778" s="484"/>
    </row>
    <row r="779">
      <c r="A779" s="485">
        <v>45083.814066493054</v>
      </c>
      <c r="B779" s="162" t="s">
        <v>1323</v>
      </c>
      <c r="C779" s="484"/>
    </row>
    <row r="780">
      <c r="A780" s="485">
        <v>45083.82004065972</v>
      </c>
      <c r="B780" s="162" t="s">
        <v>1324</v>
      </c>
      <c r="C780" s="484"/>
    </row>
    <row r="781">
      <c r="A781" s="485">
        <v>45083.841946678236</v>
      </c>
      <c r="B781" s="162" t="s">
        <v>1324</v>
      </c>
      <c r="C781" s="484"/>
    </row>
    <row r="782">
      <c r="A782" s="485">
        <v>45084.531505798615</v>
      </c>
      <c r="B782" s="162" t="s">
        <v>1323</v>
      </c>
      <c r="C782" s="484"/>
    </row>
    <row r="783">
      <c r="A783" s="485">
        <v>45084.53666326389</v>
      </c>
      <c r="B783" s="162" t="s">
        <v>1324</v>
      </c>
      <c r="C783" s="484"/>
    </row>
    <row r="784">
      <c r="A784" s="485">
        <v>45084.55229825231</v>
      </c>
      <c r="B784" s="162" t="s">
        <v>1324</v>
      </c>
      <c r="C784" s="484"/>
    </row>
    <row r="785">
      <c r="A785" s="485">
        <v>45084.55564773148</v>
      </c>
      <c r="B785" s="162" t="s">
        <v>1323</v>
      </c>
      <c r="C785" s="484"/>
    </row>
    <row r="786">
      <c r="A786" s="485">
        <v>45084.55927332176</v>
      </c>
      <c r="B786" s="162" t="s">
        <v>1324</v>
      </c>
      <c r="C786" s="484"/>
    </row>
    <row r="787">
      <c r="A787" s="485">
        <v>45084.635971944444</v>
      </c>
      <c r="B787" s="162" t="s">
        <v>1324</v>
      </c>
      <c r="C787" s="484"/>
    </row>
    <row r="788">
      <c r="A788" s="485">
        <v>45084.658625682874</v>
      </c>
      <c r="B788" s="162" t="s">
        <v>1323</v>
      </c>
      <c r="C788" s="484"/>
    </row>
    <row r="789">
      <c r="A789" s="485">
        <v>45084.663249791665</v>
      </c>
      <c r="B789" s="162" t="s">
        <v>1324</v>
      </c>
      <c r="C789" s="484"/>
    </row>
    <row r="790">
      <c r="A790" s="485">
        <v>45084.690330729165</v>
      </c>
      <c r="B790" s="162" t="s">
        <v>1324</v>
      </c>
      <c r="C790" s="484"/>
    </row>
    <row r="791">
      <c r="A791" s="485">
        <v>45084.72790979166</v>
      </c>
      <c r="B791" s="162" t="s">
        <v>1323</v>
      </c>
      <c r="C791" s="484"/>
    </row>
    <row r="792">
      <c r="A792" s="485">
        <v>45084.733368333335</v>
      </c>
      <c r="B792" s="162" t="s">
        <v>1324</v>
      </c>
      <c r="C792" s="484"/>
    </row>
    <row r="793">
      <c r="A793" s="485">
        <v>45084.78064099537</v>
      </c>
      <c r="B793" s="162" t="s">
        <v>1324</v>
      </c>
      <c r="C793" s="484"/>
    </row>
    <row r="794">
      <c r="A794" s="485">
        <v>45084.78510953704</v>
      </c>
      <c r="B794" s="162" t="s">
        <v>1323</v>
      </c>
      <c r="C794" s="484"/>
    </row>
    <row r="795">
      <c r="A795" s="485">
        <v>45084.79069415509</v>
      </c>
      <c r="B795" s="162" t="s">
        <v>1324</v>
      </c>
      <c r="C795" s="484"/>
    </row>
    <row r="796">
      <c r="A796" s="485">
        <v>45084.83217247685</v>
      </c>
      <c r="B796" s="162" t="s">
        <v>1323</v>
      </c>
      <c r="C796" s="484"/>
    </row>
    <row r="797">
      <c r="A797" s="485">
        <v>45084.83758207176</v>
      </c>
      <c r="B797" s="162" t="s">
        <v>1324</v>
      </c>
      <c r="C797" s="484"/>
    </row>
    <row r="798">
      <c r="A798" s="485">
        <v>45084.89296295139</v>
      </c>
      <c r="B798" s="162" t="s">
        <v>1324</v>
      </c>
      <c r="C798" s="484"/>
    </row>
    <row r="799">
      <c r="A799" s="485">
        <v>45084.9186346412</v>
      </c>
      <c r="B799" s="162" t="s">
        <v>1323</v>
      </c>
      <c r="C799" s="484"/>
    </row>
    <row r="800">
      <c r="A800" s="485">
        <v>45084.9229399537</v>
      </c>
      <c r="B800" s="162" t="s">
        <v>1324</v>
      </c>
      <c r="C800" s="484"/>
    </row>
    <row r="801">
      <c r="A801" s="485">
        <v>45084.9436971875</v>
      </c>
      <c r="B801" s="162" t="s">
        <v>1324</v>
      </c>
      <c r="C801" s="484"/>
    </row>
    <row r="802">
      <c r="A802" s="485">
        <v>45084.96669811342</v>
      </c>
      <c r="B802" s="162" t="s">
        <v>1323</v>
      </c>
      <c r="C802" s="484"/>
    </row>
    <row r="803">
      <c r="A803" s="485">
        <v>45084.97059828704</v>
      </c>
      <c r="B803" s="162" t="s">
        <v>1324</v>
      </c>
      <c r="C803" s="484"/>
    </row>
    <row r="804">
      <c r="A804" s="485">
        <v>45085.69142011574</v>
      </c>
      <c r="B804" s="162" t="s">
        <v>1324</v>
      </c>
      <c r="C804" s="484"/>
    </row>
    <row r="805">
      <c r="A805" s="485">
        <v>45085.810030555556</v>
      </c>
      <c r="B805" s="162" t="s">
        <v>1323</v>
      </c>
      <c r="C805" s="484"/>
    </row>
    <row r="806">
      <c r="A806" s="485">
        <v>45085.81606765046</v>
      </c>
      <c r="B806" s="162" t="s">
        <v>1324</v>
      </c>
      <c r="C806" s="484"/>
    </row>
    <row r="807">
      <c r="A807" s="485">
        <v>45085.84464700232</v>
      </c>
      <c r="B807" s="162" t="s">
        <v>1324</v>
      </c>
      <c r="C807" s="484"/>
    </row>
    <row r="808">
      <c r="A808" s="485">
        <v>45085.84608505787</v>
      </c>
      <c r="B808" s="162" t="s">
        <v>1323</v>
      </c>
      <c r="C808" s="484"/>
    </row>
    <row r="809">
      <c r="A809" s="485">
        <v>45085.84824170139</v>
      </c>
      <c r="B809" s="162" t="s">
        <v>1324</v>
      </c>
      <c r="C809" s="484"/>
    </row>
    <row r="810">
      <c r="A810" s="485">
        <v>45085.867737256944</v>
      </c>
      <c r="B810" s="162" t="s">
        <v>1324</v>
      </c>
      <c r="C810" s="484"/>
    </row>
    <row r="811">
      <c r="A811" s="485">
        <v>45085.872879965274</v>
      </c>
      <c r="B811" s="162" t="s">
        <v>1323</v>
      </c>
      <c r="C811" s="484"/>
    </row>
    <row r="812">
      <c r="A812" s="485">
        <v>45085.88041038194</v>
      </c>
      <c r="B812" s="162" t="s">
        <v>1324</v>
      </c>
      <c r="C812" s="484"/>
    </row>
    <row r="813">
      <c r="A813" s="485">
        <v>45085.883039583336</v>
      </c>
      <c r="B813" s="162" t="s">
        <v>1323</v>
      </c>
      <c r="C813" s="484"/>
    </row>
    <row r="814">
      <c r="A814" s="485">
        <v>45085.884390879626</v>
      </c>
      <c r="B814" s="162" t="s">
        <v>1324</v>
      </c>
      <c r="C814" s="484"/>
    </row>
    <row r="815">
      <c r="A815" s="485">
        <v>45085.893509340276</v>
      </c>
      <c r="B815" s="162" t="s">
        <v>1324</v>
      </c>
      <c r="C815" s="484"/>
    </row>
    <row r="816">
      <c r="A816" s="485">
        <v>45085.92186652777</v>
      </c>
      <c r="B816" s="162" t="s">
        <v>1323</v>
      </c>
      <c r="C816" s="484"/>
    </row>
    <row r="817">
      <c r="A817" s="485">
        <v>45085.9271434375</v>
      </c>
      <c r="B817" s="162" t="s">
        <v>1324</v>
      </c>
      <c r="C817" s="484"/>
    </row>
    <row r="818">
      <c r="A818" s="485">
        <v>45085.92908780093</v>
      </c>
      <c r="B818" s="162" t="s">
        <v>1323</v>
      </c>
      <c r="C818" s="484"/>
    </row>
    <row r="819">
      <c r="A819" s="485">
        <v>45085.93210554398</v>
      </c>
      <c r="B819" s="162" t="s">
        <v>1323</v>
      </c>
      <c r="C819" s="484"/>
    </row>
    <row r="820">
      <c r="A820" s="485">
        <v>45085.93377986111</v>
      </c>
      <c r="B820" s="162" t="s">
        <v>1324</v>
      </c>
      <c r="C820" s="484"/>
    </row>
    <row r="821">
      <c r="A821" s="485">
        <v>45085.93401943287</v>
      </c>
      <c r="B821" s="162" t="s">
        <v>1324</v>
      </c>
      <c r="C821" s="484"/>
    </row>
    <row r="822">
      <c r="A822" s="485">
        <v>45085.940630983794</v>
      </c>
      <c r="B822" s="162" t="s">
        <v>1324</v>
      </c>
      <c r="C822" s="484"/>
    </row>
    <row r="823">
      <c r="A823" s="485">
        <v>45085.96617542824</v>
      </c>
      <c r="B823" s="162" t="s">
        <v>1323</v>
      </c>
      <c r="C823" s="484"/>
    </row>
    <row r="824">
      <c r="A824" s="485">
        <v>45085.970533125</v>
      </c>
      <c r="B824" s="162" t="s">
        <v>1324</v>
      </c>
      <c r="C824" s="484"/>
    </row>
    <row r="825">
      <c r="A825" s="485">
        <v>45086.65190631944</v>
      </c>
      <c r="B825" s="162" t="s">
        <v>1323</v>
      </c>
      <c r="C825" s="484"/>
    </row>
    <row r="826">
      <c r="A826" s="485">
        <v>45086.65722217593</v>
      </c>
      <c r="B826" s="162" t="s">
        <v>1324</v>
      </c>
      <c r="C826" s="484"/>
    </row>
    <row r="827">
      <c r="A827" s="485">
        <v>45086.69850712963</v>
      </c>
      <c r="B827" s="162" t="s">
        <v>1324</v>
      </c>
      <c r="C827" s="484"/>
    </row>
    <row r="828">
      <c r="A828" s="485">
        <v>45086.78007538195</v>
      </c>
      <c r="B828" s="162" t="s">
        <v>1323</v>
      </c>
      <c r="C828" s="484"/>
    </row>
    <row r="829">
      <c r="A829" s="485">
        <v>45086.78546355324</v>
      </c>
      <c r="B829" s="162" t="s">
        <v>1324</v>
      </c>
      <c r="C829" s="484"/>
    </row>
    <row r="830">
      <c r="A830" s="485">
        <v>45086.80302806713</v>
      </c>
      <c r="B830" s="162" t="s">
        <v>1323</v>
      </c>
      <c r="C830" s="484"/>
    </row>
    <row r="831">
      <c r="A831" s="485">
        <v>45086.80967825231</v>
      </c>
      <c r="B831" s="162" t="s">
        <v>1324</v>
      </c>
      <c r="C831" s="484"/>
    </row>
    <row r="832">
      <c r="A832" s="485">
        <v>45086.81750041667</v>
      </c>
      <c r="B832" s="162" t="s">
        <v>1324</v>
      </c>
      <c r="C832" s="484"/>
    </row>
    <row r="833">
      <c r="A833" s="485">
        <v>45086.904093379635</v>
      </c>
      <c r="B833" s="162" t="s">
        <v>1323</v>
      </c>
      <c r="C833" s="484"/>
    </row>
    <row r="834">
      <c r="A834" s="485">
        <v>45086.90626909722</v>
      </c>
      <c r="B834" s="162" t="s">
        <v>1323</v>
      </c>
      <c r="C834" s="484"/>
    </row>
    <row r="835">
      <c r="A835" s="485">
        <v>45086.90851824074</v>
      </c>
      <c r="B835" s="162" t="s">
        <v>1324</v>
      </c>
      <c r="C835" s="484"/>
    </row>
    <row r="836">
      <c r="A836" s="485">
        <v>45086.92097440972</v>
      </c>
      <c r="B836" s="162" t="s">
        <v>1323</v>
      </c>
      <c r="C836" s="484"/>
    </row>
    <row r="837">
      <c r="A837" s="485">
        <v>45086.92539361111</v>
      </c>
      <c r="B837" s="162" t="s">
        <v>1324</v>
      </c>
      <c r="C837" s="484"/>
    </row>
    <row r="838">
      <c r="A838" s="485">
        <v>45086.940883194446</v>
      </c>
      <c r="B838" s="162" t="s">
        <v>1324</v>
      </c>
      <c r="C838" s="484"/>
    </row>
    <row r="839">
      <c r="A839" s="485">
        <v>45086.950356354166</v>
      </c>
      <c r="B839" s="162" t="s">
        <v>1324</v>
      </c>
      <c r="C839" s="484"/>
    </row>
    <row r="840">
      <c r="A840" s="485">
        <v>45089.67777355324</v>
      </c>
      <c r="B840" s="162" t="s">
        <v>1323</v>
      </c>
      <c r="C840" s="484"/>
    </row>
    <row r="841">
      <c r="A841" s="485">
        <v>45089.68267876157</v>
      </c>
      <c r="B841" s="162" t="s">
        <v>1324</v>
      </c>
      <c r="C841" s="484"/>
    </row>
    <row r="842">
      <c r="A842" s="485">
        <v>45089.74346232638</v>
      </c>
      <c r="B842" s="162" t="s">
        <v>1324</v>
      </c>
      <c r="C842" s="484"/>
    </row>
    <row r="843">
      <c r="A843" s="485">
        <v>45089.75806392361</v>
      </c>
      <c r="B843" s="162" t="s">
        <v>1324</v>
      </c>
      <c r="C843" s="484"/>
    </row>
    <row r="844">
      <c r="A844" s="485">
        <v>45089.776480625005</v>
      </c>
      <c r="B844" s="162" t="s">
        <v>1323</v>
      </c>
      <c r="C844" s="484"/>
    </row>
    <row r="845">
      <c r="A845" s="485">
        <v>45089.78076603009</v>
      </c>
      <c r="B845" s="162" t="s">
        <v>1324</v>
      </c>
      <c r="C845" s="484"/>
    </row>
    <row r="846">
      <c r="A846" s="485">
        <v>45089.83683085648</v>
      </c>
      <c r="B846" s="162" t="s">
        <v>1323</v>
      </c>
      <c r="C846" s="484"/>
    </row>
    <row r="847">
      <c r="A847" s="485">
        <v>45089.84110528935</v>
      </c>
      <c r="B847" s="162" t="s">
        <v>1324</v>
      </c>
      <c r="C847" s="484"/>
    </row>
    <row r="848">
      <c r="A848" s="485">
        <v>45089.861809803246</v>
      </c>
      <c r="B848" s="162" t="s">
        <v>1324</v>
      </c>
      <c r="C848" s="484"/>
    </row>
    <row r="849">
      <c r="A849" s="485">
        <v>45089.87857402778</v>
      </c>
      <c r="B849" s="162" t="s">
        <v>1323</v>
      </c>
      <c r="C849" s="484"/>
    </row>
    <row r="850">
      <c r="A850" s="485">
        <v>45089.883743240745</v>
      </c>
      <c r="B850" s="162" t="s">
        <v>1324</v>
      </c>
      <c r="C850" s="484"/>
    </row>
    <row r="851">
      <c r="A851" s="485">
        <v>45089.91972100694</v>
      </c>
      <c r="B851" s="162" t="s">
        <v>1324</v>
      </c>
      <c r="C851" s="484"/>
    </row>
    <row r="852">
      <c r="A852" s="485">
        <v>45089.9399147338</v>
      </c>
      <c r="B852" s="162" t="s">
        <v>1323</v>
      </c>
      <c r="C852" s="484"/>
    </row>
    <row r="853">
      <c r="A853" s="485">
        <v>45089.9454840625</v>
      </c>
      <c r="B853" s="162" t="s">
        <v>1324</v>
      </c>
      <c r="C853" s="484"/>
    </row>
    <row r="854">
      <c r="A854" s="485">
        <v>45089.963276863426</v>
      </c>
      <c r="B854" s="162" t="s">
        <v>1324</v>
      </c>
      <c r="C854" s="484"/>
    </row>
    <row r="855">
      <c r="A855" s="485">
        <v>45089.99911619213</v>
      </c>
      <c r="B855" s="162" t="s">
        <v>1323</v>
      </c>
      <c r="C855" s="484"/>
    </row>
    <row r="856">
      <c r="A856" s="485">
        <v>45090.003105069445</v>
      </c>
      <c r="B856" s="162" t="s">
        <v>1324</v>
      </c>
      <c r="C856" s="484"/>
    </row>
    <row r="857">
      <c r="A857" s="485">
        <v>45090.59231628472</v>
      </c>
      <c r="B857" s="162" t="s">
        <v>1324</v>
      </c>
      <c r="C857" s="484"/>
    </row>
    <row r="858">
      <c r="A858" s="485">
        <v>45090.671016747685</v>
      </c>
      <c r="B858" s="162" t="s">
        <v>1323</v>
      </c>
      <c r="C858" s="484"/>
    </row>
    <row r="859">
      <c r="A859" s="485">
        <v>45090.67655341435</v>
      </c>
      <c r="B859" s="162" t="s">
        <v>1324</v>
      </c>
      <c r="C859" s="484"/>
    </row>
    <row r="860">
      <c r="A860" s="485">
        <v>45090.70486611111</v>
      </c>
      <c r="B860" s="162" t="s">
        <v>1324</v>
      </c>
      <c r="C860" s="484"/>
    </row>
    <row r="861">
      <c r="A861" s="485">
        <v>45090.71249106481</v>
      </c>
      <c r="B861" s="162" t="s">
        <v>1324</v>
      </c>
      <c r="C861" s="484"/>
    </row>
    <row r="862">
      <c r="A862" s="485">
        <v>45090.714895173616</v>
      </c>
      <c r="B862" s="162" t="s">
        <v>1323</v>
      </c>
      <c r="C862" s="484"/>
    </row>
    <row r="863">
      <c r="A863" s="485">
        <v>45090.72347075232</v>
      </c>
      <c r="B863" s="162" t="s">
        <v>1324</v>
      </c>
      <c r="C863" s="484"/>
    </row>
    <row r="864">
      <c r="A864" s="485">
        <v>45090.73019011574</v>
      </c>
      <c r="B864" s="162" t="s">
        <v>1324</v>
      </c>
      <c r="C864" s="484"/>
    </row>
    <row r="865">
      <c r="A865" s="485">
        <v>45090.75383734953</v>
      </c>
      <c r="B865" s="162" t="s">
        <v>1324</v>
      </c>
      <c r="C865" s="484"/>
    </row>
    <row r="866">
      <c r="A866" s="485">
        <v>45090.89185105324</v>
      </c>
      <c r="B866" s="162" t="s">
        <v>1323</v>
      </c>
      <c r="C866" s="484"/>
    </row>
    <row r="867">
      <c r="A867" s="485">
        <v>45090.89806756945</v>
      </c>
      <c r="B867" s="162" t="s">
        <v>1324</v>
      </c>
      <c r="C867" s="484"/>
    </row>
    <row r="868">
      <c r="A868" s="485">
        <v>45090.91408131944</v>
      </c>
      <c r="B868" s="162" t="s">
        <v>1323</v>
      </c>
      <c r="C868" s="484"/>
    </row>
    <row r="869">
      <c r="A869" s="485">
        <v>45090.91846697917</v>
      </c>
      <c r="B869" s="162" t="s">
        <v>1324</v>
      </c>
      <c r="C869" s="484"/>
    </row>
    <row r="870">
      <c r="A870" s="485">
        <v>45090.92734738426</v>
      </c>
      <c r="B870" s="162" t="s">
        <v>1324</v>
      </c>
      <c r="C870" s="484"/>
    </row>
    <row r="871">
      <c r="A871" s="485">
        <v>45090.971387337966</v>
      </c>
      <c r="B871" s="162" t="s">
        <v>1323</v>
      </c>
      <c r="C871" s="484"/>
    </row>
    <row r="872">
      <c r="A872" s="485">
        <v>45090.97771309028</v>
      </c>
      <c r="B872" s="162" t="s">
        <v>1324</v>
      </c>
      <c r="C872" s="484"/>
    </row>
    <row r="873">
      <c r="A873" s="485">
        <v>45090.99929204861</v>
      </c>
      <c r="B873" s="162" t="s">
        <v>1324</v>
      </c>
      <c r="C873" s="484"/>
    </row>
    <row r="874">
      <c r="A874" s="485">
        <v>45091.02060447917</v>
      </c>
      <c r="B874" s="162" t="s">
        <v>1324</v>
      </c>
      <c r="C874" s="484"/>
    </row>
    <row r="875">
      <c r="A875" s="485">
        <v>45091.66809011574</v>
      </c>
      <c r="B875" s="162" t="s">
        <v>1323</v>
      </c>
      <c r="C875" s="484"/>
    </row>
    <row r="876">
      <c r="A876" s="485">
        <v>45091.67495806713</v>
      </c>
      <c r="B876" s="162" t="s">
        <v>1324</v>
      </c>
      <c r="C876" s="484"/>
    </row>
    <row r="877">
      <c r="A877" s="485">
        <v>45091.68395496528</v>
      </c>
      <c r="B877" s="162" t="s">
        <v>1323</v>
      </c>
      <c r="C877" s="484"/>
    </row>
    <row r="878">
      <c r="A878" s="485">
        <v>45091.688434780095</v>
      </c>
      <c r="B878" s="162" t="s">
        <v>1324</v>
      </c>
      <c r="C878" s="484"/>
    </row>
    <row r="879">
      <c r="A879" s="485">
        <v>45091.70411709491</v>
      </c>
      <c r="B879" s="162" t="s">
        <v>1324</v>
      </c>
      <c r="C879" s="484"/>
    </row>
    <row r="880">
      <c r="A880" s="485">
        <v>45091.71293782408</v>
      </c>
      <c r="B880" s="162" t="s">
        <v>1324</v>
      </c>
      <c r="C880" s="484"/>
    </row>
    <row r="881">
      <c r="A881" s="485">
        <v>45091.763428715276</v>
      </c>
      <c r="B881" s="162" t="s">
        <v>1323</v>
      </c>
      <c r="C881" s="484"/>
    </row>
    <row r="882">
      <c r="A882" s="485">
        <v>45091.773519780094</v>
      </c>
      <c r="B882" s="162" t="s">
        <v>1324</v>
      </c>
      <c r="C882" s="484"/>
    </row>
    <row r="883">
      <c r="A883" s="485">
        <v>45091.804127407406</v>
      </c>
      <c r="B883" s="162" t="s">
        <v>1324</v>
      </c>
      <c r="C883" s="484"/>
    </row>
    <row r="884">
      <c r="A884" s="485">
        <v>45091.81759706019</v>
      </c>
      <c r="B884" s="162" t="s">
        <v>1324</v>
      </c>
      <c r="C884" s="484"/>
    </row>
    <row r="885">
      <c r="A885" s="485">
        <v>45091.83683435185</v>
      </c>
      <c r="B885" s="162" t="s">
        <v>1324</v>
      </c>
      <c r="C885" s="484"/>
    </row>
    <row r="886">
      <c r="A886" s="485">
        <v>45091.84968270833</v>
      </c>
      <c r="B886" s="162" t="s">
        <v>1324</v>
      </c>
      <c r="C886" s="484"/>
    </row>
    <row r="887">
      <c r="A887" s="485">
        <v>45091.91496166667</v>
      </c>
      <c r="B887" s="162" t="s">
        <v>1323</v>
      </c>
      <c r="C887" s="484"/>
    </row>
    <row r="888">
      <c r="A888" s="485">
        <v>45091.920625810184</v>
      </c>
      <c r="B888" s="162" t="s">
        <v>1324</v>
      </c>
      <c r="C888" s="484"/>
    </row>
    <row r="889">
      <c r="A889" s="485">
        <v>45091.97475071759</v>
      </c>
      <c r="B889" s="162" t="s">
        <v>1324</v>
      </c>
      <c r="C889" s="484"/>
    </row>
    <row r="890">
      <c r="A890" s="485">
        <v>45092.00944981481</v>
      </c>
      <c r="B890" s="162" t="s">
        <v>1324</v>
      </c>
      <c r="C890" s="484"/>
    </row>
    <row r="891">
      <c r="A891" s="485">
        <v>45092.6701178588</v>
      </c>
      <c r="B891" s="162" t="s">
        <v>1323</v>
      </c>
      <c r="C891" s="484"/>
    </row>
    <row r="892">
      <c r="A892" s="485">
        <v>45092.67587415509</v>
      </c>
      <c r="B892" s="162" t="s">
        <v>1324</v>
      </c>
      <c r="C892" s="484"/>
    </row>
    <row r="893">
      <c r="A893" s="485">
        <v>45092.73963001157</v>
      </c>
      <c r="B893" s="162" t="s">
        <v>1324</v>
      </c>
      <c r="C893" s="484"/>
    </row>
    <row r="894">
      <c r="A894" s="485">
        <v>45092.77243309028</v>
      </c>
      <c r="B894" s="162" t="s">
        <v>1323</v>
      </c>
      <c r="C894" s="484"/>
    </row>
    <row r="895">
      <c r="A895" s="485">
        <v>45092.77882396991</v>
      </c>
      <c r="B895" s="162" t="s">
        <v>1324</v>
      </c>
      <c r="C895" s="484"/>
    </row>
    <row r="896">
      <c r="A896" s="485">
        <v>45092.79560537037</v>
      </c>
      <c r="B896" s="162" t="s">
        <v>1324</v>
      </c>
      <c r="C896" s="484"/>
    </row>
    <row r="897">
      <c r="A897" s="485">
        <v>45092.79977916667</v>
      </c>
      <c r="B897" s="162" t="s">
        <v>1324</v>
      </c>
      <c r="C897" s="484"/>
    </row>
    <row r="898">
      <c r="A898" s="485">
        <v>45092.80068975694</v>
      </c>
      <c r="B898" s="162" t="s">
        <v>1323</v>
      </c>
      <c r="C898" s="484"/>
    </row>
    <row r="899">
      <c r="A899" s="485">
        <v>45092.802878692135</v>
      </c>
      <c r="B899" s="162" t="s">
        <v>1324</v>
      </c>
      <c r="C899" s="484"/>
    </row>
    <row r="900">
      <c r="A900" s="485">
        <v>45092.819033402775</v>
      </c>
      <c r="B900" s="162" t="s">
        <v>1324</v>
      </c>
      <c r="C900" s="484"/>
    </row>
    <row r="901">
      <c r="A901" s="485">
        <v>45092.89495726852</v>
      </c>
      <c r="B901" s="162" t="s">
        <v>1323</v>
      </c>
      <c r="C901" s="484"/>
    </row>
    <row r="902">
      <c r="A902" s="485">
        <v>45092.899816053236</v>
      </c>
      <c r="B902" s="162" t="s">
        <v>1324</v>
      </c>
      <c r="C902" s="484"/>
    </row>
    <row r="903">
      <c r="A903" s="485">
        <v>45092.91977731482</v>
      </c>
      <c r="B903" s="162" t="s">
        <v>1324</v>
      </c>
      <c r="C903" s="484"/>
    </row>
    <row r="904">
      <c r="A904" s="485">
        <v>45092.93169765046</v>
      </c>
      <c r="B904" s="162" t="s">
        <v>1323</v>
      </c>
      <c r="C904" s="484"/>
    </row>
    <row r="905">
      <c r="A905" s="485">
        <v>45092.93676277778</v>
      </c>
      <c r="B905" s="162" t="s">
        <v>1324</v>
      </c>
      <c r="C905" s="484"/>
    </row>
    <row r="906">
      <c r="A906" s="485">
        <v>45092.94703983796</v>
      </c>
      <c r="B906" s="162" t="s">
        <v>1324</v>
      </c>
      <c r="C906" s="484"/>
    </row>
    <row r="907">
      <c r="A907" s="485">
        <v>45092.9695153125</v>
      </c>
      <c r="B907" s="162" t="s">
        <v>1323</v>
      </c>
      <c r="C907" s="484"/>
    </row>
    <row r="908">
      <c r="A908" s="485">
        <v>45092.97498586806</v>
      </c>
      <c r="B908" s="162" t="s">
        <v>1324</v>
      </c>
      <c r="C908" s="484"/>
    </row>
    <row r="909">
      <c r="A909" s="485">
        <v>45093.67210105324</v>
      </c>
      <c r="B909" s="162" t="s">
        <v>1323</v>
      </c>
      <c r="C909" s="484"/>
    </row>
    <row r="910">
      <c r="A910" s="485">
        <v>45093.677565555554</v>
      </c>
      <c r="B910" s="162" t="s">
        <v>1324</v>
      </c>
      <c r="C910" s="484"/>
    </row>
    <row r="911">
      <c r="A911" s="485">
        <v>45093.704210474534</v>
      </c>
      <c r="B911" s="162" t="s">
        <v>1323</v>
      </c>
      <c r="C911" s="484"/>
    </row>
    <row r="912">
      <c r="A912" s="485">
        <v>45093.7102762037</v>
      </c>
      <c r="B912" s="162" t="s">
        <v>1324</v>
      </c>
      <c r="C912" s="484"/>
    </row>
    <row r="913">
      <c r="A913" s="485">
        <v>45093.73010130787</v>
      </c>
      <c r="B913" s="162" t="s">
        <v>1324</v>
      </c>
      <c r="C913" s="484"/>
    </row>
    <row r="914">
      <c r="A914" s="485">
        <v>45093.74971725694</v>
      </c>
      <c r="B914" s="162" t="s">
        <v>1323</v>
      </c>
      <c r="C914" s="484"/>
    </row>
    <row r="915">
      <c r="A915" s="485">
        <v>45093.754783958335</v>
      </c>
      <c r="B915" s="162" t="s">
        <v>1324</v>
      </c>
      <c r="C915" s="484"/>
    </row>
    <row r="916">
      <c r="A916" s="485">
        <v>45093.76918396991</v>
      </c>
      <c r="B916" s="162" t="s">
        <v>1323</v>
      </c>
      <c r="C916" s="484"/>
    </row>
    <row r="917">
      <c r="A917" s="485">
        <v>45093.774068796294</v>
      </c>
      <c r="B917" s="162" t="s">
        <v>1324</v>
      </c>
      <c r="C917" s="484"/>
    </row>
    <row r="918">
      <c r="A918" s="485">
        <v>45093.778957118055</v>
      </c>
      <c r="B918" s="162" t="s">
        <v>1323</v>
      </c>
      <c r="C918" s="484"/>
    </row>
    <row r="919">
      <c r="A919" s="485">
        <v>45093.78361542824</v>
      </c>
      <c r="B919" s="162" t="s">
        <v>1324</v>
      </c>
      <c r="C919" s="484"/>
    </row>
    <row r="920">
      <c r="A920" s="485">
        <v>45093.82023099537</v>
      </c>
      <c r="B920" s="162" t="s">
        <v>1323</v>
      </c>
      <c r="C920" s="484"/>
    </row>
    <row r="921">
      <c r="A921" s="485">
        <v>45093.826614317135</v>
      </c>
      <c r="B921" s="162" t="s">
        <v>1324</v>
      </c>
      <c r="C921" s="484"/>
    </row>
    <row r="922">
      <c r="A922" s="485">
        <v>45093.85457737268</v>
      </c>
      <c r="B922" s="162" t="s">
        <v>1324</v>
      </c>
      <c r="C922" s="484"/>
    </row>
    <row r="923">
      <c r="A923" s="485">
        <v>45093.88637344907</v>
      </c>
      <c r="B923" s="162" t="s">
        <v>1323</v>
      </c>
      <c r="C923" s="484"/>
    </row>
    <row r="924">
      <c r="A924" s="485">
        <v>45093.89080530092</v>
      </c>
      <c r="B924" s="162" t="s">
        <v>1324</v>
      </c>
      <c r="C924" s="484"/>
    </row>
    <row r="925">
      <c r="A925" s="485">
        <v>45093.91402186343</v>
      </c>
      <c r="B925" s="162" t="s">
        <v>1324</v>
      </c>
      <c r="C925" s="484"/>
    </row>
    <row r="926">
      <c r="A926" s="485">
        <v>45093.91843634259</v>
      </c>
      <c r="B926" s="162" t="s">
        <v>1324</v>
      </c>
      <c r="C926" s="484"/>
    </row>
    <row r="927">
      <c r="A927" s="485">
        <v>45096.68472438658</v>
      </c>
      <c r="B927" s="162" t="s">
        <v>1324</v>
      </c>
      <c r="C927" s="484"/>
    </row>
    <row r="928">
      <c r="A928" s="485">
        <v>45096.68162915509</v>
      </c>
      <c r="B928" s="162" t="s">
        <v>1323</v>
      </c>
      <c r="C928" s="484"/>
    </row>
    <row r="929">
      <c r="A929" s="485">
        <v>45096.70084725694</v>
      </c>
      <c r="B929" s="162" t="s">
        <v>1323</v>
      </c>
      <c r="C929" s="484"/>
    </row>
    <row r="930">
      <c r="A930" s="485">
        <v>45096.70579905093</v>
      </c>
      <c r="B930" s="162" t="s">
        <v>1324</v>
      </c>
      <c r="C930" s="484"/>
    </row>
    <row r="931">
      <c r="A931" s="485">
        <v>45096.74847219908</v>
      </c>
      <c r="B931" s="162" t="s">
        <v>1324</v>
      </c>
      <c r="C931" s="484"/>
    </row>
    <row r="932">
      <c r="A932" s="485">
        <v>45096.78316508102</v>
      </c>
      <c r="B932" s="162" t="s">
        <v>1324</v>
      </c>
      <c r="C932" s="484"/>
    </row>
    <row r="933">
      <c r="A933" s="485">
        <v>45096.78596851852</v>
      </c>
      <c r="B933" s="162" t="s">
        <v>1324</v>
      </c>
      <c r="C933" s="484" t="s">
        <v>1336</v>
      </c>
    </row>
    <row r="934">
      <c r="A934" s="485">
        <v>45096.80869239583</v>
      </c>
      <c r="B934" s="162" t="s">
        <v>1324</v>
      </c>
      <c r="C934" s="484"/>
    </row>
    <row r="935">
      <c r="A935" s="485">
        <v>45096.81478768519</v>
      </c>
      <c r="B935" s="162" t="s">
        <v>1323</v>
      </c>
      <c r="C935" s="484"/>
    </row>
    <row r="936">
      <c r="A936" s="485">
        <v>45096.82127543981</v>
      </c>
      <c r="B936" s="162" t="s">
        <v>1324</v>
      </c>
      <c r="C936" s="484"/>
    </row>
    <row r="937">
      <c r="A937" s="485">
        <v>45096.847514016205</v>
      </c>
      <c r="B937" s="162" t="s">
        <v>1324</v>
      </c>
      <c r="C937" s="484"/>
    </row>
    <row r="938">
      <c r="A938" s="485">
        <v>45096.854954780094</v>
      </c>
      <c r="B938" s="162" t="s">
        <v>1323</v>
      </c>
      <c r="C938" s="484"/>
    </row>
    <row r="939">
      <c r="A939" s="485">
        <v>45096.859926875</v>
      </c>
      <c r="B939" s="162" t="s">
        <v>1324</v>
      </c>
      <c r="C939" s="484"/>
    </row>
    <row r="940">
      <c r="A940" s="485">
        <v>45096.87232739583</v>
      </c>
      <c r="B940" s="162" t="s">
        <v>1323</v>
      </c>
      <c r="C940" s="484"/>
    </row>
    <row r="941">
      <c r="A941" s="485">
        <v>45096.881589826386</v>
      </c>
      <c r="B941" s="162" t="s">
        <v>1323</v>
      </c>
      <c r="C941" s="484"/>
    </row>
    <row r="942">
      <c r="A942" s="485">
        <v>45096.88313523148</v>
      </c>
      <c r="B942" s="162" t="s">
        <v>1324</v>
      </c>
      <c r="C942" s="484" t="s">
        <v>1337</v>
      </c>
    </row>
    <row r="943">
      <c r="A943" s="485">
        <v>45096.90188090278</v>
      </c>
      <c r="B943" s="162" t="s">
        <v>1324</v>
      </c>
      <c r="C943" s="484" t="s">
        <v>1337</v>
      </c>
    </row>
    <row r="944">
      <c r="A944" s="485">
        <v>45096.91105751158</v>
      </c>
      <c r="B944" s="162" t="s">
        <v>1323</v>
      </c>
      <c r="C944" s="484"/>
    </row>
    <row r="945">
      <c r="A945" s="485">
        <v>45096.917756192124</v>
      </c>
      <c r="B945" s="162" t="s">
        <v>1324</v>
      </c>
      <c r="C945" s="484"/>
    </row>
    <row r="946">
      <c r="A946" s="485">
        <v>45096.91750173611</v>
      </c>
      <c r="B946" s="162" t="s">
        <v>1323</v>
      </c>
      <c r="C946" s="484"/>
    </row>
    <row r="947">
      <c r="A947" s="485">
        <v>45096.92123782408</v>
      </c>
      <c r="B947" s="162" t="s">
        <v>1324</v>
      </c>
      <c r="C947" s="484"/>
    </row>
    <row r="948">
      <c r="A948" s="485">
        <v>45097.00359715278</v>
      </c>
      <c r="B948" s="162" t="s">
        <v>1323</v>
      </c>
      <c r="C948" s="484"/>
    </row>
    <row r="949">
      <c r="A949" s="485">
        <v>45097.01006773148</v>
      </c>
      <c r="B949" s="162" t="s">
        <v>1324</v>
      </c>
      <c r="C949" s="484"/>
    </row>
    <row r="950">
      <c r="A950" s="485">
        <v>45097.654438391204</v>
      </c>
      <c r="B950" s="162" t="s">
        <v>1324</v>
      </c>
      <c r="C950" s="484"/>
    </row>
    <row r="951">
      <c r="A951" s="485">
        <v>45097.66156313657</v>
      </c>
      <c r="B951" s="162" t="s">
        <v>1324</v>
      </c>
      <c r="C951" s="484"/>
    </row>
    <row r="952">
      <c r="A952" s="485">
        <v>45097.69072627315</v>
      </c>
      <c r="B952" s="162" t="s">
        <v>1324</v>
      </c>
      <c r="C952" s="484"/>
    </row>
    <row r="953">
      <c r="A953" s="485">
        <v>45097.730298298615</v>
      </c>
      <c r="B953" s="162" t="s">
        <v>1323</v>
      </c>
      <c r="C953" s="484"/>
    </row>
    <row r="954">
      <c r="A954" s="485">
        <v>45097.737634652774</v>
      </c>
      <c r="B954" s="162" t="s">
        <v>1324</v>
      </c>
      <c r="C954" s="484"/>
    </row>
    <row r="955">
      <c r="A955" s="485">
        <v>45097.76223424768</v>
      </c>
      <c r="B955" s="162" t="s">
        <v>1323</v>
      </c>
      <c r="C955" s="484"/>
    </row>
    <row r="956">
      <c r="A956" s="485">
        <v>45097.766557407405</v>
      </c>
      <c r="B956" s="162" t="s">
        <v>1324</v>
      </c>
      <c r="C956" s="484"/>
    </row>
    <row r="957">
      <c r="A957" s="485">
        <v>45097.80374646991</v>
      </c>
      <c r="B957" s="162" t="s">
        <v>1323</v>
      </c>
      <c r="C957" s="484"/>
    </row>
    <row r="958">
      <c r="A958" s="485">
        <v>45097.81027775463</v>
      </c>
      <c r="B958" s="162" t="s">
        <v>1324</v>
      </c>
      <c r="C958" s="484"/>
    </row>
    <row r="959">
      <c r="A959" s="485">
        <v>45097.853364131945</v>
      </c>
      <c r="B959" s="162" t="s">
        <v>1323</v>
      </c>
      <c r="C959" s="484"/>
    </row>
    <row r="960">
      <c r="A960" s="485">
        <v>45097.857652743056</v>
      </c>
      <c r="B960" s="162" t="s">
        <v>1324</v>
      </c>
      <c r="C960" s="484"/>
    </row>
    <row r="961">
      <c r="A961" s="485">
        <v>45097.86793353009</v>
      </c>
      <c r="B961" s="162" t="s">
        <v>1324</v>
      </c>
      <c r="C961" s="484"/>
    </row>
    <row r="962">
      <c r="A962" s="485">
        <v>45097.93040200231</v>
      </c>
      <c r="B962" s="162" t="s">
        <v>1323</v>
      </c>
      <c r="C962" s="484"/>
    </row>
    <row r="963">
      <c r="A963" s="485">
        <v>45097.93511657407</v>
      </c>
      <c r="B963" s="162" t="s">
        <v>1324</v>
      </c>
      <c r="C963" s="484"/>
    </row>
    <row r="964">
      <c r="A964" s="485">
        <v>45097.99805462963</v>
      </c>
      <c r="B964" s="162" t="s">
        <v>1323</v>
      </c>
      <c r="C964" s="484"/>
    </row>
    <row r="965">
      <c r="A965" s="485">
        <v>45098.00325098379</v>
      </c>
      <c r="B965" s="162" t="s">
        <v>1324</v>
      </c>
      <c r="C965" s="484"/>
    </row>
    <row r="966">
      <c r="A966" s="485">
        <v>45098.63160622685</v>
      </c>
      <c r="B966" s="162" t="s">
        <v>1323</v>
      </c>
      <c r="C966" s="484"/>
    </row>
    <row r="967">
      <c r="A967" s="485">
        <v>45098.64230930556</v>
      </c>
      <c r="B967" s="162" t="s">
        <v>1324</v>
      </c>
      <c r="C967" s="484"/>
    </row>
    <row r="968">
      <c r="A968" s="485">
        <v>45098.66865230324</v>
      </c>
      <c r="B968" s="162" t="s">
        <v>1323</v>
      </c>
      <c r="C968" s="484"/>
    </row>
    <row r="969">
      <c r="A969" s="485">
        <v>45098.67384005787</v>
      </c>
      <c r="B969" s="162" t="s">
        <v>1324</v>
      </c>
      <c r="C969" s="484"/>
    </row>
    <row r="970">
      <c r="A970" s="485">
        <v>45098.6780872338</v>
      </c>
      <c r="B970" s="162" t="s">
        <v>1324</v>
      </c>
      <c r="C970" s="484"/>
    </row>
    <row r="971">
      <c r="A971" s="485">
        <v>45098.691840486106</v>
      </c>
      <c r="B971" s="162" t="s">
        <v>1323</v>
      </c>
      <c r="C971" s="484"/>
    </row>
    <row r="972">
      <c r="A972" s="485">
        <v>45098.70088305556</v>
      </c>
      <c r="B972" s="162" t="s">
        <v>1324</v>
      </c>
      <c r="C972" s="484"/>
    </row>
    <row r="973">
      <c r="A973" s="485">
        <v>45098.77958628473</v>
      </c>
      <c r="B973" s="162" t="s">
        <v>1324</v>
      </c>
      <c r="C973" s="484"/>
    </row>
    <row r="974">
      <c r="A974" s="485">
        <v>45098.80139127315</v>
      </c>
      <c r="B974" s="162" t="s">
        <v>1324</v>
      </c>
      <c r="C974" s="484"/>
    </row>
    <row r="975">
      <c r="A975" s="485">
        <v>45098.81175995371</v>
      </c>
      <c r="B975" s="162" t="s">
        <v>1324</v>
      </c>
      <c r="C975" s="484"/>
    </row>
    <row r="976">
      <c r="A976" s="485">
        <v>45098.89264359954</v>
      </c>
      <c r="B976" s="162" t="s">
        <v>1324</v>
      </c>
      <c r="C976" s="484"/>
    </row>
    <row r="977">
      <c r="A977" s="485">
        <v>45098.927721203705</v>
      </c>
      <c r="B977" s="162" t="s">
        <v>1324</v>
      </c>
      <c r="C977" s="484"/>
    </row>
    <row r="978">
      <c r="A978" s="485">
        <v>45098.95907054398</v>
      </c>
      <c r="B978" s="162" t="s">
        <v>1323</v>
      </c>
      <c r="C978" s="484"/>
    </row>
    <row r="979">
      <c r="A979" s="485">
        <v>45098.96504577546</v>
      </c>
      <c r="B979" s="162" t="s">
        <v>1324</v>
      </c>
      <c r="C979" s="484"/>
    </row>
    <row r="980">
      <c r="A980" s="485">
        <v>45099.00201859954</v>
      </c>
      <c r="B980" s="162" t="s">
        <v>1324</v>
      </c>
      <c r="C980" s="484"/>
    </row>
    <row r="981">
      <c r="A981" s="485">
        <v>45099.697722638884</v>
      </c>
      <c r="B981" s="162" t="s">
        <v>1324</v>
      </c>
      <c r="C981" s="484"/>
    </row>
    <row r="982">
      <c r="A982" s="485">
        <v>45099.800528576394</v>
      </c>
      <c r="B982" s="162" t="s">
        <v>1323</v>
      </c>
      <c r="C982" s="484"/>
    </row>
    <row r="983">
      <c r="A983" s="485">
        <v>45099.80721817129</v>
      </c>
      <c r="B983" s="162" t="s">
        <v>1324</v>
      </c>
      <c r="C983" s="484"/>
    </row>
    <row r="984">
      <c r="A984" s="485">
        <v>45099.81697208333</v>
      </c>
      <c r="B984" s="162" t="s">
        <v>1324</v>
      </c>
      <c r="C984" s="484"/>
    </row>
    <row r="985">
      <c r="A985" s="485">
        <v>45099.8354878588</v>
      </c>
      <c r="B985" s="162" t="s">
        <v>1324</v>
      </c>
      <c r="C985" s="484"/>
    </row>
    <row r="986">
      <c r="A986" s="485">
        <v>45099.85224753473</v>
      </c>
      <c r="B986" s="162" t="s">
        <v>1324</v>
      </c>
      <c r="C986" s="484"/>
    </row>
    <row r="987">
      <c r="A987" s="485">
        <v>45099.86985379629</v>
      </c>
      <c r="B987" s="162" t="s">
        <v>1324</v>
      </c>
      <c r="C987" s="484"/>
    </row>
    <row r="988">
      <c r="A988" s="485">
        <v>45099.871288333336</v>
      </c>
      <c r="B988" s="162" t="s">
        <v>1324</v>
      </c>
      <c r="C988" s="484"/>
    </row>
    <row r="989">
      <c r="A989" s="485">
        <v>45099.907529062504</v>
      </c>
      <c r="B989" s="162" t="s">
        <v>1324</v>
      </c>
      <c r="C989" s="484"/>
    </row>
    <row r="990">
      <c r="A990" s="485">
        <v>45099.96843472222</v>
      </c>
      <c r="B990" s="162" t="s">
        <v>1324</v>
      </c>
      <c r="C990" s="484"/>
    </row>
    <row r="991">
      <c r="A991" s="485">
        <v>45100.66154480324</v>
      </c>
      <c r="B991" s="162" t="s">
        <v>1323</v>
      </c>
      <c r="C991" s="484"/>
    </row>
    <row r="992">
      <c r="A992" s="485">
        <v>45100.66581207176</v>
      </c>
      <c r="B992" s="162" t="s">
        <v>1324</v>
      </c>
      <c r="C992" s="484"/>
    </row>
    <row r="993">
      <c r="A993" s="485">
        <v>45100.687832615746</v>
      </c>
      <c r="B993" s="162" t="s">
        <v>1324</v>
      </c>
      <c r="C993" s="484"/>
    </row>
    <row r="994">
      <c r="A994" s="485">
        <v>45100.69348371528</v>
      </c>
      <c r="B994" s="162" t="s">
        <v>1324</v>
      </c>
      <c r="C994" s="484"/>
    </row>
    <row r="995">
      <c r="A995" s="485">
        <v>45100.70551023148</v>
      </c>
      <c r="B995" s="162" t="s">
        <v>1324</v>
      </c>
      <c r="C995" s="484"/>
    </row>
    <row r="996">
      <c r="A996" s="485">
        <v>45100.71197337963</v>
      </c>
      <c r="B996" s="162" t="s">
        <v>1324</v>
      </c>
      <c r="C996" s="484"/>
    </row>
    <row r="997">
      <c r="A997" s="485">
        <v>45100.74758135417</v>
      </c>
      <c r="B997" s="162" t="s">
        <v>1323</v>
      </c>
      <c r="C997" s="484"/>
    </row>
    <row r="998">
      <c r="A998" s="485">
        <v>45100.75407913195</v>
      </c>
      <c r="B998" s="162" t="s">
        <v>1324</v>
      </c>
      <c r="C998" s="484"/>
    </row>
    <row r="999">
      <c r="A999" s="485">
        <v>45100.78497304398</v>
      </c>
      <c r="B999" s="162" t="s">
        <v>1324</v>
      </c>
      <c r="C999" s="484"/>
    </row>
    <row r="1000">
      <c r="A1000" s="485">
        <v>45100.812470902776</v>
      </c>
      <c r="B1000" s="162" t="s">
        <v>1324</v>
      </c>
      <c r="C1000" s="484"/>
    </row>
    <row r="1001">
      <c r="A1001" s="485">
        <v>45100.84238662037</v>
      </c>
      <c r="B1001" s="162" t="s">
        <v>1324</v>
      </c>
      <c r="C1001" s="484"/>
    </row>
    <row r="1002">
      <c r="A1002" s="485">
        <v>45100.86172734953</v>
      </c>
      <c r="B1002" s="162" t="s">
        <v>1324</v>
      </c>
      <c r="C1002" s="484"/>
    </row>
    <row r="1003">
      <c r="A1003" s="485">
        <v>45100.91105193287</v>
      </c>
      <c r="B1003" s="162" t="s">
        <v>1323</v>
      </c>
      <c r="C1003" s="484"/>
    </row>
    <row r="1004">
      <c r="A1004" s="485">
        <v>45100.9174709838</v>
      </c>
      <c r="B1004" s="162" t="s">
        <v>1324</v>
      </c>
      <c r="C1004" s="484"/>
    </row>
    <row r="1005">
      <c r="A1005" s="485">
        <v>45103.68314555555</v>
      </c>
      <c r="B1005" s="162" t="s">
        <v>1324</v>
      </c>
      <c r="C1005" s="484"/>
    </row>
    <row r="1006">
      <c r="A1006" s="485">
        <v>45103.69812497685</v>
      </c>
      <c r="B1006" s="162" t="s">
        <v>1324</v>
      </c>
      <c r="C1006" s="484"/>
    </row>
    <row r="1007">
      <c r="A1007" s="485">
        <v>45103.698173599536</v>
      </c>
      <c r="B1007" s="162" t="s">
        <v>1324</v>
      </c>
      <c r="C1007" s="484"/>
    </row>
    <row r="1008">
      <c r="A1008" s="485">
        <v>45103.7287730324</v>
      </c>
      <c r="B1008" s="162" t="s">
        <v>1324</v>
      </c>
      <c r="C1008" s="484"/>
    </row>
    <row r="1009">
      <c r="A1009" s="485">
        <v>45103.82277104167</v>
      </c>
      <c r="B1009" s="162" t="s">
        <v>1324</v>
      </c>
      <c r="C1009" s="484"/>
    </row>
    <row r="1010">
      <c r="A1010" s="485">
        <v>45103.83763846065</v>
      </c>
      <c r="B1010" s="162" t="s">
        <v>1324</v>
      </c>
      <c r="C1010" s="484"/>
    </row>
    <row r="1011">
      <c r="A1011" s="485">
        <v>45103.88000506944</v>
      </c>
      <c r="B1011" s="162" t="s">
        <v>1324</v>
      </c>
      <c r="C1011" s="484"/>
    </row>
    <row r="1012">
      <c r="A1012" s="485">
        <v>45104.02305886574</v>
      </c>
      <c r="B1012" s="162" t="s">
        <v>1324</v>
      </c>
      <c r="C1012" s="484"/>
    </row>
    <row r="1013">
      <c r="A1013" s="485">
        <v>45104.71378641204</v>
      </c>
      <c r="B1013" s="162" t="s">
        <v>1324</v>
      </c>
      <c r="C1013" s="484"/>
    </row>
    <row r="1014">
      <c r="A1014" s="485">
        <v>45104.730194398144</v>
      </c>
      <c r="B1014" s="162" t="s">
        <v>1324</v>
      </c>
      <c r="C1014" s="484"/>
    </row>
    <row r="1015">
      <c r="A1015" s="485">
        <v>45104.78981258102</v>
      </c>
      <c r="B1015" s="162" t="s">
        <v>1324</v>
      </c>
      <c r="C1015" s="484"/>
    </row>
    <row r="1016">
      <c r="A1016" s="485">
        <v>45104.81475805555</v>
      </c>
      <c r="B1016" s="162" t="s">
        <v>1324</v>
      </c>
      <c r="C1016" s="484"/>
    </row>
    <row r="1017">
      <c r="A1017" s="485">
        <v>45104.823621550924</v>
      </c>
      <c r="B1017" s="162" t="s">
        <v>1324</v>
      </c>
      <c r="C1017" s="484"/>
    </row>
    <row r="1018">
      <c r="A1018" s="485">
        <v>45104.847570300924</v>
      </c>
      <c r="B1018" s="162" t="s">
        <v>1323</v>
      </c>
      <c r="C1018" s="484"/>
    </row>
    <row r="1019">
      <c r="A1019" s="485">
        <v>45104.85195642361</v>
      </c>
      <c r="B1019" s="162" t="s">
        <v>1324</v>
      </c>
      <c r="C1019" s="484"/>
    </row>
    <row r="1020">
      <c r="A1020" s="485">
        <v>45104.873939537036</v>
      </c>
      <c r="B1020" s="162" t="s">
        <v>1324</v>
      </c>
      <c r="C1020" s="484"/>
    </row>
    <row r="1021">
      <c r="A1021" s="485">
        <v>45104.93155188658</v>
      </c>
      <c r="B1021" s="162" t="s">
        <v>1324</v>
      </c>
      <c r="C1021" s="484"/>
    </row>
    <row r="1022">
      <c r="A1022" s="485">
        <v>45104.94560092593</v>
      </c>
      <c r="B1022" s="162" t="s">
        <v>1324</v>
      </c>
      <c r="C1022" s="484"/>
    </row>
    <row r="1023">
      <c r="A1023" s="485">
        <v>45104.968283842594</v>
      </c>
      <c r="B1023" s="162" t="s">
        <v>1324</v>
      </c>
      <c r="C1023" s="484"/>
    </row>
    <row r="1024">
      <c r="A1024" s="485">
        <v>45105.67066672454</v>
      </c>
      <c r="B1024" s="162" t="s">
        <v>1323</v>
      </c>
      <c r="C1024" s="484"/>
    </row>
    <row r="1025">
      <c r="A1025" s="485">
        <v>45105.67538782407</v>
      </c>
      <c r="B1025" s="162" t="s">
        <v>1324</v>
      </c>
      <c r="C1025" s="484"/>
    </row>
    <row r="1026">
      <c r="A1026" s="485">
        <v>45105.69260444444</v>
      </c>
      <c r="B1026" s="162" t="s">
        <v>1324</v>
      </c>
      <c r="C1026" s="484"/>
    </row>
    <row r="1027">
      <c r="A1027" s="485">
        <v>45105.701236782406</v>
      </c>
      <c r="B1027" s="162" t="s">
        <v>1324</v>
      </c>
      <c r="C1027" s="484"/>
    </row>
    <row r="1028">
      <c r="A1028" s="485">
        <v>45105.71166127315</v>
      </c>
      <c r="B1028" s="162" t="s">
        <v>1324</v>
      </c>
      <c r="C1028" s="484"/>
    </row>
    <row r="1029">
      <c r="A1029" s="485">
        <v>45105.77861446759</v>
      </c>
      <c r="B1029" s="162" t="s">
        <v>1324</v>
      </c>
      <c r="C1029" s="484"/>
    </row>
    <row r="1030">
      <c r="A1030" s="485">
        <v>45105.80780393518</v>
      </c>
      <c r="B1030" s="162" t="s">
        <v>1324</v>
      </c>
      <c r="C1030" s="484"/>
    </row>
    <row r="1031">
      <c r="A1031" s="485">
        <v>45105.8619171412</v>
      </c>
      <c r="B1031" s="162" t="s">
        <v>1324</v>
      </c>
      <c r="C1031" s="484"/>
    </row>
    <row r="1032">
      <c r="A1032" s="485">
        <v>45105.88925375</v>
      </c>
      <c r="B1032" s="162" t="s">
        <v>1324</v>
      </c>
      <c r="C1032" s="484"/>
    </row>
    <row r="1033">
      <c r="A1033" s="485">
        <v>45105.89819375</v>
      </c>
      <c r="B1033" s="162" t="s">
        <v>1324</v>
      </c>
      <c r="C1033" s="484"/>
    </row>
    <row r="1034">
      <c r="A1034" s="485">
        <v>45106.65802369213</v>
      </c>
      <c r="B1034" s="162" t="s">
        <v>1323</v>
      </c>
      <c r="C1034" s="484"/>
    </row>
    <row r="1035">
      <c r="A1035" s="485">
        <v>45106.680211956016</v>
      </c>
      <c r="B1035" s="162" t="s">
        <v>1324</v>
      </c>
      <c r="C1035" s="484"/>
    </row>
    <row r="1036">
      <c r="A1036" s="485">
        <v>45106.72919253472</v>
      </c>
      <c r="B1036" s="162" t="s">
        <v>1323</v>
      </c>
      <c r="C1036" s="484"/>
    </row>
    <row r="1037">
      <c r="A1037" s="485">
        <v>45106.73448297454</v>
      </c>
      <c r="B1037" s="162" t="s">
        <v>1324</v>
      </c>
      <c r="C1037" s="484"/>
    </row>
    <row r="1038">
      <c r="A1038" s="485">
        <v>45106.75466269676</v>
      </c>
      <c r="B1038" s="162" t="s">
        <v>1324</v>
      </c>
      <c r="C1038" s="484"/>
    </row>
    <row r="1039">
      <c r="A1039" s="485">
        <v>45106.77744476852</v>
      </c>
      <c r="B1039" s="162" t="s">
        <v>1324</v>
      </c>
      <c r="C1039" s="484"/>
    </row>
    <row r="1040">
      <c r="A1040" s="485">
        <v>45106.77878274306</v>
      </c>
      <c r="B1040" s="162" t="s">
        <v>1323</v>
      </c>
      <c r="C1040" s="484"/>
    </row>
    <row r="1041">
      <c r="A1041" s="485">
        <v>45106.78239790509</v>
      </c>
      <c r="B1041" s="162" t="s">
        <v>1324</v>
      </c>
      <c r="C1041" s="484"/>
    </row>
    <row r="1042">
      <c r="A1042" s="485">
        <v>45106.80068663195</v>
      </c>
      <c r="B1042" s="162" t="s">
        <v>1324</v>
      </c>
      <c r="C1042" s="484"/>
    </row>
    <row r="1043">
      <c r="A1043" s="485">
        <v>45106.80548388889</v>
      </c>
      <c r="B1043" s="162" t="s">
        <v>1324</v>
      </c>
      <c r="C1043" s="484"/>
    </row>
    <row r="1044">
      <c r="A1044" s="485">
        <v>45106.84552261574</v>
      </c>
      <c r="B1044" s="162" t="s">
        <v>1324</v>
      </c>
      <c r="C1044" s="484"/>
    </row>
    <row r="1045">
      <c r="A1045" s="485">
        <v>45106.88313173611</v>
      </c>
      <c r="B1045" s="162" t="s">
        <v>1324</v>
      </c>
      <c r="C1045" s="484"/>
    </row>
    <row r="1046">
      <c r="A1046" s="485">
        <v>45106.91575488426</v>
      </c>
      <c r="B1046" s="162" t="s">
        <v>1324</v>
      </c>
      <c r="C1046" s="484"/>
    </row>
    <row r="1047">
      <c r="A1047" s="485">
        <v>45106.929662442126</v>
      </c>
      <c r="B1047" s="162" t="s">
        <v>1324</v>
      </c>
      <c r="C1047" s="484"/>
    </row>
    <row r="1048">
      <c r="A1048" s="485">
        <v>45106.96871774306</v>
      </c>
      <c r="B1048" s="162" t="s">
        <v>1324</v>
      </c>
      <c r="C1048" s="484"/>
    </row>
    <row r="1049">
      <c r="A1049" s="485">
        <v>45107.00151096065</v>
      </c>
      <c r="B1049" s="162" t="s">
        <v>1324</v>
      </c>
      <c r="C1049" s="484"/>
    </row>
    <row r="1050">
      <c r="A1050" s="485">
        <v>45107.642020555555</v>
      </c>
      <c r="B1050" s="162" t="s">
        <v>1324</v>
      </c>
      <c r="C1050" s="484"/>
    </row>
    <row r="1051">
      <c r="A1051" s="485">
        <v>45107.65412511574</v>
      </c>
      <c r="B1051" s="162" t="s">
        <v>1323</v>
      </c>
      <c r="C1051" s="484"/>
    </row>
    <row r="1052">
      <c r="A1052" s="485">
        <v>45107.65990032407</v>
      </c>
      <c r="B1052" s="162" t="s">
        <v>1324</v>
      </c>
      <c r="C1052" s="484"/>
    </row>
    <row r="1053">
      <c r="A1053" s="485">
        <v>45107.674955625</v>
      </c>
      <c r="B1053" s="162" t="s">
        <v>1323</v>
      </c>
      <c r="C1053" s="484"/>
    </row>
    <row r="1054">
      <c r="A1054" s="485">
        <v>45107.6811765625</v>
      </c>
      <c r="B1054" s="162" t="s">
        <v>1324</v>
      </c>
      <c r="C1054" s="484"/>
    </row>
    <row r="1055">
      <c r="A1055" s="485">
        <v>45107.75754060185</v>
      </c>
      <c r="B1055" s="162" t="s">
        <v>1324</v>
      </c>
      <c r="C1055" s="484"/>
    </row>
    <row r="1056">
      <c r="A1056" s="485">
        <v>45107.7675093287</v>
      </c>
      <c r="B1056" s="162" t="s">
        <v>1324</v>
      </c>
      <c r="C1056" s="484"/>
    </row>
    <row r="1057">
      <c r="A1057" s="485">
        <v>45107.86139017361</v>
      </c>
      <c r="B1057" s="162" t="s">
        <v>1323</v>
      </c>
      <c r="C1057" s="484"/>
    </row>
    <row r="1058">
      <c r="A1058" s="485">
        <v>45107.867916400464</v>
      </c>
      <c r="B1058" s="162" t="s">
        <v>1324</v>
      </c>
      <c r="C1058" s="484"/>
    </row>
    <row r="1059">
      <c r="A1059" s="485">
        <v>45107.89242030092</v>
      </c>
      <c r="B1059" s="162" t="s">
        <v>1324</v>
      </c>
      <c r="C1059" s="484"/>
    </row>
    <row r="1060">
      <c r="A1060" s="485">
        <v>45107.906538553245</v>
      </c>
      <c r="B1060" s="162" t="s">
        <v>1324</v>
      </c>
      <c r="C1060" s="484"/>
    </row>
    <row r="1061">
      <c r="A1061" s="485">
        <v>45110.655837280094</v>
      </c>
      <c r="B1061" s="162" t="s">
        <v>1324</v>
      </c>
      <c r="C1061" s="484"/>
    </row>
    <row r="1062">
      <c r="A1062" s="485">
        <v>45110.72048011574</v>
      </c>
      <c r="B1062" s="162" t="s">
        <v>1324</v>
      </c>
      <c r="C1062" s="484"/>
    </row>
    <row r="1063">
      <c r="A1063" s="485">
        <v>45110.79867016204</v>
      </c>
      <c r="B1063" s="162" t="s">
        <v>1324</v>
      </c>
      <c r="C1063" s="484"/>
    </row>
    <row r="1064">
      <c r="A1064" s="485">
        <v>45110.81847042824</v>
      </c>
      <c r="B1064" s="162" t="s">
        <v>1324</v>
      </c>
      <c r="C1064" s="484"/>
    </row>
    <row r="1065">
      <c r="A1065" s="485">
        <v>45110.903934629634</v>
      </c>
      <c r="B1065" s="162" t="s">
        <v>1324</v>
      </c>
      <c r="C1065" s="484"/>
    </row>
    <row r="1066">
      <c r="A1066" s="485">
        <v>45110.951273541665</v>
      </c>
      <c r="B1066" s="162" t="s">
        <v>1323</v>
      </c>
      <c r="C1066" s="484"/>
    </row>
    <row r="1067">
      <c r="A1067" s="485">
        <v>45110.95579883102</v>
      </c>
      <c r="B1067" s="162" t="s">
        <v>1324</v>
      </c>
      <c r="C1067" s="484"/>
    </row>
    <row r="1068">
      <c r="A1068" s="485">
        <v>45110.96010355324</v>
      </c>
      <c r="B1068" s="162" t="s">
        <v>1324</v>
      </c>
      <c r="C1068" s="484"/>
    </row>
    <row r="1069">
      <c r="A1069" s="485">
        <v>45110.988724571755</v>
      </c>
      <c r="B1069" s="162" t="s">
        <v>1324</v>
      </c>
      <c r="C1069" s="484"/>
    </row>
    <row r="1070">
      <c r="A1070" s="485">
        <v>45112.659017777776</v>
      </c>
      <c r="B1070" s="162" t="s">
        <v>1323</v>
      </c>
      <c r="C1070" s="484"/>
    </row>
    <row r="1071">
      <c r="A1071" s="485">
        <v>45112.66404189815</v>
      </c>
      <c r="B1071" s="162" t="s">
        <v>1324</v>
      </c>
      <c r="C1071" s="484"/>
    </row>
    <row r="1072">
      <c r="A1072" s="485">
        <v>45112.67195899306</v>
      </c>
      <c r="B1072" s="162" t="s">
        <v>1324</v>
      </c>
      <c r="C1072" s="484"/>
    </row>
    <row r="1073">
      <c r="A1073" s="485">
        <v>45112.75403836806</v>
      </c>
      <c r="B1073" s="162" t="s">
        <v>1324</v>
      </c>
      <c r="C1073" s="484"/>
    </row>
    <row r="1074">
      <c r="A1074" s="485">
        <v>45112.7990537963</v>
      </c>
      <c r="B1074" s="162" t="s">
        <v>1324</v>
      </c>
      <c r="C1074" s="484"/>
    </row>
    <row r="1075">
      <c r="A1075" s="485">
        <v>45112.82429755787</v>
      </c>
      <c r="B1075" s="162" t="s">
        <v>1323</v>
      </c>
      <c r="C1075" s="484"/>
    </row>
    <row r="1076">
      <c r="A1076" s="485">
        <v>45112.8314058449</v>
      </c>
      <c r="B1076" s="162" t="s">
        <v>1324</v>
      </c>
      <c r="C1076" s="484"/>
    </row>
    <row r="1077">
      <c r="A1077" s="485">
        <v>45112.86093890046</v>
      </c>
      <c r="B1077" s="162" t="s">
        <v>1324</v>
      </c>
      <c r="C1077" s="484"/>
    </row>
    <row r="1078">
      <c r="A1078" s="485">
        <v>45112.93629820602</v>
      </c>
      <c r="B1078" s="162" t="s">
        <v>1324</v>
      </c>
      <c r="C1078" s="484"/>
    </row>
    <row r="1079">
      <c r="A1079" s="485">
        <v>45112.94989238426</v>
      </c>
      <c r="B1079" s="162" t="s">
        <v>1324</v>
      </c>
      <c r="C1079" s="484"/>
    </row>
    <row r="1080">
      <c r="A1080" s="485">
        <v>45112.991535416666</v>
      </c>
      <c r="B1080" s="162" t="s">
        <v>1324</v>
      </c>
      <c r="C1080" s="484"/>
    </row>
    <row r="1081">
      <c r="A1081" s="485">
        <v>45113.65799755787</v>
      </c>
      <c r="B1081" s="162" t="s">
        <v>1324</v>
      </c>
      <c r="C1081" s="484"/>
    </row>
    <row r="1082">
      <c r="A1082" s="485">
        <v>45113.7474534838</v>
      </c>
      <c r="B1082" s="162" t="s">
        <v>1324</v>
      </c>
      <c r="C1082" s="484"/>
    </row>
    <row r="1083">
      <c r="A1083" s="485">
        <v>45113.79983505787</v>
      </c>
      <c r="B1083" s="162" t="s">
        <v>1324</v>
      </c>
      <c r="C1083" s="484"/>
    </row>
    <row r="1084">
      <c r="A1084" s="485">
        <v>45113.86530266204</v>
      </c>
      <c r="B1084" s="162" t="s">
        <v>1324</v>
      </c>
      <c r="C1084" s="484"/>
    </row>
    <row r="1085">
      <c r="A1085" s="485">
        <v>45113.874474745375</v>
      </c>
      <c r="B1085" s="162" t="s">
        <v>1324</v>
      </c>
      <c r="C1085" s="484"/>
    </row>
    <row r="1086">
      <c r="A1086" s="485">
        <v>45113.96142170139</v>
      </c>
      <c r="B1086" s="162" t="s">
        <v>1324</v>
      </c>
      <c r="C1086" s="484"/>
    </row>
    <row r="1087">
      <c r="A1087" s="485">
        <v>45114.00302447917</v>
      </c>
      <c r="B1087" s="162" t="s">
        <v>1324</v>
      </c>
      <c r="C1087" s="484"/>
    </row>
    <row r="1088">
      <c r="A1088" s="485">
        <v>45114.676213796294</v>
      </c>
      <c r="B1088" s="162" t="s">
        <v>1324</v>
      </c>
      <c r="C1088" s="484"/>
    </row>
    <row r="1089">
      <c r="A1089" s="485">
        <v>45114.69922407407</v>
      </c>
      <c r="B1089" s="162" t="s">
        <v>1324</v>
      </c>
      <c r="C1089" s="484"/>
    </row>
    <row r="1090">
      <c r="A1090" s="485">
        <v>45114.71184005787</v>
      </c>
      <c r="B1090" s="162" t="s">
        <v>1324</v>
      </c>
      <c r="C1090" s="484"/>
    </row>
    <row r="1091">
      <c r="A1091" s="485">
        <v>45114.71682747685</v>
      </c>
      <c r="B1091" s="162" t="s">
        <v>1324</v>
      </c>
      <c r="C1091" s="484"/>
    </row>
    <row r="1092">
      <c r="A1092" s="485">
        <v>45114.75087068287</v>
      </c>
      <c r="B1092" s="162" t="s">
        <v>1324</v>
      </c>
      <c r="C1092" s="484"/>
    </row>
    <row r="1093">
      <c r="A1093" s="485">
        <v>45114.79407089121</v>
      </c>
      <c r="B1093" s="162" t="s">
        <v>1324</v>
      </c>
      <c r="C1093" s="484"/>
    </row>
    <row r="1094">
      <c r="A1094" s="485">
        <v>45114.81354888889</v>
      </c>
      <c r="B1094" s="162" t="s">
        <v>1323</v>
      </c>
      <c r="C1094" s="484"/>
    </row>
    <row r="1095">
      <c r="A1095" s="485">
        <v>45114.81956454861</v>
      </c>
      <c r="B1095" s="162" t="s">
        <v>1324</v>
      </c>
      <c r="C1095" s="484"/>
    </row>
    <row r="1096">
      <c r="A1096" s="485">
        <v>45114.84355815972</v>
      </c>
      <c r="B1096" s="162" t="s">
        <v>1324</v>
      </c>
      <c r="C1096" s="484"/>
    </row>
    <row r="1097">
      <c r="A1097" s="485">
        <v>45114.859188483795</v>
      </c>
      <c r="B1097" s="162" t="s">
        <v>1324</v>
      </c>
      <c r="C1097" s="484"/>
    </row>
    <row r="1098">
      <c r="A1098" s="485">
        <v>45117.67112599537</v>
      </c>
      <c r="B1098" s="162" t="s">
        <v>1324</v>
      </c>
      <c r="C1098" s="484"/>
    </row>
    <row r="1099">
      <c r="A1099" s="485">
        <v>45117.69742777778</v>
      </c>
      <c r="B1099" s="162" t="s">
        <v>1324</v>
      </c>
      <c r="C1099" s="484"/>
    </row>
    <row r="1100">
      <c r="A1100" s="485">
        <v>45117.71337607639</v>
      </c>
      <c r="B1100" s="162" t="s">
        <v>1324</v>
      </c>
      <c r="C1100" s="484"/>
    </row>
    <row r="1101">
      <c r="A1101" s="485">
        <v>45117.7496893287</v>
      </c>
      <c r="B1101" s="162" t="s">
        <v>1324</v>
      </c>
      <c r="C1101" s="484"/>
    </row>
    <row r="1102">
      <c r="A1102" s="485">
        <v>45117.759913194444</v>
      </c>
      <c r="B1102" s="162" t="s">
        <v>1324</v>
      </c>
      <c r="C1102" s="484"/>
    </row>
    <row r="1103">
      <c r="A1103" s="485">
        <v>45117.813188113425</v>
      </c>
      <c r="B1103" s="162" t="s">
        <v>1324</v>
      </c>
      <c r="C1103" s="484"/>
    </row>
    <row r="1104">
      <c r="A1104" s="485">
        <v>45117.82851958333</v>
      </c>
      <c r="B1104" s="162" t="s">
        <v>1324</v>
      </c>
      <c r="C1104" s="484"/>
    </row>
    <row r="1105">
      <c r="A1105" s="485">
        <v>45117.87457155093</v>
      </c>
      <c r="B1105" s="162" t="s">
        <v>1324</v>
      </c>
      <c r="C1105" s="484"/>
    </row>
    <row r="1106">
      <c r="A1106" s="485">
        <v>45117.93436047454</v>
      </c>
      <c r="B1106" s="162" t="s">
        <v>1324</v>
      </c>
      <c r="C1106" s="484"/>
    </row>
    <row r="1107">
      <c r="A1107" s="485">
        <v>45117.94753211805</v>
      </c>
      <c r="B1107" s="162" t="s">
        <v>1324</v>
      </c>
      <c r="C1107" s="484"/>
    </row>
    <row r="1108">
      <c r="A1108" s="485">
        <v>45117.95585399306</v>
      </c>
      <c r="B1108" s="162" t="s">
        <v>1324</v>
      </c>
      <c r="C1108" s="484"/>
    </row>
    <row r="1109">
      <c r="A1109" s="485">
        <v>45118.00768030093</v>
      </c>
      <c r="B1109" s="162" t="s">
        <v>1324</v>
      </c>
      <c r="C1109" s="484"/>
    </row>
    <row r="1110">
      <c r="A1110" s="485">
        <v>45118.67350762732</v>
      </c>
      <c r="B1110" s="162" t="s">
        <v>1324</v>
      </c>
      <c r="C1110" s="484"/>
    </row>
    <row r="1111">
      <c r="A1111" s="485">
        <v>45118.688248125</v>
      </c>
      <c r="B1111" s="162" t="s">
        <v>1324</v>
      </c>
      <c r="C1111" s="484"/>
    </row>
    <row r="1112">
      <c r="A1112" s="485">
        <v>45118.702965648146</v>
      </c>
      <c r="B1112" s="162" t="s">
        <v>1324</v>
      </c>
      <c r="C1112" s="484"/>
    </row>
    <row r="1113">
      <c r="A1113" s="485">
        <v>45118.71549376157</v>
      </c>
      <c r="B1113" s="162" t="s">
        <v>1324</v>
      </c>
      <c r="C1113" s="484"/>
    </row>
    <row r="1114">
      <c r="A1114" s="485">
        <v>45118.72548342592</v>
      </c>
      <c r="B1114" s="162" t="s">
        <v>1324</v>
      </c>
      <c r="C1114" s="484"/>
    </row>
    <row r="1115">
      <c r="A1115" s="485">
        <v>45118.74952188657</v>
      </c>
      <c r="B1115" s="162" t="s">
        <v>1324</v>
      </c>
      <c r="C1115" s="484"/>
    </row>
    <row r="1116">
      <c r="A1116" s="485">
        <v>45118.761161076385</v>
      </c>
      <c r="B1116" s="162" t="s">
        <v>1324</v>
      </c>
      <c r="C1116" s="484"/>
    </row>
    <row r="1117">
      <c r="A1117" s="485">
        <v>45118.79293599537</v>
      </c>
      <c r="B1117" s="162" t="s">
        <v>1324</v>
      </c>
      <c r="C1117" s="484"/>
    </row>
    <row r="1118">
      <c r="A1118" s="485">
        <v>45118.99299133102</v>
      </c>
      <c r="B1118" s="162" t="s">
        <v>1324</v>
      </c>
      <c r="C1118" s="484"/>
    </row>
    <row r="1119">
      <c r="A1119" s="485">
        <v>45119.663489583334</v>
      </c>
      <c r="B1119" s="162" t="s">
        <v>1324</v>
      </c>
      <c r="C1119" s="484"/>
    </row>
    <row r="1120">
      <c r="A1120" s="485">
        <v>45119.69407863426</v>
      </c>
      <c r="B1120" s="162" t="s">
        <v>1323</v>
      </c>
      <c r="C1120" s="484"/>
    </row>
    <row r="1121">
      <c r="A1121" s="485">
        <v>45119.699869421296</v>
      </c>
      <c r="B1121" s="162" t="s">
        <v>1324</v>
      </c>
      <c r="C1121" s="484"/>
    </row>
    <row r="1122">
      <c r="A1122" s="485">
        <v>45119.77704966435</v>
      </c>
      <c r="B1122" s="162" t="s">
        <v>1324</v>
      </c>
      <c r="C1122" s="484"/>
    </row>
    <row r="1123">
      <c r="A1123" s="485">
        <v>45119.98155824074</v>
      </c>
      <c r="B1123" s="162" t="s">
        <v>1324</v>
      </c>
      <c r="C1123" s="484"/>
    </row>
    <row r="1124">
      <c r="A1124" s="485">
        <v>45120.69813184028</v>
      </c>
      <c r="B1124" s="162" t="s">
        <v>1324</v>
      </c>
      <c r="C1124" s="484"/>
    </row>
    <row r="1125">
      <c r="A1125" s="485">
        <v>45120.72176615741</v>
      </c>
      <c r="B1125" s="162" t="s">
        <v>1324</v>
      </c>
      <c r="C1125" s="484"/>
    </row>
    <row r="1126">
      <c r="A1126" s="485">
        <v>45120.80192837963</v>
      </c>
      <c r="B1126" s="162" t="s">
        <v>1324</v>
      </c>
      <c r="C1126" s="484" t="s">
        <v>1338</v>
      </c>
    </row>
    <row r="1127">
      <c r="A1127" s="485">
        <v>45121.65761638889</v>
      </c>
      <c r="B1127" s="162" t="s">
        <v>1323</v>
      </c>
      <c r="C1127" s="484"/>
    </row>
    <row r="1128">
      <c r="A1128" s="485">
        <v>45121.66379327547</v>
      </c>
      <c r="B1128" s="162" t="s">
        <v>1324</v>
      </c>
      <c r="C1128" s="484"/>
    </row>
    <row r="1129">
      <c r="A1129" s="485">
        <v>45121.697286608796</v>
      </c>
      <c r="B1129" s="162" t="s">
        <v>1324</v>
      </c>
      <c r="C1129" s="484"/>
    </row>
    <row r="1130">
      <c r="A1130" s="485">
        <v>45121.72777672454</v>
      </c>
      <c r="B1130" s="162" t="s">
        <v>1324</v>
      </c>
      <c r="C1130" s="484"/>
    </row>
    <row r="1131">
      <c r="A1131" s="485">
        <v>45121.76242017361</v>
      </c>
      <c r="B1131" s="162" t="s">
        <v>1324</v>
      </c>
      <c r="C1131" s="484"/>
    </row>
    <row r="1132">
      <c r="A1132" s="485">
        <v>45121.774539398146</v>
      </c>
      <c r="B1132" s="162" t="s">
        <v>1324</v>
      </c>
      <c r="C1132" s="484"/>
    </row>
    <row r="1133">
      <c r="A1133" s="485">
        <v>45121.79081719907</v>
      </c>
      <c r="B1133" s="162" t="s">
        <v>1323</v>
      </c>
      <c r="C1133" s="484"/>
    </row>
    <row r="1134">
      <c r="A1134" s="485">
        <v>45121.808151261575</v>
      </c>
      <c r="B1134" s="162" t="s">
        <v>1324</v>
      </c>
      <c r="C1134" s="484"/>
    </row>
    <row r="1135">
      <c r="A1135" s="485">
        <v>45121.83150127315</v>
      </c>
      <c r="B1135" s="162" t="s">
        <v>1323</v>
      </c>
      <c r="C1135" s="484"/>
    </row>
    <row r="1136">
      <c r="A1136" s="485">
        <v>45121.83710418981</v>
      </c>
      <c r="B1136" s="162" t="s">
        <v>1324</v>
      </c>
      <c r="C1136" s="484"/>
    </row>
    <row r="1137">
      <c r="A1137" s="485">
        <v>45121.8576037037</v>
      </c>
      <c r="B1137" s="162" t="s">
        <v>1324</v>
      </c>
      <c r="C1137" s="484"/>
    </row>
    <row r="1138">
      <c r="A1138" s="485">
        <v>45121.892391851856</v>
      </c>
      <c r="B1138" s="162" t="s">
        <v>1324</v>
      </c>
      <c r="C1138" s="484"/>
    </row>
    <row r="1139">
      <c r="A1139" s="485">
        <v>45121.925503148144</v>
      </c>
      <c r="B1139" s="162" t="s">
        <v>1324</v>
      </c>
      <c r="C1139" s="484"/>
    </row>
    <row r="1140">
      <c r="A1140" s="485">
        <v>45121.943312731484</v>
      </c>
      <c r="B1140" s="162" t="s">
        <v>1324</v>
      </c>
      <c r="C1140" s="484"/>
    </row>
    <row r="1141">
      <c r="A1141" s="485">
        <v>45123.72673175926</v>
      </c>
      <c r="B1141" s="162" t="s">
        <v>1324</v>
      </c>
      <c r="C1141" s="484"/>
    </row>
    <row r="1142">
      <c r="A1142" s="485">
        <v>45124.66178378472</v>
      </c>
      <c r="B1142" s="162" t="s">
        <v>1324</v>
      </c>
      <c r="C1142" s="484"/>
    </row>
    <row r="1143">
      <c r="A1143" s="485">
        <v>45124.75235966435</v>
      </c>
      <c r="B1143" s="162" t="s">
        <v>1324</v>
      </c>
      <c r="C1143" s="484"/>
    </row>
    <row r="1144">
      <c r="A1144" s="485">
        <v>45124.78689797454</v>
      </c>
      <c r="B1144" s="162" t="s">
        <v>1323</v>
      </c>
      <c r="C1144" s="484"/>
    </row>
    <row r="1145">
      <c r="A1145" s="485">
        <v>45124.79336256944</v>
      </c>
      <c r="B1145" s="162" t="s">
        <v>1324</v>
      </c>
      <c r="C1145" s="484"/>
    </row>
    <row r="1146">
      <c r="A1146" s="485">
        <v>45124.852371064815</v>
      </c>
      <c r="B1146" s="162" t="s">
        <v>1323</v>
      </c>
      <c r="C1146" s="484"/>
    </row>
    <row r="1147">
      <c r="A1147" s="485">
        <v>45124.857684166665</v>
      </c>
      <c r="B1147" s="162" t="s">
        <v>1324</v>
      </c>
      <c r="C1147" s="484"/>
    </row>
    <row r="1148">
      <c r="A1148" s="485">
        <v>45124.872776759265</v>
      </c>
      <c r="B1148" s="162" t="s">
        <v>1323</v>
      </c>
      <c r="C1148" s="484"/>
    </row>
    <row r="1149">
      <c r="A1149" s="485">
        <v>45124.913711817135</v>
      </c>
      <c r="B1149" s="162" t="s">
        <v>1324</v>
      </c>
      <c r="C1149" s="484"/>
    </row>
    <row r="1150">
      <c r="A1150" s="485">
        <v>45124.92426302083</v>
      </c>
      <c r="B1150" s="162" t="s">
        <v>1324</v>
      </c>
      <c r="C1150" s="484"/>
    </row>
    <row r="1151">
      <c r="A1151" s="485">
        <v>45124.93268224537</v>
      </c>
      <c r="B1151" s="162" t="s">
        <v>1324</v>
      </c>
      <c r="C1151" s="484"/>
    </row>
    <row r="1152">
      <c r="A1152" s="485">
        <v>45124.97601704861</v>
      </c>
      <c r="B1152" s="162" t="s">
        <v>1323</v>
      </c>
      <c r="C1152" s="484"/>
    </row>
    <row r="1153">
      <c r="A1153" s="485">
        <v>45124.9815255787</v>
      </c>
      <c r="B1153" s="162" t="s">
        <v>1324</v>
      </c>
      <c r="C1153" s="484"/>
    </row>
    <row r="1154">
      <c r="A1154" s="485">
        <v>45125.00540596065</v>
      </c>
      <c r="B1154" s="162" t="s">
        <v>1324</v>
      </c>
      <c r="C1154" s="484"/>
    </row>
    <row r="1155">
      <c r="A1155" s="485">
        <v>45125.75145258102</v>
      </c>
      <c r="B1155" s="162" t="s">
        <v>1323</v>
      </c>
      <c r="C1155" s="484"/>
    </row>
    <row r="1156">
      <c r="A1156" s="485">
        <v>45125.75775965278</v>
      </c>
      <c r="B1156" s="162" t="s">
        <v>1324</v>
      </c>
      <c r="C1156" s="484"/>
    </row>
    <row r="1157">
      <c r="A1157" s="485">
        <v>45125.787214641205</v>
      </c>
      <c r="B1157" s="162" t="s">
        <v>1324</v>
      </c>
      <c r="C1157" s="484"/>
    </row>
    <row r="1158">
      <c r="A1158" s="485">
        <v>45125.80105869213</v>
      </c>
      <c r="B1158" s="162" t="s">
        <v>1323</v>
      </c>
      <c r="C1158" s="484"/>
    </row>
    <row r="1159">
      <c r="A1159" s="485">
        <v>45125.806363842596</v>
      </c>
      <c r="B1159" s="162" t="s">
        <v>1324</v>
      </c>
      <c r="C1159" s="484"/>
    </row>
    <row r="1160">
      <c r="A1160" s="485">
        <v>45125.851133275464</v>
      </c>
      <c r="B1160" s="162" t="s">
        <v>1324</v>
      </c>
      <c r="C1160" s="484"/>
    </row>
    <row r="1161">
      <c r="A1161" s="485">
        <v>45125.99343364583</v>
      </c>
      <c r="B1161" s="162" t="s">
        <v>1323</v>
      </c>
      <c r="C1161" s="484"/>
    </row>
    <row r="1162">
      <c r="A1162" s="485">
        <v>45125.99824666667</v>
      </c>
      <c r="B1162" s="162" t="s">
        <v>1324</v>
      </c>
      <c r="C1162" s="484"/>
    </row>
    <row r="1163">
      <c r="A1163" s="485">
        <v>45126.75253591435</v>
      </c>
      <c r="B1163" s="162" t="s">
        <v>1324</v>
      </c>
      <c r="C1163" s="484"/>
    </row>
    <row r="1164">
      <c r="A1164" s="485">
        <v>45126.79760208333</v>
      </c>
      <c r="B1164" s="162" t="s">
        <v>1324</v>
      </c>
      <c r="C1164" s="484"/>
    </row>
    <row r="1165">
      <c r="A1165" s="485">
        <v>45126.862635729165</v>
      </c>
      <c r="B1165" s="162" t="s">
        <v>1324</v>
      </c>
      <c r="C1165" s="484"/>
    </row>
    <row r="1166">
      <c r="A1166" s="485">
        <v>45126.88005259259</v>
      </c>
      <c r="B1166" s="162" t="s">
        <v>1323</v>
      </c>
      <c r="C1166" s="484"/>
    </row>
    <row r="1167">
      <c r="A1167" s="485">
        <v>45126.885559490736</v>
      </c>
      <c r="B1167" s="162" t="s">
        <v>1324</v>
      </c>
      <c r="C1167" s="484"/>
    </row>
    <row r="1168">
      <c r="A1168" s="485">
        <v>45126.89806283565</v>
      </c>
      <c r="B1168" s="162" t="s">
        <v>1323</v>
      </c>
      <c r="C1168" s="484"/>
    </row>
    <row r="1169">
      <c r="A1169" s="485">
        <v>45126.90382900463</v>
      </c>
      <c r="B1169" s="162" t="s">
        <v>1324</v>
      </c>
      <c r="C1169" s="484"/>
    </row>
    <row r="1170">
      <c r="A1170" s="485">
        <v>45126.95069111111</v>
      </c>
      <c r="B1170" s="162" t="s">
        <v>1323</v>
      </c>
      <c r="C1170" s="484"/>
    </row>
    <row r="1171">
      <c r="A1171" s="485">
        <v>45126.956563182874</v>
      </c>
      <c r="B1171" s="162" t="s">
        <v>1324</v>
      </c>
      <c r="C1171" s="484"/>
    </row>
    <row r="1172">
      <c r="A1172" s="485">
        <v>45127.678412650464</v>
      </c>
      <c r="B1172" s="162" t="s">
        <v>1324</v>
      </c>
      <c r="C1172" s="484"/>
    </row>
    <row r="1173">
      <c r="A1173" s="485">
        <v>45127.75914891204</v>
      </c>
      <c r="B1173" s="162" t="s">
        <v>1323</v>
      </c>
      <c r="C1173" s="484"/>
    </row>
    <row r="1174">
      <c r="A1174" s="485">
        <v>45127.76664443287</v>
      </c>
      <c r="B1174" s="162" t="s">
        <v>1324</v>
      </c>
      <c r="C1174" s="484"/>
    </row>
    <row r="1175">
      <c r="A1175" s="485">
        <v>45127.77646868056</v>
      </c>
      <c r="B1175" s="162" t="s">
        <v>1324</v>
      </c>
      <c r="C1175" s="484"/>
    </row>
    <row r="1176">
      <c r="A1176" s="485">
        <v>45127.80698553241</v>
      </c>
      <c r="B1176" s="162" t="s">
        <v>1323</v>
      </c>
      <c r="C1176" s="484"/>
    </row>
    <row r="1177">
      <c r="A1177" s="485">
        <v>45127.81322549768</v>
      </c>
      <c r="B1177" s="162" t="s">
        <v>1324</v>
      </c>
      <c r="C1177" s="484"/>
    </row>
    <row r="1178">
      <c r="A1178" s="485">
        <v>45127.85034185185</v>
      </c>
      <c r="B1178" s="162" t="s">
        <v>1324</v>
      </c>
      <c r="C1178" s="484"/>
    </row>
    <row r="1179">
      <c r="A1179" s="485">
        <v>45127.91068103009</v>
      </c>
      <c r="B1179" s="162" t="s">
        <v>1324</v>
      </c>
      <c r="C1179" s="484"/>
    </row>
    <row r="1180">
      <c r="A1180" s="485">
        <v>45127.92011993055</v>
      </c>
      <c r="B1180" s="162" t="s">
        <v>1324</v>
      </c>
      <c r="C1180" s="484"/>
    </row>
    <row r="1181">
      <c r="A1181" s="485">
        <v>45127.935411875005</v>
      </c>
      <c r="B1181" s="162" t="s">
        <v>1324</v>
      </c>
      <c r="C1181" s="484"/>
    </row>
    <row r="1182">
      <c r="A1182" s="485">
        <v>45128.0024096875</v>
      </c>
      <c r="B1182" s="162" t="s">
        <v>1324</v>
      </c>
      <c r="C1182" s="484"/>
    </row>
    <row r="1183">
      <c r="A1183" s="485">
        <v>45128.67128630787</v>
      </c>
      <c r="B1183" s="162" t="s">
        <v>1324</v>
      </c>
      <c r="C1183" s="484"/>
    </row>
    <row r="1184">
      <c r="A1184" s="485">
        <v>45128.71541184028</v>
      </c>
      <c r="B1184" s="162" t="s">
        <v>1324</v>
      </c>
      <c r="C1184" s="484"/>
    </row>
    <row r="1185">
      <c r="A1185" s="485">
        <v>45128.740372824075</v>
      </c>
      <c r="B1185" s="162" t="s">
        <v>1324</v>
      </c>
      <c r="C1185" s="484"/>
    </row>
    <row r="1186">
      <c r="A1186" s="485">
        <v>45128.75270158565</v>
      </c>
      <c r="B1186" s="162" t="s">
        <v>1324</v>
      </c>
      <c r="C1186" s="484"/>
    </row>
    <row r="1187">
      <c r="A1187" s="485">
        <v>45128.795636979165</v>
      </c>
      <c r="B1187" s="162" t="s">
        <v>1324</v>
      </c>
      <c r="C1187" s="484"/>
    </row>
    <row r="1188">
      <c r="A1188" s="485">
        <v>45128.866788935185</v>
      </c>
      <c r="B1188" s="162" t="s">
        <v>1324</v>
      </c>
      <c r="C1188" s="484"/>
    </row>
    <row r="1189">
      <c r="A1189" s="485">
        <v>45128.90727408565</v>
      </c>
      <c r="B1189" s="162" t="s">
        <v>1324</v>
      </c>
      <c r="C1189" s="484"/>
    </row>
    <row r="1190">
      <c r="A1190" s="485">
        <v>45128.92479179398</v>
      </c>
      <c r="B1190" s="162" t="s">
        <v>1324</v>
      </c>
      <c r="C1190" s="484"/>
    </row>
    <row r="1191">
      <c r="A1191" s="485">
        <v>45131.671002256946</v>
      </c>
      <c r="B1191" s="162" t="s">
        <v>1323</v>
      </c>
      <c r="C1191" s="484"/>
    </row>
    <row r="1192">
      <c r="A1192" s="485">
        <v>45131.67795027778</v>
      </c>
      <c r="B1192" s="162" t="s">
        <v>1324</v>
      </c>
      <c r="C1192" s="484"/>
    </row>
    <row r="1193">
      <c r="A1193" s="485">
        <v>45131.79046934028</v>
      </c>
      <c r="B1193" s="162" t="s">
        <v>1323</v>
      </c>
      <c r="C1193" s="484"/>
    </row>
    <row r="1194">
      <c r="A1194" s="485">
        <v>45131.79636918982</v>
      </c>
      <c r="B1194" s="162" t="s">
        <v>1324</v>
      </c>
      <c r="C1194" s="484"/>
    </row>
    <row r="1195">
      <c r="A1195" s="485">
        <v>45131.80537962963</v>
      </c>
      <c r="B1195" s="162" t="s">
        <v>1324</v>
      </c>
      <c r="C1195" s="484"/>
    </row>
    <row r="1196">
      <c r="A1196" s="485">
        <v>45131.87241788194</v>
      </c>
      <c r="B1196" s="162" t="s">
        <v>1324</v>
      </c>
      <c r="C1196" s="484"/>
    </row>
    <row r="1197">
      <c r="A1197" s="485">
        <v>45131.89213045139</v>
      </c>
      <c r="B1197" s="162" t="s">
        <v>1324</v>
      </c>
      <c r="C1197" s="484"/>
    </row>
    <row r="1198">
      <c r="A1198" s="485">
        <v>45131.92171054398</v>
      </c>
      <c r="B1198" s="162" t="s">
        <v>1324</v>
      </c>
      <c r="C1198" s="484"/>
    </row>
    <row r="1199">
      <c r="A1199" s="485">
        <v>45131.937497210645</v>
      </c>
      <c r="B1199" s="162" t="s">
        <v>1324</v>
      </c>
      <c r="C1199" s="484"/>
    </row>
    <row r="1200">
      <c r="A1200" s="485">
        <v>45131.95536965277</v>
      </c>
      <c r="B1200" s="162" t="s">
        <v>1324</v>
      </c>
      <c r="C1200" s="484"/>
    </row>
    <row r="1201">
      <c r="A1201" s="485">
        <v>45131.96946653935</v>
      </c>
      <c r="B1201" s="162" t="s">
        <v>1324</v>
      </c>
      <c r="C1201" s="484"/>
    </row>
    <row r="1202">
      <c r="A1202" s="485">
        <v>45132.65457417824</v>
      </c>
      <c r="B1202" s="162" t="s">
        <v>1324</v>
      </c>
      <c r="C1202" s="484"/>
    </row>
    <row r="1203">
      <c r="A1203" s="485">
        <v>45132.66480925926</v>
      </c>
      <c r="B1203" s="162" t="s">
        <v>1323</v>
      </c>
      <c r="C1203" s="484" t="s">
        <v>1339</v>
      </c>
    </row>
    <row r="1204">
      <c r="A1204" s="485">
        <v>45132.67332711806</v>
      </c>
      <c r="B1204" s="162" t="s">
        <v>1324</v>
      </c>
      <c r="C1204" s="484"/>
    </row>
    <row r="1205">
      <c r="A1205" s="485">
        <v>45132.68224886574</v>
      </c>
      <c r="B1205" s="162" t="s">
        <v>1324</v>
      </c>
      <c r="C1205" s="484"/>
    </row>
    <row r="1206">
      <c r="A1206" s="485">
        <v>45132.69755024306</v>
      </c>
      <c r="B1206" s="162" t="s">
        <v>1324</v>
      </c>
      <c r="C1206" s="484"/>
    </row>
    <row r="1207">
      <c r="A1207" s="485">
        <v>45132.72220484954</v>
      </c>
      <c r="B1207" s="162" t="s">
        <v>1324</v>
      </c>
      <c r="C1207" s="484"/>
    </row>
    <row r="1208">
      <c r="A1208" s="485">
        <v>45132.89472325231</v>
      </c>
      <c r="B1208" s="162" t="s">
        <v>1324</v>
      </c>
      <c r="C1208" s="484"/>
    </row>
    <row r="1209">
      <c r="A1209" s="485">
        <v>45132.916929178245</v>
      </c>
      <c r="B1209" s="162" t="s">
        <v>1324</v>
      </c>
      <c r="C1209" s="484"/>
    </row>
    <row r="1210">
      <c r="A1210" s="485">
        <v>45132.961994074074</v>
      </c>
      <c r="B1210" s="162" t="s">
        <v>1324</v>
      </c>
      <c r="C1210" s="484"/>
    </row>
    <row r="1211">
      <c r="A1211" s="485">
        <v>45133.70761508102</v>
      </c>
      <c r="B1211" s="162" t="s">
        <v>1324</v>
      </c>
      <c r="C1211" s="484"/>
    </row>
    <row r="1212">
      <c r="A1212" s="485">
        <v>45133.76629989583</v>
      </c>
      <c r="B1212" s="162" t="s">
        <v>1323</v>
      </c>
      <c r="C1212" s="484"/>
    </row>
    <row r="1213">
      <c r="A1213" s="485">
        <v>45133.772284085644</v>
      </c>
      <c r="B1213" s="162" t="s">
        <v>1324</v>
      </c>
      <c r="C1213" s="484"/>
    </row>
    <row r="1214">
      <c r="A1214" s="485">
        <v>45133.912363090276</v>
      </c>
      <c r="B1214" s="162" t="s">
        <v>1324</v>
      </c>
      <c r="C1214" s="484"/>
    </row>
    <row r="1215">
      <c r="A1215" s="485">
        <v>45133.99034674768</v>
      </c>
      <c r="B1215" s="162" t="s">
        <v>1324</v>
      </c>
      <c r="C1215" s="484"/>
    </row>
    <row r="1216">
      <c r="A1216" s="485">
        <v>45134.002318900464</v>
      </c>
      <c r="B1216" s="162" t="s">
        <v>1324</v>
      </c>
      <c r="C1216" s="484"/>
    </row>
    <row r="1217">
      <c r="A1217" s="485">
        <v>45134.6855399537</v>
      </c>
      <c r="B1217" s="162" t="s">
        <v>1323</v>
      </c>
      <c r="C1217" s="484"/>
    </row>
    <row r="1218">
      <c r="A1218" s="485">
        <v>45134.69312269676</v>
      </c>
      <c r="B1218" s="162" t="s">
        <v>1324</v>
      </c>
      <c r="C1218" s="484"/>
    </row>
    <row r="1219">
      <c r="A1219" s="485">
        <v>45134.76272417824</v>
      </c>
      <c r="B1219" s="162" t="s">
        <v>1323</v>
      </c>
      <c r="C1219" s="484"/>
    </row>
    <row r="1220">
      <c r="A1220" s="485">
        <v>45134.76887914352</v>
      </c>
      <c r="B1220" s="162" t="s">
        <v>1324</v>
      </c>
      <c r="C1220" s="484"/>
    </row>
    <row r="1221">
      <c r="A1221" s="485">
        <v>45134.8645115625</v>
      </c>
      <c r="B1221" s="162" t="s">
        <v>1323</v>
      </c>
      <c r="C1221" s="484"/>
    </row>
    <row r="1222">
      <c r="A1222" s="485">
        <v>45134.86971842592</v>
      </c>
      <c r="B1222" s="162" t="s">
        <v>1323</v>
      </c>
      <c r="C1222" s="484"/>
    </row>
    <row r="1223">
      <c r="A1223" s="485">
        <v>45134.87072670139</v>
      </c>
      <c r="B1223" s="162" t="s">
        <v>1324</v>
      </c>
      <c r="C1223" s="484"/>
    </row>
    <row r="1224">
      <c r="A1224" s="485">
        <v>45134.87439215278</v>
      </c>
      <c r="B1224" s="162" t="s">
        <v>1324</v>
      </c>
      <c r="C1224" s="484"/>
    </row>
    <row r="1225">
      <c r="A1225" s="485">
        <v>45134.91259716435</v>
      </c>
      <c r="B1225" s="162" t="s">
        <v>1324</v>
      </c>
      <c r="C1225" s="484"/>
    </row>
    <row r="1226">
      <c r="A1226" s="485">
        <v>45134.97772726852</v>
      </c>
      <c r="B1226" s="162" t="s">
        <v>1324</v>
      </c>
      <c r="C1226" s="484"/>
    </row>
    <row r="1227">
      <c r="A1227" s="485">
        <v>45135.6833012037</v>
      </c>
      <c r="B1227" s="162" t="s">
        <v>1324</v>
      </c>
      <c r="C1227" s="484"/>
    </row>
    <row r="1228">
      <c r="A1228" s="485">
        <v>45135.68831111111</v>
      </c>
      <c r="B1228" s="162" t="s">
        <v>1323</v>
      </c>
      <c r="C1228" s="484"/>
    </row>
    <row r="1229">
      <c r="A1229" s="485">
        <v>45135.6960071875</v>
      </c>
      <c r="B1229" s="162" t="s">
        <v>1324</v>
      </c>
      <c r="C1229" s="484"/>
    </row>
    <row r="1230">
      <c r="A1230" s="485">
        <v>45135.72866865741</v>
      </c>
      <c r="B1230" s="162" t="s">
        <v>1324</v>
      </c>
      <c r="C1230" s="484"/>
    </row>
    <row r="1231">
      <c r="A1231" s="485">
        <v>45135.83816826389</v>
      </c>
      <c r="B1231" s="162" t="s">
        <v>1324</v>
      </c>
      <c r="C1231" s="484"/>
    </row>
    <row r="1232">
      <c r="A1232" s="485">
        <v>45135.870265798614</v>
      </c>
      <c r="B1232" s="162" t="s">
        <v>1324</v>
      </c>
      <c r="C1232" s="484"/>
    </row>
    <row r="1233">
      <c r="A1233" s="485">
        <v>45135.913520381946</v>
      </c>
      <c r="B1233" s="162" t="s">
        <v>1323</v>
      </c>
      <c r="C1233" s="484"/>
    </row>
    <row r="1234">
      <c r="A1234" s="485">
        <v>45135.92070246528</v>
      </c>
      <c r="B1234" s="162" t="s">
        <v>1324</v>
      </c>
      <c r="C1234" s="484"/>
    </row>
    <row r="1235">
      <c r="A1235" s="485">
        <v>45138.66389616898</v>
      </c>
      <c r="B1235" s="162" t="s">
        <v>1324</v>
      </c>
      <c r="C1235" s="484"/>
    </row>
    <row r="1236">
      <c r="A1236" s="485">
        <v>45138.71144695602</v>
      </c>
      <c r="B1236" s="162" t="s">
        <v>1323</v>
      </c>
      <c r="C1236" s="484"/>
    </row>
    <row r="1237">
      <c r="A1237" s="485">
        <v>45138.71914018519</v>
      </c>
      <c r="B1237" s="162" t="s">
        <v>1324</v>
      </c>
      <c r="C1237" s="484"/>
    </row>
    <row r="1238">
      <c r="A1238" s="485">
        <v>45138.761767881944</v>
      </c>
      <c r="B1238" s="162" t="s">
        <v>1323</v>
      </c>
      <c r="C1238" s="484"/>
    </row>
    <row r="1239">
      <c r="A1239" s="485">
        <v>45138.76867855324</v>
      </c>
      <c r="B1239" s="162" t="s">
        <v>1324</v>
      </c>
      <c r="C1239" s="484"/>
    </row>
    <row r="1240">
      <c r="A1240" s="485">
        <v>45138.78647935185</v>
      </c>
      <c r="B1240" s="162" t="s">
        <v>1324</v>
      </c>
      <c r="C1240" s="484"/>
    </row>
    <row r="1241">
      <c r="A1241" s="485">
        <v>45138.79126599537</v>
      </c>
      <c r="B1241" s="162" t="s">
        <v>1323</v>
      </c>
      <c r="C1241" s="484"/>
    </row>
    <row r="1242">
      <c r="A1242" s="485">
        <v>45138.79575173611</v>
      </c>
      <c r="B1242" s="162" t="s">
        <v>1324</v>
      </c>
      <c r="C1242" s="484"/>
    </row>
    <row r="1243">
      <c r="A1243" s="485">
        <v>45138.817392349534</v>
      </c>
      <c r="B1243" s="162" t="s">
        <v>1323</v>
      </c>
      <c r="C1243" s="484"/>
    </row>
    <row r="1244">
      <c r="A1244" s="485">
        <v>45138.8247725463</v>
      </c>
      <c r="B1244" s="162" t="s">
        <v>1324</v>
      </c>
      <c r="C1244" s="484"/>
    </row>
    <row r="1245">
      <c r="A1245" s="485">
        <v>45138.9352171875</v>
      </c>
      <c r="B1245" s="162" t="s">
        <v>1323</v>
      </c>
      <c r="C1245" s="484"/>
    </row>
    <row r="1246">
      <c r="A1246" s="485">
        <v>45138.94105876157</v>
      </c>
      <c r="B1246" s="162" t="s">
        <v>1324</v>
      </c>
      <c r="C1246" s="484"/>
    </row>
    <row r="1247">
      <c r="A1247" s="485">
        <v>45138.96361358796</v>
      </c>
      <c r="B1247" s="162" t="s">
        <v>1323</v>
      </c>
      <c r="C1247" s="484"/>
    </row>
    <row r="1248">
      <c r="A1248" s="485">
        <v>45138.96926046297</v>
      </c>
      <c r="B1248" s="162" t="s">
        <v>1324</v>
      </c>
      <c r="C1248" s="484"/>
    </row>
    <row r="1249">
      <c r="A1249" s="485">
        <v>45138.972319259265</v>
      </c>
      <c r="B1249" s="162" t="s">
        <v>1324</v>
      </c>
      <c r="C1249" s="484"/>
    </row>
    <row r="1250">
      <c r="A1250" s="485">
        <v>45139.67561497685</v>
      </c>
      <c r="B1250" s="162" t="s">
        <v>1324</v>
      </c>
      <c r="C1250" s="484"/>
    </row>
    <row r="1251">
      <c r="A1251" s="485">
        <v>45139.753778321756</v>
      </c>
      <c r="B1251" s="162" t="s">
        <v>1323</v>
      </c>
      <c r="C1251" s="484"/>
    </row>
    <row r="1252">
      <c r="A1252" s="485">
        <v>45139.76578295139</v>
      </c>
      <c r="B1252" s="162" t="s">
        <v>1324</v>
      </c>
      <c r="C1252" s="484"/>
    </row>
    <row r="1253">
      <c r="A1253" s="485">
        <v>45139.8634508449</v>
      </c>
      <c r="B1253" s="162" t="s">
        <v>1323</v>
      </c>
      <c r="C1253" s="484"/>
    </row>
    <row r="1254">
      <c r="A1254" s="485">
        <v>45139.86924581019</v>
      </c>
      <c r="B1254" s="162" t="s">
        <v>1324</v>
      </c>
      <c r="C1254" s="484"/>
    </row>
    <row r="1255">
      <c r="A1255" s="485">
        <v>45139.8871250463</v>
      </c>
      <c r="B1255" s="162" t="s">
        <v>1323</v>
      </c>
      <c r="C1255" s="484"/>
    </row>
    <row r="1256">
      <c r="A1256" s="485">
        <v>45139.8936096875</v>
      </c>
      <c r="B1256" s="162" t="s">
        <v>1324</v>
      </c>
      <c r="C1256" s="484"/>
    </row>
    <row r="1257">
      <c r="A1257" s="485">
        <v>45139.90397443287</v>
      </c>
      <c r="B1257" s="162" t="s">
        <v>1324</v>
      </c>
      <c r="C1257" s="484"/>
    </row>
    <row r="1258">
      <c r="A1258" s="485">
        <v>45139.917908055555</v>
      </c>
      <c r="B1258" s="162" t="s">
        <v>1324</v>
      </c>
      <c r="C1258" s="484"/>
    </row>
    <row r="1259">
      <c r="A1259" s="485">
        <v>45139.99333886574</v>
      </c>
      <c r="B1259" s="162" t="s">
        <v>1323</v>
      </c>
      <c r="C1259" s="484"/>
    </row>
    <row r="1260">
      <c r="A1260" s="485">
        <v>45139.99941935185</v>
      </c>
      <c r="B1260" s="162" t="s">
        <v>1324</v>
      </c>
      <c r="C1260" s="484"/>
    </row>
    <row r="1261">
      <c r="A1261" s="485">
        <v>45140.68732856482</v>
      </c>
      <c r="B1261" s="162" t="s">
        <v>1324</v>
      </c>
      <c r="C1261" s="484"/>
    </row>
    <row r="1262">
      <c r="A1262" s="485">
        <v>45140.69637655093</v>
      </c>
      <c r="B1262" s="162" t="s">
        <v>1323</v>
      </c>
      <c r="C1262" s="484"/>
    </row>
    <row r="1263">
      <c r="A1263" s="485">
        <v>45140.702572615744</v>
      </c>
      <c r="B1263" s="162" t="s">
        <v>1324</v>
      </c>
      <c r="C1263" s="484"/>
    </row>
    <row r="1264">
      <c r="A1264" s="485">
        <v>45140.71590244213</v>
      </c>
      <c r="B1264" s="162" t="s">
        <v>1324</v>
      </c>
      <c r="C1264" s="484"/>
    </row>
    <row r="1265">
      <c r="A1265" s="485">
        <v>45140.8378272338</v>
      </c>
      <c r="B1265" s="162" t="s">
        <v>1323</v>
      </c>
      <c r="C1265" s="484"/>
    </row>
    <row r="1266">
      <c r="A1266" s="485">
        <v>45140.844144953706</v>
      </c>
      <c r="B1266" s="162" t="s">
        <v>1324</v>
      </c>
      <c r="C1266" s="484"/>
    </row>
    <row r="1267">
      <c r="A1267" s="485">
        <v>45140.88789121528</v>
      </c>
      <c r="B1267" s="162" t="s">
        <v>1324</v>
      </c>
      <c r="C1267" s="484"/>
    </row>
    <row r="1268">
      <c r="A1268" s="485">
        <v>45140.92717083333</v>
      </c>
      <c r="B1268" s="162" t="s">
        <v>1323</v>
      </c>
      <c r="C1268" s="484"/>
    </row>
    <row r="1269">
      <c r="A1269" s="485">
        <v>45140.93492752315</v>
      </c>
      <c r="B1269" s="162" t="s">
        <v>1324</v>
      </c>
      <c r="C1269" s="484"/>
    </row>
    <row r="1270">
      <c r="A1270" s="485">
        <v>45140.998692071764</v>
      </c>
      <c r="B1270" s="162" t="s">
        <v>1323</v>
      </c>
      <c r="C1270" s="484"/>
    </row>
    <row r="1271">
      <c r="A1271" s="485">
        <v>45141.00471826389</v>
      </c>
      <c r="B1271" s="162" t="s">
        <v>1324</v>
      </c>
      <c r="C1271" s="484"/>
    </row>
    <row r="1272">
      <c r="A1272" s="485">
        <v>45141.73540091435</v>
      </c>
      <c r="B1272" s="162" t="s">
        <v>1324</v>
      </c>
      <c r="C1272" s="484"/>
    </row>
    <row r="1273">
      <c r="A1273" s="485">
        <v>45141.75650333334</v>
      </c>
      <c r="B1273" s="162" t="s">
        <v>1323</v>
      </c>
      <c r="C1273" s="484"/>
    </row>
    <row r="1274">
      <c r="A1274" s="485">
        <v>45141.7624559838</v>
      </c>
      <c r="B1274" s="162" t="s">
        <v>1324</v>
      </c>
      <c r="C1274" s="484"/>
    </row>
    <row r="1275">
      <c r="A1275" s="485">
        <v>45141.8198518287</v>
      </c>
      <c r="B1275" s="162" t="s">
        <v>1324</v>
      </c>
      <c r="C1275" s="484"/>
    </row>
    <row r="1276">
      <c r="A1276" s="485">
        <v>45141.84469025463</v>
      </c>
      <c r="B1276" s="162" t="s">
        <v>1323</v>
      </c>
      <c r="C1276" s="484"/>
    </row>
    <row r="1277">
      <c r="A1277" s="485">
        <v>45141.85154393519</v>
      </c>
      <c r="B1277" s="162" t="s">
        <v>1324</v>
      </c>
      <c r="C1277" s="484"/>
    </row>
    <row r="1278">
      <c r="A1278" s="485">
        <v>45141.91795190972</v>
      </c>
      <c r="B1278" s="162" t="s">
        <v>1323</v>
      </c>
      <c r="C1278" s="484"/>
    </row>
    <row r="1279">
      <c r="A1279" s="485">
        <v>45141.92173289352</v>
      </c>
      <c r="B1279" s="162" t="s">
        <v>1324</v>
      </c>
      <c r="C1279" s="484"/>
    </row>
    <row r="1280">
      <c r="A1280" s="485">
        <v>45141.92866469907</v>
      </c>
      <c r="B1280" s="162" t="s">
        <v>1324</v>
      </c>
      <c r="C1280" s="484"/>
    </row>
    <row r="1281">
      <c r="A1281" s="485">
        <v>45141.99138166667</v>
      </c>
      <c r="B1281" s="162" t="s">
        <v>1323</v>
      </c>
      <c r="C1281" s="484"/>
    </row>
    <row r="1282">
      <c r="A1282" s="485">
        <v>45141.995183136576</v>
      </c>
      <c r="B1282" s="162" t="s">
        <v>1324</v>
      </c>
      <c r="C1282" s="484"/>
    </row>
    <row r="1283">
      <c r="A1283" s="485">
        <v>45142.66082409723</v>
      </c>
      <c r="B1283" s="162" t="s">
        <v>1324</v>
      </c>
      <c r="C1283" s="484"/>
    </row>
    <row r="1284">
      <c r="A1284" s="485">
        <v>45142.675796469906</v>
      </c>
      <c r="B1284" s="162" t="s">
        <v>1323</v>
      </c>
      <c r="C1284" s="484"/>
    </row>
    <row r="1285">
      <c r="A1285" s="485">
        <v>45142.68048258102</v>
      </c>
      <c r="B1285" s="162" t="s">
        <v>1324</v>
      </c>
      <c r="C1285" s="484"/>
    </row>
    <row r="1286">
      <c r="A1286" s="485">
        <v>45142.71438074074</v>
      </c>
      <c r="B1286" s="162" t="s">
        <v>1324</v>
      </c>
      <c r="C1286" s="484"/>
    </row>
    <row r="1287">
      <c r="A1287" s="485">
        <v>45142.77102476852</v>
      </c>
      <c r="B1287" s="162" t="s">
        <v>1323</v>
      </c>
      <c r="C1287" s="484"/>
    </row>
    <row r="1288">
      <c r="A1288" s="485">
        <v>45142.77474100694</v>
      </c>
      <c r="B1288" s="162" t="s">
        <v>1324</v>
      </c>
      <c r="C1288" s="484"/>
    </row>
    <row r="1289">
      <c r="A1289" s="485">
        <v>45142.804993645834</v>
      </c>
      <c r="B1289" s="162" t="s">
        <v>1323</v>
      </c>
      <c r="C1289" s="484"/>
    </row>
    <row r="1290">
      <c r="A1290" s="485">
        <v>45142.80958605324</v>
      </c>
      <c r="B1290" s="162" t="s">
        <v>1324</v>
      </c>
      <c r="C1290" s="484"/>
    </row>
    <row r="1291">
      <c r="A1291" s="485">
        <v>45142.87111248843</v>
      </c>
      <c r="B1291" s="162" t="s">
        <v>1323</v>
      </c>
      <c r="C1291" s="484"/>
    </row>
    <row r="1292">
      <c r="A1292" s="485">
        <v>45142.874378692126</v>
      </c>
      <c r="B1292" s="162" t="s">
        <v>1324</v>
      </c>
      <c r="C1292" s="484"/>
    </row>
    <row r="1293">
      <c r="A1293" s="485">
        <v>45142.914281481484</v>
      </c>
      <c r="B1293" s="162" t="s">
        <v>1324</v>
      </c>
      <c r="C1293" s="484"/>
    </row>
    <row r="1294">
      <c r="A1294" s="485">
        <v>45145.629010034725</v>
      </c>
      <c r="B1294" s="162" t="s">
        <v>1324</v>
      </c>
      <c r="C1294" s="484"/>
    </row>
    <row r="1295">
      <c r="A1295" s="485">
        <v>45145.69500261574</v>
      </c>
      <c r="B1295" s="162" t="s">
        <v>1323</v>
      </c>
      <c r="C1295" s="484"/>
    </row>
    <row r="1296">
      <c r="A1296" s="485">
        <v>45145.69955981481</v>
      </c>
      <c r="B1296" s="162" t="s">
        <v>1324</v>
      </c>
      <c r="C1296" s="484"/>
    </row>
    <row r="1297">
      <c r="A1297" s="485">
        <v>45145.78002369213</v>
      </c>
      <c r="B1297" s="162" t="s">
        <v>1323</v>
      </c>
      <c r="C1297" s="484"/>
    </row>
    <row r="1298">
      <c r="A1298" s="485">
        <v>45145.78517177083</v>
      </c>
      <c r="B1298" s="162" t="s">
        <v>1324</v>
      </c>
      <c r="C1298" s="484"/>
    </row>
    <row r="1299">
      <c r="A1299" s="485">
        <v>45145.85638293982</v>
      </c>
      <c r="B1299" s="162" t="s">
        <v>1323</v>
      </c>
      <c r="C1299" s="484"/>
    </row>
    <row r="1300">
      <c r="A1300" s="485">
        <v>45145.860937314814</v>
      </c>
      <c r="B1300" s="162" t="s">
        <v>1324</v>
      </c>
      <c r="C1300" s="484"/>
    </row>
    <row r="1301">
      <c r="A1301" s="485">
        <v>45145.91472158565</v>
      </c>
      <c r="B1301" s="162" t="s">
        <v>1323</v>
      </c>
      <c r="C1301" s="484"/>
    </row>
    <row r="1302">
      <c r="A1302" s="485">
        <v>45145.91823809028</v>
      </c>
      <c r="B1302" s="162" t="s">
        <v>1324</v>
      </c>
      <c r="C1302" s="484"/>
    </row>
    <row r="1303">
      <c r="A1303" s="485">
        <v>45145.974831203705</v>
      </c>
      <c r="B1303" s="162" t="s">
        <v>1324</v>
      </c>
      <c r="C1303" s="484"/>
    </row>
    <row r="1304">
      <c r="A1304" s="485">
        <v>45146.736604861115</v>
      </c>
      <c r="B1304" s="162" t="s">
        <v>1323</v>
      </c>
      <c r="C1304" s="484"/>
    </row>
    <row r="1305">
      <c r="A1305" s="485">
        <v>45146.740192303245</v>
      </c>
      <c r="B1305" s="162" t="s">
        <v>1324</v>
      </c>
      <c r="C1305" s="484"/>
    </row>
    <row r="1306">
      <c r="A1306" s="485">
        <v>45146.774500451385</v>
      </c>
      <c r="B1306" s="162" t="s">
        <v>1324</v>
      </c>
      <c r="C1306" s="484"/>
    </row>
    <row r="1307">
      <c r="A1307" s="485">
        <v>45146.83063099537</v>
      </c>
      <c r="B1307" s="162" t="s">
        <v>1323</v>
      </c>
      <c r="C1307" s="484"/>
    </row>
    <row r="1308">
      <c r="A1308" s="485">
        <v>45146.8347025463</v>
      </c>
      <c r="B1308" s="162" t="s">
        <v>1324</v>
      </c>
      <c r="C1308" s="484"/>
    </row>
    <row r="1309">
      <c r="A1309" s="485">
        <v>45146.85403159722</v>
      </c>
      <c r="B1309" s="162" t="s">
        <v>1324</v>
      </c>
      <c r="C1309" s="484"/>
    </row>
    <row r="1310">
      <c r="A1310" s="485">
        <v>45147.661560196764</v>
      </c>
      <c r="B1310" s="162" t="s">
        <v>1323</v>
      </c>
      <c r="C1310" s="484"/>
    </row>
    <row r="1311">
      <c r="A1311" s="485">
        <v>45147.664959201385</v>
      </c>
      <c r="B1311" s="162" t="s">
        <v>1324</v>
      </c>
      <c r="C1311" s="484"/>
    </row>
    <row r="1312">
      <c r="A1312" s="485">
        <v>45147.68517027778</v>
      </c>
      <c r="B1312" s="162" t="s">
        <v>1323</v>
      </c>
      <c r="C1312" s="484"/>
    </row>
    <row r="1313">
      <c r="A1313" s="485">
        <v>45147.71328445602</v>
      </c>
      <c r="B1313" s="162" t="s">
        <v>1324</v>
      </c>
      <c r="C1313" s="484"/>
    </row>
    <row r="1314">
      <c r="A1314" s="485">
        <v>45147.834255127316</v>
      </c>
      <c r="B1314" s="162" t="s">
        <v>1323</v>
      </c>
      <c r="C1314" s="484"/>
    </row>
    <row r="1315">
      <c r="A1315" s="485">
        <v>45147.838939837966</v>
      </c>
      <c r="B1315" s="162" t="s">
        <v>1324</v>
      </c>
      <c r="C1315" s="484"/>
    </row>
    <row r="1316">
      <c r="A1316" s="485">
        <v>45147.944856585644</v>
      </c>
      <c r="B1316" s="162" t="s">
        <v>1324</v>
      </c>
      <c r="C1316" s="484"/>
    </row>
    <row r="1317">
      <c r="A1317" s="485">
        <v>45147.997062581024</v>
      </c>
      <c r="B1317" s="162" t="s">
        <v>1323</v>
      </c>
      <c r="C1317" s="484"/>
    </row>
    <row r="1318">
      <c r="A1318" s="485">
        <v>45148.00094100695</v>
      </c>
      <c r="B1318" s="162" t="s">
        <v>1324</v>
      </c>
      <c r="C1318" s="484"/>
    </row>
    <row r="1319">
      <c r="A1319" s="485">
        <v>45148.684256134264</v>
      </c>
      <c r="B1319" s="162" t="s">
        <v>1324</v>
      </c>
      <c r="C1319" s="484"/>
    </row>
    <row r="1320">
      <c r="A1320" s="485">
        <v>45148.696439618056</v>
      </c>
      <c r="B1320" s="162" t="s">
        <v>1324</v>
      </c>
      <c r="C1320" s="484"/>
    </row>
    <row r="1321">
      <c r="A1321" s="485">
        <v>45148.728963587964</v>
      </c>
      <c r="B1321" s="162" t="s">
        <v>1324</v>
      </c>
      <c r="C1321" s="484"/>
    </row>
    <row r="1322">
      <c r="A1322" s="485">
        <v>45148.976029722224</v>
      </c>
      <c r="B1322" s="162" t="s">
        <v>1324</v>
      </c>
      <c r="C1322" s="484"/>
    </row>
    <row r="1323">
      <c r="A1323" s="485">
        <v>45149.730483356485</v>
      </c>
      <c r="B1323" s="162" t="s">
        <v>1324</v>
      </c>
      <c r="C1323" s="484"/>
    </row>
    <row r="1324">
      <c r="A1324" s="485">
        <v>45149.81885440972</v>
      </c>
      <c r="B1324" s="162" t="s">
        <v>1324</v>
      </c>
      <c r="C1324" s="484"/>
    </row>
    <row r="1325">
      <c r="A1325" s="485">
        <v>45149.83390049769</v>
      </c>
      <c r="B1325" s="162" t="s">
        <v>1324</v>
      </c>
      <c r="C1325" s="484"/>
    </row>
    <row r="1326">
      <c r="A1326" s="485">
        <v>45152.66752155093</v>
      </c>
      <c r="B1326" s="162" t="s">
        <v>1323</v>
      </c>
      <c r="C1326" s="484"/>
    </row>
    <row r="1327">
      <c r="A1327" s="485">
        <v>45152.66888033565</v>
      </c>
      <c r="B1327" s="162" t="s">
        <v>1324</v>
      </c>
      <c r="C1327" s="484"/>
    </row>
    <row r="1328">
      <c r="A1328" s="485">
        <v>45152.67152296296</v>
      </c>
      <c r="B1328" s="162" t="s">
        <v>1324</v>
      </c>
      <c r="C1328" s="484"/>
    </row>
    <row r="1329">
      <c r="A1329" s="485">
        <v>45152.7023875</v>
      </c>
      <c r="B1329" s="162" t="s">
        <v>1324</v>
      </c>
      <c r="C1329" s="484"/>
    </row>
    <row r="1330">
      <c r="A1330" s="485">
        <v>45152.81923695602</v>
      </c>
      <c r="B1330" s="162" t="s">
        <v>1324</v>
      </c>
      <c r="C1330" s="484"/>
    </row>
    <row r="1331">
      <c r="A1331" s="485">
        <v>45152.860571770834</v>
      </c>
      <c r="B1331" s="162" t="s">
        <v>1323</v>
      </c>
      <c r="C1331" s="484"/>
    </row>
    <row r="1332">
      <c r="A1332" s="485">
        <v>45152.8643703125</v>
      </c>
      <c r="B1332" s="162" t="s">
        <v>1324</v>
      </c>
      <c r="C1332" s="484"/>
    </row>
    <row r="1333">
      <c r="A1333" s="485">
        <v>45152.8796108449</v>
      </c>
      <c r="B1333" s="162" t="s">
        <v>1324</v>
      </c>
      <c r="C1333" s="484"/>
    </row>
    <row r="1334">
      <c r="A1334" s="485">
        <v>45152.95264560185</v>
      </c>
      <c r="B1334" s="162" t="s">
        <v>1323</v>
      </c>
      <c r="C1334" s="484"/>
    </row>
    <row r="1335">
      <c r="A1335" s="485">
        <v>45152.9561396412</v>
      </c>
      <c r="B1335" s="162" t="s">
        <v>1324</v>
      </c>
      <c r="C1335" s="484"/>
    </row>
    <row r="1336">
      <c r="A1336" s="485">
        <v>45152.96604465278</v>
      </c>
      <c r="B1336" s="162" t="s">
        <v>1323</v>
      </c>
      <c r="C1336" s="484"/>
    </row>
    <row r="1337">
      <c r="A1337" s="485">
        <v>45152.969907025465</v>
      </c>
      <c r="B1337" s="162" t="s">
        <v>1324</v>
      </c>
      <c r="C1337" s="484"/>
    </row>
    <row r="1338">
      <c r="A1338" s="485">
        <v>45152.99159961806</v>
      </c>
      <c r="B1338" s="162" t="s">
        <v>1323</v>
      </c>
      <c r="C1338" s="484"/>
    </row>
    <row r="1339">
      <c r="A1339" s="485">
        <v>45152.995203680555</v>
      </c>
      <c r="B1339" s="162" t="s">
        <v>1324</v>
      </c>
      <c r="C1339" s="484"/>
    </row>
    <row r="1340">
      <c r="A1340" s="485">
        <v>45153.77146046296</v>
      </c>
      <c r="B1340" s="162" t="s">
        <v>1324</v>
      </c>
      <c r="C1340" s="484"/>
    </row>
    <row r="1341">
      <c r="A1341" s="485">
        <v>45153.81980020834</v>
      </c>
      <c r="B1341" s="162" t="s">
        <v>1324</v>
      </c>
      <c r="C1341" s="484"/>
    </row>
    <row r="1342">
      <c r="A1342" s="485">
        <v>45153.84564409722</v>
      </c>
      <c r="B1342" s="162" t="s">
        <v>1323</v>
      </c>
      <c r="C1342" s="484"/>
    </row>
    <row r="1343">
      <c r="A1343" s="485">
        <v>45153.84946712963</v>
      </c>
      <c r="B1343" s="162" t="s">
        <v>1324</v>
      </c>
      <c r="C1343" s="484"/>
    </row>
    <row r="1344">
      <c r="A1344" s="485">
        <v>45153.949202488424</v>
      </c>
      <c r="B1344" s="162" t="s">
        <v>1323</v>
      </c>
      <c r="C1344" s="484"/>
    </row>
    <row r="1345">
      <c r="A1345" s="485">
        <v>45153.95299394676</v>
      </c>
      <c r="B1345" s="162" t="s">
        <v>1324</v>
      </c>
      <c r="C1345" s="484"/>
    </row>
    <row r="1346">
      <c r="A1346" s="485">
        <v>45154.00342179398</v>
      </c>
      <c r="B1346" s="162" t="s">
        <v>1324</v>
      </c>
      <c r="C1346" s="484"/>
    </row>
    <row r="1347">
      <c r="A1347" s="485">
        <v>45154.67200571759</v>
      </c>
      <c r="B1347" s="162" t="s">
        <v>1323</v>
      </c>
      <c r="C1347" s="484"/>
    </row>
    <row r="1348">
      <c r="A1348" s="485">
        <v>45154.67719633102</v>
      </c>
      <c r="B1348" s="162" t="s">
        <v>1324</v>
      </c>
      <c r="C1348" s="484"/>
    </row>
    <row r="1349">
      <c r="A1349" s="485">
        <v>45154.89584783565</v>
      </c>
      <c r="B1349" s="162" t="s">
        <v>1323</v>
      </c>
      <c r="C1349" s="484"/>
    </row>
    <row r="1350">
      <c r="A1350" s="485">
        <v>45154.89621417824</v>
      </c>
      <c r="B1350" s="162" t="s">
        <v>1324</v>
      </c>
      <c r="C1350" s="484"/>
    </row>
    <row r="1351">
      <c r="A1351" s="485">
        <v>45154.897737997686</v>
      </c>
      <c r="B1351" s="162" t="s">
        <v>1324</v>
      </c>
      <c r="C1351" s="484"/>
    </row>
    <row r="1352">
      <c r="A1352" s="485">
        <v>45154.96563290509</v>
      </c>
      <c r="B1352" s="162" t="s">
        <v>1324</v>
      </c>
      <c r="C1352" s="484"/>
    </row>
    <row r="1353">
      <c r="A1353" s="485">
        <v>45154.97541717593</v>
      </c>
      <c r="B1353" s="162" t="s">
        <v>1324</v>
      </c>
      <c r="C1353" s="484"/>
    </row>
    <row r="1354">
      <c r="A1354" s="485">
        <v>45155.00061707176</v>
      </c>
      <c r="B1354" s="162" t="s">
        <v>1323</v>
      </c>
      <c r="C1354" s="484"/>
    </row>
    <row r="1355">
      <c r="A1355" s="485">
        <v>45155.00477158565</v>
      </c>
      <c r="B1355" s="162" t="s">
        <v>1324</v>
      </c>
      <c r="C1355" s="484"/>
    </row>
    <row r="1356">
      <c r="A1356" s="485">
        <v>45155.67323689815</v>
      </c>
      <c r="B1356" s="162" t="s">
        <v>1324</v>
      </c>
      <c r="C1356" s="484"/>
    </row>
    <row r="1357">
      <c r="A1357" s="485">
        <v>45155.80126432871</v>
      </c>
      <c r="B1357" s="162" t="s">
        <v>1323</v>
      </c>
      <c r="C1357" s="484"/>
    </row>
    <row r="1358">
      <c r="A1358" s="485">
        <v>45155.80594479167</v>
      </c>
      <c r="B1358" s="162" t="s">
        <v>1324</v>
      </c>
      <c r="C1358" s="484"/>
    </row>
    <row r="1359">
      <c r="A1359" s="485">
        <v>45155.85001770833</v>
      </c>
      <c r="B1359" s="162" t="s">
        <v>1324</v>
      </c>
      <c r="C1359" s="484"/>
    </row>
    <row r="1360">
      <c r="A1360" s="485">
        <v>45155.868086030096</v>
      </c>
      <c r="B1360" s="162" t="s">
        <v>1324</v>
      </c>
      <c r="C1360" s="484"/>
    </row>
    <row r="1361">
      <c r="A1361" s="485">
        <v>45155.89766998842</v>
      </c>
      <c r="B1361" s="162" t="s">
        <v>1324</v>
      </c>
      <c r="C1361" s="484"/>
    </row>
    <row r="1362">
      <c r="A1362" s="485">
        <v>45155.899381944444</v>
      </c>
      <c r="B1362" s="162" t="s">
        <v>1324</v>
      </c>
      <c r="C1362" s="484"/>
    </row>
    <row r="1363">
      <c r="A1363" s="485">
        <v>45155.99346394676</v>
      </c>
      <c r="B1363" s="162" t="s">
        <v>1323</v>
      </c>
      <c r="C1363" s="484"/>
    </row>
    <row r="1364">
      <c r="A1364" s="485">
        <v>45155.99973028935</v>
      </c>
      <c r="B1364" s="162" t="s">
        <v>1324</v>
      </c>
      <c r="C1364" s="484"/>
    </row>
    <row r="1365">
      <c r="A1365" s="485">
        <v>45156.67585315972</v>
      </c>
      <c r="B1365" s="162" t="s">
        <v>1324</v>
      </c>
      <c r="C1365" s="484"/>
    </row>
    <row r="1366">
      <c r="A1366" s="485">
        <v>45156.70158425926</v>
      </c>
      <c r="B1366" s="162" t="s">
        <v>1324</v>
      </c>
      <c r="C1366" s="484"/>
    </row>
    <row r="1367">
      <c r="A1367" s="485">
        <v>45156.88095796296</v>
      </c>
      <c r="B1367" s="162" t="s">
        <v>1323</v>
      </c>
      <c r="C1367" s="484"/>
    </row>
    <row r="1368">
      <c r="A1368" s="485">
        <v>45156.885377824074</v>
      </c>
      <c r="B1368" s="162" t="s">
        <v>1324</v>
      </c>
      <c r="C1368" s="484"/>
    </row>
    <row r="1369">
      <c r="A1369" s="485">
        <v>45156.90945732639</v>
      </c>
      <c r="B1369" s="162" t="s">
        <v>1323</v>
      </c>
      <c r="C1369" s="484"/>
    </row>
    <row r="1370">
      <c r="A1370" s="485">
        <v>45156.91305820602</v>
      </c>
      <c r="B1370" s="162" t="s">
        <v>1324</v>
      </c>
      <c r="C1370" s="484"/>
    </row>
    <row r="1371">
      <c r="A1371" s="485">
        <v>45156.925700555556</v>
      </c>
      <c r="B1371" s="162" t="s">
        <v>1324</v>
      </c>
      <c r="C1371" s="484"/>
    </row>
    <row r="1372">
      <c r="A1372" s="485">
        <v>45159.69944215278</v>
      </c>
      <c r="B1372" s="162" t="s">
        <v>1323</v>
      </c>
      <c r="C1372" s="484"/>
    </row>
    <row r="1373">
      <c r="A1373" s="485">
        <v>45159.70347664352</v>
      </c>
      <c r="B1373" s="162" t="s">
        <v>1324</v>
      </c>
      <c r="C1373" s="484"/>
    </row>
    <row r="1374">
      <c r="A1374" s="485">
        <v>45159.82711334491</v>
      </c>
      <c r="B1374" s="162" t="s">
        <v>1323</v>
      </c>
      <c r="C1374" s="484"/>
    </row>
    <row r="1375">
      <c r="A1375" s="485">
        <v>45159.83201912037</v>
      </c>
      <c r="B1375" s="162" t="s">
        <v>1324</v>
      </c>
      <c r="C1375" s="484"/>
    </row>
    <row r="1376">
      <c r="A1376" s="485">
        <v>45159.9160853125</v>
      </c>
      <c r="B1376" s="162" t="s">
        <v>1323</v>
      </c>
      <c r="C1376" s="484"/>
    </row>
    <row r="1377">
      <c r="A1377" s="485">
        <v>45159.92155049769</v>
      </c>
      <c r="B1377" s="162" t="s">
        <v>1324</v>
      </c>
      <c r="C1377" s="484"/>
    </row>
    <row r="1378">
      <c r="A1378" s="485">
        <v>45160.70987056713</v>
      </c>
      <c r="B1378" s="162" t="s">
        <v>1323</v>
      </c>
      <c r="C1378" s="484"/>
    </row>
    <row r="1379">
      <c r="A1379" s="485">
        <v>45160.71548905093</v>
      </c>
      <c r="B1379" s="162" t="s">
        <v>1324</v>
      </c>
      <c r="C1379" s="484"/>
    </row>
    <row r="1380">
      <c r="A1380" s="485">
        <v>45161.703115613425</v>
      </c>
      <c r="B1380" s="162" t="s">
        <v>1324</v>
      </c>
      <c r="C1380" s="484"/>
    </row>
    <row r="1381">
      <c r="A1381" s="485">
        <v>45161.91636153935</v>
      </c>
      <c r="B1381" s="162" t="s">
        <v>1323</v>
      </c>
      <c r="C1381" s="484"/>
    </row>
    <row r="1382">
      <c r="A1382" s="485">
        <v>45161.9181934838</v>
      </c>
      <c r="B1382" s="162" t="s">
        <v>1324</v>
      </c>
      <c r="C1382" s="484"/>
    </row>
    <row r="1383">
      <c r="A1383" s="485">
        <v>45161.91794510417</v>
      </c>
      <c r="B1383" s="162" t="s">
        <v>1324</v>
      </c>
      <c r="C1383" s="484"/>
    </row>
    <row r="1384">
      <c r="A1384" s="485">
        <v>45162.01422358796</v>
      </c>
      <c r="B1384" s="162" t="s">
        <v>1324</v>
      </c>
      <c r="C1384" s="484"/>
    </row>
    <row r="1385">
      <c r="A1385" s="485">
        <v>45162.65241767361</v>
      </c>
      <c r="B1385" s="162" t="s">
        <v>1323</v>
      </c>
      <c r="C1385" s="484"/>
    </row>
    <row r="1386">
      <c r="A1386" s="485">
        <v>45162.657909375004</v>
      </c>
      <c r="B1386" s="162" t="s">
        <v>1324</v>
      </c>
      <c r="C1386" s="484"/>
    </row>
    <row r="1387">
      <c r="A1387" s="485">
        <v>45162.67935791667</v>
      </c>
      <c r="B1387" s="162" t="s">
        <v>1324</v>
      </c>
      <c r="C1387" s="484"/>
    </row>
    <row r="1388">
      <c r="A1388" s="485">
        <v>45162.83924452546</v>
      </c>
      <c r="B1388" s="162" t="s">
        <v>1324</v>
      </c>
      <c r="C1388" s="484"/>
    </row>
    <row r="1389">
      <c r="A1389" s="485">
        <v>45162.84033574074</v>
      </c>
      <c r="B1389" s="162" t="s">
        <v>1323</v>
      </c>
      <c r="C1389" s="484"/>
    </row>
    <row r="1390">
      <c r="A1390" s="485">
        <v>45162.84229734953</v>
      </c>
      <c r="B1390" s="162" t="s">
        <v>1324</v>
      </c>
      <c r="C1390" s="484"/>
    </row>
    <row r="1391">
      <c r="A1391" s="485">
        <v>45162.95073251157</v>
      </c>
      <c r="B1391" s="162" t="s">
        <v>1324</v>
      </c>
      <c r="C1391" s="484"/>
    </row>
    <row r="1392">
      <c r="A1392" s="485">
        <v>45163.67554519676</v>
      </c>
      <c r="B1392" s="162" t="s">
        <v>1323</v>
      </c>
      <c r="C1392" s="484"/>
    </row>
    <row r="1393">
      <c r="A1393" s="485">
        <v>45163.68046174769</v>
      </c>
      <c r="B1393" s="162" t="s">
        <v>1324</v>
      </c>
      <c r="C1393" s="484"/>
    </row>
    <row r="1394">
      <c r="A1394" s="485">
        <v>45163.73289730324</v>
      </c>
      <c r="B1394" s="162" t="s">
        <v>1324</v>
      </c>
      <c r="C1394" s="484"/>
    </row>
    <row r="1395">
      <c r="A1395" s="485">
        <v>45163.78998074074</v>
      </c>
      <c r="B1395" s="162" t="s">
        <v>1324</v>
      </c>
      <c r="C1395" s="484"/>
    </row>
    <row r="1396">
      <c r="A1396" s="485">
        <v>45163.84222501157</v>
      </c>
      <c r="B1396" s="162" t="s">
        <v>1323</v>
      </c>
      <c r="C1396" s="484"/>
    </row>
    <row r="1397">
      <c r="A1397" s="485">
        <v>45163.84677425926</v>
      </c>
      <c r="B1397" s="162" t="s">
        <v>1324</v>
      </c>
      <c r="C1397" s="484"/>
    </row>
    <row r="1398">
      <c r="A1398" s="485">
        <v>45163.884203078705</v>
      </c>
      <c r="B1398" s="162" t="s">
        <v>1324</v>
      </c>
      <c r="C1398" s="484"/>
    </row>
    <row r="1399">
      <c r="A1399" s="485">
        <v>45163.89826488426</v>
      </c>
      <c r="B1399" s="162" t="s">
        <v>1323</v>
      </c>
      <c r="C1399" s="484"/>
    </row>
    <row r="1400">
      <c r="A1400" s="485">
        <v>45163.90216774306</v>
      </c>
      <c r="B1400" s="162" t="s">
        <v>1324</v>
      </c>
      <c r="C1400" s="484"/>
    </row>
    <row r="1401">
      <c r="A1401" s="485">
        <v>45163.910218495366</v>
      </c>
      <c r="B1401" s="162" t="s">
        <v>1324</v>
      </c>
      <c r="C1401" s="484"/>
    </row>
    <row r="1402">
      <c r="A1402" s="485">
        <v>45163.91458972222</v>
      </c>
      <c r="B1402" s="162" t="s">
        <v>1323</v>
      </c>
      <c r="C1402" s="484"/>
    </row>
    <row r="1403">
      <c r="A1403" s="485">
        <v>45163.918538495374</v>
      </c>
      <c r="B1403" s="162" t="s">
        <v>1324</v>
      </c>
      <c r="C1403" s="484"/>
    </row>
    <row r="1404">
      <c r="A1404" s="485">
        <v>45166.664243657404</v>
      </c>
      <c r="B1404" s="162" t="s">
        <v>1324</v>
      </c>
      <c r="C1404" s="484"/>
    </row>
    <row r="1405">
      <c r="A1405" s="485">
        <v>45166.69676508102</v>
      </c>
      <c r="B1405" s="162" t="s">
        <v>1324</v>
      </c>
      <c r="C1405" s="484"/>
    </row>
    <row r="1406">
      <c r="A1406" s="485">
        <v>45166.74617021991</v>
      </c>
      <c r="B1406" s="162" t="s">
        <v>1324</v>
      </c>
      <c r="C1406" s="484"/>
    </row>
    <row r="1407">
      <c r="A1407" s="485">
        <v>45167.7010859838</v>
      </c>
      <c r="B1407" s="162" t="s">
        <v>1324</v>
      </c>
      <c r="C1407" s="484"/>
    </row>
    <row r="1408">
      <c r="A1408" s="485">
        <v>45167.704583576386</v>
      </c>
      <c r="B1408" s="162" t="s">
        <v>1323</v>
      </c>
      <c r="C1408" s="484"/>
    </row>
    <row r="1409">
      <c r="A1409" s="485">
        <v>45167.81865585648</v>
      </c>
      <c r="B1409" s="162" t="s">
        <v>1324</v>
      </c>
      <c r="C1409" s="484"/>
    </row>
    <row r="1410">
      <c r="A1410" s="485">
        <v>45168.70295527778</v>
      </c>
      <c r="B1410" s="162" t="s">
        <v>1324</v>
      </c>
      <c r="C1410" s="484"/>
    </row>
    <row r="1411">
      <c r="A1411" s="485">
        <v>45168.94822851852</v>
      </c>
      <c r="B1411" s="162" t="s">
        <v>1324</v>
      </c>
      <c r="C1411" s="484"/>
    </row>
    <row r="1412">
      <c r="A1412" s="485">
        <v>45169.685592974536</v>
      </c>
      <c r="B1412" s="162" t="s">
        <v>1324</v>
      </c>
      <c r="C1412" s="484"/>
    </row>
    <row r="1413">
      <c r="A1413" s="485">
        <v>45169.76455770833</v>
      </c>
      <c r="B1413" s="162" t="s">
        <v>1324</v>
      </c>
      <c r="C1413" s="484"/>
    </row>
    <row r="1414">
      <c r="A1414" s="485">
        <v>45170.01934518518</v>
      </c>
      <c r="B1414" s="162" t="s">
        <v>1324</v>
      </c>
      <c r="C1414" s="484"/>
    </row>
    <row r="1415">
      <c r="A1415" s="485">
        <v>45170.04536097222</v>
      </c>
      <c r="B1415" s="162" t="s">
        <v>1324</v>
      </c>
      <c r="C1415" s="484"/>
    </row>
    <row r="1416">
      <c r="A1416" s="485">
        <v>45170.78551054398</v>
      </c>
      <c r="B1416" s="162" t="s">
        <v>1324</v>
      </c>
      <c r="C1416" s="484"/>
    </row>
    <row r="1417">
      <c r="A1417" s="485">
        <v>45174.753396782406</v>
      </c>
      <c r="B1417" s="162" t="s">
        <v>1323</v>
      </c>
      <c r="C1417" s="484" t="s">
        <v>1340</v>
      </c>
    </row>
    <row r="1418">
      <c r="A1418" s="485">
        <v>45174.7579716551</v>
      </c>
      <c r="B1418" s="162" t="s">
        <v>1324</v>
      </c>
      <c r="C1418" s="484"/>
    </row>
    <row r="1419">
      <c r="A1419" s="485">
        <v>45175.002055046294</v>
      </c>
      <c r="B1419" s="162" t="s">
        <v>1323</v>
      </c>
      <c r="C1419" s="484"/>
    </row>
    <row r="1420">
      <c r="A1420" s="485">
        <v>45175.00642310185</v>
      </c>
      <c r="B1420" s="162" t="s">
        <v>1324</v>
      </c>
      <c r="C1420" s="484"/>
    </row>
    <row r="1421">
      <c r="A1421" s="485">
        <v>45175.665749479165</v>
      </c>
      <c r="B1421" s="162" t="s">
        <v>1324</v>
      </c>
      <c r="C1421" s="484"/>
    </row>
    <row r="1422">
      <c r="A1422" s="485">
        <v>45175.791773136574</v>
      </c>
      <c r="B1422" s="162" t="s">
        <v>1324</v>
      </c>
      <c r="C1422" s="484"/>
    </row>
    <row r="1423">
      <c r="A1423" s="485">
        <v>45175.94931185185</v>
      </c>
      <c r="B1423" s="162" t="s">
        <v>1323</v>
      </c>
      <c r="C1423" s="484" t="s">
        <v>1340</v>
      </c>
    </row>
    <row r="1424">
      <c r="A1424" s="485">
        <v>45175.95440291667</v>
      </c>
      <c r="B1424" s="162" t="s">
        <v>1324</v>
      </c>
      <c r="C1424" s="484"/>
    </row>
    <row r="1425">
      <c r="A1425" s="485">
        <v>45175.97859284723</v>
      </c>
      <c r="B1425" s="162" t="s">
        <v>1323</v>
      </c>
      <c r="C1425" s="484" t="s">
        <v>1340</v>
      </c>
    </row>
    <row r="1426">
      <c r="A1426" s="485">
        <v>45175.983417372685</v>
      </c>
      <c r="B1426" s="162" t="s">
        <v>1324</v>
      </c>
      <c r="C1426" s="484"/>
    </row>
    <row r="1427">
      <c r="A1427" s="485">
        <v>45176.7368468287</v>
      </c>
      <c r="B1427" s="162" t="s">
        <v>1324</v>
      </c>
      <c r="C1427" s="484"/>
    </row>
    <row r="1428">
      <c r="A1428" s="485">
        <v>45177.01591756944</v>
      </c>
      <c r="B1428" s="162" t="s">
        <v>1323</v>
      </c>
      <c r="C1428" s="484" t="s">
        <v>1340</v>
      </c>
    </row>
    <row r="1429">
      <c r="A1429" s="485">
        <v>45177.02067628472</v>
      </c>
      <c r="B1429" s="162" t="s">
        <v>1324</v>
      </c>
      <c r="C1429" s="484"/>
    </row>
    <row r="1430">
      <c r="A1430" s="485">
        <v>45177.66611106481</v>
      </c>
      <c r="B1430" s="162" t="s">
        <v>1323</v>
      </c>
      <c r="C1430" s="484" t="s">
        <v>1340</v>
      </c>
    </row>
    <row r="1431">
      <c r="A1431" s="485">
        <v>45177.67238012732</v>
      </c>
      <c r="B1431" s="162" t="s">
        <v>1323</v>
      </c>
      <c r="C1431" s="484" t="s">
        <v>1340</v>
      </c>
    </row>
    <row r="1432">
      <c r="A1432" s="485">
        <v>45177.677628634265</v>
      </c>
      <c r="B1432" s="162" t="s">
        <v>1324</v>
      </c>
      <c r="C1432" s="484"/>
    </row>
    <row r="1433">
      <c r="A1433" s="485">
        <v>45177.84558163195</v>
      </c>
      <c r="B1433" s="162" t="s">
        <v>1324</v>
      </c>
      <c r="C1433" s="484"/>
    </row>
    <row r="1434">
      <c r="A1434" s="485">
        <v>45177.910644710646</v>
      </c>
      <c r="B1434" s="162" t="s">
        <v>1323</v>
      </c>
      <c r="C1434" s="484" t="s">
        <v>1340</v>
      </c>
    </row>
    <row r="1435">
      <c r="A1435" s="485">
        <v>45177.91606819445</v>
      </c>
      <c r="B1435" s="162" t="s">
        <v>1324</v>
      </c>
      <c r="C1435" s="484"/>
    </row>
    <row r="1436">
      <c r="A1436" s="485">
        <v>45180.72583258102</v>
      </c>
      <c r="B1436" s="162" t="s">
        <v>1323</v>
      </c>
      <c r="C1436" s="484" t="s">
        <v>1340</v>
      </c>
    </row>
    <row r="1437">
      <c r="A1437" s="485">
        <v>45180.75909958333</v>
      </c>
      <c r="B1437" s="162" t="s">
        <v>1323</v>
      </c>
      <c r="C1437" s="484" t="s">
        <v>1340</v>
      </c>
    </row>
    <row r="1438">
      <c r="A1438" s="485">
        <v>45180.7656231713</v>
      </c>
      <c r="B1438" s="162" t="s">
        <v>1323</v>
      </c>
      <c r="C1438" s="484" t="s">
        <v>1340</v>
      </c>
    </row>
    <row r="1439">
      <c r="A1439" s="485">
        <v>45180.76963929398</v>
      </c>
      <c r="B1439" s="162" t="s">
        <v>1324</v>
      </c>
      <c r="C1439" s="484"/>
    </row>
    <row r="1440">
      <c r="A1440" s="485">
        <v>45180.84841180556</v>
      </c>
      <c r="B1440" s="162" t="s">
        <v>1324</v>
      </c>
      <c r="C1440" s="484"/>
    </row>
    <row r="1441">
      <c r="A1441" s="485">
        <v>45180.9898262037</v>
      </c>
      <c r="B1441" s="162" t="s">
        <v>1323</v>
      </c>
      <c r="C1441" s="484"/>
    </row>
    <row r="1442">
      <c r="A1442" s="485">
        <v>45180.994170289356</v>
      </c>
      <c r="B1442" s="162" t="s">
        <v>1324</v>
      </c>
      <c r="C1442" s="484"/>
    </row>
    <row r="1443">
      <c r="A1443" s="485">
        <v>45181.00596991898</v>
      </c>
      <c r="B1443" s="162" t="s">
        <v>1324</v>
      </c>
      <c r="C1443" s="484"/>
    </row>
    <row r="1444">
      <c r="A1444" s="485">
        <v>45181.63738990741</v>
      </c>
      <c r="B1444" s="162" t="s">
        <v>1323</v>
      </c>
      <c r="C1444" s="484"/>
    </row>
    <row r="1445">
      <c r="A1445" s="485">
        <v>45181.64272548611</v>
      </c>
      <c r="B1445" s="162" t="s">
        <v>1324</v>
      </c>
      <c r="C1445" s="484"/>
    </row>
    <row r="1446">
      <c r="A1446" s="485">
        <v>45181.91273967593</v>
      </c>
      <c r="B1446" s="162" t="s">
        <v>1323</v>
      </c>
      <c r="C1446" s="484"/>
    </row>
    <row r="1447">
      <c r="A1447" s="485">
        <v>45181.91730105324</v>
      </c>
      <c r="B1447" s="162" t="s">
        <v>1324</v>
      </c>
      <c r="C1447" s="484"/>
    </row>
    <row r="1448">
      <c r="A1448" s="485">
        <v>45181.95173984954</v>
      </c>
      <c r="B1448" s="162" t="s">
        <v>1323</v>
      </c>
      <c r="C1448" s="484"/>
    </row>
    <row r="1449">
      <c r="A1449" s="485">
        <v>45181.95998486111</v>
      </c>
      <c r="B1449" s="162" t="s">
        <v>1324</v>
      </c>
      <c r="C1449" s="484"/>
    </row>
    <row r="1450">
      <c r="A1450" s="485">
        <v>45181.972505150465</v>
      </c>
      <c r="B1450" s="162" t="s">
        <v>1323</v>
      </c>
      <c r="C1450" s="484"/>
    </row>
    <row r="1451">
      <c r="A1451" s="485">
        <v>45181.97735973379</v>
      </c>
      <c r="B1451" s="162" t="s">
        <v>1324</v>
      </c>
      <c r="C1451" s="484"/>
    </row>
    <row r="1452">
      <c r="A1452" s="485">
        <v>45182.69191480324</v>
      </c>
      <c r="B1452" s="162" t="s">
        <v>1323</v>
      </c>
      <c r="C1452" s="484"/>
    </row>
    <row r="1453">
      <c r="A1453" s="485">
        <v>45182.697690891204</v>
      </c>
      <c r="B1453" s="162" t="s">
        <v>1324</v>
      </c>
      <c r="C1453" s="484"/>
    </row>
    <row r="1454">
      <c r="A1454" s="485">
        <v>45182.70619185185</v>
      </c>
      <c r="B1454" s="162" t="s">
        <v>1324</v>
      </c>
      <c r="C1454" s="484"/>
    </row>
    <row r="1455">
      <c r="A1455" s="485">
        <v>45182.96114380787</v>
      </c>
      <c r="B1455" s="162" t="s">
        <v>1324</v>
      </c>
      <c r="C1455" s="484"/>
    </row>
    <row r="1456">
      <c r="A1456" s="485">
        <v>45183.00580833333</v>
      </c>
      <c r="B1456" s="162" t="s">
        <v>1323</v>
      </c>
      <c r="C1456" s="484"/>
    </row>
    <row r="1457">
      <c r="A1457" s="485">
        <v>45183.01017282407</v>
      </c>
      <c r="B1457" s="162" t="s">
        <v>1324</v>
      </c>
      <c r="C1457" s="484"/>
    </row>
    <row r="1458">
      <c r="A1458" s="485">
        <v>45183.01120769676</v>
      </c>
      <c r="B1458" s="162" t="s">
        <v>1324</v>
      </c>
      <c r="C1458" s="484"/>
    </row>
    <row r="1459">
      <c r="A1459" s="485">
        <v>45183.88302101852</v>
      </c>
      <c r="B1459" s="162" t="s">
        <v>1323</v>
      </c>
      <c r="C1459" s="484"/>
    </row>
    <row r="1460">
      <c r="A1460" s="485">
        <v>45183.887477372686</v>
      </c>
      <c r="B1460" s="162" t="s">
        <v>1324</v>
      </c>
      <c r="C1460" s="484"/>
    </row>
    <row r="1461">
      <c r="A1461" s="485">
        <v>45183.961529837965</v>
      </c>
      <c r="B1461" s="162" t="s">
        <v>1324</v>
      </c>
      <c r="C1461" s="484"/>
    </row>
    <row r="1462">
      <c r="A1462" s="485">
        <v>45183.98036476852</v>
      </c>
      <c r="B1462" s="162" t="s">
        <v>1324</v>
      </c>
      <c r="C1462" s="484"/>
    </row>
    <row r="1463">
      <c r="A1463" s="485">
        <v>45183.985939606486</v>
      </c>
      <c r="B1463" s="162" t="s">
        <v>1323</v>
      </c>
      <c r="C1463" s="484"/>
    </row>
    <row r="1464">
      <c r="A1464" s="485">
        <v>45183.98961454861</v>
      </c>
      <c r="B1464" s="162" t="s">
        <v>1324</v>
      </c>
      <c r="C1464" s="484"/>
    </row>
    <row r="1465">
      <c r="A1465" s="485">
        <v>45184.678146122686</v>
      </c>
      <c r="B1465" s="162" t="s">
        <v>1323</v>
      </c>
      <c r="C1465" s="484"/>
    </row>
    <row r="1466">
      <c r="A1466" s="485">
        <v>45184.68289699074</v>
      </c>
      <c r="B1466" s="162" t="s">
        <v>1324</v>
      </c>
      <c r="C1466" s="484"/>
    </row>
    <row r="1467">
      <c r="A1467" s="485">
        <v>45184.74851158565</v>
      </c>
      <c r="B1467" s="162" t="s">
        <v>1324</v>
      </c>
      <c r="C1467" s="484"/>
    </row>
    <row r="1468">
      <c r="A1468" s="485">
        <v>45184.929272546295</v>
      </c>
      <c r="B1468" s="162" t="s">
        <v>1323</v>
      </c>
      <c r="C1468" s="484"/>
    </row>
    <row r="1469">
      <c r="A1469" s="485">
        <v>45184.934003437505</v>
      </c>
      <c r="B1469" s="162" t="s">
        <v>1324</v>
      </c>
      <c r="C1469" s="484"/>
    </row>
    <row r="1470">
      <c r="A1470" s="485">
        <v>45184.94601583334</v>
      </c>
      <c r="B1470" s="162" t="s">
        <v>1323</v>
      </c>
      <c r="C1470" s="484"/>
    </row>
    <row r="1471">
      <c r="A1471" s="485">
        <v>45184.95033927083</v>
      </c>
      <c r="B1471" s="162" t="s">
        <v>1324</v>
      </c>
      <c r="C1471" s="484"/>
    </row>
    <row r="1472">
      <c r="A1472" s="485">
        <v>45184.974291516206</v>
      </c>
      <c r="B1472" s="162" t="s">
        <v>1324</v>
      </c>
      <c r="C1472" s="484"/>
    </row>
    <row r="1473">
      <c r="A1473" s="485">
        <v>45187.67404265046</v>
      </c>
      <c r="B1473" s="162" t="s">
        <v>1323</v>
      </c>
      <c r="C1473" s="484"/>
    </row>
    <row r="1474">
      <c r="A1474" s="485">
        <v>45187.679155949074</v>
      </c>
      <c r="B1474" s="162" t="s">
        <v>1324</v>
      </c>
      <c r="C1474" s="484"/>
    </row>
    <row r="1475">
      <c r="A1475" s="485">
        <v>45187.73043302083</v>
      </c>
      <c r="B1475" s="162" t="s">
        <v>1324</v>
      </c>
      <c r="C1475" s="484"/>
    </row>
    <row r="1476">
      <c r="A1476" s="485">
        <v>45187.73523730324</v>
      </c>
      <c r="B1476" s="162" t="s">
        <v>1323</v>
      </c>
      <c r="C1476" s="484"/>
    </row>
    <row r="1477">
      <c r="A1477" s="485">
        <v>45187.740079317125</v>
      </c>
      <c r="B1477" s="162" t="s">
        <v>1324</v>
      </c>
      <c r="C1477" s="484"/>
    </row>
    <row r="1478">
      <c r="A1478" s="485">
        <v>45187.780988391205</v>
      </c>
      <c r="B1478" s="162" t="s">
        <v>1324</v>
      </c>
      <c r="C1478" s="484"/>
    </row>
    <row r="1479">
      <c r="A1479" s="485">
        <v>45187.81867078703</v>
      </c>
      <c r="B1479" s="162" t="s">
        <v>1324</v>
      </c>
      <c r="C1479" s="484"/>
    </row>
    <row r="1480">
      <c r="A1480" s="485">
        <v>45187.87008766204</v>
      </c>
      <c r="B1480" s="162" t="s">
        <v>1323</v>
      </c>
      <c r="C1480" s="484"/>
    </row>
    <row r="1481">
      <c r="A1481" s="485">
        <v>45187.87599712963</v>
      </c>
      <c r="B1481" s="162" t="s">
        <v>1324</v>
      </c>
      <c r="C1481" s="484"/>
    </row>
    <row r="1482">
      <c r="A1482" s="485">
        <v>45187.88583451389</v>
      </c>
      <c r="B1482" s="162" t="s">
        <v>1324</v>
      </c>
      <c r="C1482" s="484"/>
    </row>
    <row r="1483">
      <c r="A1483" s="485">
        <v>45187.89817642361</v>
      </c>
      <c r="B1483" s="162" t="s">
        <v>1324</v>
      </c>
      <c r="C1483" s="484"/>
    </row>
    <row r="1484">
      <c r="A1484" s="485">
        <v>45187.91844149306</v>
      </c>
      <c r="B1484" s="162" t="s">
        <v>1323</v>
      </c>
      <c r="C1484" s="484"/>
    </row>
    <row r="1485">
      <c r="A1485" s="485">
        <v>45187.92290677084</v>
      </c>
      <c r="B1485" s="162" t="s">
        <v>1324</v>
      </c>
      <c r="C1485" s="484"/>
    </row>
    <row r="1486">
      <c r="A1486" s="485">
        <v>45187.958783298614</v>
      </c>
      <c r="B1486" s="162" t="s">
        <v>1324</v>
      </c>
      <c r="C1486" s="484"/>
    </row>
    <row r="1487">
      <c r="A1487" s="485">
        <v>45187.96987458333</v>
      </c>
      <c r="B1487" s="162" t="s">
        <v>1324</v>
      </c>
      <c r="C1487" s="484"/>
    </row>
    <row r="1488">
      <c r="A1488" s="485">
        <v>45187.97221309028</v>
      </c>
      <c r="B1488" s="162" t="s">
        <v>1324</v>
      </c>
      <c r="C1488" s="484"/>
    </row>
    <row r="1489">
      <c r="A1489" s="485">
        <v>45187.98573206019</v>
      </c>
      <c r="B1489" s="162" t="s">
        <v>1324</v>
      </c>
      <c r="C1489" s="484"/>
    </row>
    <row r="1490">
      <c r="A1490" s="485">
        <v>45187.989752187495</v>
      </c>
      <c r="B1490" s="162" t="s">
        <v>1324</v>
      </c>
      <c r="C1490" s="484"/>
    </row>
    <row r="1491">
      <c r="A1491" s="485">
        <v>45188.774869189816</v>
      </c>
      <c r="B1491" s="162" t="s">
        <v>1324</v>
      </c>
      <c r="C1491" s="484"/>
    </row>
    <row r="1492">
      <c r="A1492" s="485">
        <v>45188.90517990741</v>
      </c>
      <c r="B1492" s="162" t="s">
        <v>1323</v>
      </c>
      <c r="C1492" s="484"/>
    </row>
    <row r="1493">
      <c r="A1493" s="485">
        <v>45188.909925370375</v>
      </c>
      <c r="B1493" s="162" t="s">
        <v>1324</v>
      </c>
      <c r="C1493" s="484"/>
    </row>
    <row r="1494">
      <c r="A1494" s="485">
        <v>45188.93200168981</v>
      </c>
      <c r="B1494" s="162" t="s">
        <v>1324</v>
      </c>
      <c r="C1494" s="484"/>
    </row>
    <row r="1495">
      <c r="A1495" s="485">
        <v>45188.94687179398</v>
      </c>
      <c r="B1495" s="162" t="s">
        <v>1324</v>
      </c>
      <c r="C1495" s="484"/>
    </row>
    <row r="1496">
      <c r="A1496" s="485">
        <v>45189.70143130787</v>
      </c>
      <c r="B1496" s="162" t="s">
        <v>1324</v>
      </c>
      <c r="C1496" s="484"/>
    </row>
    <row r="1497">
      <c r="A1497" s="485">
        <v>45189.86317149305</v>
      </c>
      <c r="B1497" s="162" t="s">
        <v>1323</v>
      </c>
      <c r="C1497" s="484"/>
    </row>
    <row r="1498">
      <c r="A1498" s="485">
        <v>45189.86846400463</v>
      </c>
      <c r="B1498" s="162" t="s">
        <v>1324</v>
      </c>
      <c r="C1498" s="484"/>
    </row>
    <row r="1499">
      <c r="A1499" s="485">
        <v>45189.94794914352</v>
      </c>
      <c r="B1499" s="162" t="s">
        <v>1324</v>
      </c>
      <c r="C1499" s="484"/>
    </row>
    <row r="1500">
      <c r="A1500" s="485">
        <v>45189.972521076386</v>
      </c>
      <c r="B1500" s="162" t="s">
        <v>1324</v>
      </c>
      <c r="C1500" s="484"/>
    </row>
    <row r="1501">
      <c r="A1501" s="485">
        <v>45190.06530475694</v>
      </c>
      <c r="B1501" s="162" t="s">
        <v>1324</v>
      </c>
      <c r="C1501" s="484"/>
    </row>
    <row r="1502">
      <c r="A1502" s="485">
        <v>45190.71834525463</v>
      </c>
      <c r="B1502" s="162" t="s">
        <v>1324</v>
      </c>
      <c r="C1502" s="484"/>
    </row>
    <row r="1503">
      <c r="A1503" s="485">
        <v>45190.78884331018</v>
      </c>
      <c r="B1503" s="162" t="s">
        <v>1323</v>
      </c>
      <c r="C1503" s="484"/>
    </row>
    <row r="1504">
      <c r="A1504" s="485">
        <v>45190.79330625</v>
      </c>
      <c r="B1504" s="162" t="s">
        <v>1324</v>
      </c>
      <c r="C1504" s="484"/>
    </row>
    <row r="1505">
      <c r="A1505" s="485">
        <v>45190.90240391204</v>
      </c>
      <c r="B1505" s="162" t="s">
        <v>1323</v>
      </c>
      <c r="C1505" s="484"/>
    </row>
    <row r="1506">
      <c r="A1506" s="485">
        <v>45190.90610180555</v>
      </c>
      <c r="B1506" s="162" t="s">
        <v>1324</v>
      </c>
      <c r="C1506" s="484"/>
    </row>
    <row r="1507">
      <c r="A1507" s="485">
        <v>45190.940394247686</v>
      </c>
      <c r="B1507" s="162" t="s">
        <v>1324</v>
      </c>
      <c r="C1507" s="484"/>
    </row>
    <row r="1508">
      <c r="A1508" s="485">
        <v>45190.99849269676</v>
      </c>
      <c r="B1508" s="162" t="s">
        <v>1324</v>
      </c>
      <c r="C1508" s="484"/>
    </row>
    <row r="1509">
      <c r="A1509" s="485">
        <v>45191.714193796295</v>
      </c>
      <c r="B1509" s="162" t="s">
        <v>1324</v>
      </c>
      <c r="C1509" s="484"/>
    </row>
    <row r="1510">
      <c r="A1510" s="485">
        <v>45191.881580891204</v>
      </c>
      <c r="B1510" s="162" t="s">
        <v>1323</v>
      </c>
      <c r="C1510" s="484"/>
    </row>
    <row r="1511">
      <c r="A1511" s="485">
        <v>45191.886645439816</v>
      </c>
      <c r="B1511" s="162" t="s">
        <v>1324</v>
      </c>
      <c r="C1511" s="484"/>
    </row>
    <row r="1512">
      <c r="A1512" s="485">
        <v>45194.71577491898</v>
      </c>
      <c r="B1512" s="162" t="s">
        <v>1324</v>
      </c>
      <c r="C1512" s="484"/>
    </row>
    <row r="1513">
      <c r="A1513" s="485">
        <v>45194.733987141204</v>
      </c>
      <c r="B1513" s="162" t="s">
        <v>1324</v>
      </c>
      <c r="C1513" s="484"/>
    </row>
    <row r="1514">
      <c r="A1514" s="485">
        <v>45194.94247241898</v>
      </c>
      <c r="B1514" s="162" t="s">
        <v>1324</v>
      </c>
      <c r="C1514" s="484"/>
    </row>
    <row r="1515">
      <c r="A1515" s="485">
        <v>45194.98531076389</v>
      </c>
      <c r="B1515" s="162" t="s">
        <v>1323</v>
      </c>
      <c r="C1515" s="484"/>
    </row>
    <row r="1516">
      <c r="A1516" s="485">
        <v>45194.990166979165</v>
      </c>
      <c r="B1516" s="162" t="s">
        <v>1324</v>
      </c>
      <c r="C1516" s="484"/>
    </row>
    <row r="1517">
      <c r="A1517" s="485">
        <v>45195.75332239583</v>
      </c>
      <c r="B1517" s="162" t="s">
        <v>1323</v>
      </c>
      <c r="C1517" s="484"/>
    </row>
    <row r="1518">
      <c r="A1518" s="485">
        <v>45195.75845365741</v>
      </c>
      <c r="B1518" s="162" t="s">
        <v>1324</v>
      </c>
      <c r="C1518" s="484"/>
    </row>
    <row r="1519">
      <c r="A1519" s="485">
        <v>45195.80403770834</v>
      </c>
      <c r="B1519" s="162" t="s">
        <v>1323</v>
      </c>
      <c r="C1519" s="484"/>
    </row>
    <row r="1520">
      <c r="A1520" s="485">
        <v>45195.809064166664</v>
      </c>
      <c r="B1520" s="162" t="s">
        <v>1324</v>
      </c>
      <c r="C1520" s="484"/>
    </row>
    <row r="1521">
      <c r="A1521" s="485">
        <v>45195.984944791664</v>
      </c>
      <c r="B1521" s="162" t="s">
        <v>1323</v>
      </c>
      <c r="C1521" s="484"/>
    </row>
    <row r="1522">
      <c r="A1522" s="485">
        <v>45195.990110162034</v>
      </c>
      <c r="B1522" s="162" t="s">
        <v>1324</v>
      </c>
      <c r="C1522" s="484"/>
    </row>
    <row r="1523">
      <c r="A1523" s="485">
        <v>45196.00561778936</v>
      </c>
      <c r="B1523" s="162" t="s">
        <v>1324</v>
      </c>
      <c r="C1523" s="484"/>
    </row>
    <row r="1524">
      <c r="A1524" s="485">
        <v>45196.02235300926</v>
      </c>
      <c r="B1524" s="162" t="s">
        <v>1324</v>
      </c>
      <c r="C1524" s="484"/>
    </row>
    <row r="1525">
      <c r="A1525" s="485">
        <v>45196.687644375</v>
      </c>
      <c r="B1525" s="162" t="s">
        <v>1324</v>
      </c>
      <c r="C1525" s="484"/>
    </row>
    <row r="1526">
      <c r="A1526" s="485">
        <v>45196.70107232639</v>
      </c>
      <c r="B1526" s="162" t="s">
        <v>1324</v>
      </c>
      <c r="C1526" s="484"/>
    </row>
    <row r="1527">
      <c r="A1527" s="485">
        <v>45196.715283136575</v>
      </c>
      <c r="B1527" s="162" t="s">
        <v>1323</v>
      </c>
      <c r="C1527" s="484"/>
    </row>
    <row r="1528">
      <c r="A1528" s="485">
        <v>45196.99814763889</v>
      </c>
      <c r="B1528" s="162" t="s">
        <v>1324</v>
      </c>
      <c r="C1528" s="484"/>
    </row>
    <row r="1529">
      <c r="A1529" s="485">
        <v>45197.656179513884</v>
      </c>
      <c r="B1529" s="162" t="s">
        <v>1323</v>
      </c>
      <c r="C1529" s="484"/>
    </row>
    <row r="1530">
      <c r="A1530" s="485">
        <v>45197.66130790509</v>
      </c>
      <c r="B1530" s="162" t="s">
        <v>1324</v>
      </c>
      <c r="C1530" s="484"/>
    </row>
    <row r="1531">
      <c r="A1531" s="485">
        <v>45197.86446841435</v>
      </c>
      <c r="B1531" s="162" t="s">
        <v>1323</v>
      </c>
      <c r="C1531" s="484"/>
    </row>
    <row r="1532">
      <c r="A1532" s="485">
        <v>45197.8693427199</v>
      </c>
      <c r="B1532" s="162" t="s">
        <v>1324</v>
      </c>
      <c r="C1532" s="484"/>
    </row>
    <row r="1533">
      <c r="A1533" s="485">
        <v>45197.90835893519</v>
      </c>
      <c r="B1533" s="162" t="s">
        <v>1324</v>
      </c>
      <c r="C1533" s="484"/>
    </row>
    <row r="1534">
      <c r="A1534" s="485">
        <v>45197.967873333335</v>
      </c>
      <c r="B1534" s="162" t="s">
        <v>1323</v>
      </c>
      <c r="C1534" s="484"/>
    </row>
    <row r="1535">
      <c r="A1535" s="485">
        <v>45197.9727791551</v>
      </c>
      <c r="B1535" s="162" t="s">
        <v>1324</v>
      </c>
      <c r="C1535" s="484"/>
    </row>
    <row r="1536">
      <c r="A1536" s="485">
        <v>45198.0052475</v>
      </c>
      <c r="B1536" s="162" t="s">
        <v>1324</v>
      </c>
      <c r="C1536" s="484"/>
    </row>
    <row r="1537">
      <c r="A1537" s="485">
        <v>45198.66383318287</v>
      </c>
      <c r="B1537" s="162" t="s">
        <v>1323</v>
      </c>
      <c r="C1537" s="484"/>
    </row>
    <row r="1538">
      <c r="A1538" s="485">
        <v>45198.66907153935</v>
      </c>
      <c r="B1538" s="162" t="s">
        <v>1324</v>
      </c>
      <c r="C1538" s="484"/>
    </row>
    <row r="1539">
      <c r="A1539" s="485">
        <v>45198.7390330787</v>
      </c>
      <c r="B1539" s="162" t="s">
        <v>1324</v>
      </c>
      <c r="C1539" s="484"/>
    </row>
    <row r="1540">
      <c r="A1540" s="485">
        <v>45198.874269409724</v>
      </c>
      <c r="B1540" s="162" t="s">
        <v>1324</v>
      </c>
      <c r="C1540" s="484"/>
    </row>
    <row r="1541">
      <c r="A1541" s="485">
        <v>45198.93362459491</v>
      </c>
      <c r="B1541" s="162" t="s">
        <v>1323</v>
      </c>
      <c r="C1541" s="484"/>
    </row>
    <row r="1542">
      <c r="A1542" s="485">
        <v>45198.93883121527</v>
      </c>
      <c r="B1542" s="162" t="s">
        <v>1324</v>
      </c>
      <c r="C1542" s="484"/>
    </row>
    <row r="1543">
      <c r="A1543" s="485">
        <v>45198.95401765047</v>
      </c>
      <c r="B1543" s="162" t="s">
        <v>1324</v>
      </c>
      <c r="C1543" s="484"/>
    </row>
    <row r="1544">
      <c r="A1544" s="485">
        <v>45198.993739224534</v>
      </c>
      <c r="B1544" s="162" t="s">
        <v>1323</v>
      </c>
      <c r="C1544" s="484"/>
    </row>
    <row r="1545">
      <c r="A1545" s="485">
        <v>45198.99960643519</v>
      </c>
      <c r="B1545" s="162" t="s">
        <v>1324</v>
      </c>
      <c r="C1545" s="484"/>
    </row>
    <row r="1546">
      <c r="A1546" s="485">
        <v>45201.68316396991</v>
      </c>
      <c r="B1546" s="162" t="s">
        <v>1324</v>
      </c>
      <c r="C1546" s="484"/>
    </row>
    <row r="1547">
      <c r="A1547" s="485">
        <v>45201.71900758102</v>
      </c>
      <c r="B1547" s="162" t="s">
        <v>1324</v>
      </c>
      <c r="C1547" s="484"/>
    </row>
    <row r="1548">
      <c r="A1548" s="485">
        <v>45201.75045064815</v>
      </c>
      <c r="B1548" s="162" t="s">
        <v>1324</v>
      </c>
      <c r="C1548" s="484"/>
    </row>
    <row r="1549">
      <c r="A1549" s="485">
        <v>45201.865529560186</v>
      </c>
      <c r="B1549" s="162" t="s">
        <v>1323</v>
      </c>
      <c r="C1549" s="484"/>
    </row>
    <row r="1550">
      <c r="A1550" s="485">
        <v>45201.87279649306</v>
      </c>
      <c r="B1550" s="162" t="s">
        <v>1324</v>
      </c>
      <c r="C1550" s="484"/>
    </row>
    <row r="1551">
      <c r="A1551" s="485">
        <v>45201.88634648148</v>
      </c>
      <c r="B1551" s="162" t="s">
        <v>1324</v>
      </c>
      <c r="C1551" s="484" t="s">
        <v>1341</v>
      </c>
    </row>
    <row r="1552">
      <c r="A1552" s="485">
        <v>45201.89069851852</v>
      </c>
      <c r="B1552" s="162" t="s">
        <v>1323</v>
      </c>
      <c r="C1552" s="484"/>
    </row>
    <row r="1553">
      <c r="A1553" s="485">
        <v>45201.897954768516</v>
      </c>
      <c r="B1553" s="162" t="s">
        <v>1324</v>
      </c>
      <c r="C1553" s="484"/>
    </row>
    <row r="1554">
      <c r="A1554" s="485">
        <v>45201.911455243055</v>
      </c>
      <c r="B1554" s="162" t="s">
        <v>1324</v>
      </c>
      <c r="C1554" s="484"/>
    </row>
    <row r="1555">
      <c r="A1555" s="485">
        <v>45202.72842017361</v>
      </c>
      <c r="B1555" s="162" t="s">
        <v>1323</v>
      </c>
      <c r="C1555" s="484"/>
    </row>
    <row r="1556">
      <c r="A1556" s="485">
        <v>45202.73438435185</v>
      </c>
      <c r="B1556" s="162" t="s">
        <v>1324</v>
      </c>
      <c r="C1556" s="484"/>
    </row>
    <row r="1557">
      <c r="A1557" s="485">
        <v>45202.761491620375</v>
      </c>
      <c r="B1557" s="162" t="s">
        <v>1323</v>
      </c>
      <c r="C1557" s="484"/>
    </row>
    <row r="1558">
      <c r="A1558" s="485">
        <v>45202.76771460648</v>
      </c>
      <c r="B1558" s="162" t="s">
        <v>1324</v>
      </c>
      <c r="C1558" s="484"/>
    </row>
    <row r="1559">
      <c r="A1559" s="485">
        <v>45202.79476642361</v>
      </c>
      <c r="B1559" s="162" t="s">
        <v>1323</v>
      </c>
      <c r="C1559" s="484"/>
    </row>
    <row r="1560">
      <c r="A1560" s="485">
        <v>45202.79978927084</v>
      </c>
      <c r="B1560" s="162" t="s">
        <v>1324</v>
      </c>
      <c r="C1560" s="484"/>
    </row>
    <row r="1561">
      <c r="A1561" s="485">
        <v>45202.9363586574</v>
      </c>
      <c r="B1561" s="162" t="s">
        <v>1323</v>
      </c>
      <c r="C1561" s="484"/>
    </row>
    <row r="1562">
      <c r="A1562" s="485">
        <v>45202.94155510417</v>
      </c>
      <c r="B1562" s="162" t="s">
        <v>1324</v>
      </c>
      <c r="C1562" s="484"/>
    </row>
    <row r="1563">
      <c r="A1563" s="485">
        <v>45202.95334201389</v>
      </c>
      <c r="B1563" s="162" t="s">
        <v>1324</v>
      </c>
      <c r="C1563" s="484"/>
    </row>
    <row r="1564">
      <c r="A1564" s="485">
        <v>45202.9685828588</v>
      </c>
      <c r="B1564" s="162" t="s">
        <v>1323</v>
      </c>
      <c r="C1564" s="484"/>
    </row>
    <row r="1565">
      <c r="A1565" s="485">
        <v>45202.973258564816</v>
      </c>
      <c r="B1565" s="162" t="s">
        <v>1324</v>
      </c>
      <c r="C1565" s="484"/>
    </row>
    <row r="1566">
      <c r="A1566" s="485">
        <v>45203.68566045139</v>
      </c>
      <c r="B1566" s="162" t="s">
        <v>1323</v>
      </c>
      <c r="C1566" s="484"/>
    </row>
    <row r="1567">
      <c r="A1567" s="485">
        <v>45203.693003900466</v>
      </c>
      <c r="B1567" s="162" t="s">
        <v>1324</v>
      </c>
      <c r="C1567" s="484"/>
    </row>
    <row r="1568">
      <c r="A1568" s="485">
        <v>45203.711688310184</v>
      </c>
      <c r="B1568" s="162" t="s">
        <v>1324</v>
      </c>
      <c r="C1568" s="484"/>
    </row>
    <row r="1569">
      <c r="A1569" s="485">
        <v>45203.76028278936</v>
      </c>
      <c r="B1569" s="162" t="s">
        <v>1324</v>
      </c>
      <c r="C1569" s="484"/>
    </row>
    <row r="1570">
      <c r="A1570" s="485">
        <v>45203.79145027778</v>
      </c>
      <c r="B1570" s="162" t="s">
        <v>1324</v>
      </c>
      <c r="C1570" s="484"/>
    </row>
    <row r="1571">
      <c r="A1571" s="485">
        <v>45203.975679236115</v>
      </c>
      <c r="B1571" s="162" t="s">
        <v>1323</v>
      </c>
      <c r="C1571" s="484"/>
    </row>
    <row r="1572">
      <c r="A1572" s="485">
        <v>45203.978059236106</v>
      </c>
      <c r="B1572" s="162" t="s">
        <v>1324</v>
      </c>
      <c r="C1572" s="484"/>
    </row>
    <row r="1573">
      <c r="A1573" s="485">
        <v>45203.97800481481</v>
      </c>
      <c r="B1573" s="162" t="s">
        <v>1324</v>
      </c>
      <c r="C1573" s="484"/>
    </row>
    <row r="1574">
      <c r="A1574" s="485">
        <v>45203.988742002315</v>
      </c>
      <c r="B1574" s="162" t="s">
        <v>1324</v>
      </c>
      <c r="C1574" s="484"/>
    </row>
    <row r="1575">
      <c r="A1575" s="485">
        <v>45204.66205297454</v>
      </c>
      <c r="B1575" s="162" t="s">
        <v>1323</v>
      </c>
      <c r="C1575" s="484"/>
    </row>
    <row r="1576">
      <c r="A1576" s="485">
        <v>45204.66706905093</v>
      </c>
      <c r="B1576" s="162" t="s">
        <v>1324</v>
      </c>
      <c r="C1576" s="484"/>
    </row>
    <row r="1577">
      <c r="A1577" s="485">
        <v>45204.69065822917</v>
      </c>
      <c r="B1577" s="162" t="s">
        <v>1324</v>
      </c>
      <c r="C1577" s="484"/>
    </row>
    <row r="1578">
      <c r="A1578" s="485">
        <v>45204.749281076394</v>
      </c>
      <c r="B1578" s="162" t="s">
        <v>1324</v>
      </c>
      <c r="C1578" s="484"/>
    </row>
    <row r="1579">
      <c r="A1579" s="485">
        <v>45204.76178648148</v>
      </c>
      <c r="B1579" s="162" t="s">
        <v>1323</v>
      </c>
      <c r="C1579" s="484"/>
    </row>
    <row r="1580">
      <c r="A1580" s="485">
        <v>45204.76680074074</v>
      </c>
      <c r="B1580" s="162" t="s">
        <v>1324</v>
      </c>
      <c r="C1580" s="484"/>
    </row>
    <row r="1581">
      <c r="A1581" s="485">
        <v>45204.786996111114</v>
      </c>
      <c r="B1581" s="162" t="s">
        <v>1324</v>
      </c>
      <c r="C1581" s="484"/>
    </row>
    <row r="1582">
      <c r="A1582" s="485">
        <v>45204.865410983795</v>
      </c>
      <c r="B1582" s="162" t="s">
        <v>1323</v>
      </c>
      <c r="C1582" s="484"/>
    </row>
    <row r="1583">
      <c r="A1583" s="485">
        <v>45204.87158369213</v>
      </c>
      <c r="B1583" s="162" t="s">
        <v>1324</v>
      </c>
      <c r="C1583" s="484"/>
    </row>
    <row r="1584">
      <c r="A1584" s="485">
        <v>45204.892499837966</v>
      </c>
      <c r="B1584" s="162" t="s">
        <v>1324</v>
      </c>
      <c r="C1584" s="484"/>
    </row>
    <row r="1585">
      <c r="A1585" s="485">
        <v>45204.957171284725</v>
      </c>
      <c r="B1585" s="162" t="s">
        <v>1324</v>
      </c>
      <c r="C1585" s="484"/>
    </row>
    <row r="1586">
      <c r="A1586" s="485">
        <v>45205.707634502316</v>
      </c>
      <c r="B1586" s="162" t="s">
        <v>1324</v>
      </c>
      <c r="C1586" s="484"/>
    </row>
    <row r="1587">
      <c r="A1587" s="485">
        <v>45205.8880478125</v>
      </c>
      <c r="B1587" s="162" t="s">
        <v>1323</v>
      </c>
      <c r="C1587" s="484"/>
    </row>
    <row r="1588">
      <c r="A1588" s="485">
        <v>45205.89263944444</v>
      </c>
      <c r="B1588" s="162" t="s">
        <v>1324</v>
      </c>
      <c r="C1588" s="484"/>
    </row>
    <row r="1589">
      <c r="A1589" s="485">
        <v>45205.89977358797</v>
      </c>
      <c r="B1589" s="162" t="s">
        <v>1323</v>
      </c>
      <c r="C1589" s="484"/>
    </row>
    <row r="1590">
      <c r="A1590" s="485">
        <v>45205.905530104166</v>
      </c>
      <c r="B1590" s="162" t="s">
        <v>1324</v>
      </c>
      <c r="C1590" s="484"/>
    </row>
    <row r="1591">
      <c r="A1591" s="485">
        <v>45205.93243975694</v>
      </c>
      <c r="B1591" s="162" t="s">
        <v>1324</v>
      </c>
      <c r="C1591" s="484"/>
    </row>
    <row r="1592">
      <c r="A1592" s="485">
        <v>45205.953406342596</v>
      </c>
      <c r="B1592" s="162" t="s">
        <v>1323</v>
      </c>
      <c r="C1592" s="484"/>
    </row>
    <row r="1593">
      <c r="A1593" s="485">
        <v>45205.95804079861</v>
      </c>
      <c r="B1593" s="162" t="s">
        <v>1324</v>
      </c>
      <c r="C1593" s="484"/>
    </row>
    <row r="1594">
      <c r="A1594" s="485">
        <v>45205.99327537037</v>
      </c>
      <c r="B1594" s="162" t="s">
        <v>1323</v>
      </c>
      <c r="C1594" s="484"/>
    </row>
    <row r="1595">
      <c r="A1595" s="485">
        <v>45205.99850155093</v>
      </c>
      <c r="B1595" s="162" t="s">
        <v>1324</v>
      </c>
      <c r="C1595" s="484"/>
    </row>
    <row r="1596">
      <c r="A1596" s="485">
        <v>45208.7102659838</v>
      </c>
      <c r="B1596" s="162" t="s">
        <v>1323</v>
      </c>
      <c r="C1596" s="484"/>
    </row>
    <row r="1597">
      <c r="A1597" s="485">
        <v>45208.7175041088</v>
      </c>
      <c r="B1597" s="162" t="s">
        <v>1324</v>
      </c>
      <c r="C1597" s="484"/>
    </row>
    <row r="1598">
      <c r="A1598" s="485">
        <v>45208.851295347224</v>
      </c>
      <c r="B1598" s="162" t="s">
        <v>1323</v>
      </c>
      <c r="C1598" s="484"/>
    </row>
    <row r="1599">
      <c r="A1599" s="485">
        <v>45208.858173796296</v>
      </c>
      <c r="B1599" s="162" t="s">
        <v>1324</v>
      </c>
      <c r="C1599" s="484"/>
    </row>
    <row r="1600">
      <c r="A1600" s="485">
        <v>45208.91701376157</v>
      </c>
      <c r="B1600" s="162" t="s">
        <v>1323</v>
      </c>
      <c r="C1600" s="484"/>
    </row>
    <row r="1601">
      <c r="A1601" s="485">
        <v>45208.92365064815</v>
      </c>
      <c r="B1601" s="162" t="s">
        <v>1324</v>
      </c>
      <c r="C1601" s="484"/>
    </row>
    <row r="1602">
      <c r="A1602" s="485">
        <v>45208.95000788194</v>
      </c>
      <c r="B1602" s="162" t="s">
        <v>1323</v>
      </c>
      <c r="C1602" s="484"/>
    </row>
    <row r="1603">
      <c r="A1603" s="485">
        <v>45208.95580891204</v>
      </c>
      <c r="B1603" s="162" t="s">
        <v>1324</v>
      </c>
      <c r="C1603" s="484"/>
    </row>
    <row r="1604">
      <c r="A1604" s="485">
        <v>45208.96514201388</v>
      </c>
      <c r="B1604" s="162" t="s">
        <v>1324</v>
      </c>
      <c r="C1604" s="484"/>
    </row>
    <row r="1605">
      <c r="A1605" s="485">
        <v>45209.663415937495</v>
      </c>
      <c r="B1605" s="162" t="s">
        <v>1323</v>
      </c>
      <c r="C1605" s="484"/>
    </row>
    <row r="1606">
      <c r="A1606" s="485">
        <v>45209.669660520834</v>
      </c>
      <c r="B1606" s="162" t="s">
        <v>1324</v>
      </c>
      <c r="C1606" s="484"/>
    </row>
    <row r="1607">
      <c r="A1607" s="485">
        <v>45209.69188670139</v>
      </c>
      <c r="B1607" s="162" t="s">
        <v>1324</v>
      </c>
      <c r="C1607" s="484"/>
    </row>
    <row r="1608">
      <c r="A1608" s="485">
        <v>45209.72044099537</v>
      </c>
      <c r="B1608" s="162" t="s">
        <v>1323</v>
      </c>
      <c r="C1608" s="484"/>
    </row>
    <row r="1609">
      <c r="A1609" s="485">
        <v>45209.72711702547</v>
      </c>
      <c r="B1609" s="162" t="s">
        <v>1324</v>
      </c>
      <c r="C1609" s="484"/>
    </row>
    <row r="1610">
      <c r="A1610" s="485">
        <v>45209.83082011574</v>
      </c>
      <c r="B1610" s="162" t="s">
        <v>1324</v>
      </c>
      <c r="C1610" s="484"/>
    </row>
    <row r="1611">
      <c r="A1611" s="485">
        <v>45209.83961225694</v>
      </c>
      <c r="B1611" s="162" t="s">
        <v>1324</v>
      </c>
      <c r="C1611" s="484"/>
    </row>
    <row r="1612">
      <c r="A1612" s="485">
        <v>45209.88577987268</v>
      </c>
      <c r="B1612" s="162" t="s">
        <v>1323</v>
      </c>
      <c r="C1612" s="484"/>
    </row>
    <row r="1613">
      <c r="A1613" s="485">
        <v>45209.89138035879</v>
      </c>
      <c r="B1613" s="162" t="s">
        <v>1324</v>
      </c>
      <c r="C1613" s="484"/>
    </row>
    <row r="1614">
      <c r="A1614" s="485">
        <v>45209.947221215276</v>
      </c>
      <c r="B1614" s="162" t="s">
        <v>1324</v>
      </c>
      <c r="C1614" s="484"/>
    </row>
    <row r="1615">
      <c r="A1615" s="485">
        <v>45209.997008402774</v>
      </c>
      <c r="B1615" s="162" t="s">
        <v>1323</v>
      </c>
      <c r="C1615" s="484"/>
    </row>
    <row r="1616">
      <c r="A1616" s="485">
        <v>45210.00240084491</v>
      </c>
      <c r="B1616" s="162" t="s">
        <v>1324</v>
      </c>
      <c r="C1616" s="484"/>
    </row>
    <row r="1617">
      <c r="A1617" s="485">
        <v>45210.66069791667</v>
      </c>
      <c r="B1617" s="162" t="s">
        <v>1323</v>
      </c>
      <c r="C1617" s="484"/>
    </row>
    <row r="1618">
      <c r="A1618" s="485">
        <v>45210.71137907407</v>
      </c>
      <c r="B1618" s="162" t="s">
        <v>1324</v>
      </c>
      <c r="C1618" s="484"/>
    </row>
    <row r="1619">
      <c r="A1619" s="485">
        <v>45210.814194039354</v>
      </c>
      <c r="B1619" s="162" t="s">
        <v>1323</v>
      </c>
      <c r="C1619" s="484"/>
    </row>
    <row r="1620">
      <c r="A1620" s="485">
        <v>45210.82001121528</v>
      </c>
      <c r="B1620" s="162" t="s">
        <v>1324</v>
      </c>
      <c r="C1620" s="484"/>
    </row>
    <row r="1621">
      <c r="A1621" s="485">
        <v>45210.8528837037</v>
      </c>
      <c r="B1621" s="162" t="s">
        <v>1324</v>
      </c>
      <c r="C1621" s="484"/>
    </row>
    <row r="1622">
      <c r="A1622" s="485">
        <v>45210.88648642361</v>
      </c>
      <c r="B1622" s="162" t="s">
        <v>1323</v>
      </c>
      <c r="C1622" s="484"/>
    </row>
    <row r="1623">
      <c r="A1623" s="485">
        <v>45210.89799275463</v>
      </c>
      <c r="B1623" s="162" t="s">
        <v>1324</v>
      </c>
      <c r="C1623" s="484"/>
    </row>
    <row r="1624">
      <c r="A1624" s="485">
        <v>45210.92145633102</v>
      </c>
      <c r="B1624" s="162" t="s">
        <v>1323</v>
      </c>
      <c r="C1624" s="484"/>
    </row>
    <row r="1625">
      <c r="A1625" s="485">
        <v>45210.926658067125</v>
      </c>
      <c r="B1625" s="162" t="s">
        <v>1324</v>
      </c>
      <c r="C1625" s="484"/>
    </row>
    <row r="1626">
      <c r="A1626" s="485">
        <v>45210.93099458334</v>
      </c>
      <c r="B1626" s="162" t="s">
        <v>1324</v>
      </c>
      <c r="C1626" s="484"/>
    </row>
    <row r="1627">
      <c r="A1627" s="485">
        <v>45210.972091874995</v>
      </c>
      <c r="B1627" s="162" t="s">
        <v>1324</v>
      </c>
      <c r="C1627" s="484"/>
    </row>
    <row r="1628">
      <c r="A1628" s="485">
        <v>45211.6610231713</v>
      </c>
      <c r="B1628" s="162" t="s">
        <v>1323</v>
      </c>
      <c r="C1628" s="484"/>
    </row>
    <row r="1629">
      <c r="A1629" s="485">
        <v>45211.667446481486</v>
      </c>
      <c r="B1629" s="162" t="s">
        <v>1324</v>
      </c>
      <c r="C1629" s="484"/>
    </row>
    <row r="1630">
      <c r="A1630" s="485">
        <v>45211.753136203704</v>
      </c>
      <c r="B1630" s="162" t="s">
        <v>1323</v>
      </c>
      <c r="C1630" s="484"/>
    </row>
    <row r="1631">
      <c r="A1631" s="485">
        <v>45211.7598655787</v>
      </c>
      <c r="B1631" s="162" t="s">
        <v>1324</v>
      </c>
      <c r="C1631" s="484"/>
    </row>
    <row r="1632">
      <c r="A1632" s="485">
        <v>45211.800673460646</v>
      </c>
      <c r="B1632" s="162" t="s">
        <v>1324</v>
      </c>
      <c r="C1632" s="484"/>
    </row>
    <row r="1633">
      <c r="A1633" s="485">
        <v>45211.81086766203</v>
      </c>
      <c r="B1633" s="162" t="s">
        <v>1324</v>
      </c>
      <c r="C1633" s="484"/>
    </row>
    <row r="1634">
      <c r="A1634" s="485">
        <v>45211.84312144676</v>
      </c>
      <c r="B1634" s="162" t="s">
        <v>1324</v>
      </c>
      <c r="C1634" s="484"/>
    </row>
    <row r="1635">
      <c r="A1635" s="485">
        <v>45211.8672846875</v>
      </c>
      <c r="B1635" s="162" t="s">
        <v>1324</v>
      </c>
      <c r="C1635" s="484"/>
    </row>
    <row r="1636">
      <c r="A1636" s="485">
        <v>45211.89246631945</v>
      </c>
      <c r="B1636" s="162" t="s">
        <v>1324</v>
      </c>
      <c r="C1636" s="484"/>
    </row>
    <row r="1637">
      <c r="A1637" s="485">
        <v>45211.9200940625</v>
      </c>
      <c r="B1637" s="162" t="s">
        <v>1324</v>
      </c>
      <c r="C1637" s="484"/>
    </row>
    <row r="1638">
      <c r="A1638" s="485">
        <v>45212.613582962964</v>
      </c>
      <c r="B1638" s="162" t="s">
        <v>1324</v>
      </c>
      <c r="C1638" s="484"/>
    </row>
    <row r="1639">
      <c r="A1639" s="485">
        <v>45212.68334957176</v>
      </c>
      <c r="B1639" s="162" t="s">
        <v>1323</v>
      </c>
      <c r="C1639" s="484"/>
    </row>
    <row r="1640">
      <c r="A1640" s="485">
        <v>45212.689856365745</v>
      </c>
      <c r="B1640" s="162" t="s">
        <v>1324</v>
      </c>
      <c r="C1640" s="484"/>
    </row>
    <row r="1641">
      <c r="A1641" s="485">
        <v>45212.72171921296</v>
      </c>
      <c r="B1641" s="162" t="s">
        <v>1324</v>
      </c>
      <c r="C1641" s="484"/>
    </row>
    <row r="1642">
      <c r="A1642" s="485">
        <v>45212.80846868055</v>
      </c>
      <c r="B1642" s="162" t="s">
        <v>1323</v>
      </c>
      <c r="C1642" s="484"/>
    </row>
    <row r="1643">
      <c r="A1643" s="485">
        <v>45212.81542490741</v>
      </c>
      <c r="B1643" s="162" t="s">
        <v>1324</v>
      </c>
      <c r="C1643" s="484"/>
    </row>
    <row r="1644">
      <c r="A1644" s="485">
        <v>45212.850475266205</v>
      </c>
      <c r="B1644" s="162" t="s">
        <v>1323</v>
      </c>
      <c r="C1644" s="484"/>
    </row>
    <row r="1645">
      <c r="A1645" s="485">
        <v>45212.85696502315</v>
      </c>
      <c r="B1645" s="162" t="s">
        <v>1324</v>
      </c>
      <c r="C1645" s="484"/>
    </row>
    <row r="1646">
      <c r="A1646" s="485">
        <v>45212.879446782405</v>
      </c>
      <c r="B1646" s="162" t="s">
        <v>1324</v>
      </c>
      <c r="C1646" s="484"/>
    </row>
    <row r="1647">
      <c r="A1647" s="485">
        <v>45212.89022563657</v>
      </c>
      <c r="B1647" s="162" t="s">
        <v>1323</v>
      </c>
      <c r="C1647" s="484"/>
    </row>
    <row r="1648">
      <c r="A1648" s="485">
        <v>45212.89649806713</v>
      </c>
      <c r="B1648" s="162" t="s">
        <v>1324</v>
      </c>
      <c r="C1648" s="484"/>
    </row>
    <row r="1649">
      <c r="A1649" s="485">
        <v>45212.95849148148</v>
      </c>
      <c r="B1649" s="162" t="s">
        <v>1324</v>
      </c>
      <c r="C1649" s="484"/>
    </row>
    <row r="1650">
      <c r="A1650" s="485">
        <v>45212.9897396875</v>
      </c>
      <c r="B1650" s="162" t="s">
        <v>1323</v>
      </c>
      <c r="C1650" s="484"/>
    </row>
    <row r="1651">
      <c r="A1651" s="485">
        <v>45212.995492766204</v>
      </c>
      <c r="B1651" s="162" t="s">
        <v>1324</v>
      </c>
      <c r="C1651" s="484"/>
    </row>
    <row r="1652">
      <c r="A1652" s="485">
        <v>45215.65591001157</v>
      </c>
      <c r="B1652" s="162" t="s">
        <v>1323</v>
      </c>
      <c r="C1652" s="484"/>
    </row>
    <row r="1653">
      <c r="A1653" s="485">
        <v>45215.664902696764</v>
      </c>
      <c r="B1653" s="162" t="s">
        <v>1324</v>
      </c>
      <c r="C1653" s="484"/>
    </row>
    <row r="1654">
      <c r="A1654" s="485">
        <v>45215.69085596065</v>
      </c>
      <c r="B1654" s="162" t="s">
        <v>1323</v>
      </c>
      <c r="C1654" s="484"/>
    </row>
    <row r="1655">
      <c r="A1655" s="485">
        <v>45215.69670209491</v>
      </c>
      <c r="B1655" s="162" t="s">
        <v>1324</v>
      </c>
      <c r="C1655" s="484"/>
    </row>
    <row r="1656">
      <c r="A1656" s="485">
        <v>45215.74186483797</v>
      </c>
      <c r="B1656" s="162" t="s">
        <v>1324</v>
      </c>
      <c r="C1656" s="484"/>
    </row>
    <row r="1657">
      <c r="A1657" s="485">
        <v>45215.87137699074</v>
      </c>
      <c r="B1657" s="162" t="s">
        <v>1323</v>
      </c>
      <c r="C1657" s="484"/>
    </row>
    <row r="1658">
      <c r="A1658" s="485">
        <v>45215.8782087963</v>
      </c>
      <c r="B1658" s="162" t="s">
        <v>1324</v>
      </c>
      <c r="C1658" s="484"/>
    </row>
    <row r="1659">
      <c r="A1659" s="485">
        <v>45215.89565315972</v>
      </c>
      <c r="B1659" s="162" t="s">
        <v>1324</v>
      </c>
      <c r="C1659" s="484"/>
    </row>
    <row r="1660">
      <c r="A1660" s="485">
        <v>45215.89844957176</v>
      </c>
      <c r="B1660" s="162" t="s">
        <v>1323</v>
      </c>
      <c r="C1660" s="484"/>
    </row>
    <row r="1661">
      <c r="A1661" s="485">
        <v>45215.90649780093</v>
      </c>
      <c r="B1661" s="162" t="s">
        <v>1324</v>
      </c>
      <c r="C1661" s="484"/>
    </row>
    <row r="1662">
      <c r="A1662" s="485">
        <v>45215.9726046412</v>
      </c>
      <c r="B1662" s="162" t="s">
        <v>1324</v>
      </c>
      <c r="C1662" s="484"/>
    </row>
    <row r="1663">
      <c r="A1663" s="485">
        <v>45216.75017609954</v>
      </c>
      <c r="B1663" s="162" t="s">
        <v>1323</v>
      </c>
      <c r="C1663" s="484"/>
    </row>
    <row r="1664">
      <c r="A1664" s="485">
        <v>45216.75479248843</v>
      </c>
      <c r="B1664" s="162" t="s">
        <v>1323</v>
      </c>
      <c r="C1664" s="484"/>
    </row>
    <row r="1665">
      <c r="A1665" s="485">
        <v>45216.759475266204</v>
      </c>
      <c r="B1665" s="162" t="s">
        <v>1324</v>
      </c>
      <c r="C1665" s="484"/>
    </row>
    <row r="1666">
      <c r="A1666" s="485">
        <v>45216.81607126158</v>
      </c>
      <c r="B1666" s="162" t="s">
        <v>1323</v>
      </c>
      <c r="C1666" s="484"/>
    </row>
    <row r="1667">
      <c r="A1667" s="485">
        <v>45216.82347240741</v>
      </c>
      <c r="B1667" s="162" t="s">
        <v>1324</v>
      </c>
      <c r="C1667" s="484"/>
    </row>
    <row r="1668">
      <c r="A1668" s="485">
        <v>45216.8506750463</v>
      </c>
      <c r="B1668" s="162" t="s">
        <v>1324</v>
      </c>
      <c r="C1668" s="484"/>
    </row>
    <row r="1669">
      <c r="A1669" s="485">
        <v>45217.009356400464</v>
      </c>
      <c r="B1669" s="162" t="s">
        <v>1323</v>
      </c>
      <c r="C1669" s="484"/>
    </row>
    <row r="1670">
      <c r="A1670" s="485">
        <v>45217.01665896991</v>
      </c>
      <c r="B1670" s="162" t="s">
        <v>1324</v>
      </c>
      <c r="C1670" s="484"/>
    </row>
    <row r="1671">
      <c r="A1671" s="485">
        <v>45217.66203949074</v>
      </c>
      <c r="B1671" s="162" t="s">
        <v>1323</v>
      </c>
      <c r="C1671" s="484"/>
    </row>
    <row r="1672">
      <c r="A1672" s="485">
        <v>45217.668781932865</v>
      </c>
      <c r="B1672" s="162" t="s">
        <v>1324</v>
      </c>
      <c r="C1672" s="484"/>
    </row>
    <row r="1673">
      <c r="A1673" s="485">
        <v>45217.68787037037</v>
      </c>
      <c r="B1673" s="162" t="s">
        <v>1324</v>
      </c>
      <c r="C1673" s="484"/>
    </row>
    <row r="1674">
      <c r="A1674" s="485">
        <v>45217.69866436343</v>
      </c>
      <c r="B1674" s="162" t="s">
        <v>1323</v>
      </c>
      <c r="C1674" s="484"/>
    </row>
    <row r="1675">
      <c r="A1675" s="485">
        <v>45217.704856296295</v>
      </c>
      <c r="B1675" s="162" t="s">
        <v>1324</v>
      </c>
      <c r="C1675" s="484"/>
    </row>
    <row r="1676">
      <c r="A1676" s="485">
        <v>45217.715666516204</v>
      </c>
      <c r="B1676" s="162" t="s">
        <v>1324</v>
      </c>
      <c r="C1676" s="484"/>
    </row>
    <row r="1677">
      <c r="A1677" s="485">
        <v>45217.72903775463</v>
      </c>
      <c r="B1677" s="162" t="s">
        <v>1324</v>
      </c>
      <c r="C1677" s="484"/>
    </row>
    <row r="1678">
      <c r="A1678" s="485">
        <v>45217.83162534722</v>
      </c>
      <c r="B1678" s="162" t="s">
        <v>1323</v>
      </c>
      <c r="C1678" s="484"/>
    </row>
    <row r="1679">
      <c r="A1679" s="485">
        <v>45217.83862761574</v>
      </c>
      <c r="B1679" s="162" t="s">
        <v>1324</v>
      </c>
      <c r="C1679" s="484"/>
    </row>
    <row r="1680">
      <c r="A1680" s="485">
        <v>45217.89886353009</v>
      </c>
      <c r="B1680" s="162" t="s">
        <v>1324</v>
      </c>
      <c r="C1680" s="484"/>
    </row>
    <row r="1681">
      <c r="A1681" s="485">
        <v>45217.995183125</v>
      </c>
      <c r="B1681" s="162" t="s">
        <v>1323</v>
      </c>
      <c r="C1681" s="484"/>
    </row>
    <row r="1682">
      <c r="A1682" s="485">
        <v>45218.00111597222</v>
      </c>
      <c r="B1682" s="162" t="s">
        <v>1324</v>
      </c>
      <c r="C1682" s="484"/>
    </row>
    <row r="1683">
      <c r="A1683" s="485">
        <v>45218.016529872686</v>
      </c>
      <c r="B1683" s="162" t="s">
        <v>1323</v>
      </c>
      <c r="C1683" s="484"/>
    </row>
    <row r="1684">
      <c r="A1684" s="485">
        <v>45218.023640914354</v>
      </c>
      <c r="B1684" s="162" t="s">
        <v>1324</v>
      </c>
      <c r="C1684" s="484"/>
    </row>
    <row r="1685">
      <c r="A1685" s="485">
        <v>45218.68327652778</v>
      </c>
      <c r="B1685" s="162" t="s">
        <v>1324</v>
      </c>
      <c r="C1685" s="484"/>
    </row>
    <row r="1686">
      <c r="A1686" s="485">
        <v>45218.85149019676</v>
      </c>
      <c r="B1686" s="162" t="s">
        <v>1324</v>
      </c>
      <c r="C1686" s="484"/>
    </row>
    <row r="1687">
      <c r="A1687" s="485">
        <v>45219.01122956019</v>
      </c>
      <c r="B1687" s="162" t="s">
        <v>1324</v>
      </c>
      <c r="C1687" s="484"/>
    </row>
    <row r="1688">
      <c r="A1688" s="485">
        <v>45219.73928836806</v>
      </c>
      <c r="B1688" s="162" t="s">
        <v>1324</v>
      </c>
      <c r="C1688" s="484"/>
    </row>
    <row r="1689">
      <c r="A1689" s="485">
        <v>45220.016014560184</v>
      </c>
      <c r="B1689" s="162" t="s">
        <v>1324</v>
      </c>
      <c r="C1689" s="484"/>
    </row>
    <row r="1690">
      <c r="A1690" s="485">
        <v>45222.70115425926</v>
      </c>
      <c r="B1690" s="162" t="s">
        <v>1324</v>
      </c>
      <c r="C1690" s="484"/>
    </row>
    <row r="1691">
      <c r="A1691" s="485">
        <v>45222.93875457176</v>
      </c>
      <c r="B1691" s="162" t="s">
        <v>1324</v>
      </c>
      <c r="C1691" s="484"/>
    </row>
    <row r="1692">
      <c r="A1692" s="485">
        <v>45223.633700300925</v>
      </c>
      <c r="B1692" s="162" t="s">
        <v>1324</v>
      </c>
      <c r="C1692" s="484"/>
    </row>
    <row r="1693">
      <c r="A1693" s="485">
        <v>45223.734469918985</v>
      </c>
      <c r="B1693" s="162" t="s">
        <v>1324</v>
      </c>
      <c r="C1693" s="484"/>
    </row>
    <row r="1694">
      <c r="A1694" s="485">
        <v>45223.84769693287</v>
      </c>
      <c r="B1694" s="162" t="s">
        <v>1323</v>
      </c>
      <c r="C1694" s="484"/>
    </row>
    <row r="1695">
      <c r="A1695" s="485">
        <v>45223.85445834491</v>
      </c>
      <c r="B1695" s="162" t="s">
        <v>1324</v>
      </c>
      <c r="C1695" s="484"/>
    </row>
    <row r="1696">
      <c r="A1696" s="485">
        <v>45223.94382891204</v>
      </c>
      <c r="B1696" s="162" t="s">
        <v>1324</v>
      </c>
      <c r="C1696" s="484" t="s">
        <v>1342</v>
      </c>
    </row>
    <row r="1697">
      <c r="A1697" s="485">
        <v>45224.657215</v>
      </c>
      <c r="B1697" s="162" t="s">
        <v>1323</v>
      </c>
      <c r="C1697" s="484" t="s">
        <v>1342</v>
      </c>
    </row>
    <row r="1698">
      <c r="A1698" s="485">
        <v>45224.66407741898</v>
      </c>
      <c r="B1698" s="162" t="s">
        <v>1324</v>
      </c>
      <c r="C1698" s="484" t="s">
        <v>1342</v>
      </c>
    </row>
    <row r="1699">
      <c r="A1699" s="485">
        <v>45224.71178650463</v>
      </c>
      <c r="B1699" s="162" t="s">
        <v>1324</v>
      </c>
      <c r="C1699" s="484" t="s">
        <v>1342</v>
      </c>
    </row>
    <row r="1700">
      <c r="A1700" s="485">
        <v>45224.76832986111</v>
      </c>
      <c r="B1700" s="162" t="s">
        <v>1323</v>
      </c>
      <c r="C1700" s="484" t="s">
        <v>1342</v>
      </c>
    </row>
    <row r="1701">
      <c r="A1701" s="485">
        <v>45224.77546072917</v>
      </c>
      <c r="B1701" s="162" t="s">
        <v>1324</v>
      </c>
      <c r="C1701" s="484" t="s">
        <v>1342</v>
      </c>
    </row>
    <row r="1702">
      <c r="A1702" s="485">
        <v>45224.85484706018</v>
      </c>
      <c r="B1702" s="162" t="s">
        <v>1323</v>
      </c>
      <c r="C1702" s="484" t="s">
        <v>1342</v>
      </c>
    </row>
    <row r="1703">
      <c r="A1703" s="485">
        <v>45224.86181998842</v>
      </c>
      <c r="B1703" s="162" t="s">
        <v>1324</v>
      </c>
      <c r="C1703" s="484" t="s">
        <v>1342</v>
      </c>
    </row>
    <row r="1704">
      <c r="A1704" s="485">
        <v>45224.87483644676</v>
      </c>
      <c r="B1704" s="162" t="s">
        <v>1324</v>
      </c>
      <c r="C1704" s="484" t="s">
        <v>1342</v>
      </c>
    </row>
    <row r="1705">
      <c r="A1705" s="485">
        <v>45224.90741252315</v>
      </c>
      <c r="B1705" s="162" t="s">
        <v>1324</v>
      </c>
      <c r="C1705" s="484" t="s">
        <v>1342</v>
      </c>
    </row>
    <row r="1706">
      <c r="A1706" s="485">
        <v>45224.98966263889</v>
      </c>
      <c r="B1706" s="162" t="s">
        <v>1324</v>
      </c>
      <c r="C1706" s="484" t="s">
        <v>1342</v>
      </c>
    </row>
    <row r="1707">
      <c r="A1707" s="485">
        <v>45225.663419641205</v>
      </c>
      <c r="B1707" s="162" t="s">
        <v>1323</v>
      </c>
      <c r="C1707" s="484"/>
    </row>
    <row r="1708">
      <c r="A1708" s="485">
        <v>45225.67039961806</v>
      </c>
      <c r="B1708" s="162" t="s">
        <v>1324</v>
      </c>
      <c r="C1708" s="484" t="s">
        <v>1342</v>
      </c>
    </row>
    <row r="1709">
      <c r="A1709" s="485">
        <v>45225.740992858795</v>
      </c>
      <c r="B1709" s="162" t="s">
        <v>1323</v>
      </c>
      <c r="C1709" s="484"/>
    </row>
    <row r="1710">
      <c r="A1710" s="485">
        <v>45225.747018842594</v>
      </c>
      <c r="B1710" s="162" t="s">
        <v>1324</v>
      </c>
      <c r="C1710" s="484" t="s">
        <v>1342</v>
      </c>
    </row>
    <row r="1711">
      <c r="A1711" s="485">
        <v>45225.890450625</v>
      </c>
      <c r="B1711" s="162" t="s">
        <v>1323</v>
      </c>
      <c r="C1711" s="484"/>
    </row>
    <row r="1712">
      <c r="A1712" s="485">
        <v>45225.89797789352</v>
      </c>
      <c r="B1712" s="162" t="s">
        <v>1324</v>
      </c>
      <c r="C1712" s="484"/>
    </row>
    <row r="1713">
      <c r="A1713" s="485">
        <v>45225.952502615735</v>
      </c>
      <c r="B1713" s="162" t="s">
        <v>1324</v>
      </c>
      <c r="C1713" s="484"/>
    </row>
    <row r="1714">
      <c r="A1714" s="485">
        <v>45226.022980497684</v>
      </c>
      <c r="B1714" s="162" t="s">
        <v>1324</v>
      </c>
      <c r="C1714" s="484"/>
    </row>
    <row r="1715">
      <c r="A1715" s="485">
        <v>45226.65854778935</v>
      </c>
      <c r="B1715" s="162" t="s">
        <v>1324</v>
      </c>
      <c r="C1715" s="484"/>
    </row>
    <row r="1716">
      <c r="A1716" s="485">
        <v>45226.740622083336</v>
      </c>
      <c r="B1716" s="162" t="s">
        <v>1323</v>
      </c>
      <c r="C1716" s="484"/>
    </row>
    <row r="1717">
      <c r="A1717" s="485">
        <v>45226.747767361114</v>
      </c>
      <c r="B1717" s="162" t="s">
        <v>1324</v>
      </c>
      <c r="C1717" s="484"/>
    </row>
    <row r="1718">
      <c r="A1718" s="485">
        <v>45226.806123981485</v>
      </c>
      <c r="B1718" s="162" t="s">
        <v>1323</v>
      </c>
      <c r="C1718" s="484"/>
    </row>
    <row r="1719">
      <c r="A1719" s="485">
        <v>45226.813110682866</v>
      </c>
      <c r="B1719" s="162" t="s">
        <v>1324</v>
      </c>
      <c r="C1719" s="484"/>
    </row>
    <row r="1720">
      <c r="A1720" s="485">
        <v>45226.91242460648</v>
      </c>
      <c r="B1720" s="162" t="s">
        <v>1323</v>
      </c>
      <c r="C1720" s="484"/>
    </row>
    <row r="1721">
      <c r="A1721" s="485">
        <v>45226.91934680556</v>
      </c>
      <c r="B1721" s="162" t="s">
        <v>1324</v>
      </c>
      <c r="C1721" s="484"/>
    </row>
    <row r="1722">
      <c r="A1722" s="485">
        <v>45226.96651346065</v>
      </c>
      <c r="B1722" s="162" t="s">
        <v>1324</v>
      </c>
      <c r="C1722" s="484"/>
    </row>
    <row r="1723">
      <c r="A1723" s="485">
        <v>45226.99928314815</v>
      </c>
      <c r="B1723" s="162" t="s">
        <v>1323</v>
      </c>
      <c r="C1723" s="484"/>
    </row>
    <row r="1724">
      <c r="A1724" s="485">
        <v>45227.00539665509</v>
      </c>
      <c r="B1724" s="162" t="s">
        <v>1324</v>
      </c>
      <c r="C1724" s="484"/>
    </row>
    <row r="1725">
      <c r="A1725" s="485">
        <v>45229.73604899306</v>
      </c>
      <c r="B1725" s="162" t="s">
        <v>1323</v>
      </c>
      <c r="C1725" s="484"/>
    </row>
    <row r="1726">
      <c r="A1726" s="485">
        <v>45229.74307261574</v>
      </c>
      <c r="B1726" s="162" t="s">
        <v>1324</v>
      </c>
      <c r="C1726" s="484"/>
    </row>
    <row r="1727">
      <c r="A1727" s="485">
        <v>45229.86124046297</v>
      </c>
      <c r="B1727" s="162" t="s">
        <v>1324</v>
      </c>
      <c r="C1727" s="484"/>
    </row>
    <row r="1728">
      <c r="A1728" s="485">
        <v>45229.925433703705</v>
      </c>
      <c r="B1728" s="162" t="s">
        <v>1324</v>
      </c>
      <c r="C1728" s="484"/>
    </row>
    <row r="1729">
      <c r="A1729" s="485">
        <v>45229.99910447917</v>
      </c>
      <c r="B1729" s="162" t="s">
        <v>1323</v>
      </c>
      <c r="C1729" s="484"/>
    </row>
    <row r="1730">
      <c r="A1730" s="485">
        <v>45230.007349583335</v>
      </c>
      <c r="B1730" s="162" t="s">
        <v>1324</v>
      </c>
      <c r="C1730" s="484"/>
    </row>
    <row r="1731">
      <c r="A1731" s="485">
        <v>45230.76380503472</v>
      </c>
      <c r="B1731" s="162" t="s">
        <v>1324</v>
      </c>
      <c r="C1731" s="484"/>
    </row>
    <row r="1732">
      <c r="A1732" s="485">
        <v>45230.769966990745</v>
      </c>
      <c r="B1732" s="162" t="s">
        <v>1324</v>
      </c>
      <c r="C1732" s="484"/>
    </row>
    <row r="1733">
      <c r="A1733" s="485">
        <v>45230.87939862268</v>
      </c>
      <c r="B1733" s="162" t="s">
        <v>1323</v>
      </c>
      <c r="C1733" s="484"/>
    </row>
    <row r="1734">
      <c r="A1734" s="485">
        <v>45230.88666800926</v>
      </c>
      <c r="B1734" s="162" t="s">
        <v>1324</v>
      </c>
      <c r="C1734" s="484"/>
    </row>
    <row r="1735">
      <c r="A1735" s="485">
        <v>45230.99431006944</v>
      </c>
      <c r="B1735" s="162" t="s">
        <v>1324</v>
      </c>
      <c r="C1735" s="484"/>
    </row>
    <row r="1736">
      <c r="A1736" s="485">
        <v>45231.00803840278</v>
      </c>
      <c r="B1736" s="162" t="s">
        <v>1324</v>
      </c>
      <c r="C1736" s="484"/>
    </row>
    <row r="1737">
      <c r="A1737" s="485">
        <v>45231.598110300925</v>
      </c>
      <c r="B1737" s="162" t="s">
        <v>1323</v>
      </c>
      <c r="C1737" s="484"/>
    </row>
    <row r="1738">
      <c r="A1738" s="485">
        <v>45231.60616628472</v>
      </c>
      <c r="B1738" s="162" t="s">
        <v>1324</v>
      </c>
      <c r="C1738" s="484"/>
    </row>
    <row r="1739">
      <c r="A1739" s="485">
        <v>45231.62507175926</v>
      </c>
      <c r="B1739" s="162" t="s">
        <v>1324</v>
      </c>
      <c r="C1739" s="484"/>
    </row>
    <row r="1740">
      <c r="A1740" s="485">
        <v>45231.66559665509</v>
      </c>
      <c r="B1740" s="162" t="s">
        <v>1323</v>
      </c>
      <c r="C1740" s="484"/>
    </row>
    <row r="1741">
      <c r="A1741" s="485">
        <v>45231.673547997685</v>
      </c>
      <c r="B1741" s="162" t="s">
        <v>1324</v>
      </c>
      <c r="C1741" s="484"/>
    </row>
    <row r="1742">
      <c r="A1742" s="485">
        <v>45231.732648171295</v>
      </c>
      <c r="B1742" s="162" t="s">
        <v>1323</v>
      </c>
      <c r="C1742" s="484"/>
    </row>
    <row r="1743">
      <c r="A1743" s="485">
        <v>45231.73971407408</v>
      </c>
      <c r="B1743" s="162" t="s">
        <v>1324</v>
      </c>
      <c r="C1743" s="484"/>
    </row>
    <row r="1744">
      <c r="A1744" s="485">
        <v>45231.799085046296</v>
      </c>
      <c r="B1744" s="162" t="s">
        <v>1323</v>
      </c>
      <c r="C1744" s="484"/>
    </row>
    <row r="1745">
      <c r="A1745" s="485">
        <v>45231.807446527775</v>
      </c>
      <c r="B1745" s="162" t="s">
        <v>1324</v>
      </c>
      <c r="C1745" s="484"/>
    </row>
    <row r="1746">
      <c r="A1746" s="485">
        <v>45231.83225356482</v>
      </c>
      <c r="B1746" s="162" t="s">
        <v>1323</v>
      </c>
      <c r="C1746" s="484"/>
    </row>
    <row r="1747">
      <c r="A1747" s="485">
        <v>45231.83962103009</v>
      </c>
      <c r="B1747" s="162" t="s">
        <v>1324</v>
      </c>
      <c r="C1747" s="484"/>
    </row>
    <row r="1748">
      <c r="A1748" s="485">
        <v>45231.938945358794</v>
      </c>
      <c r="B1748" s="162" t="s">
        <v>1323</v>
      </c>
      <c r="C1748" s="484"/>
    </row>
    <row r="1749">
      <c r="A1749" s="485">
        <v>45231.945298680555</v>
      </c>
      <c r="B1749" s="162" t="s">
        <v>1324</v>
      </c>
      <c r="C1749" s="484"/>
    </row>
    <row r="1750">
      <c r="A1750" s="485">
        <v>45231.96495923611</v>
      </c>
      <c r="B1750" s="162" t="s">
        <v>1324</v>
      </c>
      <c r="C1750" s="484"/>
    </row>
    <row r="1751">
      <c r="A1751" s="485">
        <v>45231.96633121528</v>
      </c>
      <c r="B1751" s="162" t="s">
        <v>1324</v>
      </c>
      <c r="C1751" s="484"/>
    </row>
    <row r="1752">
      <c r="A1752" s="485">
        <v>45232.58333767361</v>
      </c>
      <c r="B1752" s="162" t="s">
        <v>1323</v>
      </c>
      <c r="C1752" s="484"/>
    </row>
    <row r="1753">
      <c r="A1753" s="485">
        <v>45232.58930034722</v>
      </c>
      <c r="B1753" s="162" t="s">
        <v>1324</v>
      </c>
      <c r="C1753" s="484"/>
    </row>
    <row r="1754">
      <c r="A1754" s="485">
        <v>45232.787046446756</v>
      </c>
      <c r="B1754" s="162" t="s">
        <v>1323</v>
      </c>
      <c r="C1754" s="484"/>
    </row>
    <row r="1755">
      <c r="A1755" s="485">
        <v>45232.79524381945</v>
      </c>
      <c r="B1755" s="162" t="s">
        <v>1324</v>
      </c>
      <c r="C1755" s="484"/>
    </row>
    <row r="1756">
      <c r="A1756" s="485">
        <v>45232.874178680555</v>
      </c>
      <c r="B1756" s="162" t="s">
        <v>1324</v>
      </c>
      <c r="C1756" s="484"/>
    </row>
    <row r="1757">
      <c r="A1757" s="485">
        <v>45232.95394569445</v>
      </c>
      <c r="B1757" s="162" t="s">
        <v>1324</v>
      </c>
      <c r="C1757" s="484"/>
    </row>
    <row r="1758">
      <c r="A1758" s="485">
        <v>45232.9812771875</v>
      </c>
      <c r="B1758" s="162" t="s">
        <v>1323</v>
      </c>
      <c r="C1758" s="484"/>
    </row>
    <row r="1759">
      <c r="A1759" s="485">
        <v>45232.98744467593</v>
      </c>
      <c r="B1759" s="162" t="s">
        <v>1324</v>
      </c>
      <c r="C1759" s="484"/>
    </row>
    <row r="1760">
      <c r="A1760" s="485">
        <v>45232.99147820602</v>
      </c>
      <c r="B1760" s="162" t="s">
        <v>1323</v>
      </c>
      <c r="C1760" s="484"/>
    </row>
    <row r="1761">
      <c r="A1761" s="485">
        <v>45233.00113050926</v>
      </c>
      <c r="B1761" s="162" t="s">
        <v>1324</v>
      </c>
      <c r="C1761" s="484"/>
    </row>
    <row r="1762">
      <c r="A1762" s="485">
        <v>45233.70920622685</v>
      </c>
      <c r="B1762" s="162" t="s">
        <v>1324</v>
      </c>
      <c r="C1762" s="484"/>
    </row>
    <row r="1763">
      <c r="A1763" s="485">
        <v>45233.86977806713</v>
      </c>
      <c r="B1763" s="162" t="s">
        <v>1324</v>
      </c>
      <c r="C1763" s="484"/>
    </row>
    <row r="1764">
      <c r="A1764" s="485">
        <v>45233.91117310185</v>
      </c>
      <c r="B1764" s="162" t="s">
        <v>1323</v>
      </c>
      <c r="C1764" s="484"/>
    </row>
    <row r="1765">
      <c r="A1765" s="485">
        <v>45233.91866378472</v>
      </c>
      <c r="B1765" s="162" t="s">
        <v>1324</v>
      </c>
      <c r="C1765" s="484"/>
    </row>
    <row r="1766">
      <c r="A1766" s="485">
        <v>45233.947479166665</v>
      </c>
      <c r="B1766" s="162" t="s">
        <v>1324</v>
      </c>
      <c r="C1766" s="484"/>
    </row>
    <row r="1767">
      <c r="A1767" s="485">
        <v>45233.97669679398</v>
      </c>
      <c r="B1767" s="162" t="s">
        <v>1323</v>
      </c>
      <c r="C1767" s="484"/>
    </row>
    <row r="1768">
      <c r="A1768" s="485">
        <v>45233.982783900465</v>
      </c>
      <c r="B1768" s="162" t="s">
        <v>1324</v>
      </c>
      <c r="C1768" s="484"/>
    </row>
    <row r="1769">
      <c r="A1769" s="485">
        <v>45236.838631562496</v>
      </c>
      <c r="B1769" s="162" t="s">
        <v>1323</v>
      </c>
      <c r="C1769" s="484"/>
    </row>
    <row r="1770">
      <c r="A1770" s="485">
        <v>45236.846184131944</v>
      </c>
      <c r="B1770" s="162" t="s">
        <v>1324</v>
      </c>
      <c r="C1770" s="484"/>
    </row>
    <row r="1771">
      <c r="A1771" s="485">
        <v>45236.91291488426</v>
      </c>
      <c r="B1771" s="162" t="s">
        <v>1324</v>
      </c>
      <c r="C1771" s="484"/>
    </row>
    <row r="1772">
      <c r="A1772" s="485">
        <v>45237.00025484954</v>
      </c>
      <c r="B1772" s="162" t="s">
        <v>1323</v>
      </c>
      <c r="C1772" s="484"/>
    </row>
    <row r="1773">
      <c r="A1773" s="485">
        <v>45237.006377812504</v>
      </c>
      <c r="B1773" s="162" t="s">
        <v>1324</v>
      </c>
      <c r="C1773" s="484"/>
    </row>
    <row r="1774">
      <c r="A1774" s="485">
        <v>45237.7571409838</v>
      </c>
      <c r="B1774" s="162" t="s">
        <v>1323</v>
      </c>
      <c r="C1774" s="484"/>
    </row>
    <row r="1775">
      <c r="A1775" s="485">
        <v>45237.76436084491</v>
      </c>
      <c r="B1775" s="162" t="s">
        <v>1324</v>
      </c>
      <c r="C1775" s="484" t="s">
        <v>1343</v>
      </c>
    </row>
    <row r="1776">
      <c r="A1776" s="485">
        <v>45237.766547384264</v>
      </c>
      <c r="B1776" s="162" t="s">
        <v>1324</v>
      </c>
      <c r="C1776" s="484"/>
    </row>
    <row r="1777">
      <c r="A1777" s="485">
        <v>45237.83587087963</v>
      </c>
      <c r="B1777" s="162" t="s">
        <v>1323</v>
      </c>
      <c r="C1777" s="484"/>
    </row>
    <row r="1778">
      <c r="A1778" s="485">
        <v>45237.841913530094</v>
      </c>
      <c r="B1778" s="162" t="s">
        <v>1324</v>
      </c>
      <c r="C1778" s="484"/>
    </row>
    <row r="1779">
      <c r="A1779" s="485">
        <v>45238.00778890046</v>
      </c>
      <c r="B1779" s="162" t="s">
        <v>1324</v>
      </c>
      <c r="C1779" s="484"/>
    </row>
    <row r="1780">
      <c r="A1780" s="485">
        <v>45238.675877430556</v>
      </c>
      <c r="B1780" s="162" t="s">
        <v>1323</v>
      </c>
      <c r="C1780" s="484"/>
    </row>
    <row r="1781">
      <c r="A1781" s="485">
        <v>45238.68220195602</v>
      </c>
      <c r="B1781" s="162" t="s">
        <v>1324</v>
      </c>
      <c r="C1781" s="484"/>
    </row>
    <row r="1782">
      <c r="A1782" s="485">
        <v>45238.70849979167</v>
      </c>
      <c r="B1782" s="162" t="s">
        <v>1324</v>
      </c>
      <c r="C1782" s="484"/>
    </row>
    <row r="1783">
      <c r="A1783" s="485">
        <v>45238.78750604167</v>
      </c>
      <c r="B1783" s="162" t="s">
        <v>1324</v>
      </c>
      <c r="C1783" s="484"/>
    </row>
    <row r="1784">
      <c r="A1784" s="485">
        <v>45238.88676434028</v>
      </c>
      <c r="B1784" s="162" t="s">
        <v>1323</v>
      </c>
      <c r="C1784" s="484"/>
    </row>
    <row r="1785">
      <c r="A1785" s="485">
        <v>45238.89486559028</v>
      </c>
      <c r="B1785" s="162" t="s">
        <v>1324</v>
      </c>
      <c r="C1785" s="484"/>
    </row>
    <row r="1786">
      <c r="A1786" s="485">
        <v>45238.910987407406</v>
      </c>
      <c r="B1786" s="162" t="s">
        <v>1323</v>
      </c>
      <c r="C1786" s="484"/>
    </row>
    <row r="1787">
      <c r="A1787" s="485">
        <v>45238.98133988426</v>
      </c>
      <c r="B1787" s="162" t="s">
        <v>1324</v>
      </c>
      <c r="C1787" s="484"/>
    </row>
    <row r="1788">
      <c r="A1788" s="485">
        <v>45239.65635967592</v>
      </c>
      <c r="B1788" s="162" t="s">
        <v>1323</v>
      </c>
      <c r="C1788" s="484"/>
    </row>
    <row r="1789">
      <c r="A1789" s="485">
        <v>45239.6632944213</v>
      </c>
      <c r="B1789" s="162" t="s">
        <v>1324</v>
      </c>
      <c r="C1789" s="484"/>
    </row>
    <row r="1790">
      <c r="A1790" s="485">
        <v>45239.702489814816</v>
      </c>
      <c r="B1790" s="162" t="s">
        <v>1323</v>
      </c>
      <c r="C1790" s="484"/>
    </row>
    <row r="1791">
      <c r="A1791" s="485">
        <v>45239.708585706016</v>
      </c>
      <c r="B1791" s="162" t="s">
        <v>1324</v>
      </c>
      <c r="C1791" s="484"/>
    </row>
    <row r="1792">
      <c r="A1792" s="485">
        <v>45239.7558853125</v>
      </c>
      <c r="B1792" s="162" t="s">
        <v>1323</v>
      </c>
      <c r="C1792" s="484"/>
    </row>
    <row r="1793">
      <c r="A1793" s="485">
        <v>45239.762925069444</v>
      </c>
      <c r="B1793" s="162" t="s">
        <v>1324</v>
      </c>
      <c r="C1793" s="484"/>
    </row>
    <row r="1794">
      <c r="A1794" s="485">
        <v>45239.8014990625</v>
      </c>
      <c r="B1794" s="162" t="s">
        <v>1323</v>
      </c>
      <c r="C1794" s="484"/>
    </row>
    <row r="1795">
      <c r="A1795" s="485">
        <v>45239.80886363426</v>
      </c>
      <c r="B1795" s="162" t="s">
        <v>1324</v>
      </c>
      <c r="C1795" s="484"/>
    </row>
    <row r="1796">
      <c r="A1796" s="485">
        <v>45239.86559412037</v>
      </c>
      <c r="B1796" s="162" t="s">
        <v>1324</v>
      </c>
      <c r="C1796" s="484"/>
    </row>
    <row r="1797">
      <c r="A1797" s="485">
        <v>45240.66463</v>
      </c>
      <c r="B1797" s="162" t="s">
        <v>1323</v>
      </c>
      <c r="C1797" s="484"/>
    </row>
    <row r="1798">
      <c r="A1798" s="485">
        <v>45240.68347373843</v>
      </c>
      <c r="B1798" s="162" t="s">
        <v>1323</v>
      </c>
      <c r="C1798" s="484"/>
    </row>
    <row r="1799">
      <c r="A1799" s="485">
        <v>45240.69003429398</v>
      </c>
      <c r="B1799" s="162" t="s">
        <v>1324</v>
      </c>
      <c r="C1799" s="484"/>
    </row>
    <row r="1800">
      <c r="A1800" s="485">
        <v>45240.7708190625</v>
      </c>
      <c r="B1800" s="162" t="s">
        <v>1324</v>
      </c>
      <c r="C1800" s="484"/>
    </row>
    <row r="1801">
      <c r="A1801" s="485">
        <v>45240.78662601852</v>
      </c>
      <c r="B1801" s="162" t="s">
        <v>1323</v>
      </c>
      <c r="C1801" s="484"/>
    </row>
    <row r="1802">
      <c r="A1802" s="485">
        <v>45240.79373346065</v>
      </c>
      <c r="B1802" s="162" t="s">
        <v>1324</v>
      </c>
      <c r="C1802" s="484"/>
    </row>
    <row r="1803">
      <c r="A1803" s="485">
        <v>45240.87423623842</v>
      </c>
      <c r="B1803" s="162" t="s">
        <v>1324</v>
      </c>
      <c r="C1803" s="484"/>
    </row>
    <row r="1804">
      <c r="A1804" s="485">
        <v>45240.900178842596</v>
      </c>
      <c r="B1804" s="162" t="s">
        <v>1323</v>
      </c>
      <c r="C1804" s="484"/>
    </row>
    <row r="1805">
      <c r="A1805" s="485">
        <v>45240.90733292824</v>
      </c>
      <c r="B1805" s="162" t="s">
        <v>1324</v>
      </c>
      <c r="C1805" s="484"/>
    </row>
    <row r="1806">
      <c r="A1806" s="485">
        <v>45240.98986412037</v>
      </c>
      <c r="B1806" s="162" t="s">
        <v>1324</v>
      </c>
      <c r="C1806" s="484"/>
    </row>
    <row r="1807">
      <c r="A1807" s="485">
        <v>45243.174062499995</v>
      </c>
      <c r="B1807" s="162" t="s">
        <v>1324</v>
      </c>
      <c r="C1807" s="484"/>
    </row>
    <row r="1808">
      <c r="A1808" s="485">
        <v>45243.781155150464</v>
      </c>
      <c r="B1808" s="162" t="s">
        <v>1323</v>
      </c>
      <c r="C1808" s="484"/>
    </row>
    <row r="1809">
      <c r="A1809" s="485">
        <v>45243.78768221065</v>
      </c>
      <c r="B1809" s="162" t="s">
        <v>1324</v>
      </c>
      <c r="C1809" s="484"/>
    </row>
    <row r="1810">
      <c r="A1810" s="485">
        <v>45243.821300069445</v>
      </c>
      <c r="B1810" s="162" t="s">
        <v>1324</v>
      </c>
      <c r="C1810" s="484"/>
    </row>
    <row r="1811">
      <c r="A1811" s="485">
        <v>45244.72099578704</v>
      </c>
      <c r="B1811" s="162" t="s">
        <v>1323</v>
      </c>
      <c r="C1811" s="484"/>
    </row>
    <row r="1812">
      <c r="A1812" s="485">
        <v>45244.72781273148</v>
      </c>
      <c r="B1812" s="162" t="s">
        <v>1324</v>
      </c>
      <c r="C1812" s="484" t="s">
        <v>1344</v>
      </c>
    </row>
    <row r="1813">
      <c r="A1813" s="485">
        <v>45244.903307534725</v>
      </c>
      <c r="B1813" s="162" t="s">
        <v>1323</v>
      </c>
      <c r="C1813" s="484"/>
    </row>
    <row r="1814">
      <c r="A1814" s="485">
        <v>45244.910181875</v>
      </c>
      <c r="B1814" s="162" t="s">
        <v>1324</v>
      </c>
      <c r="C1814" s="484" t="s">
        <v>1344</v>
      </c>
    </row>
    <row r="1815">
      <c r="A1815" s="485">
        <v>45245.00684543981</v>
      </c>
      <c r="B1815" s="162" t="s">
        <v>1323</v>
      </c>
      <c r="C1815" s="484"/>
    </row>
    <row r="1816">
      <c r="A1816" s="485">
        <v>45245.01375295139</v>
      </c>
      <c r="B1816" s="162" t="s">
        <v>1324</v>
      </c>
      <c r="C1816" s="484" t="s">
        <v>1344</v>
      </c>
    </row>
    <row r="1817">
      <c r="A1817" s="485">
        <v>45245.63120690972</v>
      </c>
      <c r="B1817" s="162" t="s">
        <v>1324</v>
      </c>
      <c r="C1817" s="484" t="s">
        <v>1344</v>
      </c>
    </row>
    <row r="1818">
      <c r="A1818" s="485">
        <v>45245.650797662034</v>
      </c>
      <c r="B1818" s="162" t="s">
        <v>1323</v>
      </c>
      <c r="C1818" s="484"/>
    </row>
    <row r="1819">
      <c r="A1819" s="485">
        <v>45245.65964730324</v>
      </c>
      <c r="B1819" s="162" t="s">
        <v>1324</v>
      </c>
      <c r="C1819" s="484" t="s">
        <v>1344</v>
      </c>
    </row>
    <row r="1820">
      <c r="A1820" s="485">
        <v>45245.68420849537</v>
      </c>
      <c r="B1820" s="162" t="s">
        <v>1324</v>
      </c>
      <c r="C1820" s="484" t="s">
        <v>1344</v>
      </c>
    </row>
    <row r="1821">
      <c r="A1821" s="485">
        <v>45245.68419179398</v>
      </c>
      <c r="B1821" s="162" t="s">
        <v>1324</v>
      </c>
      <c r="C1821" s="484" t="s">
        <v>1344</v>
      </c>
    </row>
    <row r="1822">
      <c r="A1822" s="485">
        <v>45245.703867337965</v>
      </c>
      <c r="B1822" s="162" t="s">
        <v>1323</v>
      </c>
      <c r="C1822" s="484"/>
    </row>
    <row r="1823">
      <c r="A1823" s="485">
        <v>45245.71188199074</v>
      </c>
      <c r="B1823" s="162" t="s">
        <v>1324</v>
      </c>
      <c r="C1823" s="484" t="s">
        <v>1344</v>
      </c>
    </row>
    <row r="1824">
      <c r="A1824" s="485">
        <v>45245.852491261576</v>
      </c>
      <c r="B1824" s="162" t="s">
        <v>1323</v>
      </c>
      <c r="C1824" s="484"/>
    </row>
    <row r="1825">
      <c r="A1825" s="485">
        <v>45245.85918601852</v>
      </c>
      <c r="B1825" s="162" t="s">
        <v>1324</v>
      </c>
      <c r="C1825" s="484" t="s">
        <v>1344</v>
      </c>
    </row>
    <row r="1826">
      <c r="A1826" s="485">
        <v>45245.98393736111</v>
      </c>
      <c r="B1826" s="162" t="s">
        <v>1323</v>
      </c>
      <c r="C1826" s="484"/>
    </row>
    <row r="1827">
      <c r="A1827" s="485">
        <v>45245.9931760301</v>
      </c>
      <c r="B1827" s="162" t="s">
        <v>1324</v>
      </c>
      <c r="C1827" s="484" t="s">
        <v>1344</v>
      </c>
    </row>
    <row r="1828">
      <c r="A1828" s="485">
        <v>45246.71306883101</v>
      </c>
      <c r="B1828" s="162" t="s">
        <v>1324</v>
      </c>
      <c r="C1828" s="484" t="s">
        <v>1344</v>
      </c>
    </row>
    <row r="1829">
      <c r="A1829" s="485">
        <v>45246.79937798611</v>
      </c>
      <c r="B1829" s="162" t="s">
        <v>1324</v>
      </c>
      <c r="C1829" s="484" t="s">
        <v>1344</v>
      </c>
    </row>
    <row r="1830">
      <c r="A1830" s="485">
        <v>45246.91182003472</v>
      </c>
      <c r="B1830" s="162" t="s">
        <v>1324</v>
      </c>
      <c r="C1830" s="484" t="s">
        <v>1344</v>
      </c>
    </row>
    <row r="1831">
      <c r="A1831" s="485">
        <v>45246.99878820602</v>
      </c>
      <c r="B1831" s="162" t="s">
        <v>1323</v>
      </c>
      <c r="C1831" s="484"/>
    </row>
    <row r="1832">
      <c r="A1832" s="485">
        <v>45247.00666479167</v>
      </c>
      <c r="B1832" s="162" t="s">
        <v>1324</v>
      </c>
      <c r="C1832" s="484"/>
    </row>
    <row r="1833">
      <c r="A1833" s="485">
        <v>45247.85879753472</v>
      </c>
      <c r="B1833" s="162" t="s">
        <v>1324</v>
      </c>
      <c r="C1833" s="484"/>
    </row>
    <row r="1834">
      <c r="A1834" s="485">
        <v>45247.86711516204</v>
      </c>
      <c r="B1834" s="162" t="s">
        <v>1324</v>
      </c>
      <c r="C1834" s="484"/>
    </row>
    <row r="1835">
      <c r="A1835" s="485">
        <v>45247.90032537037</v>
      </c>
      <c r="B1835" s="162" t="s">
        <v>1323</v>
      </c>
      <c r="C1835" s="484"/>
    </row>
    <row r="1836">
      <c r="A1836" s="485">
        <v>45247.90767512731</v>
      </c>
      <c r="B1836" s="162" t="s">
        <v>1324</v>
      </c>
      <c r="C1836" s="484"/>
    </row>
    <row r="1837">
      <c r="A1837" s="485">
        <v>45247.94388273148</v>
      </c>
      <c r="B1837" s="162" t="s">
        <v>1324</v>
      </c>
      <c r="C1837" s="484"/>
    </row>
    <row r="1838">
      <c r="A1838" s="485">
        <v>45247.951457523144</v>
      </c>
      <c r="B1838" s="162" t="s">
        <v>1323</v>
      </c>
      <c r="C1838" s="484"/>
    </row>
    <row r="1839">
      <c r="A1839" s="485">
        <v>45247.95957158565</v>
      </c>
      <c r="B1839" s="162" t="s">
        <v>1324</v>
      </c>
      <c r="C1839" s="484"/>
    </row>
    <row r="1840">
      <c r="A1840" s="485">
        <v>45247.992855856486</v>
      </c>
      <c r="B1840" s="162" t="s">
        <v>1324</v>
      </c>
      <c r="C1840" s="484"/>
    </row>
    <row r="1841">
      <c r="A1841" s="485">
        <v>45247.998704004625</v>
      </c>
      <c r="B1841" s="162" t="s">
        <v>1323</v>
      </c>
      <c r="C1841" s="484"/>
    </row>
    <row r="1842">
      <c r="A1842" s="485">
        <v>45248.00530027778</v>
      </c>
      <c r="B1842" s="162" t="s">
        <v>1324</v>
      </c>
      <c r="C1842" s="484"/>
    </row>
    <row r="1843">
      <c r="A1843" s="485">
        <v>45250.79086974537</v>
      </c>
      <c r="B1843" s="162" t="s">
        <v>1323</v>
      </c>
      <c r="C1843" s="484"/>
    </row>
    <row r="1844">
      <c r="A1844" s="485">
        <v>45250.79875920139</v>
      </c>
      <c r="B1844" s="162" t="s">
        <v>1324</v>
      </c>
      <c r="C1844" s="484"/>
    </row>
    <row r="1845">
      <c r="A1845" s="485">
        <v>45250.970696516204</v>
      </c>
      <c r="B1845" s="162" t="s">
        <v>1323</v>
      </c>
      <c r="C1845" s="484"/>
    </row>
    <row r="1846">
      <c r="A1846" s="485">
        <v>45250.97932787037</v>
      </c>
      <c r="B1846" s="162" t="s">
        <v>1324</v>
      </c>
      <c r="C1846" s="484"/>
    </row>
    <row r="1847">
      <c r="A1847" s="485">
        <v>45251.6545440162</v>
      </c>
      <c r="B1847" s="162" t="s">
        <v>1323</v>
      </c>
      <c r="C1847" s="484"/>
    </row>
    <row r="1848">
      <c r="A1848" s="485">
        <v>45251.660813634255</v>
      </c>
      <c r="B1848" s="162" t="s">
        <v>1324</v>
      </c>
      <c r="C1848" s="484"/>
    </row>
    <row r="1849">
      <c r="A1849" s="485">
        <v>45251.711660243054</v>
      </c>
      <c r="B1849" s="162" t="s">
        <v>1324</v>
      </c>
      <c r="C1849" s="484"/>
    </row>
    <row r="1850">
      <c r="A1850" s="485">
        <v>45251.73224002315</v>
      </c>
      <c r="B1850" s="162" t="s">
        <v>1323</v>
      </c>
      <c r="C1850" s="484"/>
    </row>
    <row r="1851">
      <c r="A1851" s="485">
        <v>45251.739092118056</v>
      </c>
      <c r="B1851" s="162" t="s">
        <v>1324</v>
      </c>
      <c r="C1851" s="484"/>
    </row>
    <row r="1852">
      <c r="A1852" s="485">
        <v>45251.781105138885</v>
      </c>
      <c r="B1852" s="162" t="s">
        <v>1324</v>
      </c>
      <c r="C1852" s="484"/>
    </row>
    <row r="1853">
      <c r="A1853" s="485">
        <v>45251.79040337963</v>
      </c>
      <c r="B1853" s="162" t="s">
        <v>1324</v>
      </c>
      <c r="C1853" s="484"/>
    </row>
    <row r="1854">
      <c r="A1854" s="485">
        <v>45251.93251921296</v>
      </c>
      <c r="B1854" s="162" t="s">
        <v>1323</v>
      </c>
      <c r="C1854" s="484"/>
    </row>
    <row r="1855">
      <c r="A1855" s="485">
        <v>45251.93943363426</v>
      </c>
      <c r="B1855" s="162" t="s">
        <v>1324</v>
      </c>
      <c r="C1855" s="484"/>
    </row>
    <row r="1856">
      <c r="A1856" s="485">
        <v>45251.97739252315</v>
      </c>
      <c r="B1856" s="162" t="s">
        <v>1324</v>
      </c>
      <c r="C1856" s="484"/>
    </row>
    <row r="1857">
      <c r="A1857" s="485">
        <v>45251.98271128473</v>
      </c>
      <c r="B1857" s="162" t="s">
        <v>1323</v>
      </c>
      <c r="C1857" s="484"/>
    </row>
    <row r="1858">
      <c r="A1858" s="485">
        <v>45251.99114012731</v>
      </c>
      <c r="B1858" s="162" t="s">
        <v>1324</v>
      </c>
      <c r="C1858" s="484"/>
    </row>
    <row r="1859">
      <c r="A1859" s="485">
        <v>45252.68323879629</v>
      </c>
      <c r="B1859" s="162" t="s">
        <v>1324</v>
      </c>
      <c r="C1859" s="484"/>
    </row>
    <row r="1860">
      <c r="A1860" s="485">
        <v>45252.75093274306</v>
      </c>
      <c r="B1860" s="162" t="s">
        <v>1323</v>
      </c>
      <c r="C1860" s="484"/>
    </row>
    <row r="1861">
      <c r="A1861" s="485">
        <v>45252.76045631945</v>
      </c>
      <c r="B1861" s="162" t="s">
        <v>1324</v>
      </c>
      <c r="C1861" s="484"/>
    </row>
    <row r="1862">
      <c r="A1862" s="485">
        <v>45252.83468327546</v>
      </c>
      <c r="B1862" s="162" t="s">
        <v>1323</v>
      </c>
      <c r="C1862" s="484"/>
    </row>
    <row r="1863">
      <c r="A1863" s="485">
        <v>45252.84185626157</v>
      </c>
      <c r="B1863" s="162" t="s">
        <v>1324</v>
      </c>
      <c r="C1863" s="484"/>
    </row>
    <row r="1864">
      <c r="A1864" s="485">
        <v>45252.90491311342</v>
      </c>
      <c r="B1864" s="162" t="s">
        <v>1323</v>
      </c>
      <c r="C1864" s="484"/>
    </row>
    <row r="1865">
      <c r="A1865" s="485">
        <v>45252.91188017361</v>
      </c>
      <c r="B1865" s="162" t="s">
        <v>1324</v>
      </c>
      <c r="C1865" s="484"/>
    </row>
    <row r="1866">
      <c r="A1866" s="485">
        <v>45256.74291291667</v>
      </c>
      <c r="B1866" s="162" t="s">
        <v>1323</v>
      </c>
      <c r="C1866" s="484"/>
    </row>
    <row r="1867">
      <c r="A1867" s="485">
        <v>45256.752699652774</v>
      </c>
      <c r="B1867" s="162" t="s">
        <v>1324</v>
      </c>
      <c r="C1867" s="484"/>
    </row>
    <row r="1868">
      <c r="A1868" s="485">
        <v>45257.70828905093</v>
      </c>
      <c r="B1868" s="162" t="s">
        <v>1324</v>
      </c>
      <c r="C1868" s="484"/>
    </row>
    <row r="1869">
      <c r="A1869" s="485">
        <v>45257.73426415509</v>
      </c>
      <c r="B1869" s="162" t="s">
        <v>1324</v>
      </c>
      <c r="C1869" s="484"/>
    </row>
    <row r="1870">
      <c r="A1870" s="485">
        <v>45257.78989023148</v>
      </c>
      <c r="B1870" s="162" t="s">
        <v>1324</v>
      </c>
      <c r="C1870" s="484"/>
    </row>
    <row r="1871">
      <c r="A1871" s="485">
        <v>45257.93479591435</v>
      </c>
      <c r="B1871" s="162" t="s">
        <v>1323</v>
      </c>
      <c r="C1871" s="484"/>
    </row>
    <row r="1872">
      <c r="A1872" s="485">
        <v>45257.94149709491</v>
      </c>
      <c r="B1872" s="162" t="s">
        <v>1323</v>
      </c>
      <c r="C1872" s="484"/>
    </row>
    <row r="1873">
      <c r="A1873" s="485">
        <v>45257.94904302083</v>
      </c>
      <c r="B1873" s="162" t="s">
        <v>1324</v>
      </c>
      <c r="C1873" s="484"/>
    </row>
    <row r="1874">
      <c r="A1874" s="485">
        <v>45258.673268900464</v>
      </c>
      <c r="B1874" s="162" t="s">
        <v>1324</v>
      </c>
      <c r="C1874" s="484"/>
    </row>
    <row r="1875">
      <c r="A1875" s="485">
        <v>45258.72117305556</v>
      </c>
      <c r="B1875" s="162" t="s">
        <v>1323</v>
      </c>
      <c r="C1875" s="484"/>
    </row>
    <row r="1876">
      <c r="A1876" s="485">
        <v>45258.72864857639</v>
      </c>
      <c r="B1876" s="162" t="s">
        <v>1324</v>
      </c>
      <c r="C1876" s="484"/>
    </row>
    <row r="1877">
      <c r="A1877" s="485">
        <v>45258.772704918985</v>
      </c>
      <c r="B1877" s="162" t="s">
        <v>1324</v>
      </c>
      <c r="C1877" s="484"/>
    </row>
    <row r="1878">
      <c r="A1878" s="485">
        <v>45258.79495545139</v>
      </c>
      <c r="B1878" s="162" t="s">
        <v>1323</v>
      </c>
      <c r="C1878" s="484"/>
    </row>
    <row r="1879">
      <c r="A1879" s="485">
        <v>45258.80166725694</v>
      </c>
      <c r="B1879" s="162" t="s">
        <v>1324</v>
      </c>
      <c r="C1879" s="484"/>
    </row>
    <row r="1880">
      <c r="A1880" s="485">
        <v>45258.8603337963</v>
      </c>
      <c r="B1880" s="162" t="s">
        <v>1323</v>
      </c>
      <c r="C1880" s="484"/>
    </row>
    <row r="1881">
      <c r="A1881" s="485">
        <v>45258.8692399537</v>
      </c>
      <c r="B1881" s="162" t="s">
        <v>1324</v>
      </c>
      <c r="C1881" s="484"/>
    </row>
    <row r="1882">
      <c r="A1882" s="485">
        <v>45258.96489728009</v>
      </c>
      <c r="B1882" s="162" t="s">
        <v>1324</v>
      </c>
      <c r="C1882" s="484"/>
    </row>
    <row r="1883">
      <c r="A1883" s="485">
        <v>45258.999640752314</v>
      </c>
      <c r="B1883" s="162" t="s">
        <v>1323</v>
      </c>
      <c r="C1883" s="484"/>
    </row>
    <row r="1884">
      <c r="A1884" s="485">
        <v>45259.006403113424</v>
      </c>
      <c r="B1884" s="162" t="s">
        <v>1324</v>
      </c>
      <c r="C1884" s="484"/>
    </row>
    <row r="1885">
      <c r="A1885" s="485">
        <v>45259.66445196759</v>
      </c>
      <c r="B1885" s="162" t="s">
        <v>1324</v>
      </c>
      <c r="C1885" s="484"/>
    </row>
    <row r="1886">
      <c r="A1886" s="485">
        <v>45259.707764618055</v>
      </c>
      <c r="B1886" s="162" t="s">
        <v>1323</v>
      </c>
      <c r="C1886" s="484"/>
    </row>
    <row r="1887">
      <c r="A1887" s="485">
        <v>45259.71684009259</v>
      </c>
      <c r="B1887" s="162" t="s">
        <v>1324</v>
      </c>
      <c r="C1887" s="484"/>
    </row>
    <row r="1888">
      <c r="A1888" s="485">
        <v>45259.73242884259</v>
      </c>
      <c r="B1888" s="162" t="s">
        <v>1324</v>
      </c>
      <c r="C1888" s="484"/>
    </row>
    <row r="1889">
      <c r="A1889" s="485">
        <v>45259.85534547454</v>
      </c>
      <c r="B1889" s="162" t="s">
        <v>1323</v>
      </c>
      <c r="C1889" s="484"/>
    </row>
    <row r="1890">
      <c r="A1890" s="485">
        <v>45259.86579797453</v>
      </c>
      <c r="B1890" s="162" t="s">
        <v>1324</v>
      </c>
      <c r="C1890" s="484"/>
    </row>
    <row r="1891">
      <c r="A1891" s="485">
        <v>45259.975637615746</v>
      </c>
      <c r="B1891" s="162" t="s">
        <v>1323</v>
      </c>
      <c r="C1891" s="484"/>
    </row>
    <row r="1892">
      <c r="A1892" s="485">
        <v>45259.984700497684</v>
      </c>
      <c r="B1892" s="162" t="s">
        <v>1324</v>
      </c>
      <c r="C1892" s="484"/>
    </row>
    <row r="1893">
      <c r="A1893" s="485">
        <v>45260.695712395835</v>
      </c>
      <c r="B1893" s="162" t="s">
        <v>1323</v>
      </c>
      <c r="C1893" s="484"/>
    </row>
    <row r="1894">
      <c r="A1894" s="485">
        <v>45260.709867060184</v>
      </c>
      <c r="B1894" s="162" t="s">
        <v>1324</v>
      </c>
      <c r="C1894" s="484" t="s">
        <v>1345</v>
      </c>
    </row>
    <row r="1895">
      <c r="A1895" s="485">
        <v>45260.84267603009</v>
      </c>
      <c r="B1895" s="162" t="s">
        <v>1323</v>
      </c>
      <c r="C1895" s="484"/>
    </row>
    <row r="1896">
      <c r="A1896" s="485">
        <v>45260.85132909722</v>
      </c>
      <c r="B1896" s="162" t="s">
        <v>1324</v>
      </c>
      <c r="C1896" s="484" t="s">
        <v>1345</v>
      </c>
    </row>
    <row r="1897">
      <c r="A1897" s="485">
        <v>45260.93593368056</v>
      </c>
      <c r="B1897" s="162" t="s">
        <v>1323</v>
      </c>
      <c r="C1897" s="484"/>
    </row>
    <row r="1898">
      <c r="A1898" s="485">
        <v>45260.94325049769</v>
      </c>
      <c r="B1898" s="162" t="s">
        <v>1324</v>
      </c>
      <c r="C1898" s="484" t="s">
        <v>1345</v>
      </c>
    </row>
    <row r="1899">
      <c r="A1899" s="485">
        <v>45261.00087403935</v>
      </c>
      <c r="B1899" s="162" t="s">
        <v>1323</v>
      </c>
      <c r="C1899" s="484"/>
    </row>
    <row r="1900">
      <c r="A1900" s="485">
        <v>45261.00863532408</v>
      </c>
      <c r="B1900" s="162" t="s">
        <v>1324</v>
      </c>
      <c r="C1900" s="484" t="s">
        <v>1345</v>
      </c>
    </row>
    <row r="1901">
      <c r="A1901" s="485">
        <v>45261.67322005787</v>
      </c>
      <c r="B1901" s="162" t="s">
        <v>1323</v>
      </c>
      <c r="C1901" s="484"/>
    </row>
    <row r="1902">
      <c r="A1902" s="485">
        <v>45261.67981666667</v>
      </c>
      <c r="B1902" s="162" t="s">
        <v>1324</v>
      </c>
      <c r="C1902" s="484" t="s">
        <v>1345</v>
      </c>
    </row>
    <row r="1903">
      <c r="A1903" s="485">
        <v>45261.73034927083</v>
      </c>
      <c r="B1903" s="162" t="s">
        <v>1324</v>
      </c>
      <c r="C1903" s="484" t="s">
        <v>1345</v>
      </c>
    </row>
    <row r="1904">
      <c r="A1904" s="485">
        <v>45261.77465190973</v>
      </c>
      <c r="B1904" s="162" t="s">
        <v>1323</v>
      </c>
      <c r="C1904" s="484"/>
    </row>
    <row r="1905">
      <c r="A1905" s="485">
        <v>45261.78168817129</v>
      </c>
      <c r="B1905" s="162" t="s">
        <v>1324</v>
      </c>
      <c r="C1905" s="484" t="s">
        <v>1345</v>
      </c>
    </row>
    <row r="1906">
      <c r="A1906" s="485">
        <v>45261.880739201384</v>
      </c>
      <c r="B1906" s="162" t="s">
        <v>1323</v>
      </c>
      <c r="C1906" s="484"/>
    </row>
    <row r="1907">
      <c r="A1907" s="485">
        <v>45261.888201168986</v>
      </c>
      <c r="B1907" s="162" t="s">
        <v>1324</v>
      </c>
      <c r="C1907" s="484" t="s">
        <v>1345</v>
      </c>
    </row>
    <row r="1908">
      <c r="A1908" s="485">
        <v>45261.983517256944</v>
      </c>
      <c r="B1908" s="162" t="s">
        <v>1323</v>
      </c>
      <c r="C1908" s="484"/>
    </row>
    <row r="1909">
      <c r="A1909" s="485">
        <v>45261.990149861114</v>
      </c>
      <c r="B1909" s="162" t="s">
        <v>1324</v>
      </c>
      <c r="C1909" s="484" t="s">
        <v>1345</v>
      </c>
    </row>
    <row r="1910">
      <c r="A1910" s="485">
        <v>45262.00803349537</v>
      </c>
      <c r="B1910" s="162" t="s">
        <v>1324</v>
      </c>
      <c r="C1910" s="484" t="s">
        <v>1345</v>
      </c>
    </row>
    <row r="1911">
      <c r="A1911" s="485">
        <v>45264.67095488426</v>
      </c>
      <c r="B1911" s="162" t="s">
        <v>1323</v>
      </c>
      <c r="C1911" s="484"/>
    </row>
    <row r="1912">
      <c r="A1912" s="485">
        <v>45264.681414907405</v>
      </c>
      <c r="B1912" s="162" t="s">
        <v>1324</v>
      </c>
      <c r="C1912" s="484" t="s">
        <v>1346</v>
      </c>
    </row>
    <row r="1913">
      <c r="A1913" s="485">
        <v>45264.82642271991</v>
      </c>
      <c r="B1913" s="162" t="s">
        <v>1323</v>
      </c>
      <c r="C1913" s="484"/>
    </row>
    <row r="1914">
      <c r="A1914" s="485">
        <v>45264.834591886574</v>
      </c>
      <c r="B1914" s="162" t="s">
        <v>1324</v>
      </c>
      <c r="C1914" s="484" t="s">
        <v>1346</v>
      </c>
    </row>
    <row r="1915">
      <c r="A1915" s="485">
        <v>45264.890379351855</v>
      </c>
      <c r="B1915" s="162" t="s">
        <v>1323</v>
      </c>
      <c r="C1915" s="484"/>
    </row>
    <row r="1916">
      <c r="A1916" s="485">
        <v>45264.89836949074</v>
      </c>
      <c r="B1916" s="162" t="s">
        <v>1324</v>
      </c>
      <c r="C1916" s="484" t="s">
        <v>1346</v>
      </c>
    </row>
    <row r="1917">
      <c r="A1917" s="485">
        <v>45264.97561563658</v>
      </c>
      <c r="B1917" s="162" t="s">
        <v>1323</v>
      </c>
      <c r="C1917" s="484"/>
    </row>
    <row r="1918">
      <c r="A1918" s="485">
        <v>45264.985091400464</v>
      </c>
      <c r="B1918" s="162" t="s">
        <v>1324</v>
      </c>
      <c r="C1918" s="484" t="s">
        <v>1346</v>
      </c>
    </row>
    <row r="1919">
      <c r="A1919" s="485">
        <v>45265.04422170139</v>
      </c>
      <c r="B1919" s="162" t="s">
        <v>1323</v>
      </c>
      <c r="C1919" s="484"/>
    </row>
    <row r="1920">
      <c r="A1920" s="485">
        <v>45265.05197144676</v>
      </c>
      <c r="B1920" s="162" t="s">
        <v>1324</v>
      </c>
      <c r="C1920" s="484" t="s">
        <v>1346</v>
      </c>
    </row>
    <row r="1921">
      <c r="A1921" s="485">
        <v>45265.64780274306</v>
      </c>
      <c r="B1921" s="162" t="s">
        <v>1324</v>
      </c>
      <c r="C1921" s="484" t="s">
        <v>1346</v>
      </c>
    </row>
    <row r="1922">
      <c r="A1922" s="485">
        <v>45265.78360380787</v>
      </c>
      <c r="B1922" s="162" t="s">
        <v>1323</v>
      </c>
      <c r="C1922" s="484"/>
    </row>
    <row r="1923">
      <c r="A1923" s="485">
        <v>45265.80677174768</v>
      </c>
      <c r="B1923" s="162" t="s">
        <v>1324</v>
      </c>
      <c r="C1923" s="484" t="s">
        <v>1346</v>
      </c>
    </row>
    <row r="1924">
      <c r="A1924" s="485">
        <v>45265.812398078706</v>
      </c>
      <c r="B1924" s="162" t="s">
        <v>1323</v>
      </c>
      <c r="C1924" s="484"/>
    </row>
    <row r="1925">
      <c r="A1925" s="485">
        <v>45265.82197039352</v>
      </c>
      <c r="B1925" s="162" t="s">
        <v>1324</v>
      </c>
      <c r="C1925" s="484" t="s">
        <v>1346</v>
      </c>
    </row>
    <row r="1926">
      <c r="A1926" s="485">
        <v>45265.84017782407</v>
      </c>
      <c r="B1926" s="162" t="s">
        <v>1323</v>
      </c>
      <c r="C1926" s="484"/>
    </row>
    <row r="1927">
      <c r="A1927" s="485">
        <v>45265.84721247685</v>
      </c>
      <c r="B1927" s="162" t="s">
        <v>1324</v>
      </c>
      <c r="C1927" s="484" t="s">
        <v>1346</v>
      </c>
    </row>
    <row r="1928">
      <c r="A1928" s="485">
        <v>45265.9187777662</v>
      </c>
      <c r="B1928" s="162" t="s">
        <v>1324</v>
      </c>
      <c r="C1928" s="484" t="s">
        <v>1346</v>
      </c>
    </row>
    <row r="1929">
      <c r="A1929" s="485">
        <v>45265.96625415509</v>
      </c>
      <c r="B1929" s="162" t="s">
        <v>1324</v>
      </c>
      <c r="C1929" s="484" t="s">
        <v>1346</v>
      </c>
    </row>
    <row r="1930">
      <c r="A1930" s="485">
        <v>45266.008007048615</v>
      </c>
      <c r="B1930" s="162" t="s">
        <v>1324</v>
      </c>
      <c r="C1930" s="484" t="s">
        <v>1346</v>
      </c>
    </row>
    <row r="1931">
      <c r="A1931" s="485">
        <v>45266.017967719905</v>
      </c>
      <c r="B1931" s="162" t="s">
        <v>1323</v>
      </c>
      <c r="C1931" s="484"/>
    </row>
    <row r="1932">
      <c r="A1932" s="485">
        <v>45266.026137974535</v>
      </c>
      <c r="B1932" s="162" t="s">
        <v>1324</v>
      </c>
      <c r="C1932" s="484" t="s">
        <v>1346</v>
      </c>
    </row>
    <row r="1933">
      <c r="A1933" s="485">
        <v>45266.03562131945</v>
      </c>
      <c r="B1933" s="162" t="s">
        <v>1324</v>
      </c>
      <c r="C1933" s="484" t="s">
        <v>1346</v>
      </c>
    </row>
    <row r="1934">
      <c r="A1934" s="485">
        <v>45266.69515097223</v>
      </c>
      <c r="B1934" s="162" t="s">
        <v>1323</v>
      </c>
      <c r="C1934" s="484"/>
    </row>
    <row r="1935">
      <c r="A1935" s="485">
        <v>45266.705082581015</v>
      </c>
      <c r="B1935" s="162" t="s">
        <v>1324</v>
      </c>
      <c r="C1935" s="484" t="s">
        <v>1346</v>
      </c>
    </row>
    <row r="1936">
      <c r="A1936" s="485">
        <v>45266.72733015046</v>
      </c>
      <c r="B1936" s="162" t="s">
        <v>1324</v>
      </c>
      <c r="C1936" s="484" t="s">
        <v>1346</v>
      </c>
    </row>
    <row r="1937">
      <c r="A1937" s="485">
        <v>45266.80976060186</v>
      </c>
      <c r="B1937" s="162" t="s">
        <v>1323</v>
      </c>
      <c r="C1937" s="484"/>
    </row>
    <row r="1938">
      <c r="A1938" s="485">
        <v>45266.81928703704</v>
      </c>
      <c r="B1938" s="162" t="s">
        <v>1324</v>
      </c>
      <c r="C1938" s="484" t="s">
        <v>1346</v>
      </c>
    </row>
    <row r="1939">
      <c r="A1939" s="485">
        <v>45266.91304372685</v>
      </c>
      <c r="B1939" s="162" t="s">
        <v>1323</v>
      </c>
      <c r="C1939" s="484"/>
    </row>
    <row r="1940">
      <c r="A1940" s="485">
        <v>45266.92299766204</v>
      </c>
      <c r="B1940" s="162" t="s">
        <v>1324</v>
      </c>
      <c r="C1940" s="484" t="s">
        <v>1346</v>
      </c>
    </row>
    <row r="1941">
      <c r="A1941" s="485">
        <v>45266.9889171875</v>
      </c>
      <c r="B1941" s="162" t="s">
        <v>1323</v>
      </c>
      <c r="C1941" s="484"/>
    </row>
    <row r="1942">
      <c r="A1942" s="485">
        <v>45266.99586815972</v>
      </c>
      <c r="B1942" s="162" t="s">
        <v>1324</v>
      </c>
      <c r="C1942" s="484" t="s">
        <v>1346</v>
      </c>
    </row>
    <row r="1943">
      <c r="A1943" s="485">
        <v>45267.033784618056</v>
      </c>
      <c r="B1943" s="162" t="s">
        <v>1324</v>
      </c>
      <c r="C1943" s="484" t="s">
        <v>1346</v>
      </c>
    </row>
    <row r="1944">
      <c r="A1944" s="485">
        <v>45267.04310383102</v>
      </c>
      <c r="B1944" s="162" t="s">
        <v>1324</v>
      </c>
      <c r="C1944" s="484" t="s">
        <v>1346</v>
      </c>
    </row>
    <row r="1945">
      <c r="A1945" s="485">
        <v>45267.72474356482</v>
      </c>
      <c r="B1945" s="162" t="s">
        <v>1323</v>
      </c>
      <c r="C1945" s="484"/>
    </row>
    <row r="1946">
      <c r="A1946" s="485">
        <v>45267.7287674074</v>
      </c>
      <c r="B1946" s="162" t="s">
        <v>1324</v>
      </c>
      <c r="C1946" s="484" t="s">
        <v>1347</v>
      </c>
    </row>
    <row r="1947">
      <c r="A1947" s="485">
        <v>45267.731108900465</v>
      </c>
      <c r="B1947" s="162" t="s">
        <v>1324</v>
      </c>
      <c r="C1947" s="484" t="s">
        <v>1347</v>
      </c>
    </row>
    <row r="1948">
      <c r="A1948" s="485">
        <v>45267.97521618055</v>
      </c>
      <c r="B1948" s="162" t="s">
        <v>1323</v>
      </c>
      <c r="C1948" s="484"/>
    </row>
    <row r="1949">
      <c r="A1949" s="485">
        <v>45267.98403760417</v>
      </c>
      <c r="B1949" s="162" t="s">
        <v>1324</v>
      </c>
      <c r="C1949" s="484" t="s">
        <v>1347</v>
      </c>
    </row>
    <row r="1950">
      <c r="A1950" s="485">
        <v>45268.0150784838</v>
      </c>
      <c r="B1950" s="162" t="s">
        <v>1324</v>
      </c>
      <c r="C1950" s="484" t="s">
        <v>1347</v>
      </c>
    </row>
    <row r="1951">
      <c r="A1951" s="485">
        <v>45268.720979687496</v>
      </c>
      <c r="B1951" s="162" t="s">
        <v>1323</v>
      </c>
      <c r="C1951" s="484"/>
    </row>
    <row r="1952">
      <c r="A1952" s="485">
        <v>45268.72589206019</v>
      </c>
      <c r="B1952" s="162" t="s">
        <v>1324</v>
      </c>
      <c r="C1952" s="484" t="s">
        <v>1347</v>
      </c>
    </row>
    <row r="1953">
      <c r="A1953" s="485">
        <v>45268.78996476852</v>
      </c>
      <c r="B1953" s="162" t="s">
        <v>1324</v>
      </c>
      <c r="C1953" s="484" t="s">
        <v>1347</v>
      </c>
    </row>
    <row r="1954">
      <c r="A1954" s="485">
        <v>45268.81870211806</v>
      </c>
      <c r="B1954" s="162" t="s">
        <v>1323</v>
      </c>
      <c r="C1954" s="484"/>
    </row>
    <row r="1955">
      <c r="A1955" s="485">
        <v>45268.82376452546</v>
      </c>
      <c r="B1955" s="162" t="s">
        <v>1324</v>
      </c>
      <c r="C1955" s="484" t="s">
        <v>1347</v>
      </c>
    </row>
    <row r="1956">
      <c r="A1956" s="485">
        <v>45268.86394689815</v>
      </c>
      <c r="B1956" s="162" t="s">
        <v>1324</v>
      </c>
      <c r="C1956" s="484" t="s">
        <v>1347</v>
      </c>
    </row>
    <row r="1957">
      <c r="A1957" s="485">
        <v>45268.89562137732</v>
      </c>
      <c r="B1957" s="162" t="s">
        <v>1323</v>
      </c>
      <c r="C1957" s="484"/>
    </row>
    <row r="1958">
      <c r="A1958" s="485">
        <v>45268.9007104051</v>
      </c>
      <c r="B1958" s="162" t="s">
        <v>1324</v>
      </c>
      <c r="C1958" s="484" t="s">
        <v>1347</v>
      </c>
    </row>
    <row r="1959">
      <c r="A1959" s="485">
        <v>45268.92430362268</v>
      </c>
      <c r="B1959" s="162" t="s">
        <v>1324</v>
      </c>
      <c r="C1959" s="484" t="s">
        <v>1347</v>
      </c>
    </row>
    <row r="1960">
      <c r="A1960" s="485">
        <v>45268.973661875</v>
      </c>
      <c r="B1960" s="162" t="s">
        <v>1323</v>
      </c>
      <c r="C1960" s="484"/>
    </row>
    <row r="1961">
      <c r="A1961" s="485">
        <v>45268.97812377315</v>
      </c>
      <c r="B1961" s="162" t="s">
        <v>1324</v>
      </c>
      <c r="C1961" s="484" t="s">
        <v>1347</v>
      </c>
    </row>
    <row r="1962">
      <c r="A1962" s="485">
        <v>45268.99878849537</v>
      </c>
      <c r="B1962" s="162" t="s">
        <v>1324</v>
      </c>
      <c r="C1962" s="484" t="s">
        <v>1347</v>
      </c>
    </row>
    <row r="1963">
      <c r="A1963" s="485">
        <v>45271.72088420139</v>
      </c>
      <c r="B1963" s="162" t="s">
        <v>1323</v>
      </c>
      <c r="C1963" s="484"/>
    </row>
    <row r="1964">
      <c r="A1964" s="485">
        <v>45271.72533347222</v>
      </c>
      <c r="B1964" s="162" t="s">
        <v>1324</v>
      </c>
      <c r="C1964" s="484" t="s">
        <v>1348</v>
      </c>
    </row>
    <row r="1965">
      <c r="A1965" s="485">
        <v>45271.73515328704</v>
      </c>
      <c r="B1965" s="162" t="s">
        <v>1323</v>
      </c>
      <c r="C1965" s="484"/>
    </row>
    <row r="1966">
      <c r="A1966" s="485">
        <v>45271.74031810185</v>
      </c>
      <c r="B1966" s="162" t="s">
        <v>1324</v>
      </c>
      <c r="C1966" s="484" t="s">
        <v>1348</v>
      </c>
    </row>
    <row r="1967">
      <c r="A1967" s="485">
        <v>45271.81872236111</v>
      </c>
      <c r="B1967" s="162" t="s">
        <v>1324</v>
      </c>
      <c r="C1967" s="484" t="s">
        <v>1348</v>
      </c>
    </row>
    <row r="1968">
      <c r="A1968" s="485">
        <v>45271.886545960646</v>
      </c>
      <c r="B1968" s="162" t="s">
        <v>1323</v>
      </c>
      <c r="C1968" s="484"/>
    </row>
    <row r="1969">
      <c r="A1969" s="485">
        <v>45271.89271760416</v>
      </c>
      <c r="B1969" s="162" t="s">
        <v>1324</v>
      </c>
      <c r="C1969" s="484" t="s">
        <v>1349</v>
      </c>
    </row>
    <row r="1970">
      <c r="A1970" s="485">
        <v>45271.90973641204</v>
      </c>
      <c r="B1970" s="162" t="s">
        <v>1324</v>
      </c>
      <c r="C1970" s="484" t="s">
        <v>1349</v>
      </c>
    </row>
    <row r="1971">
      <c r="A1971" s="485">
        <v>45271.954604363425</v>
      </c>
      <c r="B1971" s="162" t="s">
        <v>1323</v>
      </c>
      <c r="C1971" s="484"/>
    </row>
    <row r="1972">
      <c r="A1972" s="485">
        <v>45271.960521030094</v>
      </c>
      <c r="B1972" s="162" t="s">
        <v>1324</v>
      </c>
      <c r="C1972" s="484" t="s">
        <v>1349</v>
      </c>
    </row>
    <row r="1973">
      <c r="A1973" s="485">
        <v>45271.960452581014</v>
      </c>
      <c r="B1973" s="162" t="s">
        <v>1324</v>
      </c>
      <c r="C1973" s="484" t="s">
        <v>1349</v>
      </c>
    </row>
    <row r="1974">
      <c r="A1974" s="485">
        <v>45271.98387563658</v>
      </c>
      <c r="B1974" s="162" t="s">
        <v>1324</v>
      </c>
      <c r="C1974" s="484" t="s">
        <v>1349</v>
      </c>
    </row>
    <row r="1975">
      <c r="A1975" s="485">
        <v>45272.72102565972</v>
      </c>
      <c r="B1975" s="162" t="s">
        <v>1324</v>
      </c>
      <c r="C1975" s="484" t="s">
        <v>1349</v>
      </c>
    </row>
    <row r="1976">
      <c r="A1976" s="485">
        <v>45272.90844777778</v>
      </c>
      <c r="B1976" s="162" t="s">
        <v>1324</v>
      </c>
      <c r="C1976" s="484" t="s">
        <v>1349</v>
      </c>
    </row>
    <row r="1977">
      <c r="A1977" s="485">
        <v>45272.9713681713</v>
      </c>
      <c r="B1977" s="162" t="s">
        <v>1324</v>
      </c>
      <c r="C1977" s="484" t="s">
        <v>1349</v>
      </c>
    </row>
    <row r="1978">
      <c r="A1978" s="485">
        <v>45272.99344184028</v>
      </c>
      <c r="B1978" s="162" t="s">
        <v>1323</v>
      </c>
      <c r="C1978" s="484"/>
    </row>
    <row r="1979">
      <c r="A1979" s="485">
        <v>45272.998666203704</v>
      </c>
      <c r="B1979" s="162" t="s">
        <v>1324</v>
      </c>
      <c r="C1979" s="484" t="s">
        <v>1349</v>
      </c>
    </row>
    <row r="1980">
      <c r="A1980" s="485">
        <v>45273.71908601852</v>
      </c>
      <c r="B1980" s="162" t="s">
        <v>1324</v>
      </c>
      <c r="C1980" s="484" t="s">
        <v>1350</v>
      </c>
    </row>
    <row r="1981">
      <c r="A1981" s="485">
        <v>45273.74317425926</v>
      </c>
      <c r="B1981" s="162" t="s">
        <v>1324</v>
      </c>
      <c r="C1981" s="484" t="s">
        <v>1350</v>
      </c>
    </row>
    <row r="1982">
      <c r="A1982" s="485">
        <v>45273.75506739583</v>
      </c>
      <c r="B1982" s="162" t="s">
        <v>1323</v>
      </c>
      <c r="C1982" s="484"/>
    </row>
    <row r="1983">
      <c r="A1983" s="485">
        <v>45273.759694224536</v>
      </c>
      <c r="B1983" s="162" t="s">
        <v>1324</v>
      </c>
      <c r="C1983" s="484" t="s">
        <v>1350</v>
      </c>
    </row>
    <row r="1984">
      <c r="A1984" s="485"/>
      <c r="B1984" s="162"/>
      <c r="C1984" s="484"/>
    </row>
    <row r="1985">
      <c r="A1985" s="485">
        <v>45273.83899283565</v>
      </c>
      <c r="B1985" s="162" t="s">
        <v>1323</v>
      </c>
      <c r="C1985" s="484"/>
    </row>
    <row r="1986">
      <c r="A1986" s="485">
        <v>45273.84489439815</v>
      </c>
      <c r="B1986" s="162" t="s">
        <v>1324</v>
      </c>
      <c r="C1986" s="484" t="s">
        <v>1350</v>
      </c>
    </row>
    <row r="1987">
      <c r="A1987" s="485">
        <v>45273.893880648146</v>
      </c>
      <c r="B1987" s="162" t="s">
        <v>1324</v>
      </c>
      <c r="C1987" s="484" t="s">
        <v>1350</v>
      </c>
    </row>
    <row r="1988">
      <c r="A1988" s="485">
        <v>45273.89653222222</v>
      </c>
      <c r="B1988" s="162" t="s">
        <v>1323</v>
      </c>
      <c r="C1988" s="484"/>
    </row>
    <row r="1989">
      <c r="A1989" s="485">
        <v>45273.902179571756</v>
      </c>
      <c r="B1989" s="162" t="s">
        <v>1324</v>
      </c>
      <c r="C1989" s="484" t="s">
        <v>1350</v>
      </c>
    </row>
    <row r="1990">
      <c r="A1990" s="485">
        <v>45273.91952542824</v>
      </c>
      <c r="B1990" s="162" t="s">
        <v>1324</v>
      </c>
      <c r="C1990" s="484" t="s">
        <v>1350</v>
      </c>
    </row>
    <row r="1991">
      <c r="A1991" s="485">
        <v>45274.01239047454</v>
      </c>
      <c r="B1991" s="162" t="s">
        <v>1324</v>
      </c>
      <c r="C1991" s="484" t="s">
        <v>1350</v>
      </c>
    </row>
    <row r="1992">
      <c r="A1992" s="485">
        <v>45274.73309645834</v>
      </c>
      <c r="B1992" s="162" t="s">
        <v>1324</v>
      </c>
      <c r="C1992" s="484" t="s">
        <v>1351</v>
      </c>
    </row>
    <row r="1993">
      <c r="A1993" s="485">
        <v>45274.805835625</v>
      </c>
      <c r="B1993" s="162" t="s">
        <v>1323</v>
      </c>
      <c r="C1993" s="484"/>
    </row>
    <row r="1994">
      <c r="A1994" s="485">
        <v>45274.81091364584</v>
      </c>
      <c r="B1994" s="162" t="s">
        <v>1324</v>
      </c>
      <c r="C1994" s="484" t="s">
        <v>1351</v>
      </c>
    </row>
    <row r="1995">
      <c r="A1995" s="485">
        <v>45274.899768460644</v>
      </c>
      <c r="B1995" s="162" t="s">
        <v>1324</v>
      </c>
      <c r="C1995" s="484" t="s">
        <v>1351</v>
      </c>
    </row>
    <row r="1996">
      <c r="A1996" s="485">
        <v>45275.0034168287</v>
      </c>
      <c r="B1996" s="162" t="s">
        <v>1324</v>
      </c>
      <c r="C1996" s="484" t="s">
        <v>1351</v>
      </c>
    </row>
    <row r="1997">
      <c r="A1997" s="485">
        <v>45275.64403166667</v>
      </c>
      <c r="B1997" s="162" t="s">
        <v>1324</v>
      </c>
      <c r="C1997" s="484" t="s">
        <v>1352</v>
      </c>
    </row>
    <row r="1998">
      <c r="A1998" s="485">
        <v>45275.79581780093</v>
      </c>
      <c r="B1998" s="162" t="s">
        <v>1323</v>
      </c>
      <c r="C1998" s="484"/>
    </row>
    <row r="1999">
      <c r="A1999" s="485">
        <v>45275.8019881713</v>
      </c>
      <c r="B1999" s="162" t="s">
        <v>1324</v>
      </c>
      <c r="C1999" s="484" t="s">
        <v>1352</v>
      </c>
    </row>
    <row r="2000">
      <c r="A2000" s="485">
        <v>45275.83067685185</v>
      </c>
      <c r="B2000" s="162" t="s">
        <v>1324</v>
      </c>
      <c r="C2000" s="484" t="s">
        <v>1352</v>
      </c>
    </row>
    <row r="2001">
      <c r="A2001" s="485">
        <v>45278.623197430556</v>
      </c>
      <c r="B2001" s="162" t="s">
        <v>1323</v>
      </c>
      <c r="C2001" s="484"/>
    </row>
    <row r="2002">
      <c r="A2002" s="485">
        <v>45278.62914118056</v>
      </c>
      <c r="B2002" s="162" t="s">
        <v>1324</v>
      </c>
      <c r="C2002" s="484" t="s">
        <v>1353</v>
      </c>
    </row>
    <row r="2003">
      <c r="A2003" s="485">
        <v>45278.682917094906</v>
      </c>
      <c r="B2003" s="162" t="s">
        <v>1324</v>
      </c>
      <c r="C2003" s="484" t="s">
        <v>1353</v>
      </c>
    </row>
    <row r="2004">
      <c r="A2004" s="485">
        <v>45278.87547100695</v>
      </c>
      <c r="B2004" s="162" t="s">
        <v>1323</v>
      </c>
      <c r="C2004" s="484"/>
    </row>
    <row r="2005">
      <c r="A2005" s="485">
        <v>45278.88263504629</v>
      </c>
      <c r="B2005" s="162" t="s">
        <v>1324</v>
      </c>
      <c r="C2005" s="484" t="s">
        <v>1353</v>
      </c>
    </row>
    <row r="2006">
      <c r="A2006" s="485">
        <v>45278.90219313657</v>
      </c>
      <c r="B2006" s="162" t="s">
        <v>1324</v>
      </c>
      <c r="C2006" s="484" t="s">
        <v>1353</v>
      </c>
    </row>
    <row r="2007">
      <c r="A2007" s="485">
        <v>45278.911374143514</v>
      </c>
      <c r="B2007" s="162" t="s">
        <v>1324</v>
      </c>
      <c r="C2007" s="484" t="s">
        <v>1353</v>
      </c>
    </row>
    <row r="2008">
      <c r="A2008" s="485">
        <v>45278.98507443287</v>
      </c>
      <c r="B2008" s="162" t="s">
        <v>1323</v>
      </c>
      <c r="C2008" s="484"/>
    </row>
    <row r="2009">
      <c r="A2009" s="485">
        <v>45278.989841215276</v>
      </c>
      <c r="B2009" s="162" t="s">
        <v>1324</v>
      </c>
      <c r="C2009" s="484" t="s">
        <v>1353</v>
      </c>
    </row>
    <row r="2010">
      <c r="A2010" s="485">
        <v>45279.66454332176</v>
      </c>
      <c r="B2010" s="162" t="s">
        <v>1323</v>
      </c>
      <c r="C2010" s="484"/>
    </row>
    <row r="2011">
      <c r="A2011" s="485">
        <v>45279.6714537963</v>
      </c>
      <c r="B2011" s="162" t="s">
        <v>1324</v>
      </c>
      <c r="C2011" s="484" t="s">
        <v>1354</v>
      </c>
    </row>
    <row r="2012">
      <c r="A2012" s="485">
        <v>45279.7400321875</v>
      </c>
      <c r="B2012" s="162" t="s">
        <v>1323</v>
      </c>
      <c r="C2012" s="484"/>
    </row>
    <row r="2013">
      <c r="A2013" s="485">
        <v>45279.74639042824</v>
      </c>
      <c r="B2013" s="162" t="s">
        <v>1324</v>
      </c>
      <c r="C2013" s="484" t="s">
        <v>1354</v>
      </c>
    </row>
    <row r="2014">
      <c r="A2014" s="485">
        <v>45279.751769826384</v>
      </c>
      <c r="B2014" s="162" t="s">
        <v>1324</v>
      </c>
      <c r="C2014" s="484" t="s">
        <v>1354</v>
      </c>
    </row>
    <row r="2015">
      <c r="A2015" s="485">
        <v>45279.877353020835</v>
      </c>
      <c r="B2015" s="162" t="s">
        <v>1323</v>
      </c>
      <c r="C2015" s="484"/>
    </row>
    <row r="2016">
      <c r="A2016" s="485">
        <v>45279.883572465274</v>
      </c>
      <c r="B2016" s="162" t="s">
        <v>1324</v>
      </c>
      <c r="C2016" s="484" t="s">
        <v>1354</v>
      </c>
    </row>
    <row r="2017">
      <c r="A2017" s="485">
        <v>45279.91609341435</v>
      </c>
      <c r="B2017" s="162" t="s">
        <v>1324</v>
      </c>
      <c r="C2017" s="484" t="s">
        <v>1354</v>
      </c>
    </row>
    <row r="2018">
      <c r="A2018" s="485">
        <v>45279.91886118056</v>
      </c>
      <c r="B2018" s="162" t="s">
        <v>1323</v>
      </c>
      <c r="C2018" s="484"/>
    </row>
    <row r="2019">
      <c r="A2019" s="485">
        <v>45279.92408024306</v>
      </c>
      <c r="B2019" s="162" t="s">
        <v>1324</v>
      </c>
      <c r="C2019" s="484" t="s">
        <v>1354</v>
      </c>
    </row>
    <row r="2020">
      <c r="A2020" s="485">
        <v>45279.94835990741</v>
      </c>
      <c r="B2020" s="162" t="s">
        <v>1324</v>
      </c>
      <c r="C2020" s="484" t="s">
        <v>1354</v>
      </c>
    </row>
    <row r="2021">
      <c r="A2021" s="485">
        <v>45279.98740557871</v>
      </c>
      <c r="B2021" s="162" t="s">
        <v>1323</v>
      </c>
      <c r="C2021" s="484"/>
    </row>
    <row r="2022">
      <c r="A2022" s="485">
        <v>45279.99343528935</v>
      </c>
      <c r="B2022" s="162" t="s">
        <v>1324</v>
      </c>
      <c r="C2022" s="484" t="s">
        <v>1354</v>
      </c>
    </row>
    <row r="2023">
      <c r="A2023" s="485">
        <v>45280.67950427083</v>
      </c>
      <c r="B2023" s="162" t="s">
        <v>1323</v>
      </c>
      <c r="C2023" s="484"/>
    </row>
    <row r="2024">
      <c r="A2024" s="485">
        <v>45280.68565626157</v>
      </c>
      <c r="B2024" s="162" t="s">
        <v>1324</v>
      </c>
      <c r="C2024" s="484" t="s">
        <v>1355</v>
      </c>
    </row>
    <row r="2025">
      <c r="A2025" s="485">
        <v>45280.77776496528</v>
      </c>
      <c r="B2025" s="162" t="s">
        <v>1324</v>
      </c>
      <c r="C2025" s="484" t="s">
        <v>1356</v>
      </c>
    </row>
    <row r="2026">
      <c r="A2026" s="485">
        <v>45280.876715555554</v>
      </c>
      <c r="B2026" s="162" t="s">
        <v>1323</v>
      </c>
      <c r="C2026" s="484"/>
    </row>
    <row r="2027">
      <c r="A2027" s="485">
        <v>45280.88239824074</v>
      </c>
      <c r="B2027" s="162" t="s">
        <v>1324</v>
      </c>
      <c r="C2027" s="484" t="s">
        <v>1356</v>
      </c>
    </row>
    <row r="2028">
      <c r="A2028" s="485">
        <v>45280.975399386574</v>
      </c>
      <c r="B2028" s="162" t="s">
        <v>1324</v>
      </c>
      <c r="C2028" s="484" t="s">
        <v>1356</v>
      </c>
    </row>
    <row r="2029">
      <c r="A2029" s="485">
        <v>45281.499942361115</v>
      </c>
      <c r="B2029" s="162" t="s">
        <v>1324</v>
      </c>
      <c r="C2029" s="484" t="s">
        <v>1357</v>
      </c>
    </row>
    <row r="2030">
      <c r="A2030" s="485">
        <v>45281.641537187505</v>
      </c>
      <c r="B2030" s="162" t="s">
        <v>1323</v>
      </c>
      <c r="C2030" s="484"/>
    </row>
    <row r="2031">
      <c r="A2031" s="485">
        <v>45281.648326689814</v>
      </c>
      <c r="B2031" s="162" t="s">
        <v>1324</v>
      </c>
      <c r="C2031" s="484" t="s">
        <v>1357</v>
      </c>
    </row>
    <row r="2032">
      <c r="A2032" s="485">
        <v>45281.819675590275</v>
      </c>
      <c r="B2032" s="162" t="s">
        <v>1323</v>
      </c>
      <c r="C2032" s="484"/>
    </row>
    <row r="2033">
      <c r="A2033" s="485">
        <v>45281.82562063658</v>
      </c>
      <c r="B2033" s="162" t="s">
        <v>1324</v>
      </c>
      <c r="C2033" s="484" t="s">
        <v>1357</v>
      </c>
    </row>
    <row r="2034">
      <c r="A2034" s="485">
        <v>45281.83051719907</v>
      </c>
      <c r="B2034" s="162" t="s">
        <v>1324</v>
      </c>
      <c r="C2034" s="484" t="s">
        <v>1357</v>
      </c>
    </row>
    <row r="2035">
      <c r="A2035" s="485">
        <v>45281.954361296295</v>
      </c>
      <c r="B2035" s="162" t="s">
        <v>1323</v>
      </c>
      <c r="C2035" s="484"/>
    </row>
    <row r="2036">
      <c r="A2036" s="485">
        <v>45281.95925847223</v>
      </c>
      <c r="B2036" s="162" t="s">
        <v>1324</v>
      </c>
      <c r="C2036" s="484" t="s">
        <v>1357</v>
      </c>
    </row>
    <row r="2037">
      <c r="A2037" s="485">
        <v>45282.022588912034</v>
      </c>
      <c r="B2037" s="162" t="s">
        <v>1324</v>
      </c>
      <c r="C2037" s="484" t="s">
        <v>1357</v>
      </c>
    </row>
    <row r="2038">
      <c r="A2038" s="485">
        <v>45282.81288974537</v>
      </c>
      <c r="B2038" s="162" t="s">
        <v>1323</v>
      </c>
      <c r="C2038" s="484"/>
    </row>
    <row r="2039">
      <c r="A2039" s="485">
        <v>45282.81806842593</v>
      </c>
      <c r="B2039" s="162" t="s">
        <v>1324</v>
      </c>
      <c r="C2039" s="484" t="s">
        <v>1358</v>
      </c>
    </row>
    <row r="2040">
      <c r="A2040" s="485">
        <v>45282.81794149306</v>
      </c>
      <c r="B2040" s="162" t="s">
        <v>1324</v>
      </c>
      <c r="C2040" s="484" t="s">
        <v>1358</v>
      </c>
    </row>
    <row r="2041">
      <c r="A2041" s="485">
        <v>45282.839058240745</v>
      </c>
      <c r="B2041" s="162" t="s">
        <v>1324</v>
      </c>
      <c r="C2041" s="484" t="s">
        <v>1358</v>
      </c>
    </row>
    <row r="2042">
      <c r="A2042" s="485">
        <v>45286.88176982639</v>
      </c>
      <c r="B2042" s="162" t="s">
        <v>1323</v>
      </c>
      <c r="C2042" s="484"/>
    </row>
    <row r="2043">
      <c r="A2043" s="485">
        <v>45286.88781663195</v>
      </c>
      <c r="B2043" s="162" t="s">
        <v>1324</v>
      </c>
      <c r="C2043" s="484" t="s">
        <v>1359</v>
      </c>
    </row>
    <row r="2044">
      <c r="A2044" s="485">
        <v>45286.9655265162</v>
      </c>
      <c r="B2044" s="162" t="s">
        <v>1323</v>
      </c>
      <c r="C2044" s="484"/>
    </row>
    <row r="2045">
      <c r="A2045" s="485">
        <v>45286.97097912037</v>
      </c>
      <c r="B2045" s="162" t="s">
        <v>1324</v>
      </c>
      <c r="C2045" s="484" t="s">
        <v>1359</v>
      </c>
    </row>
    <row r="2046">
      <c r="A2046" s="485">
        <v>45287.66666383102</v>
      </c>
      <c r="B2046" s="162" t="s">
        <v>1323</v>
      </c>
      <c r="C2046" s="484"/>
    </row>
    <row r="2047">
      <c r="A2047" s="485">
        <v>45287.67228653935</v>
      </c>
      <c r="B2047" s="162" t="s">
        <v>1324</v>
      </c>
      <c r="C2047" s="484" t="s">
        <v>1360</v>
      </c>
    </row>
    <row r="2048">
      <c r="A2048" s="485">
        <v>45287.700394178246</v>
      </c>
      <c r="B2048" s="162" t="s">
        <v>1324</v>
      </c>
      <c r="C2048" s="484" t="s">
        <v>1360</v>
      </c>
    </row>
    <row r="2049">
      <c r="A2049" s="485">
        <v>45287.75420401621</v>
      </c>
      <c r="B2049" s="162" t="s">
        <v>1323</v>
      </c>
      <c r="C2049" s="484"/>
    </row>
    <row r="2050">
      <c r="A2050" s="485">
        <v>45287.76059159722</v>
      </c>
      <c r="B2050" s="162" t="s">
        <v>1324</v>
      </c>
      <c r="C2050" s="484" t="s">
        <v>1360</v>
      </c>
    </row>
    <row r="2051">
      <c r="A2051" s="485">
        <v>45287.820509756944</v>
      </c>
      <c r="B2051" s="162" t="s">
        <v>1324</v>
      </c>
      <c r="C2051" s="484" t="s">
        <v>1360</v>
      </c>
    </row>
    <row r="2052">
      <c r="A2052" s="485">
        <v>45287.8697937963</v>
      </c>
      <c r="B2052" s="162" t="s">
        <v>1323</v>
      </c>
      <c r="C2052" s="484"/>
    </row>
    <row r="2053">
      <c r="A2053" s="485">
        <v>45287.875567337964</v>
      </c>
      <c r="B2053" s="162" t="s">
        <v>1324</v>
      </c>
      <c r="C2053" s="484" t="s">
        <v>1361</v>
      </c>
    </row>
    <row r="2054">
      <c r="A2054" s="485">
        <v>45287.912556192125</v>
      </c>
      <c r="B2054" s="162" t="s">
        <v>1324</v>
      </c>
      <c r="C2054" s="484" t="s">
        <v>1361</v>
      </c>
    </row>
    <row r="2055">
      <c r="A2055" s="485">
        <v>45287.916780671294</v>
      </c>
      <c r="B2055" s="162" t="s">
        <v>1323</v>
      </c>
      <c r="C2055" s="484"/>
    </row>
    <row r="2056">
      <c r="A2056" s="485">
        <v>45287.924300625</v>
      </c>
      <c r="B2056" s="162" t="s">
        <v>1324</v>
      </c>
      <c r="C2056" s="484" t="s">
        <v>1361</v>
      </c>
    </row>
    <row r="2057">
      <c r="A2057" s="485">
        <v>45287.99163694444</v>
      </c>
      <c r="B2057" s="162" t="s">
        <v>1323</v>
      </c>
      <c r="C2057" s="484"/>
    </row>
    <row r="2058">
      <c r="A2058" s="485">
        <v>45287.99689681713</v>
      </c>
      <c r="B2058" s="162" t="s">
        <v>1324</v>
      </c>
      <c r="C2058" s="484" t="s">
        <v>1362</v>
      </c>
    </row>
    <row r="2059">
      <c r="A2059" s="485">
        <v>45288.802902511576</v>
      </c>
      <c r="B2059" s="162" t="s">
        <v>1323</v>
      </c>
      <c r="C2059" s="484"/>
    </row>
    <row r="2060">
      <c r="A2060" s="485">
        <v>45288.80894855324</v>
      </c>
      <c r="B2060" s="162" t="s">
        <v>1324</v>
      </c>
      <c r="C2060" s="484" t="s">
        <v>1363</v>
      </c>
    </row>
    <row r="2061">
      <c r="A2061" s="485">
        <v>45288.88635701389</v>
      </c>
      <c r="B2061" s="162" t="s">
        <v>1323</v>
      </c>
      <c r="C2061" s="484"/>
    </row>
    <row r="2062">
      <c r="A2062" s="485">
        <v>45288.89269037037</v>
      </c>
      <c r="B2062" s="162" t="s">
        <v>1324</v>
      </c>
      <c r="C2062" s="484" t="s">
        <v>1363</v>
      </c>
    </row>
    <row r="2063">
      <c r="A2063" s="485">
        <v>45288.999684016206</v>
      </c>
      <c r="B2063" s="162" t="s">
        <v>1323</v>
      </c>
      <c r="C2063" s="484"/>
    </row>
    <row r="2064">
      <c r="A2064" s="485">
        <v>45289.005711053236</v>
      </c>
      <c r="B2064" s="162" t="s">
        <v>1324</v>
      </c>
      <c r="C2064" s="484" t="s">
        <v>1364</v>
      </c>
    </row>
    <row r="2065">
      <c r="A2065" s="485">
        <v>45289.79623476852</v>
      </c>
      <c r="B2065" s="162" t="s">
        <v>1323</v>
      </c>
      <c r="C2065" s="484"/>
    </row>
    <row r="2066">
      <c r="A2066" s="485">
        <v>45289.80226752315</v>
      </c>
      <c r="B2066" s="162" t="s">
        <v>1324</v>
      </c>
      <c r="C2066" s="484" t="s">
        <v>1365</v>
      </c>
    </row>
    <row r="2067">
      <c r="A2067" s="485">
        <v>45293.8239191551</v>
      </c>
      <c r="B2067" s="162" t="s">
        <v>1323</v>
      </c>
      <c r="C2067" s="484"/>
    </row>
    <row r="2068">
      <c r="A2068" s="485">
        <v>45293.83003547454</v>
      </c>
      <c r="B2068" s="162" t="s">
        <v>1324</v>
      </c>
      <c r="C2068" s="484" t="s">
        <v>1366</v>
      </c>
    </row>
    <row r="2069">
      <c r="A2069" s="485">
        <v>45293.862311770834</v>
      </c>
      <c r="B2069" s="162" t="s">
        <v>1323</v>
      </c>
      <c r="C2069" s="484"/>
    </row>
    <row r="2070">
      <c r="A2070" s="485">
        <v>45293.86720497685</v>
      </c>
      <c r="B2070" s="162" t="s">
        <v>1324</v>
      </c>
      <c r="C2070" s="484" t="s">
        <v>1366</v>
      </c>
    </row>
    <row r="2071">
      <c r="A2071" s="485">
        <v>45293.94822333333</v>
      </c>
      <c r="B2071" s="162" t="s">
        <v>1323</v>
      </c>
      <c r="C2071" s="484"/>
    </row>
    <row r="2072">
      <c r="A2072" s="485">
        <v>45293.95362314815</v>
      </c>
      <c r="B2072" s="162" t="s">
        <v>1324</v>
      </c>
      <c r="C2072" s="484" t="s">
        <v>1366</v>
      </c>
    </row>
    <row r="2073">
      <c r="A2073" s="485">
        <v>45294.001968807876</v>
      </c>
      <c r="B2073" s="162" t="s">
        <v>1323</v>
      </c>
      <c r="C2073" s="484"/>
    </row>
    <row r="2074">
      <c r="A2074" s="485">
        <v>45294.006671400464</v>
      </c>
      <c r="B2074" s="162" t="s">
        <v>1324</v>
      </c>
      <c r="C2074" s="484" t="s">
        <v>1366</v>
      </c>
    </row>
    <row r="2075">
      <c r="A2075" s="485">
        <v>45294.814336932875</v>
      </c>
      <c r="B2075" s="162" t="s">
        <v>1323</v>
      </c>
      <c r="C2075" s="484"/>
    </row>
    <row r="2076">
      <c r="A2076" s="485">
        <v>45294.81985784722</v>
      </c>
      <c r="B2076" s="162" t="s">
        <v>1324</v>
      </c>
      <c r="C2076" s="484" t="s">
        <v>1367</v>
      </c>
    </row>
    <row r="2077">
      <c r="A2077" s="485">
        <v>45294.98602635416</v>
      </c>
      <c r="B2077" s="162" t="s">
        <v>1324</v>
      </c>
      <c r="C2077" s="484" t="s">
        <v>1367</v>
      </c>
    </row>
    <row r="2078">
      <c r="A2078" s="485">
        <v>45294.9997290625</v>
      </c>
      <c r="B2078" s="162" t="s">
        <v>1323</v>
      </c>
      <c r="C2078" s="484"/>
    </row>
    <row r="2079">
      <c r="A2079" s="485">
        <v>45295.005393263884</v>
      </c>
      <c r="B2079" s="162" t="s">
        <v>1324</v>
      </c>
      <c r="C2079" s="484" t="s">
        <v>1367</v>
      </c>
    </row>
    <row r="2080">
      <c r="A2080" s="485">
        <v>45295.643388553246</v>
      </c>
      <c r="B2080" s="162" t="s">
        <v>1324</v>
      </c>
      <c r="C2080" s="484" t="s">
        <v>1368</v>
      </c>
    </row>
    <row r="2081">
      <c r="A2081" s="485">
        <v>45295.65164953704</v>
      </c>
      <c r="B2081" s="162" t="s">
        <v>1323</v>
      </c>
      <c r="C2081" s="484"/>
    </row>
    <row r="2082">
      <c r="A2082" s="485">
        <v>45295.65892523148</v>
      </c>
      <c r="B2082" s="162" t="s">
        <v>1324</v>
      </c>
      <c r="C2082" s="484" t="s">
        <v>1368</v>
      </c>
    </row>
    <row r="2083">
      <c r="A2083" s="485">
        <v>45295.68487747685</v>
      </c>
      <c r="B2083" s="162" t="s">
        <v>1324</v>
      </c>
      <c r="C2083" s="484" t="s">
        <v>1368</v>
      </c>
    </row>
    <row r="2084">
      <c r="A2084" s="485">
        <v>45295.739500682874</v>
      </c>
      <c r="B2084" s="162" t="s">
        <v>1323</v>
      </c>
      <c r="C2084" s="484"/>
    </row>
    <row r="2085">
      <c r="A2085" s="485">
        <v>45295.74516010417</v>
      </c>
      <c r="B2085" s="162" t="s">
        <v>1324</v>
      </c>
      <c r="C2085" s="484" t="s">
        <v>1369</v>
      </c>
    </row>
    <row r="2086">
      <c r="A2086" s="485">
        <v>45295.833886030094</v>
      </c>
      <c r="B2086" s="162" t="s">
        <v>1323</v>
      </c>
      <c r="C2086" s="484"/>
    </row>
    <row r="2087">
      <c r="A2087" s="485">
        <v>45295.839630601855</v>
      </c>
      <c r="B2087" s="162" t="s">
        <v>1324</v>
      </c>
      <c r="C2087" s="484" t="s">
        <v>1369</v>
      </c>
    </row>
    <row r="2088">
      <c r="A2088" s="485">
        <v>45295.908700879634</v>
      </c>
      <c r="B2088" s="162" t="s">
        <v>1323</v>
      </c>
      <c r="C2088" s="484"/>
    </row>
    <row r="2089">
      <c r="A2089" s="485">
        <v>45295.91502454861</v>
      </c>
      <c r="B2089" s="162" t="s">
        <v>1324</v>
      </c>
      <c r="C2089" s="484" t="s">
        <v>1369</v>
      </c>
    </row>
    <row r="2090">
      <c r="A2090" s="485">
        <v>45296.003325474536</v>
      </c>
      <c r="B2090" s="162" t="s">
        <v>1323</v>
      </c>
      <c r="C2090" s="484"/>
    </row>
    <row r="2091">
      <c r="A2091" s="485">
        <v>45296.00878341435</v>
      </c>
      <c r="B2091" s="162" t="s">
        <v>1324</v>
      </c>
      <c r="C2091" s="484" t="s">
        <v>1369</v>
      </c>
    </row>
    <row r="2092">
      <c r="A2092" s="485">
        <v>45296.05330164352</v>
      </c>
      <c r="B2092" s="162" t="s">
        <v>1324</v>
      </c>
      <c r="C2092" s="484" t="s">
        <v>1369</v>
      </c>
    </row>
    <row r="2093">
      <c r="A2093" s="485">
        <v>45296.670272881944</v>
      </c>
      <c r="B2093" s="162" t="s">
        <v>1324</v>
      </c>
      <c r="C2093" s="484" t="s">
        <v>1369</v>
      </c>
    </row>
    <row r="2094">
      <c r="A2094" s="485">
        <v>45296.74416511574</v>
      </c>
      <c r="B2094" s="162" t="s">
        <v>1323</v>
      </c>
      <c r="C2094" s="484"/>
    </row>
    <row r="2095">
      <c r="A2095" s="485">
        <v>45296.74976520833</v>
      </c>
      <c r="B2095" s="162" t="s">
        <v>1324</v>
      </c>
      <c r="C2095" s="484" t="s">
        <v>1369</v>
      </c>
    </row>
    <row r="2096">
      <c r="A2096" s="485">
        <v>45296.780175520835</v>
      </c>
      <c r="B2096" s="162" t="s">
        <v>1324</v>
      </c>
      <c r="C2096" s="484" t="s">
        <v>1369</v>
      </c>
    </row>
    <row r="2097">
      <c r="A2097" s="485">
        <v>45296.84268954861</v>
      </c>
      <c r="B2097" s="162" t="s">
        <v>1324</v>
      </c>
      <c r="C2097" s="484" t="s">
        <v>1369</v>
      </c>
    </row>
    <row r="2098">
      <c r="A2098" s="485">
        <v>45296.85211811343</v>
      </c>
      <c r="B2098" s="162" t="s">
        <v>1323</v>
      </c>
      <c r="C2098" s="484"/>
    </row>
    <row r="2099">
      <c r="A2099" s="485">
        <v>45296.857758865735</v>
      </c>
      <c r="B2099" s="162" t="s">
        <v>1324</v>
      </c>
      <c r="C2099" s="484" t="s">
        <v>1369</v>
      </c>
    </row>
    <row r="2100">
      <c r="A2100" s="485">
        <v>45296.89817594907</v>
      </c>
      <c r="B2100" s="162" t="s">
        <v>1323</v>
      </c>
      <c r="C2100" s="484"/>
    </row>
    <row r="2101">
      <c r="A2101" s="485">
        <v>45296.90374730324</v>
      </c>
      <c r="B2101" s="162" t="s">
        <v>1324</v>
      </c>
      <c r="C2101" s="484" t="s">
        <v>1369</v>
      </c>
    </row>
    <row r="2102">
      <c r="A2102" s="485">
        <v>45296.927350474536</v>
      </c>
      <c r="B2102" s="162" t="s">
        <v>1324</v>
      </c>
      <c r="C2102" s="484" t="s">
        <v>1369</v>
      </c>
    </row>
    <row r="2103">
      <c r="A2103" s="485">
        <v>45296.99396986111</v>
      </c>
      <c r="B2103" s="162" t="s">
        <v>1323</v>
      </c>
      <c r="C2103" s="484"/>
    </row>
    <row r="2104">
      <c r="A2104" s="485">
        <v>45296.99942828703</v>
      </c>
      <c r="B2104" s="162" t="s">
        <v>1324</v>
      </c>
      <c r="C2104" s="484" t="s">
        <v>1369</v>
      </c>
    </row>
    <row r="2105">
      <c r="A2105" s="485">
        <v>45299.64511576389</v>
      </c>
      <c r="B2105" s="162" t="s">
        <v>1323</v>
      </c>
      <c r="C2105" s="484"/>
    </row>
    <row r="2106">
      <c r="A2106" s="485">
        <v>45299.65177144676</v>
      </c>
      <c r="B2106" s="162" t="s">
        <v>1324</v>
      </c>
      <c r="C2106" s="484" t="s">
        <v>1369</v>
      </c>
    </row>
    <row r="2107">
      <c r="A2107" s="485">
        <v>45299.75123550926</v>
      </c>
      <c r="B2107" s="162" t="s">
        <v>1323</v>
      </c>
      <c r="C2107" s="484"/>
    </row>
    <row r="2108">
      <c r="A2108" s="485">
        <v>45299.75679886574</v>
      </c>
      <c r="B2108" s="162" t="s">
        <v>1324</v>
      </c>
      <c r="C2108" s="484" t="s">
        <v>1369</v>
      </c>
    </row>
    <row r="2109">
      <c r="A2109" s="485">
        <v>45299.79944998842</v>
      </c>
      <c r="B2109" s="162" t="s">
        <v>1324</v>
      </c>
      <c r="C2109" s="484" t="s">
        <v>1369</v>
      </c>
    </row>
    <row r="2110">
      <c r="A2110" s="485">
        <v>45299.863086655096</v>
      </c>
      <c r="B2110" s="162" t="s">
        <v>1323</v>
      </c>
      <c r="C2110" s="484"/>
    </row>
    <row r="2111">
      <c r="A2111" s="485">
        <v>45299.8684487963</v>
      </c>
      <c r="B2111" s="162" t="s">
        <v>1324</v>
      </c>
      <c r="C2111" s="484" t="s">
        <v>1369</v>
      </c>
    </row>
    <row r="2112">
      <c r="A2112" s="485">
        <v>45299.90465684028</v>
      </c>
      <c r="B2112" s="162" t="s">
        <v>1324</v>
      </c>
      <c r="C2112" s="484" t="s">
        <v>1369</v>
      </c>
    </row>
    <row r="2113">
      <c r="A2113" s="485">
        <v>45299.93812528935</v>
      </c>
      <c r="B2113" s="162" t="s">
        <v>1323</v>
      </c>
      <c r="C2113" s="484"/>
    </row>
    <row r="2114">
      <c r="A2114" s="485">
        <v>45299.944830381944</v>
      </c>
      <c r="B2114" s="162" t="s">
        <v>1324</v>
      </c>
      <c r="C2114" s="484" t="s">
        <v>1369</v>
      </c>
    </row>
    <row r="2115">
      <c r="A2115" s="485">
        <v>45299.964221539354</v>
      </c>
      <c r="B2115" s="162" t="s">
        <v>1324</v>
      </c>
      <c r="C2115" s="484" t="s">
        <v>1369</v>
      </c>
    </row>
    <row r="2116">
      <c r="A2116" s="485">
        <v>45299.97274297454</v>
      </c>
      <c r="B2116" s="162" t="s">
        <v>1324</v>
      </c>
      <c r="C2116" s="484" t="s">
        <v>1369</v>
      </c>
    </row>
    <row r="2117">
      <c r="A2117" s="485">
        <v>45299.96986402778</v>
      </c>
      <c r="B2117" s="162" t="s">
        <v>1323</v>
      </c>
      <c r="C2117" s="484"/>
    </row>
    <row r="2118">
      <c r="A2118" s="485">
        <v>45299.97283012731</v>
      </c>
      <c r="B2118" s="162" t="s">
        <v>1324</v>
      </c>
      <c r="C2118" s="484" t="s">
        <v>1369</v>
      </c>
    </row>
    <row r="2119">
      <c r="A2119" s="485">
        <v>45300.00200108797</v>
      </c>
      <c r="B2119" s="162" t="s">
        <v>1323</v>
      </c>
      <c r="C2119" s="484"/>
    </row>
    <row r="2120">
      <c r="A2120" s="485">
        <v>45300.00811800926</v>
      </c>
      <c r="B2120" s="162" t="s">
        <v>1324</v>
      </c>
      <c r="C2120" s="484" t="s">
        <v>1369</v>
      </c>
    </row>
    <row r="2121">
      <c r="A2121" s="485">
        <v>45300.76457100695</v>
      </c>
      <c r="B2121" s="162" t="s">
        <v>1324</v>
      </c>
      <c r="C2121" s="484" t="s">
        <v>1370</v>
      </c>
    </row>
    <row r="2122">
      <c r="A2122" s="485">
        <v>45301.00781949074</v>
      </c>
      <c r="B2122" s="162" t="s">
        <v>1324</v>
      </c>
      <c r="C2122" s="484" t="s">
        <v>1370</v>
      </c>
    </row>
    <row r="2123">
      <c r="A2123" s="485">
        <v>45301.72728555556</v>
      </c>
      <c r="B2123" s="162" t="s">
        <v>1324</v>
      </c>
      <c r="C2123" s="484" t="s">
        <v>1371</v>
      </c>
    </row>
    <row r="2124">
      <c r="A2124" s="485">
        <v>45302.87438792824</v>
      </c>
      <c r="B2124" s="162" t="s">
        <v>1324</v>
      </c>
      <c r="C2124" s="484" t="s">
        <v>1372</v>
      </c>
    </row>
    <row r="2125">
      <c r="A2125" s="485">
        <v>45303.95645773148</v>
      </c>
      <c r="B2125" s="162" t="s">
        <v>1324</v>
      </c>
      <c r="C2125" s="484" t="s">
        <v>1373</v>
      </c>
    </row>
    <row r="2126">
      <c r="A2126" s="485">
        <v>45303.986010266206</v>
      </c>
      <c r="B2126" s="162" t="s">
        <v>1324</v>
      </c>
      <c r="C2126" s="484" t="s">
        <v>1373</v>
      </c>
    </row>
    <row r="2127">
      <c r="A2127" s="485">
        <v>45307.68416297453</v>
      </c>
      <c r="B2127" s="162" t="s">
        <v>1324</v>
      </c>
      <c r="C2127" s="484" t="s">
        <v>1374</v>
      </c>
    </row>
    <row r="2128">
      <c r="A2128" s="485">
        <v>45307.721026307874</v>
      </c>
      <c r="B2128" s="162" t="s">
        <v>1324</v>
      </c>
      <c r="C2128" s="484" t="s">
        <v>1374</v>
      </c>
    </row>
    <row r="2129">
      <c r="A2129" s="485">
        <v>45307.817114571764</v>
      </c>
      <c r="B2129" s="162" t="s">
        <v>1323</v>
      </c>
      <c r="C2129" s="484"/>
    </row>
    <row r="2130">
      <c r="A2130" s="485">
        <v>45307.82316635417</v>
      </c>
      <c r="B2130" s="162" t="s">
        <v>1324</v>
      </c>
      <c r="C2130" s="484" t="s">
        <v>1374</v>
      </c>
    </row>
    <row r="2131">
      <c r="A2131" s="485">
        <v>45307.93772498843</v>
      </c>
      <c r="B2131" s="162" t="s">
        <v>1323</v>
      </c>
      <c r="C2131" s="484"/>
    </row>
    <row r="2132">
      <c r="A2132" s="485">
        <v>45307.94363804398</v>
      </c>
      <c r="B2132" s="162" t="s">
        <v>1324</v>
      </c>
      <c r="C2132" s="484" t="s">
        <v>1374</v>
      </c>
    </row>
    <row r="2133">
      <c r="A2133" s="485">
        <v>45307.94967564815</v>
      </c>
      <c r="B2133" s="162" t="s">
        <v>1323</v>
      </c>
      <c r="C2133" s="484"/>
    </row>
    <row r="2134">
      <c r="A2134" s="485">
        <v>45307.95502795139</v>
      </c>
      <c r="B2134" s="162" t="s">
        <v>1324</v>
      </c>
      <c r="C2134" s="484" t="s">
        <v>1374</v>
      </c>
    </row>
    <row r="2135">
      <c r="A2135" s="485">
        <v>45307.99817018519</v>
      </c>
      <c r="B2135" s="162" t="s">
        <v>1323</v>
      </c>
      <c r="C2135" s="484"/>
    </row>
    <row r="2136">
      <c r="A2136" s="485">
        <v>45308.0017628125</v>
      </c>
      <c r="B2136" s="162" t="s">
        <v>1323</v>
      </c>
      <c r="C2136" s="484"/>
    </row>
    <row r="2137">
      <c r="A2137" s="485">
        <v>45308.00646694444</v>
      </c>
      <c r="B2137" s="162" t="s">
        <v>1324</v>
      </c>
      <c r="C2137" s="484" t="s">
        <v>1374</v>
      </c>
    </row>
    <row r="2138">
      <c r="A2138" s="485">
        <v>45308.06263876158</v>
      </c>
      <c r="B2138" s="162" t="s">
        <v>1324</v>
      </c>
      <c r="C2138" s="484" t="s">
        <v>1374</v>
      </c>
    </row>
    <row r="2139">
      <c r="A2139" s="485">
        <v>45308.087128900464</v>
      </c>
      <c r="B2139" s="162" t="s">
        <v>1324</v>
      </c>
      <c r="C2139" s="484" t="s">
        <v>1374</v>
      </c>
    </row>
    <row r="2140">
      <c r="A2140" s="485">
        <v>45308.092643310185</v>
      </c>
      <c r="B2140" s="162" t="s">
        <v>1323</v>
      </c>
      <c r="C2140" s="484"/>
    </row>
    <row r="2141">
      <c r="A2141" s="485">
        <v>45308.097301030095</v>
      </c>
      <c r="B2141" s="162" t="s">
        <v>1324</v>
      </c>
      <c r="C2141" s="484" t="s">
        <v>1374</v>
      </c>
    </row>
    <row r="2142">
      <c r="A2142" s="485">
        <v>45308.11006172454</v>
      </c>
      <c r="B2142" s="162" t="s">
        <v>1324</v>
      </c>
      <c r="C2142" s="484" t="s">
        <v>1374</v>
      </c>
    </row>
    <row r="2143">
      <c r="A2143" s="485">
        <v>45308.18215311343</v>
      </c>
      <c r="B2143" s="162" t="s">
        <v>1324</v>
      </c>
      <c r="C2143" s="484" t="s">
        <v>1374</v>
      </c>
    </row>
    <row r="2144">
      <c r="A2144" s="485">
        <v>45308.206207986106</v>
      </c>
      <c r="B2144" s="162" t="s">
        <v>1324</v>
      </c>
      <c r="C2144" s="484" t="s">
        <v>1374</v>
      </c>
    </row>
    <row r="2145">
      <c r="A2145" s="485">
        <v>45308.21965810185</v>
      </c>
      <c r="B2145" s="162" t="s">
        <v>1324</v>
      </c>
      <c r="C2145" s="484" t="s">
        <v>1375</v>
      </c>
    </row>
    <row r="2146">
      <c r="A2146" s="485">
        <v>45308.70318232639</v>
      </c>
      <c r="B2146" s="162" t="s">
        <v>1323</v>
      </c>
      <c r="C2146" s="484"/>
    </row>
    <row r="2147">
      <c r="A2147" s="485">
        <v>45308.70879576389</v>
      </c>
      <c r="B2147" s="162" t="s">
        <v>1324</v>
      </c>
      <c r="C2147" s="484" t="s">
        <v>1375</v>
      </c>
    </row>
    <row r="2148">
      <c r="A2148" s="485">
        <v>45308.74733657407</v>
      </c>
      <c r="B2148" s="162" t="s">
        <v>1323</v>
      </c>
      <c r="C2148" s="484"/>
    </row>
    <row r="2149">
      <c r="A2149" s="485">
        <v>45308.75336349537</v>
      </c>
      <c r="B2149" s="162" t="s">
        <v>1324</v>
      </c>
      <c r="C2149" s="484" t="s">
        <v>1376</v>
      </c>
    </row>
    <row r="2150">
      <c r="A2150" s="485">
        <v>45308.82780633101</v>
      </c>
      <c r="B2150" s="162" t="s">
        <v>1323</v>
      </c>
      <c r="C2150" s="484"/>
    </row>
    <row r="2151">
      <c r="A2151" s="485">
        <v>45308.8329787963</v>
      </c>
      <c r="B2151" s="162" t="s">
        <v>1324</v>
      </c>
      <c r="C2151" s="484" t="s">
        <v>1376</v>
      </c>
    </row>
    <row r="2152">
      <c r="A2152" s="485">
        <v>45308.88363924768</v>
      </c>
      <c r="B2152" s="162" t="s">
        <v>1323</v>
      </c>
      <c r="C2152" s="484"/>
    </row>
    <row r="2153">
      <c r="A2153" s="485">
        <v>45308.88893232639</v>
      </c>
      <c r="B2153" s="162" t="s">
        <v>1324</v>
      </c>
      <c r="C2153" s="484" t="s">
        <v>1376</v>
      </c>
    </row>
    <row r="2154">
      <c r="A2154" s="485">
        <v>45308.8888562037</v>
      </c>
      <c r="B2154" s="162" t="s">
        <v>1324</v>
      </c>
      <c r="C2154" s="484" t="s">
        <v>1376</v>
      </c>
    </row>
    <row r="2155">
      <c r="A2155" s="485">
        <v>45308.93369011574</v>
      </c>
      <c r="B2155" s="162" t="s">
        <v>1324</v>
      </c>
      <c r="C2155" s="484" t="s">
        <v>1376</v>
      </c>
    </row>
    <row r="2156">
      <c r="A2156" s="485">
        <v>45308.956311331014</v>
      </c>
      <c r="B2156" s="162" t="s">
        <v>1324</v>
      </c>
      <c r="C2156" s="484" t="s">
        <v>1376</v>
      </c>
    </row>
    <row r="2157">
      <c r="A2157" s="485">
        <v>45309.01333608796</v>
      </c>
      <c r="B2157" s="162" t="s">
        <v>1324</v>
      </c>
      <c r="C2157" s="484" t="s">
        <v>1376</v>
      </c>
    </row>
    <row r="2158">
      <c r="A2158" s="485">
        <v>45309.79077303241</v>
      </c>
      <c r="B2158" s="162" t="s">
        <v>1323</v>
      </c>
      <c r="C2158" s="484"/>
    </row>
    <row r="2159">
      <c r="A2159" s="485">
        <v>45309.79666409722</v>
      </c>
      <c r="B2159" s="162" t="s">
        <v>1324</v>
      </c>
      <c r="C2159" s="484" t="s">
        <v>1377</v>
      </c>
    </row>
    <row r="2160">
      <c r="A2160" s="485">
        <v>45309.826852858794</v>
      </c>
      <c r="B2160" s="162" t="s">
        <v>1324</v>
      </c>
      <c r="C2160" s="484" t="s">
        <v>1377</v>
      </c>
    </row>
    <row r="2161">
      <c r="A2161" s="485">
        <v>45309.91430001157</v>
      </c>
      <c r="B2161" s="162" t="s">
        <v>1324</v>
      </c>
      <c r="C2161" s="484" t="s">
        <v>1377</v>
      </c>
    </row>
    <row r="2162">
      <c r="A2162" s="485">
        <v>45309.96451340278</v>
      </c>
      <c r="B2162" s="162" t="s">
        <v>1323</v>
      </c>
      <c r="C2162" s="484"/>
    </row>
    <row r="2163">
      <c r="A2163" s="485">
        <v>45309.97037619213</v>
      </c>
      <c r="B2163" s="162" t="s">
        <v>1324</v>
      </c>
      <c r="C2163" s="484" t="s">
        <v>1377</v>
      </c>
    </row>
    <row r="2164">
      <c r="A2164" s="485">
        <v>45310.01926405093</v>
      </c>
      <c r="B2164" s="162" t="s">
        <v>1324</v>
      </c>
      <c r="C2164" s="484" t="s">
        <v>1377</v>
      </c>
    </row>
    <row r="2165">
      <c r="A2165" s="485">
        <v>45310.03206290509</v>
      </c>
      <c r="B2165" s="162" t="s">
        <v>1324</v>
      </c>
      <c r="C2165" s="484" t="s">
        <v>1377</v>
      </c>
    </row>
    <row r="2166">
      <c r="A2166" s="485">
        <v>45310.67832865741</v>
      </c>
      <c r="B2166" s="162" t="s">
        <v>1323</v>
      </c>
      <c r="C2166" s="484"/>
    </row>
    <row r="2167">
      <c r="A2167" s="485">
        <v>45310.68390163194</v>
      </c>
      <c r="B2167" s="162" t="s">
        <v>1324</v>
      </c>
      <c r="C2167" s="484" t="s">
        <v>1377</v>
      </c>
    </row>
    <row r="2168">
      <c r="A2168" s="485">
        <v>45310.70439060185</v>
      </c>
      <c r="B2168" s="162" t="s">
        <v>1324</v>
      </c>
      <c r="C2168" s="484" t="s">
        <v>1377</v>
      </c>
    </row>
    <row r="2169">
      <c r="A2169" s="485">
        <v>45310.72801357639</v>
      </c>
      <c r="B2169" s="162" t="s">
        <v>1323</v>
      </c>
      <c r="C2169" s="484"/>
    </row>
    <row r="2170">
      <c r="A2170" s="485">
        <v>45310.730953356484</v>
      </c>
      <c r="B2170" s="162" t="s">
        <v>1323</v>
      </c>
      <c r="C2170" s="484"/>
    </row>
    <row r="2171">
      <c r="A2171" s="485">
        <v>45310.735242615745</v>
      </c>
      <c r="B2171" s="162" t="s">
        <v>1324</v>
      </c>
      <c r="C2171" s="484" t="s">
        <v>1377</v>
      </c>
    </row>
    <row r="2172">
      <c r="A2172" s="485">
        <v>45310.855092314814</v>
      </c>
      <c r="B2172" s="162" t="s">
        <v>1323</v>
      </c>
      <c r="C2172" s="484"/>
    </row>
    <row r="2173">
      <c r="A2173" s="485">
        <v>45310.86157649306</v>
      </c>
      <c r="B2173" s="162" t="s">
        <v>1324</v>
      </c>
      <c r="C2173" s="484" t="s">
        <v>1377</v>
      </c>
    </row>
    <row r="2174">
      <c r="A2174" s="485">
        <v>45310.92808719908</v>
      </c>
      <c r="B2174" s="162" t="s">
        <v>1324</v>
      </c>
      <c r="C2174" s="484" t="s">
        <v>1377</v>
      </c>
    </row>
    <row r="2175">
      <c r="A2175" s="485">
        <v>45310.93310622685</v>
      </c>
      <c r="B2175" s="162" t="s">
        <v>1324</v>
      </c>
      <c r="C2175" s="484" t="s">
        <v>1377</v>
      </c>
    </row>
    <row r="2176">
      <c r="A2176" s="485">
        <v>45310.9584331713</v>
      </c>
      <c r="B2176" s="162" t="s">
        <v>1323</v>
      </c>
      <c r="C2176" s="484"/>
    </row>
    <row r="2177">
      <c r="A2177" s="485">
        <v>45310.96423733796</v>
      </c>
      <c r="B2177" s="162" t="s">
        <v>1324</v>
      </c>
      <c r="C2177" s="484" t="s">
        <v>1377</v>
      </c>
    </row>
    <row r="2178">
      <c r="A2178" s="485">
        <v>45310.977424675926</v>
      </c>
      <c r="B2178" s="162" t="s">
        <v>1323</v>
      </c>
      <c r="C2178" s="484"/>
    </row>
    <row r="2179">
      <c r="A2179" s="485">
        <v>45310.982889293984</v>
      </c>
      <c r="B2179" s="162" t="s">
        <v>1324</v>
      </c>
      <c r="C2179" s="484" t="s">
        <v>1377</v>
      </c>
    </row>
    <row r="2180">
      <c r="A2180" s="485">
        <v>45313.73559060185</v>
      </c>
      <c r="B2180" s="162" t="s">
        <v>1324</v>
      </c>
      <c r="C2180" s="484" t="s">
        <v>1377</v>
      </c>
    </row>
    <row r="2181">
      <c r="A2181" s="485">
        <v>45313.74911030092</v>
      </c>
      <c r="B2181" s="162" t="s">
        <v>1324</v>
      </c>
      <c r="C2181" s="484" t="s">
        <v>1377</v>
      </c>
    </row>
    <row r="2182">
      <c r="A2182" s="485">
        <v>45313.86564034723</v>
      </c>
      <c r="B2182" s="162" t="s">
        <v>1323</v>
      </c>
      <c r="C2182" s="484"/>
    </row>
    <row r="2183">
      <c r="A2183" s="485">
        <v>45313.87186442129</v>
      </c>
      <c r="B2183" s="162" t="s">
        <v>1324</v>
      </c>
      <c r="C2183" s="484" t="s">
        <v>1377</v>
      </c>
    </row>
    <row r="2184">
      <c r="A2184" s="485">
        <v>45313.921979189814</v>
      </c>
      <c r="B2184" s="162" t="s">
        <v>1323</v>
      </c>
      <c r="C2184" s="484"/>
    </row>
    <row r="2185">
      <c r="A2185" s="485">
        <v>45313.9288409375</v>
      </c>
      <c r="B2185" s="162" t="s">
        <v>1324</v>
      </c>
      <c r="C2185" s="484" t="s">
        <v>1377</v>
      </c>
    </row>
    <row r="2186">
      <c r="A2186" s="485">
        <v>45314.02496190972</v>
      </c>
      <c r="B2186" s="162" t="s">
        <v>1323</v>
      </c>
      <c r="C2186" s="484" t="s">
        <v>1378</v>
      </c>
    </row>
    <row r="2187">
      <c r="A2187" s="485">
        <v>45314.030715914356</v>
      </c>
      <c r="B2187" s="162" t="s">
        <v>1324</v>
      </c>
      <c r="C2187" s="484" t="s">
        <v>1379</v>
      </c>
    </row>
    <row r="2188">
      <c r="A2188" s="485">
        <v>45314.03064181713</v>
      </c>
      <c r="B2188" s="162" t="s">
        <v>1324</v>
      </c>
      <c r="C2188" s="484" t="s">
        <v>1379</v>
      </c>
    </row>
    <row r="2189">
      <c r="A2189" s="485">
        <v>45314.74225892361</v>
      </c>
      <c r="B2189" s="162" t="s">
        <v>1323</v>
      </c>
      <c r="C2189" s="484" t="s">
        <v>1378</v>
      </c>
    </row>
    <row r="2190">
      <c r="A2190" s="485">
        <v>45314.74897075232</v>
      </c>
      <c r="B2190" s="162" t="s">
        <v>1324</v>
      </c>
      <c r="C2190" s="484" t="s">
        <v>1380</v>
      </c>
    </row>
    <row r="2191">
      <c r="A2191" s="485">
        <v>45314.78780104167</v>
      </c>
      <c r="B2191" s="162" t="s">
        <v>1324</v>
      </c>
      <c r="C2191" s="484" t="s">
        <v>1380</v>
      </c>
    </row>
    <row r="2192">
      <c r="A2192" s="485">
        <v>45314.85234271991</v>
      </c>
      <c r="B2192" s="162" t="s">
        <v>1323</v>
      </c>
      <c r="C2192" s="484" t="s">
        <v>1378</v>
      </c>
    </row>
    <row r="2193">
      <c r="A2193" s="485">
        <v>45314.85870383102</v>
      </c>
      <c r="B2193" s="162" t="s">
        <v>1324</v>
      </c>
      <c r="C2193" s="484" t="s">
        <v>1380</v>
      </c>
    </row>
    <row r="2194">
      <c r="A2194" s="485">
        <v>45314.90646482639</v>
      </c>
      <c r="B2194" s="162" t="s">
        <v>1324</v>
      </c>
      <c r="C2194" s="484" t="s">
        <v>1380</v>
      </c>
    </row>
    <row r="2195">
      <c r="A2195" s="485">
        <v>45315.666524120374</v>
      </c>
      <c r="B2195" s="162" t="s">
        <v>1323</v>
      </c>
      <c r="C2195" s="484" t="s">
        <v>1378</v>
      </c>
    </row>
    <row r="2196">
      <c r="A2196" s="485">
        <v>45315.676510624995</v>
      </c>
      <c r="B2196" s="162" t="s">
        <v>1324</v>
      </c>
      <c r="C2196" s="484" t="s">
        <v>1381</v>
      </c>
    </row>
    <row r="2197">
      <c r="A2197" s="485">
        <v>45315.67644752315</v>
      </c>
      <c r="B2197" s="162" t="s">
        <v>1324</v>
      </c>
      <c r="C2197" s="484" t="s">
        <v>1381</v>
      </c>
    </row>
    <row r="2198">
      <c r="A2198" s="485">
        <v>45315.75526467593</v>
      </c>
      <c r="B2198" s="162" t="s">
        <v>1324</v>
      </c>
      <c r="C2198" s="484" t="s">
        <v>1381</v>
      </c>
    </row>
    <row r="2199">
      <c r="A2199" s="485">
        <v>45315.78740877315</v>
      </c>
      <c r="B2199" s="162" t="s">
        <v>1324</v>
      </c>
      <c r="C2199" s="484" t="s">
        <v>1381</v>
      </c>
    </row>
    <row r="2200">
      <c r="A2200" s="485">
        <v>45315.80982943287</v>
      </c>
      <c r="B2200" s="162" t="s">
        <v>1323</v>
      </c>
      <c r="C2200" s="484" t="s">
        <v>1378</v>
      </c>
    </row>
    <row r="2201">
      <c r="A2201" s="485">
        <v>45315.816771875005</v>
      </c>
      <c r="B2201" s="162" t="s">
        <v>1324</v>
      </c>
      <c r="C2201" s="484" t="s">
        <v>1381</v>
      </c>
    </row>
    <row r="2202">
      <c r="A2202" s="485">
        <v>45315.86477030093</v>
      </c>
      <c r="B2202" s="162" t="s">
        <v>1324</v>
      </c>
      <c r="C2202" s="484" t="s">
        <v>1381</v>
      </c>
    </row>
    <row r="2203">
      <c r="A2203" s="485">
        <v>45315.974771180554</v>
      </c>
      <c r="B2203" s="162" t="s">
        <v>1323</v>
      </c>
      <c r="C2203" s="484" t="s">
        <v>1378</v>
      </c>
    </row>
    <row r="2204">
      <c r="A2204" s="485">
        <v>45315.9801408912</v>
      </c>
      <c r="B2204" s="162" t="s">
        <v>1324</v>
      </c>
      <c r="C2204" s="484" t="s">
        <v>1382</v>
      </c>
    </row>
    <row r="2205">
      <c r="A2205" s="485">
        <v>45316.00915828704</v>
      </c>
      <c r="B2205" s="162" t="s">
        <v>1324</v>
      </c>
      <c r="C2205" s="484" t="s">
        <v>1382</v>
      </c>
    </row>
    <row r="2206">
      <c r="A2206" s="485">
        <v>45316.7288449537</v>
      </c>
      <c r="B2206" s="162" t="s">
        <v>1323</v>
      </c>
      <c r="C2206" s="484" t="s">
        <v>1378</v>
      </c>
    </row>
    <row r="2207">
      <c r="A2207" s="485">
        <v>45316.73555619213</v>
      </c>
      <c r="B2207" s="162" t="s">
        <v>1324</v>
      </c>
      <c r="C2207" s="484" t="s">
        <v>1383</v>
      </c>
    </row>
    <row r="2208">
      <c r="A2208" s="485">
        <v>45316.76611898148</v>
      </c>
      <c r="B2208" s="162" t="s">
        <v>1324</v>
      </c>
      <c r="C2208" s="484" t="s">
        <v>1383</v>
      </c>
    </row>
    <row r="2209">
      <c r="A2209" s="485">
        <v>45316.823130439814</v>
      </c>
      <c r="B2209" s="162" t="s">
        <v>1323</v>
      </c>
      <c r="C2209" s="484" t="s">
        <v>1378</v>
      </c>
    </row>
    <row r="2210">
      <c r="A2210" s="485">
        <v>45316.82909363426</v>
      </c>
      <c r="B2210" s="162" t="s">
        <v>1324</v>
      </c>
      <c r="C2210" s="484" t="s">
        <v>1383</v>
      </c>
    </row>
    <row r="2211">
      <c r="A2211" s="485">
        <v>45316.90450336806</v>
      </c>
      <c r="B2211" s="162" t="s">
        <v>1323</v>
      </c>
      <c r="C2211" s="484" t="s">
        <v>1378</v>
      </c>
    </row>
    <row r="2212">
      <c r="A2212" s="485">
        <v>45316.91098292824</v>
      </c>
      <c r="B2212" s="162" t="s">
        <v>1324</v>
      </c>
      <c r="C2212" s="484" t="s">
        <v>1384</v>
      </c>
    </row>
    <row r="2213">
      <c r="A2213" s="485">
        <v>45316.93606440972</v>
      </c>
      <c r="B2213" s="162" t="s">
        <v>1324</v>
      </c>
      <c r="C2213" s="484" t="s">
        <v>1384</v>
      </c>
    </row>
    <row r="2214">
      <c r="A2214" s="485">
        <v>45317.012908923614</v>
      </c>
      <c r="B2214" s="162" t="s">
        <v>1324</v>
      </c>
      <c r="C2214" s="484" t="s">
        <v>1384</v>
      </c>
    </row>
    <row r="2215">
      <c r="A2215" s="485">
        <v>45317.035142037035</v>
      </c>
      <c r="B2215" s="162" t="s">
        <v>1323</v>
      </c>
      <c r="C2215" s="484" t="s">
        <v>1378</v>
      </c>
    </row>
    <row r="2216">
      <c r="A2216" s="485">
        <v>45317.04041478009</v>
      </c>
      <c r="B2216" s="162" t="s">
        <v>1324</v>
      </c>
      <c r="C2216" s="484" t="s">
        <v>1384</v>
      </c>
    </row>
    <row r="2217">
      <c r="A2217" s="485">
        <v>45317.05288606482</v>
      </c>
      <c r="B2217" s="162" t="s">
        <v>1324</v>
      </c>
      <c r="C2217" s="484" t="s">
        <v>1384</v>
      </c>
    </row>
    <row r="2218">
      <c r="A2218" s="485">
        <v>45317.658673356476</v>
      </c>
      <c r="B2218" s="162" t="s">
        <v>1323</v>
      </c>
      <c r="C2218" s="484" t="s">
        <v>1378</v>
      </c>
    </row>
    <row r="2219">
      <c r="A2219" s="485">
        <v>45317.66494538194</v>
      </c>
      <c r="B2219" s="162" t="s">
        <v>1324</v>
      </c>
      <c r="C2219" s="484" t="s">
        <v>1385</v>
      </c>
    </row>
    <row r="2220">
      <c r="A2220" s="485">
        <v>45317.71590417824</v>
      </c>
      <c r="B2220" s="162" t="s">
        <v>1324</v>
      </c>
      <c r="C2220" s="484" t="s">
        <v>1385</v>
      </c>
    </row>
    <row r="2221">
      <c r="A2221" s="485">
        <v>45317.73381553241</v>
      </c>
      <c r="B2221" s="162" t="s">
        <v>1324</v>
      </c>
      <c r="C2221" s="484" t="s">
        <v>1385</v>
      </c>
    </row>
    <row r="2222">
      <c r="A2222" s="485">
        <v>45317.77365423611</v>
      </c>
      <c r="B2222" s="162" t="s">
        <v>1323</v>
      </c>
      <c r="C2222" s="484" t="s">
        <v>1378</v>
      </c>
    </row>
    <row r="2223">
      <c r="A2223" s="485">
        <v>45317.78033678241</v>
      </c>
      <c r="B2223" s="162" t="s">
        <v>1324</v>
      </c>
      <c r="C2223" s="484" t="s">
        <v>1385</v>
      </c>
    </row>
    <row r="2224">
      <c r="A2224" s="485">
        <v>45317.88693194445</v>
      </c>
      <c r="B2224" s="162" t="s">
        <v>1324</v>
      </c>
      <c r="C2224" s="484" t="s">
        <v>1385</v>
      </c>
    </row>
    <row r="2225">
      <c r="A2225" s="485">
        <v>45317.908159363426</v>
      </c>
      <c r="B2225" s="162" t="s">
        <v>1323</v>
      </c>
      <c r="C2225" s="484" t="s">
        <v>1378</v>
      </c>
    </row>
    <row r="2226">
      <c r="A2226" s="485">
        <v>45317.91422428241</v>
      </c>
      <c r="B2226" s="162" t="s">
        <v>1324</v>
      </c>
      <c r="C2226" s="484" t="s">
        <v>1385</v>
      </c>
    </row>
    <row r="2227">
      <c r="A2227" s="485">
        <v>45317.94198561343</v>
      </c>
      <c r="B2227" s="162" t="s">
        <v>1324</v>
      </c>
      <c r="C2227" s="484" t="s">
        <v>1385</v>
      </c>
    </row>
    <row r="2228">
      <c r="A2228" s="485">
        <v>45317.95917324074</v>
      </c>
      <c r="B2228" s="162" t="s">
        <v>1324</v>
      </c>
      <c r="C2228" s="484" t="s">
        <v>1385</v>
      </c>
    </row>
    <row r="2229">
      <c r="A2229" s="485">
        <v>45317.97666863426</v>
      </c>
      <c r="B2229" s="162" t="s">
        <v>1323</v>
      </c>
      <c r="C2229" s="484" t="s">
        <v>1378</v>
      </c>
    </row>
    <row r="2230">
      <c r="A2230" s="485">
        <v>45317.98281232639</v>
      </c>
      <c r="B2230" s="162" t="s">
        <v>1324</v>
      </c>
      <c r="C2230" s="484" t="s">
        <v>1385</v>
      </c>
    </row>
    <row r="2231">
      <c r="A2231" s="485">
        <v>45318.01917039352</v>
      </c>
      <c r="B2231" s="162" t="s">
        <v>1324</v>
      </c>
      <c r="C2231" s="484" t="s">
        <v>1385</v>
      </c>
    </row>
    <row r="2232">
      <c r="A2232" s="485">
        <v>45320.65811019676</v>
      </c>
      <c r="B2232" s="162" t="s">
        <v>1324</v>
      </c>
      <c r="C2232" s="484" t="s">
        <v>1386</v>
      </c>
    </row>
    <row r="2233">
      <c r="A2233" s="485">
        <v>45320.73118599537</v>
      </c>
      <c r="B2233" s="162" t="s">
        <v>1324</v>
      </c>
      <c r="C2233" s="484" t="s">
        <v>1386</v>
      </c>
    </row>
    <row r="2234">
      <c r="A2234" s="485">
        <v>45320.757489317126</v>
      </c>
      <c r="B2234" s="162" t="s">
        <v>1324</v>
      </c>
      <c r="C2234" s="484" t="s">
        <v>1386</v>
      </c>
    </row>
    <row r="2235">
      <c r="A2235" s="485">
        <v>45320.79415783565</v>
      </c>
      <c r="B2235" s="162" t="s">
        <v>1324</v>
      </c>
      <c r="C2235" s="484" t="s">
        <v>1386</v>
      </c>
    </row>
    <row r="2236">
      <c r="A2236" s="485">
        <v>45320.97610128472</v>
      </c>
      <c r="B2236" s="162" t="s">
        <v>1323</v>
      </c>
      <c r="C2236" s="484" t="s">
        <v>1378</v>
      </c>
    </row>
    <row r="2237">
      <c r="A2237" s="485">
        <v>45320.98281641204</v>
      </c>
      <c r="B2237" s="162" t="s">
        <v>1324</v>
      </c>
      <c r="C2237" s="484" t="s">
        <v>1386</v>
      </c>
    </row>
    <row r="2238">
      <c r="A2238" s="485">
        <v>45321.00889420139</v>
      </c>
      <c r="B2238" s="162" t="s">
        <v>1324</v>
      </c>
      <c r="C2238" s="484" t="s">
        <v>1386</v>
      </c>
    </row>
    <row r="2239">
      <c r="A2239" s="485">
        <v>45321.72337515047</v>
      </c>
      <c r="B2239" s="162" t="s">
        <v>1323</v>
      </c>
      <c r="C2239" s="484" t="s">
        <v>1378</v>
      </c>
    </row>
    <row r="2240">
      <c r="A2240" s="485">
        <v>45321.72422853009</v>
      </c>
      <c r="B2240" s="162" t="s">
        <v>1323</v>
      </c>
      <c r="C2240" s="484" t="s">
        <v>1378</v>
      </c>
    </row>
    <row r="2241">
      <c r="A2241" s="485">
        <v>45321.73061216435</v>
      </c>
      <c r="B2241" s="162" t="s">
        <v>1324</v>
      </c>
      <c r="C2241" s="484" t="s">
        <v>1387</v>
      </c>
    </row>
    <row r="2242">
      <c r="A2242" s="485">
        <v>45321.76937462963</v>
      </c>
      <c r="B2242" s="162" t="s">
        <v>1323</v>
      </c>
      <c r="C2242" s="484" t="s">
        <v>1378</v>
      </c>
    </row>
    <row r="2243">
      <c r="A2243" s="485">
        <v>45321.77634525463</v>
      </c>
      <c r="B2243" s="162" t="s">
        <v>1324</v>
      </c>
      <c r="C2243" s="484" t="s">
        <v>1387</v>
      </c>
    </row>
    <row r="2244">
      <c r="A2244" s="485">
        <v>45321.834538993055</v>
      </c>
      <c r="B2244" s="162" t="s">
        <v>1324</v>
      </c>
      <c r="C2244" s="484" t="s">
        <v>1387</v>
      </c>
    </row>
    <row r="2245">
      <c r="A2245" s="485">
        <v>45321.91999224537</v>
      </c>
      <c r="B2245" s="162" t="s">
        <v>1323</v>
      </c>
      <c r="C2245" s="484" t="s">
        <v>1378</v>
      </c>
    </row>
    <row r="2246">
      <c r="A2246" s="485">
        <v>45321.92746893519</v>
      </c>
      <c r="B2246" s="162" t="s">
        <v>1324</v>
      </c>
      <c r="C2246" s="484" t="s">
        <v>1387</v>
      </c>
    </row>
    <row r="2247">
      <c r="A2247" s="485">
        <v>45321.96656216435</v>
      </c>
      <c r="B2247" s="162" t="s">
        <v>1324</v>
      </c>
      <c r="C2247" s="484" t="s">
        <v>1387</v>
      </c>
    </row>
    <row r="2248">
      <c r="A2248" s="485">
        <v>45322.00747820602</v>
      </c>
      <c r="B2248" s="162" t="s">
        <v>1323</v>
      </c>
      <c r="C2248" s="484" t="s">
        <v>1378</v>
      </c>
    </row>
    <row r="2249">
      <c r="A2249" s="485">
        <v>45322.01420644676</v>
      </c>
      <c r="B2249" s="162" t="s">
        <v>1324</v>
      </c>
      <c r="C2249" s="484" t="s">
        <v>1388</v>
      </c>
    </row>
    <row r="2250">
      <c r="A2250" s="485">
        <v>45322.7000412037</v>
      </c>
      <c r="B2250" s="162" t="s">
        <v>1324</v>
      </c>
      <c r="C2250" s="484" t="s">
        <v>1389</v>
      </c>
    </row>
    <row r="2251">
      <c r="A2251" s="485">
        <v>45322.70773486111</v>
      </c>
      <c r="B2251" s="162" t="s">
        <v>1324</v>
      </c>
      <c r="C2251" s="484" t="s">
        <v>1389</v>
      </c>
    </row>
    <row r="2252">
      <c r="A2252" s="485">
        <v>45322.84432945602</v>
      </c>
      <c r="B2252" s="162" t="s">
        <v>1323</v>
      </c>
      <c r="C2252" s="484" t="s">
        <v>1378</v>
      </c>
    </row>
    <row r="2253">
      <c r="A2253" s="485">
        <v>45322.851354548606</v>
      </c>
      <c r="B2253" s="162" t="s">
        <v>1324</v>
      </c>
      <c r="C2253" s="484" t="s">
        <v>1389</v>
      </c>
    </row>
    <row r="2254">
      <c r="A2254" s="485">
        <v>45322.87520274306</v>
      </c>
      <c r="B2254" s="162" t="s">
        <v>1324</v>
      </c>
      <c r="C2254" s="484" t="s">
        <v>1389</v>
      </c>
    </row>
    <row r="2255">
      <c r="A2255" s="485">
        <v>45322.91692509259</v>
      </c>
      <c r="B2255" s="162" t="s">
        <v>1323</v>
      </c>
      <c r="C2255" s="484" t="s">
        <v>1390</v>
      </c>
    </row>
    <row r="2256">
      <c r="A2256" s="485">
        <v>45322.92452326389</v>
      </c>
      <c r="B2256" s="162" t="s">
        <v>1324</v>
      </c>
      <c r="C2256" s="484" t="s">
        <v>1391</v>
      </c>
    </row>
    <row r="2257">
      <c r="A2257" s="485">
        <v>45322.95649005787</v>
      </c>
      <c r="B2257" s="162" t="s">
        <v>1324</v>
      </c>
      <c r="C2257" s="484" t="s">
        <v>1391</v>
      </c>
    </row>
    <row r="2258">
      <c r="A2258" s="485">
        <v>45322.97626373843</v>
      </c>
      <c r="B2258" s="162" t="s">
        <v>1323</v>
      </c>
      <c r="C2258" s="484" t="s">
        <v>1390</v>
      </c>
    </row>
    <row r="2259">
      <c r="A2259" s="485">
        <v>45322.983241064816</v>
      </c>
      <c r="B2259" s="162" t="s">
        <v>1324</v>
      </c>
      <c r="C2259" s="484" t="s">
        <v>1391</v>
      </c>
    </row>
    <row r="2260">
      <c r="A2260" s="485">
        <v>45323.00306615741</v>
      </c>
      <c r="B2260" s="162" t="s">
        <v>1324</v>
      </c>
      <c r="C2260" s="484" t="s">
        <v>1391</v>
      </c>
    </row>
    <row r="2261">
      <c r="A2261" s="485">
        <v>45323.66023479166</v>
      </c>
      <c r="B2261" s="162" t="s">
        <v>1323</v>
      </c>
      <c r="C2261" s="484" t="s">
        <v>1390</v>
      </c>
    </row>
    <row r="2262">
      <c r="A2262" s="485">
        <v>45323.66777189815</v>
      </c>
      <c r="B2262" s="162" t="s">
        <v>1324</v>
      </c>
      <c r="C2262" s="484" t="s">
        <v>1391</v>
      </c>
    </row>
    <row r="2263">
      <c r="A2263" s="485">
        <v>45323.73878658564</v>
      </c>
      <c r="B2263" s="162" t="s">
        <v>1324</v>
      </c>
      <c r="C2263" s="484" t="s">
        <v>1389</v>
      </c>
    </row>
    <row r="2264">
      <c r="A2264" s="485">
        <v>45323.75126017361</v>
      </c>
      <c r="B2264" s="162" t="s">
        <v>1324</v>
      </c>
      <c r="C2264" s="484" t="s">
        <v>1389</v>
      </c>
    </row>
    <row r="2265">
      <c r="A2265" s="485">
        <v>45323.79026072916</v>
      </c>
      <c r="B2265" s="162" t="s">
        <v>1323</v>
      </c>
      <c r="C2265" s="484"/>
    </row>
    <row r="2266">
      <c r="A2266" s="485">
        <v>45323.797300543985</v>
      </c>
      <c r="B2266" s="162" t="s">
        <v>1324</v>
      </c>
      <c r="C2266" s="484" t="s">
        <v>1389</v>
      </c>
    </row>
    <row r="2267">
      <c r="A2267" s="485">
        <v>45323.86318197916</v>
      </c>
      <c r="B2267" s="162" t="s">
        <v>1324</v>
      </c>
      <c r="C2267" s="484" t="s">
        <v>1389</v>
      </c>
    </row>
    <row r="2268">
      <c r="A2268" s="485">
        <v>45324.57850355324</v>
      </c>
      <c r="B2268" s="162" t="s">
        <v>1324</v>
      </c>
      <c r="C2268" s="484" t="s">
        <v>1392</v>
      </c>
    </row>
    <row r="2269">
      <c r="A2269" s="485">
        <v>45324.70457173611</v>
      </c>
      <c r="B2269" s="162" t="s">
        <v>1323</v>
      </c>
      <c r="C2269" s="484"/>
    </row>
    <row r="2270">
      <c r="A2270" s="485">
        <v>45324.71056665509</v>
      </c>
      <c r="B2270" s="162" t="s">
        <v>1324</v>
      </c>
      <c r="C2270" s="484" t="s">
        <v>1392</v>
      </c>
    </row>
    <row r="2271">
      <c r="A2271" s="485">
        <v>45324.82564556713</v>
      </c>
      <c r="B2271" s="162" t="s">
        <v>1323</v>
      </c>
      <c r="C2271" s="484"/>
    </row>
    <row r="2272">
      <c r="A2272" s="485">
        <v>45324.83388269676</v>
      </c>
      <c r="B2272" s="162" t="s">
        <v>1324</v>
      </c>
      <c r="C2272" s="484" t="s">
        <v>1393</v>
      </c>
    </row>
    <row r="2273">
      <c r="A2273" s="485">
        <v>45324.883932372686</v>
      </c>
      <c r="B2273" s="162" t="s">
        <v>1323</v>
      </c>
      <c r="C2273" s="484"/>
    </row>
    <row r="2274">
      <c r="A2274" s="485">
        <v>45324.89039252315</v>
      </c>
      <c r="B2274" s="162" t="s">
        <v>1323</v>
      </c>
      <c r="C2274" s="484"/>
    </row>
    <row r="2275">
      <c r="A2275" s="485">
        <v>45324.897736122686</v>
      </c>
      <c r="B2275" s="162" t="s">
        <v>1324</v>
      </c>
      <c r="C2275" s="484" t="s">
        <v>1393</v>
      </c>
    </row>
    <row r="2276">
      <c r="A2276" s="485">
        <v>45324.961001585645</v>
      </c>
      <c r="B2276" s="162" t="s">
        <v>1323</v>
      </c>
      <c r="C2276" s="484"/>
    </row>
    <row r="2277">
      <c r="A2277" s="485">
        <v>45324.967878842595</v>
      </c>
      <c r="B2277" s="162" t="s">
        <v>1324</v>
      </c>
      <c r="C2277" s="484" t="s">
        <v>1393</v>
      </c>
    </row>
    <row r="2278">
      <c r="A2278" s="485">
        <v>45324.975598993056</v>
      </c>
      <c r="B2278" s="162" t="s">
        <v>1323</v>
      </c>
      <c r="C2278" s="484"/>
    </row>
    <row r="2279">
      <c r="A2279" s="485">
        <v>45324.97790412037</v>
      </c>
      <c r="B2279" s="162" t="s">
        <v>1323</v>
      </c>
      <c r="C2279" s="484"/>
    </row>
    <row r="2280">
      <c r="A2280" s="485">
        <v>45324.9823479051</v>
      </c>
      <c r="B2280" s="162" t="s">
        <v>1324</v>
      </c>
      <c r="C2280" s="484" t="s">
        <v>1393</v>
      </c>
    </row>
    <row r="2281">
      <c r="A2281" s="485">
        <v>45325.01044356481</v>
      </c>
      <c r="B2281" s="162" t="s">
        <v>1323</v>
      </c>
      <c r="C2281" s="484"/>
    </row>
    <row r="2282">
      <c r="A2282" s="485">
        <v>45325.01643996528</v>
      </c>
      <c r="B2282" s="162" t="s">
        <v>1323</v>
      </c>
      <c r="C2282" s="484"/>
    </row>
    <row r="2283">
      <c r="A2283" s="485">
        <v>45325.0170006713</v>
      </c>
      <c r="B2283" s="162" t="s">
        <v>1324</v>
      </c>
      <c r="C2283" s="484" t="s">
        <v>1393</v>
      </c>
    </row>
    <row r="2284">
      <c r="A2284" s="485">
        <v>45325.02064996528</v>
      </c>
      <c r="B2284" s="162" t="s">
        <v>1324</v>
      </c>
      <c r="C2284" s="484" t="s">
        <v>1393</v>
      </c>
    </row>
    <row r="2285">
      <c r="A2285" s="485">
        <v>45327.77647094907</v>
      </c>
      <c r="B2285" s="162" t="s">
        <v>1324</v>
      </c>
      <c r="C2285" s="484" t="s">
        <v>1393</v>
      </c>
    </row>
    <row r="2286">
      <c r="A2286" s="485">
        <v>45328.13146859954</v>
      </c>
      <c r="B2286" s="162" t="s">
        <v>1324</v>
      </c>
      <c r="C2286" s="484" t="s">
        <v>1393</v>
      </c>
    </row>
    <row r="2287">
      <c r="A2287" s="485">
        <v>45328.15345211806</v>
      </c>
      <c r="B2287" s="162" t="s">
        <v>1324</v>
      </c>
      <c r="C2287" s="484" t="s">
        <v>1394</v>
      </c>
    </row>
    <row r="2288">
      <c r="A2288" s="485">
        <v>45328.90826490741</v>
      </c>
      <c r="B2288" s="162" t="s">
        <v>1324</v>
      </c>
      <c r="C2288" s="484" t="s">
        <v>1395</v>
      </c>
    </row>
    <row r="2289">
      <c r="A2289" s="485">
        <v>45329.01892649305</v>
      </c>
      <c r="B2289" s="162" t="s">
        <v>1324</v>
      </c>
      <c r="C2289" s="484" t="s">
        <v>1395</v>
      </c>
    </row>
    <row r="2290">
      <c r="A2290" s="485">
        <v>45329.33228982639</v>
      </c>
      <c r="B2290" s="162" t="s">
        <v>1324</v>
      </c>
      <c r="C2290" s="484" t="s">
        <v>1396</v>
      </c>
    </row>
    <row r="2291">
      <c r="A2291" s="485">
        <v>45329.74763265046</v>
      </c>
      <c r="B2291" s="162" t="s">
        <v>1324</v>
      </c>
      <c r="C2291" s="484" t="s">
        <v>1396</v>
      </c>
    </row>
    <row r="2292">
      <c r="A2292" s="485">
        <v>45329.89157394676</v>
      </c>
      <c r="B2292" s="162" t="s">
        <v>1323</v>
      </c>
      <c r="C2292" s="484"/>
    </row>
    <row r="2293">
      <c r="A2293" s="485">
        <v>45329.89900091435</v>
      </c>
      <c r="B2293" s="162" t="s">
        <v>1324</v>
      </c>
      <c r="C2293" s="484" t="s">
        <v>1397</v>
      </c>
    </row>
    <row r="2294">
      <c r="A2294" s="485">
        <v>45329.91089701389</v>
      </c>
      <c r="B2294" s="162" t="s">
        <v>1324</v>
      </c>
      <c r="C2294" s="484" t="s">
        <v>1398</v>
      </c>
    </row>
    <row r="2295">
      <c r="A2295" s="485">
        <v>45329.90603728009</v>
      </c>
      <c r="B2295" s="162" t="s">
        <v>1324</v>
      </c>
      <c r="C2295" s="484" t="s">
        <v>1399</v>
      </c>
    </row>
    <row r="2296">
      <c r="A2296" s="485">
        <v>45329.911769756945</v>
      </c>
      <c r="B2296" s="162" t="s">
        <v>1323</v>
      </c>
      <c r="C2296" s="484"/>
    </row>
    <row r="2297">
      <c r="A2297" s="485">
        <v>45329.91411989584</v>
      </c>
      <c r="B2297" s="162" t="s">
        <v>1324</v>
      </c>
      <c r="C2297" s="484"/>
    </row>
    <row r="2298">
      <c r="A2298" s="485">
        <v>45329.928007372684</v>
      </c>
      <c r="B2298" s="162" t="s">
        <v>1323</v>
      </c>
      <c r="C2298" s="484"/>
    </row>
    <row r="2299">
      <c r="A2299" s="485">
        <v>45329.930554907405</v>
      </c>
      <c r="B2299" s="162" t="s">
        <v>1324</v>
      </c>
      <c r="C2299" s="484"/>
    </row>
    <row r="2300">
      <c r="A2300" s="485">
        <v>45329.96361011574</v>
      </c>
      <c r="B2300" s="162" t="s">
        <v>1323</v>
      </c>
      <c r="C2300" s="484"/>
    </row>
    <row r="2301">
      <c r="A2301" s="485">
        <v>45329.96629355324</v>
      </c>
      <c r="B2301" s="162" t="s">
        <v>1324</v>
      </c>
      <c r="C2301" s="484"/>
    </row>
    <row r="2302">
      <c r="A2302" s="485">
        <v>45330.036363541665</v>
      </c>
      <c r="B2302" s="162" t="s">
        <v>1323</v>
      </c>
      <c r="C2302" s="484"/>
    </row>
    <row r="2303">
      <c r="A2303" s="485">
        <v>45330.038424004626</v>
      </c>
      <c r="B2303" s="162" t="s">
        <v>1324</v>
      </c>
      <c r="C2303" s="484"/>
    </row>
    <row r="2304">
      <c r="A2304" s="485">
        <v>45330.05506994213</v>
      </c>
      <c r="B2304" s="162" t="s">
        <v>1323</v>
      </c>
      <c r="C2304" s="484"/>
    </row>
    <row r="2305">
      <c r="A2305" s="485">
        <v>45330.059040486114</v>
      </c>
      <c r="B2305" s="162" t="s">
        <v>1324</v>
      </c>
      <c r="C2305" s="484"/>
    </row>
    <row r="2306">
      <c r="A2306" s="485">
        <v>45330.067039155096</v>
      </c>
      <c r="B2306" s="162" t="s">
        <v>1323</v>
      </c>
      <c r="C2306" s="484"/>
    </row>
    <row r="2307">
      <c r="A2307" s="485">
        <v>45330.069413564815</v>
      </c>
      <c r="B2307" s="162" t="s">
        <v>1324</v>
      </c>
      <c r="C2307" s="484"/>
    </row>
    <row r="2308">
      <c r="A2308" s="485">
        <v>45330.7018333912</v>
      </c>
      <c r="B2308" s="162" t="s">
        <v>1323</v>
      </c>
      <c r="C2308" s="484"/>
    </row>
    <row r="2309">
      <c r="A2309" s="485">
        <v>45330.70423045139</v>
      </c>
      <c r="B2309" s="162" t="s">
        <v>1324</v>
      </c>
      <c r="C2309" s="484" t="s">
        <v>1400</v>
      </c>
    </row>
    <row r="2310">
      <c r="A2310" s="485">
        <v>45330.97565890047</v>
      </c>
      <c r="B2310" s="162" t="s">
        <v>1323</v>
      </c>
      <c r="C2310" s="484"/>
    </row>
    <row r="2311">
      <c r="A2311" s="485">
        <v>45330.97790486111</v>
      </c>
      <c r="B2311" s="162" t="s">
        <v>1324</v>
      </c>
      <c r="C2311" s="484"/>
    </row>
    <row r="2312">
      <c r="A2312" s="485">
        <v>45330.99687304399</v>
      </c>
      <c r="B2312" s="162" t="s">
        <v>1323</v>
      </c>
      <c r="C2312" s="484"/>
    </row>
    <row r="2313">
      <c r="A2313" s="485">
        <v>45330.99856122685</v>
      </c>
      <c r="B2313" s="162" t="s">
        <v>1324</v>
      </c>
      <c r="C2313" s="484"/>
    </row>
    <row r="2314">
      <c r="A2314" s="485">
        <v>45331.028916296294</v>
      </c>
      <c r="B2314" s="162" t="s">
        <v>1323</v>
      </c>
      <c r="C2314" s="484"/>
    </row>
    <row r="2315">
      <c r="A2315" s="485">
        <v>45331.0309837963</v>
      </c>
      <c r="B2315" s="162" t="s">
        <v>1324</v>
      </c>
      <c r="C2315" s="484"/>
    </row>
    <row r="2316">
      <c r="A2316" s="485">
        <v>45331.2404215625</v>
      </c>
      <c r="B2316" s="162" t="s">
        <v>1324</v>
      </c>
      <c r="C2316" s="484"/>
    </row>
    <row r="2317">
      <c r="A2317" s="485">
        <v>45331.7870875</v>
      </c>
      <c r="B2317" s="162" t="s">
        <v>1323</v>
      </c>
      <c r="C2317" s="484"/>
    </row>
    <row r="2318">
      <c r="A2318" s="485">
        <v>45331.789711226855</v>
      </c>
      <c r="B2318" s="162" t="s">
        <v>1324</v>
      </c>
      <c r="C2318" s="484" t="s">
        <v>1401</v>
      </c>
    </row>
    <row r="2319">
      <c r="A2319" s="485">
        <v>45331.82024392361</v>
      </c>
      <c r="B2319" s="162" t="s">
        <v>1323</v>
      </c>
      <c r="C2319" s="484"/>
    </row>
    <row r="2320">
      <c r="A2320" s="485">
        <v>45331.822823587965</v>
      </c>
      <c r="B2320" s="162" t="s">
        <v>1324</v>
      </c>
      <c r="C2320" s="484"/>
    </row>
    <row r="2321">
      <c r="A2321" s="485">
        <v>45331.83144875</v>
      </c>
      <c r="B2321" s="162" t="s">
        <v>1323</v>
      </c>
      <c r="C2321" s="484"/>
    </row>
    <row r="2322">
      <c r="A2322" s="485">
        <v>45331.834031562496</v>
      </c>
      <c r="B2322" s="162" t="s">
        <v>1324</v>
      </c>
      <c r="C2322" s="484"/>
    </row>
    <row r="2323">
      <c r="A2323" s="485">
        <v>45331.857734618054</v>
      </c>
      <c r="B2323" s="162" t="s">
        <v>1323</v>
      </c>
      <c r="C2323" s="484"/>
    </row>
    <row r="2324">
      <c r="A2324" s="485">
        <v>45331.86049568287</v>
      </c>
      <c r="B2324" s="162" t="s">
        <v>1324</v>
      </c>
      <c r="C2324" s="484"/>
    </row>
    <row r="2325">
      <c r="A2325" s="485">
        <v>45331.975843356486</v>
      </c>
      <c r="B2325" s="162" t="s">
        <v>1323</v>
      </c>
      <c r="C2325" s="484"/>
    </row>
    <row r="2326">
      <c r="A2326" s="485">
        <v>45332.07691724537</v>
      </c>
      <c r="B2326" s="162" t="s">
        <v>1323</v>
      </c>
      <c r="C2326" s="484"/>
    </row>
    <row r="2327">
      <c r="A2327" s="485">
        <v>45332.079246875</v>
      </c>
      <c r="B2327" s="162" t="s">
        <v>1324</v>
      </c>
      <c r="C2327" s="484"/>
    </row>
    <row r="2328">
      <c r="A2328" s="485">
        <v>45334.673068125005</v>
      </c>
      <c r="B2328" s="162" t="s">
        <v>1323</v>
      </c>
      <c r="C2328" s="484"/>
    </row>
    <row r="2329">
      <c r="A2329" s="485">
        <v>45334.67547956019</v>
      </c>
      <c r="B2329" s="162" t="s">
        <v>1324</v>
      </c>
      <c r="C2329" s="484" t="s">
        <v>1402</v>
      </c>
    </row>
    <row r="2330">
      <c r="A2330" s="485">
        <v>45334.6864981713</v>
      </c>
      <c r="B2330" s="162" t="s">
        <v>1324</v>
      </c>
      <c r="C2330" s="484"/>
    </row>
    <row r="2331">
      <c r="A2331" s="485">
        <v>45334.739667870366</v>
      </c>
      <c r="B2331" s="162" t="s">
        <v>1323</v>
      </c>
      <c r="C2331" s="484"/>
    </row>
    <row r="2332">
      <c r="A2332" s="485">
        <v>45334.74232200232</v>
      </c>
      <c r="B2332" s="162" t="s">
        <v>1324</v>
      </c>
      <c r="C2332" s="484"/>
    </row>
    <row r="2333">
      <c r="A2333" s="485">
        <v>45334.77758180555</v>
      </c>
      <c r="B2333" s="162" t="s">
        <v>1323</v>
      </c>
      <c r="C2333" s="484"/>
    </row>
    <row r="2334">
      <c r="A2334" s="485">
        <v>45334.77989380787</v>
      </c>
      <c r="B2334" s="162" t="s">
        <v>1324</v>
      </c>
      <c r="C2334" s="484"/>
    </row>
    <row r="2335">
      <c r="A2335" s="485">
        <v>45334.98219121528</v>
      </c>
      <c r="B2335" s="162" t="s">
        <v>1323</v>
      </c>
      <c r="C2335" s="484"/>
    </row>
    <row r="2336">
      <c r="A2336" s="485">
        <v>45334.984975775464</v>
      </c>
      <c r="B2336" s="162" t="s">
        <v>1324</v>
      </c>
      <c r="C2336" s="484"/>
    </row>
    <row r="2337">
      <c r="A2337" s="485">
        <v>45334.99742320602</v>
      </c>
      <c r="B2337" s="162" t="s">
        <v>1323</v>
      </c>
      <c r="C2337" s="484"/>
    </row>
    <row r="2338">
      <c r="A2338" s="485">
        <v>45335.0000180787</v>
      </c>
      <c r="B2338" s="162" t="s">
        <v>1324</v>
      </c>
      <c r="C2338" s="484"/>
    </row>
    <row r="2339">
      <c r="A2339" s="485">
        <v>45335.01531989583</v>
      </c>
      <c r="B2339" s="162" t="s">
        <v>1323</v>
      </c>
      <c r="C2339" s="484"/>
    </row>
    <row r="2340">
      <c r="A2340" s="485">
        <v>45335.017409259264</v>
      </c>
      <c r="B2340" s="162" t="s">
        <v>1324</v>
      </c>
      <c r="C2340" s="484"/>
    </row>
    <row r="2341">
      <c r="A2341" s="485">
        <v>45335.674356041665</v>
      </c>
      <c r="B2341" s="162" t="s">
        <v>1323</v>
      </c>
      <c r="C2341" s="484"/>
    </row>
    <row r="2342">
      <c r="A2342" s="485">
        <v>45335.67633004629</v>
      </c>
      <c r="B2342" s="162" t="s">
        <v>1324</v>
      </c>
      <c r="C2342" s="484" t="s">
        <v>1403</v>
      </c>
    </row>
    <row r="2343">
      <c r="A2343" s="485">
        <v>45335.708641087964</v>
      </c>
      <c r="B2343" s="162" t="s">
        <v>1323</v>
      </c>
      <c r="C2343" s="484"/>
    </row>
    <row r="2344">
      <c r="A2344" s="485">
        <v>45335.711927129625</v>
      </c>
      <c r="B2344" s="162" t="s">
        <v>1324</v>
      </c>
      <c r="C2344" s="484"/>
    </row>
    <row r="2345">
      <c r="A2345" s="485">
        <v>45335.868521875</v>
      </c>
      <c r="B2345" s="162" t="s">
        <v>1323</v>
      </c>
      <c r="C2345" s="484"/>
    </row>
    <row r="2346">
      <c r="A2346" s="485">
        <v>45335.87089291667</v>
      </c>
      <c r="B2346" s="162" t="s">
        <v>1324</v>
      </c>
      <c r="C2346" s="484"/>
    </row>
    <row r="2347">
      <c r="A2347" s="485">
        <v>45335.989968333335</v>
      </c>
      <c r="B2347" s="162" t="s">
        <v>1323</v>
      </c>
      <c r="C2347" s="484"/>
    </row>
    <row r="2348">
      <c r="A2348" s="485">
        <v>45335.992600868056</v>
      </c>
      <c r="B2348" s="162" t="s">
        <v>1324</v>
      </c>
      <c r="C2348" s="484"/>
    </row>
    <row r="2349">
      <c r="A2349" s="485">
        <v>45336.02894599537</v>
      </c>
      <c r="B2349" s="162" t="s">
        <v>1323</v>
      </c>
      <c r="C2349" s="484"/>
    </row>
    <row r="2350">
      <c r="A2350" s="485">
        <v>45336.031184884254</v>
      </c>
      <c r="B2350" s="162" t="s">
        <v>1324</v>
      </c>
      <c r="C2350" s="484"/>
    </row>
    <row r="2351">
      <c r="A2351" s="485">
        <v>45336.052421053246</v>
      </c>
      <c r="B2351" s="162" t="s">
        <v>1323</v>
      </c>
      <c r="C2351" s="484"/>
    </row>
    <row r="2352">
      <c r="A2352" s="485">
        <v>45336.05547665509</v>
      </c>
      <c r="B2352" s="162" t="s">
        <v>1324</v>
      </c>
      <c r="C2352" s="484"/>
    </row>
    <row r="2353">
      <c r="A2353" s="485">
        <v>45336.660891203705</v>
      </c>
      <c r="B2353" s="162" t="s">
        <v>1323</v>
      </c>
      <c r="C2353" s="484"/>
    </row>
    <row r="2354">
      <c r="A2354" s="485">
        <v>45336.66379017361</v>
      </c>
      <c r="B2354" s="162" t="s">
        <v>1324</v>
      </c>
      <c r="C2354" s="484" t="s">
        <v>1404</v>
      </c>
    </row>
    <row r="2355">
      <c r="A2355" s="485">
        <v>45336.714889780094</v>
      </c>
      <c r="B2355" s="162" t="s">
        <v>1323</v>
      </c>
      <c r="C2355" s="484"/>
    </row>
    <row r="2356">
      <c r="A2356" s="485">
        <v>45336.71761975695</v>
      </c>
      <c r="B2356" s="162" t="s">
        <v>1324</v>
      </c>
      <c r="C2356" s="484"/>
    </row>
    <row r="2357">
      <c r="A2357" s="485">
        <v>45336.758176585645</v>
      </c>
      <c r="B2357" s="162" t="s">
        <v>1323</v>
      </c>
      <c r="C2357" s="484"/>
    </row>
    <row r="2358">
      <c r="A2358" s="485">
        <v>45336.7609702662</v>
      </c>
      <c r="B2358" s="162" t="s">
        <v>1324</v>
      </c>
      <c r="C2358" s="484"/>
    </row>
    <row r="2359">
      <c r="A2359" s="485">
        <v>45336.88230111111</v>
      </c>
      <c r="B2359" s="162" t="s">
        <v>1323</v>
      </c>
      <c r="C2359" s="484"/>
    </row>
    <row r="2360">
      <c r="A2360" s="485">
        <v>45336.88497746528</v>
      </c>
      <c r="B2360" s="162" t="s">
        <v>1324</v>
      </c>
      <c r="C2360" s="484"/>
    </row>
    <row r="2361">
      <c r="A2361" s="485">
        <v>45336.999684317125</v>
      </c>
      <c r="B2361" s="162" t="s">
        <v>1323</v>
      </c>
      <c r="C2361" s="484"/>
    </row>
    <row r="2362">
      <c r="A2362" s="485">
        <v>45337.00202733796</v>
      </c>
      <c r="B2362" s="162" t="s">
        <v>1324</v>
      </c>
      <c r="C2362" s="484"/>
    </row>
    <row r="2363">
      <c r="A2363" s="485">
        <v>45337.66610737269</v>
      </c>
      <c r="B2363" s="162" t="s">
        <v>1323</v>
      </c>
      <c r="C2363" s="484"/>
    </row>
    <row r="2364">
      <c r="A2364" s="485">
        <v>45337.66966719908</v>
      </c>
      <c r="B2364" s="162" t="s">
        <v>1324</v>
      </c>
      <c r="C2364" s="484" t="s">
        <v>1405</v>
      </c>
    </row>
    <row r="2365">
      <c r="A2365" s="485">
        <v>45337.681304722224</v>
      </c>
      <c r="B2365" s="162" t="s">
        <v>1323</v>
      </c>
      <c r="C2365" s="484"/>
    </row>
    <row r="2366">
      <c r="A2366" s="485">
        <v>45337.6838825</v>
      </c>
      <c r="B2366" s="162" t="s">
        <v>1324</v>
      </c>
      <c r="C2366" s="484"/>
    </row>
    <row r="2367">
      <c r="A2367" s="485">
        <v>45337.78493505787</v>
      </c>
      <c r="B2367" s="162" t="s">
        <v>1323</v>
      </c>
      <c r="C2367" s="484"/>
    </row>
    <row r="2368">
      <c r="A2368" s="485">
        <v>45337.78781277778</v>
      </c>
      <c r="B2368" s="162" t="s">
        <v>1324</v>
      </c>
      <c r="C2368" s="484"/>
    </row>
    <row r="2369">
      <c r="A2369" s="485">
        <v>45337.8739702662</v>
      </c>
      <c r="B2369" s="162" t="s">
        <v>1323</v>
      </c>
      <c r="C2369" s="484"/>
    </row>
    <row r="2370">
      <c r="A2370" s="485">
        <v>45337.876464560184</v>
      </c>
      <c r="B2370" s="162" t="s">
        <v>1324</v>
      </c>
      <c r="C2370" s="484"/>
    </row>
    <row r="2371">
      <c r="A2371" s="485">
        <v>45337.95485700232</v>
      </c>
      <c r="B2371" s="162" t="s">
        <v>1323</v>
      </c>
      <c r="C2371" s="484"/>
    </row>
    <row r="2372">
      <c r="A2372" s="485">
        <v>45337.95769347222</v>
      </c>
      <c r="B2372" s="162" t="s">
        <v>1324</v>
      </c>
      <c r="C2372" s="484"/>
    </row>
    <row r="2373">
      <c r="A2373" s="485">
        <v>45337.96772818287</v>
      </c>
      <c r="B2373" s="162" t="s">
        <v>1323</v>
      </c>
      <c r="C2373" s="484"/>
    </row>
    <row r="2374">
      <c r="A2374" s="485">
        <v>45337.97049532407</v>
      </c>
      <c r="B2374" s="162" t="s">
        <v>1324</v>
      </c>
      <c r="C2374" s="484"/>
    </row>
    <row r="2375">
      <c r="A2375" s="485">
        <v>45338.03022408565</v>
      </c>
      <c r="B2375" s="162" t="s">
        <v>1323</v>
      </c>
      <c r="C2375" s="484"/>
    </row>
    <row r="2376">
      <c r="A2376" s="485">
        <v>45338.032399375</v>
      </c>
      <c r="B2376" s="162" t="s">
        <v>1324</v>
      </c>
      <c r="C2376" s="484"/>
    </row>
    <row r="2377">
      <c r="A2377" s="485">
        <v>45338.71308793982</v>
      </c>
      <c r="B2377" s="162" t="s">
        <v>1323</v>
      </c>
      <c r="C2377" s="484"/>
    </row>
    <row r="2378">
      <c r="A2378" s="485">
        <v>45338.71591758102</v>
      </c>
      <c r="B2378" s="162" t="s">
        <v>1324</v>
      </c>
      <c r="C2378" s="484" t="s">
        <v>1406</v>
      </c>
    </row>
    <row r="2379">
      <c r="A2379" s="485">
        <v>45338.72115521991</v>
      </c>
      <c r="B2379" s="162" t="s">
        <v>1323</v>
      </c>
      <c r="C2379" s="484"/>
    </row>
    <row r="2380">
      <c r="A2380" s="485">
        <v>45338.72711753473</v>
      </c>
      <c r="B2380" s="162" t="s">
        <v>1324</v>
      </c>
      <c r="C2380" s="484"/>
    </row>
    <row r="2381">
      <c r="A2381" s="485">
        <v>45338.77745144676</v>
      </c>
      <c r="B2381" s="162" t="s">
        <v>1323</v>
      </c>
      <c r="C2381" s="484"/>
    </row>
    <row r="2382">
      <c r="A2382" s="485">
        <v>45338.78004449074</v>
      </c>
      <c r="B2382" s="162" t="s">
        <v>1324</v>
      </c>
      <c r="C2382" s="484"/>
    </row>
    <row r="2383">
      <c r="A2383" s="485">
        <v>45338.8473734375</v>
      </c>
      <c r="B2383" s="162" t="s">
        <v>1323</v>
      </c>
      <c r="C2383" s="484"/>
    </row>
    <row r="2384">
      <c r="A2384" s="485">
        <v>45338.84980920139</v>
      </c>
      <c r="B2384" s="162" t="s">
        <v>1324</v>
      </c>
      <c r="C2384" s="484"/>
    </row>
    <row r="2385">
      <c r="A2385" s="485">
        <v>45338.91171001157</v>
      </c>
      <c r="B2385" s="162" t="s">
        <v>1323</v>
      </c>
      <c r="C2385" s="484"/>
    </row>
    <row r="2386">
      <c r="A2386" s="485">
        <v>45338.9143152662</v>
      </c>
      <c r="B2386" s="162" t="s">
        <v>1324</v>
      </c>
      <c r="C2386" s="484"/>
    </row>
    <row r="2387">
      <c r="A2387" s="485">
        <v>45338.97193046296</v>
      </c>
      <c r="B2387" s="162" t="s">
        <v>1323</v>
      </c>
      <c r="C2387" s="484"/>
    </row>
    <row r="2388">
      <c r="A2388" s="485">
        <v>45338.97425075232</v>
      </c>
      <c r="B2388" s="162" t="s">
        <v>1324</v>
      </c>
      <c r="C2388" s="484"/>
    </row>
    <row r="2389">
      <c r="A2389" s="485">
        <v>45339.00778613426</v>
      </c>
      <c r="B2389" s="162" t="s">
        <v>1323</v>
      </c>
      <c r="C2389" s="484"/>
    </row>
    <row r="2390">
      <c r="A2390" s="485">
        <v>45339.00986951389</v>
      </c>
      <c r="B2390" s="162" t="s">
        <v>1324</v>
      </c>
      <c r="C2390" s="484"/>
    </row>
    <row r="2391">
      <c r="A2391" s="485">
        <v>45341.68353541667</v>
      </c>
      <c r="B2391" s="162" t="s">
        <v>1323</v>
      </c>
      <c r="C2391" s="484"/>
    </row>
    <row r="2392">
      <c r="A2392" s="485">
        <v>45341.68607556713</v>
      </c>
      <c r="B2392" s="162" t="s">
        <v>1324</v>
      </c>
      <c r="C2392" s="484" t="s">
        <v>1407</v>
      </c>
    </row>
    <row r="2393">
      <c r="A2393" s="485">
        <v>45341.69427391204</v>
      </c>
      <c r="B2393" s="162" t="s">
        <v>1323</v>
      </c>
      <c r="C2393" s="484"/>
    </row>
    <row r="2394">
      <c r="A2394" s="485">
        <v>45341.69658004629</v>
      </c>
      <c r="B2394" s="162" t="s">
        <v>1324</v>
      </c>
      <c r="C2394" s="484"/>
    </row>
    <row r="2395">
      <c r="A2395" s="485">
        <v>45341.70770947917</v>
      </c>
      <c r="B2395" s="162" t="s">
        <v>1323</v>
      </c>
      <c r="C2395" s="484"/>
    </row>
    <row r="2396">
      <c r="A2396" s="485">
        <v>45341.710221064815</v>
      </c>
      <c r="B2396" s="162" t="s">
        <v>1324</v>
      </c>
      <c r="C2396" s="484"/>
    </row>
    <row r="2397">
      <c r="A2397" s="485">
        <v>45341.735267870376</v>
      </c>
      <c r="B2397" s="162" t="s">
        <v>1323</v>
      </c>
      <c r="C2397" s="484"/>
    </row>
    <row r="2398">
      <c r="A2398" s="485">
        <v>45341.738139953704</v>
      </c>
      <c r="B2398" s="162" t="s">
        <v>1324</v>
      </c>
      <c r="C2398" s="484"/>
    </row>
    <row r="2399">
      <c r="A2399" s="485">
        <v>45341.74952258102</v>
      </c>
      <c r="B2399" s="162" t="s">
        <v>1323</v>
      </c>
      <c r="C2399" s="484"/>
    </row>
    <row r="2400">
      <c r="A2400" s="485">
        <v>45341.752232060186</v>
      </c>
      <c r="B2400" s="162" t="s">
        <v>1324</v>
      </c>
      <c r="C2400" s="484"/>
    </row>
    <row r="2401">
      <c r="A2401" s="485">
        <v>45341.822672546296</v>
      </c>
      <c r="B2401" s="162" t="s">
        <v>1323</v>
      </c>
      <c r="C2401" s="484"/>
    </row>
    <row r="2402">
      <c r="A2402" s="485">
        <v>45341.82551407407</v>
      </c>
      <c r="B2402" s="162" t="s">
        <v>1324</v>
      </c>
      <c r="C2402" s="484"/>
    </row>
    <row r="2403">
      <c r="A2403" s="485">
        <v>45341.980496979166</v>
      </c>
      <c r="B2403" s="162" t="s">
        <v>1323</v>
      </c>
      <c r="C2403" s="484"/>
    </row>
    <row r="2404">
      <c r="A2404" s="485">
        <v>45341.9831346412</v>
      </c>
      <c r="B2404" s="162" t="s">
        <v>1324</v>
      </c>
      <c r="C2404" s="484"/>
    </row>
    <row r="2405">
      <c r="A2405" s="485">
        <v>45342.77514225694</v>
      </c>
      <c r="B2405" s="162" t="s">
        <v>1323</v>
      </c>
      <c r="C2405" s="484"/>
    </row>
    <row r="2406">
      <c r="A2406" s="485">
        <v>45342.7779590162</v>
      </c>
      <c r="B2406" s="162" t="s">
        <v>1324</v>
      </c>
      <c r="C2406" s="484" t="s">
        <v>1408</v>
      </c>
    </row>
    <row r="2407">
      <c r="A2407" s="485">
        <v>45342.793337951385</v>
      </c>
      <c r="B2407" s="162" t="s">
        <v>1324</v>
      </c>
      <c r="C2407" s="484"/>
    </row>
    <row r="2408">
      <c r="A2408" s="485">
        <v>45342.87484638889</v>
      </c>
      <c r="B2408" s="162" t="s">
        <v>1323</v>
      </c>
      <c r="C2408" s="484"/>
    </row>
    <row r="2409">
      <c r="A2409" s="485">
        <v>45342.878326261576</v>
      </c>
      <c r="B2409" s="162" t="s">
        <v>1324</v>
      </c>
      <c r="C2409" s="484"/>
    </row>
    <row r="2410">
      <c r="A2410" s="485">
        <v>45342.90725719907</v>
      </c>
      <c r="B2410" s="162" t="s">
        <v>1323</v>
      </c>
      <c r="C2410" s="484"/>
    </row>
    <row r="2411">
      <c r="A2411" s="485">
        <v>45342.91015278935</v>
      </c>
      <c r="B2411" s="162" t="s">
        <v>1324</v>
      </c>
      <c r="C2411" s="484"/>
    </row>
    <row r="2412">
      <c r="A2412" s="485">
        <v>45342.94702721065</v>
      </c>
      <c r="B2412" s="162" t="s">
        <v>1323</v>
      </c>
      <c r="C2412" s="484"/>
    </row>
    <row r="2413">
      <c r="A2413" s="485">
        <v>45342.94953711805</v>
      </c>
      <c r="B2413" s="162" t="s">
        <v>1324</v>
      </c>
      <c r="C2413" s="484"/>
    </row>
    <row r="2414">
      <c r="A2414" s="485">
        <v>45342.95226013889</v>
      </c>
      <c r="B2414" s="162" t="s">
        <v>1323</v>
      </c>
      <c r="C2414" s="484"/>
    </row>
    <row r="2415">
      <c r="A2415" s="485">
        <v>45342.9567962037</v>
      </c>
      <c r="B2415" s="162" t="s">
        <v>1324</v>
      </c>
      <c r="C2415" s="484"/>
    </row>
    <row r="2416">
      <c r="A2416" s="485">
        <v>45343.68380835648</v>
      </c>
      <c r="B2416" s="162" t="s">
        <v>1323</v>
      </c>
      <c r="C2416" s="484"/>
    </row>
    <row r="2417">
      <c r="A2417" s="485">
        <v>45343.686495104164</v>
      </c>
      <c r="B2417" s="162" t="s">
        <v>1324</v>
      </c>
      <c r="C2417" s="484" t="s">
        <v>1409</v>
      </c>
    </row>
    <row r="2418">
      <c r="A2418" s="485">
        <v>45343.77159402778</v>
      </c>
      <c r="B2418" s="162" t="s">
        <v>1323</v>
      </c>
      <c r="C2418" s="484"/>
    </row>
    <row r="2419">
      <c r="A2419" s="485">
        <v>45343.77480494213</v>
      </c>
      <c r="B2419" s="162" t="s">
        <v>1324</v>
      </c>
      <c r="C2419" s="484" t="s">
        <v>1409</v>
      </c>
    </row>
    <row r="2420">
      <c r="A2420" s="485">
        <v>45343.816362708334</v>
      </c>
      <c r="B2420" s="162" t="s">
        <v>1323</v>
      </c>
      <c r="C2420" s="484"/>
    </row>
    <row r="2421">
      <c r="A2421" s="485">
        <v>45343.819418217594</v>
      </c>
      <c r="B2421" s="162" t="s">
        <v>1324</v>
      </c>
      <c r="C2421" s="484"/>
    </row>
    <row r="2422">
      <c r="A2422" s="485">
        <v>45343.8566971875</v>
      </c>
      <c r="B2422" s="162" t="s">
        <v>1323</v>
      </c>
      <c r="C2422" s="484"/>
    </row>
    <row r="2423">
      <c r="A2423" s="485">
        <v>45343.85944826389</v>
      </c>
      <c r="B2423" s="162" t="s">
        <v>1324</v>
      </c>
      <c r="C2423" s="484"/>
    </row>
    <row r="2424">
      <c r="A2424" s="485">
        <v>45343.868935624996</v>
      </c>
      <c r="B2424" s="162" t="s">
        <v>1323</v>
      </c>
      <c r="C2424" s="484"/>
    </row>
    <row r="2425">
      <c r="A2425" s="485">
        <v>45343.87382422454</v>
      </c>
      <c r="B2425" s="162" t="s">
        <v>1324</v>
      </c>
      <c r="C2425" s="484"/>
    </row>
    <row r="2426">
      <c r="A2426" s="485">
        <v>45343.94321138889</v>
      </c>
      <c r="B2426" s="162" t="s">
        <v>1324</v>
      </c>
      <c r="C2426" s="484"/>
    </row>
    <row r="2427">
      <c r="A2427" s="485">
        <v>45343.99011982639</v>
      </c>
      <c r="B2427" s="162" t="s">
        <v>1323</v>
      </c>
      <c r="C2427" s="484"/>
    </row>
    <row r="2428">
      <c r="A2428" s="485">
        <v>45343.9926899537</v>
      </c>
      <c r="B2428" s="162" t="s">
        <v>1324</v>
      </c>
      <c r="C2428" s="484"/>
    </row>
    <row r="2429">
      <c r="A2429" s="485">
        <v>45344.72751462963</v>
      </c>
      <c r="B2429" s="162" t="s">
        <v>1323</v>
      </c>
      <c r="C2429" s="484"/>
    </row>
    <row r="2430">
      <c r="A2430" s="485">
        <v>45344.73044939815</v>
      </c>
      <c r="B2430" s="162" t="s">
        <v>1324</v>
      </c>
      <c r="C2430" s="484" t="s">
        <v>1410</v>
      </c>
    </row>
    <row r="2431">
      <c r="A2431" s="485">
        <v>45344.773668449074</v>
      </c>
      <c r="B2431" s="162" t="s">
        <v>1323</v>
      </c>
      <c r="C2431" s="484"/>
    </row>
    <row r="2432">
      <c r="A2432" s="485">
        <v>45344.776337523144</v>
      </c>
      <c r="B2432" s="162" t="s">
        <v>1324</v>
      </c>
      <c r="C2432" s="484"/>
    </row>
    <row r="2433">
      <c r="A2433" s="485">
        <v>45344.87215116898</v>
      </c>
      <c r="B2433" s="162" t="s">
        <v>1323</v>
      </c>
      <c r="C2433" s="484"/>
    </row>
    <row r="2434">
      <c r="A2434" s="485">
        <v>45344.875096180556</v>
      </c>
      <c r="B2434" s="162" t="s">
        <v>1324</v>
      </c>
      <c r="C2434" s="484"/>
    </row>
    <row r="2435">
      <c r="A2435" s="485">
        <v>45344.90374554398</v>
      </c>
      <c r="B2435" s="162" t="s">
        <v>1323</v>
      </c>
      <c r="C2435" s="484"/>
    </row>
    <row r="2436">
      <c r="A2436" s="485">
        <v>45344.906585185185</v>
      </c>
      <c r="B2436" s="162" t="s">
        <v>1324</v>
      </c>
      <c r="C2436" s="484"/>
    </row>
    <row r="2437">
      <c r="A2437" s="485">
        <v>45344.96371956018</v>
      </c>
      <c r="B2437" s="162" t="s">
        <v>1323</v>
      </c>
      <c r="C2437" s="484"/>
    </row>
    <row r="2438">
      <c r="A2438" s="485">
        <v>45344.96635984954</v>
      </c>
      <c r="B2438" s="162" t="s">
        <v>1324</v>
      </c>
      <c r="C2438" s="484"/>
    </row>
    <row r="2439">
      <c r="A2439" s="485">
        <v>45344.996277453705</v>
      </c>
      <c r="B2439" s="162" t="s">
        <v>1323</v>
      </c>
      <c r="C2439" s="484"/>
    </row>
    <row r="2440">
      <c r="A2440" s="485">
        <v>45344.99869826389</v>
      </c>
      <c r="B2440" s="162" t="s">
        <v>1324</v>
      </c>
      <c r="C2440" s="484"/>
    </row>
    <row r="2441">
      <c r="A2441" s="485">
        <v>45345.008364837966</v>
      </c>
      <c r="B2441" s="162" t="s">
        <v>1323</v>
      </c>
      <c r="C2441" s="484"/>
    </row>
    <row r="2442">
      <c r="A2442" s="485">
        <v>45345.01033535879</v>
      </c>
      <c r="B2442" s="162" t="s">
        <v>1324</v>
      </c>
      <c r="C2442" s="484"/>
    </row>
    <row r="2443">
      <c r="A2443" s="485">
        <v>45345.9032191088</v>
      </c>
      <c r="B2443" s="162" t="s">
        <v>1323</v>
      </c>
      <c r="C2443" s="484"/>
    </row>
    <row r="2444">
      <c r="A2444" s="485">
        <v>45345.91146019676</v>
      </c>
      <c r="B2444" s="162" t="s">
        <v>1324</v>
      </c>
      <c r="C2444" s="484" t="s">
        <v>1411</v>
      </c>
    </row>
    <row r="2445">
      <c r="A2445" s="485">
        <v>45345.96127186343</v>
      </c>
      <c r="B2445" s="162" t="s">
        <v>1323</v>
      </c>
      <c r="C2445" s="484"/>
    </row>
    <row r="2446">
      <c r="A2446" s="485">
        <v>45345.96358841435</v>
      </c>
      <c r="B2446" s="162" t="s">
        <v>1324</v>
      </c>
      <c r="C2446" s="484"/>
    </row>
    <row r="2447">
      <c r="A2447" s="485">
        <v>45345.99934733796</v>
      </c>
      <c r="B2447" s="162" t="s">
        <v>1323</v>
      </c>
      <c r="C2447" s="484"/>
    </row>
    <row r="2448">
      <c r="A2448" s="485">
        <v>45346.00174717593</v>
      </c>
      <c r="B2448" s="162" t="s">
        <v>1324</v>
      </c>
      <c r="C2448" s="484"/>
    </row>
    <row r="2449">
      <c r="A2449" s="485">
        <v>45348.637954143516</v>
      </c>
      <c r="B2449" s="162" t="s">
        <v>1323</v>
      </c>
      <c r="C2449" s="484"/>
    </row>
    <row r="2450">
      <c r="A2450" s="485">
        <v>45348.643022233795</v>
      </c>
      <c r="B2450" s="162" t="s">
        <v>1324</v>
      </c>
      <c r="C2450" s="484" t="s">
        <v>1412</v>
      </c>
    </row>
    <row r="2451">
      <c r="A2451" s="485">
        <v>45348.667953530094</v>
      </c>
      <c r="B2451" s="162" t="s">
        <v>1323</v>
      </c>
      <c r="C2451" s="484"/>
    </row>
    <row r="2452">
      <c r="A2452" s="485">
        <v>45348.67055059028</v>
      </c>
      <c r="B2452" s="162" t="s">
        <v>1324</v>
      </c>
      <c r="C2452" s="484"/>
    </row>
    <row r="2453">
      <c r="A2453" s="485">
        <v>45348.67456697917</v>
      </c>
      <c r="B2453" s="162" t="s">
        <v>1323</v>
      </c>
      <c r="C2453" s="484"/>
    </row>
    <row r="2454">
      <c r="A2454" s="485">
        <v>45348.67604090278</v>
      </c>
      <c r="B2454" s="162" t="s">
        <v>1324</v>
      </c>
      <c r="C2454" s="484"/>
    </row>
    <row r="2455">
      <c r="A2455" s="485">
        <v>45348.77100767361</v>
      </c>
      <c r="B2455" s="162" t="s">
        <v>1323</v>
      </c>
      <c r="C2455" s="484"/>
    </row>
    <row r="2456">
      <c r="A2456" s="485">
        <v>45348.77373033565</v>
      </c>
      <c r="B2456" s="162" t="s">
        <v>1324</v>
      </c>
      <c r="C2456" s="484"/>
    </row>
    <row r="2457">
      <c r="A2457" s="485">
        <v>45348.78396123843</v>
      </c>
      <c r="B2457" s="162" t="s">
        <v>1323</v>
      </c>
      <c r="C2457" s="484"/>
    </row>
    <row r="2458">
      <c r="A2458" s="485">
        <v>45348.786380624995</v>
      </c>
      <c r="B2458" s="162" t="s">
        <v>1324</v>
      </c>
      <c r="C2458" s="484"/>
    </row>
    <row r="2459">
      <c r="A2459" s="485">
        <v>45348.8191442824</v>
      </c>
      <c r="B2459" s="162" t="s">
        <v>1323</v>
      </c>
      <c r="C2459" s="484"/>
    </row>
    <row r="2460">
      <c r="A2460" s="485">
        <v>45348.8218519213</v>
      </c>
      <c r="B2460" s="162" t="s">
        <v>1324</v>
      </c>
      <c r="C2460" s="484"/>
    </row>
    <row r="2461">
      <c r="A2461" s="485">
        <v>45348.82858297454</v>
      </c>
      <c r="B2461" s="162" t="s">
        <v>1323</v>
      </c>
      <c r="C2461" s="484"/>
    </row>
    <row r="2462">
      <c r="A2462" s="485">
        <v>45348.83099739584</v>
      </c>
      <c r="B2462" s="162" t="s">
        <v>1324</v>
      </c>
      <c r="C2462" s="484"/>
    </row>
    <row r="2463">
      <c r="A2463" s="485">
        <v>45348.860796608795</v>
      </c>
      <c r="B2463" s="162" t="s">
        <v>1323</v>
      </c>
      <c r="C2463" s="484"/>
    </row>
    <row r="2464">
      <c r="A2464" s="485">
        <v>45348.863169247685</v>
      </c>
      <c r="B2464" s="162" t="s">
        <v>1324</v>
      </c>
      <c r="C2464" s="484"/>
    </row>
    <row r="2465">
      <c r="A2465" s="485">
        <v>45348.89376439815</v>
      </c>
      <c r="B2465" s="162" t="s">
        <v>1323</v>
      </c>
      <c r="C2465" s="484"/>
    </row>
    <row r="2466">
      <c r="A2466" s="485">
        <v>45348.896209976854</v>
      </c>
      <c r="B2466" s="162" t="s">
        <v>1324</v>
      </c>
      <c r="C2466" s="484"/>
    </row>
    <row r="2467">
      <c r="A2467" s="485">
        <v>45348.94467024306</v>
      </c>
      <c r="B2467" s="162" t="s">
        <v>1323</v>
      </c>
      <c r="C2467" s="484"/>
    </row>
    <row r="2468">
      <c r="A2468" s="485">
        <v>45348.94763715278</v>
      </c>
      <c r="B2468" s="162" t="s">
        <v>1324</v>
      </c>
      <c r="C2468" s="484"/>
    </row>
    <row r="2469">
      <c r="A2469" s="485">
        <v>45348.996701620374</v>
      </c>
      <c r="B2469" s="162" t="s">
        <v>1323</v>
      </c>
      <c r="C2469" s="484"/>
    </row>
    <row r="2470">
      <c r="A2470" s="485">
        <v>45348.998905810186</v>
      </c>
      <c r="B2470" s="162" t="s">
        <v>1324</v>
      </c>
      <c r="C2470" s="484"/>
    </row>
    <row r="2471">
      <c r="A2471" s="485">
        <v>45349.704202187495</v>
      </c>
      <c r="B2471" s="162" t="s">
        <v>1323</v>
      </c>
      <c r="C2471" s="484"/>
    </row>
    <row r="2472">
      <c r="A2472" s="485">
        <v>45349.70686078704</v>
      </c>
      <c r="B2472" s="162" t="s">
        <v>1324</v>
      </c>
      <c r="C2472" s="484" t="s">
        <v>1413</v>
      </c>
    </row>
    <row r="2473">
      <c r="A2473" s="485">
        <v>45349.76399303241</v>
      </c>
      <c r="B2473" s="162" t="s">
        <v>1323</v>
      </c>
      <c r="C2473" s="484"/>
    </row>
    <row r="2474">
      <c r="A2474" s="485">
        <v>45349.76807439815</v>
      </c>
      <c r="B2474" s="162" t="s">
        <v>1324</v>
      </c>
      <c r="C2474" s="484"/>
    </row>
    <row r="2475">
      <c r="A2475" s="485">
        <v>45349.82931707176</v>
      </c>
      <c r="B2475" s="162" t="s">
        <v>1323</v>
      </c>
      <c r="C2475" s="484"/>
    </row>
    <row r="2476">
      <c r="A2476" s="485">
        <v>45349.831430011574</v>
      </c>
      <c r="B2476" s="162" t="s">
        <v>1324</v>
      </c>
      <c r="C2476" s="484"/>
    </row>
    <row r="2477">
      <c r="A2477" s="485">
        <v>45349.83822282407</v>
      </c>
      <c r="B2477" s="162" t="s">
        <v>1323</v>
      </c>
      <c r="C2477" s="484"/>
    </row>
    <row r="2478">
      <c r="A2478" s="485">
        <v>45349.84077297454</v>
      </c>
      <c r="B2478" s="162" t="s">
        <v>1324</v>
      </c>
      <c r="C2478" s="484"/>
    </row>
    <row r="2479">
      <c r="A2479" s="485">
        <v>45349.87179700231</v>
      </c>
      <c r="B2479" s="162" t="s">
        <v>1323</v>
      </c>
      <c r="C2479" s="484"/>
    </row>
    <row r="2480">
      <c r="A2480" s="485">
        <v>45349.874515891206</v>
      </c>
      <c r="B2480" s="162" t="s">
        <v>1324</v>
      </c>
      <c r="C2480" s="484"/>
    </row>
    <row r="2481">
      <c r="A2481" s="485">
        <v>45349.90068209491</v>
      </c>
      <c r="B2481" s="162" t="s">
        <v>1323</v>
      </c>
      <c r="C2481" s="484"/>
    </row>
    <row r="2482">
      <c r="A2482" s="485">
        <v>45349.903139675924</v>
      </c>
      <c r="B2482" s="162" t="s">
        <v>1324</v>
      </c>
      <c r="C2482" s="484"/>
    </row>
    <row r="2483">
      <c r="A2483" s="485">
        <v>45349.9931952662</v>
      </c>
      <c r="B2483" s="162" t="s">
        <v>1323</v>
      </c>
      <c r="C2483" s="484"/>
    </row>
    <row r="2484">
      <c r="A2484" s="485">
        <v>45349.99580282407</v>
      </c>
      <c r="B2484" s="162" t="s">
        <v>1324</v>
      </c>
      <c r="C2484" s="484"/>
    </row>
    <row r="2485">
      <c r="A2485" s="485">
        <v>45350.68680229167</v>
      </c>
      <c r="B2485" s="162" t="s">
        <v>1324</v>
      </c>
      <c r="C2485" s="484"/>
    </row>
    <row r="2486">
      <c r="A2486" s="485">
        <v>45350.69597141204</v>
      </c>
      <c r="B2486" s="162" t="s">
        <v>1323</v>
      </c>
      <c r="C2486" s="484"/>
    </row>
    <row r="2487">
      <c r="A2487" s="485">
        <v>45350.699725011575</v>
      </c>
      <c r="B2487" s="162" t="s">
        <v>1324</v>
      </c>
      <c r="C2487" s="484"/>
    </row>
    <row r="2488">
      <c r="A2488" s="485">
        <v>45350.82638017361</v>
      </c>
      <c r="B2488" s="162" t="s">
        <v>1324</v>
      </c>
      <c r="C2488" s="484"/>
    </row>
    <row r="2489">
      <c r="A2489" s="485">
        <v>45350.844909189815</v>
      </c>
      <c r="B2489" s="162" t="s">
        <v>1323</v>
      </c>
      <c r="C2489" s="484"/>
    </row>
    <row r="2490">
      <c r="A2490" s="485">
        <v>45350.84731462963</v>
      </c>
      <c r="B2490" s="162" t="s">
        <v>1324</v>
      </c>
      <c r="C2490" s="484"/>
    </row>
    <row r="2491">
      <c r="A2491" s="485">
        <v>45350.8697497338</v>
      </c>
      <c r="B2491" s="162" t="s">
        <v>1323</v>
      </c>
      <c r="C2491" s="484"/>
    </row>
    <row r="2492">
      <c r="A2492" s="485">
        <v>45350.87271994213</v>
      </c>
      <c r="B2492" s="162" t="s">
        <v>1324</v>
      </c>
      <c r="C2492" s="484"/>
    </row>
    <row r="2493">
      <c r="A2493" s="485">
        <v>45350.94330917824</v>
      </c>
      <c r="B2493" s="162" t="s">
        <v>1323</v>
      </c>
      <c r="C2493" s="484"/>
    </row>
    <row r="2494">
      <c r="A2494" s="485">
        <v>45350.94617306713</v>
      </c>
      <c r="B2494" s="162" t="s">
        <v>1324</v>
      </c>
      <c r="C2494" s="484"/>
    </row>
    <row r="2495">
      <c r="A2495" s="485">
        <v>45350.97373048611</v>
      </c>
      <c r="B2495" s="162" t="s">
        <v>1323</v>
      </c>
      <c r="C2495" s="484"/>
    </row>
    <row r="2496">
      <c r="A2496" s="485">
        <v>45350.97627142361</v>
      </c>
      <c r="B2496" s="162" t="s">
        <v>1324</v>
      </c>
      <c r="C2496" s="484"/>
    </row>
    <row r="2497">
      <c r="A2497" s="485">
        <v>45350.980188263886</v>
      </c>
      <c r="B2497" s="162" t="s">
        <v>1323</v>
      </c>
      <c r="C2497" s="484"/>
    </row>
    <row r="2498">
      <c r="A2498" s="485">
        <v>45350.981754733795</v>
      </c>
      <c r="B2498" s="162" t="s">
        <v>1324</v>
      </c>
      <c r="C2498" s="484"/>
    </row>
    <row r="2499">
      <c r="A2499" s="485">
        <v>45351.113869479166</v>
      </c>
      <c r="B2499" s="162" t="s">
        <v>1324</v>
      </c>
      <c r="C2499" s="484"/>
    </row>
    <row r="2500">
      <c r="A2500" s="485">
        <v>45351.23545577546</v>
      </c>
      <c r="B2500" s="162" t="s">
        <v>1324</v>
      </c>
      <c r="C2500" s="484"/>
    </row>
    <row r="2501">
      <c r="A2501" s="485">
        <v>45351.26818762731</v>
      </c>
      <c r="B2501" s="162" t="s">
        <v>1324</v>
      </c>
      <c r="C2501" s="484"/>
    </row>
    <row r="2502">
      <c r="A2502" s="485">
        <v>45351.30402003472</v>
      </c>
      <c r="B2502" s="162" t="s">
        <v>1324</v>
      </c>
      <c r="C2502" s="484"/>
    </row>
    <row r="2503">
      <c r="A2503" s="485">
        <v>45351.80776509259</v>
      </c>
      <c r="B2503" s="162" t="s">
        <v>1323</v>
      </c>
      <c r="C2503" s="484"/>
    </row>
    <row r="2504">
      <c r="A2504" s="485">
        <v>45351.811160717596</v>
      </c>
      <c r="B2504" s="162" t="s">
        <v>1324</v>
      </c>
      <c r="C2504" s="484" t="s">
        <v>1414</v>
      </c>
    </row>
    <row r="2505">
      <c r="A2505" s="485">
        <v>45351.81532136574</v>
      </c>
      <c r="B2505" s="162" t="s">
        <v>1323</v>
      </c>
      <c r="C2505" s="484"/>
    </row>
    <row r="2506">
      <c r="A2506" s="485">
        <v>45351.81892107639</v>
      </c>
      <c r="B2506" s="162" t="s">
        <v>1324</v>
      </c>
      <c r="C2506" s="484"/>
    </row>
    <row r="2507">
      <c r="A2507" s="485">
        <v>45351.86637888889</v>
      </c>
      <c r="B2507" s="162" t="s">
        <v>1323</v>
      </c>
      <c r="C2507" s="484"/>
    </row>
    <row r="2508">
      <c r="A2508" s="485">
        <v>45351.86877006944</v>
      </c>
      <c r="B2508" s="162" t="s">
        <v>1324</v>
      </c>
      <c r="C2508" s="484"/>
    </row>
    <row r="2509">
      <c r="A2509" s="485">
        <v>45351.94711033565</v>
      </c>
      <c r="B2509" s="162" t="s">
        <v>1323</v>
      </c>
      <c r="C2509" s="484"/>
    </row>
    <row r="2510">
      <c r="A2510" s="485">
        <v>45351.94988732639</v>
      </c>
      <c r="B2510" s="162" t="s">
        <v>1324</v>
      </c>
      <c r="C2510" s="484"/>
    </row>
    <row r="2511">
      <c r="A2511" s="485">
        <v>45351.98591744213</v>
      </c>
      <c r="B2511" s="162" t="s">
        <v>1323</v>
      </c>
      <c r="C2511" s="484"/>
    </row>
    <row r="2512">
      <c r="A2512" s="485">
        <v>45351.98863173611</v>
      </c>
      <c r="B2512" s="162" t="s">
        <v>1324</v>
      </c>
      <c r="C2512" s="484"/>
    </row>
    <row r="2513">
      <c r="A2513" s="485">
        <v>45352.66933502315</v>
      </c>
      <c r="B2513" s="162" t="s">
        <v>1323</v>
      </c>
      <c r="C2513" s="484"/>
    </row>
    <row r="2514">
      <c r="A2514" s="485">
        <v>45352.6721034375</v>
      </c>
      <c r="B2514" s="162" t="s">
        <v>1324</v>
      </c>
      <c r="C2514" s="484" t="s">
        <v>1415</v>
      </c>
    </row>
    <row r="2515">
      <c r="A2515" s="485">
        <v>45352.71728996528</v>
      </c>
      <c r="B2515" s="162" t="s">
        <v>1323</v>
      </c>
      <c r="C2515" s="484"/>
    </row>
    <row r="2516">
      <c r="A2516" s="485">
        <v>45352.72025060185</v>
      </c>
      <c r="B2516" s="162" t="s">
        <v>1324</v>
      </c>
      <c r="C2516" s="484"/>
    </row>
    <row r="2517">
      <c r="A2517" s="485">
        <v>45352.748943796294</v>
      </c>
      <c r="B2517" s="162" t="s">
        <v>1323</v>
      </c>
      <c r="C2517" s="484"/>
    </row>
    <row r="2518">
      <c r="A2518" s="485">
        <v>45352.75158067129</v>
      </c>
      <c r="B2518" s="162" t="s">
        <v>1324</v>
      </c>
      <c r="C2518" s="484"/>
    </row>
    <row r="2519">
      <c r="A2519" s="485">
        <v>45352.84729686343</v>
      </c>
      <c r="B2519" s="162" t="s">
        <v>1323</v>
      </c>
      <c r="C2519" s="484"/>
    </row>
    <row r="2520">
      <c r="A2520" s="485">
        <v>45352.85003469908</v>
      </c>
      <c r="B2520" s="162" t="s">
        <v>1324</v>
      </c>
      <c r="C2520" s="484"/>
    </row>
    <row r="2521">
      <c r="A2521" s="485">
        <v>45352.87005636574</v>
      </c>
      <c r="B2521" s="162" t="s">
        <v>1323</v>
      </c>
      <c r="C2521" s="484"/>
    </row>
    <row r="2522">
      <c r="A2522" s="485">
        <v>45352.87271545139</v>
      </c>
      <c r="B2522" s="162" t="s">
        <v>1324</v>
      </c>
      <c r="C2522" s="484"/>
    </row>
    <row r="2523">
      <c r="A2523" s="485">
        <v>45352.924930821755</v>
      </c>
      <c r="B2523" s="162" t="s">
        <v>1323</v>
      </c>
      <c r="C2523" s="484"/>
    </row>
    <row r="2524">
      <c r="A2524" s="485">
        <v>45352.9266552662</v>
      </c>
      <c r="B2524" s="162" t="s">
        <v>1323</v>
      </c>
      <c r="C2524" s="484"/>
    </row>
    <row r="2525">
      <c r="A2525" s="485">
        <v>45352.92770148148</v>
      </c>
      <c r="B2525" s="162" t="s">
        <v>1324</v>
      </c>
      <c r="C2525" s="484"/>
    </row>
    <row r="2526">
      <c r="A2526" s="485">
        <v>45352.97615291667</v>
      </c>
      <c r="B2526" s="162" t="s">
        <v>1323</v>
      </c>
      <c r="C2526" s="484"/>
    </row>
    <row r="2527">
      <c r="A2527" s="485">
        <v>45352.978757696765</v>
      </c>
      <c r="B2527" s="162" t="s">
        <v>1324</v>
      </c>
      <c r="C2527" s="484"/>
    </row>
    <row r="2528">
      <c r="A2528" s="485">
        <v>45355.73479766204</v>
      </c>
      <c r="B2528" s="162" t="s">
        <v>1324</v>
      </c>
      <c r="C2528" s="484"/>
    </row>
    <row r="2529">
      <c r="A2529" s="485">
        <v>45355.76342965278</v>
      </c>
      <c r="B2529" s="162" t="s">
        <v>1324</v>
      </c>
      <c r="C2529" s="484"/>
    </row>
    <row r="2530">
      <c r="A2530" s="485">
        <v>45355.952079571754</v>
      </c>
      <c r="B2530" s="162" t="s">
        <v>1324</v>
      </c>
      <c r="C2530" s="484"/>
    </row>
    <row r="2531">
      <c r="A2531" s="485">
        <v>45355.96463859954</v>
      </c>
      <c r="B2531" s="162" t="s">
        <v>1324</v>
      </c>
      <c r="C2531" s="484"/>
    </row>
    <row r="2532">
      <c r="A2532" s="485">
        <v>45356.838351087965</v>
      </c>
      <c r="B2532" s="162" t="s">
        <v>1323</v>
      </c>
      <c r="C2532" s="484"/>
    </row>
    <row r="2533">
      <c r="A2533" s="485">
        <v>45356.84130475695</v>
      </c>
      <c r="B2533" s="162" t="s">
        <v>1324</v>
      </c>
      <c r="C2533" s="484"/>
    </row>
    <row r="2534">
      <c r="A2534" s="485">
        <v>45356.95980398148</v>
      </c>
      <c r="B2534" s="162" t="s">
        <v>1323</v>
      </c>
      <c r="C2534" s="484"/>
    </row>
    <row r="2535">
      <c r="A2535" s="485">
        <v>45356.9627862037</v>
      </c>
      <c r="B2535" s="162" t="s">
        <v>1324</v>
      </c>
      <c r="C2535" s="484"/>
    </row>
    <row r="2536">
      <c r="A2536" s="485">
        <v>45356.99568533565</v>
      </c>
      <c r="B2536" s="162" t="s">
        <v>1323</v>
      </c>
      <c r="C2536" s="484"/>
    </row>
    <row r="2537">
      <c r="A2537" s="485">
        <v>45356.998534583334</v>
      </c>
      <c r="B2537" s="162" t="s">
        <v>1324</v>
      </c>
      <c r="C2537" s="484"/>
    </row>
    <row r="2538">
      <c r="A2538" s="485">
        <v>45357.660729780095</v>
      </c>
      <c r="B2538" s="162" t="s">
        <v>1323</v>
      </c>
      <c r="C2538" s="484" t="s">
        <v>1416</v>
      </c>
    </row>
    <row r="2539">
      <c r="A2539" s="485">
        <v>45357.66417480324</v>
      </c>
      <c r="B2539" s="162" t="s">
        <v>1324</v>
      </c>
      <c r="C2539" s="484"/>
    </row>
    <row r="2540">
      <c r="A2540" s="485">
        <v>45357.71500997685</v>
      </c>
      <c r="B2540" s="162" t="s">
        <v>1323</v>
      </c>
      <c r="C2540" s="484" t="s">
        <v>1416</v>
      </c>
    </row>
    <row r="2541">
      <c r="A2541" s="485">
        <v>45357.71803059027</v>
      </c>
      <c r="B2541" s="162" t="s">
        <v>1324</v>
      </c>
      <c r="C2541" s="484"/>
    </row>
    <row r="2542">
      <c r="A2542" s="485">
        <v>45357.724472789356</v>
      </c>
      <c r="B2542" s="162" t="s">
        <v>1323</v>
      </c>
      <c r="C2542" s="484" t="s">
        <v>1416</v>
      </c>
    </row>
    <row r="2543">
      <c r="A2543" s="485">
        <v>45357.72898269676</v>
      </c>
      <c r="B2543" s="162" t="s">
        <v>1324</v>
      </c>
      <c r="C2543" s="484"/>
    </row>
    <row r="2544">
      <c r="A2544" s="485">
        <v>45357.74805475694</v>
      </c>
      <c r="B2544" s="162" t="s">
        <v>1323</v>
      </c>
      <c r="C2544" s="484" t="s">
        <v>1416</v>
      </c>
    </row>
    <row r="2545">
      <c r="A2545" s="485">
        <v>45357.750898136575</v>
      </c>
      <c r="B2545" s="162" t="s">
        <v>1324</v>
      </c>
      <c r="C2545" s="484"/>
    </row>
    <row r="2546">
      <c r="A2546" s="485">
        <v>45357.8572266088</v>
      </c>
      <c r="B2546" s="162" t="s">
        <v>1323</v>
      </c>
      <c r="C2546" s="484" t="s">
        <v>1416</v>
      </c>
    </row>
    <row r="2547">
      <c r="A2547" s="485">
        <v>45357.85983534722</v>
      </c>
      <c r="B2547" s="162" t="s">
        <v>1324</v>
      </c>
      <c r="C2547" s="484"/>
    </row>
    <row r="2548">
      <c r="A2548" s="485">
        <v>45357.89089547454</v>
      </c>
      <c r="B2548" s="162" t="s">
        <v>1323</v>
      </c>
      <c r="C2548" s="484" t="s">
        <v>1416</v>
      </c>
    </row>
    <row r="2549">
      <c r="A2549" s="485">
        <v>45357.89356628472</v>
      </c>
      <c r="B2549" s="162" t="s">
        <v>1324</v>
      </c>
      <c r="C2549" s="484"/>
    </row>
    <row r="2550">
      <c r="A2550" s="485">
        <v>45357.923023888885</v>
      </c>
      <c r="B2550" s="162" t="s">
        <v>1323</v>
      </c>
      <c r="C2550" s="484" t="s">
        <v>1416</v>
      </c>
    </row>
    <row r="2551">
      <c r="A2551" s="485">
        <v>45357.9258925</v>
      </c>
      <c r="B2551" s="162" t="s">
        <v>1324</v>
      </c>
      <c r="C2551" s="484"/>
    </row>
    <row r="2552">
      <c r="A2552" s="485">
        <v>45357.95503496528</v>
      </c>
      <c r="B2552" s="162" t="s">
        <v>1323</v>
      </c>
      <c r="C2552" s="484" t="s">
        <v>1416</v>
      </c>
    </row>
    <row r="2553">
      <c r="A2553" s="485">
        <v>45357.957592928244</v>
      </c>
      <c r="B2553" s="162" t="s">
        <v>1324</v>
      </c>
      <c r="C2553" s="484"/>
    </row>
    <row r="2554">
      <c r="A2554" s="485">
        <v>45357.98122637732</v>
      </c>
      <c r="B2554" s="162" t="s">
        <v>1323</v>
      </c>
      <c r="C2554" s="484"/>
    </row>
    <row r="2555">
      <c r="A2555" s="485">
        <v>45357.98379258101</v>
      </c>
      <c r="B2555" s="162" t="s">
        <v>1324</v>
      </c>
      <c r="C2555" s="484"/>
    </row>
    <row r="2556">
      <c r="A2556" s="485">
        <v>45357.99818862269</v>
      </c>
      <c r="B2556" s="162" t="s">
        <v>1323</v>
      </c>
      <c r="C2556" s="484"/>
    </row>
    <row r="2557">
      <c r="A2557" s="485">
        <v>45358.0009424537</v>
      </c>
      <c r="B2557" s="162" t="s">
        <v>1324</v>
      </c>
      <c r="C2557" s="484"/>
    </row>
    <row r="2558">
      <c r="A2558" s="485">
        <v>45358.04147081019</v>
      </c>
      <c r="B2558" s="162" t="s">
        <v>1324</v>
      </c>
      <c r="C2558" s="484"/>
    </row>
    <row r="2559">
      <c r="A2559" s="485">
        <v>45358.69427396991</v>
      </c>
      <c r="B2559" s="162" t="s">
        <v>1323</v>
      </c>
      <c r="C2559" s="484"/>
    </row>
    <row r="2560">
      <c r="A2560" s="485">
        <v>45358.6977178588</v>
      </c>
      <c r="B2560" s="162" t="s">
        <v>1324</v>
      </c>
      <c r="C2560" s="484" t="s">
        <v>1417</v>
      </c>
    </row>
    <row r="2561">
      <c r="A2561" s="485">
        <v>45358.706259467595</v>
      </c>
      <c r="B2561" s="162" t="s">
        <v>1323</v>
      </c>
      <c r="C2561" s="484"/>
    </row>
    <row r="2562">
      <c r="A2562" s="485">
        <v>45358.711321712966</v>
      </c>
      <c r="B2562" s="162" t="s">
        <v>1324</v>
      </c>
      <c r="C2562" s="484"/>
    </row>
    <row r="2563">
      <c r="A2563" s="485">
        <v>45358.718995972224</v>
      </c>
      <c r="B2563" s="162" t="s">
        <v>1323</v>
      </c>
      <c r="C2563" s="484"/>
    </row>
    <row r="2564">
      <c r="A2564" s="485">
        <v>45358.72206505787</v>
      </c>
      <c r="B2564" s="162" t="s">
        <v>1324</v>
      </c>
      <c r="C2564" s="484"/>
    </row>
    <row r="2565">
      <c r="A2565" s="485">
        <v>45358.85042505787</v>
      </c>
      <c r="B2565" s="162" t="s">
        <v>1323</v>
      </c>
      <c r="C2565" s="484"/>
    </row>
    <row r="2566">
      <c r="A2566" s="485">
        <v>45358.852969837964</v>
      </c>
      <c r="B2566" s="162" t="s">
        <v>1324</v>
      </c>
      <c r="C2566" s="484"/>
    </row>
    <row r="2567">
      <c r="A2567" s="485">
        <v>45358.981774375</v>
      </c>
      <c r="B2567" s="162" t="s">
        <v>1323</v>
      </c>
      <c r="C2567" s="484"/>
    </row>
    <row r="2568">
      <c r="A2568" s="485">
        <v>45358.98473684028</v>
      </c>
      <c r="B2568" s="162" t="s">
        <v>1324</v>
      </c>
      <c r="C2568" s="484"/>
    </row>
    <row r="2569">
      <c r="A2569" s="485">
        <v>45359.62530616898</v>
      </c>
      <c r="B2569" s="162" t="s">
        <v>1323</v>
      </c>
      <c r="C2569" s="484"/>
    </row>
    <row r="2570">
      <c r="A2570" s="485">
        <v>45359.627557106476</v>
      </c>
      <c r="B2570" s="162" t="s">
        <v>1324</v>
      </c>
      <c r="C2570" s="484" t="s">
        <v>1418</v>
      </c>
    </row>
    <row r="2571">
      <c r="A2571" s="485">
        <v>45359.6431371875</v>
      </c>
      <c r="B2571" s="162" t="s">
        <v>1323</v>
      </c>
      <c r="C2571" s="484"/>
    </row>
    <row r="2572">
      <c r="A2572" s="485">
        <v>45359.644949884256</v>
      </c>
      <c r="B2572" s="162" t="s">
        <v>1324</v>
      </c>
      <c r="C2572" s="484"/>
    </row>
    <row r="2573">
      <c r="A2573" s="485">
        <v>45359.69377347222</v>
      </c>
      <c r="B2573" s="162" t="s">
        <v>1323</v>
      </c>
      <c r="C2573" s="484"/>
    </row>
    <row r="2574">
      <c r="A2574" s="485">
        <v>45359.69573814815</v>
      </c>
      <c r="B2574" s="162" t="s">
        <v>1324</v>
      </c>
      <c r="C2574" s="484"/>
    </row>
    <row r="2575">
      <c r="A2575" s="485">
        <v>45359.71138869213</v>
      </c>
      <c r="B2575" s="162" t="s">
        <v>1323</v>
      </c>
      <c r="C2575" s="484"/>
    </row>
    <row r="2576">
      <c r="A2576" s="485">
        <v>45359.713457962964</v>
      </c>
      <c r="B2576" s="162" t="s">
        <v>1324</v>
      </c>
      <c r="C2576" s="484"/>
    </row>
    <row r="2577">
      <c r="A2577" s="485">
        <v>45359.7570166088</v>
      </c>
      <c r="B2577" s="162" t="s">
        <v>1323</v>
      </c>
      <c r="C2577" s="484"/>
    </row>
    <row r="2578">
      <c r="A2578" s="485">
        <v>45359.75960454861</v>
      </c>
      <c r="B2578" s="162" t="s">
        <v>1324</v>
      </c>
      <c r="C2578" s="484"/>
    </row>
    <row r="2579">
      <c r="A2579" s="485">
        <v>45359.8834859375</v>
      </c>
      <c r="B2579" s="162" t="s">
        <v>1323</v>
      </c>
      <c r="C2579" s="484"/>
    </row>
    <row r="2580">
      <c r="A2580" s="485">
        <v>45359.88535297454</v>
      </c>
      <c r="B2580" s="162" t="s">
        <v>1324</v>
      </c>
      <c r="C2580" s="484"/>
    </row>
    <row r="2581">
      <c r="A2581" s="485">
        <v>45359.988969363425</v>
      </c>
      <c r="B2581" s="162" t="s">
        <v>1323</v>
      </c>
      <c r="C2581" s="484"/>
    </row>
    <row r="2582">
      <c r="A2582" s="485">
        <v>45359.99081962963</v>
      </c>
      <c r="B2582" s="162" t="s">
        <v>1324</v>
      </c>
      <c r="C2582" s="484"/>
    </row>
    <row r="2583">
      <c r="A2583" s="485">
        <v>45361.14197626157</v>
      </c>
      <c r="B2583" s="162" t="s">
        <v>1324</v>
      </c>
      <c r="C2583" s="484" t="s">
        <v>1419</v>
      </c>
    </row>
    <row r="2584">
      <c r="A2584" s="485"/>
      <c r="B2584" s="162"/>
      <c r="C2584" s="484"/>
    </row>
    <row r="2585">
      <c r="A2585" s="485"/>
      <c r="B2585" s="162"/>
      <c r="C2585" s="484"/>
    </row>
    <row r="2586">
      <c r="A2586" s="485"/>
      <c r="B2586" s="162"/>
      <c r="C2586" s="484"/>
    </row>
    <row r="2587">
      <c r="A2587" s="485"/>
      <c r="B2587" s="162"/>
      <c r="C2587" s="484"/>
    </row>
    <row r="2588">
      <c r="A2588" s="485"/>
      <c r="B2588" s="162"/>
      <c r="C2588" s="484"/>
    </row>
    <row r="2589">
      <c r="A2589" s="485"/>
      <c r="B2589" s="162"/>
      <c r="C2589" s="484"/>
    </row>
    <row r="2590">
      <c r="A2590" s="485"/>
      <c r="B2590" s="162"/>
      <c r="C2590" s="484"/>
    </row>
    <row r="2591">
      <c r="A2591" s="485"/>
      <c r="B2591" s="162"/>
      <c r="C2591" s="484"/>
    </row>
    <row r="2592">
      <c r="A2592" s="485"/>
      <c r="B2592" s="162"/>
      <c r="C2592" s="484"/>
    </row>
    <row r="2593">
      <c r="A2593" s="485"/>
      <c r="B2593" s="162"/>
      <c r="C2593" s="484"/>
    </row>
    <row r="2594">
      <c r="A2594" s="485"/>
      <c r="B2594" s="162"/>
      <c r="C2594" s="484"/>
    </row>
    <row r="2595">
      <c r="A2595" s="485"/>
      <c r="B2595" s="162"/>
      <c r="C2595" s="484"/>
    </row>
    <row r="2596">
      <c r="A2596" s="485"/>
      <c r="B2596" s="162"/>
      <c r="C2596" s="484"/>
    </row>
    <row r="2597">
      <c r="A2597" s="485"/>
      <c r="B2597" s="162"/>
      <c r="C2597" s="484"/>
    </row>
    <row r="2598">
      <c r="A2598" s="485"/>
      <c r="B2598" s="162"/>
      <c r="C2598" s="484"/>
    </row>
    <row r="2599">
      <c r="A2599" s="485"/>
      <c r="B2599" s="162"/>
      <c r="C2599" s="484"/>
    </row>
    <row r="2600">
      <c r="A2600" s="485"/>
      <c r="B2600" s="162"/>
      <c r="C2600" s="484"/>
    </row>
    <row r="2601">
      <c r="A2601" s="485"/>
      <c r="B2601" s="162"/>
      <c r="C2601" s="484"/>
    </row>
    <row r="2602">
      <c r="A2602" s="485"/>
      <c r="B2602" s="162"/>
      <c r="C2602" s="484"/>
    </row>
    <row r="2603">
      <c r="A2603" s="485"/>
      <c r="B2603" s="162"/>
      <c r="C2603" s="484"/>
    </row>
    <row r="2604">
      <c r="A2604" s="485"/>
      <c r="B2604" s="162"/>
      <c r="C2604" s="484"/>
    </row>
    <row r="2605">
      <c r="A2605" s="485"/>
      <c r="B2605" s="162"/>
      <c r="C2605" s="484"/>
    </row>
    <row r="2606">
      <c r="A2606" s="485"/>
      <c r="B2606" s="162"/>
      <c r="C2606" s="484"/>
    </row>
    <row r="2607">
      <c r="A2607" s="485"/>
      <c r="B2607" s="162"/>
      <c r="C2607" s="484"/>
    </row>
    <row r="2608">
      <c r="A2608" s="485"/>
      <c r="B2608" s="162"/>
      <c r="C2608" s="484"/>
    </row>
    <row r="2609">
      <c r="A2609" s="485"/>
      <c r="B2609" s="162"/>
      <c r="C2609" s="484"/>
    </row>
    <row r="2610">
      <c r="A2610" s="485"/>
      <c r="B2610" s="162"/>
      <c r="C2610" s="484"/>
    </row>
    <row r="2611">
      <c r="A2611" s="485"/>
      <c r="B2611" s="162"/>
      <c r="C2611" s="484"/>
    </row>
    <row r="2612">
      <c r="A2612" s="485"/>
      <c r="B2612" s="162"/>
      <c r="C2612" s="484"/>
    </row>
    <row r="2613">
      <c r="A2613" s="485"/>
      <c r="B2613" s="162"/>
      <c r="C2613" s="484"/>
    </row>
    <row r="2614">
      <c r="A2614" s="485"/>
      <c r="B2614" s="162"/>
      <c r="C2614" s="484"/>
    </row>
    <row r="2615">
      <c r="A2615" s="485"/>
      <c r="B2615" s="162"/>
      <c r="C2615" s="484"/>
    </row>
    <row r="2616">
      <c r="A2616" s="485"/>
      <c r="B2616" s="162"/>
      <c r="C2616" s="484"/>
    </row>
    <row r="2617">
      <c r="A2617" s="485"/>
      <c r="B2617" s="162"/>
      <c r="C2617" s="484"/>
    </row>
    <row r="2618">
      <c r="A2618" s="485"/>
      <c r="B2618" s="162"/>
      <c r="C2618" s="484"/>
    </row>
    <row r="2619">
      <c r="A2619" s="485"/>
      <c r="B2619" s="162"/>
      <c r="C2619" s="484"/>
    </row>
    <row r="2620">
      <c r="A2620" s="485"/>
      <c r="B2620" s="162"/>
      <c r="C2620" s="484"/>
    </row>
    <row r="2621">
      <c r="A2621" s="485"/>
      <c r="B2621" s="162"/>
      <c r="C2621" s="484"/>
    </row>
    <row r="2622">
      <c r="A2622" s="485"/>
      <c r="B2622" s="162"/>
      <c r="C2622" s="484"/>
    </row>
    <row r="2623">
      <c r="A2623" s="485"/>
      <c r="B2623" s="162"/>
      <c r="C2623" s="484"/>
    </row>
    <row r="2624">
      <c r="A2624" s="485"/>
      <c r="B2624" s="162"/>
      <c r="C2624" s="484"/>
    </row>
    <row r="2625">
      <c r="A2625" s="485"/>
      <c r="B2625" s="162"/>
      <c r="C2625" s="484"/>
    </row>
    <row r="2626">
      <c r="A2626" s="485"/>
      <c r="B2626" s="162"/>
      <c r="C2626" s="484"/>
    </row>
    <row r="2627">
      <c r="A2627" s="485"/>
      <c r="B2627" s="162"/>
      <c r="C2627" s="484"/>
    </row>
    <row r="2628">
      <c r="A2628" s="485"/>
      <c r="B2628" s="162"/>
      <c r="C2628" s="484"/>
    </row>
    <row r="2629">
      <c r="A2629" s="485"/>
      <c r="B2629" s="162"/>
      <c r="C2629" s="484"/>
    </row>
    <row r="2630">
      <c r="A2630" s="485"/>
      <c r="B2630" s="162"/>
      <c r="C2630" s="484"/>
    </row>
    <row r="2631">
      <c r="A2631" s="485"/>
      <c r="B2631" s="162"/>
      <c r="C2631" s="484"/>
    </row>
    <row r="2632">
      <c r="A2632" s="485"/>
      <c r="B2632" s="162"/>
      <c r="C2632" s="484"/>
    </row>
    <row r="2633">
      <c r="A2633" s="485"/>
      <c r="B2633" s="162"/>
      <c r="C2633" s="484"/>
    </row>
    <row r="2634">
      <c r="A2634" s="485"/>
      <c r="B2634" s="162"/>
      <c r="C2634" s="484"/>
    </row>
    <row r="2635">
      <c r="A2635" s="485"/>
      <c r="B2635" s="162"/>
      <c r="C2635" s="484"/>
    </row>
    <row r="2636">
      <c r="A2636" s="485"/>
      <c r="B2636" s="162"/>
      <c r="C2636" s="484"/>
    </row>
    <row r="2637">
      <c r="A2637" s="485"/>
      <c r="B2637" s="162"/>
      <c r="C2637" s="484"/>
    </row>
    <row r="2638">
      <c r="A2638" s="485"/>
      <c r="B2638" s="162"/>
      <c r="C2638" s="484"/>
    </row>
    <row r="2639">
      <c r="A2639" s="485"/>
      <c r="B2639" s="162"/>
      <c r="C2639" s="484"/>
    </row>
    <row r="2640">
      <c r="A2640" s="485"/>
      <c r="B2640" s="162"/>
      <c r="C2640" s="484"/>
    </row>
    <row r="2641">
      <c r="A2641" s="485"/>
      <c r="B2641" s="162"/>
      <c r="C2641" s="484"/>
    </row>
    <row r="2642">
      <c r="A2642" s="485"/>
      <c r="B2642" s="162"/>
      <c r="C2642" s="484"/>
    </row>
    <row r="2643">
      <c r="A2643" s="485"/>
      <c r="B2643" s="162"/>
      <c r="C2643" s="484"/>
    </row>
    <row r="2644">
      <c r="A2644" s="485"/>
      <c r="B2644" s="162"/>
      <c r="C2644" s="484"/>
    </row>
    <row r="2645">
      <c r="A2645" s="485"/>
      <c r="B2645" s="162"/>
      <c r="C2645" s="484"/>
    </row>
    <row r="2646">
      <c r="A2646" s="485"/>
      <c r="B2646" s="162"/>
      <c r="C2646" s="484"/>
    </row>
    <row r="2647">
      <c r="A2647" s="485"/>
      <c r="B2647" s="162"/>
      <c r="C2647" s="484"/>
    </row>
    <row r="2648">
      <c r="A2648" s="485"/>
      <c r="B2648" s="162"/>
      <c r="C2648" s="484"/>
    </row>
    <row r="2649">
      <c r="A2649" s="485"/>
      <c r="B2649" s="162"/>
      <c r="C2649" s="484"/>
    </row>
    <row r="2650">
      <c r="A2650" s="485"/>
      <c r="B2650" s="162"/>
      <c r="C2650" s="484"/>
    </row>
    <row r="2651">
      <c r="A2651" s="485"/>
      <c r="B2651" s="162"/>
      <c r="C2651" s="484"/>
    </row>
    <row r="2652">
      <c r="A2652" s="485"/>
      <c r="B2652" s="162"/>
      <c r="C2652" s="484"/>
    </row>
    <row r="2653">
      <c r="A2653" s="485"/>
      <c r="B2653" s="162"/>
      <c r="C2653" s="484"/>
    </row>
    <row r="2654">
      <c r="A2654" s="485"/>
      <c r="B2654" s="162"/>
      <c r="C2654" s="484"/>
    </row>
    <row r="2655">
      <c r="A2655" s="485"/>
      <c r="B2655" s="162"/>
      <c r="C2655" s="484"/>
    </row>
    <row r="2656">
      <c r="A2656" s="485"/>
      <c r="B2656" s="162"/>
      <c r="C2656" s="484"/>
    </row>
    <row r="2657">
      <c r="A2657" s="485"/>
      <c r="B2657" s="162"/>
      <c r="C2657" s="484"/>
    </row>
    <row r="2658">
      <c r="A2658" s="485"/>
      <c r="B2658" s="162"/>
      <c r="C2658" s="484"/>
    </row>
    <row r="2659">
      <c r="A2659" s="485"/>
      <c r="B2659" s="162"/>
      <c r="C2659" s="484"/>
    </row>
    <row r="2660">
      <c r="A2660" s="485"/>
      <c r="B2660" s="162"/>
      <c r="C2660" s="484"/>
    </row>
    <row r="2661">
      <c r="A2661" s="485"/>
      <c r="B2661" s="162"/>
      <c r="C2661" s="484"/>
    </row>
    <row r="2662">
      <c r="A2662" s="485"/>
      <c r="B2662" s="162"/>
      <c r="C2662" s="484"/>
    </row>
    <row r="2663">
      <c r="A2663" s="485"/>
      <c r="B2663" s="162"/>
      <c r="C2663" s="484"/>
    </row>
    <row r="2664">
      <c r="A2664" s="485"/>
      <c r="B2664" s="162"/>
      <c r="C2664" s="484"/>
    </row>
    <row r="2665">
      <c r="A2665" s="485"/>
      <c r="B2665" s="162"/>
      <c r="C2665" s="484"/>
    </row>
    <row r="2666">
      <c r="A2666" s="485"/>
      <c r="B2666" s="162"/>
      <c r="C2666" s="484"/>
    </row>
    <row r="2667">
      <c r="A2667" s="485"/>
      <c r="B2667" s="162"/>
      <c r="C2667" s="484"/>
    </row>
    <row r="2668">
      <c r="A2668" s="485"/>
      <c r="B2668" s="162"/>
      <c r="C2668" s="484"/>
    </row>
    <row r="2669">
      <c r="A2669" s="485"/>
      <c r="B2669" s="162"/>
      <c r="C2669" s="484"/>
    </row>
    <row r="2670">
      <c r="A2670" s="485"/>
      <c r="B2670" s="162"/>
      <c r="C2670" s="484"/>
    </row>
    <row r="2671">
      <c r="A2671" s="485"/>
      <c r="B2671" s="162"/>
      <c r="C2671" s="484"/>
    </row>
    <row r="2672">
      <c r="A2672" s="485"/>
      <c r="B2672" s="162"/>
      <c r="C2672" s="484"/>
    </row>
    <row r="2673">
      <c r="A2673" s="485"/>
      <c r="B2673" s="162"/>
      <c r="C2673" s="484"/>
    </row>
    <row r="2674">
      <c r="A2674" s="485"/>
      <c r="B2674" s="162"/>
      <c r="C2674" s="484"/>
    </row>
    <row r="2675">
      <c r="A2675" s="485"/>
      <c r="B2675" s="162"/>
      <c r="C2675" s="484"/>
    </row>
    <row r="2676">
      <c r="A2676" s="485"/>
      <c r="B2676" s="162"/>
      <c r="C2676" s="484"/>
    </row>
    <row r="2677">
      <c r="A2677" s="485"/>
      <c r="B2677" s="162"/>
      <c r="C2677" s="484"/>
    </row>
    <row r="2678">
      <c r="A2678" s="485"/>
      <c r="B2678" s="162"/>
      <c r="C2678" s="484"/>
    </row>
    <row r="2679">
      <c r="A2679" s="485"/>
      <c r="B2679" s="162"/>
      <c r="C2679" s="484"/>
    </row>
    <row r="2680">
      <c r="A2680" s="485"/>
      <c r="B2680" s="162"/>
      <c r="C2680" s="484"/>
    </row>
    <row r="2681">
      <c r="A2681" s="485"/>
      <c r="B2681" s="162"/>
      <c r="C2681" s="484"/>
    </row>
    <row r="2682">
      <c r="A2682" s="485"/>
      <c r="B2682" s="162"/>
      <c r="C2682" s="484"/>
    </row>
    <row r="2683">
      <c r="A2683" s="485"/>
      <c r="B2683" s="162"/>
      <c r="C2683" s="484"/>
    </row>
    <row r="2684">
      <c r="A2684" s="485"/>
      <c r="B2684" s="162"/>
      <c r="C2684" s="484"/>
    </row>
    <row r="2685">
      <c r="A2685" s="485"/>
      <c r="B2685" s="162"/>
      <c r="C2685" s="484"/>
    </row>
    <row r="2686">
      <c r="A2686" s="485"/>
      <c r="B2686" s="162"/>
      <c r="C2686" s="484"/>
    </row>
    <row r="2687">
      <c r="A2687" s="485"/>
      <c r="B2687" s="162"/>
      <c r="C2687" s="484"/>
    </row>
    <row r="2688">
      <c r="A2688" s="485"/>
      <c r="B2688" s="162"/>
      <c r="C2688" s="484"/>
    </row>
    <row r="2689">
      <c r="A2689" s="485"/>
      <c r="B2689" s="162"/>
      <c r="C2689" s="484"/>
    </row>
    <row r="2690">
      <c r="A2690" s="485"/>
      <c r="B2690" s="162"/>
      <c r="C2690" s="484"/>
    </row>
    <row r="2691">
      <c r="A2691" s="485"/>
      <c r="B2691" s="162"/>
      <c r="C2691" s="484"/>
    </row>
    <row r="2692">
      <c r="A2692" s="485"/>
      <c r="B2692" s="162"/>
      <c r="C2692" s="484"/>
    </row>
    <row r="2693">
      <c r="A2693" s="485"/>
      <c r="B2693" s="162"/>
      <c r="C2693" s="484"/>
    </row>
    <row r="2694">
      <c r="A2694" s="485"/>
      <c r="B2694" s="162"/>
      <c r="C2694" s="484"/>
    </row>
    <row r="2695">
      <c r="A2695" s="485"/>
      <c r="B2695" s="162"/>
      <c r="C2695" s="484"/>
    </row>
    <row r="2696">
      <c r="A2696" s="485"/>
      <c r="B2696" s="162"/>
      <c r="C2696" s="484"/>
    </row>
    <row r="2697">
      <c r="A2697" s="485"/>
      <c r="B2697" s="162"/>
      <c r="C2697" s="484"/>
    </row>
    <row r="2698">
      <c r="A2698" s="485"/>
      <c r="B2698" s="162"/>
      <c r="C2698" s="484"/>
    </row>
    <row r="2699">
      <c r="A2699" s="485"/>
      <c r="B2699" s="162"/>
      <c r="C2699" s="484"/>
    </row>
    <row r="2700">
      <c r="A2700" s="485"/>
      <c r="B2700" s="162"/>
      <c r="C2700" s="484"/>
    </row>
    <row r="2701">
      <c r="A2701" s="485"/>
      <c r="B2701" s="162"/>
      <c r="C2701" s="484"/>
    </row>
    <row r="2702">
      <c r="A2702" s="485"/>
      <c r="B2702" s="162"/>
      <c r="C2702" s="484"/>
    </row>
    <row r="2703">
      <c r="A2703" s="485"/>
      <c r="B2703" s="162"/>
      <c r="C2703" s="484"/>
    </row>
    <row r="2704">
      <c r="A2704" s="485"/>
      <c r="B2704" s="162"/>
      <c r="C2704" s="484"/>
    </row>
    <row r="2705">
      <c r="A2705" s="485"/>
      <c r="B2705" s="162"/>
      <c r="C2705" s="484"/>
    </row>
    <row r="2706">
      <c r="A2706" s="485"/>
      <c r="B2706" s="162"/>
      <c r="C2706" s="484"/>
    </row>
    <row r="2707">
      <c r="A2707" s="485"/>
      <c r="B2707" s="162"/>
      <c r="C2707" s="484"/>
    </row>
    <row r="2708">
      <c r="A2708" s="485"/>
      <c r="B2708" s="162"/>
      <c r="C2708" s="484"/>
    </row>
    <row r="2709">
      <c r="A2709" s="485"/>
      <c r="B2709" s="162"/>
      <c r="C2709" s="484"/>
    </row>
    <row r="2710">
      <c r="A2710" s="485"/>
      <c r="B2710" s="162"/>
      <c r="C2710" s="484"/>
    </row>
    <row r="2711">
      <c r="A2711" s="485"/>
      <c r="B2711" s="162"/>
      <c r="C2711" s="484"/>
    </row>
    <row r="2712">
      <c r="A2712" s="485"/>
      <c r="B2712" s="162"/>
      <c r="C2712" s="484"/>
    </row>
    <row r="2713">
      <c r="A2713" s="485"/>
      <c r="B2713" s="162"/>
      <c r="C2713" s="484"/>
    </row>
    <row r="2714">
      <c r="A2714" s="485"/>
      <c r="B2714" s="162"/>
      <c r="C2714" s="484"/>
    </row>
    <row r="2715">
      <c r="A2715" s="485"/>
      <c r="B2715" s="162"/>
      <c r="C2715" s="484"/>
    </row>
    <row r="2716">
      <c r="A2716" s="485"/>
      <c r="B2716" s="162"/>
      <c r="C2716" s="484"/>
    </row>
    <row r="2717">
      <c r="A2717" s="485"/>
      <c r="B2717" s="162"/>
      <c r="C2717" s="484"/>
    </row>
    <row r="2718">
      <c r="A2718" s="485"/>
      <c r="B2718" s="162"/>
      <c r="C2718" s="484"/>
    </row>
    <row r="2719">
      <c r="A2719" s="485"/>
      <c r="B2719" s="162"/>
      <c r="C2719" s="484"/>
    </row>
    <row r="2720">
      <c r="A2720" s="485"/>
      <c r="B2720" s="162"/>
      <c r="C2720" s="484"/>
    </row>
    <row r="2721">
      <c r="A2721" s="485"/>
      <c r="B2721" s="162"/>
      <c r="C2721" s="484"/>
    </row>
    <row r="2722">
      <c r="A2722" s="485"/>
      <c r="B2722" s="162"/>
      <c r="C2722" s="484"/>
    </row>
    <row r="2723">
      <c r="A2723" s="485"/>
      <c r="B2723" s="162"/>
      <c r="C2723" s="484"/>
    </row>
    <row r="2724">
      <c r="A2724" s="485"/>
      <c r="B2724" s="162"/>
      <c r="C2724" s="484"/>
    </row>
    <row r="2725">
      <c r="A2725" s="485"/>
      <c r="B2725" s="162"/>
      <c r="C2725" s="484"/>
    </row>
    <row r="2726">
      <c r="A2726" s="485"/>
      <c r="B2726" s="162"/>
      <c r="C2726" s="484"/>
    </row>
    <row r="2727">
      <c r="A2727" s="485"/>
      <c r="B2727" s="162"/>
      <c r="C2727" s="484"/>
    </row>
    <row r="2728">
      <c r="A2728" s="485"/>
      <c r="B2728" s="162"/>
      <c r="C2728" s="484"/>
    </row>
    <row r="2729">
      <c r="A2729" s="485"/>
      <c r="B2729" s="162"/>
      <c r="C2729" s="484"/>
    </row>
    <row r="2730">
      <c r="A2730" s="485"/>
      <c r="B2730" s="162"/>
      <c r="C2730" s="484"/>
    </row>
    <row r="2731">
      <c r="A2731" s="485"/>
      <c r="B2731" s="162"/>
      <c r="C2731" s="484"/>
    </row>
    <row r="2732">
      <c r="A2732" s="485"/>
      <c r="B2732" s="162"/>
      <c r="C2732" s="484"/>
    </row>
    <row r="2733">
      <c r="A2733" s="485"/>
      <c r="B2733" s="162"/>
      <c r="C2733" s="484"/>
    </row>
    <row r="2734">
      <c r="A2734" s="485"/>
      <c r="B2734" s="162"/>
      <c r="C2734" s="484"/>
    </row>
    <row r="2735">
      <c r="A2735" s="485"/>
      <c r="B2735" s="162"/>
      <c r="C2735" s="484"/>
    </row>
    <row r="2736">
      <c r="A2736" s="485"/>
      <c r="B2736" s="162"/>
      <c r="C2736" s="484"/>
    </row>
    <row r="2737">
      <c r="A2737" s="485"/>
      <c r="B2737" s="162"/>
      <c r="C2737" s="484"/>
    </row>
    <row r="2738">
      <c r="A2738" s="485"/>
      <c r="B2738" s="162"/>
      <c r="C2738" s="484"/>
    </row>
    <row r="2739">
      <c r="A2739" s="485"/>
      <c r="B2739" s="162"/>
      <c r="C2739" s="484"/>
    </row>
    <row r="2740">
      <c r="A2740" s="485"/>
      <c r="B2740" s="162"/>
      <c r="C2740" s="484"/>
    </row>
    <row r="2741">
      <c r="A2741" s="485"/>
      <c r="B2741" s="162"/>
      <c r="C2741" s="484"/>
    </row>
    <row r="2742">
      <c r="A2742" s="485"/>
      <c r="B2742" s="162"/>
      <c r="C2742" s="484"/>
    </row>
    <row r="2743">
      <c r="A2743" s="485"/>
      <c r="B2743" s="162"/>
      <c r="C2743" s="484"/>
    </row>
    <row r="2744">
      <c r="A2744" s="485"/>
      <c r="B2744" s="162"/>
      <c r="C2744" s="484"/>
    </row>
    <row r="2745">
      <c r="A2745" s="485"/>
      <c r="B2745" s="162"/>
      <c r="C2745" s="484"/>
    </row>
    <row r="2746">
      <c r="A2746" s="485"/>
      <c r="B2746" s="162"/>
      <c r="C2746" s="484"/>
    </row>
    <row r="2747">
      <c r="A2747" s="485"/>
      <c r="B2747" s="162"/>
      <c r="C2747" s="484"/>
    </row>
    <row r="2748">
      <c r="A2748" s="485"/>
      <c r="B2748" s="162"/>
      <c r="C2748" s="484"/>
    </row>
    <row r="2749">
      <c r="A2749" s="485"/>
      <c r="B2749" s="162"/>
      <c r="C2749" s="484"/>
    </row>
    <row r="2750">
      <c r="A2750" s="485"/>
      <c r="B2750" s="162"/>
      <c r="C2750" s="484"/>
    </row>
    <row r="2751">
      <c r="A2751" s="485"/>
      <c r="B2751" s="162"/>
      <c r="C2751" s="484"/>
    </row>
    <row r="2752">
      <c r="A2752" s="485"/>
      <c r="B2752" s="162"/>
      <c r="C2752" s="484"/>
    </row>
    <row r="2753">
      <c r="A2753" s="485"/>
      <c r="B2753" s="162"/>
      <c r="C2753" s="484"/>
    </row>
    <row r="2754">
      <c r="A2754" s="485"/>
      <c r="B2754" s="162"/>
      <c r="C2754" s="484"/>
    </row>
    <row r="2755">
      <c r="A2755" s="485"/>
      <c r="B2755" s="162"/>
      <c r="C2755" s="484"/>
    </row>
    <row r="2756">
      <c r="A2756" s="485"/>
      <c r="B2756" s="162"/>
      <c r="C2756" s="484"/>
    </row>
    <row r="2757">
      <c r="A2757" s="485"/>
      <c r="B2757" s="162"/>
      <c r="C2757" s="484"/>
    </row>
    <row r="2758">
      <c r="A2758" s="485"/>
      <c r="B2758" s="162"/>
      <c r="C2758" s="484"/>
    </row>
    <row r="2759">
      <c r="A2759" s="485"/>
      <c r="B2759" s="162"/>
      <c r="C2759" s="484"/>
    </row>
    <row r="2760">
      <c r="A2760" s="485"/>
      <c r="B2760" s="162"/>
      <c r="C2760" s="484"/>
    </row>
    <row r="2761">
      <c r="A2761" s="485"/>
      <c r="B2761" s="162"/>
      <c r="C2761" s="484"/>
    </row>
    <row r="2762">
      <c r="A2762" s="485"/>
      <c r="B2762" s="162"/>
      <c r="C2762" s="484"/>
    </row>
    <row r="2763">
      <c r="A2763" s="485"/>
      <c r="B2763" s="162"/>
      <c r="C2763" s="484"/>
    </row>
    <row r="2764">
      <c r="A2764" s="485"/>
      <c r="B2764" s="162"/>
      <c r="C2764" s="484"/>
    </row>
    <row r="2765">
      <c r="A2765" s="485"/>
      <c r="B2765" s="162"/>
      <c r="C2765" s="484"/>
    </row>
    <row r="2766">
      <c r="A2766" s="485"/>
      <c r="B2766" s="162"/>
      <c r="C2766" s="484"/>
    </row>
    <row r="2767">
      <c r="A2767" s="485"/>
      <c r="B2767" s="162"/>
      <c r="C2767" s="484"/>
    </row>
    <row r="2768">
      <c r="A2768" s="485"/>
      <c r="B2768" s="162"/>
      <c r="C2768" s="484"/>
    </row>
    <row r="2769">
      <c r="A2769" s="485"/>
      <c r="B2769" s="162"/>
      <c r="C2769" s="484"/>
    </row>
    <row r="2770">
      <c r="A2770" s="485"/>
      <c r="B2770" s="162"/>
      <c r="C2770" s="484"/>
    </row>
    <row r="2771">
      <c r="A2771" s="485"/>
      <c r="B2771" s="162"/>
      <c r="C2771" s="484"/>
    </row>
    <row r="2772">
      <c r="A2772" s="485"/>
      <c r="B2772" s="162"/>
      <c r="C2772" s="484"/>
    </row>
    <row r="2773">
      <c r="A2773" s="485"/>
      <c r="B2773" s="162"/>
      <c r="C2773" s="484"/>
    </row>
    <row r="2774">
      <c r="A2774" s="485"/>
      <c r="B2774" s="162"/>
      <c r="C2774" s="484"/>
    </row>
    <row r="2775">
      <c r="A2775" s="485"/>
      <c r="B2775" s="162"/>
      <c r="C2775" s="484"/>
    </row>
    <row r="2776">
      <c r="A2776" s="485"/>
      <c r="B2776" s="162"/>
      <c r="C2776" s="484"/>
    </row>
    <row r="2777">
      <c r="A2777" s="485"/>
      <c r="B2777" s="162"/>
      <c r="C2777" s="484"/>
    </row>
    <row r="2778">
      <c r="A2778" s="485"/>
      <c r="B2778" s="162"/>
      <c r="C2778" s="484"/>
    </row>
    <row r="2779">
      <c r="A2779" s="485"/>
      <c r="B2779" s="162"/>
      <c r="C2779" s="484"/>
    </row>
    <row r="2780">
      <c r="A2780" s="485"/>
      <c r="B2780" s="162"/>
      <c r="C2780" s="484"/>
    </row>
    <row r="2781">
      <c r="A2781" s="485"/>
      <c r="B2781" s="162"/>
      <c r="C2781" s="484"/>
    </row>
    <row r="2782">
      <c r="A2782" s="485"/>
      <c r="B2782" s="162"/>
      <c r="C2782" s="484"/>
    </row>
    <row r="2783">
      <c r="A2783" s="485"/>
      <c r="B2783" s="162"/>
      <c r="C2783" s="484"/>
    </row>
    <row r="2784">
      <c r="A2784" s="485"/>
      <c r="B2784" s="162"/>
      <c r="C2784" s="484"/>
    </row>
    <row r="2785">
      <c r="A2785" s="485"/>
      <c r="B2785" s="162"/>
      <c r="C2785" s="484"/>
    </row>
    <row r="2786">
      <c r="A2786" s="485"/>
      <c r="B2786" s="162"/>
      <c r="C2786" s="484"/>
    </row>
    <row r="2787">
      <c r="A2787" s="485"/>
      <c r="B2787" s="162"/>
      <c r="C2787" s="484"/>
    </row>
    <row r="2788">
      <c r="A2788" s="485"/>
      <c r="B2788" s="162"/>
      <c r="C2788" s="484"/>
    </row>
    <row r="2789">
      <c r="A2789" s="485"/>
      <c r="B2789" s="162"/>
      <c r="C2789" s="484"/>
    </row>
    <row r="2790">
      <c r="A2790" s="485"/>
      <c r="B2790" s="162"/>
      <c r="C2790" s="484"/>
    </row>
    <row r="2791">
      <c r="A2791" s="485"/>
      <c r="B2791" s="162"/>
      <c r="C2791" s="484"/>
    </row>
    <row r="2792">
      <c r="A2792" s="485"/>
      <c r="B2792" s="162"/>
      <c r="C2792" s="484"/>
    </row>
    <row r="2793">
      <c r="A2793" s="485"/>
      <c r="B2793" s="162"/>
      <c r="C2793" s="484"/>
    </row>
    <row r="2794">
      <c r="A2794" s="485"/>
      <c r="B2794" s="162"/>
      <c r="C2794" s="484"/>
    </row>
    <row r="2795">
      <c r="A2795" s="485"/>
      <c r="B2795" s="162"/>
      <c r="C2795" s="484"/>
    </row>
    <row r="2796">
      <c r="A2796" s="485"/>
      <c r="B2796" s="162"/>
      <c r="C2796" s="484"/>
    </row>
    <row r="2797">
      <c r="A2797" s="485"/>
      <c r="B2797" s="162"/>
      <c r="C2797" s="484"/>
    </row>
    <row r="2798">
      <c r="A2798" s="485"/>
      <c r="B2798" s="162"/>
      <c r="C2798" s="484"/>
    </row>
    <row r="2799">
      <c r="A2799" s="485"/>
      <c r="B2799" s="162"/>
      <c r="C2799" s="484"/>
    </row>
    <row r="2800">
      <c r="A2800" s="485"/>
      <c r="B2800" s="162"/>
      <c r="C2800" s="484"/>
    </row>
    <row r="2801">
      <c r="A2801" s="485"/>
      <c r="B2801" s="162"/>
      <c r="C2801" s="484"/>
    </row>
    <row r="2802">
      <c r="A2802" s="485"/>
      <c r="B2802" s="162"/>
      <c r="C2802" s="484"/>
    </row>
    <row r="2803">
      <c r="A2803" s="485"/>
      <c r="B2803" s="162"/>
      <c r="C2803" s="484"/>
    </row>
    <row r="2804">
      <c r="A2804" s="485"/>
      <c r="B2804" s="162"/>
      <c r="C2804" s="484"/>
    </row>
    <row r="2805">
      <c r="A2805" s="485"/>
      <c r="B2805" s="162"/>
      <c r="C2805" s="484"/>
    </row>
    <row r="2806">
      <c r="A2806" s="485"/>
      <c r="B2806" s="162"/>
      <c r="C2806" s="484"/>
    </row>
    <row r="2807">
      <c r="A2807" s="485"/>
      <c r="B2807" s="162"/>
      <c r="C2807" s="484"/>
    </row>
    <row r="2808">
      <c r="A2808" s="485"/>
      <c r="B2808" s="162"/>
      <c r="C2808" s="484"/>
    </row>
    <row r="2809">
      <c r="A2809" s="485"/>
      <c r="B2809" s="162"/>
      <c r="C2809" s="484"/>
    </row>
    <row r="2810">
      <c r="A2810" s="485"/>
      <c r="B2810" s="162"/>
      <c r="C2810" s="484"/>
    </row>
    <row r="2811">
      <c r="A2811" s="485"/>
      <c r="B2811" s="162"/>
      <c r="C2811" s="484"/>
    </row>
    <row r="2812">
      <c r="A2812" s="485"/>
      <c r="B2812" s="162"/>
      <c r="C2812" s="484"/>
    </row>
    <row r="2813">
      <c r="A2813" s="485"/>
      <c r="B2813" s="162"/>
      <c r="C2813" s="484"/>
    </row>
    <row r="2814">
      <c r="A2814" s="485"/>
      <c r="B2814" s="162"/>
      <c r="C2814" s="484"/>
    </row>
    <row r="2815">
      <c r="A2815" s="485"/>
      <c r="B2815" s="162"/>
      <c r="C2815" s="484"/>
    </row>
    <row r="2816">
      <c r="A2816" s="485"/>
      <c r="B2816" s="162"/>
      <c r="C2816" s="484"/>
    </row>
    <row r="2817">
      <c r="A2817" s="485"/>
      <c r="B2817" s="162"/>
      <c r="C2817" s="484"/>
    </row>
    <row r="2818">
      <c r="A2818" s="485"/>
      <c r="B2818" s="162"/>
      <c r="C2818" s="484"/>
    </row>
    <row r="2819">
      <c r="A2819" s="485"/>
      <c r="B2819" s="162"/>
      <c r="C2819" s="484"/>
    </row>
    <row r="2820">
      <c r="A2820" s="485"/>
      <c r="B2820" s="162"/>
      <c r="C2820" s="484"/>
    </row>
    <row r="2821">
      <c r="A2821" s="485"/>
      <c r="B2821" s="162"/>
      <c r="C2821" s="484"/>
    </row>
    <row r="2822">
      <c r="A2822" s="485"/>
      <c r="B2822" s="162"/>
      <c r="C2822" s="484"/>
    </row>
    <row r="2823">
      <c r="A2823" s="485"/>
      <c r="B2823" s="162"/>
      <c r="C2823" s="484"/>
    </row>
    <row r="2824">
      <c r="A2824" s="485"/>
      <c r="B2824" s="162"/>
      <c r="C2824" s="484"/>
    </row>
    <row r="2825">
      <c r="A2825" s="485"/>
      <c r="B2825" s="162"/>
      <c r="C2825" s="484"/>
    </row>
    <row r="2826">
      <c r="A2826" s="485"/>
      <c r="B2826" s="162"/>
      <c r="C2826" s="484"/>
    </row>
    <row r="2827">
      <c r="A2827" s="485"/>
      <c r="B2827" s="162"/>
      <c r="C2827" s="484"/>
    </row>
    <row r="2828">
      <c r="A2828" s="485"/>
      <c r="B2828" s="162"/>
      <c r="C2828" s="484"/>
    </row>
    <row r="2829">
      <c r="A2829" s="485"/>
      <c r="B2829" s="162"/>
      <c r="C2829" s="484"/>
    </row>
    <row r="2830">
      <c r="A2830" s="485"/>
      <c r="B2830" s="162"/>
      <c r="C2830" s="484"/>
    </row>
    <row r="2831">
      <c r="A2831" s="485"/>
      <c r="B2831" s="162"/>
      <c r="C2831" s="484"/>
    </row>
    <row r="2832">
      <c r="A2832" s="485"/>
      <c r="B2832" s="162"/>
      <c r="C2832" s="484"/>
    </row>
    <row r="2833">
      <c r="A2833" s="485"/>
      <c r="B2833" s="162"/>
      <c r="C2833" s="484"/>
    </row>
    <row r="2834">
      <c r="A2834" s="485"/>
      <c r="B2834" s="162"/>
      <c r="C2834" s="484"/>
    </row>
    <row r="2835">
      <c r="A2835" s="485"/>
      <c r="B2835" s="162"/>
      <c r="C2835" s="484"/>
    </row>
    <row r="2836">
      <c r="A2836" s="485"/>
      <c r="B2836" s="162"/>
      <c r="C2836" s="484"/>
    </row>
    <row r="2837">
      <c r="A2837" s="485"/>
      <c r="B2837" s="162"/>
      <c r="C2837" s="484"/>
    </row>
    <row r="2838">
      <c r="A2838" s="485"/>
      <c r="B2838" s="162"/>
      <c r="C2838" s="484"/>
    </row>
    <row r="2839">
      <c r="A2839" s="485"/>
      <c r="B2839" s="162"/>
      <c r="C2839" s="484"/>
    </row>
    <row r="2840">
      <c r="A2840" s="485"/>
      <c r="B2840" s="162"/>
      <c r="C2840" s="484"/>
    </row>
    <row r="2841">
      <c r="A2841" s="485"/>
      <c r="B2841" s="162"/>
      <c r="C2841" s="484"/>
    </row>
    <row r="2842">
      <c r="A2842" s="485"/>
      <c r="B2842" s="162"/>
      <c r="C2842" s="484"/>
    </row>
    <row r="2843">
      <c r="A2843" s="485"/>
      <c r="B2843" s="162"/>
      <c r="C2843" s="484"/>
    </row>
    <row r="2844">
      <c r="A2844" s="485"/>
      <c r="B2844" s="162"/>
      <c r="C2844" s="484"/>
    </row>
    <row r="2845">
      <c r="A2845" s="485"/>
      <c r="B2845" s="162"/>
      <c r="C2845" s="484"/>
    </row>
    <row r="2846">
      <c r="A2846" s="485"/>
      <c r="B2846" s="162"/>
      <c r="C2846" s="484"/>
    </row>
    <row r="2847">
      <c r="A2847" s="485"/>
      <c r="B2847" s="162"/>
      <c r="C2847" s="484"/>
    </row>
    <row r="2848">
      <c r="A2848" s="485"/>
      <c r="B2848" s="162"/>
      <c r="C2848" s="484"/>
    </row>
    <row r="2849">
      <c r="A2849" s="485"/>
      <c r="B2849" s="162"/>
      <c r="C2849" s="484"/>
    </row>
    <row r="2850">
      <c r="A2850" s="485"/>
      <c r="B2850" s="162"/>
      <c r="C2850" s="484"/>
    </row>
    <row r="2851">
      <c r="A2851" s="485"/>
      <c r="B2851" s="162"/>
      <c r="C2851" s="484"/>
    </row>
    <row r="2852">
      <c r="A2852" s="485"/>
      <c r="B2852" s="162"/>
      <c r="C2852" s="484"/>
    </row>
    <row r="2853">
      <c r="A2853" s="485"/>
      <c r="B2853" s="162"/>
      <c r="C2853" s="484"/>
    </row>
    <row r="2854">
      <c r="A2854" s="485"/>
      <c r="B2854" s="162"/>
      <c r="C2854" s="484"/>
    </row>
    <row r="2855">
      <c r="A2855" s="485"/>
      <c r="B2855" s="162"/>
      <c r="C2855" s="484"/>
    </row>
    <row r="2856">
      <c r="A2856" s="485"/>
      <c r="B2856" s="162"/>
      <c r="C2856" s="484"/>
    </row>
    <row r="2857">
      <c r="A2857" s="485"/>
      <c r="B2857" s="162"/>
      <c r="C2857" s="484"/>
    </row>
    <row r="2858">
      <c r="A2858" s="485"/>
      <c r="B2858" s="162"/>
      <c r="C2858" s="484"/>
    </row>
    <row r="2859">
      <c r="A2859" s="485"/>
      <c r="B2859" s="162"/>
      <c r="C2859" s="484"/>
    </row>
    <row r="2860">
      <c r="A2860" s="485"/>
      <c r="B2860" s="162"/>
      <c r="C2860" s="484"/>
    </row>
    <row r="2861">
      <c r="A2861" s="485"/>
      <c r="B2861" s="162"/>
      <c r="C2861" s="484"/>
    </row>
    <row r="2862">
      <c r="A2862" s="485"/>
      <c r="B2862" s="162"/>
      <c r="C2862" s="484"/>
    </row>
    <row r="2863">
      <c r="A2863" s="485"/>
      <c r="B2863" s="162"/>
      <c r="C2863" s="484"/>
    </row>
    <row r="2864">
      <c r="A2864" s="485"/>
      <c r="B2864" s="162"/>
      <c r="C2864" s="484"/>
    </row>
    <row r="2865">
      <c r="A2865" s="485"/>
      <c r="B2865" s="162"/>
      <c r="C2865" s="484"/>
    </row>
    <row r="2866">
      <c r="A2866" s="485"/>
      <c r="B2866" s="162"/>
      <c r="C2866" s="484"/>
    </row>
    <row r="2867">
      <c r="A2867" s="485"/>
      <c r="B2867" s="162"/>
      <c r="C2867" s="484"/>
    </row>
    <row r="2868">
      <c r="A2868" s="485"/>
      <c r="B2868" s="162"/>
      <c r="C2868" s="484"/>
    </row>
    <row r="2869">
      <c r="A2869" s="485"/>
      <c r="B2869" s="162"/>
      <c r="C2869" s="484"/>
    </row>
    <row r="2870">
      <c r="A2870" s="485"/>
      <c r="B2870" s="162"/>
      <c r="C2870" s="484"/>
    </row>
    <row r="2871">
      <c r="A2871" s="485"/>
      <c r="B2871" s="162"/>
      <c r="C2871" s="484"/>
    </row>
    <row r="2872">
      <c r="A2872" s="485"/>
      <c r="B2872" s="162"/>
      <c r="C2872" s="484"/>
    </row>
    <row r="2873">
      <c r="A2873" s="485"/>
      <c r="B2873" s="162"/>
      <c r="C2873" s="484"/>
    </row>
    <row r="2874">
      <c r="A2874" s="485"/>
      <c r="B2874" s="162"/>
      <c r="C2874" s="484"/>
    </row>
    <row r="2875">
      <c r="A2875" s="485"/>
      <c r="B2875" s="162"/>
      <c r="C2875" s="484"/>
    </row>
    <row r="2876">
      <c r="A2876" s="485"/>
      <c r="B2876" s="162"/>
      <c r="C2876" s="484"/>
    </row>
    <row r="2877">
      <c r="A2877" s="485"/>
      <c r="B2877" s="162"/>
      <c r="C2877" s="484"/>
    </row>
    <row r="2878">
      <c r="A2878" s="485"/>
      <c r="B2878" s="162"/>
      <c r="C2878" s="484"/>
    </row>
    <row r="2879">
      <c r="A2879" s="485"/>
      <c r="B2879" s="162"/>
      <c r="C2879" s="484"/>
    </row>
    <row r="2880">
      <c r="A2880" s="485"/>
      <c r="B2880" s="162"/>
      <c r="C2880" s="484"/>
    </row>
    <row r="2881">
      <c r="A2881" s="485"/>
      <c r="B2881" s="162"/>
      <c r="C2881" s="484"/>
    </row>
    <row r="2882">
      <c r="A2882" s="485"/>
      <c r="B2882" s="162"/>
      <c r="C2882" s="484"/>
    </row>
    <row r="2883">
      <c r="A2883" s="485"/>
      <c r="B2883" s="162"/>
      <c r="C2883" s="484"/>
    </row>
    <row r="2884">
      <c r="A2884" s="485"/>
      <c r="B2884" s="162"/>
      <c r="C2884" s="484"/>
    </row>
    <row r="2885">
      <c r="A2885" s="485"/>
      <c r="B2885" s="162"/>
      <c r="C2885" s="484"/>
    </row>
    <row r="2886">
      <c r="A2886" s="485"/>
      <c r="B2886" s="162"/>
      <c r="C2886" s="484"/>
    </row>
    <row r="2887">
      <c r="A2887" s="485"/>
      <c r="B2887" s="162"/>
      <c r="C2887" s="484"/>
    </row>
    <row r="2888">
      <c r="A2888" s="485"/>
      <c r="B2888" s="162"/>
      <c r="C2888" s="484"/>
    </row>
    <row r="2889">
      <c r="A2889" s="485"/>
      <c r="B2889" s="162"/>
      <c r="C2889" s="484"/>
    </row>
    <row r="2890">
      <c r="A2890" s="485"/>
      <c r="B2890" s="162"/>
      <c r="C2890" s="484"/>
    </row>
    <row r="2891">
      <c r="A2891" s="485"/>
      <c r="B2891" s="162"/>
      <c r="C2891" s="484"/>
    </row>
    <row r="2892">
      <c r="A2892" s="485"/>
      <c r="B2892" s="162"/>
      <c r="C2892" s="484"/>
    </row>
    <row r="2893">
      <c r="A2893" s="485"/>
      <c r="B2893" s="162"/>
      <c r="C2893" s="484"/>
    </row>
    <row r="2894">
      <c r="A2894" s="485"/>
      <c r="B2894" s="162"/>
      <c r="C2894" s="484"/>
    </row>
    <row r="2895">
      <c r="A2895" s="485"/>
      <c r="B2895" s="162"/>
      <c r="C2895" s="484"/>
    </row>
    <row r="2896">
      <c r="A2896" s="485"/>
      <c r="B2896" s="162"/>
      <c r="C2896" s="484"/>
    </row>
    <row r="2897">
      <c r="A2897" s="485"/>
      <c r="B2897" s="162"/>
      <c r="C2897" s="484"/>
    </row>
    <row r="2898">
      <c r="A2898" s="485"/>
      <c r="B2898" s="162"/>
      <c r="C2898" s="484"/>
    </row>
    <row r="2899">
      <c r="A2899" s="485"/>
      <c r="B2899" s="162"/>
      <c r="C2899" s="484"/>
    </row>
    <row r="2900">
      <c r="A2900" s="485"/>
      <c r="B2900" s="162"/>
      <c r="C2900" s="484"/>
    </row>
    <row r="2901">
      <c r="A2901" s="485"/>
      <c r="B2901" s="162"/>
      <c r="C2901" s="484"/>
    </row>
    <row r="2902">
      <c r="A2902" s="485"/>
      <c r="B2902" s="162"/>
      <c r="C2902" s="484"/>
    </row>
    <row r="2903">
      <c r="A2903" s="485"/>
      <c r="B2903" s="162"/>
      <c r="C2903" s="484"/>
    </row>
    <row r="2904">
      <c r="A2904" s="485"/>
      <c r="B2904" s="162"/>
      <c r="C2904" s="484"/>
    </row>
    <row r="2905">
      <c r="A2905" s="485"/>
      <c r="B2905" s="162"/>
      <c r="C2905" s="484"/>
    </row>
    <row r="2906">
      <c r="A2906" s="485"/>
      <c r="B2906" s="162"/>
      <c r="C2906" s="484"/>
    </row>
    <row r="2907">
      <c r="A2907" s="485"/>
      <c r="B2907" s="162"/>
      <c r="C2907" s="484"/>
    </row>
    <row r="2908">
      <c r="A2908" s="485"/>
      <c r="B2908" s="162"/>
      <c r="C2908" s="484"/>
    </row>
    <row r="2909">
      <c r="A2909" s="485"/>
      <c r="B2909" s="162"/>
      <c r="C2909" s="484"/>
    </row>
    <row r="2910">
      <c r="A2910" s="485"/>
      <c r="B2910" s="162"/>
      <c r="C2910" s="484"/>
    </row>
    <row r="2911">
      <c r="A2911" s="485"/>
      <c r="B2911" s="162"/>
      <c r="C2911" s="484"/>
    </row>
    <row r="2912">
      <c r="A2912" s="485"/>
      <c r="B2912" s="162"/>
      <c r="C2912" s="484"/>
    </row>
    <row r="2913">
      <c r="A2913" s="485"/>
      <c r="B2913" s="162"/>
      <c r="C2913" s="484"/>
    </row>
    <row r="2914">
      <c r="A2914" s="485"/>
      <c r="B2914" s="162"/>
      <c r="C2914" s="484"/>
    </row>
    <row r="2915">
      <c r="A2915" s="485"/>
      <c r="B2915" s="162"/>
      <c r="C2915" s="484"/>
    </row>
    <row r="2916">
      <c r="A2916" s="485"/>
      <c r="B2916" s="162"/>
      <c r="C2916" s="484"/>
    </row>
    <row r="2917">
      <c r="A2917" s="485"/>
      <c r="B2917" s="162"/>
      <c r="C2917" s="484"/>
    </row>
    <row r="2918">
      <c r="A2918" s="485"/>
      <c r="B2918" s="162"/>
      <c r="C2918" s="484"/>
    </row>
    <row r="2919">
      <c r="A2919" s="485"/>
      <c r="B2919" s="162"/>
      <c r="C2919" s="484"/>
    </row>
    <row r="2920">
      <c r="A2920" s="485"/>
      <c r="B2920" s="162"/>
      <c r="C2920" s="484"/>
    </row>
    <row r="2921">
      <c r="A2921" s="485"/>
      <c r="B2921" s="162"/>
      <c r="C2921" s="484"/>
    </row>
    <row r="2922">
      <c r="A2922" s="485"/>
      <c r="B2922" s="162"/>
      <c r="C2922" s="484"/>
    </row>
    <row r="2923">
      <c r="A2923" s="485"/>
      <c r="B2923" s="162"/>
      <c r="C2923" s="484"/>
    </row>
    <row r="2924">
      <c r="A2924" s="485"/>
      <c r="B2924" s="162"/>
      <c r="C2924" s="484"/>
    </row>
    <row r="2925">
      <c r="A2925" s="485"/>
      <c r="B2925" s="162"/>
      <c r="C2925" s="484"/>
    </row>
    <row r="2926">
      <c r="A2926" s="485"/>
      <c r="B2926" s="162"/>
      <c r="C2926" s="484"/>
    </row>
    <row r="2927">
      <c r="A2927" s="485"/>
      <c r="B2927" s="162"/>
      <c r="C2927" s="484"/>
    </row>
    <row r="2928">
      <c r="A2928" s="485"/>
      <c r="B2928" s="162"/>
      <c r="C2928" s="484"/>
    </row>
    <row r="2929">
      <c r="A2929" s="485"/>
      <c r="B2929" s="162"/>
      <c r="C2929" s="484"/>
    </row>
    <row r="2930">
      <c r="A2930" s="485"/>
      <c r="B2930" s="162"/>
      <c r="C2930" s="484"/>
    </row>
    <row r="2931">
      <c r="A2931" s="485"/>
      <c r="B2931" s="162"/>
      <c r="C2931" s="484"/>
    </row>
    <row r="2932">
      <c r="A2932" s="485"/>
      <c r="B2932" s="162"/>
      <c r="C2932" s="484"/>
    </row>
    <row r="2933">
      <c r="A2933" s="485"/>
      <c r="B2933" s="162"/>
      <c r="C2933" s="484"/>
    </row>
    <row r="2934">
      <c r="A2934" s="485"/>
      <c r="B2934" s="162"/>
      <c r="C2934" s="484"/>
    </row>
    <row r="2935">
      <c r="A2935" s="485"/>
      <c r="B2935" s="162"/>
      <c r="C2935" s="484"/>
    </row>
    <row r="2936">
      <c r="A2936" s="485"/>
      <c r="B2936" s="162"/>
      <c r="C2936" s="484"/>
    </row>
    <row r="2937">
      <c r="A2937" s="485"/>
      <c r="B2937" s="162"/>
      <c r="C2937" s="484"/>
    </row>
    <row r="2938">
      <c r="A2938" s="485"/>
      <c r="B2938" s="162"/>
      <c r="C2938" s="484"/>
    </row>
    <row r="2939">
      <c r="A2939" s="485"/>
      <c r="B2939" s="162"/>
      <c r="C2939" s="484"/>
    </row>
    <row r="2940">
      <c r="A2940" s="485"/>
      <c r="B2940" s="162"/>
      <c r="C2940" s="484"/>
    </row>
    <row r="2941">
      <c r="A2941" s="485"/>
      <c r="B2941" s="162"/>
      <c r="C2941" s="484"/>
    </row>
    <row r="2942">
      <c r="A2942" s="485"/>
      <c r="B2942" s="162"/>
      <c r="C2942" s="484"/>
    </row>
    <row r="2943">
      <c r="A2943" s="485"/>
      <c r="B2943" s="162"/>
      <c r="C2943" s="484"/>
    </row>
    <row r="2944">
      <c r="A2944" s="485"/>
      <c r="B2944" s="162"/>
      <c r="C2944" s="484"/>
    </row>
    <row r="2945">
      <c r="A2945" s="485"/>
      <c r="B2945" s="162"/>
      <c r="C2945" s="484"/>
    </row>
    <row r="2946">
      <c r="A2946" s="485"/>
      <c r="B2946" s="162"/>
      <c r="C2946" s="484"/>
    </row>
    <row r="2947">
      <c r="A2947" s="485"/>
      <c r="B2947" s="162"/>
      <c r="C2947" s="484"/>
    </row>
    <row r="2948">
      <c r="A2948" s="485"/>
      <c r="B2948" s="162"/>
      <c r="C2948" s="484"/>
    </row>
    <row r="2949">
      <c r="A2949" s="485"/>
      <c r="B2949" s="162"/>
      <c r="C2949" s="484"/>
    </row>
    <row r="2950">
      <c r="A2950" s="485"/>
      <c r="B2950" s="162"/>
      <c r="C2950" s="484"/>
    </row>
    <row r="2951">
      <c r="A2951" s="485"/>
      <c r="B2951" s="162"/>
      <c r="C2951" s="484"/>
    </row>
    <row r="2952">
      <c r="A2952" s="485"/>
      <c r="B2952" s="162"/>
      <c r="C2952" s="484"/>
    </row>
    <row r="2953">
      <c r="A2953" s="485"/>
      <c r="B2953" s="162"/>
      <c r="C2953" s="484"/>
    </row>
    <row r="2954">
      <c r="A2954" s="485"/>
      <c r="B2954" s="162"/>
      <c r="C2954" s="484"/>
    </row>
    <row r="2955">
      <c r="A2955" s="485"/>
      <c r="B2955" s="162"/>
      <c r="C2955" s="484"/>
    </row>
    <row r="2956">
      <c r="A2956" s="485"/>
      <c r="B2956" s="162"/>
      <c r="C2956" s="484"/>
    </row>
    <row r="2957">
      <c r="A2957" s="485"/>
      <c r="B2957" s="162"/>
      <c r="C2957" s="484"/>
    </row>
    <row r="2958">
      <c r="A2958" s="485"/>
      <c r="B2958" s="162"/>
      <c r="C2958" s="484"/>
    </row>
    <row r="2959">
      <c r="A2959" s="485"/>
      <c r="B2959" s="162"/>
      <c r="C2959" s="484"/>
    </row>
    <row r="2960">
      <c r="A2960" s="485"/>
      <c r="B2960" s="162"/>
      <c r="C2960" s="484"/>
    </row>
    <row r="2961">
      <c r="A2961" s="485"/>
      <c r="B2961" s="162"/>
      <c r="C2961" s="484"/>
    </row>
    <row r="2962">
      <c r="A2962" s="485"/>
      <c r="B2962" s="162"/>
      <c r="C2962" s="484"/>
    </row>
    <row r="2963">
      <c r="A2963" s="485"/>
      <c r="B2963" s="162"/>
      <c r="C2963" s="484"/>
    </row>
    <row r="2964">
      <c r="A2964" s="485"/>
      <c r="B2964" s="162"/>
      <c r="C2964" s="484"/>
    </row>
    <row r="2965">
      <c r="A2965" s="485"/>
      <c r="B2965" s="162"/>
      <c r="C2965" s="484"/>
    </row>
    <row r="2966">
      <c r="A2966" s="485"/>
      <c r="B2966" s="162"/>
      <c r="C2966" s="484"/>
    </row>
    <row r="2967">
      <c r="A2967" s="485"/>
      <c r="B2967" s="162"/>
      <c r="C2967" s="484"/>
    </row>
    <row r="2968">
      <c r="A2968" s="485"/>
      <c r="B2968" s="162"/>
      <c r="C2968" s="484"/>
    </row>
    <row r="2969">
      <c r="A2969" s="485"/>
      <c r="B2969" s="162"/>
      <c r="C2969" s="484"/>
    </row>
    <row r="2970">
      <c r="A2970" s="485"/>
      <c r="B2970" s="162"/>
      <c r="C2970" s="484"/>
    </row>
    <row r="2971">
      <c r="A2971" s="485"/>
      <c r="B2971" s="162"/>
      <c r="C2971" s="484"/>
    </row>
    <row r="2972">
      <c r="A2972" s="485"/>
      <c r="B2972" s="162"/>
      <c r="C2972" s="484"/>
    </row>
    <row r="2973">
      <c r="A2973" s="485"/>
      <c r="B2973" s="162"/>
      <c r="C2973" s="484"/>
    </row>
    <row r="2974">
      <c r="A2974" s="485"/>
      <c r="B2974" s="162"/>
      <c r="C2974" s="484"/>
    </row>
    <row r="2975">
      <c r="A2975" s="485"/>
      <c r="B2975" s="162"/>
      <c r="C2975" s="484"/>
    </row>
    <row r="2976">
      <c r="A2976" s="485"/>
      <c r="B2976" s="162"/>
      <c r="C2976" s="484"/>
    </row>
    <row r="2977">
      <c r="A2977" s="485"/>
      <c r="B2977" s="162"/>
      <c r="C2977" s="484"/>
    </row>
    <row r="2978">
      <c r="A2978" s="485"/>
      <c r="B2978" s="162"/>
      <c r="C2978" s="484"/>
    </row>
    <row r="2979">
      <c r="A2979" s="485"/>
      <c r="B2979" s="162"/>
      <c r="C2979" s="484"/>
    </row>
    <row r="2980">
      <c r="A2980" s="485"/>
      <c r="B2980" s="162"/>
      <c r="C2980" s="484"/>
    </row>
    <row r="2981">
      <c r="A2981" s="485"/>
      <c r="B2981" s="162"/>
      <c r="C2981" s="484"/>
    </row>
    <row r="2982">
      <c r="A2982" s="485"/>
      <c r="B2982" s="162"/>
      <c r="C2982" s="484"/>
    </row>
    <row r="2983">
      <c r="A2983" s="485"/>
      <c r="B2983" s="162"/>
      <c r="C2983" s="484"/>
    </row>
    <row r="2984">
      <c r="A2984" s="485"/>
      <c r="B2984" s="162"/>
      <c r="C2984" s="484"/>
    </row>
    <row r="2985">
      <c r="A2985" s="485"/>
      <c r="B2985" s="162"/>
      <c r="C2985" s="484"/>
    </row>
    <row r="2986">
      <c r="A2986" s="485"/>
      <c r="B2986" s="162"/>
      <c r="C2986" s="484"/>
    </row>
    <row r="2987">
      <c r="A2987" s="485"/>
      <c r="B2987" s="162"/>
      <c r="C2987" s="484"/>
    </row>
    <row r="2988">
      <c r="A2988" s="485"/>
      <c r="B2988" s="162"/>
      <c r="C2988" s="484"/>
    </row>
    <row r="2989">
      <c r="A2989" s="485"/>
      <c r="B2989" s="162"/>
      <c r="C2989" s="484"/>
    </row>
    <row r="2990">
      <c r="A2990" s="485"/>
      <c r="B2990" s="162"/>
      <c r="C2990" s="484"/>
    </row>
    <row r="2991">
      <c r="A2991" s="485"/>
      <c r="B2991" s="162"/>
      <c r="C2991" s="484"/>
    </row>
    <row r="2992">
      <c r="A2992" s="485"/>
      <c r="B2992" s="162"/>
      <c r="C2992" s="484"/>
    </row>
    <row r="2993">
      <c r="A2993" s="485"/>
      <c r="B2993" s="162"/>
      <c r="C2993" s="484"/>
    </row>
    <row r="2994">
      <c r="A2994" s="485"/>
      <c r="B2994" s="162"/>
      <c r="C2994" s="484"/>
    </row>
    <row r="2995">
      <c r="A2995" s="485"/>
      <c r="B2995" s="162"/>
      <c r="C2995" s="484"/>
    </row>
    <row r="2996">
      <c r="A2996" s="485"/>
      <c r="B2996" s="162"/>
      <c r="C2996" s="484"/>
    </row>
    <row r="2997">
      <c r="A2997" s="485"/>
      <c r="B2997" s="162"/>
      <c r="C2997" s="484"/>
    </row>
    <row r="2998">
      <c r="A2998" s="485"/>
      <c r="B2998" s="162"/>
      <c r="C2998" s="484"/>
    </row>
    <row r="2999">
      <c r="A2999" s="485"/>
      <c r="B2999" s="162"/>
      <c r="C2999" s="484"/>
    </row>
    <row r="3000">
      <c r="A3000" s="485"/>
      <c r="B3000" s="162"/>
      <c r="C3000" s="484"/>
    </row>
    <row r="3001">
      <c r="A3001" s="485"/>
      <c r="B3001" s="162"/>
      <c r="C3001" s="484"/>
    </row>
    <row r="3002">
      <c r="A3002" s="485"/>
      <c r="B3002" s="162"/>
      <c r="C3002" s="484"/>
    </row>
    <row r="3003">
      <c r="A3003" s="485"/>
      <c r="B3003" s="162"/>
      <c r="C3003" s="484"/>
    </row>
    <row r="3004">
      <c r="A3004" s="485"/>
      <c r="B3004" s="162"/>
      <c r="C3004" s="484"/>
    </row>
    <row r="3005">
      <c r="A3005" s="485"/>
      <c r="B3005" s="162"/>
      <c r="C3005" s="484"/>
    </row>
    <row r="3006">
      <c r="A3006" s="485"/>
      <c r="B3006" s="162"/>
      <c r="C3006" s="484"/>
    </row>
    <row r="3007">
      <c r="A3007" s="485"/>
      <c r="B3007" s="162"/>
      <c r="C3007" s="484"/>
    </row>
    <row r="3008">
      <c r="A3008" s="485"/>
      <c r="B3008" s="162"/>
      <c r="C3008" s="484"/>
    </row>
    <row r="3009">
      <c r="A3009" s="485"/>
      <c r="B3009" s="162"/>
      <c r="C3009" s="484"/>
    </row>
    <row r="3010">
      <c r="A3010" s="485"/>
      <c r="B3010" s="162"/>
      <c r="C3010" s="484"/>
    </row>
    <row r="3011">
      <c r="A3011" s="485"/>
      <c r="B3011" s="162"/>
      <c r="C3011" s="484"/>
    </row>
    <row r="3012">
      <c r="A3012" s="485"/>
      <c r="B3012" s="162"/>
      <c r="C3012" s="484"/>
    </row>
    <row r="3013">
      <c r="A3013" s="485"/>
      <c r="B3013" s="162"/>
      <c r="C3013" s="484"/>
    </row>
    <row r="3014">
      <c r="A3014" s="485"/>
      <c r="B3014" s="162"/>
      <c r="C3014" s="484"/>
    </row>
    <row r="3015">
      <c r="A3015" s="485"/>
      <c r="B3015" s="162"/>
      <c r="C3015" s="484"/>
    </row>
    <row r="3016">
      <c r="A3016" s="485"/>
      <c r="B3016" s="162"/>
      <c r="C3016" s="484"/>
    </row>
    <row r="3017">
      <c r="A3017" s="485"/>
      <c r="B3017" s="162"/>
      <c r="C3017" s="484"/>
    </row>
    <row r="3018">
      <c r="A3018" s="485"/>
      <c r="B3018" s="162"/>
      <c r="C3018" s="484"/>
    </row>
    <row r="3019">
      <c r="A3019" s="485"/>
      <c r="B3019" s="162"/>
      <c r="C3019" s="484"/>
    </row>
    <row r="3020">
      <c r="A3020" s="485"/>
      <c r="B3020" s="162"/>
      <c r="C3020" s="484"/>
    </row>
    <row r="3021">
      <c r="A3021" s="485"/>
      <c r="B3021" s="162"/>
      <c r="C3021" s="484"/>
    </row>
    <row r="3022">
      <c r="A3022" s="485"/>
      <c r="B3022" s="162"/>
      <c r="C3022" s="484"/>
    </row>
    <row r="3023">
      <c r="A3023" s="485"/>
      <c r="B3023" s="162"/>
      <c r="C3023" s="484"/>
    </row>
    <row r="3024">
      <c r="A3024" s="485"/>
      <c r="B3024" s="162"/>
      <c r="C3024" s="484"/>
    </row>
    <row r="3025">
      <c r="A3025" s="485"/>
      <c r="B3025" s="162"/>
      <c r="C3025" s="484"/>
    </row>
    <row r="3026">
      <c r="A3026" s="485"/>
      <c r="B3026" s="162"/>
      <c r="C3026" s="484"/>
    </row>
    <row r="3027">
      <c r="A3027" s="485"/>
      <c r="B3027" s="162"/>
      <c r="C3027" s="484"/>
    </row>
    <row r="3028">
      <c r="A3028" s="485"/>
      <c r="B3028" s="162"/>
      <c r="C3028" s="484"/>
    </row>
    <row r="3029">
      <c r="A3029" s="485"/>
      <c r="B3029" s="162"/>
      <c r="C3029" s="484"/>
    </row>
    <row r="3030">
      <c r="A3030" s="485"/>
      <c r="B3030" s="162"/>
      <c r="C3030" s="484"/>
    </row>
    <row r="3031">
      <c r="A3031" s="485"/>
      <c r="B3031" s="162"/>
      <c r="C3031" s="484"/>
    </row>
    <row r="3032">
      <c r="A3032" s="485"/>
      <c r="B3032" s="162"/>
      <c r="C3032" s="484"/>
    </row>
    <row r="3033">
      <c r="A3033" s="485"/>
      <c r="B3033" s="162"/>
      <c r="C3033" s="484"/>
    </row>
    <row r="3034">
      <c r="A3034" s="485"/>
      <c r="B3034" s="162"/>
      <c r="C3034" s="484"/>
    </row>
    <row r="3035">
      <c r="A3035" s="485"/>
      <c r="B3035" s="162"/>
      <c r="C3035" s="484"/>
    </row>
    <row r="3036">
      <c r="A3036" s="485"/>
      <c r="B3036" s="162"/>
      <c r="C3036" s="484"/>
    </row>
    <row r="3037">
      <c r="A3037" s="485"/>
      <c r="B3037" s="162"/>
      <c r="C3037" s="484"/>
    </row>
    <row r="3038">
      <c r="A3038" s="485"/>
      <c r="B3038" s="162"/>
      <c r="C3038" s="484"/>
    </row>
    <row r="3039">
      <c r="A3039" s="485"/>
      <c r="B3039" s="162"/>
      <c r="C3039" s="484"/>
    </row>
    <row r="3040">
      <c r="A3040" s="485"/>
      <c r="B3040" s="162"/>
      <c r="C3040" s="484"/>
    </row>
    <row r="3041">
      <c r="A3041" s="485"/>
      <c r="B3041" s="162"/>
      <c r="C3041" s="484"/>
    </row>
    <row r="3042">
      <c r="A3042" s="485"/>
      <c r="B3042" s="162"/>
      <c r="C3042" s="484"/>
    </row>
    <row r="3043">
      <c r="A3043" s="485"/>
      <c r="B3043" s="162"/>
      <c r="C3043" s="484"/>
    </row>
    <row r="3044">
      <c r="A3044" s="485"/>
      <c r="B3044" s="162"/>
      <c r="C3044" s="484"/>
    </row>
    <row r="3045">
      <c r="A3045" s="485"/>
      <c r="B3045" s="162"/>
      <c r="C3045" s="484"/>
    </row>
    <row r="3046">
      <c r="A3046" s="485"/>
      <c r="B3046" s="162"/>
      <c r="C3046" s="484"/>
    </row>
    <row r="3047">
      <c r="A3047" s="485"/>
      <c r="B3047" s="162"/>
      <c r="C3047" s="484"/>
    </row>
    <row r="3048">
      <c r="A3048" s="485"/>
      <c r="B3048" s="162"/>
      <c r="C3048" s="484"/>
    </row>
    <row r="3049">
      <c r="A3049" s="485"/>
      <c r="B3049" s="162"/>
      <c r="C3049" s="484"/>
    </row>
    <row r="3050">
      <c r="A3050" s="485"/>
      <c r="B3050" s="162"/>
      <c r="C3050" s="484"/>
    </row>
    <row r="3051">
      <c r="A3051" s="485"/>
      <c r="B3051" s="162"/>
      <c r="C3051" s="484"/>
    </row>
    <row r="3052">
      <c r="A3052" s="485"/>
      <c r="B3052" s="162"/>
      <c r="C3052" s="484"/>
    </row>
    <row r="3053">
      <c r="A3053" s="485"/>
      <c r="B3053" s="162"/>
      <c r="C3053" s="484"/>
    </row>
    <row r="3054">
      <c r="A3054" s="485"/>
      <c r="B3054" s="162"/>
      <c r="C3054" s="484"/>
    </row>
    <row r="3055">
      <c r="A3055" s="485"/>
      <c r="B3055" s="162"/>
      <c r="C3055" s="484"/>
    </row>
    <row r="3056">
      <c r="A3056" s="485"/>
      <c r="B3056" s="162"/>
      <c r="C3056" s="484"/>
    </row>
    <row r="3057">
      <c r="A3057" s="485"/>
      <c r="B3057" s="162"/>
      <c r="C3057" s="484"/>
    </row>
    <row r="3058">
      <c r="A3058" s="485"/>
      <c r="B3058" s="162"/>
      <c r="C3058" s="484"/>
    </row>
    <row r="3059">
      <c r="A3059" s="485"/>
      <c r="B3059" s="162"/>
      <c r="C3059" s="484"/>
    </row>
    <row r="3060">
      <c r="A3060" s="485"/>
      <c r="B3060" s="162"/>
      <c r="C3060" s="484"/>
    </row>
    <row r="3061">
      <c r="A3061" s="485"/>
      <c r="B3061" s="162"/>
      <c r="C3061" s="484"/>
    </row>
    <row r="3062">
      <c r="A3062" s="485"/>
      <c r="B3062" s="162"/>
      <c r="C3062" s="484"/>
    </row>
    <row r="3063">
      <c r="A3063" s="485"/>
      <c r="B3063" s="162"/>
      <c r="C3063" s="484"/>
    </row>
    <row r="3064">
      <c r="A3064" s="485"/>
      <c r="B3064" s="162"/>
      <c r="C3064" s="484"/>
    </row>
    <row r="3065">
      <c r="A3065" s="485"/>
      <c r="B3065" s="162"/>
      <c r="C3065" s="484"/>
    </row>
    <row r="3066">
      <c r="A3066" s="485"/>
      <c r="B3066" s="162"/>
      <c r="C3066" s="484"/>
    </row>
    <row r="3067">
      <c r="A3067" s="485"/>
      <c r="B3067" s="162"/>
      <c r="C3067" s="484"/>
    </row>
    <row r="3068">
      <c r="A3068" s="485"/>
      <c r="B3068" s="162"/>
      <c r="C3068" s="484"/>
    </row>
    <row r="3069">
      <c r="A3069" s="485"/>
      <c r="B3069" s="162"/>
      <c r="C3069" s="484"/>
    </row>
    <row r="3070">
      <c r="A3070" s="485"/>
      <c r="B3070" s="162"/>
      <c r="C3070" s="484"/>
    </row>
    <row r="3071">
      <c r="A3071" s="485"/>
      <c r="B3071" s="162"/>
      <c r="C3071" s="484"/>
    </row>
    <row r="3072">
      <c r="A3072" s="485"/>
      <c r="B3072" s="162"/>
      <c r="C3072" s="484"/>
    </row>
    <row r="3073">
      <c r="A3073" s="485"/>
      <c r="B3073" s="162"/>
      <c r="C3073" s="484"/>
    </row>
    <row r="3074">
      <c r="A3074" s="485"/>
      <c r="B3074" s="162"/>
      <c r="C3074" s="484"/>
    </row>
    <row r="3075">
      <c r="A3075" s="485"/>
      <c r="B3075" s="162"/>
      <c r="C3075" s="484"/>
    </row>
    <row r="3076">
      <c r="A3076" s="485"/>
      <c r="B3076" s="162"/>
      <c r="C3076" s="484"/>
    </row>
    <row r="3077">
      <c r="A3077" s="485"/>
      <c r="B3077" s="162"/>
      <c r="C3077" s="484"/>
    </row>
    <row r="3078">
      <c r="A3078" s="485"/>
      <c r="B3078" s="162"/>
      <c r="C3078" s="484"/>
    </row>
    <row r="3079">
      <c r="A3079" s="485"/>
      <c r="B3079" s="162"/>
      <c r="C3079" s="484"/>
    </row>
    <row r="3080">
      <c r="A3080" s="485"/>
      <c r="B3080" s="162"/>
      <c r="C3080" s="484"/>
    </row>
    <row r="3081">
      <c r="A3081" s="485"/>
      <c r="B3081" s="162"/>
      <c r="C3081" s="484"/>
    </row>
    <row r="3082">
      <c r="A3082" s="485"/>
      <c r="B3082" s="162"/>
      <c r="C3082" s="484"/>
    </row>
    <row r="3083">
      <c r="A3083" s="485"/>
      <c r="B3083" s="162"/>
      <c r="C3083" s="484"/>
    </row>
    <row r="3084">
      <c r="A3084" s="485"/>
      <c r="B3084" s="162"/>
      <c r="C3084" s="484"/>
    </row>
    <row r="3085">
      <c r="A3085" s="485"/>
      <c r="B3085" s="162"/>
      <c r="C3085" s="484"/>
    </row>
    <row r="3086">
      <c r="A3086" s="485"/>
      <c r="B3086" s="162"/>
      <c r="C3086" s="484"/>
    </row>
    <row r="3087">
      <c r="A3087" s="485"/>
      <c r="B3087" s="162"/>
      <c r="C3087" s="484"/>
    </row>
    <row r="3088">
      <c r="A3088" s="485"/>
      <c r="B3088" s="162"/>
      <c r="C3088" s="484"/>
    </row>
    <row r="3089">
      <c r="A3089" s="485"/>
      <c r="B3089" s="162"/>
      <c r="C3089" s="484"/>
    </row>
    <row r="3090">
      <c r="A3090" s="485"/>
      <c r="B3090" s="162"/>
      <c r="C3090" s="484"/>
    </row>
    <row r="3091">
      <c r="A3091" s="485"/>
      <c r="B3091" s="162"/>
      <c r="C3091" s="484"/>
    </row>
    <row r="3092">
      <c r="A3092" s="485"/>
      <c r="B3092" s="162"/>
      <c r="C3092" s="484"/>
    </row>
    <row r="3093">
      <c r="A3093" s="485"/>
      <c r="B3093" s="162"/>
      <c r="C3093" s="484"/>
    </row>
    <row r="3094">
      <c r="A3094" s="485"/>
      <c r="B3094" s="162"/>
      <c r="C3094" s="484"/>
    </row>
    <row r="3095">
      <c r="A3095" s="485"/>
      <c r="B3095" s="162"/>
      <c r="C3095" s="484"/>
    </row>
    <row r="3096">
      <c r="A3096" s="485"/>
      <c r="B3096" s="162"/>
      <c r="C3096" s="484"/>
    </row>
    <row r="3097">
      <c r="A3097" s="485"/>
      <c r="B3097" s="162"/>
      <c r="C3097" s="484"/>
    </row>
    <row r="3098">
      <c r="A3098" s="485"/>
      <c r="B3098" s="162"/>
      <c r="C3098" s="484"/>
    </row>
    <row r="3099">
      <c r="A3099" s="485"/>
      <c r="B3099" s="162"/>
      <c r="C3099" s="484"/>
    </row>
    <row r="3100">
      <c r="A3100" s="485"/>
      <c r="B3100" s="162"/>
      <c r="C3100" s="484"/>
    </row>
    <row r="3101">
      <c r="A3101" s="485"/>
      <c r="B3101" s="162"/>
      <c r="C3101" s="484"/>
    </row>
    <row r="3102">
      <c r="A3102" s="485"/>
      <c r="B3102" s="162"/>
      <c r="C3102" s="484"/>
    </row>
    <row r="3103">
      <c r="A3103" s="485"/>
      <c r="B3103" s="162"/>
      <c r="C3103" s="484"/>
    </row>
    <row r="3104">
      <c r="A3104" s="485"/>
      <c r="B3104" s="162"/>
      <c r="C3104" s="484"/>
    </row>
    <row r="3105">
      <c r="A3105" s="485"/>
      <c r="B3105" s="162"/>
      <c r="C3105" s="484"/>
    </row>
    <row r="3106">
      <c r="A3106" s="485"/>
      <c r="B3106" s="162"/>
      <c r="C3106" s="484"/>
    </row>
    <row r="3107">
      <c r="A3107" s="485"/>
      <c r="B3107" s="162"/>
      <c r="C3107" s="484"/>
    </row>
    <row r="3108">
      <c r="A3108" s="485"/>
      <c r="B3108" s="162"/>
      <c r="C3108" s="484"/>
    </row>
    <row r="3109">
      <c r="A3109" s="485"/>
      <c r="B3109" s="162"/>
      <c r="C3109" s="484"/>
    </row>
    <row r="3110">
      <c r="A3110" s="485"/>
      <c r="B3110" s="162"/>
      <c r="C3110" s="484"/>
    </row>
    <row r="3111">
      <c r="A3111" s="485"/>
      <c r="B3111" s="162"/>
      <c r="C3111" s="484"/>
    </row>
    <row r="3112">
      <c r="A3112" s="485"/>
      <c r="B3112" s="162"/>
      <c r="C3112" s="484"/>
    </row>
    <row r="3113">
      <c r="A3113" s="485"/>
      <c r="B3113" s="162"/>
      <c r="C3113" s="484"/>
    </row>
    <row r="3114">
      <c r="A3114" s="485"/>
      <c r="B3114" s="162"/>
      <c r="C3114" s="484"/>
    </row>
    <row r="3115">
      <c r="A3115" s="485"/>
      <c r="B3115" s="162"/>
      <c r="C3115" s="484"/>
    </row>
    <row r="3116">
      <c r="A3116" s="485"/>
      <c r="B3116" s="162"/>
      <c r="C3116" s="484"/>
    </row>
    <row r="3117">
      <c r="A3117" s="485"/>
      <c r="B3117" s="162"/>
      <c r="C3117" s="484"/>
    </row>
    <row r="3118">
      <c r="A3118" s="485"/>
      <c r="B3118" s="162"/>
      <c r="C3118" s="484"/>
    </row>
    <row r="3119">
      <c r="A3119" s="485"/>
      <c r="B3119" s="162"/>
      <c r="C3119" s="484"/>
    </row>
    <row r="3120">
      <c r="A3120" s="485"/>
      <c r="B3120" s="162"/>
      <c r="C3120" s="484"/>
    </row>
    <row r="3121">
      <c r="A3121" s="485"/>
      <c r="B3121" s="162"/>
      <c r="C3121" s="484"/>
    </row>
    <row r="3122">
      <c r="A3122" s="485"/>
      <c r="B3122" s="162"/>
      <c r="C3122" s="484"/>
    </row>
    <row r="3123">
      <c r="A3123" s="485"/>
      <c r="B3123" s="162"/>
      <c r="C3123" s="484"/>
    </row>
    <row r="3124">
      <c r="A3124" s="485"/>
      <c r="B3124" s="162"/>
      <c r="C3124" s="484"/>
    </row>
    <row r="3125">
      <c r="A3125" s="485"/>
      <c r="B3125" s="162"/>
      <c r="C3125" s="484"/>
    </row>
    <row r="3126">
      <c r="A3126" s="485"/>
      <c r="B3126" s="162"/>
      <c r="C3126" s="484"/>
    </row>
    <row r="3127">
      <c r="A3127" s="485"/>
      <c r="B3127" s="162"/>
      <c r="C3127" s="484"/>
    </row>
    <row r="3128">
      <c r="A3128" s="485"/>
      <c r="B3128" s="162"/>
      <c r="C3128" s="484"/>
    </row>
    <row r="3129">
      <c r="A3129" s="485"/>
      <c r="B3129" s="162"/>
      <c r="C3129" s="484"/>
    </row>
    <row r="3130">
      <c r="A3130" s="485"/>
      <c r="B3130" s="162"/>
      <c r="C3130" s="484"/>
    </row>
    <row r="3131">
      <c r="A3131" s="485"/>
      <c r="B3131" s="162"/>
      <c r="C3131" s="484"/>
    </row>
    <row r="3132">
      <c r="A3132" s="485"/>
      <c r="B3132" s="162"/>
      <c r="C3132" s="484"/>
    </row>
    <row r="3133">
      <c r="A3133" s="485"/>
      <c r="B3133" s="162"/>
      <c r="C3133" s="484"/>
    </row>
    <row r="3134">
      <c r="A3134" s="485"/>
      <c r="B3134" s="162"/>
      <c r="C3134" s="484"/>
    </row>
    <row r="3135">
      <c r="A3135" s="485"/>
      <c r="B3135" s="162"/>
      <c r="C3135" s="484"/>
    </row>
    <row r="3136">
      <c r="A3136" s="485"/>
      <c r="B3136" s="162"/>
      <c r="C3136" s="484"/>
    </row>
    <row r="3137">
      <c r="A3137" s="485"/>
      <c r="B3137" s="162"/>
      <c r="C3137" s="484"/>
    </row>
    <row r="3138">
      <c r="A3138" s="485"/>
      <c r="B3138" s="162"/>
      <c r="C3138" s="484"/>
    </row>
    <row r="3139">
      <c r="A3139" s="485"/>
      <c r="B3139" s="162"/>
      <c r="C3139" s="484"/>
    </row>
    <row r="3140">
      <c r="A3140" s="485"/>
      <c r="B3140" s="162"/>
      <c r="C3140" s="484"/>
    </row>
    <row r="3141">
      <c r="A3141" s="485"/>
      <c r="B3141" s="162"/>
      <c r="C3141" s="484"/>
    </row>
    <row r="3142">
      <c r="A3142" s="485"/>
      <c r="B3142" s="162"/>
      <c r="C3142" s="484"/>
    </row>
    <row r="3143">
      <c r="A3143" s="485"/>
      <c r="B3143" s="162"/>
      <c r="C3143" s="484"/>
    </row>
    <row r="3144">
      <c r="A3144" s="485"/>
      <c r="B3144" s="162"/>
      <c r="C3144" s="484"/>
    </row>
    <row r="3145">
      <c r="A3145" s="485"/>
      <c r="B3145" s="162"/>
      <c r="C3145" s="484"/>
    </row>
    <row r="3146">
      <c r="A3146" s="485"/>
      <c r="B3146" s="162"/>
      <c r="C3146" s="484"/>
    </row>
    <row r="3147">
      <c r="A3147" s="485"/>
      <c r="B3147" s="162"/>
      <c r="C3147" s="484"/>
    </row>
    <row r="3148">
      <c r="A3148" s="485"/>
      <c r="B3148" s="162"/>
      <c r="C3148" s="484"/>
    </row>
    <row r="3149">
      <c r="A3149" s="485"/>
      <c r="B3149" s="162"/>
      <c r="C3149" s="484"/>
    </row>
    <row r="3150">
      <c r="A3150" s="485"/>
      <c r="B3150" s="162"/>
      <c r="C3150" s="484"/>
    </row>
    <row r="3151">
      <c r="A3151" s="485"/>
      <c r="B3151" s="162"/>
      <c r="C3151" s="484"/>
    </row>
    <row r="3152">
      <c r="A3152" s="485"/>
      <c r="B3152" s="162"/>
      <c r="C3152" s="484"/>
    </row>
    <row r="3153">
      <c r="A3153" s="485"/>
      <c r="B3153" s="162"/>
      <c r="C3153" s="484"/>
    </row>
    <row r="3154">
      <c r="A3154" s="485"/>
      <c r="B3154" s="162"/>
      <c r="C3154" s="484"/>
    </row>
    <row r="3155">
      <c r="A3155" s="485"/>
      <c r="B3155" s="162"/>
      <c r="C3155" s="484"/>
    </row>
    <row r="3156">
      <c r="A3156" s="485"/>
      <c r="B3156" s="162"/>
      <c r="C3156" s="484"/>
    </row>
    <row r="3157">
      <c r="A3157" s="485"/>
      <c r="B3157" s="162"/>
      <c r="C3157" s="484"/>
    </row>
    <row r="3158">
      <c r="A3158" s="485"/>
      <c r="B3158" s="162"/>
      <c r="C3158" s="484"/>
    </row>
    <row r="3159">
      <c r="A3159" s="485"/>
      <c r="B3159" s="162"/>
      <c r="C3159" s="484"/>
    </row>
    <row r="3160">
      <c r="A3160" s="485"/>
      <c r="B3160" s="162"/>
      <c r="C3160" s="484"/>
    </row>
    <row r="3161">
      <c r="A3161" s="485"/>
      <c r="B3161" s="162"/>
      <c r="C3161" s="484"/>
    </row>
    <row r="3162">
      <c r="A3162" s="485"/>
      <c r="B3162" s="162"/>
      <c r="C3162" s="484"/>
    </row>
    <row r="3163">
      <c r="A3163" s="485"/>
      <c r="B3163" s="162"/>
      <c r="C3163" s="484"/>
    </row>
    <row r="3164">
      <c r="A3164" s="485"/>
      <c r="B3164" s="162"/>
      <c r="C3164" s="484"/>
    </row>
    <row r="3165">
      <c r="A3165" s="485"/>
      <c r="B3165" s="162"/>
      <c r="C3165" s="484"/>
    </row>
    <row r="3166">
      <c r="A3166" s="485"/>
      <c r="B3166" s="162"/>
      <c r="C3166" s="484"/>
    </row>
    <row r="3167">
      <c r="A3167" s="485"/>
      <c r="B3167" s="162"/>
      <c r="C3167" s="484"/>
    </row>
    <row r="3168">
      <c r="A3168" s="485"/>
      <c r="B3168" s="162"/>
      <c r="C3168" s="484"/>
    </row>
    <row r="3169">
      <c r="A3169" s="485"/>
      <c r="B3169" s="162"/>
      <c r="C3169" s="484"/>
    </row>
    <row r="3170">
      <c r="A3170" s="485"/>
      <c r="B3170" s="162"/>
      <c r="C3170" s="484"/>
    </row>
    <row r="3171">
      <c r="A3171" s="485"/>
      <c r="B3171" s="162"/>
      <c r="C3171" s="484"/>
    </row>
    <row r="3172">
      <c r="A3172" s="485"/>
      <c r="B3172" s="162"/>
      <c r="C3172" s="484"/>
    </row>
    <row r="3173">
      <c r="A3173" s="485"/>
      <c r="B3173" s="162"/>
      <c r="C3173" s="484"/>
    </row>
    <row r="3174">
      <c r="A3174" s="485"/>
      <c r="B3174" s="162"/>
      <c r="C3174" s="484"/>
    </row>
    <row r="3175">
      <c r="A3175" s="485"/>
      <c r="B3175" s="162"/>
      <c r="C3175" s="484"/>
    </row>
    <row r="3176">
      <c r="A3176" s="485"/>
      <c r="B3176" s="162"/>
      <c r="C3176" s="484"/>
    </row>
    <row r="3177">
      <c r="A3177" s="485"/>
      <c r="B3177" s="162"/>
      <c r="C3177" s="484"/>
    </row>
    <row r="3178">
      <c r="A3178" s="485"/>
      <c r="B3178" s="162"/>
      <c r="C3178" s="484"/>
    </row>
    <row r="3179">
      <c r="A3179" s="485"/>
      <c r="B3179" s="162"/>
      <c r="C3179" s="484"/>
    </row>
    <row r="3180">
      <c r="A3180" s="485"/>
      <c r="B3180" s="162"/>
      <c r="C3180" s="484"/>
    </row>
    <row r="3181">
      <c r="A3181" s="485"/>
      <c r="B3181" s="162"/>
      <c r="C3181" s="484"/>
    </row>
    <row r="3182">
      <c r="A3182" s="485"/>
      <c r="B3182" s="162"/>
      <c r="C3182" s="484"/>
    </row>
    <row r="3183">
      <c r="A3183" s="485"/>
      <c r="B3183" s="162"/>
      <c r="C3183" s="484"/>
    </row>
    <row r="3184">
      <c r="A3184" s="485"/>
      <c r="B3184" s="162"/>
      <c r="C3184" s="484"/>
    </row>
    <row r="3185">
      <c r="A3185" s="485"/>
      <c r="B3185" s="162"/>
      <c r="C3185" s="484"/>
    </row>
    <row r="3186">
      <c r="A3186" s="485"/>
      <c r="B3186" s="162"/>
      <c r="C3186" s="484"/>
    </row>
    <row r="3187">
      <c r="A3187" s="485"/>
      <c r="B3187" s="162"/>
      <c r="C3187" s="484"/>
    </row>
    <row r="3188">
      <c r="A3188" s="485"/>
      <c r="B3188" s="162"/>
      <c r="C3188" s="484"/>
    </row>
    <row r="3189">
      <c r="A3189" s="485"/>
      <c r="B3189" s="162"/>
      <c r="C3189" s="484"/>
    </row>
    <row r="3190">
      <c r="A3190" s="485"/>
      <c r="B3190" s="162"/>
      <c r="C3190" s="484"/>
    </row>
    <row r="3191">
      <c r="A3191" s="485"/>
      <c r="B3191" s="162"/>
      <c r="C3191" s="484"/>
    </row>
    <row r="3192">
      <c r="A3192" s="485"/>
      <c r="B3192" s="162"/>
      <c r="C3192" s="484"/>
    </row>
    <row r="3193">
      <c r="A3193" s="485"/>
      <c r="B3193" s="162"/>
      <c r="C3193" s="484"/>
    </row>
    <row r="3194">
      <c r="A3194" s="485"/>
      <c r="B3194" s="162"/>
      <c r="C3194" s="484"/>
    </row>
    <row r="3195">
      <c r="A3195" s="485"/>
      <c r="B3195" s="162"/>
      <c r="C3195" s="484"/>
    </row>
    <row r="3196">
      <c r="A3196" s="485"/>
      <c r="B3196" s="162"/>
      <c r="C3196" s="484"/>
    </row>
    <row r="3197">
      <c r="A3197" s="485"/>
      <c r="B3197" s="162"/>
      <c r="C3197" s="484"/>
    </row>
    <row r="3198">
      <c r="A3198" s="485"/>
      <c r="B3198" s="162"/>
      <c r="C3198" s="484"/>
    </row>
    <row r="3199">
      <c r="A3199" s="485"/>
      <c r="B3199" s="162"/>
      <c r="C3199" s="484"/>
    </row>
    <row r="3200">
      <c r="A3200" s="485"/>
      <c r="B3200" s="162"/>
      <c r="C3200" s="484"/>
    </row>
    <row r="3201">
      <c r="A3201" s="485"/>
      <c r="B3201" s="162"/>
      <c r="C3201" s="484"/>
    </row>
    <row r="3202">
      <c r="A3202" s="485"/>
      <c r="B3202" s="162"/>
      <c r="C3202" s="484"/>
    </row>
    <row r="3203">
      <c r="A3203" s="485"/>
      <c r="B3203" s="162"/>
      <c r="C3203" s="484"/>
    </row>
    <row r="3204">
      <c r="A3204" s="485"/>
      <c r="B3204" s="162"/>
      <c r="C3204" s="484"/>
    </row>
    <row r="3205">
      <c r="A3205" s="485"/>
      <c r="B3205" s="162"/>
      <c r="C3205" s="484"/>
    </row>
    <row r="3206">
      <c r="A3206" s="485"/>
      <c r="B3206" s="162"/>
      <c r="C3206" s="484"/>
    </row>
    <row r="3207">
      <c r="A3207" s="485"/>
      <c r="B3207" s="162"/>
      <c r="C3207" s="484"/>
    </row>
    <row r="3208">
      <c r="A3208" s="485"/>
      <c r="B3208" s="162"/>
      <c r="C3208" s="484"/>
    </row>
    <row r="3209">
      <c r="A3209" s="485"/>
      <c r="B3209" s="162"/>
      <c r="C3209" s="484"/>
    </row>
    <row r="3210">
      <c r="A3210" s="485"/>
      <c r="B3210" s="162"/>
      <c r="C3210" s="484"/>
    </row>
    <row r="3211">
      <c r="A3211" s="485"/>
      <c r="B3211" s="162"/>
      <c r="C3211" s="484"/>
    </row>
    <row r="3212">
      <c r="A3212" s="485"/>
      <c r="B3212" s="162"/>
      <c r="C3212" s="484"/>
    </row>
    <row r="3213">
      <c r="A3213" s="485"/>
      <c r="B3213" s="162"/>
      <c r="C3213" s="484"/>
    </row>
    <row r="3214">
      <c r="A3214" s="485"/>
      <c r="B3214" s="162"/>
      <c r="C3214" s="484"/>
    </row>
    <row r="3215">
      <c r="A3215" s="485"/>
      <c r="B3215" s="162"/>
      <c r="C3215" s="484"/>
    </row>
    <row r="3216">
      <c r="A3216" s="485"/>
      <c r="B3216" s="162"/>
      <c r="C3216" s="484"/>
    </row>
    <row r="3217">
      <c r="A3217" s="485"/>
      <c r="B3217" s="162"/>
      <c r="C3217" s="484"/>
    </row>
    <row r="3218">
      <c r="A3218" s="485"/>
      <c r="B3218" s="162"/>
      <c r="C3218" s="484"/>
    </row>
    <row r="3219">
      <c r="A3219" s="485"/>
      <c r="B3219" s="162"/>
      <c r="C3219" s="484"/>
    </row>
    <row r="3220">
      <c r="A3220" s="485"/>
      <c r="B3220" s="162"/>
      <c r="C3220" s="484"/>
    </row>
    <row r="3221">
      <c r="A3221" s="485"/>
      <c r="B3221" s="162"/>
      <c r="C3221" s="484"/>
    </row>
    <row r="3222">
      <c r="A3222" s="485"/>
      <c r="B3222" s="162"/>
      <c r="C3222" s="484"/>
    </row>
    <row r="3223">
      <c r="A3223" s="485"/>
      <c r="B3223" s="162"/>
      <c r="C3223" s="484"/>
    </row>
    <row r="3224">
      <c r="A3224" s="485"/>
      <c r="B3224" s="162"/>
      <c r="C3224" s="484"/>
    </row>
    <row r="3225">
      <c r="A3225" s="485"/>
      <c r="B3225" s="162"/>
      <c r="C3225" s="484"/>
    </row>
    <row r="3226">
      <c r="A3226" s="485"/>
      <c r="B3226" s="162"/>
      <c r="C3226" s="484"/>
    </row>
    <row r="3227">
      <c r="A3227" s="485"/>
      <c r="B3227" s="162"/>
      <c r="C3227" s="484"/>
    </row>
    <row r="3228">
      <c r="A3228" s="485"/>
      <c r="B3228" s="162"/>
      <c r="C3228" s="484"/>
    </row>
    <row r="3229">
      <c r="A3229" s="485"/>
      <c r="B3229" s="162"/>
      <c r="C3229" s="484"/>
    </row>
    <row r="3230">
      <c r="A3230" s="485"/>
      <c r="B3230" s="162"/>
      <c r="C3230" s="484"/>
    </row>
    <row r="3231">
      <c r="A3231" s="485"/>
      <c r="B3231" s="162"/>
      <c r="C3231" s="484"/>
    </row>
    <row r="3232">
      <c r="A3232" s="485"/>
      <c r="B3232" s="162"/>
      <c r="C3232" s="484"/>
    </row>
    <row r="3233">
      <c r="A3233" s="485"/>
      <c r="B3233" s="162"/>
      <c r="C3233" s="484"/>
    </row>
    <row r="3234">
      <c r="A3234" s="485"/>
      <c r="B3234" s="162"/>
      <c r="C3234" s="484"/>
    </row>
    <row r="3235">
      <c r="A3235" s="485"/>
      <c r="B3235" s="162"/>
      <c r="C3235" s="484"/>
    </row>
    <row r="3236">
      <c r="A3236" s="485"/>
      <c r="B3236" s="162"/>
      <c r="C3236" s="484"/>
    </row>
    <row r="3237">
      <c r="A3237" s="485"/>
      <c r="B3237" s="162"/>
      <c r="C3237" s="484"/>
    </row>
    <row r="3238">
      <c r="A3238" s="485"/>
      <c r="B3238" s="162"/>
      <c r="C3238" s="484"/>
    </row>
    <row r="3239">
      <c r="A3239" s="485"/>
      <c r="B3239" s="162"/>
      <c r="C3239" s="484"/>
    </row>
    <row r="3240">
      <c r="A3240" s="485"/>
      <c r="B3240" s="162"/>
      <c r="C3240" s="484"/>
    </row>
    <row r="3241">
      <c r="A3241" s="485"/>
      <c r="B3241" s="162"/>
      <c r="C3241" s="484"/>
    </row>
    <row r="3242">
      <c r="A3242" s="485"/>
      <c r="B3242" s="162"/>
      <c r="C3242" s="484"/>
    </row>
    <row r="3243">
      <c r="A3243" s="485"/>
      <c r="B3243" s="162"/>
      <c r="C3243" s="484"/>
    </row>
    <row r="3244">
      <c r="A3244" s="485"/>
      <c r="B3244" s="162"/>
      <c r="C3244" s="484"/>
    </row>
    <row r="3245">
      <c r="A3245" s="485"/>
      <c r="B3245" s="162"/>
      <c r="C3245" s="484"/>
    </row>
    <row r="3246">
      <c r="A3246" s="485"/>
      <c r="B3246" s="162"/>
      <c r="C3246" s="484"/>
    </row>
    <row r="3247">
      <c r="A3247" s="485"/>
      <c r="B3247" s="162"/>
      <c r="C3247" s="484"/>
    </row>
    <row r="3248">
      <c r="A3248" s="485"/>
      <c r="B3248" s="162"/>
      <c r="C3248" s="484"/>
    </row>
    <row r="3249">
      <c r="A3249" s="485"/>
      <c r="B3249" s="162"/>
      <c r="C3249" s="484"/>
    </row>
    <row r="3250">
      <c r="A3250" s="485"/>
      <c r="B3250" s="162"/>
      <c r="C3250" s="484"/>
    </row>
    <row r="3251">
      <c r="A3251" s="485"/>
      <c r="B3251" s="162"/>
      <c r="C3251" s="484"/>
    </row>
    <row r="3252">
      <c r="A3252" s="485"/>
      <c r="B3252" s="162"/>
      <c r="C3252" s="484"/>
    </row>
    <row r="3253">
      <c r="A3253" s="485"/>
      <c r="B3253" s="162"/>
      <c r="C3253" s="484"/>
    </row>
    <row r="3254">
      <c r="A3254" s="485"/>
      <c r="B3254" s="162"/>
      <c r="C3254" s="484"/>
    </row>
    <row r="3255">
      <c r="A3255" s="485"/>
      <c r="B3255" s="162"/>
      <c r="C3255" s="484"/>
    </row>
    <row r="3256">
      <c r="A3256" s="485"/>
      <c r="B3256" s="162"/>
      <c r="C3256" s="484"/>
    </row>
    <row r="3257">
      <c r="A3257" s="485"/>
      <c r="B3257" s="162"/>
      <c r="C3257" s="484"/>
    </row>
    <row r="3258">
      <c r="A3258" s="485"/>
      <c r="B3258" s="162"/>
      <c r="C3258" s="484"/>
    </row>
    <row r="3259">
      <c r="A3259" s="485"/>
      <c r="B3259" s="162"/>
      <c r="C3259" s="484"/>
    </row>
    <row r="3260">
      <c r="A3260" s="485"/>
      <c r="B3260" s="162"/>
      <c r="C3260" s="484"/>
    </row>
    <row r="3261">
      <c r="A3261" s="485"/>
      <c r="B3261" s="162"/>
      <c r="C3261" s="484"/>
    </row>
    <row r="3262">
      <c r="A3262" s="485"/>
      <c r="B3262" s="162"/>
      <c r="C3262" s="484"/>
    </row>
    <row r="3263">
      <c r="A3263" s="485"/>
      <c r="B3263" s="162"/>
      <c r="C3263" s="484"/>
    </row>
    <row r="3264">
      <c r="A3264" s="485"/>
      <c r="B3264" s="162"/>
      <c r="C3264" s="484"/>
    </row>
    <row r="3265">
      <c r="A3265" s="485"/>
      <c r="B3265" s="162"/>
      <c r="C3265" s="484"/>
    </row>
    <row r="3266">
      <c r="A3266" s="485"/>
      <c r="B3266" s="162"/>
      <c r="C3266" s="484"/>
    </row>
    <row r="3267">
      <c r="A3267" s="485"/>
      <c r="B3267" s="162"/>
      <c r="C3267" s="484"/>
    </row>
    <row r="3268">
      <c r="A3268" s="485"/>
      <c r="B3268" s="162"/>
      <c r="C3268" s="484"/>
    </row>
    <row r="3269">
      <c r="A3269" s="485"/>
      <c r="B3269" s="162"/>
      <c r="C3269" s="484"/>
    </row>
    <row r="3270">
      <c r="A3270" s="485"/>
      <c r="B3270" s="162"/>
      <c r="C3270" s="484"/>
    </row>
    <row r="3271">
      <c r="A3271" s="485"/>
      <c r="B3271" s="162"/>
      <c r="C3271" s="484"/>
    </row>
    <row r="3272">
      <c r="A3272" s="485"/>
      <c r="B3272" s="162"/>
      <c r="C3272" s="484"/>
    </row>
    <row r="3273">
      <c r="A3273" s="485"/>
      <c r="B3273" s="162"/>
      <c r="C3273" s="484"/>
    </row>
    <row r="3274">
      <c r="A3274" s="485"/>
      <c r="B3274" s="162"/>
      <c r="C3274" s="484"/>
    </row>
    <row r="3275">
      <c r="A3275" s="485"/>
      <c r="B3275" s="162"/>
      <c r="C3275" s="484"/>
    </row>
    <row r="3276">
      <c r="A3276" s="485"/>
      <c r="B3276" s="162"/>
      <c r="C3276" s="484"/>
    </row>
    <row r="3277">
      <c r="A3277" s="485"/>
      <c r="B3277" s="162"/>
      <c r="C3277" s="484"/>
    </row>
    <row r="3278">
      <c r="A3278" s="485"/>
      <c r="B3278" s="162"/>
      <c r="C3278" s="484"/>
    </row>
    <row r="3279">
      <c r="A3279" s="485"/>
      <c r="B3279" s="162"/>
      <c r="C3279" s="484"/>
    </row>
    <row r="3280">
      <c r="A3280" s="485"/>
      <c r="B3280" s="162"/>
      <c r="C3280" s="484"/>
    </row>
    <row r="3281">
      <c r="A3281" s="485"/>
      <c r="B3281" s="162"/>
      <c r="C3281" s="484"/>
    </row>
    <row r="3282">
      <c r="A3282" s="485"/>
      <c r="B3282" s="162"/>
      <c r="C3282" s="484"/>
    </row>
    <row r="3283">
      <c r="A3283" s="485"/>
      <c r="B3283" s="162"/>
      <c r="C3283" s="484"/>
    </row>
    <row r="3284">
      <c r="A3284" s="485"/>
      <c r="B3284" s="162"/>
      <c r="C3284" s="484"/>
    </row>
    <row r="3285">
      <c r="A3285" s="485"/>
      <c r="B3285" s="162"/>
      <c r="C3285" s="484"/>
    </row>
    <row r="3286">
      <c r="A3286" s="485"/>
      <c r="B3286" s="162"/>
      <c r="C3286" s="484"/>
    </row>
    <row r="3287">
      <c r="A3287" s="485"/>
      <c r="B3287" s="162"/>
      <c r="C3287" s="484"/>
    </row>
    <row r="3288">
      <c r="A3288" s="485"/>
      <c r="B3288" s="162"/>
      <c r="C3288" s="484"/>
    </row>
    <row r="3289">
      <c r="A3289" s="485"/>
      <c r="B3289" s="162"/>
      <c r="C3289" s="484"/>
    </row>
    <row r="3290">
      <c r="A3290" s="485"/>
      <c r="B3290" s="162"/>
      <c r="C3290" s="484"/>
    </row>
    <row r="3291">
      <c r="A3291" s="485"/>
      <c r="B3291" s="162"/>
      <c r="C3291" s="484"/>
    </row>
    <row r="3292">
      <c r="A3292" s="485"/>
      <c r="B3292" s="162"/>
      <c r="C3292" s="484"/>
    </row>
    <row r="3293">
      <c r="A3293" s="485"/>
      <c r="B3293" s="162"/>
      <c r="C3293" s="484"/>
    </row>
    <row r="3294">
      <c r="A3294" s="485"/>
      <c r="B3294" s="162"/>
      <c r="C3294" s="484"/>
    </row>
    <row r="3295">
      <c r="A3295" s="485"/>
      <c r="B3295" s="162"/>
      <c r="C3295" s="484"/>
    </row>
    <row r="3296">
      <c r="A3296" s="485"/>
      <c r="B3296" s="162"/>
      <c r="C3296" s="484"/>
    </row>
    <row r="3297">
      <c r="A3297" s="485"/>
      <c r="B3297" s="162"/>
      <c r="C3297" s="484"/>
    </row>
    <row r="3298">
      <c r="A3298" s="485"/>
      <c r="B3298" s="162"/>
      <c r="C3298" s="484"/>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75"/>
    <col customWidth="1" min="2" max="2" width="17.38"/>
    <col customWidth="1" min="3" max="3" width="8.25"/>
    <col customWidth="1" min="4" max="4" width="10.13"/>
    <col customWidth="1" min="5" max="5" width="9.25"/>
    <col customWidth="1" min="6" max="6" width="8.75"/>
    <col customWidth="1" min="7" max="7" width="7.75"/>
    <col customWidth="1" min="8" max="8" width="8.25"/>
    <col customWidth="1" min="9" max="9" width="8.13"/>
    <col customWidth="1" min="10" max="10" width="6.75"/>
    <col customWidth="1" min="11" max="11" width="12.38"/>
    <col customWidth="1" min="12" max="12" width="8.63"/>
    <col customWidth="1" min="13" max="13" width="8.0"/>
    <col customWidth="1" min="14" max="14" width="20.63"/>
    <col customWidth="1" min="15" max="16" width="8.88"/>
    <col customWidth="1" min="17" max="17" width="8.5"/>
    <col customWidth="1" hidden="1" min="18" max="18" width="8.75"/>
    <col customWidth="1" min="19" max="19" width="13.38"/>
    <col customWidth="1" min="20" max="20" width="15.38"/>
    <col customWidth="1" min="21" max="21" width="11.13"/>
    <col customWidth="1" min="22" max="22" width="9.75"/>
    <col customWidth="1" min="23" max="23" width="7.75"/>
    <col customWidth="1" min="24" max="24" width="10.63"/>
    <col customWidth="1" min="25" max="25" width="19.0"/>
    <col customWidth="1" min="26" max="26" width="16.13"/>
  </cols>
  <sheetData>
    <row r="1">
      <c r="A1" s="486" t="s">
        <v>593</v>
      </c>
      <c r="B1" s="486" t="s">
        <v>593</v>
      </c>
      <c r="C1" s="487" t="s">
        <v>594</v>
      </c>
      <c r="D1" s="486" t="s">
        <v>595</v>
      </c>
      <c r="E1" s="488" t="s">
        <v>6</v>
      </c>
      <c r="F1" s="488" t="s">
        <v>7</v>
      </c>
      <c r="G1" s="488" t="s">
        <v>8</v>
      </c>
      <c r="H1" s="489" t="s">
        <v>10</v>
      </c>
      <c r="I1" s="488" t="s">
        <v>9</v>
      </c>
      <c r="J1" s="490" t="s">
        <v>12</v>
      </c>
      <c r="K1" s="486" t="s">
        <v>2</v>
      </c>
      <c r="L1" s="486" t="s">
        <v>596</v>
      </c>
      <c r="M1" s="486" t="s">
        <v>559</v>
      </c>
      <c r="N1" s="491" t="s">
        <v>597</v>
      </c>
      <c r="O1" s="492" t="s">
        <v>598</v>
      </c>
      <c r="P1" s="492" t="s">
        <v>599</v>
      </c>
      <c r="Q1" s="493" t="s">
        <v>600</v>
      </c>
      <c r="R1" s="492" t="s">
        <v>601</v>
      </c>
      <c r="S1" s="494" t="s">
        <v>602</v>
      </c>
      <c r="T1" s="495" t="s">
        <v>15</v>
      </c>
      <c r="U1" s="496" t="s">
        <v>603</v>
      </c>
      <c r="V1" s="497" t="s">
        <v>604</v>
      </c>
      <c r="W1" s="498" t="s">
        <v>13</v>
      </c>
      <c r="X1" s="487" t="s">
        <v>605</v>
      </c>
      <c r="Y1" s="499" t="s">
        <v>606</v>
      </c>
      <c r="Z1" s="500" t="s">
        <v>607</v>
      </c>
    </row>
    <row r="2">
      <c r="A2" s="501"/>
      <c r="B2" s="502"/>
      <c r="C2" s="297"/>
      <c r="D2" s="503"/>
      <c r="E2" s="297"/>
      <c r="F2" s="297"/>
      <c r="G2" s="297"/>
      <c r="H2" s="428"/>
      <c r="I2" s="297"/>
      <c r="J2" s="297"/>
      <c r="K2" s="504"/>
      <c r="L2" s="505"/>
      <c r="M2" s="506"/>
      <c r="N2" s="297"/>
      <c r="O2" s="297"/>
      <c r="P2" s="297"/>
      <c r="Q2" s="297"/>
      <c r="R2" s="297"/>
      <c r="S2" s="507"/>
      <c r="T2" s="297"/>
      <c r="U2" s="421"/>
      <c r="V2" s="297"/>
      <c r="W2" s="297"/>
      <c r="X2" s="506"/>
      <c r="Y2" s="508"/>
      <c r="Z2" s="509"/>
    </row>
    <row r="3">
      <c r="A3" s="510" t="s">
        <v>1420</v>
      </c>
      <c r="B3" s="510"/>
      <c r="C3" s="421" t="s">
        <v>1421</v>
      </c>
      <c r="D3" s="421"/>
      <c r="E3" s="511"/>
      <c r="F3" s="512"/>
      <c r="G3" s="511"/>
      <c r="H3" s="511"/>
      <c r="I3" s="513"/>
      <c r="J3" s="513"/>
      <c r="K3" s="504" t="s">
        <v>18</v>
      </c>
      <c r="L3" s="506"/>
      <c r="M3" s="506"/>
      <c r="N3" s="348"/>
      <c r="O3" s="514"/>
      <c r="P3" s="515"/>
      <c r="Q3" s="516"/>
      <c r="R3" s="515"/>
      <c r="S3" s="507"/>
      <c r="T3" s="297"/>
      <c r="U3" s="421"/>
      <c r="V3" s="513"/>
      <c r="W3" s="513"/>
      <c r="X3" s="506"/>
      <c r="Y3" s="517"/>
      <c r="Z3" s="518"/>
    </row>
    <row r="4">
      <c r="A4" s="510" t="s">
        <v>1422</v>
      </c>
      <c r="B4" s="519"/>
      <c r="C4" s="421" t="s">
        <v>1423</v>
      </c>
      <c r="D4" s="421"/>
      <c r="E4" s="428"/>
      <c r="F4" s="428"/>
      <c r="G4" s="428"/>
      <c r="H4" s="297"/>
      <c r="I4" s="297"/>
      <c r="J4" s="297"/>
      <c r="K4" s="504" t="s">
        <v>113</v>
      </c>
      <c r="L4" s="506"/>
      <c r="M4" s="506"/>
      <c r="N4" s="520"/>
      <c r="O4" s="514"/>
      <c r="P4" s="515"/>
      <c r="Q4" s="521"/>
      <c r="R4" s="297"/>
      <c r="S4" s="507"/>
      <c r="T4" s="297"/>
      <c r="U4" s="421"/>
      <c r="V4" s="513"/>
      <c r="W4" s="513"/>
      <c r="X4" s="506"/>
      <c r="Y4" s="517"/>
      <c r="Z4" s="522"/>
    </row>
    <row r="5">
      <c r="A5" s="510" t="s">
        <v>1424</v>
      </c>
      <c r="B5" s="510"/>
      <c r="C5" s="421" t="s">
        <v>1425</v>
      </c>
      <c r="D5" s="421"/>
      <c r="E5" s="511"/>
      <c r="F5" s="511"/>
      <c r="G5" s="511"/>
      <c r="H5" s="511"/>
      <c r="I5" s="513"/>
      <c r="J5" s="513"/>
      <c r="K5" s="504" t="s">
        <v>113</v>
      </c>
      <c r="L5" s="506"/>
      <c r="M5" s="506"/>
      <c r="N5" s="520"/>
      <c r="O5" s="514"/>
      <c r="P5" s="515"/>
      <c r="Q5" s="516"/>
      <c r="R5" s="515"/>
      <c r="S5" s="507"/>
      <c r="T5" s="297"/>
      <c r="U5" s="421"/>
      <c r="V5" s="513"/>
      <c r="W5" s="513"/>
      <c r="X5" s="506"/>
      <c r="Y5" s="517"/>
      <c r="Z5" s="523"/>
    </row>
  </sheetData>
  <customSheetViews>
    <customSheetView guid="{2F959F2F-72EB-4DA6-AB1C-F617A64A2D8D}" filter="1" showAutoFilter="1">
      <autoFilter ref="$A$1:$Z$5">
        <filterColumn colId="19">
          <filters/>
        </filterColumn>
        <sortState ref="A1:Z5">
          <sortCondition ref="N1:N5"/>
        </sortState>
      </autoFilter>
    </customSheetView>
    <customSheetView guid="{92CB849E-9E26-4127-B869-65FAD240A74D}" filter="1" showAutoFilter="1">
      <autoFilter ref="$A$1:$Z$5">
        <filterColumn colId="25">
          <filters/>
        </filterColumn>
      </autoFilter>
    </customSheetView>
    <customSheetView guid="{011CCBF5-D684-4375-B0FA-10A09D14FC1C}" filter="1" showAutoFilter="1">
      <autoFilter ref="$A$1:$Z$5">
        <filterColumn colId="25">
          <filters/>
        </filterColumn>
      </autoFilter>
    </customSheetView>
  </customSheetViews>
  <conditionalFormatting sqref="K2:K5 S3:S5">
    <cfRule type="cellIs" dxfId="2" priority="1" operator="equal">
      <formula>"Live"</formula>
    </cfRule>
  </conditionalFormatting>
  <conditionalFormatting sqref="K2:K5 S3:S5">
    <cfRule type="cellIs" dxfId="3" priority="2" operator="equal">
      <formula>"Paused"</formula>
    </cfRule>
  </conditionalFormatting>
  <conditionalFormatting sqref="S1:S5">
    <cfRule type="cellIs" dxfId="4" priority="3" operator="equal">
      <formula>"Pre"</formula>
    </cfRule>
  </conditionalFormatting>
  <conditionalFormatting sqref="K2:K5 S3:S5">
    <cfRule type="cellIs" dxfId="5" priority="4" operator="equal">
      <formula>"Closed"</formula>
    </cfRule>
  </conditionalFormatting>
  <conditionalFormatting sqref="K2:K5 S3:S5">
    <cfRule type="cellIs" dxfId="7" priority="5" operator="equal">
      <formula>"Canceled"</formula>
    </cfRule>
  </conditionalFormatting>
  <conditionalFormatting sqref="U1:U5">
    <cfRule type="containsText" dxfId="7" priority="6" operator="containsText" text="NO">
      <formula>NOT(ISERROR(SEARCH(("NO"),(U1))))</formula>
    </cfRule>
  </conditionalFormatting>
  <conditionalFormatting sqref="U1:U5">
    <cfRule type="containsText" dxfId="9" priority="7" operator="containsText" text="YES">
      <formula>NOT(ISERROR(SEARCH(("YES"),(U1))))</formula>
    </cfRule>
  </conditionalFormatting>
  <conditionalFormatting sqref="S1:S5">
    <cfRule type="containsText" dxfId="10" priority="8" operator="containsText" text="Underpacing">
      <formula>NOT(ISERROR(SEARCH(("Underpacing"),(S1))))</formula>
    </cfRule>
  </conditionalFormatting>
  <conditionalFormatting sqref="S1:S5">
    <cfRule type="containsText" dxfId="9" priority="9" operator="containsText" text="On track">
      <formula>NOT(ISERROR(SEARCH(("On track"),(S1))))</formula>
    </cfRule>
  </conditionalFormatting>
  <conditionalFormatting sqref="U1:U5">
    <cfRule type="containsText" dxfId="3" priority="10" operator="containsText" text="PARTIAL">
      <formula>NOT(ISERROR(SEARCH(("PARTIAL"),(U1))))</formula>
    </cfRule>
  </conditionalFormatting>
  <conditionalFormatting sqref="W1:W5">
    <cfRule type="cellIs" dxfId="11" priority="11" operator="greaterThan">
      <formula>0</formula>
    </cfRule>
  </conditionalFormatting>
  <conditionalFormatting sqref="H1:H5">
    <cfRule type="cellIs" dxfId="6" priority="12" operator="greaterThan">
      <formula>0</formula>
    </cfRule>
  </conditionalFormatting>
  <conditionalFormatting sqref="K3:K5 S3:S5">
    <cfRule type="cellIs" dxfId="12" priority="13" operator="equal">
      <formula>"Pre"</formula>
    </cfRule>
  </conditionalFormatting>
  <conditionalFormatting sqref="M2:M5 L3:L5">
    <cfRule type="expression" dxfId="1" priority="14">
      <formula>AND(NOT(ISDATE(M2)),M2&lt;&gt;"")</formula>
    </cfRule>
  </conditionalFormatting>
  <conditionalFormatting sqref="L2:L5">
    <cfRule type="expression" dxfId="1" priority="15">
      <formula>AND(NOT(ISDATE(L2)),L2&lt;&gt;"")</formula>
    </cfRule>
  </conditionalFormatting>
  <dataValidations>
    <dataValidation type="list" allowBlank="1" sqref="K2:K5">
      <formula1>"Live,Paused,Closed,Pre,Canceled"</formula1>
    </dataValidation>
    <dataValidation type="list" allowBlank="1" sqref="U2:U5">
      <formula1>"YES,PARTIAL,NO"</formula1>
    </dataValidation>
    <dataValidation type="list" allowBlank="1" sqref="T2">
      <formula1>"Email Marketing,Appointment Setting,BANT,CALL Back,Soft BANT,MQL,SQL,Webinar"</formula1>
    </dataValidation>
    <dataValidation type="list" allowBlank="1" sqref="S3:S5">
      <formula1>"On track,Underpacing,N/A,PRE,Paused,Closed"</formula1>
    </dataValidation>
    <dataValidation type="list" allowBlank="1" sqref="T3:T5">
      <formula1>"Email Marketing,Appointment Setting,BANT,CALL Back,Soft BANT,MQL,Custom Questions,Webinar,Survey,WP,LIVE EVENT"</formula1>
    </dataValidation>
  </dataValidation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
    <col customWidth="1" min="2" max="2" width="68.75"/>
  </cols>
  <sheetData>
    <row r="1">
      <c r="A1" s="273"/>
      <c r="B1" s="524"/>
      <c r="C1" s="273"/>
      <c r="D1" s="273"/>
      <c r="E1" s="273"/>
      <c r="F1" s="273"/>
      <c r="G1" s="273"/>
      <c r="H1" s="273"/>
    </row>
    <row r="2">
      <c r="A2" s="273"/>
      <c r="B2" s="525" t="s">
        <v>1426</v>
      </c>
      <c r="C2" s="273"/>
      <c r="D2" s="273"/>
      <c r="E2" s="526"/>
      <c r="F2" s="273"/>
      <c r="G2" s="273"/>
      <c r="H2" s="273"/>
    </row>
    <row r="3">
      <c r="A3" s="239" t="s">
        <v>1427</v>
      </c>
      <c r="B3" s="527" t="s">
        <v>1428</v>
      </c>
      <c r="C3" s="273"/>
      <c r="D3" s="273"/>
      <c r="F3" s="273"/>
      <c r="G3" s="273"/>
      <c r="H3" s="273"/>
    </row>
    <row r="4">
      <c r="A4" s="239" t="s">
        <v>1429</v>
      </c>
      <c r="B4" s="527" t="s">
        <v>1430</v>
      </c>
      <c r="C4" s="273"/>
      <c r="D4" s="273"/>
      <c r="F4" s="273"/>
      <c r="G4" s="273"/>
      <c r="H4" s="273"/>
    </row>
    <row r="5">
      <c r="A5" s="239" t="s">
        <v>1431</v>
      </c>
      <c r="B5" s="527" t="s">
        <v>1432</v>
      </c>
      <c r="C5" s="273"/>
      <c r="D5" s="273"/>
      <c r="E5" s="273"/>
      <c r="F5" s="273"/>
      <c r="G5" s="273"/>
      <c r="H5" s="273"/>
    </row>
    <row r="6">
      <c r="A6" s="239" t="s">
        <v>1433</v>
      </c>
      <c r="B6" s="527" t="s">
        <v>1434</v>
      </c>
      <c r="C6" s="273"/>
      <c r="D6" s="273"/>
      <c r="E6" s="273"/>
      <c r="F6" s="273"/>
      <c r="G6" s="273"/>
      <c r="H6" s="273"/>
    </row>
    <row r="7">
      <c r="A7" s="239" t="s">
        <v>1435</v>
      </c>
      <c r="B7" s="527" t="s">
        <v>1436</v>
      </c>
      <c r="C7" s="273"/>
      <c r="D7" s="273"/>
      <c r="E7" s="273"/>
      <c r="F7" s="273"/>
      <c r="G7" s="273"/>
      <c r="H7" s="273"/>
    </row>
    <row r="8">
      <c r="A8" s="239" t="s">
        <v>1437</v>
      </c>
      <c r="B8" s="527" t="s">
        <v>1438</v>
      </c>
      <c r="C8" s="273"/>
      <c r="D8" s="273"/>
      <c r="E8" s="273"/>
      <c r="F8" s="273"/>
      <c r="G8" s="273"/>
      <c r="H8" s="273"/>
    </row>
    <row r="9">
      <c r="A9" s="273"/>
      <c r="B9" s="524"/>
      <c r="C9" s="273"/>
      <c r="D9" s="273"/>
      <c r="E9" s="273"/>
      <c r="F9" s="273"/>
      <c r="G9" s="273"/>
      <c r="H9" s="273"/>
    </row>
    <row r="10">
      <c r="A10" s="273"/>
      <c r="B10" s="525" t="s">
        <v>1439</v>
      </c>
      <c r="C10" s="273"/>
      <c r="D10" s="273"/>
      <c r="E10" s="273"/>
      <c r="F10" s="273"/>
      <c r="G10" s="273"/>
      <c r="H10" s="273"/>
    </row>
    <row r="11">
      <c r="A11" s="273"/>
      <c r="B11" s="527" t="s">
        <v>1440</v>
      </c>
      <c r="C11" s="239" t="s">
        <v>1441</v>
      </c>
      <c r="D11" s="273"/>
      <c r="E11" s="273"/>
      <c r="F11" s="273"/>
      <c r="G11" s="273"/>
      <c r="H11" s="273"/>
    </row>
    <row r="12">
      <c r="A12" s="273"/>
      <c r="B12" s="527" t="s">
        <v>1442</v>
      </c>
      <c r="C12" s="273"/>
      <c r="D12" s="273"/>
      <c r="E12" s="273"/>
      <c r="F12" s="273"/>
      <c r="G12" s="273"/>
      <c r="H12" s="273"/>
    </row>
    <row r="13">
      <c r="A13" s="273"/>
      <c r="B13" s="527" t="s">
        <v>1443</v>
      </c>
      <c r="C13" s="273"/>
      <c r="D13" s="273"/>
      <c r="E13" s="273"/>
      <c r="F13" s="273"/>
      <c r="G13" s="273"/>
      <c r="H13" s="273"/>
    </row>
    <row r="14">
      <c r="A14" s="273"/>
      <c r="B14" s="527" t="s">
        <v>1444</v>
      </c>
      <c r="C14" s="273"/>
      <c r="D14" s="273"/>
      <c r="E14" s="273"/>
      <c r="F14" s="273"/>
      <c r="G14" s="273"/>
      <c r="H14" s="273"/>
    </row>
    <row r="15">
      <c r="A15" s="273"/>
      <c r="B15" s="524"/>
      <c r="C15" s="273"/>
      <c r="D15" s="273"/>
      <c r="E15" s="273"/>
      <c r="F15" s="273"/>
      <c r="G15" s="273"/>
      <c r="H15" s="273"/>
    </row>
    <row r="16">
      <c r="A16" s="273"/>
      <c r="B16" s="525" t="s">
        <v>1445</v>
      </c>
      <c r="C16" s="273"/>
      <c r="D16" s="273"/>
      <c r="E16" s="273"/>
      <c r="F16" s="273"/>
      <c r="G16" s="273"/>
      <c r="H16" s="273"/>
    </row>
    <row r="17">
      <c r="A17" s="273"/>
      <c r="B17" s="527" t="s">
        <v>1446</v>
      </c>
      <c r="C17" s="273"/>
      <c r="D17" s="273"/>
      <c r="E17" s="273"/>
      <c r="F17" s="273"/>
      <c r="G17" s="273"/>
      <c r="H17" s="273"/>
    </row>
    <row r="18">
      <c r="A18" s="273"/>
      <c r="B18" s="527" t="s">
        <v>1447</v>
      </c>
      <c r="C18" s="273"/>
      <c r="D18" s="273"/>
      <c r="E18" s="273"/>
      <c r="F18" s="273"/>
      <c r="G18" s="273"/>
      <c r="H18" s="273"/>
    </row>
    <row r="19">
      <c r="A19" s="273"/>
      <c r="B19" s="527" t="s">
        <v>1448</v>
      </c>
      <c r="C19" s="273"/>
      <c r="D19" s="273"/>
      <c r="E19" s="273"/>
      <c r="F19" s="273"/>
      <c r="G19" s="273"/>
      <c r="H19" s="273"/>
    </row>
    <row r="20">
      <c r="A20" s="273"/>
      <c r="B20" s="527" t="s">
        <v>1449</v>
      </c>
      <c r="C20" s="273"/>
      <c r="D20" s="273"/>
      <c r="E20" s="273"/>
      <c r="F20" s="273"/>
      <c r="G20" s="273"/>
      <c r="H20" s="273"/>
    </row>
    <row r="21">
      <c r="A21" s="273"/>
      <c r="B21" s="527" t="s">
        <v>1450</v>
      </c>
      <c r="C21" s="273"/>
      <c r="D21" s="273"/>
      <c r="E21" s="528"/>
      <c r="F21" s="273"/>
      <c r="G21" s="273"/>
      <c r="H21" s="273"/>
    </row>
    <row r="22">
      <c r="A22" s="273"/>
      <c r="B22" s="527" t="s">
        <v>1451</v>
      </c>
      <c r="C22" s="273"/>
      <c r="D22" s="273"/>
      <c r="E22" s="273"/>
      <c r="F22" s="273"/>
      <c r="G22" s="273"/>
      <c r="H22" s="273"/>
    </row>
    <row r="23">
      <c r="A23" s="273"/>
      <c r="B23" s="524"/>
      <c r="C23" s="273"/>
      <c r="D23" s="273"/>
      <c r="E23" s="273"/>
      <c r="F23" s="273"/>
      <c r="G23" s="273"/>
      <c r="H23" s="273"/>
    </row>
    <row r="24">
      <c r="A24" s="273"/>
      <c r="B24" s="525"/>
      <c r="C24" s="273"/>
      <c r="D24" s="273"/>
      <c r="E24" s="273"/>
      <c r="F24" s="273"/>
      <c r="G24" s="273"/>
      <c r="H24" s="273"/>
    </row>
    <row r="25">
      <c r="A25" s="273"/>
      <c r="B25" s="527"/>
      <c r="C25" s="273"/>
      <c r="D25" s="273"/>
      <c r="E25" s="273"/>
      <c r="F25" s="273"/>
      <c r="G25" s="273"/>
      <c r="H25" s="273"/>
    </row>
    <row r="26">
      <c r="A26" s="273"/>
      <c r="B26" s="524"/>
      <c r="C26" s="273"/>
      <c r="D26" s="273"/>
      <c r="E26" s="529"/>
      <c r="F26" s="273"/>
      <c r="G26" s="530"/>
      <c r="H26" s="273"/>
    </row>
    <row r="27">
      <c r="A27" s="273"/>
      <c r="B27" s="525"/>
      <c r="C27" s="273"/>
      <c r="D27" s="273"/>
      <c r="E27" s="529"/>
      <c r="F27" s="273"/>
      <c r="G27" s="530"/>
      <c r="H27" s="273"/>
    </row>
    <row r="28">
      <c r="A28" s="273"/>
      <c r="B28" s="527"/>
      <c r="C28" s="273"/>
      <c r="D28" s="273"/>
      <c r="E28" s="529"/>
      <c r="F28" s="273"/>
      <c r="G28" s="530"/>
      <c r="H28" s="273"/>
    </row>
    <row r="29">
      <c r="A29" s="273"/>
      <c r="B29" s="524"/>
      <c r="C29" s="273"/>
      <c r="D29" s="273"/>
      <c r="E29" s="273"/>
      <c r="F29" s="273"/>
      <c r="G29" s="530"/>
      <c r="H29" s="273"/>
    </row>
    <row r="30">
      <c r="A30" s="273"/>
      <c r="B30" s="524"/>
      <c r="C30" s="114"/>
      <c r="D30" s="531"/>
      <c r="E30" s="184"/>
      <c r="F30" s="273"/>
      <c r="G30" s="530"/>
      <c r="H30" s="273"/>
    </row>
    <row r="31">
      <c r="A31" s="273"/>
      <c r="B31" s="524"/>
      <c r="C31" s="114"/>
      <c r="D31" s="531"/>
      <c r="E31" s="184"/>
      <c r="F31" s="273"/>
      <c r="G31" s="273"/>
      <c r="H31" s="273"/>
    </row>
    <row r="32">
      <c r="A32" s="273"/>
      <c r="B32" s="524"/>
      <c r="C32" s="532"/>
      <c r="D32" s="533"/>
      <c r="E32" s="184"/>
      <c r="F32" s="273"/>
      <c r="G32" s="273"/>
      <c r="H32" s="273"/>
    </row>
    <row r="33">
      <c r="A33" s="273"/>
      <c r="B33" s="524"/>
      <c r="C33" s="162"/>
      <c r="D33" s="534"/>
      <c r="E33" s="184"/>
      <c r="F33" s="273"/>
      <c r="G33" s="273"/>
      <c r="H33" s="273"/>
    </row>
    <row r="34">
      <c r="A34" s="273"/>
      <c r="B34" s="524"/>
      <c r="C34" s="189"/>
      <c r="D34" s="535"/>
      <c r="E34" s="184"/>
      <c r="F34" s="273"/>
      <c r="G34" s="273"/>
      <c r="H34" s="273"/>
    </row>
    <row r="35">
      <c r="A35" s="273"/>
      <c r="B35" s="524"/>
      <c r="C35" s="114"/>
      <c r="D35" s="536"/>
      <c r="E35" s="184"/>
      <c r="F35" s="273"/>
      <c r="G35" s="273"/>
      <c r="H35" s="273"/>
    </row>
    <row r="36">
      <c r="A36" s="273"/>
      <c r="B36" s="524"/>
      <c r="C36" s="193"/>
      <c r="D36" s="537"/>
      <c r="E36" s="184"/>
      <c r="F36" s="273"/>
      <c r="G36" s="273"/>
      <c r="H36" s="273"/>
    </row>
    <row r="37">
      <c r="A37" s="273"/>
      <c r="B37" s="524"/>
      <c r="C37" s="193"/>
      <c r="D37" s="537"/>
      <c r="E37" s="184"/>
      <c r="F37" s="273"/>
      <c r="G37" s="273"/>
      <c r="H37" s="273"/>
    </row>
    <row r="38">
      <c r="A38" s="273"/>
      <c r="B38" s="524"/>
      <c r="C38" s="193"/>
      <c r="D38" s="538"/>
      <c r="E38" s="184"/>
      <c r="F38" s="273"/>
      <c r="G38" s="273"/>
      <c r="H38" s="273"/>
    </row>
    <row r="39">
      <c r="A39" s="273"/>
      <c r="B39" s="524"/>
      <c r="C39" s="114"/>
      <c r="D39" s="539"/>
      <c r="E39" s="184"/>
      <c r="F39" s="273"/>
      <c r="G39" s="273"/>
      <c r="H39" s="273"/>
    </row>
    <row r="40">
      <c r="A40" s="273"/>
      <c r="B40" s="524"/>
      <c r="C40" s="131"/>
      <c r="D40" s="540"/>
      <c r="E40" s="184"/>
      <c r="F40" s="273"/>
      <c r="G40" s="273"/>
      <c r="H40" s="273"/>
    </row>
    <row r="41">
      <c r="A41" s="273"/>
      <c r="B41" s="524"/>
      <c r="C41" s="162"/>
      <c r="D41" s="534"/>
      <c r="E41" s="184"/>
      <c r="F41" s="273"/>
      <c r="G41" s="273"/>
      <c r="H41" s="273"/>
    </row>
    <row r="42">
      <c r="A42" s="273"/>
      <c r="B42" s="524"/>
      <c r="C42" s="162"/>
      <c r="D42" s="541"/>
      <c r="E42" s="184"/>
      <c r="F42" s="273"/>
      <c r="G42" s="273"/>
      <c r="H42" s="273"/>
    </row>
    <row r="43">
      <c r="A43" s="273"/>
      <c r="B43" s="524"/>
      <c r="C43" s="542"/>
      <c r="D43" s="537"/>
      <c r="E43" s="184"/>
      <c r="F43" s="273"/>
      <c r="G43" s="273"/>
      <c r="H43" s="273"/>
    </row>
    <row r="44">
      <c r="A44" s="273"/>
      <c r="B44" s="524"/>
      <c r="C44" s="193"/>
      <c r="D44" s="543"/>
      <c r="E44" s="184"/>
      <c r="F44" s="273"/>
      <c r="G44" s="273"/>
      <c r="H44" s="273"/>
    </row>
    <row r="45">
      <c r="A45" s="273"/>
      <c r="B45" s="524"/>
      <c r="C45" s="162"/>
      <c r="D45" s="534"/>
      <c r="E45" s="184"/>
      <c r="F45" s="273"/>
      <c r="G45" s="273"/>
      <c r="H45" s="273"/>
    </row>
    <row r="46">
      <c r="A46" s="273"/>
      <c r="B46" s="524"/>
      <c r="C46" s="162"/>
      <c r="D46" s="534"/>
      <c r="E46" s="184"/>
      <c r="F46" s="273"/>
      <c r="G46" s="273"/>
      <c r="H46" s="273"/>
    </row>
    <row r="47">
      <c r="A47" s="273"/>
      <c r="B47" s="524"/>
      <c r="C47" s="193"/>
      <c r="D47" s="543"/>
      <c r="E47" s="184"/>
      <c r="F47" s="273"/>
      <c r="G47" s="273"/>
      <c r="H47" s="273"/>
    </row>
    <row r="48">
      <c r="A48" s="273"/>
      <c r="B48" s="524"/>
      <c r="C48" s="193"/>
      <c r="D48" s="307"/>
      <c r="E48" s="297"/>
      <c r="F48" s="273"/>
      <c r="G48" s="273"/>
      <c r="H48" s="273"/>
    </row>
    <row r="49">
      <c r="A49" s="273"/>
      <c r="B49" s="524"/>
      <c r="C49" s="193"/>
      <c r="D49" s="544"/>
      <c r="E49" s="184"/>
      <c r="F49" s="273"/>
      <c r="G49" s="273"/>
      <c r="H49" s="273"/>
    </row>
    <row r="50">
      <c r="A50" s="273"/>
      <c r="B50" s="524"/>
      <c r="C50" s="114"/>
      <c r="D50" s="539"/>
      <c r="E50" s="184"/>
      <c r="F50" s="273"/>
      <c r="G50" s="273"/>
      <c r="H50" s="273"/>
    </row>
  </sheetData>
  <conditionalFormatting sqref="D30:D50">
    <cfRule type="expression" dxfId="0" priority="1">
      <formula>countif(D:D,D30)&gt;1</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7.38"/>
    <col customWidth="1" min="3" max="3" width="30.5"/>
  </cols>
  <sheetData>
    <row r="1">
      <c r="A1" s="162" t="s">
        <v>1452</v>
      </c>
      <c r="B1" s="162" t="s">
        <v>3</v>
      </c>
      <c r="C1" s="162" t="s">
        <v>1453</v>
      </c>
    </row>
    <row r="2">
      <c r="A2" s="162" t="s">
        <v>16</v>
      </c>
      <c r="B2" s="162" t="s">
        <v>19</v>
      </c>
      <c r="C2" s="336">
        <v>45341.0</v>
      </c>
    </row>
    <row r="3">
      <c r="A3" s="162" t="s">
        <v>16</v>
      </c>
      <c r="B3" s="162" t="s">
        <v>19</v>
      </c>
      <c r="C3" s="336">
        <v>45342.0</v>
      </c>
    </row>
    <row r="4">
      <c r="A4" s="162" t="s">
        <v>16</v>
      </c>
      <c r="B4" s="162" t="s">
        <v>19</v>
      </c>
      <c r="C4" s="336">
        <v>45344.0</v>
      </c>
    </row>
    <row r="5">
      <c r="A5" s="162" t="s">
        <v>16</v>
      </c>
      <c r="B5" s="162" t="s">
        <v>19</v>
      </c>
      <c r="C5" s="336">
        <v>45345.0</v>
      </c>
    </row>
    <row r="6">
      <c r="A6" s="162" t="s">
        <v>16</v>
      </c>
      <c r="B6" s="162" t="s">
        <v>19</v>
      </c>
      <c r="C6" s="336">
        <v>45355.0</v>
      </c>
    </row>
    <row r="7">
      <c r="A7" s="162" t="s">
        <v>16</v>
      </c>
      <c r="B7" s="162" t="s">
        <v>19</v>
      </c>
      <c r="C7" s="336">
        <v>45355.0</v>
      </c>
    </row>
    <row r="8">
      <c r="A8" s="162" t="s">
        <v>16</v>
      </c>
      <c r="B8" s="162" t="s">
        <v>19</v>
      </c>
      <c r="C8" s="336">
        <v>45356.0</v>
      </c>
    </row>
    <row r="9">
      <c r="A9" s="162" t="s">
        <v>568</v>
      </c>
      <c r="B9" s="162" t="s">
        <v>19</v>
      </c>
      <c r="C9" s="336">
        <v>45349.0</v>
      </c>
    </row>
    <row r="10">
      <c r="A10" s="162" t="s">
        <v>568</v>
      </c>
      <c r="B10" s="162" t="s">
        <v>19</v>
      </c>
      <c r="C10" s="336">
        <v>45352.0</v>
      </c>
    </row>
    <row r="11">
      <c r="A11" s="162" t="s">
        <v>568</v>
      </c>
      <c r="B11" s="162" t="s">
        <v>19</v>
      </c>
      <c r="C11" s="336">
        <v>45359.0</v>
      </c>
    </row>
    <row r="12">
      <c r="A12" s="162" t="s">
        <v>1454</v>
      </c>
      <c r="B12" s="162" t="s">
        <v>19</v>
      </c>
      <c r="C12" s="336">
        <v>45355.0</v>
      </c>
    </row>
    <row r="13">
      <c r="A13" s="162" t="s">
        <v>1454</v>
      </c>
      <c r="B13" s="162" t="s">
        <v>19</v>
      </c>
      <c r="C13" s="336">
        <v>45355.0</v>
      </c>
    </row>
    <row r="14">
      <c r="A14" s="162" t="s">
        <v>1454</v>
      </c>
      <c r="B14" s="162" t="s">
        <v>19</v>
      </c>
      <c r="C14" s="336">
        <v>45356.0</v>
      </c>
    </row>
    <row r="15">
      <c r="A15" s="162" t="s">
        <v>1454</v>
      </c>
      <c r="B15" s="162" t="s">
        <v>19</v>
      </c>
      <c r="C15" s="336">
        <v>45356.0</v>
      </c>
    </row>
    <row r="16">
      <c r="A16" s="162" t="s">
        <v>1454</v>
      </c>
      <c r="B16" s="162" t="s">
        <v>19</v>
      </c>
      <c r="C16" s="336">
        <v>45357.0</v>
      </c>
    </row>
    <row r="17">
      <c r="A17" s="162" t="s">
        <v>1454</v>
      </c>
      <c r="B17" s="162" t="s">
        <v>19</v>
      </c>
      <c r="C17" s="336">
        <v>45358.0</v>
      </c>
    </row>
    <row r="18">
      <c r="A18" s="162" t="s">
        <v>1454</v>
      </c>
      <c r="B18" s="162" t="s">
        <v>19</v>
      </c>
      <c r="C18" s="336">
        <v>45358.0</v>
      </c>
    </row>
    <row r="19">
      <c r="A19" s="162" t="s">
        <v>1454</v>
      </c>
      <c r="B19" s="162" t="s">
        <v>19</v>
      </c>
      <c r="C19" s="336">
        <v>45359.0</v>
      </c>
    </row>
    <row r="20">
      <c r="A20" s="162" t="s">
        <v>1454</v>
      </c>
      <c r="B20" s="162" t="s">
        <v>19</v>
      </c>
      <c r="C20" s="336">
        <v>45359.0</v>
      </c>
    </row>
    <row r="21">
      <c r="A21" s="162" t="s">
        <v>1454</v>
      </c>
      <c r="B21" s="162" t="s">
        <v>19</v>
      </c>
      <c r="C21" s="336">
        <v>45359.0</v>
      </c>
    </row>
    <row r="22">
      <c r="A22" s="162" t="s">
        <v>1455</v>
      </c>
      <c r="B22" s="162" t="s">
        <v>19</v>
      </c>
      <c r="C22" s="336">
        <v>45341.0</v>
      </c>
    </row>
    <row r="23">
      <c r="A23" s="162" t="s">
        <v>1455</v>
      </c>
      <c r="B23" s="162" t="s">
        <v>19</v>
      </c>
      <c r="C23" s="336">
        <v>45341.0</v>
      </c>
    </row>
    <row r="24">
      <c r="A24" s="162" t="s">
        <v>1455</v>
      </c>
      <c r="B24" s="162" t="s">
        <v>19</v>
      </c>
      <c r="C24" s="336">
        <v>45341.0</v>
      </c>
    </row>
    <row r="25">
      <c r="A25" s="162" t="s">
        <v>1455</v>
      </c>
      <c r="B25" s="162" t="s">
        <v>19</v>
      </c>
      <c r="C25" s="336">
        <v>45341.0</v>
      </c>
    </row>
    <row r="26">
      <c r="A26" s="162" t="s">
        <v>1456</v>
      </c>
      <c r="B26" s="162" t="s">
        <v>91</v>
      </c>
      <c r="C26" s="336">
        <v>45358.0</v>
      </c>
    </row>
    <row r="27">
      <c r="A27" s="162" t="s">
        <v>1456</v>
      </c>
      <c r="B27" s="162" t="s">
        <v>91</v>
      </c>
      <c r="C27" s="336">
        <v>45358.0</v>
      </c>
    </row>
    <row r="28">
      <c r="A28" s="162" t="s">
        <v>1456</v>
      </c>
      <c r="B28" s="162" t="s">
        <v>91</v>
      </c>
      <c r="C28" s="336">
        <v>45358.0</v>
      </c>
    </row>
    <row r="29">
      <c r="A29" s="162" t="s">
        <v>1457</v>
      </c>
      <c r="B29" s="162" t="s">
        <v>91</v>
      </c>
      <c r="C29" s="336">
        <v>45359.0</v>
      </c>
    </row>
    <row r="30">
      <c r="A30" s="162" t="s">
        <v>1457</v>
      </c>
      <c r="B30" s="162" t="s">
        <v>91</v>
      </c>
      <c r="C30" s="336">
        <v>45359.0</v>
      </c>
    </row>
    <row r="31">
      <c r="A31" s="162" t="s">
        <v>1457</v>
      </c>
      <c r="B31" s="162" t="s">
        <v>91</v>
      </c>
      <c r="C31" s="336">
        <v>45359.0</v>
      </c>
    </row>
    <row r="32">
      <c r="A32" s="162" t="s">
        <v>1457</v>
      </c>
      <c r="B32" s="162" t="s">
        <v>91</v>
      </c>
      <c r="C32" s="336">
        <v>45359.0</v>
      </c>
    </row>
    <row r="33">
      <c r="A33" s="162" t="s">
        <v>1457</v>
      </c>
      <c r="B33" s="162" t="s">
        <v>91</v>
      </c>
      <c r="C33" s="336">
        <v>45359.0</v>
      </c>
    </row>
    <row r="34">
      <c r="A34" s="162" t="s">
        <v>1457</v>
      </c>
      <c r="B34" s="162" t="s">
        <v>91</v>
      </c>
      <c r="C34" s="336">
        <v>45359.0</v>
      </c>
    </row>
    <row r="35">
      <c r="A35" s="162" t="s">
        <v>1457</v>
      </c>
      <c r="B35" s="162" t="s">
        <v>91</v>
      </c>
      <c r="C35" s="336">
        <v>45359.0</v>
      </c>
    </row>
    <row r="36">
      <c r="A36" s="162" t="s">
        <v>1457</v>
      </c>
      <c r="B36" s="162" t="s">
        <v>91</v>
      </c>
      <c r="C36" s="336">
        <v>45359.0</v>
      </c>
    </row>
    <row r="37">
      <c r="A37" s="162" t="s">
        <v>1457</v>
      </c>
      <c r="B37" s="162" t="s">
        <v>91</v>
      </c>
      <c r="C37" s="336">
        <v>45359.0</v>
      </c>
    </row>
    <row r="38">
      <c r="A38" s="162" t="s">
        <v>1458</v>
      </c>
      <c r="B38" s="162" t="s">
        <v>19</v>
      </c>
      <c r="C38" s="336">
        <v>45356.0</v>
      </c>
    </row>
    <row r="39">
      <c r="A39" s="162" t="s">
        <v>1458</v>
      </c>
      <c r="B39" s="162" t="s">
        <v>91</v>
      </c>
      <c r="C39" s="336">
        <v>45355.0</v>
      </c>
    </row>
    <row r="40">
      <c r="A40" s="162" t="s">
        <v>1458</v>
      </c>
      <c r="B40" s="162" t="s">
        <v>91</v>
      </c>
      <c r="C40" s="336">
        <v>45355.0</v>
      </c>
    </row>
    <row r="41">
      <c r="A41" s="162" t="s">
        <v>1458</v>
      </c>
      <c r="B41" s="162" t="s">
        <v>91</v>
      </c>
      <c r="C41" s="336">
        <v>45355.0</v>
      </c>
    </row>
    <row r="42">
      <c r="A42" s="162" t="s">
        <v>1458</v>
      </c>
      <c r="B42" s="162" t="s">
        <v>91</v>
      </c>
      <c r="C42" s="336">
        <v>45355.0</v>
      </c>
    </row>
    <row r="43">
      <c r="A43" s="162" t="s">
        <v>1458</v>
      </c>
      <c r="B43" s="162" t="s">
        <v>91</v>
      </c>
      <c r="C43" s="336">
        <v>45355.0</v>
      </c>
    </row>
    <row r="44">
      <c r="A44" s="162" t="s">
        <v>1458</v>
      </c>
      <c r="B44" s="162" t="s">
        <v>91</v>
      </c>
      <c r="C44" s="336">
        <v>45355.0</v>
      </c>
    </row>
    <row r="45">
      <c r="A45" s="162" t="s">
        <v>1458</v>
      </c>
      <c r="B45" s="162" t="s">
        <v>91</v>
      </c>
      <c r="C45" s="336">
        <v>45355.0</v>
      </c>
    </row>
    <row r="46">
      <c r="A46" s="162" t="s">
        <v>1458</v>
      </c>
      <c r="B46" s="162" t="s">
        <v>91</v>
      </c>
      <c r="C46" s="336">
        <v>45355.0</v>
      </c>
    </row>
    <row r="47">
      <c r="A47" s="162" t="s">
        <v>1458</v>
      </c>
      <c r="B47" s="162" t="s">
        <v>91</v>
      </c>
      <c r="C47" s="336">
        <v>45357.0</v>
      </c>
    </row>
    <row r="48">
      <c r="A48" s="162" t="s">
        <v>1458</v>
      </c>
      <c r="B48" s="162" t="s">
        <v>91</v>
      </c>
      <c r="C48" s="336">
        <v>45357.0</v>
      </c>
    </row>
    <row r="49">
      <c r="A49" s="162" t="s">
        <v>1458</v>
      </c>
      <c r="B49" s="162" t="s">
        <v>91</v>
      </c>
      <c r="C49" s="336">
        <v>45357.0</v>
      </c>
    </row>
    <row r="50">
      <c r="A50" s="162" t="s">
        <v>1458</v>
      </c>
      <c r="B50" s="162" t="s">
        <v>91</v>
      </c>
      <c r="C50" s="336">
        <v>45357.0</v>
      </c>
    </row>
    <row r="51">
      <c r="A51" s="162" t="s">
        <v>1458</v>
      </c>
      <c r="B51" s="162" t="s">
        <v>91</v>
      </c>
      <c r="C51" s="336">
        <v>45357.0</v>
      </c>
    </row>
    <row r="52">
      <c r="A52" s="162" t="s">
        <v>1458</v>
      </c>
      <c r="B52" s="162" t="s">
        <v>91</v>
      </c>
      <c r="C52" s="336">
        <v>45357.0</v>
      </c>
    </row>
    <row r="53">
      <c r="A53" s="162" t="s">
        <v>1458</v>
      </c>
      <c r="B53" s="162" t="s">
        <v>91</v>
      </c>
      <c r="C53" s="336">
        <v>45357.0</v>
      </c>
    </row>
    <row r="54">
      <c r="A54" s="162" t="s">
        <v>1458</v>
      </c>
      <c r="B54" s="162" t="s">
        <v>91</v>
      </c>
      <c r="C54" s="336">
        <v>45357.0</v>
      </c>
    </row>
    <row r="55">
      <c r="A55" s="162" t="s">
        <v>1458</v>
      </c>
      <c r="B55" s="162" t="s">
        <v>91</v>
      </c>
      <c r="C55" s="336">
        <v>45357.0</v>
      </c>
    </row>
    <row r="56">
      <c r="A56" s="162" t="s">
        <v>1458</v>
      </c>
      <c r="B56" s="162" t="s">
        <v>91</v>
      </c>
      <c r="C56" s="336">
        <v>45357.0</v>
      </c>
    </row>
    <row r="57">
      <c r="A57" s="162" t="s">
        <v>1459</v>
      </c>
      <c r="B57" s="162" t="s">
        <v>19</v>
      </c>
      <c r="C57" s="336">
        <v>45355.0</v>
      </c>
    </row>
    <row r="58">
      <c r="A58" s="162" t="s">
        <v>1459</v>
      </c>
      <c r="B58" s="162" t="s">
        <v>19</v>
      </c>
      <c r="C58" s="336">
        <v>45355.0</v>
      </c>
    </row>
    <row r="59">
      <c r="A59" s="162" t="s">
        <v>1459</v>
      </c>
      <c r="B59" s="162" t="s">
        <v>19</v>
      </c>
      <c r="C59" s="336">
        <v>45355.0</v>
      </c>
    </row>
    <row r="60">
      <c r="A60" s="162" t="s">
        <v>1459</v>
      </c>
      <c r="B60" s="162" t="s">
        <v>19</v>
      </c>
      <c r="C60" s="336">
        <v>45355.0</v>
      </c>
    </row>
    <row r="61">
      <c r="A61" s="162" t="s">
        <v>1459</v>
      </c>
      <c r="B61" s="162" t="s">
        <v>19</v>
      </c>
      <c r="C61" s="336">
        <v>45355.0</v>
      </c>
    </row>
    <row r="62">
      <c r="A62" s="162" t="s">
        <v>1459</v>
      </c>
      <c r="B62" s="162" t="s">
        <v>19</v>
      </c>
      <c r="C62" s="336">
        <v>45355.0</v>
      </c>
    </row>
    <row r="63">
      <c r="A63" s="162" t="s">
        <v>1459</v>
      </c>
      <c r="B63" s="162" t="s">
        <v>19</v>
      </c>
      <c r="C63" s="336">
        <v>45356.0</v>
      </c>
    </row>
    <row r="64">
      <c r="A64" s="162" t="s">
        <v>1459</v>
      </c>
      <c r="B64" s="162" t="s">
        <v>19</v>
      </c>
      <c r="C64" s="336">
        <v>45356.0</v>
      </c>
    </row>
    <row r="65">
      <c r="A65" s="162" t="s">
        <v>1459</v>
      </c>
      <c r="B65" s="162" t="s">
        <v>19</v>
      </c>
      <c r="C65" s="336">
        <v>45356.0</v>
      </c>
    </row>
    <row r="66">
      <c r="A66" s="162" t="s">
        <v>1459</v>
      </c>
      <c r="B66" s="162" t="s">
        <v>109</v>
      </c>
      <c r="C66" s="336">
        <v>45359.0</v>
      </c>
    </row>
    <row r="67">
      <c r="A67" s="162" t="s">
        <v>1459</v>
      </c>
      <c r="B67" s="162" t="s">
        <v>109</v>
      </c>
      <c r="C67" s="336">
        <v>45359.0</v>
      </c>
    </row>
    <row r="68">
      <c r="A68" s="162" t="s">
        <v>1459</v>
      </c>
      <c r="B68" s="162" t="s">
        <v>109</v>
      </c>
      <c r="C68" s="336">
        <v>45359.0</v>
      </c>
    </row>
    <row r="69">
      <c r="A69" s="162" t="s">
        <v>1459</v>
      </c>
      <c r="B69" s="162" t="s">
        <v>109</v>
      </c>
      <c r="C69" s="336">
        <v>45359.0</v>
      </c>
    </row>
    <row r="70">
      <c r="A70" s="162" t="s">
        <v>1459</v>
      </c>
      <c r="B70" s="162" t="s">
        <v>109</v>
      </c>
      <c r="C70" s="336">
        <v>45359.0</v>
      </c>
    </row>
    <row r="71">
      <c r="A71" s="162" t="s">
        <v>1459</v>
      </c>
      <c r="B71" s="162" t="s">
        <v>109</v>
      </c>
      <c r="C71" s="336">
        <v>45359.0</v>
      </c>
    </row>
    <row r="72">
      <c r="A72" s="162" t="s">
        <v>1460</v>
      </c>
      <c r="B72" s="162" t="s">
        <v>19</v>
      </c>
      <c r="C72" s="336">
        <v>45355.0</v>
      </c>
    </row>
    <row r="73">
      <c r="A73" s="162" t="s">
        <v>1460</v>
      </c>
      <c r="B73" s="162" t="s">
        <v>19</v>
      </c>
      <c r="C73" s="336">
        <v>45355.0</v>
      </c>
    </row>
    <row r="74">
      <c r="A74" s="162" t="s">
        <v>1460</v>
      </c>
      <c r="B74" s="162" t="s">
        <v>19</v>
      </c>
      <c r="C74" s="336">
        <v>45355.0</v>
      </c>
    </row>
    <row r="75">
      <c r="A75" s="162" t="s">
        <v>1461</v>
      </c>
      <c r="B75" s="162" t="s">
        <v>19</v>
      </c>
      <c r="C75" s="336">
        <v>45356.0</v>
      </c>
    </row>
    <row r="76">
      <c r="A76" s="162" t="s">
        <v>1461</v>
      </c>
      <c r="B76" s="162" t="s">
        <v>19</v>
      </c>
      <c r="C76" s="336">
        <v>45356.0</v>
      </c>
    </row>
    <row r="77">
      <c r="A77" s="162" t="s">
        <v>1461</v>
      </c>
      <c r="B77" s="162" t="s">
        <v>19</v>
      </c>
      <c r="C77" s="336">
        <v>45356.0</v>
      </c>
    </row>
    <row r="78">
      <c r="A78" s="162" t="s">
        <v>1462</v>
      </c>
      <c r="B78" s="162" t="s">
        <v>19</v>
      </c>
      <c r="C78" s="336">
        <v>45345.0</v>
      </c>
    </row>
    <row r="79">
      <c r="A79" s="162" t="s">
        <v>1462</v>
      </c>
      <c r="B79" s="162" t="s">
        <v>19</v>
      </c>
      <c r="C79" s="336">
        <v>45345.0</v>
      </c>
    </row>
    <row r="80">
      <c r="A80" s="162" t="s">
        <v>1462</v>
      </c>
      <c r="B80" s="162" t="s">
        <v>19</v>
      </c>
      <c r="C80" s="336">
        <v>45350.0</v>
      </c>
    </row>
    <row r="81">
      <c r="A81" s="162" t="s">
        <v>1462</v>
      </c>
      <c r="B81" s="162" t="s">
        <v>19</v>
      </c>
      <c r="C81" s="336">
        <v>45350.0</v>
      </c>
    </row>
    <row r="82">
      <c r="A82" s="162" t="s">
        <v>1462</v>
      </c>
      <c r="B82" s="162" t="s">
        <v>19</v>
      </c>
      <c r="C82" s="336">
        <v>45350.0</v>
      </c>
    </row>
    <row r="83">
      <c r="A83" s="162" t="s">
        <v>1462</v>
      </c>
      <c r="B83" s="162" t="s">
        <v>19</v>
      </c>
      <c r="C83" s="336">
        <v>45358.0</v>
      </c>
    </row>
    <row r="84">
      <c r="A84" s="162" t="s">
        <v>1462</v>
      </c>
      <c r="B84" s="162" t="s">
        <v>19</v>
      </c>
      <c r="C84" s="336">
        <v>45358.0</v>
      </c>
    </row>
    <row r="85">
      <c r="A85" s="162" t="s">
        <v>1463</v>
      </c>
      <c r="B85" s="162" t="s">
        <v>19</v>
      </c>
      <c r="C85" s="336">
        <v>45357.0</v>
      </c>
    </row>
    <row r="86">
      <c r="A86" s="162" t="s">
        <v>1463</v>
      </c>
      <c r="B86" s="162" t="s">
        <v>69</v>
      </c>
      <c r="C86" s="336">
        <v>45357.0</v>
      </c>
    </row>
    <row r="87">
      <c r="A87" s="162" t="s">
        <v>1463</v>
      </c>
      <c r="B87" s="162" t="s">
        <v>69</v>
      </c>
      <c r="C87" s="336">
        <v>45357.0</v>
      </c>
    </row>
    <row r="88">
      <c r="A88" s="162" t="s">
        <v>1464</v>
      </c>
      <c r="B88" s="162" t="s">
        <v>91</v>
      </c>
      <c r="C88" s="336">
        <v>45357.0</v>
      </c>
    </row>
    <row r="89">
      <c r="A89" s="162" t="s">
        <v>1464</v>
      </c>
      <c r="B89" s="162" t="s">
        <v>91</v>
      </c>
      <c r="C89" s="336">
        <v>45357.0</v>
      </c>
    </row>
    <row r="90">
      <c r="A90" s="162" t="s">
        <v>1464</v>
      </c>
      <c r="B90" s="162" t="s">
        <v>91</v>
      </c>
      <c r="C90" s="336">
        <v>45357.0</v>
      </c>
    </row>
    <row r="91">
      <c r="A91" s="162" t="s">
        <v>1464</v>
      </c>
      <c r="B91" s="162" t="s">
        <v>91</v>
      </c>
      <c r="C91" s="336">
        <v>45357.0</v>
      </c>
    </row>
    <row r="92">
      <c r="A92" s="162" t="s">
        <v>1465</v>
      </c>
      <c r="B92" s="162" t="s">
        <v>19</v>
      </c>
      <c r="C92" s="336">
        <v>45355.0</v>
      </c>
    </row>
    <row r="93">
      <c r="A93" s="162" t="s">
        <v>1465</v>
      </c>
      <c r="B93" s="162" t="s">
        <v>19</v>
      </c>
      <c r="C93" s="336">
        <v>45355.0</v>
      </c>
    </row>
    <row r="94">
      <c r="A94" s="162" t="s">
        <v>1465</v>
      </c>
      <c r="B94" s="162" t="s">
        <v>157</v>
      </c>
      <c r="C94" s="336">
        <v>45355.0</v>
      </c>
    </row>
    <row r="95">
      <c r="A95" s="162" t="s">
        <v>1465</v>
      </c>
      <c r="B95" s="162" t="s">
        <v>157</v>
      </c>
      <c r="C95" s="336">
        <v>45355.0</v>
      </c>
    </row>
    <row r="96">
      <c r="A96" s="162" t="s">
        <v>1465</v>
      </c>
      <c r="B96" s="162" t="s">
        <v>157</v>
      </c>
      <c r="C96" s="336">
        <v>45355.0</v>
      </c>
    </row>
    <row r="97">
      <c r="A97" s="162" t="s">
        <v>1465</v>
      </c>
      <c r="B97" s="162" t="s">
        <v>157</v>
      </c>
      <c r="C97" s="336">
        <v>45355.0</v>
      </c>
    </row>
    <row r="98">
      <c r="A98" s="162" t="s">
        <v>1465</v>
      </c>
      <c r="B98" s="162" t="s">
        <v>157</v>
      </c>
      <c r="C98" s="336">
        <v>45355.0</v>
      </c>
    </row>
    <row r="99">
      <c r="A99" s="162" t="s">
        <v>1465</v>
      </c>
      <c r="B99" s="162" t="s">
        <v>157</v>
      </c>
      <c r="C99" s="336">
        <v>45355.0</v>
      </c>
    </row>
    <row r="100">
      <c r="A100" s="162" t="s">
        <v>1465</v>
      </c>
      <c r="B100" s="162" t="s">
        <v>157</v>
      </c>
      <c r="C100" s="336">
        <v>45355.0</v>
      </c>
    </row>
    <row r="101">
      <c r="A101" s="162" t="s">
        <v>1465</v>
      </c>
      <c r="B101" s="162" t="s">
        <v>157</v>
      </c>
      <c r="C101" s="336">
        <v>45355.0</v>
      </c>
    </row>
    <row r="102">
      <c r="A102" s="162" t="s">
        <v>1465</v>
      </c>
      <c r="B102" s="162" t="s">
        <v>157</v>
      </c>
      <c r="C102" s="336">
        <v>45355.0</v>
      </c>
    </row>
    <row r="103">
      <c r="A103" s="162" t="s">
        <v>1465</v>
      </c>
      <c r="B103" s="162" t="s">
        <v>19</v>
      </c>
      <c r="C103" s="336">
        <v>45356.0</v>
      </c>
    </row>
    <row r="104">
      <c r="A104" s="162" t="s">
        <v>1465</v>
      </c>
      <c r="B104" s="162" t="s">
        <v>19</v>
      </c>
      <c r="C104" s="336">
        <v>45356.0</v>
      </c>
    </row>
    <row r="105">
      <c r="A105" s="162" t="s">
        <v>1465</v>
      </c>
      <c r="B105" s="162" t="s">
        <v>157</v>
      </c>
      <c r="C105" s="336">
        <v>45356.0</v>
      </c>
    </row>
    <row r="106">
      <c r="A106" s="162" t="s">
        <v>1465</v>
      </c>
      <c r="B106" s="162" t="s">
        <v>157</v>
      </c>
      <c r="C106" s="336">
        <v>45356.0</v>
      </c>
    </row>
    <row r="107">
      <c r="A107" s="162" t="s">
        <v>1465</v>
      </c>
      <c r="B107" s="162" t="s">
        <v>157</v>
      </c>
      <c r="C107" s="336">
        <v>45356.0</v>
      </c>
    </row>
    <row r="108">
      <c r="A108" s="162" t="s">
        <v>1465</v>
      </c>
      <c r="B108" s="162" t="s">
        <v>157</v>
      </c>
      <c r="C108" s="336">
        <v>45356.0</v>
      </c>
    </row>
    <row r="109">
      <c r="A109" s="162" t="s">
        <v>1465</v>
      </c>
      <c r="B109" s="162" t="s">
        <v>157</v>
      </c>
      <c r="C109" s="336">
        <v>45356.0</v>
      </c>
    </row>
    <row r="110">
      <c r="A110" s="162" t="s">
        <v>1465</v>
      </c>
      <c r="B110" s="162" t="s">
        <v>157</v>
      </c>
      <c r="C110" s="336">
        <v>45356.0</v>
      </c>
    </row>
    <row r="111">
      <c r="A111" s="162" t="s">
        <v>1465</v>
      </c>
      <c r="B111" s="162" t="s">
        <v>157</v>
      </c>
      <c r="C111" s="336">
        <v>45356.0</v>
      </c>
    </row>
    <row r="112">
      <c r="A112" s="162" t="s">
        <v>1465</v>
      </c>
      <c r="B112" s="162" t="s">
        <v>157</v>
      </c>
      <c r="C112" s="336">
        <v>45356.0</v>
      </c>
    </row>
    <row r="113">
      <c r="A113" s="162" t="s">
        <v>1465</v>
      </c>
      <c r="B113" s="162" t="s">
        <v>157</v>
      </c>
      <c r="C113" s="336">
        <v>45356.0</v>
      </c>
    </row>
    <row r="114">
      <c r="A114" s="162" t="s">
        <v>1465</v>
      </c>
      <c r="B114" s="162" t="s">
        <v>157</v>
      </c>
      <c r="C114" s="336">
        <v>45356.0</v>
      </c>
    </row>
    <row r="115">
      <c r="A115" s="162" t="s">
        <v>1465</v>
      </c>
      <c r="B115" s="162" t="s">
        <v>157</v>
      </c>
      <c r="C115" s="336">
        <v>45356.0</v>
      </c>
    </row>
    <row r="116">
      <c r="A116" s="162" t="s">
        <v>1465</v>
      </c>
      <c r="B116" s="162" t="s">
        <v>157</v>
      </c>
      <c r="C116" s="336">
        <v>45356.0</v>
      </c>
    </row>
    <row r="117">
      <c r="A117" s="162" t="s">
        <v>1465</v>
      </c>
      <c r="B117" s="162" t="s">
        <v>157</v>
      </c>
      <c r="C117" s="336">
        <v>45356.0</v>
      </c>
    </row>
    <row r="118">
      <c r="A118" s="162" t="s">
        <v>1465</v>
      </c>
      <c r="B118" s="162" t="s">
        <v>157</v>
      </c>
      <c r="C118" s="336">
        <v>45356.0</v>
      </c>
    </row>
    <row r="119">
      <c r="A119" s="162" t="s">
        <v>1465</v>
      </c>
      <c r="B119" s="162" t="s">
        <v>157</v>
      </c>
      <c r="C119" s="336">
        <v>45356.0</v>
      </c>
    </row>
    <row r="120">
      <c r="A120" s="162" t="s">
        <v>1465</v>
      </c>
      <c r="B120" s="162" t="s">
        <v>19</v>
      </c>
      <c r="C120" s="336">
        <v>45357.0</v>
      </c>
    </row>
    <row r="121">
      <c r="A121" s="162" t="s">
        <v>1465</v>
      </c>
      <c r="B121" s="162" t="s">
        <v>19</v>
      </c>
      <c r="C121" s="336">
        <v>45357.0</v>
      </c>
    </row>
    <row r="122">
      <c r="A122" s="162" t="s">
        <v>1465</v>
      </c>
      <c r="B122" s="162" t="s">
        <v>19</v>
      </c>
      <c r="C122" s="336">
        <v>45357.0</v>
      </c>
    </row>
    <row r="123">
      <c r="A123" s="162" t="s">
        <v>1465</v>
      </c>
      <c r="B123" s="162" t="s">
        <v>19</v>
      </c>
      <c r="C123" s="336">
        <v>45357.0</v>
      </c>
    </row>
    <row r="124">
      <c r="A124" s="162" t="s">
        <v>1465</v>
      </c>
      <c r="B124" s="162" t="s">
        <v>157</v>
      </c>
      <c r="C124" s="336">
        <v>45357.0</v>
      </c>
    </row>
    <row r="125">
      <c r="A125" s="162" t="s">
        <v>1465</v>
      </c>
      <c r="B125" s="162" t="s">
        <v>157</v>
      </c>
      <c r="C125" s="336">
        <v>45357.0</v>
      </c>
    </row>
    <row r="126">
      <c r="A126" s="162" t="s">
        <v>1465</v>
      </c>
      <c r="B126" s="162" t="s">
        <v>157</v>
      </c>
      <c r="C126" s="336">
        <v>45357.0</v>
      </c>
    </row>
    <row r="127">
      <c r="A127" s="162" t="s">
        <v>1465</v>
      </c>
      <c r="B127" s="162" t="s">
        <v>157</v>
      </c>
      <c r="C127" s="336">
        <v>45357.0</v>
      </c>
    </row>
    <row r="128">
      <c r="A128" s="162" t="s">
        <v>1465</v>
      </c>
      <c r="B128" s="162" t="s">
        <v>157</v>
      </c>
      <c r="C128" s="336">
        <v>45357.0</v>
      </c>
    </row>
    <row r="129">
      <c r="A129" s="162" t="s">
        <v>1465</v>
      </c>
      <c r="B129" s="162" t="s">
        <v>157</v>
      </c>
      <c r="C129" s="336">
        <v>45357.0</v>
      </c>
    </row>
    <row r="130">
      <c r="A130" s="162" t="s">
        <v>1465</v>
      </c>
      <c r="B130" s="162" t="s">
        <v>157</v>
      </c>
      <c r="C130" s="336">
        <v>45357.0</v>
      </c>
    </row>
    <row r="131">
      <c r="A131" s="162" t="s">
        <v>1465</v>
      </c>
      <c r="B131" s="162" t="s">
        <v>157</v>
      </c>
      <c r="C131" s="336">
        <v>45358.0</v>
      </c>
    </row>
    <row r="132">
      <c r="A132" s="162" t="s">
        <v>1465</v>
      </c>
      <c r="B132" s="162" t="s">
        <v>157</v>
      </c>
      <c r="C132" s="336">
        <v>45358.0</v>
      </c>
    </row>
    <row r="133">
      <c r="A133" s="162" t="s">
        <v>1465</v>
      </c>
      <c r="B133" s="162" t="s">
        <v>157</v>
      </c>
      <c r="C133" s="336">
        <v>45358.0</v>
      </c>
    </row>
    <row r="134">
      <c r="A134" s="162" t="s">
        <v>1465</v>
      </c>
      <c r="B134" s="162" t="s">
        <v>157</v>
      </c>
      <c r="C134" s="336">
        <v>45358.0</v>
      </c>
    </row>
    <row r="135">
      <c r="A135" s="162" t="s">
        <v>1465</v>
      </c>
      <c r="B135" s="162" t="s">
        <v>157</v>
      </c>
      <c r="C135" s="336">
        <v>45358.0</v>
      </c>
    </row>
    <row r="136">
      <c r="A136" s="162" t="s">
        <v>1465</v>
      </c>
      <c r="B136" s="162" t="s">
        <v>157</v>
      </c>
      <c r="C136" s="336">
        <v>45358.0</v>
      </c>
    </row>
    <row r="137">
      <c r="A137" s="162" t="s">
        <v>1465</v>
      </c>
      <c r="B137" s="162" t="s">
        <v>157</v>
      </c>
      <c r="C137" s="336">
        <v>45358.0</v>
      </c>
    </row>
    <row r="138">
      <c r="A138" s="162" t="s">
        <v>1465</v>
      </c>
      <c r="B138" s="162" t="s">
        <v>157</v>
      </c>
      <c r="C138" s="336">
        <v>45358.0</v>
      </c>
    </row>
    <row r="139">
      <c r="A139" s="162" t="s">
        <v>1465</v>
      </c>
      <c r="B139" s="162" t="s">
        <v>157</v>
      </c>
      <c r="C139" s="336">
        <v>45358.0</v>
      </c>
    </row>
    <row r="140">
      <c r="A140" s="162" t="s">
        <v>1465</v>
      </c>
      <c r="B140" s="162" t="s">
        <v>157</v>
      </c>
      <c r="C140" s="336">
        <v>45358.0</v>
      </c>
    </row>
    <row r="141">
      <c r="A141" s="162" t="s">
        <v>1465</v>
      </c>
      <c r="B141" s="162" t="s">
        <v>157</v>
      </c>
      <c r="C141" s="336">
        <v>45358.0</v>
      </c>
    </row>
    <row r="142">
      <c r="A142" s="162" t="s">
        <v>1465</v>
      </c>
      <c r="B142" s="162" t="s">
        <v>157</v>
      </c>
      <c r="C142" s="336">
        <v>45358.0</v>
      </c>
    </row>
    <row r="143">
      <c r="A143" s="162" t="s">
        <v>1465</v>
      </c>
      <c r="B143" s="162" t="s">
        <v>157</v>
      </c>
      <c r="C143" s="336">
        <v>45358.0</v>
      </c>
    </row>
    <row r="144">
      <c r="A144" s="162" t="s">
        <v>1465</v>
      </c>
      <c r="B144" s="162" t="s">
        <v>157</v>
      </c>
      <c r="C144" s="336">
        <v>45358.0</v>
      </c>
    </row>
    <row r="145">
      <c r="A145" s="162" t="s">
        <v>1465</v>
      </c>
      <c r="B145" s="162" t="s">
        <v>157</v>
      </c>
      <c r="C145" s="336">
        <v>45358.0</v>
      </c>
    </row>
    <row r="146">
      <c r="A146" s="162" t="s">
        <v>1465</v>
      </c>
      <c r="B146" s="162" t="s">
        <v>157</v>
      </c>
      <c r="C146" s="336">
        <v>45358.0</v>
      </c>
    </row>
    <row r="147">
      <c r="A147" s="162" t="s">
        <v>1465</v>
      </c>
      <c r="B147" s="162" t="s">
        <v>19</v>
      </c>
      <c r="C147" s="336">
        <v>45359.0</v>
      </c>
    </row>
    <row r="148">
      <c r="A148" s="162" t="s">
        <v>1465</v>
      </c>
      <c r="B148" s="162" t="s">
        <v>19</v>
      </c>
      <c r="C148" s="336">
        <v>45359.0</v>
      </c>
    </row>
    <row r="149">
      <c r="A149" s="162" t="s">
        <v>1465</v>
      </c>
      <c r="B149" s="162" t="s">
        <v>19</v>
      </c>
      <c r="C149" s="336">
        <v>45359.0</v>
      </c>
    </row>
    <row r="150">
      <c r="A150" s="162" t="s">
        <v>1465</v>
      </c>
      <c r="B150" s="162" t="s">
        <v>19</v>
      </c>
      <c r="C150" s="336">
        <v>45359.0</v>
      </c>
    </row>
    <row r="151">
      <c r="A151" s="162" t="s">
        <v>1465</v>
      </c>
      <c r="B151" s="162" t="s">
        <v>19</v>
      </c>
      <c r="C151" s="336">
        <v>45359.0</v>
      </c>
    </row>
    <row r="152">
      <c r="A152" s="162" t="s">
        <v>1465</v>
      </c>
      <c r="B152" s="162" t="s">
        <v>19</v>
      </c>
      <c r="C152" s="336">
        <v>45359.0</v>
      </c>
    </row>
    <row r="153">
      <c r="A153" s="162" t="s">
        <v>1466</v>
      </c>
      <c r="B153" s="162" t="s">
        <v>30</v>
      </c>
      <c r="C153" s="336">
        <v>45341.0</v>
      </c>
    </row>
    <row r="154">
      <c r="A154" s="162" t="s">
        <v>1466</v>
      </c>
      <c r="B154" s="162" t="s">
        <v>30</v>
      </c>
      <c r="C154" s="336">
        <v>45341.0</v>
      </c>
    </row>
    <row r="155">
      <c r="A155" s="162" t="s">
        <v>1466</v>
      </c>
      <c r="B155" s="162" t="s">
        <v>30</v>
      </c>
      <c r="C155" s="336">
        <v>45341.0</v>
      </c>
    </row>
    <row r="156">
      <c r="A156" s="162" t="s">
        <v>1466</v>
      </c>
      <c r="B156" s="162" t="s">
        <v>30</v>
      </c>
      <c r="C156" s="336">
        <v>45341.0</v>
      </c>
    </row>
    <row r="157">
      <c r="A157" s="162" t="s">
        <v>1466</v>
      </c>
      <c r="B157" s="162" t="s">
        <v>30</v>
      </c>
      <c r="C157" s="336">
        <v>45341.0</v>
      </c>
    </row>
    <row r="158">
      <c r="A158" s="162" t="s">
        <v>1466</v>
      </c>
      <c r="B158" s="162" t="s">
        <v>30</v>
      </c>
      <c r="C158" s="336">
        <v>45341.0</v>
      </c>
    </row>
    <row r="159">
      <c r="A159" s="162" t="s">
        <v>1466</v>
      </c>
      <c r="B159" s="162" t="s">
        <v>30</v>
      </c>
      <c r="C159" s="336">
        <v>45341.0</v>
      </c>
    </row>
    <row r="160">
      <c r="A160" s="162" t="s">
        <v>1466</v>
      </c>
      <c r="B160" s="162" t="s">
        <v>30</v>
      </c>
      <c r="C160" s="336">
        <v>45341.0</v>
      </c>
    </row>
    <row r="161">
      <c r="A161" s="162" t="s">
        <v>1466</v>
      </c>
      <c r="B161" s="162" t="s">
        <v>30</v>
      </c>
      <c r="C161" s="336">
        <v>45341.0</v>
      </c>
    </row>
    <row r="162">
      <c r="A162" s="162" t="s">
        <v>1466</v>
      </c>
      <c r="B162" s="162" t="s">
        <v>30</v>
      </c>
      <c r="C162" s="336">
        <v>45341.0</v>
      </c>
    </row>
    <row r="163">
      <c r="A163" s="162" t="s">
        <v>1466</v>
      </c>
      <c r="B163" s="162" t="s">
        <v>30</v>
      </c>
      <c r="C163" s="336">
        <v>45341.0</v>
      </c>
    </row>
    <row r="164">
      <c r="A164" s="162" t="s">
        <v>1466</v>
      </c>
      <c r="B164" s="162" t="s">
        <v>30</v>
      </c>
      <c r="C164" s="336">
        <v>45341.0</v>
      </c>
    </row>
    <row r="165">
      <c r="A165" s="162" t="s">
        <v>1466</v>
      </c>
      <c r="B165" s="162" t="s">
        <v>30</v>
      </c>
      <c r="C165" s="336">
        <v>45341.0</v>
      </c>
    </row>
    <row r="166">
      <c r="A166" s="162" t="s">
        <v>1466</v>
      </c>
      <c r="B166" s="162" t="s">
        <v>30</v>
      </c>
      <c r="C166" s="336">
        <v>45341.0</v>
      </c>
    </row>
    <row r="167">
      <c r="A167" s="162" t="s">
        <v>1466</v>
      </c>
      <c r="B167" s="162" t="s">
        <v>30</v>
      </c>
      <c r="C167" s="336">
        <v>45341.0</v>
      </c>
    </row>
    <row r="168">
      <c r="A168" s="162" t="s">
        <v>1466</v>
      </c>
      <c r="B168" s="162" t="s">
        <v>30</v>
      </c>
      <c r="C168" s="336">
        <v>45341.0</v>
      </c>
    </row>
    <row r="169">
      <c r="A169" s="162" t="s">
        <v>1466</v>
      </c>
      <c r="B169" s="162" t="s">
        <v>30</v>
      </c>
      <c r="C169" s="336">
        <v>45341.0</v>
      </c>
    </row>
    <row r="170">
      <c r="A170" s="162" t="s">
        <v>1466</v>
      </c>
      <c r="B170" s="162" t="s">
        <v>30</v>
      </c>
      <c r="C170" s="336">
        <v>45341.0</v>
      </c>
    </row>
    <row r="171">
      <c r="A171" s="162" t="s">
        <v>1466</v>
      </c>
      <c r="B171" s="162" t="s">
        <v>30</v>
      </c>
      <c r="C171" s="336">
        <v>45341.0</v>
      </c>
    </row>
    <row r="172">
      <c r="A172" s="162" t="s">
        <v>1466</v>
      </c>
      <c r="B172" s="162" t="s">
        <v>30</v>
      </c>
      <c r="C172" s="336">
        <v>45341.0</v>
      </c>
    </row>
    <row r="173">
      <c r="A173" s="162" t="s">
        <v>1466</v>
      </c>
      <c r="B173" s="162" t="s">
        <v>30</v>
      </c>
      <c r="C173" s="336">
        <v>45342.0</v>
      </c>
    </row>
    <row r="174">
      <c r="A174" s="162" t="s">
        <v>1466</v>
      </c>
      <c r="B174" s="162" t="s">
        <v>30</v>
      </c>
      <c r="C174" s="336">
        <v>45342.0</v>
      </c>
    </row>
    <row r="175">
      <c r="A175" s="162" t="s">
        <v>1466</v>
      </c>
      <c r="B175" s="162" t="s">
        <v>30</v>
      </c>
      <c r="C175" s="336">
        <v>45342.0</v>
      </c>
    </row>
    <row r="176">
      <c r="A176" s="162" t="s">
        <v>1466</v>
      </c>
      <c r="B176" s="162" t="s">
        <v>30</v>
      </c>
      <c r="C176" s="336">
        <v>45342.0</v>
      </c>
    </row>
    <row r="177">
      <c r="A177" s="162" t="s">
        <v>1466</v>
      </c>
      <c r="B177" s="162" t="s">
        <v>30</v>
      </c>
      <c r="C177" s="336">
        <v>45342.0</v>
      </c>
    </row>
    <row r="178">
      <c r="A178" s="162" t="s">
        <v>1466</v>
      </c>
      <c r="B178" s="162" t="s">
        <v>30</v>
      </c>
      <c r="C178" s="336">
        <v>45342.0</v>
      </c>
    </row>
    <row r="179">
      <c r="A179" s="162" t="s">
        <v>1466</v>
      </c>
      <c r="B179" s="162" t="s">
        <v>30</v>
      </c>
      <c r="C179" s="336">
        <v>45342.0</v>
      </c>
    </row>
    <row r="180">
      <c r="A180" s="162" t="s">
        <v>1466</v>
      </c>
      <c r="B180" s="162" t="s">
        <v>30</v>
      </c>
      <c r="C180" s="336">
        <v>45342.0</v>
      </c>
    </row>
    <row r="181">
      <c r="A181" s="162" t="s">
        <v>1466</v>
      </c>
      <c r="B181" s="162" t="s">
        <v>30</v>
      </c>
      <c r="C181" s="336">
        <v>45342.0</v>
      </c>
    </row>
    <row r="182">
      <c r="A182" s="162" t="s">
        <v>1466</v>
      </c>
      <c r="B182" s="162" t="s">
        <v>30</v>
      </c>
      <c r="C182" s="336">
        <v>45342.0</v>
      </c>
    </row>
    <row r="183">
      <c r="A183" s="162" t="s">
        <v>1466</v>
      </c>
      <c r="B183" s="162" t="s">
        <v>30</v>
      </c>
      <c r="C183" s="336">
        <v>45342.0</v>
      </c>
    </row>
    <row r="184">
      <c r="A184" s="162" t="s">
        <v>1466</v>
      </c>
      <c r="B184" s="162" t="s">
        <v>30</v>
      </c>
      <c r="C184" s="336">
        <v>45342.0</v>
      </c>
    </row>
    <row r="185">
      <c r="A185" s="162" t="s">
        <v>1466</v>
      </c>
      <c r="B185" s="162" t="s">
        <v>30</v>
      </c>
      <c r="C185" s="336">
        <v>45342.0</v>
      </c>
    </row>
    <row r="186">
      <c r="A186" s="162" t="s">
        <v>1466</v>
      </c>
      <c r="B186" s="162" t="s">
        <v>30</v>
      </c>
      <c r="C186" s="336">
        <v>45342.0</v>
      </c>
    </row>
    <row r="187">
      <c r="A187" s="162" t="s">
        <v>1466</v>
      </c>
      <c r="B187" s="162" t="s">
        <v>30</v>
      </c>
      <c r="C187" s="336">
        <v>45342.0</v>
      </c>
    </row>
    <row r="188">
      <c r="A188" s="162" t="s">
        <v>1466</v>
      </c>
      <c r="B188" s="162" t="s">
        <v>30</v>
      </c>
      <c r="C188" s="336">
        <v>45342.0</v>
      </c>
    </row>
    <row r="189">
      <c r="A189" s="162" t="s">
        <v>1466</v>
      </c>
      <c r="B189" s="162" t="s">
        <v>30</v>
      </c>
      <c r="C189" s="336">
        <v>45342.0</v>
      </c>
    </row>
    <row r="190">
      <c r="A190" s="162" t="s">
        <v>1466</v>
      </c>
      <c r="B190" s="162" t="s">
        <v>30</v>
      </c>
      <c r="C190" s="336">
        <v>45342.0</v>
      </c>
    </row>
    <row r="191">
      <c r="A191" s="162" t="s">
        <v>1466</v>
      </c>
      <c r="B191" s="162" t="s">
        <v>30</v>
      </c>
      <c r="C191" s="336">
        <v>45342.0</v>
      </c>
    </row>
    <row r="192">
      <c r="A192" s="162" t="s">
        <v>1466</v>
      </c>
      <c r="B192" s="162" t="s">
        <v>19</v>
      </c>
      <c r="C192" s="336">
        <v>45343.0</v>
      </c>
    </row>
    <row r="193">
      <c r="A193" s="162" t="s">
        <v>1466</v>
      </c>
      <c r="B193" s="162" t="s">
        <v>19</v>
      </c>
      <c r="C193" s="336">
        <v>45349.0</v>
      </c>
    </row>
    <row r="194">
      <c r="A194" s="162" t="s">
        <v>1466</v>
      </c>
      <c r="B194" s="162" t="s">
        <v>19</v>
      </c>
      <c r="C194" s="336">
        <v>45349.0</v>
      </c>
    </row>
    <row r="195">
      <c r="A195" s="162" t="s">
        <v>1466</v>
      </c>
      <c r="B195" s="162" t="s">
        <v>19</v>
      </c>
      <c r="C195" s="336">
        <v>45351.0</v>
      </c>
    </row>
    <row r="196">
      <c r="A196" s="162" t="s">
        <v>1466</v>
      </c>
      <c r="B196" s="162" t="s">
        <v>19</v>
      </c>
      <c r="C196" s="336">
        <v>45351.0</v>
      </c>
    </row>
    <row r="197">
      <c r="A197" s="162" t="s">
        <v>1466</v>
      </c>
      <c r="B197" s="162" t="s">
        <v>19</v>
      </c>
      <c r="C197" s="336">
        <v>45357.0</v>
      </c>
    </row>
    <row r="198">
      <c r="A198" s="162" t="s">
        <v>1467</v>
      </c>
      <c r="B198" s="162" t="s">
        <v>91</v>
      </c>
      <c r="C198" s="336">
        <v>45358.0</v>
      </c>
    </row>
    <row r="199">
      <c r="A199" s="162" t="s">
        <v>1467</v>
      </c>
      <c r="B199" s="162" t="s">
        <v>91</v>
      </c>
      <c r="C199" s="336">
        <v>45358.0</v>
      </c>
    </row>
    <row r="200">
      <c r="A200" s="162" t="s">
        <v>1467</v>
      </c>
      <c r="B200" s="162" t="s">
        <v>91</v>
      </c>
      <c r="C200" s="336">
        <v>45358.0</v>
      </c>
    </row>
    <row r="201">
      <c r="A201" s="162" t="s">
        <v>1468</v>
      </c>
      <c r="B201" s="162" t="s">
        <v>19</v>
      </c>
      <c r="C201" s="336">
        <v>45348.0</v>
      </c>
    </row>
    <row r="202">
      <c r="A202" s="162" t="s">
        <v>1468</v>
      </c>
      <c r="B202" s="162" t="s">
        <v>19</v>
      </c>
      <c r="C202" s="336">
        <v>45350.0</v>
      </c>
    </row>
    <row r="203">
      <c r="A203" s="162" t="s">
        <v>1468</v>
      </c>
      <c r="B203" s="162" t="s">
        <v>19</v>
      </c>
      <c r="C203" s="336">
        <v>45351.0</v>
      </c>
    </row>
    <row r="204">
      <c r="A204" s="162" t="s">
        <v>1468</v>
      </c>
      <c r="B204" s="162" t="s">
        <v>19</v>
      </c>
      <c r="C204" s="336">
        <v>45351.0</v>
      </c>
    </row>
    <row r="205">
      <c r="A205" s="162" t="s">
        <v>1468</v>
      </c>
      <c r="B205" s="162" t="s">
        <v>19</v>
      </c>
      <c r="C205" s="336">
        <v>45351.0</v>
      </c>
    </row>
    <row r="206">
      <c r="A206" s="162" t="s">
        <v>1468</v>
      </c>
      <c r="B206" s="162" t="s">
        <v>19</v>
      </c>
      <c r="C206" s="336">
        <v>45355.0</v>
      </c>
    </row>
    <row r="207">
      <c r="A207" s="162" t="s">
        <v>1468</v>
      </c>
      <c r="B207" s="162" t="s">
        <v>19</v>
      </c>
      <c r="C207" s="336">
        <v>45356.0</v>
      </c>
    </row>
    <row r="208">
      <c r="A208" s="162" t="s">
        <v>1468</v>
      </c>
      <c r="B208" s="162" t="s">
        <v>19</v>
      </c>
      <c r="C208" s="336">
        <v>45356.0</v>
      </c>
    </row>
    <row r="209">
      <c r="A209" s="162" t="s">
        <v>1468</v>
      </c>
      <c r="B209" s="162" t="s">
        <v>19</v>
      </c>
      <c r="C209" s="336">
        <v>45357.0</v>
      </c>
    </row>
    <row r="210">
      <c r="A210" s="162" t="s">
        <v>1468</v>
      </c>
      <c r="B210" s="162" t="s">
        <v>19</v>
      </c>
      <c r="C210" s="336">
        <v>45357.0</v>
      </c>
    </row>
    <row r="211">
      <c r="A211" s="162" t="s">
        <v>1468</v>
      </c>
      <c r="B211" s="162" t="s">
        <v>19</v>
      </c>
      <c r="C211" s="336">
        <v>45357.0</v>
      </c>
    </row>
    <row r="212">
      <c r="A212" s="162" t="s">
        <v>1469</v>
      </c>
      <c r="B212" s="162" t="s">
        <v>91</v>
      </c>
      <c r="C212" s="336">
        <v>45351.0</v>
      </c>
    </row>
    <row r="213">
      <c r="A213" s="162" t="s">
        <v>1469</v>
      </c>
      <c r="B213" s="162" t="s">
        <v>91</v>
      </c>
      <c r="C213" s="336">
        <v>45351.0</v>
      </c>
    </row>
    <row r="214">
      <c r="A214" s="162" t="s">
        <v>1469</v>
      </c>
      <c r="B214" s="162" t="s">
        <v>91</v>
      </c>
      <c r="C214" s="336">
        <v>45351.0</v>
      </c>
    </row>
    <row r="215">
      <c r="A215" s="162" t="s">
        <v>1469</v>
      </c>
      <c r="B215" s="162" t="s">
        <v>91</v>
      </c>
      <c r="C215" s="336">
        <v>45351.0</v>
      </c>
    </row>
    <row r="216">
      <c r="A216" s="162" t="s">
        <v>1469</v>
      </c>
      <c r="B216" s="162" t="s">
        <v>91</v>
      </c>
      <c r="C216" s="336">
        <v>45351.0</v>
      </c>
    </row>
    <row r="217">
      <c r="A217" s="162" t="s">
        <v>1469</v>
      </c>
      <c r="B217" s="162" t="s">
        <v>91</v>
      </c>
      <c r="C217" s="336">
        <v>45351.0</v>
      </c>
    </row>
    <row r="218">
      <c r="A218" s="162" t="s">
        <v>1469</v>
      </c>
      <c r="B218" s="162" t="s">
        <v>91</v>
      </c>
      <c r="C218" s="336">
        <v>45351.0</v>
      </c>
    </row>
    <row r="219">
      <c r="A219" s="162" t="s">
        <v>1470</v>
      </c>
      <c r="B219" s="162" t="s">
        <v>79</v>
      </c>
      <c r="C219" s="336">
        <v>45358.0</v>
      </c>
    </row>
    <row r="220">
      <c r="A220" s="162" t="s">
        <v>1470</v>
      </c>
      <c r="B220" s="162" t="s">
        <v>79</v>
      </c>
      <c r="C220" s="336">
        <v>45358.0</v>
      </c>
    </row>
    <row r="221">
      <c r="A221" s="162" t="s">
        <v>1470</v>
      </c>
      <c r="B221" s="162" t="s">
        <v>79</v>
      </c>
      <c r="C221" s="336">
        <v>45358.0</v>
      </c>
    </row>
    <row r="222">
      <c r="A222" s="162" t="s">
        <v>1470</v>
      </c>
      <c r="B222" s="162" t="s">
        <v>79</v>
      </c>
      <c r="C222" s="336">
        <v>45358.0</v>
      </c>
    </row>
    <row r="223">
      <c r="A223" s="162" t="s">
        <v>1470</v>
      </c>
      <c r="B223" s="162" t="s">
        <v>79</v>
      </c>
      <c r="C223" s="336">
        <v>45358.0</v>
      </c>
    </row>
    <row r="224">
      <c r="A224" s="162" t="s">
        <v>1470</v>
      </c>
      <c r="B224" s="162" t="s">
        <v>79</v>
      </c>
      <c r="C224" s="336">
        <v>45358.0</v>
      </c>
    </row>
    <row r="225">
      <c r="A225" s="162" t="s">
        <v>1470</v>
      </c>
      <c r="B225" s="162" t="s">
        <v>79</v>
      </c>
      <c r="C225" s="336">
        <v>45358.0</v>
      </c>
    </row>
    <row r="226">
      <c r="A226" s="162" t="s">
        <v>1470</v>
      </c>
      <c r="B226" s="162" t="s">
        <v>79</v>
      </c>
      <c r="C226" s="336">
        <v>45358.0</v>
      </c>
    </row>
    <row r="227">
      <c r="A227" s="162" t="s">
        <v>1470</v>
      </c>
      <c r="B227" s="162" t="s">
        <v>79</v>
      </c>
      <c r="C227" s="336">
        <v>45358.0</v>
      </c>
    </row>
    <row r="228">
      <c r="A228" s="162" t="s">
        <v>1470</v>
      </c>
      <c r="B228" s="162" t="s">
        <v>79</v>
      </c>
      <c r="C228" s="336">
        <v>45358.0</v>
      </c>
    </row>
    <row r="229">
      <c r="A229" s="162" t="s">
        <v>1470</v>
      </c>
      <c r="B229" s="162" t="s">
        <v>79</v>
      </c>
      <c r="C229" s="336">
        <v>45358.0</v>
      </c>
    </row>
    <row r="230">
      <c r="A230" s="162" t="s">
        <v>1470</v>
      </c>
      <c r="B230" s="162" t="s">
        <v>79</v>
      </c>
      <c r="C230" s="336">
        <v>45358.0</v>
      </c>
    </row>
    <row r="231">
      <c r="A231" s="162" t="s">
        <v>1470</v>
      </c>
      <c r="B231" s="162" t="s">
        <v>79</v>
      </c>
      <c r="C231" s="336">
        <v>45358.0</v>
      </c>
    </row>
    <row r="232">
      <c r="A232" s="162" t="s">
        <v>1470</v>
      </c>
      <c r="B232" s="162" t="s">
        <v>79</v>
      </c>
      <c r="C232" s="336">
        <v>45358.0</v>
      </c>
    </row>
    <row r="233">
      <c r="A233" s="162" t="s">
        <v>1470</v>
      </c>
      <c r="B233" s="162" t="s">
        <v>79</v>
      </c>
      <c r="C233" s="336">
        <v>45358.0</v>
      </c>
    </row>
    <row r="234">
      <c r="A234" s="162" t="s">
        <v>1470</v>
      </c>
      <c r="B234" s="162" t="s">
        <v>79</v>
      </c>
      <c r="C234" s="336">
        <v>45358.0</v>
      </c>
    </row>
    <row r="235">
      <c r="A235" s="162" t="s">
        <v>1470</v>
      </c>
      <c r="B235" s="162" t="s">
        <v>79</v>
      </c>
      <c r="C235" s="336">
        <v>45358.0</v>
      </c>
    </row>
    <row r="236">
      <c r="A236" s="162" t="s">
        <v>1470</v>
      </c>
      <c r="B236" s="162" t="s">
        <v>79</v>
      </c>
      <c r="C236" s="336">
        <v>45358.0</v>
      </c>
    </row>
    <row r="237">
      <c r="A237" s="162" t="s">
        <v>1470</v>
      </c>
      <c r="B237" s="162" t="s">
        <v>79</v>
      </c>
      <c r="C237" s="336">
        <v>45358.0</v>
      </c>
    </row>
    <row r="238">
      <c r="A238" s="162" t="s">
        <v>1470</v>
      </c>
      <c r="B238" s="162" t="s">
        <v>79</v>
      </c>
      <c r="C238" s="336">
        <v>45358.0</v>
      </c>
    </row>
    <row r="239">
      <c r="A239" s="162" t="s">
        <v>1470</v>
      </c>
      <c r="B239" s="162" t="s">
        <v>79</v>
      </c>
      <c r="C239" s="336">
        <v>45358.0</v>
      </c>
    </row>
    <row r="240">
      <c r="A240" s="162" t="s">
        <v>1470</v>
      </c>
      <c r="B240" s="162" t="s">
        <v>79</v>
      </c>
      <c r="C240" s="336">
        <v>45358.0</v>
      </c>
    </row>
    <row r="241">
      <c r="A241" s="162" t="s">
        <v>1470</v>
      </c>
      <c r="B241" s="162" t="s">
        <v>79</v>
      </c>
      <c r="C241" s="336">
        <v>45358.0</v>
      </c>
    </row>
    <row r="242">
      <c r="A242" s="162" t="s">
        <v>1470</v>
      </c>
      <c r="B242" s="162" t="s">
        <v>79</v>
      </c>
      <c r="C242" s="336">
        <v>45358.0</v>
      </c>
    </row>
    <row r="243">
      <c r="A243" s="162" t="s">
        <v>1470</v>
      </c>
      <c r="B243" s="162" t="s">
        <v>79</v>
      </c>
      <c r="C243" s="336">
        <v>45358.0</v>
      </c>
    </row>
    <row r="244">
      <c r="A244" s="162" t="s">
        <v>1470</v>
      </c>
      <c r="B244" s="162" t="s">
        <v>79</v>
      </c>
      <c r="C244" s="336">
        <v>45358.0</v>
      </c>
    </row>
    <row r="245">
      <c r="A245" s="162" t="s">
        <v>1470</v>
      </c>
      <c r="B245" s="162" t="s">
        <v>79</v>
      </c>
      <c r="C245" s="336">
        <v>45358.0</v>
      </c>
    </row>
    <row r="246">
      <c r="A246" s="162" t="s">
        <v>1470</v>
      </c>
      <c r="B246" s="162" t="s">
        <v>79</v>
      </c>
      <c r="C246" s="336">
        <v>45358.0</v>
      </c>
    </row>
    <row r="247">
      <c r="A247" s="162" t="s">
        <v>1470</v>
      </c>
      <c r="B247" s="162" t="s">
        <v>79</v>
      </c>
      <c r="C247" s="336">
        <v>45358.0</v>
      </c>
    </row>
    <row r="248">
      <c r="A248" s="162" t="s">
        <v>1470</v>
      </c>
      <c r="B248" s="162" t="s">
        <v>79</v>
      </c>
      <c r="C248" s="336">
        <v>45358.0</v>
      </c>
    </row>
    <row r="249">
      <c r="A249" s="162" t="s">
        <v>1470</v>
      </c>
      <c r="B249" s="162" t="s">
        <v>79</v>
      </c>
      <c r="C249" s="336">
        <v>45358.0</v>
      </c>
    </row>
    <row r="250">
      <c r="A250" s="162" t="s">
        <v>1470</v>
      </c>
      <c r="B250" s="162" t="s">
        <v>79</v>
      </c>
      <c r="C250" s="336">
        <v>45358.0</v>
      </c>
    </row>
    <row r="251">
      <c r="A251" s="162" t="s">
        <v>1470</v>
      </c>
      <c r="B251" s="162" t="s">
        <v>79</v>
      </c>
      <c r="C251" s="336">
        <v>45358.0</v>
      </c>
    </row>
    <row r="252">
      <c r="A252" s="162" t="s">
        <v>1470</v>
      </c>
      <c r="B252" s="162" t="s">
        <v>79</v>
      </c>
      <c r="C252" s="336">
        <v>45358.0</v>
      </c>
    </row>
    <row r="253">
      <c r="A253" s="162" t="s">
        <v>1470</v>
      </c>
      <c r="B253" s="162" t="s">
        <v>79</v>
      </c>
      <c r="C253" s="336">
        <v>45358.0</v>
      </c>
    </row>
    <row r="254">
      <c r="A254" s="162" t="s">
        <v>1470</v>
      </c>
      <c r="B254" s="162" t="s">
        <v>79</v>
      </c>
      <c r="C254" s="336">
        <v>45358.0</v>
      </c>
    </row>
    <row r="255">
      <c r="A255" s="162" t="s">
        <v>1470</v>
      </c>
      <c r="B255" s="162" t="s">
        <v>79</v>
      </c>
      <c r="C255" s="336">
        <v>45358.0</v>
      </c>
    </row>
    <row r="256">
      <c r="A256" s="162" t="s">
        <v>1470</v>
      </c>
      <c r="B256" s="162" t="s">
        <v>79</v>
      </c>
      <c r="C256" s="336">
        <v>45358.0</v>
      </c>
    </row>
    <row r="257">
      <c r="A257" s="162" t="s">
        <v>1470</v>
      </c>
      <c r="B257" s="162" t="s">
        <v>79</v>
      </c>
      <c r="C257" s="336">
        <v>45358.0</v>
      </c>
    </row>
    <row r="258">
      <c r="A258" s="162" t="s">
        <v>1470</v>
      </c>
      <c r="B258" s="162" t="s">
        <v>79</v>
      </c>
      <c r="C258" s="336">
        <v>45358.0</v>
      </c>
    </row>
    <row r="259">
      <c r="A259" s="162" t="s">
        <v>1470</v>
      </c>
      <c r="B259" s="162" t="s">
        <v>79</v>
      </c>
      <c r="C259" s="336">
        <v>45358.0</v>
      </c>
    </row>
    <row r="260">
      <c r="A260" s="162" t="s">
        <v>1470</v>
      </c>
      <c r="B260" s="162" t="s">
        <v>79</v>
      </c>
      <c r="C260" s="336">
        <v>45358.0</v>
      </c>
    </row>
    <row r="261">
      <c r="A261" s="162" t="s">
        <v>1470</v>
      </c>
      <c r="B261" s="162" t="s">
        <v>79</v>
      </c>
      <c r="C261" s="336">
        <v>45358.0</v>
      </c>
    </row>
    <row r="262">
      <c r="A262" s="162" t="s">
        <v>1470</v>
      </c>
      <c r="B262" s="162" t="s">
        <v>79</v>
      </c>
      <c r="C262" s="336">
        <v>45358.0</v>
      </c>
    </row>
    <row r="263">
      <c r="A263" s="162" t="s">
        <v>1470</v>
      </c>
      <c r="B263" s="162" t="s">
        <v>79</v>
      </c>
      <c r="C263" s="336">
        <v>45358.0</v>
      </c>
    </row>
    <row r="264">
      <c r="A264" s="162" t="s">
        <v>1470</v>
      </c>
      <c r="B264" s="162" t="s">
        <v>79</v>
      </c>
      <c r="C264" s="336">
        <v>45358.0</v>
      </c>
    </row>
    <row r="265">
      <c r="A265" s="162" t="s">
        <v>1470</v>
      </c>
      <c r="B265" s="162" t="s">
        <v>79</v>
      </c>
      <c r="C265" s="336">
        <v>45358.0</v>
      </c>
    </row>
    <row r="266">
      <c r="A266" s="162" t="s">
        <v>1470</v>
      </c>
      <c r="B266" s="162" t="s">
        <v>79</v>
      </c>
      <c r="C266" s="336">
        <v>45358.0</v>
      </c>
    </row>
    <row r="267">
      <c r="A267" s="162" t="s">
        <v>1470</v>
      </c>
      <c r="B267" s="162" t="s">
        <v>79</v>
      </c>
      <c r="C267" s="336">
        <v>45358.0</v>
      </c>
    </row>
    <row r="268">
      <c r="A268" s="162" t="s">
        <v>1470</v>
      </c>
      <c r="B268" s="162" t="s">
        <v>79</v>
      </c>
      <c r="C268" s="336">
        <v>45358.0</v>
      </c>
    </row>
    <row r="269">
      <c r="A269" s="162" t="s">
        <v>1470</v>
      </c>
      <c r="B269" s="162" t="s">
        <v>79</v>
      </c>
      <c r="C269" s="336">
        <v>45358.0</v>
      </c>
    </row>
    <row r="270">
      <c r="A270" s="162" t="s">
        <v>1470</v>
      </c>
      <c r="B270" s="162" t="s">
        <v>79</v>
      </c>
      <c r="C270" s="336">
        <v>45358.0</v>
      </c>
    </row>
    <row r="271">
      <c r="A271" s="162" t="s">
        <v>1470</v>
      </c>
      <c r="B271" s="162" t="s">
        <v>79</v>
      </c>
      <c r="C271" s="336">
        <v>45358.0</v>
      </c>
    </row>
    <row r="272">
      <c r="A272" s="162" t="s">
        <v>1470</v>
      </c>
      <c r="B272" s="162" t="s">
        <v>79</v>
      </c>
      <c r="C272" s="336">
        <v>45358.0</v>
      </c>
    </row>
    <row r="273">
      <c r="A273" s="162" t="s">
        <v>1470</v>
      </c>
      <c r="B273" s="162" t="s">
        <v>79</v>
      </c>
      <c r="C273" s="336">
        <v>45358.0</v>
      </c>
    </row>
    <row r="274">
      <c r="A274" s="162" t="s">
        <v>1470</v>
      </c>
      <c r="B274" s="162" t="s">
        <v>79</v>
      </c>
      <c r="C274" s="336">
        <v>45358.0</v>
      </c>
    </row>
    <row r="275">
      <c r="A275" s="162" t="s">
        <v>1470</v>
      </c>
      <c r="B275" s="162" t="s">
        <v>79</v>
      </c>
      <c r="C275" s="336">
        <v>45358.0</v>
      </c>
    </row>
    <row r="276">
      <c r="A276" s="162" t="s">
        <v>1470</v>
      </c>
      <c r="B276" s="162" t="s">
        <v>79</v>
      </c>
      <c r="C276" s="336">
        <v>45358.0</v>
      </c>
    </row>
    <row r="277">
      <c r="A277" s="162" t="s">
        <v>1470</v>
      </c>
      <c r="B277" s="162" t="s">
        <v>79</v>
      </c>
      <c r="C277" s="336">
        <v>45358.0</v>
      </c>
    </row>
    <row r="278">
      <c r="A278" s="162" t="s">
        <v>1470</v>
      </c>
      <c r="B278" s="162" t="s">
        <v>79</v>
      </c>
      <c r="C278" s="336">
        <v>45358.0</v>
      </c>
    </row>
    <row r="279">
      <c r="A279" s="162" t="s">
        <v>1470</v>
      </c>
      <c r="B279" s="162" t="s">
        <v>79</v>
      </c>
      <c r="C279" s="336">
        <v>45358.0</v>
      </c>
    </row>
    <row r="280">
      <c r="A280" s="162" t="s">
        <v>1470</v>
      </c>
      <c r="B280" s="162" t="s">
        <v>79</v>
      </c>
      <c r="C280" s="336">
        <v>45358.0</v>
      </c>
    </row>
    <row r="281">
      <c r="A281" s="162" t="s">
        <v>1470</v>
      </c>
      <c r="B281" s="162" t="s">
        <v>79</v>
      </c>
      <c r="C281" s="336">
        <v>45358.0</v>
      </c>
    </row>
    <row r="282">
      <c r="A282" s="162" t="s">
        <v>1470</v>
      </c>
      <c r="B282" s="162" t="s">
        <v>79</v>
      </c>
      <c r="C282" s="336">
        <v>45358.0</v>
      </c>
    </row>
    <row r="283">
      <c r="A283" s="162" t="s">
        <v>1470</v>
      </c>
      <c r="B283" s="162" t="s">
        <v>79</v>
      </c>
      <c r="C283" s="336">
        <v>45358.0</v>
      </c>
    </row>
    <row r="284">
      <c r="A284" s="162" t="s">
        <v>1470</v>
      </c>
      <c r="B284" s="162" t="s">
        <v>79</v>
      </c>
      <c r="C284" s="336">
        <v>45358.0</v>
      </c>
    </row>
    <row r="285">
      <c r="A285" s="162" t="s">
        <v>1470</v>
      </c>
      <c r="B285" s="162" t="s">
        <v>79</v>
      </c>
      <c r="C285" s="336">
        <v>45358.0</v>
      </c>
    </row>
    <row r="286">
      <c r="A286" s="162" t="s">
        <v>1470</v>
      </c>
      <c r="B286" s="162" t="s">
        <v>79</v>
      </c>
      <c r="C286" s="336">
        <v>45358.0</v>
      </c>
    </row>
    <row r="287">
      <c r="A287" s="162" t="s">
        <v>1471</v>
      </c>
      <c r="B287" s="162" t="s">
        <v>79</v>
      </c>
      <c r="C287" s="336">
        <v>45356.0</v>
      </c>
    </row>
    <row r="288">
      <c r="A288" s="162" t="s">
        <v>1471</v>
      </c>
      <c r="B288" s="162" t="s">
        <v>79</v>
      </c>
      <c r="C288" s="336">
        <v>45356.0</v>
      </c>
    </row>
    <row r="289">
      <c r="A289" s="162" t="s">
        <v>1471</v>
      </c>
      <c r="B289" s="162" t="s">
        <v>79</v>
      </c>
      <c r="C289" s="336">
        <v>45356.0</v>
      </c>
    </row>
    <row r="290">
      <c r="A290" s="162" t="s">
        <v>1471</v>
      </c>
      <c r="B290" s="162" t="s">
        <v>79</v>
      </c>
      <c r="C290" s="336">
        <v>45356.0</v>
      </c>
    </row>
    <row r="291">
      <c r="A291" s="162" t="s">
        <v>1471</v>
      </c>
      <c r="B291" s="162" t="s">
        <v>79</v>
      </c>
      <c r="C291" s="336">
        <v>45356.0</v>
      </c>
    </row>
    <row r="292">
      <c r="A292" s="162" t="s">
        <v>1471</v>
      </c>
      <c r="B292" s="162" t="s">
        <v>79</v>
      </c>
      <c r="C292" s="336">
        <v>45356.0</v>
      </c>
    </row>
    <row r="293">
      <c r="A293" s="162" t="s">
        <v>1471</v>
      </c>
      <c r="B293" s="162" t="s">
        <v>79</v>
      </c>
      <c r="C293" s="336">
        <v>45356.0</v>
      </c>
    </row>
    <row r="294">
      <c r="A294" s="162" t="s">
        <v>1471</v>
      </c>
      <c r="B294" s="162" t="s">
        <v>79</v>
      </c>
      <c r="C294" s="336">
        <v>45356.0</v>
      </c>
    </row>
    <row r="295">
      <c r="A295" s="162" t="s">
        <v>1471</v>
      </c>
      <c r="B295" s="162" t="s">
        <v>79</v>
      </c>
      <c r="C295" s="336">
        <v>45356.0</v>
      </c>
    </row>
    <row r="296">
      <c r="A296" s="162" t="s">
        <v>1471</v>
      </c>
      <c r="B296" s="162" t="s">
        <v>79</v>
      </c>
      <c r="C296" s="336">
        <v>45356.0</v>
      </c>
    </row>
    <row r="297">
      <c r="A297" s="162" t="s">
        <v>1471</v>
      </c>
      <c r="B297" s="162" t="s">
        <v>79</v>
      </c>
      <c r="C297" s="336">
        <v>45356.0</v>
      </c>
    </row>
    <row r="298">
      <c r="A298" s="162" t="s">
        <v>1471</v>
      </c>
      <c r="B298" s="162" t="s">
        <v>79</v>
      </c>
      <c r="C298" s="336">
        <v>45356.0</v>
      </c>
    </row>
    <row r="299">
      <c r="A299" s="162" t="s">
        <v>1471</v>
      </c>
      <c r="B299" s="162" t="s">
        <v>79</v>
      </c>
      <c r="C299" s="336">
        <v>45356.0</v>
      </c>
    </row>
    <row r="300">
      <c r="A300" s="162" t="s">
        <v>1471</v>
      </c>
      <c r="B300" s="162" t="s">
        <v>79</v>
      </c>
      <c r="C300" s="336">
        <v>45356.0</v>
      </c>
    </row>
    <row r="301">
      <c r="A301" s="162" t="s">
        <v>1471</v>
      </c>
      <c r="B301" s="162" t="s">
        <v>79</v>
      </c>
      <c r="C301" s="336">
        <v>45356.0</v>
      </c>
    </row>
    <row r="302">
      <c r="A302" s="162" t="s">
        <v>1471</v>
      </c>
      <c r="B302" s="162" t="s">
        <v>79</v>
      </c>
      <c r="C302" s="336">
        <v>45356.0</v>
      </c>
    </row>
    <row r="303">
      <c r="A303" s="162" t="s">
        <v>1471</v>
      </c>
      <c r="B303" s="162" t="s">
        <v>79</v>
      </c>
      <c r="C303" s="336">
        <v>45356.0</v>
      </c>
    </row>
    <row r="304">
      <c r="A304" s="162" t="s">
        <v>1471</v>
      </c>
      <c r="B304" s="162" t="s">
        <v>79</v>
      </c>
      <c r="C304" s="336">
        <v>45356.0</v>
      </c>
    </row>
    <row r="305">
      <c r="A305" s="162" t="s">
        <v>1471</v>
      </c>
      <c r="B305" s="162" t="s">
        <v>79</v>
      </c>
      <c r="C305" s="336">
        <v>45356.0</v>
      </c>
    </row>
    <row r="306">
      <c r="A306" s="162" t="s">
        <v>1471</v>
      </c>
      <c r="B306" s="162" t="s">
        <v>79</v>
      </c>
      <c r="C306" s="336">
        <v>45356.0</v>
      </c>
    </row>
    <row r="307">
      <c r="A307" s="162" t="s">
        <v>1471</v>
      </c>
      <c r="B307" s="162" t="s">
        <v>79</v>
      </c>
      <c r="C307" s="336">
        <v>45356.0</v>
      </c>
    </row>
    <row r="308">
      <c r="A308" s="162" t="s">
        <v>1471</v>
      </c>
      <c r="B308" s="162" t="s">
        <v>79</v>
      </c>
      <c r="C308" s="336">
        <v>45356.0</v>
      </c>
    </row>
    <row r="309">
      <c r="A309" s="162" t="s">
        <v>1471</v>
      </c>
      <c r="B309" s="162" t="s">
        <v>79</v>
      </c>
      <c r="C309" s="336">
        <v>45356.0</v>
      </c>
    </row>
    <row r="310">
      <c r="A310" s="162" t="s">
        <v>1471</v>
      </c>
      <c r="B310" s="162" t="s">
        <v>79</v>
      </c>
      <c r="C310" s="336">
        <v>45356.0</v>
      </c>
    </row>
    <row r="311">
      <c r="A311" s="162" t="s">
        <v>1471</v>
      </c>
      <c r="B311" s="162" t="s">
        <v>79</v>
      </c>
      <c r="C311" s="336">
        <v>45356.0</v>
      </c>
    </row>
    <row r="312">
      <c r="A312" s="162" t="s">
        <v>1471</v>
      </c>
      <c r="B312" s="162" t="s">
        <v>79</v>
      </c>
      <c r="C312" s="336">
        <v>45356.0</v>
      </c>
    </row>
    <row r="313">
      <c r="A313" s="162" t="s">
        <v>1471</v>
      </c>
      <c r="B313" s="162" t="s">
        <v>79</v>
      </c>
      <c r="C313" s="336">
        <v>45356.0</v>
      </c>
    </row>
    <row r="314">
      <c r="A314" s="162" t="s">
        <v>1471</v>
      </c>
      <c r="B314" s="162" t="s">
        <v>79</v>
      </c>
      <c r="C314" s="336">
        <v>45356.0</v>
      </c>
    </row>
    <row r="315">
      <c r="A315" s="162" t="s">
        <v>1471</v>
      </c>
      <c r="B315" s="162" t="s">
        <v>79</v>
      </c>
      <c r="C315" s="336">
        <v>45356.0</v>
      </c>
    </row>
    <row r="316">
      <c r="A316" s="162" t="s">
        <v>1472</v>
      </c>
      <c r="B316" s="162" t="s">
        <v>79</v>
      </c>
      <c r="C316" s="336">
        <v>45358.0</v>
      </c>
    </row>
    <row r="317">
      <c r="A317" s="162" t="s">
        <v>1472</v>
      </c>
      <c r="B317" s="162" t="s">
        <v>79</v>
      </c>
      <c r="C317" s="336">
        <v>45358.0</v>
      </c>
    </row>
    <row r="318">
      <c r="A318" s="162" t="s">
        <v>1472</v>
      </c>
      <c r="B318" s="162" t="s">
        <v>79</v>
      </c>
      <c r="C318" s="336">
        <v>45358.0</v>
      </c>
    </row>
    <row r="319">
      <c r="A319" s="162" t="s">
        <v>1472</v>
      </c>
      <c r="B319" s="162" t="s">
        <v>79</v>
      </c>
      <c r="C319" s="336">
        <v>45358.0</v>
      </c>
    </row>
    <row r="320">
      <c r="A320" s="162" t="s">
        <v>1472</v>
      </c>
      <c r="B320" s="162" t="s">
        <v>79</v>
      </c>
      <c r="C320" s="336">
        <v>45358.0</v>
      </c>
    </row>
    <row r="321">
      <c r="A321" s="162" t="s">
        <v>1472</v>
      </c>
      <c r="B321" s="162" t="s">
        <v>79</v>
      </c>
      <c r="C321" s="336">
        <v>45358.0</v>
      </c>
    </row>
    <row r="322">
      <c r="A322" s="162" t="s">
        <v>1472</v>
      </c>
      <c r="B322" s="162" t="s">
        <v>79</v>
      </c>
      <c r="C322" s="336">
        <v>45358.0</v>
      </c>
    </row>
    <row r="323">
      <c r="A323" s="162" t="s">
        <v>1472</v>
      </c>
      <c r="B323" s="162" t="s">
        <v>79</v>
      </c>
      <c r="C323" s="336">
        <v>45358.0</v>
      </c>
    </row>
    <row r="324">
      <c r="A324" s="162" t="s">
        <v>1472</v>
      </c>
      <c r="B324" s="162" t="s">
        <v>79</v>
      </c>
      <c r="C324" s="336">
        <v>45358.0</v>
      </c>
    </row>
    <row r="325">
      <c r="A325" s="162" t="s">
        <v>1472</v>
      </c>
      <c r="B325" s="162" t="s">
        <v>79</v>
      </c>
      <c r="C325" s="336">
        <v>45358.0</v>
      </c>
    </row>
    <row r="326">
      <c r="A326" s="162" t="s">
        <v>1472</v>
      </c>
      <c r="B326" s="162" t="s">
        <v>79</v>
      </c>
      <c r="C326" s="336">
        <v>45358.0</v>
      </c>
    </row>
    <row r="327">
      <c r="A327" s="162" t="s">
        <v>1472</v>
      </c>
      <c r="B327" s="162" t="s">
        <v>79</v>
      </c>
      <c r="C327" s="336">
        <v>45358.0</v>
      </c>
    </row>
    <row r="328">
      <c r="A328" s="162" t="s">
        <v>1472</v>
      </c>
      <c r="B328" s="162" t="s">
        <v>79</v>
      </c>
      <c r="C328" s="336">
        <v>45358.0</v>
      </c>
    </row>
    <row r="329">
      <c r="A329" s="162" t="s">
        <v>1472</v>
      </c>
      <c r="B329" s="162" t="s">
        <v>79</v>
      </c>
      <c r="C329" s="336">
        <v>45358.0</v>
      </c>
    </row>
    <row r="330">
      <c r="A330" s="162" t="s">
        <v>1472</v>
      </c>
      <c r="B330" s="162" t="s">
        <v>79</v>
      </c>
      <c r="C330" s="336">
        <v>45358.0</v>
      </c>
    </row>
    <row r="331">
      <c r="A331" s="162" t="s">
        <v>1472</v>
      </c>
      <c r="B331" s="162" t="s">
        <v>79</v>
      </c>
      <c r="C331" s="336">
        <v>45358.0</v>
      </c>
    </row>
    <row r="332">
      <c r="A332" s="162" t="s">
        <v>1472</v>
      </c>
      <c r="B332" s="162" t="s">
        <v>79</v>
      </c>
      <c r="C332" s="336">
        <v>45358.0</v>
      </c>
    </row>
    <row r="333">
      <c r="A333" s="162" t="s">
        <v>1472</v>
      </c>
      <c r="B333" s="162" t="s">
        <v>79</v>
      </c>
      <c r="C333" s="336">
        <v>45358.0</v>
      </c>
    </row>
    <row r="334">
      <c r="A334" s="162" t="s">
        <v>1472</v>
      </c>
      <c r="B334" s="162" t="s">
        <v>79</v>
      </c>
      <c r="C334" s="336">
        <v>45358.0</v>
      </c>
    </row>
    <row r="335">
      <c r="A335" s="162" t="s">
        <v>1472</v>
      </c>
      <c r="B335" s="162" t="s">
        <v>79</v>
      </c>
      <c r="C335" s="336">
        <v>45358.0</v>
      </c>
    </row>
    <row r="336">
      <c r="A336" s="162" t="s">
        <v>1472</v>
      </c>
      <c r="B336" s="162" t="s">
        <v>79</v>
      </c>
      <c r="C336" s="336">
        <v>45358.0</v>
      </c>
    </row>
    <row r="337">
      <c r="A337" s="162" t="s">
        <v>1472</v>
      </c>
      <c r="B337" s="162" t="s">
        <v>79</v>
      </c>
      <c r="C337" s="336">
        <v>45358.0</v>
      </c>
    </row>
    <row r="338">
      <c r="A338" s="162" t="s">
        <v>1472</v>
      </c>
      <c r="B338" s="162" t="s">
        <v>79</v>
      </c>
      <c r="C338" s="336">
        <v>45358.0</v>
      </c>
    </row>
    <row r="339">
      <c r="A339" s="162" t="s">
        <v>1472</v>
      </c>
      <c r="B339" s="162" t="s">
        <v>79</v>
      </c>
      <c r="C339" s="336">
        <v>45358.0</v>
      </c>
    </row>
    <row r="340">
      <c r="A340" s="162" t="s">
        <v>1472</v>
      </c>
      <c r="B340" s="162" t="s">
        <v>79</v>
      </c>
      <c r="C340" s="336">
        <v>45358.0</v>
      </c>
    </row>
    <row r="341">
      <c r="A341" s="162" t="s">
        <v>1472</v>
      </c>
      <c r="B341" s="162" t="s">
        <v>79</v>
      </c>
      <c r="C341" s="336">
        <v>45358.0</v>
      </c>
    </row>
    <row r="342">
      <c r="A342" s="162" t="s">
        <v>1472</v>
      </c>
      <c r="B342" s="162" t="s">
        <v>79</v>
      </c>
      <c r="C342" s="336">
        <v>45358.0</v>
      </c>
    </row>
    <row r="343">
      <c r="A343" s="162" t="s">
        <v>1472</v>
      </c>
      <c r="B343" s="162" t="s">
        <v>79</v>
      </c>
      <c r="C343" s="336">
        <v>45358.0</v>
      </c>
    </row>
    <row r="344">
      <c r="A344" s="162" t="s">
        <v>1472</v>
      </c>
      <c r="B344" s="162" t="s">
        <v>79</v>
      </c>
      <c r="C344" s="336">
        <v>45358.0</v>
      </c>
    </row>
    <row r="345">
      <c r="A345" s="162" t="s">
        <v>1472</v>
      </c>
      <c r="B345" s="162" t="s">
        <v>79</v>
      </c>
      <c r="C345" s="336">
        <v>45358.0</v>
      </c>
    </row>
    <row r="346">
      <c r="A346" s="162" t="s">
        <v>1472</v>
      </c>
      <c r="B346" s="162" t="s">
        <v>79</v>
      </c>
      <c r="C346" s="336">
        <v>45358.0</v>
      </c>
    </row>
    <row r="347">
      <c r="A347" s="162" t="s">
        <v>1472</v>
      </c>
      <c r="B347" s="162" t="s">
        <v>79</v>
      </c>
      <c r="C347" s="336">
        <v>45358.0</v>
      </c>
    </row>
    <row r="348">
      <c r="A348" s="162" t="s">
        <v>1472</v>
      </c>
      <c r="B348" s="162" t="s">
        <v>79</v>
      </c>
      <c r="C348" s="336">
        <v>45358.0</v>
      </c>
    </row>
    <row r="349">
      <c r="A349" s="162" t="s">
        <v>1472</v>
      </c>
      <c r="B349" s="162" t="s">
        <v>79</v>
      </c>
      <c r="C349" s="336">
        <v>45358.0</v>
      </c>
    </row>
    <row r="350">
      <c r="A350" s="162" t="s">
        <v>1472</v>
      </c>
      <c r="B350" s="162" t="s">
        <v>79</v>
      </c>
      <c r="C350" s="336">
        <v>45358.0</v>
      </c>
    </row>
    <row r="351">
      <c r="A351" s="162" t="s">
        <v>1472</v>
      </c>
      <c r="B351" s="162" t="s">
        <v>79</v>
      </c>
      <c r="C351" s="336">
        <v>45358.0</v>
      </c>
    </row>
    <row r="352">
      <c r="A352" s="162" t="s">
        <v>1472</v>
      </c>
      <c r="B352" s="162" t="s">
        <v>79</v>
      </c>
      <c r="C352" s="336">
        <v>45358.0</v>
      </c>
    </row>
    <row r="353">
      <c r="A353" s="162" t="s">
        <v>1472</v>
      </c>
      <c r="B353" s="162" t="s">
        <v>79</v>
      </c>
      <c r="C353" s="336">
        <v>45358.0</v>
      </c>
    </row>
    <row r="354">
      <c r="A354" s="162" t="s">
        <v>1472</v>
      </c>
      <c r="B354" s="162" t="s">
        <v>79</v>
      </c>
      <c r="C354" s="336">
        <v>45358.0</v>
      </c>
    </row>
    <row r="355">
      <c r="A355" s="162" t="s">
        <v>1472</v>
      </c>
      <c r="B355" s="162" t="s">
        <v>79</v>
      </c>
      <c r="C355" s="336">
        <v>45358.0</v>
      </c>
    </row>
    <row r="356">
      <c r="A356" s="162" t="s">
        <v>1472</v>
      </c>
      <c r="B356" s="162" t="s">
        <v>79</v>
      </c>
      <c r="C356" s="336">
        <v>45358.0</v>
      </c>
    </row>
    <row r="357">
      <c r="A357" s="162" t="s">
        <v>1472</v>
      </c>
      <c r="B357" s="162" t="s">
        <v>79</v>
      </c>
      <c r="C357" s="336">
        <v>45358.0</v>
      </c>
    </row>
    <row r="358">
      <c r="A358" s="162" t="s">
        <v>1472</v>
      </c>
      <c r="B358" s="162" t="s">
        <v>79</v>
      </c>
      <c r="C358" s="336">
        <v>45358.0</v>
      </c>
    </row>
    <row r="359">
      <c r="A359" s="162" t="s">
        <v>1472</v>
      </c>
      <c r="B359" s="162" t="s">
        <v>79</v>
      </c>
      <c r="C359" s="336">
        <v>45358.0</v>
      </c>
    </row>
    <row r="360">
      <c r="A360" s="162" t="s">
        <v>1472</v>
      </c>
      <c r="B360" s="162" t="s">
        <v>79</v>
      </c>
      <c r="C360" s="336">
        <v>45358.0</v>
      </c>
    </row>
    <row r="361">
      <c r="A361" s="162" t="s">
        <v>1472</v>
      </c>
      <c r="B361" s="162" t="s">
        <v>79</v>
      </c>
      <c r="C361" s="336">
        <v>45358.0</v>
      </c>
    </row>
    <row r="362">
      <c r="A362" s="162" t="s">
        <v>1472</v>
      </c>
      <c r="B362" s="162" t="s">
        <v>79</v>
      </c>
      <c r="C362" s="336">
        <v>45358.0</v>
      </c>
    </row>
    <row r="363">
      <c r="A363" s="162" t="s">
        <v>1472</v>
      </c>
      <c r="B363" s="162" t="s">
        <v>79</v>
      </c>
      <c r="C363" s="336">
        <v>45358.0</v>
      </c>
    </row>
    <row r="364">
      <c r="A364" s="162" t="s">
        <v>1472</v>
      </c>
      <c r="B364" s="162" t="s">
        <v>79</v>
      </c>
      <c r="C364" s="336">
        <v>45358.0</v>
      </c>
    </row>
    <row r="365">
      <c r="A365" s="162" t="s">
        <v>1472</v>
      </c>
      <c r="B365" s="162" t="s">
        <v>79</v>
      </c>
      <c r="C365" s="336">
        <v>45358.0</v>
      </c>
    </row>
    <row r="366">
      <c r="A366" s="162" t="s">
        <v>1472</v>
      </c>
      <c r="B366" s="162" t="s">
        <v>79</v>
      </c>
      <c r="C366" s="336">
        <v>45358.0</v>
      </c>
    </row>
    <row r="367">
      <c r="A367" s="162" t="s">
        <v>1472</v>
      </c>
      <c r="B367" s="162" t="s">
        <v>79</v>
      </c>
      <c r="C367" s="336">
        <v>45358.0</v>
      </c>
    </row>
    <row r="368">
      <c r="A368" s="162" t="s">
        <v>1472</v>
      </c>
      <c r="B368" s="162" t="s">
        <v>79</v>
      </c>
      <c r="C368" s="336">
        <v>45358.0</v>
      </c>
    </row>
    <row r="369">
      <c r="A369" s="162" t="s">
        <v>1472</v>
      </c>
      <c r="B369" s="162" t="s">
        <v>79</v>
      </c>
      <c r="C369" s="336">
        <v>45358.0</v>
      </c>
    </row>
    <row r="370">
      <c r="A370" s="162" t="s">
        <v>1472</v>
      </c>
      <c r="B370" s="162" t="s">
        <v>79</v>
      </c>
      <c r="C370" s="336">
        <v>45358.0</v>
      </c>
    </row>
    <row r="371">
      <c r="A371" s="162" t="s">
        <v>1472</v>
      </c>
      <c r="B371" s="162" t="s">
        <v>79</v>
      </c>
      <c r="C371" s="336">
        <v>45358.0</v>
      </c>
    </row>
    <row r="372">
      <c r="A372" s="162" t="s">
        <v>1472</v>
      </c>
      <c r="B372" s="162" t="s">
        <v>79</v>
      </c>
      <c r="C372" s="336">
        <v>45358.0</v>
      </c>
    </row>
    <row r="373">
      <c r="A373" s="162" t="s">
        <v>1472</v>
      </c>
      <c r="B373" s="162" t="s">
        <v>79</v>
      </c>
      <c r="C373" s="336">
        <v>45358.0</v>
      </c>
    </row>
    <row r="374">
      <c r="A374" s="162" t="s">
        <v>1472</v>
      </c>
      <c r="B374" s="162" t="s">
        <v>79</v>
      </c>
      <c r="C374" s="336">
        <v>45358.0</v>
      </c>
    </row>
    <row r="375">
      <c r="A375" s="162" t="s">
        <v>1472</v>
      </c>
      <c r="B375" s="162" t="s">
        <v>79</v>
      </c>
      <c r="C375" s="336">
        <v>45358.0</v>
      </c>
    </row>
    <row r="376">
      <c r="A376" s="162" t="s">
        <v>1472</v>
      </c>
      <c r="B376" s="162" t="s">
        <v>79</v>
      </c>
      <c r="C376" s="336">
        <v>45358.0</v>
      </c>
    </row>
    <row r="377">
      <c r="A377" s="162" t="s">
        <v>1472</v>
      </c>
      <c r="B377" s="162" t="s">
        <v>79</v>
      </c>
      <c r="C377" s="336">
        <v>45358.0</v>
      </c>
    </row>
    <row r="378">
      <c r="A378" s="162" t="s">
        <v>1472</v>
      </c>
      <c r="B378" s="162" t="s">
        <v>79</v>
      </c>
      <c r="C378" s="336">
        <v>45358.0</v>
      </c>
    </row>
    <row r="379">
      <c r="A379" s="162" t="s">
        <v>1472</v>
      </c>
      <c r="B379" s="162" t="s">
        <v>79</v>
      </c>
      <c r="C379" s="336">
        <v>45358.0</v>
      </c>
    </row>
    <row r="380">
      <c r="A380" s="162" t="s">
        <v>1472</v>
      </c>
      <c r="B380" s="162" t="s">
        <v>79</v>
      </c>
      <c r="C380" s="336">
        <v>45358.0</v>
      </c>
    </row>
    <row r="381">
      <c r="A381" s="162" t="s">
        <v>1472</v>
      </c>
      <c r="B381" s="162" t="s">
        <v>79</v>
      </c>
      <c r="C381" s="336">
        <v>45358.0</v>
      </c>
    </row>
    <row r="382">
      <c r="A382" s="162" t="s">
        <v>1472</v>
      </c>
      <c r="B382" s="162" t="s">
        <v>79</v>
      </c>
      <c r="C382" s="336">
        <v>45358.0</v>
      </c>
    </row>
    <row r="383">
      <c r="A383" s="162" t="s">
        <v>1472</v>
      </c>
      <c r="B383" s="162" t="s">
        <v>79</v>
      </c>
      <c r="C383" s="336">
        <v>45358.0</v>
      </c>
    </row>
    <row r="384">
      <c r="A384" s="162" t="s">
        <v>1472</v>
      </c>
      <c r="B384" s="162" t="s">
        <v>79</v>
      </c>
      <c r="C384" s="336">
        <v>45358.0</v>
      </c>
    </row>
    <row r="385">
      <c r="A385" s="162" t="s">
        <v>1472</v>
      </c>
      <c r="B385" s="162" t="s">
        <v>79</v>
      </c>
      <c r="C385" s="336">
        <v>45358.0</v>
      </c>
    </row>
    <row r="386">
      <c r="A386" s="162" t="s">
        <v>1472</v>
      </c>
      <c r="B386" s="162" t="s">
        <v>79</v>
      </c>
      <c r="C386" s="336">
        <v>45358.0</v>
      </c>
    </row>
    <row r="387">
      <c r="A387" s="162" t="s">
        <v>1472</v>
      </c>
      <c r="B387" s="162" t="s">
        <v>79</v>
      </c>
      <c r="C387" s="336">
        <v>45358.0</v>
      </c>
    </row>
    <row r="388">
      <c r="A388" s="162" t="s">
        <v>1473</v>
      </c>
      <c r="B388" s="162" t="s">
        <v>79</v>
      </c>
      <c r="C388" s="336">
        <v>45358.0</v>
      </c>
    </row>
    <row r="389">
      <c r="A389" s="162" t="s">
        <v>1473</v>
      </c>
      <c r="B389" s="162" t="s">
        <v>79</v>
      </c>
      <c r="C389" s="336">
        <v>45358.0</v>
      </c>
    </row>
    <row r="390">
      <c r="A390" s="162" t="s">
        <v>1473</v>
      </c>
      <c r="B390" s="162" t="s">
        <v>79</v>
      </c>
      <c r="C390" s="336">
        <v>45358.0</v>
      </c>
    </row>
    <row r="391">
      <c r="A391" s="162" t="s">
        <v>1473</v>
      </c>
      <c r="B391" s="162" t="s">
        <v>79</v>
      </c>
      <c r="C391" s="336">
        <v>45358.0</v>
      </c>
    </row>
    <row r="392">
      <c r="A392" s="162" t="s">
        <v>1473</v>
      </c>
      <c r="B392" s="162" t="s">
        <v>79</v>
      </c>
      <c r="C392" s="336">
        <v>45358.0</v>
      </c>
    </row>
    <row r="393">
      <c r="A393" s="162" t="s">
        <v>1473</v>
      </c>
      <c r="B393" s="162" t="s">
        <v>79</v>
      </c>
      <c r="C393" s="336">
        <v>45358.0</v>
      </c>
    </row>
    <row r="394">
      <c r="A394" s="162" t="s">
        <v>1473</v>
      </c>
      <c r="B394" s="162" t="s">
        <v>79</v>
      </c>
      <c r="C394" s="336">
        <v>45358.0</v>
      </c>
    </row>
    <row r="395">
      <c r="A395" s="162" t="s">
        <v>1473</v>
      </c>
      <c r="B395" s="162" t="s">
        <v>79</v>
      </c>
      <c r="C395" s="336">
        <v>45358.0</v>
      </c>
    </row>
    <row r="396">
      <c r="A396" s="162" t="s">
        <v>1473</v>
      </c>
      <c r="B396" s="162" t="s">
        <v>79</v>
      </c>
      <c r="C396" s="336">
        <v>45358.0</v>
      </c>
    </row>
    <row r="397">
      <c r="A397" s="162" t="s">
        <v>1473</v>
      </c>
      <c r="B397" s="162" t="s">
        <v>79</v>
      </c>
      <c r="C397" s="336">
        <v>45358.0</v>
      </c>
    </row>
    <row r="398">
      <c r="A398" s="162" t="s">
        <v>1473</v>
      </c>
      <c r="B398" s="162" t="s">
        <v>79</v>
      </c>
      <c r="C398" s="336">
        <v>45358.0</v>
      </c>
    </row>
    <row r="399">
      <c r="A399" s="162" t="s">
        <v>1473</v>
      </c>
      <c r="B399" s="162" t="s">
        <v>79</v>
      </c>
      <c r="C399" s="336">
        <v>45358.0</v>
      </c>
    </row>
    <row r="400">
      <c r="A400" s="162" t="s">
        <v>1473</v>
      </c>
      <c r="B400" s="162" t="s">
        <v>79</v>
      </c>
      <c r="C400" s="336">
        <v>45358.0</v>
      </c>
    </row>
    <row r="401">
      <c r="A401" s="162" t="s">
        <v>1473</v>
      </c>
      <c r="B401" s="162" t="s">
        <v>79</v>
      </c>
      <c r="C401" s="336">
        <v>45358.0</v>
      </c>
    </row>
    <row r="402">
      <c r="A402" s="162" t="s">
        <v>1473</v>
      </c>
      <c r="B402" s="162" t="s">
        <v>79</v>
      </c>
      <c r="C402" s="336">
        <v>45358.0</v>
      </c>
    </row>
    <row r="403">
      <c r="A403" s="162" t="s">
        <v>1473</v>
      </c>
      <c r="B403" s="162" t="s">
        <v>79</v>
      </c>
      <c r="C403" s="336">
        <v>45358.0</v>
      </c>
    </row>
    <row r="404">
      <c r="A404" s="162" t="s">
        <v>1473</v>
      </c>
      <c r="B404" s="162" t="s">
        <v>79</v>
      </c>
      <c r="C404" s="336">
        <v>45358.0</v>
      </c>
    </row>
    <row r="405">
      <c r="A405" s="162" t="s">
        <v>1473</v>
      </c>
      <c r="B405" s="162" t="s">
        <v>79</v>
      </c>
      <c r="C405" s="336">
        <v>45358.0</v>
      </c>
    </row>
    <row r="406">
      <c r="A406" s="162" t="s">
        <v>1473</v>
      </c>
      <c r="B406" s="162" t="s">
        <v>79</v>
      </c>
      <c r="C406" s="336">
        <v>45358.0</v>
      </c>
    </row>
    <row r="407">
      <c r="A407" s="162" t="s">
        <v>1473</v>
      </c>
      <c r="B407" s="162" t="s">
        <v>79</v>
      </c>
      <c r="C407" s="336">
        <v>45358.0</v>
      </c>
    </row>
    <row r="408">
      <c r="A408" s="162" t="s">
        <v>1473</v>
      </c>
      <c r="B408" s="162" t="s">
        <v>79</v>
      </c>
      <c r="C408" s="336">
        <v>45358.0</v>
      </c>
    </row>
    <row r="409">
      <c r="A409" s="162" t="s">
        <v>1473</v>
      </c>
      <c r="B409" s="162" t="s">
        <v>79</v>
      </c>
      <c r="C409" s="336">
        <v>45358.0</v>
      </c>
    </row>
    <row r="410">
      <c r="A410" s="162" t="s">
        <v>1473</v>
      </c>
      <c r="B410" s="162" t="s">
        <v>79</v>
      </c>
      <c r="C410" s="336">
        <v>45358.0</v>
      </c>
    </row>
    <row r="411">
      <c r="A411" s="162" t="s">
        <v>1473</v>
      </c>
      <c r="B411" s="162" t="s">
        <v>79</v>
      </c>
      <c r="C411" s="336">
        <v>45358.0</v>
      </c>
    </row>
    <row r="412">
      <c r="A412" s="162" t="s">
        <v>1473</v>
      </c>
      <c r="B412" s="162" t="s">
        <v>79</v>
      </c>
      <c r="C412" s="336">
        <v>45358.0</v>
      </c>
    </row>
    <row r="413">
      <c r="A413" s="162" t="s">
        <v>1473</v>
      </c>
      <c r="B413" s="162" t="s">
        <v>79</v>
      </c>
      <c r="C413" s="336">
        <v>45358.0</v>
      </c>
    </row>
    <row r="414">
      <c r="A414" s="162" t="s">
        <v>1473</v>
      </c>
      <c r="B414" s="162" t="s">
        <v>79</v>
      </c>
      <c r="C414" s="336">
        <v>45358.0</v>
      </c>
    </row>
    <row r="415">
      <c r="A415" s="162" t="s">
        <v>1473</v>
      </c>
      <c r="B415" s="162" t="s">
        <v>79</v>
      </c>
      <c r="C415" s="336">
        <v>45358.0</v>
      </c>
    </row>
    <row r="416">
      <c r="A416" s="162" t="s">
        <v>1473</v>
      </c>
      <c r="B416" s="162" t="s">
        <v>79</v>
      </c>
      <c r="C416" s="336">
        <v>45358.0</v>
      </c>
    </row>
    <row r="417">
      <c r="A417" s="162" t="s">
        <v>1473</v>
      </c>
      <c r="B417" s="162" t="s">
        <v>79</v>
      </c>
      <c r="C417" s="336">
        <v>45358.0</v>
      </c>
    </row>
    <row r="418">
      <c r="A418" s="162" t="s">
        <v>1473</v>
      </c>
      <c r="B418" s="162" t="s">
        <v>79</v>
      </c>
      <c r="C418" s="336">
        <v>45358.0</v>
      </c>
    </row>
    <row r="419">
      <c r="A419" s="162" t="s">
        <v>1473</v>
      </c>
      <c r="B419" s="162" t="s">
        <v>79</v>
      </c>
      <c r="C419" s="336">
        <v>45358.0</v>
      </c>
    </row>
    <row r="420">
      <c r="A420" s="162" t="s">
        <v>1473</v>
      </c>
      <c r="B420" s="162" t="s">
        <v>79</v>
      </c>
      <c r="C420" s="336">
        <v>45358.0</v>
      </c>
    </row>
    <row r="421">
      <c r="A421" s="162" t="s">
        <v>1473</v>
      </c>
      <c r="B421" s="162" t="s">
        <v>79</v>
      </c>
      <c r="C421" s="336">
        <v>45358.0</v>
      </c>
    </row>
    <row r="422">
      <c r="A422" s="162" t="s">
        <v>1473</v>
      </c>
      <c r="B422" s="162" t="s">
        <v>79</v>
      </c>
      <c r="C422" s="336">
        <v>45358.0</v>
      </c>
    </row>
    <row r="423">
      <c r="A423" s="162" t="s">
        <v>1473</v>
      </c>
      <c r="B423" s="162" t="s">
        <v>79</v>
      </c>
      <c r="C423" s="336">
        <v>45358.0</v>
      </c>
    </row>
    <row r="424">
      <c r="A424" s="162" t="s">
        <v>1473</v>
      </c>
      <c r="B424" s="162" t="s">
        <v>79</v>
      </c>
      <c r="C424" s="336">
        <v>45358.0</v>
      </c>
    </row>
    <row r="425">
      <c r="A425" s="162" t="s">
        <v>1473</v>
      </c>
      <c r="B425" s="162" t="s">
        <v>79</v>
      </c>
      <c r="C425" s="336">
        <v>45358.0</v>
      </c>
    </row>
    <row r="426">
      <c r="A426" s="162" t="s">
        <v>1473</v>
      </c>
      <c r="B426" s="162" t="s">
        <v>79</v>
      </c>
      <c r="C426" s="336">
        <v>45358.0</v>
      </c>
    </row>
    <row r="427">
      <c r="A427" s="162" t="s">
        <v>1473</v>
      </c>
      <c r="B427" s="162" t="s">
        <v>79</v>
      </c>
      <c r="C427" s="336">
        <v>45358.0</v>
      </c>
    </row>
    <row r="428">
      <c r="A428" s="162" t="s">
        <v>1473</v>
      </c>
      <c r="B428" s="162" t="s">
        <v>79</v>
      </c>
      <c r="C428" s="336">
        <v>45358.0</v>
      </c>
    </row>
    <row r="429">
      <c r="A429" s="162" t="s">
        <v>1473</v>
      </c>
      <c r="B429" s="162" t="s">
        <v>79</v>
      </c>
      <c r="C429" s="336">
        <v>45358.0</v>
      </c>
    </row>
    <row r="430">
      <c r="A430" s="162" t="s">
        <v>1473</v>
      </c>
      <c r="B430" s="162" t="s">
        <v>79</v>
      </c>
      <c r="C430" s="336">
        <v>45358.0</v>
      </c>
    </row>
    <row r="431">
      <c r="A431" s="162" t="s">
        <v>1473</v>
      </c>
      <c r="B431" s="162" t="s">
        <v>79</v>
      </c>
      <c r="C431" s="336">
        <v>45358.0</v>
      </c>
    </row>
    <row r="432">
      <c r="A432" s="162" t="s">
        <v>1473</v>
      </c>
      <c r="B432" s="162" t="s">
        <v>79</v>
      </c>
      <c r="C432" s="336">
        <v>45358.0</v>
      </c>
    </row>
    <row r="433">
      <c r="A433" s="162" t="s">
        <v>1473</v>
      </c>
      <c r="B433" s="162" t="s">
        <v>79</v>
      </c>
      <c r="C433" s="336">
        <v>45358.0</v>
      </c>
    </row>
    <row r="434">
      <c r="A434" s="162" t="s">
        <v>1473</v>
      </c>
      <c r="B434" s="162" t="s">
        <v>79</v>
      </c>
      <c r="C434" s="336">
        <v>45358.0</v>
      </c>
    </row>
    <row r="435">
      <c r="A435" s="162" t="s">
        <v>1473</v>
      </c>
      <c r="B435" s="162" t="s">
        <v>79</v>
      </c>
      <c r="C435" s="336">
        <v>45358.0</v>
      </c>
    </row>
    <row r="436">
      <c r="A436" s="162" t="s">
        <v>1473</v>
      </c>
      <c r="B436" s="162" t="s">
        <v>79</v>
      </c>
      <c r="C436" s="336">
        <v>45358.0</v>
      </c>
    </row>
    <row r="437">
      <c r="A437" s="162" t="s">
        <v>1473</v>
      </c>
      <c r="B437" s="162" t="s">
        <v>79</v>
      </c>
      <c r="C437" s="336">
        <v>45358.0</v>
      </c>
    </row>
    <row r="438">
      <c r="A438" s="162" t="s">
        <v>1474</v>
      </c>
      <c r="B438" s="162" t="s">
        <v>164</v>
      </c>
      <c r="C438" s="336">
        <v>45357.0</v>
      </c>
    </row>
    <row r="439">
      <c r="A439" s="162" t="s">
        <v>1474</v>
      </c>
      <c r="B439" s="162" t="s">
        <v>164</v>
      </c>
      <c r="C439" s="336">
        <v>45357.0</v>
      </c>
    </row>
    <row r="440">
      <c r="A440" s="162" t="s">
        <v>1474</v>
      </c>
      <c r="B440" s="162" t="s">
        <v>164</v>
      </c>
      <c r="C440" s="336">
        <v>45357.0</v>
      </c>
    </row>
    <row r="441">
      <c r="A441" s="162" t="s">
        <v>1474</v>
      </c>
      <c r="B441" s="162" t="s">
        <v>164</v>
      </c>
      <c r="C441" s="336">
        <v>45357.0</v>
      </c>
    </row>
    <row r="442">
      <c r="A442" s="162" t="s">
        <v>1474</v>
      </c>
      <c r="B442" s="162" t="s">
        <v>164</v>
      </c>
      <c r="C442" s="336">
        <v>45357.0</v>
      </c>
    </row>
    <row r="443">
      <c r="A443" s="162" t="s">
        <v>1474</v>
      </c>
      <c r="B443" s="162" t="s">
        <v>164</v>
      </c>
      <c r="C443" s="336">
        <v>45357.0</v>
      </c>
    </row>
    <row r="444">
      <c r="A444" s="162" t="s">
        <v>1474</v>
      </c>
      <c r="B444" s="162" t="s">
        <v>164</v>
      </c>
      <c r="C444" s="336">
        <v>45357.0</v>
      </c>
    </row>
    <row r="445">
      <c r="A445" s="162" t="s">
        <v>1474</v>
      </c>
      <c r="B445" s="162" t="s">
        <v>164</v>
      </c>
      <c r="C445" s="336">
        <v>45357.0</v>
      </c>
    </row>
    <row r="446">
      <c r="A446" s="162" t="s">
        <v>1474</v>
      </c>
      <c r="B446" s="162" t="s">
        <v>164</v>
      </c>
      <c r="C446" s="336">
        <v>45357.0</v>
      </c>
    </row>
    <row r="447">
      <c r="A447" s="162" t="s">
        <v>1474</v>
      </c>
      <c r="B447" s="162" t="s">
        <v>164</v>
      </c>
      <c r="C447" s="336">
        <v>45357.0</v>
      </c>
    </row>
    <row r="448">
      <c r="A448" s="162" t="s">
        <v>1474</v>
      </c>
      <c r="B448" s="162" t="s">
        <v>164</v>
      </c>
      <c r="C448" s="336">
        <v>45357.0</v>
      </c>
    </row>
    <row r="449">
      <c r="A449" s="162" t="s">
        <v>1474</v>
      </c>
      <c r="B449" s="162" t="s">
        <v>164</v>
      </c>
      <c r="C449" s="336">
        <v>45357.0</v>
      </c>
    </row>
    <row r="450">
      <c r="A450" s="162" t="s">
        <v>1474</v>
      </c>
      <c r="B450" s="162" t="s">
        <v>164</v>
      </c>
      <c r="C450" s="336">
        <v>45357.0</v>
      </c>
    </row>
    <row r="451">
      <c r="A451" s="162" t="s">
        <v>1474</v>
      </c>
      <c r="B451" s="162" t="s">
        <v>164</v>
      </c>
      <c r="C451" s="336">
        <v>45357.0</v>
      </c>
    </row>
    <row r="452">
      <c r="A452" s="162" t="s">
        <v>1474</v>
      </c>
      <c r="B452" s="162" t="s">
        <v>164</v>
      </c>
      <c r="C452" s="336">
        <v>45357.0</v>
      </c>
    </row>
    <row r="453">
      <c r="A453" s="162" t="s">
        <v>1474</v>
      </c>
      <c r="B453" s="162" t="s">
        <v>164</v>
      </c>
      <c r="C453" s="336">
        <v>45357.0</v>
      </c>
    </row>
    <row r="454">
      <c r="A454" s="162" t="s">
        <v>1474</v>
      </c>
      <c r="B454" s="162" t="s">
        <v>164</v>
      </c>
      <c r="C454" s="336">
        <v>45357.0</v>
      </c>
    </row>
    <row r="455">
      <c r="A455" s="162" t="s">
        <v>1474</v>
      </c>
      <c r="B455" s="162" t="s">
        <v>164</v>
      </c>
      <c r="C455" s="336">
        <v>45357.0</v>
      </c>
    </row>
    <row r="456">
      <c r="A456" s="162" t="s">
        <v>1474</v>
      </c>
      <c r="B456" s="162" t="s">
        <v>164</v>
      </c>
      <c r="C456" s="336">
        <v>45357.0</v>
      </c>
    </row>
    <row r="457">
      <c r="A457" s="162" t="s">
        <v>1474</v>
      </c>
      <c r="B457" s="162" t="s">
        <v>164</v>
      </c>
      <c r="C457" s="336">
        <v>45357.0</v>
      </c>
    </row>
    <row r="458">
      <c r="A458" s="162" t="s">
        <v>1474</v>
      </c>
      <c r="B458" s="162" t="s">
        <v>164</v>
      </c>
      <c r="C458" s="336">
        <v>45357.0</v>
      </c>
    </row>
    <row r="459">
      <c r="A459" s="162" t="s">
        <v>1474</v>
      </c>
      <c r="B459" s="162" t="s">
        <v>164</v>
      </c>
      <c r="C459" s="336">
        <v>45357.0</v>
      </c>
    </row>
    <row r="460">
      <c r="A460" s="162" t="s">
        <v>1474</v>
      </c>
      <c r="B460" s="162" t="s">
        <v>164</v>
      </c>
      <c r="C460" s="336">
        <v>45357.0</v>
      </c>
    </row>
    <row r="461">
      <c r="A461" s="162" t="s">
        <v>1474</v>
      </c>
      <c r="B461" s="162" t="s">
        <v>164</v>
      </c>
      <c r="C461" s="336">
        <v>45357.0</v>
      </c>
    </row>
    <row r="462">
      <c r="A462" s="162" t="s">
        <v>1474</v>
      </c>
      <c r="B462" s="162" t="s">
        <v>164</v>
      </c>
      <c r="C462" s="336">
        <v>45357.0</v>
      </c>
    </row>
    <row r="463">
      <c r="A463" s="162" t="s">
        <v>1474</v>
      </c>
      <c r="B463" s="162" t="s">
        <v>164</v>
      </c>
      <c r="C463" s="336">
        <v>45357.0</v>
      </c>
    </row>
    <row r="464">
      <c r="A464" s="162" t="s">
        <v>1474</v>
      </c>
      <c r="B464" s="162" t="s">
        <v>164</v>
      </c>
      <c r="C464" s="336">
        <v>45357.0</v>
      </c>
    </row>
    <row r="465">
      <c r="A465" s="162" t="s">
        <v>1474</v>
      </c>
      <c r="B465" s="162" t="s">
        <v>164</v>
      </c>
      <c r="C465" s="336">
        <v>45357.0</v>
      </c>
    </row>
    <row r="466">
      <c r="A466" s="162" t="s">
        <v>1474</v>
      </c>
      <c r="B466" s="162" t="s">
        <v>164</v>
      </c>
      <c r="C466" s="336">
        <v>45357.0</v>
      </c>
    </row>
    <row r="467">
      <c r="A467" s="162" t="s">
        <v>1474</v>
      </c>
      <c r="B467" s="162" t="s">
        <v>164</v>
      </c>
      <c r="C467" s="336">
        <v>45357.0</v>
      </c>
    </row>
    <row r="468">
      <c r="A468" s="162" t="s">
        <v>1474</v>
      </c>
      <c r="B468" s="162" t="s">
        <v>164</v>
      </c>
      <c r="C468" s="336">
        <v>45357.0</v>
      </c>
    </row>
    <row r="469">
      <c r="A469" s="162" t="s">
        <v>1474</v>
      </c>
      <c r="B469" s="162" t="s">
        <v>164</v>
      </c>
      <c r="C469" s="336">
        <v>45357.0</v>
      </c>
    </row>
    <row r="470">
      <c r="A470" s="162" t="s">
        <v>1474</v>
      </c>
      <c r="B470" s="162" t="s">
        <v>164</v>
      </c>
      <c r="C470" s="336">
        <v>45357.0</v>
      </c>
    </row>
    <row r="471">
      <c r="A471" s="162" t="s">
        <v>1474</v>
      </c>
      <c r="B471" s="162" t="s">
        <v>164</v>
      </c>
      <c r="C471" s="336">
        <v>45357.0</v>
      </c>
    </row>
    <row r="472">
      <c r="A472" s="162" t="s">
        <v>1474</v>
      </c>
      <c r="B472" s="162" t="s">
        <v>164</v>
      </c>
      <c r="C472" s="336">
        <v>45357.0</v>
      </c>
    </row>
    <row r="473">
      <c r="A473" s="162" t="s">
        <v>1474</v>
      </c>
      <c r="B473" s="162" t="s">
        <v>164</v>
      </c>
      <c r="C473" s="336">
        <v>45357.0</v>
      </c>
    </row>
    <row r="474">
      <c r="A474" s="162" t="s">
        <v>1474</v>
      </c>
      <c r="B474" s="162" t="s">
        <v>164</v>
      </c>
      <c r="C474" s="336">
        <v>45357.0</v>
      </c>
    </row>
    <row r="475">
      <c r="A475" s="162" t="s">
        <v>1474</v>
      </c>
      <c r="B475" s="162" t="s">
        <v>164</v>
      </c>
      <c r="C475" s="336">
        <v>45357.0</v>
      </c>
    </row>
    <row r="476">
      <c r="A476" s="162" t="s">
        <v>1474</v>
      </c>
      <c r="B476" s="162" t="s">
        <v>164</v>
      </c>
      <c r="C476" s="336">
        <v>45357.0</v>
      </c>
    </row>
    <row r="477">
      <c r="A477" s="162" t="s">
        <v>1474</v>
      </c>
      <c r="B477" s="162" t="s">
        <v>164</v>
      </c>
      <c r="C477" s="336">
        <v>45357.0</v>
      </c>
    </row>
    <row r="478">
      <c r="A478" s="162" t="s">
        <v>1474</v>
      </c>
      <c r="B478" s="162" t="s">
        <v>164</v>
      </c>
      <c r="C478" s="336">
        <v>45357.0</v>
      </c>
    </row>
    <row r="479">
      <c r="A479" s="162" t="s">
        <v>1474</v>
      </c>
      <c r="B479" s="162" t="s">
        <v>164</v>
      </c>
      <c r="C479" s="336">
        <v>45357.0</v>
      </c>
    </row>
    <row r="480">
      <c r="A480" s="162" t="s">
        <v>1474</v>
      </c>
      <c r="B480" s="162" t="s">
        <v>164</v>
      </c>
      <c r="C480" s="336">
        <v>45357.0</v>
      </c>
    </row>
    <row r="481">
      <c r="A481" s="162" t="s">
        <v>1474</v>
      </c>
      <c r="B481" s="162" t="s">
        <v>164</v>
      </c>
      <c r="C481" s="336">
        <v>45357.0</v>
      </c>
    </row>
    <row r="482">
      <c r="A482" s="162" t="s">
        <v>1474</v>
      </c>
      <c r="B482" s="162" t="s">
        <v>164</v>
      </c>
      <c r="C482" s="336">
        <v>45357.0</v>
      </c>
    </row>
    <row r="483">
      <c r="A483" s="162" t="s">
        <v>1474</v>
      </c>
      <c r="B483" s="162" t="s">
        <v>164</v>
      </c>
      <c r="C483" s="336">
        <v>45357.0</v>
      </c>
    </row>
    <row r="484">
      <c r="A484" s="162" t="s">
        <v>1474</v>
      </c>
      <c r="B484" s="162" t="s">
        <v>164</v>
      </c>
      <c r="C484" s="336">
        <v>45358.0</v>
      </c>
    </row>
    <row r="485">
      <c r="A485" s="162" t="s">
        <v>1474</v>
      </c>
      <c r="B485" s="162" t="s">
        <v>164</v>
      </c>
      <c r="C485" s="336">
        <v>45358.0</v>
      </c>
    </row>
    <row r="486">
      <c r="A486" s="162" t="s">
        <v>1474</v>
      </c>
      <c r="B486" s="162" t="s">
        <v>164</v>
      </c>
      <c r="C486" s="336">
        <v>45358.0</v>
      </c>
    </row>
    <row r="487">
      <c r="A487" s="162" t="s">
        <v>1474</v>
      </c>
      <c r="B487" s="162" t="s">
        <v>164</v>
      </c>
      <c r="C487" s="336">
        <v>45358.0</v>
      </c>
    </row>
    <row r="488">
      <c r="A488" s="162" t="s">
        <v>1474</v>
      </c>
      <c r="B488" s="162" t="s">
        <v>164</v>
      </c>
      <c r="C488" s="336">
        <v>45358.0</v>
      </c>
    </row>
    <row r="489">
      <c r="A489" s="162" t="s">
        <v>1474</v>
      </c>
      <c r="B489" s="162" t="s">
        <v>164</v>
      </c>
      <c r="C489" s="336">
        <v>45358.0</v>
      </c>
    </row>
    <row r="490">
      <c r="A490" s="162" t="s">
        <v>1474</v>
      </c>
      <c r="B490" s="162" t="s">
        <v>164</v>
      </c>
      <c r="C490" s="336">
        <v>45358.0</v>
      </c>
    </row>
    <row r="491">
      <c r="A491" s="162" t="s">
        <v>1474</v>
      </c>
      <c r="B491" s="162" t="s">
        <v>164</v>
      </c>
      <c r="C491" s="336">
        <v>45358.0</v>
      </c>
    </row>
    <row r="492">
      <c r="A492" s="162" t="s">
        <v>1474</v>
      </c>
      <c r="B492" s="162" t="s">
        <v>164</v>
      </c>
      <c r="C492" s="336">
        <v>45358.0</v>
      </c>
    </row>
    <row r="493">
      <c r="A493" s="162" t="s">
        <v>1474</v>
      </c>
      <c r="B493" s="162" t="s">
        <v>164</v>
      </c>
      <c r="C493" s="336">
        <v>45358.0</v>
      </c>
    </row>
    <row r="494">
      <c r="A494" s="162" t="s">
        <v>1474</v>
      </c>
      <c r="B494" s="162" t="s">
        <v>164</v>
      </c>
      <c r="C494" s="336">
        <v>45358.0</v>
      </c>
    </row>
    <row r="495">
      <c r="A495" s="162" t="s">
        <v>1474</v>
      </c>
      <c r="B495" s="162" t="s">
        <v>164</v>
      </c>
      <c r="C495" s="336">
        <v>45358.0</v>
      </c>
    </row>
    <row r="496">
      <c r="A496" s="162" t="s">
        <v>1474</v>
      </c>
      <c r="B496" s="162" t="s">
        <v>164</v>
      </c>
      <c r="C496" s="336">
        <v>45358.0</v>
      </c>
    </row>
    <row r="497">
      <c r="A497" s="162" t="s">
        <v>1474</v>
      </c>
      <c r="B497" s="162" t="s">
        <v>164</v>
      </c>
      <c r="C497" s="336">
        <v>45358.0</v>
      </c>
    </row>
    <row r="498">
      <c r="A498" s="162" t="s">
        <v>1474</v>
      </c>
      <c r="B498" s="162" t="s">
        <v>164</v>
      </c>
      <c r="C498" s="336">
        <v>45358.0</v>
      </c>
    </row>
    <row r="499">
      <c r="A499" s="162" t="s">
        <v>1474</v>
      </c>
      <c r="B499" s="162" t="s">
        <v>164</v>
      </c>
      <c r="C499" s="336">
        <v>45358.0</v>
      </c>
    </row>
    <row r="500">
      <c r="A500" s="162" t="s">
        <v>1474</v>
      </c>
      <c r="B500" s="162" t="s">
        <v>164</v>
      </c>
      <c r="C500" s="336">
        <v>45358.0</v>
      </c>
    </row>
    <row r="501">
      <c r="A501" s="162" t="s">
        <v>1474</v>
      </c>
      <c r="B501" s="162" t="s">
        <v>164</v>
      </c>
      <c r="C501" s="336">
        <v>45358.0</v>
      </c>
    </row>
    <row r="502">
      <c r="A502" s="162" t="s">
        <v>1474</v>
      </c>
      <c r="B502" s="162" t="s">
        <v>164</v>
      </c>
      <c r="C502" s="336">
        <v>45358.0</v>
      </c>
    </row>
    <row r="503">
      <c r="A503" s="162" t="s">
        <v>1475</v>
      </c>
      <c r="B503" s="162" t="s">
        <v>164</v>
      </c>
      <c r="C503" s="336">
        <v>45357.0</v>
      </c>
    </row>
    <row r="504">
      <c r="A504" s="162" t="s">
        <v>1475</v>
      </c>
      <c r="B504" s="162" t="s">
        <v>164</v>
      </c>
      <c r="C504" s="336">
        <v>45357.0</v>
      </c>
    </row>
    <row r="505">
      <c r="A505" s="162" t="s">
        <v>1475</v>
      </c>
      <c r="B505" s="162" t="s">
        <v>164</v>
      </c>
      <c r="C505" s="336">
        <v>45357.0</v>
      </c>
    </row>
    <row r="506">
      <c r="A506" s="162" t="s">
        <v>1475</v>
      </c>
      <c r="B506" s="162" t="s">
        <v>164</v>
      </c>
      <c r="C506" s="336">
        <v>45357.0</v>
      </c>
    </row>
    <row r="507">
      <c r="A507" s="162" t="s">
        <v>1475</v>
      </c>
      <c r="B507" s="162" t="s">
        <v>164</v>
      </c>
      <c r="C507" s="336">
        <v>45357.0</v>
      </c>
    </row>
    <row r="508">
      <c r="A508" s="162" t="s">
        <v>1475</v>
      </c>
      <c r="B508" s="162" t="s">
        <v>164</v>
      </c>
      <c r="C508" s="336">
        <v>45357.0</v>
      </c>
    </row>
    <row r="509">
      <c r="A509" s="162" t="s">
        <v>1475</v>
      </c>
      <c r="B509" s="162" t="s">
        <v>164</v>
      </c>
      <c r="C509" s="336">
        <v>45357.0</v>
      </c>
    </row>
    <row r="510">
      <c r="A510" s="162" t="s">
        <v>1476</v>
      </c>
      <c r="B510" s="162" t="s">
        <v>164</v>
      </c>
      <c r="C510" s="336">
        <v>45358.0</v>
      </c>
    </row>
    <row r="511">
      <c r="A511" s="162" t="s">
        <v>1476</v>
      </c>
      <c r="B511" s="162" t="s">
        <v>164</v>
      </c>
      <c r="C511" s="336">
        <v>45358.0</v>
      </c>
    </row>
    <row r="512">
      <c r="A512" s="162" t="s">
        <v>1477</v>
      </c>
      <c r="B512" s="162" t="s">
        <v>164</v>
      </c>
      <c r="C512" s="336">
        <v>45341.0</v>
      </c>
    </row>
    <row r="513">
      <c r="A513" s="162" t="s">
        <v>1477</v>
      </c>
      <c r="B513" s="162" t="s">
        <v>164</v>
      </c>
      <c r="C513" s="336">
        <v>45341.0</v>
      </c>
    </row>
    <row r="514">
      <c r="A514" s="162" t="s">
        <v>1477</v>
      </c>
      <c r="B514" s="162" t="s">
        <v>164</v>
      </c>
      <c r="C514" s="336">
        <v>45341.0</v>
      </c>
    </row>
    <row r="515">
      <c r="A515" s="162" t="s">
        <v>1477</v>
      </c>
      <c r="B515" s="162" t="s">
        <v>164</v>
      </c>
      <c r="C515" s="336">
        <v>45341.0</v>
      </c>
    </row>
    <row r="516">
      <c r="A516" s="162" t="s">
        <v>1477</v>
      </c>
      <c r="B516" s="162" t="s">
        <v>164</v>
      </c>
      <c r="C516" s="336">
        <v>45342.0</v>
      </c>
    </row>
    <row r="517">
      <c r="A517" s="162" t="s">
        <v>1477</v>
      </c>
      <c r="B517" s="162" t="s">
        <v>164</v>
      </c>
      <c r="C517" s="336">
        <v>45342.0</v>
      </c>
    </row>
    <row r="518">
      <c r="A518" s="162" t="s">
        <v>1477</v>
      </c>
      <c r="B518" s="162" t="s">
        <v>164</v>
      </c>
      <c r="C518" s="336">
        <v>45342.0</v>
      </c>
    </row>
    <row r="519">
      <c r="A519" s="162" t="s">
        <v>1477</v>
      </c>
      <c r="B519" s="162" t="s">
        <v>164</v>
      </c>
      <c r="C519" s="336">
        <v>45342.0</v>
      </c>
    </row>
    <row r="520">
      <c r="A520" s="162" t="s">
        <v>1477</v>
      </c>
      <c r="B520" s="162" t="s">
        <v>164</v>
      </c>
      <c r="C520" s="336">
        <v>45342.0</v>
      </c>
    </row>
    <row r="521">
      <c r="A521" s="162" t="s">
        <v>1477</v>
      </c>
      <c r="B521" s="162" t="s">
        <v>164</v>
      </c>
      <c r="C521" s="336">
        <v>45342.0</v>
      </c>
    </row>
    <row r="522">
      <c r="A522" s="162" t="s">
        <v>1477</v>
      </c>
      <c r="B522" s="162" t="s">
        <v>164</v>
      </c>
      <c r="C522" s="336">
        <v>45342.0</v>
      </c>
    </row>
    <row r="523">
      <c r="A523" s="162" t="s">
        <v>1477</v>
      </c>
      <c r="B523" s="162" t="s">
        <v>164</v>
      </c>
      <c r="C523" s="336">
        <v>45342.0</v>
      </c>
    </row>
    <row r="524">
      <c r="A524" s="162" t="s">
        <v>1477</v>
      </c>
      <c r="B524" s="162" t="s">
        <v>164</v>
      </c>
      <c r="C524" s="336">
        <v>45342.0</v>
      </c>
    </row>
    <row r="525">
      <c r="A525" s="162" t="s">
        <v>1477</v>
      </c>
      <c r="B525" s="162" t="s">
        <v>164</v>
      </c>
      <c r="C525" s="336">
        <v>45342.0</v>
      </c>
    </row>
    <row r="526">
      <c r="A526" s="162" t="s">
        <v>1477</v>
      </c>
      <c r="B526" s="162" t="s">
        <v>164</v>
      </c>
      <c r="C526" s="336">
        <v>45345.0</v>
      </c>
    </row>
    <row r="527">
      <c r="A527" s="162" t="s">
        <v>1477</v>
      </c>
      <c r="B527" s="162" t="s">
        <v>164</v>
      </c>
      <c r="C527" s="336">
        <v>45345.0</v>
      </c>
    </row>
    <row r="528">
      <c r="A528" s="162" t="s">
        <v>1477</v>
      </c>
      <c r="B528" s="162" t="s">
        <v>164</v>
      </c>
      <c r="C528" s="336">
        <v>45345.0</v>
      </c>
    </row>
    <row r="529">
      <c r="A529" s="162" t="s">
        <v>1477</v>
      </c>
      <c r="B529" s="162" t="s">
        <v>164</v>
      </c>
      <c r="C529" s="336">
        <v>45349.0</v>
      </c>
    </row>
    <row r="530">
      <c r="A530" s="162" t="s">
        <v>1477</v>
      </c>
      <c r="B530" s="162" t="s">
        <v>164</v>
      </c>
      <c r="C530" s="336">
        <v>45349.0</v>
      </c>
    </row>
    <row r="531">
      <c r="A531" s="162" t="s">
        <v>1477</v>
      </c>
      <c r="B531" s="162" t="s">
        <v>164</v>
      </c>
      <c r="C531" s="336">
        <v>45349.0</v>
      </c>
    </row>
    <row r="532">
      <c r="A532" s="162" t="s">
        <v>1477</v>
      </c>
      <c r="B532" s="162" t="s">
        <v>164</v>
      </c>
      <c r="C532" s="336">
        <v>45349.0</v>
      </c>
    </row>
    <row r="533">
      <c r="A533" s="162" t="s">
        <v>1478</v>
      </c>
      <c r="B533" s="162" t="s">
        <v>164</v>
      </c>
      <c r="C533" s="336">
        <v>45342.0</v>
      </c>
    </row>
    <row r="534">
      <c r="A534" s="162" t="s">
        <v>1478</v>
      </c>
      <c r="B534" s="162" t="s">
        <v>164</v>
      </c>
      <c r="C534" s="336">
        <v>45342.0</v>
      </c>
    </row>
    <row r="535">
      <c r="A535" s="162" t="s">
        <v>1478</v>
      </c>
      <c r="B535" s="162" t="s">
        <v>164</v>
      </c>
      <c r="C535" s="336">
        <v>45342.0</v>
      </c>
    </row>
    <row r="536">
      <c r="A536" s="162" t="s">
        <v>1478</v>
      </c>
      <c r="B536" s="162" t="s">
        <v>164</v>
      </c>
      <c r="C536" s="336">
        <v>45342.0</v>
      </c>
    </row>
    <row r="537">
      <c r="A537" s="162" t="s">
        <v>1478</v>
      </c>
      <c r="B537" s="162" t="s">
        <v>164</v>
      </c>
      <c r="C537" s="336">
        <v>45342.0</v>
      </c>
    </row>
    <row r="538">
      <c r="A538" s="162" t="s">
        <v>1478</v>
      </c>
      <c r="B538" s="162" t="s">
        <v>164</v>
      </c>
      <c r="C538" s="336">
        <v>45342.0</v>
      </c>
    </row>
    <row r="539">
      <c r="A539" s="162" t="s">
        <v>1478</v>
      </c>
      <c r="B539" s="162" t="s">
        <v>164</v>
      </c>
      <c r="C539" s="336">
        <v>45342.0</v>
      </c>
    </row>
    <row r="540">
      <c r="A540" s="162" t="s">
        <v>1478</v>
      </c>
      <c r="B540" s="162" t="s">
        <v>164</v>
      </c>
      <c r="C540" s="336">
        <v>45342.0</v>
      </c>
    </row>
    <row r="541">
      <c r="A541" s="162" t="s">
        <v>1478</v>
      </c>
      <c r="B541" s="162" t="s">
        <v>164</v>
      </c>
      <c r="C541" s="336">
        <v>45342.0</v>
      </c>
    </row>
    <row r="542">
      <c r="A542" s="162" t="s">
        <v>1478</v>
      </c>
      <c r="B542" s="162" t="s">
        <v>164</v>
      </c>
      <c r="C542" s="336">
        <v>45342.0</v>
      </c>
    </row>
    <row r="543">
      <c r="A543" s="162" t="s">
        <v>1478</v>
      </c>
      <c r="B543" s="162" t="s">
        <v>164</v>
      </c>
      <c r="C543" s="336">
        <v>45342.0</v>
      </c>
    </row>
    <row r="544">
      <c r="A544" s="162" t="s">
        <v>1478</v>
      </c>
      <c r="B544" s="162" t="s">
        <v>164</v>
      </c>
      <c r="C544" s="336">
        <v>45342.0</v>
      </c>
    </row>
    <row r="545">
      <c r="A545" s="162" t="s">
        <v>1478</v>
      </c>
      <c r="B545" s="162" t="s">
        <v>164</v>
      </c>
      <c r="C545" s="336">
        <v>45342.0</v>
      </c>
    </row>
    <row r="546">
      <c r="A546" s="162" t="s">
        <v>1478</v>
      </c>
      <c r="B546" s="162" t="s">
        <v>164</v>
      </c>
      <c r="C546" s="336">
        <v>45342.0</v>
      </c>
    </row>
    <row r="547">
      <c r="A547" s="162" t="s">
        <v>1478</v>
      </c>
      <c r="B547" s="162" t="s">
        <v>164</v>
      </c>
      <c r="C547" s="336">
        <v>45342.0</v>
      </c>
    </row>
    <row r="548">
      <c r="A548" s="162" t="s">
        <v>1478</v>
      </c>
      <c r="B548" s="162" t="s">
        <v>164</v>
      </c>
      <c r="C548" s="336">
        <v>45342.0</v>
      </c>
    </row>
    <row r="549">
      <c r="A549" s="162" t="s">
        <v>1478</v>
      </c>
      <c r="B549" s="162" t="s">
        <v>164</v>
      </c>
      <c r="C549" s="336">
        <v>45342.0</v>
      </c>
    </row>
    <row r="550">
      <c r="A550" s="162" t="s">
        <v>1478</v>
      </c>
      <c r="B550" s="162" t="s">
        <v>164</v>
      </c>
      <c r="C550" s="336">
        <v>45342.0</v>
      </c>
    </row>
    <row r="551">
      <c r="A551" s="162" t="s">
        <v>1478</v>
      </c>
      <c r="B551" s="162" t="s">
        <v>164</v>
      </c>
      <c r="C551" s="336">
        <v>45342.0</v>
      </c>
    </row>
    <row r="552">
      <c r="A552" s="162" t="s">
        <v>1478</v>
      </c>
      <c r="B552" s="162" t="s">
        <v>164</v>
      </c>
      <c r="C552" s="336">
        <v>45345.0</v>
      </c>
    </row>
    <row r="553">
      <c r="A553" s="162" t="s">
        <v>1478</v>
      </c>
      <c r="B553" s="162" t="s">
        <v>164</v>
      </c>
      <c r="C553" s="336">
        <v>45345.0</v>
      </c>
    </row>
    <row r="554">
      <c r="A554" s="162" t="s">
        <v>1478</v>
      </c>
      <c r="B554" s="162" t="s">
        <v>164</v>
      </c>
      <c r="C554" s="336">
        <v>45345.0</v>
      </c>
    </row>
    <row r="555">
      <c r="A555" s="162" t="s">
        <v>1478</v>
      </c>
      <c r="B555" s="162" t="s">
        <v>164</v>
      </c>
      <c r="C555" s="336">
        <v>45345.0</v>
      </c>
    </row>
    <row r="556">
      <c r="A556" s="162" t="s">
        <v>1478</v>
      </c>
      <c r="B556" s="162" t="s">
        <v>164</v>
      </c>
      <c r="C556" s="336">
        <v>45345.0</v>
      </c>
    </row>
    <row r="557">
      <c r="A557" s="162" t="s">
        <v>1478</v>
      </c>
      <c r="B557" s="162" t="s">
        <v>164</v>
      </c>
      <c r="C557" s="336">
        <v>45345.0</v>
      </c>
    </row>
    <row r="558">
      <c r="A558" s="162" t="s">
        <v>1478</v>
      </c>
      <c r="B558" s="162" t="s">
        <v>164</v>
      </c>
      <c r="C558" s="336">
        <v>45345.0</v>
      </c>
    </row>
    <row r="559">
      <c r="A559" s="162" t="s">
        <v>1478</v>
      </c>
      <c r="B559" s="162" t="s">
        <v>164</v>
      </c>
      <c r="C559" s="336">
        <v>45345.0</v>
      </c>
    </row>
    <row r="560">
      <c r="A560" s="162" t="s">
        <v>1478</v>
      </c>
      <c r="B560" s="162" t="s">
        <v>164</v>
      </c>
      <c r="C560" s="336">
        <v>45345.0</v>
      </c>
    </row>
    <row r="561">
      <c r="A561" s="162" t="s">
        <v>1478</v>
      </c>
      <c r="B561" s="162" t="s">
        <v>164</v>
      </c>
      <c r="C561" s="336">
        <v>45345.0</v>
      </c>
    </row>
    <row r="562">
      <c r="A562" s="162" t="s">
        <v>1478</v>
      </c>
      <c r="B562" s="162" t="s">
        <v>164</v>
      </c>
      <c r="C562" s="336">
        <v>45345.0</v>
      </c>
    </row>
    <row r="563">
      <c r="A563" s="162" t="s">
        <v>1478</v>
      </c>
      <c r="B563" s="162" t="s">
        <v>164</v>
      </c>
      <c r="C563" s="336">
        <v>45345.0</v>
      </c>
    </row>
    <row r="564">
      <c r="A564" s="162" t="s">
        <v>1478</v>
      </c>
      <c r="B564" s="162" t="s">
        <v>164</v>
      </c>
      <c r="C564" s="336">
        <v>45345.0</v>
      </c>
    </row>
    <row r="565">
      <c r="A565" s="162" t="s">
        <v>1478</v>
      </c>
      <c r="B565" s="162" t="s">
        <v>164</v>
      </c>
      <c r="C565" s="336">
        <v>45345.0</v>
      </c>
    </row>
    <row r="566">
      <c r="A566" s="162" t="s">
        <v>1479</v>
      </c>
      <c r="B566" s="162" t="s">
        <v>164</v>
      </c>
      <c r="C566" s="336">
        <v>45348.0</v>
      </c>
    </row>
    <row r="567">
      <c r="A567" s="162" t="s">
        <v>1479</v>
      </c>
      <c r="B567" s="162" t="s">
        <v>164</v>
      </c>
      <c r="C567" s="336">
        <v>45348.0</v>
      </c>
    </row>
    <row r="568">
      <c r="A568" s="162" t="s">
        <v>1479</v>
      </c>
      <c r="B568" s="162" t="s">
        <v>164</v>
      </c>
      <c r="C568" s="336">
        <v>45348.0</v>
      </c>
    </row>
    <row r="569">
      <c r="A569" s="162" t="s">
        <v>1479</v>
      </c>
      <c r="B569" s="162" t="s">
        <v>164</v>
      </c>
      <c r="C569" s="336">
        <v>45348.0</v>
      </c>
    </row>
    <row r="570">
      <c r="A570" s="162" t="s">
        <v>1479</v>
      </c>
      <c r="B570" s="162" t="s">
        <v>164</v>
      </c>
      <c r="C570" s="336">
        <v>45348.0</v>
      </c>
    </row>
    <row r="571">
      <c r="A571" s="162" t="s">
        <v>1479</v>
      </c>
      <c r="B571" s="162" t="s">
        <v>164</v>
      </c>
      <c r="C571" s="336">
        <v>45348.0</v>
      </c>
    </row>
    <row r="572">
      <c r="A572" s="162" t="s">
        <v>1479</v>
      </c>
      <c r="B572" s="162" t="s">
        <v>164</v>
      </c>
      <c r="C572" s="336">
        <v>45348.0</v>
      </c>
    </row>
    <row r="573">
      <c r="A573" s="162" t="s">
        <v>1479</v>
      </c>
      <c r="B573" s="162" t="s">
        <v>164</v>
      </c>
      <c r="C573" s="336">
        <v>45348.0</v>
      </c>
    </row>
    <row r="574">
      <c r="A574" s="162" t="s">
        <v>1479</v>
      </c>
      <c r="B574" s="162" t="s">
        <v>164</v>
      </c>
      <c r="C574" s="336">
        <v>45348.0</v>
      </c>
    </row>
    <row r="575">
      <c r="A575" s="162" t="s">
        <v>1479</v>
      </c>
      <c r="B575" s="162" t="s">
        <v>164</v>
      </c>
      <c r="C575" s="336">
        <v>45348.0</v>
      </c>
    </row>
    <row r="576">
      <c r="A576" s="162" t="s">
        <v>1479</v>
      </c>
      <c r="B576" s="162" t="s">
        <v>164</v>
      </c>
      <c r="C576" s="336">
        <v>45348.0</v>
      </c>
    </row>
    <row r="577">
      <c r="A577" s="162" t="s">
        <v>1479</v>
      </c>
      <c r="B577" s="162" t="s">
        <v>164</v>
      </c>
      <c r="C577" s="336">
        <v>45348.0</v>
      </c>
    </row>
    <row r="578">
      <c r="A578" s="162" t="s">
        <v>1479</v>
      </c>
      <c r="B578" s="162" t="s">
        <v>164</v>
      </c>
      <c r="C578" s="336">
        <v>45348.0</v>
      </c>
    </row>
    <row r="579">
      <c r="A579" s="162" t="s">
        <v>1480</v>
      </c>
      <c r="B579" s="162" t="s">
        <v>79</v>
      </c>
      <c r="C579" s="336">
        <v>45358.0</v>
      </c>
    </row>
    <row r="580">
      <c r="A580" s="162" t="s">
        <v>1480</v>
      </c>
      <c r="B580" s="162" t="s">
        <v>79</v>
      </c>
      <c r="C580" s="336">
        <v>45358.0</v>
      </c>
    </row>
    <row r="581">
      <c r="A581" s="162" t="s">
        <v>1480</v>
      </c>
      <c r="B581" s="162" t="s">
        <v>79</v>
      </c>
      <c r="C581" s="336">
        <v>45358.0</v>
      </c>
    </row>
    <row r="582">
      <c r="A582" s="162" t="s">
        <v>1480</v>
      </c>
      <c r="B582" s="162" t="s">
        <v>79</v>
      </c>
      <c r="C582" s="336">
        <v>45358.0</v>
      </c>
    </row>
    <row r="583">
      <c r="A583" s="162" t="s">
        <v>1480</v>
      </c>
      <c r="B583" s="162" t="s">
        <v>79</v>
      </c>
      <c r="C583" s="336">
        <v>45358.0</v>
      </c>
    </row>
    <row r="584">
      <c r="A584" s="162" t="s">
        <v>1480</v>
      </c>
      <c r="B584" s="162" t="s">
        <v>79</v>
      </c>
      <c r="C584" s="336">
        <v>45358.0</v>
      </c>
    </row>
    <row r="585">
      <c r="A585" s="162" t="s">
        <v>1480</v>
      </c>
      <c r="B585" s="162" t="s">
        <v>79</v>
      </c>
      <c r="C585" s="336">
        <v>45358.0</v>
      </c>
    </row>
    <row r="586">
      <c r="A586" s="162" t="s">
        <v>1480</v>
      </c>
      <c r="B586" s="162" t="s">
        <v>79</v>
      </c>
      <c r="C586" s="336">
        <v>45358.0</v>
      </c>
    </row>
    <row r="587">
      <c r="A587" s="162" t="s">
        <v>1480</v>
      </c>
      <c r="B587" s="162" t="s">
        <v>79</v>
      </c>
      <c r="C587" s="336">
        <v>45358.0</v>
      </c>
    </row>
    <row r="588">
      <c r="A588" s="162" t="s">
        <v>1480</v>
      </c>
      <c r="B588" s="162" t="s">
        <v>79</v>
      </c>
      <c r="C588" s="336">
        <v>45358.0</v>
      </c>
    </row>
    <row r="589">
      <c r="A589" s="162" t="s">
        <v>1480</v>
      </c>
      <c r="B589" s="162" t="s">
        <v>79</v>
      </c>
      <c r="C589" s="336">
        <v>45358.0</v>
      </c>
    </row>
    <row r="590">
      <c r="A590" s="162" t="s">
        <v>1480</v>
      </c>
      <c r="B590" s="162" t="s">
        <v>79</v>
      </c>
      <c r="C590" s="336">
        <v>45358.0</v>
      </c>
    </row>
    <row r="591">
      <c r="A591" s="162" t="s">
        <v>1480</v>
      </c>
      <c r="B591" s="162" t="s">
        <v>79</v>
      </c>
      <c r="C591" s="336">
        <v>45358.0</v>
      </c>
    </row>
    <row r="592">
      <c r="A592" s="162" t="s">
        <v>1480</v>
      </c>
      <c r="B592" s="162" t="s">
        <v>79</v>
      </c>
      <c r="C592" s="336">
        <v>45358.0</v>
      </c>
    </row>
    <row r="593">
      <c r="A593" s="162" t="s">
        <v>1480</v>
      </c>
      <c r="B593" s="162" t="s">
        <v>79</v>
      </c>
      <c r="C593" s="336">
        <v>45358.0</v>
      </c>
    </row>
    <row r="594">
      <c r="A594" s="162" t="s">
        <v>1480</v>
      </c>
      <c r="B594" s="162" t="s">
        <v>79</v>
      </c>
      <c r="C594" s="336">
        <v>45358.0</v>
      </c>
    </row>
    <row r="595">
      <c r="A595" s="162" t="s">
        <v>1480</v>
      </c>
      <c r="B595" s="162" t="s">
        <v>79</v>
      </c>
      <c r="C595" s="336">
        <v>45358.0</v>
      </c>
    </row>
    <row r="596">
      <c r="A596" s="162" t="s">
        <v>1481</v>
      </c>
      <c r="B596" s="162" t="s">
        <v>79</v>
      </c>
      <c r="C596" s="336">
        <v>45358.0</v>
      </c>
    </row>
    <row r="597">
      <c r="A597" s="162" t="s">
        <v>1481</v>
      </c>
      <c r="B597" s="162" t="s">
        <v>79</v>
      </c>
      <c r="C597" s="336">
        <v>45358.0</v>
      </c>
    </row>
    <row r="598">
      <c r="A598" s="162" t="s">
        <v>1481</v>
      </c>
      <c r="B598" s="162" t="s">
        <v>79</v>
      </c>
      <c r="C598" s="336">
        <v>45358.0</v>
      </c>
    </row>
    <row r="599">
      <c r="A599" s="162" t="s">
        <v>1481</v>
      </c>
      <c r="B599" s="162" t="s">
        <v>79</v>
      </c>
      <c r="C599" s="336">
        <v>45358.0</v>
      </c>
    </row>
    <row r="600">
      <c r="A600" s="162" t="s">
        <v>1481</v>
      </c>
      <c r="B600" s="162" t="s">
        <v>79</v>
      </c>
      <c r="C600" s="336">
        <v>45358.0</v>
      </c>
    </row>
    <row r="601">
      <c r="A601" s="162" t="s">
        <v>1481</v>
      </c>
      <c r="B601" s="162" t="s">
        <v>79</v>
      </c>
      <c r="C601" s="336">
        <v>45358.0</v>
      </c>
    </row>
    <row r="602">
      <c r="A602" s="162" t="s">
        <v>1481</v>
      </c>
      <c r="B602" s="162" t="s">
        <v>79</v>
      </c>
      <c r="C602" s="336">
        <v>45358.0</v>
      </c>
    </row>
    <row r="603">
      <c r="A603" s="162" t="s">
        <v>1481</v>
      </c>
      <c r="B603" s="162" t="s">
        <v>79</v>
      </c>
      <c r="C603" s="336">
        <v>45358.0</v>
      </c>
    </row>
    <row r="604">
      <c r="A604" s="162" t="s">
        <v>1481</v>
      </c>
      <c r="B604" s="162" t="s">
        <v>79</v>
      </c>
      <c r="C604" s="336">
        <v>45358.0</v>
      </c>
    </row>
    <row r="605">
      <c r="A605" s="162" t="s">
        <v>1481</v>
      </c>
      <c r="B605" s="162" t="s">
        <v>79</v>
      </c>
      <c r="C605" s="336">
        <v>45358.0</v>
      </c>
    </row>
    <row r="606">
      <c r="A606" s="162" t="s">
        <v>1481</v>
      </c>
      <c r="B606" s="162" t="s">
        <v>79</v>
      </c>
      <c r="C606" s="336">
        <v>45358.0</v>
      </c>
    </row>
    <row r="607">
      <c r="A607" s="162" t="s">
        <v>1481</v>
      </c>
      <c r="B607" s="162" t="s">
        <v>79</v>
      </c>
      <c r="C607" s="336">
        <v>45358.0</v>
      </c>
    </row>
    <row r="608">
      <c r="A608" s="162" t="s">
        <v>1481</v>
      </c>
      <c r="B608" s="162" t="s">
        <v>79</v>
      </c>
      <c r="C608" s="336">
        <v>45358.0</v>
      </c>
    </row>
    <row r="609">
      <c r="A609" s="162" t="s">
        <v>1481</v>
      </c>
      <c r="B609" s="162" t="s">
        <v>79</v>
      </c>
      <c r="C609" s="336">
        <v>45358.0</v>
      </c>
    </row>
    <row r="610">
      <c r="A610" s="162" t="s">
        <v>1481</v>
      </c>
      <c r="B610" s="162" t="s">
        <v>79</v>
      </c>
      <c r="C610" s="336">
        <v>45358.0</v>
      </c>
    </row>
    <row r="611">
      <c r="A611" s="162" t="s">
        <v>1481</v>
      </c>
      <c r="B611" s="162" t="s">
        <v>79</v>
      </c>
      <c r="C611" s="336">
        <v>45358.0</v>
      </c>
    </row>
    <row r="612">
      <c r="A612" s="162" t="s">
        <v>1481</v>
      </c>
      <c r="B612" s="162" t="s">
        <v>79</v>
      </c>
      <c r="C612" s="336">
        <v>45358.0</v>
      </c>
    </row>
    <row r="613">
      <c r="A613" s="162" t="s">
        <v>1482</v>
      </c>
      <c r="B613" s="162" t="s">
        <v>79</v>
      </c>
      <c r="C613" s="336">
        <v>45358.0</v>
      </c>
    </row>
    <row r="614">
      <c r="A614" s="162" t="s">
        <v>1482</v>
      </c>
      <c r="B614" s="162" t="s">
        <v>79</v>
      </c>
      <c r="C614" s="336">
        <v>45358.0</v>
      </c>
    </row>
    <row r="615">
      <c r="A615" s="162" t="s">
        <v>1482</v>
      </c>
      <c r="B615" s="162" t="s">
        <v>79</v>
      </c>
      <c r="C615" s="336">
        <v>45358.0</v>
      </c>
    </row>
    <row r="616">
      <c r="A616" s="162" t="s">
        <v>1482</v>
      </c>
      <c r="B616" s="162" t="s">
        <v>79</v>
      </c>
      <c r="C616" s="336">
        <v>45358.0</v>
      </c>
    </row>
    <row r="617">
      <c r="A617" s="162" t="s">
        <v>1482</v>
      </c>
      <c r="B617" s="162" t="s">
        <v>79</v>
      </c>
      <c r="C617" s="336">
        <v>45358.0</v>
      </c>
    </row>
    <row r="618">
      <c r="A618" s="162" t="s">
        <v>1482</v>
      </c>
      <c r="B618" s="162" t="s">
        <v>79</v>
      </c>
      <c r="C618" s="336">
        <v>45358.0</v>
      </c>
    </row>
    <row r="619">
      <c r="A619" s="162" t="s">
        <v>1482</v>
      </c>
      <c r="B619" s="162" t="s">
        <v>79</v>
      </c>
      <c r="C619" s="336">
        <v>45358.0</v>
      </c>
    </row>
    <row r="620">
      <c r="A620" s="162" t="s">
        <v>1482</v>
      </c>
      <c r="B620" s="162" t="s">
        <v>79</v>
      </c>
      <c r="C620" s="336">
        <v>45358.0</v>
      </c>
    </row>
    <row r="621">
      <c r="A621" s="162" t="s">
        <v>1482</v>
      </c>
      <c r="B621" s="162" t="s">
        <v>79</v>
      </c>
      <c r="C621" s="336">
        <v>45358.0</v>
      </c>
    </row>
    <row r="622">
      <c r="A622" s="162" t="s">
        <v>1482</v>
      </c>
      <c r="B622" s="162" t="s">
        <v>79</v>
      </c>
      <c r="C622" s="336">
        <v>45358.0</v>
      </c>
    </row>
    <row r="623">
      <c r="A623" s="162" t="s">
        <v>1482</v>
      </c>
      <c r="B623" s="162" t="s">
        <v>79</v>
      </c>
      <c r="C623" s="336">
        <v>45358.0</v>
      </c>
    </row>
    <row r="624">
      <c r="A624" s="162" t="s">
        <v>1482</v>
      </c>
      <c r="B624" s="162" t="s">
        <v>79</v>
      </c>
      <c r="C624" s="336">
        <v>45358.0</v>
      </c>
    </row>
    <row r="625">
      <c r="A625" s="162" t="s">
        <v>1482</v>
      </c>
      <c r="B625" s="162" t="s">
        <v>79</v>
      </c>
      <c r="C625" s="336">
        <v>45358.0</v>
      </c>
    </row>
    <row r="626">
      <c r="A626" s="162" t="s">
        <v>1482</v>
      </c>
      <c r="B626" s="162" t="s">
        <v>79</v>
      </c>
      <c r="C626" s="336">
        <v>45358.0</v>
      </c>
    </row>
    <row r="627">
      <c r="A627" s="162" t="s">
        <v>1482</v>
      </c>
      <c r="B627" s="162" t="s">
        <v>79</v>
      </c>
      <c r="C627" s="336">
        <v>45358.0</v>
      </c>
    </row>
    <row r="628">
      <c r="A628" s="162" t="s">
        <v>1483</v>
      </c>
      <c r="B628" s="162" t="s">
        <v>79</v>
      </c>
      <c r="C628" s="336">
        <v>45358.0</v>
      </c>
    </row>
    <row r="629">
      <c r="A629" s="162" t="s">
        <v>1483</v>
      </c>
      <c r="B629" s="162" t="s">
        <v>79</v>
      </c>
      <c r="C629" s="336">
        <v>45358.0</v>
      </c>
    </row>
    <row r="630">
      <c r="A630" s="162" t="s">
        <v>1483</v>
      </c>
      <c r="B630" s="162" t="s">
        <v>79</v>
      </c>
      <c r="C630" s="336">
        <v>45358.0</v>
      </c>
    </row>
    <row r="631">
      <c r="A631" s="162" t="s">
        <v>1483</v>
      </c>
      <c r="B631" s="162" t="s">
        <v>79</v>
      </c>
      <c r="C631" s="336">
        <v>45358.0</v>
      </c>
    </row>
    <row r="632">
      <c r="A632" s="162" t="s">
        <v>1483</v>
      </c>
      <c r="B632" s="162" t="s">
        <v>79</v>
      </c>
      <c r="C632" s="336">
        <v>45358.0</v>
      </c>
    </row>
    <row r="633">
      <c r="A633" s="162" t="s">
        <v>1483</v>
      </c>
      <c r="B633" s="162" t="s">
        <v>79</v>
      </c>
      <c r="C633" s="336">
        <v>45358.0</v>
      </c>
    </row>
    <row r="634">
      <c r="A634" s="162" t="s">
        <v>1483</v>
      </c>
      <c r="B634" s="162" t="s">
        <v>79</v>
      </c>
      <c r="C634" s="336">
        <v>45358.0</v>
      </c>
    </row>
    <row r="635">
      <c r="A635" s="162" t="s">
        <v>1483</v>
      </c>
      <c r="B635" s="162" t="s">
        <v>79</v>
      </c>
      <c r="C635" s="336">
        <v>45358.0</v>
      </c>
    </row>
    <row r="636">
      <c r="A636" s="162" t="s">
        <v>1483</v>
      </c>
      <c r="B636" s="162" t="s">
        <v>79</v>
      </c>
      <c r="C636" s="336">
        <v>45358.0</v>
      </c>
    </row>
    <row r="637">
      <c r="A637" s="162" t="s">
        <v>1483</v>
      </c>
      <c r="B637" s="162" t="s">
        <v>79</v>
      </c>
      <c r="C637" s="336">
        <v>45358.0</v>
      </c>
    </row>
    <row r="638">
      <c r="A638" s="162" t="s">
        <v>1483</v>
      </c>
      <c r="B638" s="162" t="s">
        <v>79</v>
      </c>
      <c r="C638" s="336">
        <v>45358.0</v>
      </c>
    </row>
    <row r="639">
      <c r="A639" s="162" t="s">
        <v>1483</v>
      </c>
      <c r="B639" s="162" t="s">
        <v>79</v>
      </c>
      <c r="C639" s="336">
        <v>45358.0</v>
      </c>
    </row>
    <row r="640">
      <c r="A640" s="162" t="s">
        <v>1483</v>
      </c>
      <c r="B640" s="162" t="s">
        <v>79</v>
      </c>
      <c r="C640" s="336">
        <v>45358.0</v>
      </c>
    </row>
    <row r="641">
      <c r="A641" s="162" t="s">
        <v>1483</v>
      </c>
      <c r="B641" s="162" t="s">
        <v>79</v>
      </c>
      <c r="C641" s="336">
        <v>45358.0</v>
      </c>
    </row>
    <row r="642">
      <c r="A642" s="162" t="s">
        <v>1483</v>
      </c>
      <c r="B642" s="162" t="s">
        <v>79</v>
      </c>
      <c r="C642" s="336">
        <v>45358.0</v>
      </c>
    </row>
    <row r="643">
      <c r="A643" s="162" t="s">
        <v>1483</v>
      </c>
      <c r="B643" s="162" t="s">
        <v>79</v>
      </c>
      <c r="C643" s="336">
        <v>45358.0</v>
      </c>
    </row>
    <row r="644">
      <c r="A644" s="162" t="s">
        <v>1483</v>
      </c>
      <c r="B644" s="162" t="s">
        <v>79</v>
      </c>
      <c r="C644" s="336">
        <v>45358.0</v>
      </c>
    </row>
    <row r="645">
      <c r="A645" s="162" t="s">
        <v>1483</v>
      </c>
      <c r="B645" s="162" t="s">
        <v>79</v>
      </c>
      <c r="C645" s="336">
        <v>45358.0</v>
      </c>
    </row>
    <row r="646">
      <c r="A646" s="162" t="s">
        <v>1483</v>
      </c>
      <c r="B646" s="162" t="s">
        <v>79</v>
      </c>
      <c r="C646" s="336">
        <v>45358.0</v>
      </c>
    </row>
    <row r="647">
      <c r="A647" s="162"/>
      <c r="B647" s="162"/>
      <c r="C647" s="336"/>
    </row>
    <row r="648">
      <c r="A648" s="162"/>
      <c r="B648" s="162"/>
      <c r="C648" s="336"/>
    </row>
    <row r="649">
      <c r="A649" s="162"/>
      <c r="B649" s="162"/>
      <c r="C649" s="336"/>
    </row>
    <row r="650">
      <c r="A650" s="162"/>
      <c r="B650" s="162"/>
      <c r="C650" s="336"/>
    </row>
    <row r="651">
      <c r="A651" s="162"/>
      <c r="B651" s="162"/>
      <c r="C651" s="336"/>
    </row>
    <row r="652">
      <c r="A652" s="162"/>
      <c r="B652" s="162"/>
      <c r="C652" s="336"/>
    </row>
    <row r="653">
      <c r="A653" s="162"/>
      <c r="B653" s="162"/>
      <c r="C653" s="336"/>
    </row>
    <row r="654">
      <c r="A654" s="162"/>
      <c r="B654" s="162"/>
      <c r="C654" s="336"/>
    </row>
    <row r="655">
      <c r="A655" s="162"/>
      <c r="B655" s="162"/>
      <c r="C655" s="336"/>
    </row>
    <row r="656">
      <c r="A656" s="162"/>
      <c r="B656" s="162"/>
      <c r="C656" s="336"/>
    </row>
    <row r="657">
      <c r="A657" s="162"/>
      <c r="B657" s="162"/>
      <c r="C657" s="336"/>
    </row>
    <row r="658">
      <c r="A658" s="162"/>
      <c r="B658" s="162"/>
      <c r="C658" s="336"/>
    </row>
    <row r="659">
      <c r="A659" s="162"/>
      <c r="B659" s="162"/>
      <c r="C659" s="336"/>
    </row>
    <row r="660">
      <c r="A660" s="162"/>
      <c r="B660" s="162"/>
      <c r="C660" s="336"/>
    </row>
    <row r="661">
      <c r="A661" s="162"/>
      <c r="B661" s="162"/>
      <c r="C661" s="336"/>
    </row>
    <row r="662">
      <c r="A662" s="162"/>
      <c r="B662" s="162"/>
      <c r="C662" s="336"/>
    </row>
    <row r="663">
      <c r="A663" s="162"/>
      <c r="B663" s="162"/>
      <c r="C663" s="336"/>
    </row>
    <row r="664">
      <c r="A664" s="162"/>
      <c r="B664" s="162"/>
      <c r="C664" s="336"/>
    </row>
    <row r="665">
      <c r="A665" s="162"/>
      <c r="B665" s="162"/>
      <c r="C665" s="336"/>
    </row>
    <row r="666">
      <c r="A666" s="162"/>
      <c r="B666" s="162"/>
      <c r="C666" s="336"/>
    </row>
    <row r="667">
      <c r="A667" s="162"/>
      <c r="B667" s="162"/>
      <c r="C667" s="336"/>
    </row>
    <row r="668">
      <c r="A668" s="162"/>
      <c r="B668" s="162"/>
      <c r="C668" s="336"/>
    </row>
    <row r="669">
      <c r="A669" s="162"/>
      <c r="B669" s="162"/>
      <c r="C669" s="336"/>
    </row>
    <row r="670">
      <c r="A670" s="162"/>
      <c r="B670" s="162"/>
      <c r="C670" s="336"/>
    </row>
    <row r="671">
      <c r="A671" s="162"/>
      <c r="B671" s="162"/>
      <c r="C671" s="336"/>
    </row>
    <row r="672">
      <c r="A672" s="162"/>
      <c r="B672" s="162"/>
      <c r="C672" s="336"/>
    </row>
    <row r="673">
      <c r="A673" s="162"/>
      <c r="B673" s="162"/>
      <c r="C673" s="336"/>
    </row>
    <row r="674">
      <c r="A674" s="162"/>
      <c r="B674" s="162"/>
      <c r="C674" s="336"/>
    </row>
    <row r="675">
      <c r="A675" s="162"/>
      <c r="B675" s="162"/>
      <c r="C675" s="336"/>
    </row>
    <row r="676">
      <c r="A676" s="162"/>
      <c r="B676" s="162"/>
      <c r="C676" s="336"/>
    </row>
    <row r="677">
      <c r="A677" s="162"/>
      <c r="B677" s="162"/>
      <c r="C677" s="336"/>
    </row>
    <row r="678">
      <c r="A678" s="162"/>
      <c r="B678" s="162"/>
      <c r="C678" s="336"/>
    </row>
    <row r="679">
      <c r="A679" s="162"/>
      <c r="B679" s="162"/>
      <c r="C679" s="336"/>
    </row>
    <row r="680">
      <c r="A680" s="162"/>
      <c r="B680" s="162"/>
      <c r="C680" s="336"/>
    </row>
    <row r="681">
      <c r="A681" s="162"/>
      <c r="B681" s="162"/>
      <c r="C681" s="336"/>
    </row>
    <row r="682">
      <c r="A682" s="162"/>
      <c r="B682" s="162"/>
      <c r="C682" s="336"/>
    </row>
    <row r="683">
      <c r="A683" s="162"/>
      <c r="B683" s="162"/>
      <c r="C683" s="336"/>
    </row>
    <row r="684">
      <c r="A684" s="162"/>
      <c r="B684" s="162"/>
      <c r="C684" s="336"/>
    </row>
    <row r="685">
      <c r="A685" s="162"/>
      <c r="B685" s="162"/>
      <c r="C685" s="336"/>
    </row>
    <row r="686">
      <c r="A686" s="162"/>
      <c r="B686" s="162"/>
      <c r="C686" s="336"/>
    </row>
    <row r="687">
      <c r="A687" s="162"/>
      <c r="B687" s="162"/>
      <c r="C687" s="336"/>
    </row>
    <row r="688">
      <c r="A688" s="162"/>
      <c r="B688" s="162"/>
      <c r="C688" s="336"/>
    </row>
    <row r="689">
      <c r="A689" s="162"/>
      <c r="B689" s="162"/>
      <c r="C689" s="336"/>
    </row>
    <row r="690">
      <c r="A690" s="162"/>
      <c r="B690" s="162"/>
      <c r="C690" s="336"/>
    </row>
    <row r="691">
      <c r="A691" s="162"/>
      <c r="B691" s="162"/>
      <c r="C691" s="336"/>
    </row>
    <row r="692">
      <c r="A692" s="162"/>
      <c r="B692" s="162"/>
      <c r="C692" s="336"/>
    </row>
    <row r="693">
      <c r="A693" s="162"/>
      <c r="B693" s="162"/>
      <c r="C693" s="336"/>
    </row>
    <row r="694">
      <c r="A694" s="162"/>
      <c r="B694" s="162"/>
      <c r="C694" s="336"/>
    </row>
    <row r="695">
      <c r="A695" s="162"/>
      <c r="B695" s="162"/>
      <c r="C695" s="336"/>
    </row>
    <row r="696">
      <c r="A696" s="162"/>
      <c r="B696" s="162"/>
      <c r="C696" s="336"/>
    </row>
    <row r="697">
      <c r="A697" s="162"/>
      <c r="B697" s="162"/>
      <c r="C697" s="336"/>
    </row>
    <row r="698">
      <c r="A698" s="162"/>
      <c r="B698" s="162"/>
      <c r="C698" s="336"/>
    </row>
    <row r="699">
      <c r="A699" s="162"/>
      <c r="B699" s="162"/>
      <c r="C699" s="336"/>
    </row>
    <row r="700">
      <c r="A700" s="162"/>
      <c r="B700" s="162"/>
      <c r="C700" s="336"/>
    </row>
    <row r="701">
      <c r="A701" s="162"/>
      <c r="B701" s="162"/>
      <c r="C701" s="336"/>
    </row>
    <row r="702">
      <c r="A702" s="162"/>
      <c r="B702" s="162"/>
      <c r="C702" s="336"/>
    </row>
    <row r="703">
      <c r="A703" s="162"/>
      <c r="B703" s="162"/>
      <c r="C703" s="336"/>
    </row>
    <row r="704">
      <c r="A704" s="162"/>
      <c r="B704" s="162"/>
      <c r="C704" s="336"/>
    </row>
    <row r="705">
      <c r="A705" s="162"/>
      <c r="B705" s="162"/>
      <c r="C705" s="336"/>
    </row>
    <row r="706">
      <c r="A706" s="162"/>
      <c r="B706" s="162"/>
      <c r="C706" s="336"/>
    </row>
    <row r="707">
      <c r="A707" s="162"/>
      <c r="B707" s="162"/>
      <c r="C707" s="336"/>
    </row>
    <row r="708">
      <c r="A708" s="162"/>
      <c r="B708" s="162"/>
      <c r="C708" s="336"/>
    </row>
    <row r="709">
      <c r="A709" s="162"/>
      <c r="B709" s="162"/>
      <c r="C709" s="336"/>
    </row>
    <row r="710">
      <c r="A710" s="162"/>
      <c r="B710" s="162"/>
      <c r="C710" s="336"/>
    </row>
    <row r="711">
      <c r="A711" s="162"/>
      <c r="B711" s="162"/>
      <c r="C711" s="336"/>
    </row>
    <row r="712">
      <c r="A712" s="162"/>
      <c r="B712" s="162"/>
      <c r="C712" s="336"/>
    </row>
    <row r="713">
      <c r="A713" s="162"/>
      <c r="B713" s="162"/>
      <c r="C713" s="336"/>
    </row>
    <row r="714">
      <c r="A714" s="162"/>
      <c r="B714" s="162"/>
      <c r="C714" s="336"/>
    </row>
    <row r="715">
      <c r="A715" s="162"/>
      <c r="B715" s="162"/>
      <c r="C715" s="336"/>
    </row>
    <row r="716">
      <c r="A716" s="162"/>
      <c r="B716" s="162"/>
      <c r="C716" s="336"/>
    </row>
    <row r="717">
      <c r="A717" s="162"/>
      <c r="B717" s="162"/>
      <c r="C717" s="336"/>
    </row>
    <row r="718">
      <c r="A718" s="162"/>
      <c r="B718" s="162"/>
      <c r="C718" s="336"/>
    </row>
    <row r="719">
      <c r="A719" s="162"/>
      <c r="B719" s="162"/>
      <c r="C719" s="336"/>
    </row>
    <row r="720">
      <c r="A720" s="162"/>
      <c r="B720" s="162"/>
      <c r="C720" s="336"/>
    </row>
    <row r="721">
      <c r="A721" s="162"/>
      <c r="B721" s="162"/>
      <c r="C721" s="336"/>
    </row>
    <row r="722">
      <c r="A722" s="162"/>
      <c r="B722" s="162"/>
      <c r="C722" s="336"/>
    </row>
    <row r="723">
      <c r="A723" s="162"/>
      <c r="B723" s="162"/>
      <c r="C723" s="336"/>
    </row>
    <row r="724">
      <c r="A724" s="162"/>
      <c r="B724" s="162"/>
      <c r="C724" s="336"/>
    </row>
    <row r="725">
      <c r="A725" s="162"/>
      <c r="B725" s="162"/>
      <c r="C725" s="336"/>
    </row>
    <row r="726">
      <c r="A726" s="162"/>
      <c r="B726" s="162"/>
      <c r="C726" s="336"/>
    </row>
    <row r="727">
      <c r="A727" s="162"/>
      <c r="B727" s="162"/>
      <c r="C727" s="336"/>
    </row>
    <row r="728">
      <c r="A728" s="162"/>
      <c r="B728" s="162"/>
      <c r="C728" s="336"/>
    </row>
    <row r="729">
      <c r="A729" s="162"/>
      <c r="B729" s="162"/>
      <c r="C729" s="336"/>
    </row>
    <row r="730">
      <c r="A730" s="162"/>
      <c r="B730" s="162"/>
      <c r="C730" s="336"/>
    </row>
    <row r="731">
      <c r="A731" s="162"/>
      <c r="B731" s="162"/>
      <c r="C731" s="336"/>
    </row>
    <row r="732">
      <c r="A732" s="162"/>
      <c r="B732" s="162"/>
      <c r="C732" s="336"/>
    </row>
    <row r="733">
      <c r="A733" s="162"/>
      <c r="B733" s="162"/>
      <c r="C733" s="336"/>
    </row>
    <row r="734">
      <c r="A734" s="162"/>
      <c r="B734" s="162"/>
      <c r="C734" s="336"/>
    </row>
    <row r="735">
      <c r="A735" s="162"/>
      <c r="B735" s="162"/>
      <c r="C735" s="336"/>
    </row>
    <row r="736">
      <c r="A736" s="162"/>
      <c r="B736" s="162"/>
      <c r="C736" s="336"/>
    </row>
    <row r="737">
      <c r="A737" s="162"/>
      <c r="B737" s="162"/>
      <c r="C737" s="336"/>
    </row>
    <row r="738">
      <c r="A738" s="162"/>
      <c r="B738" s="162"/>
      <c r="C738" s="336"/>
    </row>
    <row r="739">
      <c r="A739" s="162"/>
      <c r="B739" s="162"/>
      <c r="C739" s="336"/>
    </row>
    <row r="740">
      <c r="A740" s="162"/>
      <c r="B740" s="162"/>
      <c r="C740" s="336"/>
    </row>
    <row r="741">
      <c r="A741" s="162"/>
      <c r="B741" s="162"/>
      <c r="C741" s="336"/>
    </row>
    <row r="742">
      <c r="A742" s="162"/>
      <c r="B742" s="162"/>
      <c r="C742" s="336"/>
    </row>
    <row r="743">
      <c r="A743" s="162"/>
      <c r="B743" s="162"/>
      <c r="C743" s="336"/>
    </row>
    <row r="744">
      <c r="A744" s="162"/>
      <c r="B744" s="162"/>
      <c r="C744" s="336"/>
    </row>
    <row r="745">
      <c r="A745" s="162"/>
      <c r="B745" s="162"/>
      <c r="C745" s="336"/>
    </row>
    <row r="746">
      <c r="A746" s="162"/>
      <c r="B746" s="162"/>
      <c r="C746" s="336"/>
    </row>
    <row r="747">
      <c r="A747" s="162"/>
      <c r="B747" s="162"/>
      <c r="C747" s="336"/>
    </row>
    <row r="748">
      <c r="A748" s="162"/>
      <c r="B748" s="162"/>
      <c r="C748" s="336"/>
    </row>
    <row r="749">
      <c r="A749" s="162"/>
      <c r="B749" s="162"/>
      <c r="C749" s="336"/>
    </row>
    <row r="750">
      <c r="A750" s="162"/>
      <c r="B750" s="162"/>
      <c r="C750" s="336"/>
    </row>
    <row r="751">
      <c r="A751" s="162"/>
      <c r="B751" s="162"/>
      <c r="C751" s="336"/>
    </row>
    <row r="752">
      <c r="A752" s="162"/>
      <c r="B752" s="162"/>
      <c r="C752" s="336"/>
    </row>
    <row r="753">
      <c r="A753" s="162"/>
      <c r="B753" s="162"/>
      <c r="C753" s="336"/>
    </row>
    <row r="754">
      <c r="A754" s="162"/>
      <c r="B754" s="162"/>
      <c r="C754" s="336"/>
    </row>
    <row r="755">
      <c r="A755" s="162"/>
      <c r="B755" s="162"/>
      <c r="C755" s="336"/>
    </row>
    <row r="756">
      <c r="A756" s="162"/>
      <c r="B756" s="162"/>
      <c r="C756" s="336"/>
    </row>
    <row r="757">
      <c r="A757" s="162"/>
      <c r="B757" s="162"/>
      <c r="C757" s="336"/>
    </row>
    <row r="758">
      <c r="A758" s="162"/>
      <c r="B758" s="162"/>
      <c r="C758" s="336"/>
    </row>
    <row r="759">
      <c r="A759" s="162"/>
      <c r="B759" s="162"/>
      <c r="C759" s="336"/>
    </row>
    <row r="760">
      <c r="A760" s="162"/>
      <c r="B760" s="162"/>
      <c r="C760" s="336"/>
    </row>
    <row r="761">
      <c r="A761" s="162"/>
      <c r="B761" s="162"/>
      <c r="C761" s="336"/>
    </row>
    <row r="762">
      <c r="A762" s="162"/>
      <c r="B762" s="162"/>
      <c r="C762" s="336"/>
    </row>
    <row r="763">
      <c r="A763" s="162"/>
      <c r="B763" s="162"/>
      <c r="C763" s="336"/>
    </row>
    <row r="764">
      <c r="A764" s="162"/>
      <c r="B764" s="162"/>
      <c r="C764" s="336"/>
    </row>
    <row r="765">
      <c r="A765" s="162"/>
      <c r="B765" s="162"/>
      <c r="C765" s="336"/>
    </row>
    <row r="766">
      <c r="A766" s="162"/>
      <c r="B766" s="162"/>
      <c r="C766" s="336"/>
    </row>
    <row r="767">
      <c r="A767" s="162"/>
      <c r="B767" s="162"/>
      <c r="C767" s="336"/>
    </row>
    <row r="768">
      <c r="A768" s="162"/>
      <c r="B768" s="162"/>
      <c r="C768" s="336"/>
    </row>
    <row r="769">
      <c r="A769" s="162"/>
      <c r="B769" s="162"/>
      <c r="C769" s="336"/>
    </row>
    <row r="770">
      <c r="A770" s="162"/>
      <c r="B770" s="162"/>
      <c r="C770" s="336"/>
    </row>
    <row r="771">
      <c r="A771" s="162"/>
      <c r="B771" s="162"/>
      <c r="C771" s="336"/>
    </row>
    <row r="772">
      <c r="A772" s="162"/>
      <c r="B772" s="162"/>
      <c r="C772" s="336"/>
    </row>
    <row r="773">
      <c r="A773" s="162"/>
      <c r="B773" s="162"/>
      <c r="C773" s="336"/>
    </row>
    <row r="774">
      <c r="A774" s="162"/>
      <c r="B774" s="162"/>
      <c r="C774" s="336"/>
    </row>
    <row r="775">
      <c r="A775" s="162"/>
      <c r="B775" s="162"/>
      <c r="C775" s="336"/>
    </row>
    <row r="776">
      <c r="A776" s="162"/>
      <c r="B776" s="162"/>
      <c r="C776" s="336"/>
    </row>
    <row r="777">
      <c r="A777" s="162"/>
      <c r="B777" s="162"/>
      <c r="C777" s="336"/>
    </row>
    <row r="778">
      <c r="A778" s="162"/>
      <c r="B778" s="162"/>
      <c r="C778" s="336"/>
    </row>
    <row r="779">
      <c r="A779" s="162"/>
      <c r="B779" s="162"/>
      <c r="C779" s="336"/>
    </row>
    <row r="780">
      <c r="A780" s="162"/>
      <c r="B780" s="162"/>
      <c r="C780" s="336"/>
    </row>
    <row r="781">
      <c r="A781" s="162"/>
      <c r="B781" s="162"/>
      <c r="C781" s="336"/>
    </row>
    <row r="782">
      <c r="A782" s="162"/>
      <c r="B782" s="162"/>
      <c r="C782" s="336"/>
    </row>
    <row r="783">
      <c r="A783" s="162"/>
      <c r="B783" s="162"/>
      <c r="C783" s="336"/>
    </row>
    <row r="784">
      <c r="A784" s="162"/>
      <c r="B784" s="162"/>
      <c r="C784" s="336"/>
    </row>
    <row r="785">
      <c r="A785" s="162"/>
      <c r="B785" s="162"/>
      <c r="C785" s="336"/>
    </row>
    <row r="786">
      <c r="A786" s="162"/>
      <c r="B786" s="162"/>
      <c r="C786" s="336"/>
    </row>
    <row r="787">
      <c r="A787" s="162"/>
      <c r="B787" s="162"/>
      <c r="C787" s="336"/>
    </row>
    <row r="788">
      <c r="A788" s="162"/>
      <c r="B788" s="162"/>
      <c r="C788" s="336"/>
    </row>
    <row r="789">
      <c r="A789" s="162"/>
      <c r="B789" s="162"/>
      <c r="C789" s="336"/>
    </row>
    <row r="790">
      <c r="A790" s="162"/>
      <c r="B790" s="162"/>
      <c r="C790" s="336"/>
    </row>
    <row r="791">
      <c r="A791" s="162"/>
      <c r="B791" s="162"/>
      <c r="C791" s="336"/>
    </row>
    <row r="792">
      <c r="A792" s="162"/>
      <c r="B792" s="162"/>
      <c r="C792" s="336"/>
    </row>
    <row r="793">
      <c r="A793" s="162"/>
      <c r="B793" s="162"/>
      <c r="C793" s="336"/>
    </row>
    <row r="794">
      <c r="A794" s="162"/>
      <c r="B794" s="162"/>
      <c r="C794" s="336"/>
    </row>
    <row r="795">
      <c r="A795" s="162"/>
      <c r="B795" s="162"/>
      <c r="C795" s="336"/>
    </row>
    <row r="796">
      <c r="A796" s="162"/>
      <c r="B796" s="162"/>
      <c r="C796" s="336"/>
    </row>
    <row r="797">
      <c r="A797" s="162"/>
      <c r="B797" s="162"/>
      <c r="C797" s="336"/>
    </row>
    <row r="798">
      <c r="A798" s="162"/>
      <c r="B798" s="162"/>
      <c r="C798" s="336"/>
    </row>
    <row r="799">
      <c r="A799" s="162"/>
      <c r="B799" s="162"/>
      <c r="C799" s="336"/>
    </row>
    <row r="800">
      <c r="A800" s="162"/>
      <c r="B800" s="162"/>
      <c r="C800" s="336"/>
    </row>
    <row r="801">
      <c r="A801" s="162"/>
      <c r="B801" s="162"/>
      <c r="C801" s="336"/>
    </row>
    <row r="802">
      <c r="A802" s="162"/>
      <c r="B802" s="162"/>
      <c r="C802" s="336"/>
    </row>
    <row r="803">
      <c r="A803" s="162"/>
      <c r="B803" s="162"/>
      <c r="C803" s="336"/>
    </row>
    <row r="804">
      <c r="A804" s="162"/>
      <c r="B804" s="162"/>
      <c r="C804" s="336"/>
    </row>
    <row r="805">
      <c r="A805" s="162"/>
      <c r="B805" s="162"/>
      <c r="C805" s="336"/>
    </row>
    <row r="806">
      <c r="A806" s="162"/>
      <c r="B806" s="162"/>
      <c r="C806" s="336"/>
    </row>
    <row r="807">
      <c r="A807" s="162"/>
      <c r="B807" s="162"/>
      <c r="C807" s="336"/>
    </row>
    <row r="808">
      <c r="A808" s="162"/>
      <c r="B808" s="162"/>
      <c r="C808" s="336"/>
    </row>
    <row r="809">
      <c r="A809" s="162"/>
      <c r="B809" s="162"/>
      <c r="C809" s="336"/>
    </row>
    <row r="810">
      <c r="A810" s="162"/>
      <c r="B810" s="162"/>
      <c r="C810" s="336"/>
    </row>
    <row r="811">
      <c r="A811" s="162"/>
      <c r="B811" s="162"/>
      <c r="C811" s="336"/>
    </row>
    <row r="812">
      <c r="A812" s="162"/>
      <c r="B812" s="162"/>
      <c r="C812" s="336"/>
    </row>
    <row r="813">
      <c r="A813" s="162"/>
      <c r="B813" s="162"/>
      <c r="C813" s="336"/>
    </row>
    <row r="814">
      <c r="A814" s="162"/>
      <c r="B814" s="162"/>
      <c r="C814" s="336"/>
    </row>
    <row r="815">
      <c r="A815" s="162"/>
      <c r="B815" s="162"/>
      <c r="C815" s="336"/>
    </row>
    <row r="816">
      <c r="A816" s="162"/>
      <c r="B816" s="162"/>
      <c r="C816" s="336"/>
    </row>
    <row r="817">
      <c r="A817" s="162"/>
      <c r="B817" s="162"/>
      <c r="C817" s="336"/>
    </row>
    <row r="818">
      <c r="A818" s="162"/>
      <c r="B818" s="162"/>
      <c r="C818" s="336"/>
    </row>
    <row r="819">
      <c r="A819" s="162"/>
      <c r="B819" s="162"/>
      <c r="C819" s="336"/>
    </row>
    <row r="820">
      <c r="A820" s="162"/>
      <c r="B820" s="162"/>
      <c r="C820" s="336"/>
    </row>
    <row r="821">
      <c r="A821" s="162"/>
      <c r="B821" s="162"/>
      <c r="C821" s="336"/>
    </row>
    <row r="822">
      <c r="A822" s="162"/>
      <c r="B822" s="162"/>
      <c r="C822" s="336"/>
    </row>
    <row r="823">
      <c r="A823" s="162"/>
      <c r="B823" s="162"/>
      <c r="C823" s="336"/>
    </row>
    <row r="824">
      <c r="A824" s="162"/>
      <c r="B824" s="162"/>
      <c r="C824" s="336"/>
    </row>
    <row r="825">
      <c r="A825" s="162"/>
      <c r="B825" s="162"/>
      <c r="C825" s="336"/>
    </row>
    <row r="826">
      <c r="A826" s="162"/>
      <c r="B826" s="162"/>
      <c r="C826" s="336"/>
    </row>
    <row r="827">
      <c r="A827" s="162"/>
      <c r="B827" s="162"/>
      <c r="C827" s="336"/>
    </row>
    <row r="828">
      <c r="A828" s="162"/>
      <c r="B828" s="162"/>
      <c r="C828" s="336"/>
    </row>
    <row r="829">
      <c r="A829" s="162"/>
      <c r="B829" s="162"/>
      <c r="C829" s="336"/>
    </row>
    <row r="830">
      <c r="A830" s="162"/>
      <c r="B830" s="162"/>
      <c r="C830" s="336"/>
    </row>
    <row r="831">
      <c r="A831" s="162"/>
      <c r="B831" s="162"/>
      <c r="C831" s="336"/>
    </row>
    <row r="832">
      <c r="A832" s="162"/>
      <c r="B832" s="162"/>
      <c r="C832" s="336"/>
    </row>
    <row r="833">
      <c r="A833" s="162"/>
      <c r="B833" s="162"/>
      <c r="C833" s="336"/>
    </row>
    <row r="834">
      <c r="A834" s="162"/>
      <c r="B834" s="162"/>
      <c r="C834" s="336"/>
    </row>
    <row r="835">
      <c r="A835" s="162"/>
      <c r="B835" s="162"/>
      <c r="C835" s="336"/>
    </row>
    <row r="836">
      <c r="A836" s="162"/>
      <c r="B836" s="162"/>
      <c r="C836" s="336"/>
    </row>
    <row r="837">
      <c r="A837" s="162"/>
      <c r="B837" s="162"/>
      <c r="C837" s="336"/>
    </row>
    <row r="838">
      <c r="A838" s="162"/>
      <c r="B838" s="162"/>
      <c r="C838" s="336"/>
    </row>
    <row r="839">
      <c r="A839" s="162"/>
      <c r="B839" s="162"/>
      <c r="C839" s="336"/>
    </row>
    <row r="840">
      <c r="A840" s="162"/>
      <c r="B840" s="162"/>
      <c r="C840" s="336"/>
    </row>
    <row r="841">
      <c r="A841" s="162"/>
      <c r="B841" s="162"/>
      <c r="C841" s="336"/>
    </row>
    <row r="842">
      <c r="A842" s="162"/>
      <c r="B842" s="162"/>
      <c r="C842" s="336"/>
    </row>
    <row r="843">
      <c r="A843" s="162"/>
      <c r="B843" s="162"/>
      <c r="C843" s="336"/>
    </row>
    <row r="844">
      <c r="A844" s="162"/>
      <c r="B844" s="162"/>
      <c r="C844" s="336"/>
    </row>
    <row r="845">
      <c r="A845" s="162"/>
      <c r="B845" s="162"/>
      <c r="C845" s="336"/>
    </row>
    <row r="846">
      <c r="A846" s="162"/>
      <c r="B846" s="162"/>
      <c r="C846" s="336"/>
    </row>
    <row r="847">
      <c r="A847" s="162"/>
      <c r="B847" s="162"/>
      <c r="C847" s="336"/>
    </row>
    <row r="848">
      <c r="A848" s="162"/>
      <c r="B848" s="162"/>
      <c r="C848" s="336"/>
    </row>
    <row r="849">
      <c r="A849" s="162"/>
      <c r="B849" s="162"/>
      <c r="C849" s="336"/>
    </row>
    <row r="850">
      <c r="A850" s="162"/>
      <c r="B850" s="162"/>
      <c r="C850" s="336"/>
    </row>
    <row r="851">
      <c r="A851" s="162"/>
      <c r="B851" s="162"/>
      <c r="C851" s="336"/>
    </row>
    <row r="852">
      <c r="A852" s="162"/>
      <c r="B852" s="162"/>
      <c r="C852" s="336"/>
    </row>
    <row r="853">
      <c r="A853" s="162"/>
      <c r="B853" s="162"/>
      <c r="C853" s="336"/>
    </row>
    <row r="854">
      <c r="A854" s="162"/>
      <c r="B854" s="162"/>
      <c r="C854" s="336"/>
    </row>
    <row r="855">
      <c r="A855" s="162"/>
      <c r="B855" s="162"/>
      <c r="C855" s="336"/>
    </row>
    <row r="856">
      <c r="A856" s="162"/>
      <c r="B856" s="162"/>
      <c r="C856" s="336"/>
    </row>
    <row r="857">
      <c r="A857" s="162"/>
      <c r="B857" s="162"/>
      <c r="C857" s="336"/>
    </row>
    <row r="858">
      <c r="A858" s="162"/>
      <c r="B858" s="162"/>
      <c r="C858" s="336"/>
    </row>
    <row r="859">
      <c r="A859" s="162"/>
      <c r="B859" s="162"/>
      <c r="C859" s="336"/>
    </row>
    <row r="860">
      <c r="A860" s="162"/>
      <c r="B860" s="162"/>
      <c r="C860" s="336"/>
    </row>
    <row r="861">
      <c r="A861" s="162"/>
      <c r="B861" s="162"/>
      <c r="C861" s="336"/>
    </row>
    <row r="862">
      <c r="A862" s="162"/>
      <c r="B862" s="162"/>
      <c r="C862" s="336"/>
    </row>
    <row r="863">
      <c r="A863" s="162"/>
      <c r="B863" s="162"/>
      <c r="C863" s="336"/>
    </row>
    <row r="864">
      <c r="A864" s="162"/>
      <c r="B864" s="162"/>
      <c r="C864" s="336"/>
    </row>
    <row r="865">
      <c r="A865" s="162"/>
      <c r="B865" s="162"/>
      <c r="C865" s="336"/>
    </row>
    <row r="866">
      <c r="A866" s="162"/>
      <c r="B866" s="162"/>
      <c r="C866" s="336"/>
    </row>
    <row r="867">
      <c r="A867" s="162"/>
      <c r="B867" s="162"/>
      <c r="C867" s="336"/>
    </row>
    <row r="868">
      <c r="A868" s="162"/>
      <c r="B868" s="162"/>
      <c r="C868" s="336"/>
    </row>
    <row r="869">
      <c r="A869" s="162"/>
      <c r="B869" s="162"/>
      <c r="C869" s="336"/>
    </row>
    <row r="870">
      <c r="A870" s="162"/>
      <c r="B870" s="162"/>
      <c r="C870" s="336"/>
    </row>
    <row r="871">
      <c r="A871" s="162"/>
      <c r="B871" s="162"/>
      <c r="C871" s="336"/>
    </row>
    <row r="872">
      <c r="A872" s="162"/>
      <c r="B872" s="162"/>
      <c r="C872" s="336"/>
    </row>
    <row r="873">
      <c r="A873" s="162"/>
      <c r="B873" s="162"/>
      <c r="C873" s="336"/>
    </row>
    <row r="874">
      <c r="A874" s="162"/>
      <c r="B874" s="162"/>
      <c r="C874" s="336"/>
    </row>
    <row r="875">
      <c r="A875" s="162"/>
      <c r="B875" s="162"/>
      <c r="C875" s="336"/>
    </row>
    <row r="876">
      <c r="A876" s="162"/>
      <c r="B876" s="162"/>
      <c r="C876" s="336"/>
    </row>
    <row r="877">
      <c r="A877" s="162"/>
      <c r="B877" s="162"/>
      <c r="C877" s="336"/>
    </row>
    <row r="878">
      <c r="A878" s="162"/>
      <c r="B878" s="162"/>
      <c r="C878" s="336"/>
    </row>
    <row r="879">
      <c r="A879" s="162"/>
      <c r="B879" s="162"/>
      <c r="C879" s="336"/>
    </row>
    <row r="880">
      <c r="A880" s="162"/>
      <c r="B880" s="162"/>
      <c r="C880" s="336"/>
    </row>
    <row r="881">
      <c r="A881" s="162"/>
      <c r="B881" s="162"/>
      <c r="C881" s="336"/>
    </row>
    <row r="882">
      <c r="A882" s="162"/>
      <c r="B882" s="162"/>
      <c r="C882" s="336"/>
    </row>
    <row r="883">
      <c r="A883" s="162"/>
      <c r="B883" s="162"/>
      <c r="C883" s="336"/>
    </row>
    <row r="884">
      <c r="A884" s="162"/>
      <c r="B884" s="162"/>
      <c r="C884" s="336"/>
    </row>
    <row r="885">
      <c r="A885" s="162"/>
      <c r="B885" s="162"/>
      <c r="C885" s="336"/>
    </row>
    <row r="886">
      <c r="A886" s="162"/>
      <c r="B886" s="162"/>
      <c r="C886" s="336"/>
    </row>
    <row r="887">
      <c r="A887" s="162"/>
      <c r="B887" s="162"/>
      <c r="C887" s="336"/>
    </row>
    <row r="888">
      <c r="A888" s="162"/>
      <c r="B888" s="162"/>
      <c r="C888" s="336"/>
    </row>
    <row r="889">
      <c r="A889" s="162"/>
      <c r="B889" s="162"/>
      <c r="C889" s="336"/>
    </row>
    <row r="890">
      <c r="A890" s="162"/>
      <c r="B890" s="162"/>
      <c r="C890" s="336"/>
    </row>
    <row r="891">
      <c r="A891" s="162"/>
      <c r="B891" s="162"/>
      <c r="C891" s="336"/>
    </row>
    <row r="892">
      <c r="A892" s="162"/>
      <c r="B892" s="162"/>
      <c r="C892" s="336"/>
    </row>
    <row r="893">
      <c r="A893" s="162"/>
      <c r="B893" s="162"/>
      <c r="C893" s="336"/>
    </row>
    <row r="894">
      <c r="A894" s="162"/>
      <c r="B894" s="162"/>
      <c r="C894" s="336"/>
    </row>
    <row r="895">
      <c r="A895" s="162"/>
      <c r="B895" s="162"/>
      <c r="C895" s="336"/>
    </row>
    <row r="896">
      <c r="A896" s="162"/>
      <c r="B896" s="162"/>
      <c r="C896" s="336"/>
    </row>
    <row r="897">
      <c r="A897" s="162"/>
      <c r="B897" s="162"/>
      <c r="C897" s="336"/>
    </row>
    <row r="898">
      <c r="A898" s="162"/>
      <c r="B898" s="162"/>
      <c r="C898" s="336"/>
    </row>
    <row r="899">
      <c r="A899" s="162"/>
      <c r="B899" s="162"/>
      <c r="C899" s="336"/>
    </row>
    <row r="900">
      <c r="A900" s="162"/>
      <c r="B900" s="162"/>
      <c r="C900" s="336"/>
    </row>
    <row r="901">
      <c r="A901" s="162"/>
      <c r="B901" s="162"/>
      <c r="C901" s="336"/>
    </row>
    <row r="902">
      <c r="A902" s="162"/>
      <c r="B902" s="162"/>
      <c r="C902" s="336"/>
    </row>
    <row r="903">
      <c r="A903" s="162"/>
      <c r="B903" s="162"/>
      <c r="C903" s="336"/>
    </row>
    <row r="904">
      <c r="A904" s="162"/>
      <c r="B904" s="162"/>
      <c r="C904" s="336"/>
    </row>
    <row r="905">
      <c r="A905" s="162"/>
      <c r="B905" s="162"/>
      <c r="C905" s="336"/>
    </row>
    <row r="906">
      <c r="A906" s="162"/>
      <c r="B906" s="162"/>
      <c r="C906" s="336"/>
    </row>
    <row r="907">
      <c r="A907" s="162"/>
      <c r="B907" s="162"/>
      <c r="C907" s="336"/>
    </row>
    <row r="908">
      <c r="A908" s="162"/>
      <c r="B908" s="162"/>
      <c r="C908" s="336"/>
    </row>
    <row r="909">
      <c r="A909" s="162"/>
      <c r="B909" s="162"/>
      <c r="C909" s="336"/>
    </row>
    <row r="910">
      <c r="A910" s="162"/>
      <c r="B910" s="162"/>
      <c r="C910" s="336"/>
    </row>
    <row r="911">
      <c r="A911" s="162"/>
      <c r="B911" s="162"/>
      <c r="C911" s="336"/>
    </row>
    <row r="912">
      <c r="A912" s="162"/>
      <c r="B912" s="162"/>
      <c r="C912" s="336"/>
    </row>
    <row r="913">
      <c r="A913" s="162"/>
      <c r="B913" s="162"/>
      <c r="C913" s="336"/>
    </row>
    <row r="914">
      <c r="A914" s="162"/>
      <c r="B914" s="162"/>
      <c r="C914" s="336"/>
    </row>
    <row r="915">
      <c r="A915" s="162"/>
      <c r="B915" s="162"/>
      <c r="C915" s="336"/>
    </row>
    <row r="916">
      <c r="A916" s="162"/>
      <c r="B916" s="162"/>
      <c r="C916" s="336"/>
    </row>
    <row r="917">
      <c r="A917" s="162"/>
      <c r="B917" s="162"/>
      <c r="C917" s="336"/>
    </row>
    <row r="918">
      <c r="A918" s="162"/>
      <c r="B918" s="162"/>
      <c r="C918" s="336"/>
    </row>
    <row r="919">
      <c r="A919" s="162"/>
      <c r="B919" s="162"/>
      <c r="C919" s="336"/>
    </row>
    <row r="920">
      <c r="A920" s="162"/>
      <c r="B920" s="162"/>
      <c r="C920" s="336"/>
    </row>
    <row r="921">
      <c r="A921" s="162"/>
      <c r="B921" s="162"/>
      <c r="C921" s="336"/>
    </row>
    <row r="922">
      <c r="A922" s="162"/>
      <c r="B922" s="162"/>
      <c r="C922" s="336"/>
    </row>
    <row r="923">
      <c r="A923" s="162"/>
      <c r="B923" s="162"/>
      <c r="C923" s="336"/>
    </row>
    <row r="924">
      <c r="A924" s="162"/>
      <c r="B924" s="162"/>
      <c r="C924" s="336"/>
    </row>
    <row r="925">
      <c r="A925" s="162"/>
      <c r="B925" s="162"/>
      <c r="C925" s="336"/>
    </row>
    <row r="926">
      <c r="A926" s="162"/>
      <c r="B926" s="162"/>
      <c r="C926" s="336"/>
    </row>
    <row r="927">
      <c r="A927" s="162"/>
      <c r="B927" s="162"/>
      <c r="C927" s="336"/>
    </row>
    <row r="928">
      <c r="A928" s="162"/>
      <c r="B928" s="162"/>
      <c r="C928" s="336"/>
    </row>
    <row r="929">
      <c r="A929" s="162"/>
      <c r="B929" s="162"/>
      <c r="C929" s="336"/>
    </row>
    <row r="930">
      <c r="A930" s="162"/>
      <c r="B930" s="162"/>
      <c r="C930" s="336"/>
    </row>
    <row r="931">
      <c r="A931" s="162"/>
      <c r="B931" s="162"/>
      <c r="C931" s="336"/>
    </row>
    <row r="932">
      <c r="A932" s="162"/>
      <c r="B932" s="162"/>
      <c r="C932" s="336"/>
    </row>
    <row r="933">
      <c r="A933" s="162"/>
      <c r="B933" s="162"/>
      <c r="C933" s="336"/>
    </row>
    <row r="934">
      <c r="A934" s="162"/>
      <c r="B934" s="162"/>
      <c r="C934" s="336"/>
    </row>
    <row r="935">
      <c r="A935" s="162"/>
      <c r="B935" s="162"/>
      <c r="C935" s="336"/>
    </row>
    <row r="936">
      <c r="A936" s="162"/>
      <c r="B936" s="162"/>
      <c r="C936" s="336"/>
    </row>
    <row r="937">
      <c r="A937" s="162"/>
      <c r="B937" s="162"/>
      <c r="C937" s="336"/>
    </row>
    <row r="938">
      <c r="A938" s="162"/>
      <c r="B938" s="162"/>
      <c r="C938" s="336"/>
    </row>
    <row r="939">
      <c r="A939" s="162"/>
      <c r="B939" s="162"/>
      <c r="C939" s="336"/>
    </row>
    <row r="940">
      <c r="A940" s="162"/>
      <c r="B940" s="162"/>
      <c r="C940" s="336"/>
    </row>
    <row r="941">
      <c r="A941" s="162"/>
      <c r="B941" s="162"/>
      <c r="C941" s="336"/>
    </row>
    <row r="942">
      <c r="A942" s="162"/>
      <c r="B942" s="162"/>
      <c r="C942" s="336"/>
    </row>
    <row r="943">
      <c r="A943" s="162"/>
      <c r="B943" s="162"/>
      <c r="C943" s="336"/>
    </row>
    <row r="944">
      <c r="A944" s="162"/>
      <c r="B944" s="162"/>
      <c r="C944" s="336"/>
    </row>
    <row r="945">
      <c r="A945" s="162"/>
      <c r="B945" s="162"/>
      <c r="C945" s="336"/>
    </row>
    <row r="946">
      <c r="A946" s="162"/>
      <c r="B946" s="162"/>
      <c r="C946" s="336"/>
    </row>
    <row r="947">
      <c r="A947" s="162"/>
      <c r="B947" s="162"/>
      <c r="C947" s="336"/>
    </row>
    <row r="948">
      <c r="A948" s="162"/>
      <c r="B948" s="162"/>
      <c r="C948" s="336"/>
    </row>
    <row r="949">
      <c r="A949" s="162"/>
      <c r="B949" s="162"/>
      <c r="C949" s="336"/>
    </row>
    <row r="950">
      <c r="A950" s="162"/>
      <c r="B950" s="162"/>
      <c r="C950" s="336"/>
    </row>
    <row r="951">
      <c r="A951" s="162"/>
      <c r="B951" s="162"/>
      <c r="C951" s="336"/>
    </row>
    <row r="952">
      <c r="A952" s="162"/>
      <c r="B952" s="162"/>
      <c r="C952" s="336"/>
    </row>
    <row r="953">
      <c r="A953" s="162"/>
      <c r="B953" s="162"/>
      <c r="C953" s="336"/>
    </row>
    <row r="954">
      <c r="A954" s="162"/>
      <c r="B954" s="162"/>
      <c r="C954" s="336"/>
    </row>
    <row r="955">
      <c r="A955" s="162"/>
      <c r="B955" s="162"/>
      <c r="C955" s="336"/>
    </row>
    <row r="956">
      <c r="A956" s="162"/>
      <c r="B956" s="162"/>
      <c r="C956" s="336"/>
    </row>
    <row r="957">
      <c r="A957" s="162"/>
      <c r="B957" s="162"/>
      <c r="C957" s="336"/>
    </row>
    <row r="958">
      <c r="A958" s="162"/>
      <c r="B958" s="162"/>
      <c r="C958" s="336"/>
    </row>
    <row r="959">
      <c r="A959" s="162"/>
      <c r="B959" s="162"/>
      <c r="C959" s="336"/>
    </row>
    <row r="960">
      <c r="A960" s="162"/>
      <c r="B960" s="162"/>
      <c r="C960" s="336"/>
    </row>
    <row r="961">
      <c r="A961" s="162"/>
      <c r="B961" s="162"/>
      <c r="C961" s="336"/>
    </row>
    <row r="962">
      <c r="A962" s="162"/>
      <c r="B962" s="162"/>
      <c r="C962" s="336"/>
    </row>
    <row r="963">
      <c r="A963" s="162"/>
      <c r="B963" s="162"/>
      <c r="C963" s="336"/>
    </row>
    <row r="964">
      <c r="A964" s="162"/>
      <c r="B964" s="162"/>
      <c r="C964" s="336"/>
    </row>
    <row r="965">
      <c r="A965" s="162"/>
      <c r="B965" s="162"/>
      <c r="C965" s="336"/>
    </row>
    <row r="966">
      <c r="A966" s="162"/>
      <c r="B966" s="162"/>
      <c r="C966" s="336"/>
    </row>
    <row r="967">
      <c r="A967" s="162"/>
      <c r="B967" s="162"/>
      <c r="C967" s="336"/>
    </row>
    <row r="968">
      <c r="A968" s="162"/>
      <c r="B968" s="162"/>
      <c r="C968" s="336"/>
    </row>
    <row r="969">
      <c r="A969" s="162"/>
      <c r="B969" s="162"/>
      <c r="C969" s="336"/>
    </row>
    <row r="970">
      <c r="A970" s="162"/>
      <c r="B970" s="162"/>
      <c r="C970" s="336"/>
    </row>
    <row r="971">
      <c r="A971" s="162"/>
      <c r="B971" s="162"/>
      <c r="C971" s="336"/>
    </row>
    <row r="972">
      <c r="A972" s="162"/>
      <c r="B972" s="162"/>
      <c r="C972" s="336"/>
    </row>
    <row r="973">
      <c r="A973" s="162"/>
      <c r="B973" s="162"/>
      <c r="C973" s="336"/>
    </row>
    <row r="974">
      <c r="A974" s="162"/>
      <c r="B974" s="162"/>
      <c r="C974" s="336"/>
    </row>
    <row r="975">
      <c r="A975" s="162"/>
      <c r="B975" s="162"/>
      <c r="C975" s="336"/>
    </row>
    <row r="976">
      <c r="A976" s="162"/>
      <c r="B976" s="162"/>
      <c r="C976" s="336"/>
    </row>
    <row r="977">
      <c r="A977" s="162"/>
      <c r="B977" s="162"/>
      <c r="C977" s="336"/>
    </row>
    <row r="978">
      <c r="A978" s="162"/>
      <c r="B978" s="162"/>
      <c r="C978" s="336"/>
    </row>
    <row r="979">
      <c r="A979" s="162"/>
      <c r="B979" s="162"/>
      <c r="C979" s="336"/>
    </row>
    <row r="980">
      <c r="A980" s="162"/>
      <c r="B980" s="162"/>
      <c r="C980" s="336"/>
    </row>
    <row r="981">
      <c r="A981" s="162"/>
      <c r="B981" s="162"/>
      <c r="C981" s="336"/>
    </row>
    <row r="982">
      <c r="A982" s="162"/>
      <c r="B982" s="162"/>
      <c r="C982" s="336"/>
    </row>
    <row r="983">
      <c r="A983" s="162"/>
      <c r="B983" s="162"/>
      <c r="C983" s="336"/>
    </row>
    <row r="984">
      <c r="A984" s="162"/>
      <c r="B984" s="162"/>
      <c r="C984" s="336"/>
    </row>
    <row r="985">
      <c r="A985" s="162"/>
      <c r="B985" s="162"/>
      <c r="C985" s="336"/>
    </row>
    <row r="986">
      <c r="A986" s="162"/>
      <c r="B986" s="162"/>
      <c r="C986" s="336"/>
    </row>
    <row r="987">
      <c r="A987" s="162"/>
      <c r="B987" s="162"/>
      <c r="C987" s="336"/>
    </row>
    <row r="988">
      <c r="A988" s="162"/>
      <c r="B988" s="162"/>
      <c r="C988" s="336"/>
    </row>
    <row r="989">
      <c r="A989" s="162"/>
      <c r="B989" s="162"/>
      <c r="C989" s="336"/>
    </row>
    <row r="990">
      <c r="A990" s="162"/>
      <c r="B990" s="162"/>
      <c r="C990" s="336"/>
    </row>
    <row r="991">
      <c r="A991" s="162"/>
      <c r="B991" s="162"/>
      <c r="C991" s="336"/>
    </row>
    <row r="992">
      <c r="A992" s="162"/>
      <c r="B992" s="162"/>
      <c r="C992" s="336"/>
    </row>
    <row r="993">
      <c r="A993" s="162"/>
      <c r="B993" s="162"/>
      <c r="C993" s="336"/>
    </row>
    <row r="994">
      <c r="A994" s="162"/>
      <c r="B994" s="162"/>
      <c r="C994" s="336"/>
    </row>
    <row r="995">
      <c r="A995" s="162"/>
      <c r="B995" s="162"/>
      <c r="C995" s="336"/>
    </row>
    <row r="996">
      <c r="A996" s="162"/>
      <c r="B996" s="162"/>
      <c r="C996" s="336"/>
    </row>
    <row r="997">
      <c r="A997" s="162"/>
      <c r="B997" s="162"/>
      <c r="C997" s="336"/>
    </row>
    <row r="998">
      <c r="A998" s="162"/>
      <c r="B998" s="162"/>
      <c r="C998" s="336"/>
    </row>
    <row r="999">
      <c r="A999" s="162"/>
      <c r="B999" s="162"/>
      <c r="C999" s="336"/>
    </row>
    <row r="1000">
      <c r="A1000" s="162"/>
      <c r="B1000" s="162"/>
      <c r="C1000" s="336"/>
    </row>
    <row r="1001">
      <c r="A1001" s="162"/>
      <c r="B1001" s="162"/>
      <c r="C1001" s="336"/>
    </row>
    <row r="1002">
      <c r="A1002" s="162"/>
      <c r="B1002" s="162"/>
      <c r="C1002" s="336"/>
    </row>
    <row r="1003">
      <c r="A1003" s="162"/>
      <c r="B1003" s="162"/>
      <c r="C1003" s="336"/>
    </row>
    <row r="1004">
      <c r="A1004" s="162"/>
      <c r="B1004" s="162"/>
      <c r="C1004" s="336"/>
    </row>
    <row r="1005">
      <c r="A1005" s="162"/>
      <c r="B1005" s="162"/>
      <c r="C1005" s="336"/>
    </row>
    <row r="1006">
      <c r="A1006" s="162"/>
      <c r="B1006" s="162"/>
      <c r="C1006" s="336"/>
    </row>
    <row r="1007">
      <c r="A1007" s="162"/>
      <c r="B1007" s="162"/>
      <c r="C1007" s="336"/>
    </row>
    <row r="1008">
      <c r="A1008" s="162"/>
      <c r="B1008" s="162"/>
      <c r="C1008" s="336"/>
    </row>
    <row r="1009">
      <c r="A1009" s="162"/>
      <c r="B1009" s="162"/>
      <c r="C1009" s="336"/>
    </row>
    <row r="1010">
      <c r="A1010" s="162"/>
      <c r="B1010" s="162"/>
      <c r="C1010" s="336"/>
    </row>
    <row r="1011">
      <c r="A1011" s="162"/>
      <c r="B1011" s="162"/>
      <c r="C1011" s="336"/>
    </row>
    <row r="1012">
      <c r="A1012" s="162"/>
      <c r="B1012" s="162"/>
      <c r="C1012" s="336"/>
    </row>
    <row r="1013">
      <c r="A1013" s="162"/>
      <c r="B1013" s="162"/>
      <c r="C1013" s="336"/>
    </row>
    <row r="1014">
      <c r="A1014" s="162"/>
      <c r="B1014" s="162"/>
      <c r="C1014" s="336"/>
    </row>
    <row r="1015">
      <c r="A1015" s="162"/>
      <c r="B1015" s="162"/>
      <c r="C1015" s="336"/>
    </row>
    <row r="1016">
      <c r="A1016" s="162"/>
      <c r="B1016" s="162"/>
      <c r="C1016" s="336"/>
    </row>
    <row r="1017">
      <c r="A1017" s="162"/>
      <c r="B1017" s="162"/>
      <c r="C1017" s="336"/>
    </row>
    <row r="1018">
      <c r="A1018" s="162"/>
      <c r="B1018" s="162"/>
      <c r="C1018" s="336"/>
    </row>
    <row r="1019">
      <c r="A1019" s="162"/>
      <c r="B1019" s="162"/>
      <c r="C1019" s="336"/>
    </row>
    <row r="1020">
      <c r="A1020" s="162"/>
      <c r="B1020" s="162"/>
      <c r="C1020" s="336"/>
    </row>
    <row r="1021">
      <c r="A1021" s="162"/>
      <c r="B1021" s="162"/>
      <c r="C1021" s="336"/>
    </row>
    <row r="1022">
      <c r="A1022" s="162"/>
      <c r="B1022" s="162"/>
      <c r="C1022" s="336"/>
    </row>
    <row r="1023">
      <c r="A1023" s="162"/>
      <c r="B1023" s="162"/>
      <c r="C1023" s="336"/>
    </row>
    <row r="1024">
      <c r="A1024" s="162"/>
      <c r="B1024" s="162"/>
      <c r="C1024" s="336"/>
    </row>
    <row r="1025">
      <c r="A1025" s="162"/>
      <c r="B1025" s="162"/>
      <c r="C1025" s="336"/>
    </row>
    <row r="1026">
      <c r="A1026" s="162"/>
      <c r="B1026" s="162"/>
      <c r="C1026" s="336"/>
    </row>
    <row r="1027">
      <c r="A1027" s="162"/>
      <c r="B1027" s="162"/>
      <c r="C1027" s="336"/>
    </row>
    <row r="1028">
      <c r="A1028" s="162"/>
      <c r="B1028" s="162"/>
      <c r="C1028" s="336"/>
    </row>
    <row r="1029">
      <c r="A1029" s="162"/>
      <c r="B1029" s="162"/>
      <c r="C1029" s="336"/>
    </row>
    <row r="1030">
      <c r="A1030" s="162"/>
      <c r="B1030" s="162"/>
      <c r="C1030" s="336"/>
    </row>
    <row r="1031">
      <c r="A1031" s="162"/>
      <c r="B1031" s="162"/>
      <c r="C1031" s="336"/>
    </row>
    <row r="1032">
      <c r="A1032" s="162"/>
      <c r="B1032" s="162"/>
      <c r="C1032" s="336"/>
    </row>
    <row r="1033">
      <c r="A1033" s="162"/>
      <c r="B1033" s="162"/>
      <c r="C1033" s="336"/>
    </row>
    <row r="1034">
      <c r="A1034" s="162"/>
      <c r="B1034" s="162"/>
      <c r="C1034" s="336"/>
    </row>
    <row r="1035">
      <c r="A1035" s="162"/>
      <c r="B1035" s="162"/>
      <c r="C1035" s="336"/>
    </row>
    <row r="1036">
      <c r="A1036" s="162"/>
      <c r="B1036" s="162"/>
      <c r="C1036" s="336"/>
    </row>
    <row r="1037">
      <c r="A1037" s="162"/>
      <c r="B1037" s="162"/>
      <c r="C1037" s="336"/>
    </row>
    <row r="1038">
      <c r="A1038" s="162"/>
      <c r="B1038" s="162"/>
      <c r="C1038" s="336"/>
    </row>
    <row r="1039">
      <c r="A1039" s="162"/>
      <c r="B1039" s="162"/>
      <c r="C1039" s="336"/>
    </row>
    <row r="1040">
      <c r="A1040" s="162"/>
      <c r="B1040" s="162"/>
      <c r="C1040" s="336"/>
    </row>
    <row r="1041">
      <c r="A1041" s="162"/>
      <c r="B1041" s="162"/>
      <c r="C1041" s="336"/>
    </row>
    <row r="1042">
      <c r="A1042" s="162"/>
      <c r="B1042" s="162"/>
      <c r="C1042" s="336"/>
    </row>
    <row r="1043">
      <c r="A1043" s="162"/>
      <c r="B1043" s="162"/>
      <c r="C1043" s="336"/>
    </row>
    <row r="1044">
      <c r="A1044" s="162"/>
      <c r="B1044" s="162"/>
      <c r="C1044" s="336"/>
    </row>
    <row r="1045">
      <c r="A1045" s="162"/>
      <c r="B1045" s="162"/>
      <c r="C1045" s="336"/>
    </row>
    <row r="1046">
      <c r="A1046" s="162"/>
      <c r="B1046" s="162"/>
      <c r="C1046" s="336"/>
    </row>
    <row r="1047">
      <c r="A1047" s="162"/>
      <c r="B1047" s="162"/>
      <c r="C1047" s="336"/>
    </row>
    <row r="1048">
      <c r="A1048" s="162"/>
      <c r="B1048" s="162"/>
      <c r="C1048" s="336"/>
    </row>
    <row r="1049">
      <c r="A1049" s="162"/>
      <c r="B1049" s="162"/>
      <c r="C1049" s="336"/>
    </row>
    <row r="1050">
      <c r="A1050" s="162"/>
      <c r="B1050" s="162"/>
      <c r="C1050" s="336"/>
    </row>
    <row r="1051">
      <c r="A1051" s="162"/>
      <c r="B1051" s="162"/>
      <c r="C1051" s="336"/>
    </row>
    <row r="1052">
      <c r="A1052" s="162"/>
      <c r="B1052" s="162"/>
      <c r="C1052" s="336"/>
    </row>
    <row r="1053">
      <c r="A1053" s="162"/>
      <c r="B1053" s="162"/>
      <c r="C1053" s="336"/>
    </row>
    <row r="1054">
      <c r="A1054" s="162"/>
      <c r="B1054" s="162"/>
      <c r="C1054" s="336"/>
    </row>
    <row r="1055">
      <c r="A1055" s="162"/>
      <c r="B1055" s="162"/>
      <c r="C1055" s="336"/>
    </row>
    <row r="1056">
      <c r="A1056" s="162"/>
      <c r="B1056" s="162"/>
      <c r="C1056" s="336"/>
    </row>
    <row r="1057">
      <c r="A1057" s="162"/>
      <c r="B1057" s="162"/>
      <c r="C1057" s="336"/>
    </row>
    <row r="1058">
      <c r="A1058" s="162"/>
      <c r="B1058" s="162"/>
      <c r="C1058" s="336"/>
    </row>
    <row r="1059">
      <c r="A1059" s="162"/>
      <c r="B1059" s="162"/>
      <c r="C1059" s="336"/>
    </row>
    <row r="1060">
      <c r="A1060" s="162"/>
      <c r="B1060" s="162"/>
      <c r="C1060" s="336"/>
    </row>
    <row r="1061">
      <c r="A1061" s="162"/>
      <c r="B1061" s="162"/>
      <c r="C1061" s="336"/>
    </row>
    <row r="1062">
      <c r="A1062" s="162"/>
      <c r="B1062" s="162"/>
      <c r="C1062" s="336"/>
    </row>
    <row r="1063">
      <c r="A1063" s="162"/>
      <c r="B1063" s="162"/>
      <c r="C1063" s="336"/>
    </row>
    <row r="1064">
      <c r="A1064" s="162"/>
      <c r="B1064" s="162"/>
      <c r="C1064" s="336"/>
    </row>
    <row r="1065">
      <c r="A1065" s="162"/>
      <c r="B1065" s="162"/>
      <c r="C1065" s="336"/>
    </row>
    <row r="1066">
      <c r="A1066" s="162"/>
      <c r="B1066" s="162"/>
      <c r="C1066" s="336"/>
    </row>
    <row r="1067">
      <c r="A1067" s="162"/>
      <c r="B1067" s="162"/>
      <c r="C1067" s="336"/>
    </row>
    <row r="1068">
      <c r="A1068" s="162"/>
      <c r="B1068" s="162"/>
      <c r="C1068" s="336"/>
    </row>
    <row r="1069">
      <c r="A1069" s="162"/>
      <c r="B1069" s="162"/>
      <c r="C1069" s="336"/>
    </row>
    <row r="1070">
      <c r="A1070" s="162"/>
      <c r="B1070" s="162"/>
      <c r="C1070" s="336"/>
    </row>
    <row r="1071">
      <c r="A1071" s="162"/>
      <c r="B1071" s="162"/>
      <c r="C1071" s="336"/>
    </row>
    <row r="1072">
      <c r="A1072" s="162"/>
      <c r="B1072" s="162"/>
      <c r="C1072" s="336"/>
    </row>
    <row r="1073">
      <c r="A1073" s="162"/>
      <c r="B1073" s="162"/>
      <c r="C1073" s="336"/>
    </row>
    <row r="1074">
      <c r="A1074" s="162"/>
      <c r="B1074" s="162"/>
      <c r="C1074" s="336"/>
    </row>
    <row r="1075">
      <c r="A1075" s="162"/>
      <c r="B1075" s="162"/>
      <c r="C1075" s="336"/>
    </row>
    <row r="1076">
      <c r="A1076" s="162"/>
      <c r="B1076" s="162"/>
      <c r="C1076" s="336"/>
    </row>
    <row r="1077">
      <c r="A1077" s="162"/>
      <c r="B1077" s="162"/>
      <c r="C1077" s="336"/>
    </row>
    <row r="1078">
      <c r="A1078" s="162"/>
      <c r="B1078" s="162"/>
      <c r="C1078" s="336"/>
    </row>
    <row r="1079">
      <c r="A1079" s="162"/>
      <c r="B1079" s="162"/>
      <c r="C1079" s="336"/>
    </row>
    <row r="1080">
      <c r="A1080" s="162"/>
      <c r="B1080" s="162"/>
      <c r="C1080" s="336"/>
    </row>
    <row r="1081">
      <c r="A1081" s="162"/>
      <c r="B1081" s="162"/>
      <c r="C1081" s="336"/>
    </row>
    <row r="1082">
      <c r="A1082" s="162"/>
      <c r="B1082" s="162"/>
      <c r="C1082" s="336"/>
    </row>
    <row r="1083">
      <c r="A1083" s="162"/>
      <c r="B1083" s="162"/>
      <c r="C1083" s="336"/>
    </row>
    <row r="1084">
      <c r="A1084" s="162"/>
      <c r="B1084" s="162"/>
      <c r="C1084" s="336"/>
    </row>
    <row r="1085">
      <c r="A1085" s="162"/>
      <c r="B1085" s="162"/>
      <c r="C1085" s="336"/>
    </row>
    <row r="1086">
      <c r="A1086" s="162"/>
      <c r="B1086" s="162"/>
      <c r="C1086" s="336"/>
    </row>
    <row r="1087">
      <c r="A1087" s="162"/>
      <c r="B1087" s="162"/>
      <c r="C1087" s="336"/>
    </row>
    <row r="1088">
      <c r="A1088" s="162"/>
      <c r="B1088" s="162"/>
      <c r="C1088" s="336"/>
    </row>
    <row r="1089">
      <c r="A1089" s="162"/>
      <c r="B1089" s="162"/>
      <c r="C1089" s="336"/>
    </row>
    <row r="1090">
      <c r="A1090" s="162"/>
      <c r="B1090" s="162"/>
      <c r="C1090" s="336"/>
    </row>
    <row r="1091">
      <c r="A1091" s="162"/>
      <c r="B1091" s="162"/>
      <c r="C1091" s="336"/>
    </row>
    <row r="1092">
      <c r="A1092" s="162"/>
      <c r="B1092" s="162"/>
      <c r="C1092" s="336"/>
    </row>
    <row r="1093">
      <c r="A1093" s="162"/>
      <c r="B1093" s="162"/>
      <c r="C1093" s="336"/>
    </row>
    <row r="1094">
      <c r="A1094" s="162"/>
      <c r="B1094" s="162"/>
      <c r="C1094" s="336"/>
    </row>
    <row r="1095">
      <c r="A1095" s="162"/>
      <c r="B1095" s="162"/>
      <c r="C1095" s="336"/>
    </row>
    <row r="1096">
      <c r="A1096" s="162"/>
      <c r="B1096" s="162"/>
      <c r="C1096" s="336"/>
    </row>
    <row r="1097">
      <c r="A1097" s="162"/>
      <c r="B1097" s="162"/>
      <c r="C1097" s="336"/>
    </row>
    <row r="1098">
      <c r="A1098" s="162"/>
      <c r="B1098" s="162"/>
      <c r="C1098" s="336"/>
    </row>
    <row r="1099">
      <c r="A1099" s="162"/>
      <c r="B1099" s="162"/>
      <c r="C1099" s="336"/>
    </row>
    <row r="1100">
      <c r="A1100" s="162"/>
      <c r="B1100" s="162"/>
      <c r="C1100" s="336"/>
    </row>
    <row r="1101">
      <c r="A1101" s="162"/>
      <c r="B1101" s="162"/>
      <c r="C1101" s="336"/>
    </row>
    <row r="1102">
      <c r="A1102" s="162"/>
      <c r="B1102" s="162"/>
      <c r="C1102" s="336"/>
    </row>
    <row r="1103">
      <c r="A1103" s="162"/>
      <c r="B1103" s="162"/>
      <c r="C1103" s="336"/>
    </row>
    <row r="1104">
      <c r="A1104" s="162"/>
      <c r="B1104" s="162"/>
      <c r="C1104" s="336"/>
    </row>
    <row r="1105">
      <c r="A1105" s="162"/>
      <c r="B1105" s="162"/>
      <c r="C1105" s="336"/>
    </row>
    <row r="1106">
      <c r="A1106" s="162"/>
      <c r="B1106" s="162"/>
      <c r="C1106" s="336"/>
    </row>
    <row r="1107">
      <c r="A1107" s="162"/>
      <c r="B1107" s="162"/>
      <c r="C1107" s="336"/>
    </row>
    <row r="1108">
      <c r="A1108" s="162"/>
      <c r="B1108" s="162"/>
      <c r="C1108" s="336"/>
    </row>
    <row r="1109">
      <c r="A1109" s="162"/>
      <c r="B1109" s="162"/>
      <c r="C1109" s="336"/>
    </row>
    <row r="1110">
      <c r="A1110" s="162"/>
      <c r="B1110" s="162"/>
      <c r="C1110" s="336"/>
    </row>
    <row r="1111">
      <c r="A1111" s="162"/>
      <c r="B1111" s="162"/>
      <c r="C1111" s="336"/>
    </row>
    <row r="1112">
      <c r="A1112" s="162"/>
      <c r="B1112" s="162"/>
      <c r="C1112" s="336"/>
    </row>
    <row r="1113">
      <c r="A1113" s="162"/>
      <c r="B1113" s="162"/>
      <c r="C1113" s="336"/>
    </row>
    <row r="1114">
      <c r="A1114" s="162"/>
      <c r="B1114" s="162"/>
      <c r="C1114" s="336"/>
    </row>
    <row r="1115">
      <c r="A1115" s="162"/>
      <c r="B1115" s="162"/>
      <c r="C1115" s="336"/>
    </row>
    <row r="1116">
      <c r="A1116" s="162"/>
      <c r="B1116" s="162"/>
      <c r="C1116" s="336"/>
    </row>
    <row r="1117">
      <c r="A1117" s="162"/>
      <c r="B1117" s="162"/>
      <c r="C1117" s="336"/>
    </row>
    <row r="1118">
      <c r="A1118" s="162"/>
      <c r="B1118" s="162"/>
      <c r="C1118" s="336"/>
    </row>
    <row r="1119">
      <c r="A1119" s="162"/>
      <c r="B1119" s="162"/>
      <c r="C1119" s="336"/>
    </row>
    <row r="1120">
      <c r="A1120" s="162"/>
      <c r="B1120" s="162"/>
      <c r="C1120" s="336"/>
    </row>
    <row r="1121">
      <c r="A1121" s="162"/>
      <c r="B1121" s="162"/>
      <c r="C1121" s="336"/>
    </row>
    <row r="1122">
      <c r="A1122" s="162"/>
      <c r="B1122" s="162"/>
      <c r="C1122" s="336"/>
    </row>
    <row r="1123">
      <c r="A1123" s="162"/>
      <c r="B1123" s="162"/>
      <c r="C1123" s="336"/>
    </row>
    <row r="1124">
      <c r="A1124" s="162"/>
      <c r="B1124" s="162"/>
      <c r="C1124" s="336"/>
    </row>
    <row r="1125">
      <c r="A1125" s="162"/>
      <c r="B1125" s="162"/>
      <c r="C1125" s="336"/>
    </row>
    <row r="1126">
      <c r="A1126" s="162"/>
      <c r="B1126" s="162"/>
      <c r="C1126" s="336"/>
    </row>
    <row r="1127">
      <c r="A1127" s="162"/>
      <c r="B1127" s="162"/>
      <c r="C1127" s="336"/>
    </row>
    <row r="1128">
      <c r="A1128" s="162"/>
      <c r="B1128" s="162"/>
      <c r="C1128" s="336"/>
    </row>
    <row r="1129">
      <c r="A1129" s="162"/>
      <c r="B1129" s="162"/>
      <c r="C1129" s="336"/>
    </row>
    <row r="1130">
      <c r="A1130" s="162"/>
      <c r="B1130" s="162"/>
      <c r="C1130" s="336"/>
    </row>
    <row r="1131">
      <c r="A1131" s="162"/>
      <c r="B1131" s="162"/>
      <c r="C1131" s="336"/>
    </row>
    <row r="1132">
      <c r="A1132" s="162"/>
      <c r="B1132" s="162"/>
      <c r="C1132" s="336"/>
    </row>
    <row r="1133">
      <c r="A1133" s="162"/>
      <c r="B1133" s="162"/>
      <c r="C1133" s="336"/>
    </row>
    <row r="1134">
      <c r="A1134" s="162"/>
      <c r="B1134" s="162"/>
      <c r="C1134" s="336"/>
    </row>
    <row r="1135">
      <c r="A1135" s="162"/>
      <c r="B1135" s="162"/>
      <c r="C1135" s="336"/>
    </row>
    <row r="1136">
      <c r="A1136" s="162"/>
      <c r="B1136" s="162"/>
      <c r="C1136" s="336"/>
    </row>
    <row r="1137">
      <c r="A1137" s="162"/>
      <c r="B1137" s="162"/>
      <c r="C1137" s="336"/>
    </row>
    <row r="1138">
      <c r="A1138" s="162"/>
      <c r="B1138" s="162"/>
      <c r="C1138" s="336"/>
    </row>
    <row r="1139">
      <c r="A1139" s="162"/>
      <c r="B1139" s="162"/>
      <c r="C1139" s="336"/>
    </row>
    <row r="1140">
      <c r="A1140" s="162"/>
      <c r="B1140" s="162"/>
      <c r="C1140" s="336"/>
    </row>
    <row r="1141">
      <c r="A1141" s="162"/>
      <c r="B1141" s="162"/>
      <c r="C1141" s="336"/>
    </row>
    <row r="1142">
      <c r="A1142" s="162"/>
      <c r="B1142" s="162"/>
      <c r="C1142" s="336"/>
    </row>
    <row r="1143">
      <c r="A1143" s="162"/>
      <c r="B1143" s="162"/>
      <c r="C1143" s="336"/>
    </row>
    <row r="1144">
      <c r="A1144" s="162"/>
      <c r="B1144" s="162"/>
      <c r="C1144" s="336"/>
    </row>
    <row r="1145">
      <c r="A1145" s="162"/>
      <c r="B1145" s="162"/>
      <c r="C1145" s="336"/>
    </row>
    <row r="1146">
      <c r="A1146" s="162"/>
      <c r="B1146" s="162"/>
      <c r="C1146" s="336"/>
    </row>
    <row r="1147">
      <c r="A1147" s="162"/>
      <c r="B1147" s="162"/>
      <c r="C1147" s="336"/>
    </row>
    <row r="1148">
      <c r="A1148" s="162"/>
      <c r="B1148" s="162"/>
      <c r="C1148" s="336"/>
    </row>
    <row r="1149">
      <c r="A1149" s="162"/>
      <c r="B1149" s="162"/>
      <c r="C1149" s="336"/>
    </row>
    <row r="1150">
      <c r="A1150" s="162"/>
      <c r="B1150" s="162"/>
      <c r="C1150" s="336"/>
    </row>
    <row r="1151">
      <c r="A1151" s="162"/>
      <c r="B1151" s="162"/>
      <c r="C1151" s="336"/>
    </row>
    <row r="1152">
      <c r="A1152" s="162"/>
      <c r="B1152" s="162"/>
      <c r="C1152" s="336"/>
    </row>
    <row r="1153">
      <c r="A1153" s="162"/>
      <c r="B1153" s="162"/>
      <c r="C1153" s="336"/>
    </row>
    <row r="1154">
      <c r="A1154" s="162"/>
      <c r="B1154" s="162"/>
      <c r="C1154" s="336"/>
    </row>
    <row r="1155">
      <c r="A1155" s="162"/>
      <c r="B1155" s="162"/>
      <c r="C1155" s="336"/>
    </row>
    <row r="1156">
      <c r="A1156" s="162"/>
      <c r="B1156" s="162"/>
      <c r="C1156" s="336"/>
    </row>
    <row r="1157">
      <c r="A1157" s="162"/>
      <c r="B1157" s="162"/>
      <c r="C1157" s="336"/>
    </row>
    <row r="1158">
      <c r="A1158" s="162"/>
      <c r="B1158" s="162"/>
      <c r="C1158" s="336"/>
    </row>
    <row r="1159">
      <c r="A1159" s="162"/>
      <c r="B1159" s="162"/>
      <c r="C1159" s="336"/>
    </row>
    <row r="1160">
      <c r="A1160" s="162"/>
      <c r="B1160" s="162"/>
      <c r="C1160" s="336"/>
    </row>
    <row r="1161">
      <c r="A1161" s="162"/>
      <c r="B1161" s="162"/>
      <c r="C1161" s="336"/>
    </row>
    <row r="1162">
      <c r="A1162" s="162"/>
      <c r="B1162" s="162"/>
      <c r="C1162" s="336"/>
    </row>
    <row r="1163">
      <c r="A1163" s="162"/>
      <c r="B1163" s="162"/>
      <c r="C1163" s="336"/>
    </row>
    <row r="1164">
      <c r="A1164" s="162"/>
      <c r="B1164" s="162"/>
      <c r="C1164" s="336"/>
    </row>
    <row r="1165">
      <c r="A1165" s="162"/>
      <c r="B1165" s="162"/>
      <c r="C1165" s="336"/>
    </row>
    <row r="1166">
      <c r="A1166" s="162"/>
      <c r="B1166" s="162"/>
      <c r="C1166" s="336"/>
    </row>
    <row r="1167">
      <c r="A1167" s="162"/>
      <c r="B1167" s="162"/>
      <c r="C1167" s="336"/>
    </row>
    <row r="1168">
      <c r="A1168" s="162"/>
      <c r="B1168" s="162"/>
      <c r="C1168" s="336"/>
    </row>
    <row r="1169">
      <c r="A1169" s="162"/>
      <c r="B1169" s="162"/>
      <c r="C1169" s="336"/>
    </row>
    <row r="1170">
      <c r="A1170" s="162"/>
      <c r="B1170" s="162"/>
      <c r="C1170" s="336"/>
    </row>
    <row r="1171">
      <c r="A1171" s="162"/>
      <c r="B1171" s="162"/>
      <c r="C1171" s="336"/>
    </row>
    <row r="1172">
      <c r="A1172" s="162"/>
      <c r="B1172" s="162"/>
      <c r="C1172" s="336"/>
    </row>
    <row r="1173">
      <c r="A1173" s="162"/>
      <c r="B1173" s="162"/>
      <c r="C1173" s="336"/>
    </row>
    <row r="1174">
      <c r="A1174" s="162"/>
      <c r="B1174" s="162"/>
      <c r="C1174" s="336"/>
    </row>
    <row r="1175">
      <c r="A1175" s="162"/>
      <c r="B1175" s="162"/>
      <c r="C1175" s="336"/>
    </row>
    <row r="1176">
      <c r="A1176" s="162"/>
      <c r="B1176" s="162"/>
      <c r="C1176" s="336"/>
    </row>
    <row r="1177">
      <c r="A1177" s="162"/>
      <c r="B1177" s="162"/>
      <c r="C1177" s="336"/>
    </row>
    <row r="1178">
      <c r="A1178" s="162"/>
      <c r="B1178" s="162"/>
      <c r="C1178" s="336"/>
    </row>
    <row r="1179">
      <c r="A1179" s="162"/>
      <c r="B1179" s="162"/>
      <c r="C1179" s="336"/>
    </row>
    <row r="1180">
      <c r="A1180" s="162"/>
      <c r="B1180" s="162"/>
      <c r="C1180" s="336"/>
    </row>
    <row r="1181">
      <c r="A1181" s="162"/>
      <c r="B1181" s="162"/>
      <c r="C1181" s="336"/>
    </row>
    <row r="1182">
      <c r="A1182" s="162"/>
      <c r="B1182" s="162"/>
      <c r="C1182" s="336"/>
    </row>
    <row r="1183">
      <c r="A1183" s="162"/>
      <c r="B1183" s="162"/>
      <c r="C1183" s="336"/>
    </row>
    <row r="1184">
      <c r="A1184" s="162"/>
      <c r="B1184" s="162"/>
      <c r="C1184" s="336"/>
    </row>
    <row r="1185">
      <c r="A1185" s="162"/>
      <c r="B1185" s="162"/>
      <c r="C1185" s="336"/>
    </row>
    <row r="1186">
      <c r="A1186" s="162"/>
      <c r="B1186" s="162"/>
      <c r="C1186" s="336"/>
    </row>
    <row r="1187">
      <c r="A1187" s="162"/>
      <c r="B1187" s="162"/>
      <c r="C1187" s="336"/>
    </row>
    <row r="1188">
      <c r="A1188" s="162"/>
      <c r="B1188" s="162"/>
      <c r="C1188" s="336"/>
    </row>
    <row r="1189">
      <c r="A1189" s="162"/>
      <c r="B1189" s="162"/>
      <c r="C1189" s="336"/>
    </row>
    <row r="1190">
      <c r="A1190" s="162"/>
      <c r="B1190" s="162"/>
      <c r="C1190" s="336"/>
    </row>
    <row r="1191">
      <c r="A1191" s="162"/>
      <c r="B1191" s="162"/>
      <c r="C1191" s="336"/>
    </row>
    <row r="1192">
      <c r="A1192" s="162"/>
      <c r="B1192" s="162"/>
      <c r="C1192" s="336"/>
    </row>
    <row r="1193">
      <c r="A1193" s="162"/>
      <c r="B1193" s="162"/>
      <c r="C1193" s="336"/>
    </row>
    <row r="1194">
      <c r="A1194" s="162"/>
      <c r="B1194" s="162"/>
      <c r="C1194" s="336"/>
    </row>
    <row r="1195">
      <c r="A1195" s="162"/>
      <c r="B1195" s="162"/>
      <c r="C1195" s="336"/>
    </row>
    <row r="1196">
      <c r="A1196" s="162"/>
      <c r="B1196" s="162"/>
      <c r="C1196" s="336"/>
    </row>
    <row r="1197">
      <c r="A1197" s="162"/>
      <c r="B1197" s="162"/>
      <c r="C1197" s="336"/>
    </row>
    <row r="1198">
      <c r="A1198" s="162"/>
      <c r="B1198" s="162"/>
      <c r="C1198" s="336"/>
    </row>
    <row r="1199">
      <c r="A1199" s="162"/>
      <c r="B1199" s="162"/>
      <c r="C1199" s="336"/>
    </row>
    <row r="1200">
      <c r="A1200" s="162"/>
      <c r="B1200" s="162"/>
      <c r="C1200" s="336"/>
    </row>
    <row r="1201">
      <c r="A1201" s="162"/>
      <c r="B1201" s="162"/>
      <c r="C1201" s="336"/>
    </row>
    <row r="1202">
      <c r="A1202" s="162"/>
      <c r="B1202" s="162"/>
      <c r="C1202" s="336"/>
    </row>
    <row r="1203">
      <c r="A1203" s="162"/>
      <c r="B1203" s="162"/>
      <c r="C1203" s="336"/>
    </row>
    <row r="1204">
      <c r="A1204" s="162"/>
      <c r="B1204" s="162"/>
      <c r="C1204" s="336"/>
    </row>
    <row r="1205">
      <c r="A1205" s="162"/>
      <c r="B1205" s="162"/>
      <c r="C1205" s="336"/>
    </row>
    <row r="1206">
      <c r="A1206" s="162"/>
      <c r="B1206" s="162"/>
      <c r="C1206" s="336"/>
    </row>
    <row r="1207">
      <c r="A1207" s="162"/>
      <c r="B1207" s="162"/>
      <c r="C1207" s="336"/>
    </row>
    <row r="1208">
      <c r="A1208" s="162"/>
      <c r="B1208" s="162"/>
      <c r="C1208" s="336"/>
    </row>
    <row r="1209">
      <c r="A1209" s="162"/>
      <c r="B1209" s="162"/>
      <c r="C1209" s="336"/>
    </row>
    <row r="1210">
      <c r="A1210" s="162"/>
      <c r="B1210" s="162"/>
      <c r="C1210" s="336"/>
    </row>
    <row r="1211">
      <c r="A1211" s="162"/>
      <c r="B1211" s="162"/>
      <c r="C1211" s="336"/>
    </row>
    <row r="1212">
      <c r="A1212" s="162"/>
      <c r="B1212" s="162"/>
      <c r="C1212" s="336"/>
    </row>
    <row r="1213">
      <c r="A1213" s="162"/>
      <c r="B1213" s="162"/>
      <c r="C1213" s="336"/>
    </row>
    <row r="1214">
      <c r="A1214" s="162"/>
      <c r="B1214" s="162"/>
      <c r="C1214" s="336"/>
    </row>
    <row r="1215">
      <c r="A1215" s="162"/>
      <c r="B1215" s="162"/>
      <c r="C1215" s="336"/>
    </row>
    <row r="1216">
      <c r="A1216" s="162"/>
      <c r="B1216" s="162"/>
      <c r="C1216" s="336"/>
    </row>
    <row r="1217">
      <c r="A1217" s="162"/>
      <c r="B1217" s="162"/>
      <c r="C1217" s="336"/>
    </row>
    <row r="1218">
      <c r="A1218" s="162"/>
      <c r="B1218" s="162"/>
      <c r="C1218" s="336"/>
    </row>
    <row r="1219">
      <c r="A1219" s="162"/>
      <c r="B1219" s="162"/>
      <c r="C1219" s="336"/>
    </row>
    <row r="1220">
      <c r="A1220" s="162"/>
      <c r="B1220" s="162"/>
      <c r="C1220" s="336"/>
    </row>
    <row r="1221">
      <c r="A1221" s="162"/>
      <c r="B1221" s="162"/>
      <c r="C1221" s="336"/>
    </row>
    <row r="1222">
      <c r="A1222" s="162"/>
      <c r="B1222" s="162"/>
      <c r="C1222" s="336"/>
    </row>
    <row r="1223">
      <c r="A1223" s="162"/>
      <c r="B1223" s="162"/>
      <c r="C1223" s="336"/>
    </row>
    <row r="1224">
      <c r="A1224" s="162"/>
      <c r="B1224" s="162"/>
      <c r="C1224" s="336"/>
    </row>
    <row r="1225">
      <c r="A1225" s="162"/>
      <c r="B1225" s="162"/>
      <c r="C1225" s="336"/>
    </row>
    <row r="1226">
      <c r="A1226" s="162"/>
      <c r="B1226" s="162"/>
      <c r="C1226" s="336"/>
    </row>
    <row r="1227">
      <c r="A1227" s="162"/>
      <c r="B1227" s="162"/>
      <c r="C1227" s="336"/>
    </row>
    <row r="1228">
      <c r="A1228" s="162"/>
      <c r="B1228" s="162"/>
      <c r="C1228" s="336"/>
    </row>
    <row r="1229">
      <c r="A1229" s="162"/>
      <c r="B1229" s="162"/>
      <c r="C1229" s="336"/>
    </row>
    <row r="1230">
      <c r="A1230" s="162"/>
      <c r="B1230" s="162"/>
      <c r="C1230" s="336"/>
    </row>
    <row r="1231">
      <c r="A1231" s="162"/>
      <c r="B1231" s="162"/>
      <c r="C1231" s="336"/>
    </row>
    <row r="1232">
      <c r="A1232" s="162"/>
      <c r="B1232" s="162"/>
      <c r="C1232" s="336"/>
    </row>
    <row r="1233">
      <c r="A1233" s="162"/>
      <c r="B1233" s="162"/>
      <c r="C1233" s="336"/>
    </row>
    <row r="1234">
      <c r="A1234" s="162"/>
      <c r="B1234" s="162"/>
      <c r="C1234" s="336"/>
    </row>
    <row r="1235">
      <c r="A1235" s="162"/>
      <c r="B1235" s="162"/>
      <c r="C1235" s="336"/>
    </row>
    <row r="1236">
      <c r="A1236" s="162"/>
      <c r="B1236" s="162"/>
      <c r="C1236" s="336"/>
    </row>
    <row r="1237">
      <c r="A1237" s="162"/>
      <c r="B1237" s="162"/>
      <c r="C1237" s="336"/>
    </row>
    <row r="1238">
      <c r="A1238" s="162"/>
      <c r="B1238" s="162"/>
      <c r="C1238" s="336"/>
    </row>
    <row r="1239">
      <c r="A1239" s="162"/>
      <c r="B1239" s="162"/>
      <c r="C1239" s="336"/>
    </row>
    <row r="1240">
      <c r="A1240" s="162"/>
      <c r="B1240" s="162"/>
      <c r="C1240" s="336"/>
    </row>
    <row r="1241">
      <c r="A1241" s="162"/>
      <c r="B1241" s="162"/>
      <c r="C1241" s="336"/>
    </row>
    <row r="1242">
      <c r="A1242" s="162"/>
      <c r="B1242" s="162"/>
      <c r="C1242" s="336"/>
    </row>
    <row r="1243">
      <c r="A1243" s="162"/>
      <c r="B1243" s="162"/>
      <c r="C1243" s="336"/>
    </row>
    <row r="1244">
      <c r="A1244" s="162"/>
      <c r="B1244" s="162"/>
      <c r="C1244" s="336"/>
    </row>
    <row r="1245">
      <c r="A1245" s="162"/>
      <c r="B1245" s="162"/>
      <c r="C1245" s="336"/>
    </row>
    <row r="1246">
      <c r="A1246" s="162"/>
      <c r="B1246" s="162"/>
      <c r="C1246" s="336"/>
    </row>
    <row r="1247">
      <c r="A1247" s="162"/>
      <c r="B1247" s="162"/>
      <c r="C1247" s="336"/>
    </row>
    <row r="1248">
      <c r="A1248" s="162"/>
      <c r="B1248" s="162"/>
      <c r="C1248" s="336"/>
    </row>
    <row r="1249">
      <c r="A1249" s="162"/>
      <c r="B1249" s="162"/>
      <c r="C1249" s="336"/>
    </row>
    <row r="1250">
      <c r="A1250" s="162"/>
      <c r="B1250" s="162"/>
      <c r="C1250" s="336"/>
    </row>
    <row r="1251">
      <c r="A1251" s="162"/>
      <c r="B1251" s="162"/>
      <c r="C1251" s="336"/>
    </row>
    <row r="1252">
      <c r="A1252" s="162"/>
      <c r="B1252" s="162"/>
      <c r="C1252" s="336"/>
    </row>
    <row r="1253">
      <c r="A1253" s="162"/>
      <c r="B1253" s="162"/>
      <c r="C1253" s="336"/>
    </row>
    <row r="1254">
      <c r="A1254" s="162"/>
      <c r="B1254" s="162"/>
      <c r="C1254" s="336"/>
    </row>
    <row r="1255">
      <c r="A1255" s="162"/>
      <c r="B1255" s="162"/>
      <c r="C1255" s="336"/>
    </row>
    <row r="1256">
      <c r="A1256" s="162"/>
      <c r="B1256" s="162"/>
      <c r="C1256" s="336"/>
    </row>
    <row r="1257">
      <c r="A1257" s="162"/>
      <c r="B1257" s="162"/>
      <c r="C1257" s="336"/>
    </row>
    <row r="1258">
      <c r="A1258" s="162"/>
      <c r="B1258" s="162"/>
      <c r="C1258" s="336"/>
    </row>
    <row r="1259">
      <c r="A1259" s="162"/>
      <c r="B1259" s="162"/>
      <c r="C1259" s="336"/>
    </row>
    <row r="1260">
      <c r="A1260" s="162"/>
      <c r="B1260" s="162"/>
      <c r="C1260" s="336"/>
    </row>
    <row r="1261">
      <c r="A1261" s="162"/>
      <c r="B1261" s="162"/>
      <c r="C1261" s="336"/>
    </row>
    <row r="1262">
      <c r="A1262" s="162"/>
      <c r="B1262" s="162"/>
      <c r="C1262" s="336"/>
    </row>
    <row r="1263">
      <c r="A1263" s="162"/>
      <c r="B1263" s="162"/>
      <c r="C1263" s="336"/>
    </row>
    <row r="1264">
      <c r="A1264" s="162"/>
      <c r="B1264" s="162"/>
      <c r="C1264" s="336"/>
    </row>
    <row r="1265">
      <c r="A1265" s="162"/>
      <c r="B1265" s="162"/>
      <c r="C1265" s="336"/>
    </row>
    <row r="1266">
      <c r="A1266" s="162"/>
      <c r="B1266" s="162"/>
      <c r="C1266" s="336"/>
    </row>
    <row r="1267">
      <c r="A1267" s="162"/>
      <c r="B1267" s="162"/>
      <c r="C1267" s="336"/>
    </row>
    <row r="1268">
      <c r="A1268" s="162"/>
      <c r="B1268" s="162"/>
      <c r="C1268" s="336"/>
    </row>
    <row r="1269">
      <c r="A1269" s="162"/>
      <c r="B1269" s="162"/>
      <c r="C1269" s="336"/>
    </row>
    <row r="1270">
      <c r="A1270" s="162"/>
      <c r="B1270" s="162"/>
      <c r="C1270" s="336"/>
    </row>
    <row r="1271">
      <c r="A1271" s="162"/>
      <c r="B1271" s="162"/>
      <c r="C1271" s="336"/>
    </row>
    <row r="1272">
      <c r="A1272" s="162"/>
      <c r="B1272" s="162"/>
      <c r="C1272" s="336"/>
    </row>
    <row r="1273">
      <c r="A1273" s="162"/>
      <c r="B1273" s="162"/>
      <c r="C1273" s="336"/>
    </row>
    <row r="1274">
      <c r="A1274" s="162"/>
      <c r="B1274" s="162"/>
      <c r="C1274" s="336"/>
    </row>
    <row r="1275">
      <c r="A1275" s="162"/>
      <c r="B1275" s="162"/>
      <c r="C1275" s="336"/>
    </row>
    <row r="1276">
      <c r="A1276" s="162"/>
      <c r="B1276" s="162"/>
      <c r="C1276" s="336"/>
    </row>
    <row r="1277">
      <c r="A1277" s="162"/>
      <c r="B1277" s="162"/>
      <c r="C1277" s="336"/>
    </row>
    <row r="1278">
      <c r="A1278" s="162"/>
      <c r="B1278" s="162"/>
      <c r="C1278" s="336"/>
    </row>
    <row r="1279">
      <c r="A1279" s="162"/>
      <c r="B1279" s="162"/>
      <c r="C1279" s="336"/>
    </row>
    <row r="1280">
      <c r="A1280" s="162"/>
      <c r="B1280" s="162"/>
      <c r="C1280" s="336"/>
    </row>
    <row r="1281">
      <c r="A1281" s="162"/>
      <c r="B1281" s="162"/>
      <c r="C1281" s="336"/>
    </row>
    <row r="1282">
      <c r="A1282" s="162"/>
      <c r="B1282" s="162"/>
      <c r="C1282" s="336"/>
    </row>
    <row r="1283">
      <c r="A1283" s="162"/>
      <c r="B1283" s="162"/>
      <c r="C1283" s="336"/>
    </row>
    <row r="1284">
      <c r="A1284" s="162"/>
      <c r="B1284" s="162"/>
      <c r="C1284" s="336"/>
    </row>
    <row r="1285">
      <c r="A1285" s="162"/>
      <c r="B1285" s="162"/>
      <c r="C1285" s="336"/>
    </row>
    <row r="1286">
      <c r="A1286" s="162"/>
      <c r="B1286" s="162"/>
      <c r="C1286" s="336"/>
    </row>
    <row r="1287">
      <c r="A1287" s="162"/>
      <c r="B1287" s="162"/>
      <c r="C1287" s="336"/>
    </row>
    <row r="1288">
      <c r="A1288" s="162"/>
      <c r="B1288" s="162"/>
      <c r="C1288" s="336"/>
    </row>
    <row r="1289">
      <c r="A1289" s="162"/>
      <c r="B1289" s="162"/>
      <c r="C1289" s="336"/>
    </row>
    <row r="1290">
      <c r="A1290" s="162"/>
      <c r="B1290" s="162"/>
      <c r="C1290" s="336"/>
    </row>
    <row r="1291">
      <c r="A1291" s="162"/>
      <c r="B1291" s="162"/>
      <c r="C1291" s="336"/>
    </row>
    <row r="1292">
      <c r="A1292" s="162"/>
      <c r="B1292" s="162"/>
      <c r="C1292" s="336"/>
    </row>
    <row r="1293">
      <c r="A1293" s="162"/>
      <c r="B1293" s="162"/>
      <c r="C1293" s="336"/>
    </row>
    <row r="1294">
      <c r="A1294" s="162"/>
      <c r="B1294" s="162"/>
      <c r="C1294" s="336"/>
    </row>
    <row r="1295">
      <c r="A1295" s="162"/>
      <c r="B1295" s="162"/>
      <c r="C1295" s="336"/>
    </row>
    <row r="1296">
      <c r="A1296" s="162"/>
      <c r="B1296" s="162"/>
      <c r="C1296" s="336"/>
    </row>
    <row r="1297">
      <c r="A1297" s="162"/>
      <c r="B1297" s="162"/>
      <c r="C1297" s="336"/>
    </row>
    <row r="1298">
      <c r="A1298" s="162"/>
      <c r="B1298" s="162"/>
      <c r="C1298" s="336"/>
    </row>
    <row r="1299">
      <c r="A1299" s="162"/>
      <c r="B1299" s="162"/>
      <c r="C1299" s="336"/>
    </row>
    <row r="1300">
      <c r="A1300" s="162"/>
      <c r="B1300" s="162"/>
      <c r="C1300" s="336"/>
    </row>
    <row r="1301">
      <c r="A1301" s="162"/>
      <c r="B1301" s="162"/>
      <c r="C1301" s="336"/>
    </row>
    <row r="1302">
      <c r="A1302" s="162"/>
      <c r="B1302" s="162"/>
      <c r="C1302" s="336"/>
    </row>
    <row r="1303">
      <c r="A1303" s="162"/>
      <c r="B1303" s="162"/>
      <c r="C1303" s="336"/>
    </row>
    <row r="1304">
      <c r="A1304" s="162"/>
      <c r="B1304" s="162"/>
      <c r="C1304" s="336"/>
    </row>
    <row r="1305">
      <c r="A1305" s="162"/>
      <c r="B1305" s="162"/>
      <c r="C1305" s="336"/>
    </row>
    <row r="1306">
      <c r="A1306" s="162"/>
      <c r="B1306" s="162"/>
      <c r="C1306" s="336"/>
    </row>
    <row r="1307">
      <c r="A1307" s="162"/>
      <c r="B1307" s="162"/>
      <c r="C1307" s="336"/>
    </row>
    <row r="1308">
      <c r="A1308" s="162"/>
      <c r="B1308" s="162"/>
      <c r="C1308" s="336"/>
    </row>
    <row r="1309">
      <c r="A1309" s="162"/>
      <c r="B1309" s="162"/>
      <c r="C1309" s="336"/>
    </row>
    <row r="1310">
      <c r="A1310" s="162"/>
      <c r="B1310" s="162"/>
      <c r="C1310" s="336"/>
    </row>
    <row r="1311">
      <c r="A1311" s="162"/>
      <c r="B1311" s="162"/>
      <c r="C1311" s="336"/>
    </row>
    <row r="1312">
      <c r="A1312" s="162"/>
      <c r="B1312" s="162"/>
      <c r="C1312" s="336"/>
    </row>
    <row r="1313">
      <c r="A1313" s="162"/>
      <c r="B1313" s="162"/>
      <c r="C1313" s="336"/>
    </row>
    <row r="1314">
      <c r="A1314" s="162"/>
      <c r="B1314" s="162"/>
      <c r="C1314" s="336"/>
    </row>
    <row r="1315">
      <c r="A1315" s="162"/>
      <c r="B1315" s="162"/>
      <c r="C1315" s="336"/>
    </row>
    <row r="1316">
      <c r="A1316" s="162"/>
      <c r="B1316" s="162"/>
      <c r="C1316" s="336"/>
    </row>
    <row r="1317">
      <c r="A1317" s="162"/>
      <c r="B1317" s="162"/>
      <c r="C1317" s="336"/>
    </row>
    <row r="1318">
      <c r="A1318" s="162"/>
      <c r="B1318" s="162"/>
      <c r="C1318" s="336"/>
    </row>
    <row r="1319">
      <c r="A1319" s="162"/>
      <c r="B1319" s="162"/>
      <c r="C1319" s="336"/>
    </row>
    <row r="1320">
      <c r="A1320" s="162"/>
      <c r="B1320" s="162"/>
      <c r="C1320" s="336"/>
    </row>
    <row r="1321">
      <c r="A1321" s="162"/>
      <c r="B1321" s="162"/>
      <c r="C1321" s="336"/>
    </row>
    <row r="1322">
      <c r="A1322" s="162"/>
      <c r="B1322" s="162"/>
      <c r="C1322" s="336"/>
    </row>
    <row r="1323">
      <c r="A1323" s="162"/>
      <c r="B1323" s="162"/>
      <c r="C1323" s="336"/>
    </row>
    <row r="1324">
      <c r="A1324" s="162"/>
      <c r="B1324" s="162"/>
      <c r="C1324" s="336"/>
    </row>
    <row r="1325">
      <c r="A1325" s="162"/>
      <c r="B1325" s="162"/>
      <c r="C1325" s="336"/>
    </row>
    <row r="1326">
      <c r="A1326" s="162"/>
      <c r="B1326" s="162"/>
      <c r="C1326" s="336"/>
    </row>
    <row r="1327">
      <c r="A1327" s="162"/>
      <c r="B1327" s="162"/>
      <c r="C1327" s="336"/>
    </row>
    <row r="1328">
      <c r="A1328" s="162"/>
      <c r="B1328" s="162"/>
      <c r="C1328" s="336"/>
    </row>
    <row r="1329">
      <c r="A1329" s="162"/>
      <c r="B1329" s="162"/>
      <c r="C1329" s="336"/>
    </row>
    <row r="1330">
      <c r="A1330" s="162"/>
      <c r="B1330" s="162"/>
      <c r="C1330" s="336"/>
    </row>
    <row r="1331">
      <c r="A1331" s="162"/>
      <c r="B1331" s="162"/>
      <c r="C1331" s="336"/>
    </row>
    <row r="1332">
      <c r="A1332" s="162"/>
      <c r="B1332" s="162"/>
      <c r="C1332" s="336"/>
    </row>
    <row r="1333">
      <c r="A1333" s="162"/>
      <c r="B1333" s="162"/>
      <c r="C1333" s="336"/>
    </row>
    <row r="1334">
      <c r="A1334" s="162"/>
      <c r="B1334" s="162"/>
      <c r="C1334" s="336"/>
    </row>
    <row r="1335">
      <c r="A1335" s="162"/>
      <c r="B1335" s="162"/>
      <c r="C1335" s="336"/>
    </row>
    <row r="1336">
      <c r="A1336" s="162"/>
      <c r="B1336" s="162"/>
      <c r="C1336" s="336"/>
    </row>
    <row r="1337">
      <c r="A1337" s="162"/>
      <c r="B1337" s="162"/>
      <c r="C1337" s="336"/>
    </row>
    <row r="1338">
      <c r="A1338" s="162"/>
      <c r="B1338" s="162"/>
      <c r="C1338" s="336"/>
    </row>
    <row r="1339">
      <c r="A1339" s="162"/>
      <c r="B1339" s="162"/>
      <c r="C1339" s="336"/>
    </row>
    <row r="1340">
      <c r="A1340" s="162"/>
      <c r="B1340" s="162"/>
      <c r="C1340" s="336"/>
    </row>
    <row r="1341">
      <c r="A1341" s="162"/>
      <c r="B1341" s="162"/>
      <c r="C1341" s="336"/>
    </row>
    <row r="1342">
      <c r="A1342" s="162"/>
      <c r="B1342" s="162"/>
      <c r="C1342" s="336"/>
    </row>
    <row r="1343">
      <c r="A1343" s="162"/>
      <c r="B1343" s="162"/>
      <c r="C1343" s="336"/>
    </row>
    <row r="1344">
      <c r="A1344" s="162"/>
      <c r="B1344" s="162"/>
      <c r="C1344" s="336"/>
    </row>
    <row r="1345">
      <c r="A1345" s="162"/>
      <c r="B1345" s="162"/>
      <c r="C1345" s="336"/>
    </row>
    <row r="1346">
      <c r="A1346" s="162"/>
      <c r="B1346" s="162"/>
      <c r="C1346" s="336"/>
    </row>
    <row r="1347">
      <c r="A1347" s="162"/>
      <c r="B1347" s="162"/>
      <c r="C1347" s="336"/>
    </row>
    <row r="1348">
      <c r="A1348" s="162"/>
      <c r="B1348" s="162"/>
      <c r="C1348" s="336"/>
    </row>
    <row r="1349">
      <c r="A1349" s="162"/>
      <c r="B1349" s="162"/>
      <c r="C1349" s="336"/>
    </row>
    <row r="1350">
      <c r="A1350" s="162"/>
      <c r="B1350" s="162"/>
      <c r="C1350" s="336"/>
    </row>
    <row r="1351">
      <c r="A1351" s="162"/>
      <c r="B1351" s="162"/>
      <c r="C1351" s="336"/>
    </row>
    <row r="1352">
      <c r="A1352" s="162"/>
      <c r="B1352" s="162"/>
      <c r="C1352" s="336"/>
    </row>
    <row r="1353">
      <c r="A1353" s="162"/>
      <c r="B1353" s="162"/>
      <c r="C1353" s="336"/>
    </row>
    <row r="1354">
      <c r="A1354" s="162"/>
      <c r="B1354" s="162"/>
      <c r="C1354" s="336"/>
    </row>
    <row r="1355">
      <c r="A1355" s="162"/>
      <c r="B1355" s="162"/>
      <c r="C1355" s="336"/>
    </row>
    <row r="1356">
      <c r="A1356" s="162"/>
      <c r="B1356" s="162"/>
      <c r="C1356" s="336"/>
    </row>
    <row r="1357">
      <c r="A1357" s="162"/>
      <c r="B1357" s="162"/>
      <c r="C1357" s="336"/>
    </row>
    <row r="1358">
      <c r="A1358" s="162"/>
      <c r="B1358" s="162"/>
      <c r="C1358" s="336"/>
    </row>
    <row r="1359">
      <c r="A1359" s="162"/>
      <c r="B1359" s="162"/>
      <c r="C1359" s="336"/>
    </row>
    <row r="1360">
      <c r="A1360" s="162"/>
      <c r="B1360" s="162"/>
      <c r="C1360" s="336"/>
    </row>
    <row r="1361">
      <c r="A1361" s="162"/>
      <c r="B1361" s="162"/>
      <c r="C1361" s="336"/>
    </row>
    <row r="1362">
      <c r="A1362" s="162"/>
      <c r="B1362" s="162"/>
      <c r="C1362" s="336"/>
    </row>
    <row r="1363">
      <c r="A1363" s="162"/>
      <c r="B1363" s="162"/>
      <c r="C1363" s="336"/>
    </row>
    <row r="1364">
      <c r="A1364" s="162"/>
      <c r="B1364" s="162"/>
      <c r="C1364" s="336"/>
    </row>
    <row r="1365">
      <c r="A1365" s="162"/>
      <c r="B1365" s="162"/>
      <c r="C1365" s="336"/>
    </row>
    <row r="1366">
      <c r="A1366" s="162"/>
      <c r="B1366" s="162"/>
      <c r="C1366" s="336"/>
    </row>
    <row r="1367">
      <c r="A1367" s="162"/>
      <c r="B1367" s="162"/>
      <c r="C1367" s="336"/>
    </row>
    <row r="1368">
      <c r="A1368" s="162"/>
      <c r="B1368" s="162"/>
      <c r="C1368" s="336"/>
    </row>
    <row r="1369">
      <c r="A1369" s="162"/>
      <c r="B1369" s="162"/>
      <c r="C1369" s="336"/>
    </row>
    <row r="1370">
      <c r="A1370" s="162"/>
      <c r="B1370" s="162"/>
      <c r="C1370" s="336"/>
    </row>
    <row r="1371">
      <c r="A1371" s="162"/>
      <c r="B1371" s="162"/>
      <c r="C1371" s="336"/>
    </row>
    <row r="1372">
      <c r="A1372" s="162"/>
      <c r="B1372" s="162"/>
      <c r="C1372" s="336"/>
    </row>
    <row r="1373">
      <c r="A1373" s="162"/>
      <c r="B1373" s="162"/>
      <c r="C1373" s="336"/>
    </row>
    <row r="1374">
      <c r="A1374" s="162"/>
      <c r="B1374" s="162"/>
      <c r="C1374" s="336"/>
    </row>
    <row r="1375">
      <c r="A1375" s="162"/>
      <c r="B1375" s="162"/>
      <c r="C1375" s="336"/>
    </row>
    <row r="1376">
      <c r="A1376" s="162"/>
      <c r="B1376" s="162"/>
      <c r="C1376" s="336"/>
    </row>
    <row r="1377">
      <c r="A1377" s="162"/>
      <c r="B1377" s="162"/>
      <c r="C1377" s="336"/>
    </row>
    <row r="1378">
      <c r="A1378" s="162"/>
      <c r="B1378" s="162"/>
      <c r="C1378" s="336"/>
    </row>
    <row r="1379">
      <c r="A1379" s="162"/>
      <c r="B1379" s="162"/>
      <c r="C1379" s="336"/>
    </row>
    <row r="1380">
      <c r="A1380" s="162"/>
      <c r="B1380" s="162"/>
      <c r="C1380" s="336"/>
    </row>
    <row r="1381">
      <c r="A1381" s="162"/>
      <c r="B1381" s="162"/>
      <c r="C1381" s="336"/>
    </row>
    <row r="1382">
      <c r="A1382" s="162"/>
      <c r="B1382" s="162"/>
      <c r="C1382" s="336"/>
    </row>
    <row r="1383">
      <c r="A1383" s="162"/>
      <c r="B1383" s="162"/>
      <c r="C1383" s="336"/>
    </row>
    <row r="1384">
      <c r="A1384" s="162"/>
      <c r="B1384" s="162"/>
      <c r="C1384" s="336"/>
    </row>
    <row r="1385">
      <c r="A1385" s="162"/>
      <c r="B1385" s="162"/>
      <c r="C1385" s="336"/>
    </row>
    <row r="1386">
      <c r="A1386" s="162"/>
      <c r="B1386" s="162"/>
      <c r="C1386" s="336"/>
    </row>
    <row r="1387">
      <c r="A1387" s="162"/>
      <c r="B1387" s="162"/>
      <c r="C1387" s="336"/>
    </row>
    <row r="1388">
      <c r="A1388" s="162"/>
      <c r="B1388" s="162"/>
      <c r="C1388" s="336"/>
    </row>
    <row r="1389">
      <c r="A1389" s="162"/>
      <c r="B1389" s="162"/>
      <c r="C1389" s="336"/>
    </row>
    <row r="1390">
      <c r="A1390" s="162"/>
      <c r="B1390" s="162"/>
      <c r="C1390" s="336"/>
    </row>
    <row r="1391">
      <c r="A1391" s="162"/>
      <c r="B1391" s="162"/>
      <c r="C1391" s="336"/>
    </row>
    <row r="1392">
      <c r="A1392" s="162"/>
      <c r="B1392" s="162"/>
      <c r="C1392" s="336"/>
    </row>
    <row r="1393">
      <c r="A1393" s="162"/>
      <c r="B1393" s="162"/>
      <c r="C1393" s="336"/>
    </row>
    <row r="1394">
      <c r="A1394" s="162"/>
      <c r="B1394" s="162"/>
      <c r="C1394" s="336"/>
    </row>
    <row r="1395">
      <c r="A1395" s="162"/>
      <c r="B1395" s="162"/>
      <c r="C1395" s="336"/>
    </row>
    <row r="1396">
      <c r="A1396" s="162"/>
      <c r="B1396" s="162"/>
      <c r="C1396" s="336"/>
    </row>
    <row r="1397">
      <c r="A1397" s="162"/>
      <c r="B1397" s="162"/>
      <c r="C1397" s="336"/>
    </row>
    <row r="1398">
      <c r="A1398" s="162"/>
      <c r="B1398" s="162"/>
      <c r="C1398" s="336"/>
    </row>
    <row r="1399">
      <c r="A1399" s="162"/>
      <c r="B1399" s="162"/>
      <c r="C1399" s="336"/>
    </row>
    <row r="1400">
      <c r="A1400" s="162"/>
      <c r="B1400" s="162"/>
      <c r="C1400" s="336"/>
    </row>
    <row r="1401">
      <c r="A1401" s="162"/>
      <c r="B1401" s="162"/>
      <c r="C1401" s="336"/>
    </row>
    <row r="1402">
      <c r="A1402" s="162"/>
      <c r="B1402" s="162"/>
      <c r="C1402" s="336"/>
    </row>
    <row r="1403">
      <c r="A1403" s="162"/>
      <c r="B1403" s="162"/>
      <c r="C1403" s="336"/>
    </row>
    <row r="1404">
      <c r="A1404" s="162"/>
      <c r="B1404" s="162"/>
      <c r="C1404" s="336"/>
    </row>
    <row r="1405">
      <c r="A1405" s="162"/>
      <c r="B1405" s="162"/>
      <c r="C1405" s="336"/>
    </row>
    <row r="1406">
      <c r="A1406" s="162"/>
      <c r="B1406" s="162"/>
      <c r="C1406" s="336"/>
    </row>
    <row r="1407">
      <c r="A1407" s="162"/>
      <c r="B1407" s="162"/>
      <c r="C1407" s="336"/>
    </row>
    <row r="1408">
      <c r="A1408" s="162"/>
      <c r="B1408" s="162"/>
      <c r="C1408" s="336"/>
    </row>
    <row r="1409">
      <c r="A1409" s="162"/>
      <c r="B1409" s="162"/>
      <c r="C1409" s="336"/>
    </row>
    <row r="1410">
      <c r="A1410" s="162"/>
      <c r="B1410" s="162"/>
      <c r="C1410" s="336"/>
    </row>
    <row r="1411">
      <c r="A1411" s="162"/>
      <c r="B1411" s="162"/>
      <c r="C1411" s="336"/>
    </row>
    <row r="1412">
      <c r="A1412" s="162"/>
      <c r="B1412" s="162"/>
      <c r="C1412" s="336"/>
    </row>
    <row r="1413">
      <c r="A1413" s="162"/>
      <c r="B1413" s="162"/>
      <c r="C1413" s="336"/>
    </row>
    <row r="1414">
      <c r="A1414" s="162"/>
      <c r="B1414" s="162"/>
      <c r="C1414" s="336"/>
    </row>
    <row r="1415">
      <c r="A1415" s="162"/>
      <c r="B1415" s="162"/>
      <c r="C1415" s="336"/>
    </row>
    <row r="1416">
      <c r="A1416" s="162"/>
      <c r="B1416" s="162"/>
      <c r="C1416" s="336"/>
    </row>
    <row r="1417">
      <c r="A1417" s="162"/>
      <c r="B1417" s="162"/>
      <c r="C1417" s="336"/>
    </row>
    <row r="1418">
      <c r="A1418" s="162"/>
      <c r="B1418" s="162"/>
      <c r="C1418" s="336"/>
    </row>
    <row r="1419">
      <c r="A1419" s="162"/>
      <c r="B1419" s="162"/>
      <c r="C1419" s="336"/>
    </row>
    <row r="1420">
      <c r="A1420" s="162"/>
      <c r="B1420" s="162"/>
      <c r="C1420" s="336"/>
    </row>
    <row r="1421">
      <c r="A1421" s="162"/>
      <c r="B1421" s="162"/>
      <c r="C1421" s="336"/>
    </row>
    <row r="1422">
      <c r="A1422" s="162"/>
      <c r="B1422" s="162"/>
      <c r="C1422" s="336"/>
    </row>
    <row r="1423">
      <c r="A1423" s="162"/>
      <c r="B1423" s="162"/>
      <c r="C1423" s="336"/>
    </row>
    <row r="1424">
      <c r="A1424" s="162"/>
      <c r="B1424" s="162"/>
      <c r="C1424" s="336"/>
    </row>
    <row r="1425">
      <c r="A1425" s="162"/>
      <c r="B1425" s="162"/>
      <c r="C1425" s="336"/>
    </row>
    <row r="1426">
      <c r="A1426" s="162"/>
      <c r="B1426" s="162"/>
      <c r="C1426" s="336"/>
    </row>
    <row r="1427">
      <c r="A1427" s="162"/>
      <c r="B1427" s="162"/>
      <c r="C1427" s="336"/>
    </row>
    <row r="1428">
      <c r="A1428" s="162"/>
      <c r="B1428" s="162"/>
      <c r="C1428" s="336"/>
    </row>
    <row r="1429">
      <c r="A1429" s="162"/>
      <c r="B1429" s="162"/>
      <c r="C1429" s="336"/>
    </row>
    <row r="1430">
      <c r="A1430" s="162"/>
      <c r="B1430" s="162"/>
      <c r="C1430" s="336"/>
    </row>
    <row r="1431">
      <c r="A1431" s="162"/>
      <c r="B1431" s="162"/>
      <c r="C1431" s="336"/>
    </row>
    <row r="1432">
      <c r="A1432" s="162"/>
      <c r="B1432" s="162"/>
      <c r="C1432" s="336"/>
    </row>
    <row r="1433">
      <c r="A1433" s="162"/>
      <c r="B1433" s="162"/>
      <c r="C1433" s="336"/>
    </row>
    <row r="1434">
      <c r="A1434" s="162"/>
      <c r="B1434" s="162"/>
      <c r="C1434" s="336"/>
    </row>
    <row r="1435">
      <c r="A1435" s="162"/>
      <c r="B1435" s="162"/>
      <c r="C1435" s="336"/>
    </row>
    <row r="1436">
      <c r="A1436" s="162"/>
      <c r="B1436" s="162"/>
      <c r="C1436" s="336"/>
    </row>
    <row r="1437">
      <c r="A1437" s="162"/>
      <c r="B1437" s="162"/>
      <c r="C1437" s="336"/>
    </row>
    <row r="1438">
      <c r="A1438" s="162"/>
      <c r="B1438" s="162"/>
      <c r="C1438" s="336"/>
    </row>
    <row r="1439">
      <c r="A1439" s="162"/>
      <c r="B1439" s="162"/>
      <c r="C1439" s="336"/>
    </row>
    <row r="1440">
      <c r="A1440" s="162"/>
      <c r="B1440" s="162"/>
      <c r="C1440" s="336"/>
    </row>
    <row r="1441">
      <c r="A1441" s="162"/>
      <c r="B1441" s="162"/>
      <c r="C1441" s="336"/>
    </row>
    <row r="1442">
      <c r="A1442" s="162"/>
      <c r="B1442" s="162"/>
      <c r="C1442" s="336"/>
    </row>
    <row r="1443">
      <c r="A1443" s="162"/>
      <c r="B1443" s="162"/>
      <c r="C1443" s="336"/>
    </row>
    <row r="1444">
      <c r="A1444" s="162"/>
      <c r="B1444" s="162"/>
      <c r="C1444" s="336"/>
    </row>
    <row r="1445">
      <c r="A1445" s="162"/>
      <c r="B1445" s="162"/>
      <c r="C1445" s="336"/>
    </row>
    <row r="1446">
      <c r="A1446" s="162"/>
      <c r="B1446" s="162"/>
      <c r="C1446" s="336"/>
    </row>
    <row r="1447">
      <c r="A1447" s="162"/>
      <c r="B1447" s="162"/>
      <c r="C1447" s="336"/>
    </row>
    <row r="1448">
      <c r="A1448" s="162"/>
      <c r="B1448" s="162"/>
      <c r="C1448" s="336"/>
    </row>
    <row r="1449">
      <c r="A1449" s="162"/>
      <c r="B1449" s="162"/>
      <c r="C1449" s="336"/>
    </row>
    <row r="1450">
      <c r="A1450" s="162"/>
      <c r="B1450" s="162"/>
      <c r="C1450" s="336"/>
    </row>
    <row r="1451">
      <c r="A1451" s="162"/>
      <c r="B1451" s="162"/>
      <c r="C1451" s="336"/>
    </row>
    <row r="1452">
      <c r="A1452" s="162"/>
      <c r="B1452" s="162"/>
      <c r="C1452" s="336"/>
    </row>
    <row r="1453">
      <c r="A1453" s="162"/>
      <c r="B1453" s="162"/>
      <c r="C1453" s="336"/>
    </row>
    <row r="1454">
      <c r="A1454" s="162"/>
      <c r="B1454" s="162"/>
      <c r="C1454" s="336"/>
    </row>
    <row r="1455">
      <c r="A1455" s="162"/>
      <c r="B1455" s="162"/>
      <c r="C1455" s="336"/>
    </row>
    <row r="1456">
      <c r="A1456" s="162"/>
      <c r="B1456" s="162"/>
      <c r="C1456" s="336"/>
    </row>
    <row r="1457">
      <c r="A1457" s="162"/>
      <c r="B1457" s="162"/>
      <c r="C1457" s="336"/>
    </row>
    <row r="1458">
      <c r="A1458" s="162"/>
      <c r="B1458" s="162"/>
      <c r="C1458" s="336"/>
    </row>
    <row r="1459">
      <c r="A1459" s="162"/>
      <c r="B1459" s="162"/>
      <c r="C1459" s="336"/>
    </row>
    <row r="1460">
      <c r="A1460" s="162"/>
      <c r="B1460" s="162"/>
      <c r="C1460" s="336"/>
    </row>
    <row r="1461">
      <c r="A1461" s="162"/>
      <c r="B1461" s="162"/>
      <c r="C1461" s="336"/>
    </row>
    <row r="1462">
      <c r="A1462" s="162"/>
      <c r="B1462" s="162"/>
      <c r="C1462" s="336"/>
    </row>
    <row r="1463">
      <c r="A1463" s="162"/>
      <c r="B1463" s="162"/>
      <c r="C1463" s="336"/>
    </row>
    <row r="1464">
      <c r="A1464" s="162"/>
      <c r="B1464" s="162"/>
      <c r="C1464" s="336"/>
    </row>
    <row r="1465">
      <c r="A1465" s="162"/>
      <c r="B1465" s="162"/>
      <c r="C1465" s="336"/>
    </row>
    <row r="1466">
      <c r="A1466" s="162"/>
      <c r="B1466" s="162"/>
      <c r="C1466" s="336"/>
    </row>
    <row r="1467">
      <c r="A1467" s="162"/>
      <c r="B1467" s="162"/>
      <c r="C1467" s="336"/>
    </row>
    <row r="1468">
      <c r="A1468" s="162"/>
      <c r="B1468" s="162"/>
      <c r="C1468" s="336"/>
    </row>
    <row r="1469">
      <c r="A1469" s="162"/>
      <c r="B1469" s="162"/>
      <c r="C1469" s="336"/>
    </row>
    <row r="1470">
      <c r="A1470" s="162"/>
      <c r="B1470" s="162"/>
      <c r="C1470" s="336"/>
    </row>
    <row r="1471">
      <c r="A1471" s="162"/>
      <c r="B1471" s="162"/>
      <c r="C1471" s="336"/>
    </row>
    <row r="1472">
      <c r="A1472" s="162"/>
      <c r="B1472" s="162"/>
      <c r="C1472" s="336"/>
    </row>
    <row r="1473">
      <c r="A1473" s="162"/>
      <c r="B1473" s="162"/>
      <c r="C1473" s="336"/>
    </row>
    <row r="1474">
      <c r="A1474" s="162"/>
      <c r="B1474" s="162"/>
      <c r="C1474" s="336"/>
    </row>
    <row r="1475">
      <c r="A1475" s="162"/>
      <c r="B1475" s="162"/>
      <c r="C1475" s="336"/>
    </row>
    <row r="1476">
      <c r="A1476" s="162"/>
      <c r="B1476" s="162"/>
      <c r="C1476" s="336"/>
    </row>
    <row r="1477">
      <c r="A1477" s="162"/>
      <c r="B1477" s="162"/>
      <c r="C1477" s="336"/>
    </row>
    <row r="1478">
      <c r="A1478" s="162"/>
      <c r="B1478" s="162"/>
      <c r="C1478" s="336"/>
    </row>
    <row r="1479">
      <c r="A1479" s="162"/>
      <c r="B1479" s="162"/>
      <c r="C1479" s="336"/>
    </row>
    <row r="1480">
      <c r="A1480" s="162"/>
      <c r="B1480" s="162"/>
      <c r="C1480" s="336"/>
    </row>
    <row r="1481">
      <c r="A1481" s="162"/>
      <c r="B1481" s="162"/>
      <c r="C1481" s="336"/>
    </row>
    <row r="1482">
      <c r="A1482" s="162"/>
      <c r="B1482" s="162"/>
      <c r="C1482" s="336"/>
    </row>
    <row r="1483">
      <c r="A1483" s="162"/>
      <c r="B1483" s="162"/>
      <c r="C1483" s="336"/>
    </row>
    <row r="1484">
      <c r="A1484" s="162"/>
      <c r="B1484" s="162"/>
      <c r="C1484" s="336"/>
    </row>
    <row r="1485">
      <c r="A1485" s="162"/>
      <c r="B1485" s="162"/>
      <c r="C1485" s="336"/>
    </row>
    <row r="1486">
      <c r="A1486" s="162"/>
      <c r="B1486" s="162"/>
      <c r="C1486" s="336"/>
    </row>
    <row r="1487">
      <c r="A1487" s="162"/>
      <c r="B1487" s="162"/>
      <c r="C1487" s="336"/>
    </row>
    <row r="1488">
      <c r="A1488" s="162"/>
      <c r="B1488" s="162"/>
      <c r="C1488" s="336"/>
    </row>
    <row r="1489">
      <c r="A1489" s="162"/>
      <c r="B1489" s="162"/>
      <c r="C1489" s="336"/>
    </row>
    <row r="1490">
      <c r="A1490" s="162"/>
      <c r="B1490" s="162"/>
      <c r="C1490" s="336"/>
    </row>
    <row r="1491">
      <c r="A1491" s="162"/>
      <c r="B1491" s="162"/>
      <c r="C1491" s="336"/>
    </row>
    <row r="1492">
      <c r="A1492" s="162"/>
      <c r="B1492" s="162"/>
      <c r="C1492" s="336"/>
    </row>
    <row r="1493">
      <c r="A1493" s="162"/>
      <c r="B1493" s="162"/>
      <c r="C1493" s="336"/>
    </row>
    <row r="1494">
      <c r="A1494" s="162"/>
      <c r="B1494" s="162"/>
      <c r="C1494" s="336"/>
    </row>
    <row r="1495">
      <c r="A1495" s="162"/>
      <c r="B1495" s="162"/>
      <c r="C1495" s="336"/>
    </row>
    <row r="1496">
      <c r="A1496" s="162"/>
      <c r="B1496" s="162"/>
      <c r="C1496" s="336"/>
    </row>
    <row r="1497">
      <c r="A1497" s="162"/>
      <c r="B1497" s="162"/>
      <c r="C1497" s="336"/>
    </row>
    <row r="1498">
      <c r="A1498" s="162"/>
      <c r="B1498" s="162"/>
      <c r="C1498" s="336"/>
    </row>
    <row r="1499">
      <c r="A1499" s="162"/>
      <c r="B1499" s="162"/>
      <c r="C1499" s="336"/>
    </row>
    <row r="1500">
      <c r="A1500" s="162"/>
      <c r="B1500" s="162"/>
      <c r="C1500" s="336"/>
    </row>
    <row r="1501">
      <c r="A1501" s="162"/>
      <c r="B1501" s="162"/>
      <c r="C1501" s="336"/>
    </row>
    <row r="1502">
      <c r="A1502" s="162"/>
      <c r="B1502" s="162"/>
      <c r="C1502" s="336"/>
    </row>
    <row r="1503">
      <c r="A1503" s="162"/>
      <c r="B1503" s="162"/>
      <c r="C1503" s="336"/>
    </row>
    <row r="1504">
      <c r="A1504" s="162"/>
      <c r="B1504" s="162"/>
      <c r="C1504" s="336"/>
    </row>
    <row r="1505">
      <c r="A1505" s="162"/>
      <c r="B1505" s="162"/>
      <c r="C1505" s="336"/>
    </row>
    <row r="1506">
      <c r="A1506" s="162"/>
      <c r="B1506" s="162"/>
      <c r="C1506" s="336"/>
    </row>
    <row r="1507">
      <c r="A1507" s="162"/>
      <c r="B1507" s="162"/>
      <c r="C1507" s="336"/>
    </row>
    <row r="1508">
      <c r="A1508" s="162"/>
      <c r="B1508" s="162"/>
      <c r="C1508" s="336"/>
    </row>
    <row r="1509">
      <c r="A1509" s="162"/>
      <c r="B1509" s="162"/>
      <c r="C1509" s="336"/>
    </row>
    <row r="1510">
      <c r="A1510" s="162"/>
      <c r="B1510" s="162"/>
      <c r="C1510" s="336"/>
    </row>
    <row r="1511">
      <c r="A1511" s="162"/>
      <c r="B1511" s="162"/>
      <c r="C1511" s="336"/>
    </row>
    <row r="1512">
      <c r="A1512" s="162"/>
      <c r="B1512" s="162"/>
      <c r="C1512" s="336"/>
    </row>
    <row r="1513">
      <c r="A1513" s="162"/>
      <c r="B1513" s="162"/>
      <c r="C1513" s="336"/>
    </row>
    <row r="1514">
      <c r="A1514" s="162"/>
      <c r="B1514" s="162"/>
      <c r="C1514" s="336"/>
    </row>
    <row r="1515">
      <c r="A1515" s="162"/>
      <c r="B1515" s="162"/>
      <c r="C1515" s="336"/>
    </row>
    <row r="1516">
      <c r="A1516" s="162"/>
      <c r="B1516" s="162"/>
      <c r="C1516" s="336"/>
    </row>
    <row r="1517">
      <c r="A1517" s="162"/>
      <c r="B1517" s="162"/>
      <c r="C1517" s="336"/>
    </row>
    <row r="1518">
      <c r="A1518" s="162"/>
      <c r="B1518" s="162"/>
      <c r="C1518" s="336"/>
    </row>
    <row r="1519">
      <c r="A1519" s="162"/>
      <c r="B1519" s="162"/>
      <c r="C1519" s="336"/>
    </row>
    <row r="1520">
      <c r="A1520" s="162"/>
      <c r="B1520" s="162"/>
      <c r="C1520" s="336"/>
    </row>
    <row r="1521">
      <c r="A1521" s="162"/>
      <c r="B1521" s="162"/>
      <c r="C1521" s="336"/>
    </row>
    <row r="1522">
      <c r="A1522" s="162"/>
      <c r="B1522" s="162"/>
      <c r="C1522" s="336"/>
    </row>
    <row r="1523">
      <c r="A1523" s="162"/>
      <c r="B1523" s="162"/>
      <c r="C1523" s="336"/>
    </row>
    <row r="1524">
      <c r="A1524" s="162"/>
      <c r="B1524" s="162"/>
      <c r="C1524" s="336"/>
    </row>
    <row r="1525">
      <c r="A1525" s="162"/>
      <c r="B1525" s="162"/>
      <c r="C1525" s="336"/>
    </row>
    <row r="1526">
      <c r="A1526" s="162"/>
      <c r="B1526" s="162"/>
      <c r="C1526" s="336"/>
    </row>
    <row r="1527">
      <c r="A1527" s="162"/>
      <c r="B1527" s="162"/>
      <c r="C1527" s="336"/>
    </row>
    <row r="1528">
      <c r="A1528" s="162"/>
      <c r="B1528" s="162"/>
      <c r="C1528" s="336"/>
    </row>
    <row r="1529">
      <c r="A1529" s="162"/>
      <c r="B1529" s="162"/>
      <c r="C1529" s="336"/>
    </row>
    <row r="1530">
      <c r="A1530" s="162"/>
      <c r="B1530" s="162"/>
      <c r="C1530" s="336"/>
    </row>
    <row r="1531">
      <c r="A1531" s="162"/>
      <c r="B1531" s="162"/>
      <c r="C1531" s="336"/>
    </row>
    <row r="1532">
      <c r="A1532" s="162"/>
      <c r="B1532" s="162"/>
      <c r="C1532" s="336"/>
    </row>
    <row r="1533">
      <c r="A1533" s="162"/>
      <c r="B1533" s="162"/>
      <c r="C1533" s="336"/>
    </row>
    <row r="1534">
      <c r="A1534" s="162"/>
      <c r="B1534" s="162"/>
      <c r="C1534" s="336"/>
    </row>
    <row r="1535">
      <c r="A1535" s="162"/>
      <c r="B1535" s="162"/>
      <c r="C1535" s="336"/>
    </row>
    <row r="1536">
      <c r="A1536" s="162"/>
      <c r="B1536" s="162"/>
      <c r="C1536" s="336"/>
    </row>
    <row r="1537">
      <c r="A1537" s="162"/>
      <c r="B1537" s="162"/>
      <c r="C1537" s="336"/>
    </row>
    <row r="1538">
      <c r="A1538" s="162"/>
      <c r="B1538" s="162"/>
      <c r="C1538" s="336"/>
    </row>
    <row r="1539">
      <c r="A1539" s="162"/>
      <c r="B1539" s="162"/>
      <c r="C1539" s="336"/>
    </row>
    <row r="1540">
      <c r="A1540" s="162"/>
      <c r="B1540" s="162"/>
      <c r="C1540" s="336"/>
    </row>
    <row r="1541">
      <c r="A1541" s="162"/>
      <c r="B1541" s="162"/>
      <c r="C1541" s="336"/>
    </row>
    <row r="1542">
      <c r="A1542" s="162"/>
      <c r="B1542" s="162"/>
      <c r="C1542" s="336"/>
    </row>
    <row r="1543">
      <c r="A1543" s="162"/>
      <c r="B1543" s="162"/>
      <c r="C1543" s="336"/>
    </row>
    <row r="1544">
      <c r="A1544" s="162"/>
      <c r="B1544" s="162"/>
      <c r="C1544" s="336"/>
    </row>
    <row r="1545">
      <c r="A1545" s="162"/>
      <c r="B1545" s="162"/>
      <c r="C1545" s="336"/>
    </row>
    <row r="1546">
      <c r="A1546" s="162"/>
      <c r="B1546" s="162"/>
      <c r="C1546" s="336"/>
    </row>
    <row r="1547">
      <c r="A1547" s="162"/>
      <c r="B1547" s="162"/>
      <c r="C1547" s="336"/>
    </row>
    <row r="1548">
      <c r="A1548" s="162"/>
      <c r="B1548" s="162"/>
      <c r="C1548" s="336"/>
    </row>
    <row r="1549">
      <c r="A1549" s="162"/>
      <c r="B1549" s="162"/>
      <c r="C1549" s="336"/>
    </row>
    <row r="1550">
      <c r="A1550" s="162"/>
      <c r="B1550" s="162"/>
      <c r="C1550" s="336"/>
    </row>
    <row r="1551">
      <c r="A1551" s="162"/>
      <c r="B1551" s="162"/>
      <c r="C1551" s="336"/>
    </row>
    <row r="1552">
      <c r="A1552" s="162"/>
      <c r="B1552" s="162"/>
      <c r="C1552" s="336"/>
    </row>
    <row r="1553">
      <c r="A1553" s="162"/>
      <c r="B1553" s="162"/>
      <c r="C1553" s="336"/>
    </row>
    <row r="1554">
      <c r="A1554" s="162"/>
      <c r="B1554" s="162"/>
      <c r="C1554" s="336"/>
    </row>
    <row r="1555">
      <c r="A1555" s="162"/>
      <c r="B1555" s="162"/>
      <c r="C1555" s="336"/>
    </row>
    <row r="1556">
      <c r="A1556" s="162"/>
      <c r="B1556" s="162"/>
      <c r="C1556" s="336"/>
    </row>
    <row r="1557">
      <c r="A1557" s="162"/>
      <c r="B1557" s="162"/>
      <c r="C1557" s="336"/>
    </row>
    <row r="1558">
      <c r="A1558" s="162"/>
      <c r="B1558" s="162"/>
      <c r="C1558" s="336"/>
    </row>
    <row r="1559">
      <c r="A1559" s="162"/>
      <c r="B1559" s="162"/>
      <c r="C1559" s="336"/>
    </row>
    <row r="1560">
      <c r="A1560" s="162"/>
      <c r="B1560" s="162"/>
      <c r="C1560" s="336"/>
    </row>
    <row r="1561">
      <c r="A1561" s="162"/>
      <c r="B1561" s="162"/>
      <c r="C1561" s="336"/>
    </row>
    <row r="1562">
      <c r="A1562" s="162"/>
      <c r="B1562" s="162"/>
      <c r="C1562" s="336"/>
    </row>
    <row r="1563">
      <c r="A1563" s="162"/>
      <c r="B1563" s="162"/>
      <c r="C1563" s="336"/>
    </row>
    <row r="1564">
      <c r="A1564" s="162"/>
      <c r="B1564" s="162"/>
      <c r="C1564" s="336"/>
    </row>
    <row r="1565">
      <c r="A1565" s="162"/>
      <c r="B1565" s="162"/>
      <c r="C1565" s="336"/>
    </row>
    <row r="1566">
      <c r="A1566" s="162"/>
      <c r="B1566" s="162"/>
      <c r="C1566" s="336"/>
    </row>
    <row r="1567">
      <c r="A1567" s="162"/>
      <c r="B1567" s="162"/>
      <c r="C1567" s="336"/>
    </row>
    <row r="1568">
      <c r="A1568" s="162"/>
      <c r="B1568" s="162"/>
      <c r="C1568" s="336"/>
    </row>
    <row r="1569">
      <c r="A1569" s="162"/>
      <c r="B1569" s="162"/>
      <c r="C1569" s="336"/>
    </row>
    <row r="1570">
      <c r="A1570" s="162"/>
      <c r="B1570" s="162"/>
      <c r="C1570" s="336"/>
    </row>
    <row r="1571">
      <c r="A1571" s="162"/>
      <c r="B1571" s="162"/>
      <c r="C1571" s="336"/>
    </row>
    <row r="1572">
      <c r="A1572" s="162"/>
      <c r="B1572" s="162"/>
      <c r="C1572" s="336"/>
    </row>
    <row r="1573">
      <c r="A1573" s="162"/>
      <c r="B1573" s="162"/>
      <c r="C1573" s="336"/>
    </row>
    <row r="1574">
      <c r="A1574" s="162"/>
      <c r="B1574" s="162"/>
      <c r="C1574" s="336"/>
    </row>
    <row r="1575">
      <c r="A1575" s="162"/>
      <c r="B1575" s="162"/>
      <c r="C1575" s="336"/>
    </row>
    <row r="1576">
      <c r="A1576" s="162"/>
      <c r="B1576" s="162"/>
      <c r="C1576" s="336"/>
    </row>
    <row r="1577">
      <c r="A1577" s="162"/>
      <c r="B1577" s="162"/>
      <c r="C1577" s="336"/>
    </row>
    <row r="1578">
      <c r="A1578" s="162"/>
      <c r="B1578" s="162"/>
      <c r="C1578" s="336"/>
    </row>
    <row r="1579">
      <c r="A1579" s="162"/>
      <c r="B1579" s="162"/>
      <c r="C1579" s="336"/>
    </row>
    <row r="1580">
      <c r="A1580" s="162"/>
      <c r="B1580" s="162"/>
      <c r="C1580" s="336"/>
    </row>
    <row r="1581">
      <c r="A1581" s="162"/>
      <c r="B1581" s="162"/>
      <c r="C1581" s="336"/>
    </row>
    <row r="1582">
      <c r="A1582" s="162"/>
      <c r="B1582" s="162"/>
      <c r="C1582" s="336"/>
    </row>
    <row r="1583">
      <c r="A1583" s="162"/>
      <c r="B1583" s="162"/>
      <c r="C1583" s="336"/>
    </row>
    <row r="1584">
      <c r="A1584" s="162"/>
      <c r="B1584" s="162"/>
      <c r="C1584" s="336"/>
    </row>
    <row r="1585">
      <c r="A1585" s="162"/>
      <c r="B1585" s="162"/>
      <c r="C1585" s="336"/>
    </row>
    <row r="1586">
      <c r="A1586" s="162"/>
      <c r="B1586" s="162"/>
      <c r="C1586" s="336"/>
    </row>
    <row r="1587">
      <c r="A1587" s="162"/>
      <c r="B1587" s="162"/>
      <c r="C1587" s="336"/>
    </row>
    <row r="1588">
      <c r="A1588" s="162"/>
      <c r="B1588" s="162"/>
      <c r="C1588" s="336"/>
    </row>
    <row r="1589">
      <c r="A1589" s="162"/>
      <c r="B1589" s="162"/>
      <c r="C1589" s="336"/>
    </row>
    <row r="1590">
      <c r="A1590" s="162"/>
      <c r="B1590" s="162"/>
      <c r="C1590" s="336"/>
    </row>
    <row r="1591">
      <c r="A1591" s="162"/>
      <c r="B1591" s="162"/>
      <c r="C1591" s="336"/>
    </row>
    <row r="1592">
      <c r="A1592" s="162"/>
      <c r="B1592" s="162"/>
      <c r="C1592" s="336"/>
    </row>
    <row r="1593">
      <c r="A1593" s="162"/>
      <c r="B1593" s="162"/>
      <c r="C1593" s="336"/>
    </row>
    <row r="1594">
      <c r="A1594" s="162"/>
      <c r="B1594" s="162"/>
      <c r="C1594" s="336"/>
    </row>
    <row r="1595">
      <c r="A1595" s="162"/>
      <c r="B1595" s="162"/>
      <c r="C1595" s="336"/>
    </row>
    <row r="1596">
      <c r="A1596" s="162"/>
      <c r="B1596" s="162"/>
      <c r="C1596" s="336"/>
    </row>
    <row r="1597">
      <c r="A1597" s="162"/>
      <c r="B1597" s="162"/>
      <c r="C1597" s="336"/>
    </row>
    <row r="1598">
      <c r="A1598" s="162"/>
      <c r="B1598" s="162"/>
      <c r="C1598" s="336"/>
    </row>
    <row r="1599">
      <c r="A1599" s="162"/>
      <c r="B1599" s="162"/>
      <c r="C1599" s="336"/>
    </row>
    <row r="1600">
      <c r="A1600" s="162"/>
      <c r="B1600" s="162"/>
      <c r="C1600" s="336"/>
    </row>
    <row r="1601">
      <c r="A1601" s="162"/>
      <c r="B1601" s="162"/>
      <c r="C1601" s="336"/>
    </row>
    <row r="1602">
      <c r="A1602" s="162"/>
      <c r="B1602" s="162"/>
      <c r="C1602" s="336"/>
    </row>
    <row r="1603">
      <c r="A1603" s="162"/>
      <c r="B1603" s="162"/>
      <c r="C1603" s="336"/>
    </row>
    <row r="1604">
      <c r="A1604" s="162"/>
      <c r="B1604" s="162"/>
      <c r="C1604" s="336"/>
    </row>
    <row r="1605">
      <c r="A1605" s="162"/>
      <c r="B1605" s="162"/>
      <c r="C1605" s="336"/>
    </row>
    <row r="1606">
      <c r="A1606" s="162"/>
      <c r="B1606" s="162"/>
      <c r="C1606" s="336"/>
    </row>
    <row r="1607">
      <c r="A1607" s="162"/>
      <c r="B1607" s="162"/>
      <c r="C1607" s="336"/>
    </row>
    <row r="1608">
      <c r="A1608" s="162"/>
      <c r="B1608" s="162"/>
      <c r="C1608" s="336"/>
    </row>
    <row r="1609">
      <c r="A1609" s="162"/>
      <c r="B1609" s="162"/>
      <c r="C1609" s="336"/>
    </row>
    <row r="1610">
      <c r="A1610" s="162"/>
      <c r="B1610" s="162"/>
      <c r="C1610" s="336"/>
    </row>
    <row r="1611">
      <c r="A1611" s="162"/>
      <c r="B1611" s="162"/>
      <c r="C1611" s="336"/>
    </row>
    <row r="1612">
      <c r="A1612" s="162"/>
      <c r="B1612" s="162"/>
      <c r="C1612" s="336"/>
    </row>
    <row r="1613">
      <c r="A1613" s="162"/>
      <c r="B1613" s="162"/>
      <c r="C1613" s="336"/>
    </row>
    <row r="1614">
      <c r="A1614" s="162"/>
      <c r="B1614" s="162"/>
      <c r="C1614" s="336"/>
    </row>
    <row r="1615">
      <c r="A1615" s="162"/>
      <c r="B1615" s="162"/>
      <c r="C1615" s="336"/>
    </row>
    <row r="1616">
      <c r="A1616" s="162"/>
      <c r="B1616" s="162"/>
      <c r="C1616" s="336"/>
    </row>
    <row r="1617">
      <c r="A1617" s="162"/>
      <c r="B1617" s="162"/>
      <c r="C1617" s="336"/>
    </row>
    <row r="1618">
      <c r="A1618" s="162"/>
      <c r="B1618" s="162"/>
      <c r="C1618" s="336"/>
    </row>
    <row r="1619">
      <c r="A1619" s="162"/>
      <c r="B1619" s="162"/>
      <c r="C1619" s="336"/>
    </row>
    <row r="1620">
      <c r="A1620" s="162"/>
      <c r="B1620" s="162"/>
      <c r="C1620" s="336"/>
    </row>
    <row r="1621">
      <c r="A1621" s="162"/>
      <c r="B1621" s="162"/>
      <c r="C1621" s="336"/>
    </row>
    <row r="1622">
      <c r="A1622" s="162"/>
      <c r="B1622" s="162"/>
      <c r="C1622" s="336"/>
    </row>
    <row r="1623">
      <c r="A1623" s="162"/>
      <c r="B1623" s="162"/>
      <c r="C1623" s="336"/>
    </row>
    <row r="1624">
      <c r="A1624" s="162"/>
      <c r="B1624" s="162"/>
      <c r="C1624" s="336"/>
    </row>
    <row r="1625">
      <c r="A1625" s="162"/>
      <c r="B1625" s="162"/>
      <c r="C1625" s="336"/>
    </row>
    <row r="1626">
      <c r="A1626" s="162"/>
      <c r="B1626" s="162"/>
      <c r="C1626" s="336"/>
    </row>
    <row r="1627">
      <c r="A1627" s="162"/>
      <c r="B1627" s="162"/>
      <c r="C1627" s="336"/>
    </row>
    <row r="1628">
      <c r="A1628" s="162"/>
      <c r="B1628" s="162"/>
      <c r="C1628" s="336"/>
    </row>
    <row r="1629">
      <c r="A1629" s="162"/>
      <c r="B1629" s="162"/>
      <c r="C1629" s="336"/>
    </row>
    <row r="1630">
      <c r="A1630" s="162"/>
      <c r="B1630" s="162"/>
      <c r="C1630" s="336"/>
    </row>
    <row r="1631">
      <c r="A1631" s="162"/>
      <c r="B1631" s="162"/>
      <c r="C1631" s="336"/>
    </row>
    <row r="1632">
      <c r="A1632" s="162"/>
      <c r="B1632" s="162"/>
      <c r="C1632" s="336"/>
    </row>
    <row r="1633">
      <c r="A1633" s="162"/>
      <c r="B1633" s="162"/>
      <c r="C1633" s="336"/>
    </row>
    <row r="1634">
      <c r="A1634" s="162"/>
      <c r="B1634" s="162"/>
      <c r="C1634" s="336"/>
    </row>
    <row r="1635">
      <c r="A1635" s="162"/>
      <c r="B1635" s="162"/>
      <c r="C1635" s="336"/>
    </row>
    <row r="1636">
      <c r="A1636" s="162"/>
      <c r="B1636" s="162"/>
      <c r="C1636" s="336"/>
    </row>
    <row r="1637">
      <c r="A1637" s="162"/>
      <c r="B1637" s="162"/>
      <c r="C1637" s="336"/>
    </row>
    <row r="1638">
      <c r="A1638" s="162"/>
      <c r="B1638" s="162"/>
      <c r="C1638" s="336"/>
    </row>
    <row r="1639">
      <c r="A1639" s="162"/>
      <c r="B1639" s="162"/>
      <c r="C1639" s="336"/>
    </row>
    <row r="1640">
      <c r="A1640" s="162"/>
      <c r="B1640" s="162"/>
      <c r="C1640" s="336"/>
    </row>
    <row r="1641">
      <c r="A1641" s="162"/>
      <c r="B1641" s="162"/>
      <c r="C1641" s="336"/>
    </row>
    <row r="1642">
      <c r="A1642" s="162"/>
      <c r="B1642" s="162"/>
      <c r="C1642" s="336"/>
    </row>
    <row r="1643">
      <c r="A1643" s="162"/>
      <c r="B1643" s="162"/>
      <c r="C1643" s="336"/>
    </row>
    <row r="1644">
      <c r="A1644" s="162"/>
      <c r="B1644" s="162"/>
      <c r="C1644" s="336"/>
    </row>
    <row r="1645">
      <c r="A1645" s="162"/>
      <c r="B1645" s="162"/>
      <c r="C1645" s="336"/>
    </row>
    <row r="1646">
      <c r="A1646" s="162"/>
      <c r="B1646" s="162"/>
      <c r="C1646" s="336"/>
    </row>
    <row r="1647">
      <c r="A1647" s="162"/>
      <c r="B1647" s="162"/>
      <c r="C1647" s="336"/>
    </row>
    <row r="1648">
      <c r="A1648" s="162"/>
      <c r="B1648" s="162"/>
      <c r="C1648" s="336"/>
    </row>
    <row r="1649">
      <c r="A1649" s="162"/>
      <c r="B1649" s="162"/>
      <c r="C1649" s="336"/>
    </row>
    <row r="1650">
      <c r="A1650" s="162"/>
      <c r="B1650" s="162"/>
      <c r="C1650" s="336"/>
    </row>
    <row r="1651">
      <c r="A1651" s="162"/>
      <c r="B1651" s="162"/>
      <c r="C1651" s="336"/>
    </row>
    <row r="1652">
      <c r="A1652" s="162"/>
      <c r="B1652" s="162"/>
      <c r="C1652" s="336"/>
    </row>
    <row r="1653">
      <c r="A1653" s="162"/>
      <c r="B1653" s="162"/>
      <c r="C1653" s="336"/>
    </row>
    <row r="1654">
      <c r="A1654" s="162"/>
      <c r="B1654" s="162"/>
      <c r="C1654" s="336"/>
    </row>
    <row r="1655">
      <c r="A1655" s="162"/>
      <c r="B1655" s="162"/>
      <c r="C1655" s="336"/>
    </row>
    <row r="1656">
      <c r="A1656" s="162"/>
      <c r="B1656" s="162"/>
      <c r="C1656" s="336"/>
    </row>
    <row r="1657">
      <c r="A1657" s="162"/>
      <c r="B1657" s="162"/>
      <c r="C1657" s="336"/>
    </row>
    <row r="1658">
      <c r="A1658" s="162"/>
      <c r="B1658" s="162"/>
      <c r="C1658" s="336"/>
    </row>
    <row r="1659">
      <c r="A1659" s="162"/>
      <c r="B1659" s="162"/>
      <c r="C1659" s="336"/>
    </row>
    <row r="1660">
      <c r="A1660" s="162"/>
      <c r="B1660" s="162"/>
      <c r="C1660" s="336"/>
    </row>
    <row r="1661">
      <c r="A1661" s="162"/>
      <c r="B1661" s="162"/>
      <c r="C1661" s="336"/>
    </row>
    <row r="1662">
      <c r="A1662" s="162"/>
      <c r="B1662" s="162"/>
      <c r="C1662" s="336"/>
    </row>
    <row r="1663">
      <c r="A1663" s="162"/>
      <c r="B1663" s="162"/>
      <c r="C1663" s="336"/>
    </row>
    <row r="1664">
      <c r="A1664" s="162"/>
      <c r="B1664" s="162"/>
      <c r="C1664" s="336"/>
    </row>
    <row r="1665">
      <c r="A1665" s="162"/>
      <c r="B1665" s="162"/>
      <c r="C1665" s="336"/>
    </row>
    <row r="1666">
      <c r="A1666" s="162"/>
      <c r="B1666" s="162"/>
      <c r="C1666" s="336"/>
    </row>
    <row r="1667">
      <c r="A1667" s="162"/>
      <c r="B1667" s="162"/>
      <c r="C1667" s="336"/>
    </row>
    <row r="1668">
      <c r="A1668" s="162"/>
      <c r="B1668" s="162"/>
      <c r="C1668" s="336"/>
    </row>
    <row r="1669">
      <c r="A1669" s="162"/>
      <c r="B1669" s="162"/>
      <c r="C1669" s="336"/>
    </row>
    <row r="1670">
      <c r="A1670" s="162"/>
      <c r="B1670" s="162"/>
      <c r="C1670" s="336"/>
    </row>
    <row r="1671">
      <c r="A1671" s="162"/>
      <c r="B1671" s="162"/>
      <c r="C1671" s="336"/>
    </row>
    <row r="1672">
      <c r="A1672" s="162"/>
      <c r="B1672" s="162"/>
      <c r="C1672" s="336"/>
    </row>
    <row r="1673">
      <c r="A1673" s="162"/>
      <c r="B1673" s="162"/>
      <c r="C1673" s="336"/>
    </row>
    <row r="1674">
      <c r="A1674" s="162"/>
      <c r="B1674" s="162"/>
      <c r="C1674" s="336"/>
    </row>
    <row r="1675">
      <c r="A1675" s="162"/>
      <c r="B1675" s="162"/>
      <c r="C1675" s="336"/>
    </row>
    <row r="1676">
      <c r="A1676" s="162"/>
      <c r="B1676" s="162"/>
      <c r="C1676" s="336"/>
    </row>
    <row r="1677">
      <c r="A1677" s="162"/>
      <c r="B1677" s="162"/>
      <c r="C1677" s="336"/>
    </row>
    <row r="1678">
      <c r="A1678" s="162"/>
      <c r="B1678" s="162"/>
      <c r="C1678" s="336"/>
    </row>
    <row r="1679">
      <c r="A1679" s="162"/>
      <c r="B1679" s="162"/>
      <c r="C1679" s="336"/>
    </row>
    <row r="1680">
      <c r="A1680" s="162"/>
      <c r="B1680" s="162"/>
      <c r="C1680" s="336"/>
    </row>
    <row r="1681">
      <c r="A1681" s="162"/>
      <c r="B1681" s="162"/>
      <c r="C1681" s="336"/>
    </row>
    <row r="1682">
      <c r="A1682" s="162"/>
      <c r="B1682" s="162"/>
      <c r="C1682" s="336"/>
    </row>
    <row r="1683">
      <c r="A1683" s="162"/>
      <c r="B1683" s="162"/>
      <c r="C1683" s="336"/>
    </row>
    <row r="1684">
      <c r="A1684" s="162"/>
      <c r="B1684" s="162"/>
      <c r="C1684" s="336"/>
    </row>
    <row r="1685">
      <c r="A1685" s="162"/>
      <c r="B1685" s="162"/>
      <c r="C1685" s="336"/>
    </row>
    <row r="1686">
      <c r="A1686" s="162"/>
      <c r="B1686" s="162"/>
      <c r="C1686" s="336"/>
    </row>
    <row r="1687">
      <c r="A1687" s="162"/>
      <c r="B1687" s="162"/>
      <c r="C1687" s="336"/>
    </row>
    <row r="1688">
      <c r="A1688" s="162"/>
      <c r="B1688" s="162"/>
      <c r="C1688" s="336"/>
    </row>
    <row r="1689">
      <c r="A1689" s="162"/>
      <c r="B1689" s="162"/>
      <c r="C1689" s="336"/>
    </row>
    <row r="1690">
      <c r="A1690" s="162"/>
      <c r="B1690" s="162"/>
      <c r="C1690" s="336"/>
    </row>
    <row r="1691">
      <c r="A1691" s="162"/>
      <c r="B1691" s="162"/>
      <c r="C1691" s="336"/>
    </row>
    <row r="1692">
      <c r="A1692" s="162"/>
      <c r="B1692" s="162"/>
      <c r="C1692" s="336"/>
    </row>
    <row r="1693">
      <c r="A1693" s="162"/>
      <c r="B1693" s="162"/>
      <c r="C1693" s="336"/>
    </row>
    <row r="1694">
      <c r="A1694" s="162"/>
      <c r="B1694" s="162"/>
      <c r="C1694" s="336"/>
    </row>
    <row r="1695">
      <c r="A1695" s="162"/>
      <c r="B1695" s="162"/>
      <c r="C1695" s="336"/>
    </row>
    <row r="1696">
      <c r="A1696" s="162"/>
      <c r="B1696" s="162"/>
      <c r="C1696" s="336"/>
    </row>
    <row r="1697">
      <c r="A1697" s="162"/>
      <c r="B1697" s="162"/>
      <c r="C1697" s="336"/>
    </row>
    <row r="1698">
      <c r="A1698" s="162"/>
      <c r="B1698" s="162"/>
      <c r="C1698" s="336"/>
    </row>
    <row r="1699">
      <c r="A1699" s="162"/>
      <c r="B1699" s="162"/>
      <c r="C1699" s="336"/>
    </row>
    <row r="1700">
      <c r="A1700" s="162"/>
      <c r="B1700" s="162"/>
      <c r="C1700" s="336"/>
    </row>
    <row r="1701">
      <c r="A1701" s="162"/>
      <c r="B1701" s="162"/>
      <c r="C1701" s="336"/>
    </row>
    <row r="1702">
      <c r="A1702" s="162"/>
      <c r="B1702" s="162"/>
      <c r="C1702" s="336"/>
    </row>
    <row r="1703">
      <c r="A1703" s="162"/>
      <c r="B1703" s="162"/>
      <c r="C1703" s="336"/>
    </row>
    <row r="1704">
      <c r="A1704" s="162"/>
      <c r="B1704" s="162"/>
      <c r="C1704" s="336"/>
    </row>
    <row r="1705">
      <c r="A1705" s="162"/>
      <c r="B1705" s="162"/>
      <c r="C1705" s="336"/>
    </row>
    <row r="1706">
      <c r="A1706" s="162"/>
      <c r="B1706" s="162"/>
      <c r="C1706" s="336"/>
    </row>
    <row r="1707">
      <c r="A1707" s="162"/>
      <c r="B1707" s="162"/>
      <c r="C1707" s="336"/>
    </row>
    <row r="1708">
      <c r="A1708" s="162"/>
      <c r="B1708" s="162"/>
      <c r="C1708" s="336"/>
    </row>
    <row r="1709">
      <c r="A1709" s="162"/>
      <c r="B1709" s="162"/>
      <c r="C1709" s="336"/>
    </row>
    <row r="1710">
      <c r="A1710" s="162"/>
      <c r="B1710" s="162"/>
      <c r="C1710" s="336"/>
    </row>
    <row r="1711">
      <c r="A1711" s="162"/>
      <c r="B1711" s="162"/>
      <c r="C1711" s="336"/>
    </row>
    <row r="1712">
      <c r="A1712" s="162"/>
      <c r="B1712" s="162"/>
      <c r="C1712" s="336"/>
    </row>
    <row r="1713">
      <c r="A1713" s="162"/>
      <c r="B1713" s="162"/>
      <c r="C1713" s="336"/>
    </row>
    <row r="1714">
      <c r="A1714" s="162"/>
      <c r="B1714" s="162"/>
      <c r="C1714" s="336"/>
    </row>
    <row r="1715">
      <c r="A1715" s="162"/>
      <c r="B1715" s="162"/>
      <c r="C1715" s="336"/>
    </row>
    <row r="1716">
      <c r="A1716" s="162"/>
      <c r="B1716" s="162"/>
      <c r="C1716" s="336"/>
    </row>
    <row r="1717">
      <c r="A1717" s="162"/>
      <c r="B1717" s="162"/>
      <c r="C1717" s="336"/>
    </row>
    <row r="1718">
      <c r="A1718" s="162"/>
      <c r="B1718" s="162"/>
      <c r="C1718" s="336"/>
    </row>
    <row r="1719">
      <c r="A1719" s="162"/>
      <c r="B1719" s="162"/>
      <c r="C1719" s="336"/>
    </row>
    <row r="1720">
      <c r="A1720" s="162"/>
      <c r="B1720" s="162"/>
      <c r="C1720" s="336"/>
    </row>
    <row r="1721">
      <c r="A1721" s="162"/>
      <c r="B1721" s="162"/>
      <c r="C1721" s="336"/>
    </row>
    <row r="1722">
      <c r="A1722" s="162"/>
      <c r="B1722" s="162"/>
      <c r="C1722" s="336"/>
    </row>
    <row r="1723">
      <c r="A1723" s="162"/>
      <c r="B1723" s="162"/>
      <c r="C1723" s="336"/>
    </row>
    <row r="1724">
      <c r="A1724" s="162"/>
      <c r="B1724" s="162"/>
      <c r="C1724" s="336"/>
    </row>
    <row r="1725">
      <c r="A1725" s="162"/>
      <c r="B1725" s="162"/>
      <c r="C1725" s="336"/>
    </row>
    <row r="1726">
      <c r="A1726" s="162"/>
      <c r="B1726" s="162"/>
      <c r="C1726" s="336"/>
    </row>
    <row r="1727">
      <c r="A1727" s="162"/>
      <c r="B1727" s="162"/>
      <c r="C1727" s="336"/>
    </row>
    <row r="1728">
      <c r="A1728" s="162"/>
      <c r="B1728" s="162"/>
      <c r="C1728" s="336"/>
    </row>
    <row r="1729">
      <c r="A1729" s="162"/>
      <c r="B1729" s="162"/>
      <c r="C1729" s="336"/>
    </row>
    <row r="1730">
      <c r="A1730" s="162"/>
      <c r="B1730" s="162"/>
      <c r="C1730" s="336"/>
    </row>
    <row r="1731">
      <c r="A1731" s="162"/>
      <c r="B1731" s="162"/>
      <c r="C1731" s="336"/>
    </row>
    <row r="1732">
      <c r="A1732" s="162"/>
      <c r="B1732" s="162"/>
      <c r="C1732" s="336"/>
    </row>
    <row r="1733">
      <c r="A1733" s="162"/>
      <c r="B1733" s="162"/>
      <c r="C1733" s="336"/>
    </row>
    <row r="1734">
      <c r="A1734" s="162"/>
      <c r="B1734" s="162"/>
      <c r="C1734" s="336"/>
    </row>
    <row r="1735">
      <c r="A1735" s="162"/>
      <c r="B1735" s="162"/>
      <c r="C1735" s="336"/>
    </row>
    <row r="1736">
      <c r="A1736" s="162"/>
      <c r="B1736" s="162"/>
      <c r="C1736" s="336"/>
    </row>
    <row r="1737">
      <c r="A1737" s="162"/>
      <c r="B1737" s="162"/>
      <c r="C1737" s="336"/>
    </row>
    <row r="1738">
      <c r="A1738" s="162"/>
      <c r="B1738" s="162"/>
      <c r="C1738" s="336"/>
    </row>
    <row r="1739">
      <c r="A1739" s="162"/>
      <c r="B1739" s="162"/>
      <c r="C1739" s="336"/>
    </row>
    <row r="1740">
      <c r="A1740" s="162"/>
      <c r="B1740" s="162"/>
      <c r="C1740" s="336"/>
    </row>
    <row r="1741">
      <c r="A1741" s="162"/>
      <c r="B1741" s="162"/>
      <c r="C1741" s="336"/>
    </row>
    <row r="1742">
      <c r="A1742" s="162"/>
      <c r="B1742" s="162"/>
      <c r="C1742" s="336"/>
    </row>
    <row r="1743">
      <c r="A1743" s="162"/>
      <c r="B1743" s="162"/>
      <c r="C1743" s="336"/>
    </row>
    <row r="1744">
      <c r="A1744" s="162"/>
      <c r="B1744" s="162"/>
      <c r="C1744" s="336"/>
    </row>
    <row r="1745">
      <c r="A1745" s="162"/>
      <c r="B1745" s="162"/>
      <c r="C1745" s="336"/>
    </row>
    <row r="1746">
      <c r="A1746" s="162"/>
      <c r="B1746" s="162"/>
      <c r="C1746" s="336"/>
    </row>
    <row r="1747">
      <c r="A1747" s="162"/>
      <c r="B1747" s="162"/>
      <c r="C1747" s="336"/>
    </row>
    <row r="1748">
      <c r="A1748" s="162"/>
      <c r="B1748" s="162"/>
      <c r="C1748" s="336"/>
    </row>
    <row r="1749">
      <c r="A1749" s="162"/>
      <c r="B1749" s="162"/>
      <c r="C1749" s="336"/>
    </row>
    <row r="1750">
      <c r="A1750" s="162"/>
      <c r="B1750" s="162"/>
      <c r="C1750" s="336"/>
    </row>
    <row r="1751">
      <c r="A1751" s="162"/>
      <c r="B1751" s="162"/>
      <c r="C1751" s="336"/>
    </row>
    <row r="1752">
      <c r="A1752" s="162"/>
      <c r="B1752" s="162"/>
      <c r="C1752" s="336"/>
    </row>
    <row r="1753">
      <c r="A1753" s="162"/>
      <c r="B1753" s="162"/>
      <c r="C1753" s="336"/>
    </row>
    <row r="1754">
      <c r="A1754" s="162"/>
      <c r="B1754" s="162"/>
      <c r="C1754" s="336"/>
    </row>
    <row r="1755">
      <c r="A1755" s="162"/>
      <c r="B1755" s="162"/>
      <c r="C1755" s="336"/>
    </row>
    <row r="1756">
      <c r="A1756" s="162"/>
      <c r="B1756" s="162"/>
      <c r="C1756" s="336"/>
    </row>
    <row r="1757">
      <c r="A1757" s="162"/>
      <c r="B1757" s="162"/>
      <c r="C1757" s="336"/>
    </row>
    <row r="1758">
      <c r="A1758" s="162"/>
      <c r="B1758" s="162"/>
      <c r="C1758" s="336"/>
    </row>
    <row r="1759">
      <c r="A1759" s="162"/>
      <c r="B1759" s="162"/>
      <c r="C1759" s="336"/>
    </row>
    <row r="1760">
      <c r="A1760" s="162"/>
      <c r="B1760" s="162"/>
      <c r="C1760" s="336"/>
    </row>
    <row r="1761">
      <c r="A1761" s="162"/>
      <c r="B1761" s="162"/>
      <c r="C1761" s="336"/>
    </row>
    <row r="1762">
      <c r="A1762" s="162"/>
      <c r="B1762" s="162"/>
      <c r="C1762" s="336"/>
    </row>
    <row r="1763">
      <c r="A1763" s="162"/>
      <c r="B1763" s="162"/>
      <c r="C1763" s="336"/>
    </row>
    <row r="1764">
      <c r="A1764" s="162"/>
      <c r="B1764" s="162"/>
      <c r="C1764" s="336"/>
    </row>
    <row r="1765">
      <c r="A1765" s="162"/>
      <c r="B1765" s="162"/>
      <c r="C1765" s="336"/>
    </row>
    <row r="1766">
      <c r="A1766" s="162"/>
      <c r="B1766" s="162"/>
      <c r="C1766" s="336"/>
    </row>
    <row r="1767">
      <c r="A1767" s="162"/>
      <c r="B1767" s="162"/>
      <c r="C1767" s="336"/>
    </row>
    <row r="1768">
      <c r="A1768" s="162"/>
      <c r="B1768" s="162"/>
      <c r="C1768" s="336"/>
    </row>
    <row r="1769">
      <c r="A1769" s="162"/>
      <c r="B1769" s="162"/>
      <c r="C1769" s="336"/>
    </row>
    <row r="1770">
      <c r="A1770" s="162"/>
      <c r="B1770" s="162"/>
      <c r="C1770" s="336"/>
    </row>
    <row r="1771">
      <c r="A1771" s="162"/>
      <c r="B1771" s="162"/>
      <c r="C1771" s="336"/>
    </row>
    <row r="1772">
      <c r="A1772" s="162"/>
      <c r="B1772" s="162"/>
      <c r="C1772" s="336"/>
    </row>
    <row r="1773">
      <c r="A1773" s="162"/>
      <c r="B1773" s="162"/>
      <c r="C1773" s="336"/>
    </row>
    <row r="1774">
      <c r="A1774" s="162"/>
      <c r="B1774" s="162"/>
      <c r="C1774" s="336"/>
    </row>
    <row r="1775">
      <c r="A1775" s="162"/>
      <c r="B1775" s="162"/>
      <c r="C1775" s="336"/>
    </row>
    <row r="1776">
      <c r="A1776" s="162"/>
      <c r="B1776" s="162"/>
      <c r="C1776" s="336"/>
    </row>
    <row r="1777">
      <c r="A1777" s="162"/>
      <c r="B1777" s="162"/>
      <c r="C1777" s="336"/>
    </row>
    <row r="1778">
      <c r="A1778" s="162"/>
      <c r="B1778" s="162"/>
      <c r="C1778" s="336"/>
    </row>
    <row r="1779">
      <c r="A1779" s="162"/>
      <c r="B1779" s="162"/>
      <c r="C1779" s="336"/>
    </row>
    <row r="1780">
      <c r="A1780" s="162"/>
      <c r="B1780" s="162"/>
      <c r="C1780" s="336"/>
    </row>
    <row r="1781">
      <c r="A1781" s="162"/>
      <c r="B1781" s="162"/>
      <c r="C1781" s="336"/>
    </row>
    <row r="1782">
      <c r="A1782" s="162"/>
      <c r="B1782" s="162"/>
      <c r="C1782" s="336"/>
    </row>
    <row r="1783">
      <c r="A1783" s="162"/>
      <c r="B1783" s="162"/>
      <c r="C1783" s="336"/>
    </row>
    <row r="1784">
      <c r="A1784" s="162"/>
      <c r="B1784" s="162"/>
      <c r="C1784" s="336"/>
    </row>
    <row r="1785">
      <c r="A1785" s="162"/>
      <c r="B1785" s="162"/>
      <c r="C1785" s="336"/>
    </row>
    <row r="1786">
      <c r="A1786" s="162"/>
      <c r="B1786" s="162"/>
      <c r="C1786" s="336"/>
    </row>
    <row r="1787">
      <c r="A1787" s="162"/>
      <c r="B1787" s="162"/>
      <c r="C1787" s="336"/>
    </row>
    <row r="1788">
      <c r="A1788" s="162"/>
      <c r="B1788" s="162"/>
      <c r="C1788" s="336"/>
    </row>
    <row r="1789">
      <c r="A1789" s="162"/>
      <c r="B1789" s="162"/>
      <c r="C1789" s="336"/>
    </row>
    <row r="1790">
      <c r="A1790" s="162"/>
      <c r="B1790" s="162"/>
      <c r="C1790" s="336"/>
    </row>
    <row r="1791">
      <c r="A1791" s="162"/>
      <c r="B1791" s="162"/>
      <c r="C1791" s="336"/>
    </row>
    <row r="1792">
      <c r="A1792" s="162"/>
      <c r="B1792" s="162"/>
      <c r="C1792" s="336"/>
    </row>
    <row r="1793">
      <c r="A1793" s="162"/>
      <c r="B1793" s="162"/>
      <c r="C1793" s="336"/>
    </row>
    <row r="1794">
      <c r="A1794" s="162"/>
      <c r="B1794" s="162"/>
      <c r="C1794" s="336"/>
    </row>
    <row r="1795">
      <c r="A1795" s="162"/>
      <c r="B1795" s="162"/>
      <c r="C1795" s="336"/>
    </row>
    <row r="1796">
      <c r="A1796" s="162"/>
      <c r="B1796" s="162"/>
      <c r="C1796" s="336"/>
    </row>
    <row r="1797">
      <c r="A1797" s="162"/>
      <c r="B1797" s="162"/>
      <c r="C1797" s="336"/>
    </row>
    <row r="1798">
      <c r="A1798" s="162"/>
      <c r="B1798" s="162"/>
      <c r="C1798" s="336"/>
    </row>
    <row r="1799">
      <c r="A1799" s="162"/>
      <c r="B1799" s="162"/>
      <c r="C1799" s="336"/>
    </row>
    <row r="1800">
      <c r="A1800" s="162"/>
      <c r="B1800" s="162"/>
      <c r="C1800" s="336"/>
    </row>
    <row r="1801">
      <c r="A1801" s="162"/>
      <c r="B1801" s="162"/>
      <c r="C1801" s="336"/>
    </row>
    <row r="1802">
      <c r="A1802" s="162"/>
      <c r="B1802" s="162"/>
      <c r="C1802" s="336"/>
    </row>
    <row r="1803">
      <c r="A1803" s="162"/>
      <c r="B1803" s="162"/>
      <c r="C1803" s="336"/>
    </row>
    <row r="1804">
      <c r="A1804" s="162"/>
      <c r="B1804" s="162"/>
      <c r="C1804" s="336"/>
    </row>
    <row r="1805">
      <c r="A1805" s="162"/>
      <c r="B1805" s="162"/>
      <c r="C1805" s="336"/>
    </row>
    <row r="1806">
      <c r="A1806" s="162"/>
      <c r="B1806" s="162"/>
      <c r="C1806" s="336"/>
    </row>
    <row r="1807">
      <c r="A1807" s="162"/>
      <c r="B1807" s="162"/>
      <c r="C1807" s="336"/>
    </row>
    <row r="1808">
      <c r="A1808" s="162"/>
      <c r="B1808" s="162"/>
      <c r="C1808" s="336"/>
    </row>
    <row r="1809">
      <c r="A1809" s="162"/>
      <c r="B1809" s="162"/>
      <c r="C1809" s="336"/>
    </row>
    <row r="1810">
      <c r="A1810" s="162"/>
      <c r="B1810" s="162"/>
      <c r="C1810" s="336"/>
    </row>
    <row r="1811">
      <c r="A1811" s="162"/>
      <c r="B1811" s="162"/>
      <c r="C1811" s="336"/>
    </row>
    <row r="1812">
      <c r="A1812" s="162"/>
      <c r="B1812" s="162"/>
      <c r="C1812" s="336"/>
    </row>
    <row r="1813">
      <c r="A1813" s="162"/>
      <c r="B1813" s="162"/>
      <c r="C1813" s="336"/>
    </row>
    <row r="1814">
      <c r="A1814" s="162"/>
      <c r="B1814" s="162"/>
      <c r="C1814" s="336"/>
    </row>
    <row r="1815">
      <c r="A1815" s="162"/>
      <c r="B1815" s="162"/>
      <c r="C1815" s="336"/>
    </row>
    <row r="1816">
      <c r="A1816" s="162"/>
      <c r="B1816" s="162"/>
      <c r="C1816" s="336"/>
    </row>
    <row r="1817">
      <c r="A1817" s="162"/>
      <c r="B1817" s="162"/>
      <c r="C1817" s="336"/>
    </row>
    <row r="1818">
      <c r="A1818" s="162"/>
      <c r="B1818" s="162"/>
      <c r="C1818" s="336"/>
    </row>
    <row r="1819">
      <c r="A1819" s="162"/>
      <c r="B1819" s="162"/>
      <c r="C1819" s="336"/>
    </row>
    <row r="1820">
      <c r="A1820" s="162"/>
      <c r="B1820" s="162"/>
      <c r="C1820" s="336"/>
    </row>
    <row r="1821">
      <c r="A1821" s="162"/>
      <c r="B1821" s="162"/>
      <c r="C1821" s="336"/>
    </row>
    <row r="1822">
      <c r="A1822" s="162"/>
      <c r="B1822" s="162"/>
      <c r="C1822" s="336"/>
    </row>
    <row r="1823">
      <c r="A1823" s="162"/>
      <c r="B1823" s="162"/>
      <c r="C1823" s="336"/>
    </row>
    <row r="1824">
      <c r="A1824" s="162"/>
      <c r="B1824" s="162"/>
      <c r="C1824" s="336"/>
    </row>
    <row r="1825">
      <c r="A1825" s="162"/>
      <c r="B1825" s="162"/>
      <c r="C1825" s="336"/>
    </row>
    <row r="1826">
      <c r="A1826" s="162"/>
      <c r="B1826" s="162"/>
      <c r="C1826" s="336"/>
    </row>
    <row r="1827">
      <c r="A1827" s="162"/>
      <c r="B1827" s="162"/>
      <c r="C1827" s="336"/>
    </row>
    <row r="1828">
      <c r="A1828" s="162"/>
      <c r="B1828" s="162"/>
      <c r="C1828" s="336"/>
    </row>
    <row r="1829">
      <c r="A1829" s="162"/>
      <c r="B1829" s="162"/>
      <c r="C1829" s="336"/>
    </row>
    <row r="1830">
      <c r="A1830" s="162"/>
      <c r="B1830" s="162"/>
      <c r="C1830" s="336"/>
    </row>
    <row r="1831">
      <c r="A1831" s="162"/>
      <c r="B1831" s="162"/>
      <c r="C1831" s="336"/>
    </row>
    <row r="1832">
      <c r="A1832" s="162"/>
      <c r="B1832" s="162"/>
      <c r="C1832" s="336"/>
    </row>
    <row r="1833">
      <c r="A1833" s="162"/>
      <c r="B1833" s="162"/>
      <c r="C1833" s="336"/>
    </row>
    <row r="1834">
      <c r="A1834" s="162"/>
      <c r="B1834" s="162"/>
      <c r="C1834" s="336"/>
    </row>
    <row r="1835">
      <c r="A1835" s="162"/>
      <c r="B1835" s="162"/>
      <c r="C1835" s="336"/>
    </row>
    <row r="1836">
      <c r="A1836" s="162"/>
      <c r="B1836" s="162"/>
      <c r="C1836" s="336"/>
    </row>
    <row r="1837">
      <c r="A1837" s="162"/>
      <c r="B1837" s="162"/>
      <c r="C1837" s="336"/>
    </row>
    <row r="1838">
      <c r="A1838" s="162"/>
      <c r="B1838" s="162"/>
      <c r="C1838" s="336"/>
    </row>
    <row r="1839">
      <c r="A1839" s="162"/>
      <c r="B1839" s="162"/>
      <c r="C1839" s="336"/>
    </row>
    <row r="1840">
      <c r="A1840" s="162"/>
      <c r="B1840" s="162"/>
      <c r="C1840" s="336"/>
    </row>
    <row r="1841">
      <c r="A1841" s="162"/>
      <c r="B1841" s="162"/>
      <c r="C1841" s="336"/>
    </row>
    <row r="1842">
      <c r="A1842" s="162"/>
      <c r="B1842" s="162"/>
      <c r="C1842" s="336"/>
    </row>
    <row r="1843">
      <c r="A1843" s="162"/>
      <c r="B1843" s="162"/>
      <c r="C1843" s="336"/>
    </row>
    <row r="1844">
      <c r="A1844" s="162"/>
      <c r="B1844" s="162"/>
      <c r="C1844" s="336"/>
    </row>
    <row r="1845">
      <c r="A1845" s="162"/>
      <c r="B1845" s="162"/>
      <c r="C1845" s="336"/>
    </row>
    <row r="1846">
      <c r="A1846" s="162"/>
      <c r="B1846" s="162"/>
      <c r="C1846" s="336"/>
    </row>
    <row r="1847">
      <c r="A1847" s="162"/>
      <c r="B1847" s="162"/>
      <c r="C1847" s="336"/>
    </row>
    <row r="1848">
      <c r="A1848" s="162"/>
      <c r="B1848" s="162"/>
      <c r="C1848" s="336"/>
    </row>
    <row r="1849">
      <c r="A1849" s="162"/>
      <c r="B1849" s="162"/>
      <c r="C1849" s="336"/>
    </row>
    <row r="1850">
      <c r="A1850" s="162"/>
      <c r="B1850" s="162"/>
      <c r="C1850" s="336"/>
    </row>
    <row r="1851">
      <c r="A1851" s="162"/>
      <c r="B1851" s="162"/>
      <c r="C1851" s="336"/>
    </row>
    <row r="1852">
      <c r="A1852" s="162"/>
      <c r="B1852" s="162"/>
      <c r="C1852" s="336"/>
    </row>
    <row r="1853">
      <c r="A1853" s="162"/>
      <c r="B1853" s="162"/>
      <c r="C1853" s="336"/>
    </row>
    <row r="1854">
      <c r="A1854" s="162"/>
      <c r="B1854" s="162"/>
      <c r="C1854" s="336"/>
    </row>
    <row r="1855">
      <c r="A1855" s="162"/>
      <c r="B1855" s="162"/>
      <c r="C1855" s="336"/>
    </row>
    <row r="1856">
      <c r="A1856" s="162"/>
      <c r="B1856" s="162"/>
      <c r="C1856" s="336"/>
    </row>
    <row r="1857">
      <c r="A1857" s="162"/>
      <c r="B1857" s="162"/>
      <c r="C1857" s="336"/>
    </row>
    <row r="1858">
      <c r="A1858" s="162"/>
      <c r="B1858" s="162"/>
      <c r="C1858" s="336"/>
    </row>
    <row r="1859">
      <c r="A1859" s="162"/>
      <c r="B1859" s="162"/>
      <c r="C1859" s="336"/>
    </row>
    <row r="1860">
      <c r="A1860" s="162"/>
      <c r="B1860" s="162"/>
      <c r="C1860" s="336"/>
    </row>
    <row r="1861">
      <c r="A1861" s="162"/>
      <c r="B1861" s="162"/>
      <c r="C1861" s="336"/>
    </row>
    <row r="1862">
      <c r="A1862" s="162"/>
      <c r="B1862" s="162"/>
      <c r="C1862" s="336"/>
    </row>
    <row r="1863">
      <c r="A1863" s="162"/>
      <c r="B1863" s="162"/>
      <c r="C1863" s="336"/>
    </row>
    <row r="1864">
      <c r="A1864" s="162"/>
      <c r="B1864" s="162"/>
      <c r="C1864" s="336"/>
    </row>
    <row r="1865">
      <c r="A1865" s="162"/>
      <c r="B1865" s="162"/>
      <c r="C1865" s="336"/>
    </row>
    <row r="1866">
      <c r="A1866" s="162"/>
      <c r="B1866" s="162"/>
      <c r="C1866" s="336"/>
    </row>
    <row r="1867">
      <c r="A1867" s="162"/>
      <c r="B1867" s="162"/>
      <c r="C1867" s="336"/>
    </row>
    <row r="1868">
      <c r="A1868" s="162"/>
      <c r="B1868" s="162"/>
      <c r="C1868" s="336"/>
    </row>
    <row r="1869">
      <c r="A1869" s="162"/>
      <c r="B1869" s="162"/>
      <c r="C1869" s="336"/>
    </row>
    <row r="1870">
      <c r="A1870" s="162"/>
      <c r="B1870" s="162"/>
      <c r="C1870" s="336"/>
    </row>
    <row r="1871">
      <c r="A1871" s="162"/>
      <c r="B1871" s="162"/>
      <c r="C1871" s="336"/>
    </row>
    <row r="1872">
      <c r="A1872" s="162"/>
      <c r="B1872" s="162"/>
      <c r="C1872" s="336"/>
    </row>
    <row r="1873">
      <c r="A1873" s="162"/>
      <c r="B1873" s="162"/>
      <c r="C1873" s="336"/>
    </row>
    <row r="1874">
      <c r="A1874" s="162"/>
      <c r="B1874" s="162"/>
      <c r="C1874" s="336"/>
    </row>
    <row r="1875">
      <c r="A1875" s="162"/>
      <c r="B1875" s="162"/>
      <c r="C1875" s="336"/>
    </row>
    <row r="1876">
      <c r="A1876" s="162"/>
      <c r="B1876" s="162"/>
      <c r="C1876" s="336"/>
    </row>
    <row r="1877">
      <c r="A1877" s="162"/>
      <c r="B1877" s="162"/>
      <c r="C1877" s="336"/>
    </row>
    <row r="1878">
      <c r="A1878" s="162"/>
      <c r="B1878" s="162"/>
      <c r="C1878" s="336"/>
    </row>
    <row r="1879">
      <c r="A1879" s="162"/>
      <c r="B1879" s="162"/>
      <c r="C1879" s="336"/>
    </row>
    <row r="1880">
      <c r="A1880" s="162"/>
      <c r="B1880" s="162"/>
      <c r="C1880" s="336"/>
    </row>
    <row r="1881">
      <c r="A1881" s="162"/>
      <c r="B1881" s="162"/>
      <c r="C1881" s="336"/>
    </row>
    <row r="1882">
      <c r="A1882" s="162"/>
      <c r="B1882" s="162"/>
      <c r="C1882" s="336"/>
    </row>
    <row r="1883">
      <c r="A1883" s="162"/>
      <c r="B1883" s="162"/>
      <c r="C1883" s="336"/>
    </row>
    <row r="1884">
      <c r="A1884" s="162"/>
      <c r="B1884" s="162"/>
      <c r="C1884" s="336"/>
    </row>
    <row r="1885">
      <c r="A1885" s="162"/>
      <c r="B1885" s="162"/>
      <c r="C1885" s="336"/>
    </row>
    <row r="1886">
      <c r="A1886" s="162"/>
      <c r="B1886" s="162"/>
      <c r="C1886" s="336"/>
    </row>
    <row r="1887">
      <c r="A1887" s="162"/>
      <c r="B1887" s="162"/>
      <c r="C1887" s="336"/>
    </row>
    <row r="1888">
      <c r="A1888" s="162"/>
      <c r="B1888" s="162"/>
      <c r="C1888" s="336"/>
    </row>
    <row r="1889">
      <c r="A1889" s="162"/>
      <c r="B1889" s="162"/>
      <c r="C1889" s="336"/>
    </row>
    <row r="1890">
      <c r="A1890" s="162"/>
      <c r="B1890" s="162"/>
      <c r="C1890" s="336"/>
    </row>
    <row r="1891">
      <c r="A1891" s="162"/>
      <c r="B1891" s="162"/>
      <c r="C1891" s="336"/>
    </row>
    <row r="1892">
      <c r="A1892" s="162"/>
      <c r="B1892" s="162"/>
      <c r="C1892" s="336"/>
    </row>
    <row r="1893">
      <c r="A1893" s="162"/>
      <c r="B1893" s="162"/>
      <c r="C1893" s="336"/>
    </row>
    <row r="1894">
      <c r="A1894" s="162"/>
      <c r="B1894" s="162"/>
      <c r="C1894" s="336"/>
    </row>
    <row r="1895">
      <c r="A1895" s="162"/>
      <c r="B1895" s="162"/>
      <c r="C1895" s="336"/>
    </row>
    <row r="1896">
      <c r="A1896" s="162"/>
      <c r="B1896" s="162"/>
      <c r="C1896" s="336"/>
    </row>
    <row r="1897">
      <c r="A1897" s="162"/>
      <c r="B1897" s="162"/>
      <c r="C1897" s="336"/>
    </row>
    <row r="1898">
      <c r="A1898" s="162"/>
      <c r="B1898" s="162"/>
      <c r="C1898" s="336"/>
    </row>
    <row r="1899">
      <c r="A1899" s="162"/>
      <c r="B1899" s="162"/>
      <c r="C1899" s="336"/>
    </row>
    <row r="1900">
      <c r="A1900" s="162"/>
      <c r="B1900" s="162"/>
      <c r="C1900" s="336"/>
    </row>
    <row r="1901">
      <c r="A1901" s="162"/>
      <c r="B1901" s="162"/>
      <c r="C1901" s="336"/>
    </row>
    <row r="1902">
      <c r="A1902" s="162"/>
      <c r="B1902" s="162"/>
      <c r="C1902" s="336"/>
    </row>
    <row r="1903">
      <c r="A1903" s="162"/>
      <c r="B1903" s="162"/>
      <c r="C1903" s="336"/>
    </row>
    <row r="1904">
      <c r="A1904" s="162"/>
      <c r="B1904" s="162"/>
      <c r="C1904" s="336"/>
    </row>
    <row r="1905">
      <c r="A1905" s="162"/>
      <c r="B1905" s="162"/>
      <c r="C1905" s="336"/>
    </row>
    <row r="1906">
      <c r="A1906" s="162"/>
      <c r="B1906" s="162"/>
      <c r="C1906" s="336"/>
    </row>
    <row r="1907">
      <c r="A1907" s="162"/>
      <c r="B1907" s="162"/>
      <c r="C1907" s="336"/>
    </row>
    <row r="1908">
      <c r="A1908" s="162"/>
      <c r="B1908" s="162"/>
      <c r="C1908" s="336"/>
    </row>
    <row r="1909">
      <c r="A1909" s="162"/>
      <c r="B1909" s="162"/>
      <c r="C1909" s="336"/>
    </row>
    <row r="1910">
      <c r="A1910" s="162"/>
      <c r="B1910" s="162"/>
      <c r="C1910" s="336"/>
    </row>
    <row r="1911">
      <c r="A1911" s="162"/>
      <c r="B1911" s="162"/>
      <c r="C1911" s="336"/>
    </row>
    <row r="1912">
      <c r="A1912" s="162"/>
      <c r="B1912" s="162"/>
      <c r="C1912" s="336"/>
    </row>
    <row r="1913">
      <c r="A1913" s="162"/>
      <c r="B1913" s="162"/>
      <c r="C1913" s="336"/>
    </row>
    <row r="1914">
      <c r="A1914" s="162"/>
      <c r="B1914" s="162"/>
      <c r="C1914" s="336"/>
    </row>
    <row r="1915">
      <c r="A1915" s="162"/>
      <c r="B1915" s="162"/>
      <c r="C1915" s="336"/>
    </row>
    <row r="1916">
      <c r="A1916" s="162"/>
      <c r="B1916" s="162"/>
      <c r="C1916" s="336"/>
    </row>
    <row r="1917">
      <c r="A1917" s="162"/>
      <c r="B1917" s="162"/>
      <c r="C1917" s="336"/>
    </row>
    <row r="1918">
      <c r="A1918" s="162"/>
      <c r="B1918" s="162"/>
      <c r="C1918" s="336"/>
    </row>
    <row r="1919">
      <c r="A1919" s="162"/>
      <c r="B1919" s="162"/>
      <c r="C1919" s="336"/>
    </row>
    <row r="1920">
      <c r="A1920" s="162"/>
      <c r="B1920" s="162"/>
      <c r="C1920" s="336"/>
    </row>
    <row r="1921">
      <c r="A1921" s="162"/>
      <c r="B1921" s="162"/>
      <c r="C1921" s="336"/>
    </row>
    <row r="1922">
      <c r="A1922" s="162"/>
      <c r="B1922" s="162"/>
      <c r="C1922" s="336"/>
    </row>
    <row r="1923">
      <c r="A1923" s="162"/>
      <c r="B1923" s="162"/>
      <c r="C1923" s="336"/>
    </row>
    <row r="1924">
      <c r="A1924" s="162"/>
      <c r="B1924" s="162"/>
      <c r="C1924" s="336"/>
    </row>
    <row r="1925">
      <c r="A1925" s="162"/>
      <c r="B1925" s="162"/>
      <c r="C1925" s="336"/>
    </row>
    <row r="1926">
      <c r="A1926" s="162"/>
      <c r="B1926" s="162"/>
      <c r="C1926" s="336"/>
    </row>
    <row r="1927">
      <c r="A1927" s="162"/>
      <c r="B1927" s="162"/>
      <c r="C1927" s="336"/>
    </row>
    <row r="1928">
      <c r="A1928" s="162"/>
      <c r="B1928" s="162"/>
      <c r="C1928" s="336"/>
    </row>
    <row r="1929">
      <c r="A1929" s="162"/>
      <c r="B1929" s="162"/>
      <c r="C1929" s="336"/>
    </row>
    <row r="1930">
      <c r="A1930" s="162"/>
      <c r="B1930" s="162"/>
      <c r="C1930" s="336"/>
    </row>
    <row r="1931">
      <c r="A1931" s="162"/>
      <c r="B1931" s="162"/>
      <c r="C1931" s="336"/>
    </row>
    <row r="1932">
      <c r="A1932" s="162"/>
      <c r="B1932" s="162"/>
      <c r="C1932" s="336"/>
    </row>
    <row r="1933">
      <c r="A1933" s="162"/>
      <c r="B1933" s="162"/>
      <c r="C1933" s="336"/>
    </row>
    <row r="1934">
      <c r="A1934" s="162"/>
      <c r="B1934" s="162"/>
      <c r="C1934" s="336"/>
    </row>
    <row r="1935">
      <c r="A1935" s="162"/>
      <c r="B1935" s="162"/>
      <c r="C1935" s="336"/>
    </row>
    <row r="1936">
      <c r="A1936" s="162"/>
      <c r="B1936" s="162"/>
      <c r="C1936" s="336"/>
    </row>
    <row r="1937">
      <c r="A1937" s="162"/>
      <c r="B1937" s="162"/>
      <c r="C1937" s="336"/>
    </row>
    <row r="1938">
      <c r="A1938" s="162"/>
      <c r="B1938" s="162"/>
      <c r="C1938" s="336"/>
    </row>
    <row r="1939">
      <c r="A1939" s="162"/>
      <c r="B1939" s="162"/>
      <c r="C1939" s="336"/>
    </row>
    <row r="1940">
      <c r="A1940" s="162"/>
      <c r="B1940" s="162"/>
      <c r="C1940" s="336"/>
    </row>
    <row r="1941">
      <c r="A1941" s="162"/>
      <c r="B1941" s="162"/>
      <c r="C1941" s="336"/>
    </row>
    <row r="1942">
      <c r="A1942" s="162"/>
      <c r="B1942" s="162"/>
      <c r="C1942" s="336"/>
    </row>
    <row r="1943">
      <c r="A1943" s="162"/>
      <c r="B1943" s="162"/>
      <c r="C1943" s="336"/>
    </row>
    <row r="1944">
      <c r="A1944" s="162"/>
      <c r="B1944" s="162"/>
      <c r="C1944" s="336"/>
    </row>
    <row r="1945">
      <c r="A1945" s="162"/>
      <c r="B1945" s="162"/>
      <c r="C1945" s="336"/>
    </row>
    <row r="1946">
      <c r="A1946" s="162"/>
      <c r="B1946" s="162"/>
      <c r="C1946" s="336"/>
    </row>
    <row r="1947">
      <c r="A1947" s="162"/>
      <c r="B1947" s="162"/>
      <c r="C1947" s="336"/>
    </row>
    <row r="1948">
      <c r="A1948" s="162"/>
      <c r="B1948" s="162"/>
      <c r="C1948" s="336"/>
    </row>
    <row r="1949">
      <c r="A1949" s="162"/>
      <c r="B1949" s="162"/>
      <c r="C1949" s="336"/>
    </row>
    <row r="1950">
      <c r="A1950" s="162"/>
      <c r="B1950" s="162"/>
      <c r="C1950" s="336"/>
    </row>
    <row r="1951">
      <c r="A1951" s="162"/>
      <c r="B1951" s="162"/>
      <c r="C1951" s="336"/>
    </row>
    <row r="1952">
      <c r="A1952" s="162"/>
      <c r="B1952" s="162"/>
      <c r="C1952" s="336"/>
    </row>
    <row r="1953">
      <c r="A1953" s="162"/>
      <c r="B1953" s="162"/>
      <c r="C1953" s="336"/>
    </row>
    <row r="1954">
      <c r="A1954" s="162"/>
      <c r="B1954" s="162"/>
      <c r="C1954" s="336"/>
    </row>
    <row r="1955">
      <c r="A1955" s="162"/>
      <c r="B1955" s="162"/>
      <c r="C1955" s="336"/>
    </row>
    <row r="1956">
      <c r="A1956" s="162"/>
      <c r="B1956" s="162"/>
      <c r="C1956" s="336"/>
    </row>
    <row r="1957">
      <c r="A1957" s="162"/>
      <c r="B1957" s="162"/>
      <c r="C1957" s="336"/>
    </row>
    <row r="1958">
      <c r="A1958" s="162"/>
      <c r="B1958" s="162"/>
      <c r="C1958" s="336"/>
    </row>
    <row r="1959">
      <c r="A1959" s="162"/>
      <c r="B1959" s="162"/>
      <c r="C1959" s="336"/>
    </row>
    <row r="1960">
      <c r="A1960" s="162"/>
      <c r="B1960" s="162"/>
      <c r="C1960" s="336"/>
    </row>
    <row r="1961">
      <c r="A1961" s="162"/>
      <c r="B1961" s="162"/>
      <c r="C1961" s="336"/>
    </row>
    <row r="1962">
      <c r="A1962" s="162"/>
      <c r="B1962" s="162"/>
      <c r="C1962" s="336"/>
    </row>
    <row r="1963">
      <c r="A1963" s="162"/>
      <c r="B1963" s="162"/>
      <c r="C1963" s="336"/>
    </row>
    <row r="1964">
      <c r="A1964" s="162"/>
      <c r="B1964" s="162"/>
      <c r="C1964" s="336"/>
    </row>
    <row r="1965">
      <c r="A1965" s="162"/>
      <c r="B1965" s="162"/>
      <c r="C1965" s="336"/>
    </row>
    <row r="1966">
      <c r="A1966" s="162"/>
      <c r="B1966" s="162"/>
      <c r="C1966" s="336"/>
    </row>
    <row r="1967">
      <c r="A1967" s="162"/>
      <c r="B1967" s="162"/>
      <c r="C1967" s="336"/>
    </row>
    <row r="1968">
      <c r="A1968" s="162"/>
      <c r="B1968" s="162"/>
      <c r="C1968" s="336"/>
    </row>
    <row r="1969">
      <c r="A1969" s="162"/>
      <c r="B1969" s="162"/>
      <c r="C1969" s="336"/>
    </row>
    <row r="1970">
      <c r="A1970" s="162"/>
      <c r="B1970" s="162"/>
      <c r="C1970" s="336"/>
    </row>
    <row r="1971">
      <c r="A1971" s="162"/>
      <c r="B1971" s="162"/>
      <c r="C1971" s="336"/>
    </row>
    <row r="1972">
      <c r="A1972" s="162"/>
      <c r="B1972" s="162"/>
      <c r="C1972" s="336"/>
    </row>
    <row r="1973">
      <c r="A1973" s="162"/>
      <c r="B1973" s="162"/>
      <c r="C1973" s="336"/>
    </row>
    <row r="1974">
      <c r="A1974" s="162"/>
      <c r="B1974" s="162"/>
      <c r="C1974" s="336"/>
    </row>
    <row r="1975">
      <c r="A1975" s="162"/>
      <c r="B1975" s="162"/>
      <c r="C1975" s="336"/>
    </row>
    <row r="1976">
      <c r="A1976" s="162"/>
      <c r="B1976" s="162"/>
      <c r="C1976" s="336"/>
    </row>
    <row r="1977">
      <c r="A1977" s="162"/>
      <c r="B1977" s="162"/>
      <c r="C1977" s="336"/>
    </row>
    <row r="1978">
      <c r="A1978" s="162"/>
      <c r="B1978" s="162"/>
      <c r="C1978" s="336"/>
    </row>
    <row r="1979">
      <c r="A1979" s="162"/>
      <c r="B1979" s="162"/>
      <c r="C1979" s="336"/>
    </row>
    <row r="1980">
      <c r="A1980" s="162"/>
      <c r="B1980" s="162"/>
      <c r="C1980" s="336"/>
    </row>
    <row r="1981">
      <c r="A1981" s="162"/>
      <c r="B1981" s="162"/>
      <c r="C1981" s="336"/>
    </row>
    <row r="1982">
      <c r="A1982" s="162"/>
      <c r="B1982" s="162"/>
      <c r="C1982" s="336"/>
    </row>
    <row r="1983">
      <c r="A1983" s="162"/>
      <c r="B1983" s="162"/>
      <c r="C1983" s="336"/>
    </row>
    <row r="1984">
      <c r="A1984" s="162"/>
      <c r="B1984" s="162"/>
      <c r="C1984" s="336"/>
    </row>
    <row r="1985">
      <c r="A1985" s="162"/>
      <c r="B1985" s="162"/>
      <c r="C1985" s="336"/>
    </row>
    <row r="1986">
      <c r="A1986" s="162"/>
      <c r="B1986" s="162"/>
      <c r="C1986" s="336"/>
    </row>
    <row r="1987">
      <c r="A1987" s="162"/>
      <c r="B1987" s="162"/>
      <c r="C1987" s="336"/>
    </row>
    <row r="1988">
      <c r="A1988" s="162"/>
      <c r="B1988" s="162"/>
      <c r="C1988" s="336"/>
    </row>
    <row r="1989">
      <c r="A1989" s="162"/>
      <c r="B1989" s="162"/>
      <c r="C1989" s="336"/>
    </row>
    <row r="1990">
      <c r="A1990" s="162"/>
      <c r="B1990" s="162"/>
      <c r="C1990" s="336"/>
    </row>
    <row r="1991">
      <c r="A1991" s="162"/>
      <c r="B1991" s="162"/>
      <c r="C1991" s="336"/>
    </row>
    <row r="1992">
      <c r="A1992" s="162"/>
      <c r="B1992" s="162"/>
      <c r="C1992" s="336"/>
    </row>
    <row r="1993">
      <c r="A1993" s="162"/>
      <c r="B1993" s="162"/>
      <c r="C1993" s="336"/>
    </row>
    <row r="1994">
      <c r="A1994" s="162"/>
      <c r="B1994" s="162"/>
      <c r="C1994" s="336"/>
    </row>
    <row r="1995">
      <c r="A1995" s="162"/>
      <c r="B1995" s="162"/>
      <c r="C1995" s="336"/>
    </row>
    <row r="1996">
      <c r="A1996" s="162"/>
      <c r="B1996" s="162"/>
      <c r="C1996" s="336"/>
    </row>
    <row r="1997">
      <c r="A1997" s="162"/>
      <c r="B1997" s="162"/>
      <c r="C1997" s="336"/>
    </row>
    <row r="1998">
      <c r="A1998" s="162"/>
      <c r="B1998" s="162"/>
      <c r="C1998" s="336"/>
    </row>
    <row r="1999">
      <c r="A1999" s="162"/>
      <c r="B1999" s="162"/>
      <c r="C1999" s="336"/>
    </row>
    <row r="2000">
      <c r="A2000" s="162"/>
      <c r="B2000" s="162"/>
      <c r="C2000" s="336"/>
    </row>
    <row r="2001">
      <c r="A2001" s="162"/>
      <c r="B2001" s="162"/>
      <c r="C2001" s="336"/>
    </row>
    <row r="2002">
      <c r="A2002" s="162"/>
      <c r="B2002" s="162"/>
      <c r="C2002" s="336"/>
    </row>
    <row r="2003">
      <c r="A2003" s="162"/>
      <c r="B2003" s="162"/>
      <c r="C2003" s="336"/>
    </row>
    <row r="2004">
      <c r="A2004" s="162"/>
      <c r="B2004" s="162"/>
      <c r="C2004" s="336"/>
    </row>
    <row r="2005">
      <c r="A2005" s="162"/>
      <c r="B2005" s="162"/>
      <c r="C2005" s="336"/>
    </row>
    <row r="2006">
      <c r="A2006" s="162"/>
      <c r="B2006" s="162"/>
      <c r="C2006" s="336"/>
    </row>
    <row r="2007">
      <c r="A2007" s="162"/>
      <c r="B2007" s="162"/>
      <c r="C2007" s="336"/>
    </row>
    <row r="2008">
      <c r="A2008" s="162"/>
      <c r="B2008" s="162"/>
      <c r="C2008" s="336"/>
    </row>
    <row r="2009">
      <c r="A2009" s="162"/>
      <c r="B2009" s="162"/>
      <c r="C2009" s="336"/>
    </row>
    <row r="2010">
      <c r="A2010" s="162"/>
      <c r="B2010" s="162"/>
      <c r="C2010" s="336"/>
    </row>
    <row r="2011">
      <c r="A2011" s="162"/>
      <c r="B2011" s="162"/>
      <c r="C2011" s="336"/>
    </row>
    <row r="2012">
      <c r="A2012" s="162"/>
      <c r="B2012" s="162"/>
      <c r="C2012" s="336"/>
    </row>
    <row r="2013">
      <c r="A2013" s="162"/>
      <c r="B2013" s="162"/>
      <c r="C2013" s="336"/>
    </row>
    <row r="2014">
      <c r="A2014" s="162"/>
      <c r="B2014" s="162"/>
      <c r="C2014" s="336"/>
    </row>
    <row r="2015">
      <c r="A2015" s="162"/>
      <c r="B2015" s="162"/>
      <c r="C2015" s="336"/>
    </row>
    <row r="2016">
      <c r="A2016" s="162"/>
      <c r="B2016" s="162"/>
      <c r="C2016" s="336"/>
    </row>
    <row r="2017">
      <c r="A2017" s="162"/>
      <c r="B2017" s="162"/>
      <c r="C2017" s="336"/>
    </row>
    <row r="2018">
      <c r="A2018" s="162"/>
      <c r="B2018" s="162"/>
      <c r="C2018" s="336"/>
    </row>
    <row r="2019">
      <c r="A2019" s="162"/>
      <c r="B2019" s="162"/>
      <c r="C2019" s="336"/>
    </row>
    <row r="2020">
      <c r="A2020" s="162"/>
      <c r="B2020" s="162"/>
      <c r="C2020" s="336"/>
    </row>
    <row r="2021">
      <c r="A2021" s="162"/>
      <c r="B2021" s="162"/>
      <c r="C2021" s="336"/>
    </row>
    <row r="2022">
      <c r="A2022" s="162"/>
      <c r="B2022" s="162"/>
      <c r="C2022" s="336"/>
    </row>
    <row r="2023">
      <c r="A2023" s="162"/>
      <c r="B2023" s="162"/>
      <c r="C2023" s="336"/>
    </row>
    <row r="2024">
      <c r="A2024" s="162"/>
      <c r="B2024" s="162"/>
      <c r="C2024" s="336"/>
    </row>
    <row r="2025">
      <c r="A2025" s="162"/>
      <c r="B2025" s="162"/>
      <c r="C2025" s="336"/>
    </row>
    <row r="2026">
      <c r="A2026" s="162"/>
      <c r="B2026" s="162"/>
      <c r="C2026" s="336"/>
    </row>
    <row r="2027">
      <c r="A2027" s="162"/>
      <c r="B2027" s="162"/>
      <c r="C2027" s="336"/>
    </row>
    <row r="2028">
      <c r="A2028" s="162"/>
      <c r="B2028" s="162"/>
      <c r="C2028" s="336"/>
    </row>
    <row r="2029">
      <c r="A2029" s="162"/>
      <c r="B2029" s="162"/>
      <c r="C2029" s="336"/>
    </row>
    <row r="2030">
      <c r="A2030" s="162"/>
      <c r="B2030" s="162"/>
      <c r="C2030" s="336"/>
    </row>
    <row r="2031">
      <c r="A2031" s="162"/>
      <c r="B2031" s="162"/>
      <c r="C2031" s="336"/>
    </row>
    <row r="2032">
      <c r="A2032" s="162"/>
      <c r="B2032" s="162"/>
      <c r="C2032" s="336"/>
    </row>
    <row r="2033">
      <c r="A2033" s="162"/>
      <c r="B2033" s="162"/>
      <c r="C2033" s="336"/>
    </row>
    <row r="2034">
      <c r="A2034" s="162"/>
      <c r="B2034" s="162"/>
      <c r="C2034" s="336"/>
    </row>
    <row r="2035">
      <c r="A2035" s="162"/>
      <c r="B2035" s="162"/>
      <c r="C2035" s="336"/>
    </row>
    <row r="2036">
      <c r="A2036" s="162"/>
      <c r="B2036" s="162"/>
      <c r="C2036" s="336"/>
    </row>
    <row r="2037">
      <c r="A2037" s="162"/>
      <c r="B2037" s="162"/>
      <c r="C2037" s="336"/>
    </row>
    <row r="2038">
      <c r="A2038" s="162"/>
      <c r="B2038" s="162"/>
      <c r="C2038" s="336"/>
    </row>
    <row r="2039">
      <c r="A2039" s="162"/>
      <c r="B2039" s="162"/>
      <c r="C2039" s="336"/>
    </row>
    <row r="2040">
      <c r="A2040" s="162"/>
      <c r="B2040" s="162"/>
      <c r="C2040" s="336"/>
    </row>
    <row r="2041">
      <c r="A2041" s="162"/>
      <c r="B2041" s="162"/>
      <c r="C2041" s="336"/>
    </row>
    <row r="2042">
      <c r="A2042" s="162"/>
      <c r="B2042" s="162"/>
      <c r="C2042" s="336"/>
    </row>
    <row r="2043">
      <c r="A2043" s="162"/>
      <c r="B2043" s="162"/>
      <c r="C2043" s="336"/>
    </row>
    <row r="2044">
      <c r="A2044" s="162"/>
      <c r="B2044" s="162"/>
      <c r="C2044" s="336"/>
    </row>
    <row r="2045">
      <c r="A2045" s="162"/>
      <c r="B2045" s="162"/>
      <c r="C2045" s="336"/>
    </row>
    <row r="2046">
      <c r="A2046" s="162"/>
      <c r="B2046" s="162"/>
      <c r="C2046" s="336"/>
    </row>
    <row r="2047">
      <c r="A2047" s="162"/>
      <c r="B2047" s="162"/>
      <c r="C2047" s="336"/>
    </row>
    <row r="2048">
      <c r="A2048" s="162"/>
      <c r="B2048" s="162"/>
      <c r="C2048" s="336"/>
    </row>
    <row r="2049">
      <c r="A2049" s="162"/>
      <c r="B2049" s="162"/>
      <c r="C2049" s="336"/>
    </row>
    <row r="2050">
      <c r="A2050" s="162"/>
      <c r="B2050" s="162"/>
      <c r="C2050" s="336"/>
    </row>
    <row r="2051">
      <c r="A2051" s="162"/>
      <c r="B2051" s="162"/>
      <c r="C2051" s="336"/>
    </row>
    <row r="2052">
      <c r="A2052" s="162"/>
      <c r="B2052" s="162"/>
      <c r="C2052" s="336"/>
    </row>
    <row r="2053">
      <c r="A2053" s="162"/>
      <c r="B2053" s="162"/>
      <c r="C2053" s="336"/>
    </row>
    <row r="2054">
      <c r="A2054" s="162"/>
      <c r="B2054" s="162"/>
      <c r="C2054" s="336"/>
    </row>
    <row r="2055">
      <c r="A2055" s="162"/>
      <c r="B2055" s="162"/>
      <c r="C2055" s="336"/>
    </row>
    <row r="2056">
      <c r="A2056" s="162"/>
      <c r="B2056" s="162"/>
      <c r="C2056" s="336"/>
    </row>
    <row r="2057">
      <c r="A2057" s="162"/>
      <c r="B2057" s="162"/>
      <c r="C2057" s="336"/>
    </row>
    <row r="2058">
      <c r="A2058" s="162"/>
      <c r="B2058" s="162"/>
      <c r="C2058" s="336"/>
    </row>
    <row r="2059">
      <c r="A2059" s="162"/>
      <c r="B2059" s="162"/>
      <c r="C2059" s="336"/>
    </row>
    <row r="2060">
      <c r="A2060" s="162"/>
      <c r="B2060" s="162"/>
      <c r="C2060" s="336"/>
    </row>
    <row r="2061">
      <c r="A2061" s="162"/>
      <c r="B2061" s="162"/>
      <c r="C2061" s="336"/>
    </row>
    <row r="2062">
      <c r="A2062" s="162"/>
      <c r="B2062" s="162"/>
      <c r="C2062" s="336"/>
    </row>
    <row r="2063">
      <c r="A2063" s="162"/>
      <c r="B2063" s="162"/>
      <c r="C2063" s="336"/>
    </row>
    <row r="2064">
      <c r="A2064" s="162"/>
      <c r="B2064" s="162"/>
      <c r="C2064" s="336"/>
    </row>
    <row r="2065">
      <c r="A2065" s="162"/>
      <c r="B2065" s="162"/>
      <c r="C2065" s="336"/>
    </row>
    <row r="2066">
      <c r="A2066" s="162"/>
      <c r="B2066" s="162"/>
      <c r="C2066" s="336"/>
    </row>
    <row r="2067">
      <c r="A2067" s="162"/>
      <c r="B2067" s="162"/>
      <c r="C2067" s="336"/>
    </row>
    <row r="2068">
      <c r="A2068" s="162"/>
      <c r="B2068" s="162"/>
      <c r="C2068" s="336"/>
    </row>
    <row r="2069">
      <c r="A2069" s="162"/>
      <c r="B2069" s="162"/>
      <c r="C2069" s="336"/>
    </row>
    <row r="2070">
      <c r="A2070" s="162"/>
      <c r="B2070" s="162"/>
      <c r="C2070" s="336"/>
    </row>
    <row r="2071">
      <c r="A2071" s="162"/>
      <c r="B2071" s="162"/>
      <c r="C2071" s="336"/>
    </row>
    <row r="2072">
      <c r="A2072" s="162"/>
      <c r="B2072" s="162"/>
      <c r="C2072" s="336"/>
    </row>
    <row r="2073">
      <c r="A2073" s="162"/>
      <c r="B2073" s="162"/>
      <c r="C2073" s="336"/>
    </row>
    <row r="2074">
      <c r="A2074" s="162"/>
      <c r="B2074" s="162"/>
      <c r="C2074" s="336"/>
    </row>
    <row r="2075">
      <c r="A2075" s="162"/>
      <c r="B2075" s="162"/>
      <c r="C2075" s="336"/>
    </row>
    <row r="2076">
      <c r="A2076" s="162"/>
      <c r="B2076" s="162"/>
      <c r="C2076" s="336"/>
    </row>
    <row r="2077">
      <c r="A2077" s="162"/>
      <c r="B2077" s="162"/>
      <c r="C2077" s="336"/>
    </row>
    <row r="2078">
      <c r="A2078" s="162"/>
      <c r="B2078" s="162"/>
      <c r="C2078" s="336"/>
    </row>
    <row r="2079">
      <c r="A2079" s="162"/>
      <c r="B2079" s="162"/>
      <c r="C2079" s="336"/>
    </row>
    <row r="2080">
      <c r="A2080" s="162"/>
      <c r="B2080" s="162"/>
      <c r="C2080" s="336"/>
    </row>
    <row r="2081">
      <c r="A2081" s="162"/>
      <c r="B2081" s="162"/>
      <c r="C2081" s="336"/>
    </row>
    <row r="2082">
      <c r="A2082" s="162"/>
      <c r="B2082" s="162"/>
      <c r="C2082" s="336"/>
    </row>
    <row r="2083">
      <c r="A2083" s="162"/>
      <c r="B2083" s="162"/>
      <c r="C2083" s="336"/>
    </row>
    <row r="2084">
      <c r="A2084" s="162"/>
      <c r="B2084" s="162"/>
      <c r="C2084" s="336"/>
    </row>
    <row r="2085">
      <c r="A2085" s="162"/>
      <c r="B2085" s="162"/>
      <c r="C2085" s="336"/>
    </row>
    <row r="2086">
      <c r="A2086" s="162"/>
      <c r="B2086" s="162"/>
      <c r="C2086" s="336"/>
    </row>
    <row r="2087">
      <c r="A2087" s="162"/>
      <c r="B2087" s="162"/>
      <c r="C2087" s="336"/>
    </row>
    <row r="2088">
      <c r="A2088" s="162"/>
      <c r="B2088" s="162"/>
      <c r="C2088" s="336"/>
    </row>
    <row r="2089">
      <c r="A2089" s="162"/>
      <c r="B2089" s="162"/>
      <c r="C2089" s="336"/>
    </row>
    <row r="2090">
      <c r="A2090" s="162"/>
      <c r="B2090" s="162"/>
      <c r="C2090" s="336"/>
    </row>
    <row r="2091">
      <c r="A2091" s="162"/>
      <c r="B2091" s="162"/>
      <c r="C2091" s="336"/>
    </row>
    <row r="2092">
      <c r="A2092" s="162"/>
      <c r="B2092" s="162"/>
      <c r="C2092" s="336"/>
    </row>
    <row r="2093">
      <c r="A2093" s="162"/>
      <c r="B2093" s="162"/>
      <c r="C2093" s="336"/>
    </row>
    <row r="2094">
      <c r="A2094" s="162"/>
      <c r="B2094" s="162"/>
      <c r="C2094" s="336"/>
    </row>
    <row r="2095">
      <c r="A2095" s="162"/>
      <c r="B2095" s="162"/>
      <c r="C2095" s="336"/>
    </row>
    <row r="2096">
      <c r="A2096" s="162"/>
      <c r="B2096" s="162"/>
      <c r="C2096" s="336"/>
    </row>
    <row r="2097">
      <c r="A2097" s="162"/>
      <c r="B2097" s="162"/>
      <c r="C2097" s="336"/>
    </row>
    <row r="2098">
      <c r="A2098" s="162"/>
      <c r="B2098" s="162"/>
      <c r="C2098" s="336"/>
    </row>
    <row r="2099">
      <c r="A2099" s="162"/>
      <c r="B2099" s="162"/>
      <c r="C2099" s="336"/>
    </row>
    <row r="2100">
      <c r="A2100" s="162"/>
      <c r="B2100" s="162"/>
      <c r="C2100" s="336"/>
    </row>
    <row r="2101">
      <c r="A2101" s="162"/>
      <c r="B2101" s="162"/>
      <c r="C2101" s="336"/>
    </row>
    <row r="2102">
      <c r="A2102" s="162"/>
      <c r="B2102" s="162"/>
      <c r="C2102" s="336"/>
    </row>
    <row r="2103">
      <c r="A2103" s="162"/>
      <c r="B2103" s="162"/>
      <c r="C2103" s="336"/>
    </row>
    <row r="2104">
      <c r="A2104" s="162"/>
      <c r="B2104" s="162"/>
      <c r="C2104" s="336"/>
    </row>
    <row r="2105">
      <c r="A2105" s="162"/>
      <c r="B2105" s="162"/>
      <c r="C2105" s="336"/>
    </row>
    <row r="2106">
      <c r="A2106" s="162"/>
      <c r="B2106" s="162"/>
      <c r="C2106" s="336"/>
    </row>
    <row r="2107">
      <c r="A2107" s="162"/>
      <c r="B2107" s="162"/>
      <c r="C2107" s="336"/>
    </row>
    <row r="2108">
      <c r="A2108" s="162"/>
      <c r="B2108" s="162"/>
      <c r="C2108" s="336"/>
    </row>
    <row r="2109">
      <c r="A2109" s="162"/>
      <c r="B2109" s="162"/>
      <c r="C2109" s="336"/>
    </row>
    <row r="2110">
      <c r="A2110" s="162"/>
      <c r="B2110" s="162"/>
      <c r="C2110" s="336"/>
    </row>
    <row r="2111">
      <c r="A2111" s="162"/>
      <c r="B2111" s="162"/>
      <c r="C2111" s="336"/>
    </row>
    <row r="2112">
      <c r="A2112" s="162"/>
      <c r="B2112" s="162"/>
      <c r="C2112" s="336"/>
    </row>
    <row r="2113">
      <c r="A2113" s="162"/>
      <c r="B2113" s="162"/>
      <c r="C2113" s="336"/>
    </row>
    <row r="2114">
      <c r="A2114" s="162"/>
      <c r="B2114" s="162"/>
      <c r="C2114" s="336"/>
    </row>
    <row r="2115">
      <c r="A2115" s="162"/>
      <c r="B2115" s="162"/>
      <c r="C2115" s="336"/>
    </row>
    <row r="2116">
      <c r="A2116" s="162"/>
      <c r="B2116" s="162"/>
      <c r="C2116" s="336"/>
    </row>
    <row r="2117">
      <c r="A2117" s="162"/>
      <c r="B2117" s="162"/>
      <c r="C2117" s="336"/>
    </row>
    <row r="2118">
      <c r="A2118" s="162"/>
      <c r="B2118" s="162"/>
      <c r="C2118" s="336"/>
    </row>
    <row r="2119">
      <c r="A2119" s="162"/>
      <c r="B2119" s="162"/>
      <c r="C2119" s="336"/>
    </row>
    <row r="2120">
      <c r="A2120" s="162"/>
      <c r="B2120" s="162"/>
      <c r="C2120" s="336"/>
    </row>
    <row r="2121">
      <c r="A2121" s="162"/>
      <c r="B2121" s="162"/>
      <c r="C2121" s="336"/>
    </row>
    <row r="2122">
      <c r="A2122" s="162"/>
      <c r="B2122" s="162"/>
      <c r="C2122" s="336"/>
    </row>
    <row r="2123">
      <c r="A2123" s="162"/>
      <c r="B2123" s="162"/>
      <c r="C2123" s="336"/>
    </row>
    <row r="2124">
      <c r="A2124" s="162"/>
      <c r="B2124" s="162"/>
      <c r="C2124" s="336"/>
    </row>
    <row r="2125">
      <c r="A2125" s="162"/>
      <c r="B2125" s="162"/>
      <c r="C2125" s="336"/>
    </row>
    <row r="2126">
      <c r="A2126" s="162"/>
      <c r="B2126" s="162"/>
      <c r="C2126" s="336"/>
    </row>
    <row r="2127">
      <c r="A2127" s="162"/>
      <c r="B2127" s="162"/>
      <c r="C2127" s="336"/>
    </row>
    <row r="2128">
      <c r="A2128" s="162"/>
      <c r="B2128" s="162"/>
      <c r="C2128" s="336"/>
    </row>
    <row r="2129">
      <c r="A2129" s="162"/>
      <c r="B2129" s="162"/>
      <c r="C2129" s="336"/>
    </row>
    <row r="2130">
      <c r="A2130" s="162"/>
      <c r="B2130" s="162"/>
      <c r="C2130" s="336"/>
    </row>
    <row r="2131">
      <c r="A2131" s="162"/>
      <c r="B2131" s="162"/>
      <c r="C2131" s="336"/>
    </row>
    <row r="2132">
      <c r="A2132" s="162"/>
      <c r="B2132" s="162"/>
      <c r="C2132" s="336"/>
    </row>
    <row r="2133">
      <c r="A2133" s="162"/>
      <c r="B2133" s="162"/>
      <c r="C2133" s="336"/>
    </row>
    <row r="2134">
      <c r="A2134" s="162"/>
      <c r="B2134" s="162"/>
      <c r="C2134" s="336"/>
    </row>
    <row r="2135">
      <c r="A2135" s="162"/>
      <c r="B2135" s="162"/>
      <c r="C2135" s="336"/>
    </row>
    <row r="2136">
      <c r="A2136" s="162"/>
      <c r="B2136" s="162"/>
      <c r="C2136" s="336"/>
    </row>
    <row r="2137">
      <c r="A2137" s="162"/>
      <c r="B2137" s="162"/>
      <c r="C2137" s="336"/>
    </row>
    <row r="2138">
      <c r="A2138" s="162"/>
      <c r="B2138" s="162"/>
      <c r="C2138" s="336"/>
    </row>
    <row r="2139">
      <c r="A2139" s="162"/>
      <c r="B2139" s="162"/>
      <c r="C2139" s="336"/>
    </row>
    <row r="2140">
      <c r="A2140" s="162"/>
      <c r="B2140" s="162"/>
      <c r="C2140" s="336"/>
    </row>
    <row r="2141">
      <c r="A2141" s="162"/>
      <c r="B2141" s="162"/>
      <c r="C2141" s="336"/>
    </row>
    <row r="2142">
      <c r="A2142" s="162"/>
      <c r="B2142" s="162"/>
      <c r="C2142" s="336"/>
    </row>
    <row r="2143">
      <c r="A2143" s="162"/>
      <c r="B2143" s="162"/>
      <c r="C2143" s="336"/>
    </row>
    <row r="2144">
      <c r="A2144" s="162"/>
      <c r="B2144" s="162"/>
      <c r="C2144" s="336"/>
    </row>
    <row r="2145">
      <c r="A2145" s="162"/>
      <c r="B2145" s="162"/>
      <c r="C2145" s="336"/>
    </row>
    <row r="2146">
      <c r="A2146" s="162"/>
      <c r="B2146" s="162"/>
      <c r="C2146" s="336"/>
    </row>
    <row r="2147">
      <c r="A2147" s="162"/>
      <c r="B2147" s="162"/>
      <c r="C2147" s="336"/>
    </row>
    <row r="2148">
      <c r="A2148" s="162"/>
      <c r="B2148" s="162"/>
      <c r="C2148" s="336"/>
    </row>
    <row r="2149">
      <c r="A2149" s="162"/>
      <c r="B2149" s="162"/>
      <c r="C2149" s="336"/>
    </row>
    <row r="2150">
      <c r="A2150" s="162"/>
      <c r="B2150" s="162"/>
      <c r="C2150" s="336"/>
    </row>
    <row r="2151">
      <c r="A2151" s="162"/>
      <c r="B2151" s="162"/>
      <c r="C2151" s="336"/>
    </row>
    <row r="2152">
      <c r="A2152" s="162"/>
      <c r="B2152" s="162"/>
      <c r="C2152" s="336"/>
    </row>
    <row r="2153">
      <c r="A2153" s="162"/>
      <c r="B2153" s="162"/>
      <c r="C2153" s="336"/>
    </row>
    <row r="2154">
      <c r="A2154" s="162"/>
      <c r="B2154" s="162"/>
      <c r="C2154" s="336"/>
    </row>
    <row r="2155">
      <c r="A2155" s="162"/>
      <c r="B2155" s="162"/>
      <c r="C2155" s="336"/>
    </row>
    <row r="2156">
      <c r="A2156" s="162"/>
      <c r="B2156" s="162"/>
      <c r="C2156" s="336"/>
    </row>
    <row r="2157">
      <c r="A2157" s="162"/>
      <c r="B2157" s="162"/>
      <c r="C2157" s="336"/>
    </row>
    <row r="2158">
      <c r="A2158" s="162"/>
      <c r="B2158" s="162"/>
      <c r="C2158" s="336"/>
    </row>
    <row r="2159">
      <c r="A2159" s="162"/>
      <c r="B2159" s="162"/>
      <c r="C2159" s="336"/>
    </row>
    <row r="2160">
      <c r="A2160" s="162"/>
      <c r="B2160" s="162"/>
      <c r="C2160" s="336"/>
    </row>
    <row r="2161">
      <c r="A2161" s="162"/>
      <c r="B2161" s="162"/>
      <c r="C2161" s="336"/>
    </row>
    <row r="2162">
      <c r="A2162" s="162"/>
      <c r="B2162" s="162"/>
      <c r="C2162" s="336"/>
    </row>
    <row r="2163">
      <c r="A2163" s="162"/>
      <c r="B2163" s="162"/>
      <c r="C2163" s="336"/>
    </row>
    <row r="2164">
      <c r="A2164" s="162"/>
      <c r="B2164" s="162"/>
      <c r="C2164" s="336"/>
    </row>
    <row r="2165">
      <c r="A2165" s="162"/>
      <c r="B2165" s="162"/>
      <c r="C2165" s="336"/>
    </row>
    <row r="2166">
      <c r="A2166" s="162"/>
      <c r="B2166" s="162"/>
      <c r="C2166" s="336"/>
    </row>
    <row r="2167">
      <c r="A2167" s="162"/>
      <c r="B2167" s="162"/>
      <c r="C2167" s="336"/>
    </row>
    <row r="2168">
      <c r="A2168" s="162"/>
      <c r="B2168" s="162"/>
      <c r="C2168" s="336"/>
    </row>
    <row r="2169">
      <c r="A2169" s="162"/>
      <c r="B2169" s="162"/>
      <c r="C2169" s="336"/>
    </row>
    <row r="2170">
      <c r="A2170" s="162"/>
      <c r="B2170" s="162"/>
      <c r="C2170" s="336"/>
    </row>
    <row r="2171">
      <c r="A2171" s="162"/>
      <c r="B2171" s="162"/>
      <c r="C2171" s="336"/>
    </row>
    <row r="2172">
      <c r="A2172" s="162"/>
      <c r="B2172" s="162"/>
      <c r="C2172" s="336"/>
    </row>
    <row r="2173">
      <c r="A2173" s="162"/>
      <c r="B2173" s="162"/>
      <c r="C2173" s="336"/>
    </row>
    <row r="2174">
      <c r="A2174" s="162"/>
      <c r="B2174" s="162"/>
      <c r="C2174" s="336"/>
    </row>
    <row r="2175">
      <c r="A2175" s="162"/>
      <c r="B2175" s="162"/>
      <c r="C2175" s="336"/>
    </row>
    <row r="2176">
      <c r="A2176" s="162"/>
      <c r="B2176" s="162"/>
      <c r="C2176" s="336"/>
    </row>
    <row r="2177">
      <c r="A2177" s="162"/>
      <c r="B2177" s="162"/>
      <c r="C2177" s="336"/>
    </row>
    <row r="2178">
      <c r="A2178" s="162"/>
      <c r="B2178" s="162"/>
      <c r="C2178" s="336"/>
    </row>
    <row r="2179">
      <c r="A2179" s="162"/>
      <c r="B2179" s="162"/>
      <c r="C2179" s="336"/>
    </row>
    <row r="2180">
      <c r="A2180" s="162"/>
      <c r="B2180" s="162"/>
      <c r="C2180" s="336"/>
    </row>
    <row r="2181">
      <c r="A2181" s="162"/>
      <c r="B2181" s="162"/>
      <c r="C2181" s="336"/>
    </row>
    <row r="2182">
      <c r="A2182" s="162"/>
      <c r="B2182" s="162"/>
      <c r="C2182" s="336"/>
    </row>
    <row r="2183">
      <c r="A2183" s="162"/>
      <c r="B2183" s="162"/>
      <c r="C2183" s="336"/>
    </row>
    <row r="2184">
      <c r="A2184" s="162"/>
      <c r="B2184" s="162"/>
      <c r="C2184" s="336"/>
    </row>
    <row r="2185">
      <c r="A2185" s="162"/>
      <c r="B2185" s="162"/>
      <c r="C2185" s="336"/>
    </row>
    <row r="2186">
      <c r="A2186" s="162"/>
      <c r="B2186" s="162"/>
      <c r="C2186" s="336"/>
    </row>
    <row r="2187">
      <c r="A2187" s="162"/>
      <c r="B2187" s="162"/>
      <c r="C2187" s="336"/>
    </row>
    <row r="2188">
      <c r="A2188" s="162"/>
      <c r="B2188" s="162"/>
      <c r="C2188" s="336"/>
    </row>
    <row r="2189">
      <c r="A2189" s="162"/>
      <c r="B2189" s="162"/>
      <c r="C2189" s="336"/>
    </row>
    <row r="2190">
      <c r="A2190" s="162"/>
      <c r="B2190" s="162"/>
      <c r="C2190" s="336"/>
    </row>
    <row r="2191">
      <c r="A2191" s="162"/>
      <c r="B2191" s="162"/>
      <c r="C2191" s="336"/>
    </row>
    <row r="2192">
      <c r="A2192" s="162"/>
      <c r="B2192" s="162"/>
      <c r="C2192" s="336"/>
    </row>
    <row r="2193">
      <c r="A2193" s="162"/>
      <c r="B2193" s="162"/>
      <c r="C2193" s="336"/>
    </row>
    <row r="2194">
      <c r="A2194" s="162"/>
      <c r="B2194" s="162"/>
      <c r="C2194" s="336"/>
    </row>
    <row r="2195">
      <c r="A2195" s="162"/>
      <c r="B2195" s="162"/>
      <c r="C2195" s="336"/>
    </row>
    <row r="2196">
      <c r="A2196" s="162"/>
      <c r="B2196" s="162"/>
      <c r="C2196" s="336"/>
    </row>
    <row r="2197">
      <c r="A2197" s="162"/>
      <c r="B2197" s="162"/>
      <c r="C2197" s="336"/>
    </row>
    <row r="2198">
      <c r="A2198" s="162"/>
      <c r="B2198" s="162"/>
      <c r="C2198" s="336"/>
    </row>
    <row r="2199">
      <c r="A2199" s="162"/>
      <c r="B2199" s="162"/>
      <c r="C2199" s="336"/>
    </row>
    <row r="2200">
      <c r="A2200" s="162"/>
      <c r="B2200" s="162"/>
      <c r="C2200" s="336"/>
    </row>
    <row r="2201">
      <c r="A2201" s="162"/>
      <c r="B2201" s="162"/>
      <c r="C2201" s="336"/>
    </row>
    <row r="2202">
      <c r="A2202" s="162"/>
      <c r="B2202" s="162"/>
      <c r="C2202" s="336"/>
    </row>
    <row r="2203">
      <c r="A2203" s="162"/>
      <c r="B2203" s="162"/>
      <c r="C2203" s="336"/>
    </row>
    <row r="2204">
      <c r="A2204" s="162"/>
      <c r="B2204" s="162"/>
      <c r="C2204" s="336"/>
    </row>
    <row r="2205">
      <c r="A2205" s="162"/>
      <c r="B2205" s="162"/>
      <c r="C2205" s="336"/>
    </row>
    <row r="2206">
      <c r="A2206" s="162"/>
      <c r="B2206" s="162"/>
      <c r="C2206" s="336"/>
    </row>
    <row r="2207">
      <c r="A2207" s="162"/>
      <c r="B2207" s="162"/>
      <c r="C2207" s="336"/>
    </row>
    <row r="2208">
      <c r="A2208" s="162"/>
      <c r="B2208" s="162"/>
      <c r="C2208" s="336"/>
    </row>
    <row r="2209">
      <c r="A2209" s="162"/>
      <c r="B2209" s="162"/>
      <c r="C2209" s="336"/>
    </row>
    <row r="2210">
      <c r="A2210" s="162"/>
      <c r="B2210" s="162"/>
      <c r="C2210" s="336"/>
    </row>
    <row r="2211">
      <c r="A2211" s="162"/>
      <c r="B2211" s="162"/>
      <c r="C2211" s="336"/>
    </row>
    <row r="2212">
      <c r="A2212" s="162"/>
      <c r="B2212" s="162"/>
      <c r="C2212" s="336"/>
    </row>
    <row r="2213">
      <c r="A2213" s="162"/>
      <c r="B2213" s="162"/>
      <c r="C2213" s="336"/>
    </row>
    <row r="2214">
      <c r="A2214" s="162"/>
      <c r="B2214" s="162"/>
      <c r="C2214" s="336"/>
    </row>
    <row r="2215">
      <c r="A2215" s="162"/>
      <c r="B2215" s="162"/>
      <c r="C2215" s="336"/>
    </row>
    <row r="2216">
      <c r="A2216" s="162"/>
      <c r="B2216" s="162"/>
      <c r="C2216" s="336"/>
    </row>
    <row r="2217">
      <c r="A2217" s="162"/>
      <c r="B2217" s="162"/>
      <c r="C2217" s="336"/>
    </row>
    <row r="2218">
      <c r="A2218" s="162"/>
      <c r="B2218" s="162"/>
      <c r="C2218" s="336"/>
    </row>
    <row r="2219">
      <c r="A2219" s="162"/>
      <c r="B2219" s="162"/>
      <c r="C2219" s="336"/>
    </row>
    <row r="2220">
      <c r="A2220" s="162"/>
      <c r="B2220" s="162"/>
      <c r="C2220" s="336"/>
    </row>
    <row r="2221">
      <c r="A2221" s="162"/>
      <c r="B2221" s="162"/>
      <c r="C2221" s="336"/>
    </row>
    <row r="2222">
      <c r="A2222" s="162"/>
      <c r="B2222" s="162"/>
      <c r="C2222" s="336"/>
    </row>
    <row r="2223">
      <c r="A2223" s="162"/>
      <c r="B2223" s="162"/>
      <c r="C2223" s="336"/>
    </row>
    <row r="2224">
      <c r="A2224" s="162"/>
      <c r="B2224" s="162"/>
      <c r="C2224" s="336"/>
    </row>
    <row r="2225">
      <c r="A2225" s="162"/>
      <c r="B2225" s="162"/>
      <c r="C2225" s="336"/>
    </row>
    <row r="2226">
      <c r="A2226" s="162"/>
      <c r="B2226" s="162"/>
      <c r="C2226" s="336"/>
    </row>
    <row r="2227">
      <c r="A2227" s="162"/>
      <c r="B2227" s="162"/>
      <c r="C2227" s="336"/>
    </row>
    <row r="2228">
      <c r="A2228" s="162"/>
      <c r="B2228" s="162"/>
      <c r="C2228" s="336"/>
    </row>
    <row r="2229">
      <c r="A2229" s="162"/>
      <c r="B2229" s="162"/>
      <c r="C2229" s="336"/>
    </row>
    <row r="2230">
      <c r="A2230" s="162"/>
      <c r="B2230" s="162"/>
      <c r="C2230" s="336"/>
    </row>
    <row r="2231">
      <c r="A2231" s="162"/>
      <c r="B2231" s="162"/>
      <c r="C2231" s="336"/>
    </row>
    <row r="2232">
      <c r="A2232" s="162"/>
      <c r="B2232" s="162"/>
      <c r="C2232" s="336"/>
    </row>
    <row r="2233">
      <c r="A2233" s="162"/>
      <c r="B2233" s="162"/>
      <c r="C2233" s="336"/>
    </row>
    <row r="2234">
      <c r="A2234" s="162"/>
      <c r="B2234" s="162"/>
      <c r="C2234" s="336"/>
    </row>
    <row r="2235">
      <c r="A2235" s="162"/>
      <c r="B2235" s="162"/>
      <c r="C2235" s="336"/>
    </row>
    <row r="2236">
      <c r="A2236" s="162"/>
      <c r="B2236" s="162"/>
      <c r="C2236" s="336"/>
    </row>
    <row r="2237">
      <c r="A2237" s="162"/>
      <c r="B2237" s="162"/>
      <c r="C2237" s="336"/>
    </row>
    <row r="2238">
      <c r="A2238" s="162"/>
      <c r="B2238" s="162"/>
      <c r="C2238" s="336"/>
    </row>
    <row r="2239">
      <c r="A2239" s="162"/>
      <c r="B2239" s="162"/>
      <c r="C2239" s="336"/>
    </row>
    <row r="2240">
      <c r="A2240" s="162"/>
      <c r="B2240" s="162"/>
      <c r="C2240" s="336"/>
    </row>
    <row r="2241">
      <c r="A2241" s="162"/>
      <c r="B2241" s="162"/>
      <c r="C2241" s="336"/>
    </row>
    <row r="2242">
      <c r="A2242" s="162"/>
      <c r="B2242" s="162"/>
      <c r="C2242" s="336"/>
    </row>
    <row r="2243">
      <c r="A2243" s="162"/>
      <c r="B2243" s="162"/>
      <c r="C2243" s="336"/>
    </row>
    <row r="2244">
      <c r="A2244" s="162"/>
      <c r="B2244" s="162"/>
      <c r="C2244" s="336"/>
    </row>
    <row r="2245">
      <c r="A2245" s="162"/>
      <c r="B2245" s="162"/>
      <c r="C2245" s="336"/>
    </row>
    <row r="2246">
      <c r="A2246" s="162"/>
      <c r="B2246" s="162"/>
      <c r="C2246" s="336"/>
    </row>
    <row r="2247">
      <c r="A2247" s="162"/>
      <c r="B2247" s="162"/>
      <c r="C2247" s="336"/>
    </row>
    <row r="2248">
      <c r="A2248" s="162"/>
      <c r="B2248" s="162"/>
      <c r="C2248" s="336"/>
    </row>
    <row r="2249">
      <c r="A2249" s="162"/>
      <c r="B2249" s="162"/>
      <c r="C2249" s="336"/>
    </row>
    <row r="2250">
      <c r="A2250" s="162"/>
      <c r="B2250" s="162"/>
      <c r="C2250" s="336"/>
    </row>
    <row r="2251">
      <c r="A2251" s="162"/>
      <c r="B2251" s="162"/>
      <c r="C2251" s="336"/>
    </row>
    <row r="2252">
      <c r="A2252" s="162"/>
      <c r="B2252" s="162"/>
      <c r="C2252" s="336"/>
    </row>
    <row r="2253">
      <c r="A2253" s="162"/>
      <c r="B2253" s="162"/>
      <c r="C2253" s="336"/>
    </row>
    <row r="2254">
      <c r="A2254" s="162"/>
      <c r="B2254" s="162"/>
      <c r="C2254" s="336"/>
    </row>
    <row r="2255">
      <c r="A2255" s="162"/>
      <c r="B2255" s="162"/>
      <c r="C2255" s="336"/>
    </row>
    <row r="2256">
      <c r="A2256" s="162"/>
      <c r="B2256" s="162"/>
      <c r="C2256" s="336"/>
    </row>
    <row r="2257">
      <c r="A2257" s="162"/>
      <c r="B2257" s="162"/>
      <c r="C2257" s="336"/>
    </row>
    <row r="2258">
      <c r="A2258" s="162"/>
      <c r="B2258" s="162"/>
      <c r="C2258" s="336"/>
    </row>
    <row r="2259">
      <c r="A2259" s="162"/>
      <c r="B2259" s="162"/>
      <c r="C2259" s="336"/>
    </row>
    <row r="2260">
      <c r="A2260" s="162"/>
      <c r="B2260" s="162"/>
      <c r="C2260" s="336"/>
    </row>
    <row r="2261">
      <c r="A2261" s="162"/>
      <c r="B2261" s="162"/>
      <c r="C2261" s="336"/>
    </row>
    <row r="2262">
      <c r="A2262" s="162"/>
      <c r="B2262" s="162"/>
      <c r="C2262" s="336"/>
    </row>
    <row r="2263">
      <c r="A2263" s="162"/>
      <c r="B2263" s="162"/>
      <c r="C2263" s="336"/>
    </row>
    <row r="2264">
      <c r="A2264" s="162"/>
      <c r="B2264" s="162"/>
      <c r="C2264" s="336"/>
    </row>
    <row r="2265">
      <c r="A2265" s="162"/>
      <c r="B2265" s="162"/>
      <c r="C2265" s="336"/>
    </row>
    <row r="2266">
      <c r="A2266" s="162"/>
      <c r="B2266" s="162"/>
      <c r="C2266" s="336"/>
    </row>
    <row r="2267">
      <c r="A2267" s="162"/>
      <c r="B2267" s="162"/>
      <c r="C2267" s="336"/>
    </row>
    <row r="2268">
      <c r="A2268" s="162"/>
      <c r="B2268" s="162"/>
      <c r="C2268" s="336"/>
    </row>
    <row r="2269">
      <c r="A2269" s="162"/>
      <c r="B2269" s="162"/>
      <c r="C2269" s="336"/>
    </row>
    <row r="2270">
      <c r="A2270" s="162"/>
      <c r="B2270" s="162"/>
      <c r="C2270" s="336"/>
    </row>
    <row r="2271">
      <c r="A2271" s="162"/>
      <c r="B2271" s="162"/>
      <c r="C2271" s="336"/>
    </row>
    <row r="2272">
      <c r="A2272" s="162"/>
      <c r="B2272" s="162"/>
      <c r="C2272" s="336"/>
    </row>
    <row r="2273">
      <c r="A2273" s="162"/>
      <c r="B2273" s="162"/>
      <c r="C2273" s="336"/>
    </row>
    <row r="2274">
      <c r="A2274" s="162"/>
      <c r="B2274" s="162"/>
      <c r="C2274" s="336"/>
    </row>
    <row r="2275">
      <c r="A2275" s="162"/>
      <c r="B2275" s="162"/>
      <c r="C2275" s="336"/>
    </row>
    <row r="2276">
      <c r="A2276" s="162"/>
      <c r="B2276" s="162"/>
      <c r="C2276" s="336"/>
    </row>
    <row r="2277">
      <c r="A2277" s="162"/>
      <c r="B2277" s="162"/>
      <c r="C2277" s="336"/>
    </row>
    <row r="2278">
      <c r="A2278" s="162"/>
      <c r="B2278" s="162"/>
      <c r="C2278" s="336"/>
    </row>
    <row r="2279">
      <c r="A2279" s="162"/>
      <c r="B2279" s="162"/>
      <c r="C2279" s="336"/>
    </row>
    <row r="2280">
      <c r="A2280" s="162"/>
      <c r="B2280" s="162"/>
      <c r="C2280" s="336"/>
    </row>
    <row r="2281">
      <c r="A2281" s="162"/>
      <c r="B2281" s="162"/>
      <c r="C2281" s="336"/>
    </row>
    <row r="2282">
      <c r="A2282" s="162"/>
      <c r="B2282" s="162"/>
      <c r="C2282" s="336"/>
    </row>
    <row r="2283">
      <c r="A2283" s="162"/>
      <c r="B2283" s="162"/>
      <c r="C2283" s="336"/>
    </row>
    <row r="2284">
      <c r="A2284" s="162"/>
      <c r="B2284" s="162"/>
      <c r="C2284" s="336"/>
    </row>
    <row r="2285">
      <c r="A2285" s="162"/>
      <c r="B2285" s="162"/>
      <c r="C2285" s="336"/>
    </row>
    <row r="2286">
      <c r="A2286" s="162"/>
      <c r="B2286" s="162"/>
      <c r="C2286" s="336"/>
    </row>
    <row r="2287">
      <c r="A2287" s="162"/>
      <c r="B2287" s="162"/>
      <c r="C2287" s="336"/>
    </row>
    <row r="2288">
      <c r="A2288" s="162"/>
      <c r="B2288" s="162"/>
      <c r="C2288" s="336"/>
    </row>
    <row r="2289">
      <c r="A2289" s="162"/>
      <c r="B2289" s="162"/>
      <c r="C2289" s="336"/>
    </row>
    <row r="2290">
      <c r="A2290" s="162"/>
      <c r="B2290" s="162"/>
      <c r="C2290" s="336"/>
    </row>
    <row r="2291">
      <c r="A2291" s="162"/>
      <c r="B2291" s="162"/>
      <c r="C2291" s="336"/>
    </row>
    <row r="2292">
      <c r="A2292" s="162"/>
      <c r="B2292" s="162"/>
      <c r="C2292" s="336"/>
    </row>
    <row r="2293">
      <c r="A2293" s="162"/>
      <c r="B2293" s="162"/>
      <c r="C2293" s="336"/>
    </row>
    <row r="2294">
      <c r="A2294" s="162"/>
      <c r="B2294" s="162"/>
      <c r="C2294" s="336"/>
    </row>
    <row r="2295">
      <c r="A2295" s="162"/>
      <c r="B2295" s="162"/>
      <c r="C2295" s="336"/>
    </row>
    <row r="2296">
      <c r="A2296" s="162"/>
      <c r="B2296" s="162"/>
      <c r="C2296" s="336"/>
    </row>
    <row r="2297">
      <c r="A2297" s="162"/>
      <c r="B2297" s="162"/>
      <c r="C2297" s="336"/>
    </row>
    <row r="2298">
      <c r="A2298" s="162"/>
      <c r="B2298" s="162"/>
      <c r="C2298" s="336"/>
    </row>
    <row r="2299">
      <c r="A2299" s="162"/>
      <c r="B2299" s="162"/>
      <c r="C2299" s="336"/>
    </row>
    <row r="2300">
      <c r="A2300" s="162"/>
      <c r="B2300" s="162"/>
      <c r="C2300" s="336"/>
    </row>
    <row r="2301">
      <c r="A2301" s="162"/>
      <c r="B2301" s="162"/>
      <c r="C2301" s="336"/>
    </row>
    <row r="2302">
      <c r="A2302" s="162"/>
      <c r="B2302" s="162"/>
      <c r="C2302" s="336"/>
    </row>
    <row r="2303">
      <c r="A2303" s="162"/>
      <c r="B2303" s="162"/>
      <c r="C2303" s="336"/>
    </row>
    <row r="2304">
      <c r="A2304" s="162"/>
      <c r="B2304" s="162"/>
      <c r="C2304" s="336"/>
    </row>
    <row r="2305">
      <c r="A2305" s="162"/>
      <c r="B2305" s="162"/>
      <c r="C2305" s="336"/>
    </row>
    <row r="2306">
      <c r="A2306" s="162"/>
      <c r="B2306" s="162"/>
      <c r="C2306" s="336"/>
    </row>
    <row r="2307">
      <c r="A2307" s="162"/>
      <c r="B2307" s="162"/>
      <c r="C2307" s="336"/>
    </row>
    <row r="2308">
      <c r="A2308" s="162"/>
      <c r="B2308" s="162"/>
      <c r="C2308" s="336"/>
    </row>
    <row r="2309">
      <c r="A2309" s="162"/>
      <c r="B2309" s="162"/>
      <c r="C2309" s="336"/>
    </row>
    <row r="2310">
      <c r="A2310" s="162"/>
      <c r="B2310" s="162"/>
      <c r="C2310" s="336"/>
    </row>
    <row r="2311">
      <c r="A2311" s="162"/>
      <c r="B2311" s="162"/>
      <c r="C2311" s="336"/>
    </row>
    <row r="2312">
      <c r="A2312" s="162"/>
      <c r="B2312" s="162"/>
      <c r="C2312" s="336"/>
    </row>
    <row r="2313">
      <c r="A2313" s="162"/>
      <c r="B2313" s="162"/>
      <c r="C2313" s="336"/>
    </row>
    <row r="2314">
      <c r="A2314" s="162"/>
      <c r="B2314" s="162"/>
      <c r="C2314" s="336"/>
    </row>
    <row r="2315">
      <c r="A2315" s="162"/>
      <c r="B2315" s="162"/>
      <c r="C2315" s="336"/>
    </row>
    <row r="2316">
      <c r="A2316" s="162"/>
      <c r="B2316" s="162"/>
      <c r="C2316" s="336"/>
    </row>
    <row r="2317">
      <c r="A2317" s="162"/>
      <c r="B2317" s="162"/>
      <c r="C2317" s="336"/>
    </row>
    <row r="2318">
      <c r="A2318" s="162"/>
      <c r="B2318" s="162"/>
      <c r="C2318" s="336"/>
    </row>
    <row r="2319">
      <c r="A2319" s="162"/>
      <c r="B2319" s="162"/>
      <c r="C2319" s="336"/>
    </row>
    <row r="2320">
      <c r="A2320" s="162"/>
      <c r="B2320" s="162"/>
      <c r="C2320" s="336"/>
    </row>
    <row r="2321">
      <c r="A2321" s="162"/>
      <c r="B2321" s="162"/>
      <c r="C2321" s="336"/>
    </row>
    <row r="2322">
      <c r="A2322" s="162"/>
      <c r="B2322" s="162"/>
      <c r="C2322" s="336"/>
    </row>
    <row r="2323">
      <c r="A2323" s="162"/>
      <c r="B2323" s="162"/>
      <c r="C2323" s="336"/>
    </row>
    <row r="2324">
      <c r="A2324" s="162"/>
      <c r="B2324" s="162"/>
      <c r="C2324" s="336"/>
    </row>
    <row r="2325">
      <c r="A2325" s="162"/>
      <c r="B2325" s="162"/>
      <c r="C2325" s="336"/>
    </row>
    <row r="2326">
      <c r="A2326" s="162"/>
      <c r="B2326" s="162"/>
      <c r="C2326" s="336"/>
    </row>
    <row r="2327">
      <c r="A2327" s="162"/>
      <c r="B2327" s="162"/>
      <c r="C2327" s="336"/>
    </row>
    <row r="2328">
      <c r="A2328" s="162"/>
      <c r="B2328" s="162"/>
      <c r="C2328" s="336"/>
    </row>
    <row r="2329">
      <c r="A2329" s="162"/>
      <c r="B2329" s="162"/>
      <c r="C2329" s="336"/>
    </row>
    <row r="2330">
      <c r="A2330" s="162"/>
      <c r="B2330" s="162"/>
      <c r="C2330" s="336"/>
    </row>
    <row r="2331">
      <c r="A2331" s="162"/>
      <c r="B2331" s="162"/>
      <c r="C2331" s="336"/>
    </row>
    <row r="2332">
      <c r="A2332" s="162"/>
      <c r="B2332" s="162"/>
      <c r="C2332" s="336"/>
    </row>
    <row r="2333">
      <c r="A2333" s="162"/>
      <c r="B2333" s="162"/>
      <c r="C2333" s="336"/>
    </row>
    <row r="2334">
      <c r="A2334" s="162"/>
      <c r="B2334" s="162"/>
      <c r="C2334" s="336"/>
    </row>
    <row r="2335">
      <c r="A2335" s="162"/>
      <c r="B2335" s="162"/>
      <c r="C2335" s="336"/>
    </row>
    <row r="2336">
      <c r="A2336" s="162"/>
      <c r="B2336" s="162"/>
      <c r="C2336" s="336"/>
    </row>
    <row r="2337">
      <c r="A2337" s="162"/>
      <c r="B2337" s="162"/>
      <c r="C2337" s="336"/>
    </row>
    <row r="2338">
      <c r="A2338" s="162"/>
      <c r="B2338" s="162"/>
      <c r="C2338" s="336"/>
    </row>
    <row r="2339">
      <c r="A2339" s="162"/>
      <c r="B2339" s="162"/>
      <c r="C2339" s="336"/>
    </row>
    <row r="2340">
      <c r="A2340" s="162"/>
      <c r="B2340" s="162"/>
      <c r="C2340" s="336"/>
    </row>
    <row r="2341">
      <c r="A2341" s="162"/>
      <c r="B2341" s="162"/>
      <c r="C2341" s="336"/>
    </row>
    <row r="2342">
      <c r="A2342" s="162"/>
      <c r="B2342" s="162"/>
      <c r="C2342" s="336"/>
    </row>
    <row r="2343">
      <c r="A2343" s="162"/>
      <c r="B2343" s="162"/>
      <c r="C2343" s="336"/>
    </row>
    <row r="2344">
      <c r="A2344" s="162"/>
      <c r="B2344" s="162"/>
      <c r="C2344" s="336"/>
    </row>
    <row r="2345">
      <c r="A2345" s="162"/>
      <c r="B2345" s="162"/>
      <c r="C2345" s="336"/>
    </row>
    <row r="2346">
      <c r="A2346" s="162"/>
      <c r="B2346" s="162"/>
      <c r="C2346" s="336"/>
    </row>
    <row r="2347">
      <c r="A2347" s="162"/>
      <c r="B2347" s="162"/>
      <c r="C2347" s="336"/>
    </row>
    <row r="2348">
      <c r="A2348" s="162"/>
      <c r="B2348" s="162"/>
      <c r="C2348" s="336"/>
    </row>
    <row r="2349">
      <c r="A2349" s="162"/>
      <c r="B2349" s="162"/>
      <c r="C2349" s="336"/>
    </row>
    <row r="2350">
      <c r="A2350" s="162"/>
      <c r="B2350" s="162"/>
      <c r="C2350" s="336"/>
    </row>
    <row r="2351">
      <c r="A2351" s="162"/>
      <c r="B2351" s="162"/>
      <c r="C2351" s="336"/>
    </row>
    <row r="2352">
      <c r="A2352" s="162"/>
      <c r="B2352" s="162"/>
      <c r="C2352" s="336"/>
    </row>
    <row r="2353">
      <c r="A2353" s="162"/>
      <c r="B2353" s="162"/>
      <c r="C2353" s="336"/>
    </row>
    <row r="2354">
      <c r="A2354" s="162"/>
      <c r="B2354" s="162"/>
      <c r="C2354" s="336"/>
    </row>
    <row r="2355">
      <c r="A2355" s="162"/>
      <c r="B2355" s="162"/>
      <c r="C2355" s="336"/>
    </row>
    <row r="2356">
      <c r="A2356" s="162"/>
      <c r="B2356" s="162"/>
      <c r="C2356" s="336"/>
    </row>
    <row r="2357">
      <c r="A2357" s="162"/>
      <c r="B2357" s="162"/>
      <c r="C2357" s="336"/>
    </row>
    <row r="2358">
      <c r="A2358" s="162"/>
      <c r="B2358" s="162"/>
      <c r="C2358" s="336"/>
    </row>
    <row r="2359">
      <c r="A2359" s="162"/>
      <c r="B2359" s="162"/>
      <c r="C2359" s="336"/>
    </row>
    <row r="2360">
      <c r="A2360" s="162"/>
      <c r="B2360" s="162"/>
      <c r="C2360" s="336"/>
    </row>
    <row r="2361">
      <c r="A2361" s="162"/>
      <c r="B2361" s="162"/>
      <c r="C2361" s="336"/>
    </row>
    <row r="2362">
      <c r="A2362" s="162"/>
      <c r="B2362" s="162"/>
      <c r="C2362" s="336"/>
    </row>
    <row r="2363">
      <c r="A2363" s="162"/>
      <c r="B2363" s="162"/>
      <c r="C2363" s="336"/>
    </row>
    <row r="2364">
      <c r="A2364" s="162"/>
      <c r="B2364" s="162"/>
      <c r="C2364" s="336"/>
    </row>
    <row r="2365">
      <c r="A2365" s="162"/>
      <c r="B2365" s="162"/>
      <c r="C2365" s="336"/>
    </row>
    <row r="2366">
      <c r="A2366" s="162"/>
      <c r="B2366" s="162"/>
      <c r="C2366" s="336"/>
    </row>
    <row r="2367">
      <c r="A2367" s="162"/>
      <c r="B2367" s="162"/>
      <c r="C2367" s="336"/>
    </row>
    <row r="2368">
      <c r="A2368" s="162"/>
      <c r="B2368" s="162"/>
      <c r="C2368" s="336"/>
    </row>
    <row r="2369">
      <c r="A2369" s="162"/>
      <c r="B2369" s="162"/>
      <c r="C2369" s="336"/>
    </row>
    <row r="2370">
      <c r="A2370" s="162"/>
      <c r="B2370" s="162"/>
      <c r="C2370" s="336"/>
    </row>
    <row r="2371">
      <c r="A2371" s="162"/>
      <c r="B2371" s="162"/>
      <c r="C2371" s="336"/>
    </row>
    <row r="2372">
      <c r="A2372" s="162"/>
      <c r="B2372" s="162"/>
      <c r="C2372" s="336"/>
    </row>
    <row r="2373">
      <c r="A2373" s="162"/>
      <c r="B2373" s="162"/>
      <c r="C2373" s="336"/>
    </row>
    <row r="2374">
      <c r="A2374" s="162"/>
      <c r="B2374" s="162"/>
      <c r="C2374" s="336"/>
    </row>
    <row r="2375">
      <c r="A2375" s="162"/>
      <c r="B2375" s="162"/>
      <c r="C2375" s="336"/>
    </row>
    <row r="2376">
      <c r="A2376" s="162"/>
      <c r="B2376" s="162"/>
      <c r="C2376" s="336"/>
    </row>
    <row r="2377">
      <c r="A2377" s="162"/>
      <c r="B2377" s="162"/>
      <c r="C2377" s="336"/>
    </row>
    <row r="2378">
      <c r="A2378" s="162"/>
      <c r="B2378" s="162"/>
      <c r="C2378" s="336"/>
    </row>
    <row r="2379">
      <c r="A2379" s="162"/>
      <c r="B2379" s="162"/>
      <c r="C2379" s="336"/>
    </row>
    <row r="2380">
      <c r="A2380" s="162"/>
      <c r="B2380" s="162"/>
      <c r="C2380" s="336"/>
    </row>
    <row r="2381">
      <c r="A2381" s="162"/>
      <c r="B2381" s="162"/>
      <c r="C2381" s="336"/>
    </row>
    <row r="2382">
      <c r="A2382" s="162"/>
      <c r="B2382" s="162"/>
      <c r="C2382" s="336"/>
    </row>
    <row r="2383">
      <c r="A2383" s="162"/>
      <c r="B2383" s="162"/>
      <c r="C2383" s="336"/>
    </row>
    <row r="2384">
      <c r="A2384" s="162"/>
      <c r="B2384" s="162"/>
      <c r="C2384" s="336"/>
    </row>
    <row r="2385">
      <c r="A2385" s="162"/>
      <c r="B2385" s="162"/>
      <c r="C2385" s="336"/>
    </row>
    <row r="2386">
      <c r="A2386" s="162"/>
      <c r="B2386" s="162"/>
      <c r="C2386" s="336"/>
    </row>
    <row r="2387">
      <c r="A2387" s="162"/>
      <c r="B2387" s="162"/>
      <c r="C2387" s="336"/>
    </row>
    <row r="2388">
      <c r="A2388" s="162"/>
      <c r="B2388" s="162"/>
      <c r="C2388" s="336"/>
    </row>
    <row r="2389">
      <c r="A2389" s="162"/>
      <c r="B2389" s="162"/>
      <c r="C2389" s="336"/>
    </row>
    <row r="2390">
      <c r="A2390" s="162"/>
      <c r="B2390" s="162"/>
      <c r="C2390" s="336"/>
    </row>
    <row r="2391">
      <c r="A2391" s="162"/>
      <c r="B2391" s="162"/>
      <c r="C2391" s="336"/>
    </row>
    <row r="2392">
      <c r="A2392" s="162"/>
      <c r="B2392" s="162"/>
      <c r="C2392" s="336"/>
    </row>
    <row r="2393">
      <c r="A2393" s="162"/>
      <c r="B2393" s="162"/>
      <c r="C2393" s="336"/>
    </row>
    <row r="2394">
      <c r="A2394" s="162"/>
      <c r="B2394" s="162"/>
      <c r="C2394" s="336"/>
    </row>
    <row r="2395">
      <c r="A2395" s="162"/>
      <c r="B2395" s="162"/>
      <c r="C2395" s="336"/>
    </row>
    <row r="2396">
      <c r="A2396" s="162"/>
      <c r="B2396" s="162"/>
      <c r="C2396" s="336"/>
    </row>
    <row r="2397">
      <c r="A2397" s="162"/>
      <c r="B2397" s="162"/>
      <c r="C2397" s="336"/>
    </row>
    <row r="2398">
      <c r="A2398" s="162"/>
      <c r="B2398" s="162"/>
      <c r="C2398" s="336"/>
    </row>
    <row r="2399">
      <c r="A2399" s="162"/>
      <c r="B2399" s="162"/>
      <c r="C2399" s="336"/>
    </row>
    <row r="2400">
      <c r="A2400" s="162"/>
      <c r="B2400" s="162"/>
      <c r="C2400" s="336"/>
    </row>
    <row r="2401">
      <c r="A2401" s="162"/>
      <c r="B2401" s="162"/>
      <c r="C2401" s="336"/>
    </row>
    <row r="2402">
      <c r="A2402" s="162"/>
      <c r="B2402" s="162"/>
      <c r="C2402" s="336"/>
    </row>
    <row r="2403">
      <c r="A2403" s="162"/>
      <c r="B2403" s="162"/>
      <c r="C2403" s="336"/>
    </row>
    <row r="2404">
      <c r="A2404" s="162"/>
      <c r="B2404" s="162"/>
      <c r="C2404" s="336"/>
    </row>
    <row r="2405">
      <c r="A2405" s="162"/>
      <c r="B2405" s="162"/>
      <c r="C2405" s="336"/>
    </row>
    <row r="2406">
      <c r="A2406" s="162"/>
      <c r="B2406" s="162"/>
      <c r="C2406" s="336"/>
    </row>
    <row r="2407">
      <c r="A2407" s="162"/>
      <c r="B2407" s="162"/>
      <c r="C2407" s="336"/>
    </row>
    <row r="2408">
      <c r="A2408" s="162"/>
      <c r="B2408" s="162"/>
      <c r="C2408" s="336"/>
    </row>
    <row r="2409">
      <c r="A2409" s="162"/>
      <c r="B2409" s="162"/>
      <c r="C2409" s="336"/>
    </row>
    <row r="2410">
      <c r="A2410" s="162"/>
      <c r="B2410" s="162"/>
      <c r="C2410" s="336"/>
    </row>
    <row r="2411">
      <c r="A2411" s="162"/>
      <c r="B2411" s="162"/>
      <c r="C2411" s="336"/>
    </row>
    <row r="2412">
      <c r="A2412" s="162"/>
      <c r="B2412" s="162"/>
      <c r="C2412" s="336"/>
    </row>
    <row r="2413">
      <c r="A2413" s="162"/>
      <c r="B2413" s="162"/>
      <c r="C2413" s="336"/>
    </row>
    <row r="2414">
      <c r="A2414" s="162"/>
      <c r="B2414" s="162"/>
      <c r="C2414" s="336"/>
    </row>
    <row r="2415">
      <c r="A2415" s="162"/>
      <c r="B2415" s="162"/>
      <c r="C2415" s="336"/>
    </row>
    <row r="2416">
      <c r="A2416" s="162"/>
      <c r="B2416" s="162"/>
      <c r="C2416" s="336"/>
    </row>
    <row r="2417">
      <c r="A2417" s="162"/>
      <c r="B2417" s="162"/>
      <c r="C2417" s="336"/>
    </row>
    <row r="2418">
      <c r="A2418" s="162"/>
      <c r="B2418" s="162"/>
      <c r="C2418" s="336"/>
    </row>
    <row r="2419">
      <c r="A2419" s="162"/>
      <c r="B2419" s="162"/>
      <c r="C2419" s="336"/>
    </row>
    <row r="2420">
      <c r="A2420" s="162"/>
      <c r="B2420" s="162"/>
      <c r="C2420" s="336"/>
    </row>
    <row r="2421">
      <c r="A2421" s="162"/>
      <c r="B2421" s="162"/>
      <c r="C2421" s="336"/>
    </row>
    <row r="2422">
      <c r="A2422" s="162"/>
      <c r="B2422" s="162"/>
      <c r="C2422" s="336"/>
    </row>
    <row r="2423">
      <c r="A2423" s="162"/>
      <c r="B2423" s="162"/>
      <c r="C2423" s="336"/>
    </row>
    <row r="2424">
      <c r="A2424" s="162"/>
      <c r="B2424" s="162"/>
      <c r="C2424" s="336"/>
    </row>
    <row r="2425">
      <c r="A2425" s="162"/>
      <c r="B2425" s="162"/>
      <c r="C2425" s="336"/>
    </row>
    <row r="2426">
      <c r="A2426" s="162"/>
      <c r="B2426" s="162"/>
      <c r="C2426" s="336"/>
    </row>
    <row r="2427">
      <c r="A2427" s="162"/>
      <c r="B2427" s="162"/>
      <c r="C2427" s="336"/>
    </row>
    <row r="2428">
      <c r="A2428" s="162"/>
      <c r="B2428" s="162"/>
      <c r="C2428" s="336"/>
    </row>
    <row r="2429">
      <c r="A2429" s="162"/>
      <c r="B2429" s="162"/>
      <c r="C2429" s="336"/>
    </row>
    <row r="2430">
      <c r="A2430" s="162"/>
      <c r="B2430" s="162"/>
      <c r="C2430" s="336"/>
    </row>
    <row r="2431">
      <c r="A2431" s="162"/>
      <c r="B2431" s="162"/>
      <c r="C2431" s="336"/>
    </row>
    <row r="2432">
      <c r="A2432" s="162"/>
      <c r="B2432" s="162"/>
      <c r="C2432" s="336"/>
    </row>
    <row r="2433">
      <c r="A2433" s="162"/>
      <c r="B2433" s="162"/>
      <c r="C2433" s="336"/>
    </row>
    <row r="2434">
      <c r="A2434" s="162"/>
      <c r="B2434" s="162"/>
      <c r="C2434" s="336"/>
    </row>
    <row r="2435">
      <c r="A2435" s="162"/>
      <c r="B2435" s="162"/>
      <c r="C2435" s="336"/>
    </row>
    <row r="2436">
      <c r="A2436" s="162"/>
      <c r="B2436" s="162"/>
      <c r="C2436" s="336"/>
    </row>
    <row r="2437">
      <c r="A2437" s="162"/>
      <c r="B2437" s="162"/>
      <c r="C2437" s="336"/>
    </row>
    <row r="2438">
      <c r="A2438" s="162"/>
      <c r="B2438" s="162"/>
      <c r="C2438" s="336"/>
    </row>
    <row r="2439">
      <c r="A2439" s="162"/>
      <c r="B2439" s="162"/>
      <c r="C2439" s="336"/>
    </row>
    <row r="2440">
      <c r="A2440" s="162"/>
      <c r="B2440" s="162"/>
      <c r="C2440" s="336"/>
    </row>
    <row r="2441">
      <c r="A2441" s="162"/>
      <c r="B2441" s="162"/>
      <c r="C2441" s="336"/>
    </row>
    <row r="2442">
      <c r="A2442" s="162"/>
      <c r="B2442" s="162"/>
      <c r="C2442" s="336"/>
    </row>
    <row r="2443">
      <c r="A2443" s="162"/>
      <c r="B2443" s="162"/>
      <c r="C2443" s="336"/>
    </row>
    <row r="2444">
      <c r="A2444" s="162"/>
      <c r="B2444" s="162"/>
      <c r="C2444" s="336"/>
    </row>
    <row r="2445">
      <c r="A2445" s="162"/>
      <c r="B2445" s="162"/>
      <c r="C2445" s="336"/>
    </row>
    <row r="2446">
      <c r="A2446" s="162"/>
      <c r="B2446" s="162"/>
      <c r="C2446" s="336"/>
    </row>
    <row r="2447">
      <c r="A2447" s="162"/>
      <c r="B2447" s="162"/>
      <c r="C2447" s="336"/>
    </row>
    <row r="2448">
      <c r="A2448" s="162"/>
      <c r="B2448" s="162"/>
      <c r="C2448" s="336"/>
    </row>
    <row r="2449">
      <c r="A2449" s="162"/>
      <c r="B2449" s="162"/>
      <c r="C2449" s="336"/>
    </row>
    <row r="2450">
      <c r="A2450" s="162"/>
      <c r="B2450" s="162"/>
      <c r="C2450" s="336"/>
    </row>
    <row r="2451">
      <c r="A2451" s="162"/>
      <c r="B2451" s="162"/>
      <c r="C2451" s="336"/>
    </row>
    <row r="2452">
      <c r="A2452" s="162"/>
      <c r="B2452" s="162"/>
      <c r="C2452" s="336"/>
    </row>
    <row r="2453">
      <c r="A2453" s="162"/>
      <c r="B2453" s="162"/>
      <c r="C2453" s="336"/>
    </row>
    <row r="2454">
      <c r="A2454" s="162"/>
      <c r="B2454" s="162"/>
      <c r="C2454" s="336"/>
    </row>
    <row r="2455">
      <c r="A2455" s="162"/>
      <c r="B2455" s="162"/>
      <c r="C2455" s="336"/>
    </row>
    <row r="2456">
      <c r="A2456" s="162"/>
      <c r="B2456" s="162"/>
      <c r="C2456" s="336"/>
    </row>
    <row r="2457">
      <c r="A2457" s="162"/>
      <c r="B2457" s="162"/>
      <c r="C2457" s="336"/>
    </row>
    <row r="2458">
      <c r="A2458" s="162"/>
      <c r="B2458" s="162"/>
      <c r="C2458" s="336"/>
    </row>
    <row r="2459">
      <c r="A2459" s="162"/>
      <c r="B2459" s="162"/>
      <c r="C2459" s="336"/>
    </row>
    <row r="2460">
      <c r="A2460" s="162"/>
      <c r="B2460" s="162"/>
      <c r="C2460" s="336"/>
    </row>
    <row r="2461">
      <c r="A2461" s="162"/>
      <c r="B2461" s="162"/>
      <c r="C2461" s="336"/>
    </row>
    <row r="2462">
      <c r="A2462" s="162"/>
      <c r="B2462" s="162"/>
      <c r="C2462" s="336"/>
    </row>
    <row r="2463">
      <c r="A2463" s="162"/>
      <c r="B2463" s="162"/>
      <c r="C2463" s="336"/>
    </row>
    <row r="2464">
      <c r="A2464" s="162"/>
      <c r="B2464" s="162"/>
      <c r="C2464" s="336"/>
    </row>
    <row r="2465">
      <c r="A2465" s="162"/>
      <c r="B2465" s="162"/>
      <c r="C2465" s="336"/>
    </row>
    <row r="2466">
      <c r="A2466" s="162"/>
      <c r="B2466" s="162"/>
      <c r="C2466" s="336"/>
    </row>
    <row r="2467">
      <c r="A2467" s="162"/>
      <c r="B2467" s="162"/>
      <c r="C2467" s="336"/>
    </row>
    <row r="2468">
      <c r="A2468" s="162"/>
      <c r="B2468" s="162"/>
      <c r="C2468" s="336"/>
    </row>
    <row r="2469">
      <c r="A2469" s="162"/>
      <c r="B2469" s="162"/>
      <c r="C2469" s="336"/>
    </row>
    <row r="2470">
      <c r="A2470" s="162"/>
      <c r="B2470" s="162"/>
      <c r="C2470" s="336"/>
    </row>
    <row r="2471">
      <c r="A2471" s="162"/>
      <c r="B2471" s="162"/>
      <c r="C2471" s="336"/>
    </row>
    <row r="2472">
      <c r="A2472" s="162"/>
      <c r="B2472" s="162"/>
      <c r="C2472" s="336"/>
    </row>
    <row r="2473">
      <c r="A2473" s="162"/>
      <c r="B2473" s="162"/>
      <c r="C2473" s="336"/>
    </row>
    <row r="2474">
      <c r="A2474" s="162"/>
      <c r="B2474" s="162"/>
      <c r="C2474" s="336"/>
    </row>
    <row r="2475">
      <c r="A2475" s="162"/>
      <c r="B2475" s="162"/>
      <c r="C2475" s="336"/>
    </row>
    <row r="2476">
      <c r="A2476" s="162"/>
      <c r="B2476" s="162"/>
      <c r="C2476" s="336"/>
    </row>
    <row r="2477">
      <c r="A2477" s="162"/>
      <c r="B2477" s="162"/>
      <c r="C2477" s="336"/>
    </row>
    <row r="2478">
      <c r="A2478" s="162"/>
      <c r="B2478" s="162"/>
      <c r="C2478" s="336"/>
    </row>
    <row r="2479">
      <c r="A2479" s="162"/>
      <c r="B2479" s="162"/>
      <c r="C2479" s="336"/>
    </row>
    <row r="2480">
      <c r="A2480" s="162"/>
      <c r="B2480" s="162"/>
      <c r="C2480" s="336"/>
    </row>
    <row r="2481">
      <c r="A2481" s="162"/>
      <c r="B2481" s="162"/>
      <c r="C2481" s="336"/>
    </row>
    <row r="2482">
      <c r="A2482" s="162"/>
      <c r="B2482" s="162"/>
      <c r="C2482" s="336"/>
    </row>
    <row r="2483">
      <c r="A2483" s="162"/>
      <c r="B2483" s="162"/>
      <c r="C2483" s="336"/>
    </row>
    <row r="2484">
      <c r="A2484" s="162"/>
      <c r="B2484" s="162"/>
      <c r="C2484" s="336"/>
    </row>
    <row r="2485">
      <c r="A2485" s="162"/>
      <c r="B2485" s="162"/>
      <c r="C2485" s="336"/>
    </row>
    <row r="2486">
      <c r="A2486" s="162"/>
      <c r="B2486" s="162"/>
      <c r="C2486" s="336"/>
    </row>
    <row r="2487">
      <c r="A2487" s="162"/>
      <c r="B2487" s="162"/>
      <c r="C2487" s="336"/>
    </row>
    <row r="2488">
      <c r="A2488" s="162"/>
      <c r="B2488" s="162"/>
      <c r="C2488" s="336"/>
    </row>
    <row r="2489">
      <c r="A2489" s="162"/>
      <c r="B2489" s="162"/>
      <c r="C2489" s="336"/>
    </row>
    <row r="2490">
      <c r="A2490" s="162"/>
      <c r="B2490" s="162"/>
      <c r="C2490" s="336"/>
    </row>
    <row r="2491">
      <c r="A2491" s="162"/>
      <c r="B2491" s="162"/>
      <c r="C2491" s="336"/>
    </row>
    <row r="2492">
      <c r="A2492" s="162"/>
      <c r="B2492" s="162"/>
      <c r="C2492" s="336"/>
    </row>
    <row r="2493">
      <c r="A2493" s="162"/>
      <c r="B2493" s="162"/>
      <c r="C2493" s="336"/>
    </row>
    <row r="2494">
      <c r="A2494" s="162"/>
      <c r="B2494" s="162"/>
      <c r="C2494" s="336"/>
    </row>
    <row r="2495">
      <c r="A2495" s="162"/>
      <c r="B2495" s="162"/>
      <c r="C2495" s="336"/>
    </row>
    <row r="2496">
      <c r="A2496" s="162"/>
      <c r="B2496" s="162"/>
      <c r="C2496" s="336"/>
    </row>
    <row r="2497">
      <c r="A2497" s="162"/>
      <c r="B2497" s="162"/>
      <c r="C2497" s="336"/>
    </row>
    <row r="2498">
      <c r="A2498" s="162"/>
      <c r="B2498" s="162"/>
      <c r="C2498" s="336"/>
    </row>
    <row r="2499">
      <c r="A2499" s="162"/>
      <c r="B2499" s="162"/>
      <c r="C2499" s="336"/>
    </row>
    <row r="2500">
      <c r="A2500" s="162"/>
      <c r="B2500" s="162"/>
      <c r="C2500" s="336"/>
    </row>
    <row r="2501">
      <c r="A2501" s="162"/>
      <c r="B2501" s="162"/>
      <c r="C2501" s="336"/>
    </row>
    <row r="2502">
      <c r="A2502" s="162"/>
      <c r="B2502" s="162"/>
      <c r="C2502" s="336"/>
    </row>
    <row r="2503">
      <c r="A2503" s="162"/>
      <c r="B2503" s="162"/>
      <c r="C2503" s="336"/>
    </row>
    <row r="2504">
      <c r="A2504" s="162"/>
      <c r="B2504" s="162"/>
      <c r="C2504" s="336"/>
    </row>
    <row r="2505">
      <c r="A2505" s="162"/>
      <c r="B2505" s="162"/>
      <c r="C2505" s="336"/>
    </row>
    <row r="2506">
      <c r="A2506" s="162"/>
      <c r="B2506" s="162"/>
      <c r="C2506" s="336"/>
    </row>
    <row r="2507">
      <c r="A2507" s="162"/>
      <c r="B2507" s="162"/>
      <c r="C2507" s="336"/>
    </row>
    <row r="2508">
      <c r="A2508" s="162"/>
      <c r="B2508" s="162"/>
      <c r="C2508" s="336"/>
    </row>
    <row r="2509">
      <c r="A2509" s="162"/>
      <c r="B2509" s="162"/>
      <c r="C2509" s="336"/>
    </row>
    <row r="2510">
      <c r="A2510" s="162"/>
      <c r="B2510" s="162"/>
      <c r="C2510" s="336"/>
    </row>
    <row r="2511">
      <c r="A2511" s="162"/>
      <c r="B2511" s="162"/>
      <c r="C2511" s="336"/>
    </row>
    <row r="2512">
      <c r="A2512" s="162"/>
      <c r="B2512" s="162"/>
      <c r="C2512" s="336"/>
    </row>
    <row r="2513">
      <c r="A2513" s="162"/>
      <c r="B2513" s="162"/>
      <c r="C2513" s="336"/>
    </row>
    <row r="2514">
      <c r="A2514" s="162"/>
      <c r="B2514" s="162"/>
      <c r="C2514" s="336"/>
    </row>
    <row r="2515">
      <c r="A2515" s="162"/>
      <c r="B2515" s="162"/>
      <c r="C2515" s="336"/>
    </row>
    <row r="2516">
      <c r="A2516" s="162"/>
      <c r="B2516" s="162"/>
      <c r="C2516" s="336"/>
    </row>
    <row r="2517">
      <c r="A2517" s="162"/>
      <c r="B2517" s="162"/>
      <c r="C2517" s="336"/>
    </row>
    <row r="2518">
      <c r="A2518" s="162"/>
      <c r="B2518" s="162"/>
      <c r="C2518" s="336"/>
    </row>
    <row r="2519">
      <c r="A2519" s="162"/>
      <c r="B2519" s="162"/>
      <c r="C2519" s="336"/>
    </row>
    <row r="2520">
      <c r="A2520" s="162"/>
      <c r="B2520" s="162"/>
      <c r="C2520" s="336"/>
    </row>
    <row r="2521">
      <c r="A2521" s="162"/>
      <c r="B2521" s="162"/>
      <c r="C2521" s="336"/>
    </row>
    <row r="2522">
      <c r="A2522" s="162"/>
      <c r="B2522" s="162"/>
      <c r="C2522" s="336"/>
    </row>
    <row r="2523">
      <c r="A2523" s="162"/>
      <c r="B2523" s="162"/>
      <c r="C2523" s="336"/>
    </row>
    <row r="2524">
      <c r="A2524" s="162"/>
      <c r="B2524" s="162"/>
      <c r="C2524" s="336"/>
    </row>
    <row r="2525">
      <c r="A2525" s="162"/>
      <c r="B2525" s="162"/>
      <c r="C2525" s="336"/>
    </row>
    <row r="2526">
      <c r="A2526" s="162"/>
      <c r="B2526" s="162"/>
      <c r="C2526" s="336"/>
    </row>
    <row r="2527">
      <c r="A2527" s="162"/>
      <c r="B2527" s="162"/>
      <c r="C2527" s="336"/>
    </row>
    <row r="2528">
      <c r="A2528" s="162"/>
      <c r="B2528" s="162"/>
      <c r="C2528" s="336"/>
    </row>
    <row r="2529">
      <c r="A2529" s="162"/>
      <c r="B2529" s="162"/>
      <c r="C2529" s="336"/>
    </row>
    <row r="2530">
      <c r="A2530" s="162"/>
      <c r="B2530" s="162"/>
      <c r="C2530" s="336"/>
    </row>
    <row r="2531">
      <c r="A2531" s="162"/>
      <c r="B2531" s="162"/>
      <c r="C2531" s="336"/>
    </row>
    <row r="2532">
      <c r="A2532" s="162"/>
      <c r="B2532" s="162"/>
      <c r="C2532" s="336"/>
    </row>
    <row r="2533">
      <c r="A2533" s="162"/>
      <c r="B2533" s="162"/>
      <c r="C2533" s="336"/>
    </row>
    <row r="2534">
      <c r="A2534" s="162"/>
      <c r="B2534" s="162"/>
      <c r="C2534" s="336"/>
    </row>
    <row r="2535">
      <c r="A2535" s="162"/>
      <c r="B2535" s="162"/>
      <c r="C2535" s="336"/>
    </row>
    <row r="2536">
      <c r="A2536" s="162"/>
      <c r="B2536" s="162"/>
      <c r="C2536" s="336"/>
    </row>
    <row r="2537">
      <c r="A2537" s="162"/>
      <c r="B2537" s="162"/>
      <c r="C2537" s="336"/>
    </row>
    <row r="2538">
      <c r="A2538" s="162"/>
      <c r="B2538" s="162"/>
      <c r="C2538" s="336"/>
    </row>
    <row r="2539">
      <c r="A2539" s="162"/>
      <c r="B2539" s="162"/>
      <c r="C2539" s="336"/>
    </row>
    <row r="2540">
      <c r="A2540" s="162"/>
      <c r="B2540" s="162"/>
      <c r="C2540" s="336"/>
    </row>
    <row r="2541">
      <c r="A2541" s="162"/>
      <c r="B2541" s="162"/>
      <c r="C2541" s="336"/>
    </row>
    <row r="2542">
      <c r="A2542" s="162"/>
      <c r="B2542" s="162"/>
      <c r="C2542" s="336"/>
    </row>
    <row r="2543">
      <c r="A2543" s="162"/>
      <c r="B2543" s="162"/>
      <c r="C2543" s="336"/>
    </row>
    <row r="2544">
      <c r="A2544" s="162"/>
      <c r="B2544" s="162"/>
      <c r="C2544" s="336"/>
    </row>
    <row r="2545">
      <c r="A2545" s="162"/>
      <c r="B2545" s="162"/>
      <c r="C2545" s="336"/>
    </row>
    <row r="2546">
      <c r="A2546" s="162"/>
      <c r="B2546" s="162"/>
      <c r="C2546" s="336"/>
    </row>
    <row r="2547">
      <c r="A2547" s="162"/>
      <c r="B2547" s="162"/>
      <c r="C2547" s="336"/>
    </row>
    <row r="2548">
      <c r="A2548" s="162"/>
      <c r="B2548" s="162"/>
      <c r="C2548" s="336"/>
    </row>
    <row r="2549">
      <c r="A2549" s="162"/>
      <c r="B2549" s="162"/>
      <c r="C2549" s="336"/>
    </row>
    <row r="2550">
      <c r="A2550" s="162"/>
      <c r="B2550" s="162"/>
      <c r="C2550" s="336"/>
    </row>
    <row r="2551">
      <c r="A2551" s="162"/>
      <c r="B2551" s="162"/>
      <c r="C2551" s="336"/>
    </row>
    <row r="2552">
      <c r="A2552" s="162"/>
      <c r="B2552" s="162"/>
      <c r="C2552" s="336"/>
    </row>
    <row r="2553">
      <c r="A2553" s="162"/>
      <c r="B2553" s="162"/>
      <c r="C2553" s="336"/>
    </row>
    <row r="2554">
      <c r="A2554" s="162"/>
      <c r="B2554" s="162"/>
      <c r="C2554" s="336"/>
    </row>
    <row r="2555">
      <c r="A2555" s="162"/>
      <c r="B2555" s="162"/>
      <c r="C2555" s="336"/>
    </row>
    <row r="2556">
      <c r="A2556" s="162"/>
      <c r="B2556" s="162"/>
      <c r="C2556" s="336"/>
    </row>
    <row r="2557">
      <c r="A2557" s="162"/>
      <c r="B2557" s="162"/>
      <c r="C2557" s="336"/>
    </row>
    <row r="2558">
      <c r="A2558" s="162"/>
      <c r="B2558" s="162"/>
      <c r="C2558" s="336"/>
    </row>
    <row r="2559">
      <c r="A2559" s="162"/>
      <c r="B2559" s="162"/>
      <c r="C2559" s="336"/>
    </row>
    <row r="2560">
      <c r="A2560" s="162"/>
      <c r="B2560" s="162"/>
      <c r="C2560" s="336"/>
    </row>
    <row r="2561">
      <c r="A2561" s="162"/>
      <c r="B2561" s="162"/>
      <c r="C2561" s="336"/>
    </row>
    <row r="2562">
      <c r="A2562" s="162"/>
      <c r="B2562" s="162"/>
      <c r="C2562" s="336"/>
    </row>
    <row r="2563">
      <c r="A2563" s="162"/>
      <c r="B2563" s="162"/>
      <c r="C2563" s="336"/>
    </row>
    <row r="2564">
      <c r="A2564" s="162"/>
      <c r="B2564" s="162"/>
      <c r="C2564" s="336"/>
    </row>
    <row r="2565">
      <c r="A2565" s="162"/>
      <c r="B2565" s="162"/>
      <c r="C2565" s="336"/>
    </row>
    <row r="2566">
      <c r="A2566" s="162"/>
      <c r="B2566" s="162"/>
      <c r="C2566" s="336"/>
    </row>
    <row r="2567">
      <c r="A2567" s="162"/>
      <c r="B2567" s="162"/>
      <c r="C2567" s="336"/>
    </row>
    <row r="2568">
      <c r="A2568" s="162"/>
      <c r="B2568" s="162"/>
      <c r="C2568" s="336"/>
    </row>
    <row r="2569">
      <c r="A2569" s="162"/>
      <c r="B2569" s="162"/>
      <c r="C2569" s="336"/>
    </row>
    <row r="2570">
      <c r="A2570" s="162"/>
      <c r="B2570" s="162"/>
      <c r="C2570" s="336"/>
    </row>
    <row r="2571">
      <c r="A2571" s="162"/>
      <c r="B2571" s="162"/>
      <c r="C2571" s="336"/>
    </row>
    <row r="2572">
      <c r="A2572" s="162"/>
      <c r="B2572" s="162"/>
      <c r="C2572" s="336"/>
    </row>
    <row r="2573">
      <c r="A2573" s="162"/>
      <c r="B2573" s="162"/>
      <c r="C2573" s="336"/>
    </row>
    <row r="2574">
      <c r="A2574" s="162"/>
      <c r="B2574" s="162"/>
      <c r="C2574" s="336"/>
    </row>
    <row r="2575">
      <c r="A2575" s="162"/>
      <c r="B2575" s="162"/>
      <c r="C2575" s="336"/>
    </row>
    <row r="2576">
      <c r="A2576" s="162"/>
      <c r="B2576" s="162"/>
      <c r="C2576" s="336"/>
    </row>
    <row r="2577">
      <c r="A2577" s="162"/>
      <c r="B2577" s="162"/>
      <c r="C2577" s="336"/>
    </row>
    <row r="2578">
      <c r="A2578" s="162"/>
      <c r="B2578" s="162"/>
      <c r="C2578" s="336"/>
    </row>
    <row r="2579">
      <c r="A2579" s="162"/>
      <c r="B2579" s="162"/>
      <c r="C2579" s="336"/>
    </row>
    <row r="2580">
      <c r="A2580" s="162"/>
      <c r="B2580" s="162"/>
      <c r="C2580" s="336"/>
    </row>
    <row r="2581">
      <c r="A2581" s="162"/>
      <c r="B2581" s="162"/>
      <c r="C2581" s="336"/>
    </row>
    <row r="2582">
      <c r="A2582" s="162"/>
      <c r="B2582" s="162"/>
      <c r="C2582" s="336"/>
    </row>
    <row r="2583">
      <c r="A2583" s="162"/>
      <c r="B2583" s="162"/>
      <c r="C2583" s="336"/>
    </row>
    <row r="2584">
      <c r="A2584" s="162"/>
      <c r="B2584" s="162"/>
      <c r="C2584" s="336"/>
    </row>
    <row r="2585">
      <c r="A2585" s="162"/>
      <c r="B2585" s="162"/>
      <c r="C2585" s="336"/>
    </row>
    <row r="2586">
      <c r="A2586" s="162"/>
      <c r="B2586" s="162"/>
      <c r="C2586" s="336"/>
    </row>
    <row r="2587">
      <c r="A2587" s="162"/>
      <c r="B2587" s="162"/>
      <c r="C2587" s="336"/>
    </row>
    <row r="2588">
      <c r="A2588" s="162"/>
      <c r="B2588" s="162"/>
      <c r="C2588" s="336"/>
    </row>
    <row r="2589">
      <c r="A2589" s="162"/>
      <c r="B2589" s="162"/>
      <c r="C2589" s="336"/>
    </row>
    <row r="2590">
      <c r="A2590" s="162"/>
      <c r="B2590" s="162"/>
      <c r="C2590" s="336"/>
    </row>
    <row r="2591">
      <c r="A2591" s="162"/>
      <c r="B2591" s="162"/>
      <c r="C2591" s="336"/>
    </row>
    <row r="2592">
      <c r="A2592" s="162"/>
      <c r="B2592" s="162"/>
      <c r="C2592" s="336"/>
    </row>
    <row r="2593">
      <c r="A2593" s="162"/>
      <c r="B2593" s="162"/>
      <c r="C2593" s="336"/>
    </row>
    <row r="2594">
      <c r="A2594" s="162"/>
      <c r="B2594" s="162"/>
      <c r="C2594" s="336"/>
    </row>
    <row r="2595">
      <c r="A2595" s="162"/>
      <c r="B2595" s="162"/>
      <c r="C2595" s="336"/>
    </row>
    <row r="2596">
      <c r="A2596" s="162"/>
      <c r="B2596" s="162"/>
      <c r="C2596" s="336"/>
    </row>
    <row r="2597">
      <c r="A2597" s="162"/>
      <c r="B2597" s="162"/>
      <c r="C2597" s="336"/>
    </row>
    <row r="2598">
      <c r="A2598" s="162"/>
      <c r="B2598" s="162"/>
      <c r="C2598" s="336"/>
    </row>
    <row r="2599">
      <c r="A2599" s="162"/>
      <c r="B2599" s="162"/>
      <c r="C2599" s="336"/>
    </row>
    <row r="2600">
      <c r="A2600" s="162"/>
      <c r="B2600" s="162"/>
      <c r="C2600" s="336"/>
    </row>
    <row r="2601">
      <c r="A2601" s="162"/>
      <c r="B2601" s="162"/>
      <c r="C2601" s="336"/>
    </row>
    <row r="2602">
      <c r="A2602" s="162"/>
      <c r="B2602" s="162"/>
      <c r="C2602" s="336"/>
    </row>
    <row r="2603">
      <c r="A2603" s="162"/>
      <c r="B2603" s="162"/>
      <c r="C2603" s="336"/>
    </row>
    <row r="2604">
      <c r="A2604" s="162"/>
      <c r="B2604" s="162"/>
      <c r="C2604" s="336"/>
    </row>
    <row r="2605">
      <c r="A2605" s="162"/>
      <c r="B2605" s="162"/>
      <c r="C2605" s="336"/>
    </row>
    <row r="2606">
      <c r="A2606" s="162"/>
      <c r="B2606" s="162"/>
      <c r="C2606" s="336"/>
    </row>
    <row r="2607">
      <c r="A2607" s="162"/>
      <c r="B2607" s="162"/>
      <c r="C2607" s="336"/>
    </row>
    <row r="2608">
      <c r="A2608" s="162"/>
      <c r="B2608" s="162"/>
      <c r="C2608" s="336"/>
    </row>
    <row r="2609">
      <c r="A2609" s="162"/>
      <c r="B2609" s="162"/>
      <c r="C2609" s="336"/>
    </row>
    <row r="2610">
      <c r="A2610" s="162"/>
      <c r="B2610" s="162"/>
      <c r="C2610" s="336"/>
    </row>
    <row r="2611">
      <c r="A2611" s="162"/>
      <c r="B2611" s="162"/>
      <c r="C2611" s="336"/>
    </row>
    <row r="2612">
      <c r="A2612" s="162"/>
      <c r="B2612" s="162"/>
      <c r="C2612" s="336"/>
    </row>
    <row r="2613">
      <c r="A2613" s="162"/>
      <c r="B2613" s="162"/>
      <c r="C2613" s="336"/>
    </row>
    <row r="2614">
      <c r="A2614" s="162"/>
      <c r="B2614" s="162"/>
      <c r="C2614" s="336"/>
    </row>
    <row r="2615">
      <c r="A2615" s="162"/>
      <c r="B2615" s="162"/>
      <c r="C2615" s="336"/>
    </row>
    <row r="2616">
      <c r="A2616" s="162"/>
      <c r="B2616" s="162"/>
      <c r="C2616" s="336"/>
    </row>
    <row r="2617">
      <c r="A2617" s="162"/>
      <c r="B2617" s="162"/>
      <c r="C2617" s="336"/>
    </row>
    <row r="2618">
      <c r="A2618" s="162"/>
      <c r="B2618" s="162"/>
      <c r="C2618" s="336"/>
    </row>
    <row r="2619">
      <c r="A2619" s="162"/>
      <c r="B2619" s="162"/>
      <c r="C2619" s="336"/>
    </row>
    <row r="2620">
      <c r="A2620" s="162"/>
      <c r="B2620" s="162"/>
      <c r="C2620" s="336"/>
    </row>
    <row r="2621">
      <c r="A2621" s="162"/>
      <c r="B2621" s="162"/>
      <c r="C2621" s="336"/>
    </row>
    <row r="2622">
      <c r="A2622" s="162"/>
      <c r="B2622" s="162"/>
      <c r="C2622" s="336"/>
    </row>
    <row r="2623">
      <c r="A2623" s="162"/>
      <c r="B2623" s="162"/>
      <c r="C2623" s="336"/>
    </row>
    <row r="2624">
      <c r="A2624" s="162"/>
      <c r="B2624" s="162"/>
      <c r="C2624" s="336"/>
    </row>
    <row r="2625">
      <c r="A2625" s="162"/>
      <c r="B2625" s="162"/>
      <c r="C2625" s="336"/>
    </row>
    <row r="2626">
      <c r="A2626" s="162"/>
      <c r="B2626" s="162"/>
      <c r="C2626" s="336"/>
    </row>
    <row r="2627">
      <c r="A2627" s="162"/>
      <c r="B2627" s="162"/>
      <c r="C2627" s="336"/>
    </row>
    <row r="2628">
      <c r="A2628" s="162"/>
      <c r="B2628" s="162"/>
      <c r="C2628" s="336"/>
    </row>
    <row r="2629">
      <c r="A2629" s="162"/>
      <c r="B2629" s="162"/>
      <c r="C2629" s="336"/>
    </row>
    <row r="2630">
      <c r="A2630" s="162"/>
      <c r="B2630" s="162"/>
      <c r="C2630" s="336"/>
    </row>
    <row r="2631">
      <c r="A2631" s="162"/>
      <c r="B2631" s="162"/>
      <c r="C2631" s="336"/>
    </row>
    <row r="2632">
      <c r="A2632" s="162"/>
      <c r="B2632" s="162"/>
      <c r="C2632" s="336"/>
    </row>
    <row r="2633">
      <c r="A2633" s="162"/>
      <c r="B2633" s="162"/>
      <c r="C2633" s="336"/>
    </row>
    <row r="2634">
      <c r="A2634" s="162"/>
      <c r="B2634" s="162"/>
      <c r="C2634" s="336"/>
    </row>
    <row r="2635">
      <c r="A2635" s="162"/>
      <c r="B2635" s="162"/>
      <c r="C2635" s="336"/>
    </row>
    <row r="2636">
      <c r="A2636" s="162"/>
      <c r="B2636" s="162"/>
      <c r="C2636" s="336"/>
    </row>
    <row r="2637">
      <c r="A2637" s="162"/>
      <c r="B2637" s="162"/>
      <c r="C2637" s="336"/>
    </row>
    <row r="2638">
      <c r="A2638" s="162"/>
      <c r="B2638" s="162"/>
      <c r="C2638" s="336"/>
    </row>
    <row r="2639">
      <c r="A2639" s="162"/>
      <c r="B2639" s="162"/>
      <c r="C2639" s="336"/>
    </row>
    <row r="2640">
      <c r="A2640" s="162"/>
      <c r="B2640" s="162"/>
      <c r="C2640" s="336"/>
    </row>
    <row r="2641">
      <c r="A2641" s="162"/>
      <c r="B2641" s="162"/>
      <c r="C2641" s="336"/>
    </row>
    <row r="2642">
      <c r="A2642" s="162"/>
      <c r="B2642" s="162"/>
      <c r="C2642" s="336"/>
    </row>
    <row r="2643">
      <c r="A2643" s="162"/>
      <c r="B2643" s="162"/>
      <c r="C2643" s="336"/>
    </row>
    <row r="2644">
      <c r="A2644" s="162"/>
      <c r="B2644" s="162"/>
      <c r="C2644" s="336"/>
    </row>
    <row r="2645">
      <c r="A2645" s="162"/>
      <c r="B2645" s="162"/>
      <c r="C2645" s="336"/>
    </row>
    <row r="2646">
      <c r="A2646" s="162"/>
      <c r="B2646" s="162"/>
      <c r="C2646" s="336"/>
    </row>
    <row r="2647">
      <c r="A2647" s="162"/>
      <c r="B2647" s="162"/>
      <c r="C2647" s="336"/>
    </row>
    <row r="2648">
      <c r="A2648" s="162"/>
      <c r="B2648" s="162"/>
      <c r="C2648" s="336"/>
    </row>
    <row r="2649">
      <c r="A2649" s="162"/>
      <c r="B2649" s="162"/>
      <c r="C2649" s="336"/>
    </row>
    <row r="2650">
      <c r="A2650" s="162"/>
      <c r="B2650" s="162"/>
      <c r="C2650" s="336"/>
    </row>
    <row r="2651">
      <c r="A2651" s="162"/>
      <c r="B2651" s="162"/>
      <c r="C2651" s="336"/>
    </row>
    <row r="2652">
      <c r="A2652" s="162"/>
      <c r="B2652" s="162"/>
      <c r="C2652" s="336"/>
    </row>
    <row r="2653">
      <c r="A2653" s="162"/>
      <c r="B2653" s="162"/>
      <c r="C2653" s="336"/>
    </row>
    <row r="2654">
      <c r="A2654" s="162"/>
      <c r="B2654" s="162"/>
      <c r="C2654" s="336"/>
    </row>
    <row r="2655">
      <c r="A2655" s="162"/>
      <c r="B2655" s="162"/>
      <c r="C2655" s="336"/>
    </row>
    <row r="2656">
      <c r="A2656" s="162"/>
      <c r="B2656" s="162"/>
      <c r="C2656" s="336"/>
    </row>
    <row r="2657">
      <c r="A2657" s="162"/>
      <c r="B2657" s="162"/>
      <c r="C2657" s="336"/>
    </row>
    <row r="2658">
      <c r="A2658" s="162"/>
      <c r="B2658" s="162"/>
      <c r="C2658" s="336"/>
    </row>
    <row r="2659">
      <c r="A2659" s="162"/>
      <c r="B2659" s="162"/>
      <c r="C2659" s="336"/>
    </row>
    <row r="2660">
      <c r="A2660" s="162"/>
      <c r="B2660" s="162"/>
      <c r="C2660" s="336"/>
    </row>
    <row r="2661">
      <c r="A2661" s="162"/>
      <c r="B2661" s="162"/>
      <c r="C2661" s="336"/>
    </row>
    <row r="2662">
      <c r="A2662" s="162"/>
      <c r="B2662" s="162"/>
      <c r="C2662" s="336"/>
    </row>
    <row r="2663">
      <c r="A2663" s="162"/>
      <c r="B2663" s="162"/>
      <c r="C2663" s="336"/>
    </row>
    <row r="2664">
      <c r="A2664" s="162"/>
      <c r="B2664" s="162"/>
      <c r="C2664" s="336"/>
    </row>
    <row r="2665">
      <c r="A2665" s="162"/>
      <c r="B2665" s="162"/>
      <c r="C2665" s="336"/>
    </row>
    <row r="2666">
      <c r="A2666" s="162"/>
      <c r="B2666" s="162"/>
      <c r="C2666" s="336"/>
    </row>
    <row r="2667">
      <c r="A2667" s="162"/>
      <c r="B2667" s="162"/>
      <c r="C2667" s="336"/>
    </row>
    <row r="2668">
      <c r="A2668" s="162"/>
      <c r="B2668" s="162"/>
      <c r="C2668" s="336"/>
    </row>
    <row r="2669">
      <c r="A2669" s="162"/>
      <c r="B2669" s="162"/>
      <c r="C2669" s="336"/>
    </row>
    <row r="2670">
      <c r="A2670" s="162"/>
      <c r="B2670" s="162"/>
      <c r="C2670" s="336"/>
    </row>
    <row r="2671">
      <c r="A2671" s="162"/>
      <c r="B2671" s="162"/>
      <c r="C2671" s="336"/>
    </row>
    <row r="2672">
      <c r="A2672" s="162"/>
      <c r="B2672" s="162"/>
      <c r="C2672" s="336"/>
    </row>
    <row r="2673">
      <c r="A2673" s="162"/>
      <c r="B2673" s="162"/>
      <c r="C2673" s="336"/>
    </row>
    <row r="2674">
      <c r="A2674" s="162"/>
      <c r="B2674" s="162"/>
      <c r="C2674" s="336"/>
    </row>
    <row r="2675">
      <c r="A2675" s="162"/>
      <c r="B2675" s="162"/>
      <c r="C2675" s="336"/>
    </row>
    <row r="2676">
      <c r="A2676" s="162"/>
      <c r="B2676" s="162"/>
      <c r="C2676" s="336"/>
    </row>
    <row r="2677">
      <c r="A2677" s="162"/>
      <c r="B2677" s="162"/>
      <c r="C2677" s="336"/>
    </row>
    <row r="2678">
      <c r="A2678" s="162"/>
      <c r="B2678" s="162"/>
      <c r="C2678" s="336"/>
    </row>
    <row r="2679">
      <c r="A2679" s="162"/>
      <c r="B2679" s="162"/>
      <c r="C2679" s="336"/>
    </row>
    <row r="2680">
      <c r="A2680" s="162"/>
      <c r="B2680" s="162"/>
      <c r="C2680" s="336"/>
    </row>
    <row r="2681">
      <c r="A2681" s="162"/>
      <c r="B2681" s="162"/>
      <c r="C2681" s="336"/>
    </row>
    <row r="2682">
      <c r="A2682" s="162"/>
      <c r="B2682" s="162"/>
      <c r="C2682" s="336"/>
    </row>
    <row r="2683">
      <c r="A2683" s="162"/>
      <c r="B2683" s="162"/>
      <c r="C2683" s="336"/>
    </row>
    <row r="2684">
      <c r="A2684" s="162"/>
      <c r="B2684" s="162"/>
      <c r="C2684" s="336"/>
    </row>
    <row r="2685">
      <c r="A2685" s="162"/>
      <c r="B2685" s="162"/>
      <c r="C2685" s="336"/>
    </row>
    <row r="2686">
      <c r="A2686" s="162"/>
      <c r="B2686" s="162"/>
      <c r="C2686" s="336"/>
    </row>
    <row r="2687">
      <c r="A2687" s="162"/>
      <c r="B2687" s="162"/>
      <c r="C2687" s="336"/>
    </row>
    <row r="2688">
      <c r="A2688" s="162"/>
      <c r="B2688" s="162"/>
      <c r="C2688" s="336"/>
    </row>
    <row r="2689">
      <c r="A2689" s="162"/>
      <c r="B2689" s="162"/>
      <c r="C2689" s="336"/>
    </row>
    <row r="2690">
      <c r="A2690" s="162"/>
      <c r="B2690" s="162"/>
      <c r="C2690" s="336"/>
    </row>
    <row r="2691">
      <c r="A2691" s="162"/>
      <c r="B2691" s="162"/>
      <c r="C2691" s="336"/>
    </row>
    <row r="2692">
      <c r="A2692" s="162"/>
      <c r="B2692" s="162"/>
      <c r="C2692" s="336"/>
    </row>
    <row r="2693">
      <c r="A2693" s="162"/>
      <c r="B2693" s="162"/>
      <c r="C2693" s="336"/>
    </row>
    <row r="2694">
      <c r="A2694" s="162"/>
      <c r="B2694" s="162"/>
      <c r="C2694" s="336"/>
    </row>
    <row r="2695">
      <c r="A2695" s="162"/>
      <c r="B2695" s="162"/>
      <c r="C2695" s="336"/>
    </row>
    <row r="2696">
      <c r="A2696" s="162"/>
      <c r="B2696" s="162"/>
      <c r="C2696" s="336"/>
    </row>
    <row r="2697">
      <c r="A2697" s="162"/>
      <c r="B2697" s="162"/>
      <c r="C2697" s="336"/>
    </row>
    <row r="2698">
      <c r="A2698" s="162"/>
      <c r="B2698" s="162"/>
      <c r="C2698" s="336"/>
    </row>
    <row r="2699">
      <c r="A2699" s="162"/>
      <c r="B2699" s="162"/>
      <c r="C2699" s="336"/>
    </row>
    <row r="2700">
      <c r="A2700" s="162"/>
      <c r="B2700" s="162"/>
      <c r="C2700" s="336"/>
    </row>
    <row r="2701">
      <c r="A2701" s="162"/>
      <c r="B2701" s="162"/>
      <c r="C2701" s="336"/>
    </row>
    <row r="2702">
      <c r="A2702" s="162"/>
      <c r="B2702" s="162"/>
      <c r="C2702" s="336"/>
    </row>
    <row r="2703">
      <c r="A2703" s="162"/>
      <c r="B2703" s="162"/>
      <c r="C2703" s="336"/>
    </row>
    <row r="2704">
      <c r="A2704" s="162"/>
      <c r="B2704" s="162"/>
      <c r="C2704" s="336"/>
    </row>
    <row r="2705">
      <c r="A2705" s="162"/>
      <c r="B2705" s="162"/>
      <c r="C2705" s="336"/>
    </row>
    <row r="2706">
      <c r="A2706" s="162"/>
      <c r="B2706" s="162"/>
      <c r="C2706" s="336"/>
    </row>
    <row r="2707">
      <c r="A2707" s="162"/>
      <c r="B2707" s="162"/>
      <c r="C2707" s="336"/>
    </row>
    <row r="2708">
      <c r="A2708" s="162"/>
      <c r="B2708" s="162"/>
      <c r="C2708" s="336"/>
    </row>
    <row r="2709">
      <c r="A2709" s="162"/>
      <c r="B2709" s="162"/>
      <c r="C2709" s="336"/>
    </row>
    <row r="2710">
      <c r="A2710" s="162"/>
      <c r="B2710" s="162"/>
      <c r="C2710" s="336"/>
    </row>
    <row r="2711">
      <c r="A2711" s="162"/>
      <c r="B2711" s="162"/>
      <c r="C2711" s="336"/>
    </row>
    <row r="2712">
      <c r="A2712" s="162"/>
      <c r="B2712" s="162"/>
      <c r="C2712" s="336"/>
    </row>
    <row r="2713">
      <c r="A2713" s="162"/>
      <c r="B2713" s="162"/>
      <c r="C2713" s="336"/>
    </row>
    <row r="2714">
      <c r="A2714" s="162"/>
      <c r="B2714" s="162"/>
      <c r="C2714" s="336"/>
    </row>
    <row r="2715">
      <c r="A2715" s="162"/>
      <c r="B2715" s="162"/>
      <c r="C2715" s="336"/>
    </row>
    <row r="2716">
      <c r="A2716" s="162"/>
      <c r="B2716" s="162"/>
      <c r="C2716" s="336"/>
    </row>
    <row r="2717">
      <c r="A2717" s="162"/>
      <c r="B2717" s="162"/>
      <c r="C2717" s="336"/>
    </row>
    <row r="2718">
      <c r="A2718" s="162"/>
      <c r="B2718" s="162"/>
      <c r="C2718" s="336"/>
    </row>
    <row r="2719">
      <c r="A2719" s="162"/>
      <c r="B2719" s="162"/>
      <c r="C2719" s="336"/>
    </row>
    <row r="2720">
      <c r="A2720" s="162"/>
      <c r="B2720" s="162"/>
      <c r="C2720" s="336"/>
    </row>
    <row r="2721">
      <c r="A2721" s="162"/>
      <c r="B2721" s="162"/>
      <c r="C2721" s="336"/>
    </row>
    <row r="2722">
      <c r="A2722" s="162"/>
      <c r="B2722" s="162"/>
      <c r="C2722" s="336"/>
    </row>
    <row r="2723">
      <c r="A2723" s="162"/>
      <c r="B2723" s="162"/>
      <c r="C2723" s="336"/>
    </row>
    <row r="2724">
      <c r="A2724" s="162"/>
      <c r="B2724" s="162"/>
      <c r="C2724" s="336"/>
    </row>
    <row r="2725">
      <c r="A2725" s="162"/>
      <c r="B2725" s="162"/>
      <c r="C2725" s="336"/>
    </row>
    <row r="2726">
      <c r="A2726" s="162"/>
      <c r="B2726" s="162"/>
      <c r="C2726" s="336"/>
    </row>
    <row r="2727">
      <c r="A2727" s="162"/>
      <c r="B2727" s="162"/>
      <c r="C2727" s="336"/>
    </row>
    <row r="2728">
      <c r="A2728" s="162"/>
      <c r="B2728" s="162"/>
      <c r="C2728" s="336"/>
    </row>
    <row r="2729">
      <c r="A2729" s="162"/>
      <c r="B2729" s="162"/>
      <c r="C2729" s="336"/>
    </row>
    <row r="2730">
      <c r="A2730" s="162"/>
      <c r="B2730" s="162"/>
      <c r="C2730" s="336"/>
    </row>
    <row r="2731">
      <c r="A2731" s="162"/>
      <c r="B2731" s="162"/>
      <c r="C2731" s="336"/>
    </row>
    <row r="2732">
      <c r="A2732" s="162"/>
      <c r="B2732" s="162"/>
      <c r="C2732" s="336"/>
    </row>
    <row r="2733">
      <c r="A2733" s="162"/>
      <c r="B2733" s="162"/>
      <c r="C2733" s="336"/>
    </row>
    <row r="2734">
      <c r="A2734" s="162"/>
      <c r="B2734" s="162"/>
      <c r="C2734" s="336"/>
    </row>
    <row r="2735">
      <c r="A2735" s="162"/>
      <c r="B2735" s="162"/>
      <c r="C2735" s="336"/>
    </row>
    <row r="2736">
      <c r="A2736" s="162"/>
      <c r="B2736" s="162"/>
      <c r="C2736" s="336"/>
    </row>
    <row r="2737">
      <c r="A2737" s="162"/>
      <c r="B2737" s="162"/>
      <c r="C2737" s="336"/>
    </row>
    <row r="2738">
      <c r="A2738" s="162"/>
      <c r="B2738" s="162"/>
      <c r="C2738" s="336"/>
    </row>
    <row r="2739">
      <c r="A2739" s="162"/>
      <c r="B2739" s="162"/>
      <c r="C2739" s="336"/>
    </row>
    <row r="2740">
      <c r="A2740" s="162"/>
      <c r="B2740" s="162"/>
      <c r="C2740" s="336"/>
    </row>
    <row r="2741">
      <c r="A2741" s="162"/>
      <c r="B2741" s="162"/>
      <c r="C2741" s="336"/>
    </row>
    <row r="2742">
      <c r="A2742" s="162"/>
      <c r="B2742" s="162"/>
      <c r="C2742" s="336"/>
    </row>
    <row r="2743">
      <c r="A2743" s="162"/>
      <c r="B2743" s="162"/>
      <c r="C2743" s="336"/>
    </row>
    <row r="2744">
      <c r="A2744" s="162"/>
      <c r="B2744" s="162"/>
      <c r="C2744" s="336"/>
    </row>
    <row r="2745">
      <c r="A2745" s="162"/>
      <c r="B2745" s="162"/>
      <c r="C2745" s="336"/>
    </row>
    <row r="2746">
      <c r="A2746" s="162"/>
      <c r="B2746" s="162"/>
      <c r="C2746" s="336"/>
    </row>
    <row r="2747">
      <c r="A2747" s="162"/>
      <c r="B2747" s="162"/>
      <c r="C2747" s="336"/>
    </row>
    <row r="2748">
      <c r="A2748" s="162"/>
      <c r="B2748" s="162"/>
      <c r="C2748" s="336"/>
    </row>
    <row r="2749">
      <c r="A2749" s="162"/>
      <c r="B2749" s="162"/>
      <c r="C2749" s="336"/>
    </row>
    <row r="2750">
      <c r="A2750" s="162"/>
      <c r="B2750" s="162"/>
      <c r="C2750" s="336"/>
    </row>
    <row r="2751">
      <c r="A2751" s="162"/>
      <c r="B2751" s="162"/>
      <c r="C2751" s="336"/>
    </row>
    <row r="2752">
      <c r="A2752" s="162"/>
      <c r="B2752" s="162"/>
      <c r="C2752" s="336"/>
    </row>
    <row r="2753">
      <c r="A2753" s="162"/>
      <c r="B2753" s="162"/>
      <c r="C2753" s="336"/>
    </row>
    <row r="2754">
      <c r="A2754" s="162"/>
      <c r="B2754" s="162"/>
      <c r="C2754" s="336"/>
    </row>
    <row r="2755">
      <c r="A2755" s="162"/>
      <c r="B2755" s="162"/>
      <c r="C2755" s="336"/>
    </row>
    <row r="2756">
      <c r="A2756" s="162"/>
      <c r="B2756" s="162"/>
      <c r="C2756" s="336"/>
    </row>
    <row r="2757">
      <c r="A2757" s="162"/>
      <c r="B2757" s="162"/>
      <c r="C2757" s="336"/>
    </row>
    <row r="2758">
      <c r="A2758" s="162"/>
      <c r="B2758" s="162"/>
      <c r="C2758" s="336"/>
    </row>
    <row r="2759">
      <c r="A2759" s="162"/>
      <c r="B2759" s="162"/>
      <c r="C2759" s="336"/>
    </row>
    <row r="2760">
      <c r="A2760" s="162"/>
      <c r="B2760" s="162"/>
      <c r="C2760" s="336"/>
    </row>
    <row r="2761">
      <c r="A2761" s="162"/>
      <c r="B2761" s="162"/>
      <c r="C2761" s="336"/>
    </row>
    <row r="2762">
      <c r="A2762" s="162"/>
      <c r="B2762" s="162"/>
      <c r="C2762" s="336"/>
    </row>
    <row r="2763">
      <c r="A2763" s="162"/>
      <c r="B2763" s="162"/>
      <c r="C2763" s="336"/>
    </row>
    <row r="2764">
      <c r="A2764" s="162"/>
      <c r="B2764" s="162"/>
      <c r="C2764" s="336"/>
    </row>
    <row r="2765">
      <c r="A2765" s="162"/>
      <c r="B2765" s="162"/>
      <c r="C2765" s="336"/>
    </row>
    <row r="2766">
      <c r="A2766" s="162"/>
      <c r="B2766" s="162"/>
      <c r="C2766" s="336"/>
    </row>
    <row r="2767">
      <c r="A2767" s="162"/>
      <c r="B2767" s="162"/>
      <c r="C2767" s="336"/>
    </row>
    <row r="2768">
      <c r="A2768" s="162"/>
      <c r="B2768" s="162"/>
      <c r="C2768" s="336"/>
    </row>
    <row r="2769">
      <c r="A2769" s="162"/>
      <c r="B2769" s="162"/>
      <c r="C2769" s="336"/>
    </row>
    <row r="2770">
      <c r="A2770" s="162"/>
      <c r="B2770" s="162"/>
      <c r="C2770" s="336"/>
    </row>
    <row r="2771">
      <c r="A2771" s="162"/>
      <c r="B2771" s="162"/>
      <c r="C2771" s="336"/>
    </row>
    <row r="2772">
      <c r="A2772" s="162"/>
      <c r="B2772" s="162"/>
      <c r="C2772" s="336"/>
    </row>
    <row r="2773">
      <c r="A2773" s="162"/>
      <c r="B2773" s="162"/>
      <c r="C2773" s="336"/>
    </row>
    <row r="2774">
      <c r="A2774" s="162"/>
      <c r="B2774" s="162"/>
      <c r="C2774" s="336"/>
    </row>
    <row r="2775">
      <c r="A2775" s="162"/>
      <c r="B2775" s="162"/>
      <c r="C2775" s="336"/>
    </row>
    <row r="2776">
      <c r="A2776" s="162"/>
      <c r="B2776" s="162"/>
      <c r="C2776" s="336"/>
    </row>
    <row r="2777">
      <c r="A2777" s="162"/>
      <c r="B2777" s="162"/>
      <c r="C2777" s="336"/>
    </row>
    <row r="2778">
      <c r="A2778" s="162"/>
      <c r="B2778" s="162"/>
      <c r="C2778" s="336"/>
    </row>
    <row r="2779">
      <c r="A2779" s="162"/>
      <c r="B2779" s="162"/>
      <c r="C2779" s="336"/>
    </row>
    <row r="2780">
      <c r="A2780" s="162"/>
      <c r="B2780" s="162"/>
      <c r="C2780" s="336"/>
    </row>
    <row r="2781">
      <c r="A2781" s="162"/>
      <c r="B2781" s="162"/>
      <c r="C2781" s="336"/>
    </row>
    <row r="2782">
      <c r="A2782" s="162"/>
      <c r="B2782" s="162"/>
      <c r="C2782" s="336"/>
    </row>
    <row r="2783">
      <c r="A2783" s="162"/>
      <c r="B2783" s="162"/>
      <c r="C2783" s="336"/>
    </row>
    <row r="2784">
      <c r="A2784" s="162"/>
      <c r="B2784" s="162"/>
      <c r="C2784" s="336"/>
    </row>
    <row r="2785">
      <c r="A2785" s="162"/>
      <c r="B2785" s="162"/>
      <c r="C2785" s="336"/>
    </row>
    <row r="2786">
      <c r="A2786" s="162"/>
      <c r="B2786" s="162"/>
      <c r="C2786" s="336"/>
    </row>
    <row r="2787">
      <c r="A2787" s="162"/>
      <c r="B2787" s="162"/>
      <c r="C2787" s="336"/>
    </row>
    <row r="2788">
      <c r="A2788" s="162"/>
      <c r="B2788" s="162"/>
      <c r="C2788" s="336"/>
    </row>
    <row r="2789">
      <c r="A2789" s="162"/>
      <c r="B2789" s="162"/>
      <c r="C2789" s="336"/>
    </row>
    <row r="2790">
      <c r="A2790" s="162"/>
      <c r="B2790" s="162"/>
      <c r="C2790" s="336"/>
    </row>
    <row r="2791">
      <c r="A2791" s="162"/>
      <c r="B2791" s="162"/>
      <c r="C2791" s="336"/>
    </row>
    <row r="2792">
      <c r="A2792" s="162"/>
      <c r="B2792" s="162"/>
      <c r="C2792" s="336"/>
    </row>
    <row r="2793">
      <c r="A2793" s="162"/>
      <c r="B2793" s="162"/>
      <c r="C2793" s="336"/>
    </row>
    <row r="2794">
      <c r="A2794" s="162"/>
      <c r="B2794" s="162"/>
      <c r="C2794" s="336"/>
    </row>
    <row r="2795">
      <c r="A2795" s="162"/>
      <c r="B2795" s="162"/>
      <c r="C2795" s="336"/>
    </row>
    <row r="2796">
      <c r="A2796" s="162"/>
      <c r="B2796" s="162"/>
      <c r="C2796" s="336"/>
    </row>
    <row r="2797">
      <c r="A2797" s="162"/>
      <c r="B2797" s="162"/>
      <c r="C2797" s="336"/>
    </row>
    <row r="2798">
      <c r="A2798" s="162"/>
      <c r="B2798" s="162"/>
      <c r="C2798" s="336"/>
    </row>
    <row r="2799">
      <c r="A2799" s="162"/>
      <c r="B2799" s="162"/>
      <c r="C2799" s="336"/>
    </row>
    <row r="2800">
      <c r="A2800" s="162"/>
      <c r="B2800" s="162"/>
      <c r="C2800" s="336"/>
    </row>
    <row r="2801">
      <c r="A2801" s="162"/>
      <c r="B2801" s="162"/>
      <c r="C2801" s="336"/>
    </row>
    <row r="2802">
      <c r="A2802" s="162"/>
      <c r="B2802" s="162"/>
      <c r="C2802" s="336"/>
    </row>
    <row r="2803">
      <c r="A2803" s="162"/>
      <c r="B2803" s="162"/>
      <c r="C2803" s="336"/>
    </row>
    <row r="2804">
      <c r="A2804" s="162"/>
      <c r="B2804" s="162"/>
      <c r="C2804" s="336"/>
    </row>
    <row r="2805">
      <c r="A2805" s="162"/>
      <c r="B2805" s="162"/>
      <c r="C2805" s="336"/>
    </row>
    <row r="2806">
      <c r="A2806" s="162"/>
      <c r="B2806" s="162"/>
      <c r="C2806" s="336"/>
    </row>
    <row r="2807">
      <c r="A2807" s="162"/>
      <c r="B2807" s="162"/>
      <c r="C2807" s="336"/>
    </row>
    <row r="2808">
      <c r="A2808" s="162"/>
      <c r="B2808" s="162"/>
      <c r="C2808" s="336"/>
    </row>
    <row r="2809">
      <c r="A2809" s="162"/>
      <c r="B2809" s="162"/>
      <c r="C2809" s="336"/>
    </row>
    <row r="2810">
      <c r="A2810" s="162"/>
      <c r="B2810" s="162"/>
      <c r="C2810" s="336"/>
    </row>
    <row r="2811">
      <c r="A2811" s="162"/>
      <c r="B2811" s="162"/>
      <c r="C2811" s="336"/>
    </row>
    <row r="2812">
      <c r="A2812" s="162"/>
      <c r="B2812" s="162"/>
      <c r="C2812" s="336"/>
    </row>
    <row r="2813">
      <c r="A2813" s="162"/>
      <c r="B2813" s="162"/>
      <c r="C2813" s="336"/>
    </row>
    <row r="2814">
      <c r="A2814" s="162"/>
      <c r="B2814" s="162"/>
      <c r="C2814" s="336"/>
    </row>
    <row r="2815">
      <c r="A2815" s="162"/>
      <c r="B2815" s="162"/>
      <c r="C2815" s="336"/>
    </row>
    <row r="2816">
      <c r="A2816" s="162"/>
      <c r="B2816" s="162"/>
      <c r="C2816" s="336"/>
    </row>
    <row r="2817">
      <c r="A2817" s="162"/>
      <c r="B2817" s="162"/>
      <c r="C2817" s="336"/>
    </row>
    <row r="2818">
      <c r="A2818" s="162"/>
      <c r="B2818" s="162"/>
      <c r="C2818" s="336"/>
    </row>
    <row r="2819">
      <c r="A2819" s="162"/>
      <c r="B2819" s="162"/>
      <c r="C2819" s="336"/>
    </row>
    <row r="2820">
      <c r="A2820" s="162"/>
      <c r="B2820" s="162"/>
      <c r="C2820" s="336"/>
    </row>
    <row r="2821">
      <c r="A2821" s="162"/>
      <c r="B2821" s="162"/>
      <c r="C2821" s="336"/>
    </row>
    <row r="2822">
      <c r="A2822" s="162"/>
      <c r="B2822" s="162"/>
      <c r="C2822" s="336"/>
    </row>
    <row r="2823">
      <c r="A2823" s="162"/>
      <c r="B2823" s="162"/>
      <c r="C2823" s="336"/>
    </row>
    <row r="2824">
      <c r="A2824" s="162"/>
      <c r="B2824" s="162"/>
      <c r="C2824" s="336"/>
    </row>
    <row r="2825">
      <c r="A2825" s="162"/>
      <c r="B2825" s="162"/>
      <c r="C2825" s="336"/>
    </row>
    <row r="2826">
      <c r="A2826" s="162"/>
      <c r="B2826" s="162"/>
      <c r="C2826" s="336"/>
    </row>
    <row r="2827">
      <c r="A2827" s="162"/>
      <c r="B2827" s="162"/>
      <c r="C2827" s="336"/>
    </row>
    <row r="2828">
      <c r="A2828" s="162"/>
      <c r="B2828" s="162"/>
      <c r="C2828" s="336"/>
    </row>
    <row r="2829">
      <c r="A2829" s="162"/>
      <c r="B2829" s="162"/>
      <c r="C2829" s="336"/>
    </row>
    <row r="2830">
      <c r="A2830" s="162"/>
      <c r="B2830" s="162"/>
      <c r="C2830" s="336"/>
    </row>
    <row r="2831">
      <c r="A2831" s="162"/>
      <c r="B2831" s="162"/>
      <c r="C2831" s="336"/>
    </row>
    <row r="2832">
      <c r="A2832" s="162"/>
      <c r="B2832" s="162"/>
      <c r="C2832" s="336"/>
    </row>
    <row r="2833">
      <c r="A2833" s="162"/>
      <c r="B2833" s="162"/>
      <c r="C2833" s="336"/>
    </row>
    <row r="2834">
      <c r="A2834" s="162"/>
      <c r="B2834" s="162"/>
      <c r="C2834" s="336"/>
    </row>
    <row r="2835">
      <c r="A2835" s="162"/>
      <c r="B2835" s="162"/>
      <c r="C2835" s="336"/>
    </row>
    <row r="2836">
      <c r="A2836" s="162"/>
      <c r="B2836" s="162"/>
      <c r="C2836" s="336"/>
    </row>
    <row r="2837">
      <c r="A2837" s="162"/>
      <c r="B2837" s="162"/>
      <c r="C2837" s="336"/>
    </row>
    <row r="2838">
      <c r="A2838" s="162"/>
      <c r="B2838" s="162"/>
      <c r="C2838" s="336"/>
    </row>
    <row r="2839">
      <c r="A2839" s="162"/>
      <c r="B2839" s="162"/>
      <c r="C2839" s="336"/>
    </row>
    <row r="2840">
      <c r="A2840" s="162"/>
      <c r="B2840" s="162"/>
      <c r="C2840" s="336"/>
    </row>
    <row r="2841">
      <c r="A2841" s="162"/>
      <c r="B2841" s="162"/>
      <c r="C2841" s="336"/>
    </row>
    <row r="2842">
      <c r="A2842" s="162"/>
      <c r="B2842" s="162"/>
      <c r="C2842" s="336"/>
    </row>
    <row r="2843">
      <c r="A2843" s="162"/>
      <c r="B2843" s="162"/>
      <c r="C2843" s="336"/>
    </row>
    <row r="2844">
      <c r="A2844" s="162"/>
      <c r="B2844" s="162"/>
      <c r="C2844" s="336"/>
    </row>
    <row r="2845">
      <c r="A2845" s="162"/>
      <c r="B2845" s="162"/>
      <c r="C2845" s="336"/>
    </row>
    <row r="2846">
      <c r="A2846" s="162"/>
      <c r="B2846" s="162"/>
      <c r="C2846" s="336"/>
    </row>
    <row r="2847">
      <c r="A2847" s="162"/>
      <c r="B2847" s="162"/>
      <c r="C2847" s="336"/>
    </row>
    <row r="2848">
      <c r="A2848" s="162"/>
      <c r="B2848" s="162"/>
      <c r="C2848" s="336"/>
    </row>
    <row r="2849">
      <c r="A2849" s="162"/>
      <c r="B2849" s="162"/>
      <c r="C2849" s="336"/>
    </row>
    <row r="2850">
      <c r="A2850" s="162"/>
      <c r="B2850" s="162"/>
      <c r="C2850" s="336"/>
    </row>
    <row r="2851">
      <c r="A2851" s="162"/>
      <c r="B2851" s="162"/>
      <c r="C2851" s="336"/>
    </row>
    <row r="2852">
      <c r="A2852" s="162"/>
      <c r="B2852" s="162"/>
      <c r="C2852" s="336"/>
    </row>
    <row r="2853">
      <c r="A2853" s="162"/>
      <c r="B2853" s="162"/>
      <c r="C2853" s="336"/>
    </row>
    <row r="2854">
      <c r="A2854" s="162"/>
      <c r="B2854" s="162"/>
      <c r="C2854" s="336"/>
    </row>
    <row r="2855">
      <c r="A2855" s="162"/>
      <c r="B2855" s="162"/>
      <c r="C2855" s="336"/>
    </row>
    <row r="2856">
      <c r="A2856" s="162"/>
      <c r="B2856" s="162"/>
      <c r="C2856" s="336"/>
    </row>
    <row r="2857">
      <c r="A2857" s="162"/>
      <c r="B2857" s="162"/>
      <c r="C2857" s="336"/>
    </row>
    <row r="2858">
      <c r="A2858" s="162"/>
      <c r="B2858" s="162"/>
      <c r="C2858" s="336"/>
    </row>
    <row r="2859">
      <c r="A2859" s="162"/>
      <c r="B2859" s="162"/>
      <c r="C2859" s="336"/>
    </row>
    <row r="2860">
      <c r="A2860" s="162"/>
      <c r="B2860" s="162"/>
      <c r="C2860" s="336"/>
    </row>
    <row r="2861">
      <c r="A2861" s="162"/>
      <c r="B2861" s="162"/>
      <c r="C2861" s="336"/>
    </row>
    <row r="2862">
      <c r="A2862" s="162"/>
      <c r="B2862" s="162"/>
      <c r="C2862" s="336"/>
    </row>
    <row r="2863">
      <c r="A2863" s="162"/>
      <c r="B2863" s="162"/>
      <c r="C2863" s="336"/>
    </row>
    <row r="2864">
      <c r="A2864" s="162"/>
      <c r="B2864" s="162"/>
      <c r="C2864" s="336"/>
    </row>
    <row r="2865">
      <c r="A2865" s="162"/>
      <c r="B2865" s="162"/>
      <c r="C2865" s="336"/>
    </row>
    <row r="2866">
      <c r="A2866" s="162"/>
      <c r="B2866" s="162"/>
      <c r="C2866" s="336"/>
    </row>
    <row r="2867">
      <c r="A2867" s="162"/>
      <c r="B2867" s="162"/>
      <c r="C2867" s="336"/>
    </row>
    <row r="2868">
      <c r="A2868" s="162"/>
      <c r="B2868" s="162"/>
      <c r="C2868" s="336"/>
    </row>
    <row r="2869">
      <c r="A2869" s="162"/>
      <c r="B2869" s="162"/>
      <c r="C2869" s="336"/>
    </row>
    <row r="2870">
      <c r="A2870" s="162"/>
      <c r="B2870" s="162"/>
      <c r="C2870" s="336"/>
    </row>
    <row r="2871">
      <c r="A2871" s="162"/>
      <c r="B2871" s="162"/>
      <c r="C2871" s="336"/>
    </row>
    <row r="2872">
      <c r="A2872" s="162"/>
      <c r="B2872" s="162"/>
      <c r="C2872" s="336"/>
    </row>
    <row r="2873">
      <c r="A2873" s="162"/>
      <c r="B2873" s="162"/>
      <c r="C2873" s="336"/>
    </row>
    <row r="2874">
      <c r="A2874" s="162"/>
      <c r="B2874" s="162"/>
      <c r="C2874" s="336"/>
    </row>
    <row r="2875">
      <c r="A2875" s="162"/>
      <c r="B2875" s="162"/>
      <c r="C2875" s="336"/>
    </row>
    <row r="2876">
      <c r="A2876" s="162"/>
      <c r="B2876" s="162"/>
      <c r="C2876" s="336"/>
    </row>
    <row r="2877">
      <c r="A2877" s="162"/>
      <c r="B2877" s="162"/>
      <c r="C2877" s="336"/>
    </row>
    <row r="2878">
      <c r="A2878" s="162"/>
      <c r="B2878" s="162"/>
      <c r="C2878" s="336"/>
    </row>
    <row r="2879">
      <c r="A2879" s="162"/>
      <c r="B2879" s="162"/>
      <c r="C2879" s="336"/>
    </row>
    <row r="2880">
      <c r="A2880" s="162"/>
      <c r="B2880" s="162"/>
      <c r="C2880" s="336"/>
    </row>
    <row r="2881">
      <c r="A2881" s="162"/>
      <c r="B2881" s="162"/>
      <c r="C2881" s="336"/>
    </row>
    <row r="2882">
      <c r="A2882" s="162"/>
      <c r="B2882" s="162"/>
      <c r="C2882" s="336"/>
    </row>
    <row r="2883">
      <c r="A2883" s="162"/>
      <c r="B2883" s="162"/>
      <c r="C2883" s="336"/>
    </row>
    <row r="2884">
      <c r="A2884" s="162"/>
      <c r="B2884" s="162"/>
      <c r="C2884" s="336"/>
    </row>
    <row r="2885">
      <c r="A2885" s="162"/>
      <c r="B2885" s="162"/>
      <c r="C2885" s="336"/>
    </row>
    <row r="2886">
      <c r="A2886" s="162"/>
      <c r="B2886" s="162"/>
      <c r="C2886" s="336"/>
    </row>
    <row r="2887">
      <c r="A2887" s="162"/>
      <c r="B2887" s="162"/>
      <c r="C2887" s="336"/>
    </row>
    <row r="2888">
      <c r="A2888" s="162"/>
      <c r="B2888" s="162"/>
      <c r="C2888" s="336"/>
    </row>
    <row r="2889">
      <c r="A2889" s="162"/>
      <c r="B2889" s="162"/>
      <c r="C2889" s="336"/>
    </row>
    <row r="2890">
      <c r="A2890" s="162"/>
      <c r="B2890" s="162"/>
      <c r="C2890" s="336"/>
    </row>
    <row r="2891">
      <c r="A2891" s="162"/>
      <c r="B2891" s="162"/>
      <c r="C2891" s="336"/>
    </row>
    <row r="2892">
      <c r="A2892" s="162"/>
      <c r="B2892" s="162"/>
      <c r="C2892" s="336"/>
    </row>
    <row r="2893">
      <c r="A2893" s="162"/>
      <c r="B2893" s="162"/>
      <c r="C2893" s="336"/>
    </row>
    <row r="2894">
      <c r="A2894" s="162"/>
      <c r="B2894" s="162"/>
      <c r="C2894" s="336"/>
    </row>
    <row r="2895">
      <c r="A2895" s="162"/>
      <c r="B2895" s="162"/>
      <c r="C2895" s="336"/>
    </row>
    <row r="2896">
      <c r="A2896" s="162"/>
      <c r="B2896" s="162"/>
      <c r="C2896" s="336"/>
    </row>
    <row r="2897">
      <c r="A2897" s="162"/>
      <c r="B2897" s="162"/>
      <c r="C2897" s="336"/>
    </row>
    <row r="2898">
      <c r="A2898" s="162"/>
      <c r="B2898" s="162"/>
      <c r="C2898" s="336"/>
    </row>
    <row r="2899">
      <c r="A2899" s="162"/>
      <c r="B2899" s="162"/>
      <c r="C2899" s="336"/>
    </row>
    <row r="2900">
      <c r="A2900" s="162"/>
      <c r="B2900" s="162"/>
      <c r="C2900" s="336"/>
    </row>
    <row r="2901">
      <c r="A2901" s="162"/>
      <c r="B2901" s="162"/>
      <c r="C2901" s="336"/>
    </row>
    <row r="2902">
      <c r="A2902" s="162"/>
      <c r="B2902" s="162"/>
      <c r="C2902" s="336"/>
    </row>
    <row r="2903">
      <c r="A2903" s="162"/>
      <c r="B2903" s="162"/>
      <c r="C2903" s="336"/>
    </row>
    <row r="2904">
      <c r="A2904" s="162"/>
      <c r="B2904" s="162"/>
      <c r="C2904" s="336"/>
    </row>
    <row r="2905">
      <c r="A2905" s="162"/>
      <c r="B2905" s="162"/>
      <c r="C2905" s="336"/>
    </row>
    <row r="2906">
      <c r="A2906" s="162"/>
      <c r="B2906" s="162"/>
      <c r="C2906" s="336"/>
    </row>
    <row r="2907">
      <c r="A2907" s="162"/>
      <c r="B2907" s="162"/>
      <c r="C2907" s="336"/>
    </row>
    <row r="2908">
      <c r="A2908" s="162"/>
      <c r="B2908" s="162"/>
      <c r="C2908" s="336"/>
    </row>
    <row r="2909">
      <c r="A2909" s="162"/>
      <c r="B2909" s="162"/>
      <c r="C2909" s="336"/>
    </row>
    <row r="2910">
      <c r="A2910" s="162"/>
      <c r="B2910" s="162"/>
      <c r="C2910" s="336"/>
    </row>
    <row r="2911">
      <c r="A2911" s="162"/>
      <c r="B2911" s="162"/>
      <c r="C2911" s="336"/>
    </row>
    <row r="2912">
      <c r="A2912" s="162"/>
      <c r="B2912" s="162"/>
      <c r="C2912" s="336"/>
    </row>
    <row r="2913">
      <c r="A2913" s="162"/>
      <c r="B2913" s="162"/>
      <c r="C2913" s="336"/>
    </row>
    <row r="2914">
      <c r="A2914" s="162"/>
      <c r="B2914" s="162"/>
      <c r="C2914" s="336"/>
    </row>
    <row r="2915">
      <c r="A2915" s="162"/>
      <c r="B2915" s="162"/>
      <c r="C2915" s="336"/>
    </row>
    <row r="2916">
      <c r="A2916" s="162"/>
      <c r="B2916" s="162"/>
      <c r="C2916" s="336"/>
    </row>
    <row r="2917">
      <c r="A2917" s="162"/>
      <c r="B2917" s="162"/>
      <c r="C2917" s="336"/>
    </row>
    <row r="2918">
      <c r="A2918" s="162"/>
      <c r="B2918" s="162"/>
      <c r="C2918" s="336"/>
    </row>
    <row r="2919">
      <c r="A2919" s="162"/>
      <c r="B2919" s="162"/>
      <c r="C2919" s="336"/>
    </row>
    <row r="2920">
      <c r="A2920" s="162"/>
      <c r="B2920" s="162"/>
      <c r="C2920" s="336"/>
    </row>
    <row r="2921">
      <c r="A2921" s="162"/>
      <c r="B2921" s="162"/>
      <c r="C2921" s="336"/>
    </row>
    <row r="2922">
      <c r="A2922" s="162"/>
      <c r="B2922" s="162"/>
      <c r="C2922" s="336"/>
    </row>
    <row r="2923">
      <c r="A2923" s="162"/>
      <c r="B2923" s="162"/>
      <c r="C2923" s="336"/>
    </row>
    <row r="2924">
      <c r="A2924" s="162"/>
      <c r="B2924" s="162"/>
      <c r="C2924" s="336"/>
    </row>
    <row r="2925">
      <c r="A2925" s="162"/>
      <c r="B2925" s="162"/>
      <c r="C2925" s="336"/>
    </row>
    <row r="2926">
      <c r="A2926" s="162"/>
      <c r="B2926" s="162"/>
      <c r="C2926" s="336"/>
    </row>
    <row r="2927">
      <c r="A2927" s="162"/>
      <c r="B2927" s="162"/>
      <c r="C2927" s="336"/>
    </row>
    <row r="2928">
      <c r="A2928" s="162"/>
      <c r="B2928" s="162"/>
      <c r="C2928" s="336"/>
    </row>
    <row r="2929">
      <c r="A2929" s="162"/>
      <c r="B2929" s="162"/>
      <c r="C2929" s="336"/>
    </row>
    <row r="2930">
      <c r="A2930" s="162"/>
      <c r="B2930" s="162"/>
      <c r="C2930" s="336"/>
    </row>
    <row r="2931">
      <c r="A2931" s="162"/>
      <c r="B2931" s="162"/>
      <c r="C2931" s="336"/>
    </row>
    <row r="2932">
      <c r="A2932" s="162"/>
      <c r="B2932" s="162"/>
      <c r="C2932" s="336"/>
    </row>
    <row r="2933">
      <c r="A2933" s="162"/>
      <c r="B2933" s="162"/>
      <c r="C2933" s="336"/>
    </row>
    <row r="2934">
      <c r="A2934" s="162"/>
      <c r="B2934" s="162"/>
      <c r="C2934" s="336"/>
    </row>
    <row r="2935">
      <c r="A2935" s="162"/>
      <c r="B2935" s="162"/>
      <c r="C2935" s="336"/>
    </row>
    <row r="2936">
      <c r="A2936" s="162"/>
      <c r="B2936" s="162"/>
      <c r="C2936" s="336"/>
    </row>
    <row r="2937">
      <c r="A2937" s="162"/>
      <c r="B2937" s="162"/>
      <c r="C2937" s="336"/>
    </row>
    <row r="2938">
      <c r="A2938" s="162"/>
      <c r="B2938" s="162"/>
      <c r="C2938" s="336"/>
    </row>
    <row r="2939">
      <c r="A2939" s="162"/>
      <c r="B2939" s="162"/>
      <c r="C2939" s="336"/>
    </row>
    <row r="2940">
      <c r="A2940" s="162"/>
      <c r="B2940" s="162"/>
      <c r="C2940" s="336"/>
    </row>
    <row r="2941">
      <c r="A2941" s="162"/>
      <c r="B2941" s="162"/>
      <c r="C2941" s="336"/>
    </row>
    <row r="2942">
      <c r="A2942" s="162"/>
      <c r="B2942" s="162"/>
      <c r="C2942" s="336"/>
    </row>
    <row r="2943">
      <c r="A2943" s="162"/>
      <c r="B2943" s="162"/>
      <c r="C2943" s="336"/>
    </row>
    <row r="2944">
      <c r="A2944" s="162"/>
      <c r="B2944" s="162"/>
      <c r="C2944" s="336"/>
    </row>
    <row r="2945">
      <c r="A2945" s="162"/>
      <c r="B2945" s="162"/>
      <c r="C2945" s="336"/>
    </row>
    <row r="2946">
      <c r="A2946" s="162"/>
      <c r="B2946" s="162"/>
      <c r="C2946" s="336"/>
    </row>
    <row r="2947">
      <c r="A2947" s="162"/>
      <c r="B2947" s="162"/>
      <c r="C2947" s="336"/>
    </row>
    <row r="2948">
      <c r="A2948" s="162"/>
      <c r="B2948" s="162"/>
      <c r="C2948" s="336"/>
    </row>
    <row r="2949">
      <c r="A2949" s="162"/>
      <c r="B2949" s="162"/>
      <c r="C2949" s="336"/>
    </row>
    <row r="2950">
      <c r="A2950" s="162"/>
      <c r="B2950" s="162"/>
      <c r="C2950" s="336"/>
    </row>
    <row r="2951">
      <c r="A2951" s="162"/>
      <c r="B2951" s="162"/>
      <c r="C2951" s="336"/>
    </row>
    <row r="2952">
      <c r="A2952" s="162"/>
      <c r="B2952" s="162"/>
      <c r="C2952" s="336"/>
    </row>
    <row r="2953">
      <c r="A2953" s="162"/>
      <c r="B2953" s="162"/>
      <c r="C2953" s="336"/>
    </row>
    <row r="2954">
      <c r="A2954" s="162"/>
      <c r="B2954" s="162"/>
      <c r="C2954" s="336"/>
    </row>
    <row r="2955">
      <c r="A2955" s="162"/>
      <c r="B2955" s="162"/>
      <c r="C2955" s="336"/>
    </row>
    <row r="2956">
      <c r="A2956" s="162"/>
      <c r="B2956" s="162"/>
      <c r="C2956" s="336"/>
    </row>
    <row r="2957">
      <c r="A2957" s="162"/>
      <c r="B2957" s="162"/>
      <c r="C2957" s="336"/>
    </row>
    <row r="2958">
      <c r="A2958" s="162"/>
      <c r="B2958" s="162"/>
      <c r="C2958" s="336"/>
    </row>
    <row r="2959">
      <c r="A2959" s="162"/>
      <c r="B2959" s="162"/>
      <c r="C2959" s="336"/>
    </row>
    <row r="2960">
      <c r="A2960" s="162"/>
      <c r="B2960" s="162"/>
      <c r="C2960" s="336"/>
    </row>
    <row r="2961">
      <c r="A2961" s="162"/>
      <c r="B2961" s="162"/>
      <c r="C2961" s="336"/>
    </row>
    <row r="2962">
      <c r="A2962" s="162"/>
      <c r="B2962" s="162"/>
      <c r="C2962" s="336"/>
    </row>
    <row r="2963">
      <c r="A2963" s="162"/>
      <c r="B2963" s="162"/>
      <c r="C2963" s="336"/>
    </row>
    <row r="2964">
      <c r="A2964" s="162"/>
      <c r="B2964" s="162"/>
      <c r="C2964" s="336"/>
    </row>
    <row r="2965">
      <c r="A2965" s="162"/>
      <c r="B2965" s="162"/>
      <c r="C2965" s="336"/>
    </row>
    <row r="2966">
      <c r="A2966" s="162"/>
      <c r="B2966" s="162"/>
      <c r="C2966" s="336"/>
    </row>
    <row r="2967">
      <c r="A2967" s="162"/>
      <c r="B2967" s="162"/>
      <c r="C2967" s="336"/>
    </row>
    <row r="2968">
      <c r="A2968" s="162"/>
      <c r="B2968" s="162"/>
      <c r="C2968" s="336"/>
    </row>
    <row r="2969">
      <c r="A2969" s="162"/>
      <c r="B2969" s="162"/>
      <c r="C2969" s="336"/>
    </row>
    <row r="2970">
      <c r="A2970" s="162"/>
      <c r="B2970" s="162"/>
      <c r="C2970" s="336"/>
    </row>
    <row r="2971">
      <c r="A2971" s="162"/>
      <c r="B2971" s="162"/>
      <c r="C2971" s="336"/>
    </row>
    <row r="2972">
      <c r="A2972" s="162"/>
      <c r="B2972" s="162"/>
      <c r="C2972" s="336"/>
    </row>
    <row r="2973">
      <c r="A2973" s="162"/>
      <c r="B2973" s="162"/>
      <c r="C2973" s="336"/>
    </row>
    <row r="2974">
      <c r="A2974" s="162"/>
      <c r="B2974" s="162"/>
      <c r="C2974" s="336"/>
    </row>
    <row r="2975">
      <c r="A2975" s="162"/>
      <c r="B2975" s="162"/>
      <c r="C2975" s="336"/>
    </row>
    <row r="2976">
      <c r="A2976" s="162"/>
      <c r="B2976" s="162"/>
      <c r="C2976" s="336"/>
    </row>
    <row r="2977">
      <c r="A2977" s="162"/>
      <c r="B2977" s="162"/>
      <c r="C2977" s="336"/>
    </row>
    <row r="2978">
      <c r="A2978" s="162"/>
      <c r="B2978" s="162"/>
      <c r="C2978" s="336"/>
    </row>
    <row r="2979">
      <c r="A2979" s="162"/>
      <c r="B2979" s="162"/>
      <c r="C2979" s="336"/>
    </row>
    <row r="2980">
      <c r="A2980" s="162"/>
      <c r="B2980" s="162"/>
      <c r="C2980" s="336"/>
    </row>
    <row r="2981">
      <c r="A2981" s="162"/>
      <c r="B2981" s="162"/>
      <c r="C2981" s="336"/>
    </row>
    <row r="2982">
      <c r="A2982" s="162"/>
      <c r="B2982" s="162"/>
      <c r="C2982" s="336"/>
    </row>
    <row r="2983">
      <c r="A2983" s="162"/>
      <c r="B2983" s="162"/>
      <c r="C2983" s="336"/>
    </row>
    <row r="2984">
      <c r="A2984" s="162"/>
      <c r="B2984" s="162"/>
      <c r="C2984" s="336"/>
    </row>
    <row r="2985">
      <c r="A2985" s="162"/>
      <c r="B2985" s="162"/>
      <c r="C2985" s="336"/>
    </row>
    <row r="2986">
      <c r="A2986" s="162"/>
      <c r="B2986" s="162"/>
      <c r="C2986" s="336"/>
    </row>
    <row r="2987">
      <c r="A2987" s="162"/>
      <c r="B2987" s="162"/>
      <c r="C2987" s="336"/>
    </row>
    <row r="2988">
      <c r="A2988" s="162"/>
      <c r="B2988" s="162"/>
      <c r="C2988" s="336"/>
    </row>
    <row r="2989">
      <c r="A2989" s="162"/>
      <c r="B2989" s="162"/>
      <c r="C2989" s="336"/>
    </row>
    <row r="2990">
      <c r="A2990" s="162"/>
      <c r="B2990" s="162"/>
      <c r="C2990" s="336"/>
    </row>
    <row r="2991">
      <c r="A2991" s="162"/>
      <c r="B2991" s="162"/>
      <c r="C2991" s="336"/>
    </row>
    <row r="2992">
      <c r="A2992" s="162"/>
      <c r="B2992" s="162"/>
      <c r="C2992" s="336"/>
    </row>
    <row r="2993">
      <c r="A2993" s="162"/>
      <c r="B2993" s="162"/>
      <c r="C2993" s="336"/>
    </row>
    <row r="2994">
      <c r="A2994" s="162"/>
      <c r="B2994" s="162"/>
      <c r="C2994" s="336"/>
    </row>
    <row r="2995">
      <c r="A2995" s="162"/>
      <c r="B2995" s="162"/>
      <c r="C2995" s="336"/>
    </row>
    <row r="2996">
      <c r="A2996" s="162"/>
      <c r="B2996" s="162"/>
      <c r="C2996" s="336"/>
    </row>
    <row r="2997">
      <c r="A2997" s="162"/>
      <c r="B2997" s="162"/>
      <c r="C2997" s="336"/>
    </row>
    <row r="2998">
      <c r="A2998" s="162"/>
      <c r="B2998" s="162"/>
      <c r="C2998" s="336"/>
    </row>
    <row r="2999">
      <c r="A2999" s="162"/>
      <c r="B2999" s="162"/>
      <c r="C2999" s="336"/>
    </row>
    <row r="3000">
      <c r="A3000" s="162"/>
      <c r="B3000" s="162"/>
      <c r="C3000" s="336"/>
    </row>
    <row r="3001">
      <c r="A3001" s="162"/>
      <c r="B3001" s="162"/>
      <c r="C3001" s="336"/>
    </row>
    <row r="3002">
      <c r="A3002" s="162"/>
      <c r="B3002" s="162"/>
      <c r="C3002" s="336"/>
    </row>
    <row r="3003">
      <c r="A3003" s="162"/>
      <c r="B3003" s="162"/>
      <c r="C3003" s="336"/>
    </row>
    <row r="3004">
      <c r="A3004" s="162"/>
      <c r="B3004" s="162"/>
      <c r="C3004" s="336"/>
    </row>
    <row r="3005">
      <c r="A3005" s="162"/>
      <c r="B3005" s="162"/>
      <c r="C3005" s="336"/>
    </row>
    <row r="3006">
      <c r="A3006" s="162"/>
      <c r="B3006" s="162"/>
      <c r="C3006" s="336"/>
    </row>
    <row r="3007">
      <c r="A3007" s="162"/>
      <c r="B3007" s="162"/>
      <c r="C3007" s="336"/>
    </row>
    <row r="3008">
      <c r="A3008" s="162"/>
      <c r="B3008" s="162"/>
      <c r="C3008" s="336"/>
    </row>
    <row r="3009">
      <c r="A3009" s="162"/>
      <c r="B3009" s="162"/>
      <c r="C3009" s="336"/>
    </row>
    <row r="3010">
      <c r="A3010" s="162"/>
      <c r="B3010" s="162"/>
      <c r="C3010" s="336"/>
    </row>
    <row r="3011">
      <c r="A3011" s="162"/>
      <c r="B3011" s="162"/>
      <c r="C3011" s="336"/>
    </row>
    <row r="3012">
      <c r="A3012" s="162"/>
      <c r="B3012" s="162"/>
      <c r="C3012" s="336"/>
    </row>
    <row r="3013">
      <c r="A3013" s="162"/>
      <c r="B3013" s="162"/>
      <c r="C3013" s="336"/>
    </row>
    <row r="3014">
      <c r="A3014" s="162"/>
      <c r="B3014" s="162"/>
      <c r="C3014" s="336"/>
    </row>
    <row r="3015">
      <c r="A3015" s="162"/>
      <c r="B3015" s="162"/>
      <c r="C3015" s="336"/>
    </row>
    <row r="3016">
      <c r="A3016" s="162"/>
      <c r="B3016" s="162"/>
      <c r="C3016" s="336"/>
    </row>
    <row r="3017">
      <c r="A3017" s="162"/>
      <c r="B3017" s="162"/>
      <c r="C3017" s="336"/>
    </row>
    <row r="3018">
      <c r="A3018" s="162"/>
      <c r="B3018" s="162"/>
      <c r="C3018" s="336"/>
    </row>
    <row r="3019">
      <c r="A3019" s="162"/>
      <c r="B3019" s="162"/>
      <c r="C3019" s="336"/>
    </row>
    <row r="3020">
      <c r="A3020" s="162"/>
      <c r="B3020" s="162"/>
      <c r="C3020" s="336"/>
    </row>
    <row r="3021">
      <c r="A3021" s="162"/>
      <c r="B3021" s="162"/>
      <c r="C3021" s="336"/>
    </row>
    <row r="3022">
      <c r="A3022" s="162"/>
      <c r="B3022" s="162"/>
      <c r="C3022" s="336"/>
    </row>
    <row r="3023">
      <c r="A3023" s="162"/>
      <c r="B3023" s="162"/>
      <c r="C3023" s="336"/>
    </row>
    <row r="3024">
      <c r="A3024" s="162"/>
      <c r="B3024" s="162"/>
      <c r="C3024" s="336"/>
    </row>
    <row r="3025">
      <c r="A3025" s="162"/>
      <c r="B3025" s="162"/>
      <c r="C3025" s="336"/>
    </row>
    <row r="3026">
      <c r="A3026" s="162"/>
      <c r="B3026" s="162"/>
      <c r="C3026" s="336"/>
    </row>
    <row r="3027">
      <c r="A3027" s="162"/>
      <c r="B3027" s="162"/>
      <c r="C3027" s="336"/>
    </row>
    <row r="3028">
      <c r="A3028" s="162"/>
      <c r="B3028" s="162"/>
      <c r="C3028" s="336"/>
    </row>
    <row r="3029">
      <c r="A3029" s="162"/>
      <c r="B3029" s="162"/>
      <c r="C3029" s="336"/>
    </row>
    <row r="3030">
      <c r="A3030" s="162"/>
      <c r="B3030" s="162"/>
      <c r="C3030" s="336"/>
    </row>
    <row r="3031">
      <c r="A3031" s="162"/>
      <c r="B3031" s="162"/>
      <c r="C3031" s="336"/>
    </row>
    <row r="3032">
      <c r="A3032" s="162"/>
      <c r="B3032" s="162"/>
      <c r="C3032" s="336"/>
    </row>
    <row r="3033">
      <c r="A3033" s="162"/>
      <c r="B3033" s="162"/>
      <c r="C3033" s="336"/>
    </row>
    <row r="3034">
      <c r="A3034" s="162"/>
      <c r="B3034" s="162"/>
      <c r="C3034" s="336"/>
    </row>
    <row r="3035">
      <c r="A3035" s="162"/>
      <c r="B3035" s="162"/>
      <c r="C3035" s="336"/>
    </row>
    <row r="3036">
      <c r="A3036" s="162"/>
      <c r="B3036" s="162"/>
      <c r="C3036" s="336"/>
    </row>
    <row r="3037">
      <c r="A3037" s="162"/>
      <c r="B3037" s="162"/>
      <c r="C3037" s="336"/>
    </row>
    <row r="3038">
      <c r="A3038" s="162"/>
      <c r="B3038" s="162"/>
      <c r="C3038" s="336"/>
    </row>
    <row r="3039">
      <c r="A3039" s="162"/>
      <c r="B3039" s="162"/>
      <c r="C3039" s="336"/>
    </row>
    <row r="3040">
      <c r="A3040" s="162"/>
      <c r="B3040" s="162"/>
      <c r="C3040" s="336"/>
    </row>
    <row r="3041">
      <c r="A3041" s="162"/>
      <c r="B3041" s="162"/>
      <c r="C3041" s="336"/>
    </row>
    <row r="3042">
      <c r="A3042" s="162"/>
      <c r="B3042" s="162"/>
      <c r="C3042" s="336"/>
    </row>
    <row r="3043">
      <c r="A3043" s="162"/>
      <c r="B3043" s="162"/>
      <c r="C3043" s="336"/>
    </row>
    <row r="3044">
      <c r="A3044" s="162"/>
      <c r="B3044" s="162"/>
      <c r="C3044" s="336"/>
    </row>
    <row r="3045">
      <c r="A3045" s="162"/>
      <c r="B3045" s="162"/>
      <c r="C3045" s="336"/>
    </row>
    <row r="3046">
      <c r="A3046" s="162"/>
      <c r="B3046" s="162"/>
      <c r="C3046" s="336"/>
    </row>
    <row r="3047">
      <c r="A3047" s="162"/>
      <c r="B3047" s="162"/>
      <c r="C3047" s="336"/>
    </row>
    <row r="3048">
      <c r="A3048" s="162"/>
      <c r="B3048" s="162"/>
      <c r="C3048" s="336"/>
    </row>
    <row r="3049">
      <c r="A3049" s="162"/>
      <c r="B3049" s="162"/>
      <c r="C3049" s="336"/>
    </row>
    <row r="3050">
      <c r="A3050" s="162"/>
      <c r="B3050" s="162"/>
      <c r="C3050" s="336"/>
    </row>
    <row r="3051">
      <c r="A3051" s="162"/>
      <c r="B3051" s="162"/>
      <c r="C3051" s="336"/>
    </row>
    <row r="3052">
      <c r="A3052" s="162"/>
      <c r="B3052" s="162"/>
      <c r="C3052" s="336"/>
    </row>
    <row r="3053">
      <c r="A3053" s="162"/>
      <c r="B3053" s="162"/>
      <c r="C3053" s="336"/>
    </row>
    <row r="3054">
      <c r="A3054" s="162"/>
      <c r="B3054" s="162"/>
      <c r="C3054" s="336"/>
    </row>
    <row r="3055">
      <c r="A3055" s="162"/>
      <c r="B3055" s="162"/>
      <c r="C3055" s="336"/>
    </row>
    <row r="3056">
      <c r="A3056" s="162"/>
      <c r="B3056" s="162"/>
      <c r="C3056" s="336"/>
    </row>
    <row r="3057">
      <c r="A3057" s="162"/>
      <c r="B3057" s="162"/>
      <c r="C3057" s="336"/>
    </row>
    <row r="3058">
      <c r="A3058" s="162"/>
      <c r="B3058" s="162"/>
      <c r="C3058" s="336"/>
    </row>
    <row r="3059">
      <c r="A3059" s="162"/>
      <c r="B3059" s="162"/>
      <c r="C3059" s="336"/>
    </row>
    <row r="3060">
      <c r="A3060" s="162"/>
      <c r="B3060" s="162"/>
      <c r="C3060" s="336"/>
    </row>
    <row r="3061">
      <c r="A3061" s="162"/>
      <c r="B3061" s="162"/>
      <c r="C3061" s="336"/>
    </row>
    <row r="3062">
      <c r="A3062" s="162"/>
      <c r="B3062" s="162"/>
      <c r="C3062" s="336"/>
    </row>
    <row r="3063">
      <c r="A3063" s="162"/>
      <c r="B3063" s="162"/>
      <c r="C3063" s="336"/>
    </row>
    <row r="3064">
      <c r="A3064" s="162"/>
      <c r="B3064" s="162"/>
      <c r="C3064" s="336"/>
    </row>
    <row r="3065">
      <c r="A3065" s="162"/>
      <c r="B3065" s="162"/>
      <c r="C3065" s="336"/>
    </row>
    <row r="3066">
      <c r="A3066" s="162"/>
      <c r="B3066" s="162"/>
      <c r="C3066" s="336"/>
    </row>
    <row r="3067">
      <c r="A3067" s="162"/>
      <c r="B3067" s="162"/>
      <c r="C3067" s="336"/>
    </row>
    <row r="3068">
      <c r="A3068" s="162"/>
      <c r="B3068" s="162"/>
      <c r="C3068" s="336"/>
    </row>
    <row r="3069">
      <c r="A3069" s="162"/>
      <c r="B3069" s="162"/>
      <c r="C3069" s="336"/>
    </row>
    <row r="3070">
      <c r="A3070" s="162"/>
      <c r="B3070" s="162"/>
      <c r="C3070" s="336"/>
    </row>
    <row r="3071">
      <c r="A3071" s="162"/>
      <c r="B3071" s="162"/>
      <c r="C3071" s="336"/>
    </row>
    <row r="3072">
      <c r="A3072" s="162"/>
      <c r="B3072" s="162"/>
      <c r="C3072" s="336"/>
    </row>
    <row r="3073">
      <c r="A3073" s="162"/>
      <c r="B3073" s="162"/>
      <c r="C3073" s="336"/>
    </row>
    <row r="3074">
      <c r="A3074" s="162"/>
      <c r="B3074" s="162"/>
      <c r="C3074" s="336"/>
    </row>
    <row r="3075">
      <c r="A3075" s="162"/>
      <c r="B3075" s="162"/>
      <c r="C3075" s="336"/>
    </row>
    <row r="3076">
      <c r="A3076" s="162"/>
      <c r="B3076" s="162"/>
      <c r="C3076" s="336"/>
    </row>
    <row r="3077">
      <c r="A3077" s="162"/>
      <c r="B3077" s="162"/>
      <c r="C3077" s="336"/>
    </row>
    <row r="3078">
      <c r="A3078" s="162"/>
      <c r="B3078" s="162"/>
      <c r="C3078" s="336"/>
    </row>
    <row r="3079">
      <c r="A3079" s="162"/>
      <c r="B3079" s="162"/>
      <c r="C3079" s="336"/>
    </row>
    <row r="3080">
      <c r="A3080" s="162"/>
      <c r="B3080" s="162"/>
      <c r="C3080" s="336"/>
    </row>
    <row r="3081">
      <c r="A3081" s="162"/>
      <c r="B3081" s="162"/>
      <c r="C3081" s="336"/>
    </row>
    <row r="3082">
      <c r="A3082" s="162"/>
      <c r="B3082" s="162"/>
      <c r="C3082" s="336"/>
    </row>
    <row r="3083">
      <c r="A3083" s="162"/>
      <c r="B3083" s="162"/>
      <c r="C3083" s="336"/>
    </row>
    <row r="3084">
      <c r="A3084" s="162"/>
      <c r="B3084" s="162"/>
      <c r="C3084" s="336"/>
    </row>
    <row r="3085">
      <c r="A3085" s="162"/>
      <c r="B3085" s="162"/>
      <c r="C3085" s="336"/>
    </row>
    <row r="3086">
      <c r="A3086" s="162"/>
      <c r="B3086" s="162"/>
      <c r="C3086" s="336"/>
    </row>
    <row r="3087">
      <c r="A3087" s="162"/>
      <c r="B3087" s="162"/>
      <c r="C3087" s="336"/>
    </row>
    <row r="3088">
      <c r="A3088" s="162"/>
      <c r="B3088" s="162"/>
      <c r="C3088" s="336"/>
    </row>
    <row r="3089">
      <c r="A3089" s="162"/>
      <c r="B3089" s="162"/>
      <c r="C3089" s="336"/>
    </row>
    <row r="3090">
      <c r="A3090" s="162"/>
      <c r="B3090" s="162"/>
      <c r="C3090" s="336"/>
    </row>
    <row r="3091">
      <c r="A3091" s="162"/>
      <c r="B3091" s="162"/>
      <c r="C3091" s="336"/>
    </row>
    <row r="3092">
      <c r="A3092" s="162"/>
      <c r="B3092" s="162"/>
      <c r="C3092" s="336"/>
    </row>
    <row r="3093">
      <c r="A3093" s="162"/>
      <c r="B3093" s="162"/>
      <c r="C3093" s="336"/>
    </row>
    <row r="3094">
      <c r="A3094" s="162"/>
      <c r="B3094" s="162"/>
      <c r="C3094" s="336"/>
    </row>
    <row r="3095">
      <c r="A3095" s="162"/>
      <c r="B3095" s="162"/>
      <c r="C3095" s="336"/>
    </row>
    <row r="3096">
      <c r="A3096" s="162"/>
      <c r="B3096" s="162"/>
      <c r="C3096" s="336"/>
    </row>
    <row r="3097">
      <c r="A3097" s="162"/>
      <c r="B3097" s="162"/>
      <c r="C3097" s="336"/>
    </row>
    <row r="3098">
      <c r="A3098" s="162"/>
      <c r="B3098" s="162"/>
      <c r="C3098" s="336"/>
    </row>
    <row r="3099">
      <c r="A3099" s="162"/>
      <c r="B3099" s="162"/>
      <c r="C3099" s="336"/>
    </row>
    <row r="3100">
      <c r="A3100" s="162"/>
      <c r="B3100" s="162"/>
      <c r="C3100" s="336"/>
    </row>
    <row r="3101">
      <c r="A3101" s="162"/>
      <c r="B3101" s="162"/>
      <c r="C3101" s="336"/>
    </row>
    <row r="3102">
      <c r="A3102" s="162"/>
      <c r="B3102" s="162"/>
      <c r="C3102" s="336"/>
    </row>
    <row r="3103">
      <c r="A3103" s="162"/>
      <c r="B3103" s="162"/>
      <c r="C3103" s="336"/>
    </row>
    <row r="3104">
      <c r="A3104" s="162"/>
      <c r="B3104" s="162"/>
      <c r="C3104" s="336"/>
    </row>
    <row r="3105">
      <c r="A3105" s="162"/>
      <c r="B3105" s="162"/>
      <c r="C3105" s="336"/>
    </row>
    <row r="3106">
      <c r="A3106" s="162"/>
      <c r="B3106" s="162"/>
      <c r="C3106" s="336"/>
    </row>
    <row r="3107">
      <c r="A3107" s="162"/>
      <c r="B3107" s="162"/>
      <c r="C3107" s="336"/>
    </row>
    <row r="3108">
      <c r="A3108" s="162"/>
      <c r="B3108" s="162"/>
      <c r="C3108" s="336"/>
    </row>
    <row r="3109">
      <c r="A3109" s="162"/>
      <c r="B3109" s="162"/>
      <c r="C3109" s="336"/>
    </row>
    <row r="3110">
      <c r="A3110" s="162"/>
      <c r="B3110" s="162"/>
      <c r="C3110" s="336"/>
    </row>
    <row r="3111">
      <c r="A3111" s="162"/>
      <c r="B3111" s="162"/>
      <c r="C3111" s="336"/>
    </row>
    <row r="3112">
      <c r="A3112" s="162"/>
      <c r="B3112" s="162"/>
      <c r="C3112" s="336"/>
    </row>
    <row r="3113">
      <c r="A3113" s="162"/>
      <c r="B3113" s="162"/>
      <c r="C3113" s="336"/>
    </row>
    <row r="3114">
      <c r="A3114" s="162"/>
      <c r="B3114" s="162"/>
      <c r="C3114" s="336"/>
    </row>
    <row r="3115">
      <c r="A3115" s="162"/>
      <c r="B3115" s="162"/>
      <c r="C3115" s="336"/>
    </row>
    <row r="3116">
      <c r="A3116" s="162"/>
      <c r="B3116" s="162"/>
      <c r="C3116" s="336"/>
    </row>
    <row r="3117">
      <c r="A3117" s="162"/>
      <c r="B3117" s="162"/>
      <c r="C3117" s="336"/>
    </row>
    <row r="3118">
      <c r="A3118" s="162"/>
      <c r="B3118" s="162"/>
      <c r="C3118" s="336"/>
    </row>
    <row r="3119">
      <c r="A3119" s="162"/>
      <c r="B3119" s="162"/>
      <c r="C3119" s="336"/>
    </row>
    <row r="3120">
      <c r="A3120" s="162"/>
      <c r="B3120" s="162"/>
      <c r="C3120" s="336"/>
    </row>
    <row r="3121">
      <c r="A3121" s="162"/>
      <c r="B3121" s="162"/>
      <c r="C3121" s="336"/>
    </row>
    <row r="3122">
      <c r="A3122" s="162"/>
      <c r="B3122" s="162"/>
      <c r="C3122" s="336"/>
    </row>
    <row r="3123">
      <c r="A3123" s="162"/>
      <c r="B3123" s="162"/>
      <c r="C3123" s="336"/>
    </row>
    <row r="3124">
      <c r="A3124" s="162"/>
      <c r="B3124" s="162"/>
      <c r="C3124" s="336"/>
    </row>
    <row r="3125">
      <c r="A3125" s="162"/>
      <c r="B3125" s="162"/>
      <c r="C3125" s="336"/>
    </row>
    <row r="3126">
      <c r="A3126" s="162"/>
      <c r="B3126" s="162"/>
      <c r="C3126" s="336"/>
    </row>
    <row r="3127">
      <c r="A3127" s="162"/>
      <c r="B3127" s="162"/>
      <c r="C3127" s="336"/>
    </row>
    <row r="3128">
      <c r="A3128" s="162"/>
      <c r="B3128" s="162"/>
      <c r="C3128" s="336"/>
    </row>
    <row r="3129">
      <c r="A3129" s="162"/>
      <c r="B3129" s="162"/>
      <c r="C3129" s="336"/>
    </row>
    <row r="3130">
      <c r="A3130" s="162"/>
      <c r="B3130" s="162"/>
      <c r="C3130" s="336"/>
    </row>
    <row r="3131">
      <c r="A3131" s="162"/>
      <c r="B3131" s="162"/>
      <c r="C3131" s="336"/>
    </row>
    <row r="3132">
      <c r="A3132" s="162"/>
      <c r="B3132" s="162"/>
      <c r="C3132" s="336"/>
    </row>
    <row r="3133">
      <c r="A3133" s="162"/>
      <c r="B3133" s="162"/>
      <c r="C3133" s="336"/>
    </row>
    <row r="3134">
      <c r="A3134" s="162"/>
      <c r="B3134" s="162"/>
      <c r="C3134" s="336"/>
    </row>
    <row r="3135">
      <c r="A3135" s="162"/>
      <c r="B3135" s="162"/>
      <c r="C3135" s="336"/>
    </row>
    <row r="3136">
      <c r="A3136" s="162"/>
      <c r="B3136" s="162"/>
      <c r="C3136" s="336"/>
    </row>
    <row r="3137">
      <c r="A3137" s="162"/>
      <c r="B3137" s="162"/>
      <c r="C3137" s="336"/>
    </row>
    <row r="3138">
      <c r="A3138" s="162"/>
      <c r="B3138" s="162"/>
      <c r="C3138" s="336"/>
    </row>
    <row r="3139">
      <c r="A3139" s="162"/>
      <c r="B3139" s="162"/>
      <c r="C3139" s="336"/>
    </row>
    <row r="3140">
      <c r="A3140" s="162"/>
      <c r="B3140" s="162"/>
      <c r="C3140" s="336"/>
    </row>
    <row r="3141">
      <c r="A3141" s="162"/>
      <c r="B3141" s="162"/>
      <c r="C3141" s="336"/>
    </row>
    <row r="3142">
      <c r="A3142" s="162"/>
      <c r="B3142" s="162"/>
      <c r="C3142" s="336"/>
    </row>
    <row r="3143">
      <c r="A3143" s="162"/>
      <c r="B3143" s="162"/>
      <c r="C3143" s="336"/>
    </row>
    <row r="3144">
      <c r="A3144" s="162"/>
      <c r="B3144" s="162"/>
      <c r="C3144" s="336"/>
    </row>
    <row r="3145">
      <c r="A3145" s="162"/>
      <c r="B3145" s="162"/>
      <c r="C3145" s="336"/>
    </row>
    <row r="3146">
      <c r="A3146" s="162"/>
      <c r="B3146" s="162"/>
      <c r="C3146" s="336"/>
    </row>
    <row r="3147">
      <c r="A3147" s="162"/>
      <c r="B3147" s="162"/>
      <c r="C3147" s="336"/>
    </row>
    <row r="3148">
      <c r="A3148" s="162"/>
      <c r="B3148" s="162"/>
      <c r="C3148" s="336"/>
    </row>
    <row r="3149">
      <c r="A3149" s="162"/>
      <c r="B3149" s="162"/>
      <c r="C3149" s="336"/>
    </row>
    <row r="3150">
      <c r="A3150" s="162"/>
      <c r="B3150" s="162"/>
      <c r="C3150" s="336"/>
    </row>
    <row r="3151">
      <c r="A3151" s="162"/>
      <c r="B3151" s="162"/>
      <c r="C3151" s="336"/>
    </row>
    <row r="3152">
      <c r="A3152" s="162"/>
      <c r="B3152" s="162"/>
      <c r="C3152" s="336"/>
    </row>
    <row r="3153">
      <c r="A3153" s="162"/>
      <c r="B3153" s="162"/>
      <c r="C3153" s="336"/>
    </row>
    <row r="3154">
      <c r="A3154" s="162"/>
      <c r="B3154" s="162"/>
      <c r="C3154" s="336"/>
    </row>
    <row r="3155">
      <c r="A3155" s="162"/>
      <c r="B3155" s="162"/>
      <c r="C3155" s="336"/>
    </row>
    <row r="3156">
      <c r="A3156" s="162"/>
      <c r="B3156" s="162"/>
      <c r="C3156" s="336"/>
    </row>
    <row r="3157">
      <c r="A3157" s="162"/>
      <c r="B3157" s="162"/>
      <c r="C3157" s="336"/>
    </row>
    <row r="3158">
      <c r="A3158" s="162"/>
      <c r="B3158" s="162"/>
      <c r="C3158" s="336"/>
    </row>
    <row r="3159">
      <c r="A3159" s="162"/>
      <c r="B3159" s="162"/>
      <c r="C3159" s="336"/>
    </row>
    <row r="3160">
      <c r="A3160" s="162"/>
      <c r="B3160" s="162"/>
      <c r="C3160" s="336"/>
    </row>
    <row r="3161">
      <c r="A3161" s="162"/>
      <c r="B3161" s="162"/>
      <c r="C3161" s="336"/>
    </row>
    <row r="3162">
      <c r="A3162" s="162"/>
      <c r="B3162" s="162"/>
      <c r="C3162" s="336"/>
    </row>
    <row r="3163">
      <c r="A3163" s="162"/>
      <c r="B3163" s="162"/>
      <c r="C3163" s="336"/>
    </row>
    <row r="3164">
      <c r="A3164" s="162"/>
      <c r="B3164" s="162"/>
      <c r="C3164" s="336"/>
    </row>
    <row r="3165">
      <c r="A3165" s="162"/>
      <c r="B3165" s="162"/>
      <c r="C3165" s="336"/>
    </row>
    <row r="3166">
      <c r="A3166" s="162"/>
      <c r="B3166" s="162"/>
      <c r="C3166" s="336"/>
    </row>
    <row r="3167">
      <c r="A3167" s="162"/>
      <c r="B3167" s="162"/>
      <c r="C3167" s="336"/>
    </row>
    <row r="3168">
      <c r="A3168" s="162"/>
      <c r="B3168" s="162"/>
      <c r="C3168" s="336"/>
    </row>
    <row r="3169">
      <c r="A3169" s="162"/>
      <c r="B3169" s="162"/>
      <c r="C3169" s="336"/>
    </row>
    <row r="3170">
      <c r="A3170" s="162"/>
      <c r="B3170" s="162"/>
      <c r="C3170" s="336"/>
    </row>
    <row r="3171">
      <c r="A3171" s="162"/>
      <c r="B3171" s="162"/>
      <c r="C3171" s="336"/>
    </row>
    <row r="3172">
      <c r="A3172" s="162"/>
      <c r="B3172" s="162"/>
      <c r="C3172" s="336"/>
    </row>
    <row r="3173">
      <c r="A3173" s="162"/>
      <c r="B3173" s="162"/>
      <c r="C3173" s="336"/>
    </row>
    <row r="3174">
      <c r="A3174" s="162"/>
      <c r="B3174" s="162"/>
      <c r="C3174" s="336"/>
    </row>
    <row r="3175">
      <c r="A3175" s="162"/>
      <c r="B3175" s="162"/>
      <c r="C3175" s="336"/>
    </row>
    <row r="3176">
      <c r="A3176" s="162"/>
      <c r="B3176" s="162"/>
      <c r="C3176" s="336"/>
    </row>
    <row r="3177">
      <c r="A3177" s="162"/>
      <c r="B3177" s="162"/>
      <c r="C3177" s="336"/>
    </row>
    <row r="3178">
      <c r="A3178" s="162"/>
      <c r="B3178" s="162"/>
      <c r="C3178" s="336"/>
    </row>
    <row r="3179">
      <c r="A3179" s="162"/>
      <c r="B3179" s="162"/>
      <c r="C3179" s="336"/>
    </row>
    <row r="3180">
      <c r="A3180" s="162"/>
      <c r="B3180" s="162"/>
      <c r="C3180" s="336"/>
    </row>
    <row r="3181">
      <c r="A3181" s="162"/>
      <c r="B3181" s="162"/>
      <c r="C3181" s="336"/>
    </row>
    <row r="3182">
      <c r="A3182" s="162"/>
      <c r="B3182" s="162"/>
      <c r="C3182" s="336"/>
    </row>
    <row r="3183">
      <c r="A3183" s="162"/>
      <c r="B3183" s="162"/>
      <c r="C3183" s="336"/>
    </row>
    <row r="3184">
      <c r="A3184" s="162"/>
      <c r="B3184" s="162"/>
      <c r="C3184" s="336"/>
    </row>
    <row r="3185">
      <c r="A3185" s="162"/>
      <c r="B3185" s="162"/>
      <c r="C3185" s="336"/>
    </row>
    <row r="3186">
      <c r="A3186" s="162"/>
      <c r="B3186" s="162"/>
      <c r="C3186" s="336"/>
    </row>
    <row r="3187">
      <c r="A3187" s="162"/>
      <c r="B3187" s="162"/>
      <c r="C3187" s="336"/>
    </row>
    <row r="3188">
      <c r="A3188" s="162"/>
      <c r="B3188" s="162"/>
      <c r="C3188" s="336"/>
    </row>
    <row r="3189">
      <c r="A3189" s="162"/>
      <c r="B3189" s="162"/>
      <c r="C3189" s="336"/>
    </row>
    <row r="3190">
      <c r="A3190" s="162"/>
      <c r="B3190" s="162"/>
      <c r="C3190" s="336"/>
    </row>
    <row r="3191">
      <c r="A3191" s="162"/>
      <c r="B3191" s="162"/>
      <c r="C3191" s="336"/>
    </row>
    <row r="3192">
      <c r="A3192" s="162"/>
      <c r="B3192" s="162"/>
      <c r="C3192" s="336"/>
    </row>
    <row r="3193">
      <c r="A3193" s="162"/>
      <c r="B3193" s="162"/>
      <c r="C3193" s="336"/>
    </row>
    <row r="3194">
      <c r="A3194" s="162"/>
      <c r="B3194" s="162"/>
      <c r="C3194" s="336"/>
    </row>
    <row r="3195">
      <c r="A3195" s="162"/>
      <c r="B3195" s="162"/>
      <c r="C3195" s="336"/>
    </row>
    <row r="3196">
      <c r="A3196" s="162"/>
      <c r="B3196" s="162"/>
      <c r="C3196" s="336"/>
    </row>
    <row r="3197">
      <c r="A3197" s="162"/>
      <c r="B3197" s="162"/>
      <c r="C3197" s="336"/>
    </row>
    <row r="3198">
      <c r="A3198" s="162"/>
      <c r="B3198" s="162"/>
      <c r="C3198" s="336"/>
    </row>
    <row r="3199">
      <c r="A3199" s="162"/>
      <c r="B3199" s="162"/>
      <c r="C3199" s="336"/>
    </row>
    <row r="3200">
      <c r="A3200" s="162"/>
      <c r="B3200" s="162"/>
      <c r="C3200" s="336"/>
    </row>
    <row r="3201">
      <c r="A3201" s="162"/>
      <c r="B3201" s="162"/>
      <c r="C3201" s="336"/>
    </row>
    <row r="3202">
      <c r="A3202" s="162"/>
      <c r="B3202" s="162"/>
      <c r="C3202" s="336"/>
    </row>
    <row r="3203">
      <c r="A3203" s="162"/>
      <c r="B3203" s="162"/>
      <c r="C3203" s="336"/>
    </row>
    <row r="3204">
      <c r="A3204" s="162"/>
      <c r="B3204" s="162"/>
      <c r="C3204" s="336"/>
    </row>
    <row r="3205">
      <c r="A3205" s="162"/>
      <c r="B3205" s="162"/>
      <c r="C3205" s="336"/>
    </row>
    <row r="3206">
      <c r="A3206" s="162"/>
      <c r="B3206" s="162"/>
      <c r="C3206" s="336"/>
    </row>
    <row r="3207">
      <c r="A3207" s="162"/>
      <c r="B3207" s="162"/>
      <c r="C3207" s="336"/>
    </row>
    <row r="3208">
      <c r="A3208" s="162"/>
      <c r="B3208" s="162"/>
      <c r="C3208" s="336"/>
    </row>
    <row r="3209">
      <c r="A3209" s="162"/>
      <c r="B3209" s="162"/>
      <c r="C3209" s="336"/>
    </row>
    <row r="3210">
      <c r="A3210" s="162"/>
      <c r="B3210" s="162"/>
      <c r="C3210" s="336"/>
    </row>
    <row r="3211">
      <c r="A3211" s="162"/>
      <c r="B3211" s="162"/>
      <c r="C3211" s="336"/>
    </row>
    <row r="3212">
      <c r="A3212" s="162"/>
      <c r="B3212" s="162"/>
      <c r="C3212" s="336"/>
    </row>
    <row r="3213">
      <c r="A3213" s="162"/>
      <c r="B3213" s="162"/>
      <c r="C3213" s="336"/>
    </row>
    <row r="3214">
      <c r="A3214" s="162"/>
      <c r="B3214" s="162"/>
      <c r="C3214" s="336"/>
    </row>
    <row r="3215">
      <c r="A3215" s="162"/>
      <c r="B3215" s="162"/>
      <c r="C3215" s="336"/>
    </row>
    <row r="3216">
      <c r="A3216" s="162"/>
      <c r="B3216" s="162"/>
      <c r="C3216" s="336"/>
    </row>
    <row r="3217">
      <c r="A3217" s="162"/>
      <c r="B3217" s="162"/>
      <c r="C3217" s="336"/>
    </row>
    <row r="3218">
      <c r="A3218" s="162"/>
      <c r="B3218" s="162"/>
      <c r="C3218" s="336"/>
    </row>
    <row r="3219">
      <c r="A3219" s="162"/>
      <c r="B3219" s="162"/>
      <c r="C3219" s="336"/>
    </row>
    <row r="3220">
      <c r="A3220" s="162"/>
      <c r="B3220" s="162"/>
      <c r="C3220" s="336"/>
    </row>
    <row r="3221">
      <c r="A3221" s="162"/>
      <c r="B3221" s="162"/>
      <c r="C3221" s="336"/>
    </row>
    <row r="3222">
      <c r="A3222" s="162"/>
      <c r="B3222" s="162"/>
      <c r="C3222" s="336"/>
    </row>
    <row r="3223">
      <c r="A3223" s="162"/>
      <c r="B3223" s="162"/>
      <c r="C3223" s="336"/>
    </row>
    <row r="3224">
      <c r="A3224" s="162"/>
      <c r="B3224" s="162"/>
      <c r="C3224" s="336"/>
    </row>
    <row r="3225">
      <c r="A3225" s="162"/>
      <c r="B3225" s="162"/>
      <c r="C3225" s="336"/>
    </row>
    <row r="3226">
      <c r="A3226" s="162"/>
      <c r="B3226" s="162"/>
      <c r="C3226" s="336"/>
    </row>
    <row r="3227">
      <c r="A3227" s="162"/>
      <c r="B3227" s="162"/>
      <c r="C3227" s="336"/>
    </row>
    <row r="3228">
      <c r="A3228" s="162"/>
      <c r="B3228" s="162"/>
      <c r="C3228" s="336"/>
    </row>
    <row r="3229">
      <c r="A3229" s="162"/>
      <c r="B3229" s="162"/>
      <c r="C3229" s="336"/>
    </row>
    <row r="3230">
      <c r="A3230" s="162"/>
      <c r="B3230" s="162"/>
      <c r="C3230" s="336"/>
    </row>
    <row r="3231">
      <c r="A3231" s="162"/>
      <c r="B3231" s="162"/>
      <c r="C3231" s="336"/>
    </row>
    <row r="3232">
      <c r="A3232" s="162"/>
      <c r="B3232" s="162"/>
      <c r="C3232" s="336"/>
    </row>
    <row r="3233">
      <c r="A3233" s="162"/>
      <c r="B3233" s="162"/>
      <c r="C3233" s="336"/>
    </row>
    <row r="3234">
      <c r="A3234" s="162"/>
      <c r="B3234" s="162"/>
      <c r="C3234" s="336"/>
    </row>
    <row r="3235">
      <c r="A3235" s="162"/>
      <c r="B3235" s="162"/>
      <c r="C3235" s="336"/>
    </row>
    <row r="3236">
      <c r="A3236" s="162"/>
      <c r="B3236" s="162"/>
      <c r="C3236" s="336"/>
    </row>
    <row r="3237">
      <c r="A3237" s="162"/>
      <c r="B3237" s="162"/>
      <c r="C3237" s="336"/>
    </row>
    <row r="3238">
      <c r="A3238" s="162"/>
      <c r="B3238" s="162"/>
      <c r="C3238" s="336"/>
    </row>
    <row r="3239">
      <c r="A3239" s="162"/>
      <c r="B3239" s="162"/>
      <c r="C3239" s="336"/>
    </row>
    <row r="3240">
      <c r="A3240" s="162"/>
      <c r="B3240" s="162"/>
      <c r="C3240" s="336"/>
    </row>
    <row r="3241">
      <c r="A3241" s="162"/>
      <c r="B3241" s="162"/>
      <c r="C3241" s="336"/>
    </row>
    <row r="3242">
      <c r="A3242" s="162"/>
      <c r="B3242" s="162"/>
      <c r="C3242" s="336"/>
    </row>
    <row r="3243">
      <c r="A3243" s="162"/>
      <c r="B3243" s="162"/>
      <c r="C3243" s="336"/>
    </row>
    <row r="3244">
      <c r="A3244" s="162"/>
      <c r="B3244" s="162"/>
      <c r="C3244" s="336"/>
    </row>
    <row r="3245">
      <c r="A3245" s="162"/>
      <c r="B3245" s="162"/>
      <c r="C3245" s="336"/>
    </row>
    <row r="3246">
      <c r="A3246" s="162"/>
      <c r="B3246" s="162"/>
      <c r="C3246" s="336"/>
    </row>
    <row r="3247">
      <c r="A3247" s="162"/>
      <c r="B3247" s="162"/>
      <c r="C3247" s="336"/>
    </row>
    <row r="3248">
      <c r="A3248" s="162"/>
      <c r="B3248" s="162"/>
      <c r="C3248" s="336"/>
    </row>
    <row r="3249">
      <c r="A3249" s="162"/>
      <c r="B3249" s="162"/>
      <c r="C3249" s="336"/>
    </row>
    <row r="3250">
      <c r="A3250" s="162"/>
      <c r="B3250" s="162"/>
      <c r="C3250" s="336"/>
    </row>
    <row r="3251">
      <c r="A3251" s="162"/>
      <c r="B3251" s="162"/>
      <c r="C3251" s="336"/>
    </row>
    <row r="3252">
      <c r="A3252" s="162"/>
      <c r="B3252" s="162"/>
      <c r="C3252" s="336"/>
    </row>
    <row r="3253">
      <c r="A3253" s="162"/>
      <c r="B3253" s="162"/>
      <c r="C3253" s="336"/>
    </row>
    <row r="3254">
      <c r="A3254" s="162"/>
      <c r="B3254" s="162"/>
      <c r="C3254" s="336"/>
    </row>
    <row r="3255">
      <c r="A3255" s="162"/>
      <c r="B3255" s="162"/>
      <c r="C3255" s="336"/>
    </row>
    <row r="3256">
      <c r="A3256" s="162"/>
      <c r="B3256" s="162"/>
      <c r="C3256" s="336"/>
    </row>
    <row r="3257">
      <c r="A3257" s="162"/>
      <c r="B3257" s="162"/>
      <c r="C3257" s="336"/>
    </row>
    <row r="3258">
      <c r="A3258" s="162"/>
      <c r="B3258" s="162"/>
      <c r="C3258" s="336"/>
    </row>
    <row r="3259">
      <c r="A3259" s="162"/>
      <c r="B3259" s="162"/>
      <c r="C3259" s="336"/>
    </row>
    <row r="3260">
      <c r="A3260" s="162"/>
      <c r="B3260" s="162"/>
      <c r="C3260" s="336"/>
    </row>
    <row r="3261">
      <c r="A3261" s="162"/>
      <c r="B3261" s="162"/>
      <c r="C3261" s="336"/>
    </row>
    <row r="3262">
      <c r="A3262" s="162"/>
      <c r="B3262" s="162"/>
      <c r="C3262" s="336"/>
    </row>
    <row r="3263">
      <c r="A3263" s="162"/>
      <c r="B3263" s="162"/>
      <c r="C3263" s="336"/>
    </row>
    <row r="3264">
      <c r="A3264" s="162"/>
      <c r="B3264" s="162"/>
      <c r="C3264" s="336"/>
    </row>
    <row r="3265">
      <c r="A3265" s="162"/>
      <c r="B3265" s="162"/>
      <c r="C3265" s="336"/>
    </row>
    <row r="3266">
      <c r="A3266" s="162"/>
      <c r="B3266" s="162"/>
      <c r="C3266" s="336"/>
    </row>
    <row r="3267">
      <c r="A3267" s="162"/>
      <c r="B3267" s="162"/>
      <c r="C3267" s="336"/>
    </row>
    <row r="3268">
      <c r="A3268" s="162"/>
      <c r="B3268" s="162"/>
      <c r="C3268" s="336"/>
    </row>
    <row r="3269">
      <c r="A3269" s="162"/>
      <c r="B3269" s="162"/>
      <c r="C3269" s="336"/>
    </row>
    <row r="3270">
      <c r="A3270" s="162"/>
      <c r="B3270" s="162"/>
      <c r="C3270" s="336"/>
    </row>
    <row r="3271">
      <c r="A3271" s="162"/>
      <c r="B3271" s="162"/>
      <c r="C3271" s="336"/>
    </row>
    <row r="3272">
      <c r="A3272" s="162"/>
      <c r="B3272" s="162"/>
      <c r="C3272" s="336"/>
    </row>
    <row r="3273">
      <c r="A3273" s="162"/>
      <c r="B3273" s="162"/>
      <c r="C3273" s="336"/>
    </row>
    <row r="3274">
      <c r="A3274" s="162"/>
      <c r="B3274" s="162"/>
      <c r="C3274" s="336"/>
    </row>
    <row r="3275">
      <c r="A3275" s="162"/>
      <c r="B3275" s="162"/>
      <c r="C3275" s="336"/>
    </row>
    <row r="3276">
      <c r="A3276" s="162"/>
      <c r="B3276" s="162"/>
      <c r="C3276" s="336"/>
    </row>
    <row r="3277">
      <c r="A3277" s="162"/>
      <c r="B3277" s="162"/>
      <c r="C3277" s="336"/>
    </row>
    <row r="3278">
      <c r="A3278" s="162"/>
      <c r="B3278" s="162"/>
      <c r="C3278" s="336"/>
    </row>
    <row r="3279">
      <c r="A3279" s="162"/>
      <c r="B3279" s="162"/>
      <c r="C3279" s="336"/>
    </row>
    <row r="3280">
      <c r="A3280" s="162"/>
      <c r="B3280" s="162"/>
      <c r="C3280" s="336"/>
    </row>
    <row r="3281">
      <c r="A3281" s="162"/>
      <c r="B3281" s="162"/>
      <c r="C3281" s="336"/>
    </row>
    <row r="3282">
      <c r="A3282" s="162"/>
      <c r="B3282" s="162"/>
      <c r="C3282" s="336"/>
    </row>
    <row r="3283">
      <c r="A3283" s="162"/>
      <c r="B3283" s="162"/>
      <c r="C3283" s="336"/>
    </row>
    <row r="3284">
      <c r="A3284" s="162"/>
      <c r="B3284" s="162"/>
      <c r="C3284" s="336"/>
    </row>
    <row r="3285">
      <c r="A3285" s="162"/>
      <c r="B3285" s="162"/>
      <c r="C3285" s="336"/>
    </row>
    <row r="3286">
      <c r="A3286" s="162"/>
      <c r="B3286" s="162"/>
      <c r="C3286" s="336"/>
    </row>
    <row r="3287">
      <c r="A3287" s="162"/>
      <c r="B3287" s="162"/>
      <c r="C3287" s="336"/>
    </row>
    <row r="3288">
      <c r="A3288" s="162"/>
      <c r="B3288" s="162"/>
      <c r="C3288" s="336"/>
    </row>
    <row r="3289">
      <c r="A3289" s="162"/>
      <c r="B3289" s="162"/>
      <c r="C3289" s="336"/>
    </row>
    <row r="3290">
      <c r="A3290" s="162"/>
      <c r="B3290" s="162"/>
      <c r="C3290" s="336"/>
    </row>
    <row r="3291">
      <c r="A3291" s="162"/>
      <c r="B3291" s="162"/>
      <c r="C3291" s="336"/>
    </row>
    <row r="3292">
      <c r="A3292" s="162"/>
      <c r="B3292" s="162"/>
      <c r="C3292" s="336"/>
    </row>
    <row r="3293">
      <c r="A3293" s="162"/>
      <c r="B3293" s="162"/>
      <c r="C3293" s="336"/>
    </row>
    <row r="3294">
      <c r="A3294" s="162"/>
      <c r="B3294" s="162"/>
      <c r="C3294" s="336"/>
    </row>
    <row r="3295">
      <c r="A3295" s="162"/>
      <c r="B3295" s="162"/>
      <c r="C3295" s="336"/>
    </row>
    <row r="3296">
      <c r="A3296" s="162"/>
      <c r="B3296" s="162"/>
      <c r="C3296" s="336"/>
    </row>
    <row r="3297">
      <c r="A3297" s="162"/>
      <c r="B3297" s="162"/>
      <c r="C3297" s="336"/>
    </row>
    <row r="3298">
      <c r="A3298" s="162"/>
      <c r="B3298" s="162"/>
      <c r="C3298" s="336"/>
    </row>
    <row r="3299">
      <c r="A3299" s="162"/>
      <c r="B3299" s="162"/>
      <c r="C3299" s="336"/>
    </row>
    <row r="3300">
      <c r="A3300" s="162"/>
      <c r="B3300" s="162"/>
      <c r="C3300" s="336"/>
    </row>
    <row r="3301">
      <c r="A3301" s="162"/>
      <c r="B3301" s="162"/>
      <c r="C3301" s="336"/>
    </row>
    <row r="3302">
      <c r="A3302" s="162"/>
      <c r="B3302" s="162"/>
      <c r="C3302" s="336"/>
    </row>
    <row r="3303">
      <c r="A3303" s="162"/>
      <c r="B3303" s="162"/>
      <c r="C3303" s="336"/>
    </row>
    <row r="3304">
      <c r="A3304" s="162"/>
      <c r="B3304" s="162"/>
      <c r="C3304" s="336"/>
    </row>
    <row r="3305">
      <c r="A3305" s="162"/>
      <c r="B3305" s="162"/>
      <c r="C3305" s="336"/>
    </row>
    <row r="3306">
      <c r="A3306" s="162"/>
      <c r="B3306" s="162"/>
      <c r="C3306" s="336"/>
    </row>
    <row r="3307">
      <c r="A3307" s="162"/>
      <c r="B3307" s="162"/>
      <c r="C3307" s="336"/>
    </row>
    <row r="3308">
      <c r="A3308" s="162"/>
      <c r="B3308" s="162"/>
      <c r="C3308" s="336"/>
    </row>
    <row r="3309">
      <c r="A3309" s="162"/>
      <c r="B3309" s="162"/>
      <c r="C3309" s="336"/>
    </row>
    <row r="3310">
      <c r="A3310" s="162"/>
      <c r="B3310" s="162"/>
      <c r="C3310" s="336"/>
    </row>
    <row r="3311">
      <c r="A3311" s="162"/>
      <c r="B3311" s="162"/>
      <c r="C3311" s="336"/>
    </row>
    <row r="3312">
      <c r="A3312" s="162"/>
      <c r="B3312" s="162"/>
      <c r="C3312" s="336"/>
    </row>
    <row r="3313">
      <c r="A3313" s="162"/>
      <c r="B3313" s="162"/>
      <c r="C3313" s="336"/>
    </row>
    <row r="3314">
      <c r="A3314" s="162"/>
      <c r="B3314" s="162"/>
      <c r="C3314" s="336"/>
    </row>
    <row r="3315">
      <c r="A3315" s="162"/>
      <c r="B3315" s="162"/>
      <c r="C3315" s="336"/>
    </row>
    <row r="3316">
      <c r="A3316" s="162"/>
      <c r="B3316" s="162"/>
      <c r="C3316" s="336"/>
    </row>
    <row r="3317">
      <c r="A3317" s="162"/>
      <c r="B3317" s="162"/>
      <c r="C3317" s="336"/>
    </row>
    <row r="3318">
      <c r="A3318" s="162"/>
      <c r="B3318" s="162"/>
      <c r="C3318" s="336"/>
    </row>
    <row r="3319">
      <c r="A3319" s="162"/>
      <c r="B3319" s="162"/>
      <c r="C3319" s="336"/>
    </row>
    <row r="3320">
      <c r="A3320" s="162"/>
      <c r="B3320" s="162"/>
      <c r="C3320" s="336"/>
    </row>
    <row r="3321">
      <c r="A3321" s="162"/>
      <c r="B3321" s="162"/>
      <c r="C3321" s="336"/>
    </row>
    <row r="3322">
      <c r="A3322" s="162"/>
      <c r="B3322" s="162"/>
      <c r="C3322" s="336"/>
    </row>
    <row r="3323">
      <c r="A3323" s="162"/>
      <c r="B3323" s="162"/>
      <c r="C3323" s="336"/>
    </row>
    <row r="3324">
      <c r="A3324" s="162"/>
      <c r="B3324" s="162"/>
      <c r="C3324" s="336"/>
    </row>
    <row r="3325">
      <c r="A3325" s="162"/>
      <c r="B3325" s="162"/>
      <c r="C3325" s="336"/>
    </row>
    <row r="3326">
      <c r="A3326" s="162"/>
      <c r="B3326" s="162"/>
      <c r="C3326" s="336"/>
    </row>
    <row r="3327">
      <c r="A3327" s="162"/>
      <c r="B3327" s="162"/>
      <c r="C3327" s="336"/>
    </row>
    <row r="3328">
      <c r="A3328" s="162"/>
      <c r="B3328" s="162"/>
      <c r="C3328" s="336"/>
    </row>
    <row r="3329">
      <c r="A3329" s="162"/>
      <c r="B3329" s="162"/>
      <c r="C3329" s="336"/>
    </row>
    <row r="3330">
      <c r="A3330" s="162"/>
      <c r="B3330" s="162"/>
      <c r="C3330" s="336"/>
    </row>
    <row r="3331">
      <c r="A3331" s="162"/>
      <c r="B3331" s="162"/>
      <c r="C3331" s="336"/>
    </row>
    <row r="3332">
      <c r="A3332" s="162"/>
      <c r="B3332" s="162"/>
      <c r="C3332" s="336"/>
    </row>
    <row r="3333">
      <c r="A3333" s="162"/>
      <c r="B3333" s="162"/>
      <c r="C3333" s="336"/>
    </row>
    <row r="3334">
      <c r="A3334" s="162"/>
      <c r="B3334" s="162"/>
      <c r="C3334" s="336"/>
    </row>
    <row r="3335">
      <c r="A3335" s="162"/>
      <c r="B3335" s="162"/>
      <c r="C3335" s="336"/>
    </row>
    <row r="3336">
      <c r="A3336" s="162"/>
      <c r="B3336" s="162"/>
      <c r="C3336" s="336"/>
    </row>
    <row r="3337">
      <c r="A3337" s="162"/>
      <c r="B3337" s="162"/>
      <c r="C3337" s="336"/>
    </row>
    <row r="3338">
      <c r="A3338" s="162"/>
      <c r="B3338" s="162"/>
      <c r="C3338" s="336"/>
    </row>
    <row r="3339">
      <c r="A3339" s="162"/>
      <c r="B3339" s="162"/>
      <c r="C3339" s="336"/>
    </row>
    <row r="3340">
      <c r="A3340" s="162"/>
      <c r="B3340" s="162"/>
      <c r="C3340" s="336"/>
    </row>
    <row r="3341">
      <c r="A3341" s="162"/>
      <c r="B3341" s="162"/>
      <c r="C3341" s="336"/>
    </row>
    <row r="3342">
      <c r="A3342" s="162"/>
      <c r="B3342" s="162"/>
      <c r="C3342" s="336"/>
    </row>
    <row r="3343">
      <c r="A3343" s="162"/>
      <c r="B3343" s="162"/>
      <c r="C3343" s="336"/>
    </row>
    <row r="3344">
      <c r="A3344" s="162"/>
      <c r="B3344" s="162"/>
      <c r="C3344" s="336"/>
    </row>
    <row r="3345">
      <c r="A3345" s="162"/>
      <c r="B3345" s="162"/>
      <c r="C3345" s="336"/>
    </row>
    <row r="3346">
      <c r="A3346" s="162"/>
      <c r="B3346" s="162"/>
      <c r="C3346" s="336"/>
    </row>
    <row r="3347">
      <c r="A3347" s="162"/>
      <c r="B3347" s="162"/>
      <c r="C3347" s="336"/>
    </row>
    <row r="3348">
      <c r="A3348" s="162"/>
      <c r="B3348" s="162"/>
      <c r="C3348" s="336"/>
    </row>
    <row r="3349">
      <c r="A3349" s="162"/>
      <c r="B3349" s="162"/>
      <c r="C3349" s="336"/>
    </row>
    <row r="3350">
      <c r="A3350" s="162"/>
      <c r="B3350" s="162"/>
      <c r="C3350" s="336"/>
    </row>
    <row r="3351">
      <c r="A3351" s="162"/>
      <c r="B3351" s="162"/>
      <c r="C3351" s="336"/>
    </row>
    <row r="3352">
      <c r="A3352" s="162"/>
      <c r="B3352" s="162"/>
      <c r="C3352" s="336"/>
    </row>
    <row r="3353">
      <c r="A3353" s="162"/>
      <c r="B3353" s="162"/>
      <c r="C3353" s="336"/>
    </row>
    <row r="3354">
      <c r="A3354" s="162"/>
      <c r="B3354" s="162"/>
      <c r="C3354" s="336"/>
    </row>
    <row r="3355">
      <c r="A3355" s="162"/>
      <c r="B3355" s="162"/>
      <c r="C3355" s="336"/>
    </row>
    <row r="3356">
      <c r="A3356" s="162"/>
      <c r="B3356" s="162"/>
      <c r="C3356" s="336"/>
    </row>
    <row r="3357">
      <c r="A3357" s="162"/>
      <c r="B3357" s="162"/>
      <c r="C3357" s="336"/>
    </row>
    <row r="3358">
      <c r="A3358" s="162"/>
      <c r="B3358" s="162"/>
      <c r="C3358" s="336"/>
    </row>
    <row r="3359">
      <c r="A3359" s="162"/>
      <c r="B3359" s="162"/>
      <c r="C3359" s="336"/>
    </row>
    <row r="3360">
      <c r="A3360" s="162"/>
      <c r="B3360" s="162"/>
      <c r="C3360" s="336"/>
    </row>
    <row r="3361">
      <c r="A3361" s="162"/>
      <c r="B3361" s="162"/>
      <c r="C3361" s="336"/>
    </row>
    <row r="3362">
      <c r="A3362" s="162"/>
      <c r="B3362" s="162"/>
      <c r="C3362" s="336"/>
    </row>
    <row r="3363">
      <c r="A3363" s="162"/>
      <c r="B3363" s="162"/>
      <c r="C3363" s="336"/>
    </row>
    <row r="3364">
      <c r="A3364" s="162"/>
      <c r="B3364" s="162"/>
      <c r="C3364" s="336"/>
    </row>
    <row r="3365">
      <c r="A3365" s="162"/>
      <c r="B3365" s="162"/>
      <c r="C3365" s="336"/>
    </row>
    <row r="3366">
      <c r="A3366" s="162"/>
      <c r="B3366" s="162"/>
      <c r="C3366" s="336"/>
    </row>
    <row r="3367">
      <c r="A3367" s="162"/>
      <c r="B3367" s="162"/>
      <c r="C3367" s="336"/>
    </row>
    <row r="3368">
      <c r="A3368" s="162"/>
      <c r="B3368" s="162"/>
      <c r="C3368" s="336"/>
    </row>
    <row r="3369">
      <c r="A3369" s="162"/>
      <c r="B3369" s="162"/>
      <c r="C3369" s="336"/>
    </row>
    <row r="3370">
      <c r="A3370" s="162"/>
      <c r="B3370" s="162"/>
      <c r="C3370" s="336"/>
    </row>
    <row r="3371">
      <c r="A3371" s="162"/>
      <c r="B3371" s="162"/>
      <c r="C3371" s="336"/>
    </row>
    <row r="3372">
      <c r="A3372" s="162"/>
      <c r="B3372" s="162"/>
      <c r="C3372" s="336"/>
    </row>
    <row r="3373">
      <c r="A3373" s="162"/>
      <c r="B3373" s="162"/>
      <c r="C3373" s="336"/>
    </row>
    <row r="3374">
      <c r="A3374" s="162"/>
      <c r="B3374" s="162"/>
      <c r="C3374" s="336"/>
    </row>
    <row r="3375">
      <c r="A3375" s="162"/>
      <c r="B3375" s="162"/>
      <c r="C3375" s="336"/>
    </row>
    <row r="3376">
      <c r="A3376" s="162"/>
      <c r="B3376" s="162"/>
      <c r="C3376" s="336"/>
    </row>
    <row r="3377">
      <c r="A3377" s="162"/>
      <c r="B3377" s="162"/>
      <c r="C3377" s="336"/>
    </row>
    <row r="3378">
      <c r="A3378" s="162"/>
      <c r="B3378" s="162"/>
      <c r="C3378" s="336"/>
    </row>
    <row r="3379">
      <c r="A3379" s="162"/>
      <c r="B3379" s="162"/>
      <c r="C3379" s="336"/>
    </row>
    <row r="3380">
      <c r="A3380" s="162"/>
      <c r="B3380" s="162"/>
      <c r="C3380" s="336"/>
    </row>
    <row r="3381">
      <c r="A3381" s="162"/>
      <c r="B3381" s="162"/>
      <c r="C3381" s="336"/>
    </row>
    <row r="3382">
      <c r="A3382" s="162"/>
      <c r="B3382" s="162"/>
      <c r="C3382" s="336"/>
    </row>
    <row r="3383">
      <c r="A3383" s="162"/>
      <c r="B3383" s="162"/>
      <c r="C3383" s="336"/>
    </row>
    <row r="3384">
      <c r="A3384" s="162"/>
      <c r="B3384" s="162"/>
      <c r="C3384" s="336"/>
    </row>
    <row r="3385">
      <c r="A3385" s="162"/>
      <c r="B3385" s="162"/>
      <c r="C3385" s="336"/>
    </row>
    <row r="3386">
      <c r="A3386" s="162"/>
      <c r="B3386" s="162"/>
      <c r="C3386" s="336"/>
    </row>
    <row r="3387">
      <c r="A3387" s="162"/>
      <c r="B3387" s="162"/>
      <c r="C3387" s="336"/>
    </row>
    <row r="3388">
      <c r="A3388" s="162"/>
      <c r="B3388" s="162"/>
      <c r="C3388" s="336"/>
    </row>
    <row r="3389">
      <c r="A3389" s="162"/>
      <c r="B3389" s="162"/>
      <c r="C3389" s="336"/>
    </row>
    <row r="3390">
      <c r="A3390" s="162"/>
      <c r="B3390" s="162"/>
      <c r="C3390" s="336"/>
    </row>
    <row r="3391">
      <c r="A3391" s="162"/>
      <c r="B3391" s="162"/>
      <c r="C3391" s="336"/>
    </row>
    <row r="3392">
      <c r="A3392" s="162"/>
      <c r="B3392" s="162"/>
      <c r="C3392" s="336"/>
    </row>
    <row r="3393">
      <c r="A3393" s="162"/>
      <c r="B3393" s="162"/>
      <c r="C3393" s="336"/>
    </row>
    <row r="3394">
      <c r="A3394" s="162"/>
      <c r="B3394" s="162"/>
      <c r="C3394" s="336"/>
    </row>
    <row r="3395">
      <c r="A3395" s="162"/>
      <c r="B3395" s="162"/>
      <c r="C3395" s="336"/>
    </row>
    <row r="3396">
      <c r="A3396" s="162"/>
      <c r="B3396" s="162"/>
      <c r="C3396" s="336"/>
    </row>
    <row r="3397">
      <c r="A3397" s="162"/>
      <c r="B3397" s="162"/>
      <c r="C3397" s="336"/>
    </row>
    <row r="3398">
      <c r="A3398" s="162"/>
      <c r="B3398" s="162"/>
      <c r="C3398" s="336"/>
    </row>
    <row r="3399">
      <c r="A3399" s="162"/>
      <c r="B3399" s="162"/>
      <c r="C3399" s="336"/>
    </row>
    <row r="3400">
      <c r="A3400" s="162"/>
      <c r="B3400" s="162"/>
      <c r="C3400" s="336"/>
    </row>
    <row r="3401">
      <c r="A3401" s="162"/>
      <c r="B3401" s="162"/>
      <c r="C3401" s="336"/>
    </row>
    <row r="3402">
      <c r="A3402" s="162"/>
      <c r="B3402" s="162"/>
      <c r="C3402" s="336"/>
    </row>
    <row r="3403">
      <c r="A3403" s="162"/>
      <c r="B3403" s="162"/>
      <c r="C3403" s="336"/>
    </row>
    <row r="3404">
      <c r="A3404" s="162"/>
      <c r="B3404" s="162"/>
      <c r="C3404" s="336"/>
    </row>
    <row r="3405">
      <c r="A3405" s="162"/>
      <c r="B3405" s="162"/>
      <c r="C3405" s="336"/>
    </row>
    <row r="3406">
      <c r="A3406" s="162"/>
      <c r="B3406" s="162"/>
      <c r="C3406" s="336"/>
    </row>
    <row r="3407">
      <c r="A3407" s="162"/>
      <c r="B3407" s="162"/>
      <c r="C3407" s="336"/>
    </row>
    <row r="3408">
      <c r="A3408" s="162"/>
      <c r="B3408" s="162"/>
      <c r="C3408" s="336"/>
    </row>
    <row r="3409">
      <c r="A3409" s="162"/>
      <c r="B3409" s="162"/>
      <c r="C3409" s="336"/>
    </row>
    <row r="3410">
      <c r="A3410" s="162"/>
      <c r="B3410" s="162"/>
      <c r="C3410" s="336"/>
    </row>
    <row r="3411">
      <c r="A3411" s="162"/>
      <c r="B3411" s="162"/>
      <c r="C3411" s="336"/>
    </row>
    <row r="3412">
      <c r="A3412" s="162"/>
      <c r="B3412" s="162"/>
      <c r="C3412" s="336"/>
    </row>
    <row r="3413">
      <c r="A3413" s="162"/>
      <c r="B3413" s="162"/>
      <c r="C3413" s="336"/>
    </row>
    <row r="3414">
      <c r="A3414" s="162"/>
      <c r="B3414" s="162"/>
      <c r="C3414" s="336"/>
    </row>
    <row r="3415">
      <c r="A3415" s="162"/>
      <c r="B3415" s="162"/>
      <c r="C3415" s="336"/>
    </row>
    <row r="3416">
      <c r="A3416" s="162"/>
      <c r="B3416" s="162"/>
      <c r="C3416" s="336"/>
    </row>
    <row r="3417">
      <c r="A3417" s="162"/>
      <c r="B3417" s="162"/>
      <c r="C3417" s="336"/>
    </row>
    <row r="3418">
      <c r="A3418" s="162"/>
      <c r="B3418" s="162"/>
      <c r="C3418" s="336"/>
    </row>
    <row r="3419">
      <c r="A3419" s="162"/>
      <c r="B3419" s="162"/>
      <c r="C3419" s="336"/>
    </row>
    <row r="3420">
      <c r="A3420" s="162"/>
      <c r="B3420" s="162"/>
      <c r="C3420" s="336"/>
    </row>
    <row r="3421">
      <c r="A3421" s="162"/>
      <c r="B3421" s="162"/>
      <c r="C3421" s="336"/>
    </row>
    <row r="3422">
      <c r="A3422" s="162"/>
      <c r="B3422" s="162"/>
      <c r="C3422" s="336"/>
    </row>
    <row r="3423">
      <c r="A3423" s="162"/>
      <c r="B3423" s="162"/>
      <c r="C3423" s="336"/>
    </row>
    <row r="3424">
      <c r="A3424" s="162"/>
      <c r="B3424" s="162"/>
      <c r="C3424" s="336"/>
    </row>
    <row r="3425">
      <c r="A3425" s="162"/>
      <c r="B3425" s="162"/>
      <c r="C3425" s="336"/>
    </row>
    <row r="3426">
      <c r="A3426" s="162"/>
      <c r="B3426" s="162"/>
      <c r="C3426" s="336"/>
    </row>
    <row r="3427">
      <c r="A3427" s="162"/>
      <c r="B3427" s="162"/>
      <c r="C3427" s="336"/>
    </row>
    <row r="3428">
      <c r="A3428" s="162"/>
      <c r="B3428" s="162"/>
      <c r="C3428" s="336"/>
    </row>
    <row r="3429">
      <c r="A3429" s="162"/>
      <c r="B3429" s="162"/>
      <c r="C3429" s="336"/>
    </row>
    <row r="3430">
      <c r="A3430" s="162"/>
      <c r="B3430" s="162"/>
      <c r="C3430" s="336"/>
    </row>
    <row r="3431">
      <c r="A3431" s="162"/>
      <c r="B3431" s="162"/>
      <c r="C3431" s="336"/>
    </row>
    <row r="3432">
      <c r="A3432" s="162"/>
      <c r="B3432" s="162"/>
      <c r="C3432" s="336"/>
    </row>
    <row r="3433">
      <c r="A3433" s="162"/>
      <c r="B3433" s="162"/>
      <c r="C3433" s="336"/>
    </row>
    <row r="3434">
      <c r="A3434" s="162"/>
      <c r="B3434" s="162"/>
      <c r="C3434" s="336"/>
    </row>
    <row r="3435">
      <c r="A3435" s="162"/>
      <c r="B3435" s="162"/>
      <c r="C3435" s="336"/>
    </row>
    <row r="3436">
      <c r="A3436" s="162"/>
      <c r="B3436" s="162"/>
      <c r="C3436" s="336"/>
    </row>
    <row r="3437">
      <c r="A3437" s="162"/>
      <c r="B3437" s="162"/>
      <c r="C3437" s="336"/>
    </row>
    <row r="3438">
      <c r="A3438" s="162"/>
      <c r="B3438" s="162"/>
      <c r="C3438" s="336"/>
    </row>
    <row r="3439">
      <c r="A3439" s="162"/>
      <c r="B3439" s="162"/>
      <c r="C3439" s="336"/>
    </row>
    <row r="3440">
      <c r="A3440" s="162"/>
      <c r="B3440" s="162"/>
      <c r="C3440" s="336"/>
    </row>
    <row r="3441">
      <c r="A3441" s="162"/>
      <c r="B3441" s="162"/>
      <c r="C3441" s="336"/>
    </row>
    <row r="3442">
      <c r="A3442" s="162"/>
      <c r="B3442" s="162"/>
      <c r="C3442" s="336"/>
    </row>
    <row r="3443">
      <c r="A3443" s="162"/>
      <c r="B3443" s="162"/>
      <c r="C3443" s="336"/>
    </row>
    <row r="3444">
      <c r="A3444" s="162"/>
      <c r="B3444" s="162"/>
      <c r="C3444" s="336"/>
    </row>
    <row r="3445">
      <c r="A3445" s="162"/>
      <c r="B3445" s="162"/>
      <c r="C3445" s="336"/>
    </row>
    <row r="3446">
      <c r="A3446" s="162"/>
      <c r="B3446" s="162"/>
      <c r="C3446" s="336"/>
    </row>
    <row r="3447">
      <c r="A3447" s="162"/>
      <c r="B3447" s="162"/>
      <c r="C3447" s="336"/>
    </row>
    <row r="3448">
      <c r="A3448" s="162"/>
      <c r="B3448" s="162"/>
      <c r="C3448" s="336"/>
    </row>
    <row r="3449">
      <c r="A3449" s="162"/>
      <c r="B3449" s="162"/>
      <c r="C3449" s="336"/>
    </row>
    <row r="3450">
      <c r="A3450" s="162"/>
      <c r="B3450" s="162"/>
      <c r="C3450" s="336"/>
    </row>
    <row r="3451">
      <c r="A3451" s="162"/>
      <c r="B3451" s="162"/>
      <c r="C3451" s="336"/>
    </row>
    <row r="3452">
      <c r="A3452" s="162"/>
      <c r="B3452" s="162"/>
      <c r="C3452" s="336"/>
    </row>
    <row r="3453">
      <c r="A3453" s="162"/>
      <c r="B3453" s="162"/>
      <c r="C3453" s="336"/>
    </row>
    <row r="3454">
      <c r="A3454" s="162"/>
      <c r="B3454" s="162"/>
      <c r="C3454" s="336"/>
    </row>
    <row r="3455">
      <c r="A3455" s="162"/>
      <c r="B3455" s="162"/>
      <c r="C3455" s="336"/>
    </row>
    <row r="3456">
      <c r="A3456" s="162"/>
      <c r="B3456" s="162"/>
      <c r="C3456" s="336"/>
    </row>
    <row r="3457">
      <c r="A3457" s="162"/>
      <c r="B3457" s="162"/>
      <c r="C3457" s="336"/>
    </row>
    <row r="3458">
      <c r="A3458" s="162"/>
      <c r="B3458" s="162"/>
      <c r="C3458" s="336"/>
    </row>
    <row r="3459">
      <c r="A3459" s="162"/>
      <c r="B3459" s="162"/>
      <c r="C3459" s="336"/>
    </row>
    <row r="3460">
      <c r="A3460" s="162"/>
      <c r="B3460" s="162"/>
      <c r="C3460" s="336"/>
    </row>
    <row r="3461">
      <c r="A3461" s="162"/>
      <c r="B3461" s="162"/>
      <c r="C3461" s="336"/>
    </row>
    <row r="3462">
      <c r="A3462" s="162"/>
      <c r="B3462" s="162"/>
      <c r="C3462" s="336"/>
    </row>
    <row r="3463">
      <c r="A3463" s="162"/>
      <c r="B3463" s="162"/>
      <c r="C3463" s="336"/>
    </row>
    <row r="3464">
      <c r="A3464" s="162"/>
      <c r="B3464" s="162"/>
      <c r="C3464" s="336"/>
    </row>
    <row r="3465">
      <c r="A3465" s="162"/>
      <c r="B3465" s="162"/>
      <c r="C3465" s="336"/>
    </row>
    <row r="3466">
      <c r="A3466" s="162"/>
      <c r="B3466" s="162"/>
      <c r="C3466" s="336"/>
    </row>
    <row r="3467">
      <c r="A3467" s="162"/>
      <c r="B3467" s="162"/>
      <c r="C3467" s="336"/>
    </row>
    <row r="3468">
      <c r="A3468" s="162"/>
      <c r="B3468" s="162"/>
      <c r="C3468" s="336"/>
    </row>
    <row r="3469">
      <c r="A3469" s="162"/>
      <c r="B3469" s="162"/>
      <c r="C3469" s="336"/>
    </row>
    <row r="3470">
      <c r="A3470" s="162"/>
      <c r="B3470" s="162"/>
      <c r="C3470" s="336"/>
    </row>
    <row r="3471">
      <c r="A3471" s="162"/>
      <c r="B3471" s="162"/>
      <c r="C3471" s="336"/>
    </row>
    <row r="3472">
      <c r="A3472" s="162"/>
      <c r="B3472" s="162"/>
      <c r="C3472" s="336"/>
    </row>
    <row r="3473">
      <c r="A3473" s="162"/>
      <c r="B3473" s="162"/>
      <c r="C3473" s="336"/>
    </row>
    <row r="3474">
      <c r="A3474" s="162"/>
      <c r="B3474" s="162"/>
      <c r="C3474" s="336"/>
    </row>
    <row r="3475">
      <c r="A3475" s="162"/>
      <c r="B3475" s="162"/>
      <c r="C3475" s="336"/>
    </row>
    <row r="3476">
      <c r="A3476" s="162"/>
      <c r="B3476" s="162"/>
      <c r="C3476" s="336"/>
    </row>
    <row r="3477">
      <c r="A3477" s="162"/>
      <c r="B3477" s="162"/>
      <c r="C3477" s="336"/>
    </row>
    <row r="3478">
      <c r="A3478" s="162"/>
      <c r="B3478" s="162"/>
      <c r="C3478" s="336"/>
    </row>
    <row r="3479">
      <c r="A3479" s="162"/>
      <c r="B3479" s="162"/>
      <c r="C3479" s="336"/>
    </row>
    <row r="3480">
      <c r="A3480" s="162"/>
      <c r="B3480" s="162"/>
      <c r="C3480" s="336"/>
    </row>
    <row r="3481">
      <c r="A3481" s="162"/>
      <c r="B3481" s="162"/>
      <c r="C3481" s="336"/>
    </row>
    <row r="3482">
      <c r="A3482" s="162"/>
      <c r="B3482" s="162"/>
      <c r="C3482" s="336"/>
    </row>
    <row r="3483">
      <c r="A3483" s="162"/>
      <c r="B3483" s="162"/>
      <c r="C3483" s="336"/>
    </row>
    <row r="3484">
      <c r="A3484" s="162"/>
      <c r="B3484" s="162"/>
      <c r="C3484" s="336"/>
    </row>
    <row r="3485">
      <c r="A3485" s="162"/>
      <c r="B3485" s="162"/>
      <c r="C3485" s="336"/>
    </row>
    <row r="3486">
      <c r="A3486" s="162"/>
      <c r="B3486" s="162"/>
      <c r="C3486" s="336"/>
    </row>
    <row r="3487">
      <c r="A3487" s="162"/>
      <c r="B3487" s="162"/>
      <c r="C3487" s="336"/>
    </row>
    <row r="3488">
      <c r="A3488" s="162"/>
      <c r="B3488" s="162"/>
      <c r="C3488" s="336"/>
    </row>
    <row r="3489">
      <c r="A3489" s="162"/>
      <c r="B3489" s="162"/>
      <c r="C3489" s="336"/>
    </row>
    <row r="3490">
      <c r="A3490" s="162"/>
      <c r="B3490" s="162"/>
      <c r="C3490" s="336"/>
    </row>
    <row r="3491">
      <c r="A3491" s="162"/>
      <c r="B3491" s="162"/>
      <c r="C3491" s="336"/>
    </row>
    <row r="3492">
      <c r="A3492" s="162"/>
      <c r="B3492" s="162"/>
      <c r="C3492" s="336"/>
    </row>
    <row r="3493">
      <c r="A3493" s="162"/>
      <c r="B3493" s="162"/>
      <c r="C3493" s="336"/>
    </row>
    <row r="3494">
      <c r="A3494" s="162"/>
      <c r="B3494" s="162"/>
      <c r="C3494" s="336"/>
    </row>
    <row r="3495">
      <c r="A3495" s="162"/>
      <c r="B3495" s="162"/>
      <c r="C3495" s="336"/>
    </row>
    <row r="3496">
      <c r="A3496" s="162"/>
      <c r="B3496" s="162"/>
      <c r="C3496" s="336"/>
    </row>
    <row r="3497">
      <c r="A3497" s="162"/>
      <c r="B3497" s="162"/>
      <c r="C3497" s="336"/>
    </row>
    <row r="3498">
      <c r="A3498" s="162"/>
      <c r="B3498" s="162"/>
      <c r="C3498" s="336"/>
    </row>
    <row r="3499">
      <c r="A3499" s="162"/>
      <c r="B3499" s="162"/>
      <c r="C3499" s="336"/>
    </row>
    <row r="3500">
      <c r="A3500" s="162"/>
      <c r="B3500" s="162"/>
      <c r="C3500" s="336"/>
    </row>
    <row r="3501">
      <c r="A3501" s="162"/>
      <c r="B3501" s="162"/>
      <c r="C3501" s="336"/>
    </row>
    <row r="3502">
      <c r="A3502" s="162"/>
      <c r="B3502" s="162"/>
      <c r="C3502" s="336"/>
    </row>
    <row r="3503">
      <c r="A3503" s="162"/>
      <c r="B3503" s="162"/>
      <c r="C3503" s="336"/>
    </row>
    <row r="3504">
      <c r="A3504" s="162"/>
      <c r="B3504" s="162"/>
      <c r="C3504" s="336"/>
    </row>
    <row r="3505">
      <c r="A3505" s="162"/>
      <c r="B3505" s="162"/>
      <c r="C3505" s="336"/>
    </row>
    <row r="3506">
      <c r="A3506" s="162"/>
      <c r="B3506" s="162"/>
      <c r="C3506" s="336"/>
    </row>
    <row r="3507">
      <c r="A3507" s="162"/>
      <c r="B3507" s="162"/>
      <c r="C3507" s="336"/>
    </row>
    <row r="3508">
      <c r="A3508" s="162"/>
      <c r="B3508" s="162"/>
      <c r="C3508" s="336"/>
    </row>
    <row r="3509">
      <c r="A3509" s="162"/>
      <c r="B3509" s="162"/>
      <c r="C3509" s="336"/>
    </row>
    <row r="3510">
      <c r="A3510" s="162"/>
      <c r="B3510" s="162"/>
      <c r="C3510" s="336"/>
    </row>
    <row r="3511">
      <c r="A3511" s="162"/>
      <c r="B3511" s="162"/>
      <c r="C3511" s="336"/>
    </row>
    <row r="3512">
      <c r="A3512" s="162"/>
      <c r="B3512" s="162"/>
      <c r="C3512" s="336"/>
    </row>
    <row r="3513">
      <c r="A3513" s="162"/>
      <c r="B3513" s="162"/>
      <c r="C3513" s="336"/>
    </row>
    <row r="3514">
      <c r="A3514" s="162"/>
      <c r="B3514" s="162"/>
      <c r="C3514" s="336"/>
    </row>
    <row r="3515">
      <c r="A3515" s="162"/>
      <c r="B3515" s="162"/>
      <c r="C3515" s="336"/>
    </row>
    <row r="3516">
      <c r="A3516" s="162"/>
      <c r="B3516" s="162"/>
      <c r="C3516" s="336"/>
    </row>
    <row r="3517">
      <c r="A3517" s="162"/>
      <c r="B3517" s="162"/>
      <c r="C3517" s="336"/>
    </row>
    <row r="3518">
      <c r="A3518" s="162"/>
      <c r="B3518" s="162"/>
      <c r="C3518" s="336"/>
    </row>
    <row r="3519">
      <c r="A3519" s="162"/>
      <c r="B3519" s="162"/>
      <c r="C3519" s="336"/>
    </row>
    <row r="3520">
      <c r="A3520" s="162"/>
      <c r="B3520" s="162"/>
      <c r="C3520" s="336"/>
    </row>
    <row r="3521">
      <c r="A3521" s="162"/>
      <c r="B3521" s="162"/>
      <c r="C3521" s="336"/>
    </row>
    <row r="3522">
      <c r="A3522" s="162"/>
      <c r="B3522" s="162"/>
      <c r="C3522" s="336"/>
    </row>
    <row r="3523">
      <c r="A3523" s="162"/>
      <c r="B3523" s="162"/>
      <c r="C3523" s="336"/>
    </row>
    <row r="3524">
      <c r="A3524" s="162"/>
      <c r="B3524" s="162"/>
      <c r="C3524" s="336"/>
    </row>
    <row r="3525">
      <c r="A3525" s="162"/>
      <c r="B3525" s="162"/>
      <c r="C3525" s="336"/>
    </row>
    <row r="3526">
      <c r="A3526" s="162"/>
      <c r="B3526" s="162"/>
      <c r="C3526" s="336"/>
    </row>
    <row r="3527">
      <c r="A3527" s="162"/>
      <c r="B3527" s="162"/>
      <c r="C3527" s="336"/>
    </row>
    <row r="3528">
      <c r="A3528" s="162"/>
      <c r="B3528" s="162"/>
      <c r="C3528" s="336"/>
    </row>
    <row r="3529">
      <c r="A3529" s="162"/>
      <c r="B3529" s="162"/>
      <c r="C3529" s="336"/>
    </row>
    <row r="3530">
      <c r="A3530" s="162"/>
      <c r="B3530" s="162"/>
      <c r="C3530" s="336"/>
    </row>
    <row r="3531">
      <c r="A3531" s="162"/>
      <c r="B3531" s="162"/>
      <c r="C3531" s="336"/>
    </row>
    <row r="3532">
      <c r="A3532" s="162"/>
      <c r="B3532" s="162"/>
      <c r="C3532" s="336"/>
    </row>
    <row r="3533">
      <c r="A3533" s="162"/>
      <c r="B3533" s="162"/>
      <c r="C3533" s="336"/>
    </row>
    <row r="3534">
      <c r="A3534" s="162"/>
      <c r="B3534" s="162"/>
      <c r="C3534" s="336"/>
    </row>
    <row r="3535">
      <c r="A3535" s="162"/>
      <c r="B3535" s="162"/>
      <c r="C3535" s="336"/>
    </row>
    <row r="3536">
      <c r="A3536" s="162"/>
      <c r="B3536" s="162"/>
      <c r="C3536" s="336"/>
    </row>
    <row r="3537">
      <c r="A3537" s="162"/>
      <c r="B3537" s="162"/>
      <c r="C3537" s="336"/>
    </row>
    <row r="3538">
      <c r="A3538" s="162"/>
      <c r="B3538" s="162"/>
      <c r="C3538" s="336"/>
    </row>
    <row r="3539">
      <c r="A3539" s="162"/>
      <c r="B3539" s="162"/>
      <c r="C3539" s="336"/>
    </row>
    <row r="3540">
      <c r="A3540" s="162"/>
      <c r="B3540" s="162"/>
      <c r="C3540" s="336"/>
    </row>
    <row r="3541">
      <c r="A3541" s="162"/>
      <c r="B3541" s="162"/>
      <c r="C3541" s="336"/>
    </row>
    <row r="3542">
      <c r="A3542" s="162"/>
      <c r="B3542" s="162"/>
      <c r="C3542" s="336"/>
    </row>
    <row r="3543">
      <c r="A3543" s="162"/>
      <c r="B3543" s="162"/>
      <c r="C3543" s="336"/>
    </row>
    <row r="3544">
      <c r="A3544" s="162"/>
      <c r="B3544" s="162"/>
      <c r="C3544" s="336"/>
    </row>
    <row r="3545">
      <c r="A3545" s="162"/>
      <c r="B3545" s="162"/>
      <c r="C3545" s="336"/>
    </row>
    <row r="3546">
      <c r="A3546" s="162"/>
      <c r="B3546" s="162"/>
      <c r="C3546" s="336"/>
    </row>
    <row r="3547">
      <c r="A3547" s="162"/>
      <c r="B3547" s="162"/>
      <c r="C3547" s="336"/>
    </row>
    <row r="3548">
      <c r="A3548" s="162"/>
      <c r="B3548" s="162"/>
      <c r="C3548" s="336"/>
    </row>
    <row r="3549">
      <c r="A3549" s="162"/>
      <c r="B3549" s="162"/>
      <c r="C3549" s="336"/>
    </row>
    <row r="3550">
      <c r="A3550" s="162"/>
      <c r="B3550" s="162"/>
      <c r="C3550" s="336"/>
    </row>
    <row r="3551">
      <c r="A3551" s="162"/>
      <c r="B3551" s="162"/>
      <c r="C3551" s="336"/>
    </row>
    <row r="3552">
      <c r="A3552" s="162"/>
      <c r="B3552" s="162"/>
      <c r="C3552" s="336"/>
    </row>
    <row r="3553">
      <c r="A3553" s="162"/>
      <c r="B3553" s="162"/>
      <c r="C3553" s="336"/>
    </row>
    <row r="3554">
      <c r="A3554" s="162"/>
      <c r="B3554" s="162"/>
      <c r="C3554" s="336"/>
    </row>
    <row r="3555">
      <c r="A3555" s="162"/>
      <c r="B3555" s="162"/>
      <c r="C3555" s="336"/>
    </row>
    <row r="3556">
      <c r="A3556" s="162"/>
      <c r="B3556" s="162"/>
      <c r="C3556" s="336"/>
    </row>
    <row r="3557">
      <c r="A3557" s="162"/>
      <c r="B3557" s="162"/>
      <c r="C3557" s="336"/>
    </row>
    <row r="3558">
      <c r="A3558" s="162"/>
      <c r="B3558" s="162"/>
      <c r="C3558" s="336"/>
    </row>
    <row r="3559">
      <c r="A3559" s="162"/>
      <c r="B3559" s="162"/>
      <c r="C3559" s="336"/>
    </row>
    <row r="3560">
      <c r="A3560" s="162"/>
      <c r="B3560" s="162"/>
      <c r="C3560" s="336"/>
    </row>
    <row r="3561">
      <c r="A3561" s="162"/>
      <c r="B3561" s="162"/>
      <c r="C3561" s="336"/>
    </row>
    <row r="3562">
      <c r="A3562" s="162"/>
      <c r="B3562" s="162"/>
      <c r="C3562" s="336"/>
    </row>
    <row r="3563">
      <c r="A3563" s="162"/>
      <c r="B3563" s="162"/>
      <c r="C3563" s="336"/>
    </row>
    <row r="3564">
      <c r="A3564" s="162"/>
      <c r="B3564" s="162"/>
      <c r="C3564" s="336"/>
    </row>
    <row r="3565">
      <c r="A3565" s="162"/>
      <c r="B3565" s="162"/>
      <c r="C3565" s="336"/>
    </row>
    <row r="3566">
      <c r="A3566" s="162"/>
      <c r="B3566" s="162"/>
      <c r="C3566" s="336"/>
    </row>
    <row r="3567">
      <c r="A3567" s="162"/>
      <c r="B3567" s="162"/>
      <c r="C3567" s="336"/>
    </row>
    <row r="3568">
      <c r="A3568" s="162"/>
      <c r="B3568" s="162"/>
      <c r="C3568" s="336"/>
    </row>
    <row r="3569">
      <c r="A3569" s="162"/>
      <c r="B3569" s="162"/>
      <c r="C3569" s="336"/>
    </row>
    <row r="3570">
      <c r="A3570" s="162"/>
      <c r="B3570" s="162"/>
      <c r="C3570" s="336"/>
    </row>
    <row r="3571">
      <c r="A3571" s="162"/>
      <c r="B3571" s="162"/>
      <c r="C3571" s="336"/>
    </row>
    <row r="3572">
      <c r="A3572" s="162"/>
      <c r="B3572" s="162"/>
      <c r="C3572" s="336"/>
    </row>
    <row r="3573">
      <c r="A3573" s="162"/>
      <c r="B3573" s="162"/>
      <c r="C3573" s="336"/>
    </row>
    <row r="3574">
      <c r="A3574" s="162"/>
      <c r="B3574" s="162"/>
      <c r="C3574" s="336"/>
    </row>
    <row r="3575">
      <c r="A3575" s="162"/>
      <c r="B3575" s="162"/>
      <c r="C3575" s="336"/>
    </row>
    <row r="3576">
      <c r="A3576" s="162"/>
      <c r="B3576" s="162"/>
      <c r="C3576" s="336"/>
    </row>
    <row r="3577">
      <c r="A3577" s="162"/>
      <c r="B3577" s="162"/>
      <c r="C3577" s="336"/>
    </row>
    <row r="3578">
      <c r="A3578" s="162"/>
      <c r="B3578" s="162"/>
      <c r="C3578" s="336"/>
    </row>
    <row r="3579">
      <c r="A3579" s="162"/>
      <c r="B3579" s="162"/>
      <c r="C3579" s="336"/>
    </row>
    <row r="3580">
      <c r="A3580" s="162"/>
      <c r="B3580" s="162"/>
      <c r="C3580" s="336"/>
    </row>
    <row r="3581">
      <c r="A3581" s="162"/>
      <c r="B3581" s="162"/>
      <c r="C3581" s="336"/>
    </row>
    <row r="3582">
      <c r="A3582" s="162"/>
      <c r="B3582" s="162"/>
      <c r="C3582" s="336"/>
    </row>
    <row r="3583">
      <c r="A3583" s="162"/>
      <c r="B3583" s="162"/>
      <c r="C3583" s="336"/>
    </row>
    <row r="3584">
      <c r="A3584" s="162"/>
      <c r="B3584" s="162"/>
      <c r="C3584" s="336"/>
    </row>
    <row r="3585">
      <c r="A3585" s="162"/>
      <c r="B3585" s="162"/>
      <c r="C3585" s="336"/>
    </row>
    <row r="3586">
      <c r="A3586" s="162"/>
      <c r="B3586" s="162"/>
      <c r="C3586" s="336"/>
    </row>
    <row r="3587">
      <c r="A3587" s="162"/>
      <c r="B3587" s="162"/>
      <c r="C3587" s="336"/>
    </row>
    <row r="3588">
      <c r="A3588" s="162"/>
      <c r="B3588" s="162"/>
      <c r="C3588" s="336"/>
    </row>
    <row r="3589">
      <c r="A3589" s="162"/>
      <c r="B3589" s="162"/>
      <c r="C3589" s="336"/>
    </row>
    <row r="3590">
      <c r="A3590" s="162"/>
      <c r="B3590" s="162"/>
      <c r="C3590" s="336"/>
    </row>
    <row r="3591">
      <c r="A3591" s="162"/>
      <c r="B3591" s="162"/>
      <c r="C3591" s="336"/>
    </row>
    <row r="3592">
      <c r="A3592" s="162"/>
      <c r="B3592" s="162"/>
      <c r="C3592" s="336"/>
    </row>
    <row r="3593">
      <c r="A3593" s="162"/>
      <c r="B3593" s="162"/>
      <c r="C3593" s="336"/>
    </row>
    <row r="3594">
      <c r="A3594" s="162"/>
      <c r="B3594" s="162"/>
      <c r="C3594" s="336"/>
    </row>
    <row r="3595">
      <c r="A3595" s="162"/>
      <c r="B3595" s="162"/>
      <c r="C3595" s="336"/>
    </row>
    <row r="3596">
      <c r="A3596" s="162"/>
      <c r="B3596" s="162"/>
      <c r="C3596" s="336"/>
    </row>
    <row r="3597">
      <c r="A3597" s="162"/>
      <c r="B3597" s="162"/>
      <c r="C3597" s="336"/>
    </row>
    <row r="3598">
      <c r="A3598" s="162"/>
      <c r="B3598" s="162"/>
      <c r="C3598" s="336"/>
    </row>
    <row r="3599">
      <c r="A3599" s="162"/>
      <c r="B3599" s="162"/>
      <c r="C3599" s="336"/>
    </row>
    <row r="3600">
      <c r="A3600" s="162"/>
      <c r="B3600" s="162"/>
      <c r="C3600" s="336"/>
    </row>
    <row r="3601">
      <c r="A3601" s="162"/>
      <c r="B3601" s="162"/>
      <c r="C3601" s="336"/>
    </row>
    <row r="3602">
      <c r="A3602" s="162"/>
      <c r="B3602" s="162"/>
      <c r="C3602" s="336"/>
    </row>
    <row r="3603">
      <c r="A3603" s="162"/>
      <c r="B3603" s="162"/>
      <c r="C3603" s="336"/>
    </row>
    <row r="3604">
      <c r="A3604" s="162"/>
      <c r="B3604" s="162"/>
      <c r="C3604" s="336"/>
    </row>
    <row r="3605">
      <c r="A3605" s="162"/>
      <c r="B3605" s="162"/>
      <c r="C3605" s="336"/>
    </row>
    <row r="3606">
      <c r="A3606" s="162"/>
      <c r="B3606" s="162"/>
      <c r="C3606" s="336"/>
    </row>
    <row r="3607">
      <c r="A3607" s="162"/>
      <c r="B3607" s="162"/>
      <c r="C3607" s="336"/>
    </row>
    <row r="3608">
      <c r="A3608" s="162"/>
      <c r="B3608" s="162"/>
      <c r="C3608" s="336"/>
    </row>
    <row r="3609">
      <c r="A3609" s="162"/>
      <c r="B3609" s="162"/>
      <c r="C3609" s="336"/>
    </row>
    <row r="3610">
      <c r="A3610" s="162"/>
      <c r="B3610" s="162"/>
      <c r="C3610" s="336"/>
    </row>
    <row r="3611">
      <c r="A3611" s="162"/>
      <c r="B3611" s="162"/>
      <c r="C3611" s="336"/>
    </row>
    <row r="3612">
      <c r="A3612" s="162"/>
      <c r="B3612" s="162"/>
      <c r="C3612" s="336"/>
    </row>
    <row r="3613">
      <c r="A3613" s="162"/>
      <c r="B3613" s="162"/>
      <c r="C3613" s="336"/>
    </row>
    <row r="3614">
      <c r="A3614" s="162"/>
      <c r="B3614" s="162"/>
      <c r="C3614" s="336"/>
    </row>
    <row r="3615">
      <c r="A3615" s="162"/>
      <c r="B3615" s="162"/>
      <c r="C3615" s="336"/>
    </row>
    <row r="3616">
      <c r="A3616" s="162"/>
      <c r="B3616" s="162"/>
      <c r="C3616" s="336"/>
    </row>
    <row r="3617">
      <c r="A3617" s="162"/>
      <c r="B3617" s="162"/>
      <c r="C3617" s="336"/>
    </row>
    <row r="3618">
      <c r="A3618" s="162"/>
      <c r="B3618" s="162"/>
      <c r="C3618" s="336"/>
    </row>
    <row r="3619">
      <c r="A3619" s="162"/>
      <c r="B3619" s="162"/>
      <c r="C3619" s="336"/>
    </row>
    <row r="3620">
      <c r="A3620" s="162"/>
      <c r="B3620" s="162"/>
      <c r="C3620" s="336"/>
    </row>
    <row r="3621">
      <c r="A3621" s="162"/>
      <c r="B3621" s="162"/>
      <c r="C3621" s="336"/>
    </row>
    <row r="3622">
      <c r="A3622" s="162"/>
      <c r="B3622" s="162"/>
      <c r="C3622" s="336"/>
    </row>
    <row r="3623">
      <c r="A3623" s="162"/>
      <c r="B3623" s="162"/>
      <c r="C3623" s="336"/>
    </row>
    <row r="3624">
      <c r="A3624" s="162"/>
      <c r="B3624" s="162"/>
      <c r="C3624" s="336"/>
    </row>
    <row r="3625">
      <c r="A3625" s="162"/>
      <c r="B3625" s="162"/>
      <c r="C3625" s="336"/>
    </row>
    <row r="3626">
      <c r="A3626" s="162"/>
      <c r="B3626" s="162"/>
      <c r="C3626" s="336"/>
    </row>
    <row r="3627">
      <c r="A3627" s="162"/>
      <c r="B3627" s="162"/>
      <c r="C3627" s="336"/>
    </row>
    <row r="3628">
      <c r="A3628" s="162"/>
      <c r="B3628" s="162"/>
      <c r="C3628" s="336"/>
    </row>
    <row r="3629">
      <c r="A3629" s="162"/>
      <c r="B3629" s="162"/>
      <c r="C3629" s="336"/>
    </row>
    <row r="3630">
      <c r="A3630" s="162"/>
      <c r="B3630" s="162"/>
      <c r="C3630" s="336"/>
    </row>
    <row r="3631">
      <c r="A3631" s="162"/>
      <c r="B3631" s="162"/>
      <c r="C3631" s="336"/>
    </row>
    <row r="3632">
      <c r="A3632" s="162"/>
      <c r="B3632" s="162"/>
      <c r="C3632" s="336"/>
    </row>
    <row r="3633">
      <c r="A3633" s="162"/>
      <c r="B3633" s="162"/>
      <c r="C3633" s="336"/>
    </row>
    <row r="3634">
      <c r="A3634" s="162"/>
      <c r="B3634" s="162"/>
      <c r="C3634" s="336"/>
    </row>
    <row r="3635">
      <c r="A3635" s="162"/>
      <c r="B3635" s="162"/>
      <c r="C3635" s="336"/>
    </row>
    <row r="3636">
      <c r="A3636" s="162"/>
      <c r="B3636" s="162"/>
      <c r="C3636" s="336"/>
    </row>
    <row r="3637">
      <c r="A3637" s="162"/>
      <c r="B3637" s="162"/>
      <c r="C3637" s="336"/>
    </row>
    <row r="3638">
      <c r="A3638" s="162"/>
      <c r="B3638" s="162"/>
      <c r="C3638" s="336"/>
    </row>
    <row r="3639">
      <c r="A3639" s="162"/>
      <c r="B3639" s="162"/>
      <c r="C3639" s="336"/>
    </row>
    <row r="3640">
      <c r="A3640" s="162"/>
      <c r="B3640" s="162"/>
      <c r="C3640" s="336"/>
    </row>
    <row r="3641">
      <c r="A3641" s="162"/>
      <c r="B3641" s="162"/>
      <c r="C3641" s="336"/>
    </row>
    <row r="3642">
      <c r="A3642" s="162"/>
      <c r="B3642" s="162"/>
      <c r="C3642" s="336"/>
    </row>
    <row r="3643">
      <c r="A3643" s="162"/>
      <c r="B3643" s="162"/>
      <c r="C3643" s="336"/>
    </row>
    <row r="3644">
      <c r="A3644" s="162"/>
      <c r="B3644" s="162"/>
      <c r="C3644" s="336"/>
    </row>
    <row r="3645">
      <c r="A3645" s="162"/>
      <c r="B3645" s="162"/>
      <c r="C3645" s="336"/>
    </row>
    <row r="3646">
      <c r="A3646" s="162"/>
      <c r="B3646" s="162"/>
      <c r="C3646" s="336"/>
    </row>
    <row r="3647">
      <c r="A3647" s="162"/>
      <c r="B3647" s="162"/>
      <c r="C3647" s="336"/>
    </row>
    <row r="3648">
      <c r="A3648" s="162"/>
      <c r="B3648" s="162"/>
      <c r="C3648" s="336"/>
    </row>
    <row r="3649">
      <c r="A3649" s="162"/>
      <c r="B3649" s="162"/>
      <c r="C3649" s="336"/>
    </row>
    <row r="3650">
      <c r="A3650" s="162"/>
      <c r="B3650" s="162"/>
      <c r="C3650" s="336"/>
    </row>
    <row r="3651">
      <c r="A3651" s="162"/>
      <c r="B3651" s="162"/>
      <c r="C3651" s="336"/>
    </row>
    <row r="3652">
      <c r="A3652" s="162"/>
      <c r="B3652" s="162"/>
      <c r="C3652" s="336"/>
    </row>
    <row r="3653">
      <c r="A3653" s="162"/>
      <c r="B3653" s="162"/>
      <c r="C3653" s="336"/>
    </row>
    <row r="3654">
      <c r="A3654" s="162"/>
      <c r="B3654" s="162"/>
      <c r="C3654" s="336"/>
    </row>
    <row r="3655">
      <c r="A3655" s="162"/>
      <c r="B3655" s="162"/>
      <c r="C3655" s="336"/>
    </row>
    <row r="3656">
      <c r="A3656" s="162"/>
      <c r="B3656" s="162"/>
      <c r="C3656" s="336"/>
    </row>
    <row r="3657">
      <c r="A3657" s="162"/>
      <c r="B3657" s="162"/>
      <c r="C3657" s="336"/>
    </row>
    <row r="3658">
      <c r="A3658" s="162"/>
      <c r="B3658" s="162"/>
      <c r="C3658" s="336"/>
    </row>
    <row r="3659">
      <c r="A3659" s="162"/>
      <c r="B3659" s="162"/>
      <c r="C3659" s="336"/>
    </row>
    <row r="3660">
      <c r="A3660" s="162"/>
      <c r="B3660" s="162"/>
      <c r="C3660" s="336"/>
    </row>
    <row r="3661">
      <c r="A3661" s="162"/>
      <c r="B3661" s="162"/>
      <c r="C3661" s="336"/>
    </row>
    <row r="3662">
      <c r="A3662" s="162"/>
      <c r="B3662" s="162"/>
      <c r="C3662" s="336"/>
    </row>
    <row r="3663">
      <c r="A3663" s="162"/>
      <c r="B3663" s="162"/>
      <c r="C3663" s="336"/>
    </row>
    <row r="3664">
      <c r="A3664" s="162"/>
      <c r="B3664" s="162"/>
      <c r="C3664" s="336"/>
    </row>
    <row r="3665">
      <c r="A3665" s="162"/>
      <c r="B3665" s="162"/>
      <c r="C3665" s="336"/>
    </row>
    <row r="3666">
      <c r="A3666" s="162"/>
      <c r="B3666" s="162"/>
      <c r="C3666" s="336"/>
    </row>
    <row r="3667">
      <c r="A3667" s="162"/>
      <c r="B3667" s="162"/>
      <c r="C3667" s="336"/>
    </row>
    <row r="3668">
      <c r="A3668" s="162"/>
      <c r="B3668" s="162"/>
      <c r="C3668" s="336"/>
    </row>
    <row r="3669">
      <c r="A3669" s="162"/>
      <c r="B3669" s="162"/>
      <c r="C3669" s="336"/>
    </row>
    <row r="3670">
      <c r="A3670" s="162"/>
      <c r="B3670" s="162"/>
      <c r="C3670" s="336"/>
    </row>
    <row r="3671">
      <c r="A3671" s="162"/>
      <c r="B3671" s="162"/>
      <c r="C3671" s="336"/>
    </row>
    <row r="3672">
      <c r="A3672" s="162"/>
      <c r="B3672" s="162"/>
      <c r="C3672" s="336"/>
    </row>
    <row r="3673">
      <c r="A3673" s="162"/>
      <c r="B3673" s="162"/>
      <c r="C3673" s="336"/>
    </row>
    <row r="3674">
      <c r="A3674" s="162"/>
      <c r="B3674" s="162"/>
      <c r="C3674" s="336"/>
    </row>
    <row r="3675">
      <c r="A3675" s="162"/>
      <c r="B3675" s="162"/>
      <c r="C3675" s="336"/>
    </row>
    <row r="3676">
      <c r="A3676" s="162"/>
      <c r="B3676" s="162"/>
      <c r="C3676" s="336"/>
    </row>
    <row r="3677">
      <c r="A3677" s="162"/>
      <c r="B3677" s="162"/>
      <c r="C3677" s="336"/>
    </row>
    <row r="3678">
      <c r="A3678" s="162"/>
      <c r="B3678" s="162"/>
      <c r="C3678" s="336"/>
    </row>
    <row r="3679">
      <c r="A3679" s="162"/>
      <c r="B3679" s="162"/>
      <c r="C3679" s="336"/>
    </row>
    <row r="3680">
      <c r="A3680" s="162"/>
      <c r="B3680" s="162"/>
      <c r="C3680" s="336"/>
    </row>
    <row r="3681">
      <c r="A3681" s="162"/>
      <c r="B3681" s="162"/>
      <c r="C3681" s="336"/>
    </row>
    <row r="3682">
      <c r="A3682" s="162"/>
      <c r="B3682" s="162"/>
      <c r="C3682" s="336"/>
    </row>
    <row r="3683">
      <c r="A3683" s="162"/>
      <c r="B3683" s="162"/>
      <c r="C3683" s="336"/>
    </row>
    <row r="3684">
      <c r="A3684" s="162"/>
      <c r="B3684" s="162"/>
      <c r="C3684" s="336"/>
    </row>
    <row r="3685">
      <c r="A3685" s="162"/>
      <c r="B3685" s="162"/>
      <c r="C3685" s="336"/>
    </row>
    <row r="3686">
      <c r="A3686" s="162"/>
      <c r="B3686" s="162"/>
      <c r="C3686" s="336"/>
    </row>
    <row r="3687">
      <c r="A3687" s="162"/>
      <c r="B3687" s="162"/>
      <c r="C3687" s="336"/>
    </row>
    <row r="3688">
      <c r="A3688" s="162"/>
      <c r="B3688" s="162"/>
      <c r="C3688" s="336"/>
    </row>
    <row r="3689">
      <c r="A3689" s="162"/>
      <c r="B3689" s="162"/>
      <c r="C3689" s="336"/>
    </row>
    <row r="3690">
      <c r="A3690" s="162"/>
      <c r="B3690" s="162"/>
      <c r="C3690" s="336"/>
    </row>
    <row r="3691">
      <c r="A3691" s="162"/>
      <c r="B3691" s="162"/>
      <c r="C3691" s="336"/>
    </row>
    <row r="3692">
      <c r="A3692" s="162"/>
      <c r="B3692" s="162"/>
      <c r="C3692" s="336"/>
    </row>
    <row r="3693">
      <c r="A3693" s="162"/>
      <c r="B3693" s="162"/>
      <c r="C3693" s="336"/>
    </row>
    <row r="3694">
      <c r="A3694" s="162"/>
      <c r="B3694" s="162"/>
      <c r="C3694" s="336"/>
    </row>
    <row r="3695">
      <c r="A3695" s="162"/>
      <c r="B3695" s="162"/>
      <c r="C3695" s="336"/>
    </row>
    <row r="3696">
      <c r="A3696" s="162"/>
      <c r="B3696" s="162"/>
      <c r="C3696" s="336"/>
    </row>
    <row r="3697">
      <c r="A3697" s="162"/>
      <c r="B3697" s="162"/>
      <c r="C3697" s="336"/>
    </row>
    <row r="3698">
      <c r="A3698" s="162"/>
      <c r="B3698" s="162"/>
      <c r="C3698" s="336"/>
    </row>
    <row r="3699">
      <c r="A3699" s="162"/>
      <c r="B3699" s="162"/>
      <c r="C3699" s="336"/>
    </row>
    <row r="3700">
      <c r="A3700" s="162"/>
      <c r="B3700" s="162"/>
      <c r="C3700" s="336"/>
    </row>
    <row r="3701">
      <c r="A3701" s="162"/>
      <c r="B3701" s="162"/>
      <c r="C3701" s="336"/>
    </row>
    <row r="3702">
      <c r="A3702" s="162"/>
      <c r="B3702" s="162"/>
      <c r="C3702" s="336"/>
    </row>
    <row r="3703">
      <c r="A3703" s="162"/>
      <c r="B3703" s="162"/>
      <c r="C3703" s="336"/>
    </row>
    <row r="3704">
      <c r="A3704" s="162"/>
      <c r="B3704" s="162"/>
      <c r="C3704" s="336"/>
    </row>
    <row r="3705">
      <c r="A3705" s="162"/>
      <c r="B3705" s="162"/>
      <c r="C3705" s="336"/>
    </row>
    <row r="3706">
      <c r="A3706" s="162"/>
      <c r="B3706" s="162"/>
      <c r="C3706" s="336"/>
    </row>
    <row r="3707">
      <c r="A3707" s="162"/>
      <c r="B3707" s="162"/>
      <c r="C3707" s="336"/>
    </row>
    <row r="3708">
      <c r="A3708" s="162"/>
      <c r="B3708" s="162"/>
      <c r="C3708" s="336"/>
    </row>
    <row r="3709">
      <c r="A3709" s="162"/>
      <c r="B3709" s="162"/>
      <c r="C3709" s="336"/>
    </row>
    <row r="3710">
      <c r="A3710" s="162"/>
      <c r="B3710" s="162"/>
      <c r="C3710" s="336"/>
    </row>
    <row r="3711">
      <c r="A3711" s="162"/>
      <c r="B3711" s="162"/>
      <c r="C3711" s="336"/>
    </row>
    <row r="3712">
      <c r="A3712" s="162"/>
      <c r="B3712" s="162"/>
      <c r="C3712" s="336"/>
    </row>
    <row r="3713">
      <c r="A3713" s="162"/>
      <c r="B3713" s="162"/>
      <c r="C3713" s="336"/>
    </row>
    <row r="3714">
      <c r="A3714" s="162"/>
      <c r="B3714" s="162"/>
      <c r="C3714" s="336"/>
    </row>
    <row r="3715">
      <c r="A3715" s="162"/>
      <c r="B3715" s="162"/>
      <c r="C3715" s="336"/>
    </row>
    <row r="3716">
      <c r="A3716" s="162"/>
      <c r="B3716" s="162"/>
      <c r="C3716" s="336"/>
    </row>
    <row r="3717">
      <c r="A3717" s="162"/>
      <c r="B3717" s="162"/>
      <c r="C3717" s="336"/>
    </row>
    <row r="3718">
      <c r="A3718" s="162"/>
      <c r="B3718" s="162"/>
      <c r="C3718" s="336"/>
    </row>
    <row r="3719">
      <c r="A3719" s="162"/>
      <c r="B3719" s="162"/>
      <c r="C3719" s="336"/>
    </row>
    <row r="3720">
      <c r="A3720" s="162"/>
      <c r="B3720" s="162"/>
      <c r="C3720" s="336"/>
    </row>
    <row r="3721">
      <c r="A3721" s="162"/>
      <c r="B3721" s="162"/>
      <c r="C3721" s="336"/>
    </row>
    <row r="3722">
      <c r="A3722" s="162"/>
      <c r="B3722" s="162"/>
      <c r="C3722" s="336"/>
    </row>
    <row r="3723">
      <c r="A3723" s="162"/>
      <c r="B3723" s="162"/>
      <c r="C3723" s="336"/>
    </row>
    <row r="3724">
      <c r="A3724" s="162"/>
      <c r="B3724" s="162"/>
      <c r="C3724" s="336"/>
    </row>
    <row r="3725">
      <c r="A3725" s="162"/>
      <c r="B3725" s="162"/>
      <c r="C3725" s="336"/>
    </row>
    <row r="3726">
      <c r="A3726" s="162"/>
      <c r="B3726" s="162"/>
      <c r="C3726" s="336"/>
    </row>
    <row r="3727">
      <c r="A3727" s="162"/>
      <c r="B3727" s="162"/>
      <c r="C3727" s="336"/>
    </row>
    <row r="3728">
      <c r="A3728" s="162"/>
      <c r="B3728" s="162"/>
      <c r="C3728" s="336"/>
    </row>
    <row r="3729">
      <c r="A3729" s="162"/>
      <c r="B3729" s="162"/>
      <c r="C3729" s="336"/>
    </row>
    <row r="3730">
      <c r="A3730" s="162"/>
      <c r="B3730" s="162"/>
      <c r="C3730" s="336"/>
    </row>
    <row r="3731">
      <c r="A3731" s="162"/>
      <c r="B3731" s="162"/>
      <c r="C3731" s="336"/>
    </row>
    <row r="3732">
      <c r="A3732" s="162"/>
      <c r="B3732" s="162"/>
      <c r="C3732" s="336"/>
    </row>
    <row r="3733">
      <c r="A3733" s="162"/>
      <c r="B3733" s="162"/>
      <c r="C3733" s="336"/>
    </row>
    <row r="3734">
      <c r="A3734" s="162"/>
      <c r="B3734" s="162"/>
      <c r="C3734" s="336"/>
    </row>
    <row r="3735">
      <c r="A3735" s="162"/>
      <c r="B3735" s="162"/>
      <c r="C3735" s="336"/>
    </row>
    <row r="3736">
      <c r="A3736" s="162"/>
      <c r="B3736" s="162"/>
      <c r="C3736" s="336"/>
    </row>
    <row r="3737">
      <c r="A3737" s="162"/>
      <c r="B3737" s="162"/>
      <c r="C3737" s="336"/>
    </row>
    <row r="3738">
      <c r="A3738" s="162"/>
      <c r="B3738" s="162"/>
      <c r="C3738" s="336"/>
    </row>
    <row r="3739">
      <c r="A3739" s="162"/>
      <c r="B3739" s="162"/>
      <c r="C3739" s="336"/>
    </row>
    <row r="3740">
      <c r="A3740" s="162"/>
      <c r="B3740" s="162"/>
      <c r="C3740" s="336"/>
    </row>
    <row r="3741">
      <c r="A3741" s="162"/>
      <c r="B3741" s="162"/>
      <c r="C3741" s="336"/>
    </row>
    <row r="3742">
      <c r="A3742" s="162"/>
      <c r="B3742" s="162"/>
      <c r="C3742" s="336"/>
    </row>
    <row r="3743">
      <c r="A3743" s="162"/>
      <c r="B3743" s="162"/>
      <c r="C3743" s="336"/>
    </row>
    <row r="3744">
      <c r="A3744" s="162"/>
      <c r="B3744" s="162"/>
      <c r="C3744" s="336"/>
    </row>
    <row r="3745">
      <c r="A3745" s="162"/>
      <c r="B3745" s="162"/>
      <c r="C3745" s="336"/>
    </row>
    <row r="3746">
      <c r="A3746" s="162"/>
      <c r="B3746" s="162"/>
      <c r="C3746" s="336"/>
    </row>
    <row r="3747">
      <c r="A3747" s="162"/>
      <c r="B3747" s="162"/>
      <c r="C3747" s="336"/>
    </row>
    <row r="3748">
      <c r="A3748" s="162"/>
      <c r="B3748" s="162"/>
      <c r="C3748" s="336"/>
    </row>
    <row r="3749">
      <c r="A3749" s="162"/>
      <c r="B3749" s="162"/>
      <c r="C3749" s="336"/>
    </row>
    <row r="3750">
      <c r="A3750" s="162"/>
      <c r="B3750" s="162"/>
      <c r="C3750" s="336"/>
    </row>
    <row r="3751">
      <c r="A3751" s="162"/>
      <c r="B3751" s="162"/>
      <c r="C3751" s="336"/>
    </row>
    <row r="3752">
      <c r="A3752" s="162"/>
      <c r="B3752" s="162"/>
      <c r="C3752" s="336"/>
    </row>
    <row r="3753">
      <c r="A3753" s="162"/>
      <c r="B3753" s="162"/>
      <c r="C3753" s="336"/>
    </row>
    <row r="3754">
      <c r="A3754" s="162"/>
      <c r="B3754" s="162"/>
      <c r="C3754" s="336"/>
    </row>
    <row r="3755">
      <c r="A3755" s="162"/>
      <c r="B3755" s="162"/>
      <c r="C3755" s="336"/>
    </row>
    <row r="3756">
      <c r="A3756" s="162"/>
      <c r="B3756" s="162"/>
      <c r="C3756" s="336"/>
    </row>
    <row r="3757">
      <c r="A3757" s="162"/>
      <c r="B3757" s="162"/>
      <c r="C3757" s="336"/>
    </row>
    <row r="3758">
      <c r="A3758" s="162"/>
      <c r="B3758" s="162"/>
      <c r="C3758" s="336"/>
    </row>
    <row r="3759">
      <c r="A3759" s="162"/>
      <c r="B3759" s="162"/>
      <c r="C3759" s="336"/>
    </row>
    <row r="3760">
      <c r="A3760" s="162"/>
      <c r="B3760" s="162"/>
      <c r="C3760" s="336"/>
    </row>
    <row r="3761">
      <c r="A3761" s="162"/>
      <c r="B3761" s="162"/>
      <c r="C3761" s="336"/>
    </row>
    <row r="3762">
      <c r="A3762" s="162"/>
      <c r="B3762" s="162"/>
      <c r="C3762" s="336"/>
    </row>
    <row r="3763">
      <c r="A3763" s="162"/>
      <c r="B3763" s="162"/>
      <c r="C3763" s="336"/>
    </row>
    <row r="3764">
      <c r="A3764" s="162"/>
      <c r="B3764" s="162"/>
      <c r="C3764" s="336"/>
    </row>
    <row r="3765">
      <c r="A3765" s="162"/>
      <c r="B3765" s="162"/>
      <c r="C3765" s="336"/>
    </row>
    <row r="3766">
      <c r="A3766" s="162"/>
      <c r="B3766" s="162"/>
      <c r="C3766" s="336"/>
    </row>
    <row r="3767">
      <c r="A3767" s="162"/>
      <c r="B3767" s="162"/>
      <c r="C3767" s="336"/>
    </row>
    <row r="3768">
      <c r="A3768" s="162"/>
      <c r="B3768" s="162"/>
      <c r="C3768" s="336"/>
    </row>
    <row r="3769">
      <c r="A3769" s="162"/>
      <c r="B3769" s="162"/>
      <c r="C3769" s="336"/>
    </row>
    <row r="3770">
      <c r="A3770" s="162"/>
      <c r="B3770" s="162"/>
      <c r="C3770" s="336"/>
    </row>
    <row r="3771">
      <c r="A3771" s="162"/>
      <c r="B3771" s="162"/>
      <c r="C3771" s="336"/>
    </row>
    <row r="3772">
      <c r="A3772" s="162"/>
      <c r="B3772" s="162"/>
      <c r="C3772" s="336"/>
    </row>
    <row r="3773">
      <c r="A3773" s="162"/>
      <c r="B3773" s="162"/>
      <c r="C3773" s="336"/>
    </row>
    <row r="3774">
      <c r="A3774" s="162"/>
      <c r="B3774" s="162"/>
      <c r="C3774" s="336"/>
    </row>
    <row r="3775">
      <c r="A3775" s="162"/>
      <c r="B3775" s="162"/>
      <c r="C3775" s="336"/>
    </row>
    <row r="3776">
      <c r="A3776" s="162"/>
      <c r="B3776" s="162"/>
      <c r="C3776" s="336"/>
    </row>
    <row r="3777">
      <c r="A3777" s="162"/>
      <c r="B3777" s="162"/>
      <c r="C3777" s="336"/>
    </row>
    <row r="3778">
      <c r="A3778" s="162"/>
      <c r="B3778" s="162"/>
      <c r="C3778" s="336"/>
    </row>
    <row r="3779">
      <c r="A3779" s="162"/>
      <c r="B3779" s="162"/>
      <c r="C3779" s="336"/>
    </row>
    <row r="3780">
      <c r="A3780" s="162"/>
      <c r="B3780" s="162"/>
      <c r="C3780" s="336"/>
    </row>
    <row r="3781">
      <c r="A3781" s="162"/>
      <c r="B3781" s="162"/>
      <c r="C3781" s="336"/>
    </row>
    <row r="3782">
      <c r="A3782" s="162"/>
      <c r="B3782" s="162"/>
      <c r="C3782" s="336"/>
    </row>
    <row r="3783">
      <c r="A3783" s="162"/>
      <c r="B3783" s="162"/>
      <c r="C3783" s="336"/>
    </row>
    <row r="3784">
      <c r="A3784" s="162"/>
      <c r="B3784" s="162"/>
      <c r="C3784" s="336"/>
    </row>
    <row r="3785">
      <c r="A3785" s="162"/>
      <c r="B3785" s="162"/>
      <c r="C3785" s="336"/>
    </row>
    <row r="3786">
      <c r="A3786" s="162"/>
      <c r="B3786" s="162"/>
      <c r="C3786" s="336"/>
    </row>
    <row r="3787">
      <c r="A3787" s="162"/>
      <c r="B3787" s="162"/>
      <c r="C3787" s="336"/>
    </row>
    <row r="3788">
      <c r="A3788" s="162"/>
      <c r="B3788" s="162"/>
      <c r="C3788" s="336"/>
    </row>
    <row r="3789">
      <c r="A3789" s="162"/>
      <c r="B3789" s="162"/>
      <c r="C3789" s="336"/>
    </row>
    <row r="3790">
      <c r="A3790" s="162"/>
      <c r="B3790" s="162"/>
      <c r="C3790" s="336"/>
    </row>
    <row r="3791">
      <c r="A3791" s="162"/>
      <c r="B3791" s="162"/>
      <c r="C3791" s="336"/>
    </row>
    <row r="3792">
      <c r="A3792" s="162"/>
      <c r="B3792" s="162"/>
      <c r="C3792" s="336"/>
    </row>
    <row r="3793">
      <c r="A3793" s="162"/>
      <c r="B3793" s="162"/>
      <c r="C3793" s="336"/>
    </row>
    <row r="3794">
      <c r="A3794" s="162"/>
      <c r="B3794" s="162"/>
      <c r="C3794" s="336"/>
    </row>
    <row r="3795">
      <c r="A3795" s="162"/>
      <c r="B3795" s="162"/>
      <c r="C3795" s="336"/>
    </row>
    <row r="3796">
      <c r="A3796" s="162"/>
      <c r="B3796" s="162"/>
      <c r="C3796" s="336"/>
    </row>
    <row r="3797">
      <c r="A3797" s="162"/>
      <c r="B3797" s="162"/>
      <c r="C3797" s="336"/>
    </row>
    <row r="3798">
      <c r="A3798" s="162"/>
      <c r="B3798" s="162"/>
      <c r="C3798" s="336"/>
    </row>
    <row r="3799">
      <c r="A3799" s="162"/>
      <c r="B3799" s="162"/>
      <c r="C3799" s="336"/>
    </row>
    <row r="3800">
      <c r="A3800" s="162"/>
      <c r="B3800" s="162"/>
      <c r="C3800" s="336"/>
    </row>
    <row r="3801">
      <c r="A3801" s="162"/>
      <c r="B3801" s="162"/>
      <c r="C3801" s="336"/>
    </row>
    <row r="3802">
      <c r="A3802" s="162"/>
      <c r="B3802" s="162"/>
      <c r="C3802" s="336"/>
    </row>
    <row r="3803">
      <c r="A3803" s="162"/>
      <c r="B3803" s="162"/>
      <c r="C3803" s="336"/>
    </row>
    <row r="3804">
      <c r="A3804" s="162"/>
      <c r="B3804" s="162"/>
      <c r="C3804" s="336"/>
    </row>
    <row r="3805">
      <c r="A3805" s="162"/>
      <c r="B3805" s="162"/>
      <c r="C3805" s="336"/>
    </row>
    <row r="3806">
      <c r="A3806" s="162"/>
      <c r="B3806" s="162"/>
      <c r="C3806" s="336"/>
    </row>
    <row r="3807">
      <c r="A3807" s="162"/>
      <c r="B3807" s="162"/>
      <c r="C3807" s="336"/>
    </row>
    <row r="3808">
      <c r="A3808" s="162"/>
      <c r="B3808" s="162"/>
      <c r="C3808" s="336"/>
    </row>
    <row r="3809">
      <c r="A3809" s="162"/>
      <c r="B3809" s="162"/>
      <c r="C3809" s="336"/>
    </row>
    <row r="3810">
      <c r="A3810" s="162"/>
      <c r="B3810" s="162"/>
      <c r="C3810" s="336"/>
    </row>
    <row r="3811">
      <c r="A3811" s="162"/>
      <c r="B3811" s="162"/>
      <c r="C3811" s="336"/>
    </row>
    <row r="3812">
      <c r="A3812" s="162"/>
      <c r="B3812" s="162"/>
      <c r="C3812" s="336"/>
    </row>
    <row r="3813">
      <c r="A3813" s="162"/>
      <c r="B3813" s="162"/>
      <c r="C3813" s="336"/>
    </row>
    <row r="3814">
      <c r="A3814" s="162"/>
      <c r="B3814" s="162"/>
      <c r="C3814" s="336"/>
    </row>
    <row r="3815">
      <c r="A3815" s="162"/>
      <c r="B3815" s="162"/>
      <c r="C3815" s="336"/>
    </row>
    <row r="3816">
      <c r="A3816" s="162"/>
      <c r="B3816" s="162"/>
      <c r="C3816" s="336"/>
    </row>
    <row r="3817">
      <c r="A3817" s="162"/>
      <c r="B3817" s="162"/>
      <c r="C3817" s="336"/>
    </row>
    <row r="3818">
      <c r="A3818" s="162"/>
      <c r="B3818" s="162"/>
      <c r="C3818" s="336"/>
    </row>
    <row r="3819">
      <c r="A3819" s="162"/>
      <c r="B3819" s="162"/>
      <c r="C3819" s="336"/>
    </row>
    <row r="3820">
      <c r="A3820" s="162"/>
      <c r="B3820" s="162"/>
      <c r="C3820" s="336"/>
    </row>
    <row r="3821">
      <c r="A3821" s="162"/>
      <c r="B3821" s="162"/>
      <c r="C3821" s="336"/>
    </row>
    <row r="3822">
      <c r="A3822" s="162"/>
      <c r="B3822" s="162"/>
      <c r="C3822" s="336"/>
    </row>
    <row r="3823">
      <c r="A3823" s="162"/>
      <c r="B3823" s="162"/>
      <c r="C3823" s="336"/>
    </row>
    <row r="3824">
      <c r="A3824" s="162"/>
      <c r="B3824" s="162"/>
      <c r="C3824" s="336"/>
    </row>
    <row r="3825">
      <c r="A3825" s="162"/>
      <c r="B3825" s="162"/>
      <c r="C3825" s="336"/>
    </row>
    <row r="3826">
      <c r="A3826" s="162"/>
      <c r="B3826" s="162"/>
      <c r="C3826" s="336"/>
    </row>
    <row r="3827">
      <c r="A3827" s="162"/>
      <c r="B3827" s="162"/>
      <c r="C3827" s="336"/>
    </row>
    <row r="3828">
      <c r="A3828" s="162"/>
      <c r="B3828" s="162"/>
      <c r="C3828" s="336"/>
    </row>
    <row r="3829">
      <c r="A3829" s="162"/>
      <c r="B3829" s="162"/>
      <c r="C3829" s="336"/>
    </row>
    <row r="3830">
      <c r="A3830" s="162"/>
      <c r="B3830" s="162"/>
      <c r="C3830" s="336"/>
    </row>
    <row r="3831">
      <c r="A3831" s="162"/>
      <c r="B3831" s="162"/>
      <c r="C3831" s="336"/>
    </row>
    <row r="3832">
      <c r="A3832" s="162"/>
      <c r="B3832" s="162"/>
      <c r="C3832" s="336"/>
    </row>
    <row r="3833">
      <c r="A3833" s="162"/>
      <c r="B3833" s="162"/>
      <c r="C3833" s="336"/>
    </row>
    <row r="3834">
      <c r="A3834" s="162"/>
      <c r="B3834" s="162"/>
      <c r="C3834" s="336"/>
    </row>
    <row r="3835">
      <c r="A3835" s="162"/>
      <c r="B3835" s="162"/>
      <c r="C3835" s="336"/>
    </row>
    <row r="3836">
      <c r="A3836" s="162"/>
      <c r="B3836" s="162"/>
      <c r="C3836" s="336"/>
    </row>
    <row r="3837">
      <c r="A3837" s="162"/>
      <c r="B3837" s="162"/>
      <c r="C3837" s="336"/>
    </row>
    <row r="3838">
      <c r="A3838" s="162"/>
      <c r="B3838" s="162"/>
      <c r="C3838" s="336"/>
    </row>
    <row r="3839">
      <c r="A3839" s="162"/>
      <c r="B3839" s="162"/>
      <c r="C3839" s="336"/>
    </row>
    <row r="3840">
      <c r="A3840" s="162"/>
      <c r="B3840" s="162"/>
      <c r="C3840" s="336"/>
    </row>
    <row r="3841">
      <c r="A3841" s="162"/>
      <c r="B3841" s="162"/>
      <c r="C3841" s="336"/>
    </row>
    <row r="3842">
      <c r="A3842" s="162"/>
      <c r="B3842" s="162"/>
      <c r="C3842" s="336"/>
    </row>
    <row r="3843">
      <c r="A3843" s="162"/>
      <c r="B3843" s="162"/>
      <c r="C3843" s="336"/>
    </row>
    <row r="3844">
      <c r="A3844" s="162"/>
      <c r="B3844" s="162"/>
      <c r="C3844" s="336"/>
    </row>
    <row r="3845">
      <c r="A3845" s="162"/>
      <c r="B3845" s="162"/>
      <c r="C3845" s="336"/>
    </row>
    <row r="3846">
      <c r="A3846" s="162"/>
      <c r="B3846" s="162"/>
      <c r="C3846" s="336"/>
    </row>
    <row r="3847">
      <c r="A3847" s="162"/>
      <c r="B3847" s="162"/>
      <c r="C3847" s="336"/>
    </row>
    <row r="3848">
      <c r="A3848" s="162"/>
      <c r="B3848" s="162"/>
      <c r="C3848" s="336"/>
    </row>
    <row r="3849">
      <c r="A3849" s="162"/>
      <c r="B3849" s="162"/>
      <c r="C3849" s="336"/>
    </row>
    <row r="3850">
      <c r="A3850" s="162"/>
      <c r="B3850" s="162"/>
      <c r="C3850" s="336"/>
    </row>
    <row r="3851">
      <c r="A3851" s="162"/>
      <c r="B3851" s="162"/>
      <c r="C3851" s="336"/>
    </row>
    <row r="3852">
      <c r="A3852" s="162"/>
      <c r="B3852" s="162"/>
      <c r="C3852" s="336"/>
    </row>
    <row r="3853">
      <c r="A3853" s="162"/>
      <c r="B3853" s="162"/>
      <c r="C3853" s="336"/>
    </row>
    <row r="3854">
      <c r="A3854" s="162"/>
      <c r="B3854" s="162"/>
      <c r="C3854" s="336"/>
    </row>
    <row r="3855">
      <c r="A3855" s="162"/>
      <c r="B3855" s="162"/>
      <c r="C3855" s="336"/>
    </row>
    <row r="3856">
      <c r="A3856" s="162"/>
      <c r="B3856" s="162"/>
      <c r="C3856" s="336"/>
    </row>
    <row r="3857">
      <c r="A3857" s="162"/>
      <c r="B3857" s="162"/>
      <c r="C3857" s="336"/>
    </row>
    <row r="3858">
      <c r="A3858" s="162"/>
      <c r="B3858" s="162"/>
      <c r="C3858" s="336"/>
    </row>
    <row r="3859">
      <c r="A3859" s="162"/>
      <c r="B3859" s="162"/>
      <c r="C3859" s="336"/>
    </row>
    <row r="3860">
      <c r="A3860" s="162"/>
      <c r="B3860" s="162"/>
      <c r="C3860" s="336"/>
    </row>
    <row r="3861">
      <c r="A3861" s="162"/>
      <c r="B3861" s="162"/>
      <c r="C3861" s="336"/>
    </row>
    <row r="3862">
      <c r="A3862" s="162"/>
      <c r="B3862" s="162"/>
      <c r="C3862" s="336"/>
    </row>
    <row r="3863">
      <c r="A3863" s="162"/>
      <c r="B3863" s="162"/>
      <c r="C3863" s="336"/>
    </row>
    <row r="3864">
      <c r="A3864" s="162"/>
      <c r="B3864" s="162"/>
      <c r="C3864" s="336"/>
    </row>
    <row r="3865">
      <c r="A3865" s="162"/>
      <c r="B3865" s="162"/>
      <c r="C3865" s="336"/>
    </row>
    <row r="3866">
      <c r="A3866" s="162"/>
      <c r="B3866" s="162"/>
      <c r="C3866" s="336"/>
    </row>
    <row r="3867">
      <c r="A3867" s="162"/>
      <c r="B3867" s="162"/>
      <c r="C3867" s="336"/>
    </row>
    <row r="3868">
      <c r="A3868" s="162"/>
      <c r="B3868" s="162"/>
      <c r="C3868" s="336"/>
    </row>
    <row r="3869">
      <c r="A3869" s="162"/>
      <c r="B3869" s="162"/>
      <c r="C3869" s="336"/>
    </row>
    <row r="3870">
      <c r="A3870" s="162"/>
      <c r="B3870" s="162"/>
      <c r="C3870" s="336"/>
    </row>
    <row r="3871">
      <c r="A3871" s="162"/>
      <c r="B3871" s="162"/>
      <c r="C3871" s="336"/>
    </row>
    <row r="3872">
      <c r="A3872" s="162"/>
      <c r="B3872" s="162"/>
      <c r="C3872" s="336"/>
    </row>
    <row r="3873">
      <c r="A3873" s="162"/>
      <c r="B3873" s="162"/>
      <c r="C3873" s="336"/>
    </row>
    <row r="3874">
      <c r="A3874" s="162"/>
      <c r="B3874" s="162"/>
      <c r="C3874" s="336"/>
    </row>
    <row r="3875">
      <c r="A3875" s="162"/>
      <c r="B3875" s="162"/>
      <c r="C3875" s="336"/>
    </row>
    <row r="3876">
      <c r="A3876" s="162"/>
      <c r="B3876" s="162"/>
      <c r="C3876" s="336"/>
    </row>
    <row r="3877">
      <c r="A3877" s="162"/>
      <c r="B3877" s="162"/>
      <c r="C3877" s="336"/>
    </row>
    <row r="3878">
      <c r="A3878" s="162"/>
      <c r="B3878" s="162"/>
      <c r="C3878" s="336"/>
    </row>
    <row r="3879">
      <c r="A3879" s="162"/>
      <c r="B3879" s="162"/>
      <c r="C3879" s="336"/>
    </row>
    <row r="3880">
      <c r="A3880" s="162"/>
      <c r="B3880" s="162"/>
      <c r="C3880" s="336"/>
    </row>
    <row r="3881">
      <c r="A3881" s="162"/>
      <c r="B3881" s="162"/>
      <c r="C3881" s="336"/>
    </row>
    <row r="3882">
      <c r="A3882" s="162"/>
      <c r="B3882" s="162"/>
      <c r="C3882" s="336"/>
    </row>
    <row r="3883">
      <c r="A3883" s="162"/>
      <c r="B3883" s="162"/>
      <c r="C3883" s="336"/>
    </row>
    <row r="3884">
      <c r="A3884" s="162"/>
      <c r="B3884" s="162"/>
      <c r="C3884" s="336"/>
    </row>
    <row r="3885">
      <c r="A3885" s="162"/>
      <c r="B3885" s="162"/>
      <c r="C3885" s="336"/>
    </row>
    <row r="3886">
      <c r="A3886" s="162"/>
      <c r="B3886" s="162"/>
      <c r="C3886" s="336"/>
    </row>
    <row r="3887">
      <c r="A3887" s="162"/>
      <c r="B3887" s="162"/>
      <c r="C3887" s="336"/>
    </row>
    <row r="3888">
      <c r="A3888" s="162"/>
      <c r="B3888" s="162"/>
      <c r="C3888" s="336"/>
    </row>
    <row r="3889">
      <c r="A3889" s="162"/>
      <c r="B3889" s="162"/>
      <c r="C3889" s="336"/>
    </row>
    <row r="3890">
      <c r="A3890" s="162"/>
      <c r="B3890" s="162"/>
      <c r="C3890" s="336"/>
    </row>
    <row r="3891">
      <c r="A3891" s="162"/>
      <c r="B3891" s="162"/>
      <c r="C3891" s="336"/>
    </row>
    <row r="3892">
      <c r="A3892" s="162"/>
      <c r="B3892" s="162"/>
      <c r="C3892" s="336"/>
    </row>
    <row r="3893">
      <c r="A3893" s="162"/>
      <c r="B3893" s="162"/>
      <c r="C3893" s="336"/>
    </row>
    <row r="3894">
      <c r="A3894" s="162"/>
      <c r="B3894" s="162"/>
      <c r="C3894" s="336"/>
    </row>
    <row r="3895">
      <c r="A3895" s="162"/>
      <c r="B3895" s="162"/>
      <c r="C3895" s="336"/>
    </row>
    <row r="3896">
      <c r="A3896" s="162"/>
      <c r="B3896" s="162"/>
      <c r="C3896" s="336"/>
    </row>
    <row r="3897">
      <c r="A3897" s="162"/>
      <c r="B3897" s="162"/>
      <c r="C3897" s="336"/>
    </row>
    <row r="3898">
      <c r="A3898" s="162"/>
      <c r="B3898" s="162"/>
      <c r="C3898" s="336"/>
    </row>
    <row r="3899">
      <c r="A3899" s="162"/>
      <c r="B3899" s="162"/>
      <c r="C3899" s="336"/>
    </row>
    <row r="3900">
      <c r="A3900" s="162"/>
      <c r="B3900" s="162"/>
      <c r="C3900" s="336"/>
    </row>
    <row r="3901">
      <c r="A3901" s="162"/>
      <c r="B3901" s="162"/>
      <c r="C3901" s="336"/>
    </row>
    <row r="3902">
      <c r="A3902" s="162"/>
      <c r="B3902" s="162"/>
      <c r="C3902" s="336"/>
    </row>
    <row r="3903">
      <c r="A3903" s="162"/>
      <c r="B3903" s="162"/>
      <c r="C3903" s="336"/>
    </row>
    <row r="3904">
      <c r="A3904" s="162"/>
      <c r="B3904" s="162"/>
      <c r="C3904" s="336"/>
    </row>
    <row r="3905">
      <c r="A3905" s="162"/>
      <c r="B3905" s="162"/>
      <c r="C3905" s="336"/>
    </row>
    <row r="3906">
      <c r="A3906" s="162"/>
      <c r="B3906" s="162"/>
      <c r="C3906" s="336"/>
    </row>
    <row r="3907">
      <c r="A3907" s="162"/>
      <c r="B3907" s="162"/>
      <c r="C3907" s="336"/>
    </row>
    <row r="3908">
      <c r="A3908" s="162"/>
      <c r="B3908" s="162"/>
      <c r="C3908" s="336"/>
    </row>
    <row r="3909">
      <c r="A3909" s="162"/>
      <c r="B3909" s="162"/>
      <c r="C3909" s="336"/>
    </row>
    <row r="3910">
      <c r="A3910" s="162"/>
      <c r="B3910" s="162"/>
      <c r="C3910" s="336"/>
    </row>
    <row r="3911">
      <c r="A3911" s="162"/>
      <c r="B3911" s="162"/>
      <c r="C3911" s="336"/>
    </row>
    <row r="3912">
      <c r="A3912" s="162"/>
      <c r="B3912" s="162"/>
      <c r="C3912" s="336"/>
    </row>
    <row r="3913">
      <c r="A3913" s="162"/>
      <c r="B3913" s="162"/>
      <c r="C3913" s="336"/>
    </row>
    <row r="3914">
      <c r="A3914" s="162"/>
      <c r="B3914" s="162"/>
      <c r="C3914" s="336"/>
    </row>
    <row r="3915">
      <c r="A3915" s="162"/>
      <c r="B3915" s="162"/>
      <c r="C3915" s="336"/>
    </row>
    <row r="3916">
      <c r="A3916" s="162"/>
      <c r="B3916" s="162"/>
      <c r="C3916" s="336"/>
    </row>
    <row r="3917">
      <c r="A3917" s="162"/>
      <c r="B3917" s="162"/>
      <c r="C3917" s="336"/>
    </row>
    <row r="3918">
      <c r="A3918" s="162"/>
      <c r="B3918" s="162"/>
      <c r="C3918" s="336"/>
    </row>
    <row r="3919">
      <c r="A3919" s="162"/>
      <c r="B3919" s="162"/>
      <c r="C3919" s="336"/>
    </row>
    <row r="3920">
      <c r="A3920" s="162"/>
      <c r="B3920" s="162"/>
      <c r="C3920" s="336"/>
    </row>
    <row r="3921">
      <c r="A3921" s="162"/>
      <c r="B3921" s="162"/>
      <c r="C3921" s="336"/>
    </row>
    <row r="3922">
      <c r="A3922" s="162"/>
      <c r="B3922" s="162"/>
      <c r="C3922" s="336"/>
    </row>
    <row r="3923">
      <c r="A3923" s="162"/>
      <c r="B3923" s="162"/>
      <c r="C3923" s="336"/>
    </row>
    <row r="3924">
      <c r="A3924" s="162"/>
      <c r="B3924" s="162"/>
      <c r="C3924" s="336"/>
    </row>
    <row r="3925">
      <c r="A3925" s="162"/>
      <c r="B3925" s="162"/>
      <c r="C3925" s="336"/>
    </row>
    <row r="3926">
      <c r="A3926" s="162"/>
      <c r="B3926" s="162"/>
      <c r="C3926" s="336"/>
    </row>
    <row r="3927">
      <c r="A3927" s="162"/>
      <c r="B3927" s="162"/>
      <c r="C3927" s="336"/>
    </row>
    <row r="3928">
      <c r="A3928" s="162"/>
      <c r="B3928" s="162"/>
      <c r="C3928" s="336"/>
    </row>
    <row r="3929">
      <c r="A3929" s="162"/>
      <c r="B3929" s="162"/>
      <c r="C3929" s="336"/>
    </row>
    <row r="3930">
      <c r="A3930" s="162"/>
      <c r="B3930" s="162"/>
      <c r="C3930" s="336"/>
    </row>
    <row r="3931">
      <c r="A3931" s="162"/>
      <c r="B3931" s="162"/>
      <c r="C3931" s="336"/>
    </row>
    <row r="3932">
      <c r="A3932" s="162"/>
      <c r="B3932" s="162"/>
      <c r="C3932" s="336"/>
    </row>
    <row r="3933">
      <c r="A3933" s="162"/>
      <c r="B3933" s="162"/>
      <c r="C3933" s="336"/>
    </row>
    <row r="3934">
      <c r="A3934" s="162"/>
      <c r="B3934" s="162"/>
      <c r="C3934" s="336"/>
    </row>
    <row r="3935">
      <c r="A3935" s="162"/>
      <c r="B3935" s="162"/>
      <c r="C3935" s="336"/>
    </row>
    <row r="3936">
      <c r="A3936" s="162"/>
      <c r="B3936" s="162"/>
      <c r="C3936" s="336"/>
    </row>
    <row r="3937">
      <c r="A3937" s="162"/>
      <c r="B3937" s="162"/>
      <c r="C3937" s="336"/>
    </row>
    <row r="3938">
      <c r="A3938" s="162"/>
      <c r="B3938" s="162"/>
      <c r="C3938" s="336"/>
    </row>
    <row r="3939">
      <c r="A3939" s="162"/>
      <c r="B3939" s="162"/>
      <c r="C3939" s="336"/>
    </row>
    <row r="3940">
      <c r="A3940" s="162"/>
      <c r="B3940" s="162"/>
      <c r="C3940" s="336"/>
    </row>
    <row r="3941">
      <c r="A3941" s="162"/>
      <c r="B3941" s="162"/>
      <c r="C3941" s="336"/>
    </row>
    <row r="3942">
      <c r="A3942" s="162"/>
      <c r="B3942" s="162"/>
      <c r="C3942" s="336"/>
    </row>
    <row r="3943">
      <c r="A3943" s="162"/>
      <c r="B3943" s="162"/>
      <c r="C3943" s="336"/>
    </row>
    <row r="3944">
      <c r="A3944" s="162"/>
      <c r="B3944" s="162"/>
      <c r="C3944" s="336"/>
    </row>
    <row r="3945">
      <c r="A3945" s="162"/>
      <c r="B3945" s="162"/>
      <c r="C3945" s="336"/>
    </row>
    <row r="3946">
      <c r="A3946" s="162"/>
      <c r="B3946" s="162"/>
      <c r="C3946" s="336"/>
    </row>
    <row r="3947">
      <c r="A3947" s="162"/>
      <c r="B3947" s="162"/>
      <c r="C3947" s="336"/>
    </row>
    <row r="3948">
      <c r="A3948" s="162"/>
      <c r="B3948" s="162"/>
      <c r="C3948" s="336"/>
    </row>
    <row r="3949">
      <c r="A3949" s="162"/>
      <c r="B3949" s="162"/>
      <c r="C3949" s="336"/>
    </row>
    <row r="3950">
      <c r="A3950" s="162"/>
      <c r="B3950" s="162"/>
      <c r="C3950" s="336"/>
    </row>
    <row r="3951">
      <c r="A3951" s="162"/>
      <c r="B3951" s="162"/>
      <c r="C3951" s="336"/>
    </row>
    <row r="3952">
      <c r="A3952" s="162"/>
      <c r="B3952" s="162"/>
      <c r="C3952" s="336"/>
    </row>
    <row r="3953">
      <c r="A3953" s="162"/>
      <c r="B3953" s="162"/>
      <c r="C3953" s="336"/>
    </row>
    <row r="3954">
      <c r="A3954" s="162"/>
      <c r="B3954" s="162"/>
      <c r="C3954" s="336"/>
    </row>
    <row r="3955">
      <c r="A3955" s="162"/>
      <c r="B3955" s="162"/>
      <c r="C3955" s="336"/>
    </row>
    <row r="3956">
      <c r="A3956" s="162"/>
      <c r="B3956" s="162"/>
      <c r="C3956" s="336"/>
    </row>
    <row r="3957">
      <c r="A3957" s="162"/>
      <c r="B3957" s="162"/>
      <c r="C3957" s="336"/>
    </row>
    <row r="3958">
      <c r="A3958" s="162"/>
      <c r="B3958" s="162"/>
      <c r="C3958" s="336"/>
    </row>
    <row r="3959">
      <c r="A3959" s="162"/>
      <c r="B3959" s="162"/>
      <c r="C3959" s="336"/>
    </row>
    <row r="3960">
      <c r="A3960" s="162"/>
      <c r="B3960" s="162"/>
      <c r="C3960" s="336"/>
    </row>
    <row r="3961">
      <c r="A3961" s="162"/>
      <c r="B3961" s="162"/>
      <c r="C3961" s="336"/>
    </row>
    <row r="3962">
      <c r="A3962" s="162"/>
      <c r="B3962" s="162"/>
      <c r="C3962" s="336"/>
    </row>
    <row r="3963">
      <c r="A3963" s="162"/>
      <c r="B3963" s="162"/>
      <c r="C3963" s="336"/>
    </row>
    <row r="3964">
      <c r="A3964" s="162"/>
      <c r="B3964" s="162"/>
      <c r="C3964" s="336"/>
    </row>
    <row r="3965">
      <c r="A3965" s="162"/>
      <c r="B3965" s="162"/>
      <c r="C3965" s="336"/>
    </row>
    <row r="3966">
      <c r="A3966" s="162"/>
      <c r="B3966" s="162"/>
      <c r="C3966" s="336"/>
    </row>
    <row r="3967">
      <c r="A3967" s="162"/>
      <c r="B3967" s="162"/>
      <c r="C3967" s="336"/>
    </row>
    <row r="3968">
      <c r="A3968" s="162"/>
      <c r="B3968" s="162"/>
      <c r="C3968" s="336"/>
    </row>
    <row r="3969">
      <c r="A3969" s="162"/>
      <c r="B3969" s="162"/>
      <c r="C3969" s="336"/>
    </row>
    <row r="3970">
      <c r="A3970" s="162"/>
      <c r="B3970" s="162"/>
      <c r="C3970" s="336"/>
    </row>
    <row r="3971">
      <c r="A3971" s="162"/>
      <c r="B3971" s="162"/>
      <c r="C3971" s="336"/>
    </row>
    <row r="3972">
      <c r="A3972" s="162"/>
      <c r="B3972" s="162"/>
      <c r="C3972" s="336"/>
    </row>
    <row r="3973">
      <c r="A3973" s="162"/>
      <c r="B3973" s="162"/>
      <c r="C3973" s="336"/>
    </row>
    <row r="3974">
      <c r="A3974" s="162"/>
      <c r="B3974" s="162"/>
      <c r="C3974" s="336"/>
    </row>
    <row r="3975">
      <c r="A3975" s="162"/>
      <c r="B3975" s="162"/>
      <c r="C3975" s="336"/>
    </row>
    <row r="3976">
      <c r="A3976" s="162"/>
      <c r="B3976" s="162"/>
      <c r="C3976" s="336"/>
    </row>
    <row r="3977">
      <c r="A3977" s="162"/>
      <c r="B3977" s="162"/>
      <c r="C3977" s="336"/>
    </row>
    <row r="3978">
      <c r="A3978" s="162"/>
      <c r="B3978" s="162"/>
      <c r="C3978" s="336"/>
    </row>
    <row r="3979">
      <c r="A3979" s="162"/>
      <c r="B3979" s="162"/>
      <c r="C3979" s="336"/>
    </row>
    <row r="3980">
      <c r="A3980" s="162"/>
      <c r="B3980" s="162"/>
      <c r="C3980" s="336"/>
    </row>
    <row r="3981">
      <c r="A3981" s="162"/>
      <c r="B3981" s="162"/>
      <c r="C3981" s="336"/>
    </row>
    <row r="3982">
      <c r="A3982" s="162"/>
      <c r="B3982" s="162"/>
      <c r="C3982" s="336"/>
    </row>
    <row r="3983">
      <c r="A3983" s="162"/>
      <c r="B3983" s="162"/>
      <c r="C3983" s="336"/>
    </row>
    <row r="3984">
      <c r="A3984" s="162"/>
      <c r="B3984" s="162"/>
      <c r="C3984" s="336"/>
    </row>
    <row r="3985">
      <c r="A3985" s="162"/>
      <c r="B3985" s="162"/>
      <c r="C3985" s="336"/>
    </row>
    <row r="3986">
      <c r="A3986" s="162"/>
      <c r="B3986" s="162"/>
      <c r="C3986" s="336"/>
    </row>
    <row r="3987">
      <c r="A3987" s="162"/>
      <c r="B3987" s="162"/>
      <c r="C3987" s="336"/>
    </row>
    <row r="3988">
      <c r="A3988" s="162"/>
      <c r="B3988" s="162"/>
      <c r="C3988" s="336"/>
    </row>
    <row r="3989">
      <c r="A3989" s="162"/>
      <c r="B3989" s="162"/>
      <c r="C3989" s="336"/>
    </row>
    <row r="3990">
      <c r="A3990" s="162"/>
      <c r="B3990" s="162"/>
      <c r="C3990" s="336"/>
    </row>
    <row r="3991">
      <c r="A3991" s="162"/>
      <c r="B3991" s="162"/>
      <c r="C3991" s="336"/>
    </row>
    <row r="3992">
      <c r="A3992" s="162"/>
      <c r="B3992" s="162"/>
      <c r="C3992" s="336"/>
    </row>
    <row r="3993">
      <c r="A3993" s="162"/>
      <c r="B3993" s="162"/>
      <c r="C3993" s="336"/>
    </row>
    <row r="3994">
      <c r="A3994" s="162"/>
      <c r="B3994" s="162"/>
      <c r="C3994" s="336"/>
    </row>
    <row r="3995">
      <c r="A3995" s="162"/>
      <c r="B3995" s="162"/>
      <c r="C3995" s="336"/>
    </row>
    <row r="3996">
      <c r="A3996" s="162"/>
      <c r="B3996" s="162"/>
      <c r="C3996" s="336"/>
    </row>
    <row r="3997">
      <c r="A3997" s="162"/>
      <c r="B3997" s="162"/>
      <c r="C3997" s="336"/>
    </row>
    <row r="3998">
      <c r="A3998" s="162"/>
      <c r="B3998" s="162"/>
      <c r="C3998" s="336"/>
    </row>
    <row r="3999">
      <c r="A3999" s="162"/>
      <c r="B3999" s="162"/>
      <c r="C3999" s="336"/>
    </row>
    <row r="4000">
      <c r="A4000" s="162"/>
      <c r="B4000" s="162"/>
      <c r="C4000" s="336"/>
    </row>
    <row r="4001">
      <c r="A4001" s="162"/>
      <c r="B4001" s="162"/>
      <c r="C4001" s="336"/>
    </row>
    <row r="4002">
      <c r="A4002" s="162"/>
      <c r="B4002" s="162"/>
      <c r="C4002" s="336"/>
    </row>
    <row r="4003">
      <c r="A4003" s="162"/>
      <c r="B4003" s="162"/>
      <c r="C4003" s="336"/>
    </row>
    <row r="4004">
      <c r="A4004" s="162"/>
      <c r="B4004" s="162"/>
      <c r="C4004" s="336"/>
    </row>
    <row r="4005">
      <c r="A4005" s="162"/>
      <c r="B4005" s="162"/>
      <c r="C4005" s="336"/>
    </row>
    <row r="4006">
      <c r="A4006" s="162"/>
      <c r="B4006" s="162"/>
      <c r="C4006" s="336"/>
    </row>
    <row r="4007">
      <c r="A4007" s="162"/>
      <c r="B4007" s="162"/>
      <c r="C4007" s="336"/>
    </row>
    <row r="4008">
      <c r="A4008" s="162"/>
      <c r="B4008" s="162"/>
      <c r="C4008" s="336"/>
    </row>
    <row r="4009">
      <c r="A4009" s="162"/>
      <c r="B4009" s="162"/>
      <c r="C4009" s="336"/>
    </row>
    <row r="4010">
      <c r="A4010" s="162"/>
      <c r="B4010" s="162"/>
      <c r="C4010" s="336"/>
    </row>
    <row r="4011">
      <c r="A4011" s="162"/>
      <c r="B4011" s="162"/>
      <c r="C4011" s="336"/>
    </row>
    <row r="4012">
      <c r="A4012" s="162"/>
      <c r="B4012" s="162"/>
      <c r="C4012" s="336"/>
    </row>
    <row r="4013">
      <c r="A4013" s="162"/>
      <c r="B4013" s="162"/>
      <c r="C4013" s="336"/>
    </row>
    <row r="4014">
      <c r="A4014" s="162"/>
      <c r="B4014" s="162"/>
      <c r="C4014" s="336"/>
    </row>
    <row r="4015">
      <c r="A4015" s="162"/>
      <c r="B4015" s="162"/>
      <c r="C4015" s="336"/>
    </row>
    <row r="4016">
      <c r="A4016" s="162"/>
      <c r="B4016" s="162"/>
      <c r="C4016" s="336"/>
    </row>
    <row r="4017">
      <c r="A4017" s="162"/>
      <c r="B4017" s="162"/>
      <c r="C4017" s="336"/>
    </row>
    <row r="4018">
      <c r="A4018" s="162"/>
      <c r="B4018" s="162"/>
      <c r="C4018" s="336"/>
    </row>
    <row r="4019">
      <c r="A4019" s="162"/>
      <c r="B4019" s="162"/>
      <c r="C4019" s="336"/>
    </row>
    <row r="4020">
      <c r="A4020" s="162"/>
      <c r="B4020" s="162"/>
      <c r="C4020" s="336"/>
    </row>
    <row r="4021">
      <c r="A4021" s="162"/>
      <c r="B4021" s="162"/>
      <c r="C4021" s="336"/>
    </row>
    <row r="4022">
      <c r="A4022" s="162"/>
      <c r="B4022" s="162"/>
      <c r="C4022" s="336"/>
    </row>
    <row r="4023">
      <c r="A4023" s="162"/>
      <c r="B4023" s="162"/>
      <c r="C4023" s="336"/>
    </row>
    <row r="4024">
      <c r="A4024" s="162"/>
      <c r="B4024" s="162"/>
      <c r="C4024" s="336"/>
    </row>
    <row r="4025">
      <c r="A4025" s="162"/>
      <c r="B4025" s="162"/>
      <c r="C4025" s="336"/>
    </row>
    <row r="4026">
      <c r="A4026" s="162"/>
      <c r="B4026" s="162"/>
      <c r="C4026" s="336"/>
    </row>
    <row r="4027">
      <c r="A4027" s="162"/>
      <c r="B4027" s="162"/>
      <c r="C4027" s="336"/>
    </row>
    <row r="4028">
      <c r="A4028" s="162"/>
      <c r="B4028" s="162"/>
      <c r="C4028" s="336"/>
    </row>
    <row r="4029">
      <c r="A4029" s="162"/>
      <c r="B4029" s="162"/>
      <c r="C4029" s="336"/>
    </row>
    <row r="4030">
      <c r="A4030" s="162"/>
      <c r="B4030" s="162"/>
      <c r="C4030" s="336"/>
    </row>
    <row r="4031">
      <c r="A4031" s="162"/>
      <c r="B4031" s="162"/>
      <c r="C4031" s="336"/>
    </row>
    <row r="4032">
      <c r="A4032" s="162"/>
      <c r="B4032" s="162"/>
      <c r="C4032" s="336"/>
    </row>
    <row r="4033">
      <c r="A4033" s="162"/>
      <c r="B4033" s="162"/>
      <c r="C4033" s="336"/>
    </row>
    <row r="4034">
      <c r="A4034" s="162"/>
      <c r="B4034" s="162"/>
      <c r="C4034" s="336"/>
    </row>
    <row r="4035">
      <c r="A4035" s="162"/>
      <c r="B4035" s="162"/>
      <c r="C4035" s="336"/>
    </row>
    <row r="4036">
      <c r="A4036" s="162"/>
      <c r="B4036" s="162"/>
      <c r="C4036" s="336"/>
    </row>
    <row r="4037">
      <c r="A4037" s="162"/>
      <c r="B4037" s="162"/>
      <c r="C4037" s="336"/>
    </row>
    <row r="4038">
      <c r="A4038" s="162"/>
      <c r="B4038" s="162"/>
      <c r="C4038" s="336"/>
    </row>
    <row r="4039">
      <c r="A4039" s="162"/>
      <c r="B4039" s="162"/>
      <c r="C4039" s="336"/>
    </row>
    <row r="4040">
      <c r="A4040" s="162"/>
      <c r="B4040" s="162"/>
      <c r="C4040" s="336"/>
    </row>
    <row r="4041">
      <c r="A4041" s="162"/>
      <c r="B4041" s="162"/>
      <c r="C4041" s="336"/>
    </row>
    <row r="4042">
      <c r="A4042" s="162"/>
      <c r="B4042" s="162"/>
      <c r="C4042" s="336"/>
    </row>
    <row r="4043">
      <c r="A4043" s="162"/>
      <c r="B4043" s="162"/>
      <c r="C4043" s="336"/>
    </row>
    <row r="4044">
      <c r="A4044" s="162"/>
      <c r="B4044" s="162"/>
      <c r="C4044" s="336"/>
    </row>
    <row r="4045">
      <c r="A4045" s="162"/>
      <c r="B4045" s="162"/>
      <c r="C4045" s="336"/>
    </row>
    <row r="4046">
      <c r="A4046" s="162"/>
      <c r="B4046" s="162"/>
      <c r="C4046" s="336"/>
    </row>
    <row r="4047">
      <c r="A4047" s="162"/>
      <c r="B4047" s="162"/>
      <c r="C4047" s="336"/>
    </row>
    <row r="4048">
      <c r="A4048" s="162"/>
      <c r="B4048" s="162"/>
      <c r="C4048" s="336"/>
    </row>
    <row r="4049">
      <c r="A4049" s="162"/>
      <c r="B4049" s="162"/>
      <c r="C4049" s="336"/>
    </row>
    <row r="4050">
      <c r="A4050" s="162"/>
      <c r="B4050" s="162"/>
      <c r="C4050" s="336"/>
    </row>
    <row r="4051">
      <c r="A4051" s="162"/>
      <c r="B4051" s="162"/>
      <c r="C4051" s="336"/>
    </row>
    <row r="4052">
      <c r="A4052" s="162"/>
      <c r="B4052" s="162"/>
      <c r="C4052" s="336"/>
    </row>
    <row r="4053">
      <c r="A4053" s="162"/>
      <c r="B4053" s="162"/>
      <c r="C4053" s="336"/>
    </row>
    <row r="4054">
      <c r="A4054" s="162"/>
      <c r="B4054" s="162"/>
      <c r="C4054" s="336"/>
    </row>
    <row r="4055">
      <c r="A4055" s="162"/>
      <c r="B4055" s="162"/>
      <c r="C4055" s="336"/>
    </row>
    <row r="4056">
      <c r="A4056" s="162"/>
      <c r="B4056" s="162"/>
      <c r="C4056" s="336"/>
    </row>
    <row r="4057">
      <c r="A4057" s="162"/>
      <c r="B4057" s="162"/>
      <c r="C4057" s="336"/>
    </row>
    <row r="4058">
      <c r="A4058" s="162"/>
      <c r="B4058" s="162"/>
      <c r="C4058" s="336"/>
    </row>
    <row r="4059">
      <c r="A4059" s="162"/>
      <c r="B4059" s="162"/>
      <c r="C4059" s="336"/>
    </row>
    <row r="4060">
      <c r="A4060" s="162"/>
      <c r="B4060" s="162"/>
      <c r="C4060" s="336"/>
    </row>
    <row r="4061">
      <c r="A4061" s="162"/>
      <c r="B4061" s="162"/>
      <c r="C4061" s="336"/>
    </row>
    <row r="4062">
      <c r="A4062" s="162"/>
      <c r="B4062" s="162"/>
      <c r="C4062" s="336"/>
    </row>
    <row r="4063">
      <c r="A4063" s="162"/>
      <c r="B4063" s="162"/>
      <c r="C4063" s="336"/>
    </row>
    <row r="4064">
      <c r="A4064" s="162"/>
      <c r="B4064" s="162"/>
      <c r="C4064" s="336"/>
    </row>
    <row r="4065">
      <c r="A4065" s="162"/>
      <c r="B4065" s="162"/>
      <c r="C4065" s="336"/>
    </row>
    <row r="4066">
      <c r="A4066" s="162"/>
      <c r="B4066" s="162"/>
      <c r="C4066" s="336"/>
    </row>
    <row r="4067">
      <c r="A4067" s="162"/>
      <c r="B4067" s="162"/>
      <c r="C4067" s="336"/>
    </row>
    <row r="4068">
      <c r="A4068" s="162"/>
      <c r="B4068" s="162"/>
      <c r="C4068" s="336"/>
    </row>
    <row r="4069">
      <c r="A4069" s="162"/>
      <c r="B4069" s="162"/>
      <c r="C4069" s="336"/>
    </row>
    <row r="4070">
      <c r="A4070" s="162"/>
      <c r="B4070" s="162"/>
      <c r="C4070" s="336"/>
    </row>
    <row r="4071">
      <c r="A4071" s="162"/>
      <c r="B4071" s="162"/>
      <c r="C4071" s="336"/>
    </row>
    <row r="4072">
      <c r="A4072" s="162"/>
      <c r="B4072" s="162"/>
      <c r="C4072" s="336"/>
    </row>
    <row r="4073">
      <c r="A4073" s="162"/>
      <c r="B4073" s="162"/>
      <c r="C4073" s="336"/>
    </row>
    <row r="4074">
      <c r="A4074" s="162"/>
      <c r="B4074" s="162"/>
      <c r="C4074" s="336"/>
    </row>
    <row r="4075">
      <c r="A4075" s="162"/>
      <c r="B4075" s="162"/>
      <c r="C4075" s="336"/>
    </row>
    <row r="4076">
      <c r="A4076" s="162"/>
      <c r="B4076" s="162"/>
      <c r="C4076" s="336"/>
    </row>
    <row r="4077">
      <c r="A4077" s="162"/>
      <c r="B4077" s="162"/>
      <c r="C4077" s="336"/>
    </row>
    <row r="4078">
      <c r="A4078" s="162"/>
      <c r="B4078" s="162"/>
      <c r="C4078" s="336"/>
    </row>
    <row r="4079">
      <c r="A4079" s="162"/>
      <c r="B4079" s="162"/>
      <c r="C4079" s="336"/>
    </row>
    <row r="4080">
      <c r="A4080" s="162"/>
      <c r="B4080" s="162"/>
      <c r="C4080" s="336"/>
    </row>
    <row r="4081">
      <c r="A4081" s="162"/>
      <c r="B4081" s="162"/>
      <c r="C4081" s="336"/>
    </row>
    <row r="4082">
      <c r="A4082" s="162"/>
      <c r="B4082" s="162"/>
      <c r="C4082" s="336"/>
    </row>
    <row r="4083">
      <c r="A4083" s="162"/>
      <c r="B4083" s="162"/>
      <c r="C4083" s="336"/>
    </row>
    <row r="4084">
      <c r="A4084" s="162"/>
      <c r="B4084" s="162"/>
      <c r="C4084" s="336"/>
    </row>
    <row r="4085">
      <c r="A4085" s="162"/>
      <c r="B4085" s="162"/>
      <c r="C4085" s="336"/>
    </row>
    <row r="4086">
      <c r="A4086" s="162"/>
      <c r="B4086" s="162"/>
      <c r="C4086" s="336"/>
    </row>
    <row r="4087">
      <c r="A4087" s="162"/>
      <c r="B4087" s="162"/>
      <c r="C4087" s="336"/>
    </row>
    <row r="4088">
      <c r="A4088" s="162"/>
      <c r="B4088" s="162"/>
      <c r="C4088" s="336"/>
    </row>
    <row r="4089">
      <c r="A4089" s="162"/>
      <c r="B4089" s="162"/>
      <c r="C4089" s="336"/>
    </row>
    <row r="4090">
      <c r="A4090" s="162"/>
      <c r="B4090" s="162"/>
      <c r="C4090" s="336"/>
    </row>
    <row r="4091">
      <c r="A4091" s="162"/>
      <c r="B4091" s="162"/>
      <c r="C4091" s="336"/>
    </row>
    <row r="4092">
      <c r="A4092" s="162"/>
      <c r="B4092" s="162"/>
      <c r="C4092" s="336"/>
    </row>
    <row r="4093">
      <c r="A4093" s="162"/>
      <c r="B4093" s="162"/>
      <c r="C4093" s="336"/>
    </row>
    <row r="4094">
      <c r="A4094" s="162"/>
      <c r="B4094" s="162"/>
      <c r="C4094" s="336"/>
    </row>
    <row r="4095">
      <c r="A4095" s="162"/>
      <c r="B4095" s="162"/>
      <c r="C4095" s="336"/>
    </row>
    <row r="4096">
      <c r="A4096" s="162"/>
      <c r="B4096" s="162"/>
      <c r="C4096" s="336"/>
    </row>
    <row r="4097">
      <c r="A4097" s="162"/>
      <c r="B4097" s="162"/>
      <c r="C4097" s="336"/>
    </row>
    <row r="4098">
      <c r="A4098" s="162"/>
      <c r="B4098" s="162"/>
      <c r="C4098" s="336"/>
    </row>
    <row r="4099">
      <c r="A4099" s="162"/>
      <c r="B4099" s="162"/>
      <c r="C4099" s="336"/>
    </row>
    <row r="4100">
      <c r="A4100" s="162"/>
      <c r="B4100" s="162"/>
      <c r="C4100" s="336"/>
    </row>
    <row r="4101">
      <c r="A4101" s="162"/>
      <c r="B4101" s="162"/>
      <c r="C4101" s="336"/>
    </row>
    <row r="4102">
      <c r="A4102" s="162"/>
      <c r="B4102" s="162"/>
      <c r="C4102" s="336"/>
    </row>
    <row r="4103">
      <c r="A4103" s="162"/>
      <c r="B4103" s="162"/>
      <c r="C4103" s="336"/>
    </row>
    <row r="4104">
      <c r="A4104" s="162"/>
      <c r="B4104" s="162"/>
      <c r="C4104" s="336"/>
    </row>
    <row r="4105">
      <c r="A4105" s="162"/>
      <c r="B4105" s="162"/>
      <c r="C4105" s="336"/>
    </row>
    <row r="4106">
      <c r="A4106" s="162"/>
      <c r="B4106" s="162"/>
      <c r="C4106" s="336"/>
    </row>
    <row r="4107">
      <c r="A4107" s="162"/>
      <c r="B4107" s="162"/>
      <c r="C4107" s="336"/>
    </row>
    <row r="4108">
      <c r="A4108" s="162"/>
      <c r="B4108" s="162"/>
      <c r="C4108" s="336"/>
    </row>
    <row r="4109">
      <c r="A4109" s="162"/>
      <c r="B4109" s="162"/>
      <c r="C4109" s="336"/>
    </row>
    <row r="4110">
      <c r="A4110" s="162"/>
      <c r="B4110" s="162"/>
      <c r="C4110" s="336"/>
    </row>
    <row r="4111">
      <c r="A4111" s="162"/>
      <c r="B4111" s="162"/>
      <c r="C4111" s="336"/>
    </row>
    <row r="4112">
      <c r="A4112" s="162"/>
      <c r="B4112" s="162"/>
      <c r="C4112" s="336"/>
    </row>
    <row r="4113">
      <c r="A4113" s="162"/>
      <c r="B4113" s="162"/>
      <c r="C4113" s="336"/>
    </row>
    <row r="4114">
      <c r="A4114" s="162"/>
      <c r="B4114" s="162"/>
      <c r="C4114" s="336"/>
    </row>
    <row r="4115">
      <c r="A4115" s="162"/>
      <c r="B4115" s="162"/>
      <c r="C4115" s="336"/>
    </row>
    <row r="4116">
      <c r="A4116" s="162"/>
      <c r="B4116" s="162"/>
      <c r="C4116" s="336"/>
    </row>
    <row r="4117">
      <c r="A4117" s="162"/>
      <c r="B4117" s="162"/>
      <c r="C4117" s="336"/>
    </row>
    <row r="4118">
      <c r="A4118" s="162"/>
      <c r="B4118" s="162"/>
      <c r="C4118" s="336"/>
    </row>
    <row r="4119">
      <c r="A4119" s="162"/>
      <c r="B4119" s="162"/>
      <c r="C4119" s="336"/>
    </row>
    <row r="4120">
      <c r="A4120" s="162"/>
      <c r="B4120" s="162"/>
      <c r="C4120" s="336"/>
    </row>
    <row r="4121">
      <c r="A4121" s="162"/>
      <c r="B4121" s="162"/>
      <c r="C4121" s="336"/>
    </row>
    <row r="4122">
      <c r="A4122" s="162"/>
      <c r="B4122" s="162"/>
      <c r="C4122" s="336"/>
    </row>
    <row r="4123">
      <c r="A4123" s="162"/>
      <c r="B4123" s="162"/>
      <c r="C4123" s="336"/>
    </row>
    <row r="4124">
      <c r="A4124" s="162"/>
      <c r="B4124" s="162"/>
      <c r="C4124" s="336"/>
    </row>
    <row r="4125">
      <c r="A4125" s="162"/>
      <c r="B4125" s="162"/>
      <c r="C4125" s="336"/>
    </row>
    <row r="4126">
      <c r="A4126" s="162"/>
      <c r="B4126" s="162"/>
      <c r="C4126" s="336"/>
    </row>
    <row r="4127">
      <c r="A4127" s="162"/>
      <c r="B4127" s="162"/>
      <c r="C4127" s="336"/>
    </row>
    <row r="4128">
      <c r="A4128" s="162"/>
      <c r="B4128" s="162"/>
      <c r="C4128" s="336"/>
    </row>
    <row r="4129">
      <c r="A4129" s="162"/>
      <c r="B4129" s="162"/>
      <c r="C4129" s="336"/>
    </row>
    <row r="4130">
      <c r="A4130" s="162"/>
      <c r="B4130" s="162"/>
      <c r="C4130" s="336"/>
    </row>
    <row r="4131">
      <c r="A4131" s="162"/>
      <c r="B4131" s="162"/>
      <c r="C4131" s="336"/>
    </row>
    <row r="4132">
      <c r="A4132" s="162"/>
      <c r="B4132" s="162"/>
      <c r="C4132" s="336"/>
    </row>
    <row r="4133">
      <c r="A4133" s="162"/>
      <c r="B4133" s="162"/>
      <c r="C4133" s="336"/>
    </row>
    <row r="4134">
      <c r="A4134" s="162"/>
      <c r="B4134" s="162"/>
      <c r="C4134" s="336"/>
    </row>
    <row r="4135">
      <c r="A4135" s="162"/>
      <c r="B4135" s="162"/>
      <c r="C4135" s="336"/>
    </row>
    <row r="4136">
      <c r="A4136" s="162"/>
      <c r="B4136" s="162"/>
      <c r="C4136" s="336"/>
    </row>
    <row r="4137">
      <c r="A4137" s="162"/>
      <c r="B4137" s="162"/>
      <c r="C4137" s="336"/>
    </row>
    <row r="4138">
      <c r="A4138" s="162"/>
      <c r="B4138" s="162"/>
      <c r="C4138" s="336"/>
    </row>
    <row r="4139">
      <c r="A4139" s="162"/>
      <c r="B4139" s="162"/>
      <c r="C4139" s="336"/>
    </row>
    <row r="4140">
      <c r="A4140" s="162"/>
      <c r="B4140" s="162"/>
      <c r="C4140" s="336"/>
    </row>
    <row r="4141">
      <c r="A4141" s="162"/>
      <c r="B4141" s="162"/>
      <c r="C4141" s="336"/>
    </row>
    <row r="4142">
      <c r="A4142" s="162"/>
      <c r="B4142" s="162"/>
      <c r="C4142" s="336"/>
    </row>
    <row r="4143">
      <c r="A4143" s="162"/>
      <c r="B4143" s="162"/>
      <c r="C4143" s="336"/>
    </row>
    <row r="4144">
      <c r="A4144" s="162"/>
      <c r="B4144" s="162"/>
      <c r="C4144" s="336"/>
    </row>
    <row r="4145">
      <c r="A4145" s="162"/>
      <c r="B4145" s="162"/>
      <c r="C4145" s="336"/>
    </row>
    <row r="4146">
      <c r="A4146" s="162"/>
      <c r="B4146" s="162"/>
      <c r="C4146" s="336"/>
    </row>
    <row r="4147">
      <c r="A4147" s="162"/>
      <c r="B4147" s="162"/>
      <c r="C4147" s="336"/>
    </row>
    <row r="4148">
      <c r="A4148" s="162"/>
      <c r="B4148" s="162"/>
      <c r="C4148" s="336"/>
    </row>
    <row r="4149">
      <c r="A4149" s="162"/>
      <c r="B4149" s="162"/>
      <c r="C4149" s="336"/>
    </row>
    <row r="4150">
      <c r="A4150" s="162"/>
      <c r="B4150" s="162"/>
      <c r="C4150" s="336"/>
    </row>
    <row r="4151">
      <c r="A4151" s="162"/>
      <c r="B4151" s="162"/>
      <c r="C4151" s="336"/>
    </row>
    <row r="4152">
      <c r="A4152" s="162"/>
      <c r="B4152" s="162"/>
      <c r="C4152" s="336"/>
    </row>
    <row r="4153">
      <c r="A4153" s="162"/>
      <c r="B4153" s="162"/>
      <c r="C4153" s="336"/>
    </row>
    <row r="4154">
      <c r="A4154" s="162"/>
      <c r="B4154" s="162"/>
      <c r="C4154" s="336"/>
    </row>
    <row r="4155">
      <c r="A4155" s="162"/>
      <c r="B4155" s="162"/>
      <c r="C4155" s="336"/>
    </row>
    <row r="4156">
      <c r="A4156" s="162"/>
      <c r="B4156" s="162"/>
      <c r="C4156" s="336"/>
    </row>
    <row r="4157">
      <c r="A4157" s="162"/>
      <c r="B4157" s="162"/>
      <c r="C4157" s="336"/>
    </row>
    <row r="4158">
      <c r="A4158" s="162"/>
      <c r="B4158" s="162"/>
      <c r="C4158" s="336"/>
    </row>
    <row r="4159">
      <c r="A4159" s="162"/>
      <c r="B4159" s="162"/>
      <c r="C4159" s="336"/>
    </row>
    <row r="4160">
      <c r="A4160" s="162"/>
      <c r="B4160" s="162"/>
      <c r="C4160" s="336"/>
    </row>
    <row r="4161">
      <c r="A4161" s="162"/>
      <c r="B4161" s="162"/>
      <c r="C4161" s="336"/>
    </row>
    <row r="4162">
      <c r="A4162" s="162"/>
      <c r="B4162" s="162"/>
      <c r="C4162" s="336"/>
    </row>
    <row r="4163">
      <c r="A4163" s="162"/>
      <c r="B4163" s="162"/>
      <c r="C4163" s="336"/>
    </row>
    <row r="4164">
      <c r="A4164" s="162"/>
      <c r="B4164" s="162"/>
      <c r="C4164" s="336"/>
    </row>
    <row r="4165">
      <c r="A4165" s="162"/>
      <c r="B4165" s="162"/>
      <c r="C4165" s="336"/>
    </row>
    <row r="4166">
      <c r="A4166" s="162"/>
      <c r="B4166" s="162"/>
      <c r="C4166" s="336"/>
    </row>
    <row r="4167">
      <c r="A4167" s="162"/>
      <c r="B4167" s="162"/>
      <c r="C4167" s="336"/>
    </row>
    <row r="4168">
      <c r="A4168" s="162"/>
      <c r="B4168" s="162"/>
      <c r="C4168" s="336"/>
    </row>
    <row r="4169">
      <c r="A4169" s="162"/>
      <c r="B4169" s="162"/>
      <c r="C4169" s="336"/>
    </row>
    <row r="4170">
      <c r="A4170" s="162"/>
      <c r="B4170" s="162"/>
      <c r="C4170" s="336"/>
    </row>
    <row r="4171">
      <c r="A4171" s="162"/>
      <c r="B4171" s="162"/>
      <c r="C4171" s="336"/>
    </row>
    <row r="4172">
      <c r="A4172" s="162"/>
      <c r="B4172" s="162"/>
      <c r="C4172" s="336"/>
    </row>
    <row r="4173">
      <c r="A4173" s="162"/>
      <c r="B4173" s="162"/>
      <c r="C4173" s="336"/>
    </row>
    <row r="4174">
      <c r="A4174" s="162"/>
      <c r="B4174" s="162"/>
      <c r="C4174" s="336"/>
    </row>
    <row r="4175">
      <c r="A4175" s="162"/>
      <c r="B4175" s="162"/>
      <c r="C4175" s="336"/>
    </row>
    <row r="4176">
      <c r="A4176" s="162"/>
      <c r="B4176" s="162"/>
      <c r="C4176" s="336"/>
    </row>
    <row r="4177">
      <c r="A4177" s="162"/>
      <c r="B4177" s="162"/>
      <c r="C4177" s="336"/>
    </row>
    <row r="4178">
      <c r="A4178" s="162"/>
      <c r="B4178" s="162"/>
      <c r="C4178" s="336"/>
    </row>
    <row r="4179">
      <c r="A4179" s="162"/>
      <c r="B4179" s="162"/>
      <c r="C4179" s="336"/>
    </row>
    <row r="4180">
      <c r="A4180" s="162"/>
      <c r="B4180" s="162"/>
      <c r="C4180" s="336"/>
    </row>
    <row r="4181">
      <c r="A4181" s="162"/>
      <c r="B4181" s="162"/>
      <c r="C4181" s="336"/>
    </row>
    <row r="4182">
      <c r="A4182" s="162"/>
      <c r="B4182" s="162"/>
      <c r="C4182" s="336"/>
    </row>
    <row r="4183">
      <c r="A4183" s="162"/>
      <c r="B4183" s="162"/>
      <c r="C4183" s="336"/>
    </row>
    <row r="4184">
      <c r="A4184" s="162"/>
      <c r="B4184" s="162"/>
      <c r="C4184" s="336"/>
    </row>
    <row r="4185">
      <c r="A4185" s="162"/>
      <c r="B4185" s="162"/>
      <c r="C4185" s="336"/>
    </row>
    <row r="4186">
      <c r="A4186" s="162"/>
      <c r="B4186" s="162"/>
      <c r="C4186" s="336"/>
    </row>
    <row r="4187">
      <c r="A4187" s="162"/>
      <c r="B4187" s="162"/>
      <c r="C4187" s="336"/>
    </row>
    <row r="4188">
      <c r="A4188" s="162"/>
      <c r="B4188" s="162"/>
      <c r="C4188" s="336"/>
    </row>
    <row r="4189">
      <c r="A4189" s="162"/>
      <c r="B4189" s="162"/>
      <c r="C4189" s="336"/>
    </row>
    <row r="4190">
      <c r="A4190" s="162"/>
      <c r="B4190" s="162"/>
      <c r="C4190" s="336"/>
    </row>
    <row r="4191">
      <c r="A4191" s="162"/>
      <c r="B4191" s="162"/>
      <c r="C4191" s="336"/>
    </row>
    <row r="4192">
      <c r="A4192" s="162"/>
      <c r="B4192" s="162"/>
      <c r="C4192" s="336"/>
    </row>
    <row r="4193">
      <c r="A4193" s="162"/>
      <c r="B4193" s="162"/>
      <c r="C4193" s="336"/>
    </row>
    <row r="4194">
      <c r="A4194" s="162"/>
      <c r="B4194" s="162"/>
      <c r="C4194" s="336"/>
    </row>
    <row r="4195">
      <c r="A4195" s="162"/>
      <c r="B4195" s="162"/>
      <c r="C4195" s="336"/>
    </row>
    <row r="4196">
      <c r="A4196" s="162"/>
      <c r="B4196" s="162"/>
      <c r="C4196" s="336"/>
    </row>
    <row r="4197">
      <c r="A4197" s="162"/>
      <c r="B4197" s="162"/>
      <c r="C4197" s="336"/>
    </row>
    <row r="4198">
      <c r="A4198" s="162"/>
      <c r="B4198" s="162"/>
      <c r="C4198" s="336"/>
    </row>
    <row r="4199">
      <c r="A4199" s="162"/>
      <c r="B4199" s="162"/>
      <c r="C4199" s="336"/>
    </row>
    <row r="4200">
      <c r="A4200" s="162"/>
      <c r="B4200" s="162"/>
      <c r="C4200" s="336"/>
    </row>
    <row r="4201">
      <c r="A4201" s="162"/>
      <c r="B4201" s="162"/>
      <c r="C4201" s="336"/>
    </row>
    <row r="4202">
      <c r="A4202" s="162"/>
      <c r="B4202" s="162"/>
      <c r="C4202" s="336"/>
    </row>
    <row r="4203">
      <c r="A4203" s="162"/>
      <c r="B4203" s="162"/>
      <c r="C4203" s="336"/>
    </row>
    <row r="4204">
      <c r="A4204" s="162"/>
      <c r="B4204" s="162"/>
      <c r="C4204" s="336"/>
    </row>
    <row r="4205">
      <c r="A4205" s="162"/>
      <c r="B4205" s="162"/>
      <c r="C4205" s="336"/>
    </row>
    <row r="4206">
      <c r="A4206" s="162"/>
      <c r="B4206" s="162"/>
      <c r="C4206" s="336"/>
    </row>
    <row r="4207">
      <c r="A4207" s="162"/>
      <c r="B4207" s="162"/>
      <c r="C4207" s="336"/>
    </row>
    <row r="4208">
      <c r="A4208" s="162"/>
      <c r="B4208" s="162"/>
      <c r="C4208" s="336"/>
    </row>
    <row r="4209">
      <c r="A4209" s="162"/>
      <c r="B4209" s="162"/>
      <c r="C4209" s="336"/>
    </row>
    <row r="4210">
      <c r="A4210" s="162"/>
      <c r="B4210" s="162"/>
      <c r="C4210" s="336"/>
    </row>
    <row r="4211">
      <c r="A4211" s="162"/>
      <c r="B4211" s="162"/>
      <c r="C4211" s="336"/>
    </row>
    <row r="4212">
      <c r="A4212" s="162"/>
      <c r="B4212" s="162"/>
      <c r="C4212" s="336"/>
    </row>
    <row r="4213">
      <c r="A4213" s="162"/>
      <c r="B4213" s="162"/>
      <c r="C4213" s="336"/>
    </row>
    <row r="4214">
      <c r="A4214" s="162"/>
      <c r="B4214" s="162"/>
      <c r="C4214" s="336"/>
    </row>
    <row r="4215">
      <c r="A4215" s="162"/>
      <c r="B4215" s="162"/>
      <c r="C4215" s="336"/>
    </row>
    <row r="4216">
      <c r="A4216" s="162"/>
      <c r="B4216" s="162"/>
      <c r="C4216" s="336"/>
    </row>
    <row r="4217">
      <c r="A4217" s="162"/>
      <c r="B4217" s="162"/>
      <c r="C4217" s="336"/>
    </row>
    <row r="4218">
      <c r="A4218" s="162"/>
      <c r="B4218" s="162"/>
      <c r="C4218" s="336"/>
    </row>
    <row r="4219">
      <c r="A4219" s="162"/>
      <c r="B4219" s="162"/>
      <c r="C4219" s="336"/>
    </row>
    <row r="4220">
      <c r="A4220" s="162"/>
      <c r="B4220" s="162"/>
      <c r="C4220" s="336"/>
    </row>
    <row r="4221">
      <c r="A4221" s="162"/>
      <c r="B4221" s="162"/>
      <c r="C4221" s="336"/>
    </row>
    <row r="4222">
      <c r="A4222" s="162"/>
      <c r="B4222" s="162"/>
      <c r="C4222" s="336"/>
    </row>
    <row r="4223">
      <c r="A4223" s="162"/>
      <c r="B4223" s="162"/>
      <c r="C4223" s="336"/>
    </row>
    <row r="4224">
      <c r="A4224" s="162"/>
      <c r="B4224" s="162"/>
      <c r="C4224" s="336"/>
    </row>
    <row r="4225">
      <c r="A4225" s="162"/>
      <c r="B4225" s="162"/>
      <c r="C4225" s="336"/>
    </row>
    <row r="4226">
      <c r="A4226" s="162"/>
      <c r="B4226" s="162"/>
      <c r="C4226" s="336"/>
    </row>
    <row r="4227">
      <c r="A4227" s="162"/>
      <c r="B4227" s="162"/>
      <c r="C4227" s="336"/>
    </row>
    <row r="4228">
      <c r="A4228" s="162"/>
      <c r="B4228" s="162"/>
      <c r="C4228" s="336"/>
    </row>
    <row r="4229">
      <c r="A4229" s="162"/>
      <c r="B4229" s="162"/>
      <c r="C4229" s="336"/>
    </row>
    <row r="4230">
      <c r="A4230" s="162"/>
      <c r="B4230" s="162"/>
      <c r="C4230" s="336"/>
    </row>
    <row r="4231">
      <c r="A4231" s="162"/>
      <c r="B4231" s="162"/>
      <c r="C4231" s="336"/>
    </row>
    <row r="4232">
      <c r="A4232" s="162"/>
      <c r="B4232" s="162"/>
      <c r="C4232" s="336"/>
    </row>
    <row r="4233">
      <c r="A4233" s="162"/>
      <c r="B4233" s="162"/>
      <c r="C4233" s="336"/>
    </row>
    <row r="4234">
      <c r="A4234" s="162"/>
      <c r="B4234" s="162"/>
      <c r="C4234" s="336"/>
    </row>
    <row r="4235">
      <c r="A4235" s="162"/>
      <c r="B4235" s="162"/>
      <c r="C4235" s="336"/>
    </row>
    <row r="4236">
      <c r="A4236" s="162"/>
      <c r="B4236" s="162"/>
      <c r="C4236" s="336"/>
    </row>
    <row r="4237">
      <c r="A4237" s="162"/>
      <c r="B4237" s="162"/>
      <c r="C4237" s="336"/>
    </row>
    <row r="4238">
      <c r="A4238" s="162"/>
      <c r="B4238" s="162"/>
      <c r="C4238" s="336"/>
    </row>
    <row r="4239">
      <c r="A4239" s="162"/>
      <c r="B4239" s="162"/>
      <c r="C4239" s="336"/>
    </row>
    <row r="4240">
      <c r="A4240" s="162"/>
      <c r="B4240" s="162"/>
      <c r="C4240" s="336"/>
    </row>
    <row r="4241">
      <c r="A4241" s="162"/>
      <c r="B4241" s="162"/>
      <c r="C4241" s="336"/>
    </row>
    <row r="4242">
      <c r="A4242" s="162"/>
      <c r="B4242" s="162"/>
      <c r="C4242" s="336"/>
    </row>
    <row r="4243">
      <c r="A4243" s="162"/>
      <c r="B4243" s="162"/>
      <c r="C4243" s="336"/>
    </row>
    <row r="4244">
      <c r="A4244" s="162"/>
      <c r="B4244" s="162"/>
      <c r="C4244" s="336"/>
    </row>
    <row r="4245">
      <c r="A4245" s="162"/>
      <c r="B4245" s="162"/>
      <c r="C4245" s="336"/>
    </row>
    <row r="4246">
      <c r="A4246" s="162"/>
      <c r="B4246" s="162"/>
      <c r="C4246" s="336"/>
    </row>
    <row r="4247">
      <c r="A4247" s="162"/>
      <c r="B4247" s="162"/>
      <c r="C4247" s="336"/>
    </row>
    <row r="4248">
      <c r="A4248" s="162"/>
      <c r="B4248" s="162"/>
      <c r="C4248" s="336"/>
    </row>
    <row r="4249">
      <c r="A4249" s="162"/>
      <c r="B4249" s="162"/>
      <c r="C4249" s="336"/>
    </row>
    <row r="4250">
      <c r="A4250" s="162"/>
      <c r="B4250" s="162"/>
      <c r="C4250" s="336"/>
    </row>
    <row r="4251">
      <c r="A4251" s="162"/>
      <c r="B4251" s="162"/>
      <c r="C4251" s="336"/>
    </row>
    <row r="4252">
      <c r="A4252" s="162"/>
      <c r="B4252" s="162"/>
      <c r="C4252" s="336"/>
    </row>
    <row r="4253">
      <c r="A4253" s="162"/>
      <c r="B4253" s="162"/>
      <c r="C4253" s="336"/>
    </row>
    <row r="4254">
      <c r="A4254" s="162"/>
      <c r="B4254" s="162"/>
      <c r="C4254" s="336"/>
    </row>
    <row r="4255">
      <c r="A4255" s="162"/>
      <c r="B4255" s="162"/>
      <c r="C4255" s="336"/>
    </row>
    <row r="4256">
      <c r="A4256" s="162"/>
      <c r="B4256" s="162"/>
      <c r="C4256" s="336"/>
    </row>
    <row r="4257">
      <c r="A4257" s="162"/>
      <c r="B4257" s="162"/>
      <c r="C4257" s="336"/>
    </row>
    <row r="4258">
      <c r="A4258" s="162"/>
      <c r="B4258" s="162"/>
      <c r="C4258" s="336"/>
    </row>
    <row r="4259">
      <c r="A4259" s="162"/>
      <c r="B4259" s="162"/>
      <c r="C4259" s="336"/>
    </row>
    <row r="4260">
      <c r="A4260" s="162"/>
      <c r="B4260" s="162"/>
      <c r="C4260" s="336"/>
    </row>
    <row r="4261">
      <c r="A4261" s="162"/>
      <c r="B4261" s="162"/>
      <c r="C4261" s="336"/>
    </row>
    <row r="4262">
      <c r="A4262" s="162"/>
      <c r="B4262" s="162"/>
      <c r="C4262" s="336"/>
    </row>
    <row r="4263">
      <c r="A4263" s="162"/>
      <c r="B4263" s="162"/>
      <c r="C4263" s="336"/>
    </row>
    <row r="4264">
      <c r="A4264" s="162"/>
      <c r="B4264" s="162"/>
      <c r="C4264" s="336"/>
    </row>
    <row r="4265">
      <c r="A4265" s="162"/>
      <c r="B4265" s="162"/>
      <c r="C4265" s="336"/>
    </row>
    <row r="4266">
      <c r="A4266" s="162"/>
      <c r="B4266" s="162"/>
      <c r="C4266" s="336"/>
    </row>
    <row r="4267">
      <c r="A4267" s="162"/>
      <c r="B4267" s="162"/>
      <c r="C4267" s="336"/>
    </row>
    <row r="4268">
      <c r="A4268" s="162"/>
      <c r="B4268" s="162"/>
      <c r="C4268" s="336"/>
    </row>
    <row r="4269">
      <c r="A4269" s="162"/>
      <c r="B4269" s="162"/>
      <c r="C4269" s="336"/>
    </row>
    <row r="4270">
      <c r="A4270" s="162"/>
      <c r="B4270" s="162"/>
      <c r="C4270" s="336"/>
    </row>
    <row r="4271">
      <c r="A4271" s="162"/>
      <c r="B4271" s="162"/>
      <c r="C4271" s="336"/>
    </row>
    <row r="4272">
      <c r="A4272" s="162"/>
      <c r="B4272" s="162"/>
      <c r="C4272" s="336"/>
    </row>
    <row r="4273">
      <c r="A4273" s="162"/>
      <c r="B4273" s="162"/>
      <c r="C4273" s="336"/>
    </row>
    <row r="4274">
      <c r="A4274" s="162"/>
      <c r="B4274" s="162"/>
      <c r="C4274" s="336"/>
    </row>
    <row r="4275">
      <c r="A4275" s="162"/>
      <c r="B4275" s="162"/>
      <c r="C4275" s="336"/>
    </row>
    <row r="4276">
      <c r="A4276" s="162"/>
      <c r="B4276" s="162"/>
      <c r="C4276" s="336"/>
    </row>
    <row r="4277">
      <c r="A4277" s="162"/>
      <c r="B4277" s="162"/>
      <c r="C4277" s="336"/>
    </row>
    <row r="4278">
      <c r="A4278" s="162"/>
      <c r="B4278" s="162"/>
      <c r="C4278" s="336"/>
    </row>
    <row r="4279">
      <c r="A4279" s="162"/>
      <c r="B4279" s="162"/>
      <c r="C4279" s="336"/>
    </row>
    <row r="4280">
      <c r="A4280" s="162"/>
      <c r="B4280" s="162"/>
      <c r="C4280" s="336"/>
    </row>
    <row r="4281">
      <c r="A4281" s="162"/>
      <c r="B4281" s="162"/>
      <c r="C4281" s="336"/>
    </row>
    <row r="4282">
      <c r="A4282" s="162"/>
      <c r="B4282" s="162"/>
      <c r="C4282" s="336"/>
    </row>
    <row r="4283">
      <c r="A4283" s="162"/>
      <c r="B4283" s="162"/>
      <c r="C4283" s="336"/>
    </row>
    <row r="4284">
      <c r="A4284" s="162"/>
      <c r="B4284" s="162"/>
      <c r="C4284" s="336"/>
    </row>
    <row r="4285">
      <c r="A4285" s="162"/>
      <c r="B4285" s="162"/>
      <c r="C4285" s="336"/>
    </row>
    <row r="4286">
      <c r="A4286" s="162"/>
      <c r="B4286" s="162"/>
      <c r="C4286" s="336"/>
    </row>
    <row r="4287">
      <c r="A4287" s="162"/>
      <c r="B4287" s="162"/>
      <c r="C4287" s="336"/>
    </row>
    <row r="4288">
      <c r="A4288" s="162"/>
      <c r="B4288" s="162"/>
      <c r="C4288" s="336"/>
    </row>
    <row r="4289">
      <c r="A4289" s="162"/>
      <c r="B4289" s="162"/>
      <c r="C4289" s="336"/>
    </row>
    <row r="4290">
      <c r="A4290" s="162"/>
      <c r="B4290" s="162"/>
      <c r="C4290" s="336"/>
    </row>
    <row r="4291">
      <c r="A4291" s="162"/>
      <c r="B4291" s="162"/>
      <c r="C4291" s="336"/>
    </row>
    <row r="4292">
      <c r="A4292" s="162"/>
      <c r="B4292" s="162"/>
      <c r="C4292" s="336"/>
    </row>
    <row r="4293">
      <c r="A4293" s="162"/>
      <c r="B4293" s="162"/>
      <c r="C4293" s="336"/>
    </row>
    <row r="4294">
      <c r="A4294" s="162"/>
      <c r="B4294" s="162"/>
      <c r="C4294" s="336"/>
    </row>
    <row r="4295">
      <c r="A4295" s="162"/>
      <c r="B4295" s="162"/>
      <c r="C4295" s="336"/>
    </row>
    <row r="4296">
      <c r="A4296" s="162"/>
      <c r="B4296" s="162"/>
      <c r="C4296" s="336"/>
    </row>
    <row r="4297">
      <c r="A4297" s="162"/>
      <c r="B4297" s="162"/>
      <c r="C4297" s="336"/>
    </row>
    <row r="4298">
      <c r="A4298" s="162"/>
      <c r="B4298" s="162"/>
      <c r="C4298" s="336"/>
    </row>
    <row r="4299">
      <c r="A4299" s="162"/>
      <c r="B4299" s="162"/>
      <c r="C4299" s="336"/>
    </row>
    <row r="4300">
      <c r="A4300" s="162"/>
      <c r="B4300" s="162"/>
      <c r="C4300" s="336"/>
    </row>
    <row r="4301">
      <c r="A4301" s="162"/>
      <c r="B4301" s="162"/>
      <c r="C4301" s="336"/>
    </row>
    <row r="4302">
      <c r="A4302" s="162"/>
      <c r="B4302" s="162"/>
      <c r="C4302" s="336"/>
    </row>
    <row r="4303">
      <c r="A4303" s="162"/>
      <c r="B4303" s="162"/>
      <c r="C4303" s="336"/>
    </row>
    <row r="4304">
      <c r="A4304" s="162"/>
      <c r="B4304" s="162"/>
      <c r="C4304" s="336"/>
    </row>
    <row r="4305">
      <c r="A4305" s="162"/>
      <c r="B4305" s="162"/>
      <c r="C4305" s="336"/>
    </row>
    <row r="4306">
      <c r="A4306" s="162"/>
      <c r="B4306" s="162"/>
      <c r="C4306" s="336"/>
    </row>
    <row r="4307">
      <c r="A4307" s="162"/>
      <c r="B4307" s="162"/>
      <c r="C4307" s="336"/>
    </row>
    <row r="4308">
      <c r="A4308" s="162"/>
      <c r="B4308" s="162"/>
      <c r="C4308" s="336"/>
    </row>
    <row r="4309">
      <c r="A4309" s="162"/>
      <c r="B4309" s="162"/>
      <c r="C4309" s="336"/>
    </row>
    <row r="4310">
      <c r="A4310" s="162"/>
      <c r="B4310" s="162"/>
      <c r="C4310" s="336"/>
    </row>
    <row r="4311">
      <c r="A4311" s="162"/>
      <c r="B4311" s="162"/>
      <c r="C4311" s="336"/>
    </row>
    <row r="4312">
      <c r="A4312" s="162"/>
      <c r="B4312" s="162"/>
      <c r="C4312" s="336"/>
    </row>
    <row r="4313">
      <c r="A4313" s="162"/>
      <c r="B4313" s="162"/>
      <c r="C4313" s="336"/>
    </row>
    <row r="4314">
      <c r="A4314" s="162"/>
      <c r="B4314" s="162"/>
      <c r="C4314" s="336"/>
    </row>
    <row r="4315">
      <c r="A4315" s="162"/>
      <c r="B4315" s="162"/>
      <c r="C4315" s="336"/>
    </row>
    <row r="4316">
      <c r="A4316" s="162"/>
      <c r="B4316" s="162"/>
      <c r="C4316" s="336"/>
    </row>
    <row r="4317">
      <c r="A4317" s="162"/>
      <c r="B4317" s="162"/>
      <c r="C4317" s="336"/>
    </row>
    <row r="4318">
      <c r="A4318" s="162"/>
      <c r="B4318" s="162"/>
      <c r="C4318" s="336"/>
    </row>
    <row r="4319">
      <c r="A4319" s="162"/>
      <c r="B4319" s="162"/>
      <c r="C4319" s="336"/>
    </row>
    <row r="4320">
      <c r="A4320" s="162"/>
      <c r="B4320" s="162"/>
      <c r="C4320" s="336"/>
    </row>
    <row r="4321">
      <c r="A4321" s="162"/>
      <c r="B4321" s="162"/>
      <c r="C4321" s="336"/>
    </row>
    <row r="4322">
      <c r="A4322" s="162"/>
      <c r="B4322" s="162"/>
      <c r="C4322" s="336"/>
    </row>
    <row r="4323">
      <c r="A4323" s="162"/>
      <c r="B4323" s="162"/>
      <c r="C4323" s="336"/>
    </row>
    <row r="4324">
      <c r="A4324" s="162"/>
      <c r="B4324" s="162"/>
      <c r="C4324" s="336"/>
    </row>
    <row r="4325">
      <c r="A4325" s="162"/>
      <c r="B4325" s="162"/>
      <c r="C4325" s="336"/>
    </row>
    <row r="4326">
      <c r="A4326" s="162"/>
      <c r="B4326" s="162"/>
      <c r="C4326" s="336"/>
    </row>
    <row r="4327">
      <c r="A4327" s="162"/>
      <c r="B4327" s="162"/>
      <c r="C4327" s="336"/>
    </row>
    <row r="4328">
      <c r="A4328" s="162"/>
      <c r="B4328" s="162"/>
      <c r="C4328" s="336"/>
    </row>
    <row r="4329">
      <c r="A4329" s="162"/>
      <c r="B4329" s="162"/>
      <c r="C4329" s="336"/>
    </row>
    <row r="4330">
      <c r="A4330" s="162"/>
      <c r="B4330" s="162"/>
      <c r="C4330" s="336"/>
    </row>
    <row r="4331">
      <c r="A4331" s="162"/>
      <c r="B4331" s="162"/>
      <c r="C4331" s="336"/>
    </row>
    <row r="4332">
      <c r="A4332" s="162"/>
      <c r="B4332" s="162"/>
      <c r="C4332" s="336"/>
    </row>
    <row r="4333">
      <c r="A4333" s="162"/>
      <c r="B4333" s="162"/>
      <c r="C4333" s="336"/>
    </row>
    <row r="4334">
      <c r="A4334" s="162"/>
      <c r="B4334" s="162"/>
      <c r="C4334" s="336"/>
    </row>
    <row r="4335">
      <c r="A4335" s="162"/>
      <c r="B4335" s="162"/>
      <c r="C4335" s="336"/>
    </row>
    <row r="4336">
      <c r="A4336" s="162"/>
      <c r="B4336" s="162"/>
      <c r="C4336" s="336"/>
    </row>
    <row r="4337">
      <c r="A4337" s="162"/>
      <c r="B4337" s="162"/>
      <c r="C4337" s="336"/>
    </row>
    <row r="4338">
      <c r="A4338" s="162"/>
      <c r="B4338" s="162"/>
      <c r="C4338" s="336"/>
    </row>
    <row r="4339">
      <c r="A4339" s="162"/>
      <c r="B4339" s="162"/>
      <c r="C4339" s="336"/>
    </row>
    <row r="4340">
      <c r="A4340" s="162"/>
      <c r="B4340" s="162"/>
      <c r="C4340" s="336"/>
    </row>
    <row r="4341">
      <c r="A4341" s="162"/>
      <c r="B4341" s="162"/>
      <c r="C4341" s="336"/>
    </row>
    <row r="4342">
      <c r="A4342" s="162"/>
      <c r="B4342" s="162"/>
      <c r="C4342" s="336"/>
    </row>
    <row r="4343">
      <c r="A4343" s="162"/>
      <c r="B4343" s="162"/>
      <c r="C4343" s="336"/>
    </row>
    <row r="4344">
      <c r="A4344" s="162"/>
      <c r="B4344" s="162"/>
      <c r="C4344" s="336"/>
    </row>
    <row r="4345">
      <c r="A4345" s="162"/>
      <c r="B4345" s="162"/>
      <c r="C4345" s="336"/>
    </row>
    <row r="4346">
      <c r="A4346" s="162"/>
      <c r="B4346" s="162"/>
      <c r="C4346" s="336"/>
    </row>
    <row r="4347">
      <c r="A4347" s="162"/>
      <c r="B4347" s="162"/>
      <c r="C4347" s="336"/>
    </row>
    <row r="4348">
      <c r="A4348" s="162"/>
      <c r="B4348" s="162"/>
      <c r="C4348" s="336"/>
    </row>
    <row r="4349">
      <c r="A4349" s="162"/>
      <c r="B4349" s="162"/>
      <c r="C4349" s="336"/>
    </row>
    <row r="4350">
      <c r="A4350" s="162"/>
      <c r="B4350" s="162"/>
      <c r="C4350" s="336"/>
    </row>
    <row r="4351">
      <c r="A4351" s="162"/>
      <c r="B4351" s="162"/>
      <c r="C4351" s="336"/>
    </row>
    <row r="4352">
      <c r="A4352" s="162"/>
      <c r="B4352" s="162"/>
      <c r="C4352" s="336"/>
    </row>
    <row r="4353">
      <c r="A4353" s="162"/>
      <c r="B4353" s="162"/>
      <c r="C4353" s="336"/>
    </row>
    <row r="4354">
      <c r="A4354" s="162"/>
      <c r="B4354" s="162"/>
      <c r="C4354" s="336"/>
    </row>
    <row r="4355">
      <c r="A4355" s="162"/>
      <c r="B4355" s="162"/>
      <c r="C4355" s="336"/>
    </row>
    <row r="4356">
      <c r="A4356" s="162"/>
      <c r="B4356" s="162"/>
      <c r="C4356" s="336"/>
    </row>
    <row r="4357">
      <c r="A4357" s="162"/>
      <c r="B4357" s="162"/>
      <c r="C4357" s="336"/>
    </row>
    <row r="4358">
      <c r="A4358" s="162"/>
      <c r="B4358" s="162"/>
      <c r="C4358" s="336"/>
    </row>
    <row r="4359">
      <c r="A4359" s="162"/>
      <c r="B4359" s="162"/>
      <c r="C4359" s="336"/>
    </row>
    <row r="4360">
      <c r="A4360" s="162"/>
      <c r="B4360" s="162"/>
      <c r="C4360" s="336"/>
    </row>
    <row r="4361">
      <c r="A4361" s="162"/>
      <c r="B4361" s="162"/>
      <c r="C4361" s="336"/>
    </row>
    <row r="4362">
      <c r="A4362" s="162"/>
      <c r="B4362" s="162"/>
      <c r="C4362" s="336"/>
    </row>
    <row r="4363">
      <c r="A4363" s="162"/>
      <c r="B4363" s="162"/>
      <c r="C4363" s="336"/>
    </row>
    <row r="4364">
      <c r="A4364" s="162"/>
      <c r="B4364" s="162"/>
      <c r="C4364" s="336"/>
    </row>
    <row r="4365">
      <c r="A4365" s="162"/>
      <c r="B4365" s="162"/>
      <c r="C4365" s="336"/>
    </row>
    <row r="4366">
      <c r="A4366" s="162"/>
      <c r="B4366" s="162"/>
      <c r="C4366" s="336"/>
    </row>
    <row r="4367">
      <c r="A4367" s="162"/>
      <c r="B4367" s="162"/>
      <c r="C4367" s="336"/>
    </row>
    <row r="4368">
      <c r="A4368" s="162"/>
      <c r="B4368" s="162"/>
      <c r="C4368" s="336"/>
    </row>
    <row r="4369">
      <c r="A4369" s="162"/>
      <c r="B4369" s="162"/>
      <c r="C4369" s="336"/>
    </row>
    <row r="4370">
      <c r="A4370" s="162"/>
      <c r="B4370" s="162"/>
      <c r="C4370" s="336"/>
    </row>
    <row r="4371">
      <c r="A4371" s="162"/>
      <c r="B4371" s="162"/>
      <c r="C4371" s="336"/>
    </row>
    <row r="4372">
      <c r="A4372" s="162"/>
      <c r="B4372" s="162"/>
      <c r="C4372" s="336"/>
    </row>
    <row r="4373">
      <c r="A4373" s="162"/>
      <c r="B4373" s="162"/>
      <c r="C4373" s="336"/>
    </row>
    <row r="4374">
      <c r="A4374" s="162"/>
      <c r="B4374" s="162"/>
      <c r="C4374" s="336"/>
    </row>
    <row r="4375">
      <c r="A4375" s="162"/>
      <c r="B4375" s="162"/>
      <c r="C4375" s="336"/>
    </row>
    <row r="4376">
      <c r="A4376" s="162"/>
      <c r="B4376" s="162"/>
      <c r="C4376" s="336"/>
    </row>
    <row r="4377">
      <c r="A4377" s="162"/>
      <c r="B4377" s="162"/>
      <c r="C4377" s="336"/>
    </row>
    <row r="4378">
      <c r="A4378" s="162"/>
      <c r="B4378" s="162"/>
      <c r="C4378" s="336"/>
    </row>
    <row r="4379">
      <c r="A4379" s="162"/>
      <c r="B4379" s="162"/>
      <c r="C4379" s="336"/>
    </row>
    <row r="4380">
      <c r="A4380" s="162"/>
      <c r="B4380" s="162"/>
      <c r="C4380" s="336"/>
    </row>
    <row r="4381">
      <c r="A4381" s="162"/>
      <c r="B4381" s="162"/>
      <c r="C4381" s="336"/>
    </row>
    <row r="4382">
      <c r="A4382" s="162"/>
      <c r="B4382" s="162"/>
      <c r="C4382" s="336"/>
    </row>
    <row r="4383">
      <c r="A4383" s="162"/>
      <c r="B4383" s="162"/>
      <c r="C4383" s="336"/>
    </row>
    <row r="4384">
      <c r="A4384" s="162"/>
      <c r="B4384" s="162"/>
      <c r="C4384" s="336"/>
    </row>
    <row r="4385">
      <c r="A4385" s="162"/>
      <c r="B4385" s="162"/>
      <c r="C4385" s="336"/>
    </row>
    <row r="4386">
      <c r="A4386" s="162"/>
      <c r="B4386" s="162"/>
      <c r="C4386" s="336"/>
    </row>
    <row r="4387">
      <c r="A4387" s="162"/>
      <c r="B4387" s="162"/>
      <c r="C4387" s="336"/>
    </row>
    <row r="4388">
      <c r="A4388" s="162"/>
      <c r="B4388" s="162"/>
      <c r="C4388" s="336"/>
    </row>
    <row r="4389">
      <c r="A4389" s="162"/>
      <c r="B4389" s="162"/>
      <c r="C4389" s="336"/>
    </row>
    <row r="4390">
      <c r="A4390" s="162"/>
      <c r="B4390" s="162"/>
      <c r="C4390" s="336"/>
    </row>
    <row r="4391">
      <c r="A4391" s="162"/>
      <c r="B4391" s="162"/>
      <c r="C4391" s="336"/>
    </row>
    <row r="4392">
      <c r="A4392" s="162"/>
      <c r="B4392" s="162"/>
      <c r="C4392" s="336"/>
    </row>
    <row r="4393">
      <c r="A4393" s="162"/>
      <c r="B4393" s="162"/>
      <c r="C4393" s="336"/>
    </row>
    <row r="4394">
      <c r="A4394" s="162"/>
      <c r="B4394" s="162"/>
      <c r="C4394" s="336"/>
    </row>
    <row r="4395">
      <c r="A4395" s="162"/>
      <c r="B4395" s="162"/>
      <c r="C4395" s="336"/>
    </row>
    <row r="4396">
      <c r="A4396" s="162"/>
      <c r="B4396" s="162"/>
      <c r="C4396" s="336"/>
    </row>
    <row r="4397">
      <c r="A4397" s="162"/>
      <c r="B4397" s="162"/>
      <c r="C4397" s="336"/>
    </row>
    <row r="4398">
      <c r="A4398" s="162"/>
      <c r="B4398" s="162"/>
      <c r="C4398" s="336"/>
    </row>
    <row r="4399">
      <c r="A4399" s="162"/>
      <c r="B4399" s="162"/>
      <c r="C4399" s="336"/>
    </row>
    <row r="4400">
      <c r="A4400" s="162"/>
      <c r="B4400" s="162"/>
      <c r="C4400" s="336"/>
    </row>
    <row r="4401">
      <c r="A4401" s="162"/>
      <c r="B4401" s="162"/>
      <c r="C4401" s="336"/>
    </row>
    <row r="4402">
      <c r="A4402" s="162"/>
      <c r="B4402" s="162"/>
      <c r="C4402" s="336"/>
    </row>
    <row r="4403">
      <c r="A4403" s="162"/>
      <c r="B4403" s="162"/>
      <c r="C4403" s="336"/>
    </row>
    <row r="4404">
      <c r="A4404" s="162"/>
      <c r="B4404" s="162"/>
      <c r="C4404" s="336"/>
    </row>
    <row r="4405">
      <c r="A4405" s="162"/>
      <c r="B4405" s="162"/>
      <c r="C4405" s="336"/>
    </row>
    <row r="4406">
      <c r="A4406" s="162"/>
      <c r="B4406" s="162"/>
      <c r="C4406" s="336"/>
    </row>
    <row r="4407">
      <c r="A4407" s="162"/>
      <c r="B4407" s="162"/>
      <c r="C4407" s="336"/>
    </row>
    <row r="4408">
      <c r="A4408" s="162"/>
      <c r="B4408" s="162"/>
      <c r="C4408" s="336"/>
    </row>
    <row r="4409">
      <c r="A4409" s="162"/>
      <c r="B4409" s="162"/>
      <c r="C4409" s="336"/>
    </row>
    <row r="4410">
      <c r="A4410" s="162"/>
      <c r="B4410" s="162"/>
      <c r="C4410" s="336"/>
    </row>
    <row r="4411">
      <c r="A4411" s="162"/>
      <c r="B4411" s="162"/>
      <c r="C4411" s="336"/>
    </row>
    <row r="4412">
      <c r="A4412" s="162"/>
      <c r="B4412" s="162"/>
      <c r="C4412" s="336"/>
    </row>
    <row r="4413">
      <c r="A4413" s="162"/>
      <c r="B4413" s="162"/>
      <c r="C4413" s="336"/>
    </row>
    <row r="4414">
      <c r="A4414" s="162"/>
      <c r="B4414" s="162"/>
      <c r="C4414" s="336"/>
    </row>
    <row r="4415">
      <c r="A4415" s="162"/>
      <c r="B4415" s="162"/>
      <c r="C4415" s="336"/>
    </row>
    <row r="4416">
      <c r="A4416" s="162"/>
      <c r="B4416" s="162"/>
      <c r="C4416" s="336"/>
    </row>
    <row r="4417">
      <c r="A4417" s="162"/>
      <c r="B4417" s="162"/>
      <c r="C4417" s="336"/>
    </row>
    <row r="4418">
      <c r="A4418" s="162"/>
      <c r="B4418" s="162"/>
      <c r="C4418" s="336"/>
    </row>
    <row r="4419">
      <c r="A4419" s="162"/>
      <c r="B4419" s="162"/>
      <c r="C4419" s="336"/>
    </row>
    <row r="4420">
      <c r="A4420" s="162"/>
      <c r="B4420" s="162"/>
      <c r="C4420" s="336"/>
    </row>
    <row r="4421">
      <c r="A4421" s="162"/>
      <c r="B4421" s="162"/>
      <c r="C4421" s="336"/>
    </row>
    <row r="4422">
      <c r="A4422" s="162"/>
      <c r="B4422" s="162"/>
      <c r="C4422" s="336"/>
    </row>
    <row r="4423">
      <c r="A4423" s="162"/>
      <c r="B4423" s="162"/>
      <c r="C4423" s="336"/>
    </row>
    <row r="4424">
      <c r="A4424" s="162"/>
      <c r="B4424" s="162"/>
      <c r="C4424" s="336"/>
    </row>
    <row r="4425">
      <c r="A4425" s="162"/>
      <c r="B4425" s="162"/>
      <c r="C4425" s="336"/>
    </row>
    <row r="4426">
      <c r="A4426" s="162"/>
      <c r="B4426" s="162"/>
      <c r="C4426" s="336"/>
    </row>
    <row r="4427">
      <c r="A4427" s="162"/>
      <c r="B4427" s="162"/>
      <c r="C4427" s="336"/>
    </row>
    <row r="4428">
      <c r="A4428" s="162"/>
      <c r="B4428" s="162"/>
      <c r="C4428" s="336"/>
    </row>
    <row r="4429">
      <c r="A4429" s="162"/>
      <c r="B4429" s="162"/>
      <c r="C4429" s="336"/>
    </row>
    <row r="4430">
      <c r="A4430" s="162"/>
      <c r="B4430" s="162"/>
      <c r="C4430" s="336"/>
    </row>
    <row r="4431">
      <c r="A4431" s="162"/>
      <c r="B4431" s="162"/>
      <c r="C4431" s="336"/>
    </row>
    <row r="4432">
      <c r="A4432" s="162"/>
      <c r="B4432" s="162"/>
      <c r="C4432" s="336"/>
    </row>
    <row r="4433">
      <c r="A4433" s="162"/>
      <c r="B4433" s="162"/>
      <c r="C4433" s="336"/>
    </row>
    <row r="4434">
      <c r="A4434" s="162"/>
      <c r="B4434" s="162"/>
      <c r="C4434" s="336"/>
    </row>
    <row r="4435">
      <c r="A4435" s="162"/>
      <c r="B4435" s="162"/>
      <c r="C4435" s="336"/>
    </row>
    <row r="4436">
      <c r="A4436" s="162"/>
      <c r="B4436" s="162"/>
      <c r="C4436" s="336"/>
    </row>
    <row r="4437">
      <c r="A4437" s="162"/>
      <c r="B4437" s="162"/>
      <c r="C4437" s="336"/>
    </row>
    <row r="4438">
      <c r="A4438" s="162"/>
      <c r="B4438" s="162"/>
      <c r="C4438" s="336"/>
    </row>
    <row r="4439">
      <c r="A4439" s="162"/>
      <c r="B4439" s="162"/>
      <c r="C4439" s="336"/>
    </row>
    <row r="4440">
      <c r="A4440" s="162"/>
      <c r="B4440" s="162"/>
      <c r="C4440" s="336"/>
    </row>
    <row r="4441">
      <c r="A4441" s="162"/>
      <c r="B4441" s="162"/>
      <c r="C4441" s="336"/>
    </row>
    <row r="4442">
      <c r="A4442" s="162"/>
      <c r="B4442" s="162"/>
      <c r="C4442" s="336"/>
    </row>
    <row r="4443">
      <c r="A4443" s="162"/>
      <c r="B4443" s="162"/>
      <c r="C4443" s="336"/>
    </row>
    <row r="4444">
      <c r="A4444" s="162"/>
      <c r="B4444" s="162"/>
      <c r="C4444" s="336"/>
    </row>
    <row r="4445">
      <c r="A4445" s="162"/>
      <c r="B4445" s="162"/>
      <c r="C4445" s="336"/>
    </row>
    <row r="4446">
      <c r="A4446" s="162"/>
      <c r="B4446" s="162"/>
      <c r="C4446" s="336"/>
    </row>
    <row r="4447">
      <c r="A4447" s="162"/>
      <c r="B4447" s="162"/>
      <c r="C4447" s="336"/>
    </row>
    <row r="4448">
      <c r="A4448" s="162"/>
      <c r="B4448" s="162"/>
      <c r="C4448" s="336"/>
    </row>
    <row r="4449">
      <c r="A4449" s="162"/>
      <c r="B4449" s="162"/>
      <c r="C4449" s="336"/>
    </row>
    <row r="4450">
      <c r="A4450" s="162"/>
      <c r="B4450" s="162"/>
      <c r="C4450" s="336"/>
    </row>
    <row r="4451">
      <c r="A4451" s="162"/>
      <c r="B4451" s="162"/>
      <c r="C4451" s="336"/>
    </row>
    <row r="4452">
      <c r="A4452" s="162"/>
      <c r="B4452" s="162"/>
      <c r="C4452" s="336"/>
    </row>
    <row r="4453">
      <c r="A4453" s="162"/>
      <c r="B4453" s="162"/>
      <c r="C4453" s="336"/>
    </row>
    <row r="4454">
      <c r="A4454" s="162"/>
      <c r="B4454" s="162"/>
      <c r="C4454" s="336"/>
    </row>
    <row r="4455">
      <c r="A4455" s="162"/>
      <c r="B4455" s="162"/>
      <c r="C4455" s="336"/>
    </row>
    <row r="4456">
      <c r="A4456" s="162"/>
      <c r="B4456" s="162"/>
      <c r="C4456" s="336"/>
    </row>
    <row r="4457">
      <c r="A4457" s="162"/>
      <c r="B4457" s="162"/>
      <c r="C4457" s="336"/>
    </row>
    <row r="4458">
      <c r="A4458" s="162"/>
      <c r="B4458" s="162"/>
      <c r="C4458" s="336"/>
    </row>
    <row r="4459">
      <c r="A4459" s="162"/>
      <c r="B4459" s="162"/>
      <c r="C4459" s="336"/>
    </row>
    <row r="4460">
      <c r="A4460" s="162"/>
      <c r="B4460" s="162"/>
      <c r="C4460" s="336"/>
    </row>
    <row r="4461">
      <c r="A4461" s="162"/>
      <c r="B4461" s="162"/>
      <c r="C4461" s="336"/>
    </row>
    <row r="4462">
      <c r="A4462" s="162"/>
      <c r="B4462" s="162"/>
      <c r="C4462" s="336"/>
    </row>
    <row r="4463">
      <c r="A4463" s="162"/>
      <c r="B4463" s="162"/>
      <c r="C4463" s="336"/>
    </row>
    <row r="4464">
      <c r="A4464" s="162"/>
      <c r="B4464" s="162"/>
      <c r="C4464" s="336"/>
    </row>
    <row r="4465">
      <c r="A4465" s="162"/>
      <c r="B4465" s="162"/>
      <c r="C4465" s="336"/>
    </row>
    <row r="4466">
      <c r="A4466" s="162"/>
      <c r="B4466" s="162"/>
      <c r="C4466" s="336"/>
    </row>
    <row r="4467">
      <c r="A4467" s="162"/>
      <c r="B4467" s="162"/>
      <c r="C4467" s="336"/>
    </row>
    <row r="4468">
      <c r="A4468" s="162"/>
      <c r="B4468" s="162"/>
      <c r="C4468" s="336"/>
    </row>
    <row r="4469">
      <c r="A4469" s="162"/>
      <c r="B4469" s="162"/>
      <c r="C4469" s="336"/>
    </row>
    <row r="4470">
      <c r="A4470" s="162"/>
      <c r="B4470" s="162"/>
      <c r="C4470" s="336"/>
    </row>
    <row r="4471">
      <c r="A4471" s="162"/>
      <c r="B4471" s="162"/>
      <c r="C4471" s="336"/>
    </row>
    <row r="4472">
      <c r="A4472" s="162"/>
      <c r="B4472" s="162"/>
      <c r="C4472" s="336"/>
    </row>
    <row r="4473">
      <c r="A4473" s="162"/>
      <c r="B4473" s="162"/>
      <c r="C4473" s="336"/>
    </row>
    <row r="4474">
      <c r="A4474" s="162"/>
      <c r="B4474" s="162"/>
      <c r="C4474" s="336"/>
    </row>
    <row r="4475">
      <c r="A4475" s="162"/>
      <c r="B4475" s="162"/>
      <c r="C4475" s="336"/>
    </row>
    <row r="4476">
      <c r="A4476" s="162"/>
      <c r="B4476" s="162"/>
      <c r="C4476" s="336"/>
    </row>
    <row r="4477">
      <c r="A4477" s="162"/>
      <c r="B4477" s="162"/>
      <c r="C4477" s="336"/>
    </row>
    <row r="4478">
      <c r="A4478" s="162"/>
      <c r="B4478" s="162"/>
      <c r="C4478" s="336"/>
    </row>
    <row r="4479">
      <c r="A4479" s="162"/>
      <c r="B4479" s="162"/>
      <c r="C4479" s="336"/>
    </row>
    <row r="4480">
      <c r="A4480" s="162"/>
      <c r="B4480" s="162"/>
      <c r="C4480" s="336"/>
    </row>
    <row r="4481">
      <c r="A4481" s="162"/>
      <c r="B4481" s="162"/>
      <c r="C4481" s="336"/>
    </row>
    <row r="4482">
      <c r="A4482" s="162"/>
      <c r="B4482" s="162"/>
      <c r="C4482" s="336"/>
    </row>
    <row r="4483">
      <c r="A4483" s="162"/>
      <c r="B4483" s="162"/>
      <c r="C4483" s="336"/>
    </row>
    <row r="4484">
      <c r="A4484" s="162"/>
      <c r="B4484" s="162"/>
      <c r="C4484" s="336"/>
    </row>
    <row r="4485">
      <c r="A4485" s="162"/>
      <c r="B4485" s="162"/>
      <c r="C4485" s="336"/>
    </row>
    <row r="4486">
      <c r="A4486" s="162"/>
      <c r="B4486" s="162"/>
      <c r="C4486" s="336"/>
    </row>
    <row r="4487">
      <c r="A4487" s="162"/>
      <c r="B4487" s="162"/>
      <c r="C4487" s="336"/>
    </row>
    <row r="4488">
      <c r="A4488" s="162"/>
      <c r="B4488" s="162"/>
      <c r="C4488" s="336"/>
    </row>
    <row r="4489">
      <c r="A4489" s="162"/>
      <c r="B4489" s="162"/>
      <c r="C4489" s="336"/>
    </row>
    <row r="4490">
      <c r="A4490" s="162"/>
      <c r="B4490" s="162"/>
      <c r="C4490" s="336"/>
    </row>
    <row r="4491">
      <c r="A4491" s="162"/>
      <c r="B4491" s="162"/>
      <c r="C4491" s="336"/>
    </row>
    <row r="4492">
      <c r="A4492" s="162"/>
      <c r="B4492" s="162"/>
      <c r="C4492" s="336"/>
    </row>
    <row r="4493">
      <c r="A4493" s="162"/>
      <c r="B4493" s="162"/>
      <c r="C4493" s="336"/>
    </row>
    <row r="4494">
      <c r="A4494" s="162"/>
      <c r="B4494" s="162"/>
      <c r="C4494" s="336"/>
    </row>
    <row r="4495">
      <c r="A4495" s="162"/>
      <c r="B4495" s="162"/>
      <c r="C4495" s="336"/>
    </row>
    <row r="4496">
      <c r="A4496" s="162"/>
      <c r="B4496" s="162"/>
      <c r="C4496" s="336"/>
    </row>
    <row r="4497">
      <c r="A4497" s="162"/>
      <c r="B4497" s="162"/>
      <c r="C4497" s="336"/>
    </row>
    <row r="4498">
      <c r="A4498" s="162"/>
      <c r="B4498" s="162"/>
      <c r="C4498" s="336"/>
    </row>
    <row r="4499">
      <c r="A4499" s="162"/>
      <c r="B4499" s="162"/>
      <c r="C4499" s="336"/>
    </row>
    <row r="4500">
      <c r="A4500" s="162"/>
      <c r="B4500" s="162"/>
      <c r="C4500" s="336"/>
    </row>
    <row r="4501">
      <c r="A4501" s="162"/>
      <c r="B4501" s="162"/>
      <c r="C4501" s="336"/>
    </row>
    <row r="4502">
      <c r="A4502" s="162"/>
      <c r="B4502" s="162"/>
      <c r="C4502" s="336"/>
    </row>
    <row r="4503">
      <c r="A4503" s="162"/>
      <c r="B4503" s="162"/>
      <c r="C4503" s="336"/>
    </row>
    <row r="4504">
      <c r="A4504" s="162"/>
      <c r="B4504" s="162"/>
      <c r="C4504" s="336"/>
    </row>
    <row r="4505">
      <c r="A4505" s="162"/>
      <c r="B4505" s="162"/>
      <c r="C4505" s="336"/>
    </row>
    <row r="4506">
      <c r="A4506" s="162"/>
      <c r="B4506" s="162"/>
      <c r="C4506" s="336"/>
    </row>
    <row r="4507">
      <c r="A4507" s="162"/>
      <c r="B4507" s="162"/>
      <c r="C4507" s="336"/>
    </row>
    <row r="4508">
      <c r="A4508" s="162"/>
      <c r="B4508" s="162"/>
      <c r="C4508" s="336"/>
    </row>
    <row r="4509">
      <c r="A4509" s="162"/>
      <c r="B4509" s="162"/>
      <c r="C4509" s="336"/>
    </row>
    <row r="4510">
      <c r="A4510" s="162"/>
      <c r="B4510" s="162"/>
      <c r="C4510" s="336"/>
    </row>
    <row r="4511">
      <c r="A4511" s="162"/>
      <c r="B4511" s="162"/>
      <c r="C4511" s="336"/>
    </row>
    <row r="4512">
      <c r="A4512" s="162"/>
      <c r="B4512" s="162"/>
      <c r="C4512" s="336"/>
    </row>
    <row r="4513">
      <c r="A4513" s="162"/>
      <c r="B4513" s="162"/>
      <c r="C4513" s="336"/>
    </row>
    <row r="4514">
      <c r="A4514" s="162"/>
      <c r="B4514" s="162"/>
      <c r="C4514" s="336"/>
    </row>
    <row r="4515">
      <c r="A4515" s="162"/>
      <c r="B4515" s="162"/>
      <c r="C4515" s="336"/>
    </row>
    <row r="4516">
      <c r="A4516" s="162"/>
      <c r="B4516" s="162"/>
      <c r="C4516" s="336"/>
    </row>
    <row r="4517">
      <c r="A4517" s="162"/>
      <c r="B4517" s="162"/>
      <c r="C4517" s="336"/>
    </row>
    <row r="4518">
      <c r="A4518" s="162"/>
      <c r="B4518" s="162"/>
      <c r="C4518" s="336"/>
    </row>
    <row r="4519">
      <c r="A4519" s="162"/>
      <c r="B4519" s="162"/>
      <c r="C4519" s="336"/>
    </row>
    <row r="4520">
      <c r="A4520" s="162"/>
      <c r="B4520" s="162"/>
      <c r="C4520" s="336"/>
    </row>
    <row r="4521">
      <c r="A4521" s="162"/>
      <c r="B4521" s="162"/>
      <c r="C4521" s="336"/>
    </row>
    <row r="4522">
      <c r="A4522" s="162"/>
      <c r="B4522" s="162"/>
      <c r="C4522" s="336"/>
    </row>
    <row r="4523">
      <c r="A4523" s="162"/>
      <c r="B4523" s="162"/>
      <c r="C4523" s="336"/>
    </row>
    <row r="4524">
      <c r="A4524" s="162"/>
      <c r="B4524" s="162"/>
      <c r="C4524" s="336"/>
    </row>
    <row r="4525">
      <c r="A4525" s="162"/>
      <c r="B4525" s="162"/>
      <c r="C4525" s="336"/>
    </row>
    <row r="4526">
      <c r="A4526" s="162"/>
      <c r="B4526" s="162"/>
      <c r="C4526" s="336"/>
    </row>
    <row r="4527">
      <c r="A4527" s="162"/>
      <c r="B4527" s="162"/>
      <c r="C4527" s="336"/>
    </row>
    <row r="4528">
      <c r="A4528" s="162"/>
      <c r="B4528" s="162"/>
      <c r="C4528" s="336"/>
    </row>
    <row r="4529">
      <c r="A4529" s="162"/>
      <c r="B4529" s="162"/>
      <c r="C4529" s="336"/>
    </row>
    <row r="4530">
      <c r="A4530" s="162"/>
      <c r="B4530" s="162"/>
      <c r="C4530" s="336"/>
    </row>
    <row r="4531">
      <c r="A4531" s="162"/>
      <c r="B4531" s="162"/>
      <c r="C4531" s="336"/>
    </row>
    <row r="4532">
      <c r="A4532" s="162"/>
      <c r="B4532" s="162"/>
      <c r="C4532" s="336"/>
    </row>
    <row r="4533">
      <c r="A4533" s="162"/>
      <c r="B4533" s="162"/>
      <c r="C4533" s="336"/>
    </row>
    <row r="4534">
      <c r="A4534" s="162"/>
      <c r="B4534" s="162"/>
      <c r="C4534" s="336"/>
    </row>
    <row r="4535">
      <c r="A4535" s="162"/>
      <c r="B4535" s="162"/>
      <c r="C4535" s="336"/>
    </row>
    <row r="4536">
      <c r="A4536" s="162"/>
      <c r="B4536" s="162"/>
      <c r="C4536" s="336"/>
    </row>
    <row r="4537">
      <c r="A4537" s="162"/>
      <c r="B4537" s="162"/>
      <c r="C4537" s="336"/>
    </row>
    <row r="4538">
      <c r="A4538" s="162"/>
      <c r="B4538" s="162"/>
      <c r="C4538" s="336"/>
    </row>
    <row r="4539">
      <c r="A4539" s="162"/>
      <c r="B4539" s="162"/>
      <c r="C4539" s="336"/>
    </row>
    <row r="4540">
      <c r="A4540" s="162"/>
      <c r="B4540" s="162"/>
      <c r="C4540" s="336"/>
    </row>
    <row r="4541">
      <c r="A4541" s="162"/>
      <c r="B4541" s="162"/>
      <c r="C4541" s="336"/>
    </row>
    <row r="4542">
      <c r="A4542" s="162"/>
      <c r="B4542" s="162"/>
      <c r="C4542" s="336"/>
    </row>
    <row r="4543">
      <c r="A4543" s="162"/>
      <c r="B4543" s="162"/>
      <c r="C4543" s="336"/>
    </row>
    <row r="4544">
      <c r="A4544" s="162"/>
      <c r="B4544" s="162"/>
      <c r="C4544" s="336"/>
    </row>
    <row r="4545">
      <c r="A4545" s="162"/>
      <c r="B4545" s="162"/>
      <c r="C4545" s="336"/>
    </row>
    <row r="4546">
      <c r="A4546" s="162"/>
      <c r="B4546" s="162"/>
      <c r="C4546" s="336"/>
    </row>
    <row r="4547">
      <c r="A4547" s="162"/>
      <c r="B4547" s="162"/>
      <c r="C4547" s="336"/>
    </row>
    <row r="4548">
      <c r="A4548" s="162"/>
      <c r="B4548" s="162"/>
      <c r="C4548" s="336"/>
    </row>
    <row r="4549">
      <c r="A4549" s="162"/>
      <c r="B4549" s="162"/>
      <c r="C4549" s="336"/>
    </row>
    <row r="4550">
      <c r="A4550" s="162"/>
      <c r="B4550" s="162"/>
      <c r="C4550" s="336"/>
    </row>
    <row r="4551">
      <c r="A4551" s="162"/>
      <c r="B4551" s="162"/>
      <c r="C4551" s="336"/>
    </row>
    <row r="4552">
      <c r="A4552" s="162"/>
      <c r="B4552" s="162"/>
      <c r="C4552" s="336"/>
    </row>
    <row r="4553">
      <c r="A4553" s="162"/>
      <c r="B4553" s="162"/>
      <c r="C4553" s="336"/>
    </row>
    <row r="4554">
      <c r="A4554" s="162"/>
      <c r="B4554" s="162"/>
      <c r="C4554" s="336"/>
    </row>
    <row r="4555">
      <c r="A4555" s="162"/>
      <c r="B4555" s="162"/>
      <c r="C4555" s="336"/>
    </row>
    <row r="4556">
      <c r="A4556" s="162"/>
      <c r="B4556" s="162"/>
      <c r="C4556" s="336"/>
    </row>
    <row r="4557">
      <c r="A4557" s="162"/>
      <c r="B4557" s="162"/>
      <c r="C4557" s="336"/>
    </row>
    <row r="4558">
      <c r="A4558" s="162"/>
      <c r="B4558" s="162"/>
      <c r="C4558" s="336"/>
    </row>
    <row r="4559">
      <c r="A4559" s="162"/>
      <c r="B4559" s="162"/>
      <c r="C4559" s="336"/>
    </row>
    <row r="4560">
      <c r="A4560" s="162"/>
      <c r="B4560" s="162"/>
      <c r="C4560" s="336"/>
    </row>
    <row r="4561">
      <c r="A4561" s="162"/>
      <c r="B4561" s="162"/>
      <c r="C4561" s="336"/>
    </row>
    <row r="4562">
      <c r="A4562" s="162"/>
      <c r="B4562" s="162"/>
      <c r="C4562" s="336"/>
    </row>
    <row r="4563">
      <c r="A4563" s="162"/>
      <c r="B4563" s="162"/>
      <c r="C4563" s="336"/>
    </row>
    <row r="4564">
      <c r="A4564" s="162"/>
      <c r="B4564" s="162"/>
      <c r="C4564" s="336"/>
    </row>
    <row r="4565">
      <c r="A4565" s="162"/>
      <c r="B4565" s="162"/>
      <c r="C4565" s="336"/>
    </row>
    <row r="4566">
      <c r="A4566" s="162"/>
      <c r="B4566" s="162"/>
      <c r="C4566" s="336"/>
    </row>
    <row r="4567">
      <c r="A4567" s="162"/>
      <c r="B4567" s="162"/>
      <c r="C4567" s="336"/>
    </row>
    <row r="4568">
      <c r="A4568" s="162"/>
      <c r="B4568" s="162"/>
      <c r="C4568" s="336"/>
    </row>
    <row r="4569">
      <c r="A4569" s="162"/>
      <c r="B4569" s="162"/>
      <c r="C4569" s="336"/>
    </row>
    <row r="4570">
      <c r="A4570" s="162"/>
      <c r="B4570" s="162"/>
      <c r="C4570" s="336"/>
    </row>
    <row r="4571">
      <c r="A4571" s="162"/>
      <c r="B4571" s="162"/>
      <c r="C4571" s="336"/>
    </row>
    <row r="4572">
      <c r="A4572" s="162"/>
      <c r="B4572" s="162"/>
      <c r="C4572" s="336"/>
    </row>
    <row r="4573">
      <c r="A4573" s="162"/>
      <c r="B4573" s="162"/>
      <c r="C4573" s="336"/>
    </row>
    <row r="4574">
      <c r="A4574" s="162"/>
      <c r="B4574" s="162"/>
      <c r="C4574" s="336"/>
    </row>
    <row r="4575">
      <c r="A4575" s="162"/>
      <c r="B4575" s="162"/>
      <c r="C4575" s="336"/>
    </row>
    <row r="4576">
      <c r="A4576" s="162"/>
      <c r="B4576" s="162"/>
      <c r="C4576" s="336"/>
    </row>
    <row r="4577">
      <c r="A4577" s="162"/>
      <c r="B4577" s="162"/>
      <c r="C4577" s="336"/>
    </row>
    <row r="4578">
      <c r="A4578" s="162"/>
      <c r="B4578" s="162"/>
      <c r="C4578" s="336"/>
    </row>
    <row r="4579">
      <c r="A4579" s="162"/>
      <c r="B4579" s="162"/>
      <c r="C4579" s="336"/>
    </row>
    <row r="4580">
      <c r="A4580" s="162"/>
      <c r="B4580" s="162"/>
      <c r="C4580" s="336"/>
    </row>
    <row r="4581">
      <c r="A4581" s="162"/>
      <c r="B4581" s="162"/>
      <c r="C4581" s="336"/>
    </row>
    <row r="4582">
      <c r="A4582" s="162"/>
      <c r="B4582" s="162"/>
      <c r="C4582" s="336"/>
    </row>
    <row r="4583">
      <c r="A4583" s="162"/>
      <c r="B4583" s="162"/>
      <c r="C4583" s="336"/>
    </row>
    <row r="4584">
      <c r="A4584" s="162"/>
      <c r="B4584" s="162"/>
      <c r="C4584" s="336"/>
    </row>
    <row r="4585">
      <c r="A4585" s="162"/>
      <c r="B4585" s="162"/>
      <c r="C4585" s="336"/>
    </row>
    <row r="4586">
      <c r="A4586" s="162"/>
      <c r="B4586" s="162"/>
      <c r="C4586" s="336"/>
    </row>
    <row r="4587">
      <c r="A4587" s="162"/>
      <c r="B4587" s="162"/>
      <c r="C4587" s="336"/>
    </row>
    <row r="4588">
      <c r="A4588" s="162"/>
      <c r="B4588" s="162"/>
      <c r="C4588" s="336"/>
    </row>
    <row r="4589">
      <c r="A4589" s="162"/>
      <c r="B4589" s="162"/>
      <c r="C4589" s="336"/>
    </row>
    <row r="4590">
      <c r="A4590" s="162"/>
      <c r="B4590" s="162"/>
      <c r="C4590" s="336"/>
    </row>
    <row r="4591">
      <c r="A4591" s="162"/>
      <c r="B4591" s="162"/>
      <c r="C4591" s="336"/>
    </row>
    <row r="4592">
      <c r="A4592" s="162"/>
      <c r="B4592" s="162"/>
      <c r="C4592" s="336"/>
    </row>
    <row r="4593">
      <c r="A4593" s="162"/>
      <c r="B4593" s="162"/>
      <c r="C4593" s="336"/>
    </row>
    <row r="4594">
      <c r="A4594" s="162"/>
      <c r="B4594" s="162"/>
      <c r="C4594" s="336"/>
    </row>
    <row r="4595">
      <c r="A4595" s="162"/>
      <c r="B4595" s="162"/>
      <c r="C4595" s="336"/>
    </row>
    <row r="4596">
      <c r="A4596" s="162"/>
      <c r="B4596" s="162"/>
      <c r="C4596" s="336"/>
    </row>
    <row r="4597">
      <c r="A4597" s="162"/>
      <c r="B4597" s="162"/>
      <c r="C4597" s="336"/>
    </row>
    <row r="4598">
      <c r="A4598" s="162"/>
      <c r="B4598" s="162"/>
      <c r="C4598" s="336"/>
    </row>
    <row r="4599">
      <c r="A4599" s="162"/>
      <c r="B4599" s="162"/>
      <c r="C4599" s="336"/>
    </row>
    <row r="4600">
      <c r="A4600" s="162"/>
      <c r="B4600" s="162"/>
      <c r="C4600" s="336"/>
    </row>
    <row r="4601">
      <c r="A4601" s="162"/>
      <c r="B4601" s="162"/>
      <c r="C4601" s="336"/>
    </row>
    <row r="4602">
      <c r="A4602" s="162"/>
      <c r="B4602" s="162"/>
      <c r="C4602" s="336"/>
    </row>
    <row r="4603">
      <c r="A4603" s="162"/>
      <c r="B4603" s="162"/>
      <c r="C4603" s="336"/>
    </row>
    <row r="4604">
      <c r="A4604" s="162"/>
      <c r="B4604" s="162"/>
      <c r="C4604" s="336"/>
    </row>
    <row r="4605">
      <c r="A4605" s="162"/>
      <c r="B4605" s="162"/>
      <c r="C4605" s="336"/>
    </row>
    <row r="4606">
      <c r="A4606" s="162"/>
      <c r="B4606" s="162"/>
      <c r="C4606" s="336"/>
    </row>
    <row r="4607">
      <c r="A4607" s="162"/>
      <c r="B4607" s="162"/>
      <c r="C4607" s="336"/>
    </row>
    <row r="4608">
      <c r="A4608" s="162"/>
      <c r="B4608" s="162"/>
      <c r="C4608" s="336"/>
    </row>
    <row r="4609">
      <c r="A4609" s="162"/>
      <c r="B4609" s="162"/>
      <c r="C4609" s="336"/>
    </row>
    <row r="4610">
      <c r="A4610" s="162"/>
      <c r="B4610" s="162"/>
      <c r="C4610" s="336"/>
    </row>
    <row r="4611">
      <c r="A4611" s="162"/>
      <c r="B4611" s="162"/>
      <c r="C4611" s="336"/>
    </row>
    <row r="4612">
      <c r="A4612" s="162"/>
      <c r="B4612" s="162"/>
      <c r="C4612" s="336"/>
    </row>
    <row r="4613">
      <c r="A4613" s="162"/>
      <c r="B4613" s="162"/>
      <c r="C4613" s="336"/>
    </row>
    <row r="4614">
      <c r="A4614" s="162"/>
      <c r="B4614" s="162"/>
      <c r="C4614" s="336"/>
    </row>
    <row r="4615">
      <c r="A4615" s="162"/>
      <c r="B4615" s="162"/>
      <c r="C4615" s="336"/>
    </row>
    <row r="4616">
      <c r="A4616" s="162"/>
      <c r="B4616" s="162"/>
      <c r="C4616" s="336"/>
    </row>
    <row r="4617">
      <c r="A4617" s="162"/>
      <c r="B4617" s="162"/>
      <c r="C4617" s="336"/>
    </row>
    <row r="4618">
      <c r="A4618" s="162"/>
      <c r="B4618" s="162"/>
      <c r="C4618" s="336"/>
    </row>
    <row r="4619">
      <c r="A4619" s="162"/>
      <c r="B4619" s="162"/>
      <c r="C4619" s="336"/>
    </row>
    <row r="4620">
      <c r="A4620" s="162"/>
      <c r="B4620" s="162"/>
      <c r="C4620" s="336"/>
    </row>
    <row r="4621">
      <c r="A4621" s="162"/>
      <c r="B4621" s="162"/>
      <c r="C4621" s="336"/>
    </row>
    <row r="4622">
      <c r="A4622" s="162"/>
      <c r="B4622" s="162"/>
      <c r="C4622" s="336"/>
    </row>
    <row r="4623">
      <c r="A4623" s="162"/>
      <c r="B4623" s="162"/>
      <c r="C4623" s="336"/>
    </row>
    <row r="4624">
      <c r="A4624" s="162"/>
      <c r="B4624" s="162"/>
      <c r="C4624" s="336"/>
    </row>
    <row r="4625">
      <c r="A4625" s="162"/>
      <c r="B4625" s="162"/>
      <c r="C4625" s="336"/>
    </row>
    <row r="4626">
      <c r="A4626" s="162"/>
      <c r="B4626" s="162"/>
      <c r="C4626" s="336"/>
    </row>
    <row r="4627">
      <c r="A4627" s="162"/>
      <c r="B4627" s="162"/>
      <c r="C4627" s="336"/>
    </row>
    <row r="4628">
      <c r="A4628" s="162"/>
      <c r="B4628" s="162"/>
      <c r="C4628" s="336"/>
    </row>
    <row r="4629">
      <c r="A4629" s="162"/>
      <c r="B4629" s="162"/>
      <c r="C4629" s="336"/>
    </row>
    <row r="4630">
      <c r="A4630" s="162"/>
      <c r="B4630" s="162"/>
      <c r="C4630" s="336"/>
    </row>
    <row r="4631">
      <c r="A4631" s="162"/>
      <c r="B4631" s="162"/>
      <c r="C4631" s="336"/>
    </row>
    <row r="4632">
      <c r="A4632" s="162"/>
      <c r="B4632" s="162"/>
      <c r="C4632" s="336"/>
    </row>
    <row r="4633">
      <c r="A4633" s="162"/>
      <c r="B4633" s="162"/>
      <c r="C4633" s="336"/>
    </row>
    <row r="4634">
      <c r="A4634" s="162"/>
      <c r="B4634" s="162"/>
      <c r="C4634" s="336"/>
    </row>
    <row r="4635">
      <c r="A4635" s="162"/>
      <c r="B4635" s="162"/>
      <c r="C4635" s="336"/>
    </row>
    <row r="4636">
      <c r="A4636" s="162"/>
      <c r="B4636" s="162"/>
      <c r="C4636" s="336"/>
    </row>
    <row r="4637">
      <c r="A4637" s="162"/>
      <c r="B4637" s="162"/>
      <c r="C4637" s="336"/>
    </row>
    <row r="4638">
      <c r="A4638" s="162"/>
      <c r="B4638" s="162"/>
      <c r="C4638" s="336"/>
    </row>
    <row r="4639">
      <c r="A4639" s="162"/>
      <c r="B4639" s="162"/>
      <c r="C4639" s="336"/>
    </row>
    <row r="4640">
      <c r="A4640" s="162"/>
      <c r="B4640" s="162"/>
      <c r="C4640" s="336"/>
    </row>
    <row r="4641">
      <c r="A4641" s="162"/>
      <c r="B4641" s="162"/>
      <c r="C4641" s="336"/>
    </row>
    <row r="4642">
      <c r="A4642" s="162"/>
      <c r="B4642" s="162"/>
      <c r="C4642" s="336"/>
    </row>
    <row r="4643">
      <c r="A4643" s="162"/>
      <c r="B4643" s="162"/>
      <c r="C4643" s="336"/>
    </row>
    <row r="4644">
      <c r="A4644" s="162"/>
      <c r="B4644" s="162"/>
      <c r="C4644" s="336"/>
    </row>
    <row r="4645">
      <c r="A4645" s="162"/>
      <c r="B4645" s="162"/>
      <c r="C4645" s="336"/>
    </row>
    <row r="4646">
      <c r="A4646" s="162"/>
      <c r="B4646" s="162"/>
      <c r="C4646" s="336"/>
    </row>
    <row r="4647">
      <c r="A4647" s="162"/>
      <c r="B4647" s="162"/>
      <c r="C4647" s="336"/>
    </row>
    <row r="4648">
      <c r="A4648" s="162"/>
      <c r="B4648" s="162"/>
      <c r="C4648" s="336"/>
    </row>
    <row r="4649">
      <c r="A4649" s="162"/>
      <c r="B4649" s="162"/>
      <c r="C4649" s="336"/>
    </row>
    <row r="4650">
      <c r="A4650" s="162"/>
      <c r="B4650" s="162"/>
      <c r="C4650" s="336"/>
    </row>
    <row r="4651">
      <c r="A4651" s="162"/>
      <c r="B4651" s="162"/>
      <c r="C4651" s="336"/>
    </row>
    <row r="4652">
      <c r="A4652" s="162"/>
      <c r="B4652" s="162"/>
      <c r="C4652" s="336"/>
    </row>
    <row r="4653">
      <c r="A4653" s="162"/>
      <c r="B4653" s="162"/>
      <c r="C4653" s="336"/>
    </row>
    <row r="4654">
      <c r="A4654" s="162"/>
      <c r="B4654" s="162"/>
      <c r="C4654" s="336"/>
    </row>
    <row r="4655">
      <c r="A4655" s="162"/>
      <c r="B4655" s="162"/>
      <c r="C4655" s="336"/>
    </row>
    <row r="4656">
      <c r="A4656" s="162"/>
      <c r="B4656" s="162"/>
      <c r="C4656" s="336"/>
    </row>
    <row r="4657">
      <c r="A4657" s="162"/>
      <c r="B4657" s="162"/>
      <c r="C4657" s="336"/>
    </row>
    <row r="4658">
      <c r="A4658" s="162"/>
      <c r="B4658" s="162"/>
      <c r="C4658" s="336"/>
    </row>
    <row r="4659">
      <c r="A4659" s="162"/>
      <c r="B4659" s="162"/>
      <c r="C4659" s="336"/>
    </row>
    <row r="4660">
      <c r="A4660" s="162"/>
      <c r="B4660" s="162"/>
      <c r="C4660" s="336"/>
    </row>
    <row r="4661">
      <c r="A4661" s="162"/>
      <c r="B4661" s="162"/>
      <c r="C4661" s="336"/>
    </row>
    <row r="4662">
      <c r="A4662" s="162"/>
      <c r="B4662" s="162"/>
      <c r="C4662" s="336"/>
    </row>
    <row r="4663">
      <c r="A4663" s="162"/>
      <c r="B4663" s="162"/>
      <c r="C4663" s="336"/>
    </row>
    <row r="4664">
      <c r="A4664" s="162"/>
      <c r="B4664" s="162"/>
      <c r="C4664" s="336"/>
    </row>
    <row r="4665">
      <c r="A4665" s="162"/>
      <c r="B4665" s="162"/>
      <c r="C4665" s="336"/>
    </row>
    <row r="4666">
      <c r="A4666" s="162"/>
      <c r="B4666" s="162"/>
      <c r="C4666" s="336"/>
    </row>
    <row r="4667">
      <c r="A4667" s="162"/>
      <c r="B4667" s="162"/>
      <c r="C4667" s="336"/>
    </row>
    <row r="4668">
      <c r="A4668" s="162"/>
      <c r="B4668" s="162"/>
      <c r="C4668" s="336"/>
    </row>
    <row r="4669">
      <c r="A4669" s="162"/>
      <c r="B4669" s="162"/>
      <c r="C4669" s="336"/>
    </row>
    <row r="4670">
      <c r="A4670" s="162"/>
      <c r="B4670" s="162"/>
      <c r="C4670" s="336"/>
    </row>
    <row r="4671">
      <c r="A4671" s="162"/>
      <c r="B4671" s="162"/>
      <c r="C4671" s="336"/>
    </row>
    <row r="4672">
      <c r="A4672" s="162"/>
      <c r="B4672" s="162"/>
      <c r="C4672" s="336"/>
    </row>
    <row r="4673">
      <c r="A4673" s="162"/>
      <c r="B4673" s="162"/>
      <c r="C4673" s="336"/>
    </row>
    <row r="4674">
      <c r="A4674" s="162"/>
      <c r="B4674" s="162"/>
      <c r="C4674" s="336"/>
    </row>
    <row r="4675">
      <c r="A4675" s="162"/>
      <c r="B4675" s="162"/>
      <c r="C4675" s="336"/>
    </row>
    <row r="4676">
      <c r="A4676" s="162"/>
      <c r="B4676" s="162"/>
      <c r="C4676" s="336"/>
    </row>
    <row r="4677">
      <c r="A4677" s="162"/>
      <c r="B4677" s="162"/>
      <c r="C4677" s="336"/>
    </row>
    <row r="4678">
      <c r="A4678" s="162"/>
      <c r="B4678" s="162"/>
      <c r="C4678" s="336"/>
    </row>
    <row r="4679">
      <c r="A4679" s="162"/>
      <c r="B4679" s="162"/>
      <c r="C4679" s="336"/>
    </row>
    <row r="4680">
      <c r="A4680" s="162"/>
      <c r="B4680" s="162"/>
      <c r="C4680" s="336"/>
    </row>
    <row r="4681">
      <c r="A4681" s="162"/>
      <c r="B4681" s="162"/>
      <c r="C4681" s="336"/>
    </row>
    <row r="4682">
      <c r="A4682" s="162"/>
      <c r="B4682" s="162"/>
      <c r="C4682" s="336"/>
    </row>
    <row r="4683">
      <c r="A4683" s="162"/>
      <c r="B4683" s="162"/>
      <c r="C4683" s="336"/>
    </row>
    <row r="4684">
      <c r="A4684" s="162"/>
      <c r="B4684" s="162"/>
      <c r="C4684" s="336"/>
    </row>
    <row r="4685">
      <c r="A4685" s="162"/>
      <c r="B4685" s="162"/>
      <c r="C4685" s="336"/>
    </row>
    <row r="4686">
      <c r="A4686" s="162"/>
      <c r="B4686" s="162"/>
      <c r="C4686" s="336"/>
    </row>
    <row r="4687">
      <c r="A4687" s="162"/>
      <c r="B4687" s="162"/>
      <c r="C4687" s="336"/>
    </row>
    <row r="4688">
      <c r="A4688" s="162"/>
      <c r="B4688" s="162"/>
      <c r="C4688" s="336"/>
    </row>
    <row r="4689">
      <c r="A4689" s="162"/>
      <c r="B4689" s="162"/>
      <c r="C4689" s="336"/>
    </row>
    <row r="4690">
      <c r="A4690" s="162"/>
      <c r="B4690" s="162"/>
      <c r="C4690" s="336"/>
    </row>
    <row r="4691">
      <c r="A4691" s="162"/>
      <c r="B4691" s="162"/>
      <c r="C4691" s="336"/>
    </row>
    <row r="4692">
      <c r="A4692" s="162"/>
      <c r="B4692" s="162"/>
      <c r="C4692" s="336"/>
    </row>
    <row r="4693">
      <c r="A4693" s="162"/>
      <c r="B4693" s="162"/>
      <c r="C4693" s="336"/>
    </row>
    <row r="4694">
      <c r="A4694" s="162"/>
      <c r="B4694" s="162"/>
      <c r="C4694" s="336"/>
    </row>
    <row r="4695">
      <c r="A4695" s="162"/>
      <c r="B4695" s="162"/>
      <c r="C4695" s="336"/>
    </row>
    <row r="4696">
      <c r="A4696" s="162"/>
      <c r="B4696" s="162"/>
      <c r="C4696" s="336"/>
    </row>
    <row r="4697">
      <c r="A4697" s="162"/>
      <c r="B4697" s="162"/>
      <c r="C4697" s="336"/>
    </row>
    <row r="4698">
      <c r="A4698" s="162"/>
      <c r="B4698" s="162"/>
      <c r="C4698" s="336"/>
    </row>
    <row r="4699">
      <c r="A4699" s="162"/>
      <c r="B4699" s="162"/>
      <c r="C4699" s="336"/>
    </row>
    <row r="4700">
      <c r="A4700" s="162"/>
      <c r="B4700" s="162"/>
      <c r="C4700" s="336"/>
    </row>
    <row r="4701">
      <c r="A4701" s="162"/>
      <c r="B4701" s="162"/>
      <c r="C4701" s="336"/>
    </row>
    <row r="4702">
      <c r="A4702" s="162"/>
      <c r="B4702" s="162"/>
      <c r="C4702" s="336"/>
    </row>
    <row r="4703">
      <c r="A4703" s="162"/>
      <c r="B4703" s="162"/>
      <c r="C4703" s="336"/>
    </row>
    <row r="4704">
      <c r="A4704" s="162"/>
      <c r="B4704" s="162"/>
      <c r="C4704" s="336"/>
    </row>
    <row r="4705">
      <c r="A4705" s="162"/>
      <c r="B4705" s="162"/>
      <c r="C4705" s="336"/>
    </row>
    <row r="4706">
      <c r="A4706" s="162"/>
      <c r="B4706" s="162"/>
      <c r="C4706" s="336"/>
    </row>
    <row r="4707">
      <c r="A4707" s="162"/>
      <c r="B4707" s="162"/>
      <c r="C4707" s="336"/>
    </row>
    <row r="4708">
      <c r="A4708" s="162"/>
      <c r="B4708" s="162"/>
      <c r="C4708" s="336"/>
    </row>
    <row r="4709">
      <c r="A4709" s="162"/>
      <c r="B4709" s="162"/>
      <c r="C4709" s="336"/>
    </row>
    <row r="4710">
      <c r="A4710" s="162"/>
      <c r="B4710" s="162"/>
      <c r="C4710" s="336"/>
    </row>
    <row r="4711">
      <c r="A4711" s="162"/>
      <c r="B4711" s="162"/>
      <c r="C4711" s="336"/>
    </row>
    <row r="4712">
      <c r="A4712" s="162"/>
      <c r="B4712" s="162"/>
      <c r="C4712" s="336"/>
    </row>
    <row r="4713">
      <c r="A4713" s="162"/>
      <c r="B4713" s="162"/>
      <c r="C4713" s="336"/>
    </row>
    <row r="4714">
      <c r="A4714" s="162"/>
      <c r="B4714" s="162"/>
      <c r="C4714" s="336"/>
    </row>
    <row r="4715">
      <c r="A4715" s="162"/>
      <c r="B4715" s="162"/>
      <c r="C4715" s="336"/>
    </row>
    <row r="4716">
      <c r="A4716" s="162"/>
      <c r="B4716" s="162"/>
      <c r="C4716" s="336"/>
    </row>
    <row r="4717">
      <c r="A4717" s="162"/>
      <c r="B4717" s="162"/>
      <c r="C4717" s="336"/>
    </row>
    <row r="4718">
      <c r="A4718" s="162"/>
      <c r="B4718" s="162"/>
      <c r="C4718" s="336"/>
    </row>
    <row r="4719">
      <c r="A4719" s="162"/>
      <c r="B4719" s="162"/>
      <c r="C4719" s="336"/>
    </row>
    <row r="4720">
      <c r="A4720" s="162"/>
      <c r="B4720" s="162"/>
      <c r="C4720" s="336"/>
    </row>
    <row r="4721">
      <c r="A4721" s="162"/>
      <c r="B4721" s="162"/>
      <c r="C4721" s="336"/>
    </row>
    <row r="4722">
      <c r="A4722" s="162"/>
      <c r="B4722" s="162"/>
      <c r="C4722" s="336"/>
    </row>
    <row r="4723">
      <c r="A4723" s="162"/>
      <c r="B4723" s="162"/>
      <c r="C4723" s="336"/>
    </row>
    <row r="4724">
      <c r="A4724" s="162"/>
      <c r="B4724" s="162"/>
      <c r="C4724" s="336"/>
    </row>
    <row r="4725">
      <c r="A4725" s="162"/>
      <c r="B4725" s="162"/>
      <c r="C4725" s="336"/>
    </row>
    <row r="4726">
      <c r="A4726" s="162"/>
      <c r="B4726" s="162"/>
      <c r="C4726" s="336"/>
    </row>
    <row r="4727">
      <c r="A4727" s="162"/>
      <c r="B4727" s="162"/>
      <c r="C4727" s="336"/>
    </row>
    <row r="4728">
      <c r="A4728" s="162"/>
      <c r="B4728" s="162"/>
      <c r="C4728" s="336"/>
    </row>
    <row r="4729">
      <c r="A4729" s="162"/>
      <c r="B4729" s="162"/>
      <c r="C4729" s="336"/>
    </row>
    <row r="4730">
      <c r="A4730" s="162"/>
      <c r="B4730" s="162"/>
      <c r="C4730" s="336"/>
    </row>
    <row r="4731">
      <c r="A4731" s="162"/>
      <c r="B4731" s="162"/>
      <c r="C4731" s="336"/>
    </row>
    <row r="4732">
      <c r="A4732" s="162"/>
      <c r="B4732" s="162"/>
      <c r="C4732" s="336"/>
    </row>
    <row r="4733">
      <c r="A4733" s="162"/>
      <c r="B4733" s="162"/>
      <c r="C4733" s="336"/>
    </row>
    <row r="4734">
      <c r="A4734" s="162"/>
      <c r="B4734" s="162"/>
      <c r="C4734" s="336"/>
    </row>
    <row r="4735">
      <c r="A4735" s="162"/>
      <c r="B4735" s="162"/>
      <c r="C4735" s="336"/>
    </row>
    <row r="4736">
      <c r="A4736" s="162"/>
      <c r="B4736" s="162"/>
      <c r="C4736" s="336"/>
    </row>
    <row r="4737">
      <c r="A4737" s="162"/>
      <c r="B4737" s="162"/>
      <c r="C4737" s="336"/>
    </row>
    <row r="4738">
      <c r="A4738" s="162"/>
      <c r="B4738" s="162"/>
      <c r="C4738" s="336"/>
    </row>
    <row r="4739">
      <c r="A4739" s="162"/>
      <c r="B4739" s="162"/>
      <c r="C4739" s="336"/>
    </row>
    <row r="4740">
      <c r="A4740" s="162"/>
      <c r="B4740" s="162"/>
      <c r="C4740" s="336"/>
    </row>
    <row r="4741">
      <c r="A4741" s="162"/>
      <c r="B4741" s="162"/>
      <c r="C4741" s="336"/>
    </row>
    <row r="4742">
      <c r="A4742" s="162"/>
      <c r="B4742" s="162"/>
      <c r="C4742" s="336"/>
    </row>
    <row r="4743">
      <c r="A4743" s="162"/>
      <c r="B4743" s="162"/>
      <c r="C4743" s="336"/>
    </row>
    <row r="4744">
      <c r="A4744" s="162"/>
      <c r="B4744" s="162"/>
      <c r="C4744" s="336"/>
    </row>
    <row r="4745">
      <c r="A4745" s="162"/>
      <c r="B4745" s="162"/>
      <c r="C4745" s="336"/>
    </row>
    <row r="4746">
      <c r="A4746" s="162"/>
      <c r="B4746" s="162"/>
      <c r="C4746" s="336"/>
    </row>
    <row r="4747">
      <c r="A4747" s="162"/>
      <c r="B4747" s="162"/>
      <c r="C4747" s="336"/>
    </row>
    <row r="4748">
      <c r="A4748" s="162"/>
      <c r="B4748" s="162"/>
      <c r="C4748" s="336"/>
    </row>
    <row r="4749">
      <c r="A4749" s="162"/>
      <c r="B4749" s="162"/>
      <c r="C4749" s="336"/>
    </row>
    <row r="4750">
      <c r="A4750" s="162"/>
      <c r="B4750" s="162"/>
      <c r="C4750" s="336"/>
    </row>
    <row r="4751">
      <c r="A4751" s="162"/>
      <c r="B4751" s="162"/>
      <c r="C4751" s="336"/>
    </row>
    <row r="4752">
      <c r="A4752" s="162"/>
      <c r="B4752" s="162"/>
      <c r="C4752" s="336"/>
    </row>
    <row r="4753">
      <c r="A4753" s="162"/>
      <c r="B4753" s="162"/>
      <c r="C4753" s="336"/>
    </row>
    <row r="4754">
      <c r="A4754" s="162"/>
      <c r="B4754" s="162"/>
      <c r="C4754" s="336"/>
    </row>
    <row r="4755">
      <c r="A4755" s="162"/>
      <c r="B4755" s="162"/>
      <c r="C4755" s="336"/>
    </row>
    <row r="4756">
      <c r="A4756" s="162"/>
      <c r="B4756" s="162"/>
      <c r="C4756" s="336"/>
    </row>
    <row r="4757">
      <c r="A4757" s="162"/>
      <c r="B4757" s="162"/>
      <c r="C4757" s="336"/>
    </row>
    <row r="4758">
      <c r="A4758" s="162"/>
      <c r="B4758" s="162"/>
      <c r="C4758" s="336"/>
    </row>
    <row r="4759">
      <c r="A4759" s="162"/>
      <c r="B4759" s="162"/>
      <c r="C4759" s="336"/>
    </row>
    <row r="4760">
      <c r="A4760" s="162"/>
      <c r="B4760" s="162"/>
      <c r="C4760" s="336"/>
    </row>
    <row r="4761">
      <c r="A4761" s="162"/>
      <c r="B4761" s="162"/>
      <c r="C4761" s="336"/>
    </row>
    <row r="4762">
      <c r="A4762" s="162"/>
      <c r="B4762" s="162"/>
      <c r="C4762" s="336"/>
    </row>
    <row r="4763">
      <c r="A4763" s="162"/>
      <c r="B4763" s="162"/>
      <c r="C4763" s="336"/>
    </row>
    <row r="4764">
      <c r="A4764" s="162"/>
      <c r="B4764" s="162"/>
      <c r="C4764" s="336"/>
    </row>
    <row r="4765">
      <c r="A4765" s="162"/>
      <c r="B4765" s="162"/>
      <c r="C4765" s="336"/>
    </row>
    <row r="4766">
      <c r="A4766" s="162"/>
      <c r="B4766" s="162"/>
      <c r="C4766" s="336"/>
    </row>
    <row r="4767">
      <c r="A4767" s="162"/>
      <c r="B4767" s="162"/>
      <c r="C4767" s="336"/>
    </row>
    <row r="4768">
      <c r="A4768" s="162"/>
      <c r="B4768" s="162"/>
      <c r="C4768" s="336"/>
    </row>
    <row r="4769">
      <c r="A4769" s="162"/>
      <c r="B4769" s="162"/>
      <c r="C4769" s="336"/>
    </row>
    <row r="4770">
      <c r="A4770" s="162"/>
      <c r="B4770" s="162"/>
      <c r="C4770" s="336"/>
    </row>
    <row r="4771">
      <c r="A4771" s="162"/>
      <c r="B4771" s="162"/>
      <c r="C4771" s="336"/>
    </row>
    <row r="4772">
      <c r="A4772" s="162"/>
      <c r="B4772" s="162"/>
      <c r="C4772" s="336"/>
    </row>
    <row r="4773">
      <c r="A4773" s="162"/>
      <c r="B4773" s="162"/>
      <c r="C4773" s="336"/>
    </row>
    <row r="4774">
      <c r="A4774" s="162"/>
      <c r="B4774" s="162"/>
      <c r="C4774" s="336"/>
    </row>
    <row r="4775">
      <c r="A4775" s="162"/>
      <c r="B4775" s="162"/>
      <c r="C4775" s="336"/>
    </row>
    <row r="4776">
      <c r="A4776" s="162"/>
      <c r="B4776" s="162"/>
      <c r="C4776" s="336"/>
    </row>
    <row r="4777">
      <c r="A4777" s="162"/>
      <c r="B4777" s="162"/>
      <c r="C4777" s="336"/>
    </row>
    <row r="4778">
      <c r="A4778" s="162"/>
      <c r="B4778" s="162"/>
      <c r="C4778" s="336"/>
    </row>
    <row r="4779">
      <c r="A4779" s="162"/>
      <c r="B4779" s="162"/>
      <c r="C4779" s="336"/>
    </row>
    <row r="4780">
      <c r="A4780" s="162"/>
      <c r="B4780" s="162"/>
      <c r="C4780" s="336"/>
    </row>
    <row r="4781">
      <c r="A4781" s="162"/>
      <c r="B4781" s="162"/>
      <c r="C4781" s="336"/>
    </row>
    <row r="4782">
      <c r="A4782" s="162"/>
      <c r="B4782" s="162"/>
      <c r="C4782" s="336"/>
    </row>
    <row r="4783">
      <c r="A4783" s="162"/>
      <c r="B4783" s="162"/>
      <c r="C4783" s="336"/>
    </row>
    <row r="4784">
      <c r="A4784" s="162"/>
      <c r="B4784" s="162"/>
      <c r="C4784" s="336"/>
    </row>
    <row r="4785">
      <c r="A4785" s="162"/>
      <c r="B4785" s="162"/>
      <c r="C4785" s="336"/>
    </row>
    <row r="4786">
      <c r="A4786" s="162"/>
      <c r="B4786" s="162"/>
      <c r="C4786" s="336"/>
    </row>
    <row r="4787">
      <c r="A4787" s="162"/>
      <c r="B4787" s="162"/>
      <c r="C4787" s="336"/>
    </row>
    <row r="4788">
      <c r="A4788" s="162"/>
      <c r="B4788" s="162"/>
      <c r="C4788" s="336"/>
    </row>
    <row r="4789">
      <c r="A4789" s="162"/>
      <c r="B4789" s="162"/>
      <c r="C4789" s="336"/>
    </row>
    <row r="4790">
      <c r="A4790" s="162"/>
      <c r="B4790" s="162"/>
      <c r="C4790" s="336"/>
    </row>
    <row r="4791">
      <c r="A4791" s="162"/>
      <c r="B4791" s="162"/>
      <c r="C4791" s="336"/>
    </row>
    <row r="4792">
      <c r="A4792" s="162"/>
      <c r="B4792" s="162"/>
      <c r="C4792" s="336"/>
    </row>
    <row r="4793">
      <c r="A4793" s="162"/>
      <c r="B4793" s="162"/>
      <c r="C4793" s="336"/>
    </row>
    <row r="4794">
      <c r="A4794" s="162"/>
      <c r="B4794" s="162"/>
      <c r="C4794" s="336"/>
    </row>
    <row r="4795">
      <c r="A4795" s="162"/>
      <c r="B4795" s="162"/>
      <c r="C4795" s="336"/>
    </row>
    <row r="4796">
      <c r="A4796" s="162"/>
      <c r="B4796" s="162"/>
      <c r="C4796" s="336"/>
    </row>
    <row r="4797">
      <c r="A4797" s="162"/>
      <c r="B4797" s="162"/>
      <c r="C4797" s="336"/>
    </row>
    <row r="4798">
      <c r="A4798" s="162"/>
      <c r="B4798" s="162"/>
      <c r="C4798" s="336"/>
    </row>
    <row r="4799">
      <c r="A4799" s="162"/>
      <c r="B4799" s="162"/>
      <c r="C4799" s="336"/>
    </row>
    <row r="4800">
      <c r="A4800" s="162"/>
      <c r="B4800" s="162"/>
      <c r="C4800" s="336"/>
    </row>
    <row r="4801">
      <c r="A4801" s="162"/>
      <c r="B4801" s="162"/>
      <c r="C4801" s="336"/>
    </row>
    <row r="4802">
      <c r="A4802" s="162"/>
      <c r="B4802" s="162"/>
      <c r="C4802" s="336"/>
    </row>
    <row r="4803">
      <c r="A4803" s="162"/>
      <c r="B4803" s="162"/>
      <c r="C4803" s="336"/>
    </row>
    <row r="4804">
      <c r="A4804" s="162"/>
      <c r="B4804" s="162"/>
      <c r="C4804" s="336"/>
    </row>
    <row r="4805">
      <c r="A4805" s="162"/>
      <c r="B4805" s="162"/>
      <c r="C4805" s="336"/>
    </row>
    <row r="4806">
      <c r="A4806" s="162"/>
      <c r="B4806" s="162"/>
      <c r="C4806" s="336"/>
    </row>
    <row r="4807">
      <c r="A4807" s="162"/>
      <c r="B4807" s="162"/>
      <c r="C4807" s="336"/>
    </row>
    <row r="4808">
      <c r="A4808" s="162"/>
      <c r="B4808" s="162"/>
      <c r="C4808" s="336"/>
    </row>
    <row r="4809">
      <c r="A4809" s="162"/>
      <c r="B4809" s="162"/>
      <c r="C4809" s="336"/>
    </row>
    <row r="4810">
      <c r="A4810" s="162"/>
      <c r="B4810" s="162"/>
      <c r="C4810" s="336"/>
    </row>
    <row r="4811">
      <c r="A4811" s="162"/>
      <c r="B4811" s="162"/>
      <c r="C4811" s="336"/>
    </row>
    <row r="4812">
      <c r="A4812" s="162"/>
      <c r="B4812" s="162"/>
      <c r="C4812" s="336"/>
    </row>
    <row r="4813">
      <c r="A4813" s="162"/>
      <c r="B4813" s="162"/>
      <c r="C4813" s="336"/>
    </row>
    <row r="4814">
      <c r="A4814" s="162"/>
      <c r="B4814" s="162"/>
      <c r="C4814" s="336"/>
    </row>
    <row r="4815">
      <c r="A4815" s="162"/>
      <c r="B4815" s="162"/>
      <c r="C4815" s="336"/>
    </row>
    <row r="4816">
      <c r="A4816" s="162"/>
      <c r="B4816" s="162"/>
      <c r="C4816" s="336"/>
    </row>
    <row r="4817">
      <c r="A4817" s="162"/>
      <c r="B4817" s="162"/>
      <c r="C4817" s="336"/>
    </row>
    <row r="4818">
      <c r="A4818" s="162"/>
      <c r="B4818" s="162"/>
      <c r="C4818" s="336"/>
    </row>
    <row r="4819">
      <c r="A4819" s="162"/>
      <c r="B4819" s="162"/>
      <c r="C4819" s="336"/>
    </row>
    <row r="4820">
      <c r="A4820" s="162"/>
      <c r="B4820" s="162"/>
      <c r="C4820" s="336"/>
    </row>
    <row r="4821">
      <c r="A4821" s="162"/>
      <c r="B4821" s="162"/>
      <c r="C4821" s="336"/>
    </row>
    <row r="4822">
      <c r="A4822" s="162"/>
      <c r="B4822" s="162"/>
      <c r="C4822" s="336"/>
    </row>
    <row r="4823">
      <c r="A4823" s="162"/>
      <c r="B4823" s="162"/>
      <c r="C4823" s="336"/>
    </row>
    <row r="4824">
      <c r="A4824" s="162"/>
      <c r="B4824" s="162"/>
      <c r="C4824" s="336"/>
    </row>
    <row r="4825">
      <c r="A4825" s="162"/>
      <c r="B4825" s="162"/>
      <c r="C4825" s="336"/>
    </row>
    <row r="4826">
      <c r="A4826" s="162"/>
      <c r="B4826" s="162"/>
      <c r="C4826" s="336"/>
    </row>
    <row r="4827">
      <c r="A4827" s="162"/>
      <c r="B4827" s="162"/>
      <c r="C4827" s="336"/>
    </row>
    <row r="4828">
      <c r="A4828" s="162"/>
      <c r="B4828" s="162"/>
      <c r="C4828" s="336"/>
    </row>
    <row r="4829">
      <c r="A4829" s="162"/>
      <c r="B4829" s="162"/>
      <c r="C4829" s="336"/>
    </row>
    <row r="4830">
      <c r="A4830" s="162"/>
      <c r="B4830" s="162"/>
      <c r="C4830" s="336"/>
    </row>
    <row r="4831">
      <c r="A4831" s="162"/>
      <c r="B4831" s="162"/>
      <c r="C4831" s="336"/>
    </row>
    <row r="4832">
      <c r="A4832" s="162"/>
      <c r="B4832" s="162"/>
      <c r="C4832" s="336"/>
    </row>
    <row r="4833">
      <c r="A4833" s="162"/>
      <c r="B4833" s="162"/>
      <c r="C4833" s="336"/>
    </row>
    <row r="4834">
      <c r="A4834" s="162"/>
      <c r="B4834" s="162"/>
      <c r="C4834" s="336"/>
    </row>
    <row r="4835">
      <c r="A4835" s="162"/>
      <c r="B4835" s="162"/>
      <c r="C4835" s="336"/>
    </row>
    <row r="4836">
      <c r="A4836" s="162"/>
      <c r="B4836" s="162"/>
      <c r="C4836" s="336"/>
    </row>
    <row r="4837">
      <c r="A4837" s="162"/>
      <c r="B4837" s="162"/>
      <c r="C4837" s="336"/>
    </row>
    <row r="4838">
      <c r="A4838" s="162"/>
      <c r="B4838" s="162"/>
      <c r="C4838" s="336"/>
    </row>
    <row r="4839">
      <c r="A4839" s="162"/>
      <c r="B4839" s="162"/>
      <c r="C4839" s="336"/>
    </row>
    <row r="4840">
      <c r="A4840" s="162"/>
      <c r="B4840" s="162"/>
      <c r="C4840" s="336"/>
    </row>
    <row r="4841">
      <c r="A4841" s="162"/>
      <c r="B4841" s="162"/>
      <c r="C4841" s="336"/>
    </row>
    <row r="4842">
      <c r="A4842" s="162"/>
      <c r="B4842" s="162"/>
      <c r="C4842" s="336"/>
    </row>
    <row r="4843">
      <c r="A4843" s="162"/>
      <c r="B4843" s="162"/>
      <c r="C4843" s="336"/>
    </row>
    <row r="4844">
      <c r="A4844" s="162"/>
      <c r="B4844" s="162"/>
      <c r="C4844" s="336"/>
    </row>
    <row r="4845">
      <c r="A4845" s="162"/>
      <c r="B4845" s="162"/>
      <c r="C4845" s="336"/>
    </row>
    <row r="4846">
      <c r="A4846" s="162"/>
      <c r="B4846" s="162"/>
      <c r="C4846" s="336"/>
    </row>
    <row r="4847">
      <c r="A4847" s="162"/>
      <c r="B4847" s="162"/>
      <c r="C4847" s="336"/>
    </row>
    <row r="4848">
      <c r="A4848" s="162"/>
      <c r="B4848" s="162"/>
      <c r="C4848" s="336"/>
    </row>
    <row r="4849">
      <c r="A4849" s="162"/>
      <c r="B4849" s="162"/>
      <c r="C4849" s="336"/>
    </row>
    <row r="4850">
      <c r="A4850" s="162"/>
      <c r="B4850" s="162"/>
      <c r="C4850" s="336"/>
    </row>
    <row r="4851">
      <c r="A4851" s="162"/>
      <c r="B4851" s="162"/>
      <c r="C4851" s="336"/>
    </row>
    <row r="4852">
      <c r="A4852" s="162"/>
      <c r="B4852" s="162"/>
      <c r="C4852" s="336"/>
    </row>
    <row r="4853">
      <c r="A4853" s="162"/>
      <c r="B4853" s="162"/>
      <c r="C4853" s="336"/>
    </row>
    <row r="4854">
      <c r="A4854" s="162"/>
      <c r="B4854" s="162"/>
      <c r="C4854" s="336"/>
    </row>
    <row r="4855">
      <c r="A4855" s="162"/>
      <c r="B4855" s="162"/>
      <c r="C4855" s="336"/>
    </row>
    <row r="4856">
      <c r="A4856" s="162"/>
      <c r="B4856" s="162"/>
      <c r="C4856" s="336"/>
    </row>
    <row r="4857">
      <c r="A4857" s="162"/>
      <c r="B4857" s="162"/>
      <c r="C4857" s="336"/>
    </row>
    <row r="4858">
      <c r="A4858" s="162"/>
      <c r="B4858" s="162"/>
      <c r="C4858" s="336"/>
    </row>
    <row r="4859">
      <c r="A4859" s="162"/>
      <c r="B4859" s="162"/>
      <c r="C4859" s="336"/>
    </row>
    <row r="4860">
      <c r="A4860" s="162"/>
      <c r="B4860" s="162"/>
      <c r="C4860" s="336"/>
    </row>
    <row r="4861">
      <c r="A4861" s="162"/>
      <c r="B4861" s="162"/>
      <c r="C4861" s="336"/>
    </row>
    <row r="4862">
      <c r="A4862" s="162"/>
      <c r="B4862" s="162"/>
      <c r="C4862" s="336"/>
    </row>
    <row r="4863">
      <c r="A4863" s="162"/>
      <c r="B4863" s="162"/>
      <c r="C4863" s="336"/>
    </row>
    <row r="4864">
      <c r="A4864" s="162"/>
      <c r="B4864" s="162"/>
      <c r="C4864" s="336"/>
    </row>
    <row r="4865">
      <c r="A4865" s="162"/>
      <c r="B4865" s="162"/>
      <c r="C4865" s="336"/>
    </row>
    <row r="4866">
      <c r="A4866" s="162"/>
      <c r="B4866" s="162"/>
      <c r="C4866" s="336"/>
    </row>
    <row r="4867">
      <c r="A4867" s="162"/>
      <c r="B4867" s="162"/>
      <c r="C4867" s="336"/>
    </row>
    <row r="4868">
      <c r="A4868" s="162"/>
      <c r="B4868" s="162"/>
      <c r="C4868" s="336"/>
    </row>
    <row r="4869">
      <c r="A4869" s="162"/>
      <c r="B4869" s="162"/>
      <c r="C4869" s="336"/>
    </row>
    <row r="4870">
      <c r="A4870" s="162"/>
      <c r="B4870" s="162"/>
      <c r="C4870" s="336"/>
    </row>
    <row r="4871">
      <c r="A4871" s="162"/>
      <c r="B4871" s="162"/>
      <c r="C4871" s="336"/>
    </row>
    <row r="4872">
      <c r="A4872" s="162"/>
      <c r="B4872" s="162"/>
      <c r="C4872" s="336"/>
    </row>
    <row r="4873">
      <c r="A4873" s="162"/>
      <c r="B4873" s="162"/>
      <c r="C4873" s="336"/>
    </row>
    <row r="4874">
      <c r="A4874" s="162"/>
      <c r="B4874" s="162"/>
      <c r="C4874" s="336"/>
    </row>
    <row r="4875">
      <c r="A4875" s="162"/>
      <c r="B4875" s="162"/>
      <c r="C4875" s="336"/>
    </row>
    <row r="4876">
      <c r="A4876" s="162"/>
      <c r="B4876" s="162"/>
      <c r="C4876" s="336"/>
    </row>
    <row r="4877">
      <c r="A4877" s="162"/>
      <c r="B4877" s="162"/>
      <c r="C4877" s="336"/>
    </row>
    <row r="4878">
      <c r="A4878" s="162"/>
      <c r="B4878" s="162"/>
      <c r="C4878" s="336"/>
    </row>
    <row r="4879">
      <c r="A4879" s="162"/>
      <c r="B4879" s="162"/>
      <c r="C4879" s="336"/>
    </row>
    <row r="4880">
      <c r="A4880" s="162"/>
      <c r="B4880" s="162"/>
      <c r="C4880" s="336"/>
    </row>
    <row r="4881">
      <c r="A4881" s="162"/>
      <c r="B4881" s="162"/>
      <c r="C4881" s="336"/>
    </row>
    <row r="4882">
      <c r="A4882" s="162"/>
      <c r="B4882" s="162"/>
      <c r="C4882" s="336"/>
    </row>
    <row r="4883">
      <c r="A4883" s="162"/>
      <c r="B4883" s="162"/>
      <c r="C4883" s="336"/>
    </row>
    <row r="4884">
      <c r="A4884" s="162"/>
      <c r="B4884" s="162"/>
      <c r="C4884" s="336"/>
    </row>
    <row r="4885">
      <c r="A4885" s="162"/>
      <c r="B4885" s="162"/>
      <c r="C4885" s="336"/>
    </row>
    <row r="4886">
      <c r="A4886" s="162"/>
      <c r="B4886" s="162"/>
      <c r="C4886" s="336"/>
    </row>
    <row r="4887">
      <c r="A4887" s="162"/>
      <c r="B4887" s="162"/>
      <c r="C4887" s="336"/>
    </row>
    <row r="4888">
      <c r="A4888" s="162"/>
      <c r="B4888" s="162"/>
      <c r="C4888" s="336"/>
    </row>
    <row r="4889">
      <c r="A4889" s="162"/>
      <c r="B4889" s="162"/>
      <c r="C4889" s="336"/>
    </row>
    <row r="4890">
      <c r="A4890" s="162"/>
      <c r="B4890" s="162"/>
      <c r="C4890" s="336"/>
    </row>
    <row r="4891">
      <c r="A4891" s="162"/>
      <c r="B4891" s="162"/>
      <c r="C4891" s="336"/>
    </row>
    <row r="4892">
      <c r="A4892" s="162"/>
      <c r="B4892" s="162"/>
      <c r="C4892" s="336"/>
    </row>
    <row r="4893">
      <c r="A4893" s="162"/>
      <c r="B4893" s="162"/>
      <c r="C4893" s="336"/>
    </row>
    <row r="4894">
      <c r="A4894" s="162"/>
      <c r="B4894" s="162"/>
      <c r="C4894" s="336"/>
    </row>
    <row r="4895">
      <c r="A4895" s="162"/>
      <c r="B4895" s="162"/>
      <c r="C4895" s="336"/>
    </row>
    <row r="4896">
      <c r="A4896" s="162"/>
      <c r="B4896" s="162"/>
      <c r="C4896" s="336"/>
    </row>
    <row r="4897">
      <c r="A4897" s="162"/>
      <c r="B4897" s="162"/>
      <c r="C4897" s="336"/>
    </row>
    <row r="4898">
      <c r="A4898" s="162"/>
      <c r="B4898" s="162"/>
      <c r="C4898" s="336"/>
    </row>
    <row r="4899">
      <c r="A4899" s="162"/>
      <c r="B4899" s="162"/>
      <c r="C4899" s="336"/>
    </row>
    <row r="4900">
      <c r="A4900" s="162"/>
      <c r="B4900" s="162"/>
      <c r="C4900" s="336"/>
    </row>
    <row r="4901">
      <c r="A4901" s="162"/>
      <c r="B4901" s="162"/>
      <c r="C4901" s="336"/>
    </row>
    <row r="4902">
      <c r="A4902" s="162"/>
      <c r="B4902" s="162"/>
      <c r="C4902" s="336"/>
    </row>
    <row r="4903">
      <c r="A4903" s="162"/>
      <c r="B4903" s="162"/>
      <c r="C4903" s="336"/>
    </row>
    <row r="4904">
      <c r="A4904" s="162"/>
      <c r="B4904" s="162"/>
      <c r="C4904" s="336"/>
    </row>
    <row r="4905">
      <c r="A4905" s="162"/>
      <c r="B4905" s="162"/>
      <c r="C4905" s="336"/>
    </row>
    <row r="4906">
      <c r="A4906" s="162"/>
      <c r="B4906" s="162"/>
      <c r="C4906" s="336"/>
    </row>
    <row r="4907">
      <c r="A4907" s="162"/>
      <c r="B4907" s="162"/>
      <c r="C4907" s="336"/>
    </row>
    <row r="4908">
      <c r="A4908" s="162"/>
      <c r="B4908" s="162"/>
      <c r="C4908" s="336"/>
    </row>
    <row r="4909">
      <c r="A4909" s="162"/>
      <c r="B4909" s="162"/>
      <c r="C4909" s="336"/>
    </row>
    <row r="4910">
      <c r="A4910" s="162"/>
      <c r="B4910" s="162"/>
      <c r="C4910" s="336"/>
    </row>
    <row r="4911">
      <c r="A4911" s="162"/>
      <c r="B4911" s="162"/>
      <c r="C4911" s="336"/>
    </row>
    <row r="4912">
      <c r="A4912" s="162"/>
      <c r="B4912" s="162"/>
      <c r="C4912" s="336"/>
    </row>
    <row r="4913">
      <c r="A4913" s="162"/>
      <c r="B4913" s="162"/>
      <c r="C4913" s="336"/>
    </row>
    <row r="4914">
      <c r="A4914" s="162"/>
      <c r="B4914" s="162"/>
      <c r="C4914" s="336"/>
    </row>
    <row r="4915">
      <c r="A4915" s="162"/>
      <c r="B4915" s="162"/>
      <c r="C4915" s="336"/>
    </row>
    <row r="4916">
      <c r="A4916" s="162"/>
      <c r="B4916" s="162"/>
      <c r="C4916" s="336"/>
    </row>
    <row r="4917">
      <c r="A4917" s="162"/>
      <c r="B4917" s="162"/>
      <c r="C4917" s="336"/>
    </row>
    <row r="4918">
      <c r="A4918" s="162"/>
      <c r="B4918" s="162"/>
      <c r="C4918" s="336"/>
    </row>
    <row r="4919">
      <c r="A4919" s="162"/>
      <c r="B4919" s="162"/>
      <c r="C4919" s="336"/>
    </row>
    <row r="4920">
      <c r="A4920" s="162"/>
      <c r="B4920" s="162"/>
      <c r="C4920" s="336"/>
    </row>
    <row r="4921">
      <c r="A4921" s="162"/>
      <c r="B4921" s="162"/>
      <c r="C4921" s="336"/>
    </row>
    <row r="4922">
      <c r="A4922" s="162"/>
      <c r="B4922" s="162"/>
      <c r="C4922" s="336"/>
    </row>
    <row r="4923">
      <c r="A4923" s="162"/>
      <c r="B4923" s="162"/>
      <c r="C4923" s="336"/>
    </row>
    <row r="4924">
      <c r="A4924" s="162"/>
      <c r="B4924" s="162"/>
      <c r="C4924" s="336"/>
    </row>
    <row r="4925">
      <c r="A4925" s="162"/>
      <c r="B4925" s="162"/>
      <c r="C4925" s="336"/>
    </row>
    <row r="4926">
      <c r="A4926" s="162"/>
      <c r="B4926" s="162"/>
      <c r="C4926" s="336"/>
    </row>
    <row r="4927">
      <c r="A4927" s="162"/>
      <c r="B4927" s="162"/>
      <c r="C4927" s="336"/>
    </row>
    <row r="4928">
      <c r="A4928" s="162"/>
      <c r="B4928" s="162"/>
      <c r="C4928" s="336"/>
    </row>
    <row r="4929">
      <c r="A4929" s="162"/>
      <c r="B4929" s="162"/>
      <c r="C4929" s="336"/>
    </row>
    <row r="4930">
      <c r="A4930" s="162"/>
      <c r="B4930" s="162"/>
      <c r="C4930" s="336"/>
    </row>
    <row r="4931">
      <c r="A4931" s="162"/>
      <c r="B4931" s="162"/>
      <c r="C4931" s="336"/>
    </row>
    <row r="4932">
      <c r="A4932" s="162"/>
      <c r="B4932" s="162"/>
      <c r="C4932" s="336"/>
    </row>
    <row r="4933">
      <c r="A4933" s="162"/>
      <c r="B4933" s="162"/>
      <c r="C4933" s="336"/>
    </row>
    <row r="4934">
      <c r="A4934" s="162"/>
      <c r="B4934" s="162"/>
      <c r="C4934" s="336"/>
    </row>
    <row r="4935">
      <c r="A4935" s="162"/>
      <c r="B4935" s="162"/>
      <c r="C4935" s="336"/>
    </row>
    <row r="4936">
      <c r="A4936" s="162"/>
      <c r="B4936" s="162"/>
      <c r="C4936" s="336"/>
    </row>
    <row r="4937">
      <c r="A4937" s="162"/>
      <c r="B4937" s="162"/>
      <c r="C4937" s="336"/>
    </row>
    <row r="4938">
      <c r="A4938" s="162"/>
      <c r="B4938" s="162"/>
      <c r="C4938" s="336"/>
    </row>
    <row r="4939">
      <c r="A4939" s="162"/>
      <c r="B4939" s="162"/>
      <c r="C4939" s="336"/>
    </row>
    <row r="4940">
      <c r="A4940" s="162"/>
      <c r="B4940" s="162"/>
      <c r="C4940" s="336"/>
    </row>
    <row r="4941">
      <c r="A4941" s="162"/>
      <c r="B4941" s="162"/>
      <c r="C4941" s="336"/>
    </row>
    <row r="4942">
      <c r="A4942" s="162"/>
      <c r="B4942" s="162"/>
      <c r="C4942" s="336"/>
    </row>
    <row r="4943">
      <c r="A4943" s="162"/>
      <c r="B4943" s="162"/>
      <c r="C4943" s="336"/>
    </row>
    <row r="4944">
      <c r="A4944" s="162"/>
      <c r="B4944" s="162"/>
      <c r="C4944" s="336"/>
    </row>
    <row r="4945">
      <c r="A4945" s="162"/>
      <c r="B4945" s="162"/>
      <c r="C4945" s="336"/>
    </row>
    <row r="4946">
      <c r="A4946" s="162"/>
      <c r="B4946" s="162"/>
      <c r="C4946" s="336"/>
    </row>
    <row r="4947">
      <c r="A4947" s="162"/>
      <c r="B4947" s="162"/>
      <c r="C4947" s="336"/>
    </row>
    <row r="4948">
      <c r="A4948" s="162"/>
      <c r="B4948" s="162"/>
      <c r="C4948" s="336"/>
    </row>
    <row r="4949">
      <c r="A4949" s="162"/>
      <c r="B4949" s="162"/>
      <c r="C4949" s="336"/>
    </row>
    <row r="4950">
      <c r="A4950" s="162"/>
      <c r="B4950" s="162"/>
      <c r="C4950" s="336"/>
    </row>
    <row r="4951">
      <c r="A4951" s="162"/>
      <c r="B4951" s="162"/>
      <c r="C4951" s="336"/>
    </row>
    <row r="4952">
      <c r="A4952" s="162"/>
      <c r="B4952" s="162"/>
      <c r="C4952" s="336"/>
    </row>
    <row r="4953">
      <c r="A4953" s="162"/>
      <c r="B4953" s="162"/>
      <c r="C4953" s="336"/>
    </row>
    <row r="4954">
      <c r="A4954" s="162"/>
      <c r="B4954" s="162"/>
      <c r="C4954" s="336"/>
    </row>
    <row r="4955">
      <c r="A4955" s="162"/>
      <c r="B4955" s="162"/>
      <c r="C4955" s="336"/>
    </row>
    <row r="4956">
      <c r="A4956" s="162"/>
      <c r="B4956" s="162"/>
      <c r="C4956" s="336"/>
    </row>
    <row r="4957">
      <c r="A4957" s="162"/>
      <c r="B4957" s="162"/>
      <c r="C4957" s="336"/>
    </row>
    <row r="4958">
      <c r="A4958" s="162"/>
      <c r="B4958" s="162"/>
      <c r="C4958" s="336"/>
    </row>
    <row r="4959">
      <c r="A4959" s="162"/>
      <c r="B4959" s="162"/>
      <c r="C4959" s="336"/>
    </row>
    <row r="4960">
      <c r="A4960" s="162"/>
      <c r="B4960" s="162"/>
      <c r="C4960" s="336"/>
    </row>
    <row r="4961">
      <c r="A4961" s="162"/>
      <c r="B4961" s="162"/>
      <c r="C4961" s="336"/>
    </row>
    <row r="4962">
      <c r="A4962" s="162"/>
      <c r="B4962" s="162"/>
      <c r="C4962" s="336"/>
    </row>
    <row r="4963">
      <c r="A4963" s="162"/>
      <c r="B4963" s="162"/>
      <c r="C4963" s="336"/>
    </row>
    <row r="4964">
      <c r="A4964" s="162"/>
      <c r="B4964" s="162"/>
      <c r="C4964" s="336"/>
    </row>
    <row r="4965">
      <c r="A4965" s="162"/>
      <c r="B4965" s="162"/>
      <c r="C4965" s="336"/>
    </row>
    <row r="4966">
      <c r="A4966" s="162"/>
      <c r="B4966" s="162"/>
      <c r="C4966" s="336"/>
    </row>
    <row r="4967">
      <c r="A4967" s="162"/>
      <c r="B4967" s="162"/>
      <c r="C4967" s="336"/>
    </row>
    <row r="4968">
      <c r="A4968" s="162"/>
      <c r="B4968" s="162"/>
      <c r="C4968" s="336"/>
    </row>
    <row r="4969">
      <c r="A4969" s="162"/>
      <c r="B4969" s="162"/>
      <c r="C4969" s="336"/>
    </row>
    <row r="4970">
      <c r="A4970" s="162"/>
      <c r="B4970" s="162"/>
      <c r="C4970" s="336"/>
    </row>
    <row r="4971">
      <c r="A4971" s="162"/>
      <c r="B4971" s="162"/>
      <c r="C4971" s="336"/>
    </row>
    <row r="4972">
      <c r="A4972" s="162"/>
      <c r="B4972" s="162"/>
      <c r="C4972" s="336"/>
    </row>
    <row r="4973">
      <c r="A4973" s="162"/>
      <c r="B4973" s="162"/>
      <c r="C4973" s="336"/>
    </row>
    <row r="4974">
      <c r="A4974" s="162"/>
      <c r="B4974" s="162"/>
      <c r="C4974" s="336"/>
    </row>
    <row r="4975">
      <c r="A4975" s="162"/>
      <c r="B4975" s="162"/>
      <c r="C4975" s="336"/>
    </row>
    <row r="4976">
      <c r="A4976" s="162"/>
      <c r="B4976" s="162"/>
      <c r="C4976" s="336"/>
    </row>
    <row r="4977">
      <c r="A4977" s="162"/>
      <c r="B4977" s="162"/>
      <c r="C4977" s="336"/>
    </row>
    <row r="4978">
      <c r="A4978" s="162"/>
      <c r="B4978" s="162"/>
      <c r="C4978" s="336"/>
    </row>
    <row r="4979">
      <c r="A4979" s="162"/>
      <c r="B4979" s="162"/>
      <c r="C4979" s="336"/>
    </row>
    <row r="4980">
      <c r="A4980" s="162"/>
      <c r="B4980" s="162"/>
      <c r="C4980" s="336"/>
    </row>
    <row r="4981">
      <c r="A4981" s="162"/>
      <c r="B4981" s="162"/>
      <c r="C4981" s="336"/>
    </row>
    <row r="4982">
      <c r="A4982" s="162"/>
      <c r="B4982" s="162"/>
      <c r="C4982" s="336"/>
    </row>
    <row r="4983">
      <c r="A4983" s="162"/>
      <c r="B4983" s="162"/>
      <c r="C4983" s="336"/>
    </row>
    <row r="4984">
      <c r="A4984" s="162"/>
      <c r="B4984" s="162"/>
      <c r="C4984" s="336"/>
    </row>
    <row r="4985">
      <c r="A4985" s="162"/>
      <c r="B4985" s="162"/>
      <c r="C4985" s="336"/>
    </row>
    <row r="4986">
      <c r="A4986" s="162"/>
      <c r="B4986" s="162"/>
      <c r="C4986" s="336"/>
    </row>
    <row r="4987">
      <c r="A4987" s="162"/>
      <c r="B4987" s="162"/>
      <c r="C4987" s="336"/>
    </row>
    <row r="4988">
      <c r="A4988" s="162"/>
      <c r="B4988" s="162"/>
      <c r="C4988" s="336"/>
    </row>
    <row r="4989">
      <c r="A4989" s="162"/>
      <c r="B4989" s="162"/>
      <c r="C4989" s="336"/>
    </row>
    <row r="4990">
      <c r="A4990" s="162"/>
      <c r="B4990" s="162"/>
      <c r="C4990" s="336"/>
    </row>
    <row r="4991">
      <c r="A4991" s="162"/>
      <c r="B4991" s="162"/>
      <c r="C4991" s="336"/>
    </row>
    <row r="4992">
      <c r="A4992" s="162"/>
      <c r="B4992" s="162"/>
      <c r="C4992" s="336"/>
    </row>
    <row r="4993">
      <c r="A4993" s="162"/>
      <c r="B4993" s="162"/>
      <c r="C4993" s="336"/>
    </row>
    <row r="4994">
      <c r="A4994" s="162"/>
      <c r="B4994" s="162"/>
      <c r="C4994" s="336"/>
    </row>
    <row r="4995">
      <c r="A4995" s="162"/>
      <c r="B4995" s="162"/>
      <c r="C4995" s="336"/>
    </row>
    <row r="4996">
      <c r="A4996" s="162"/>
      <c r="B4996" s="162"/>
      <c r="C4996" s="336"/>
    </row>
    <row r="4997">
      <c r="A4997" s="162"/>
      <c r="B4997" s="162"/>
      <c r="C4997" s="336"/>
    </row>
    <row r="4998">
      <c r="A4998" s="162"/>
      <c r="B4998" s="162"/>
      <c r="C4998" s="336"/>
    </row>
    <row r="4999">
      <c r="A4999" s="162"/>
      <c r="B4999" s="162"/>
      <c r="C4999" s="336"/>
    </row>
    <row r="5000">
      <c r="A5000" s="162"/>
      <c r="B5000" s="162"/>
      <c r="C5000" s="336"/>
    </row>
    <row r="5001">
      <c r="A5001" s="162"/>
      <c r="B5001" s="162"/>
      <c r="C5001" s="336"/>
    </row>
    <row r="5002">
      <c r="A5002" s="162"/>
      <c r="B5002" s="162"/>
      <c r="C5002" s="336"/>
    </row>
    <row r="5003">
      <c r="A5003" s="162"/>
      <c r="B5003" s="162"/>
      <c r="C5003" s="336"/>
    </row>
    <row r="5004">
      <c r="A5004" s="162"/>
      <c r="B5004" s="162"/>
      <c r="C5004" s="336"/>
    </row>
    <row r="5005">
      <c r="A5005" s="162"/>
      <c r="B5005" s="162"/>
      <c r="C5005" s="336"/>
    </row>
    <row r="5006">
      <c r="A5006" s="162"/>
      <c r="B5006" s="162"/>
      <c r="C5006" s="336"/>
    </row>
    <row r="5007">
      <c r="A5007" s="162"/>
      <c r="B5007" s="162"/>
      <c r="C5007" s="336"/>
    </row>
    <row r="5008">
      <c r="A5008" s="162"/>
      <c r="B5008" s="162"/>
      <c r="C5008" s="336"/>
    </row>
    <row r="5009">
      <c r="A5009" s="162"/>
      <c r="B5009" s="162"/>
      <c r="C5009" s="336"/>
    </row>
    <row r="5010">
      <c r="A5010" s="162"/>
      <c r="B5010" s="162"/>
      <c r="C5010" s="336"/>
    </row>
    <row r="5011">
      <c r="A5011" s="162"/>
      <c r="B5011" s="162"/>
      <c r="C5011" s="336"/>
    </row>
    <row r="5012">
      <c r="A5012" s="162"/>
      <c r="B5012" s="162"/>
      <c r="C5012" s="336"/>
    </row>
    <row r="5013">
      <c r="A5013" s="162"/>
      <c r="B5013" s="162"/>
      <c r="C5013" s="336"/>
    </row>
    <row r="5014">
      <c r="A5014" s="162"/>
      <c r="B5014" s="162"/>
      <c r="C5014" s="336"/>
    </row>
    <row r="5015">
      <c r="A5015" s="162"/>
      <c r="B5015" s="162"/>
      <c r="C5015" s="336"/>
    </row>
    <row r="5016">
      <c r="A5016" s="162"/>
      <c r="B5016" s="162"/>
      <c r="C5016" s="336"/>
    </row>
    <row r="5017">
      <c r="A5017" s="162"/>
      <c r="B5017" s="162"/>
      <c r="C5017" s="336"/>
    </row>
    <row r="5018">
      <c r="A5018" s="162"/>
      <c r="B5018" s="162"/>
      <c r="C5018" s="336"/>
    </row>
    <row r="5019">
      <c r="A5019" s="162"/>
      <c r="B5019" s="162"/>
      <c r="C5019" s="336"/>
    </row>
    <row r="5020">
      <c r="A5020" s="162"/>
      <c r="B5020" s="162"/>
      <c r="C5020" s="336"/>
    </row>
    <row r="5021">
      <c r="A5021" s="162"/>
      <c r="B5021" s="162"/>
      <c r="C5021" s="336"/>
    </row>
    <row r="5022">
      <c r="A5022" s="162"/>
      <c r="B5022" s="162"/>
      <c r="C5022" s="336"/>
    </row>
    <row r="5023">
      <c r="A5023" s="162"/>
      <c r="B5023" s="162"/>
      <c r="C5023" s="336"/>
    </row>
    <row r="5024">
      <c r="A5024" s="162"/>
      <c r="B5024" s="162"/>
      <c r="C5024" s="336"/>
    </row>
    <row r="5025">
      <c r="A5025" s="162"/>
      <c r="B5025" s="162"/>
      <c r="C5025" s="336"/>
    </row>
    <row r="5026">
      <c r="A5026" s="162"/>
      <c r="B5026" s="162"/>
      <c r="C5026" s="336"/>
    </row>
    <row r="5027">
      <c r="A5027" s="162"/>
      <c r="B5027" s="162"/>
      <c r="C5027" s="336"/>
    </row>
    <row r="5028">
      <c r="A5028" s="162"/>
      <c r="B5028" s="162"/>
      <c r="C5028" s="336"/>
    </row>
    <row r="5029">
      <c r="A5029" s="162"/>
      <c r="B5029" s="162"/>
      <c r="C5029" s="336"/>
    </row>
    <row r="5030">
      <c r="A5030" s="162"/>
      <c r="B5030" s="162"/>
      <c r="C5030" s="336"/>
    </row>
    <row r="5031">
      <c r="A5031" s="162"/>
      <c r="B5031" s="162"/>
      <c r="C5031" s="336"/>
    </row>
    <row r="5032">
      <c r="A5032" s="162"/>
      <c r="B5032" s="162"/>
      <c r="C5032" s="336"/>
    </row>
    <row r="5033">
      <c r="A5033" s="162"/>
      <c r="B5033" s="162"/>
      <c r="C5033" s="336"/>
    </row>
    <row r="5034">
      <c r="A5034" s="162"/>
      <c r="B5034" s="162"/>
      <c r="C5034" s="336"/>
    </row>
    <row r="5035">
      <c r="A5035" s="162"/>
      <c r="B5035" s="162"/>
      <c r="C5035" s="336"/>
    </row>
    <row r="5036">
      <c r="A5036" s="162"/>
      <c r="B5036" s="162"/>
      <c r="C5036" s="336"/>
    </row>
    <row r="5037">
      <c r="A5037" s="162"/>
      <c r="B5037" s="162"/>
      <c r="C5037" s="336"/>
    </row>
    <row r="5038">
      <c r="A5038" s="162"/>
      <c r="B5038" s="162"/>
      <c r="C5038" s="336"/>
    </row>
    <row r="5039">
      <c r="A5039" s="162"/>
      <c r="B5039" s="162"/>
      <c r="C5039" s="336"/>
    </row>
    <row r="5040">
      <c r="A5040" s="162"/>
      <c r="B5040" s="162"/>
      <c r="C5040" s="336"/>
    </row>
    <row r="5041">
      <c r="A5041" s="162"/>
      <c r="B5041" s="162"/>
      <c r="C5041" s="336"/>
    </row>
    <row r="5042">
      <c r="A5042" s="162"/>
      <c r="B5042" s="162"/>
      <c r="C5042" s="336"/>
    </row>
    <row r="5043">
      <c r="A5043" s="162"/>
      <c r="B5043" s="162"/>
      <c r="C5043" s="336"/>
    </row>
    <row r="5044">
      <c r="A5044" s="162"/>
      <c r="B5044" s="162"/>
      <c r="C5044" s="336"/>
    </row>
    <row r="5045">
      <c r="A5045" s="162"/>
      <c r="B5045" s="162"/>
      <c r="C5045" s="336"/>
    </row>
    <row r="5046">
      <c r="A5046" s="162"/>
      <c r="B5046" s="162"/>
      <c r="C5046" s="336"/>
    </row>
    <row r="5047">
      <c r="A5047" s="162"/>
      <c r="B5047" s="162"/>
      <c r="C5047" s="336"/>
    </row>
    <row r="5048">
      <c r="A5048" s="162"/>
      <c r="B5048" s="162"/>
      <c r="C5048" s="336"/>
    </row>
    <row r="5049">
      <c r="A5049" s="162"/>
      <c r="B5049" s="162"/>
      <c r="C5049" s="336"/>
    </row>
    <row r="5050">
      <c r="A5050" s="162"/>
      <c r="B5050" s="162"/>
      <c r="C5050" s="336"/>
    </row>
    <row r="5051">
      <c r="A5051" s="162"/>
      <c r="B5051" s="162"/>
      <c r="C5051" s="336"/>
    </row>
    <row r="5052">
      <c r="A5052" s="162"/>
      <c r="B5052" s="162"/>
      <c r="C5052" s="336"/>
    </row>
    <row r="5053">
      <c r="A5053" s="162"/>
      <c r="B5053" s="162"/>
      <c r="C5053" s="336"/>
    </row>
    <row r="5054">
      <c r="A5054" s="162"/>
      <c r="B5054" s="162"/>
      <c r="C5054" s="336"/>
    </row>
    <row r="5055">
      <c r="A5055" s="162"/>
      <c r="B5055" s="162"/>
      <c r="C5055" s="336"/>
    </row>
    <row r="5056">
      <c r="A5056" s="162"/>
      <c r="B5056" s="162"/>
      <c r="C5056" s="336"/>
    </row>
    <row r="5057">
      <c r="A5057" s="162"/>
      <c r="B5057" s="162"/>
      <c r="C5057" s="336"/>
    </row>
    <row r="5058">
      <c r="A5058" s="162"/>
      <c r="B5058" s="162"/>
      <c r="C5058" s="336"/>
    </row>
    <row r="5059">
      <c r="A5059" s="162"/>
      <c r="B5059" s="162"/>
      <c r="C5059" s="336"/>
    </row>
    <row r="5060">
      <c r="A5060" s="162"/>
      <c r="B5060" s="162"/>
      <c r="C5060" s="336"/>
    </row>
    <row r="5061">
      <c r="A5061" s="162"/>
      <c r="B5061" s="162"/>
      <c r="C5061" s="336"/>
    </row>
    <row r="5062">
      <c r="A5062" s="162"/>
      <c r="B5062" s="162"/>
      <c r="C5062" s="336"/>
    </row>
    <row r="5063">
      <c r="A5063" s="162"/>
      <c r="B5063" s="162"/>
      <c r="C5063" s="336"/>
    </row>
    <row r="5064">
      <c r="A5064" s="162"/>
      <c r="B5064" s="162"/>
      <c r="C5064" s="336"/>
    </row>
    <row r="5065">
      <c r="A5065" s="162"/>
      <c r="B5065" s="162"/>
      <c r="C5065" s="336"/>
    </row>
    <row r="5066">
      <c r="A5066" s="162"/>
      <c r="B5066" s="162"/>
      <c r="C5066" s="336"/>
    </row>
    <row r="5067">
      <c r="A5067" s="162"/>
      <c r="B5067" s="162"/>
      <c r="C5067" s="336"/>
    </row>
    <row r="5068">
      <c r="A5068" s="162"/>
      <c r="B5068" s="162"/>
      <c r="C5068" s="336"/>
    </row>
    <row r="5069">
      <c r="A5069" s="162"/>
      <c r="B5069" s="162"/>
      <c r="C5069" s="336"/>
    </row>
    <row r="5070">
      <c r="A5070" s="162"/>
      <c r="B5070" s="162"/>
      <c r="C5070" s="336"/>
    </row>
    <row r="5071">
      <c r="A5071" s="162"/>
      <c r="B5071" s="162"/>
      <c r="C5071" s="336"/>
    </row>
    <row r="5072">
      <c r="A5072" s="162"/>
      <c r="B5072" s="162"/>
      <c r="C5072" s="336"/>
    </row>
    <row r="5073">
      <c r="A5073" s="162"/>
      <c r="B5073" s="162"/>
      <c r="C5073" s="336"/>
    </row>
    <row r="5074">
      <c r="A5074" s="162"/>
      <c r="B5074" s="162"/>
      <c r="C5074" s="336"/>
    </row>
    <row r="5075">
      <c r="A5075" s="162"/>
      <c r="B5075" s="162"/>
      <c r="C5075" s="336"/>
    </row>
    <row r="5076">
      <c r="A5076" s="162"/>
      <c r="B5076" s="162"/>
      <c r="C5076" s="336"/>
    </row>
    <row r="5077">
      <c r="A5077" s="162"/>
      <c r="B5077" s="162"/>
      <c r="C5077" s="336"/>
    </row>
    <row r="5078">
      <c r="A5078" s="162"/>
      <c r="B5078" s="162"/>
      <c r="C5078" s="336"/>
    </row>
    <row r="5079">
      <c r="A5079" s="162"/>
      <c r="B5079" s="162"/>
      <c r="C5079" s="336"/>
    </row>
    <row r="5080">
      <c r="A5080" s="162"/>
      <c r="B5080" s="162"/>
      <c r="C5080" s="336"/>
    </row>
    <row r="5081">
      <c r="A5081" s="162"/>
      <c r="B5081" s="162"/>
      <c r="C5081" s="336"/>
    </row>
    <row r="5082">
      <c r="A5082" s="162"/>
      <c r="B5082" s="162"/>
      <c r="C5082" s="336"/>
    </row>
    <row r="5083">
      <c r="A5083" s="162"/>
      <c r="B5083" s="162"/>
      <c r="C5083" s="336"/>
    </row>
    <row r="5084">
      <c r="A5084" s="162"/>
      <c r="B5084" s="162"/>
      <c r="C5084" s="336"/>
    </row>
    <row r="5085">
      <c r="A5085" s="162"/>
      <c r="B5085" s="162"/>
      <c r="C5085" s="336"/>
    </row>
    <row r="5086">
      <c r="A5086" s="162"/>
      <c r="B5086" s="162"/>
      <c r="C5086" s="336"/>
    </row>
    <row r="5087">
      <c r="A5087" s="162"/>
      <c r="B5087" s="162"/>
      <c r="C5087" s="336"/>
    </row>
    <row r="5088">
      <c r="A5088" s="162"/>
      <c r="B5088" s="162"/>
      <c r="C5088" s="336"/>
    </row>
    <row r="5089">
      <c r="A5089" s="162"/>
      <c r="B5089" s="162"/>
      <c r="C5089" s="336"/>
    </row>
    <row r="5090">
      <c r="A5090" s="162"/>
      <c r="B5090" s="162"/>
      <c r="C5090" s="336"/>
    </row>
    <row r="5091">
      <c r="A5091" s="162"/>
      <c r="B5091" s="162"/>
      <c r="C5091" s="336"/>
    </row>
    <row r="5092">
      <c r="A5092" s="162"/>
      <c r="B5092" s="162"/>
      <c r="C5092" s="336"/>
    </row>
    <row r="5093">
      <c r="A5093" s="162"/>
      <c r="B5093" s="162"/>
      <c r="C5093" s="336"/>
    </row>
    <row r="5094">
      <c r="A5094" s="162"/>
      <c r="B5094" s="162"/>
      <c r="C5094" s="336"/>
    </row>
    <row r="5095">
      <c r="A5095" s="162"/>
      <c r="B5095" s="162"/>
      <c r="C5095" s="336"/>
    </row>
    <row r="5096">
      <c r="A5096" s="162"/>
      <c r="B5096" s="162"/>
      <c r="C5096" s="336"/>
    </row>
    <row r="5097">
      <c r="A5097" s="162"/>
      <c r="B5097" s="162"/>
      <c r="C5097" s="336"/>
    </row>
    <row r="5098">
      <c r="A5098" s="162"/>
      <c r="B5098" s="162"/>
      <c r="C5098" s="336"/>
    </row>
    <row r="5099">
      <c r="A5099" s="162"/>
      <c r="B5099" s="162"/>
      <c r="C5099" s="336"/>
    </row>
    <row r="5100">
      <c r="A5100" s="162"/>
      <c r="B5100" s="162"/>
      <c r="C5100" s="336"/>
    </row>
    <row r="5101">
      <c r="A5101" s="162"/>
      <c r="B5101" s="162"/>
      <c r="C5101" s="336"/>
    </row>
    <row r="5102">
      <c r="A5102" s="162"/>
      <c r="B5102" s="162"/>
      <c r="C5102" s="336"/>
    </row>
    <row r="5103">
      <c r="A5103" s="162"/>
      <c r="B5103" s="162"/>
      <c r="C5103" s="336"/>
    </row>
    <row r="5104">
      <c r="A5104" s="162"/>
      <c r="B5104" s="162"/>
      <c r="C5104" s="336"/>
    </row>
    <row r="5105">
      <c r="A5105" s="162"/>
      <c r="B5105" s="162"/>
      <c r="C5105" s="336"/>
    </row>
    <row r="5106">
      <c r="A5106" s="162"/>
      <c r="B5106" s="162"/>
      <c r="C5106" s="336"/>
    </row>
    <row r="5107">
      <c r="A5107" s="162"/>
      <c r="B5107" s="162"/>
      <c r="C5107" s="336"/>
    </row>
    <row r="5108">
      <c r="A5108" s="162"/>
      <c r="B5108" s="162"/>
      <c r="C5108" s="336"/>
    </row>
    <row r="5109">
      <c r="A5109" s="162"/>
      <c r="B5109" s="162"/>
      <c r="C5109" s="336"/>
    </row>
    <row r="5110">
      <c r="A5110" s="162"/>
      <c r="B5110" s="162"/>
      <c r="C5110" s="336"/>
    </row>
    <row r="5111">
      <c r="A5111" s="162"/>
      <c r="B5111" s="162"/>
      <c r="C5111" s="336"/>
    </row>
    <row r="5112">
      <c r="A5112" s="162"/>
      <c r="B5112" s="162"/>
      <c r="C5112" s="336"/>
    </row>
    <row r="5113">
      <c r="A5113" s="162"/>
      <c r="B5113" s="162"/>
      <c r="C5113" s="336"/>
    </row>
    <row r="5114">
      <c r="A5114" s="162"/>
      <c r="B5114" s="162"/>
      <c r="C5114" s="336"/>
    </row>
    <row r="5115">
      <c r="A5115" s="162"/>
      <c r="B5115" s="162"/>
      <c r="C5115" s="336"/>
    </row>
    <row r="5116">
      <c r="A5116" s="162"/>
      <c r="B5116" s="162"/>
      <c r="C5116" s="336"/>
    </row>
    <row r="5117">
      <c r="A5117" s="162"/>
      <c r="B5117" s="162"/>
      <c r="C5117" s="336"/>
    </row>
    <row r="5118">
      <c r="A5118" s="162"/>
      <c r="B5118" s="162"/>
      <c r="C5118" s="336"/>
    </row>
    <row r="5119">
      <c r="A5119" s="162"/>
      <c r="B5119" s="162"/>
      <c r="C5119" s="336"/>
    </row>
    <row r="5120">
      <c r="A5120" s="162"/>
      <c r="B5120" s="162"/>
      <c r="C5120" s="336"/>
    </row>
    <row r="5121">
      <c r="A5121" s="162"/>
      <c r="B5121" s="162"/>
      <c r="C5121" s="336"/>
    </row>
    <row r="5122">
      <c r="A5122" s="162"/>
      <c r="B5122" s="162"/>
      <c r="C5122" s="336"/>
    </row>
    <row r="5123">
      <c r="A5123" s="162"/>
      <c r="B5123" s="162"/>
      <c r="C5123" s="336"/>
    </row>
    <row r="5124">
      <c r="A5124" s="162"/>
      <c r="B5124" s="162"/>
      <c r="C5124" s="336"/>
    </row>
    <row r="5125">
      <c r="A5125" s="162"/>
      <c r="B5125" s="162"/>
      <c r="C5125" s="336"/>
    </row>
    <row r="5126">
      <c r="A5126" s="162"/>
      <c r="B5126" s="162"/>
      <c r="C5126" s="336"/>
    </row>
    <row r="5127">
      <c r="A5127" s="162"/>
      <c r="B5127" s="162"/>
      <c r="C5127" s="336"/>
    </row>
    <row r="5128">
      <c r="A5128" s="162"/>
      <c r="B5128" s="162"/>
      <c r="C5128" s="336"/>
    </row>
    <row r="5129">
      <c r="A5129" s="162"/>
      <c r="B5129" s="162"/>
      <c r="C5129" s="336"/>
    </row>
    <row r="5130">
      <c r="A5130" s="162"/>
      <c r="B5130" s="162"/>
      <c r="C5130" s="336"/>
    </row>
    <row r="5131">
      <c r="A5131" s="162"/>
      <c r="B5131" s="162"/>
      <c r="C5131" s="336"/>
    </row>
    <row r="5132">
      <c r="A5132" s="162"/>
      <c r="B5132" s="162"/>
      <c r="C5132" s="336"/>
    </row>
    <row r="5133">
      <c r="A5133" s="162"/>
      <c r="B5133" s="162"/>
      <c r="C5133" s="336"/>
    </row>
    <row r="5134">
      <c r="A5134" s="162"/>
      <c r="B5134" s="162"/>
      <c r="C5134" s="336"/>
    </row>
    <row r="5135">
      <c r="A5135" s="162"/>
      <c r="B5135" s="162"/>
      <c r="C5135" s="336"/>
    </row>
    <row r="5136">
      <c r="A5136" s="162"/>
      <c r="B5136" s="162"/>
      <c r="C5136" s="336"/>
    </row>
    <row r="5137">
      <c r="A5137" s="162"/>
      <c r="B5137" s="162"/>
      <c r="C5137" s="336"/>
    </row>
    <row r="5138">
      <c r="A5138" s="162"/>
      <c r="B5138" s="162"/>
      <c r="C5138" s="336"/>
    </row>
    <row r="5139">
      <c r="A5139" s="162"/>
      <c r="B5139" s="162"/>
      <c r="C5139" s="336"/>
    </row>
    <row r="5140">
      <c r="A5140" s="162"/>
      <c r="B5140" s="162"/>
      <c r="C5140" s="336"/>
    </row>
    <row r="5141">
      <c r="A5141" s="162"/>
      <c r="B5141" s="162"/>
      <c r="C5141" s="336"/>
    </row>
    <row r="5142">
      <c r="A5142" s="162"/>
      <c r="B5142" s="162"/>
      <c r="C5142" s="336"/>
    </row>
    <row r="5143">
      <c r="A5143" s="162"/>
      <c r="B5143" s="162"/>
      <c r="C5143" s="336"/>
    </row>
    <row r="5144">
      <c r="A5144" s="162"/>
      <c r="B5144" s="162"/>
      <c r="C5144" s="336"/>
    </row>
    <row r="5145">
      <c r="A5145" s="162"/>
      <c r="B5145" s="162"/>
      <c r="C5145" s="336"/>
    </row>
    <row r="5146">
      <c r="A5146" s="162"/>
      <c r="B5146" s="162"/>
      <c r="C5146" s="336"/>
    </row>
    <row r="5147">
      <c r="A5147" s="162"/>
      <c r="B5147" s="162"/>
      <c r="C5147" s="336"/>
    </row>
    <row r="5148">
      <c r="A5148" s="162"/>
      <c r="B5148" s="162"/>
      <c r="C5148" s="336"/>
    </row>
    <row r="5149">
      <c r="A5149" s="162"/>
      <c r="B5149" s="162"/>
      <c r="C5149" s="336"/>
    </row>
    <row r="5150">
      <c r="A5150" s="162"/>
      <c r="B5150" s="162"/>
      <c r="C5150" s="336"/>
    </row>
    <row r="5151">
      <c r="A5151" s="162"/>
      <c r="B5151" s="162"/>
      <c r="C5151" s="336"/>
    </row>
    <row r="5152">
      <c r="A5152" s="162"/>
      <c r="B5152" s="162"/>
      <c r="C5152" s="336"/>
    </row>
    <row r="5153">
      <c r="A5153" s="162"/>
      <c r="B5153" s="162"/>
      <c r="C5153" s="336"/>
    </row>
    <row r="5154">
      <c r="A5154" s="162"/>
      <c r="B5154" s="162"/>
      <c r="C5154" s="336"/>
    </row>
    <row r="5155">
      <c r="A5155" s="162"/>
      <c r="B5155" s="162"/>
      <c r="C5155" s="336"/>
    </row>
    <row r="5156">
      <c r="A5156" s="162"/>
      <c r="B5156" s="162"/>
      <c r="C5156" s="336"/>
    </row>
    <row r="5157">
      <c r="A5157" s="162"/>
      <c r="B5157" s="162"/>
      <c r="C5157" s="336"/>
    </row>
    <row r="5158">
      <c r="A5158" s="162"/>
      <c r="B5158" s="162"/>
      <c r="C5158" s="336"/>
    </row>
    <row r="5159">
      <c r="A5159" s="162"/>
      <c r="B5159" s="162"/>
      <c r="C5159" s="336"/>
    </row>
    <row r="5160">
      <c r="A5160" s="162"/>
      <c r="B5160" s="162"/>
      <c r="C5160" s="336"/>
    </row>
    <row r="5161">
      <c r="A5161" s="162"/>
      <c r="B5161" s="162"/>
      <c r="C5161" s="336"/>
    </row>
    <row r="5162">
      <c r="A5162" s="162"/>
      <c r="B5162" s="162"/>
      <c r="C5162" s="336"/>
    </row>
    <row r="5163">
      <c r="A5163" s="162"/>
      <c r="B5163" s="162"/>
      <c r="C5163" s="336"/>
    </row>
    <row r="5164">
      <c r="A5164" s="162"/>
      <c r="B5164" s="162"/>
      <c r="C5164" s="336"/>
    </row>
    <row r="5165">
      <c r="A5165" s="162"/>
      <c r="B5165" s="162"/>
      <c r="C5165" s="336"/>
    </row>
    <row r="5166">
      <c r="A5166" s="162"/>
      <c r="B5166" s="162"/>
      <c r="C5166" s="336"/>
    </row>
    <row r="5167">
      <c r="A5167" s="162"/>
      <c r="B5167" s="162"/>
      <c r="C5167" s="336"/>
    </row>
    <row r="5168">
      <c r="A5168" s="162"/>
      <c r="B5168" s="162"/>
      <c r="C5168" s="336"/>
    </row>
    <row r="5169">
      <c r="A5169" s="162"/>
      <c r="B5169" s="162"/>
      <c r="C5169" s="336"/>
    </row>
    <row r="5170">
      <c r="A5170" s="162"/>
      <c r="B5170" s="162"/>
      <c r="C5170" s="336"/>
    </row>
    <row r="5171">
      <c r="A5171" s="162"/>
      <c r="B5171" s="162"/>
      <c r="C5171" s="336"/>
    </row>
    <row r="5172">
      <c r="A5172" s="162"/>
      <c r="B5172" s="162"/>
      <c r="C5172" s="336"/>
    </row>
    <row r="5173">
      <c r="A5173" s="162"/>
      <c r="B5173" s="162"/>
      <c r="C5173" s="336"/>
    </row>
    <row r="5174">
      <c r="A5174" s="162"/>
      <c r="B5174" s="162"/>
      <c r="C5174" s="336"/>
    </row>
    <row r="5175">
      <c r="A5175" s="162"/>
      <c r="B5175" s="162"/>
      <c r="C5175" s="336"/>
    </row>
    <row r="5176">
      <c r="A5176" s="162"/>
      <c r="B5176" s="162"/>
      <c r="C5176" s="336"/>
    </row>
    <row r="5177">
      <c r="A5177" s="162"/>
      <c r="B5177" s="162"/>
      <c r="C5177" s="336"/>
    </row>
    <row r="5178">
      <c r="A5178" s="162"/>
      <c r="B5178" s="162"/>
      <c r="C5178" s="336"/>
    </row>
    <row r="5179">
      <c r="A5179" s="162"/>
      <c r="B5179" s="162"/>
      <c r="C5179" s="336"/>
    </row>
    <row r="5180">
      <c r="A5180" s="162"/>
      <c r="B5180" s="162"/>
      <c r="C5180" s="336"/>
    </row>
    <row r="5181">
      <c r="A5181" s="162"/>
      <c r="B5181" s="162"/>
      <c r="C5181" s="336"/>
    </row>
    <row r="5182">
      <c r="A5182" s="162"/>
      <c r="B5182" s="162"/>
      <c r="C5182" s="336"/>
    </row>
    <row r="5183">
      <c r="A5183" s="162"/>
      <c r="B5183" s="162"/>
      <c r="C5183" s="336"/>
    </row>
    <row r="5184">
      <c r="A5184" s="162"/>
      <c r="B5184" s="162"/>
      <c r="C5184" s="336"/>
    </row>
    <row r="5185">
      <c r="A5185" s="162"/>
      <c r="B5185" s="162"/>
      <c r="C5185" s="336"/>
    </row>
    <row r="5186">
      <c r="A5186" s="162"/>
      <c r="B5186" s="162"/>
      <c r="C5186" s="336"/>
    </row>
    <row r="5187">
      <c r="A5187" s="162"/>
      <c r="B5187" s="162"/>
      <c r="C5187" s="336"/>
    </row>
    <row r="5188">
      <c r="A5188" s="162"/>
      <c r="B5188" s="162"/>
      <c r="C5188" s="336"/>
    </row>
    <row r="5189">
      <c r="A5189" s="162"/>
      <c r="B5189" s="162"/>
      <c r="C5189" s="336"/>
    </row>
    <row r="5190">
      <c r="A5190" s="162"/>
      <c r="B5190" s="162"/>
      <c r="C5190" s="336"/>
    </row>
    <row r="5191">
      <c r="A5191" s="162"/>
      <c r="B5191" s="162"/>
      <c r="C5191" s="336"/>
    </row>
    <row r="5192">
      <c r="A5192" s="162"/>
      <c r="B5192" s="162"/>
      <c r="C5192" s="336"/>
    </row>
    <row r="5193">
      <c r="A5193" s="162"/>
      <c r="B5193" s="162"/>
      <c r="C5193" s="336"/>
    </row>
    <row r="5194">
      <c r="A5194" s="162"/>
      <c r="B5194" s="162"/>
      <c r="C5194" s="336"/>
    </row>
    <row r="5195">
      <c r="A5195" s="162"/>
      <c r="B5195" s="162"/>
      <c r="C5195" s="336"/>
    </row>
    <row r="5196">
      <c r="A5196" s="162"/>
      <c r="B5196" s="162"/>
      <c r="C5196" s="336"/>
    </row>
    <row r="5197">
      <c r="A5197" s="162"/>
      <c r="B5197" s="162"/>
      <c r="C5197" s="336"/>
    </row>
    <row r="5198">
      <c r="A5198" s="162"/>
      <c r="B5198" s="162"/>
      <c r="C5198" s="336"/>
    </row>
    <row r="5199">
      <c r="A5199" s="162"/>
      <c r="B5199" s="162"/>
      <c r="C5199" s="336"/>
    </row>
    <row r="5200">
      <c r="A5200" s="162"/>
      <c r="B5200" s="162"/>
      <c r="C5200" s="336"/>
    </row>
    <row r="5201">
      <c r="A5201" s="162"/>
      <c r="B5201" s="162"/>
      <c r="C5201" s="336"/>
    </row>
    <row r="5202">
      <c r="A5202" s="162"/>
      <c r="B5202" s="162"/>
      <c r="C5202" s="336"/>
    </row>
    <row r="5203">
      <c r="A5203" s="162"/>
      <c r="B5203" s="162"/>
      <c r="C5203" s="336"/>
    </row>
    <row r="5204">
      <c r="A5204" s="162"/>
      <c r="B5204" s="162"/>
      <c r="C5204" s="336"/>
    </row>
    <row r="5205">
      <c r="A5205" s="162"/>
      <c r="B5205" s="162"/>
      <c r="C5205" s="336"/>
    </row>
    <row r="5206">
      <c r="A5206" s="162"/>
      <c r="B5206" s="162"/>
      <c r="C5206" s="336"/>
    </row>
    <row r="5207">
      <c r="A5207" s="162"/>
      <c r="B5207" s="162"/>
      <c r="C5207" s="336"/>
    </row>
    <row r="5208">
      <c r="A5208" s="162"/>
      <c r="B5208" s="162"/>
      <c r="C5208" s="336"/>
    </row>
    <row r="5209">
      <c r="A5209" s="162"/>
      <c r="B5209" s="162"/>
      <c r="C5209" s="336"/>
    </row>
    <row r="5210">
      <c r="A5210" s="162"/>
      <c r="B5210" s="162"/>
      <c r="C5210" s="336"/>
    </row>
    <row r="5211">
      <c r="A5211" s="162"/>
      <c r="B5211" s="162"/>
      <c r="C5211" s="336"/>
    </row>
    <row r="5212">
      <c r="A5212" s="162"/>
      <c r="B5212" s="162"/>
      <c r="C5212" s="336"/>
    </row>
    <row r="5213">
      <c r="A5213" s="162"/>
      <c r="B5213" s="162"/>
      <c r="C5213" s="336"/>
    </row>
    <row r="5214">
      <c r="A5214" s="162"/>
      <c r="B5214" s="162"/>
      <c r="C5214" s="336"/>
    </row>
    <row r="5215">
      <c r="A5215" s="162"/>
      <c r="B5215" s="162"/>
      <c r="C5215" s="336"/>
    </row>
    <row r="5216">
      <c r="A5216" s="162"/>
      <c r="B5216" s="162"/>
      <c r="C5216" s="336"/>
    </row>
    <row r="5217">
      <c r="A5217" s="162"/>
      <c r="B5217" s="162"/>
      <c r="C5217" s="336"/>
    </row>
    <row r="5218">
      <c r="A5218" s="162"/>
      <c r="B5218" s="162"/>
      <c r="C5218" s="336"/>
    </row>
    <row r="5219">
      <c r="A5219" s="162"/>
      <c r="B5219" s="162"/>
      <c r="C5219" s="336"/>
    </row>
    <row r="5220">
      <c r="A5220" s="162"/>
      <c r="B5220" s="162"/>
      <c r="C5220" s="336"/>
    </row>
    <row r="5221">
      <c r="A5221" s="162"/>
      <c r="B5221" s="162"/>
      <c r="C5221" s="336"/>
    </row>
    <row r="5222">
      <c r="A5222" s="162"/>
      <c r="B5222" s="162"/>
      <c r="C5222" s="336"/>
    </row>
    <row r="5223">
      <c r="A5223" s="162"/>
      <c r="B5223" s="162"/>
      <c r="C5223" s="336"/>
    </row>
    <row r="5224">
      <c r="A5224" s="162"/>
      <c r="B5224" s="162"/>
      <c r="C5224" s="336"/>
    </row>
    <row r="5225">
      <c r="A5225" s="162"/>
      <c r="B5225" s="162"/>
      <c r="C5225" s="336"/>
    </row>
    <row r="5226">
      <c r="A5226" s="162"/>
      <c r="B5226" s="162"/>
      <c r="C5226" s="336"/>
    </row>
    <row r="5227">
      <c r="A5227" s="162"/>
      <c r="B5227" s="162"/>
      <c r="C5227" s="336"/>
    </row>
    <row r="5228">
      <c r="A5228" s="162"/>
      <c r="B5228" s="162"/>
      <c r="C5228" s="336"/>
    </row>
    <row r="5229">
      <c r="A5229" s="162"/>
      <c r="B5229" s="162"/>
      <c r="C5229" s="336"/>
    </row>
    <row r="5230">
      <c r="A5230" s="162"/>
      <c r="B5230" s="162"/>
      <c r="C5230" s="336"/>
    </row>
    <row r="5231">
      <c r="A5231" s="162"/>
      <c r="B5231" s="162"/>
      <c r="C5231" s="336"/>
    </row>
    <row r="5232">
      <c r="A5232" s="162"/>
      <c r="B5232" s="162"/>
      <c r="C5232" s="336"/>
    </row>
    <row r="5233">
      <c r="A5233" s="162"/>
      <c r="B5233" s="162"/>
      <c r="C5233" s="336"/>
    </row>
    <row r="5234">
      <c r="A5234" s="162"/>
      <c r="B5234" s="162"/>
      <c r="C5234" s="336"/>
    </row>
    <row r="5235">
      <c r="A5235" s="162"/>
      <c r="B5235" s="162"/>
      <c r="C5235" s="336"/>
    </row>
    <row r="5236">
      <c r="A5236" s="162"/>
      <c r="B5236" s="162"/>
      <c r="C5236" s="336"/>
    </row>
    <row r="5237">
      <c r="A5237" s="162"/>
      <c r="B5237" s="162"/>
      <c r="C5237" s="336"/>
    </row>
    <row r="5238">
      <c r="A5238" s="162"/>
      <c r="B5238" s="162"/>
      <c r="C5238" s="336"/>
    </row>
    <row r="5239">
      <c r="A5239" s="162"/>
      <c r="B5239" s="162"/>
      <c r="C5239" s="336"/>
    </row>
    <row r="5240">
      <c r="A5240" s="162"/>
      <c r="B5240" s="162"/>
      <c r="C5240" s="336"/>
    </row>
    <row r="5241">
      <c r="A5241" s="162"/>
      <c r="B5241" s="162"/>
      <c r="C5241" s="336"/>
    </row>
    <row r="5242">
      <c r="A5242" s="162"/>
      <c r="B5242" s="162"/>
      <c r="C5242" s="336"/>
    </row>
    <row r="5243">
      <c r="A5243" s="162"/>
      <c r="B5243" s="162"/>
      <c r="C5243" s="336"/>
    </row>
    <row r="5244">
      <c r="A5244" s="162"/>
      <c r="B5244" s="162"/>
      <c r="C5244" s="336"/>
    </row>
    <row r="5245">
      <c r="A5245" s="162"/>
      <c r="B5245" s="162"/>
      <c r="C5245" s="336"/>
    </row>
    <row r="5246">
      <c r="A5246" s="162"/>
      <c r="B5246" s="162"/>
      <c r="C5246" s="336"/>
    </row>
    <row r="5247">
      <c r="A5247" s="162"/>
      <c r="B5247" s="162"/>
      <c r="C5247" s="336"/>
    </row>
    <row r="5248">
      <c r="A5248" s="162"/>
      <c r="B5248" s="162"/>
      <c r="C5248" s="336"/>
    </row>
    <row r="5249">
      <c r="A5249" s="162"/>
      <c r="B5249" s="162"/>
      <c r="C5249" s="336"/>
    </row>
    <row r="5250">
      <c r="A5250" s="162"/>
      <c r="B5250" s="162"/>
      <c r="C5250" s="336"/>
    </row>
    <row r="5251">
      <c r="A5251" s="162"/>
      <c r="B5251" s="162"/>
      <c r="C5251" s="336"/>
    </row>
    <row r="5252">
      <c r="A5252" s="162"/>
      <c r="B5252" s="162"/>
      <c r="C5252" s="336"/>
    </row>
    <row r="5253">
      <c r="A5253" s="162"/>
      <c r="B5253" s="162"/>
      <c r="C5253" s="336"/>
    </row>
    <row r="5254">
      <c r="A5254" s="162"/>
      <c r="B5254" s="162"/>
      <c r="C5254" s="336"/>
    </row>
    <row r="5255">
      <c r="A5255" s="162"/>
      <c r="B5255" s="162"/>
      <c r="C5255" s="336"/>
    </row>
    <row r="5256">
      <c r="A5256" s="162"/>
      <c r="B5256" s="162"/>
      <c r="C5256" s="336"/>
    </row>
    <row r="5257">
      <c r="A5257" s="162"/>
      <c r="B5257" s="162"/>
      <c r="C5257" s="336"/>
    </row>
    <row r="5258">
      <c r="A5258" s="162"/>
      <c r="B5258" s="162"/>
      <c r="C5258" s="336"/>
    </row>
    <row r="5259">
      <c r="A5259" s="162"/>
      <c r="B5259" s="162"/>
      <c r="C5259" s="336"/>
    </row>
    <row r="5260">
      <c r="A5260" s="162"/>
      <c r="B5260" s="162"/>
      <c r="C5260" s="336"/>
    </row>
    <row r="5261">
      <c r="A5261" s="162"/>
      <c r="B5261" s="162"/>
      <c r="C5261" s="336"/>
    </row>
    <row r="5262">
      <c r="A5262" s="162"/>
      <c r="B5262" s="162"/>
      <c r="C5262" s="336"/>
    </row>
    <row r="5263">
      <c r="A5263" s="162"/>
      <c r="B5263" s="162"/>
      <c r="C5263" s="336"/>
    </row>
    <row r="5264">
      <c r="A5264" s="162"/>
      <c r="B5264" s="162"/>
      <c r="C5264" s="336"/>
    </row>
    <row r="5265">
      <c r="A5265" s="162"/>
      <c r="B5265" s="162"/>
      <c r="C5265" s="336"/>
    </row>
    <row r="5266">
      <c r="A5266" s="162"/>
      <c r="B5266" s="162"/>
      <c r="C5266" s="336"/>
    </row>
    <row r="5267">
      <c r="A5267" s="162"/>
      <c r="B5267" s="162"/>
      <c r="C5267" s="336"/>
    </row>
    <row r="5268">
      <c r="A5268" s="162"/>
      <c r="B5268" s="162"/>
      <c r="C5268" s="336"/>
    </row>
    <row r="5269">
      <c r="A5269" s="162"/>
      <c r="B5269" s="162"/>
      <c r="C5269" s="336"/>
    </row>
    <row r="5270">
      <c r="A5270" s="162"/>
      <c r="B5270" s="162"/>
      <c r="C5270" s="336"/>
    </row>
    <row r="5271">
      <c r="A5271" s="162"/>
      <c r="B5271" s="162"/>
      <c r="C5271" s="336"/>
    </row>
    <row r="5272">
      <c r="A5272" s="162"/>
      <c r="B5272" s="162"/>
      <c r="C5272" s="336"/>
    </row>
    <row r="5273">
      <c r="A5273" s="162"/>
      <c r="B5273" s="162"/>
      <c r="C5273" s="336"/>
    </row>
    <row r="5274">
      <c r="A5274" s="162"/>
      <c r="B5274" s="162"/>
      <c r="C5274" s="336"/>
    </row>
    <row r="5275">
      <c r="A5275" s="162"/>
      <c r="B5275" s="162"/>
      <c r="C5275" s="336"/>
    </row>
    <row r="5276">
      <c r="A5276" s="162"/>
      <c r="B5276" s="162"/>
      <c r="C5276" s="336"/>
    </row>
    <row r="5277">
      <c r="A5277" s="162"/>
      <c r="B5277" s="162"/>
      <c r="C5277" s="336"/>
    </row>
    <row r="5278">
      <c r="A5278" s="162"/>
      <c r="B5278" s="162"/>
      <c r="C5278" s="336"/>
    </row>
    <row r="5279">
      <c r="A5279" s="162"/>
      <c r="B5279" s="162"/>
      <c r="C5279" s="336"/>
    </row>
    <row r="5280">
      <c r="A5280" s="162"/>
      <c r="B5280" s="162"/>
      <c r="C5280" s="336"/>
    </row>
    <row r="5281">
      <c r="A5281" s="162"/>
      <c r="B5281" s="162"/>
      <c r="C5281" s="336"/>
    </row>
    <row r="5282">
      <c r="A5282" s="162"/>
      <c r="B5282" s="162"/>
      <c r="C5282" s="336"/>
    </row>
    <row r="5283">
      <c r="A5283" s="162"/>
      <c r="B5283" s="162"/>
      <c r="C5283" s="336"/>
    </row>
    <row r="5284">
      <c r="A5284" s="162"/>
      <c r="B5284" s="162"/>
      <c r="C5284" s="336"/>
    </row>
    <row r="5285">
      <c r="A5285" s="162"/>
      <c r="B5285" s="162"/>
      <c r="C5285" s="336"/>
    </row>
    <row r="5286">
      <c r="A5286" s="162"/>
      <c r="B5286" s="162"/>
      <c r="C5286" s="336"/>
    </row>
    <row r="5287">
      <c r="A5287" s="162"/>
      <c r="B5287" s="162"/>
      <c r="C5287" s="336"/>
    </row>
    <row r="5288">
      <c r="A5288" s="162"/>
      <c r="B5288" s="162"/>
      <c r="C5288" s="336"/>
    </row>
    <row r="5289">
      <c r="A5289" s="162"/>
      <c r="B5289" s="162"/>
      <c r="C5289" s="336"/>
    </row>
    <row r="5290">
      <c r="A5290" s="162"/>
      <c r="B5290" s="162"/>
      <c r="C5290" s="336"/>
    </row>
    <row r="5291">
      <c r="A5291" s="162"/>
      <c r="B5291" s="162"/>
      <c r="C5291" s="336"/>
    </row>
    <row r="5292">
      <c r="A5292" s="162"/>
      <c r="B5292" s="162"/>
      <c r="C5292" s="336"/>
    </row>
    <row r="5293">
      <c r="A5293" s="162"/>
      <c r="B5293" s="162"/>
      <c r="C5293" s="336"/>
    </row>
    <row r="5294">
      <c r="A5294" s="162"/>
      <c r="B5294" s="162"/>
      <c r="C5294" s="336"/>
    </row>
    <row r="5295">
      <c r="A5295" s="162"/>
      <c r="B5295" s="162"/>
      <c r="C5295" s="336"/>
    </row>
    <row r="5296">
      <c r="A5296" s="162"/>
      <c r="B5296" s="162"/>
      <c r="C5296" s="336"/>
    </row>
    <row r="5297">
      <c r="A5297" s="162"/>
      <c r="B5297" s="162"/>
      <c r="C5297" s="336"/>
    </row>
    <row r="5298">
      <c r="A5298" s="162"/>
      <c r="B5298" s="162"/>
      <c r="C5298" s="336"/>
    </row>
    <row r="5299">
      <c r="A5299" s="162"/>
      <c r="B5299" s="162"/>
      <c r="C5299" s="336"/>
    </row>
    <row r="5300">
      <c r="A5300" s="162"/>
      <c r="B5300" s="162"/>
      <c r="C5300" s="336"/>
    </row>
    <row r="5301">
      <c r="A5301" s="162"/>
      <c r="B5301" s="162"/>
      <c r="C5301" s="336"/>
    </row>
    <row r="5302">
      <c r="A5302" s="162"/>
      <c r="B5302" s="162"/>
      <c r="C5302" s="336"/>
    </row>
    <row r="5303">
      <c r="A5303" s="162"/>
      <c r="B5303" s="162"/>
      <c r="C5303" s="336"/>
    </row>
    <row r="5304">
      <c r="A5304" s="162"/>
      <c r="B5304" s="162"/>
      <c r="C5304" s="336"/>
    </row>
    <row r="5305">
      <c r="A5305" s="162"/>
      <c r="B5305" s="162"/>
      <c r="C5305" s="336"/>
    </row>
    <row r="5306">
      <c r="A5306" s="162"/>
      <c r="B5306" s="162"/>
      <c r="C5306" s="336"/>
    </row>
    <row r="5307">
      <c r="A5307" s="162"/>
      <c r="B5307" s="162"/>
      <c r="C5307" s="336"/>
    </row>
    <row r="5308">
      <c r="A5308" s="162"/>
      <c r="B5308" s="162"/>
      <c r="C5308" s="336"/>
    </row>
    <row r="5309">
      <c r="A5309" s="162"/>
      <c r="B5309" s="162"/>
      <c r="C5309" s="336"/>
    </row>
    <row r="5310">
      <c r="A5310" s="162"/>
      <c r="B5310" s="162"/>
      <c r="C5310" s="336"/>
    </row>
    <row r="5311">
      <c r="A5311" s="162"/>
      <c r="B5311" s="162"/>
      <c r="C5311" s="336"/>
    </row>
    <row r="5312">
      <c r="A5312" s="162"/>
      <c r="B5312" s="162"/>
      <c r="C5312" s="336"/>
    </row>
    <row r="5313">
      <c r="A5313" s="162"/>
      <c r="B5313" s="162"/>
      <c r="C5313" s="336"/>
    </row>
    <row r="5314">
      <c r="A5314" s="162"/>
      <c r="B5314" s="162"/>
      <c r="C5314" s="336"/>
    </row>
    <row r="5315">
      <c r="A5315" s="162"/>
      <c r="B5315" s="162"/>
      <c r="C5315" s="336"/>
    </row>
    <row r="5316">
      <c r="A5316" s="162"/>
      <c r="B5316" s="162"/>
      <c r="C5316" s="336"/>
    </row>
    <row r="5317">
      <c r="A5317" s="162"/>
      <c r="B5317" s="162"/>
      <c r="C5317" s="336"/>
    </row>
    <row r="5318">
      <c r="A5318" s="162"/>
      <c r="B5318" s="162"/>
      <c r="C5318" s="336"/>
    </row>
    <row r="5319">
      <c r="A5319" s="162"/>
      <c r="B5319" s="162"/>
      <c r="C5319" s="336"/>
    </row>
    <row r="5320">
      <c r="A5320" s="162"/>
      <c r="B5320" s="162"/>
      <c r="C5320" s="336"/>
    </row>
    <row r="5321">
      <c r="A5321" s="162"/>
      <c r="B5321" s="162"/>
      <c r="C5321" s="336"/>
    </row>
    <row r="5322">
      <c r="A5322" s="162"/>
      <c r="B5322" s="162"/>
      <c r="C5322" s="336"/>
    </row>
    <row r="5323">
      <c r="A5323" s="162"/>
      <c r="B5323" s="162"/>
      <c r="C5323" s="336"/>
    </row>
    <row r="5324">
      <c r="A5324" s="162"/>
      <c r="B5324" s="162"/>
      <c r="C5324" s="336"/>
    </row>
    <row r="5325">
      <c r="A5325" s="162"/>
      <c r="B5325" s="162"/>
      <c r="C5325" s="336"/>
    </row>
    <row r="5326">
      <c r="A5326" s="162"/>
      <c r="B5326" s="162"/>
      <c r="C5326" s="336"/>
    </row>
    <row r="5327">
      <c r="A5327" s="162"/>
      <c r="B5327" s="162"/>
      <c r="C5327" s="336"/>
    </row>
    <row r="5328">
      <c r="A5328" s="162"/>
      <c r="B5328" s="162"/>
      <c r="C5328" s="336"/>
    </row>
    <row r="5329">
      <c r="A5329" s="162"/>
      <c r="B5329" s="162"/>
      <c r="C5329" s="336"/>
    </row>
    <row r="5330">
      <c r="A5330" s="162"/>
      <c r="B5330" s="162"/>
      <c r="C5330" s="336"/>
    </row>
    <row r="5331">
      <c r="A5331" s="162"/>
      <c r="B5331" s="162"/>
      <c r="C5331" s="336"/>
    </row>
    <row r="5332">
      <c r="A5332" s="162"/>
      <c r="B5332" s="162"/>
      <c r="C5332" s="336"/>
    </row>
    <row r="5333">
      <c r="A5333" s="162"/>
      <c r="B5333" s="162"/>
      <c r="C5333" s="336"/>
    </row>
    <row r="5334">
      <c r="A5334" s="162"/>
      <c r="B5334" s="162"/>
      <c r="C5334" s="336"/>
    </row>
    <row r="5335">
      <c r="A5335" s="162"/>
      <c r="B5335" s="162"/>
      <c r="C5335" s="336"/>
    </row>
    <row r="5336">
      <c r="A5336" s="162"/>
      <c r="B5336" s="162"/>
      <c r="C5336" s="336"/>
    </row>
    <row r="5337">
      <c r="A5337" s="162"/>
      <c r="B5337" s="162"/>
      <c r="C5337" s="336"/>
    </row>
    <row r="5338">
      <c r="A5338" s="162"/>
      <c r="B5338" s="162"/>
      <c r="C5338" s="336"/>
    </row>
    <row r="5339">
      <c r="A5339" s="162"/>
      <c r="B5339" s="162"/>
      <c r="C5339" s="336"/>
    </row>
    <row r="5340">
      <c r="A5340" s="162"/>
      <c r="B5340" s="162"/>
      <c r="C5340" s="336"/>
    </row>
    <row r="5341">
      <c r="A5341" s="162"/>
      <c r="B5341" s="162"/>
      <c r="C5341" s="336"/>
    </row>
    <row r="5342">
      <c r="A5342" s="162"/>
      <c r="B5342" s="162"/>
      <c r="C5342" s="336"/>
    </row>
    <row r="5343">
      <c r="A5343" s="162"/>
      <c r="B5343" s="162"/>
      <c r="C5343" s="336"/>
    </row>
    <row r="5344">
      <c r="A5344" s="162"/>
      <c r="B5344" s="162"/>
      <c r="C5344" s="336"/>
    </row>
    <row r="5345">
      <c r="A5345" s="162"/>
      <c r="B5345" s="162"/>
      <c r="C5345" s="336"/>
    </row>
    <row r="5346">
      <c r="A5346" s="162"/>
      <c r="B5346" s="162"/>
      <c r="C5346" s="336"/>
    </row>
    <row r="5347">
      <c r="A5347" s="162"/>
      <c r="B5347" s="162"/>
      <c r="C5347" s="336"/>
    </row>
    <row r="5348">
      <c r="A5348" s="162"/>
      <c r="B5348" s="162"/>
      <c r="C5348" s="336"/>
    </row>
    <row r="5349">
      <c r="A5349" s="162"/>
      <c r="B5349" s="162"/>
      <c r="C5349" s="336"/>
    </row>
    <row r="5350">
      <c r="A5350" s="162"/>
      <c r="B5350" s="162"/>
      <c r="C5350" s="336"/>
    </row>
    <row r="5351">
      <c r="A5351" s="162"/>
      <c r="B5351" s="162"/>
      <c r="C5351" s="336"/>
    </row>
    <row r="5352">
      <c r="A5352" s="162"/>
      <c r="B5352" s="162"/>
      <c r="C5352" s="336"/>
    </row>
    <row r="5353">
      <c r="A5353" s="162"/>
      <c r="B5353" s="162"/>
      <c r="C5353" s="336"/>
    </row>
    <row r="5354">
      <c r="A5354" s="162"/>
      <c r="B5354" s="162"/>
      <c r="C5354" s="336"/>
    </row>
    <row r="5355">
      <c r="A5355" s="162"/>
      <c r="B5355" s="162"/>
      <c r="C5355" s="336"/>
    </row>
    <row r="5356">
      <c r="A5356" s="162"/>
      <c r="B5356" s="162"/>
      <c r="C5356" s="336"/>
    </row>
    <row r="5357">
      <c r="A5357" s="162"/>
      <c r="B5357" s="162"/>
      <c r="C5357" s="336"/>
    </row>
    <row r="5358">
      <c r="A5358" s="162"/>
      <c r="B5358" s="162"/>
      <c r="C5358" s="336"/>
    </row>
    <row r="5359">
      <c r="A5359" s="162"/>
      <c r="B5359" s="162"/>
      <c r="C5359" s="336"/>
    </row>
    <row r="5360">
      <c r="A5360" s="162"/>
      <c r="B5360" s="162"/>
      <c r="C5360" s="336"/>
    </row>
    <row r="5361">
      <c r="A5361" s="162"/>
      <c r="B5361" s="162"/>
      <c r="C5361" s="336"/>
    </row>
    <row r="5362">
      <c r="A5362" s="162"/>
      <c r="B5362" s="162"/>
      <c r="C5362" s="336"/>
    </row>
    <row r="5363">
      <c r="A5363" s="162"/>
      <c r="B5363" s="162"/>
      <c r="C5363" s="336"/>
    </row>
    <row r="5364">
      <c r="A5364" s="162"/>
      <c r="B5364" s="162"/>
      <c r="C5364" s="336"/>
    </row>
    <row r="5365">
      <c r="A5365" s="162"/>
      <c r="B5365" s="162"/>
      <c r="C5365" s="336"/>
    </row>
    <row r="5366">
      <c r="A5366" s="162"/>
      <c r="B5366" s="162"/>
      <c r="C5366" s="336"/>
    </row>
    <row r="5367">
      <c r="A5367" s="162"/>
      <c r="B5367" s="162"/>
      <c r="C5367" s="336"/>
    </row>
    <row r="5368">
      <c r="A5368" s="162"/>
      <c r="B5368" s="162"/>
      <c r="C5368" s="336"/>
    </row>
    <row r="5369">
      <c r="A5369" s="162"/>
      <c r="B5369" s="162"/>
      <c r="C5369" s="336"/>
    </row>
    <row r="5370">
      <c r="A5370" s="162"/>
      <c r="B5370" s="162"/>
      <c r="C5370" s="336"/>
    </row>
    <row r="5371">
      <c r="A5371" s="162"/>
      <c r="B5371" s="162"/>
      <c r="C5371" s="336"/>
    </row>
    <row r="5372">
      <c r="A5372" s="162"/>
      <c r="B5372" s="162"/>
      <c r="C5372" s="336"/>
    </row>
    <row r="5373">
      <c r="A5373" s="162"/>
      <c r="B5373" s="162"/>
      <c r="C5373" s="336"/>
    </row>
    <row r="5374">
      <c r="A5374" s="162"/>
      <c r="B5374" s="162"/>
      <c r="C5374" s="336"/>
    </row>
    <row r="5375">
      <c r="A5375" s="162"/>
      <c r="B5375" s="162"/>
      <c r="C5375" s="336"/>
    </row>
    <row r="5376">
      <c r="A5376" s="162"/>
      <c r="B5376" s="162"/>
      <c r="C5376" s="336"/>
    </row>
    <row r="5377">
      <c r="A5377" s="162"/>
      <c r="B5377" s="162"/>
      <c r="C5377" s="336"/>
    </row>
    <row r="5378">
      <c r="A5378" s="162"/>
      <c r="B5378" s="162"/>
      <c r="C5378" s="336"/>
    </row>
    <row r="5379">
      <c r="A5379" s="162"/>
      <c r="B5379" s="162"/>
      <c r="C5379" s="336"/>
    </row>
    <row r="5380">
      <c r="A5380" s="162"/>
      <c r="B5380" s="162"/>
      <c r="C5380" s="336"/>
    </row>
    <row r="5381">
      <c r="A5381" s="162"/>
      <c r="B5381" s="162"/>
      <c r="C5381" s="336"/>
    </row>
    <row r="5382">
      <c r="A5382" s="162"/>
      <c r="B5382" s="162"/>
      <c r="C5382" s="336"/>
    </row>
    <row r="5383">
      <c r="A5383" s="162"/>
      <c r="B5383" s="162"/>
      <c r="C5383" s="336"/>
    </row>
    <row r="5384">
      <c r="A5384" s="162"/>
      <c r="B5384" s="162"/>
      <c r="C5384" s="336"/>
    </row>
    <row r="5385">
      <c r="A5385" s="162"/>
      <c r="B5385" s="162"/>
      <c r="C5385" s="336"/>
    </row>
    <row r="5386">
      <c r="A5386" s="162"/>
      <c r="B5386" s="162"/>
      <c r="C5386" s="336"/>
    </row>
    <row r="5387">
      <c r="A5387" s="162"/>
      <c r="B5387" s="162"/>
      <c r="C5387" s="336"/>
    </row>
    <row r="5388">
      <c r="A5388" s="162"/>
      <c r="B5388" s="162"/>
      <c r="C5388" s="336"/>
    </row>
    <row r="5389">
      <c r="A5389" s="162"/>
      <c r="B5389" s="162"/>
      <c r="C5389" s="336"/>
    </row>
    <row r="5390">
      <c r="A5390" s="162"/>
      <c r="B5390" s="162"/>
      <c r="C5390" s="336"/>
    </row>
    <row r="5391">
      <c r="A5391" s="162"/>
      <c r="B5391" s="162"/>
      <c r="C5391" s="336"/>
    </row>
    <row r="5392">
      <c r="A5392" s="162"/>
      <c r="B5392" s="162"/>
      <c r="C5392" s="336"/>
    </row>
    <row r="5393">
      <c r="A5393" s="162"/>
      <c r="B5393" s="162"/>
      <c r="C5393" s="336"/>
    </row>
    <row r="5394">
      <c r="A5394" s="162"/>
      <c r="B5394" s="162"/>
      <c r="C5394" s="336"/>
    </row>
    <row r="5395">
      <c r="A5395" s="162"/>
      <c r="B5395" s="162"/>
      <c r="C5395" s="336"/>
    </row>
    <row r="5396">
      <c r="A5396" s="162"/>
      <c r="B5396" s="162"/>
      <c r="C5396" s="336"/>
    </row>
    <row r="5397">
      <c r="A5397" s="162"/>
      <c r="B5397" s="162"/>
      <c r="C5397" s="336"/>
    </row>
    <row r="5398">
      <c r="A5398" s="162"/>
      <c r="B5398" s="162"/>
      <c r="C5398" s="336"/>
    </row>
    <row r="5399">
      <c r="A5399" s="162"/>
      <c r="B5399" s="162"/>
      <c r="C5399" s="336"/>
    </row>
    <row r="5400">
      <c r="A5400" s="162"/>
      <c r="B5400" s="162"/>
      <c r="C5400" s="336"/>
    </row>
    <row r="5401">
      <c r="A5401" s="162"/>
      <c r="B5401" s="162"/>
      <c r="C5401" s="336"/>
    </row>
    <row r="5402">
      <c r="A5402" s="162"/>
      <c r="B5402" s="162"/>
      <c r="C5402" s="336"/>
    </row>
    <row r="5403">
      <c r="A5403" s="162"/>
      <c r="B5403" s="162"/>
      <c r="C5403" s="336"/>
    </row>
    <row r="5404">
      <c r="A5404" s="162"/>
      <c r="B5404" s="162"/>
      <c r="C5404" s="336"/>
    </row>
    <row r="5405">
      <c r="A5405" s="162"/>
      <c r="B5405" s="162"/>
      <c r="C5405" s="336"/>
    </row>
    <row r="5406">
      <c r="A5406" s="162"/>
      <c r="B5406" s="162"/>
      <c r="C5406" s="336"/>
    </row>
    <row r="5407">
      <c r="A5407" s="162"/>
      <c r="B5407" s="162"/>
      <c r="C5407" s="336"/>
    </row>
    <row r="5408">
      <c r="A5408" s="162"/>
      <c r="B5408" s="162"/>
      <c r="C5408" s="336"/>
    </row>
    <row r="5409">
      <c r="A5409" s="162"/>
      <c r="B5409" s="162"/>
      <c r="C5409" s="336"/>
    </row>
    <row r="5410">
      <c r="A5410" s="162"/>
      <c r="B5410" s="162"/>
      <c r="C5410" s="336"/>
    </row>
    <row r="5411">
      <c r="A5411" s="162"/>
      <c r="B5411" s="162"/>
      <c r="C5411" s="336"/>
    </row>
    <row r="5412">
      <c r="A5412" s="162"/>
      <c r="B5412" s="162"/>
      <c r="C5412" s="336"/>
    </row>
    <row r="5413">
      <c r="A5413" s="162"/>
      <c r="B5413" s="162"/>
      <c r="C5413" s="336"/>
    </row>
    <row r="5414">
      <c r="A5414" s="162"/>
      <c r="B5414" s="162"/>
      <c r="C5414" s="336"/>
    </row>
    <row r="5415">
      <c r="A5415" s="162"/>
      <c r="B5415" s="162"/>
      <c r="C5415" s="336"/>
    </row>
    <row r="5416">
      <c r="A5416" s="162"/>
      <c r="B5416" s="162"/>
      <c r="C5416" s="336"/>
    </row>
    <row r="5417">
      <c r="A5417" s="162"/>
      <c r="B5417" s="162"/>
      <c r="C5417" s="336"/>
    </row>
    <row r="5418">
      <c r="A5418" s="162"/>
      <c r="B5418" s="162"/>
      <c r="C5418" s="336"/>
    </row>
    <row r="5419">
      <c r="A5419" s="162"/>
      <c r="B5419" s="162"/>
      <c r="C5419" s="336"/>
    </row>
    <row r="5420">
      <c r="A5420" s="162"/>
      <c r="B5420" s="162"/>
      <c r="C5420" s="336"/>
    </row>
    <row r="5421">
      <c r="A5421" s="162"/>
      <c r="B5421" s="162"/>
      <c r="C5421" s="336"/>
    </row>
    <row r="5422">
      <c r="A5422" s="162"/>
      <c r="B5422" s="162"/>
      <c r="C5422" s="336"/>
    </row>
    <row r="5423">
      <c r="A5423" s="162"/>
      <c r="B5423" s="162"/>
      <c r="C5423" s="336"/>
    </row>
    <row r="5424">
      <c r="A5424" s="162"/>
      <c r="B5424" s="162"/>
      <c r="C5424" s="336"/>
    </row>
    <row r="5425">
      <c r="A5425" s="162"/>
      <c r="B5425" s="162"/>
      <c r="C5425" s="336"/>
    </row>
    <row r="5426">
      <c r="A5426" s="162"/>
      <c r="B5426" s="162"/>
      <c r="C5426" s="336"/>
    </row>
    <row r="5427">
      <c r="A5427" s="162"/>
      <c r="B5427" s="162"/>
      <c r="C5427" s="336"/>
    </row>
    <row r="5428">
      <c r="A5428" s="162"/>
      <c r="B5428" s="162"/>
      <c r="C5428" s="336"/>
    </row>
    <row r="5429">
      <c r="A5429" s="162"/>
      <c r="B5429" s="162"/>
      <c r="C5429" s="336"/>
    </row>
    <row r="5430">
      <c r="A5430" s="162"/>
      <c r="B5430" s="162"/>
      <c r="C5430" s="336"/>
    </row>
    <row r="5431">
      <c r="A5431" s="162"/>
      <c r="B5431" s="162"/>
      <c r="C5431" s="336"/>
    </row>
    <row r="5432">
      <c r="A5432" s="162"/>
      <c r="B5432" s="162"/>
      <c r="C5432" s="336"/>
    </row>
    <row r="5433">
      <c r="A5433" s="162"/>
      <c r="B5433" s="162"/>
      <c r="C5433" s="336"/>
    </row>
    <row r="5434">
      <c r="A5434" s="162"/>
      <c r="B5434" s="162"/>
      <c r="C5434" s="336"/>
    </row>
    <row r="5435">
      <c r="A5435" s="162"/>
      <c r="B5435" s="162"/>
      <c r="C5435" s="336"/>
    </row>
    <row r="5436">
      <c r="A5436" s="162"/>
      <c r="B5436" s="162"/>
      <c r="C5436" s="336"/>
    </row>
    <row r="5437">
      <c r="A5437" s="162"/>
      <c r="B5437" s="162"/>
      <c r="C5437" s="336"/>
    </row>
    <row r="5438">
      <c r="A5438" s="162"/>
      <c r="B5438" s="162"/>
      <c r="C5438" s="336"/>
    </row>
    <row r="5439">
      <c r="A5439" s="162"/>
      <c r="B5439" s="162"/>
      <c r="C5439" s="336"/>
    </row>
    <row r="5440">
      <c r="A5440" s="162"/>
      <c r="B5440" s="162"/>
      <c r="C5440" s="336"/>
    </row>
    <row r="5441">
      <c r="A5441" s="162"/>
      <c r="B5441" s="162"/>
      <c r="C5441" s="336"/>
    </row>
    <row r="5442">
      <c r="A5442" s="162"/>
      <c r="B5442" s="162"/>
      <c r="C5442" s="336"/>
    </row>
    <row r="5443">
      <c r="A5443" s="162"/>
      <c r="B5443" s="162"/>
      <c r="C5443" s="336"/>
    </row>
    <row r="5444">
      <c r="A5444" s="162"/>
      <c r="B5444" s="162"/>
      <c r="C5444" s="336"/>
    </row>
    <row r="5445">
      <c r="A5445" s="162"/>
      <c r="B5445" s="162"/>
      <c r="C5445" s="336"/>
    </row>
    <row r="5446">
      <c r="A5446" s="162"/>
      <c r="B5446" s="162"/>
      <c r="C5446" s="336"/>
    </row>
    <row r="5447">
      <c r="A5447" s="162"/>
      <c r="B5447" s="162"/>
      <c r="C5447" s="336"/>
    </row>
    <row r="5448">
      <c r="A5448" s="162"/>
      <c r="B5448" s="162"/>
      <c r="C5448" s="336"/>
    </row>
    <row r="5449">
      <c r="A5449" s="162"/>
      <c r="B5449" s="162"/>
      <c r="C5449" s="336"/>
    </row>
    <row r="5450">
      <c r="A5450" s="162"/>
      <c r="B5450" s="162"/>
      <c r="C5450" s="336"/>
    </row>
    <row r="5451">
      <c r="A5451" s="162"/>
      <c r="B5451" s="162"/>
      <c r="C5451" s="336"/>
    </row>
    <row r="5452">
      <c r="A5452" s="162"/>
      <c r="B5452" s="162"/>
      <c r="C5452" s="336"/>
    </row>
    <row r="5453">
      <c r="A5453" s="162"/>
      <c r="B5453" s="162"/>
      <c r="C5453" s="336"/>
    </row>
    <row r="5454">
      <c r="A5454" s="162"/>
      <c r="B5454" s="162"/>
      <c r="C5454" s="336"/>
    </row>
    <row r="5455">
      <c r="A5455" s="162"/>
      <c r="B5455" s="162"/>
      <c r="C5455" s="336"/>
    </row>
    <row r="5456">
      <c r="A5456" s="162"/>
      <c r="B5456" s="162"/>
      <c r="C5456" s="336"/>
    </row>
    <row r="5457">
      <c r="A5457" s="162"/>
      <c r="B5457" s="162"/>
      <c r="C5457" s="336"/>
    </row>
    <row r="5458">
      <c r="A5458" s="162"/>
      <c r="B5458" s="162"/>
      <c r="C5458" s="336"/>
    </row>
    <row r="5459">
      <c r="A5459" s="162"/>
      <c r="B5459" s="162"/>
      <c r="C5459" s="336"/>
    </row>
    <row r="5460">
      <c r="A5460" s="162"/>
      <c r="B5460" s="162"/>
      <c r="C5460" s="336"/>
    </row>
    <row r="5461">
      <c r="A5461" s="162"/>
      <c r="B5461" s="162"/>
      <c r="C5461" s="336"/>
    </row>
    <row r="5462">
      <c r="A5462" s="162"/>
      <c r="B5462" s="162"/>
      <c r="C5462" s="336"/>
    </row>
    <row r="5463">
      <c r="A5463" s="162"/>
      <c r="B5463" s="162"/>
      <c r="C5463" s="336"/>
    </row>
    <row r="5464">
      <c r="A5464" s="162"/>
      <c r="B5464" s="162"/>
      <c r="C5464" s="336"/>
    </row>
    <row r="5465">
      <c r="A5465" s="162"/>
      <c r="B5465" s="162"/>
      <c r="C5465" s="336"/>
    </row>
    <row r="5466">
      <c r="A5466" s="162"/>
      <c r="B5466" s="162"/>
      <c r="C5466" s="336"/>
    </row>
    <row r="5467">
      <c r="A5467" s="162"/>
      <c r="B5467" s="162"/>
      <c r="C5467" s="336"/>
    </row>
    <row r="5468">
      <c r="A5468" s="162"/>
      <c r="B5468" s="162"/>
      <c r="C5468" s="336"/>
    </row>
    <row r="5469">
      <c r="A5469" s="162"/>
      <c r="B5469" s="162"/>
      <c r="C5469" s="336"/>
    </row>
    <row r="5470">
      <c r="A5470" s="162"/>
      <c r="B5470" s="162"/>
      <c r="C5470" s="336"/>
    </row>
    <row r="5471">
      <c r="A5471" s="162"/>
      <c r="B5471" s="162"/>
      <c r="C5471" s="336"/>
    </row>
    <row r="5472">
      <c r="A5472" s="162"/>
      <c r="B5472" s="162"/>
      <c r="C5472" s="336"/>
    </row>
    <row r="5473">
      <c r="A5473" s="162"/>
      <c r="B5473" s="162"/>
      <c r="C5473" s="336"/>
    </row>
    <row r="5474">
      <c r="A5474" s="162"/>
      <c r="B5474" s="162"/>
      <c r="C5474" s="336"/>
    </row>
    <row r="5475">
      <c r="A5475" s="162"/>
      <c r="B5475" s="162"/>
      <c r="C5475" s="336"/>
    </row>
    <row r="5476">
      <c r="A5476" s="162"/>
      <c r="B5476" s="162"/>
      <c r="C5476" s="336"/>
    </row>
    <row r="5477">
      <c r="A5477" s="162"/>
      <c r="B5477" s="162"/>
      <c r="C5477" s="336"/>
    </row>
    <row r="5478">
      <c r="A5478" s="162"/>
      <c r="B5478" s="162"/>
      <c r="C5478" s="336"/>
    </row>
    <row r="5479">
      <c r="A5479" s="162"/>
      <c r="B5479" s="162"/>
      <c r="C5479" s="336"/>
    </row>
    <row r="5480">
      <c r="A5480" s="162"/>
      <c r="B5480" s="162"/>
      <c r="C5480" s="336"/>
    </row>
    <row r="5481">
      <c r="A5481" s="162"/>
      <c r="B5481" s="162"/>
      <c r="C5481" s="336"/>
    </row>
    <row r="5482">
      <c r="A5482" s="162"/>
      <c r="B5482" s="162"/>
      <c r="C5482" s="336"/>
    </row>
    <row r="5483">
      <c r="A5483" s="162"/>
      <c r="B5483" s="162"/>
      <c r="C5483" s="336"/>
    </row>
    <row r="5484">
      <c r="A5484" s="162"/>
      <c r="B5484" s="162"/>
      <c r="C5484" s="336"/>
    </row>
    <row r="5485">
      <c r="A5485" s="162"/>
      <c r="B5485" s="162"/>
      <c r="C5485" s="336"/>
    </row>
    <row r="5486">
      <c r="A5486" s="162"/>
      <c r="B5486" s="162"/>
      <c r="C5486" s="336"/>
    </row>
    <row r="5487">
      <c r="A5487" s="162"/>
      <c r="B5487" s="162"/>
      <c r="C5487" s="336"/>
    </row>
    <row r="5488">
      <c r="A5488" s="162"/>
      <c r="B5488" s="162"/>
      <c r="C5488" s="336"/>
    </row>
    <row r="5489">
      <c r="A5489" s="162"/>
      <c r="B5489" s="162"/>
      <c r="C5489" s="336"/>
    </row>
    <row r="5490">
      <c r="A5490" s="162"/>
      <c r="B5490" s="162"/>
      <c r="C5490" s="336"/>
    </row>
    <row r="5491">
      <c r="A5491" s="162"/>
      <c r="B5491" s="162"/>
      <c r="C5491" s="336"/>
    </row>
    <row r="5492">
      <c r="A5492" s="162"/>
      <c r="B5492" s="162"/>
      <c r="C5492" s="336"/>
    </row>
    <row r="5493">
      <c r="A5493" s="162"/>
      <c r="B5493" s="162"/>
      <c r="C5493" s="336"/>
    </row>
    <row r="5494">
      <c r="A5494" s="162"/>
      <c r="B5494" s="162"/>
      <c r="C5494" s="336"/>
    </row>
    <row r="5495">
      <c r="A5495" s="162"/>
      <c r="B5495" s="162"/>
      <c r="C5495" s="336"/>
    </row>
    <row r="5496">
      <c r="A5496" s="162"/>
      <c r="B5496" s="162"/>
      <c r="C5496" s="336"/>
    </row>
    <row r="5497">
      <c r="A5497" s="162"/>
      <c r="B5497" s="162"/>
      <c r="C5497" s="336"/>
    </row>
    <row r="5498">
      <c r="A5498" s="162"/>
      <c r="B5498" s="162"/>
      <c r="C5498" s="336"/>
    </row>
    <row r="5499">
      <c r="A5499" s="162"/>
      <c r="B5499" s="162"/>
      <c r="C5499" s="336"/>
    </row>
    <row r="5500">
      <c r="A5500" s="162"/>
      <c r="B5500" s="162"/>
      <c r="C5500" s="336"/>
    </row>
    <row r="5501">
      <c r="A5501" s="162"/>
      <c r="B5501" s="162"/>
      <c r="C5501" s="336"/>
    </row>
    <row r="5502">
      <c r="A5502" s="162"/>
      <c r="B5502" s="162"/>
      <c r="C5502" s="336"/>
    </row>
    <row r="5503">
      <c r="A5503" s="162"/>
      <c r="B5503" s="162"/>
      <c r="C5503" s="336"/>
    </row>
    <row r="5504">
      <c r="A5504" s="162"/>
      <c r="B5504" s="162"/>
      <c r="C5504" s="336"/>
    </row>
    <row r="5505">
      <c r="A5505" s="162"/>
      <c r="B5505" s="162"/>
      <c r="C5505" s="336"/>
    </row>
    <row r="5506">
      <c r="A5506" s="162"/>
      <c r="B5506" s="162"/>
      <c r="C5506" s="336"/>
    </row>
    <row r="5507">
      <c r="A5507" s="162"/>
      <c r="B5507" s="162"/>
      <c r="C5507" s="336"/>
    </row>
    <row r="5508">
      <c r="A5508" s="162"/>
      <c r="B5508" s="162"/>
      <c r="C5508" s="336"/>
    </row>
    <row r="5509">
      <c r="A5509" s="162"/>
      <c r="B5509" s="162"/>
      <c r="C5509" s="336"/>
    </row>
    <row r="5510">
      <c r="A5510" s="162"/>
      <c r="B5510" s="162"/>
      <c r="C5510" s="336"/>
    </row>
    <row r="5511">
      <c r="A5511" s="162"/>
      <c r="B5511" s="162"/>
      <c r="C5511" s="336"/>
    </row>
    <row r="5512">
      <c r="A5512" s="162"/>
      <c r="B5512" s="162"/>
      <c r="C5512" s="336"/>
    </row>
    <row r="5513">
      <c r="A5513" s="162"/>
      <c r="B5513" s="162"/>
      <c r="C5513" s="336"/>
    </row>
    <row r="5514">
      <c r="A5514" s="162"/>
      <c r="B5514" s="162"/>
      <c r="C5514" s="336"/>
    </row>
    <row r="5515">
      <c r="A5515" s="162"/>
      <c r="B5515" s="162"/>
      <c r="C5515" s="336"/>
    </row>
    <row r="5516">
      <c r="A5516" s="162"/>
      <c r="B5516" s="162"/>
      <c r="C5516" s="336"/>
    </row>
    <row r="5517">
      <c r="A5517" s="162"/>
      <c r="B5517" s="162"/>
      <c r="C5517" s="336"/>
    </row>
    <row r="5518">
      <c r="A5518" s="162"/>
      <c r="B5518" s="162"/>
      <c r="C5518" s="336"/>
    </row>
    <row r="5519">
      <c r="A5519" s="162"/>
      <c r="B5519" s="162"/>
      <c r="C5519" s="336"/>
    </row>
    <row r="5520">
      <c r="A5520" s="162"/>
      <c r="B5520" s="162"/>
      <c r="C5520" s="336"/>
    </row>
    <row r="5521">
      <c r="A5521" s="162"/>
      <c r="B5521" s="162"/>
      <c r="C5521" s="336"/>
    </row>
    <row r="5522">
      <c r="A5522" s="162"/>
      <c r="B5522" s="162"/>
      <c r="C5522" s="336"/>
    </row>
    <row r="5523">
      <c r="A5523" s="162"/>
      <c r="B5523" s="162"/>
      <c r="C5523" s="336"/>
    </row>
    <row r="5524">
      <c r="A5524" s="162"/>
      <c r="B5524" s="162"/>
      <c r="C5524" s="336"/>
    </row>
    <row r="5525">
      <c r="A5525" s="162"/>
      <c r="B5525" s="162"/>
      <c r="C5525" s="336"/>
    </row>
    <row r="5526">
      <c r="A5526" s="162"/>
      <c r="B5526" s="162"/>
      <c r="C5526" s="336"/>
    </row>
    <row r="5527">
      <c r="A5527" s="162"/>
      <c r="B5527" s="162"/>
      <c r="C5527" s="336"/>
    </row>
    <row r="5528">
      <c r="A5528" s="162"/>
      <c r="B5528" s="162"/>
      <c r="C5528" s="336"/>
    </row>
    <row r="5529">
      <c r="A5529" s="162"/>
      <c r="B5529" s="162"/>
      <c r="C5529" s="336"/>
    </row>
    <row r="5530">
      <c r="A5530" s="162"/>
      <c r="B5530" s="162"/>
      <c r="C5530" s="336"/>
    </row>
    <row r="5531">
      <c r="A5531" s="162"/>
      <c r="B5531" s="162"/>
      <c r="C5531" s="336"/>
    </row>
    <row r="5532">
      <c r="A5532" s="162"/>
      <c r="B5532" s="162"/>
      <c r="C5532" s="336"/>
    </row>
    <row r="5533">
      <c r="A5533" s="162"/>
      <c r="B5533" s="162"/>
      <c r="C5533" s="336"/>
    </row>
    <row r="5534">
      <c r="A5534" s="162"/>
      <c r="B5534" s="162"/>
      <c r="C5534" s="336"/>
    </row>
    <row r="5535">
      <c r="A5535" s="162"/>
      <c r="B5535" s="162"/>
      <c r="C5535" s="336"/>
    </row>
    <row r="5536">
      <c r="A5536" s="162"/>
      <c r="B5536" s="162"/>
      <c r="C5536" s="336"/>
    </row>
    <row r="5537">
      <c r="A5537" s="162"/>
      <c r="B5537" s="162"/>
      <c r="C5537" s="336"/>
    </row>
    <row r="5538">
      <c r="A5538" s="162"/>
      <c r="B5538" s="162"/>
      <c r="C5538" s="336"/>
    </row>
    <row r="5539">
      <c r="A5539" s="162"/>
      <c r="B5539" s="162"/>
      <c r="C5539" s="336"/>
    </row>
    <row r="5540">
      <c r="A5540" s="162"/>
      <c r="B5540" s="162"/>
      <c r="C5540" s="336"/>
    </row>
    <row r="5541">
      <c r="A5541" s="162"/>
      <c r="B5541" s="162"/>
      <c r="C5541" s="336"/>
    </row>
    <row r="5542">
      <c r="A5542" s="162"/>
      <c r="B5542" s="162"/>
      <c r="C5542" s="336"/>
    </row>
    <row r="5543">
      <c r="A5543" s="162"/>
      <c r="B5543" s="162"/>
      <c r="C5543" s="336"/>
    </row>
    <row r="5544">
      <c r="A5544" s="162"/>
      <c r="B5544" s="162"/>
      <c r="C5544" s="336"/>
    </row>
    <row r="5545">
      <c r="A5545" s="162"/>
      <c r="B5545" s="162"/>
      <c r="C5545" s="336"/>
    </row>
    <row r="5546">
      <c r="A5546" s="162"/>
      <c r="B5546" s="162"/>
      <c r="C5546" s="336"/>
    </row>
    <row r="5547">
      <c r="A5547" s="162"/>
      <c r="B5547" s="162"/>
      <c r="C5547" s="336"/>
    </row>
    <row r="5548">
      <c r="A5548" s="162"/>
      <c r="B5548" s="162"/>
      <c r="C5548" s="336"/>
    </row>
    <row r="5549">
      <c r="A5549" s="162"/>
      <c r="B5549" s="162"/>
      <c r="C5549" s="336"/>
    </row>
    <row r="5550">
      <c r="A5550" s="162"/>
      <c r="B5550" s="162"/>
      <c r="C5550" s="336"/>
    </row>
    <row r="5551">
      <c r="A5551" s="162"/>
      <c r="B5551" s="162"/>
      <c r="C5551" s="336"/>
    </row>
    <row r="5552">
      <c r="A5552" s="162"/>
      <c r="B5552" s="162"/>
      <c r="C5552" s="336"/>
    </row>
    <row r="5553">
      <c r="A5553" s="162"/>
      <c r="B5553" s="162"/>
      <c r="C5553" s="336"/>
    </row>
    <row r="5554">
      <c r="A5554" s="162"/>
      <c r="B5554" s="162"/>
      <c r="C5554" s="336"/>
    </row>
    <row r="5555">
      <c r="A5555" s="162"/>
      <c r="B5555" s="162"/>
      <c r="C5555" s="336"/>
    </row>
    <row r="5556">
      <c r="A5556" s="162"/>
      <c r="B5556" s="162"/>
      <c r="C5556" s="336"/>
    </row>
    <row r="5557">
      <c r="A5557" s="162"/>
      <c r="B5557" s="162"/>
      <c r="C5557" s="336"/>
    </row>
    <row r="5558">
      <c r="A5558" s="162"/>
      <c r="B5558" s="162"/>
      <c r="C5558" s="336"/>
    </row>
    <row r="5559">
      <c r="A5559" s="162"/>
      <c r="B5559" s="162"/>
      <c r="C5559" s="336"/>
    </row>
    <row r="5560">
      <c r="A5560" s="162"/>
      <c r="B5560" s="162"/>
      <c r="C5560" s="336"/>
    </row>
    <row r="5561">
      <c r="A5561" s="162"/>
      <c r="B5561" s="162"/>
      <c r="C5561" s="336"/>
    </row>
    <row r="5562">
      <c r="A5562" s="162"/>
      <c r="B5562" s="162"/>
      <c r="C5562" s="336"/>
    </row>
    <row r="5563">
      <c r="A5563" s="162"/>
      <c r="B5563" s="162"/>
      <c r="C5563" s="336"/>
    </row>
    <row r="5564">
      <c r="A5564" s="162"/>
      <c r="B5564" s="162"/>
      <c r="C5564" s="336"/>
    </row>
    <row r="5565">
      <c r="A5565" s="162"/>
      <c r="B5565" s="162"/>
      <c r="C5565" s="336"/>
    </row>
    <row r="5566">
      <c r="A5566" s="162"/>
      <c r="B5566" s="162"/>
      <c r="C5566" s="336"/>
    </row>
    <row r="5567">
      <c r="A5567" s="162"/>
      <c r="B5567" s="162"/>
      <c r="C5567" s="336"/>
    </row>
    <row r="5568">
      <c r="A5568" s="162"/>
      <c r="B5568" s="162"/>
      <c r="C5568" s="336"/>
    </row>
    <row r="5569">
      <c r="A5569" s="162"/>
      <c r="B5569" s="162"/>
      <c r="C5569" s="336"/>
    </row>
    <row r="5570">
      <c r="A5570" s="162"/>
      <c r="B5570" s="162"/>
      <c r="C5570" s="336"/>
    </row>
    <row r="5571">
      <c r="A5571" s="162"/>
      <c r="B5571" s="162"/>
      <c r="C5571" s="336"/>
    </row>
    <row r="5572">
      <c r="A5572" s="162"/>
      <c r="B5572" s="162"/>
      <c r="C5572" s="336"/>
    </row>
    <row r="5573">
      <c r="A5573" s="162"/>
      <c r="B5573" s="162"/>
      <c r="C5573" s="336"/>
    </row>
    <row r="5574">
      <c r="A5574" s="162"/>
      <c r="B5574" s="162"/>
      <c r="C5574" s="336"/>
    </row>
    <row r="5575">
      <c r="A5575" s="162"/>
      <c r="B5575" s="162"/>
      <c r="C5575" s="336"/>
    </row>
    <row r="5576">
      <c r="A5576" s="162"/>
      <c r="B5576" s="162"/>
      <c r="C5576" s="336"/>
    </row>
    <row r="5577">
      <c r="A5577" s="162"/>
      <c r="B5577" s="162"/>
      <c r="C5577" s="336"/>
    </row>
    <row r="5578">
      <c r="A5578" s="162"/>
      <c r="B5578" s="162"/>
      <c r="C5578" s="336"/>
    </row>
    <row r="5579">
      <c r="A5579" s="162"/>
      <c r="B5579" s="162"/>
      <c r="C5579" s="336"/>
    </row>
    <row r="5580">
      <c r="A5580" s="162"/>
      <c r="B5580" s="162"/>
      <c r="C5580" s="336"/>
    </row>
    <row r="5581">
      <c r="A5581" s="162"/>
      <c r="B5581" s="162"/>
      <c r="C5581" s="336"/>
    </row>
    <row r="5582">
      <c r="A5582" s="162"/>
      <c r="B5582" s="162"/>
      <c r="C5582" s="336"/>
    </row>
    <row r="5583">
      <c r="A5583" s="162"/>
      <c r="B5583" s="162"/>
      <c r="C5583" s="336"/>
    </row>
    <row r="5584">
      <c r="A5584" s="162"/>
      <c r="B5584" s="162"/>
      <c r="C5584" s="336"/>
    </row>
    <row r="5585">
      <c r="A5585" s="162"/>
      <c r="B5585" s="162"/>
      <c r="C5585" s="336"/>
    </row>
    <row r="5586">
      <c r="A5586" s="162"/>
      <c r="B5586" s="162"/>
      <c r="C5586" s="336"/>
    </row>
    <row r="5587">
      <c r="A5587" s="162"/>
      <c r="B5587" s="162"/>
      <c r="C5587" s="336"/>
    </row>
    <row r="5588">
      <c r="A5588" s="162"/>
      <c r="B5588" s="162"/>
      <c r="C5588" s="336"/>
    </row>
    <row r="5589">
      <c r="A5589" s="162"/>
      <c r="B5589" s="162"/>
      <c r="C5589" s="336"/>
    </row>
    <row r="5590">
      <c r="A5590" s="162"/>
      <c r="B5590" s="162"/>
      <c r="C5590" s="336"/>
    </row>
    <row r="5591">
      <c r="A5591" s="162"/>
      <c r="B5591" s="162"/>
      <c r="C5591" s="336"/>
    </row>
    <row r="5592">
      <c r="A5592" s="162"/>
      <c r="B5592" s="162"/>
      <c r="C5592" s="336"/>
    </row>
    <row r="5593">
      <c r="A5593" s="162"/>
      <c r="B5593" s="162"/>
      <c r="C5593" s="336"/>
    </row>
    <row r="5594">
      <c r="A5594" s="162"/>
      <c r="B5594" s="162"/>
      <c r="C5594" s="336"/>
    </row>
    <row r="5595">
      <c r="A5595" s="162"/>
      <c r="B5595" s="162"/>
      <c r="C5595" s="336"/>
    </row>
    <row r="5596">
      <c r="A5596" s="162"/>
      <c r="B5596" s="162"/>
      <c r="C5596" s="336"/>
    </row>
    <row r="5597">
      <c r="A5597" s="162"/>
      <c r="B5597" s="162"/>
      <c r="C5597" s="336"/>
    </row>
    <row r="5598">
      <c r="A5598" s="162"/>
      <c r="B5598" s="162"/>
      <c r="C5598" s="336"/>
    </row>
    <row r="5599">
      <c r="A5599" s="162"/>
      <c r="B5599" s="162"/>
      <c r="C5599" s="336"/>
    </row>
    <row r="5600">
      <c r="A5600" s="162"/>
      <c r="B5600" s="162"/>
      <c r="C5600" s="336"/>
    </row>
    <row r="5601">
      <c r="A5601" s="162"/>
      <c r="B5601" s="162"/>
      <c r="C5601" s="336"/>
    </row>
    <row r="5602">
      <c r="A5602" s="162"/>
      <c r="B5602" s="162"/>
      <c r="C5602" s="336"/>
    </row>
    <row r="5603">
      <c r="A5603" s="162"/>
      <c r="B5603" s="162"/>
      <c r="C5603" s="336"/>
    </row>
    <row r="5604">
      <c r="A5604" s="162"/>
      <c r="B5604" s="162"/>
      <c r="C5604" s="336"/>
    </row>
    <row r="5605">
      <c r="A5605" s="162"/>
      <c r="B5605" s="162"/>
      <c r="C5605" s="336"/>
    </row>
    <row r="5606">
      <c r="A5606" s="162"/>
      <c r="B5606" s="162"/>
      <c r="C5606" s="336"/>
    </row>
    <row r="5607">
      <c r="A5607" s="162"/>
      <c r="B5607" s="162"/>
      <c r="C5607" s="336"/>
    </row>
    <row r="5608">
      <c r="A5608" s="162"/>
      <c r="B5608" s="162"/>
      <c r="C5608" s="336"/>
    </row>
    <row r="5609">
      <c r="A5609" s="162"/>
      <c r="B5609" s="162"/>
      <c r="C5609" s="336"/>
    </row>
    <row r="5610">
      <c r="A5610" s="162"/>
      <c r="B5610" s="162"/>
      <c r="C5610" s="336"/>
    </row>
    <row r="5611">
      <c r="A5611" s="162"/>
      <c r="B5611" s="162"/>
      <c r="C5611" s="336"/>
    </row>
    <row r="5612">
      <c r="A5612" s="162"/>
      <c r="B5612" s="162"/>
      <c r="C5612" s="336"/>
    </row>
    <row r="5613">
      <c r="A5613" s="162"/>
      <c r="B5613" s="162"/>
      <c r="C5613" s="336"/>
    </row>
    <row r="5614">
      <c r="A5614" s="162"/>
      <c r="B5614" s="162"/>
      <c r="C5614" s="336"/>
    </row>
    <row r="5615">
      <c r="A5615" s="162"/>
      <c r="B5615" s="162"/>
      <c r="C5615" s="336"/>
    </row>
    <row r="5616">
      <c r="A5616" s="162"/>
      <c r="B5616" s="162"/>
      <c r="C5616" s="336"/>
    </row>
    <row r="5617">
      <c r="A5617" s="162"/>
      <c r="B5617" s="162"/>
      <c r="C5617" s="336"/>
    </row>
    <row r="5618">
      <c r="A5618" s="162"/>
      <c r="B5618" s="162"/>
      <c r="C5618" s="336"/>
    </row>
    <row r="5619">
      <c r="A5619" s="162"/>
      <c r="B5619" s="162"/>
      <c r="C5619" s="336"/>
    </row>
    <row r="5620">
      <c r="A5620" s="162"/>
      <c r="B5620" s="162"/>
      <c r="C5620" s="336"/>
    </row>
    <row r="5621">
      <c r="A5621" s="162"/>
      <c r="B5621" s="162"/>
      <c r="C5621" s="336"/>
    </row>
    <row r="5622">
      <c r="A5622" s="162"/>
      <c r="B5622" s="162"/>
      <c r="C5622" s="336"/>
    </row>
    <row r="5623">
      <c r="A5623" s="162"/>
      <c r="B5623" s="162"/>
      <c r="C5623" s="336"/>
    </row>
    <row r="5624">
      <c r="A5624" s="162"/>
      <c r="B5624" s="162"/>
      <c r="C5624" s="336"/>
    </row>
    <row r="5625">
      <c r="A5625" s="162"/>
      <c r="B5625" s="162"/>
      <c r="C5625" s="336"/>
    </row>
    <row r="5626">
      <c r="A5626" s="162"/>
      <c r="B5626" s="162"/>
      <c r="C5626" s="336"/>
    </row>
    <row r="5627">
      <c r="A5627" s="162"/>
      <c r="B5627" s="162"/>
      <c r="C5627" s="336"/>
    </row>
    <row r="5628">
      <c r="A5628" s="162"/>
      <c r="B5628" s="162"/>
      <c r="C5628" s="336"/>
    </row>
    <row r="5629">
      <c r="A5629" s="162"/>
      <c r="B5629" s="162"/>
      <c r="C5629" s="336"/>
    </row>
    <row r="5630">
      <c r="A5630" s="162"/>
      <c r="B5630" s="162"/>
      <c r="C5630" s="336"/>
    </row>
    <row r="5631">
      <c r="A5631" s="162"/>
      <c r="B5631" s="162"/>
      <c r="C5631" s="336"/>
    </row>
    <row r="5632">
      <c r="A5632" s="162"/>
      <c r="B5632" s="162"/>
      <c r="C5632" s="336"/>
    </row>
    <row r="5633">
      <c r="A5633" s="162"/>
      <c r="B5633" s="162"/>
      <c r="C5633" s="336"/>
    </row>
    <row r="5634">
      <c r="A5634" s="162"/>
      <c r="B5634" s="162"/>
      <c r="C5634" s="336"/>
    </row>
    <row r="5635">
      <c r="A5635" s="162"/>
      <c r="B5635" s="162"/>
      <c r="C5635" s="336"/>
    </row>
    <row r="5636">
      <c r="A5636" s="162"/>
      <c r="B5636" s="162"/>
      <c r="C5636" s="336"/>
    </row>
    <row r="5637">
      <c r="A5637" s="162"/>
      <c r="B5637" s="162"/>
      <c r="C5637" s="336"/>
    </row>
    <row r="5638">
      <c r="A5638" s="162"/>
      <c r="B5638" s="162"/>
      <c r="C5638" s="336"/>
    </row>
    <row r="5639">
      <c r="A5639" s="162"/>
      <c r="B5639" s="162"/>
      <c r="C5639" s="336"/>
    </row>
    <row r="5640">
      <c r="A5640" s="162"/>
      <c r="B5640" s="162"/>
      <c r="C5640" s="336"/>
    </row>
    <row r="5641">
      <c r="A5641" s="162"/>
      <c r="B5641" s="162"/>
      <c r="C5641" s="336"/>
    </row>
    <row r="5642">
      <c r="A5642" s="162"/>
      <c r="B5642" s="162"/>
      <c r="C5642" s="336"/>
    </row>
    <row r="5643">
      <c r="A5643" s="162"/>
      <c r="B5643" s="162"/>
      <c r="C5643" s="336"/>
    </row>
    <row r="5644">
      <c r="A5644" s="162"/>
      <c r="B5644" s="162"/>
      <c r="C5644" s="336"/>
    </row>
    <row r="5645">
      <c r="A5645" s="162"/>
      <c r="B5645" s="162"/>
      <c r="C5645" s="336"/>
    </row>
    <row r="5646">
      <c r="A5646" s="162"/>
      <c r="B5646" s="162"/>
      <c r="C5646" s="336"/>
    </row>
    <row r="5647">
      <c r="A5647" s="162"/>
      <c r="B5647" s="162"/>
      <c r="C5647" s="336"/>
    </row>
    <row r="5648">
      <c r="A5648" s="162"/>
      <c r="B5648" s="162"/>
      <c r="C5648" s="336"/>
    </row>
    <row r="5649">
      <c r="A5649" s="162"/>
      <c r="B5649" s="162"/>
      <c r="C5649" s="336"/>
    </row>
    <row r="5650">
      <c r="A5650" s="162"/>
      <c r="B5650" s="162"/>
      <c r="C5650" s="336"/>
    </row>
    <row r="5651">
      <c r="A5651" s="162"/>
      <c r="B5651" s="162"/>
      <c r="C5651" s="336"/>
    </row>
    <row r="5652">
      <c r="A5652" s="162"/>
      <c r="B5652" s="162"/>
      <c r="C5652" s="336"/>
    </row>
    <row r="5653">
      <c r="A5653" s="162"/>
      <c r="B5653" s="162"/>
      <c r="C5653" s="336"/>
    </row>
    <row r="5654">
      <c r="A5654" s="162"/>
      <c r="B5654" s="162"/>
      <c r="C5654" s="336"/>
    </row>
    <row r="5655">
      <c r="A5655" s="162"/>
      <c r="B5655" s="162"/>
      <c r="C5655" s="336"/>
    </row>
    <row r="5656">
      <c r="A5656" s="162"/>
      <c r="B5656" s="162"/>
      <c r="C5656" s="336"/>
    </row>
    <row r="5657">
      <c r="A5657" s="162"/>
      <c r="B5657" s="162"/>
      <c r="C5657" s="336"/>
    </row>
    <row r="5658">
      <c r="A5658" s="162"/>
      <c r="B5658" s="162"/>
      <c r="C5658" s="336"/>
    </row>
    <row r="5659">
      <c r="A5659" s="162"/>
      <c r="B5659" s="162"/>
      <c r="C5659" s="336"/>
    </row>
    <row r="5660">
      <c r="A5660" s="162"/>
      <c r="B5660" s="162"/>
      <c r="C5660" s="336"/>
    </row>
    <row r="5661">
      <c r="A5661" s="162"/>
      <c r="B5661" s="162"/>
      <c r="C5661" s="336"/>
    </row>
    <row r="5662">
      <c r="A5662" s="162"/>
      <c r="B5662" s="162"/>
      <c r="C5662" s="336"/>
    </row>
    <row r="5663">
      <c r="A5663" s="162"/>
      <c r="B5663" s="162"/>
      <c r="C5663" s="336"/>
    </row>
    <row r="5664">
      <c r="A5664" s="162"/>
      <c r="B5664" s="162"/>
      <c r="C5664" s="336"/>
    </row>
    <row r="5665">
      <c r="A5665" s="162"/>
      <c r="B5665" s="162"/>
      <c r="C5665" s="336"/>
    </row>
    <row r="5666">
      <c r="A5666" s="162"/>
      <c r="B5666" s="162"/>
      <c r="C5666" s="336"/>
    </row>
    <row r="5667">
      <c r="A5667" s="162"/>
      <c r="B5667" s="162"/>
      <c r="C5667" s="336"/>
    </row>
    <row r="5668">
      <c r="A5668" s="162"/>
      <c r="B5668" s="162"/>
      <c r="C5668" s="336"/>
    </row>
    <row r="5669">
      <c r="A5669" s="162"/>
      <c r="B5669" s="162"/>
      <c r="C5669" s="336"/>
    </row>
    <row r="5670">
      <c r="A5670" s="162"/>
      <c r="B5670" s="162"/>
      <c r="C5670" s="336"/>
    </row>
    <row r="5671">
      <c r="A5671" s="162"/>
      <c r="B5671" s="162"/>
      <c r="C5671" s="336"/>
    </row>
    <row r="5672">
      <c r="A5672" s="162"/>
      <c r="B5672" s="162"/>
      <c r="C5672" s="336"/>
    </row>
    <row r="5673">
      <c r="A5673" s="162"/>
      <c r="B5673" s="162"/>
      <c r="C5673" s="336"/>
    </row>
    <row r="5674">
      <c r="A5674" s="162"/>
      <c r="B5674" s="162"/>
      <c r="C5674" s="336"/>
    </row>
    <row r="5675">
      <c r="A5675" s="162"/>
      <c r="B5675" s="162"/>
      <c r="C5675" s="336"/>
    </row>
    <row r="5676">
      <c r="A5676" s="162"/>
      <c r="B5676" s="162"/>
      <c r="C5676" s="336"/>
    </row>
    <row r="5677">
      <c r="A5677" s="162"/>
      <c r="B5677" s="162"/>
      <c r="C5677" s="336"/>
    </row>
    <row r="5678">
      <c r="A5678" s="162"/>
      <c r="B5678" s="162"/>
      <c r="C5678" s="336"/>
    </row>
    <row r="5679">
      <c r="A5679" s="162"/>
      <c r="B5679" s="162"/>
      <c r="C5679" s="336"/>
    </row>
    <row r="5680">
      <c r="A5680" s="162"/>
      <c r="B5680" s="162"/>
      <c r="C5680" s="336"/>
    </row>
    <row r="5681">
      <c r="A5681" s="162"/>
      <c r="B5681" s="162"/>
      <c r="C5681" s="336"/>
    </row>
    <row r="5682">
      <c r="A5682" s="162"/>
      <c r="B5682" s="162"/>
      <c r="C5682" s="336"/>
    </row>
    <row r="5683">
      <c r="A5683" s="162"/>
      <c r="B5683" s="162"/>
      <c r="C5683" s="336"/>
    </row>
    <row r="5684">
      <c r="A5684" s="162"/>
      <c r="B5684" s="162"/>
      <c r="C5684" s="336"/>
    </row>
    <row r="5685">
      <c r="A5685" s="162"/>
      <c r="B5685" s="162"/>
      <c r="C5685" s="336"/>
    </row>
    <row r="5686">
      <c r="A5686" s="162"/>
      <c r="B5686" s="162"/>
      <c r="C5686" s="336"/>
    </row>
    <row r="5687">
      <c r="A5687" s="162"/>
      <c r="B5687" s="162"/>
      <c r="C5687" s="336"/>
    </row>
    <row r="5688">
      <c r="A5688" s="162"/>
      <c r="B5688" s="162"/>
      <c r="C5688" s="336"/>
    </row>
    <row r="5689">
      <c r="A5689" s="162"/>
      <c r="B5689" s="162"/>
      <c r="C5689" s="336"/>
    </row>
    <row r="5690">
      <c r="A5690" s="162"/>
      <c r="B5690" s="162"/>
      <c r="C5690" s="336"/>
    </row>
    <row r="5691">
      <c r="A5691" s="162"/>
      <c r="B5691" s="162"/>
      <c r="C5691" s="336"/>
    </row>
    <row r="5692">
      <c r="A5692" s="162"/>
      <c r="B5692" s="162"/>
      <c r="C5692" s="336"/>
    </row>
    <row r="5693">
      <c r="A5693" s="162"/>
      <c r="B5693" s="162"/>
      <c r="C5693" s="336"/>
    </row>
    <row r="5694">
      <c r="A5694" s="162"/>
      <c r="B5694" s="162"/>
      <c r="C5694" s="336"/>
    </row>
    <row r="5695">
      <c r="A5695" s="162"/>
      <c r="B5695" s="162"/>
      <c r="C5695" s="336"/>
    </row>
    <row r="5696">
      <c r="A5696" s="162"/>
      <c r="B5696" s="162"/>
      <c r="C5696" s="336"/>
    </row>
    <row r="5697">
      <c r="A5697" s="162"/>
      <c r="B5697" s="162"/>
      <c r="C5697" s="336"/>
    </row>
    <row r="5698">
      <c r="A5698" s="162"/>
      <c r="B5698" s="162"/>
      <c r="C5698" s="336"/>
    </row>
    <row r="5699">
      <c r="A5699" s="162"/>
      <c r="B5699" s="162"/>
      <c r="C5699" s="336"/>
    </row>
    <row r="5700">
      <c r="A5700" s="162"/>
      <c r="B5700" s="162"/>
      <c r="C5700" s="336"/>
    </row>
    <row r="5701">
      <c r="A5701" s="162"/>
      <c r="B5701" s="162"/>
      <c r="C5701" s="336"/>
    </row>
    <row r="5702">
      <c r="A5702" s="162"/>
      <c r="B5702" s="162"/>
      <c r="C5702" s="336"/>
    </row>
    <row r="5703">
      <c r="A5703" s="162"/>
      <c r="B5703" s="162"/>
      <c r="C5703" s="336"/>
    </row>
    <row r="5704">
      <c r="A5704" s="162"/>
      <c r="B5704" s="162"/>
      <c r="C5704" s="336"/>
    </row>
    <row r="5705">
      <c r="A5705" s="162"/>
      <c r="B5705" s="162"/>
      <c r="C5705" s="336"/>
    </row>
    <row r="5706">
      <c r="A5706" s="162"/>
      <c r="B5706" s="162"/>
      <c r="C5706" s="336"/>
    </row>
    <row r="5707">
      <c r="A5707" s="162"/>
      <c r="B5707" s="162"/>
      <c r="C5707" s="336"/>
    </row>
    <row r="5708">
      <c r="A5708" s="162"/>
      <c r="B5708" s="162"/>
      <c r="C5708" s="336"/>
    </row>
    <row r="5709">
      <c r="A5709" s="162"/>
      <c r="B5709" s="162"/>
      <c r="C5709" s="336"/>
    </row>
    <row r="5710">
      <c r="A5710" s="162"/>
      <c r="B5710" s="162"/>
      <c r="C5710" s="336"/>
    </row>
    <row r="5711">
      <c r="A5711" s="162"/>
      <c r="B5711" s="162"/>
      <c r="C5711" s="336"/>
    </row>
    <row r="5712">
      <c r="A5712" s="162"/>
      <c r="B5712" s="162"/>
      <c r="C5712" s="336"/>
    </row>
    <row r="5713">
      <c r="A5713" s="162"/>
      <c r="B5713" s="162"/>
      <c r="C5713" s="336"/>
    </row>
    <row r="5714">
      <c r="A5714" s="162"/>
      <c r="B5714" s="162"/>
      <c r="C5714" s="336"/>
    </row>
    <row r="5715">
      <c r="A5715" s="162"/>
      <c r="B5715" s="162"/>
      <c r="C5715" s="336"/>
    </row>
    <row r="5716">
      <c r="A5716" s="162"/>
      <c r="B5716" s="162"/>
      <c r="C5716" s="336"/>
    </row>
    <row r="5717">
      <c r="A5717" s="162"/>
      <c r="B5717" s="162"/>
      <c r="C5717" s="336"/>
    </row>
    <row r="5718">
      <c r="A5718" s="162"/>
      <c r="B5718" s="162"/>
      <c r="C5718" s="336"/>
    </row>
    <row r="5719">
      <c r="A5719" s="162"/>
      <c r="B5719" s="162"/>
      <c r="C5719" s="336"/>
    </row>
    <row r="5720">
      <c r="A5720" s="162"/>
      <c r="B5720" s="162"/>
      <c r="C5720" s="336"/>
    </row>
    <row r="5721">
      <c r="A5721" s="162"/>
      <c r="B5721" s="162"/>
      <c r="C5721" s="336"/>
    </row>
    <row r="5722">
      <c r="A5722" s="162"/>
      <c r="B5722" s="162"/>
      <c r="C5722" s="336"/>
    </row>
    <row r="5723">
      <c r="A5723" s="162"/>
      <c r="B5723" s="162"/>
      <c r="C5723" s="336"/>
    </row>
    <row r="5724">
      <c r="A5724" s="162"/>
      <c r="B5724" s="162"/>
      <c r="C5724" s="336"/>
    </row>
    <row r="5725">
      <c r="A5725" s="162"/>
      <c r="B5725" s="162"/>
      <c r="C5725" s="336"/>
    </row>
    <row r="5726">
      <c r="A5726" s="162"/>
      <c r="B5726" s="162"/>
      <c r="C5726" s="336"/>
    </row>
    <row r="5727">
      <c r="A5727" s="162"/>
      <c r="B5727" s="162"/>
      <c r="C5727" s="336"/>
    </row>
    <row r="5728">
      <c r="A5728" s="162"/>
      <c r="B5728" s="162"/>
      <c r="C5728" s="336"/>
    </row>
    <row r="5729">
      <c r="A5729" s="162"/>
      <c r="B5729" s="162"/>
      <c r="C5729" s="336"/>
    </row>
    <row r="5730">
      <c r="A5730" s="162"/>
      <c r="B5730" s="162"/>
      <c r="C5730" s="336"/>
    </row>
    <row r="5731">
      <c r="A5731" s="162"/>
      <c r="B5731" s="162"/>
      <c r="C5731" s="336"/>
    </row>
    <row r="5732">
      <c r="A5732" s="162"/>
      <c r="B5732" s="162"/>
      <c r="C5732" s="336"/>
    </row>
    <row r="5733">
      <c r="A5733" s="162"/>
      <c r="B5733" s="162"/>
      <c r="C5733" s="336"/>
    </row>
    <row r="5734">
      <c r="A5734" s="162"/>
      <c r="B5734" s="162"/>
      <c r="C5734" s="336"/>
    </row>
    <row r="5735">
      <c r="A5735" s="162"/>
      <c r="B5735" s="162"/>
      <c r="C5735" s="336"/>
    </row>
    <row r="5736">
      <c r="A5736" s="162"/>
      <c r="B5736" s="162"/>
      <c r="C5736" s="336"/>
    </row>
    <row r="5737">
      <c r="A5737" s="162"/>
      <c r="B5737" s="162"/>
      <c r="C5737" s="336"/>
    </row>
    <row r="5738">
      <c r="A5738" s="162"/>
      <c r="B5738" s="162"/>
      <c r="C5738" s="336"/>
    </row>
    <row r="5739">
      <c r="A5739" s="162"/>
      <c r="B5739" s="162"/>
      <c r="C5739" s="336"/>
    </row>
    <row r="5740">
      <c r="A5740" s="162"/>
      <c r="B5740" s="162"/>
      <c r="C5740" s="336"/>
    </row>
    <row r="5741">
      <c r="A5741" s="162"/>
      <c r="B5741" s="162"/>
      <c r="C5741" s="336"/>
    </row>
    <row r="5742">
      <c r="A5742" s="162"/>
      <c r="B5742" s="162"/>
      <c r="C5742" s="336"/>
    </row>
    <row r="5743">
      <c r="A5743" s="162"/>
      <c r="B5743" s="162"/>
      <c r="C5743" s="336"/>
    </row>
    <row r="5744">
      <c r="A5744" s="162"/>
      <c r="B5744" s="162"/>
      <c r="C5744" s="336"/>
    </row>
    <row r="5745">
      <c r="A5745" s="162"/>
      <c r="B5745" s="162"/>
      <c r="C5745" s="336"/>
    </row>
    <row r="5746">
      <c r="A5746" s="162"/>
      <c r="B5746" s="162"/>
      <c r="C5746" s="336"/>
    </row>
    <row r="5747">
      <c r="A5747" s="162"/>
      <c r="B5747" s="162"/>
      <c r="C5747" s="336"/>
    </row>
    <row r="5748">
      <c r="A5748" s="162"/>
      <c r="B5748" s="162"/>
      <c r="C5748" s="336"/>
    </row>
    <row r="5749">
      <c r="A5749" s="162"/>
      <c r="B5749" s="162"/>
      <c r="C5749" s="336"/>
    </row>
    <row r="5750">
      <c r="A5750" s="162"/>
      <c r="B5750" s="162"/>
      <c r="C5750" s="336"/>
    </row>
    <row r="5751">
      <c r="A5751" s="162"/>
      <c r="B5751" s="162"/>
      <c r="C5751" s="336"/>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45">
        <f>'Delivery Tracking'!AH1-1</f>
        <v>45358</v>
      </c>
      <c r="B1" s="546">
        <f t="shared" ref="B1:B60" si="1">WEEKDAY(A1,1)</f>
        <v>5</v>
      </c>
    </row>
    <row r="2">
      <c r="A2" s="545">
        <f t="shared" ref="A2:A60" si="2">if(A1="","",A1-1)</f>
        <v>45357</v>
      </c>
      <c r="B2" s="546">
        <f t="shared" si="1"/>
        <v>4</v>
      </c>
    </row>
    <row r="3">
      <c r="A3" s="545">
        <f t="shared" si="2"/>
        <v>45356</v>
      </c>
      <c r="B3" s="546">
        <f t="shared" si="1"/>
        <v>3</v>
      </c>
    </row>
    <row r="4">
      <c r="A4" s="545">
        <f t="shared" si="2"/>
        <v>45355</v>
      </c>
      <c r="B4" s="546">
        <f t="shared" si="1"/>
        <v>2</v>
      </c>
    </row>
    <row r="5">
      <c r="A5" s="545">
        <f t="shared" si="2"/>
        <v>45354</v>
      </c>
      <c r="B5" s="546">
        <f t="shared" si="1"/>
        <v>1</v>
      </c>
    </row>
    <row r="6">
      <c r="A6" s="545">
        <f t="shared" si="2"/>
        <v>45353</v>
      </c>
      <c r="B6" s="546">
        <f t="shared" si="1"/>
        <v>7</v>
      </c>
    </row>
    <row r="7">
      <c r="A7" s="545">
        <f t="shared" si="2"/>
        <v>45352</v>
      </c>
      <c r="B7" s="546">
        <f t="shared" si="1"/>
        <v>6</v>
      </c>
    </row>
    <row r="8">
      <c r="A8" s="545">
        <f t="shared" si="2"/>
        <v>45351</v>
      </c>
      <c r="B8" s="546">
        <f t="shared" si="1"/>
        <v>5</v>
      </c>
    </row>
    <row r="9">
      <c r="A9" s="545">
        <f t="shared" si="2"/>
        <v>45350</v>
      </c>
      <c r="B9" s="546">
        <f t="shared" si="1"/>
        <v>4</v>
      </c>
    </row>
    <row r="10">
      <c r="A10" s="545">
        <f t="shared" si="2"/>
        <v>45349</v>
      </c>
      <c r="B10" s="546">
        <f t="shared" si="1"/>
        <v>3</v>
      </c>
    </row>
    <row r="11">
      <c r="A11" s="545">
        <f t="shared" si="2"/>
        <v>45348</v>
      </c>
      <c r="B11" s="546">
        <f t="shared" si="1"/>
        <v>2</v>
      </c>
    </row>
    <row r="12">
      <c r="A12" s="545">
        <f t="shared" si="2"/>
        <v>45347</v>
      </c>
      <c r="B12" s="546">
        <f t="shared" si="1"/>
        <v>1</v>
      </c>
    </row>
    <row r="13">
      <c r="A13" s="545">
        <f t="shared" si="2"/>
        <v>45346</v>
      </c>
      <c r="B13" s="546">
        <f t="shared" si="1"/>
        <v>7</v>
      </c>
    </row>
    <row r="14">
      <c r="A14" s="545">
        <f t="shared" si="2"/>
        <v>45345</v>
      </c>
      <c r="B14" s="546">
        <f t="shared" si="1"/>
        <v>6</v>
      </c>
    </row>
    <row r="15">
      <c r="A15" s="545">
        <f t="shared" si="2"/>
        <v>45344</v>
      </c>
      <c r="B15" s="546">
        <f t="shared" si="1"/>
        <v>5</v>
      </c>
    </row>
    <row r="16">
      <c r="A16" s="545">
        <f t="shared" si="2"/>
        <v>45343</v>
      </c>
      <c r="B16" s="546">
        <f t="shared" si="1"/>
        <v>4</v>
      </c>
    </row>
    <row r="17">
      <c r="A17" s="545">
        <f t="shared" si="2"/>
        <v>45342</v>
      </c>
      <c r="B17" s="546">
        <f t="shared" si="1"/>
        <v>3</v>
      </c>
    </row>
    <row r="18">
      <c r="A18" s="545">
        <f t="shared" si="2"/>
        <v>45341</v>
      </c>
      <c r="B18" s="546">
        <f t="shared" si="1"/>
        <v>2</v>
      </c>
    </row>
    <row r="19">
      <c r="A19" s="545">
        <f t="shared" si="2"/>
        <v>45340</v>
      </c>
      <c r="B19" s="546">
        <f t="shared" si="1"/>
        <v>1</v>
      </c>
    </row>
    <row r="20">
      <c r="A20" s="545">
        <f t="shared" si="2"/>
        <v>45339</v>
      </c>
      <c r="B20" s="546">
        <f t="shared" si="1"/>
        <v>7</v>
      </c>
    </row>
    <row r="21">
      <c r="A21" s="545">
        <f t="shared" si="2"/>
        <v>45338</v>
      </c>
      <c r="B21" s="546">
        <f t="shared" si="1"/>
        <v>6</v>
      </c>
    </row>
    <row r="22">
      <c r="A22" s="545">
        <f t="shared" si="2"/>
        <v>45337</v>
      </c>
      <c r="B22" s="546">
        <f t="shared" si="1"/>
        <v>5</v>
      </c>
    </row>
    <row r="23">
      <c r="A23" s="545">
        <f t="shared" si="2"/>
        <v>45336</v>
      </c>
      <c r="B23" s="546">
        <f t="shared" si="1"/>
        <v>4</v>
      </c>
    </row>
    <row r="24">
      <c r="A24" s="545">
        <f t="shared" si="2"/>
        <v>45335</v>
      </c>
      <c r="B24" s="546">
        <f t="shared" si="1"/>
        <v>3</v>
      </c>
    </row>
    <row r="25">
      <c r="A25" s="545">
        <f t="shared" si="2"/>
        <v>45334</v>
      </c>
      <c r="B25" s="546">
        <f t="shared" si="1"/>
        <v>2</v>
      </c>
    </row>
    <row r="26">
      <c r="A26" s="545">
        <f t="shared" si="2"/>
        <v>45333</v>
      </c>
      <c r="B26" s="546">
        <f t="shared" si="1"/>
        <v>1</v>
      </c>
    </row>
    <row r="27">
      <c r="A27" s="545">
        <f t="shared" si="2"/>
        <v>45332</v>
      </c>
      <c r="B27" s="546">
        <f t="shared" si="1"/>
        <v>7</v>
      </c>
    </row>
    <row r="28">
      <c r="A28" s="545">
        <f t="shared" si="2"/>
        <v>45331</v>
      </c>
      <c r="B28" s="546">
        <f t="shared" si="1"/>
        <v>6</v>
      </c>
    </row>
    <row r="29">
      <c r="A29" s="545">
        <f t="shared" si="2"/>
        <v>45330</v>
      </c>
      <c r="B29" s="546">
        <f t="shared" si="1"/>
        <v>5</v>
      </c>
    </row>
    <row r="30">
      <c r="A30" s="545">
        <f t="shared" si="2"/>
        <v>45329</v>
      </c>
      <c r="B30" s="546">
        <f t="shared" si="1"/>
        <v>4</v>
      </c>
    </row>
    <row r="31">
      <c r="A31" s="545">
        <f t="shared" si="2"/>
        <v>45328</v>
      </c>
      <c r="B31" s="546">
        <f t="shared" si="1"/>
        <v>3</v>
      </c>
    </row>
    <row r="32">
      <c r="A32" s="545">
        <f t="shared" si="2"/>
        <v>45327</v>
      </c>
      <c r="B32" s="546">
        <f t="shared" si="1"/>
        <v>2</v>
      </c>
    </row>
    <row r="33">
      <c r="A33" s="545">
        <f t="shared" si="2"/>
        <v>45326</v>
      </c>
      <c r="B33" s="546">
        <f t="shared" si="1"/>
        <v>1</v>
      </c>
    </row>
    <row r="34">
      <c r="A34" s="545">
        <f t="shared" si="2"/>
        <v>45325</v>
      </c>
      <c r="B34" s="546">
        <f t="shared" si="1"/>
        <v>7</v>
      </c>
    </row>
    <row r="35">
      <c r="A35" s="545">
        <f t="shared" si="2"/>
        <v>45324</v>
      </c>
      <c r="B35" s="546">
        <f t="shared" si="1"/>
        <v>6</v>
      </c>
    </row>
    <row r="36">
      <c r="A36" s="545">
        <f t="shared" si="2"/>
        <v>45323</v>
      </c>
      <c r="B36" s="546">
        <f t="shared" si="1"/>
        <v>5</v>
      </c>
    </row>
    <row r="37">
      <c r="A37" s="545">
        <f t="shared" si="2"/>
        <v>45322</v>
      </c>
      <c r="B37" s="546">
        <f t="shared" si="1"/>
        <v>4</v>
      </c>
    </row>
    <row r="38">
      <c r="A38" s="545">
        <f t="shared" si="2"/>
        <v>45321</v>
      </c>
      <c r="B38" s="546">
        <f t="shared" si="1"/>
        <v>3</v>
      </c>
    </row>
    <row r="39">
      <c r="A39" s="545">
        <f t="shared" si="2"/>
        <v>45320</v>
      </c>
      <c r="B39" s="546">
        <f t="shared" si="1"/>
        <v>2</v>
      </c>
    </row>
    <row r="40">
      <c r="A40" s="545">
        <f t="shared" si="2"/>
        <v>45319</v>
      </c>
      <c r="B40" s="546">
        <f t="shared" si="1"/>
        <v>1</v>
      </c>
    </row>
    <row r="41">
      <c r="A41" s="545">
        <f t="shared" si="2"/>
        <v>45318</v>
      </c>
      <c r="B41" s="546">
        <f t="shared" si="1"/>
        <v>7</v>
      </c>
    </row>
    <row r="42">
      <c r="A42" s="545">
        <f t="shared" si="2"/>
        <v>45317</v>
      </c>
      <c r="B42" s="546">
        <f t="shared" si="1"/>
        <v>6</v>
      </c>
    </row>
    <row r="43">
      <c r="A43" s="545">
        <f t="shared" si="2"/>
        <v>45316</v>
      </c>
      <c r="B43" s="546">
        <f t="shared" si="1"/>
        <v>5</v>
      </c>
    </row>
    <row r="44">
      <c r="A44" s="545">
        <f t="shared" si="2"/>
        <v>45315</v>
      </c>
      <c r="B44" s="546">
        <f t="shared" si="1"/>
        <v>4</v>
      </c>
    </row>
    <row r="45">
      <c r="A45" s="545">
        <f t="shared" si="2"/>
        <v>45314</v>
      </c>
      <c r="B45" s="546">
        <f t="shared" si="1"/>
        <v>3</v>
      </c>
    </row>
    <row r="46">
      <c r="A46" s="545">
        <f t="shared" si="2"/>
        <v>45313</v>
      </c>
      <c r="B46" s="546">
        <f t="shared" si="1"/>
        <v>2</v>
      </c>
    </row>
    <row r="47">
      <c r="A47" s="545">
        <f t="shared" si="2"/>
        <v>45312</v>
      </c>
      <c r="B47" s="546">
        <f t="shared" si="1"/>
        <v>1</v>
      </c>
    </row>
    <row r="48">
      <c r="A48" s="545">
        <f t="shared" si="2"/>
        <v>45311</v>
      </c>
      <c r="B48" s="546">
        <f t="shared" si="1"/>
        <v>7</v>
      </c>
    </row>
    <row r="49">
      <c r="A49" s="545">
        <f t="shared" si="2"/>
        <v>45310</v>
      </c>
      <c r="B49" s="546">
        <f t="shared" si="1"/>
        <v>6</v>
      </c>
    </row>
    <row r="50">
      <c r="A50" s="545">
        <f t="shared" si="2"/>
        <v>45309</v>
      </c>
      <c r="B50" s="546">
        <f t="shared" si="1"/>
        <v>5</v>
      </c>
    </row>
    <row r="51">
      <c r="A51" s="545">
        <f t="shared" si="2"/>
        <v>45308</v>
      </c>
      <c r="B51" s="546">
        <f t="shared" si="1"/>
        <v>4</v>
      </c>
    </row>
    <row r="52">
      <c r="A52" s="545">
        <f t="shared" si="2"/>
        <v>45307</v>
      </c>
      <c r="B52" s="546">
        <f t="shared" si="1"/>
        <v>3</v>
      </c>
    </row>
    <row r="53">
      <c r="A53" s="545">
        <f t="shared" si="2"/>
        <v>45306</v>
      </c>
      <c r="B53" s="546">
        <f t="shared" si="1"/>
        <v>2</v>
      </c>
    </row>
    <row r="54">
      <c r="A54" s="545">
        <f t="shared" si="2"/>
        <v>45305</v>
      </c>
      <c r="B54" s="546">
        <f t="shared" si="1"/>
        <v>1</v>
      </c>
    </row>
    <row r="55">
      <c r="A55" s="545">
        <f t="shared" si="2"/>
        <v>45304</v>
      </c>
      <c r="B55" s="546">
        <f t="shared" si="1"/>
        <v>7</v>
      </c>
    </row>
    <row r="56">
      <c r="A56" s="545">
        <f t="shared" si="2"/>
        <v>45303</v>
      </c>
      <c r="B56" s="546">
        <f t="shared" si="1"/>
        <v>6</v>
      </c>
    </row>
    <row r="57">
      <c r="A57" s="545">
        <f t="shared" si="2"/>
        <v>45302</v>
      </c>
      <c r="B57" s="546">
        <f t="shared" si="1"/>
        <v>5</v>
      </c>
    </row>
    <row r="58">
      <c r="A58" s="545">
        <f t="shared" si="2"/>
        <v>45301</v>
      </c>
      <c r="B58" s="546">
        <f t="shared" si="1"/>
        <v>4</v>
      </c>
    </row>
    <row r="59">
      <c r="A59" s="545">
        <f t="shared" si="2"/>
        <v>45300</v>
      </c>
      <c r="B59" s="546">
        <f t="shared" si="1"/>
        <v>3</v>
      </c>
    </row>
    <row r="60">
      <c r="A60" s="545">
        <f t="shared" si="2"/>
        <v>45299</v>
      </c>
      <c r="B60" s="546">
        <f t="shared" si="1"/>
        <v>2</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sheetViews>
  <sheetFormatPr customHeight="1" defaultColWidth="12.63" defaultRowHeight="15.75"/>
  <sheetData>
    <row r="1">
      <c r="A1" s="2" t="s">
        <v>1484</v>
      </c>
    </row>
    <row r="2">
      <c r="A2" s="2" t="s">
        <v>1485</v>
      </c>
    </row>
    <row r="3">
      <c r="A3" s="2" t="s">
        <v>1486</v>
      </c>
    </row>
    <row r="4">
      <c r="A4" s="2" t="s">
        <v>1487</v>
      </c>
    </row>
    <row r="5">
      <c r="A5" s="2" t="s">
        <v>1488</v>
      </c>
    </row>
    <row r="6">
      <c r="A6" s="2" t="s">
        <v>1489</v>
      </c>
    </row>
    <row r="7">
      <c r="A7" s="2" t="s">
        <v>1490</v>
      </c>
    </row>
    <row r="8">
      <c r="A8" s="2" t="s">
        <v>1491</v>
      </c>
    </row>
    <row r="9">
      <c r="A9" s="2" t="s">
        <v>1492</v>
      </c>
    </row>
    <row r="10">
      <c r="A10" s="2" t="s">
        <v>1493</v>
      </c>
    </row>
    <row r="11">
      <c r="A11" s="2" t="s">
        <v>1494</v>
      </c>
    </row>
    <row r="12">
      <c r="A12" s="2" t="s">
        <v>1495</v>
      </c>
    </row>
    <row r="13">
      <c r="A13" s="2" t="s">
        <v>1496</v>
      </c>
    </row>
    <row r="14">
      <c r="A14" s="2" t="s">
        <v>1497</v>
      </c>
    </row>
    <row r="15">
      <c r="A15" s="2" t="s">
        <v>1498</v>
      </c>
    </row>
    <row r="16">
      <c r="A16" s="2" t="s">
        <v>1499</v>
      </c>
    </row>
    <row r="17">
      <c r="A17" s="2" t="s">
        <v>1500</v>
      </c>
    </row>
    <row r="18">
      <c r="A18" s="2" t="s">
        <v>1501</v>
      </c>
    </row>
    <row r="19">
      <c r="A19" s="2" t="s">
        <v>1502</v>
      </c>
    </row>
    <row r="20">
      <c r="A20" s="2" t="s">
        <v>1503</v>
      </c>
    </row>
    <row r="21">
      <c r="A21" s="2" t="s">
        <v>1504</v>
      </c>
    </row>
    <row r="22">
      <c r="A22" s="2" t="s">
        <v>1505</v>
      </c>
    </row>
    <row r="23">
      <c r="A23" s="2" t="s">
        <v>1506</v>
      </c>
    </row>
    <row r="24">
      <c r="A24" s="2" t="s">
        <v>1507</v>
      </c>
    </row>
  </sheetData>
  <drawing r:id="rId1"/>
</worksheet>
</file>